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guide\"/>
    </mc:Choice>
  </mc:AlternateContent>
  <xr:revisionPtr revIDLastSave="0" documentId="13_ncr:1_{9B9134D8-623B-4A1F-83BE-D8DEE636FE93}" xr6:coauthVersionLast="47" xr6:coauthVersionMax="47" xr10:uidLastSave="{00000000-0000-0000-0000-000000000000}"/>
  <bookViews>
    <workbookView xWindow="28680" yWindow="-120" windowWidth="38640" windowHeight="15720" activeTab="2" xr2:uid="{E1B05DE5-EAD7-43D6-8DFE-DCA2C8EA1D01}"/>
  </bookViews>
  <sheets>
    <sheet name="漢字注音" sheetId="4" r:id="rId1"/>
    <sheet name="按鍵位置表" sheetId="11" r:id="rId2"/>
    <sheet name="打字練習表" sheetId="1" r:id="rId3"/>
    <sheet name="打字練習表 (2)" sheetId="10" r:id="rId4"/>
    <sheet name="打字練習表 (進階)" sheetId="7" r:id="rId5"/>
    <sheet name="打字練習表 (模版)" sheetId="6" r:id="rId6"/>
    <sheet name="打字練習表 (羅馬字母拼音)" sheetId="5" r:id="rId7"/>
    <sheet name="音調表" sheetId="2" r:id="rId8"/>
    <sheet name="打字練習表 (進階) (2)" sheetId="9" r:id="rId9"/>
  </sheets>
  <definedNames>
    <definedName name="URL">打字練習表!$S$1</definedName>
    <definedName name="覩9">漢字注音!$A$5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S7" i="1"/>
  <c r="T7" i="1"/>
  <c r="U7" i="1"/>
  <c r="V7" i="1"/>
  <c r="W7" i="1"/>
  <c r="X7" i="1"/>
  <c r="Y7" i="1"/>
  <c r="R8" i="1"/>
  <c r="S8" i="1"/>
  <c r="T8" i="1"/>
  <c r="U8" i="1"/>
  <c r="V8" i="1"/>
  <c r="W8" i="1"/>
  <c r="X8" i="1"/>
  <c r="Y8" i="1"/>
  <c r="R9" i="1"/>
  <c r="S9" i="1"/>
  <c r="T9" i="1"/>
  <c r="U9" i="1"/>
  <c r="V9" i="1"/>
  <c r="W9" i="1"/>
  <c r="X9" i="1"/>
  <c r="Y9" i="1"/>
  <c r="R10" i="1"/>
  <c r="S10" i="1"/>
  <c r="T10" i="1"/>
  <c r="U10" i="1"/>
  <c r="V10" i="1"/>
  <c r="W10" i="1"/>
  <c r="X10" i="1"/>
  <c r="Y10" i="1"/>
  <c r="R11" i="1"/>
  <c r="S11" i="1"/>
  <c r="T11" i="1"/>
  <c r="U11" i="1"/>
  <c r="V11" i="1"/>
  <c r="W11" i="1"/>
  <c r="X11" i="1"/>
  <c r="Y11" i="1"/>
  <c r="R12" i="1"/>
  <c r="S12" i="1"/>
  <c r="T12" i="1"/>
  <c r="U12" i="1"/>
  <c r="V12" i="1"/>
  <c r="W12" i="1"/>
  <c r="X12" i="1"/>
  <c r="Y12" i="1"/>
  <c r="R13" i="1"/>
  <c r="S13" i="1"/>
  <c r="T13" i="1"/>
  <c r="U13" i="1"/>
  <c r="V13" i="1"/>
  <c r="W13" i="1"/>
  <c r="X13" i="1"/>
  <c r="Y13" i="1"/>
  <c r="R14" i="1"/>
  <c r="S14" i="1"/>
  <c r="T14" i="1"/>
  <c r="U14" i="1"/>
  <c r="V14" i="1"/>
  <c r="W14" i="1"/>
  <c r="X14" i="1"/>
  <c r="Y14" i="1"/>
  <c r="R15" i="1"/>
  <c r="S15" i="1"/>
  <c r="T15" i="1"/>
  <c r="U15" i="1"/>
  <c r="V15" i="1"/>
  <c r="W15" i="1"/>
  <c r="X15" i="1"/>
  <c r="Y15" i="1"/>
  <c r="R16" i="1"/>
  <c r="S16" i="1"/>
  <c r="T16" i="1"/>
  <c r="U16" i="1"/>
  <c r="V16" i="1"/>
  <c r="W16" i="1"/>
  <c r="X16" i="1"/>
  <c r="Y16" i="1"/>
  <c r="R17" i="1"/>
  <c r="S17" i="1"/>
  <c r="T17" i="1"/>
  <c r="U17" i="1"/>
  <c r="V17" i="1"/>
  <c r="W17" i="1"/>
  <c r="X17" i="1"/>
  <c r="Y17" i="1"/>
  <c r="R18" i="1"/>
  <c r="S18" i="1"/>
  <c r="T18" i="1"/>
  <c r="U18" i="1"/>
  <c r="V18" i="1"/>
  <c r="W18" i="1"/>
  <c r="X18" i="1"/>
  <c r="Y18" i="1"/>
  <c r="R19" i="1"/>
  <c r="S19" i="1"/>
  <c r="T19" i="1"/>
  <c r="U19" i="1"/>
  <c r="V19" i="1"/>
  <c r="W19" i="1"/>
  <c r="X19" i="1"/>
  <c r="Y19" i="1"/>
  <c r="R20" i="1"/>
  <c r="S20" i="1"/>
  <c r="T20" i="1"/>
  <c r="U20" i="1"/>
  <c r="V20" i="1"/>
  <c r="W20" i="1"/>
  <c r="X20" i="1"/>
  <c r="Y20" i="1"/>
  <c r="R21" i="1"/>
  <c r="S21" i="1"/>
  <c r="T21" i="1"/>
  <c r="U21" i="1"/>
  <c r="V21" i="1"/>
  <c r="W21" i="1"/>
  <c r="X21" i="1"/>
  <c r="Y21" i="1"/>
  <c r="R22" i="1"/>
  <c r="S22" i="1"/>
  <c r="T22" i="1"/>
  <c r="U22" i="1"/>
  <c r="V22" i="1"/>
  <c r="W22" i="1"/>
  <c r="X22" i="1"/>
  <c r="Y22" i="1"/>
  <c r="R23" i="1"/>
  <c r="S23" i="1"/>
  <c r="T23" i="1"/>
  <c r="U23" i="1"/>
  <c r="V23" i="1"/>
  <c r="W23" i="1"/>
  <c r="X23" i="1"/>
  <c r="Y23" i="1"/>
  <c r="R24" i="1"/>
  <c r="S24" i="1"/>
  <c r="T24" i="1"/>
  <c r="U24" i="1"/>
  <c r="V24" i="1"/>
  <c r="W24" i="1"/>
  <c r="X24" i="1"/>
  <c r="Y24" i="1"/>
  <c r="R25" i="1"/>
  <c r="S25" i="1"/>
  <c r="T25" i="1"/>
  <c r="U25" i="1"/>
  <c r="V25" i="1"/>
  <c r="W25" i="1"/>
  <c r="X25" i="1"/>
  <c r="Y25" i="1"/>
  <c r="R26" i="1"/>
  <c r="S26" i="1"/>
  <c r="T26" i="1"/>
  <c r="U26" i="1"/>
  <c r="V26" i="1"/>
  <c r="W26" i="1"/>
  <c r="X26" i="1"/>
  <c r="Y26" i="1"/>
  <c r="R27" i="1"/>
  <c r="S27" i="1"/>
  <c r="T27" i="1"/>
  <c r="U27" i="1"/>
  <c r="V27" i="1"/>
  <c r="W27" i="1"/>
  <c r="X27" i="1"/>
  <c r="Y27" i="1"/>
  <c r="R28" i="1"/>
  <c r="S28" i="1"/>
  <c r="T28" i="1"/>
  <c r="U28" i="1"/>
  <c r="V28" i="1"/>
  <c r="W28" i="1"/>
  <c r="X28" i="1"/>
  <c r="Y28" i="1"/>
  <c r="R29" i="1"/>
  <c r="S29" i="1"/>
  <c r="T29" i="1"/>
  <c r="U29" i="1"/>
  <c r="V29" i="1"/>
  <c r="W29" i="1"/>
  <c r="X29" i="1"/>
  <c r="Y29" i="1"/>
  <c r="R30" i="1"/>
  <c r="S30" i="1"/>
  <c r="T30" i="1"/>
  <c r="U30" i="1"/>
  <c r="V30" i="1"/>
  <c r="W30" i="1"/>
  <c r="X30" i="1"/>
  <c r="Y30" i="1"/>
  <c r="R31" i="1"/>
  <c r="S31" i="1"/>
  <c r="T31" i="1"/>
  <c r="U31" i="1"/>
  <c r="V31" i="1"/>
  <c r="W31" i="1"/>
  <c r="X31" i="1"/>
  <c r="Y31" i="1"/>
  <c r="R32" i="1"/>
  <c r="S32" i="1"/>
  <c r="T32" i="1"/>
  <c r="U32" i="1"/>
  <c r="V32" i="1"/>
  <c r="W32" i="1"/>
  <c r="X32" i="1"/>
  <c r="Y32" i="1"/>
  <c r="R33" i="1"/>
  <c r="S33" i="1"/>
  <c r="T33" i="1"/>
  <c r="U33" i="1"/>
  <c r="V33" i="1"/>
  <c r="W33" i="1"/>
  <c r="X33" i="1"/>
  <c r="Y33" i="1"/>
  <c r="R34" i="1"/>
  <c r="S34" i="1"/>
  <c r="T34" i="1"/>
  <c r="U34" i="1"/>
  <c r="V34" i="1"/>
  <c r="W34" i="1"/>
  <c r="X34" i="1"/>
  <c r="Y34" i="1"/>
  <c r="R35" i="1"/>
  <c r="S35" i="1"/>
  <c r="T35" i="1"/>
  <c r="U35" i="1"/>
  <c r="V35" i="1"/>
  <c r="W35" i="1"/>
  <c r="X35" i="1"/>
  <c r="Y35" i="1"/>
  <c r="R36" i="1"/>
  <c r="S36" i="1"/>
  <c r="T36" i="1"/>
  <c r="U36" i="1"/>
  <c r="V36" i="1"/>
  <c r="W36" i="1"/>
  <c r="X36" i="1"/>
  <c r="Y36" i="1"/>
  <c r="R37" i="1"/>
  <c r="S37" i="1"/>
  <c r="T37" i="1"/>
  <c r="U37" i="1"/>
  <c r="V37" i="1"/>
  <c r="W37" i="1"/>
  <c r="X37" i="1"/>
  <c r="Y37" i="1"/>
  <c r="R38" i="1"/>
  <c r="S38" i="1"/>
  <c r="T38" i="1"/>
  <c r="U38" i="1"/>
  <c r="V38" i="1"/>
  <c r="W38" i="1"/>
  <c r="X38" i="1"/>
  <c r="Y38" i="1"/>
  <c r="R39" i="1"/>
  <c r="S39" i="1"/>
  <c r="T39" i="1"/>
  <c r="U39" i="1"/>
  <c r="V39" i="1"/>
  <c r="W39" i="1"/>
  <c r="X39" i="1"/>
  <c r="Y39" i="1"/>
  <c r="R40" i="1"/>
  <c r="S40" i="1"/>
  <c r="T40" i="1"/>
  <c r="U40" i="1"/>
  <c r="V40" i="1"/>
  <c r="W40" i="1"/>
  <c r="X40" i="1"/>
  <c r="Y40" i="1"/>
  <c r="R41" i="1"/>
  <c r="S41" i="1"/>
  <c r="T41" i="1"/>
  <c r="U41" i="1"/>
  <c r="V41" i="1"/>
  <c r="W41" i="1"/>
  <c r="X41" i="1"/>
  <c r="Y41" i="1"/>
  <c r="R42" i="1"/>
  <c r="S42" i="1"/>
  <c r="T42" i="1"/>
  <c r="U42" i="1"/>
  <c r="V42" i="1"/>
  <c r="W42" i="1"/>
  <c r="X42" i="1"/>
  <c r="Y42" i="1"/>
  <c r="R43" i="1"/>
  <c r="S43" i="1"/>
  <c r="T43" i="1"/>
  <c r="U43" i="1"/>
  <c r="V43" i="1"/>
  <c r="W43" i="1"/>
  <c r="X43" i="1"/>
  <c r="Y43" i="1"/>
  <c r="R44" i="1"/>
  <c r="S44" i="1"/>
  <c r="T44" i="1"/>
  <c r="U44" i="1"/>
  <c r="V44" i="1"/>
  <c r="W44" i="1"/>
  <c r="X44" i="1"/>
  <c r="Y44" i="1"/>
  <c r="R45" i="1"/>
  <c r="S45" i="1"/>
  <c r="T45" i="1"/>
  <c r="U45" i="1"/>
  <c r="V45" i="1"/>
  <c r="W45" i="1"/>
  <c r="X45" i="1"/>
  <c r="Y45" i="1"/>
  <c r="Y5" i="1"/>
  <c r="X5" i="1"/>
  <c r="W5" i="1"/>
  <c r="V5" i="1"/>
  <c r="U5" i="1"/>
  <c r="T5" i="1"/>
  <c r="S5" i="1"/>
  <c r="R5" i="1"/>
  <c r="S6" i="1"/>
  <c r="T6" i="1"/>
  <c r="U6" i="1"/>
  <c r="V6" i="1"/>
  <c r="W6" i="1"/>
  <c r="X6" i="1"/>
  <c r="Y6" i="1"/>
  <c r="R6" i="1"/>
  <c r="I59" i="11"/>
  <c r="I60" i="11"/>
  <c r="I61" i="11"/>
  <c r="I62" i="11"/>
  <c r="H3" i="11"/>
  <c r="I3" i="11" s="1"/>
  <c r="H4" i="11"/>
  <c r="I4" i="11" s="1"/>
  <c r="H5" i="11"/>
  <c r="I5" i="11" s="1"/>
  <c r="H6" i="11"/>
  <c r="I6" i="11" s="1"/>
  <c r="H7" i="11"/>
  <c r="I7" i="11" s="1"/>
  <c r="H8" i="11"/>
  <c r="I8" i="11" s="1"/>
  <c r="H9" i="11"/>
  <c r="I9" i="11" s="1"/>
  <c r="H10" i="11"/>
  <c r="I10" i="11" s="1"/>
  <c r="H11" i="11"/>
  <c r="I11" i="11" s="1"/>
  <c r="H12" i="11"/>
  <c r="I12" i="11" s="1"/>
  <c r="H13" i="11"/>
  <c r="I13" i="11" s="1"/>
  <c r="H14" i="11"/>
  <c r="I14" i="11" s="1"/>
  <c r="H15" i="11"/>
  <c r="I15" i="11" s="1"/>
  <c r="H16" i="11"/>
  <c r="I16" i="11" s="1"/>
  <c r="H17" i="11"/>
  <c r="I17" i="11" s="1"/>
  <c r="H18" i="11"/>
  <c r="I18" i="11" s="1"/>
  <c r="H19" i="11"/>
  <c r="I19" i="11" s="1"/>
  <c r="H20" i="11"/>
  <c r="I20" i="11" s="1"/>
  <c r="H21" i="11"/>
  <c r="I21" i="11" s="1"/>
  <c r="H22" i="11"/>
  <c r="I22" i="11" s="1"/>
  <c r="H23" i="11"/>
  <c r="I23" i="11" s="1"/>
  <c r="H24" i="11"/>
  <c r="I24" i="11" s="1"/>
  <c r="H25" i="11"/>
  <c r="I25" i="11" s="1"/>
  <c r="H26" i="11"/>
  <c r="I26" i="11" s="1"/>
  <c r="H27" i="11"/>
  <c r="I27" i="11" s="1"/>
  <c r="H28" i="11"/>
  <c r="I28" i="11" s="1"/>
  <c r="H29" i="11"/>
  <c r="I29" i="11" s="1"/>
  <c r="H30" i="11"/>
  <c r="I30" i="11" s="1"/>
  <c r="H31" i="11"/>
  <c r="I31" i="11" s="1"/>
  <c r="H32" i="11"/>
  <c r="I32" i="11" s="1"/>
  <c r="H33" i="11"/>
  <c r="I33" i="11" s="1"/>
  <c r="H34" i="11"/>
  <c r="I34" i="11" s="1"/>
  <c r="H35" i="11"/>
  <c r="I35" i="11" s="1"/>
  <c r="H36" i="11"/>
  <c r="I36" i="11" s="1"/>
  <c r="H37" i="11"/>
  <c r="I37" i="11" s="1"/>
  <c r="H38" i="11"/>
  <c r="I38" i="11" s="1"/>
  <c r="H39" i="11"/>
  <c r="I39" i="11" s="1"/>
  <c r="H40" i="11"/>
  <c r="I40" i="11" s="1"/>
  <c r="H41" i="11"/>
  <c r="I41" i="11" s="1"/>
  <c r="H42" i="11"/>
  <c r="I42" i="11" s="1"/>
  <c r="H43" i="11"/>
  <c r="I43" i="11" s="1"/>
  <c r="H44" i="11"/>
  <c r="I44" i="11" s="1"/>
  <c r="H45" i="11"/>
  <c r="I45" i="11" s="1"/>
  <c r="H46" i="11"/>
  <c r="I46" i="11" s="1"/>
  <c r="H47" i="11"/>
  <c r="I47" i="11" s="1"/>
  <c r="H48" i="11"/>
  <c r="I48" i="11" s="1"/>
  <c r="H49" i="11"/>
  <c r="I49" i="11" s="1"/>
  <c r="H50" i="11"/>
  <c r="I50" i="11" s="1"/>
  <c r="H51" i="11"/>
  <c r="I51" i="11" s="1"/>
  <c r="H52" i="11"/>
  <c r="I52" i="11" s="1"/>
  <c r="H53" i="11"/>
  <c r="I53" i="11" s="1"/>
  <c r="H54" i="11"/>
  <c r="I54" i="11" s="1"/>
  <c r="H55" i="11"/>
  <c r="I55" i="11" s="1"/>
  <c r="H56" i="11"/>
  <c r="I56" i="11" s="1"/>
  <c r="H57" i="11"/>
  <c r="I57" i="11" s="1"/>
  <c r="H58" i="11"/>
  <c r="I58" i="11" s="1"/>
  <c r="H59" i="11"/>
  <c r="H60" i="11"/>
  <c r="H61" i="11"/>
  <c r="H62" i="11"/>
  <c r="L61" i="1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5" i="1"/>
  <c r="C62" i="11" l="1"/>
  <c r="G44" i="1" l="1"/>
  <c r="G35" i="1"/>
  <c r="G34" i="1"/>
  <c r="G33" i="1"/>
  <c r="G32" i="1"/>
  <c r="G31" i="1"/>
  <c r="G30" i="1"/>
  <c r="G28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5" i="1"/>
  <c r="G43" i="1"/>
  <c r="G42" i="1"/>
  <c r="G41" i="1"/>
  <c r="G40" i="1"/>
  <c r="G39" i="1"/>
  <c r="G38" i="1"/>
  <c r="G37" i="1"/>
  <c r="G36" i="1"/>
  <c r="G29" i="1"/>
  <c r="G27" i="1"/>
  <c r="G26" i="1"/>
  <c r="G25" i="1"/>
  <c r="G24" i="1"/>
  <c r="H14" i="1" l="1"/>
  <c r="H15" i="1"/>
  <c r="H16" i="1"/>
  <c r="H17" i="1"/>
  <c r="H20" i="1"/>
  <c r="H22" i="1"/>
  <c r="H23" i="1"/>
  <c r="H25" i="1"/>
  <c r="H26" i="1"/>
  <c r="H35" i="1"/>
  <c r="H36" i="1"/>
  <c r="H38" i="1"/>
  <c r="H39" i="1"/>
  <c r="H40" i="1"/>
  <c r="H41" i="1"/>
  <c r="H42" i="1"/>
  <c r="H9" i="1"/>
  <c r="H13" i="1"/>
  <c r="H21" i="1"/>
  <c r="H29" i="1"/>
  <c r="H37" i="1"/>
  <c r="H45" i="1"/>
  <c r="H5" i="1"/>
  <c r="G44" i="10"/>
  <c r="F44" i="10"/>
  <c r="E44" i="10"/>
  <c r="F43" i="10"/>
  <c r="E43" i="10"/>
  <c r="G43" i="10" s="1"/>
  <c r="M43" i="10" s="1"/>
  <c r="F42" i="10"/>
  <c r="E42" i="10"/>
  <c r="G42" i="10" s="1"/>
  <c r="M41" i="10"/>
  <c r="F41" i="10"/>
  <c r="E41" i="10"/>
  <c r="G41" i="10" s="1"/>
  <c r="F40" i="10"/>
  <c r="E40" i="10"/>
  <c r="G40" i="10" s="1"/>
  <c r="F39" i="10"/>
  <c r="E39" i="10"/>
  <c r="G39" i="10" s="1"/>
  <c r="P38" i="10"/>
  <c r="O38" i="10"/>
  <c r="F38" i="10"/>
  <c r="E38" i="10"/>
  <c r="G38" i="10" s="1"/>
  <c r="F37" i="10"/>
  <c r="E37" i="10"/>
  <c r="G37" i="10" s="1"/>
  <c r="K37" i="10" s="1"/>
  <c r="G36" i="10"/>
  <c r="I36" i="10" s="1"/>
  <c r="F36" i="10"/>
  <c r="E36" i="10"/>
  <c r="F35" i="10"/>
  <c r="E35" i="10"/>
  <c r="G35" i="10" s="1"/>
  <c r="F34" i="10"/>
  <c r="E34" i="10"/>
  <c r="G34" i="10" s="1"/>
  <c r="M33" i="10"/>
  <c r="L33" i="10"/>
  <c r="K33" i="10"/>
  <c r="J33" i="10"/>
  <c r="I33" i="10"/>
  <c r="F33" i="10"/>
  <c r="E33" i="10"/>
  <c r="G33" i="10" s="1"/>
  <c r="F32" i="10"/>
  <c r="E32" i="10"/>
  <c r="G32" i="10" s="1"/>
  <c r="F31" i="10"/>
  <c r="E31" i="10"/>
  <c r="G31" i="10" s="1"/>
  <c r="P30" i="10"/>
  <c r="O30" i="10"/>
  <c r="N30" i="10"/>
  <c r="M30" i="10"/>
  <c r="I30" i="10"/>
  <c r="F30" i="10"/>
  <c r="E30" i="10"/>
  <c r="G30" i="10" s="1"/>
  <c r="F29" i="10"/>
  <c r="E29" i="10"/>
  <c r="G29" i="10" s="1"/>
  <c r="J29" i="10" s="1"/>
  <c r="G28" i="10"/>
  <c r="I28" i="10" s="1"/>
  <c r="F28" i="10"/>
  <c r="E28" i="10"/>
  <c r="F27" i="10"/>
  <c r="E27" i="10"/>
  <c r="G27" i="10" s="1"/>
  <c r="M27" i="10" s="1"/>
  <c r="F26" i="10"/>
  <c r="E26" i="10"/>
  <c r="G26" i="10" s="1"/>
  <c r="O26" i="10" s="1"/>
  <c r="F25" i="10"/>
  <c r="E25" i="10"/>
  <c r="G25" i="10" s="1"/>
  <c r="I25" i="10" s="1"/>
  <c r="I24" i="10"/>
  <c r="H24" i="10"/>
  <c r="G24" i="10"/>
  <c r="F24" i="10"/>
  <c r="E24" i="10"/>
  <c r="F23" i="10"/>
  <c r="E23" i="10"/>
  <c r="G23" i="10" s="1"/>
  <c r="F22" i="10"/>
  <c r="E22" i="10"/>
  <c r="G22" i="10" s="1"/>
  <c r="O22" i="10" s="1"/>
  <c r="M21" i="10"/>
  <c r="L21" i="10"/>
  <c r="K21" i="10"/>
  <c r="F21" i="10"/>
  <c r="E21" i="10"/>
  <c r="G21" i="10" s="1"/>
  <c r="G20" i="10"/>
  <c r="I20" i="10" s="1"/>
  <c r="F20" i="10"/>
  <c r="E20" i="10"/>
  <c r="F19" i="10"/>
  <c r="E19" i="10"/>
  <c r="G19" i="10" s="1"/>
  <c r="P18" i="10"/>
  <c r="O18" i="10"/>
  <c r="N18" i="10"/>
  <c r="M18" i="10"/>
  <c r="I18" i="10"/>
  <c r="F18" i="10"/>
  <c r="E18" i="10"/>
  <c r="G18" i="10" s="1"/>
  <c r="F17" i="10"/>
  <c r="E17" i="10"/>
  <c r="G17" i="10" s="1"/>
  <c r="K17" i="10" s="1"/>
  <c r="F16" i="10"/>
  <c r="E16" i="10"/>
  <c r="G16" i="10" s="1"/>
  <c r="M15" i="10"/>
  <c r="F15" i="10"/>
  <c r="E15" i="10"/>
  <c r="G15" i="10" s="1"/>
  <c r="F14" i="10"/>
  <c r="E14" i="10"/>
  <c r="G14" i="10" s="1"/>
  <c r="P14" i="10" s="1"/>
  <c r="F13" i="10"/>
  <c r="E13" i="10"/>
  <c r="G13" i="10" s="1"/>
  <c r="G12" i="10"/>
  <c r="E12" i="10"/>
  <c r="F12" i="10" s="1"/>
  <c r="E11" i="10"/>
  <c r="E10" i="10"/>
  <c r="G10" i="10" s="1"/>
  <c r="E9" i="10"/>
  <c r="G8" i="10"/>
  <c r="E8" i="10"/>
  <c r="F8" i="10" s="1"/>
  <c r="E7" i="10"/>
  <c r="E6" i="10"/>
  <c r="G6" i="10" s="1"/>
  <c r="E5" i="10"/>
  <c r="G4" i="10"/>
  <c r="E4" i="10"/>
  <c r="F4" i="10" s="1"/>
  <c r="H11" i="1"/>
  <c r="G5" i="1"/>
  <c r="H7" i="1"/>
  <c r="H8" i="1"/>
  <c r="H6" i="1"/>
  <c r="H44" i="1"/>
  <c r="H43" i="1"/>
  <c r="H34" i="1"/>
  <c r="H33" i="1"/>
  <c r="H32" i="1"/>
  <c r="H31" i="1"/>
  <c r="H30" i="1"/>
  <c r="H28" i="1"/>
  <c r="H27" i="1"/>
  <c r="H19" i="1"/>
  <c r="H18" i="1"/>
  <c r="P25" i="1" l="1"/>
  <c r="O25" i="1"/>
  <c r="N25" i="1"/>
  <c r="L25" i="1"/>
  <c r="J25" i="1"/>
  <c r="I25" i="1"/>
  <c r="M25" i="1"/>
  <c r="K25" i="1"/>
  <c r="P37" i="1"/>
  <c r="O37" i="1"/>
  <c r="N37" i="1"/>
  <c r="L37" i="1"/>
  <c r="I37" i="1"/>
  <c r="M37" i="1"/>
  <c r="K37" i="1"/>
  <c r="J37" i="1"/>
  <c r="I41" i="1"/>
  <c r="J41" i="1"/>
  <c r="K41" i="1"/>
  <c r="L41" i="1"/>
  <c r="M41" i="1"/>
  <c r="N41" i="1"/>
  <c r="O41" i="1"/>
  <c r="P41" i="1"/>
  <c r="P39" i="1"/>
  <c r="O39" i="1"/>
  <c r="N39" i="1"/>
  <c r="I39" i="1"/>
  <c r="M39" i="1"/>
  <c r="L39" i="1"/>
  <c r="K39" i="1"/>
  <c r="J39" i="1"/>
  <c r="I42" i="1"/>
  <c r="K42" i="1"/>
  <c r="O42" i="1"/>
  <c r="P42" i="1"/>
  <c r="J42" i="1"/>
  <c r="N42" i="1"/>
  <c r="M42" i="1"/>
  <c r="L42" i="1"/>
  <c r="P27" i="1"/>
  <c r="O27" i="1"/>
  <c r="N27" i="1"/>
  <c r="K27" i="1"/>
  <c r="I27" i="1"/>
  <c r="M27" i="1"/>
  <c r="L27" i="1"/>
  <c r="J27" i="1"/>
  <c r="J40" i="1"/>
  <c r="P40" i="1"/>
  <c r="K40" i="1"/>
  <c r="I40" i="1"/>
  <c r="M40" i="1"/>
  <c r="L40" i="1"/>
  <c r="O40" i="1"/>
  <c r="N40" i="1"/>
  <c r="I30" i="1"/>
  <c r="O30" i="1"/>
  <c r="N30" i="1"/>
  <c r="J30" i="1"/>
  <c r="P30" i="1"/>
  <c r="L30" i="1"/>
  <c r="K30" i="1"/>
  <c r="M30" i="1"/>
  <c r="P31" i="1"/>
  <c r="O31" i="1"/>
  <c r="N31" i="1"/>
  <c r="I31" i="1"/>
  <c r="M31" i="1"/>
  <c r="L31" i="1"/>
  <c r="K31" i="1"/>
  <c r="J31" i="1"/>
  <c r="L36" i="1"/>
  <c r="J36" i="1"/>
  <c r="I36" i="1"/>
  <c r="P36" i="1"/>
  <c r="O36" i="1"/>
  <c r="K36" i="1"/>
  <c r="N36" i="1"/>
  <c r="M36" i="1"/>
  <c r="P35" i="1"/>
  <c r="O35" i="1"/>
  <c r="N35" i="1"/>
  <c r="I35" i="1"/>
  <c r="M35" i="1"/>
  <c r="L35" i="1"/>
  <c r="K35" i="1"/>
  <c r="J35" i="1"/>
  <c r="P33" i="1"/>
  <c r="O33" i="1"/>
  <c r="N33" i="1"/>
  <c r="L33" i="1"/>
  <c r="J33" i="1"/>
  <c r="I33" i="1"/>
  <c r="M33" i="1"/>
  <c r="K33" i="1"/>
  <c r="I43" i="1"/>
  <c r="J43" i="1"/>
  <c r="K43" i="1"/>
  <c r="M43" i="1"/>
  <c r="O43" i="1"/>
  <c r="P43" i="1"/>
  <c r="L43" i="1"/>
  <c r="N43" i="1"/>
  <c r="J5" i="1"/>
  <c r="K5" i="1"/>
  <c r="L5" i="1"/>
  <c r="M5" i="1"/>
  <c r="P5" i="1"/>
  <c r="N5" i="1"/>
  <c r="O5" i="1"/>
  <c r="I5" i="1"/>
  <c r="I45" i="1"/>
  <c r="J45" i="1"/>
  <c r="K45" i="1"/>
  <c r="P45" i="1"/>
  <c r="L45" i="1"/>
  <c r="M45" i="1"/>
  <c r="N45" i="1"/>
  <c r="O45" i="1"/>
  <c r="P29" i="1"/>
  <c r="O29" i="1"/>
  <c r="N29" i="1"/>
  <c r="L29" i="1"/>
  <c r="I29" i="1"/>
  <c r="M29" i="1"/>
  <c r="K29" i="1"/>
  <c r="J29" i="1"/>
  <c r="N28" i="1"/>
  <c r="L28" i="1"/>
  <c r="J28" i="1"/>
  <c r="I28" i="1"/>
  <c r="O28" i="1"/>
  <c r="K28" i="1"/>
  <c r="P28" i="1"/>
  <c r="M28" i="1"/>
  <c r="I38" i="1"/>
  <c r="O38" i="1"/>
  <c r="N38" i="1"/>
  <c r="P38" i="1"/>
  <c r="J38" i="1"/>
  <c r="M38" i="1"/>
  <c r="L38" i="1"/>
  <c r="K38" i="1"/>
  <c r="P32" i="1"/>
  <c r="O32" i="1"/>
  <c r="N32" i="1"/>
  <c r="J32" i="1"/>
  <c r="I32" i="1"/>
  <c r="K32" i="1"/>
  <c r="M32" i="1"/>
  <c r="L32" i="1"/>
  <c r="O26" i="1"/>
  <c r="N26" i="1"/>
  <c r="I26" i="1"/>
  <c r="P26" i="1"/>
  <c r="K26" i="1"/>
  <c r="J26" i="1"/>
  <c r="M26" i="1"/>
  <c r="L26" i="1"/>
  <c r="O34" i="1"/>
  <c r="K34" i="1"/>
  <c r="J34" i="1"/>
  <c r="P34" i="1"/>
  <c r="N34" i="1"/>
  <c r="I34" i="1"/>
  <c r="L34" i="1"/>
  <c r="M34" i="1"/>
  <c r="P44" i="1"/>
  <c r="J44" i="1"/>
  <c r="O44" i="1"/>
  <c r="I44" i="1"/>
  <c r="M44" i="1"/>
  <c r="N44" i="1"/>
  <c r="K44" i="1"/>
  <c r="L44" i="1"/>
  <c r="P19" i="1"/>
  <c r="O19" i="1"/>
  <c r="L19" i="1"/>
  <c r="N19" i="1"/>
  <c r="J19" i="1"/>
  <c r="M19" i="1"/>
  <c r="K19" i="1"/>
  <c r="I19" i="1"/>
  <c r="O18" i="1"/>
  <c r="M18" i="1"/>
  <c r="K18" i="1"/>
  <c r="L18" i="1"/>
  <c r="I18" i="1"/>
  <c r="N18" i="1"/>
  <c r="J18" i="1"/>
  <c r="P18" i="1"/>
  <c r="I20" i="1"/>
  <c r="O20" i="1"/>
  <c r="J20" i="1"/>
  <c r="L20" i="1"/>
  <c r="P20" i="1"/>
  <c r="N20" i="1"/>
  <c r="M20" i="1"/>
  <c r="K20" i="1"/>
  <c r="P17" i="1"/>
  <c r="K17" i="1"/>
  <c r="O17" i="1"/>
  <c r="N17" i="1"/>
  <c r="L17" i="1"/>
  <c r="I17" i="1"/>
  <c r="M17" i="1"/>
  <c r="J17" i="1"/>
  <c r="J22" i="1"/>
  <c r="N22" i="1"/>
  <c r="M22" i="1"/>
  <c r="K22" i="1"/>
  <c r="P22" i="1"/>
  <c r="O22" i="1"/>
  <c r="I22" i="1"/>
  <c r="L22" i="1"/>
  <c r="O7" i="1"/>
  <c r="J7" i="1"/>
  <c r="P7" i="1"/>
  <c r="L7" i="1"/>
  <c r="M7" i="1"/>
  <c r="N7" i="1"/>
  <c r="I7" i="1"/>
  <c r="K7" i="1"/>
  <c r="P21" i="1"/>
  <c r="I21" i="1"/>
  <c r="O21" i="1"/>
  <c r="K21" i="1"/>
  <c r="J21" i="1"/>
  <c r="N21" i="1"/>
  <c r="M21" i="1"/>
  <c r="L21" i="1"/>
  <c r="N16" i="1"/>
  <c r="L16" i="1"/>
  <c r="P16" i="1"/>
  <c r="M16" i="1"/>
  <c r="O16" i="1"/>
  <c r="I16" i="1"/>
  <c r="J16" i="1"/>
  <c r="K16" i="1"/>
  <c r="P23" i="1"/>
  <c r="O23" i="1"/>
  <c r="I23" i="1"/>
  <c r="N23" i="1"/>
  <c r="L23" i="1"/>
  <c r="K23" i="1"/>
  <c r="M23" i="1"/>
  <c r="J23" i="1"/>
  <c r="L8" i="1"/>
  <c r="M8" i="1"/>
  <c r="N8" i="1"/>
  <c r="O8" i="1"/>
  <c r="I8" i="1"/>
  <c r="J8" i="1"/>
  <c r="K8" i="1"/>
  <c r="P8" i="1"/>
  <c r="P13" i="1"/>
  <c r="O13" i="1"/>
  <c r="K13" i="1"/>
  <c r="N13" i="1"/>
  <c r="L13" i="1"/>
  <c r="M13" i="1"/>
  <c r="J13" i="1"/>
  <c r="I13" i="1"/>
  <c r="P15" i="1"/>
  <c r="J15" i="1"/>
  <c r="O15" i="1"/>
  <c r="I15" i="1"/>
  <c r="N15" i="1"/>
  <c r="M15" i="1"/>
  <c r="L15" i="1"/>
  <c r="K15" i="1"/>
  <c r="M6" i="1"/>
  <c r="N6" i="1"/>
  <c r="O6" i="1"/>
  <c r="P6" i="1"/>
  <c r="I6" i="1"/>
  <c r="J6" i="1"/>
  <c r="K6" i="1"/>
  <c r="L6" i="1"/>
  <c r="O11" i="1"/>
  <c r="P11" i="1"/>
  <c r="J11" i="1"/>
  <c r="L11" i="1"/>
  <c r="I11" i="1"/>
  <c r="K11" i="1"/>
  <c r="M11" i="1"/>
  <c r="N11" i="1"/>
  <c r="O9" i="1"/>
  <c r="P9" i="1"/>
  <c r="J9" i="1"/>
  <c r="L9" i="1"/>
  <c r="M9" i="1"/>
  <c r="N9" i="1"/>
  <c r="I9" i="1"/>
  <c r="K9" i="1"/>
  <c r="P14" i="1"/>
  <c r="K14" i="1"/>
  <c r="M14" i="1"/>
  <c r="J14" i="1"/>
  <c r="N14" i="1"/>
  <c r="L14" i="1"/>
  <c r="O14" i="1"/>
  <c r="I14" i="1"/>
  <c r="H12" i="1"/>
  <c r="H10" i="1"/>
  <c r="H24" i="1"/>
  <c r="P32" i="10"/>
  <c r="O32" i="10"/>
  <c r="K32" i="10"/>
  <c r="N32" i="10"/>
  <c r="M32" i="10"/>
  <c r="L32" i="10"/>
  <c r="J32" i="10"/>
  <c r="I32" i="10"/>
  <c r="H32" i="10"/>
  <c r="I8" i="10"/>
  <c r="I12" i="10"/>
  <c r="H12" i="10"/>
  <c r="P40" i="10"/>
  <c r="O40" i="10"/>
  <c r="N40" i="10"/>
  <c r="M40" i="10"/>
  <c r="L40" i="10"/>
  <c r="K40" i="10"/>
  <c r="J40" i="10"/>
  <c r="I40" i="10"/>
  <c r="H40" i="10"/>
  <c r="N6" i="10"/>
  <c r="H4" i="10"/>
  <c r="P16" i="10"/>
  <c r="M16" i="10"/>
  <c r="K16" i="10"/>
  <c r="O16" i="10"/>
  <c r="L16" i="10"/>
  <c r="J16" i="10"/>
  <c r="N16" i="10"/>
  <c r="I16" i="10"/>
  <c r="H16" i="10"/>
  <c r="H36" i="10"/>
  <c r="H34" i="10"/>
  <c r="L34" i="10"/>
  <c r="K34" i="10"/>
  <c r="J34" i="10"/>
  <c r="I37" i="10"/>
  <c r="I34" i="10"/>
  <c r="M34" i="10"/>
  <c r="P41" i="10"/>
  <c r="O41" i="10"/>
  <c r="N41" i="10"/>
  <c r="H41" i="10"/>
  <c r="H8" i="10"/>
  <c r="N14" i="10"/>
  <c r="L17" i="10"/>
  <c r="I26" i="10"/>
  <c r="P34" i="10"/>
  <c r="H38" i="10"/>
  <c r="L38" i="10"/>
  <c r="K38" i="10"/>
  <c r="J38" i="10"/>
  <c r="O13" i="10"/>
  <c r="P13" i="10"/>
  <c r="N13" i="10"/>
  <c r="H13" i="10"/>
  <c r="I6" i="10"/>
  <c r="H42" i="10"/>
  <c r="L42" i="10"/>
  <c r="K42" i="10"/>
  <c r="J42" i="10"/>
  <c r="O25" i="10"/>
  <c r="P25" i="10"/>
  <c r="N25" i="10"/>
  <c r="H25" i="10"/>
  <c r="J13" i="10"/>
  <c r="L19" i="10"/>
  <c r="K19" i="10"/>
  <c r="J19" i="10"/>
  <c r="I19" i="10"/>
  <c r="H19" i="10"/>
  <c r="P19" i="10"/>
  <c r="O19" i="10"/>
  <c r="N19" i="10"/>
  <c r="M42" i="10"/>
  <c r="L13" i="10"/>
  <c r="I22" i="10"/>
  <c r="N42" i="10"/>
  <c r="G7" i="10"/>
  <c r="F7" i="10"/>
  <c r="M13" i="10"/>
  <c r="M19" i="10"/>
  <c r="M22" i="10"/>
  <c r="H28" i="10"/>
  <c r="N22" i="10"/>
  <c r="L25" i="10"/>
  <c r="P42" i="10"/>
  <c r="P10" i="10"/>
  <c r="I17" i="10"/>
  <c r="O29" i="10"/>
  <c r="N29" i="10"/>
  <c r="P29" i="10"/>
  <c r="H29" i="10"/>
  <c r="G11" i="10"/>
  <c r="F11" i="10"/>
  <c r="I14" i="10"/>
  <c r="P20" i="10"/>
  <c r="O20" i="10"/>
  <c r="M20" i="10"/>
  <c r="N20" i="10"/>
  <c r="L20" i="10"/>
  <c r="K20" i="10"/>
  <c r="J20" i="10"/>
  <c r="P22" i="10"/>
  <c r="L23" i="10"/>
  <c r="H23" i="10"/>
  <c r="K23" i="10"/>
  <c r="J23" i="10"/>
  <c r="I23" i="10"/>
  <c r="P23" i="10"/>
  <c r="O23" i="10"/>
  <c r="N23" i="10"/>
  <c r="I29" i="10"/>
  <c r="O14" i="10"/>
  <c r="M17" i="10"/>
  <c r="O21" i="10"/>
  <c r="N21" i="10"/>
  <c r="P21" i="10"/>
  <c r="H21" i="10"/>
  <c r="M23" i="10"/>
  <c r="M26" i="10"/>
  <c r="K29" i="10"/>
  <c r="L35" i="10"/>
  <c r="K35" i="10"/>
  <c r="I35" i="10"/>
  <c r="J35" i="10"/>
  <c r="H35" i="10"/>
  <c r="P35" i="10"/>
  <c r="O35" i="10"/>
  <c r="N35" i="10"/>
  <c r="I41" i="10"/>
  <c r="H6" i="10"/>
  <c r="L6" i="10"/>
  <c r="K6" i="10"/>
  <c r="J6" i="10"/>
  <c r="P36" i="10"/>
  <c r="O36" i="10"/>
  <c r="M36" i="10"/>
  <c r="N36" i="10"/>
  <c r="L36" i="10"/>
  <c r="K36" i="10"/>
  <c r="J36" i="10"/>
  <c r="P37" i="10"/>
  <c r="O37" i="10"/>
  <c r="N37" i="10"/>
  <c r="H37" i="10"/>
  <c r="M10" i="10"/>
  <c r="P28" i="10"/>
  <c r="M28" i="10"/>
  <c r="K28" i="10"/>
  <c r="O28" i="10"/>
  <c r="N28" i="10"/>
  <c r="L28" i="10"/>
  <c r="J28" i="10"/>
  <c r="P4" i="10"/>
  <c r="M4" i="10"/>
  <c r="O4" i="10"/>
  <c r="N4" i="10"/>
  <c r="L4" i="10"/>
  <c r="K4" i="10"/>
  <c r="J4" i="10"/>
  <c r="M25" i="10"/>
  <c r="I4" i="10"/>
  <c r="J17" i="10"/>
  <c r="N34" i="10"/>
  <c r="G5" i="10"/>
  <c r="F5" i="10"/>
  <c r="M37" i="10"/>
  <c r="G9" i="10"/>
  <c r="F9" i="10"/>
  <c r="P12" i="10"/>
  <c r="K12" i="10"/>
  <c r="J12" i="10"/>
  <c r="O12" i="10"/>
  <c r="M12" i="10"/>
  <c r="N12" i="10"/>
  <c r="L12" i="10"/>
  <c r="H18" i="10"/>
  <c r="L18" i="10"/>
  <c r="K18" i="10"/>
  <c r="J18" i="10"/>
  <c r="N26" i="10"/>
  <c r="L29" i="10"/>
  <c r="I38" i="10"/>
  <c r="J41" i="10"/>
  <c r="P44" i="10"/>
  <c r="O44" i="10"/>
  <c r="N44" i="10"/>
  <c r="M44" i="10"/>
  <c r="L44" i="10"/>
  <c r="K44" i="10"/>
  <c r="J44" i="10"/>
  <c r="L31" i="10"/>
  <c r="K31" i="10"/>
  <c r="J31" i="10"/>
  <c r="I31" i="10"/>
  <c r="H31" i="10"/>
  <c r="P31" i="10"/>
  <c r="O31" i="10"/>
  <c r="N31" i="10"/>
  <c r="M31" i="10"/>
  <c r="L37" i="10"/>
  <c r="O34" i="10"/>
  <c r="L15" i="10"/>
  <c r="K15" i="10"/>
  <c r="I15" i="10"/>
  <c r="J15" i="10"/>
  <c r="H15" i="10"/>
  <c r="P15" i="10"/>
  <c r="O15" i="10"/>
  <c r="N15" i="10"/>
  <c r="I21" i="10"/>
  <c r="M29" i="10"/>
  <c r="O33" i="10"/>
  <c r="P33" i="10"/>
  <c r="N33" i="10"/>
  <c r="H33" i="10"/>
  <c r="M35" i="10"/>
  <c r="M38" i="10"/>
  <c r="K41" i="10"/>
  <c r="H44" i="10"/>
  <c r="L27" i="10"/>
  <c r="I27" i="10"/>
  <c r="K27" i="10"/>
  <c r="H27" i="10"/>
  <c r="J27" i="10"/>
  <c r="P27" i="10"/>
  <c r="O27" i="10"/>
  <c r="N27" i="10"/>
  <c r="I13" i="10"/>
  <c r="L39" i="10"/>
  <c r="K39" i="10"/>
  <c r="J39" i="10"/>
  <c r="I39" i="10"/>
  <c r="H39" i="10"/>
  <c r="P39" i="10"/>
  <c r="O39" i="10"/>
  <c r="N39" i="10"/>
  <c r="L10" i="10"/>
  <c r="J10" i="10"/>
  <c r="H22" i="10"/>
  <c r="L22" i="10"/>
  <c r="K22" i="10"/>
  <c r="J22" i="10"/>
  <c r="I42" i="10"/>
  <c r="O6" i="10"/>
  <c r="I10" i="10"/>
  <c r="K13" i="10"/>
  <c r="M39" i="10"/>
  <c r="P6" i="10"/>
  <c r="J25" i="10"/>
  <c r="O17" i="10"/>
  <c r="P17" i="10"/>
  <c r="N17" i="10"/>
  <c r="H17" i="10"/>
  <c r="K25" i="10"/>
  <c r="O42" i="10"/>
  <c r="H14" i="10"/>
  <c r="L14" i="10"/>
  <c r="K14" i="10"/>
  <c r="J14" i="10"/>
  <c r="J37" i="10"/>
  <c r="L43" i="10"/>
  <c r="K43" i="10"/>
  <c r="I43" i="10"/>
  <c r="H43" i="10"/>
  <c r="J43" i="10"/>
  <c r="P43" i="10"/>
  <c r="O43" i="10"/>
  <c r="N43" i="10"/>
  <c r="H26" i="10"/>
  <c r="L26" i="10"/>
  <c r="K26" i="10"/>
  <c r="J26" i="10"/>
  <c r="P8" i="10"/>
  <c r="O8" i="10"/>
  <c r="N8" i="10"/>
  <c r="M8" i="10"/>
  <c r="L8" i="10"/>
  <c r="K8" i="10"/>
  <c r="J8" i="10"/>
  <c r="M14" i="10"/>
  <c r="H20" i="10"/>
  <c r="J21" i="10"/>
  <c r="P24" i="10"/>
  <c r="K24" i="10"/>
  <c r="J24" i="10"/>
  <c r="O24" i="10"/>
  <c r="N24" i="10"/>
  <c r="M24" i="10"/>
  <c r="L24" i="10"/>
  <c r="P26" i="10"/>
  <c r="H30" i="10"/>
  <c r="L30" i="10"/>
  <c r="K30" i="10"/>
  <c r="J30" i="10"/>
  <c r="N38" i="10"/>
  <c r="L41" i="10"/>
  <c r="I44" i="10"/>
  <c r="F6" i="10"/>
  <c r="M6" i="10" s="1"/>
  <c r="F10" i="10"/>
  <c r="O10" i="10" s="1"/>
  <c r="H32" i="9" a="1"/>
  <c r="H32" i="9" s="1"/>
  <c r="D103" i="9"/>
  <c r="D102" i="9"/>
  <c r="K102" i="9" s="1" a="1"/>
  <c r="K102" i="9" s="1"/>
  <c r="D101" i="9"/>
  <c r="H101" i="9" s="1" a="1"/>
  <c r="H101" i="9" s="1"/>
  <c r="D100" i="9"/>
  <c r="L100" i="9" s="1" a="1"/>
  <c r="L100" i="9" s="1"/>
  <c r="D99" i="9"/>
  <c r="G99" i="9" s="1" a="1"/>
  <c r="G99" i="9" s="1"/>
  <c r="D98" i="9"/>
  <c r="J98" i="9" s="1" a="1"/>
  <c r="J98" i="9" s="1"/>
  <c r="D97" i="9"/>
  <c r="H97" i="9" s="1" a="1"/>
  <c r="H97" i="9" s="1"/>
  <c r="D96" i="9"/>
  <c r="D95" i="9"/>
  <c r="K95" i="9" s="1" a="1"/>
  <c r="K95" i="9" s="1"/>
  <c r="D90" i="9"/>
  <c r="J89" i="9" a="1"/>
  <c r="J89" i="9" s="1"/>
  <c r="I89" i="9" a="1"/>
  <c r="I89" i="9" s="1"/>
  <c r="D89" i="9"/>
  <c r="L89" i="9" s="1" a="1"/>
  <c r="L89" i="9" s="1"/>
  <c r="D88" i="9"/>
  <c r="J88" i="9" s="1" a="1"/>
  <c r="J88" i="9" s="1"/>
  <c r="D87" i="9"/>
  <c r="K87" i="9" s="1" a="1"/>
  <c r="K87" i="9" s="1"/>
  <c r="D80" i="9"/>
  <c r="K80" i="9" s="1" a="1"/>
  <c r="K80" i="9" s="1"/>
  <c r="D79" i="9"/>
  <c r="H79" i="9" s="1" a="1"/>
  <c r="H79" i="9" s="1"/>
  <c r="D78" i="9"/>
  <c r="L78" i="9" s="1" a="1"/>
  <c r="L78" i="9" s="1"/>
  <c r="D77" i="9"/>
  <c r="L77" i="9" s="1" a="1"/>
  <c r="L77" i="9" s="1"/>
  <c r="D76" i="9"/>
  <c r="K76" i="9" s="1" a="1"/>
  <c r="K76" i="9" s="1"/>
  <c r="D75" i="9"/>
  <c r="G75" i="9" s="1" a="1"/>
  <c r="G75" i="9" s="1"/>
  <c r="D74" i="9"/>
  <c r="F74" i="9" s="1" a="1"/>
  <c r="F74" i="9" s="1"/>
  <c r="D73" i="9"/>
  <c r="K73" i="9" s="1" a="1"/>
  <c r="K73" i="9" s="1"/>
  <c r="D72" i="9"/>
  <c r="L72" i="9" s="1" a="1"/>
  <c r="L72" i="9" s="1"/>
  <c r="J71" i="9" a="1"/>
  <c r="J71" i="9" s="1"/>
  <c r="I71" i="9" a="1"/>
  <c r="I71" i="9" s="1"/>
  <c r="H71" i="9" a="1"/>
  <c r="H71" i="9" s="1"/>
  <c r="D71" i="9"/>
  <c r="D70" i="9"/>
  <c r="J70" i="9" s="1" a="1"/>
  <c r="J70" i="9" s="1"/>
  <c r="D69" i="9"/>
  <c r="J69" i="9" s="1" a="1"/>
  <c r="J69" i="9" s="1"/>
  <c r="D68" i="9"/>
  <c r="K68" i="9" s="1" a="1"/>
  <c r="K68" i="9" s="1"/>
  <c r="L67" i="9" a="1"/>
  <c r="L67" i="9" s="1"/>
  <c r="K67" i="9" a="1"/>
  <c r="K67" i="9" s="1"/>
  <c r="J67" i="9" a="1"/>
  <c r="J67" i="9" s="1"/>
  <c r="F67" i="9" a="1"/>
  <c r="F67" i="9" s="1"/>
  <c r="E67" i="9" a="1"/>
  <c r="E67" i="9" s="1"/>
  <c r="D67" i="9"/>
  <c r="H67" i="9" s="1" a="1"/>
  <c r="H67" i="9" s="1"/>
  <c r="D62" i="9"/>
  <c r="L62" i="9" s="1" a="1"/>
  <c r="L62" i="9" s="1"/>
  <c r="J61" i="9" a="1"/>
  <c r="J61" i="9" s="1"/>
  <c r="D61" i="9"/>
  <c r="I61" i="9" s="1" a="1"/>
  <c r="I61" i="9" s="1"/>
  <c r="K60" i="9" a="1"/>
  <c r="K60" i="9" s="1"/>
  <c r="J60" i="9" a="1"/>
  <c r="J60" i="9" s="1"/>
  <c r="D60" i="9"/>
  <c r="I60" i="9" s="1" a="1"/>
  <c r="I60" i="9" s="1"/>
  <c r="D59" i="9"/>
  <c r="G59" i="9" s="1" a="1"/>
  <c r="G59" i="9" s="1"/>
  <c r="K58" i="9" a="1"/>
  <c r="K58" i="9" s="1"/>
  <c r="D58" i="9"/>
  <c r="F58" i="9" s="1" a="1"/>
  <c r="F58" i="9" s="1"/>
  <c r="M57" i="9" a="1"/>
  <c r="M57" i="9" s="1"/>
  <c r="J57" i="9" a="1"/>
  <c r="J57" i="9" s="1"/>
  <c r="I57" i="9" a="1"/>
  <c r="I57" i="9" s="1"/>
  <c r="D57" i="9"/>
  <c r="K57" i="9" s="1" a="1"/>
  <c r="K57" i="9" s="1"/>
  <c r="D56" i="9"/>
  <c r="F56" i="9" s="1" a="1"/>
  <c r="F56" i="9" s="1"/>
  <c r="D55" i="9"/>
  <c r="D54" i="9"/>
  <c r="J54" i="9" s="1" a="1"/>
  <c r="J54" i="9" s="1"/>
  <c r="D53" i="9"/>
  <c r="K53" i="9" s="1" a="1"/>
  <c r="K53" i="9" s="1"/>
  <c r="D52" i="9"/>
  <c r="K52" i="9" s="1" a="1"/>
  <c r="K52" i="9" s="1"/>
  <c r="D45" i="9"/>
  <c r="M45" i="9" s="1" a="1"/>
  <c r="M45" i="9" s="1"/>
  <c r="D44" i="9"/>
  <c r="M44" i="9" s="1" a="1"/>
  <c r="M44" i="9" s="1"/>
  <c r="D39" i="9"/>
  <c r="I39" i="9" s="1" a="1"/>
  <c r="I39" i="9" s="1"/>
  <c r="D38" i="9"/>
  <c r="K38" i="9" s="1" a="1"/>
  <c r="K38" i="9" s="1"/>
  <c r="L33" i="9" a="1"/>
  <c r="L33" i="9" s="1"/>
  <c r="K33" i="9" a="1"/>
  <c r="K33" i="9" s="1"/>
  <c r="D33" i="9"/>
  <c r="H33" i="9" s="1" a="1"/>
  <c r="H33" i="9" s="1"/>
  <c r="D32" i="9"/>
  <c r="J32" i="9" s="1" a="1"/>
  <c r="J32" i="9" s="1"/>
  <c r="D25" i="9"/>
  <c r="I25" i="9" s="1" a="1"/>
  <c r="I25" i="9" s="1"/>
  <c r="D24" i="9"/>
  <c r="K24" i="9" s="1" a="1"/>
  <c r="K24" i="9" s="1"/>
  <c r="D23" i="9"/>
  <c r="J23" i="9" s="1" a="1"/>
  <c r="J23" i="9" s="1"/>
  <c r="D22" i="9"/>
  <c r="F22" i="9" s="1" a="1"/>
  <c r="F22" i="9" s="1"/>
  <c r="D21" i="9"/>
  <c r="K21" i="9" s="1" a="1"/>
  <c r="K21" i="9" s="1"/>
  <c r="D20" i="9"/>
  <c r="M20" i="9" s="1" a="1"/>
  <c r="M20" i="9" s="1"/>
  <c r="D19" i="9"/>
  <c r="M19" i="9" s="1" a="1"/>
  <c r="M19" i="9" s="1"/>
  <c r="D18" i="9"/>
  <c r="G18" i="9" s="1" a="1"/>
  <c r="G18" i="9" s="1"/>
  <c r="D12" i="9"/>
  <c r="H12" i="9" s="1" a="1"/>
  <c r="H12" i="9" s="1"/>
  <c r="M11" i="9" a="1"/>
  <c r="M11" i="9" s="1"/>
  <c r="J11" i="9" a="1"/>
  <c r="J11" i="9" s="1"/>
  <c r="I11" i="9" a="1"/>
  <c r="I11" i="9" s="1"/>
  <c r="D11" i="9"/>
  <c r="K11" i="9" s="1" a="1"/>
  <c r="K11" i="9" s="1"/>
  <c r="D10" i="9"/>
  <c r="H10" i="9" s="1" a="1"/>
  <c r="H10" i="9" s="1"/>
  <c r="D9" i="9"/>
  <c r="H9" i="9" s="1" a="1"/>
  <c r="H9" i="9" s="1"/>
  <c r="M8" i="9" a="1"/>
  <c r="M8" i="9" s="1"/>
  <c r="L8" i="9" a="1"/>
  <c r="L8" i="9" s="1"/>
  <c r="K8" i="9" a="1"/>
  <c r="K8" i="9" s="1"/>
  <c r="F8" i="9" a="1"/>
  <c r="F8" i="9" s="1"/>
  <c r="E8" i="9" a="1"/>
  <c r="E8" i="9" s="1"/>
  <c r="D8" i="9"/>
  <c r="I8" i="9" s="1" a="1"/>
  <c r="I8" i="9" s="1"/>
  <c r="D7" i="9"/>
  <c r="F7" i="9" s="1" a="1"/>
  <c r="F7" i="9" s="1"/>
  <c r="D12" i="7"/>
  <c r="M12" i="7" s="1" a="1"/>
  <c r="M12" i="7" s="1"/>
  <c r="D11" i="7"/>
  <c r="K11" i="7" s="1" a="1"/>
  <c r="K11" i="7" s="1"/>
  <c r="D10" i="7"/>
  <c r="M10" i="7" s="1" a="1"/>
  <c r="M10" i="7" s="1"/>
  <c r="D9" i="7"/>
  <c r="K9" i="7" s="1" a="1"/>
  <c r="K9" i="7" s="1"/>
  <c r="D8" i="7"/>
  <c r="H8" i="7" s="1" a="1"/>
  <c r="H8" i="7" s="1"/>
  <c r="D7" i="7"/>
  <c r="L7" i="7" s="1" a="1"/>
  <c r="L7" i="7" s="1"/>
  <c r="D22" i="7"/>
  <c r="M22" i="7" s="1" a="1"/>
  <c r="M22" i="7" s="1"/>
  <c r="D20" i="7"/>
  <c r="K20" i="7" s="1" a="1"/>
  <c r="K20" i="7" s="1"/>
  <c r="D18" i="7"/>
  <c r="H18" i="7" s="1" a="1"/>
  <c r="H18" i="7" s="1"/>
  <c r="D24" i="7"/>
  <c r="L24" i="7" s="1" a="1"/>
  <c r="L24" i="7" s="1"/>
  <c r="D21" i="7"/>
  <c r="M21" i="7" s="1" a="1"/>
  <c r="M21" i="7" s="1"/>
  <c r="D19" i="7"/>
  <c r="K19" i="7" s="1" a="1"/>
  <c r="K19" i="7" s="1"/>
  <c r="D17" i="7"/>
  <c r="M17" i="7" s="1" a="1"/>
  <c r="M17" i="7" s="1"/>
  <c r="D23" i="7"/>
  <c r="K23" i="7" s="1" a="1"/>
  <c r="K23" i="7" s="1"/>
  <c r="D102" i="7"/>
  <c r="E102" i="7" s="1" a="1"/>
  <c r="E102" i="7" s="1"/>
  <c r="D101" i="7"/>
  <c r="K101" i="7" s="1" a="1"/>
  <c r="K101" i="7" s="1"/>
  <c r="D100" i="7"/>
  <c r="K100" i="7" s="1" a="1"/>
  <c r="K100" i="7" s="1"/>
  <c r="D99" i="7"/>
  <c r="K99" i="7" s="1" a="1"/>
  <c r="K99" i="7" s="1"/>
  <c r="D98" i="7"/>
  <c r="K98" i="7" s="1" a="1"/>
  <c r="K98" i="7" s="1"/>
  <c r="D97" i="7"/>
  <c r="M97" i="7" s="1" a="1"/>
  <c r="M97" i="7" s="1"/>
  <c r="D96" i="7"/>
  <c r="K96" i="7" s="1" a="1"/>
  <c r="K96" i="7" s="1"/>
  <c r="D95" i="7"/>
  <c r="H95" i="7" s="1" a="1"/>
  <c r="H95" i="7" s="1"/>
  <c r="D94" i="7"/>
  <c r="L94" i="7" s="1" a="1"/>
  <c r="L94" i="7" s="1"/>
  <c r="D89" i="7"/>
  <c r="M89" i="7" s="1" a="1"/>
  <c r="M89" i="7" s="1"/>
  <c r="D88" i="7"/>
  <c r="K88" i="7" s="1" a="1"/>
  <c r="K88" i="7" s="1"/>
  <c r="D87" i="7"/>
  <c r="H87" i="7" s="1" a="1"/>
  <c r="H87" i="7" s="1"/>
  <c r="D86" i="7"/>
  <c r="L86" i="7" s="1" a="1"/>
  <c r="L86" i="7" s="1"/>
  <c r="D61" i="7"/>
  <c r="M61" i="7" s="1" a="1"/>
  <c r="M61" i="7" s="1"/>
  <c r="D60" i="7"/>
  <c r="K60" i="7" s="1" a="1"/>
  <c r="K60" i="7" s="1"/>
  <c r="D59" i="7"/>
  <c r="H59" i="7" s="1" a="1"/>
  <c r="H59" i="7" s="1"/>
  <c r="D58" i="7"/>
  <c r="L58" i="7" s="1" a="1"/>
  <c r="L58" i="7" s="1"/>
  <c r="D76" i="7"/>
  <c r="E76" i="7" s="1" a="1"/>
  <c r="E76" i="7" s="1"/>
  <c r="D75" i="7"/>
  <c r="M75" i="7" s="1" a="1"/>
  <c r="M75" i="7" s="1"/>
  <c r="D79" i="7"/>
  <c r="G79" i="7" s="1" a="1"/>
  <c r="G79" i="7" s="1"/>
  <c r="D78" i="7"/>
  <c r="G78" i="7" s="1" a="1"/>
  <c r="G78" i="7" s="1"/>
  <c r="D77" i="7"/>
  <c r="G77" i="7" s="1" a="1"/>
  <c r="G77" i="7" s="1"/>
  <c r="D74" i="7"/>
  <c r="J74" i="7" s="1" a="1"/>
  <c r="J74" i="7" s="1"/>
  <c r="D73" i="7"/>
  <c r="F73" i="7" s="1" a="1"/>
  <c r="F73" i="7" s="1"/>
  <c r="D72" i="7"/>
  <c r="M72" i="7" s="1" a="1"/>
  <c r="M72" i="7" s="1"/>
  <c r="D71" i="7"/>
  <c r="K71" i="7" s="1" a="1"/>
  <c r="K71" i="7" s="1"/>
  <c r="D70" i="7"/>
  <c r="F70" i="7" s="1" a="1"/>
  <c r="F70" i="7" s="1"/>
  <c r="D69" i="7"/>
  <c r="L69" i="7" s="1" a="1"/>
  <c r="L69" i="7" s="1"/>
  <c r="D68" i="7"/>
  <c r="I68" i="7" s="1" a="1"/>
  <c r="I68" i="7" s="1"/>
  <c r="D67" i="7"/>
  <c r="M67" i="7" s="1" a="1"/>
  <c r="M67" i="7" s="1"/>
  <c r="D66" i="7"/>
  <c r="J66" i="7" s="1" a="1"/>
  <c r="J66" i="7" s="1"/>
  <c r="D57" i="7"/>
  <c r="K57" i="7" s="1" a="1"/>
  <c r="K57" i="7" s="1"/>
  <c r="D56" i="7"/>
  <c r="H56" i="7" s="1" a="1"/>
  <c r="H56" i="7" s="1"/>
  <c r="D52" i="7"/>
  <c r="E52" i="7" s="1" a="1"/>
  <c r="E52" i="7" s="1"/>
  <c r="D53" i="7"/>
  <c r="G53" i="7" s="1" a="1"/>
  <c r="G53" i="7" s="1"/>
  <c r="D54" i="7"/>
  <c r="J54" i="7" s="1" a="1"/>
  <c r="J54" i="7" s="1"/>
  <c r="D55" i="7"/>
  <c r="F55" i="7" s="1" a="1"/>
  <c r="F55" i="7" s="1"/>
  <c r="D51" i="7"/>
  <c r="G51" i="7" s="1" a="1"/>
  <c r="G51" i="7" s="1"/>
  <c r="D44" i="7"/>
  <c r="D43" i="7"/>
  <c r="K43" i="7" s="1" a="1"/>
  <c r="K43" i="7" s="1"/>
  <c r="D38" i="7"/>
  <c r="F38" i="7" s="1" a="1"/>
  <c r="F38" i="7" s="1"/>
  <c r="D37" i="7"/>
  <c r="K37" i="7" s="1" a="1"/>
  <c r="K37" i="7" s="1"/>
  <c r="D32" i="7"/>
  <c r="M32" i="7" s="1" a="1"/>
  <c r="M32" i="7" s="1"/>
  <c r="D31" i="7"/>
  <c r="L31" i="7" s="1" a="1"/>
  <c r="L31" i="7" s="1"/>
  <c r="D4" i="6"/>
  <c r="O24" i="1" l="1"/>
  <c r="L24" i="1"/>
  <c r="K24" i="1"/>
  <c r="J24" i="1"/>
  <c r="P24" i="1"/>
  <c r="N24" i="1"/>
  <c r="I24" i="1"/>
  <c r="M24" i="1"/>
  <c r="M10" i="1"/>
  <c r="N10" i="1"/>
  <c r="O10" i="1"/>
  <c r="P10" i="1"/>
  <c r="I10" i="1"/>
  <c r="J10" i="1"/>
  <c r="K10" i="1"/>
  <c r="L10" i="1"/>
  <c r="M12" i="1"/>
  <c r="N12" i="1"/>
  <c r="O12" i="1"/>
  <c r="I12" i="1"/>
  <c r="J12" i="1"/>
  <c r="K12" i="1"/>
  <c r="L12" i="1"/>
  <c r="P12" i="1"/>
  <c r="P9" i="10"/>
  <c r="O9" i="10"/>
  <c r="N9" i="10"/>
  <c r="H9" i="10"/>
  <c r="J9" i="10"/>
  <c r="I9" i="10"/>
  <c r="K9" i="10"/>
  <c r="L9" i="10"/>
  <c r="M9" i="10"/>
  <c r="K10" i="10"/>
  <c r="H10" i="10"/>
  <c r="N10" i="10"/>
  <c r="N5" i="10"/>
  <c r="P5" i="10"/>
  <c r="O5" i="10"/>
  <c r="H5" i="10"/>
  <c r="M5" i="10"/>
  <c r="L5" i="10"/>
  <c r="K5" i="10"/>
  <c r="J5" i="10"/>
  <c r="I5" i="10"/>
  <c r="L11" i="10"/>
  <c r="K11" i="10"/>
  <c r="J11" i="10"/>
  <c r="I11" i="10"/>
  <c r="H11" i="10"/>
  <c r="P11" i="10"/>
  <c r="O11" i="10"/>
  <c r="N11" i="10"/>
  <c r="M11" i="10"/>
  <c r="L7" i="10"/>
  <c r="K7" i="10"/>
  <c r="H7" i="10"/>
  <c r="J7" i="10"/>
  <c r="I7" i="10"/>
  <c r="P7" i="10"/>
  <c r="O7" i="10"/>
  <c r="N7" i="10"/>
  <c r="M7" i="10"/>
  <c r="M77" i="9" a="1"/>
  <c r="M77" i="9" s="1"/>
  <c r="M72" i="9" a="1"/>
  <c r="M72" i="9" s="1"/>
  <c r="J79" i="9" a="1"/>
  <c r="J79" i="9" s="1"/>
  <c r="K79" i="9" a="1"/>
  <c r="K79" i="9" s="1"/>
  <c r="L79" i="9" a="1"/>
  <c r="L79" i="9" s="1"/>
  <c r="F70" i="9" a="1"/>
  <c r="F70" i="9" s="1"/>
  <c r="E76" i="9" a="1"/>
  <c r="E76" i="9" s="1"/>
  <c r="G70" i="9" a="1"/>
  <c r="G70" i="9" s="1"/>
  <c r="J76" i="9" a="1"/>
  <c r="J76" i="9" s="1"/>
  <c r="G57" i="9" a="1"/>
  <c r="G57" i="9" s="1"/>
  <c r="E60" i="9" a="1"/>
  <c r="E60" i="9" s="1"/>
  <c r="H57" i="9" a="1"/>
  <c r="H57" i="9" s="1"/>
  <c r="L57" i="9" a="1"/>
  <c r="L57" i="9" s="1"/>
  <c r="K61" i="9" a="1"/>
  <c r="K61" i="9" s="1"/>
  <c r="L54" i="9" a="1"/>
  <c r="L54" i="9" s="1"/>
  <c r="J58" i="9" a="1"/>
  <c r="J58" i="9" s="1"/>
  <c r="M61" i="9" a="1"/>
  <c r="M61" i="9" s="1"/>
  <c r="M54" i="9" a="1"/>
  <c r="M54" i="9" s="1"/>
  <c r="L58" i="9" a="1"/>
  <c r="L58" i="9" s="1"/>
  <c r="I33" i="9" a="1"/>
  <c r="I33" i="9" s="1"/>
  <c r="I24" i="9" a="1"/>
  <c r="I24" i="9" s="1"/>
  <c r="F12" i="9" a="1"/>
  <c r="F12" i="9" s="1"/>
  <c r="H11" i="9" a="1"/>
  <c r="H11" i="9" s="1"/>
  <c r="E12" i="9" a="1"/>
  <c r="E12" i="9" s="1"/>
  <c r="I7" i="9" a="1"/>
  <c r="I7" i="9" s="1"/>
  <c r="J7" i="9" a="1"/>
  <c r="J7" i="9" s="1"/>
  <c r="I12" i="9" a="1"/>
  <c r="I12" i="9" s="1"/>
  <c r="J10" i="9" a="1"/>
  <c r="J10" i="9" s="1"/>
  <c r="K12" i="9" a="1"/>
  <c r="K12" i="9" s="1"/>
  <c r="G7" i="9" a="1"/>
  <c r="G7" i="9" s="1"/>
  <c r="I10" i="9" a="1"/>
  <c r="I10" i="9" s="1"/>
  <c r="K7" i="9" a="1"/>
  <c r="K7" i="9" s="1"/>
  <c r="L7" i="9" a="1"/>
  <c r="L7" i="9" s="1"/>
  <c r="G11" i="9" a="1"/>
  <c r="G11" i="9" s="1"/>
  <c r="F88" i="9" a="1"/>
  <c r="F88" i="9" s="1"/>
  <c r="H18" i="9" a="1"/>
  <c r="H18" i="9" s="1"/>
  <c r="J25" i="9" a="1"/>
  <c r="J25" i="9" s="1"/>
  <c r="K44" i="9" a="1"/>
  <c r="K44" i="9" s="1"/>
  <c r="H52" i="9" a="1"/>
  <c r="H52" i="9" s="1"/>
  <c r="F59" i="9" a="1"/>
  <c r="F59" i="9" s="1"/>
  <c r="L61" i="9" a="1"/>
  <c r="L61" i="9" s="1"/>
  <c r="E75" i="9" a="1"/>
  <c r="E75" i="9" s="1"/>
  <c r="H78" i="9" a="1"/>
  <c r="H78" i="9" s="1"/>
  <c r="H100" i="9" a="1"/>
  <c r="H100" i="9" s="1"/>
  <c r="G52" i="9" a="1"/>
  <c r="G52" i="9" s="1"/>
  <c r="I78" i="9" a="1"/>
  <c r="I78" i="9" s="1"/>
  <c r="F73" i="9" a="1"/>
  <c r="F73" i="9" s="1"/>
  <c r="F77" i="9" a="1"/>
  <c r="F77" i="9" s="1"/>
  <c r="K9" i="9" a="1"/>
  <c r="K9" i="9" s="1"/>
  <c r="I38" i="9" a="1"/>
  <c r="I38" i="9" s="1"/>
  <c r="E45" i="9" a="1"/>
  <c r="E45" i="9" s="1"/>
  <c r="M52" i="9" a="1"/>
  <c r="M52" i="9" s="1"/>
  <c r="G56" i="9" a="1"/>
  <c r="G56" i="9" s="1"/>
  <c r="I59" i="9" a="1"/>
  <c r="I59" i="9" s="1"/>
  <c r="G68" i="9" a="1"/>
  <c r="G68" i="9" s="1"/>
  <c r="H70" i="9" a="1"/>
  <c r="H70" i="9" s="1"/>
  <c r="G73" i="9" a="1"/>
  <c r="G73" i="9" s="1"/>
  <c r="I75" i="9" a="1"/>
  <c r="I75" i="9" s="1"/>
  <c r="G77" i="9" a="1"/>
  <c r="G77" i="9" s="1"/>
  <c r="J78" i="9" a="1"/>
  <c r="J78" i="9" s="1"/>
  <c r="H80" i="9" a="1"/>
  <c r="H80" i="9" s="1"/>
  <c r="L88" i="9" a="1"/>
  <c r="L88" i="9" s="1"/>
  <c r="F101" i="9" a="1"/>
  <c r="F101" i="9" s="1"/>
  <c r="H38" i="9" a="1"/>
  <c r="H38" i="9" s="1"/>
  <c r="H62" i="9" a="1"/>
  <c r="H62" i="9" s="1"/>
  <c r="L22" i="9" a="1"/>
  <c r="L22" i="9" s="1"/>
  <c r="I32" i="9" a="1"/>
  <c r="I32" i="9" s="1"/>
  <c r="J38" i="9" a="1"/>
  <c r="J38" i="9" s="1"/>
  <c r="F45" i="9" a="1"/>
  <c r="F45" i="9" s="1"/>
  <c r="K56" i="9" a="1"/>
  <c r="K56" i="9" s="1"/>
  <c r="J59" i="9" a="1"/>
  <c r="J59" i="9" s="1"/>
  <c r="F61" i="9" a="1"/>
  <c r="F61" i="9" s="1"/>
  <c r="I62" i="9" a="1"/>
  <c r="I62" i="9" s="1"/>
  <c r="L70" i="9" a="1"/>
  <c r="L70" i="9" s="1"/>
  <c r="H73" i="9" a="1"/>
  <c r="H73" i="9" s="1"/>
  <c r="J75" i="9" a="1"/>
  <c r="J75" i="9" s="1"/>
  <c r="H77" i="9" a="1"/>
  <c r="H77" i="9" s="1"/>
  <c r="I80" i="9" a="1"/>
  <c r="I80" i="9" s="1"/>
  <c r="I97" i="9" a="1"/>
  <c r="I97" i="9" s="1"/>
  <c r="J101" i="9" a="1"/>
  <c r="J101" i="9" s="1"/>
  <c r="G80" i="9" a="1"/>
  <c r="G80" i="9" s="1"/>
  <c r="E61" i="9" a="1"/>
  <c r="E61" i="9" s="1"/>
  <c r="L56" i="9" a="1"/>
  <c r="L56" i="9" s="1"/>
  <c r="K59" i="9" a="1"/>
  <c r="K59" i="9" s="1"/>
  <c r="G61" i="9" a="1"/>
  <c r="G61" i="9" s="1"/>
  <c r="J62" i="9" a="1"/>
  <c r="J62" i="9" s="1"/>
  <c r="H68" i="9" a="1"/>
  <c r="H68" i="9" s="1"/>
  <c r="I73" i="9" a="1"/>
  <c r="I73" i="9" s="1"/>
  <c r="K75" i="9" a="1"/>
  <c r="K75" i="9" s="1"/>
  <c r="I77" i="9" a="1"/>
  <c r="I77" i="9" s="1"/>
  <c r="E79" i="9" a="1"/>
  <c r="E79" i="9" s="1"/>
  <c r="J80" i="9" a="1"/>
  <c r="J80" i="9" s="1"/>
  <c r="M88" i="9" a="1"/>
  <c r="M88" i="9" s="1"/>
  <c r="J97" i="9" a="1"/>
  <c r="J97" i="9" s="1"/>
  <c r="K101" i="9" a="1"/>
  <c r="K101" i="9" s="1"/>
  <c r="L44" i="9" a="1"/>
  <c r="L44" i="9" s="1"/>
  <c r="F75" i="9" a="1"/>
  <c r="F75" i="9" s="1"/>
  <c r="E77" i="9" a="1"/>
  <c r="E77" i="9" s="1"/>
  <c r="H59" i="9" a="1"/>
  <c r="H59" i="9" s="1"/>
  <c r="E7" i="9" a="1"/>
  <c r="E7" i="9" s="1"/>
  <c r="G8" i="9" a="1"/>
  <c r="G8" i="9" s="1"/>
  <c r="M38" i="9" a="1"/>
  <c r="M38" i="9" s="1"/>
  <c r="G45" i="9" a="1"/>
  <c r="G45" i="9" s="1"/>
  <c r="F54" i="9" a="1"/>
  <c r="F54" i="9" s="1"/>
  <c r="M56" i="9" a="1"/>
  <c r="M56" i="9" s="1"/>
  <c r="L59" i="9" a="1"/>
  <c r="L59" i="9" s="1"/>
  <c r="I68" i="9" a="1"/>
  <c r="I68" i="9" s="1"/>
  <c r="M70" i="9" a="1"/>
  <c r="M70" i="9" s="1"/>
  <c r="J73" i="9" a="1"/>
  <c r="J73" i="9" s="1"/>
  <c r="L75" i="9" a="1"/>
  <c r="L75" i="9" s="1"/>
  <c r="J77" i="9" a="1"/>
  <c r="J77" i="9" s="1"/>
  <c r="F79" i="9" a="1"/>
  <c r="F79" i="9" s="1"/>
  <c r="M80" i="9" a="1"/>
  <c r="M80" i="9" s="1"/>
  <c r="L97" i="9" a="1"/>
  <c r="L97" i="9" s="1"/>
  <c r="L101" i="9" a="1"/>
  <c r="L101" i="9" s="1"/>
  <c r="H25" i="9" a="1"/>
  <c r="H25" i="9" s="1"/>
  <c r="G38" i="9" a="1"/>
  <c r="G38" i="9" s="1"/>
  <c r="I52" i="9" a="1"/>
  <c r="I52" i="9" s="1"/>
  <c r="H88" i="9" a="1"/>
  <c r="H88" i="9" s="1"/>
  <c r="J9" i="9" a="1"/>
  <c r="J9" i="9" s="1"/>
  <c r="H75" i="9" a="1"/>
  <c r="H75" i="9" s="1"/>
  <c r="H8" i="9" a="1"/>
  <c r="H8" i="9" s="1"/>
  <c r="K10" i="9" a="1"/>
  <c r="K10" i="9" s="1"/>
  <c r="E24" i="9" a="1"/>
  <c r="E24" i="9" s="1"/>
  <c r="G33" i="9" a="1"/>
  <c r="G33" i="9" s="1"/>
  <c r="L45" i="9" a="1"/>
  <c r="L45" i="9" s="1"/>
  <c r="G54" i="9" a="1"/>
  <c r="G54" i="9" s="1"/>
  <c r="M59" i="9" a="1"/>
  <c r="M59" i="9" s="1"/>
  <c r="H61" i="9" a="1"/>
  <c r="H61" i="9" s="1"/>
  <c r="J68" i="9" a="1"/>
  <c r="J68" i="9" s="1"/>
  <c r="L73" i="9" a="1"/>
  <c r="L73" i="9" s="1"/>
  <c r="M75" i="9" a="1"/>
  <c r="M75" i="9" s="1"/>
  <c r="K77" i="9" a="1"/>
  <c r="K77" i="9" s="1"/>
  <c r="M97" i="9" a="1"/>
  <c r="M97" i="9" s="1"/>
  <c r="F44" i="9" a="1"/>
  <c r="F44" i="9" s="1"/>
  <c r="E59" i="9" a="1"/>
  <c r="E59" i="9" s="1"/>
  <c r="K25" i="9" a="1"/>
  <c r="K25" i="9" s="1"/>
  <c r="G88" i="9" a="1"/>
  <c r="G88" i="9" s="1"/>
  <c r="L25" i="9" a="1"/>
  <c r="L25" i="9" s="1"/>
  <c r="E101" i="9" a="1"/>
  <c r="E101" i="9" s="1"/>
  <c r="J52" i="9" a="1"/>
  <c r="J52" i="9" s="1"/>
  <c r="I88" i="9" a="1"/>
  <c r="I88" i="9" s="1"/>
  <c r="J8" i="9" a="1"/>
  <c r="J8" i="9" s="1"/>
  <c r="H54" i="9" a="1"/>
  <c r="H54" i="9" s="1"/>
  <c r="F57" i="9" a="1"/>
  <c r="F57" i="9" s="1"/>
  <c r="M68" i="9" a="1"/>
  <c r="M68" i="9" s="1"/>
  <c r="M73" i="9" a="1"/>
  <c r="M73" i="9" s="1"/>
  <c r="H89" i="9" a="1"/>
  <c r="H89" i="9" s="1"/>
  <c r="H21" i="9" a="1"/>
  <c r="H21" i="9" s="1"/>
  <c r="J24" i="9" a="1"/>
  <c r="J24" i="9" s="1"/>
  <c r="M25" i="9" a="1"/>
  <c r="M25" i="9" s="1"/>
  <c r="E23" i="9" a="1"/>
  <c r="E23" i="9" s="1"/>
  <c r="F23" i="9" a="1"/>
  <c r="F23" i="9" s="1"/>
  <c r="I21" i="9" a="1"/>
  <c r="I21" i="9" s="1"/>
  <c r="G23" i="9" a="1"/>
  <c r="G23" i="9" s="1"/>
  <c r="F21" i="9" a="1"/>
  <c r="F21" i="9" s="1"/>
  <c r="G21" i="9" a="1"/>
  <c r="G21" i="9" s="1"/>
  <c r="H23" i="9" a="1"/>
  <c r="H23" i="9" s="1"/>
  <c r="J21" i="9" a="1"/>
  <c r="J21" i="9" s="1"/>
  <c r="E25" i="9" a="1"/>
  <c r="E25" i="9" s="1"/>
  <c r="F18" i="9" a="1"/>
  <c r="F18" i="9" s="1"/>
  <c r="L21" i="9" a="1"/>
  <c r="L21" i="9" s="1"/>
  <c r="I23" i="9" a="1"/>
  <c r="I23" i="9" s="1"/>
  <c r="F25" i="9" a="1"/>
  <c r="F25" i="9" s="1"/>
  <c r="M21" i="9" a="1"/>
  <c r="M21" i="9" s="1"/>
  <c r="K23" i="9" a="1"/>
  <c r="K23" i="9" s="1"/>
  <c r="L23" i="9" a="1"/>
  <c r="L23" i="9" s="1"/>
  <c r="G25" i="9" a="1"/>
  <c r="G25" i="9" s="1"/>
  <c r="K22" i="9" a="1"/>
  <c r="K22" i="9" s="1"/>
  <c r="M23" i="9" a="1"/>
  <c r="M23" i="9" s="1"/>
  <c r="M99" i="9" a="1"/>
  <c r="M99" i="9" s="1"/>
  <c r="H99" i="9" a="1"/>
  <c r="H99" i="9" s="1"/>
  <c r="K99" i="9" a="1"/>
  <c r="K99" i="9" s="1"/>
  <c r="I99" i="9" a="1"/>
  <c r="I99" i="9" s="1"/>
  <c r="L99" i="9" a="1"/>
  <c r="L99" i="9" s="1"/>
  <c r="G95" i="9" a="1"/>
  <c r="G95" i="9" s="1"/>
  <c r="H95" i="9" a="1"/>
  <c r="H95" i="9" s="1"/>
  <c r="K97" i="9" a="1"/>
  <c r="K97" i="9" s="1"/>
  <c r="J99" i="9" a="1"/>
  <c r="J99" i="9" s="1"/>
  <c r="J95" i="9" a="1"/>
  <c r="J95" i="9" s="1"/>
  <c r="G102" i="9" a="1"/>
  <c r="G102" i="9" s="1"/>
  <c r="E97" i="9" a="1"/>
  <c r="E97" i="9" s="1"/>
  <c r="E99" i="9" a="1"/>
  <c r="E99" i="9" s="1"/>
  <c r="H102" i="9" a="1"/>
  <c r="H102" i="9" s="1"/>
  <c r="F97" i="9" a="1"/>
  <c r="F97" i="9" s="1"/>
  <c r="F99" i="9" a="1"/>
  <c r="F99" i="9" s="1"/>
  <c r="I100" i="9" a="1"/>
  <c r="I100" i="9" s="1"/>
  <c r="M102" i="9" a="1"/>
  <c r="M102" i="9" s="1"/>
  <c r="I95" i="9" a="1"/>
  <c r="I95" i="9" s="1"/>
  <c r="M95" i="9" a="1"/>
  <c r="M95" i="9" s="1"/>
  <c r="G97" i="9" a="1"/>
  <c r="G97" i="9" s="1"/>
  <c r="E19" i="9" a="1"/>
  <c r="E19" i="9" s="1"/>
  <c r="F20" i="9" a="1"/>
  <c r="F20" i="9" s="1"/>
  <c r="H19" i="9" a="1"/>
  <c r="H19" i="9" s="1"/>
  <c r="M12" i="9" a="1"/>
  <c r="M12" i="9" s="1"/>
  <c r="G12" i="9" a="1"/>
  <c r="G12" i="9" s="1"/>
  <c r="J18" i="9" a="1"/>
  <c r="J18" i="9" s="1"/>
  <c r="I18" i="9" a="1"/>
  <c r="I18" i="9" s="1"/>
  <c r="K18" i="9" a="1"/>
  <c r="K18" i="9" s="1"/>
  <c r="E18" i="9" a="1"/>
  <c r="E18" i="9" s="1"/>
  <c r="M18" i="9" a="1"/>
  <c r="M18" i="9" s="1"/>
  <c r="L20" i="9" a="1"/>
  <c r="L20" i="9" s="1"/>
  <c r="F33" i="9" a="1"/>
  <c r="F33" i="9" s="1"/>
  <c r="L39" i="9" a="1"/>
  <c r="L39" i="9" s="1"/>
  <c r="M98" i="9" a="1"/>
  <c r="M98" i="9" s="1"/>
  <c r="G98" i="9" a="1"/>
  <c r="G98" i="9" s="1"/>
  <c r="L98" i="9" a="1"/>
  <c r="L98" i="9" s="1"/>
  <c r="F98" i="9" a="1"/>
  <c r="F98" i="9" s="1"/>
  <c r="K98" i="9" a="1"/>
  <c r="K98" i="9" s="1"/>
  <c r="E98" i="9" a="1"/>
  <c r="E98" i="9" s="1"/>
  <c r="I98" i="9" a="1"/>
  <c r="I98" i="9" s="1"/>
  <c r="H98" i="9" a="1"/>
  <c r="H98" i="9" s="1"/>
  <c r="L19" i="9" a="1"/>
  <c r="L19" i="9" s="1"/>
  <c r="F19" i="9" a="1"/>
  <c r="F19" i="9" s="1"/>
  <c r="E39" i="9" a="1"/>
  <c r="E39" i="9" s="1"/>
  <c r="L55" i="9" a="1"/>
  <c r="L55" i="9" s="1"/>
  <c r="F55" i="9" a="1"/>
  <c r="F55" i="9" s="1"/>
  <c r="K55" i="9" a="1"/>
  <c r="K55" i="9" s="1"/>
  <c r="E55" i="9" a="1"/>
  <c r="E55" i="9" s="1"/>
  <c r="M55" i="9" a="1"/>
  <c r="M55" i="9" s="1"/>
  <c r="G55" i="9" a="1"/>
  <c r="G55" i="9" s="1"/>
  <c r="E74" i="9" a="1"/>
  <c r="E74" i="9" s="1"/>
  <c r="E87" i="9" a="1"/>
  <c r="E87" i="9" s="1"/>
  <c r="I90" i="9" a="1"/>
  <c r="I90" i="9" s="1"/>
  <c r="H90" i="9" a="1"/>
  <c r="H90" i="9" s="1"/>
  <c r="M90" i="9" a="1"/>
  <c r="M90" i="9" s="1"/>
  <c r="G90" i="9" a="1"/>
  <c r="G90" i="9" s="1"/>
  <c r="K90" i="9" a="1"/>
  <c r="K90" i="9" s="1"/>
  <c r="E90" i="9" a="1"/>
  <c r="E90" i="9" s="1"/>
  <c r="J90" i="9" a="1"/>
  <c r="J90" i="9" s="1"/>
  <c r="F39" i="9" a="1"/>
  <c r="F39" i="9" s="1"/>
  <c r="E69" i="9" a="1"/>
  <c r="E69" i="9" s="1"/>
  <c r="H39" i="9" a="1"/>
  <c r="H39" i="9" s="1"/>
  <c r="M53" i="9" a="1"/>
  <c r="M53" i="9" s="1"/>
  <c r="G53" i="9" a="1"/>
  <c r="G53" i="9" s="1"/>
  <c r="L53" i="9" a="1"/>
  <c r="L53" i="9" s="1"/>
  <c r="F53" i="9" a="1"/>
  <c r="F53" i="9" s="1"/>
  <c r="H53" i="9" a="1"/>
  <c r="H53" i="9" s="1"/>
  <c r="I55" i="9" a="1"/>
  <c r="I55" i="9" s="1"/>
  <c r="I72" i="9" a="1"/>
  <c r="I72" i="9" s="1"/>
  <c r="H72" i="9" a="1"/>
  <c r="H72" i="9" s="1"/>
  <c r="K72" i="9" a="1"/>
  <c r="K72" i="9" s="1"/>
  <c r="E72" i="9" a="1"/>
  <c r="E72" i="9" s="1"/>
  <c r="J72" i="9" a="1"/>
  <c r="J72" i="9" s="1"/>
  <c r="J87" i="9" a="1"/>
  <c r="J87" i="9" s="1"/>
  <c r="F90" i="9" a="1"/>
  <c r="F90" i="9" s="1"/>
  <c r="H55" i="9" a="1"/>
  <c r="H55" i="9" s="1"/>
  <c r="L10" i="9" a="1"/>
  <c r="L10" i="9" s="1"/>
  <c r="G20" i="9" a="1"/>
  <c r="G20" i="9" s="1"/>
  <c r="E53" i="9" a="1"/>
  <c r="E53" i="9" s="1"/>
  <c r="I69" i="9" a="1"/>
  <c r="I69" i="9" s="1"/>
  <c r="H96" i="9" a="1"/>
  <c r="H96" i="9" s="1"/>
  <c r="M96" i="9" a="1"/>
  <c r="M96" i="9" s="1"/>
  <c r="G96" i="9" a="1"/>
  <c r="G96" i="9" s="1"/>
  <c r="L96" i="9" a="1"/>
  <c r="L96" i="9" s="1"/>
  <c r="F96" i="9" a="1"/>
  <c r="F96" i="9" s="1"/>
  <c r="J96" i="9" a="1"/>
  <c r="J96" i="9" s="1"/>
  <c r="I96" i="9" a="1"/>
  <c r="I96" i="9" s="1"/>
  <c r="M103" i="9" a="1"/>
  <c r="M103" i="9" s="1"/>
  <c r="G103" i="9" a="1"/>
  <c r="G103" i="9" s="1"/>
  <c r="L103" i="9" a="1"/>
  <c r="L103" i="9" s="1"/>
  <c r="F103" i="9" a="1"/>
  <c r="F103" i="9" s="1"/>
  <c r="H103" i="9" a="1"/>
  <c r="H103" i="9" s="1"/>
  <c r="E10" i="9" a="1"/>
  <c r="E10" i="9" s="1"/>
  <c r="J12" i="9" a="1"/>
  <c r="J12" i="9" s="1"/>
  <c r="I19" i="9" a="1"/>
  <c r="I19" i="9" s="1"/>
  <c r="M24" i="9" a="1"/>
  <c r="M24" i="9" s="1"/>
  <c r="G24" i="9" a="1"/>
  <c r="G24" i="9" s="1"/>
  <c r="L24" i="9" a="1"/>
  <c r="L24" i="9" s="1"/>
  <c r="F24" i="9" a="1"/>
  <c r="F24" i="9" s="1"/>
  <c r="H24" i="9" a="1"/>
  <c r="H24" i="9" s="1"/>
  <c r="J55" i="9" a="1"/>
  <c r="J55" i="9" s="1"/>
  <c r="F72" i="9" a="1"/>
  <c r="F72" i="9" s="1"/>
  <c r="K74" i="9" a="1"/>
  <c r="K74" i="9" s="1"/>
  <c r="E96" i="9" a="1"/>
  <c r="E96" i="9" s="1"/>
  <c r="E103" i="9" a="1"/>
  <c r="E103" i="9" s="1"/>
  <c r="M87" i="9" a="1"/>
  <c r="M87" i="9" s="1"/>
  <c r="G87" i="9" a="1"/>
  <c r="G87" i="9" s="1"/>
  <c r="L87" i="9" a="1"/>
  <c r="L87" i="9" s="1"/>
  <c r="F87" i="9" a="1"/>
  <c r="F87" i="9" s="1"/>
  <c r="H87" i="9" a="1"/>
  <c r="H87" i="9" s="1"/>
  <c r="H22" i="9" a="1"/>
  <c r="H22" i="9" s="1"/>
  <c r="M22" i="9" a="1"/>
  <c r="M22" i="9" s="1"/>
  <c r="G22" i="9" a="1"/>
  <c r="G22" i="9" s="1"/>
  <c r="I22" i="9" a="1"/>
  <c r="I22" i="9" s="1"/>
  <c r="I87" i="9" a="1"/>
  <c r="I87" i="9" s="1"/>
  <c r="E22" i="9" a="1"/>
  <c r="E22" i="9" s="1"/>
  <c r="E9" i="9" a="1"/>
  <c r="E9" i="9" s="1"/>
  <c r="I53" i="9" a="1"/>
  <c r="I53" i="9" s="1"/>
  <c r="I103" i="9" a="1"/>
  <c r="I103" i="9" s="1"/>
  <c r="M39" i="9" a="1"/>
  <c r="M39" i="9" s="1"/>
  <c r="G39" i="9" a="1"/>
  <c r="G39" i="9" s="1"/>
  <c r="H74" i="9" a="1"/>
  <c r="H74" i="9" s="1"/>
  <c r="M74" i="9" a="1"/>
  <c r="M74" i="9" s="1"/>
  <c r="G74" i="9" a="1"/>
  <c r="G74" i="9" s="1"/>
  <c r="J74" i="9" a="1"/>
  <c r="J74" i="9" s="1"/>
  <c r="I74" i="9" a="1"/>
  <c r="I74" i="9" s="1"/>
  <c r="M69" i="9" a="1"/>
  <c r="M69" i="9" s="1"/>
  <c r="G69" i="9" a="1"/>
  <c r="G69" i="9" s="1"/>
  <c r="L69" i="9" a="1"/>
  <c r="L69" i="9" s="1"/>
  <c r="F69" i="9" a="1"/>
  <c r="F69" i="9" s="1"/>
  <c r="H69" i="9" a="1"/>
  <c r="H69" i="9" s="1"/>
  <c r="M10" i="9" a="1"/>
  <c r="M10" i="9" s="1"/>
  <c r="F10" i="9" a="1"/>
  <c r="F10" i="9" s="1"/>
  <c r="J19" i="9" a="1"/>
  <c r="J19" i="9" s="1"/>
  <c r="I56" i="9" a="1"/>
  <c r="I56" i="9" s="1"/>
  <c r="H56" i="9" a="1"/>
  <c r="H56" i="9" s="1"/>
  <c r="J56" i="9" a="1"/>
  <c r="J56" i="9" s="1"/>
  <c r="H58" i="9" a="1"/>
  <c r="H58" i="9" s="1"/>
  <c r="M58" i="9" a="1"/>
  <c r="M58" i="9" s="1"/>
  <c r="G58" i="9" a="1"/>
  <c r="G58" i="9" s="1"/>
  <c r="I58" i="9" a="1"/>
  <c r="I58" i="9" s="1"/>
  <c r="K69" i="9" a="1"/>
  <c r="K69" i="9" s="1"/>
  <c r="G72" i="9" a="1"/>
  <c r="G72" i="9" s="1"/>
  <c r="L74" i="9" a="1"/>
  <c r="L74" i="9" s="1"/>
  <c r="L90" i="9" a="1"/>
  <c r="L90" i="9" s="1"/>
  <c r="J103" i="9" a="1"/>
  <c r="J103" i="9" s="1"/>
  <c r="I20" i="9" a="1"/>
  <c r="I20" i="9" s="1"/>
  <c r="H20" i="9" a="1"/>
  <c r="H20" i="9" s="1"/>
  <c r="J20" i="9" a="1"/>
  <c r="J20" i="9" s="1"/>
  <c r="M7" i="9" a="1"/>
  <c r="M7" i="9" s="1"/>
  <c r="H7" i="9" a="1"/>
  <c r="H7" i="9" s="1"/>
  <c r="L18" i="9" a="1"/>
  <c r="L18" i="9" s="1"/>
  <c r="K20" i="9" a="1"/>
  <c r="K20" i="9" s="1"/>
  <c r="L32" i="9" a="1"/>
  <c r="L32" i="9" s="1"/>
  <c r="F32" i="9" a="1"/>
  <c r="F32" i="9" s="1"/>
  <c r="K32" i="9" a="1"/>
  <c r="K32" i="9" s="1"/>
  <c r="E32" i="9" a="1"/>
  <c r="E32" i="9" s="1"/>
  <c r="M32" i="9" a="1"/>
  <c r="M32" i="9" s="1"/>
  <c r="G32" i="9" a="1"/>
  <c r="G32" i="9" s="1"/>
  <c r="E33" i="9" a="1"/>
  <c r="E33" i="9" s="1"/>
  <c r="M33" i="9" a="1"/>
  <c r="M33" i="9" s="1"/>
  <c r="K39" i="9" a="1"/>
  <c r="K39" i="9" s="1"/>
  <c r="J53" i="9" a="1"/>
  <c r="J53" i="9" s="1"/>
  <c r="E56" i="9" a="1"/>
  <c r="E56" i="9" s="1"/>
  <c r="E58" i="9" a="1"/>
  <c r="E58" i="9" s="1"/>
  <c r="M60" i="9" a="1"/>
  <c r="M60" i="9" s="1"/>
  <c r="G60" i="9" a="1"/>
  <c r="G60" i="9" s="1"/>
  <c r="L60" i="9" a="1"/>
  <c r="L60" i="9" s="1"/>
  <c r="F60" i="9" a="1"/>
  <c r="F60" i="9" s="1"/>
  <c r="H60" i="9" a="1"/>
  <c r="H60" i="9" s="1"/>
  <c r="E20" i="9" a="1"/>
  <c r="E20" i="9" s="1"/>
  <c r="G19" i="9" a="1"/>
  <c r="G19" i="9" s="1"/>
  <c r="L9" i="9" a="1"/>
  <c r="L9" i="9" s="1"/>
  <c r="F9" i="9" a="1"/>
  <c r="F9" i="9" s="1"/>
  <c r="M9" i="9" a="1"/>
  <c r="M9" i="9" s="1"/>
  <c r="G9" i="9" a="1"/>
  <c r="G9" i="9" s="1"/>
  <c r="I9" i="9" a="1"/>
  <c r="I9" i="9" s="1"/>
  <c r="G10" i="9" a="1"/>
  <c r="G10" i="9" s="1"/>
  <c r="L12" i="9" a="1"/>
  <c r="L12" i="9" s="1"/>
  <c r="K19" i="9" a="1"/>
  <c r="K19" i="9" s="1"/>
  <c r="J22" i="9" a="1"/>
  <c r="J22" i="9" s="1"/>
  <c r="L71" i="9" a="1"/>
  <c r="L71" i="9" s="1"/>
  <c r="F71" i="9" a="1"/>
  <c r="F71" i="9" s="1"/>
  <c r="K71" i="9" a="1"/>
  <c r="K71" i="9" s="1"/>
  <c r="E71" i="9" a="1"/>
  <c r="E71" i="9" s="1"/>
  <c r="M71" i="9" a="1"/>
  <c r="M71" i="9" s="1"/>
  <c r="G71" i="9" a="1"/>
  <c r="G71" i="9" s="1"/>
  <c r="M76" i="9" a="1"/>
  <c r="M76" i="9" s="1"/>
  <c r="G76" i="9" a="1"/>
  <c r="G76" i="9" s="1"/>
  <c r="L76" i="9" a="1"/>
  <c r="L76" i="9" s="1"/>
  <c r="F76" i="9" a="1"/>
  <c r="F76" i="9" s="1"/>
  <c r="I76" i="9" a="1"/>
  <c r="I76" i="9" s="1"/>
  <c r="H76" i="9" a="1"/>
  <c r="H76" i="9" s="1"/>
  <c r="K96" i="9" a="1"/>
  <c r="K96" i="9" s="1"/>
  <c r="K103" i="9" a="1"/>
  <c r="K103" i="9" s="1"/>
  <c r="I67" i="9" a="1"/>
  <c r="I67" i="9" s="1"/>
  <c r="I79" i="9" a="1"/>
  <c r="I79" i="9" s="1"/>
  <c r="G89" i="9" a="1"/>
  <c r="G89" i="9" s="1"/>
  <c r="M89" i="9" a="1"/>
  <c r="M89" i="9" s="1"/>
  <c r="F95" i="9" a="1"/>
  <c r="F95" i="9" s="1"/>
  <c r="L95" i="9" a="1"/>
  <c r="L95" i="9" s="1"/>
  <c r="I101" i="9" a="1"/>
  <c r="I101" i="9" s="1"/>
  <c r="F11" i="9" a="1"/>
  <c r="F11" i="9" s="1"/>
  <c r="L11" i="9" a="1"/>
  <c r="L11" i="9" s="1"/>
  <c r="F38" i="9" a="1"/>
  <c r="F38" i="9" s="1"/>
  <c r="L38" i="9" a="1"/>
  <c r="L38" i="9" s="1"/>
  <c r="E44" i="9" a="1"/>
  <c r="E44" i="9" s="1"/>
  <c r="F52" i="9" a="1"/>
  <c r="F52" i="9" s="1"/>
  <c r="L52" i="9" a="1"/>
  <c r="L52" i="9" s="1"/>
  <c r="E54" i="9" a="1"/>
  <c r="E54" i="9" s="1"/>
  <c r="K54" i="9" a="1"/>
  <c r="K54" i="9" s="1"/>
  <c r="G62" i="9" a="1"/>
  <c r="G62" i="9" s="1"/>
  <c r="M62" i="9" a="1"/>
  <c r="M62" i="9" s="1"/>
  <c r="F68" i="9" a="1"/>
  <c r="F68" i="9" s="1"/>
  <c r="L68" i="9" a="1"/>
  <c r="L68" i="9" s="1"/>
  <c r="E70" i="9" a="1"/>
  <c r="E70" i="9" s="1"/>
  <c r="K70" i="9" a="1"/>
  <c r="K70" i="9" s="1"/>
  <c r="G78" i="9" a="1"/>
  <c r="G78" i="9" s="1"/>
  <c r="M78" i="9" a="1"/>
  <c r="M78" i="9" s="1"/>
  <c r="F80" i="9" a="1"/>
  <c r="F80" i="9" s="1"/>
  <c r="L80" i="9" a="1"/>
  <c r="L80" i="9" s="1"/>
  <c r="E88" i="9" a="1"/>
  <c r="E88" i="9" s="1"/>
  <c r="K88" i="9" a="1"/>
  <c r="K88" i="9" s="1"/>
  <c r="G100" i="9" a="1"/>
  <c r="G100" i="9" s="1"/>
  <c r="M100" i="9" a="1"/>
  <c r="M100" i="9" s="1"/>
  <c r="F102" i="9" a="1"/>
  <c r="F102" i="9" s="1"/>
  <c r="L102" i="9" a="1"/>
  <c r="L102" i="9" s="1"/>
  <c r="J100" i="9" a="1"/>
  <c r="J100" i="9" s="1"/>
  <c r="I102" i="9" a="1"/>
  <c r="I102" i="9" s="1"/>
  <c r="G67" i="9" a="1"/>
  <c r="G67" i="9" s="1"/>
  <c r="M67" i="9" a="1"/>
  <c r="M67" i="9" s="1"/>
  <c r="G79" i="9" a="1"/>
  <c r="G79" i="9" s="1"/>
  <c r="M79" i="9" a="1"/>
  <c r="M79" i="9" s="1"/>
  <c r="E89" i="9" a="1"/>
  <c r="E89" i="9" s="1"/>
  <c r="K89" i="9" a="1"/>
  <c r="K89" i="9" s="1"/>
  <c r="G101" i="9" a="1"/>
  <c r="G101" i="9" s="1"/>
  <c r="M101" i="9" a="1"/>
  <c r="M101" i="9" s="1"/>
  <c r="I54" i="9" a="1"/>
  <c r="I54" i="9" s="1"/>
  <c r="E62" i="9" a="1"/>
  <c r="E62" i="9" s="1"/>
  <c r="K62" i="9" a="1"/>
  <c r="K62" i="9" s="1"/>
  <c r="I70" i="9" a="1"/>
  <c r="I70" i="9" s="1"/>
  <c r="E78" i="9" a="1"/>
  <c r="E78" i="9" s="1"/>
  <c r="K78" i="9" a="1"/>
  <c r="K78" i="9" s="1"/>
  <c r="E100" i="9" a="1"/>
  <c r="E100" i="9" s="1"/>
  <c r="K100" i="9" a="1"/>
  <c r="K100" i="9" s="1"/>
  <c r="J102" i="9" a="1"/>
  <c r="J102" i="9" s="1"/>
  <c r="E21" i="9" a="1"/>
  <c r="E21" i="9" s="1"/>
  <c r="E57" i="9" a="1"/>
  <c r="E57" i="9" s="1"/>
  <c r="E73" i="9" a="1"/>
  <c r="E73" i="9" s="1"/>
  <c r="F89" i="9" a="1"/>
  <c r="F89" i="9" s="1"/>
  <c r="E95" i="9" a="1"/>
  <c r="E95" i="9" s="1"/>
  <c r="E11" i="9" a="1"/>
  <c r="E11" i="9" s="1"/>
  <c r="E38" i="9" a="1"/>
  <c r="E38" i="9" s="1"/>
  <c r="E52" i="9" a="1"/>
  <c r="E52" i="9" s="1"/>
  <c r="F62" i="9" a="1"/>
  <c r="F62" i="9" s="1"/>
  <c r="E68" i="9" a="1"/>
  <c r="E68" i="9" s="1"/>
  <c r="F78" i="9" a="1"/>
  <c r="F78" i="9" s="1"/>
  <c r="E80" i="9" a="1"/>
  <c r="E80" i="9" s="1"/>
  <c r="F100" i="9" a="1"/>
  <c r="F100" i="9" s="1"/>
  <c r="E102" i="9" a="1"/>
  <c r="E102" i="9" s="1"/>
  <c r="H12" i="7" a="1"/>
  <c r="H12" i="7" s="1"/>
  <c r="I12" i="7" a="1"/>
  <c r="I12" i="7" s="1"/>
  <c r="J12" i="7" a="1"/>
  <c r="J12" i="7" s="1"/>
  <c r="G11" i="7" a="1"/>
  <c r="G11" i="7" s="1"/>
  <c r="F11" i="7" a="1"/>
  <c r="F11" i="7" s="1"/>
  <c r="H11" i="7" a="1"/>
  <c r="H11" i="7" s="1"/>
  <c r="M11" i="7" a="1"/>
  <c r="M11" i="7" s="1"/>
  <c r="L11" i="7" a="1"/>
  <c r="L11" i="7" s="1"/>
  <c r="I11" i="7" a="1"/>
  <c r="I11" i="7" s="1"/>
  <c r="G9" i="7" a="1"/>
  <c r="G9" i="7" s="1"/>
  <c r="F9" i="7" a="1"/>
  <c r="F9" i="7" s="1"/>
  <c r="H9" i="7" a="1"/>
  <c r="H9" i="7" s="1"/>
  <c r="I9" i="7" a="1"/>
  <c r="I9" i="7" s="1"/>
  <c r="L9" i="7" a="1"/>
  <c r="L9" i="7" s="1"/>
  <c r="M9" i="7" a="1"/>
  <c r="M9" i="7" s="1"/>
  <c r="K12" i="7" a="1"/>
  <c r="K12" i="7" s="1"/>
  <c r="F12" i="7" a="1"/>
  <c r="F12" i="7" s="1"/>
  <c r="L12" i="7" a="1"/>
  <c r="L12" i="7" s="1"/>
  <c r="E12" i="7" a="1"/>
  <c r="E12" i="7" s="1"/>
  <c r="J11" i="7" a="1"/>
  <c r="J11" i="7" s="1"/>
  <c r="G12" i="7" a="1"/>
  <c r="G12" i="7" s="1"/>
  <c r="E11" i="7" a="1"/>
  <c r="E11" i="7" s="1"/>
  <c r="G7" i="7" a="1"/>
  <c r="G7" i="7" s="1"/>
  <c r="H7" i="7" a="1"/>
  <c r="H7" i="7" s="1"/>
  <c r="I7" i="7" a="1"/>
  <c r="I7" i="7" s="1"/>
  <c r="J7" i="7" a="1"/>
  <c r="J7" i="7" s="1"/>
  <c r="M7" i="7" a="1"/>
  <c r="M7" i="7" s="1"/>
  <c r="E10" i="7" a="1"/>
  <c r="E10" i="7" s="1"/>
  <c r="H10" i="7" a="1"/>
  <c r="H10" i="7" s="1"/>
  <c r="I8" i="7" a="1"/>
  <c r="I8" i="7" s="1"/>
  <c r="I10" i="7" a="1"/>
  <c r="I10" i="7" s="1"/>
  <c r="J10" i="7" a="1"/>
  <c r="J10" i="7" s="1"/>
  <c r="J8" i="7" a="1"/>
  <c r="J8" i="7" s="1"/>
  <c r="E8" i="7" a="1"/>
  <c r="E8" i="7" s="1"/>
  <c r="K8" i="7" a="1"/>
  <c r="K8" i="7" s="1"/>
  <c r="F8" i="7" a="1"/>
  <c r="F8" i="7" s="1"/>
  <c r="L8" i="7" a="1"/>
  <c r="L8" i="7" s="1"/>
  <c r="K10" i="7" a="1"/>
  <c r="K10" i="7" s="1"/>
  <c r="G8" i="7" a="1"/>
  <c r="G8" i="7" s="1"/>
  <c r="M8" i="7" a="1"/>
  <c r="M8" i="7" s="1"/>
  <c r="F10" i="7" a="1"/>
  <c r="F10" i="7" s="1"/>
  <c r="L10" i="7" a="1"/>
  <c r="L10" i="7" s="1"/>
  <c r="E7" i="7" a="1"/>
  <c r="E7" i="7" s="1"/>
  <c r="K7" i="7" a="1"/>
  <c r="K7" i="7" s="1"/>
  <c r="J9" i="7" a="1"/>
  <c r="J9" i="7" s="1"/>
  <c r="G10" i="7" a="1"/>
  <c r="G10" i="7" s="1"/>
  <c r="F7" i="7" a="1"/>
  <c r="F7" i="7" s="1"/>
  <c r="E9" i="7" a="1"/>
  <c r="E9" i="7" s="1"/>
  <c r="F52" i="7" a="1"/>
  <c r="F52" i="7" s="1"/>
  <c r="G20" i="7" a="1"/>
  <c r="G20" i="7" s="1"/>
  <c r="H20" i="7" a="1"/>
  <c r="H20" i="7" s="1"/>
  <c r="L20" i="7" a="1"/>
  <c r="L20" i="7" s="1"/>
  <c r="M20" i="7" a="1"/>
  <c r="M20" i="7" s="1"/>
  <c r="H24" i="7" a="1"/>
  <c r="H24" i="7" s="1"/>
  <c r="I24" i="7" a="1"/>
  <c r="I24" i="7" s="1"/>
  <c r="M24" i="7" a="1"/>
  <c r="M24" i="7" s="1"/>
  <c r="E22" i="7" a="1"/>
  <c r="E22" i="7" s="1"/>
  <c r="H22" i="7" a="1"/>
  <c r="H22" i="7" s="1"/>
  <c r="I22" i="7" a="1"/>
  <c r="I22" i="7" s="1"/>
  <c r="J22" i="7" a="1"/>
  <c r="J22" i="7" s="1"/>
  <c r="K22" i="7" a="1"/>
  <c r="K22" i="7" s="1"/>
  <c r="F20" i="7" a="1"/>
  <c r="F20" i="7" s="1"/>
  <c r="F18" i="7" a="1"/>
  <c r="F18" i="7" s="1"/>
  <c r="L18" i="7" a="1"/>
  <c r="L18" i="7" s="1"/>
  <c r="E18" i="7" a="1"/>
  <c r="E18" i="7" s="1"/>
  <c r="I18" i="7" a="1"/>
  <c r="I18" i="7" s="1"/>
  <c r="K18" i="7" a="1"/>
  <c r="K18" i="7" s="1"/>
  <c r="G24" i="7" a="1"/>
  <c r="G24" i="7" s="1"/>
  <c r="E21" i="7" a="1"/>
  <c r="E21" i="7" s="1"/>
  <c r="J21" i="7" a="1"/>
  <c r="J21" i="7" s="1"/>
  <c r="I21" i="7" a="1"/>
  <c r="I21" i="7" s="1"/>
  <c r="H21" i="7" a="1"/>
  <c r="H21" i="7" s="1"/>
  <c r="M19" i="7" a="1"/>
  <c r="M19" i="7" s="1"/>
  <c r="H17" i="7" a="1"/>
  <c r="H17" i="7" s="1"/>
  <c r="F23" i="7" a="1"/>
  <c r="F23" i="7" s="1"/>
  <c r="M23" i="7" a="1"/>
  <c r="M23" i="7" s="1"/>
  <c r="L23" i="7" a="1"/>
  <c r="L23" i="7" s="1"/>
  <c r="J18" i="7" a="1"/>
  <c r="J18" i="7" s="1"/>
  <c r="G19" i="7" a="1"/>
  <c r="G19" i="7" s="1"/>
  <c r="K21" i="7" a="1"/>
  <c r="K21" i="7" s="1"/>
  <c r="J24" i="7" a="1"/>
  <c r="J24" i="7" s="1"/>
  <c r="I20" i="7" a="1"/>
  <c r="I20" i="7" s="1"/>
  <c r="G18" i="7" a="1"/>
  <c r="G18" i="7" s="1"/>
  <c r="M18" i="7" a="1"/>
  <c r="M18" i="7" s="1"/>
  <c r="F22" i="7" a="1"/>
  <c r="F22" i="7" s="1"/>
  <c r="L22" i="7" a="1"/>
  <c r="L22" i="7" s="1"/>
  <c r="F19" i="7" a="1"/>
  <c r="F19" i="7" s="1"/>
  <c r="H19" i="7" a="1"/>
  <c r="H19" i="7" s="1"/>
  <c r="E24" i="7" a="1"/>
  <c r="E24" i="7" s="1"/>
  <c r="K24" i="7" a="1"/>
  <c r="K24" i="7" s="1"/>
  <c r="J20" i="7" a="1"/>
  <c r="J20" i="7" s="1"/>
  <c r="G22" i="7" a="1"/>
  <c r="G22" i="7" s="1"/>
  <c r="H23" i="7" a="1"/>
  <c r="H23" i="7" s="1"/>
  <c r="L19" i="7" a="1"/>
  <c r="L19" i="7" s="1"/>
  <c r="F24" i="7" a="1"/>
  <c r="F24" i="7" s="1"/>
  <c r="E20" i="7" a="1"/>
  <c r="E20" i="7" s="1"/>
  <c r="G60" i="7" a="1"/>
  <c r="G60" i="7" s="1"/>
  <c r="H60" i="7" a="1"/>
  <c r="H60" i="7" s="1"/>
  <c r="I19" i="7" a="1"/>
  <c r="I19" i="7" s="1"/>
  <c r="L60" i="7" a="1"/>
  <c r="L60" i="7" s="1"/>
  <c r="I17" i="7" a="1"/>
  <c r="I17" i="7" s="1"/>
  <c r="F21" i="7" a="1"/>
  <c r="F21" i="7" s="1"/>
  <c r="L21" i="7" a="1"/>
  <c r="L21" i="7" s="1"/>
  <c r="M60" i="7" a="1"/>
  <c r="M60" i="7" s="1"/>
  <c r="J17" i="7" a="1"/>
  <c r="J17" i="7" s="1"/>
  <c r="J19" i="7" a="1"/>
  <c r="J19" i="7" s="1"/>
  <c r="G21" i="7" a="1"/>
  <c r="G21" i="7" s="1"/>
  <c r="I59" i="7" a="1"/>
  <c r="I59" i="7" s="1"/>
  <c r="G23" i="7" a="1"/>
  <c r="G23" i="7" s="1"/>
  <c r="E19" i="7" a="1"/>
  <c r="E19" i="7" s="1"/>
  <c r="G58" i="7" a="1"/>
  <c r="G58" i="7" s="1"/>
  <c r="H58" i="7" a="1"/>
  <c r="H58" i="7" s="1"/>
  <c r="H61" i="7" a="1"/>
  <c r="H61" i="7" s="1"/>
  <c r="J58" i="7" a="1"/>
  <c r="J58" i="7" s="1"/>
  <c r="I61" i="7" a="1"/>
  <c r="I61" i="7" s="1"/>
  <c r="E17" i="7" a="1"/>
  <c r="E17" i="7" s="1"/>
  <c r="K17" i="7" a="1"/>
  <c r="K17" i="7" s="1"/>
  <c r="I58" i="7" a="1"/>
  <c r="I58" i="7" s="1"/>
  <c r="G52" i="7" a="1"/>
  <c r="G52" i="7" s="1"/>
  <c r="M58" i="7" a="1"/>
  <c r="M58" i="7" s="1"/>
  <c r="I23" i="7" a="1"/>
  <c r="I23" i="7" s="1"/>
  <c r="J61" i="7" a="1"/>
  <c r="J61" i="7" s="1"/>
  <c r="F17" i="7" a="1"/>
  <c r="F17" i="7" s="1"/>
  <c r="L17" i="7" a="1"/>
  <c r="L17" i="7" s="1"/>
  <c r="J23" i="7" a="1"/>
  <c r="J23" i="7" s="1"/>
  <c r="G17" i="7" a="1"/>
  <c r="G17" i="7" s="1"/>
  <c r="F60" i="7" a="1"/>
  <c r="F60" i="7" s="1"/>
  <c r="E23" i="7" a="1"/>
  <c r="E23" i="7" s="1"/>
  <c r="H102" i="7" a="1"/>
  <c r="H102" i="7" s="1"/>
  <c r="I102" i="7" a="1"/>
  <c r="I102" i="7" s="1"/>
  <c r="F101" i="7" a="1"/>
  <c r="F101" i="7" s="1"/>
  <c r="G101" i="7" a="1"/>
  <c r="G101" i="7" s="1"/>
  <c r="M101" i="7" a="1"/>
  <c r="M101" i="7" s="1"/>
  <c r="L101" i="7" a="1"/>
  <c r="L101" i="7" s="1"/>
  <c r="K102" i="7" a="1"/>
  <c r="K102" i="7" s="1"/>
  <c r="J102" i="7" a="1"/>
  <c r="J102" i="7" s="1"/>
  <c r="H101" i="7" a="1"/>
  <c r="H101" i="7" s="1"/>
  <c r="F102" i="7" a="1"/>
  <c r="F102" i="7" s="1"/>
  <c r="L102" i="7" a="1"/>
  <c r="L102" i="7" s="1"/>
  <c r="J101" i="7" a="1"/>
  <c r="J101" i="7" s="1"/>
  <c r="G102" i="7" a="1"/>
  <c r="G102" i="7" s="1"/>
  <c r="M102" i="7" a="1"/>
  <c r="M102" i="7" s="1"/>
  <c r="I101" i="7" a="1"/>
  <c r="I101" i="7" s="1"/>
  <c r="E101" i="7" a="1"/>
  <c r="E101" i="7" s="1"/>
  <c r="G99" i="7" a="1"/>
  <c r="G99" i="7" s="1"/>
  <c r="F99" i="7" a="1"/>
  <c r="F99" i="7" s="1"/>
  <c r="L99" i="7" a="1"/>
  <c r="L99" i="7" s="1"/>
  <c r="M99" i="7" a="1"/>
  <c r="M99" i="7" s="1"/>
  <c r="H99" i="7" a="1"/>
  <c r="H99" i="7" s="1"/>
  <c r="H100" i="7" a="1"/>
  <c r="H100" i="7" s="1"/>
  <c r="I100" i="7" a="1"/>
  <c r="I100" i="7" s="1"/>
  <c r="J100" i="7" a="1"/>
  <c r="J100" i="7" s="1"/>
  <c r="F100" i="7" a="1"/>
  <c r="F100" i="7" s="1"/>
  <c r="L100" i="7" a="1"/>
  <c r="L100" i="7" s="1"/>
  <c r="E100" i="7" a="1"/>
  <c r="E100" i="7" s="1"/>
  <c r="I99" i="7" a="1"/>
  <c r="I99" i="7" s="1"/>
  <c r="J99" i="7" a="1"/>
  <c r="J99" i="7" s="1"/>
  <c r="G100" i="7" a="1"/>
  <c r="G100" i="7" s="1"/>
  <c r="M100" i="7" a="1"/>
  <c r="M100" i="7" s="1"/>
  <c r="E99" i="7" a="1"/>
  <c r="E99" i="7" s="1"/>
  <c r="L98" i="7" a="1"/>
  <c r="L98" i="7" s="1"/>
  <c r="J98" i="7" a="1"/>
  <c r="J98" i="7" s="1"/>
  <c r="E98" i="7" a="1"/>
  <c r="E98" i="7" s="1"/>
  <c r="F98" i="7" a="1"/>
  <c r="F98" i="7" s="1"/>
  <c r="G98" i="7" a="1"/>
  <c r="G98" i="7" s="1"/>
  <c r="M98" i="7" a="1"/>
  <c r="M98" i="7" s="1"/>
  <c r="H98" i="7" a="1"/>
  <c r="H98" i="7" s="1"/>
  <c r="I98" i="7" a="1"/>
  <c r="I98" i="7" s="1"/>
  <c r="H97" i="7" a="1"/>
  <c r="H97" i="7" s="1"/>
  <c r="I97" i="7" a="1"/>
  <c r="I97" i="7" s="1"/>
  <c r="F96" i="7" a="1"/>
  <c r="F96" i="7" s="1"/>
  <c r="G96" i="7" a="1"/>
  <c r="G96" i="7" s="1"/>
  <c r="L96" i="7" a="1"/>
  <c r="L96" i="7" s="1"/>
  <c r="M96" i="7" a="1"/>
  <c r="M96" i="7" s="1"/>
  <c r="H96" i="7" a="1"/>
  <c r="H96" i="7" s="1"/>
  <c r="J95" i="7" a="1"/>
  <c r="J95" i="7" s="1"/>
  <c r="I95" i="7" a="1"/>
  <c r="I95" i="7" s="1"/>
  <c r="G94" i="7" a="1"/>
  <c r="G94" i="7" s="1"/>
  <c r="H94" i="7" a="1"/>
  <c r="H94" i="7" s="1"/>
  <c r="I94" i="7" a="1"/>
  <c r="I94" i="7" s="1"/>
  <c r="M94" i="7" a="1"/>
  <c r="M94" i="7" s="1"/>
  <c r="J97" i="7" a="1"/>
  <c r="J97" i="7" s="1"/>
  <c r="F95" i="7" a="1"/>
  <c r="F95" i="7" s="1"/>
  <c r="L95" i="7" a="1"/>
  <c r="L95" i="7" s="1"/>
  <c r="E97" i="7" a="1"/>
  <c r="E97" i="7" s="1"/>
  <c r="K97" i="7" a="1"/>
  <c r="K97" i="7" s="1"/>
  <c r="J94" i="7" a="1"/>
  <c r="J94" i="7" s="1"/>
  <c r="I96" i="7" a="1"/>
  <c r="I96" i="7" s="1"/>
  <c r="K95" i="7" a="1"/>
  <c r="K95" i="7" s="1"/>
  <c r="G95" i="7" a="1"/>
  <c r="G95" i="7" s="1"/>
  <c r="M95" i="7" a="1"/>
  <c r="M95" i="7" s="1"/>
  <c r="F97" i="7" a="1"/>
  <c r="F97" i="7" s="1"/>
  <c r="L97" i="7" a="1"/>
  <c r="L97" i="7" s="1"/>
  <c r="E94" i="7" a="1"/>
  <c r="E94" i="7" s="1"/>
  <c r="K94" i="7" a="1"/>
  <c r="K94" i="7" s="1"/>
  <c r="J96" i="7" a="1"/>
  <c r="J96" i="7" s="1"/>
  <c r="G97" i="7" a="1"/>
  <c r="G97" i="7" s="1"/>
  <c r="E95" i="7" a="1"/>
  <c r="E95" i="7" s="1"/>
  <c r="F94" i="7" a="1"/>
  <c r="F94" i="7" s="1"/>
  <c r="E96" i="7" a="1"/>
  <c r="E96" i="7" s="1"/>
  <c r="H89" i="7" a="1"/>
  <c r="H89" i="7" s="1"/>
  <c r="I89" i="7" a="1"/>
  <c r="I89" i="7" s="1"/>
  <c r="F88" i="7" a="1"/>
  <c r="F88" i="7" s="1"/>
  <c r="G88" i="7" a="1"/>
  <c r="G88" i="7" s="1"/>
  <c r="H88" i="7" a="1"/>
  <c r="H88" i="7" s="1"/>
  <c r="L88" i="7" a="1"/>
  <c r="L88" i="7" s="1"/>
  <c r="M88" i="7" a="1"/>
  <c r="M88" i="7" s="1"/>
  <c r="I87" i="7" a="1"/>
  <c r="I87" i="7" s="1"/>
  <c r="J87" i="7" a="1"/>
  <c r="J87" i="7" s="1"/>
  <c r="G86" i="7" a="1"/>
  <c r="G86" i="7" s="1"/>
  <c r="H86" i="7" a="1"/>
  <c r="H86" i="7" s="1"/>
  <c r="M86" i="7" a="1"/>
  <c r="M86" i="7" s="1"/>
  <c r="F87" i="7" a="1"/>
  <c r="F87" i="7" s="1"/>
  <c r="L87" i="7" a="1"/>
  <c r="L87" i="7" s="1"/>
  <c r="E89" i="7" a="1"/>
  <c r="E89" i="7" s="1"/>
  <c r="K89" i="7" a="1"/>
  <c r="K89" i="7" s="1"/>
  <c r="E87" i="7" a="1"/>
  <c r="E87" i="7" s="1"/>
  <c r="I88" i="7" a="1"/>
  <c r="I88" i="7" s="1"/>
  <c r="J89" i="7" a="1"/>
  <c r="J89" i="7" s="1"/>
  <c r="I86" i="7" a="1"/>
  <c r="I86" i="7" s="1"/>
  <c r="G87" i="7" a="1"/>
  <c r="G87" i="7" s="1"/>
  <c r="L89" i="7" a="1"/>
  <c r="L89" i="7" s="1"/>
  <c r="K87" i="7" a="1"/>
  <c r="K87" i="7" s="1"/>
  <c r="M87" i="7" a="1"/>
  <c r="M87" i="7" s="1"/>
  <c r="F89" i="7" a="1"/>
  <c r="F89" i="7" s="1"/>
  <c r="E86" i="7" a="1"/>
  <c r="E86" i="7" s="1"/>
  <c r="K86" i="7" a="1"/>
  <c r="K86" i="7" s="1"/>
  <c r="J88" i="7" a="1"/>
  <c r="J88" i="7" s="1"/>
  <c r="G89" i="7" a="1"/>
  <c r="G89" i="7" s="1"/>
  <c r="J86" i="7" a="1"/>
  <c r="J86" i="7" s="1"/>
  <c r="F86" i="7" a="1"/>
  <c r="F86" i="7" s="1"/>
  <c r="E88" i="7" a="1"/>
  <c r="E88" i="7" s="1"/>
  <c r="J59" i="7" a="1"/>
  <c r="J59" i="7" s="1"/>
  <c r="J76" i="7" a="1"/>
  <c r="J76" i="7" s="1"/>
  <c r="F59" i="7" a="1"/>
  <c r="F59" i="7" s="1"/>
  <c r="L59" i="7" a="1"/>
  <c r="L59" i="7" s="1"/>
  <c r="E61" i="7" a="1"/>
  <c r="E61" i="7" s="1"/>
  <c r="K61" i="7" a="1"/>
  <c r="K61" i="7" s="1"/>
  <c r="K59" i="7" a="1"/>
  <c r="K59" i="7" s="1"/>
  <c r="I60" i="7" a="1"/>
  <c r="I60" i="7" s="1"/>
  <c r="E59" i="7" a="1"/>
  <c r="E59" i="7" s="1"/>
  <c r="G59" i="7" a="1"/>
  <c r="G59" i="7" s="1"/>
  <c r="M59" i="7" a="1"/>
  <c r="M59" i="7" s="1"/>
  <c r="F61" i="7" a="1"/>
  <c r="F61" i="7" s="1"/>
  <c r="L61" i="7" a="1"/>
  <c r="L61" i="7" s="1"/>
  <c r="E58" i="7" a="1"/>
  <c r="E58" i="7" s="1"/>
  <c r="K58" i="7" a="1"/>
  <c r="K58" i="7" s="1"/>
  <c r="J60" i="7" a="1"/>
  <c r="J60" i="7" s="1"/>
  <c r="G61" i="7" a="1"/>
  <c r="G61" i="7" s="1"/>
  <c r="F58" i="7" a="1"/>
  <c r="F58" i="7" s="1"/>
  <c r="E60" i="7" a="1"/>
  <c r="E60" i="7" s="1"/>
  <c r="I76" i="7" a="1"/>
  <c r="I76" i="7" s="1"/>
  <c r="H76" i="7" a="1"/>
  <c r="H76" i="7" s="1"/>
  <c r="F76" i="7" a="1"/>
  <c r="F76" i="7" s="1"/>
  <c r="L76" i="7" a="1"/>
  <c r="L76" i="7" s="1"/>
  <c r="M76" i="7" a="1"/>
  <c r="M76" i="7" s="1"/>
  <c r="G76" i="7" a="1"/>
  <c r="G76" i="7" s="1"/>
  <c r="K76" i="7" a="1"/>
  <c r="K76" i="7" s="1"/>
  <c r="E75" i="7" a="1"/>
  <c r="E75" i="7" s="1"/>
  <c r="H75" i="7" a="1"/>
  <c r="H75" i="7" s="1"/>
  <c r="I75" i="7" a="1"/>
  <c r="I75" i="7" s="1"/>
  <c r="J75" i="7" a="1"/>
  <c r="J75" i="7" s="1"/>
  <c r="K75" i="7" a="1"/>
  <c r="K75" i="7" s="1"/>
  <c r="F75" i="7" a="1"/>
  <c r="F75" i="7" s="1"/>
  <c r="L75" i="7" a="1"/>
  <c r="L75" i="7" s="1"/>
  <c r="G75" i="7" a="1"/>
  <c r="G75" i="7" s="1"/>
  <c r="I79" i="7" a="1"/>
  <c r="I79" i="7" s="1"/>
  <c r="L79" i="7" a="1"/>
  <c r="L79" i="7" s="1"/>
  <c r="K79" i="7" a="1"/>
  <c r="K79" i="7" s="1"/>
  <c r="H79" i="7" a="1"/>
  <c r="H79" i="7" s="1"/>
  <c r="J79" i="7" a="1"/>
  <c r="J79" i="7" s="1"/>
  <c r="E79" i="7" a="1"/>
  <c r="E79" i="7" s="1"/>
  <c r="M79" i="7" a="1"/>
  <c r="M79" i="7" s="1"/>
  <c r="F79" i="7" a="1"/>
  <c r="F79" i="7" s="1"/>
  <c r="J78" i="7" a="1"/>
  <c r="J78" i="7" s="1"/>
  <c r="I78" i="7" a="1"/>
  <c r="I78" i="7" s="1"/>
  <c r="L78" i="7" a="1"/>
  <c r="L78" i="7" s="1"/>
  <c r="H78" i="7" a="1"/>
  <c r="H78" i="7" s="1"/>
  <c r="E78" i="7" a="1"/>
  <c r="E78" i="7" s="1"/>
  <c r="M78" i="7" a="1"/>
  <c r="M78" i="7" s="1"/>
  <c r="K78" i="7" a="1"/>
  <c r="K78" i="7" s="1"/>
  <c r="F78" i="7" a="1"/>
  <c r="F78" i="7" s="1"/>
  <c r="H77" i="7" a="1"/>
  <c r="H77" i="7" s="1"/>
  <c r="L77" i="7" a="1"/>
  <c r="L77" i="7" s="1"/>
  <c r="I77" i="7" a="1"/>
  <c r="I77" i="7" s="1"/>
  <c r="J77" i="7" a="1"/>
  <c r="J77" i="7" s="1"/>
  <c r="F77" i="7" a="1"/>
  <c r="F77" i="7" s="1"/>
  <c r="K77" i="7" a="1"/>
  <c r="K77" i="7" s="1"/>
  <c r="M77" i="7" a="1"/>
  <c r="M77" i="7" s="1"/>
  <c r="E77" i="7" a="1"/>
  <c r="E77" i="7" s="1"/>
  <c r="I74" i="7" a="1"/>
  <c r="I74" i="7" s="1"/>
  <c r="L74" i="7" a="1"/>
  <c r="L74" i="7" s="1"/>
  <c r="E74" i="7" a="1"/>
  <c r="E74" i="7" s="1"/>
  <c r="K74" i="7" a="1"/>
  <c r="K74" i="7" s="1"/>
  <c r="F74" i="7" a="1"/>
  <c r="F74" i="7" s="1"/>
  <c r="G74" i="7" a="1"/>
  <c r="G74" i="7" s="1"/>
  <c r="M74" i="7" a="1"/>
  <c r="M74" i="7" s="1"/>
  <c r="H74" i="7" a="1"/>
  <c r="H74" i="7" s="1"/>
  <c r="H73" i="7" a="1"/>
  <c r="H73" i="7" s="1"/>
  <c r="I73" i="7" a="1"/>
  <c r="I73" i="7" s="1"/>
  <c r="J73" i="7" a="1"/>
  <c r="J73" i="7" s="1"/>
  <c r="K73" i="7" a="1"/>
  <c r="K73" i="7" s="1"/>
  <c r="L73" i="7" a="1"/>
  <c r="L73" i="7" s="1"/>
  <c r="G73" i="7" a="1"/>
  <c r="G73" i="7" s="1"/>
  <c r="M73" i="7" a="1"/>
  <c r="M73" i="7" s="1"/>
  <c r="E73" i="7" a="1"/>
  <c r="E73" i="7" s="1"/>
  <c r="L52" i="7" a="1"/>
  <c r="L52" i="7" s="1"/>
  <c r="J52" i="7" a="1"/>
  <c r="J52" i="7" s="1"/>
  <c r="I52" i="7" a="1"/>
  <c r="I52" i="7" s="1"/>
  <c r="M52" i="7" a="1"/>
  <c r="M52" i="7" s="1"/>
  <c r="H52" i="7" a="1"/>
  <c r="H52" i="7" s="1"/>
  <c r="I70" i="7" a="1"/>
  <c r="I70" i="7" s="1"/>
  <c r="J70" i="7" a="1"/>
  <c r="J70" i="7" s="1"/>
  <c r="H67" i="7" a="1"/>
  <c r="H67" i="7" s="1"/>
  <c r="F71" i="7" a="1"/>
  <c r="F71" i="7" s="1"/>
  <c r="G71" i="7" a="1"/>
  <c r="G71" i="7" s="1"/>
  <c r="H71" i="7" a="1"/>
  <c r="H71" i="7" s="1"/>
  <c r="I67" i="7" a="1"/>
  <c r="I67" i="7" s="1"/>
  <c r="G69" i="7" a="1"/>
  <c r="G69" i="7" s="1"/>
  <c r="L71" i="7" a="1"/>
  <c r="L71" i="7" s="1"/>
  <c r="H69" i="7" a="1"/>
  <c r="H69" i="7" s="1"/>
  <c r="M71" i="7" a="1"/>
  <c r="M71" i="7" s="1"/>
  <c r="I69" i="7" a="1"/>
  <c r="I69" i="7" s="1"/>
  <c r="H54" i="7" a="1"/>
  <c r="H54" i="7" s="1"/>
  <c r="J69" i="7" a="1"/>
  <c r="J69" i="7" s="1"/>
  <c r="H72" i="7" a="1"/>
  <c r="H72" i="7" s="1"/>
  <c r="I54" i="7" a="1"/>
  <c r="I54" i="7" s="1"/>
  <c r="G54" i="7" a="1"/>
  <c r="G54" i="7" s="1"/>
  <c r="M69" i="7" a="1"/>
  <c r="M69" i="7" s="1"/>
  <c r="I72" i="7" a="1"/>
  <c r="I72" i="7" s="1"/>
  <c r="F54" i="7" a="1"/>
  <c r="F54" i="7" s="1"/>
  <c r="J72" i="7" a="1"/>
  <c r="J72" i="7" s="1"/>
  <c r="M68" i="7" a="1"/>
  <c r="M68" i="7" s="1"/>
  <c r="J68" i="7" a="1"/>
  <c r="J68" i="7" s="1"/>
  <c r="G66" i="7" a="1"/>
  <c r="G66" i="7" s="1"/>
  <c r="K66" i="7" a="1"/>
  <c r="K66" i="7" s="1"/>
  <c r="E66" i="7" a="1"/>
  <c r="E66" i="7" s="1"/>
  <c r="L66" i="7" a="1"/>
  <c r="L66" i="7" s="1"/>
  <c r="F66" i="7" a="1"/>
  <c r="F66" i="7" s="1"/>
  <c r="M66" i="7" a="1"/>
  <c r="M66" i="7" s="1"/>
  <c r="H66" i="7" a="1"/>
  <c r="H66" i="7" s="1"/>
  <c r="E70" i="7" a="1"/>
  <c r="E70" i="7" s="1"/>
  <c r="E72" i="7" a="1"/>
  <c r="E72" i="7" s="1"/>
  <c r="K72" i="7" a="1"/>
  <c r="K72" i="7" s="1"/>
  <c r="L68" i="7" a="1"/>
  <c r="L68" i="7" s="1"/>
  <c r="I71" i="7" a="1"/>
  <c r="I71" i="7" s="1"/>
  <c r="E68" i="7" a="1"/>
  <c r="E68" i="7" s="1"/>
  <c r="F68" i="7" a="1"/>
  <c r="F68" i="7" s="1"/>
  <c r="K70" i="7" a="1"/>
  <c r="K70" i="7" s="1"/>
  <c r="L70" i="7" a="1"/>
  <c r="L70" i="7" s="1"/>
  <c r="E67" i="7" a="1"/>
  <c r="E67" i="7" s="1"/>
  <c r="I66" i="7" a="1"/>
  <c r="I66" i="7" s="1"/>
  <c r="H68" i="7" a="1"/>
  <c r="H68" i="7" s="1"/>
  <c r="G70" i="7" a="1"/>
  <c r="G70" i="7" s="1"/>
  <c r="M70" i="7" a="1"/>
  <c r="M70" i="7" s="1"/>
  <c r="F72" i="7" a="1"/>
  <c r="F72" i="7" s="1"/>
  <c r="L72" i="7" a="1"/>
  <c r="L72" i="7" s="1"/>
  <c r="K67" i="7" a="1"/>
  <c r="K67" i="7" s="1"/>
  <c r="F67" i="7" a="1"/>
  <c r="F67" i="7" s="1"/>
  <c r="L67" i="7" a="1"/>
  <c r="L67" i="7" s="1"/>
  <c r="E69" i="7" a="1"/>
  <c r="E69" i="7" s="1"/>
  <c r="K69" i="7" a="1"/>
  <c r="K69" i="7" s="1"/>
  <c r="J71" i="7" a="1"/>
  <c r="J71" i="7" s="1"/>
  <c r="K68" i="7" a="1"/>
  <c r="K68" i="7" s="1"/>
  <c r="G68" i="7" a="1"/>
  <c r="G68" i="7" s="1"/>
  <c r="H70" i="7" a="1"/>
  <c r="H70" i="7" s="1"/>
  <c r="G72" i="7" a="1"/>
  <c r="G72" i="7" s="1"/>
  <c r="J67" i="7" a="1"/>
  <c r="J67" i="7" s="1"/>
  <c r="G67" i="7" a="1"/>
  <c r="G67" i="7" s="1"/>
  <c r="F69" i="7" a="1"/>
  <c r="F69" i="7" s="1"/>
  <c r="E71" i="7" a="1"/>
  <c r="E71" i="7" s="1"/>
  <c r="E54" i="7" a="1"/>
  <c r="E54" i="7" s="1"/>
  <c r="L53" i="7" a="1"/>
  <c r="L53" i="7" s="1"/>
  <c r="M54" i="7" a="1"/>
  <c r="M54" i="7" s="1"/>
  <c r="K53" i="7" a="1"/>
  <c r="K53" i="7" s="1"/>
  <c r="L54" i="7" a="1"/>
  <c r="L54" i="7" s="1"/>
  <c r="F53" i="7" a="1"/>
  <c r="F53" i="7" s="1"/>
  <c r="K54" i="7" a="1"/>
  <c r="K54" i="7" s="1"/>
  <c r="E53" i="7" a="1"/>
  <c r="E53" i="7" s="1"/>
  <c r="F57" i="7" a="1"/>
  <c r="F57" i="7" s="1"/>
  <c r="L57" i="7" a="1"/>
  <c r="L57" i="7" s="1"/>
  <c r="K56" i="7" a="1"/>
  <c r="K56" i="7" s="1"/>
  <c r="L56" i="7" a="1"/>
  <c r="L56" i="7" s="1"/>
  <c r="I56" i="7" a="1"/>
  <c r="I56" i="7" s="1"/>
  <c r="J56" i="7" a="1"/>
  <c r="J56" i="7" s="1"/>
  <c r="G57" i="7" a="1"/>
  <c r="G57" i="7" s="1"/>
  <c r="I57" i="7" a="1"/>
  <c r="I57" i="7" s="1"/>
  <c r="M57" i="7" a="1"/>
  <c r="M57" i="7" s="1"/>
  <c r="M56" i="7" a="1"/>
  <c r="M56" i="7" s="1"/>
  <c r="E56" i="7" a="1"/>
  <c r="E56" i="7" s="1"/>
  <c r="H57" i="7" a="1"/>
  <c r="H57" i="7" s="1"/>
  <c r="G56" i="7" a="1"/>
  <c r="G56" i="7" s="1"/>
  <c r="J57" i="7" a="1"/>
  <c r="J57" i="7" s="1"/>
  <c r="F56" i="7" a="1"/>
  <c r="F56" i="7" s="1"/>
  <c r="E57" i="7" a="1"/>
  <c r="E57" i="7" s="1"/>
  <c r="K55" i="7" a="1"/>
  <c r="K55" i="7" s="1"/>
  <c r="E55" i="7" a="1"/>
  <c r="E55" i="7" s="1"/>
  <c r="J53" i="7" a="1"/>
  <c r="J53" i="7" s="1"/>
  <c r="H55" i="7" a="1"/>
  <c r="H55" i="7" s="1"/>
  <c r="I53" i="7" a="1"/>
  <c r="I53" i="7" s="1"/>
  <c r="H53" i="7" a="1"/>
  <c r="H53" i="7" s="1"/>
  <c r="I55" i="7" a="1"/>
  <c r="I55" i="7" s="1"/>
  <c r="G55" i="7" a="1"/>
  <c r="G55" i="7" s="1"/>
  <c r="K52" i="7" a="1"/>
  <c r="K52" i="7" s="1"/>
  <c r="J55" i="7" a="1"/>
  <c r="J55" i="7" s="1"/>
  <c r="M55" i="7" a="1"/>
  <c r="M55" i="7" s="1"/>
  <c r="L55" i="7" a="1"/>
  <c r="L55" i="7" s="1"/>
  <c r="M53" i="7" a="1"/>
  <c r="M53" i="7" s="1"/>
  <c r="E51" i="7" a="1"/>
  <c r="E51" i="7" s="1"/>
  <c r="F51" i="7" a="1"/>
  <c r="F51" i="7" s="1"/>
  <c r="M51" i="7" a="1"/>
  <c r="M51" i="7" s="1"/>
  <c r="H51" i="7" a="1"/>
  <c r="H51" i="7" s="1"/>
  <c r="I51" i="7" a="1"/>
  <c r="I51" i="7" s="1"/>
  <c r="J51" i="7" a="1"/>
  <c r="J51" i="7" s="1"/>
  <c r="K51" i="7" a="1"/>
  <c r="K51" i="7" s="1"/>
  <c r="L51" i="7" a="1"/>
  <c r="L51" i="7" s="1"/>
  <c r="M43" i="7" a="1"/>
  <c r="M43" i="7" s="1"/>
  <c r="F43" i="7" a="1"/>
  <c r="F43" i="7" s="1"/>
  <c r="F44" i="7" a="1"/>
  <c r="F44" i="7" s="1"/>
  <c r="L44" i="7" a="1"/>
  <c r="L44" i="7" s="1"/>
  <c r="L43" i="7" a="1"/>
  <c r="L43" i="7" s="1"/>
  <c r="E44" i="7" a="1"/>
  <c r="E44" i="7" s="1"/>
  <c r="G44" i="7" a="1"/>
  <c r="G44" i="7" s="1"/>
  <c r="M44" i="7" a="1"/>
  <c r="M44" i="7" s="1"/>
  <c r="E43" i="7" a="1"/>
  <c r="E43" i="7" s="1"/>
  <c r="E38" i="7" a="1"/>
  <c r="E38" i="7" s="1"/>
  <c r="K38" i="7" a="1"/>
  <c r="K38" i="7" s="1"/>
  <c r="I37" i="7" a="1"/>
  <c r="I37" i="7" s="1"/>
  <c r="I38" i="7" a="1"/>
  <c r="I38" i="7" s="1"/>
  <c r="L38" i="7" a="1"/>
  <c r="L38" i="7" s="1"/>
  <c r="F37" i="7" a="1"/>
  <c r="F37" i="7" s="1"/>
  <c r="G37" i="7" a="1"/>
  <c r="G37" i="7" s="1"/>
  <c r="J38" i="7" a="1"/>
  <c r="J38" i="7" s="1"/>
  <c r="J37" i="7" a="1"/>
  <c r="J37" i="7" s="1"/>
  <c r="G38" i="7" a="1"/>
  <c r="G38" i="7" s="1"/>
  <c r="M38" i="7" a="1"/>
  <c r="M38" i="7" s="1"/>
  <c r="H38" i="7" a="1"/>
  <c r="H38" i="7" s="1"/>
  <c r="L37" i="7" a="1"/>
  <c r="L37" i="7" s="1"/>
  <c r="M37" i="7" a="1"/>
  <c r="M37" i="7" s="1"/>
  <c r="H37" i="7" a="1"/>
  <c r="H37" i="7" s="1"/>
  <c r="E37" i="7" a="1"/>
  <c r="E37" i="7" s="1"/>
  <c r="K31" i="7" a="1"/>
  <c r="K31" i="7" s="1"/>
  <c r="J32" i="7" a="1"/>
  <c r="J32" i="7" s="1"/>
  <c r="J31" i="7" a="1"/>
  <c r="J31" i="7" s="1"/>
  <c r="I31" i="7" a="1"/>
  <c r="I31" i="7" s="1"/>
  <c r="E32" i="7" a="1"/>
  <c r="E32" i="7" s="1"/>
  <c r="K32" i="7" a="1"/>
  <c r="K32" i="7" s="1"/>
  <c r="G32" i="7" a="1"/>
  <c r="G32" i="7" s="1"/>
  <c r="H32" i="7" a="1"/>
  <c r="H32" i="7" s="1"/>
  <c r="I32" i="7" a="1"/>
  <c r="I32" i="7" s="1"/>
  <c r="E31" i="7" a="1"/>
  <c r="E31" i="7" s="1"/>
  <c r="M31" i="7" a="1"/>
  <c r="M31" i="7" s="1"/>
  <c r="L32" i="7" a="1"/>
  <c r="L32" i="7" s="1"/>
  <c r="F32" i="7" a="1"/>
  <c r="F32" i="7" s="1"/>
  <c r="H31" i="7" a="1"/>
  <c r="H31" i="7" s="1"/>
  <c r="G31" i="7" a="1"/>
  <c r="G31" i="7" s="1"/>
  <c r="F31" i="7" a="1"/>
  <c r="F31" i="7" s="1"/>
  <c r="K44" i="5" l="1" a="1"/>
  <c r="K44" i="5" s="1"/>
  <c r="J44" i="5" a="1"/>
  <c r="J44" i="5" s="1"/>
  <c r="D44" i="5"/>
  <c r="M44" i="5" s="1" a="1"/>
  <c r="M44" i="5" s="1"/>
  <c r="M43" i="5" a="1"/>
  <c r="M43" i="5" s="1"/>
  <c r="L43" i="5" a="1"/>
  <c r="L43" i="5" s="1"/>
  <c r="K43" i="5" a="1"/>
  <c r="K43" i="5" s="1"/>
  <c r="J43" i="5" a="1"/>
  <c r="J43" i="5" s="1"/>
  <c r="H43" i="5" a="1"/>
  <c r="H43" i="5" s="1"/>
  <c r="G43" i="5" a="1"/>
  <c r="G43" i="5" s="1"/>
  <c r="F43" i="5" a="1"/>
  <c r="F43" i="5" s="1"/>
  <c r="E43" i="5" a="1"/>
  <c r="E43" i="5" s="1"/>
  <c r="D43" i="5"/>
  <c r="I43" i="5" s="1" a="1"/>
  <c r="I43" i="5" s="1"/>
  <c r="J42" i="5" a="1"/>
  <c r="J42" i="5" s="1"/>
  <c r="I42" i="5" a="1"/>
  <c r="I42" i="5" s="1"/>
  <c r="D42" i="5"/>
  <c r="L42" i="5" s="1" a="1"/>
  <c r="L42" i="5" s="1"/>
  <c r="M41" i="5" a="1"/>
  <c r="M41" i="5" s="1"/>
  <c r="L41" i="5" a="1"/>
  <c r="L41" i="5" s="1"/>
  <c r="K41" i="5" a="1"/>
  <c r="K41" i="5" s="1"/>
  <c r="I41" i="5" a="1"/>
  <c r="I41" i="5" s="1"/>
  <c r="H41" i="5" a="1"/>
  <c r="H41" i="5" s="1"/>
  <c r="G41" i="5" a="1"/>
  <c r="G41" i="5" s="1"/>
  <c r="F41" i="5" a="1"/>
  <c r="F41" i="5" s="1"/>
  <c r="E41" i="5" a="1"/>
  <c r="E41" i="5" s="1"/>
  <c r="D41" i="5"/>
  <c r="J41" i="5" s="1" a="1"/>
  <c r="J41" i="5" s="1"/>
  <c r="D40" i="5"/>
  <c r="M39" i="5" a="1"/>
  <c r="M39" i="5" s="1"/>
  <c r="L39" i="5" a="1"/>
  <c r="L39" i="5" s="1"/>
  <c r="J39" i="5" a="1"/>
  <c r="J39" i="5" s="1"/>
  <c r="I39" i="5" a="1"/>
  <c r="I39" i="5" s="1"/>
  <c r="H39" i="5" a="1"/>
  <c r="H39" i="5" s="1"/>
  <c r="G39" i="5" a="1"/>
  <c r="G39" i="5" s="1"/>
  <c r="F39" i="5" a="1"/>
  <c r="F39" i="5" s="1"/>
  <c r="D39" i="5"/>
  <c r="K39" i="5" s="1" a="1"/>
  <c r="K39" i="5" s="1"/>
  <c r="L38" i="5" a="1"/>
  <c r="L38" i="5" s="1"/>
  <c r="K38" i="5" a="1"/>
  <c r="K38" i="5" s="1"/>
  <c r="D38" i="5"/>
  <c r="M37" i="5" a="1"/>
  <c r="M37" i="5" s="1"/>
  <c r="K37" i="5" a="1"/>
  <c r="K37" i="5" s="1"/>
  <c r="J37" i="5" a="1"/>
  <c r="J37" i="5" s="1"/>
  <c r="I37" i="5" a="1"/>
  <c r="I37" i="5" s="1"/>
  <c r="H37" i="5" a="1"/>
  <c r="H37" i="5" s="1"/>
  <c r="G37" i="5" a="1"/>
  <c r="G37" i="5" s="1"/>
  <c r="E37" i="5" a="1"/>
  <c r="E37" i="5" s="1"/>
  <c r="D37" i="5"/>
  <c r="L37" i="5" s="1" a="1"/>
  <c r="L37" i="5" s="1"/>
  <c r="L36" i="5" a="1"/>
  <c r="L36" i="5" s="1"/>
  <c r="D36" i="5"/>
  <c r="M35" i="5" a="1"/>
  <c r="M35" i="5" s="1"/>
  <c r="L35" i="5" a="1"/>
  <c r="L35" i="5" s="1"/>
  <c r="J35" i="5" a="1"/>
  <c r="J35" i="5" s="1"/>
  <c r="I35" i="5" a="1"/>
  <c r="I35" i="5" s="1"/>
  <c r="H35" i="5" a="1"/>
  <c r="H35" i="5" s="1"/>
  <c r="G35" i="5" a="1"/>
  <c r="G35" i="5" s="1"/>
  <c r="F35" i="5" a="1"/>
  <c r="F35" i="5" s="1"/>
  <c r="D35" i="5"/>
  <c r="K35" i="5" s="1" a="1"/>
  <c r="K35" i="5" s="1"/>
  <c r="D34" i="5"/>
  <c r="F34" i="5" s="1" a="1"/>
  <c r="F34" i="5" s="1"/>
  <c r="M33" i="5" a="1"/>
  <c r="M33" i="5" s="1"/>
  <c r="K33" i="5" a="1"/>
  <c r="K33" i="5" s="1"/>
  <c r="J33" i="5" a="1"/>
  <c r="J33" i="5" s="1"/>
  <c r="I33" i="5" a="1"/>
  <c r="I33" i="5" s="1"/>
  <c r="H33" i="5" a="1"/>
  <c r="H33" i="5" s="1"/>
  <c r="G33" i="5" a="1"/>
  <c r="G33" i="5" s="1"/>
  <c r="E33" i="5" a="1"/>
  <c r="E33" i="5" s="1"/>
  <c r="D33" i="5"/>
  <c r="L33" i="5" s="1" a="1"/>
  <c r="L33" i="5" s="1"/>
  <c r="M32" i="5" a="1"/>
  <c r="M32" i="5" s="1"/>
  <c r="L32" i="5" a="1"/>
  <c r="L32" i="5" s="1"/>
  <c r="G32" i="5" a="1"/>
  <c r="G32" i="5" s="1"/>
  <c r="F32" i="5" a="1"/>
  <c r="F32" i="5" s="1"/>
  <c r="D32" i="5"/>
  <c r="I32" i="5" s="1" a="1"/>
  <c r="I32" i="5" s="1"/>
  <c r="K31" i="5" a="1"/>
  <c r="K31" i="5" s="1"/>
  <c r="J31" i="5" a="1"/>
  <c r="J31" i="5" s="1"/>
  <c r="D31" i="5"/>
  <c r="M30" i="5" a="1"/>
  <c r="M30" i="5" s="1"/>
  <c r="L30" i="5" a="1"/>
  <c r="L30" i="5" s="1"/>
  <c r="I30" i="5" a="1"/>
  <c r="I30" i="5" s="1"/>
  <c r="H30" i="5" a="1"/>
  <c r="H30" i="5" s="1"/>
  <c r="G30" i="5" a="1"/>
  <c r="G30" i="5" s="1"/>
  <c r="F30" i="5" a="1"/>
  <c r="F30" i="5" s="1"/>
  <c r="D30" i="5"/>
  <c r="J30" i="5" s="1" a="1"/>
  <c r="J30" i="5" s="1"/>
  <c r="J29" i="5" a="1"/>
  <c r="J29" i="5" s="1"/>
  <c r="F29" i="5" a="1"/>
  <c r="F29" i="5" s="1"/>
  <c r="E29" i="5" a="1"/>
  <c r="E29" i="5" s="1"/>
  <c r="D29" i="5"/>
  <c r="I28" i="5" a="1"/>
  <c r="I28" i="5" s="1"/>
  <c r="H28" i="5" a="1"/>
  <c r="H28" i="5" s="1"/>
  <c r="D28" i="5"/>
  <c r="K28" i="5" s="1" a="1"/>
  <c r="K28" i="5" s="1"/>
  <c r="M27" i="5" a="1"/>
  <c r="M27" i="5" s="1"/>
  <c r="L27" i="5" a="1"/>
  <c r="L27" i="5" s="1"/>
  <c r="D27" i="5"/>
  <c r="M26" i="5" a="1"/>
  <c r="M26" i="5" s="1"/>
  <c r="L26" i="5" a="1"/>
  <c r="L26" i="5" s="1"/>
  <c r="I26" i="5" a="1"/>
  <c r="I26" i="5" s="1"/>
  <c r="H26" i="5" a="1"/>
  <c r="H26" i="5" s="1"/>
  <c r="G26" i="5" a="1"/>
  <c r="G26" i="5" s="1"/>
  <c r="F26" i="5" a="1"/>
  <c r="F26" i="5" s="1"/>
  <c r="D26" i="5"/>
  <c r="J26" i="5" s="1" a="1"/>
  <c r="J26" i="5" s="1"/>
  <c r="J25" i="5" a="1"/>
  <c r="J25" i="5" s="1"/>
  <c r="F25" i="5" a="1"/>
  <c r="F25" i="5" s="1"/>
  <c r="E25" i="5" a="1"/>
  <c r="E25" i="5" s="1"/>
  <c r="D25" i="5"/>
  <c r="I24" i="5" a="1"/>
  <c r="I24" i="5" s="1"/>
  <c r="H24" i="5" a="1"/>
  <c r="H24" i="5" s="1"/>
  <c r="D24" i="5"/>
  <c r="K24" i="5" s="1" a="1"/>
  <c r="K24" i="5" s="1"/>
  <c r="M23" i="5" a="1"/>
  <c r="M23" i="5" s="1"/>
  <c r="L23" i="5" a="1"/>
  <c r="L23" i="5" s="1"/>
  <c r="K23" i="5" a="1"/>
  <c r="K23" i="5" s="1"/>
  <c r="J23" i="5" a="1"/>
  <c r="J23" i="5" s="1"/>
  <c r="H23" i="5" a="1"/>
  <c r="H23" i="5" s="1"/>
  <c r="G23" i="5" a="1"/>
  <c r="G23" i="5" s="1"/>
  <c r="F23" i="5" a="1"/>
  <c r="F23" i="5" s="1"/>
  <c r="E23" i="5" a="1"/>
  <c r="E23" i="5" s="1"/>
  <c r="D23" i="5"/>
  <c r="I23" i="5" s="1" a="1"/>
  <c r="I23" i="5" s="1"/>
  <c r="J22" i="5" a="1"/>
  <c r="J22" i="5" s="1"/>
  <c r="D22" i="5"/>
  <c r="M21" i="5" a="1"/>
  <c r="M21" i="5" s="1"/>
  <c r="L21" i="5" a="1"/>
  <c r="L21" i="5" s="1"/>
  <c r="K21" i="5" a="1"/>
  <c r="K21" i="5" s="1"/>
  <c r="I21" i="5" a="1"/>
  <c r="I21" i="5" s="1"/>
  <c r="H21" i="5" a="1"/>
  <c r="H21" i="5" s="1"/>
  <c r="G21" i="5" a="1"/>
  <c r="G21" i="5" s="1"/>
  <c r="F21" i="5" a="1"/>
  <c r="F21" i="5" s="1"/>
  <c r="E21" i="5" a="1"/>
  <c r="E21" i="5" s="1"/>
  <c r="D21" i="5"/>
  <c r="J21" i="5" s="1" a="1"/>
  <c r="J21" i="5" s="1"/>
  <c r="E20" i="5" a="1"/>
  <c r="E20" i="5" s="1"/>
  <c r="D20" i="5"/>
  <c r="M19" i="5" a="1"/>
  <c r="M19" i="5" s="1"/>
  <c r="L19" i="5" a="1"/>
  <c r="L19" i="5" s="1"/>
  <c r="J19" i="5" a="1"/>
  <c r="J19" i="5" s="1"/>
  <c r="I19" i="5" a="1"/>
  <c r="I19" i="5" s="1"/>
  <c r="H19" i="5" a="1"/>
  <c r="H19" i="5" s="1"/>
  <c r="G19" i="5" a="1"/>
  <c r="G19" i="5" s="1"/>
  <c r="D19" i="5"/>
  <c r="K19" i="5" s="1" a="1"/>
  <c r="K19" i="5" s="1"/>
  <c r="D18" i="5"/>
  <c r="I18" i="5" s="1" a="1"/>
  <c r="I18" i="5" s="1"/>
  <c r="M17" i="5" a="1"/>
  <c r="M17" i="5" s="1"/>
  <c r="L17" i="5" a="1"/>
  <c r="L17" i="5" s="1"/>
  <c r="K17" i="5" a="1"/>
  <c r="K17" i="5" s="1"/>
  <c r="I17" i="5" a="1"/>
  <c r="I17" i="5" s="1"/>
  <c r="H17" i="5" a="1"/>
  <c r="H17" i="5" s="1"/>
  <c r="G17" i="5" a="1"/>
  <c r="G17" i="5" s="1"/>
  <c r="F17" i="5" a="1"/>
  <c r="F17" i="5" s="1"/>
  <c r="E17" i="5" a="1"/>
  <c r="E17" i="5" s="1"/>
  <c r="D17" i="5"/>
  <c r="J17" i="5" s="1" a="1"/>
  <c r="J17" i="5" s="1"/>
  <c r="J16" i="5" a="1"/>
  <c r="J16" i="5" s="1"/>
  <c r="E16" i="5" a="1"/>
  <c r="E16" i="5" s="1"/>
  <c r="D16" i="5"/>
  <c r="M15" i="5" a="1"/>
  <c r="M15" i="5" s="1"/>
  <c r="L15" i="5" a="1"/>
  <c r="L15" i="5" s="1"/>
  <c r="J15" i="5" a="1"/>
  <c r="J15" i="5" s="1"/>
  <c r="I15" i="5" a="1"/>
  <c r="I15" i="5" s="1"/>
  <c r="H15" i="5" a="1"/>
  <c r="H15" i="5" s="1"/>
  <c r="G15" i="5" a="1"/>
  <c r="G15" i="5" s="1"/>
  <c r="F15" i="5" a="1"/>
  <c r="F15" i="5" s="1"/>
  <c r="D15" i="5"/>
  <c r="K15" i="5" s="1" a="1"/>
  <c r="K15" i="5" s="1"/>
  <c r="K14" i="5" a="1"/>
  <c r="K14" i="5" s="1"/>
  <c r="E14" i="5" a="1"/>
  <c r="E14" i="5" s="1"/>
  <c r="D14" i="5"/>
  <c r="L14" i="5" s="1" a="1"/>
  <c r="L14" i="5" s="1"/>
  <c r="M13" i="5" a="1"/>
  <c r="M13" i="5" s="1"/>
  <c r="K13" i="5" a="1"/>
  <c r="K13" i="5" s="1"/>
  <c r="J13" i="5" a="1"/>
  <c r="J13" i="5" s="1"/>
  <c r="I13" i="5" a="1"/>
  <c r="I13" i="5" s="1"/>
  <c r="H13" i="5" a="1"/>
  <c r="H13" i="5" s="1"/>
  <c r="G13" i="5" a="1"/>
  <c r="G13" i="5" s="1"/>
  <c r="E13" i="5" a="1"/>
  <c r="E13" i="5" s="1"/>
  <c r="D13" i="5"/>
  <c r="L13" i="5" s="1" a="1"/>
  <c r="L13" i="5" s="1"/>
  <c r="M12" i="5" a="1"/>
  <c r="M12" i="5" s="1"/>
  <c r="L12" i="5" a="1"/>
  <c r="L12" i="5" s="1"/>
  <c r="G12" i="5" a="1"/>
  <c r="G12" i="5" s="1"/>
  <c r="F12" i="5" a="1"/>
  <c r="F12" i="5" s="1"/>
  <c r="D12" i="5"/>
  <c r="D11" i="5"/>
  <c r="K11" i="5" s="1" a="1"/>
  <c r="K11" i="5" s="1"/>
  <c r="M10" i="5" a="1"/>
  <c r="M10" i="5" s="1"/>
  <c r="L10" i="5" a="1"/>
  <c r="L10" i="5" s="1"/>
  <c r="I10" i="5" a="1"/>
  <c r="I10" i="5" s="1"/>
  <c r="H10" i="5" a="1"/>
  <c r="H10" i="5" s="1"/>
  <c r="G10" i="5" a="1"/>
  <c r="G10" i="5" s="1"/>
  <c r="F10" i="5" a="1"/>
  <c r="F10" i="5" s="1"/>
  <c r="D10" i="5"/>
  <c r="J10" i="5" s="1" a="1"/>
  <c r="J10" i="5" s="1"/>
  <c r="D9" i="5"/>
  <c r="F9" i="5" s="1" a="1"/>
  <c r="F9" i="5" s="1"/>
  <c r="J8" i="5" a="1"/>
  <c r="J8" i="5" s="1"/>
  <c r="I8" i="5" a="1"/>
  <c r="I8" i="5" s="1"/>
  <c r="H8" i="5" a="1"/>
  <c r="H8" i="5" s="1"/>
  <c r="D8" i="5"/>
  <c r="K8" i="5" s="1" a="1"/>
  <c r="K8" i="5" s="1"/>
  <c r="M7" i="5" a="1"/>
  <c r="M7" i="5" s="1"/>
  <c r="L7" i="5" a="1"/>
  <c r="L7" i="5" s="1"/>
  <c r="K7" i="5" a="1"/>
  <c r="K7" i="5" s="1"/>
  <c r="J7" i="5" a="1"/>
  <c r="J7" i="5" s="1"/>
  <c r="H7" i="5" a="1"/>
  <c r="H7" i="5" s="1"/>
  <c r="G7" i="5" a="1"/>
  <c r="G7" i="5" s="1"/>
  <c r="F7" i="5" a="1"/>
  <c r="F7" i="5" s="1"/>
  <c r="E7" i="5" a="1"/>
  <c r="E7" i="5" s="1"/>
  <c r="D7" i="5"/>
  <c r="I7" i="5" s="1" a="1"/>
  <c r="I7" i="5" s="1"/>
  <c r="D6" i="5"/>
  <c r="I6" i="5" s="1" a="1"/>
  <c r="I6" i="5" s="1"/>
  <c r="M5" i="5" a="1"/>
  <c r="M5" i="5" s="1"/>
  <c r="L5" i="5" a="1"/>
  <c r="L5" i="5" s="1"/>
  <c r="K5" i="5" a="1"/>
  <c r="K5" i="5" s="1"/>
  <c r="I5" i="5" a="1"/>
  <c r="I5" i="5" s="1"/>
  <c r="H5" i="5" a="1"/>
  <c r="H5" i="5" s="1"/>
  <c r="G5" i="5" a="1"/>
  <c r="G5" i="5" s="1"/>
  <c r="F5" i="5" a="1"/>
  <c r="F5" i="5" s="1"/>
  <c r="E5" i="5" a="1"/>
  <c r="E5" i="5" s="1"/>
  <c r="D5" i="5"/>
  <c r="J5" i="5" s="1" a="1"/>
  <c r="J5" i="5" s="1"/>
  <c r="K4" i="5" a="1"/>
  <c r="K4" i="5" s="1"/>
  <c r="D4" i="5"/>
  <c r="L4" i="5" s="1" a="1"/>
  <c r="L4" i="5" s="1"/>
  <c r="L21" i="4"/>
  <c r="L17" i="4"/>
  <c r="B17" i="4"/>
  <c r="B21" i="4" s="1"/>
  <c r="B25" i="4" s="1"/>
  <c r="B29" i="4" s="1"/>
  <c r="B33" i="4" s="1"/>
  <c r="B37" i="4" s="1"/>
  <c r="B41" i="4" s="1"/>
  <c r="B45" i="4" s="1"/>
  <c r="B49" i="4" s="1"/>
  <c r="B53" i="4" s="1"/>
  <c r="B57" i="4" s="1"/>
  <c r="B61" i="4" s="1"/>
  <c r="B65" i="4" s="1"/>
  <c r="B69" i="4" s="1"/>
  <c r="B73" i="4" s="1"/>
  <c r="B77" i="4" s="1"/>
  <c r="B81" i="4" s="1"/>
  <c r="B85" i="4" s="1"/>
  <c r="B89" i="4" s="1"/>
  <c r="B93" i="4" s="1"/>
  <c r="B97" i="4" s="1"/>
  <c r="B101" i="4" s="1"/>
  <c r="B105" i="4" s="1"/>
  <c r="B109" i="4" s="1"/>
  <c r="B113" i="4" s="1"/>
  <c r="B117" i="4" s="1"/>
  <c r="B121" i="4" s="1"/>
  <c r="B125" i="4" s="1"/>
  <c r="B129" i="4" s="1"/>
  <c r="B133" i="4" s="1"/>
  <c r="B137" i="4" s="1"/>
  <c r="B141" i="4" s="1"/>
  <c r="B145" i="4" s="1"/>
  <c r="B149" i="4" s="1"/>
  <c r="B153" i="4" s="1"/>
  <c r="B157" i="4" s="1"/>
  <c r="B161" i="4" s="1"/>
  <c r="B165" i="4" s="1"/>
  <c r="B169" i="4" s="1"/>
  <c r="B173" i="4" s="1"/>
  <c r="B177" i="4" s="1"/>
  <c r="B181" i="4" s="1"/>
  <c r="B185" i="4" s="1"/>
  <c r="B189" i="4" s="1"/>
  <c r="B193" i="4" s="1"/>
  <c r="B197" i="4" s="1"/>
  <c r="B201" i="4" s="1"/>
  <c r="B205" i="4" s="1"/>
  <c r="B209" i="4" s="1"/>
  <c r="B213" i="4" s="1"/>
  <c r="B217" i="4" s="1"/>
  <c r="B221" i="4" s="1"/>
  <c r="B225" i="4" s="1"/>
  <c r="B229" i="4" s="1"/>
  <c r="B233" i="4" s="1"/>
  <c r="B237" i="4" s="1"/>
  <c r="B241" i="4" s="1"/>
  <c r="B245" i="4" s="1"/>
  <c r="B249" i="4" s="1"/>
  <c r="B253" i="4" s="1"/>
  <c r="B257" i="4" s="1"/>
  <c r="B261" i="4" s="1"/>
  <c r="B265" i="4" s="1"/>
  <c r="B269" i="4" s="1"/>
  <c r="B273" i="4" s="1"/>
  <c r="B277" i="4" s="1"/>
  <c r="B281" i="4" s="1"/>
  <c r="B285" i="4" s="1"/>
  <c r="B289" i="4" s="1"/>
  <c r="B293" i="4" s="1"/>
  <c r="B297" i="4" s="1"/>
  <c r="B301" i="4" s="1"/>
  <c r="B305" i="4" s="1"/>
  <c r="B309" i="4" s="1"/>
  <c r="B313" i="4" s="1"/>
  <c r="B317" i="4" s="1"/>
  <c r="B321" i="4" s="1"/>
  <c r="B325" i="4" s="1"/>
  <c r="B329" i="4" s="1"/>
  <c r="B333" i="4" s="1"/>
  <c r="B337" i="4" s="1"/>
  <c r="B341" i="4" s="1"/>
  <c r="B345" i="4" s="1"/>
  <c r="B349" i="4" s="1"/>
  <c r="B353" i="4" s="1"/>
  <c r="B357" i="4" s="1"/>
  <c r="B361" i="4" s="1"/>
  <c r="B365" i="4" s="1"/>
  <c r="B369" i="4" s="1"/>
  <c r="B373" i="4" s="1"/>
  <c r="B377" i="4" s="1"/>
  <c r="B381" i="4" s="1"/>
  <c r="B385" i="4" s="1"/>
  <c r="B389" i="4" s="1"/>
  <c r="B393" i="4" s="1"/>
  <c r="B397" i="4" s="1"/>
  <c r="B401" i="4" s="1"/>
  <c r="B405" i="4" s="1"/>
  <c r="B409" i="4" s="1"/>
  <c r="B413" i="4" s="1"/>
  <c r="B417" i="4" s="1"/>
  <c r="B421" i="4" s="1"/>
  <c r="B425" i="4" s="1"/>
  <c r="B429" i="4" s="1"/>
  <c r="B433" i="4" s="1"/>
  <c r="B437" i="4" s="1"/>
  <c r="B441" i="4" s="1"/>
  <c r="B445" i="4" s="1"/>
  <c r="B449" i="4" s="1"/>
  <c r="B453" i="4" s="1"/>
  <c r="B457" i="4" s="1"/>
  <c r="B461" i="4" s="1"/>
  <c r="B465" i="4" s="1"/>
  <c r="B469" i="4" s="1"/>
  <c r="B473" i="4" s="1"/>
  <c r="B477" i="4" s="1"/>
  <c r="B481" i="4" s="1"/>
  <c r="B485" i="4" s="1"/>
  <c r="B489" i="4" s="1"/>
  <c r="B493" i="4" s="1"/>
  <c r="B497" i="4" s="1"/>
  <c r="B501" i="4" s="1"/>
  <c r="B505" i="4" s="1"/>
  <c r="B509" i="4" s="1"/>
  <c r="B513" i="4" s="1"/>
  <c r="B517" i="4" s="1"/>
  <c r="B521" i="4" s="1"/>
  <c r="B525" i="4" s="1"/>
  <c r="B529" i="4" s="1"/>
  <c r="B533" i="4" s="1"/>
  <c r="B537" i="4" s="1"/>
  <c r="B541" i="4" s="1"/>
  <c r="B545" i="4" s="1"/>
  <c r="B549" i="4" s="1"/>
  <c r="B553" i="4" s="1"/>
  <c r="B557" i="4" s="1"/>
  <c r="B561" i="4" s="1"/>
  <c r="B565" i="4" s="1"/>
  <c r="B569" i="4" s="1"/>
  <c r="B573" i="4" s="1"/>
  <c r="B577" i="4" s="1"/>
  <c r="B581" i="4" s="1"/>
  <c r="B585" i="4" s="1"/>
  <c r="B589" i="4" s="1"/>
  <c r="B593" i="4" s="1"/>
  <c r="B597" i="4" s="1"/>
  <c r="B601" i="4" s="1"/>
  <c r="B605" i="4" s="1"/>
  <c r="B609" i="4" s="1"/>
  <c r="B613" i="4" s="1"/>
  <c r="B617" i="4" s="1"/>
  <c r="B621" i="4" s="1"/>
  <c r="B625" i="4" s="1"/>
  <c r="B629" i="4" s="1"/>
  <c r="B633" i="4" s="1"/>
  <c r="B637" i="4" s="1"/>
  <c r="B641" i="4" s="1"/>
  <c r="B645" i="4" s="1"/>
  <c r="B649" i="4" s="1"/>
  <c r="B653" i="4" s="1"/>
  <c r="B657" i="4" s="1"/>
  <c r="B661" i="4" s="1"/>
  <c r="B665" i="4" s="1"/>
  <c r="B669" i="4" s="1"/>
  <c r="B673" i="4" s="1"/>
  <c r="B677" i="4" s="1"/>
  <c r="B681" i="4" s="1"/>
  <c r="B685" i="4" s="1"/>
  <c r="B689" i="4" s="1"/>
  <c r="B693" i="4" s="1"/>
  <c r="B697" i="4" s="1"/>
  <c r="B701" i="4" s="1"/>
  <c r="B705" i="4" s="1"/>
  <c r="B709" i="4" s="1"/>
  <c r="B713" i="4" s="1"/>
  <c r="B717" i="4" s="1"/>
  <c r="B721" i="4" s="1"/>
  <c r="B725" i="4" s="1"/>
  <c r="B729" i="4" s="1"/>
  <c r="B733" i="4" s="1"/>
  <c r="B737" i="4" s="1"/>
  <c r="B741" i="4" s="1"/>
  <c r="B745" i="4" s="1"/>
  <c r="B749" i="4" s="1"/>
  <c r="B753" i="4" s="1"/>
  <c r="B757" i="4" s="1"/>
  <c r="B761" i="4" s="1"/>
  <c r="B765" i="4" s="1"/>
  <c r="B769" i="4" s="1"/>
  <c r="B773" i="4" s="1"/>
  <c r="B777" i="4" s="1"/>
  <c r="B781" i="4" s="1"/>
  <c r="B785" i="4" s="1"/>
  <c r="B789" i="4" s="1"/>
  <c r="B793" i="4" s="1"/>
  <c r="B797" i="4" s="1"/>
  <c r="B801" i="4" s="1"/>
  <c r="B805" i="4" s="1"/>
  <c r="B809" i="4" s="1"/>
  <c r="B813" i="4" s="1"/>
  <c r="B817" i="4" s="1"/>
  <c r="B821" i="4" s="1"/>
  <c r="B825" i="4" s="1"/>
  <c r="B829" i="4" s="1"/>
  <c r="B833" i="4" s="1"/>
  <c r="B837" i="4" s="1"/>
  <c r="B841" i="4" s="1"/>
  <c r="B845" i="4" s="1"/>
  <c r="B849" i="4" s="1"/>
  <c r="B853" i="4" s="1"/>
  <c r="B857" i="4" s="1"/>
  <c r="B861" i="4" s="1"/>
  <c r="B865" i="4" s="1"/>
  <c r="B869" i="4" s="1"/>
  <c r="B873" i="4" s="1"/>
  <c r="B877" i="4" s="1"/>
  <c r="B881" i="4" s="1"/>
  <c r="B885" i="4" s="1"/>
  <c r="B889" i="4" s="1"/>
  <c r="B893" i="4" s="1"/>
  <c r="B897" i="4" s="1"/>
  <c r="B901" i="4" s="1"/>
  <c r="B905" i="4" s="1"/>
  <c r="B909" i="4" s="1"/>
  <c r="B913" i="4" s="1"/>
  <c r="B917" i="4" s="1"/>
  <c r="B921" i="4" s="1"/>
  <c r="B925" i="4" s="1"/>
  <c r="B929" i="4" s="1"/>
  <c r="B933" i="4" s="1"/>
  <c r="B937" i="4" s="1"/>
  <c r="B941" i="4" s="1"/>
  <c r="B945" i="4" s="1"/>
  <c r="B949" i="4" s="1"/>
  <c r="B953" i="4" s="1"/>
  <c r="B957" i="4" s="1"/>
  <c r="B961" i="4" s="1"/>
  <c r="B965" i="4" s="1"/>
  <c r="B969" i="4" s="1"/>
  <c r="B973" i="4" s="1"/>
  <c r="B977" i="4" s="1"/>
  <c r="B981" i="4" s="1"/>
  <c r="B985" i="4" s="1"/>
  <c r="B989" i="4" s="1"/>
  <c r="B993" i="4" s="1"/>
  <c r="B997" i="4" s="1"/>
  <c r="B1001" i="4" s="1"/>
  <c r="B1005" i="4" s="1"/>
  <c r="B1009" i="4" s="1"/>
  <c r="B1013" i="4" s="1"/>
  <c r="B1017" i="4" s="1"/>
  <c r="B1021" i="4" s="1"/>
  <c r="B1025" i="4" s="1"/>
  <c r="B1029" i="4" s="1"/>
  <c r="B1033" i="4" s="1"/>
  <c r="B1037" i="4" s="1"/>
  <c r="B1041" i="4" s="1"/>
  <c r="B1045" i="4" s="1"/>
  <c r="B1049" i="4" s="1"/>
  <c r="B1053" i="4" s="1"/>
  <c r="B1057" i="4" s="1"/>
  <c r="B1061" i="4" s="1"/>
  <c r="B1065" i="4" s="1"/>
  <c r="B1069" i="4" s="1"/>
  <c r="B1073" i="4" s="1"/>
  <c r="B1077" i="4" s="1"/>
  <c r="B1081" i="4" s="1"/>
  <c r="B1085" i="4" s="1"/>
  <c r="B1089" i="4" s="1"/>
  <c r="B1093" i="4" s="1"/>
  <c r="B1097" i="4" s="1"/>
  <c r="B1101" i="4" s="1"/>
  <c r="B1105" i="4" s="1"/>
  <c r="B1109" i="4" s="1"/>
  <c r="B1113" i="4" s="1"/>
  <c r="B1117" i="4" s="1"/>
  <c r="B1121" i="4" s="1"/>
  <c r="B1125" i="4" s="1"/>
  <c r="B1129" i="4" s="1"/>
  <c r="B1133" i="4" s="1"/>
  <c r="B1137" i="4" s="1"/>
  <c r="B1141" i="4" s="1"/>
  <c r="B1145" i="4" s="1"/>
  <c r="B1149" i="4" s="1"/>
  <c r="B1153" i="4" s="1"/>
  <c r="B1157" i="4" s="1"/>
  <c r="B1161" i="4" s="1"/>
  <c r="B1165" i="4" s="1"/>
  <c r="B1169" i="4" s="1"/>
  <c r="B1173" i="4" s="1"/>
  <c r="B1177" i="4" s="1"/>
  <c r="B1181" i="4" s="1"/>
  <c r="B1185" i="4" s="1"/>
  <c r="B1189" i="4" s="1"/>
  <c r="B1193" i="4" s="1"/>
  <c r="B1197" i="4" s="1"/>
  <c r="B1201" i="4" s="1"/>
  <c r="B1205" i="4" s="1"/>
  <c r="B1209" i="4" s="1"/>
  <c r="B1213" i="4" s="1"/>
  <c r="B1217" i="4" s="1"/>
  <c r="B1221" i="4" s="1"/>
  <c r="B1225" i="4" s="1"/>
  <c r="B1229" i="4" s="1"/>
  <c r="B1233" i="4" s="1"/>
  <c r="B1237" i="4" s="1"/>
  <c r="B1241" i="4" s="1"/>
  <c r="B1245" i="4" s="1"/>
  <c r="B1249" i="4" s="1"/>
  <c r="B1253" i="4" s="1"/>
  <c r="B1257" i="4" s="1"/>
  <c r="B1261" i="4" s="1"/>
  <c r="B1265" i="4" s="1"/>
  <c r="B1269" i="4" s="1"/>
  <c r="B1273" i="4" s="1"/>
  <c r="B1277" i="4" s="1"/>
  <c r="B1281" i="4" s="1"/>
  <c r="B1285" i="4" s="1"/>
  <c r="B1289" i="4" s="1"/>
  <c r="B1293" i="4" s="1"/>
  <c r="B1297" i="4" s="1"/>
  <c r="B1301" i="4" s="1"/>
  <c r="B1305" i="4" s="1"/>
  <c r="B1309" i="4" s="1"/>
  <c r="B1313" i="4" s="1"/>
  <c r="B1317" i="4" s="1"/>
  <c r="B1321" i="4" s="1"/>
  <c r="B1325" i="4" s="1"/>
  <c r="B1329" i="4" s="1"/>
  <c r="B1333" i="4" s="1"/>
  <c r="B1337" i="4" s="1"/>
  <c r="B1341" i="4" s="1"/>
  <c r="B1345" i="4" s="1"/>
  <c r="B1349" i="4" s="1"/>
  <c r="B1353" i="4" s="1"/>
  <c r="B1357" i="4" s="1"/>
  <c r="B1361" i="4" s="1"/>
  <c r="B1365" i="4" s="1"/>
  <c r="B1369" i="4" s="1"/>
  <c r="B1373" i="4" s="1"/>
  <c r="B1377" i="4" s="1"/>
  <c r="B1381" i="4" s="1"/>
  <c r="B1385" i="4" s="1"/>
  <c r="B1389" i="4" s="1"/>
  <c r="B1393" i="4" s="1"/>
  <c r="B1397" i="4" s="1"/>
  <c r="B1401" i="4" s="1"/>
  <c r="B1405" i="4" s="1"/>
  <c r="B1409" i="4" s="1"/>
  <c r="B1413" i="4" s="1"/>
  <c r="B1417" i="4" s="1"/>
  <c r="B1421" i="4" s="1"/>
  <c r="B1425" i="4" s="1"/>
  <c r="B1429" i="4" s="1"/>
  <c r="B1433" i="4" s="1"/>
  <c r="B1437" i="4" s="1"/>
  <c r="B1441" i="4" s="1"/>
  <c r="B1445" i="4" s="1"/>
  <c r="B1449" i="4" s="1"/>
  <c r="B1453" i="4" s="1"/>
  <c r="B1457" i="4" s="1"/>
  <c r="B1461" i="4" s="1"/>
  <c r="B1465" i="4" s="1"/>
  <c r="B1469" i="4" s="1"/>
  <c r="B1473" i="4" s="1"/>
  <c r="B1477" i="4" s="1"/>
  <c r="B1481" i="4" s="1"/>
  <c r="B1485" i="4" s="1"/>
  <c r="B1489" i="4" s="1"/>
  <c r="B1493" i="4" s="1"/>
  <c r="B1497" i="4" s="1"/>
  <c r="B1501" i="4" s="1"/>
  <c r="B1505" i="4" s="1"/>
  <c r="B1509" i="4" s="1"/>
  <c r="B1513" i="4" s="1"/>
  <c r="B1517" i="4" s="1"/>
  <c r="B1521" i="4" s="1"/>
  <c r="B1525" i="4" s="1"/>
  <c r="B1529" i="4" s="1"/>
  <c r="B1533" i="4" s="1"/>
  <c r="B1537" i="4" s="1"/>
  <c r="B1541" i="4" s="1"/>
  <c r="B1545" i="4" s="1"/>
  <c r="B1549" i="4" s="1"/>
  <c r="B1553" i="4" s="1"/>
  <c r="B1557" i="4" s="1"/>
  <c r="B1561" i="4" s="1"/>
  <c r="B1565" i="4" s="1"/>
  <c r="B1569" i="4" s="1"/>
  <c r="B1573" i="4" s="1"/>
  <c r="B1577" i="4" s="1"/>
  <c r="B1581" i="4" s="1"/>
  <c r="B1585" i="4" s="1"/>
  <c r="B1589" i="4" s="1"/>
  <c r="B1593" i="4" s="1"/>
  <c r="B1597" i="4" s="1"/>
  <c r="B1601" i="4" s="1"/>
  <c r="B1605" i="4" s="1"/>
  <c r="B1609" i="4" s="1"/>
  <c r="B1613" i="4" s="1"/>
  <c r="B1617" i="4" s="1"/>
  <c r="B1621" i="4" s="1"/>
  <c r="B1625" i="4" s="1"/>
  <c r="B1629" i="4" s="1"/>
  <c r="B1633" i="4" s="1"/>
  <c r="B1637" i="4" s="1"/>
  <c r="B1641" i="4" s="1"/>
  <c r="B1645" i="4" s="1"/>
  <c r="B1649" i="4" s="1"/>
  <c r="B1653" i="4" s="1"/>
  <c r="B1657" i="4" s="1"/>
  <c r="B1661" i="4" s="1"/>
  <c r="B1665" i="4" s="1"/>
  <c r="B1669" i="4" s="1"/>
  <c r="B1673" i="4" s="1"/>
  <c r="B1677" i="4" s="1"/>
  <c r="B1681" i="4" s="1"/>
  <c r="B1685" i="4" s="1"/>
  <c r="B1689" i="4" s="1"/>
  <c r="B1693" i="4" s="1"/>
  <c r="B1697" i="4" s="1"/>
  <c r="B1701" i="4" s="1"/>
  <c r="B1705" i="4" s="1"/>
  <c r="B1709" i="4" s="1"/>
  <c r="B1713" i="4" s="1"/>
  <c r="B1717" i="4" s="1"/>
  <c r="B1721" i="4" s="1"/>
  <c r="B1725" i="4" s="1"/>
  <c r="B1729" i="4" s="1"/>
  <c r="B1733" i="4" s="1"/>
  <c r="B1737" i="4" s="1"/>
  <c r="B1741" i="4" s="1"/>
  <c r="B1745" i="4" s="1"/>
  <c r="B1749" i="4" s="1"/>
  <c r="B1753" i="4" s="1"/>
  <c r="B1757" i="4" s="1"/>
  <c r="B1761" i="4" s="1"/>
  <c r="B1765" i="4" s="1"/>
  <c r="B1769" i="4" s="1"/>
  <c r="B1773" i="4" s="1"/>
  <c r="B1777" i="4" s="1"/>
  <c r="B1781" i="4" s="1"/>
  <c r="B1785" i="4" s="1"/>
  <c r="B1789" i="4" s="1"/>
  <c r="B1793" i="4" s="1"/>
  <c r="B1797" i="4" s="1"/>
  <c r="B1801" i="4" s="1"/>
  <c r="B1805" i="4" s="1"/>
  <c r="B1809" i="4" s="1"/>
  <c r="B1813" i="4" s="1"/>
  <c r="B1817" i="4" s="1"/>
  <c r="B1821" i="4" s="1"/>
  <c r="B1825" i="4" s="1"/>
  <c r="B1829" i="4" s="1"/>
  <c r="B1833" i="4" s="1"/>
  <c r="B1837" i="4" s="1"/>
  <c r="B1841" i="4" s="1"/>
  <c r="B1845" i="4" s="1"/>
  <c r="B1849" i="4" s="1"/>
  <c r="B1853" i="4" s="1"/>
  <c r="B1857" i="4" s="1"/>
  <c r="B1861" i="4" s="1"/>
  <c r="B1865" i="4" s="1"/>
  <c r="B1869" i="4" s="1"/>
  <c r="B1873" i="4" s="1"/>
  <c r="B1877" i="4" s="1"/>
  <c r="B1881" i="4" s="1"/>
  <c r="B1885" i="4" s="1"/>
  <c r="B1889" i="4" s="1"/>
  <c r="B1893" i="4" s="1"/>
  <c r="B1897" i="4" s="1"/>
  <c r="B1901" i="4" s="1"/>
  <c r="B1905" i="4" s="1"/>
  <c r="B1909" i="4" s="1"/>
  <c r="B1913" i="4" s="1"/>
  <c r="B1917" i="4" s="1"/>
  <c r="B1921" i="4" s="1"/>
  <c r="B1925" i="4" s="1"/>
  <c r="B1929" i="4" s="1"/>
  <c r="B1933" i="4" s="1"/>
  <c r="B1937" i="4" s="1"/>
  <c r="B1941" i="4" s="1"/>
  <c r="B1945" i="4" s="1"/>
  <c r="B1949" i="4" s="1"/>
  <c r="B1953" i="4" s="1"/>
  <c r="B1957" i="4" s="1"/>
  <c r="B1961" i="4" s="1"/>
  <c r="B1965" i="4" s="1"/>
  <c r="B1969" i="4" s="1"/>
  <c r="B1973" i="4" s="1"/>
  <c r="B1977" i="4" s="1"/>
  <c r="B1981" i="4" s="1"/>
  <c r="B1985" i="4" s="1"/>
  <c r="B1989" i="4" s="1"/>
  <c r="B1993" i="4" s="1"/>
  <c r="B1997" i="4" s="1"/>
  <c r="B2001" i="4" s="1"/>
  <c r="L13" i="4"/>
  <c r="B13" i="4"/>
  <c r="L9" i="4"/>
  <c r="B9" i="4"/>
  <c r="L5" i="4"/>
  <c r="V2" i="4"/>
  <c r="C1" i="4"/>
  <c r="B1" i="4"/>
  <c r="A1" i="4"/>
  <c r="L22" i="5" l="1" a="1"/>
  <c r="L22" i="5" s="1"/>
  <c r="F22" i="5" a="1"/>
  <c r="F22" i="5" s="1"/>
  <c r="K22" i="5" a="1"/>
  <c r="K22" i="5" s="1"/>
  <c r="E22" i="5" a="1"/>
  <c r="E22" i="5" s="1"/>
  <c r="H22" i="5" a="1"/>
  <c r="H22" i="5" s="1"/>
  <c r="M22" i="5" a="1"/>
  <c r="M22" i="5" s="1"/>
  <c r="G22" i="5" a="1"/>
  <c r="G22" i="5" s="1"/>
  <c r="I27" i="5" a="1"/>
  <c r="I27" i="5" s="1"/>
  <c r="H27" i="5" a="1"/>
  <c r="H27" i="5" s="1"/>
  <c r="J27" i="5" a="1"/>
  <c r="J27" i="5" s="1"/>
  <c r="M31" i="5" a="1"/>
  <c r="M31" i="5" s="1"/>
  <c r="G31" i="5" a="1"/>
  <c r="G31" i="5" s="1"/>
  <c r="F31" i="5" a="1"/>
  <c r="F31" i="5" s="1"/>
  <c r="L31" i="5" a="1"/>
  <c r="L31" i="5" s="1"/>
  <c r="H31" i="5" a="1"/>
  <c r="H31" i="5" s="1"/>
  <c r="L34" i="5" a="1"/>
  <c r="L34" i="5" s="1"/>
  <c r="E9" i="5" a="1"/>
  <c r="E9" i="5" s="1"/>
  <c r="E11" i="5" a="1"/>
  <c r="E11" i="5" s="1"/>
  <c r="H11" i="5" a="1"/>
  <c r="H11" i="5" s="1"/>
  <c r="G27" i="5" a="1"/>
  <c r="G27" i="5" s="1"/>
  <c r="E31" i="5" a="1"/>
  <c r="E31" i="5" s="1"/>
  <c r="I36" i="5" a="1"/>
  <c r="I36" i="5" s="1"/>
  <c r="H36" i="5" a="1"/>
  <c r="H36" i="5" s="1"/>
  <c r="K36" i="5" a="1"/>
  <c r="K36" i="5" s="1"/>
  <c r="J36" i="5" a="1"/>
  <c r="J36" i="5" s="1"/>
  <c r="I11" i="5" a="1"/>
  <c r="I11" i="5" s="1"/>
  <c r="M16" i="5" a="1"/>
  <c r="M16" i="5" s="1"/>
  <c r="G16" i="5" a="1"/>
  <c r="G16" i="5" s="1"/>
  <c r="L16" i="5" a="1"/>
  <c r="L16" i="5" s="1"/>
  <c r="F16" i="5" a="1"/>
  <c r="F16" i="5" s="1"/>
  <c r="I16" i="5" a="1"/>
  <c r="I16" i="5" s="1"/>
  <c r="H16" i="5" a="1"/>
  <c r="H16" i="5" s="1"/>
  <c r="I22" i="5" a="1"/>
  <c r="I22" i="5" s="1"/>
  <c r="H25" i="5" a="1"/>
  <c r="H25" i="5" s="1"/>
  <c r="M25" i="5" a="1"/>
  <c r="M25" i="5" s="1"/>
  <c r="G25" i="5" a="1"/>
  <c r="G25" i="5" s="1"/>
  <c r="I25" i="5" a="1"/>
  <c r="I25" i="5" s="1"/>
  <c r="K27" i="5" a="1"/>
  <c r="K27" i="5" s="1"/>
  <c r="H29" i="5" a="1"/>
  <c r="H29" i="5" s="1"/>
  <c r="M29" i="5" a="1"/>
  <c r="M29" i="5" s="1"/>
  <c r="I29" i="5" a="1"/>
  <c r="I29" i="5" s="1"/>
  <c r="G29" i="5" a="1"/>
  <c r="G29" i="5" s="1"/>
  <c r="I31" i="5" a="1"/>
  <c r="I31" i="5" s="1"/>
  <c r="G36" i="5" a="1"/>
  <c r="G36" i="5" s="1"/>
  <c r="H9" i="5" a="1"/>
  <c r="H9" i="5" s="1"/>
  <c r="G9" i="5" a="1"/>
  <c r="G9" i="5" s="1"/>
  <c r="M9" i="5" a="1"/>
  <c r="M9" i="5" s="1"/>
  <c r="L18" i="5" a="1"/>
  <c r="L18" i="5" s="1"/>
  <c r="F18" i="5" a="1"/>
  <c r="F18" i="5" s="1"/>
  <c r="K18" i="5" a="1"/>
  <c r="K18" i="5" s="1"/>
  <c r="E18" i="5" a="1"/>
  <c r="E18" i="5" s="1"/>
  <c r="H18" i="5" a="1"/>
  <c r="H18" i="5" s="1"/>
  <c r="M18" i="5" a="1"/>
  <c r="M18" i="5" s="1"/>
  <c r="G18" i="5" a="1"/>
  <c r="G18" i="5" s="1"/>
  <c r="I9" i="5" a="1"/>
  <c r="I9" i="5" s="1"/>
  <c r="J18" i="5" a="1"/>
  <c r="J18" i="5" s="1"/>
  <c r="M20" i="5" a="1"/>
  <c r="M20" i="5" s="1"/>
  <c r="G20" i="5" a="1"/>
  <c r="G20" i="5" s="1"/>
  <c r="L20" i="5" a="1"/>
  <c r="L20" i="5" s="1"/>
  <c r="F20" i="5" a="1"/>
  <c r="F20" i="5" s="1"/>
  <c r="I20" i="5" a="1"/>
  <c r="I20" i="5" s="1"/>
  <c r="H20" i="5" a="1"/>
  <c r="H20" i="5" s="1"/>
  <c r="H4" i="5" a="1"/>
  <c r="H4" i="5" s="1"/>
  <c r="G4" i="5" a="1"/>
  <c r="G4" i="5" s="1"/>
  <c r="J4" i="5" a="1"/>
  <c r="J4" i="5" s="1"/>
  <c r="I4" i="5" a="1"/>
  <c r="I4" i="5" s="1"/>
  <c r="M4" i="5" a="1"/>
  <c r="M4" i="5" s="1"/>
  <c r="M40" i="5" a="1"/>
  <c r="M40" i="5" s="1"/>
  <c r="G40" i="5" a="1"/>
  <c r="G40" i="5" s="1"/>
  <c r="L40" i="5" a="1"/>
  <c r="L40" i="5" s="1"/>
  <c r="F40" i="5" a="1"/>
  <c r="F40" i="5" s="1"/>
  <c r="I40" i="5" a="1"/>
  <c r="I40" i="5" s="1"/>
  <c r="H40" i="5" a="1"/>
  <c r="H40" i="5" s="1"/>
  <c r="H14" i="5" a="1"/>
  <c r="H14" i="5" s="1"/>
  <c r="M14" i="5" a="1"/>
  <c r="M14" i="5" s="1"/>
  <c r="G14" i="5" a="1"/>
  <c r="G14" i="5" s="1"/>
  <c r="J14" i="5" a="1"/>
  <c r="J14" i="5" s="1"/>
  <c r="I14" i="5" a="1"/>
  <c r="I14" i="5" s="1"/>
  <c r="E34" i="5" a="1"/>
  <c r="E34" i="5" s="1"/>
  <c r="E40" i="5" a="1"/>
  <c r="E40" i="5" s="1"/>
  <c r="I12" i="5" a="1"/>
  <c r="I12" i="5" s="1"/>
  <c r="H12" i="5" a="1"/>
  <c r="H12" i="5" s="1"/>
  <c r="K12" i="5" a="1"/>
  <c r="K12" i="5" s="1"/>
  <c r="E12" i="5" a="1"/>
  <c r="E12" i="5" s="1"/>
  <c r="J12" i="5" a="1"/>
  <c r="J12" i="5" s="1"/>
  <c r="J20" i="5" a="1"/>
  <c r="J20" i="5" s="1"/>
  <c r="M36" i="5" a="1"/>
  <c r="M36" i="5" s="1"/>
  <c r="H38" i="5" a="1"/>
  <c r="H38" i="5" s="1"/>
  <c r="M38" i="5" a="1"/>
  <c r="M38" i="5" s="1"/>
  <c r="G38" i="5" a="1"/>
  <c r="G38" i="5" s="1"/>
  <c r="J38" i="5" a="1"/>
  <c r="J38" i="5" s="1"/>
  <c r="I38" i="5" a="1"/>
  <c r="I38" i="5" s="1"/>
  <c r="J9" i="5" a="1"/>
  <c r="J9" i="5" s="1"/>
  <c r="F4" i="5" a="1"/>
  <c r="F4" i="5" s="1"/>
  <c r="L9" i="5" a="1"/>
  <c r="L9" i="5" s="1"/>
  <c r="F14" i="5" a="1"/>
  <c r="F14" i="5" s="1"/>
  <c r="K16" i="5" a="1"/>
  <c r="K16" i="5" s="1"/>
  <c r="K25" i="5" a="1"/>
  <c r="K25" i="5" s="1"/>
  <c r="K29" i="5" a="1"/>
  <c r="K29" i="5" s="1"/>
  <c r="E38" i="5" a="1"/>
  <c r="E38" i="5" s="1"/>
  <c r="J40" i="5" a="1"/>
  <c r="J40" i="5" s="1"/>
  <c r="H34" i="5" a="1"/>
  <c r="H34" i="5" s="1"/>
  <c r="M34" i="5" a="1"/>
  <c r="M34" i="5" s="1"/>
  <c r="G34" i="5" a="1"/>
  <c r="G34" i="5" s="1"/>
  <c r="J34" i="5" a="1"/>
  <c r="J34" i="5" s="1"/>
  <c r="I34" i="5" a="1"/>
  <c r="I34" i="5" s="1"/>
  <c r="K20" i="5" a="1"/>
  <c r="K20" i="5" s="1"/>
  <c r="M11" i="5" a="1"/>
  <c r="M11" i="5" s="1"/>
  <c r="G11" i="5" a="1"/>
  <c r="G11" i="5" s="1"/>
  <c r="L11" i="5" a="1"/>
  <c r="L11" i="5" s="1"/>
  <c r="F11" i="5" a="1"/>
  <c r="F11" i="5" s="1"/>
  <c r="L6" i="5" a="1"/>
  <c r="L6" i="5" s="1"/>
  <c r="F6" i="5" a="1"/>
  <c r="F6" i="5" s="1"/>
  <c r="H6" i="5" a="1"/>
  <c r="H6" i="5" s="1"/>
  <c r="M6" i="5" a="1"/>
  <c r="M6" i="5" s="1"/>
  <c r="G6" i="5" a="1"/>
  <c r="G6" i="5" s="1"/>
  <c r="K6" i="5" a="1"/>
  <c r="K6" i="5" s="1"/>
  <c r="E6" i="5" a="1"/>
  <c r="E6" i="5" s="1"/>
  <c r="J11" i="5" a="1"/>
  <c r="J11" i="5" s="1"/>
  <c r="E4" i="5" a="1"/>
  <c r="E4" i="5" s="1"/>
  <c r="K9" i="5" a="1"/>
  <c r="K9" i="5" s="1"/>
  <c r="J6" i="5" a="1"/>
  <c r="J6" i="5" s="1"/>
  <c r="L25" i="5" a="1"/>
  <c r="L25" i="5" s="1"/>
  <c r="L29" i="5" a="1"/>
  <c r="L29" i="5" s="1"/>
  <c r="K34" i="5" a="1"/>
  <c r="K34" i="5" s="1"/>
  <c r="F38" i="5" a="1"/>
  <c r="F38" i="5" s="1"/>
  <c r="K40" i="5" a="1"/>
  <c r="K40" i="5" s="1"/>
  <c r="F8" i="5" a="1"/>
  <c r="F8" i="5" s="1"/>
  <c r="L8" i="5" a="1"/>
  <c r="L8" i="5" s="1"/>
  <c r="E10" i="5" a="1"/>
  <c r="E10" i="5" s="1"/>
  <c r="K10" i="5" a="1"/>
  <c r="K10" i="5" s="1"/>
  <c r="F24" i="5" a="1"/>
  <c r="F24" i="5" s="1"/>
  <c r="L24" i="5" a="1"/>
  <c r="L24" i="5" s="1"/>
  <c r="E26" i="5" a="1"/>
  <c r="E26" i="5" s="1"/>
  <c r="K26" i="5" a="1"/>
  <c r="K26" i="5" s="1"/>
  <c r="F28" i="5" a="1"/>
  <c r="F28" i="5" s="1"/>
  <c r="L28" i="5" a="1"/>
  <c r="L28" i="5" s="1"/>
  <c r="E30" i="5" a="1"/>
  <c r="E30" i="5" s="1"/>
  <c r="K30" i="5" a="1"/>
  <c r="K30" i="5" s="1"/>
  <c r="J32" i="5" a="1"/>
  <c r="J32" i="5" s="1"/>
  <c r="G42" i="5" a="1"/>
  <c r="G42" i="5" s="1"/>
  <c r="M42" i="5" a="1"/>
  <c r="M42" i="5" s="1"/>
  <c r="H44" i="5" a="1"/>
  <c r="H44" i="5" s="1"/>
  <c r="G8" i="5" a="1"/>
  <c r="G8" i="5" s="1"/>
  <c r="M8" i="5" a="1"/>
  <c r="M8" i="5" s="1"/>
  <c r="G24" i="5" a="1"/>
  <c r="G24" i="5" s="1"/>
  <c r="M24" i="5" a="1"/>
  <c r="M24" i="5" s="1"/>
  <c r="G28" i="5" a="1"/>
  <c r="G28" i="5" s="1"/>
  <c r="M28" i="5" a="1"/>
  <c r="M28" i="5" s="1"/>
  <c r="E32" i="5" a="1"/>
  <c r="E32" i="5" s="1"/>
  <c r="K32" i="5" a="1"/>
  <c r="K32" i="5" s="1"/>
  <c r="H42" i="5" a="1"/>
  <c r="H42" i="5" s="1"/>
  <c r="I44" i="5" a="1"/>
  <c r="I44" i="5" s="1"/>
  <c r="J24" i="5" a="1"/>
  <c r="J24" i="5" s="1"/>
  <c r="J28" i="5" a="1"/>
  <c r="J28" i="5" s="1"/>
  <c r="H32" i="5" a="1"/>
  <c r="H32" i="5" s="1"/>
  <c r="E42" i="5" a="1"/>
  <c r="E42" i="5" s="1"/>
  <c r="K42" i="5" a="1"/>
  <c r="K42" i="5" s="1"/>
  <c r="L44" i="5" a="1"/>
  <c r="L44" i="5" s="1"/>
  <c r="E8" i="5" a="1"/>
  <c r="E8" i="5" s="1"/>
  <c r="E24" i="5" a="1"/>
  <c r="E24" i="5" s="1"/>
  <c r="E28" i="5" a="1"/>
  <c r="E28" i="5" s="1"/>
  <c r="F42" i="5" a="1"/>
  <c r="F42" i="5" s="1"/>
  <c r="G44" i="5" a="1"/>
  <c r="G44" i="5" s="1"/>
  <c r="F13" i="5" a="1"/>
  <c r="F13" i="5" s="1"/>
  <c r="E15" i="5" a="1"/>
  <c r="E15" i="5" s="1"/>
  <c r="F33" i="5" a="1"/>
  <c r="F33" i="5" s="1"/>
  <c r="E35" i="5" a="1"/>
  <c r="E35" i="5" s="1"/>
  <c r="F37" i="5" a="1"/>
  <c r="F37" i="5" s="1"/>
  <c r="E39" i="5" a="1"/>
  <c r="E39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</futureMetadata>
  <cellMetadata count="1">
    <bk>
      <rc t="1" v="0"/>
    </bk>
  </cellMetadata>
  <valueMetadata count="44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</valueMetadata>
</metadata>
</file>

<file path=xl/sharedStrings.xml><?xml version="1.0" encoding="utf-8"?>
<sst xmlns="http://schemas.openxmlformats.org/spreadsheetml/2006/main" count="1220" uniqueCount="583">
  <si>
    <t>涼</t>
    <phoneticPr fontId="1" type="noConversion"/>
  </si>
  <si>
    <t>州</t>
  </si>
  <si>
    <t>詞</t>
  </si>
  <si>
    <t>漢字</t>
  </si>
  <si>
    <t>漢字</t>
    <phoneticPr fontId="1" type="noConversion"/>
  </si>
  <si>
    <t>liang5</t>
    <phoneticPr fontId="1" type="noConversion"/>
  </si>
  <si>
    <t>ziu1</t>
  </si>
  <si>
    <t>su5</t>
  </si>
  <si>
    <t>字母</t>
    <phoneticPr fontId="1" type="noConversion"/>
  </si>
  <si>
    <t>台語音標</t>
  </si>
  <si>
    <t>按鍵輸入</t>
  </si>
  <si>
    <t>陰平(a)</t>
  </si>
  <si>
    <t>;</t>
  </si>
  <si>
    <t>東</t>
  </si>
  <si>
    <t>陰上(á)</t>
  </si>
  <si>
    <t>\</t>
  </si>
  <si>
    <t>黨</t>
  </si>
  <si>
    <t>陰去(à)</t>
  </si>
  <si>
    <t>_</t>
  </si>
  <si>
    <t>棟</t>
  </si>
  <si>
    <t>陰入(ah)</t>
  </si>
  <si>
    <t>[</t>
  </si>
  <si>
    <t>督</t>
  </si>
  <si>
    <t>tok4</t>
  </si>
  <si>
    <t>陽平(â)</t>
  </si>
  <si>
    <t>/</t>
  </si>
  <si>
    <t>同</t>
  </si>
  <si>
    <t>陽上(ǎ)</t>
  </si>
  <si>
    <t>動</t>
  </si>
  <si>
    <t>-</t>
  </si>
  <si>
    <t>洞</t>
  </si>
  <si>
    <t>陽入(a̍h)</t>
  </si>
  <si>
    <t>]</t>
  </si>
  <si>
    <t>毒</t>
  </si>
  <si>
    <t>tok8</t>
  </si>
  <si>
    <t>.</t>
  </si>
  <si>
    <t>鍵盤按鍵</t>
    <phoneticPr fontId="1" type="noConversion"/>
  </si>
  <si>
    <t>tong1</t>
    <phoneticPr fontId="1" type="noConversion"/>
  </si>
  <si>
    <t>tong2</t>
    <phoneticPr fontId="1" type="noConversion"/>
  </si>
  <si>
    <t>tong3</t>
    <phoneticPr fontId="1" type="noConversion"/>
  </si>
  <si>
    <t>tong5</t>
    <phoneticPr fontId="1" type="noConversion"/>
  </si>
  <si>
    <t>tong6</t>
    <phoneticPr fontId="1" type="noConversion"/>
  </si>
  <si>
    <t>tong7</t>
    <phoneticPr fontId="1" type="noConversion"/>
  </si>
  <si>
    <t>王</t>
    <phoneticPr fontId="1" type="noConversion"/>
  </si>
  <si>
    <t>之</t>
    <phoneticPr fontId="1" type="noConversion"/>
  </si>
  <si>
    <t>渙</t>
    <phoneticPr fontId="1" type="noConversion"/>
  </si>
  <si>
    <t>黄</t>
    <phoneticPr fontId="1" type="noConversion"/>
  </si>
  <si>
    <t>河</t>
    <phoneticPr fontId="1" type="noConversion"/>
  </si>
  <si>
    <t>遠</t>
    <phoneticPr fontId="1" type="noConversion"/>
  </si>
  <si>
    <t>上</t>
    <phoneticPr fontId="1" type="noConversion"/>
  </si>
  <si>
    <t>白</t>
    <phoneticPr fontId="1" type="noConversion"/>
  </si>
  <si>
    <t>雲</t>
    <phoneticPr fontId="1" type="noConversion"/>
  </si>
  <si>
    <t>間</t>
    <phoneticPr fontId="1" type="noConversion"/>
  </si>
  <si>
    <t>，</t>
    <phoneticPr fontId="1" type="noConversion"/>
  </si>
  <si>
    <t>一</t>
    <phoneticPr fontId="1" type="noConversion"/>
  </si>
  <si>
    <t>片</t>
    <phoneticPr fontId="1" type="noConversion"/>
  </si>
  <si>
    <t>孤</t>
    <phoneticPr fontId="1" type="noConversion"/>
  </si>
  <si>
    <t>城</t>
    <phoneticPr fontId="1" type="noConversion"/>
  </si>
  <si>
    <t>萬</t>
    <phoneticPr fontId="1" type="noConversion"/>
  </si>
  <si>
    <t>仞</t>
    <phoneticPr fontId="1" type="noConversion"/>
  </si>
  <si>
    <t>山</t>
    <phoneticPr fontId="1" type="noConversion"/>
  </si>
  <si>
    <t>。</t>
    <phoneticPr fontId="1" type="noConversion"/>
  </si>
  <si>
    <t>羌</t>
    <phoneticPr fontId="1" type="noConversion"/>
  </si>
  <si>
    <t>笛</t>
    <phoneticPr fontId="1" type="noConversion"/>
  </si>
  <si>
    <t>何</t>
    <phoneticPr fontId="1" type="noConversion"/>
  </si>
  <si>
    <t>須</t>
    <phoneticPr fontId="1" type="noConversion"/>
  </si>
  <si>
    <t>怨</t>
    <phoneticPr fontId="1" type="noConversion"/>
  </si>
  <si>
    <t>楊</t>
    <phoneticPr fontId="1" type="noConversion"/>
  </si>
  <si>
    <t>柳</t>
    <phoneticPr fontId="1" type="noConversion"/>
  </si>
  <si>
    <t>春</t>
    <phoneticPr fontId="1" type="noConversion"/>
  </si>
  <si>
    <t>風</t>
    <phoneticPr fontId="1" type="noConversion"/>
  </si>
  <si>
    <t>不</t>
    <phoneticPr fontId="1" type="noConversion"/>
  </si>
  <si>
    <t>度</t>
    <phoneticPr fontId="1" type="noConversion"/>
  </si>
  <si>
    <t>玉</t>
    <phoneticPr fontId="1" type="noConversion"/>
  </si>
  <si>
    <t>門</t>
    <phoneticPr fontId="1" type="noConversion"/>
  </si>
  <si>
    <t>關</t>
    <phoneticPr fontId="1" type="noConversion"/>
  </si>
  <si>
    <t>ong5</t>
    <phoneticPr fontId="1" type="noConversion"/>
  </si>
  <si>
    <t>zi1</t>
    <phoneticPr fontId="1" type="noConversion"/>
  </si>
  <si>
    <t>huan3</t>
    <phoneticPr fontId="1" type="noConversion"/>
  </si>
  <si>
    <t>hong5</t>
    <phoneticPr fontId="1" type="noConversion"/>
  </si>
  <si>
    <t>ho5</t>
    <phoneticPr fontId="1" type="noConversion"/>
  </si>
  <si>
    <t>uan2</t>
    <phoneticPr fontId="1" type="noConversion"/>
  </si>
  <si>
    <t>siong2</t>
    <phoneticPr fontId="1" type="noConversion"/>
  </si>
  <si>
    <t>pik8</t>
    <phoneticPr fontId="1" type="noConversion"/>
  </si>
  <si>
    <t>hun5</t>
    <phoneticPr fontId="1" type="noConversion"/>
  </si>
  <si>
    <t>kan1</t>
    <phoneticPr fontId="1" type="noConversion"/>
  </si>
  <si>
    <t>`</t>
  </si>
  <si>
    <t>`</t>
    <phoneticPr fontId="1" type="noConversion"/>
  </si>
  <si>
    <t>,</t>
    <phoneticPr fontId="1" type="noConversion"/>
  </si>
  <si>
    <t>.</t>
    <phoneticPr fontId="1" type="noConversion"/>
  </si>
  <si>
    <t>it4</t>
    <phoneticPr fontId="1" type="noConversion"/>
  </si>
  <si>
    <t>phian3</t>
    <phoneticPr fontId="1" type="noConversion"/>
  </si>
  <si>
    <t>koo1</t>
    <phoneticPr fontId="1" type="noConversion"/>
  </si>
  <si>
    <t>sing5</t>
    <phoneticPr fontId="1" type="noConversion"/>
  </si>
  <si>
    <t>ban7</t>
    <phoneticPr fontId="1" type="noConversion"/>
  </si>
  <si>
    <t>jin7</t>
    <phoneticPr fontId="1" type="noConversion"/>
  </si>
  <si>
    <t>san1</t>
    <phoneticPr fontId="1" type="noConversion"/>
  </si>
  <si>
    <t>khiang1</t>
    <phoneticPr fontId="1" type="noConversion"/>
  </si>
  <si>
    <t>tik8</t>
    <phoneticPr fontId="1" type="noConversion"/>
  </si>
  <si>
    <t>su1</t>
    <phoneticPr fontId="1" type="noConversion"/>
  </si>
  <si>
    <t>uan3</t>
    <phoneticPr fontId="1" type="noConversion"/>
  </si>
  <si>
    <t>iong5</t>
    <phoneticPr fontId="1" type="noConversion"/>
  </si>
  <si>
    <t>liu2</t>
    <phoneticPr fontId="1" type="noConversion"/>
  </si>
  <si>
    <t>cun1</t>
    <phoneticPr fontId="1" type="noConversion"/>
  </si>
  <si>
    <t>hong1</t>
    <phoneticPr fontId="1" type="noConversion"/>
  </si>
  <si>
    <t>put4</t>
    <phoneticPr fontId="1" type="noConversion"/>
  </si>
  <si>
    <t>too7</t>
    <phoneticPr fontId="1" type="noConversion"/>
  </si>
  <si>
    <t>giok8</t>
    <phoneticPr fontId="1" type="noConversion"/>
  </si>
  <si>
    <t>bun5</t>
    <phoneticPr fontId="1" type="noConversion"/>
  </si>
  <si>
    <t>kuan1</t>
    <phoneticPr fontId="1" type="noConversion"/>
  </si>
  <si>
    <t>羅馬拼音
聲調按鍵</t>
    <phoneticPr fontId="1" type="noConversion"/>
  </si>
  <si>
    <t>方音符號
聲調按鍵</t>
    <phoneticPr fontId="1" type="noConversion"/>
  </si>
  <si>
    <t>台羅調號</t>
    <phoneticPr fontId="1" type="noConversion"/>
  </si>
  <si>
    <t>序號</t>
    <phoneticPr fontId="1" type="noConversion"/>
  </si>
  <si>
    <t>高音調</t>
    <phoneticPr fontId="1" type="noConversion"/>
  </si>
  <si>
    <t>中音調</t>
    <phoneticPr fontId="1" type="noConversion"/>
  </si>
  <si>
    <t>低音調</t>
    <phoneticPr fontId="1" type="noConversion"/>
  </si>
  <si>
    <t>高降調</t>
    <phoneticPr fontId="1" type="noConversion"/>
  </si>
  <si>
    <t>低升調</t>
    <phoneticPr fontId="1" type="noConversion"/>
  </si>
  <si>
    <t>低促調</t>
    <phoneticPr fontId="1" type="noConversion"/>
  </si>
  <si>
    <t>高促調</t>
    <phoneticPr fontId="1" type="noConversion"/>
  </si>
  <si>
    <t>W聲調名</t>
    <phoneticPr fontId="1" type="noConversion"/>
  </si>
  <si>
    <t xml:space="preserve">《涼州詞》王之渙
黃河遠上白雲間，
一片孤城萬仞山。
羌笛何須怨楊柳，
春風不度玉門關。
</t>
    <phoneticPr fontId="1" type="noConversion"/>
  </si>
  <si>
    <t>ziu1</t>
    <phoneticPr fontId="1" type="noConversion"/>
  </si>
  <si>
    <t>su5</t>
    <phoneticPr fontId="1" type="noConversion"/>
  </si>
  <si>
    <t>《</t>
  </si>
  <si>
    <t>涼</t>
  </si>
  <si>
    <t>》</t>
  </si>
  <si>
    <t>王</t>
  </si>
  <si>
    <t>之</t>
  </si>
  <si>
    <t>渙</t>
  </si>
  <si>
    <t>ㄌㄧㄤˊ</t>
    <phoneticPr fontId="1" type="noConversion"/>
  </si>
  <si>
    <t>ㄐㄧㄨ</t>
    <phoneticPr fontId="1" type="noConversion"/>
  </si>
  <si>
    <t>ㄙㄨˊ</t>
    <phoneticPr fontId="1" type="noConversion"/>
  </si>
  <si>
    <t>ㆲˊ</t>
    <phoneticPr fontId="1" type="noConversion"/>
  </si>
  <si>
    <t>ㄐㄧ</t>
    <phoneticPr fontId="1" type="noConversion"/>
  </si>
  <si>
    <t>ㄏㄨㄢ˪</t>
    <phoneticPr fontId="1" type="noConversion"/>
  </si>
  <si>
    <t>黃</t>
  </si>
  <si>
    <t>河</t>
  </si>
  <si>
    <t>遠</t>
  </si>
  <si>
    <t>上</t>
  </si>
  <si>
    <t>白</t>
  </si>
  <si>
    <t>雲</t>
  </si>
  <si>
    <t>間</t>
  </si>
  <si>
    <t>，</t>
  </si>
  <si>
    <t>ㄏㆲˊ</t>
    <phoneticPr fontId="1" type="noConversion"/>
  </si>
  <si>
    <t>ㄏㄜˊ</t>
    <phoneticPr fontId="1" type="noConversion"/>
  </si>
  <si>
    <t>ㄨㄢˋ</t>
    <phoneticPr fontId="1" type="noConversion"/>
  </si>
  <si>
    <t>ㄒㄧㆲˋ</t>
    <phoneticPr fontId="1" type="noConversion"/>
  </si>
  <si>
    <t>ㄅㄧㆻ˙</t>
    <phoneticPr fontId="1" type="noConversion"/>
  </si>
  <si>
    <t>ㄏㄨㄣˊ</t>
    <phoneticPr fontId="1" type="noConversion"/>
  </si>
  <si>
    <t>ㄍㄢ</t>
    <phoneticPr fontId="1" type="noConversion"/>
  </si>
  <si>
    <t>一</t>
  </si>
  <si>
    <t>片</t>
  </si>
  <si>
    <t>孤</t>
  </si>
  <si>
    <t>城</t>
  </si>
  <si>
    <t>萬</t>
  </si>
  <si>
    <t>仞</t>
  </si>
  <si>
    <t>山</t>
  </si>
  <si>
    <t>。</t>
  </si>
  <si>
    <t>ㄧㆵ</t>
    <phoneticPr fontId="1" type="noConversion"/>
  </si>
  <si>
    <t>ㄆㄧㄢ˪</t>
    <phoneticPr fontId="1" type="noConversion"/>
  </si>
  <si>
    <t>ㄍㆦ</t>
    <phoneticPr fontId="1" type="noConversion"/>
  </si>
  <si>
    <t>ㄒㄧㄥˊ</t>
    <phoneticPr fontId="1" type="noConversion"/>
  </si>
  <si>
    <t>ㆠㄢ˫</t>
    <phoneticPr fontId="1" type="noConversion"/>
  </si>
  <si>
    <t>ㆢㄧㄣ˫</t>
    <phoneticPr fontId="1" type="noConversion"/>
  </si>
  <si>
    <t>ㄙㄢ</t>
    <phoneticPr fontId="1" type="noConversion"/>
  </si>
  <si>
    <t>羌</t>
  </si>
  <si>
    <t>笛</t>
  </si>
  <si>
    <t>何</t>
  </si>
  <si>
    <t>須</t>
  </si>
  <si>
    <t>怨</t>
  </si>
  <si>
    <t>楊</t>
  </si>
  <si>
    <t>柳</t>
  </si>
  <si>
    <t>ㄎㄧㄤ</t>
    <phoneticPr fontId="1" type="noConversion"/>
  </si>
  <si>
    <t>ㄉㄧㆻ˙</t>
    <phoneticPr fontId="1" type="noConversion"/>
  </si>
  <si>
    <t>ㄙㄨ</t>
    <phoneticPr fontId="1" type="noConversion"/>
  </si>
  <si>
    <t>ㄨㄢ˪</t>
    <phoneticPr fontId="1" type="noConversion"/>
  </si>
  <si>
    <t>ㄧㆲˊ</t>
    <phoneticPr fontId="1" type="noConversion"/>
  </si>
  <si>
    <t>ㄌㄧㄨˋ</t>
    <phoneticPr fontId="1" type="noConversion"/>
  </si>
  <si>
    <t>春</t>
  </si>
  <si>
    <t>風</t>
  </si>
  <si>
    <t>不</t>
  </si>
  <si>
    <t>度</t>
  </si>
  <si>
    <t>玉</t>
  </si>
  <si>
    <t>門</t>
  </si>
  <si>
    <t>關</t>
  </si>
  <si>
    <t>ㄘㄨㄣ</t>
    <phoneticPr fontId="1" type="noConversion"/>
  </si>
  <si>
    <t>ㄏㆲ</t>
    <phoneticPr fontId="1" type="noConversion"/>
  </si>
  <si>
    <t>ㄅㄨㆵ</t>
    <phoneticPr fontId="1" type="noConversion"/>
  </si>
  <si>
    <t>ㄉㆦ˫</t>
    <phoneticPr fontId="1" type="noConversion"/>
  </si>
  <si>
    <t>ㆣㄧㆦㆻ˙</t>
    <phoneticPr fontId="1" type="noConversion"/>
  </si>
  <si>
    <t>ㆠㄨㄣˊ</t>
    <phoneticPr fontId="1" type="noConversion"/>
  </si>
  <si>
    <t>ㄍㄨㄢ</t>
    <phoneticPr fontId="1" type="noConversion"/>
  </si>
  <si>
    <t>φ</t>
  </si>
  <si>
    <t>注音符號/
羅馬字母拼音</t>
    <phoneticPr fontId="1" type="noConversion"/>
  </si>
  <si>
    <t>ㄌㄧㄤˊ</t>
  </si>
  <si>
    <t>ㄌ</t>
  </si>
  <si>
    <t>ㄧ</t>
  </si>
  <si>
    <t>ㄤ</t>
  </si>
  <si>
    <t>ㄐㄧㄨ</t>
  </si>
  <si>
    <t>ㄐ</t>
  </si>
  <si>
    <t>ㄨ</t>
  </si>
  <si>
    <t xml:space="preserve"> </t>
  </si>
  <si>
    <t>ㄙㄨˊ</t>
  </si>
  <si>
    <t>ㄙ</t>
  </si>
  <si>
    <t>ㆲˊ</t>
  </si>
  <si>
    <t>ㆲ</t>
  </si>
  <si>
    <t>ㄐㄧ</t>
  </si>
  <si>
    <t>ㄏㄨㄢ˪</t>
  </si>
  <si>
    <t>ㄏ</t>
  </si>
  <si>
    <t>ㄢ</t>
  </si>
  <si>
    <t>ㄏㆲˊ</t>
  </si>
  <si>
    <t>ㄏㄜˊ</t>
  </si>
  <si>
    <t>ㄜ</t>
  </si>
  <si>
    <t>ㄨㄢˋ</t>
  </si>
  <si>
    <t>ㄒㄧㆲˋ</t>
  </si>
  <si>
    <t>ㄒ</t>
  </si>
  <si>
    <t>ㄅㄧㆻ˙</t>
  </si>
  <si>
    <t>ㄅ</t>
  </si>
  <si>
    <t>ㆻ</t>
  </si>
  <si>
    <t>ㄏㄨㄣˊ</t>
  </si>
  <si>
    <t>ㄣ</t>
  </si>
  <si>
    <t>ㄍㄢ</t>
  </si>
  <si>
    <t>ㄍ</t>
  </si>
  <si>
    <t>ㄧㆵ</t>
  </si>
  <si>
    <t>ㆵ</t>
  </si>
  <si>
    <t>ㄆㄧㄢ˪</t>
  </si>
  <si>
    <t>ㄆ</t>
  </si>
  <si>
    <t>ㄍㆦ</t>
  </si>
  <si>
    <t>ㆦ</t>
  </si>
  <si>
    <t>ㄒㄧㄥˊ</t>
  </si>
  <si>
    <t>ㄥ</t>
  </si>
  <si>
    <t>ㆠㄢ˫</t>
  </si>
  <si>
    <t>ㆠ</t>
  </si>
  <si>
    <t>ㆢㄧㄣ˫</t>
  </si>
  <si>
    <t>ㆢ</t>
  </si>
  <si>
    <t>ㄙㄢ</t>
  </si>
  <si>
    <t>ㄎㄧㄤ</t>
  </si>
  <si>
    <t>ㄎ</t>
  </si>
  <si>
    <t>ㄉㄧㆻ˙</t>
  </si>
  <si>
    <t>ㄉ</t>
  </si>
  <si>
    <t>ㄙㄨ</t>
  </si>
  <si>
    <t>ㄨㄢ˪</t>
  </si>
  <si>
    <t>ㄧㆲˊ</t>
  </si>
  <si>
    <t>ㄌㄧㄨˋ</t>
  </si>
  <si>
    <t>ㄘㄨㄣ</t>
  </si>
  <si>
    <t>ㄘ</t>
  </si>
  <si>
    <t>ㄏㆲ</t>
  </si>
  <si>
    <t>ㄅㄨㆵ</t>
  </si>
  <si>
    <t>ㄉㆦ˫</t>
  </si>
  <si>
    <t>ㆣㄧㆦㆻ˙</t>
  </si>
  <si>
    <t>ㆣ</t>
  </si>
  <si>
    <t>ㆠㄨㄣˊ</t>
  </si>
  <si>
    <t>ㄍㄨㄢ</t>
  </si>
  <si>
    <r>
      <t>tong</t>
    </r>
    <r>
      <rPr>
        <b/>
        <sz val="24"/>
        <color rgb="FFFF0000"/>
        <rFont val="Segoe UI"/>
        <family val="2"/>
      </rPr>
      <t>-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</si>
  <si>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;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</si>
  <si>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_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</si>
  <si>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\</t>
    </r>
    <phoneticPr fontId="1" type="noConversion"/>
  </si>
  <si>
    <r>
      <t>tong</t>
    </r>
    <r>
      <rPr>
        <b/>
        <sz val="24"/>
        <color rgb="FFFF0000"/>
        <rFont val="Segoe UI"/>
        <family val="2"/>
      </rPr>
      <t>/</t>
    </r>
    <phoneticPr fontId="1" type="noConversion"/>
  </si>
  <si>
    <r>
      <t>tok</t>
    </r>
    <r>
      <rPr>
        <b/>
        <sz val="24"/>
        <color rgb="FFFF0000"/>
        <rFont val="Segoe UI"/>
        <family val="2"/>
      </rPr>
      <t>[</t>
    </r>
    <phoneticPr fontId="1" type="noConversion"/>
  </si>
  <si>
    <r>
      <t>tok</t>
    </r>
    <r>
      <rPr>
        <b/>
        <sz val="24"/>
        <color rgb="FFFF0000"/>
        <rFont val="Segoe UI"/>
        <family val="2"/>
      </rPr>
      <t>]</t>
    </r>
    <phoneticPr fontId="1" type="noConversion"/>
  </si>
  <si>
    <t>方音符號</t>
    <phoneticPr fontId="1" type="noConversion"/>
  </si>
  <si>
    <r>
      <rPr>
        <sz val="24"/>
        <color rgb="FF1F2328"/>
        <rFont val="Microsoft JhengHei"/>
        <family val="2"/>
      </rPr>
      <t>ㄉ</t>
    </r>
    <r>
      <rPr>
        <sz val="24"/>
        <color rgb="FF1F2328"/>
        <rFont val="Microsoft JhengHei"/>
        <family val="2"/>
        <charset val="136"/>
      </rPr>
      <t>ㆲ</t>
    </r>
    <phoneticPr fontId="1" type="noConversion"/>
  </si>
  <si>
    <t>ㄉㆲ</t>
  </si>
  <si>
    <t>ㄉㆲ˙</t>
    <phoneticPr fontId="1" type="noConversion"/>
  </si>
  <si>
    <t>ㄉㆲ˪</t>
    <phoneticPr fontId="1" type="noConversion"/>
  </si>
  <si>
    <t>ㄉㆲˋ</t>
    <phoneticPr fontId="1" type="noConversion"/>
  </si>
  <si>
    <r>
      <rPr>
        <sz val="24"/>
        <color rgb="FF1F2328"/>
        <rFont val="Noto Sans TC"/>
        <family val="2"/>
        <charset val="136"/>
      </rPr>
      <t>ㄉㆲ</t>
    </r>
    <r>
      <rPr>
        <sz val="24"/>
        <color rgb="FF1F2328"/>
        <rFont val="Segoe UI"/>
        <family val="2"/>
      </rPr>
      <t>ˊ</t>
    </r>
    <phoneticPr fontId="1" type="noConversion"/>
  </si>
  <si>
    <r>
      <rPr>
        <sz val="24"/>
        <color rgb="FF1F2328"/>
        <rFont val="Microsoft JhengHei"/>
        <family val="2"/>
      </rPr>
      <t>ㄉ</t>
    </r>
    <r>
      <rPr>
        <sz val="24"/>
        <color rgb="FF1F2328"/>
        <rFont val="Microsoft JhengHei"/>
        <family val="2"/>
        <charset val="136"/>
      </rPr>
      <t>ㆦ</t>
    </r>
    <r>
      <rPr>
        <sz val="24"/>
        <color rgb="FF1F2328"/>
        <rFont val="Noto Sans TC"/>
        <family val="2"/>
        <charset val="136"/>
      </rPr>
      <t>ㆻ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</si>
  <si>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24"/>
        <color rgb="FF1F2328"/>
        <rFont val="Segoe UI"/>
        <family val="2"/>
      </rPr>
      <t>˙</t>
    </r>
    <phoneticPr fontId="1" type="noConversion"/>
  </si>
  <si>
    <t>四聲八調</t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</si>
  <si>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【空白】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</si>
  <si>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【3】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</si>
  <si>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【4】</t>
    </r>
    <phoneticPr fontId="1" type="noConversion"/>
  </si>
  <si>
    <r>
      <t>ㄉㆲ</t>
    </r>
    <r>
      <rPr>
        <sz val="14"/>
        <color rgb="FFFF0000"/>
        <rFont val="Noto Sans TC"/>
        <family val="2"/>
        <charset val="136"/>
      </rPr>
      <t>【6】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</si>
  <si>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14"/>
        <color rgb="FFFF0000"/>
        <rFont val="Noto Serif TC"/>
        <family val="1"/>
        <charset val="136"/>
      </rPr>
      <t>【空白】</t>
    </r>
    <phoneticPr fontId="1" type="noConversion"/>
  </si>
  <si>
    <r>
      <rPr>
        <sz val="24"/>
        <color rgb="FF1F2328"/>
        <rFont val="Noto Sans TC"/>
        <family val="2"/>
        <charset val="136"/>
      </rPr>
      <t>ㄉㆦㆻ</t>
    </r>
    <r>
      <rPr>
        <sz val="14"/>
        <color rgb="FFFF0000"/>
        <rFont val="細明體"/>
        <family val="2"/>
        <charset val="136"/>
      </rPr>
      <t>【7】</t>
    </r>
    <phoneticPr fontId="1" type="noConversion"/>
  </si>
  <si>
    <t>陽去(ā) </t>
    <phoneticPr fontId="1" type="noConversion"/>
  </si>
  <si>
    <t>俗</t>
    <phoneticPr fontId="1" type="noConversion"/>
  </si>
  <si>
    <t>閩拼調號</t>
    <phoneticPr fontId="1" type="noConversion"/>
  </si>
  <si>
    <r>
      <t>tong</t>
    </r>
    <r>
      <rPr>
        <b/>
        <strike/>
        <sz val="24"/>
        <color theme="0" tint="-0.14999847407452621"/>
        <rFont val="新細明體"/>
        <family val="1"/>
      </rPr>
      <t>\</t>
    </r>
    <phoneticPr fontId="1" type="noConversion"/>
  </si>
  <si>
    <t>羅馬拼音
聲調符號</t>
    <phoneticPr fontId="1" type="noConversion"/>
  </si>
  <si>
    <t>方音符號
聲調符號</t>
    <phoneticPr fontId="1" type="noConversion"/>
  </si>
  <si>
    <t>ˉ</t>
    <phoneticPr fontId="1" type="noConversion"/>
  </si>
  <si>
    <t>˫</t>
    <phoneticPr fontId="1" type="noConversion"/>
  </si>
  <si>
    <t>ˋ</t>
    <phoneticPr fontId="1" type="noConversion"/>
  </si>
  <si>
    <t>˪</t>
    <phoneticPr fontId="1" type="noConversion"/>
  </si>
  <si>
    <t>ˊ</t>
    <phoneticPr fontId="1" type="noConversion"/>
  </si>
  <si>
    <t>ˆ</t>
    <phoneticPr fontId="1" type="noConversion"/>
  </si>
  <si>
    <t>ˈ</t>
    <phoneticPr fontId="1" type="noConversion"/>
  </si>
  <si>
    <t>˙</t>
    <phoneticPr fontId="1" type="noConversion"/>
  </si>
  <si>
    <t>標準輸入方式</t>
    <phoneticPr fontId="1" type="noConversion"/>
  </si>
  <si>
    <t>入聲韻尾</t>
    <phoneticPr fontId="1" type="noConversion"/>
  </si>
  <si>
    <r>
      <t>ㄅㄨ</t>
    </r>
    <r>
      <rPr>
        <sz val="24"/>
        <color rgb="FFFF0000"/>
        <rFont val="Noto Serif TC SemiBold"/>
        <family val="1"/>
      </rPr>
      <t>ㆵ</t>
    </r>
    <phoneticPr fontId="1" type="noConversion"/>
  </si>
  <si>
    <r>
      <t>ㄒㄧㆦ</t>
    </r>
    <r>
      <rPr>
        <sz val="24"/>
        <color rgb="FFFF0000"/>
        <rFont val="Noto Serif TC SemiBold"/>
        <family val="1"/>
      </rPr>
      <t>ㆻ</t>
    </r>
    <r>
      <rPr>
        <sz val="24"/>
        <color theme="1"/>
        <rFont val="Noto Serif TC SemiBold"/>
        <family val="1"/>
        <charset val="136"/>
      </rPr>
      <t>˙</t>
    </r>
    <phoneticPr fontId="1" type="noConversion"/>
  </si>
  <si>
    <r>
      <t>不用</t>
    </r>
    <r>
      <rPr>
        <sz val="24"/>
        <color rgb="FF7030A0"/>
        <rFont val="Noto Serif TC Black"/>
        <family val="1"/>
        <charset val="136"/>
      </rPr>
      <t>標準按鍵</t>
    </r>
    <r>
      <rPr>
        <sz val="24"/>
        <color theme="1"/>
        <rFont val="Noto Serif TC Black"/>
        <family val="1"/>
        <charset val="136"/>
      </rPr>
      <t>輸入方式</t>
    </r>
    <phoneticPr fontId="1" type="noConversion"/>
  </si>
  <si>
    <r>
      <t>ㄅㄨ</t>
    </r>
    <r>
      <rPr>
        <sz val="24"/>
        <color rgb="FFFF0000"/>
        <rFont val="Noto Serif TC SemiBold"/>
        <family val="1"/>
      </rPr>
      <t>ㄉ</t>
    </r>
    <phoneticPr fontId="1" type="noConversion"/>
  </si>
  <si>
    <r>
      <t>ㄒㄧㆦ</t>
    </r>
    <r>
      <rPr>
        <sz val="24"/>
        <color rgb="FFFF0000"/>
        <rFont val="Noto Serif TC SemiBold"/>
        <family val="1"/>
      </rPr>
      <t>ㄍ</t>
    </r>
    <r>
      <rPr>
        <sz val="24"/>
        <color theme="1"/>
        <rFont val="Noto Serif TC SemiBold"/>
        <family val="1"/>
        <charset val="136"/>
      </rPr>
      <t>˙</t>
    </r>
    <phoneticPr fontId="1" type="noConversion"/>
  </si>
  <si>
    <r>
      <rPr>
        <sz val="24"/>
        <rFont val="Noto Serif TC Black"/>
        <family val="1"/>
        <charset val="136"/>
      </rPr>
      <t>使用</t>
    </r>
    <r>
      <rPr>
        <sz val="24"/>
        <color rgb="FF7030A0"/>
        <rFont val="Noto Serif TC Black"/>
        <family val="1"/>
        <charset val="136"/>
      </rPr>
      <t>入聲按鍵</t>
    </r>
    <r>
      <rPr>
        <sz val="24"/>
        <color theme="1"/>
        <rFont val="Noto Serif TC Black"/>
        <family val="1"/>
        <charset val="136"/>
      </rPr>
      <t>輸入方式</t>
    </r>
    <phoneticPr fontId="1" type="noConversion"/>
  </si>
  <si>
    <r>
      <t>ㄅㄨ</t>
    </r>
    <r>
      <rPr>
        <sz val="16"/>
        <color rgb="FF7030A0"/>
        <rFont val="Noto Serif TC SemiBold"/>
        <family val="1"/>
      </rPr>
      <t>【入】</t>
    </r>
    <phoneticPr fontId="1" type="noConversion"/>
  </si>
  <si>
    <r>
      <t>ㄒㄧㆦ</t>
    </r>
    <r>
      <rPr>
        <sz val="16"/>
        <color rgb="FF7030A0"/>
        <rFont val="Noto Serif TC SemiBold"/>
        <family val="1"/>
      </rPr>
      <t>【入】</t>
    </r>
    <phoneticPr fontId="1" type="noConversion"/>
  </si>
  <si>
    <t>鼻音韻母</t>
    <phoneticPr fontId="1" type="noConversion"/>
  </si>
  <si>
    <t>嬰</t>
    <phoneticPr fontId="1" type="noConversion"/>
  </si>
  <si>
    <t>ㆥ</t>
    <phoneticPr fontId="1" type="noConversion"/>
  </si>
  <si>
    <t>ㆩ˫</t>
    <phoneticPr fontId="1" type="noConversion"/>
  </si>
  <si>
    <t>餡</t>
    <phoneticPr fontId="1" type="noConversion"/>
  </si>
  <si>
    <t>ㆪ˫</t>
    <phoneticPr fontId="1" type="noConversion"/>
  </si>
  <si>
    <t>院</t>
    <phoneticPr fontId="1" type="noConversion"/>
  </si>
  <si>
    <t>ㄧㆫˊ</t>
    <phoneticPr fontId="1" type="noConversion"/>
  </si>
  <si>
    <t>ㆧ</t>
    <phoneticPr fontId="1" type="noConversion"/>
  </si>
  <si>
    <t>唔</t>
    <phoneticPr fontId="1" type="noConversion"/>
  </si>
  <si>
    <t>ㆮˊ</t>
    <phoneticPr fontId="1" type="noConversion"/>
  </si>
  <si>
    <t>閒</t>
    <phoneticPr fontId="1" type="noConversion"/>
  </si>
  <si>
    <t>ㆯ</t>
    <phoneticPr fontId="1" type="noConversion"/>
  </si>
  <si>
    <t>哮</t>
    <phoneticPr fontId="1" type="noConversion"/>
  </si>
  <si>
    <r>
      <t>使用</t>
    </r>
    <r>
      <rPr>
        <sz val="24"/>
        <color rgb="FF7030A0"/>
        <rFont val="Noto Serif TC Black"/>
        <family val="1"/>
        <charset val="136"/>
      </rPr>
      <t>鼻韻前綴符號</t>
    </r>
    <r>
      <rPr>
        <sz val="24"/>
        <color theme="1"/>
        <rFont val="Noto Serif TC Black"/>
        <family val="1"/>
        <charset val="136"/>
      </rPr>
      <t>輸入方式</t>
    </r>
    <phoneticPr fontId="1" type="noConversion"/>
  </si>
  <si>
    <t>ㄥㄚ˫</t>
    <phoneticPr fontId="1" type="noConversion"/>
  </si>
  <si>
    <t>ㄥㄧ˫</t>
    <phoneticPr fontId="1" type="noConversion"/>
  </si>
  <si>
    <t>ㄥㄧㄨˊ</t>
    <phoneticPr fontId="1" type="noConversion"/>
  </si>
  <si>
    <t>ㄥㆤ</t>
    <phoneticPr fontId="1" type="noConversion"/>
  </si>
  <si>
    <t>ㄥㆦ</t>
    <phoneticPr fontId="1" type="noConversion"/>
  </si>
  <si>
    <t>ㄥㄞ</t>
    <phoneticPr fontId="1" type="noConversion"/>
  </si>
  <si>
    <t>ㄥㄠ</t>
    <phoneticPr fontId="1" type="noConversion"/>
  </si>
  <si>
    <t>驚</t>
    <phoneticPr fontId="1" type="noConversion"/>
  </si>
  <si>
    <t>香</t>
    <phoneticPr fontId="1" type="noConversion"/>
  </si>
  <si>
    <t>ㄏㄧㆧ</t>
    <phoneticPr fontId="1" type="noConversion"/>
  </si>
  <si>
    <t>ㄍㄨㆩ</t>
    <phoneticPr fontId="1" type="noConversion"/>
  </si>
  <si>
    <t>肝</t>
    <phoneticPr fontId="1" type="noConversion"/>
  </si>
  <si>
    <t>閂</t>
    <phoneticPr fontId="1" type="noConversion"/>
  </si>
  <si>
    <t>荒</t>
    <phoneticPr fontId="1" type="noConversion"/>
  </si>
  <si>
    <t>ㄍㄨㆮ</t>
    <phoneticPr fontId="1" type="noConversion"/>
  </si>
  <si>
    <t>ㄏㄧㆫ</t>
    <phoneticPr fontId="1" type="noConversion"/>
  </si>
  <si>
    <t>鳥</t>
    <phoneticPr fontId="1" type="noConversion"/>
  </si>
  <si>
    <t>ㆢㄧㆯˋ</t>
    <phoneticPr fontId="1" type="noConversion"/>
  </si>
  <si>
    <t>ㆢㄥㄧㄠˋ</t>
    <phoneticPr fontId="1" type="noConversion"/>
  </si>
  <si>
    <t>ㄍㄥㄨㄚ</t>
    <phoneticPr fontId="1" type="noConversion"/>
  </si>
  <si>
    <t>ㄍㄥㄨㄞ</t>
    <phoneticPr fontId="1" type="noConversion"/>
  </si>
  <si>
    <t>其餘韻母</t>
    <phoneticPr fontId="1" type="noConversion"/>
  </si>
  <si>
    <t>堪</t>
    <phoneticPr fontId="1" type="noConversion"/>
  </si>
  <si>
    <r>
      <t>ㄎ</t>
    </r>
    <r>
      <rPr>
        <sz val="24"/>
        <color rgb="FFFF0000"/>
        <rFont val="Noto Serif TC SemiBold"/>
        <family val="1"/>
      </rPr>
      <t>ㆰ</t>
    </r>
    <phoneticPr fontId="1" type="noConversion"/>
  </si>
  <si>
    <r>
      <t>ㄉ</t>
    </r>
    <r>
      <rPr>
        <sz val="24"/>
        <color rgb="FFFF0000"/>
        <rFont val="Noto Serif TC SemiBold"/>
        <family val="1"/>
      </rPr>
      <t>ㆱ</t>
    </r>
    <phoneticPr fontId="1" type="noConversion"/>
  </si>
  <si>
    <t>丼</t>
    <phoneticPr fontId="1" type="noConversion"/>
  </si>
  <si>
    <r>
      <t>ㄏ</t>
    </r>
    <r>
      <rPr>
        <sz val="24"/>
        <color rgb="FFFF0000"/>
        <rFont val="Noto Serif TC SemiBold"/>
        <family val="1"/>
      </rPr>
      <t>ㆲ</t>
    </r>
    <phoneticPr fontId="1" type="noConversion"/>
  </si>
  <si>
    <t>豬</t>
    <phoneticPr fontId="1" type="noConversion"/>
  </si>
  <si>
    <r>
      <t>ㄉ</t>
    </r>
    <r>
      <rPr>
        <sz val="24"/>
        <color rgb="FFFF0000"/>
        <rFont val="Noto Serif TC SemiBold"/>
        <family val="1"/>
      </rPr>
      <t>ㆨ</t>
    </r>
    <phoneticPr fontId="1" type="noConversion"/>
  </si>
  <si>
    <r>
      <rPr>
        <sz val="24"/>
        <color rgb="FF7030A0"/>
        <rFont val="Noto Serif TC Black"/>
        <family val="1"/>
        <charset val="136"/>
      </rPr>
      <t>組合</t>
    </r>
    <r>
      <rPr>
        <sz val="24"/>
        <color theme="1"/>
        <rFont val="Noto Serif TC Black"/>
        <family val="1"/>
        <charset val="136"/>
      </rPr>
      <t>輸入方式</t>
    </r>
    <phoneticPr fontId="1" type="noConversion"/>
  </si>
  <si>
    <r>
      <t>ㄎ</t>
    </r>
    <r>
      <rPr>
        <sz val="24"/>
        <color rgb="FFFF0000"/>
        <rFont val="Noto Serif TC SemiBold"/>
        <family val="1"/>
      </rPr>
      <t>ㄚㆬ</t>
    </r>
    <phoneticPr fontId="1" type="noConversion"/>
  </si>
  <si>
    <r>
      <t>ㄉ</t>
    </r>
    <r>
      <rPr>
        <sz val="24"/>
        <color rgb="FFFF0000"/>
        <rFont val="Noto Serif TC SemiBold"/>
        <family val="1"/>
      </rPr>
      <t>ㆦㆬ</t>
    </r>
    <phoneticPr fontId="1" type="noConversion"/>
  </si>
  <si>
    <r>
      <t>ㄏ</t>
    </r>
    <r>
      <rPr>
        <sz val="24"/>
        <color rgb="FFFF0000"/>
        <rFont val="Noto Serif TC SemiBold"/>
        <family val="1"/>
      </rPr>
      <t>ㆦㆭ</t>
    </r>
    <phoneticPr fontId="1" type="noConversion"/>
  </si>
  <si>
    <t>煙</t>
  </si>
  <si>
    <t>煙</t>
    <phoneticPr fontId="1" type="noConversion"/>
  </si>
  <si>
    <t>將</t>
    <phoneticPr fontId="1" type="noConversion"/>
  </si>
  <si>
    <t>章</t>
    <phoneticPr fontId="1" type="noConversion"/>
  </si>
  <si>
    <r>
      <t>ㄧ</t>
    </r>
    <r>
      <rPr>
        <sz val="24"/>
        <color rgb="FFFF0000"/>
        <rFont val="Noto Serif TC SemiBold"/>
        <family val="1"/>
      </rPr>
      <t>ㄢ</t>
    </r>
    <phoneticPr fontId="1" type="noConversion"/>
  </si>
  <si>
    <r>
      <t>ㄧ</t>
    </r>
    <r>
      <rPr>
        <sz val="24"/>
        <color rgb="FFFF0000"/>
        <rFont val="Noto Serif TC SemiBold"/>
        <family val="1"/>
      </rPr>
      <t>ㄚㄣ</t>
    </r>
    <phoneticPr fontId="1" type="noConversion"/>
  </si>
  <si>
    <r>
      <t>ㄐㄧ</t>
    </r>
    <r>
      <rPr>
        <sz val="24"/>
        <color rgb="FFFF0000"/>
        <rFont val="Noto Serif TC SemiBold"/>
        <family val="1"/>
      </rPr>
      <t>ㄤ</t>
    </r>
    <phoneticPr fontId="1" type="noConversion"/>
  </si>
  <si>
    <r>
      <t>ㄗㄧ</t>
    </r>
    <r>
      <rPr>
        <sz val="24"/>
        <color rgb="FFFF0000"/>
        <rFont val="Noto Serif TC SemiBold"/>
        <family val="1"/>
      </rPr>
      <t>ㄚㆭ</t>
    </r>
    <phoneticPr fontId="1" type="noConversion"/>
  </si>
  <si>
    <r>
      <t>ㄐㄧ</t>
    </r>
    <r>
      <rPr>
        <sz val="24"/>
        <color rgb="FFFF0000"/>
        <rFont val="Noto Serif TC SemiBold"/>
        <family val="1"/>
      </rPr>
      <t>ㆲ</t>
    </r>
    <phoneticPr fontId="1" type="noConversion"/>
  </si>
  <si>
    <r>
      <t>ㄗㄧ</t>
    </r>
    <r>
      <rPr>
        <sz val="24"/>
        <color rgb="FFFF0000"/>
        <rFont val="Noto Serif TC SemiBold"/>
        <family val="1"/>
      </rPr>
      <t>ㆦㆭ</t>
    </r>
    <phoneticPr fontId="1" type="noConversion"/>
  </si>
  <si>
    <t>聲母</t>
    <phoneticPr fontId="1" type="noConversion"/>
  </si>
  <si>
    <t>熱</t>
    <phoneticPr fontId="1" type="noConversion"/>
  </si>
  <si>
    <t>莊</t>
    <phoneticPr fontId="1" type="noConversion"/>
  </si>
  <si>
    <t>初</t>
    <phoneticPr fontId="1" type="noConversion"/>
  </si>
  <si>
    <t>日</t>
    <phoneticPr fontId="1" type="noConversion"/>
  </si>
  <si>
    <t>精</t>
    <phoneticPr fontId="1" type="noConversion"/>
  </si>
  <si>
    <t>清</t>
    <phoneticPr fontId="1" type="noConversion"/>
  </si>
  <si>
    <t>心</t>
    <phoneticPr fontId="1" type="noConversion"/>
  </si>
  <si>
    <t>舒</t>
    <phoneticPr fontId="1" type="noConversion"/>
  </si>
  <si>
    <t>濁聲母</t>
    <phoneticPr fontId="1" type="noConversion"/>
  </si>
  <si>
    <t>幫</t>
    <phoneticPr fontId="1" type="noConversion"/>
  </si>
  <si>
    <t>見</t>
    <phoneticPr fontId="1" type="noConversion"/>
  </si>
  <si>
    <t>疑</t>
    <phoneticPr fontId="1" type="noConversion"/>
  </si>
  <si>
    <t>美</t>
    <phoneticPr fontId="1" type="noConversion"/>
  </si>
  <si>
    <r>
      <rPr>
        <sz val="24"/>
        <color theme="9"/>
        <rFont val="Noto Serif TC SemiBold"/>
        <family val="1"/>
      </rPr>
      <t>ㄅ</t>
    </r>
    <r>
      <rPr>
        <sz val="24"/>
        <color theme="1"/>
        <rFont val="Noto Serif TC SemiBold"/>
        <family val="1"/>
        <charset val="136"/>
      </rPr>
      <t>ㄤ</t>
    </r>
    <phoneticPr fontId="1" type="noConversion"/>
  </si>
  <si>
    <r>
      <rPr>
        <sz val="24"/>
        <color theme="9"/>
        <rFont val="Noto Serif TC SemiBold"/>
        <family val="1"/>
      </rPr>
      <t>ㄍ</t>
    </r>
    <r>
      <rPr>
        <sz val="24"/>
        <color theme="1"/>
        <rFont val="Noto Serif TC SemiBold"/>
        <family val="1"/>
        <charset val="136"/>
      </rPr>
      <t>ㆪ˪</t>
    </r>
    <phoneticPr fontId="1" type="noConversion"/>
  </si>
  <si>
    <r>
      <rPr>
        <sz val="24"/>
        <color theme="9"/>
        <rFont val="Noto Serif TC SemiBold"/>
        <family val="1"/>
      </rPr>
      <t>ㄗ</t>
    </r>
    <r>
      <rPr>
        <sz val="24"/>
        <color theme="1"/>
        <rFont val="Noto Serif TC SemiBold"/>
        <family val="1"/>
        <charset val="136"/>
      </rPr>
      <t>ㆭ</t>
    </r>
    <phoneticPr fontId="1" type="noConversion"/>
  </si>
  <si>
    <r>
      <rPr>
        <sz val="24"/>
        <color rgb="FFFF0000"/>
        <rFont val="Noto Serif TC SemiBold"/>
        <family val="1"/>
      </rPr>
      <t>ㆠ</t>
    </r>
    <r>
      <rPr>
        <sz val="24"/>
        <color theme="1"/>
        <rFont val="Noto Serif TC SemiBold"/>
        <family val="1"/>
        <charset val="136"/>
      </rPr>
      <t>ㄧˋ</t>
    </r>
    <phoneticPr fontId="1" type="noConversion"/>
  </si>
  <si>
    <r>
      <rPr>
        <sz val="24"/>
        <color rgb="FFFF0000"/>
        <rFont val="Noto Serif TC SemiBold"/>
        <family val="1"/>
      </rPr>
      <t>ㆣ</t>
    </r>
    <r>
      <rPr>
        <sz val="24"/>
        <color theme="1"/>
        <rFont val="Noto Serif TC SemiBold"/>
        <family val="1"/>
        <charset val="136"/>
      </rPr>
      <t>ㄧˊ</t>
    </r>
    <phoneticPr fontId="1" type="noConversion"/>
  </si>
  <si>
    <r>
      <rPr>
        <sz val="24"/>
        <color rgb="FFFF0000"/>
        <rFont val="Noto Serif TC SemiBold"/>
        <family val="1"/>
      </rPr>
      <t>ㆡ</t>
    </r>
    <r>
      <rPr>
        <sz val="24"/>
        <color theme="1"/>
        <rFont val="Noto Serif TC SemiBold"/>
        <family val="1"/>
        <charset val="136"/>
      </rPr>
      <t>ㄨㄚㆷ˙</t>
    </r>
    <phoneticPr fontId="1" type="noConversion"/>
  </si>
  <si>
    <t>齿齦音 + 一 【轉】齦顎音</t>
    <phoneticPr fontId="1" type="noConversion"/>
  </si>
  <si>
    <r>
      <rPr>
        <sz val="24"/>
        <color theme="6"/>
        <rFont val="Noto Serif TC SemiBold"/>
        <family val="1"/>
      </rPr>
      <t>ㄗ</t>
    </r>
    <r>
      <rPr>
        <sz val="24"/>
        <color theme="1"/>
        <rFont val="Noto Serif TC SemiBold"/>
        <family val="1"/>
        <charset val="136"/>
      </rPr>
      <t>ㆭ</t>
    </r>
    <phoneticPr fontId="1" type="noConversion"/>
  </si>
  <si>
    <r>
      <rPr>
        <sz val="24"/>
        <color theme="6"/>
        <rFont val="Noto Serif TC SemiBold"/>
        <family val="1"/>
      </rPr>
      <t>ㄘ</t>
    </r>
    <r>
      <rPr>
        <sz val="24"/>
        <color theme="1"/>
        <rFont val="Noto Serif TC SemiBold"/>
        <family val="1"/>
        <charset val="136"/>
      </rPr>
      <t>ㆦ</t>
    </r>
    <phoneticPr fontId="1" type="noConversion"/>
  </si>
  <si>
    <r>
      <rPr>
        <sz val="24"/>
        <color theme="6"/>
        <rFont val="Noto Serif TC SemiBold"/>
        <family val="1"/>
      </rPr>
      <t>ㄙ</t>
    </r>
    <r>
      <rPr>
        <sz val="24"/>
        <color theme="1"/>
        <rFont val="Noto Serif TC SemiBold"/>
        <family val="1"/>
        <charset val="136"/>
      </rPr>
      <t>ㆦ</t>
    </r>
    <phoneticPr fontId="1" type="noConversion"/>
  </si>
  <si>
    <r>
      <rPr>
        <sz val="24"/>
        <color theme="6"/>
        <rFont val="Noto Serif TC SemiBold"/>
        <family val="1"/>
      </rPr>
      <t>ㆡ</t>
    </r>
    <r>
      <rPr>
        <sz val="24"/>
        <color theme="1"/>
        <rFont val="Noto Serif TC SemiBold"/>
        <family val="1"/>
        <charset val="136"/>
      </rPr>
      <t>ㄨㄚㆷ˙</t>
    </r>
    <phoneticPr fontId="1" type="noConversion"/>
  </si>
  <si>
    <r>
      <rPr>
        <sz val="24"/>
        <color rgb="FFFF0000"/>
        <rFont val="Noto Serif TC SemiBold"/>
        <family val="1"/>
      </rPr>
      <t>ㄐ</t>
    </r>
    <r>
      <rPr>
        <sz val="24"/>
        <color theme="1"/>
        <rFont val="Noto Serif TC SemiBold"/>
        <family val="1"/>
        <charset val="136"/>
      </rPr>
      <t>ㄧㄥ</t>
    </r>
    <phoneticPr fontId="1" type="noConversion"/>
  </si>
  <si>
    <r>
      <rPr>
        <sz val="24"/>
        <color rgb="FFFF0000"/>
        <rFont val="Noto Serif TC SemiBold"/>
        <family val="1"/>
      </rPr>
      <t>ㄑ</t>
    </r>
    <r>
      <rPr>
        <sz val="24"/>
        <color theme="1"/>
        <rFont val="Noto Serif TC SemiBold"/>
        <family val="1"/>
        <charset val="136"/>
      </rPr>
      <t>ㄧㄥ</t>
    </r>
    <phoneticPr fontId="1" type="noConversion"/>
  </si>
  <si>
    <r>
      <rPr>
        <sz val="24"/>
        <color rgb="FFFF0000"/>
        <rFont val="Noto Serif TC SemiBold"/>
        <family val="1"/>
      </rPr>
      <t>ㄒ</t>
    </r>
    <r>
      <rPr>
        <sz val="24"/>
        <color theme="1"/>
        <rFont val="Noto Serif TC SemiBold"/>
        <family val="1"/>
        <charset val="136"/>
      </rPr>
      <t>ㄧㆬ</t>
    </r>
    <phoneticPr fontId="1" type="noConversion"/>
  </si>
  <si>
    <r>
      <rPr>
        <sz val="24"/>
        <color rgb="FFFF0000"/>
        <rFont val="Noto Serif TC SemiBold"/>
        <family val="1"/>
      </rPr>
      <t>ㆢ</t>
    </r>
    <r>
      <rPr>
        <sz val="24"/>
        <color theme="1"/>
        <rFont val="Noto Serif TC SemiBold"/>
        <family val="1"/>
        <charset val="136"/>
      </rPr>
      <t>ㄧㆵ˙</t>
    </r>
    <phoneticPr fontId="1" type="noConversion"/>
  </si>
  <si>
    <t xml:space="preserve">&lt;sp&gt; </t>
    <phoneticPr fontId="1" type="noConversion"/>
  </si>
  <si>
    <t>齿齦音 + 一 【轉】齦顎音（ㄗㄧ ==&gt;ㄐ / ㄘㄧ ==&gt; ㄑ / ㄙㄧ ==&gt; ㄒ / ㆡㄧ ==&gt; ㆢ）</t>
    <phoneticPr fontId="1" type="noConversion"/>
  </si>
  <si>
    <t>（ㄐ = ㄗㄧ / ㄑ = ㄘㄧ / ㄒ = ㄙㄧ / ㆢ = ㆡㄧ）</t>
    <phoneticPr fontId="1" type="noConversion"/>
  </si>
  <si>
    <t/>
  </si>
  <si>
    <t>十五音</t>
    <phoneticPr fontId="1" type="noConversion"/>
  </si>
  <si>
    <t>姜五柳</t>
    <phoneticPr fontId="1" type="noConversion"/>
  </si>
  <si>
    <t>丩一曾</t>
    <phoneticPr fontId="1" type="noConversion"/>
  </si>
  <si>
    <t>艍五時</t>
    <phoneticPr fontId="1" type="noConversion"/>
  </si>
  <si>
    <t>公五英</t>
    <phoneticPr fontId="1" type="noConversion"/>
  </si>
  <si>
    <t>居一曾</t>
    <phoneticPr fontId="1" type="noConversion"/>
  </si>
  <si>
    <t>觀三喜</t>
    <phoneticPr fontId="1" type="noConversion"/>
  </si>
  <si>
    <t>公五喜</t>
    <phoneticPr fontId="1" type="noConversion"/>
  </si>
  <si>
    <t>高五喜</t>
    <phoneticPr fontId="1" type="noConversion"/>
  </si>
  <si>
    <t>觀二英</t>
    <phoneticPr fontId="1" type="noConversion"/>
  </si>
  <si>
    <t>恭二時</t>
    <phoneticPr fontId="1" type="noConversion"/>
  </si>
  <si>
    <t>經八邊</t>
    <phoneticPr fontId="1" type="noConversion"/>
  </si>
  <si>
    <t>君五喜</t>
    <phoneticPr fontId="1" type="noConversion"/>
  </si>
  <si>
    <t>干一求</t>
    <phoneticPr fontId="1" type="noConversion"/>
  </si>
  <si>
    <t>巾四英</t>
    <phoneticPr fontId="1" type="noConversion"/>
  </si>
  <si>
    <t>堅三頗</t>
    <phoneticPr fontId="1" type="noConversion"/>
  </si>
  <si>
    <t>沽一求</t>
    <phoneticPr fontId="1" type="noConversion"/>
  </si>
  <si>
    <t>經五時</t>
    <phoneticPr fontId="1" type="noConversion"/>
  </si>
  <si>
    <t>干七門</t>
    <phoneticPr fontId="1" type="noConversion"/>
  </si>
  <si>
    <t>金七入</t>
    <phoneticPr fontId="1" type="noConversion"/>
  </si>
  <si>
    <t>干一時</t>
    <phoneticPr fontId="1" type="noConversion"/>
  </si>
  <si>
    <t>姜一去</t>
    <phoneticPr fontId="1" type="noConversion"/>
  </si>
  <si>
    <t>經八地</t>
    <phoneticPr fontId="1" type="noConversion"/>
  </si>
  <si>
    <t>艍一時</t>
    <phoneticPr fontId="1" type="noConversion"/>
  </si>
  <si>
    <t>觀三英</t>
    <phoneticPr fontId="1" type="noConversion"/>
  </si>
  <si>
    <t>恭五英</t>
    <phoneticPr fontId="1" type="noConversion"/>
  </si>
  <si>
    <t>丩二柳</t>
    <phoneticPr fontId="1" type="noConversion"/>
  </si>
  <si>
    <t>君一出</t>
    <phoneticPr fontId="1" type="noConversion"/>
  </si>
  <si>
    <t>公一喜</t>
    <phoneticPr fontId="1" type="noConversion"/>
  </si>
  <si>
    <t>君四邊</t>
    <phoneticPr fontId="1" type="noConversion"/>
  </si>
  <si>
    <t>沽七地</t>
    <phoneticPr fontId="1" type="noConversion"/>
  </si>
  <si>
    <t>恭八語</t>
    <phoneticPr fontId="1" type="noConversion"/>
  </si>
  <si>
    <t>君五門</t>
    <phoneticPr fontId="1" type="noConversion"/>
  </si>
  <si>
    <t>觀一求</t>
    <phoneticPr fontId="1" type="noConversion"/>
  </si>
  <si>
    <t>注音符號/
拼音字母</t>
    <phoneticPr fontId="1" type="noConversion"/>
  </si>
  <si>
    <t>聲母序</t>
    <phoneticPr fontId="1" type="noConversion"/>
  </si>
  <si>
    <t>"</t>
    <phoneticPr fontId="1" type="noConversion"/>
  </si>
  <si>
    <t>[</t>
    <phoneticPr fontId="1" type="noConversion"/>
  </si>
  <si>
    <t>]</t>
    <phoneticPr fontId="1" type="noConversion"/>
  </si>
  <si>
    <t>零ㄅㄆㄇㆠㄉㄊㄋㄌㄍㄎㆣㄏㄗㄘㆡㄙㄐㄑㆢㄒ</t>
    <phoneticPr fontId="1" type="noConversion"/>
  </si>
  <si>
    <t>方音符號</t>
  </si>
  <si>
    <t>l</t>
  </si>
  <si>
    <t>n</t>
  </si>
  <si>
    <t>ㄋ</t>
  </si>
  <si>
    <t>p</t>
  </si>
  <si>
    <t>b</t>
  </si>
  <si>
    <t>k</t>
  </si>
  <si>
    <t>g</t>
  </si>
  <si>
    <t>kh</t>
  </si>
  <si>
    <t>t</t>
  </si>
  <si>
    <t>d</t>
  </si>
  <si>
    <t>ph</t>
  </si>
  <si>
    <t>th</t>
  </si>
  <si>
    <t>ㄊ</t>
  </si>
  <si>
    <t>z</t>
  </si>
  <si>
    <t>ㄗ</t>
  </si>
  <si>
    <t>j</t>
  </si>
  <si>
    <t>入</t>
  </si>
  <si>
    <t>ㆡ</t>
  </si>
  <si>
    <t>s</t>
  </si>
  <si>
    <t>m</t>
  </si>
  <si>
    <t>m</t>
    <phoneticPr fontId="1" type="noConversion"/>
  </si>
  <si>
    <t>ㄇ</t>
  </si>
  <si>
    <t>ㄫ</t>
  </si>
  <si>
    <t>ng</t>
  </si>
  <si>
    <t>c</t>
  </si>
  <si>
    <t>ㄑ</t>
  </si>
  <si>
    <t>h</t>
  </si>
  <si>
    <t>序號</t>
  </si>
  <si>
    <t>鍵盤按鍵</t>
  </si>
  <si>
    <t>!</t>
  </si>
  <si>
    <t>1</t>
  </si>
  <si>
    <t>q</t>
  </si>
  <si>
    <t>a</t>
  </si>
  <si>
    <t>2</t>
  </si>
  <si>
    <t>w</t>
  </si>
  <si>
    <t>x</t>
  </si>
  <si>
    <t>E</t>
  </si>
  <si>
    <t>e</t>
  </si>
  <si>
    <t>K</t>
  </si>
  <si>
    <t>Y</t>
  </si>
  <si>
    <t>y</t>
  </si>
  <si>
    <t>j(i)</t>
  </si>
  <si>
    <t>J</t>
  </si>
  <si>
    <t>R</t>
  </si>
  <si>
    <t>z(i)</t>
  </si>
  <si>
    <t>r</t>
  </si>
  <si>
    <t>c(i)</t>
  </si>
  <si>
    <t>f</t>
  </si>
  <si>
    <t>s(i)</t>
  </si>
  <si>
    <t>v</t>
  </si>
  <si>
    <t>8</t>
  </si>
  <si>
    <t>ㄚ</t>
  </si>
  <si>
    <t>i</t>
  </si>
  <si>
    <t>u</t>
  </si>
  <si>
    <t>ir</t>
  </si>
  <si>
    <t>ㆨ</t>
  </si>
  <si>
    <t>,</t>
  </si>
  <si>
    <t>ㆤ</t>
  </si>
  <si>
    <t>oo</t>
  </si>
  <si>
    <t>O</t>
  </si>
  <si>
    <t>o</t>
  </si>
  <si>
    <t>-m</t>
  </si>
  <si>
    <t>M</t>
  </si>
  <si>
    <t>ㆬ</t>
  </si>
  <si>
    <t>-n</t>
  </si>
  <si>
    <t>-ng</t>
  </si>
  <si>
    <t>ㆭ</t>
  </si>
  <si>
    <t>-p</t>
  </si>
  <si>
    <t>ㆴ</t>
  </si>
  <si>
    <t>-t</t>
  </si>
  <si>
    <t>-k</t>
  </si>
  <si>
    <t>-h</t>
  </si>
  <si>
    <t>ㆷ</t>
  </si>
  <si>
    <t>ai</t>
  </si>
  <si>
    <t>I</t>
  </si>
  <si>
    <t>9</t>
  </si>
  <si>
    <t>ㄞ</t>
  </si>
  <si>
    <t>au</t>
  </si>
  <si>
    <t>U</t>
  </si>
  <si>
    <t>ㄠ</t>
  </si>
  <si>
    <t>am</t>
  </si>
  <si>
    <t>ㆰ</t>
  </si>
  <si>
    <t>an</t>
  </si>
  <si>
    <t>0</t>
  </si>
  <si>
    <t>ang</t>
  </si>
  <si>
    <t>om</t>
  </si>
  <si>
    <t>ㆱ</t>
  </si>
  <si>
    <t>ong</t>
  </si>
  <si>
    <t>aⁿ</t>
  </si>
  <si>
    <t>*</t>
  </si>
  <si>
    <t>ㆩ</t>
  </si>
  <si>
    <t>iⁿ</t>
  </si>
  <si>
    <t>ㆪ</t>
  </si>
  <si>
    <t>uⁿ</t>
  </si>
  <si>
    <t>ㆫ</t>
  </si>
  <si>
    <t>eⁿ</t>
  </si>
  <si>
    <t>&lt;</t>
  </si>
  <si>
    <t>ㆥ</t>
  </si>
  <si>
    <t>oⁿ</t>
  </si>
  <si>
    <t>ㆧ</t>
  </si>
  <si>
    <t>aiⁿ</t>
  </si>
  <si>
    <t>(</t>
  </si>
  <si>
    <t>ㆮ</t>
  </si>
  <si>
    <t>auⁿ</t>
  </si>
  <si>
    <t>L</t>
  </si>
  <si>
    <t>ㆯ</t>
  </si>
  <si>
    <t>七</t>
  </si>
  <si>
    <t>三</t>
  </si>
  <si>
    <t>二</t>
  </si>
  <si>
    <t>五</t>
  </si>
  <si>
    <t>八</t>
  </si>
  <si>
    <t>四</t>
  </si>
  <si>
    <t>台羅拼音</t>
    <phoneticPr fontId="1" type="noConversion"/>
  </si>
  <si>
    <t>ts</t>
    <phoneticPr fontId="1" type="noConversion"/>
  </si>
  <si>
    <t>tsh</t>
    <phoneticPr fontId="1" type="noConversion"/>
  </si>
  <si>
    <t>按鍵位置</t>
    <phoneticPr fontId="1" type="noConversion"/>
  </si>
  <si>
    <t>lbracket</t>
    <phoneticPr fontId="1" type="noConversion"/>
  </si>
  <si>
    <t>rbracket</t>
    <phoneticPr fontId="1" type="noConversion"/>
  </si>
  <si>
    <t>e</t>
    <phoneticPr fontId="1" type="noConversion"/>
  </si>
  <si>
    <t>r</t>
    <phoneticPr fontId="1" type="noConversion"/>
  </si>
  <si>
    <t>y</t>
    <phoneticPr fontId="1" type="noConversion"/>
  </si>
  <si>
    <t>n</t>
    <phoneticPr fontId="1" type="noConversion"/>
  </si>
  <si>
    <t>N</t>
    <phoneticPr fontId="1" type="noConversion"/>
  </si>
  <si>
    <t>u</t>
    <phoneticPr fontId="1" type="noConversion"/>
  </si>
  <si>
    <t>j</t>
    <phoneticPr fontId="1" type="noConversion"/>
  </si>
  <si>
    <t>comma</t>
    <phoneticPr fontId="1" type="noConversion"/>
  </si>
  <si>
    <t>i</t>
    <phoneticPr fontId="1" type="noConversion"/>
  </si>
  <si>
    <t>k</t>
    <phoneticPr fontId="1" type="noConversion"/>
  </si>
  <si>
    <t>o</t>
    <phoneticPr fontId="1" type="noConversion"/>
  </si>
  <si>
    <t>l</t>
    <phoneticPr fontId="1" type="noConversion"/>
  </si>
  <si>
    <t>semicolon</t>
    <phoneticPr fontId="1" type="noConversion"/>
  </si>
  <si>
    <t>slash</t>
    <phoneticPr fontId="1" type="noConversion"/>
  </si>
  <si>
    <t>=</t>
    <phoneticPr fontId="1" type="noConversion"/>
  </si>
  <si>
    <t>https://alanjui.github.io/Blogger/assets/images/keys/key_</t>
    <phoneticPr fontId="1" type="noConversion"/>
  </si>
  <si>
    <t>URL</t>
    <phoneticPr fontId="1" type="noConversion"/>
  </si>
  <si>
    <t>ˊ</t>
  </si>
  <si>
    <t>˙</t>
  </si>
  <si>
    <t>quote</t>
    <phoneticPr fontId="1" type="noConversion"/>
  </si>
  <si>
    <t>equal</t>
    <phoneticPr fontId="1" type="noConversion"/>
  </si>
  <si>
    <t>-</t>
    <phoneticPr fontId="1" type="noConversion"/>
  </si>
  <si>
    <t>minus</t>
    <phoneticPr fontId="1" type="noConversion"/>
  </si>
  <si>
    <t>-nn</t>
    <phoneticPr fontId="1" type="noConversion"/>
  </si>
  <si>
    <t>ⁿ</t>
  </si>
  <si>
    <t>Ø</t>
  </si>
  <si>
    <t>補零聲母</t>
    <phoneticPr fontId="1" type="noConversion"/>
  </si>
  <si>
    <t>補省略調號</t>
    <phoneticPr fontId="1" type="noConversion"/>
  </si>
  <si>
    <t>Pict URL</t>
    <phoneticPr fontId="1" type="noConversion"/>
  </si>
  <si>
    <t>Pict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</si>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</sst>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Noto Serif TC SemiBold"/>
      <family val="1"/>
      <charset val="136"/>
    </font>
    <font>
      <sz val="18"/>
      <color theme="1"/>
      <name val="Noto Serif TC SemiBold"/>
      <family val="1"/>
      <charset val="136"/>
    </font>
    <font>
      <sz val="18"/>
      <color theme="1"/>
      <name val="新細明體"/>
      <family val="2"/>
      <charset val="136"/>
      <scheme val="minor"/>
    </font>
    <font>
      <strike/>
      <sz val="24"/>
      <color theme="2" tint="-9.9978637043366805E-2"/>
      <name val="新細明體"/>
      <family val="1"/>
    </font>
    <font>
      <sz val="16"/>
      <color rgb="FF000000"/>
      <name val="新細明體"/>
      <family val="1"/>
      <charset val="136"/>
      <scheme val="minor"/>
    </font>
    <font>
      <b/>
      <sz val="24"/>
      <color theme="7"/>
      <name val="Malgun Gothic Semilight"/>
      <family val="2"/>
      <charset val="136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color rgb="FFFF0000"/>
      <name val="Arial"/>
      <family val="2"/>
    </font>
    <font>
      <sz val="24"/>
      <color rgb="FF0000FF"/>
      <name val="Arial"/>
      <family val="2"/>
    </font>
    <font>
      <sz val="16"/>
      <color rgb="FF000000"/>
      <name val="Arial"/>
      <family val="2"/>
    </font>
    <font>
      <sz val="24"/>
      <name val="Microsoft YaHei"/>
      <family val="1"/>
      <charset val="134"/>
    </font>
    <font>
      <sz val="24"/>
      <color rgb="FF3399FF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24"/>
      <color rgb="FF1F2328"/>
      <name val="Segoe UI"/>
      <family val="2"/>
    </font>
    <font>
      <sz val="24"/>
      <color rgb="FF1F2328"/>
      <name val="Noto Sans TC"/>
      <family val="2"/>
      <charset val="136"/>
    </font>
    <font>
      <strike/>
      <sz val="24"/>
      <color theme="2" tint="-9.9978637043366805E-2"/>
      <name val="新細明體"/>
      <family val="1"/>
      <charset val="136"/>
    </font>
    <font>
      <b/>
      <sz val="16"/>
      <color rgb="FFFF0000"/>
      <name val="Noto Sans TC"/>
      <family val="2"/>
      <charset val="136"/>
    </font>
    <font>
      <b/>
      <sz val="36"/>
      <color rgb="FF1F2328"/>
      <name val="吳守禮細明台語注音"/>
      <family val="1"/>
      <charset val="136"/>
    </font>
    <font>
      <b/>
      <strike/>
      <sz val="36"/>
      <color theme="2" tint="-9.9978637043366805E-2"/>
      <name val="吳守禮細明台語注音"/>
      <family val="1"/>
      <charset val="136"/>
    </font>
    <font>
      <b/>
      <sz val="36"/>
      <color rgb="FF1F2328"/>
      <name val="吳守禮細明台語破音01"/>
      <family val="1"/>
      <charset val="136"/>
    </font>
    <font>
      <b/>
      <sz val="24"/>
      <color rgb="FFFF0000"/>
      <name val="Segoe UI"/>
      <family val="2"/>
    </font>
    <font>
      <sz val="24"/>
      <color rgb="FF1F2328"/>
      <name val="Microsoft JhengHei"/>
      <family val="2"/>
    </font>
    <font>
      <sz val="24"/>
      <color rgb="FF1F2328"/>
      <name val="Microsoft JhengHei"/>
      <family val="2"/>
      <charset val="136"/>
    </font>
    <font>
      <sz val="24"/>
      <color rgb="FF1F2328"/>
      <name val="Segoe UI"/>
      <family val="2"/>
      <charset val="136"/>
    </font>
    <font>
      <sz val="14"/>
      <color rgb="FFFF0000"/>
      <name val="Noto Sans TC"/>
      <family val="2"/>
      <charset val="136"/>
    </font>
    <font>
      <sz val="14"/>
      <color rgb="FFFF0000"/>
      <name val="細明體"/>
      <family val="2"/>
      <charset val="136"/>
    </font>
    <font>
      <sz val="14"/>
      <color rgb="FFFF0000"/>
      <name val="Noto Serif TC"/>
      <family val="1"/>
      <charset val="136"/>
    </font>
    <font>
      <b/>
      <sz val="18"/>
      <color theme="3" tint="0.249977111117893"/>
      <name val="Noto Serif TC Medium"/>
      <family val="1"/>
      <charset val="136"/>
    </font>
    <font>
      <b/>
      <strike/>
      <sz val="24"/>
      <color theme="0" tint="-0.14999847407452621"/>
      <name val="新細明體"/>
      <family val="1"/>
    </font>
    <font>
      <sz val="28"/>
      <color rgb="FF1F2328"/>
      <name val="Segoe UI"/>
      <family val="2"/>
    </font>
    <font>
      <strike/>
      <sz val="28"/>
      <color theme="2" tint="-9.9978637043366805E-2"/>
      <name val="新細明體"/>
      <family val="1"/>
    </font>
    <font>
      <sz val="20"/>
      <color theme="1"/>
      <name val="Noto Serif TC SemiBold"/>
      <family val="1"/>
      <charset val="136"/>
    </font>
    <font>
      <sz val="24"/>
      <color theme="1"/>
      <name val="Noto Serif TC Black"/>
      <family val="1"/>
      <charset val="136"/>
    </font>
    <font>
      <sz val="28"/>
      <color theme="4"/>
      <name val="Noto Serif TC Black"/>
      <family val="1"/>
      <charset val="136"/>
    </font>
    <font>
      <sz val="24"/>
      <name val="Noto Serif TC Black"/>
      <family val="1"/>
      <charset val="136"/>
    </font>
    <font>
      <sz val="24"/>
      <color rgb="FFFF0000"/>
      <name val="Noto Serif TC SemiBold"/>
      <family val="1"/>
    </font>
    <font>
      <sz val="24"/>
      <color rgb="FFFF0000"/>
      <name val="Noto Serif TC SemiBold"/>
      <family val="1"/>
      <charset val="136"/>
    </font>
    <font>
      <sz val="24"/>
      <color rgb="FF7030A0"/>
      <name val="Noto Serif TC Black"/>
      <family val="1"/>
      <charset val="136"/>
    </font>
    <font>
      <sz val="16"/>
      <color rgb="FF7030A0"/>
      <name val="Noto Serif TC SemiBold"/>
      <family val="1"/>
    </font>
    <font>
      <sz val="28"/>
      <color rgb="FFFF0000"/>
      <name val="Noto Serif TC SemiBold"/>
      <family val="1"/>
    </font>
    <font>
      <sz val="24"/>
      <color theme="1"/>
      <name val="Noto Serif TC SemiBold"/>
      <family val="1"/>
    </font>
    <font>
      <sz val="24"/>
      <color theme="9"/>
      <name val="Noto Serif TC SemiBold"/>
      <family val="1"/>
    </font>
    <font>
      <sz val="24"/>
      <color theme="6"/>
      <name val="Noto Serif TC SemiBold"/>
      <family val="1"/>
    </font>
    <font>
      <sz val="36"/>
      <color theme="1"/>
      <name val="Noto Serif TC Black"/>
      <family val="1"/>
      <charset val="136"/>
    </font>
    <font>
      <b/>
      <sz val="16"/>
      <color rgb="FFFF0000"/>
      <name val="Noto Serif TC SemiBold"/>
      <family val="1"/>
      <charset val="136"/>
    </font>
    <font>
      <sz val="28"/>
      <color rgb="FFC00000"/>
      <name val="Noto Sans TC Medium"/>
      <family val="2"/>
      <charset val="136"/>
    </font>
    <font>
      <sz val="28"/>
      <color rgb="FFC00000"/>
      <name val="Microsoft YaHei"/>
      <family val="2"/>
      <charset val="134"/>
    </font>
    <font>
      <sz val="72"/>
      <color theme="1"/>
      <name val="Noto Serif TC Black"/>
      <family val="1"/>
      <charset val="136"/>
    </font>
    <font>
      <sz val="18"/>
      <color theme="2"/>
      <name val="Noto Serif TC SemiBold"/>
      <family val="1"/>
    </font>
    <font>
      <sz val="10"/>
      <color rgb="FF000000"/>
      <name val="新細明體"/>
      <family val="1"/>
      <charset val="136"/>
      <scheme val="minor"/>
    </font>
    <font>
      <sz val="18"/>
      <color rgb="FF0070C0"/>
      <name val="LXGW WenKai Mono"/>
      <family val="3"/>
      <charset val="136"/>
    </font>
    <font>
      <sz val="18"/>
      <name val="細明體"/>
      <family val="3"/>
      <charset val="136"/>
    </font>
    <font>
      <sz val="18"/>
      <name val="LXGW WenKai Mono"/>
      <family val="3"/>
      <charset val="136"/>
    </font>
    <font>
      <sz val="18"/>
      <color theme="0"/>
      <name val="LXGW WenKai Mono"/>
      <family val="3"/>
      <charset val="136"/>
    </font>
    <font>
      <sz val="18"/>
      <color rgb="FF00B0F0"/>
      <name val="Arial"/>
      <family val="2"/>
    </font>
    <font>
      <sz val="20"/>
      <name val="Arial"/>
      <family val="2"/>
    </font>
    <font>
      <sz val="24"/>
      <color theme="0"/>
      <name val="Iansui 094"/>
      <family val="3"/>
      <charset val="136"/>
    </font>
    <font>
      <b/>
      <sz val="18"/>
      <color theme="8" tint="0.39997558519241921"/>
      <name val="Arial"/>
      <family val="2"/>
    </font>
    <font>
      <sz val="16"/>
      <name val="Noto Serif TC Medium"/>
      <family val="1"/>
      <charset val="136"/>
    </font>
    <font>
      <sz val="24"/>
      <color rgb="FFC00000"/>
      <name val="Iansui 094"/>
      <family val="3"/>
      <charset val="136"/>
    </font>
    <font>
      <sz val="16"/>
      <color rgb="FFFF0000"/>
      <name val="Noto Serif TC Medium"/>
      <family val="1"/>
      <charset val="136"/>
    </font>
    <font>
      <sz val="16"/>
      <color rgb="FFFF0000"/>
      <name val="Noto Serif TC Medium"/>
      <family val="1"/>
    </font>
    <font>
      <u/>
      <sz val="12"/>
      <color theme="10"/>
      <name val="新細明體"/>
      <family val="2"/>
      <charset val="136"/>
      <scheme val="minor"/>
    </font>
    <font>
      <sz val="24"/>
      <color theme="0"/>
      <name val="細明體"/>
      <family val="3"/>
      <charset val="136"/>
    </font>
    <font>
      <sz val="24"/>
      <color theme="0"/>
      <name val="新細明體"/>
      <family val="3"/>
      <charset val="136"/>
    </font>
    <font>
      <sz val="24"/>
      <color theme="0"/>
      <name val="Segoe UI"/>
      <family val="3"/>
      <charset val="1"/>
    </font>
    <font>
      <sz val="24"/>
      <color theme="1"/>
      <name val="新細明體"/>
      <family val="2"/>
      <charset val="136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2"/>
        <bgColor rgb="FF000000"/>
      </patternFill>
    </fill>
  </fills>
  <borders count="18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indexed="64"/>
      </top>
      <bottom style="thin">
        <color indexed="64"/>
      </bottom>
      <diagonal/>
    </border>
    <border>
      <left style="thin">
        <color theme="4" tint="0.7999816888943144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5">
    <xf numFmtId="0" fontId="0" fillId="0" borderId="0">
      <alignment vertical="center"/>
    </xf>
    <xf numFmtId="0" fontId="6" fillId="0" borderId="0"/>
    <xf numFmtId="0" fontId="64" fillId="0" borderId="0"/>
    <xf numFmtId="0" fontId="6" fillId="0" borderId="0"/>
    <xf numFmtId="0" fontId="77" fillId="0" borderId="0" applyNumberForma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/>
    </xf>
    <xf numFmtId="0" fontId="6" fillId="0" borderId="0" xfId="1" applyAlignment="1">
      <alignment horizontal="center"/>
    </xf>
    <xf numFmtId="0" fontId="6" fillId="0" borderId="0" xfId="1"/>
    <xf numFmtId="0" fontId="8" fillId="0" borderId="0" xfId="1" applyFont="1" applyAlignment="1">
      <alignment horizontal="left" vertical="top" wrapText="1"/>
    </xf>
    <xf numFmtId="0" fontId="6" fillId="0" borderId="0" xfId="1" applyAlignment="1">
      <alignment vertical="top"/>
    </xf>
    <xf numFmtId="0" fontId="9" fillId="0" borderId="0" xfId="1" applyFont="1" applyAlignment="1">
      <alignment horizontal="center" vertical="top"/>
    </xf>
    <xf numFmtId="0" fontId="10" fillId="0" borderId="0" xfId="1" applyFont="1" applyAlignment="1">
      <alignment horizontal="center" vertical="top"/>
    </xf>
    <xf numFmtId="0" fontId="8" fillId="0" borderId="12" xfId="1" applyFont="1" applyBorder="1" applyAlignment="1">
      <alignment horizontal="left" vertical="top" wrapText="1"/>
    </xf>
    <xf numFmtId="0" fontId="11" fillId="0" borderId="0" xfId="1" applyFont="1" applyAlignment="1">
      <alignment horizontal="center" vertical="center" shrinkToFit="1" readingOrder="1"/>
    </xf>
    <xf numFmtId="0" fontId="11" fillId="0" borderId="13" xfId="1" applyFont="1" applyBorder="1" applyAlignment="1">
      <alignment horizontal="center" vertical="center" shrinkToFit="1" readingOrder="1"/>
    </xf>
    <xf numFmtId="0" fontId="12" fillId="0" borderId="0" xfId="1" applyFont="1" applyAlignment="1">
      <alignment horizontal="center" vertical="center" shrinkToFit="1" readingOrder="1"/>
    </xf>
    <xf numFmtId="0" fontId="13" fillId="3" borderId="14" xfId="1" applyFont="1" applyFill="1" applyBorder="1" applyAlignment="1" applyProtection="1">
      <alignment horizontal="center" vertical="center" wrapText="1" readingOrder="1"/>
      <protection locked="0"/>
    </xf>
    <xf numFmtId="0" fontId="14" fillId="3" borderId="14" xfId="1" applyFont="1" applyFill="1" applyBorder="1" applyAlignment="1" applyProtection="1">
      <alignment horizontal="center" vertical="center" wrapText="1" readingOrder="1"/>
      <protection locked="0"/>
    </xf>
    <xf numFmtId="0" fontId="15" fillId="0" borderId="0" xfId="1" applyFont="1" applyAlignment="1">
      <alignment horizontal="center" vertical="center"/>
    </xf>
    <xf numFmtId="0" fontId="6" fillId="0" borderId="15" xfId="1" applyBorder="1" applyAlignment="1">
      <alignment horizontal="center"/>
    </xf>
    <xf numFmtId="0" fontId="17" fillId="4" borderId="0" xfId="1" applyFont="1" applyFill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/>
    </xf>
    <xf numFmtId="0" fontId="19" fillId="0" borderId="1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16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2" fillId="0" borderId="0" xfId="1" applyFont="1" applyAlignment="1">
      <alignment shrinkToFit="1" readingOrder="1"/>
    </xf>
    <xf numFmtId="0" fontId="11" fillId="0" borderId="13" xfId="1" applyFont="1" applyBorder="1" applyAlignment="1">
      <alignment shrinkToFit="1" readingOrder="1"/>
    </xf>
    <xf numFmtId="0" fontId="23" fillId="0" borderId="0" xfId="1" applyFont="1" applyAlignment="1">
      <alignment shrinkToFit="1" readingOrder="1"/>
    </xf>
    <xf numFmtId="0" fontId="22" fillId="0" borderId="0" xfId="1" applyFont="1" applyAlignment="1">
      <alignment horizontal="center" shrinkToFit="1" readingOrder="1"/>
    </xf>
    <xf numFmtId="0" fontId="26" fillId="0" borderId="0" xfId="1" applyFont="1" applyAlignment="1">
      <alignment horizontal="center"/>
    </xf>
    <xf numFmtId="0" fontId="11" fillId="0" borderId="13" xfId="1" applyFont="1" applyBorder="1" applyAlignment="1">
      <alignment horizontal="center" shrinkToFit="1" readingOrder="1"/>
    </xf>
    <xf numFmtId="0" fontId="23" fillId="0" borderId="0" xfId="1" applyFont="1" applyAlignment="1">
      <alignment horizontal="center" shrinkToFit="1" readingOrder="1"/>
    </xf>
    <xf numFmtId="0" fontId="22" fillId="0" borderId="0" xfId="1" applyFont="1" applyAlignment="1">
      <alignment horizontal="center" vertical="center" shrinkToFit="1" readingOrder="1"/>
    </xf>
    <xf numFmtId="0" fontId="23" fillId="0" borderId="0" xfId="1" applyFont="1" applyAlignment="1">
      <alignment horizontal="center" vertical="center" shrinkToFit="1" readingOrder="1"/>
    </xf>
    <xf numFmtId="0" fontId="8" fillId="0" borderId="0" xfId="1" applyFont="1" applyAlignment="1">
      <alignment horizontal="center" vertical="center" wrapText="1" shrinkToFit="1" readingOrder="1"/>
    </xf>
    <xf numFmtId="0" fontId="27" fillId="0" borderId="0" xfId="1" applyFont="1" applyAlignment="1">
      <alignment horizontal="center"/>
    </xf>
    <xf numFmtId="0" fontId="28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 indent="1"/>
    </xf>
    <xf numFmtId="0" fontId="28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left" vertical="center" wrapText="1" indent="1"/>
    </xf>
    <xf numFmtId="0" fontId="30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 indent="1"/>
    </xf>
    <xf numFmtId="0" fontId="31" fillId="4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 wrapText="1" indent="1"/>
    </xf>
    <xf numFmtId="0" fontId="32" fillId="3" borderId="1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36" fillId="3" borderId="1" xfId="0" applyFont="1" applyFill="1" applyBorder="1" applyAlignment="1">
      <alignment horizontal="left" vertical="center" wrapText="1" indent="1"/>
    </xf>
    <xf numFmtId="0" fontId="29" fillId="3" borderId="1" xfId="0" applyFont="1" applyFill="1" applyBorder="1" applyAlignment="1">
      <alignment horizontal="left" vertical="center" wrapText="1" indent="1"/>
    </xf>
    <xf numFmtId="0" fontId="38" fillId="3" borderId="1" xfId="0" applyFont="1" applyFill="1" applyBorder="1" applyAlignment="1">
      <alignment horizontal="left" vertical="center" wrapText="1" indent="1"/>
    </xf>
    <xf numFmtId="0" fontId="29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left" vertical="center" wrapText="1"/>
    </xf>
    <xf numFmtId="0" fontId="42" fillId="6" borderId="1" xfId="0" applyFont="1" applyFill="1" applyBorder="1" applyAlignment="1">
      <alignment horizontal="left" vertical="center" wrapText="1" indent="1"/>
    </xf>
    <xf numFmtId="0" fontId="42" fillId="6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 vertical="center" wrapText="1"/>
    </xf>
    <xf numFmtId="0" fontId="45" fillId="5" borderId="1" xfId="0" applyFont="1" applyFill="1" applyBorder="1" applyAlignment="1">
      <alignment horizontal="center" vertical="center" wrapText="1"/>
    </xf>
    <xf numFmtId="0" fontId="46" fillId="3" borderId="10" xfId="0" applyFont="1" applyFill="1" applyBorder="1" applyAlignment="1">
      <alignment horizontal="center" vertical="center"/>
    </xf>
    <xf numFmtId="0" fontId="46" fillId="3" borderId="11" xfId="0" applyFont="1" applyFill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54" fillId="3" borderId="10" xfId="0" applyFont="1" applyFill="1" applyBorder="1" applyAlignment="1">
      <alignment horizontal="center" vertical="center"/>
    </xf>
    <xf numFmtId="0" fontId="55" fillId="0" borderId="10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9" fillId="3" borderId="10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right" vertical="center"/>
    </xf>
    <xf numFmtId="0" fontId="62" fillId="0" borderId="0" xfId="0" applyFont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3" borderId="17" xfId="0" applyFont="1" applyFill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51" fillId="3" borderId="17" xfId="0" applyFont="1" applyFill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2" fillId="8" borderId="17" xfId="0" applyFont="1" applyFill="1" applyBorder="1" applyAlignment="1">
      <alignment horizontal="left" vertical="center"/>
    </xf>
    <xf numFmtId="0" fontId="2" fillId="8" borderId="17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6" fillId="10" borderId="3" xfId="2" applyFont="1" applyFill="1" applyBorder="1" applyAlignment="1">
      <alignment vertical="center"/>
    </xf>
    <xf numFmtId="0" fontId="67" fillId="11" borderId="3" xfId="2" applyFont="1" applyFill="1" applyBorder="1" applyAlignment="1">
      <alignment vertical="center"/>
    </xf>
    <xf numFmtId="0" fontId="68" fillId="12" borderId="3" xfId="2" applyFont="1" applyFill="1" applyBorder="1" applyAlignment="1">
      <alignment vertical="center"/>
    </xf>
    <xf numFmtId="0" fontId="70" fillId="10" borderId="2" xfId="2" applyFont="1" applyFill="1" applyBorder="1" applyAlignment="1">
      <alignment horizontal="center" vertical="center"/>
    </xf>
    <xf numFmtId="0" fontId="71" fillId="12" borderId="2" xfId="2" applyFont="1" applyFill="1" applyBorder="1" applyAlignment="1">
      <alignment horizontal="center" vertical="center"/>
    </xf>
    <xf numFmtId="0" fontId="67" fillId="13" borderId="2" xfId="2" applyFont="1" applyFill="1" applyBorder="1" applyAlignment="1">
      <alignment vertical="center"/>
    </xf>
    <xf numFmtId="49" fontId="8" fillId="11" borderId="2" xfId="3" applyNumberFormat="1" applyFont="1" applyFill="1" applyBorder="1" applyAlignment="1">
      <alignment horizontal="center" vertical="center"/>
    </xf>
    <xf numFmtId="49" fontId="8" fillId="11" borderId="2" xfId="3" quotePrefix="1" applyNumberFormat="1" applyFont="1" applyFill="1" applyBorder="1" applyAlignment="1">
      <alignment horizontal="center" vertical="center"/>
    </xf>
    <xf numFmtId="0" fontId="73" fillId="13" borderId="2" xfId="3" applyFont="1" applyFill="1" applyBorder="1" applyAlignment="1">
      <alignment horizontal="center" vertical="center"/>
    </xf>
    <xf numFmtId="0" fontId="74" fillId="12" borderId="2" xfId="2" applyFont="1" applyFill="1" applyBorder="1" applyAlignment="1">
      <alignment horizontal="center" vertical="center"/>
    </xf>
    <xf numFmtId="0" fontId="75" fillId="13" borderId="2" xfId="3" applyFont="1" applyFill="1" applyBorder="1" applyAlignment="1">
      <alignment horizontal="center" vertical="center"/>
    </xf>
    <xf numFmtId="0" fontId="76" fillId="13" borderId="2" xfId="3" applyFont="1" applyFill="1" applyBorder="1" applyAlignment="1">
      <alignment horizontal="center" vertical="center"/>
    </xf>
    <xf numFmtId="0" fontId="73" fillId="13" borderId="2" xfId="3" quotePrefix="1" applyFont="1" applyFill="1" applyBorder="1" applyAlignment="1">
      <alignment horizontal="center" vertical="center"/>
    </xf>
    <xf numFmtId="0" fontId="78" fillId="12" borderId="2" xfId="2" applyFont="1" applyFill="1" applyBorder="1" applyAlignment="1">
      <alignment horizontal="center" vertical="center"/>
    </xf>
    <xf numFmtId="0" fontId="80" fillId="12" borderId="2" xfId="2" applyFont="1" applyFill="1" applyBorder="1" applyAlignment="1">
      <alignment horizontal="center" vertical="center"/>
    </xf>
    <xf numFmtId="0" fontId="79" fillId="12" borderId="2" xfId="2" applyFont="1" applyFill="1" applyBorder="1" applyAlignment="1">
      <alignment horizontal="center" vertical="center"/>
    </xf>
    <xf numFmtId="0" fontId="65" fillId="9" borderId="4" xfId="2" applyFont="1" applyFill="1" applyBorder="1" applyAlignment="1">
      <alignment vertical="center"/>
    </xf>
    <xf numFmtId="0" fontId="72" fillId="2" borderId="5" xfId="2" applyFont="1" applyFill="1" applyBorder="1" applyAlignment="1">
      <alignment horizontal="center" vertical="center"/>
    </xf>
    <xf numFmtId="0" fontId="69" fillId="2" borderId="5" xfId="2" applyFont="1" applyFill="1" applyBorder="1" applyAlignment="1">
      <alignment horizontal="center" vertical="center"/>
    </xf>
    <xf numFmtId="0" fontId="77" fillId="0" borderId="0" xfId="4" applyAlignment="1">
      <alignment horizontal="left" vertical="center"/>
    </xf>
    <xf numFmtId="0" fontId="70" fillId="10" borderId="2" xfId="2" quotePrefix="1" applyFont="1" applyFill="1" applyBorder="1" applyAlignment="1">
      <alignment horizontal="center" vertical="center"/>
    </xf>
    <xf numFmtId="0" fontId="81" fillId="0" borderId="0" xfId="0" applyFont="1">
      <alignment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16" fillId="3" borderId="13" xfId="1" applyFont="1" applyFill="1" applyBorder="1" applyAlignment="1">
      <alignment horizontal="left" vertical="top" wrapText="1" shrinkToFit="1" readingOrder="1"/>
    </xf>
    <xf numFmtId="0" fontId="16" fillId="3" borderId="15" xfId="1" applyFont="1" applyFill="1" applyBorder="1" applyAlignment="1">
      <alignment horizontal="left" vertical="top" wrapText="1" shrinkToFit="1" readingOrder="1"/>
    </xf>
    <xf numFmtId="0" fontId="16" fillId="3" borderId="16" xfId="1" applyFont="1" applyFill="1" applyBorder="1" applyAlignment="1">
      <alignment horizontal="left" vertical="top" wrapText="1" shrinkToFit="1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1" fillId="0" borderId="0" xfId="0" applyFont="1" applyAlignment="1">
      <alignment horizontal="left" vertical="center"/>
    </xf>
  </cellXfs>
  <cellStyles count="5">
    <cellStyle name="一般" xfId="0" builtinId="0"/>
    <cellStyle name="一般 2" xfId="3" xr:uid="{89D05BB6-898F-4354-A18C-F310CD3EC1CB}"/>
    <cellStyle name="一般 3" xfId="1" xr:uid="{B62DB152-57AA-477E-967C-837BB6583EE2}"/>
    <cellStyle name="一般 3 2" xfId="2" xr:uid="{CE4F393E-6CD3-44B3-B8E1-9D9B528E7A9A}"/>
    <cellStyle name="超連結" xfId="4" builtinId="8"/>
  </cellStyles>
  <dxfs count="62"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color theme="9"/>
      </font>
    </dxf>
    <dxf>
      <font>
        <b/>
        <i val="0"/>
        <color theme="3" tint="0.499984740745262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Noto Serif TC Medium"/>
        <family val="1"/>
        <charset val="136"/>
        <scheme val="none"/>
      </font>
      <fill>
        <patternFill patternType="solid">
          <fgColor rgb="FF000000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auto="1"/>
        <name val="Noto Serif TC Medium"/>
        <family val="1"/>
        <charset val="136"/>
        <scheme val="none"/>
      </font>
      <numFmt numFmtId="30" formatCode="@"/>
      <fill>
        <patternFill patternType="solid">
          <fgColor rgb="FF000000"/>
          <bgColor rgb="FFFDE9D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fill>
        <patternFill patternType="solid">
          <fgColor rgb="FF000000"/>
          <bgColor rgb="FFD8E4B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0"/>
        <name val="Iansui 094"/>
        <family val="3"/>
        <charset val="136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8" tint="0.3999755851924192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0/07/relationships/rdRichValueWebImage" Target="richData/rdRichValueWebImage.xml"/></Relationships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hyperlink" Target="https://alanjui.github.io/Blogger/assets/images/keys/key_r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alanjui.github.io/Blogger/assets/images/keys/key_l.png" TargetMode="External"/><Relationship Id="rId63" Type="http://schemas.openxmlformats.org/officeDocument/2006/relationships/hyperlink" Target="https://alanjui.github.io/Blogger/assets/images/keys/key_g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16" Type="http://schemas.openxmlformats.org/officeDocument/2006/relationships/image" Target="../media/image8.png"/><Relationship Id="rId11" Type="http://schemas.openxmlformats.org/officeDocument/2006/relationships/hyperlink" Target="https://alanjui.github.io/Blogger/assets/images/keys/key_s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alanjui.github.io/Blogger/assets/images/keys/key_j.png" TargetMode="External"/><Relationship Id="rId53" Type="http://schemas.openxmlformats.org/officeDocument/2006/relationships/hyperlink" Target="https://alanjui.github.io/Blogger/assets/images/keys/key_semicolon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alanjui.github.io/Blogger/assets/images/keys/key_lbracket.png" TargetMode="External"/><Relationship Id="rId5" Type="http://schemas.openxmlformats.org/officeDocument/2006/relationships/hyperlink" Target="https://alanjui.github.io/Blogger/assets/images/keys/key_a.png" TargetMode="External"/><Relationship Id="rId19" Type="http://schemas.openxmlformats.org/officeDocument/2006/relationships/hyperlink" Target="https://alanjui.github.io/Blogger/assets/images/keys/key_c.png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alanjui.github.io/Blogger/assets/images/keys/key_y.png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alanjui.github.io/Blogger/assets/images/keys/key_u.png" TargetMode="External"/><Relationship Id="rId43" Type="http://schemas.openxmlformats.org/officeDocument/2006/relationships/hyperlink" Target="https://alanjui.github.io/Blogger/assets/images/keys/key_k.png" TargetMode="Externa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64" Type="http://schemas.openxmlformats.org/officeDocument/2006/relationships/image" Target="../media/image32.png"/><Relationship Id="rId69" Type="http://schemas.openxmlformats.org/officeDocument/2006/relationships/hyperlink" Target="https://alanjui.github.io/Blogger/assets/images/keys/key_quote.png" TargetMode="External"/><Relationship Id="rId77" Type="http://schemas.openxmlformats.org/officeDocument/2006/relationships/hyperlink" Target="https://alanjui.github.io/Blogger/assets/images/keys/key_6.png" TargetMode="External"/><Relationship Id="rId8" Type="http://schemas.openxmlformats.org/officeDocument/2006/relationships/image" Target="../media/image4.png"/><Relationship Id="rId51" Type="http://schemas.openxmlformats.org/officeDocument/2006/relationships/hyperlink" Target="https://alanjui.github.io/Blogger/assets/images/keys/key_p.png" TargetMode="External"/><Relationship Id="rId72" Type="http://schemas.openxmlformats.org/officeDocument/2006/relationships/image" Target="../media/image36.png"/><Relationship Id="rId80" Type="http://schemas.openxmlformats.org/officeDocument/2006/relationships/image" Target="../media/image40.png"/><Relationship Id="rId85" Type="http://schemas.openxmlformats.org/officeDocument/2006/relationships/hyperlink" Target="https://alanjui.github.io/Blogger/assets/images/keys/key_equal.png" TargetMode="External"/><Relationship Id="rId3" Type="http://schemas.openxmlformats.org/officeDocument/2006/relationships/hyperlink" Target="https://alanjui.github.io/Blogger/assets/images/keys/key_q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alanjui.github.io/Blogger/assets/images/keys/key_d.png" TargetMode="External"/><Relationship Id="rId25" Type="http://schemas.openxmlformats.org/officeDocument/2006/relationships/hyperlink" Target="https://alanjui.github.io/Blogger/assets/images/keys/key_v.png" TargetMode="External"/><Relationship Id="rId33" Type="http://schemas.openxmlformats.org/officeDocument/2006/relationships/hyperlink" Target="https://alanjui.github.io/Blogger/assets/images/keys/key_8.png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alanjui.github.io/Blogger/assets/images/keys/key_o.png" TargetMode="External"/><Relationship Id="rId67" Type="http://schemas.openxmlformats.org/officeDocument/2006/relationships/hyperlink" Target="https://alanjui.github.io/Blogger/assets/images/keys/key_z.png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alanjui.github.io/Blogger/assets/images/keys/key_i.png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hyperlink" Target="https://alanjui.github.io/Blogger/assets/images/keys/key_4.png" TargetMode="External"/><Relationship Id="rId83" Type="http://schemas.openxmlformats.org/officeDocument/2006/relationships/hyperlink" Target="https://alanjui.github.io/Blogger/assets/images/keys/key_7.png" TargetMode="External"/><Relationship Id="rId88" Type="http://schemas.openxmlformats.org/officeDocument/2006/relationships/image" Target="../media/image44.png"/><Relationship Id="rId1" Type="http://schemas.openxmlformats.org/officeDocument/2006/relationships/hyperlink" Target="https://alanjui.github.io/Blogger/assets/images/keys/key_1.png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alanjui.github.io/Blogger/assets/images/keys/key_e.png" TargetMode="External"/><Relationship Id="rId23" Type="http://schemas.openxmlformats.org/officeDocument/2006/relationships/hyperlink" Target="https://alanjui.github.io/Blogger/assets/images/keys/key_f.png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hyperlink" Target="https://alanjui.github.io/Blogger/assets/images/keys/key_0.png" TargetMode="External"/><Relationship Id="rId57" Type="http://schemas.openxmlformats.org/officeDocument/2006/relationships/hyperlink" Target="https://alanjui.github.io/Blogger/assets/images/keys/key_m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alanjui.github.io/Blogger/assets/images/keys/key_n.png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hyperlink" Target="https://alanjui.github.io/Blogger/assets/images/keys/key_b.png" TargetMode="External"/><Relationship Id="rId73" Type="http://schemas.openxmlformats.org/officeDocument/2006/relationships/hyperlink" Target="https://alanjui.github.io/Blogger/assets/images/keys/key_3.png" TargetMode="External"/><Relationship Id="rId78" Type="http://schemas.openxmlformats.org/officeDocument/2006/relationships/image" Target="../media/image39.png"/><Relationship Id="rId81" Type="http://schemas.openxmlformats.org/officeDocument/2006/relationships/hyperlink" Target="https://alanjui.github.io/Blogger/assets/images/keys/key_rbracket.png" TargetMode="External"/><Relationship Id="rId86" Type="http://schemas.openxmlformats.org/officeDocument/2006/relationships/image" Target="../media/image43.png"/><Relationship Id="rId4" Type="http://schemas.openxmlformats.org/officeDocument/2006/relationships/image" Target="../media/image2.png"/><Relationship Id="rId9" Type="http://schemas.openxmlformats.org/officeDocument/2006/relationships/hyperlink" Target="https://alanjui.github.io/Blogger/assets/images/keys/key_w.png" TargetMode="External"/><Relationship Id="rId13" Type="http://schemas.openxmlformats.org/officeDocument/2006/relationships/hyperlink" Target="https://alanjui.github.io/Blogger/assets/images/keys/key_x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alanjui.github.io/Blogger/assets/images/keys/key_comma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alanjui.github.io/Blogger/assets/images/keys/key_slash.png" TargetMode="External"/><Relationship Id="rId76" Type="http://schemas.openxmlformats.org/officeDocument/2006/relationships/image" Target="../media/image38.png"/><Relationship Id="rId7" Type="http://schemas.openxmlformats.org/officeDocument/2006/relationships/hyperlink" Target="https://alanjui.github.io/Blogger/assets/images/keys/key_2.png" TargetMode="External"/><Relationship Id="rId71" Type="http://schemas.openxmlformats.org/officeDocument/2006/relationships/hyperlink" Target="https://alanjui.github.io/Blogger/assets/images/keys/key_5.png" TargetMode="External"/><Relationship Id="rId2" Type="http://schemas.openxmlformats.org/officeDocument/2006/relationships/image" Target="../media/image1.png"/><Relationship Id="rId29" Type="http://schemas.openxmlformats.org/officeDocument/2006/relationships/hyperlink" Target="https://alanjui.github.io/Blogger/assets/images/keys/key_h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alanjui.github.io/Blogger/assets/images/keys/key_9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alanjui.github.io/Blogger/assets/images/keys/key_minus.png" TargetMode="External"/><Relationship Id="rId61" Type="http://schemas.openxmlformats.org/officeDocument/2006/relationships/hyperlink" Target="https://alanjui.github.io/Blogger/assets/images/keys/key_t.png" TargetMode="External"/><Relationship Id="rId82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</webImagesSrd>
</file>

<file path=xl/richData/rdrichvalue.xml><?xml version="1.0" encoding="utf-8"?>
<rvData xmlns="http://schemas.microsoft.com/office/spreadsheetml/2017/richdata" count="44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88A712-C63B-4FC5-80F5-131690BB4CC0}" name="按鍵位置表" displayName="按鍵位置表" ref="B2:I62" totalsRowShown="0" tableBorderDxfId="61">
  <autoFilter ref="B2:I62" xr:uid="{8788A712-C63B-4FC5-80F5-131690BB4CC0}"/>
  <tableColumns count="8">
    <tableColumn id="1" xr3:uid="{04BB5769-B9FB-43FA-9EEC-B87DF422D123}" name="序號" dataDxfId="60" dataCellStyle="一般 3 2"/>
    <tableColumn id="2" xr3:uid="{6B7CB5B1-520C-4E24-840A-AB90FEFABC0E}" name="方音符號" dataDxfId="59" dataCellStyle="一般 3 2"/>
    <tableColumn id="3" xr3:uid="{1F0B3DF3-DAB0-42E8-8A90-3D801CF12E25}" name="台羅拼音" dataDxfId="58" dataCellStyle="一般 3 2"/>
    <tableColumn id="4" xr3:uid="{D35666FC-3EC5-4F0C-AFEB-32E961A9051D}" name="鍵盤按鍵" dataDxfId="57" dataCellStyle="一般 2"/>
    <tableColumn id="5" xr3:uid="{A4A82EB5-AD2D-4CE9-A8E4-A3146D651236}" name="按鍵位置" dataDxfId="56" dataCellStyle="一般 2"/>
    <tableColumn id="6" xr3:uid="{DB269937-1F14-43A8-9D50-77958ABF3E18}" name="Note"/>
    <tableColumn id="8" xr3:uid="{167EA6BB-E40F-44D8-972E-2AEB2BEC83FB}" name="Pict URL" dataDxfId="3">
      <calculatedColumnFormula>_xlfn.CONCAT(URL, F3, ".png")</calculatedColumnFormula>
    </tableColumn>
    <tableColumn id="7" xr3:uid="{4D89FD40-5933-4200-81EF-9FC165B664D9}" name="Pict" dataDxfId="4">
      <calculatedColumnFormula xml:space="preserve"> IFERROR( _xlfn.IMAGE(按鍵位置表[[#This Row],[Pict URL]]),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1D783C-B8EF-43B2-A50F-3BE701820E02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alanjui.github.io/Blogger/assets/images/keys/key_" TargetMode="External"/><Relationship Id="rId1" Type="http://schemas.openxmlformats.org/officeDocument/2006/relationships/hyperlink" Target="https://alanjui.github.io/Blogger/assets/images/keys/key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A367A-5EA6-4053-8E50-AB4287716B06}">
  <dimension ref="A1:V2002"/>
  <sheetViews>
    <sheetView showGridLines="0"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21" sqref="L21"/>
    </sheetView>
  </sheetViews>
  <sheetFormatPr defaultRowHeight="39"/>
  <cols>
    <col min="1" max="1" width="0.875" style="15" customWidth="1"/>
    <col min="2" max="2" width="5.625" style="15" customWidth="1"/>
    <col min="3" max="3" width="4.625" style="15" customWidth="1"/>
    <col min="4" max="18" width="28.5" style="49" customWidth="1"/>
    <col min="19" max="19" width="4.625" style="14" customWidth="1"/>
    <col min="20" max="20" width="3.5" style="15" customWidth="1"/>
    <col min="21" max="21" width="7.75" style="15" customWidth="1"/>
    <col min="22" max="22" width="89.625" style="16" customWidth="1"/>
    <col min="23" max="23" width="12.75" style="15" bestFit="1" customWidth="1"/>
    <col min="24" max="16384" width="9" style="15"/>
  </cols>
  <sheetData>
    <row r="1" spans="1:22">
      <c r="A1" s="13">
        <f xml:space="preserve"> COLUMN()</f>
        <v>1</v>
      </c>
      <c r="B1" s="13">
        <f t="shared" ref="B1:C1" si="0" xml:space="preserve"> COLUMN()</f>
        <v>2</v>
      </c>
      <c r="C1" s="13">
        <f t="shared" si="0"/>
        <v>3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2" s="17" customFormat="1" ht="36" customHeight="1"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9"/>
      <c r="V2" s="20">
        <f xml:space="preserve"> LEN(V3)</f>
        <v>45</v>
      </c>
    </row>
    <row r="3" spans="1:22" s="21" customFormat="1" ht="60" customHeight="1">
      <c r="B3" s="22"/>
      <c r="C3" s="23"/>
      <c r="D3" s="24"/>
      <c r="E3" s="24"/>
      <c r="F3" s="24"/>
      <c r="G3" s="24"/>
      <c r="H3" s="24"/>
      <c r="I3" s="24"/>
      <c r="J3" s="24"/>
      <c r="K3" s="24"/>
      <c r="L3" s="24"/>
      <c r="M3" s="25"/>
      <c r="N3" s="25"/>
      <c r="O3" s="25"/>
      <c r="P3" s="25"/>
      <c r="Q3" s="25"/>
      <c r="R3" s="25"/>
      <c r="T3" s="26"/>
      <c r="V3" s="122" t="s">
        <v>122</v>
      </c>
    </row>
    <row r="4" spans="1:22" s="14" customFormat="1" ht="36" customHeight="1">
      <c r="B4" s="27"/>
      <c r="D4" s="28"/>
      <c r="E4" s="28" t="s">
        <v>5</v>
      </c>
      <c r="F4" s="28" t="s">
        <v>123</v>
      </c>
      <c r="G4" s="28" t="s">
        <v>124</v>
      </c>
      <c r="H4" s="28"/>
      <c r="I4" s="28" t="s">
        <v>76</v>
      </c>
      <c r="J4" s="28" t="s">
        <v>77</v>
      </c>
      <c r="K4" s="28" t="s">
        <v>78</v>
      </c>
      <c r="L4" s="28"/>
      <c r="M4" s="29"/>
      <c r="N4" s="29"/>
      <c r="O4" s="29"/>
      <c r="P4" s="29"/>
      <c r="Q4" s="29"/>
      <c r="R4" s="29"/>
      <c r="S4" s="30"/>
      <c r="V4" s="123"/>
    </row>
    <row r="5" spans="1:22" s="14" customFormat="1" ht="80.099999999999994" customHeight="1">
      <c r="B5" s="31">
        <v>1</v>
      </c>
      <c r="D5" s="32" t="s">
        <v>125</v>
      </c>
      <c r="E5" s="32" t="s">
        <v>126</v>
      </c>
      <c r="F5" s="32" t="s">
        <v>1</v>
      </c>
      <c r="G5" s="32" t="s">
        <v>2</v>
      </c>
      <c r="H5" s="32" t="s">
        <v>127</v>
      </c>
      <c r="I5" s="32" t="s">
        <v>128</v>
      </c>
      <c r="J5" s="32" t="s">
        <v>129</v>
      </c>
      <c r="K5" s="32" t="s">
        <v>130</v>
      </c>
      <c r="L5" s="32" t="str">
        <f>CHAR(10)</f>
        <v xml:space="preserve">
</v>
      </c>
      <c r="M5" s="32"/>
      <c r="N5" s="32"/>
      <c r="O5" s="32"/>
      <c r="P5" s="32"/>
      <c r="Q5" s="32"/>
      <c r="R5" s="32"/>
      <c r="S5" s="33"/>
      <c r="V5" s="123"/>
    </row>
    <row r="6" spans="1:22" s="34" customFormat="1" ht="36" customHeight="1">
      <c r="B6" s="35"/>
      <c r="C6" s="36"/>
      <c r="D6" s="37"/>
      <c r="E6" s="37" t="s">
        <v>131</v>
      </c>
      <c r="F6" s="37" t="s">
        <v>132</v>
      </c>
      <c r="G6" s="37" t="s">
        <v>133</v>
      </c>
      <c r="H6" s="37"/>
      <c r="I6" s="37" t="s">
        <v>134</v>
      </c>
      <c r="J6" s="37" t="s">
        <v>135</v>
      </c>
      <c r="K6" s="37" t="s">
        <v>136</v>
      </c>
      <c r="L6" s="37"/>
      <c r="M6" s="37"/>
      <c r="N6" s="37"/>
      <c r="O6" s="37"/>
      <c r="P6" s="37"/>
      <c r="Q6" s="37"/>
      <c r="R6" s="37"/>
      <c r="S6" s="38"/>
      <c r="V6" s="123"/>
    </row>
    <row r="7" spans="1:22" s="39" customFormat="1" ht="60" customHeight="1">
      <c r="B7" s="40"/>
      <c r="C7" s="41"/>
      <c r="D7" s="24"/>
      <c r="E7" s="24"/>
      <c r="F7" s="24"/>
      <c r="G7" s="24"/>
      <c r="H7" s="24"/>
      <c r="I7" s="24"/>
      <c r="J7" s="24"/>
      <c r="K7" s="24"/>
      <c r="L7" s="24"/>
      <c r="M7" s="25"/>
      <c r="N7" s="25"/>
      <c r="O7" s="25"/>
      <c r="P7" s="25"/>
      <c r="Q7" s="25"/>
      <c r="R7" s="25"/>
      <c r="S7" s="42"/>
      <c r="V7" s="123"/>
    </row>
    <row r="8" spans="1:22" s="14" customFormat="1" ht="36" customHeight="1">
      <c r="B8" s="27"/>
      <c r="D8" s="28" t="s">
        <v>79</v>
      </c>
      <c r="E8" s="28" t="s">
        <v>80</v>
      </c>
      <c r="F8" s="28" t="s">
        <v>81</v>
      </c>
      <c r="G8" s="28" t="s">
        <v>82</v>
      </c>
      <c r="H8" s="28" t="s">
        <v>83</v>
      </c>
      <c r="I8" s="28" t="s">
        <v>84</v>
      </c>
      <c r="J8" s="28" t="s">
        <v>85</v>
      </c>
      <c r="K8" s="28"/>
      <c r="L8" s="28"/>
      <c r="M8" s="29"/>
      <c r="N8" s="29"/>
      <c r="O8" s="29"/>
      <c r="P8" s="29"/>
      <c r="Q8" s="29"/>
      <c r="R8" s="29"/>
      <c r="S8" s="30"/>
      <c r="V8" s="123"/>
    </row>
    <row r="9" spans="1:22" s="14" customFormat="1" ht="80.099999999999994" customHeight="1">
      <c r="B9" s="31">
        <f>B5+1</f>
        <v>2</v>
      </c>
      <c r="D9" s="32" t="s">
        <v>137</v>
      </c>
      <c r="E9" s="32" t="s">
        <v>138</v>
      </c>
      <c r="F9" s="32" t="s">
        <v>139</v>
      </c>
      <c r="G9" s="32" t="s">
        <v>140</v>
      </c>
      <c r="H9" s="32" t="s">
        <v>141</v>
      </c>
      <c r="I9" s="32" t="s">
        <v>142</v>
      </c>
      <c r="J9" s="32" t="s">
        <v>143</v>
      </c>
      <c r="K9" s="32" t="s">
        <v>144</v>
      </c>
      <c r="L9" s="32" t="str">
        <f>CHAR(10)</f>
        <v xml:space="preserve">
</v>
      </c>
      <c r="M9" s="32"/>
      <c r="N9" s="32"/>
      <c r="O9" s="32"/>
      <c r="P9" s="32"/>
      <c r="Q9" s="32"/>
      <c r="R9" s="32"/>
      <c r="S9" s="33"/>
      <c r="T9" s="26"/>
      <c r="V9" s="123"/>
    </row>
    <row r="10" spans="1:22" s="14" customFormat="1" ht="36" customHeight="1">
      <c r="B10" s="35"/>
      <c r="D10" s="37" t="s">
        <v>145</v>
      </c>
      <c r="E10" s="37" t="s">
        <v>146</v>
      </c>
      <c r="F10" s="37" t="s">
        <v>147</v>
      </c>
      <c r="G10" s="37" t="s">
        <v>148</v>
      </c>
      <c r="H10" s="37" t="s">
        <v>149</v>
      </c>
      <c r="I10" s="37" t="s">
        <v>150</v>
      </c>
      <c r="J10" s="37" t="s">
        <v>151</v>
      </c>
      <c r="K10" s="37"/>
      <c r="L10" s="37"/>
      <c r="M10" s="37"/>
      <c r="N10" s="37"/>
      <c r="O10" s="37"/>
      <c r="P10" s="37"/>
      <c r="Q10" s="37"/>
      <c r="R10" s="37"/>
      <c r="S10" s="43"/>
      <c r="V10" s="123"/>
    </row>
    <row r="11" spans="1:22" s="42" customFormat="1" ht="60" customHeight="1">
      <c r="B11" s="44"/>
      <c r="C11" s="45"/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25"/>
      <c r="O11" s="25"/>
      <c r="P11" s="25"/>
      <c r="Q11" s="25"/>
      <c r="R11" s="25"/>
      <c r="V11" s="123"/>
    </row>
    <row r="12" spans="1:22" s="14" customFormat="1" ht="36" customHeight="1">
      <c r="B12" s="27"/>
      <c r="D12" s="28" t="s">
        <v>90</v>
      </c>
      <c r="E12" s="28" t="s">
        <v>91</v>
      </c>
      <c r="F12" s="28" t="s">
        <v>92</v>
      </c>
      <c r="G12" s="28" t="s">
        <v>93</v>
      </c>
      <c r="H12" s="28" t="s">
        <v>94</v>
      </c>
      <c r="I12" s="28" t="s">
        <v>95</v>
      </c>
      <c r="J12" s="28" t="s">
        <v>96</v>
      </c>
      <c r="K12" s="28"/>
      <c r="L12" s="28"/>
      <c r="M12" s="29"/>
      <c r="N12" s="29"/>
      <c r="O12" s="29"/>
      <c r="P12" s="29"/>
      <c r="Q12" s="29"/>
      <c r="R12" s="29"/>
      <c r="S12" s="30"/>
      <c r="V12" s="123"/>
    </row>
    <row r="13" spans="1:22" s="14" customFormat="1" ht="80.099999999999994" customHeight="1">
      <c r="B13" s="31">
        <f>B9+1</f>
        <v>3</v>
      </c>
      <c r="D13" s="32" t="s">
        <v>152</v>
      </c>
      <c r="E13" s="32" t="s">
        <v>153</v>
      </c>
      <c r="F13" s="32" t="s">
        <v>154</v>
      </c>
      <c r="G13" s="32" t="s">
        <v>155</v>
      </c>
      <c r="H13" s="32" t="s">
        <v>156</v>
      </c>
      <c r="I13" s="32" t="s">
        <v>157</v>
      </c>
      <c r="J13" s="32" t="s">
        <v>158</v>
      </c>
      <c r="K13" s="32" t="s">
        <v>159</v>
      </c>
      <c r="L13" s="32" t="str">
        <f>CHAR(10)</f>
        <v xml:space="preserve">
</v>
      </c>
      <c r="M13" s="32"/>
      <c r="N13" s="32"/>
      <c r="O13" s="32"/>
      <c r="P13" s="32"/>
      <c r="Q13" s="32"/>
      <c r="R13" s="32"/>
      <c r="S13" s="33"/>
      <c r="V13" s="123"/>
    </row>
    <row r="14" spans="1:22" s="14" customFormat="1" ht="36" customHeight="1">
      <c r="B14" s="35"/>
      <c r="D14" s="37" t="s">
        <v>160</v>
      </c>
      <c r="E14" s="37" t="s">
        <v>161</v>
      </c>
      <c r="F14" s="37" t="s">
        <v>162</v>
      </c>
      <c r="G14" s="37" t="s">
        <v>163</v>
      </c>
      <c r="H14" s="37" t="s">
        <v>164</v>
      </c>
      <c r="I14" s="37" t="s">
        <v>165</v>
      </c>
      <c r="J14" s="37" t="s">
        <v>166</v>
      </c>
      <c r="K14" s="37"/>
      <c r="L14" s="37"/>
      <c r="M14" s="37"/>
      <c r="N14" s="37"/>
      <c r="O14" s="37"/>
      <c r="P14" s="37"/>
      <c r="Q14" s="37"/>
      <c r="R14" s="37"/>
      <c r="S14" s="43"/>
      <c r="V14" s="123"/>
    </row>
    <row r="15" spans="1:22" s="46" customFormat="1" ht="60" customHeight="1">
      <c r="B15" s="22"/>
      <c r="C15" s="47"/>
      <c r="D15" s="24"/>
      <c r="E15" s="24" t="s">
        <v>98</v>
      </c>
      <c r="F15" s="24"/>
      <c r="G15" s="24"/>
      <c r="H15" s="24"/>
      <c r="I15" s="24"/>
      <c r="J15" s="24"/>
      <c r="K15" s="24"/>
      <c r="L15" s="24"/>
      <c r="M15" s="25"/>
      <c r="N15" s="25"/>
      <c r="O15" s="25"/>
      <c r="P15" s="25"/>
      <c r="Q15" s="25"/>
      <c r="R15" s="25"/>
      <c r="V15" s="123"/>
    </row>
    <row r="16" spans="1:22" s="14" customFormat="1" ht="36" customHeight="1">
      <c r="B16" s="27"/>
      <c r="D16" s="28" t="s">
        <v>97</v>
      </c>
      <c r="E16" s="28" t="s">
        <v>98</v>
      </c>
      <c r="F16" s="28" t="s">
        <v>80</v>
      </c>
      <c r="G16" s="28" t="s">
        <v>99</v>
      </c>
      <c r="H16" s="28" t="s">
        <v>100</v>
      </c>
      <c r="I16" s="28" t="s">
        <v>101</v>
      </c>
      <c r="J16" s="28" t="s">
        <v>102</v>
      </c>
      <c r="K16" s="28"/>
      <c r="L16" s="28"/>
      <c r="M16" s="29"/>
      <c r="N16" s="29"/>
      <c r="O16" s="29"/>
      <c r="P16" s="29"/>
      <c r="Q16" s="29"/>
      <c r="R16" s="29"/>
      <c r="S16" s="30"/>
      <c r="V16" s="123"/>
    </row>
    <row r="17" spans="2:22" s="14" customFormat="1" ht="80.099999999999994" customHeight="1">
      <c r="B17" s="31">
        <f>B13+1</f>
        <v>4</v>
      </c>
      <c r="D17" s="32" t="s">
        <v>167</v>
      </c>
      <c r="E17" s="32" t="s">
        <v>168</v>
      </c>
      <c r="F17" s="32" t="s">
        <v>169</v>
      </c>
      <c r="G17" s="32" t="s">
        <v>170</v>
      </c>
      <c r="H17" s="32" t="s">
        <v>171</v>
      </c>
      <c r="I17" s="32" t="s">
        <v>172</v>
      </c>
      <c r="J17" s="32" t="s">
        <v>173</v>
      </c>
      <c r="K17" s="32" t="s">
        <v>144</v>
      </c>
      <c r="L17" s="32" t="str">
        <f>CHAR(10)</f>
        <v xml:space="preserve">
</v>
      </c>
      <c r="M17" s="32"/>
      <c r="N17" s="32"/>
      <c r="O17" s="32"/>
      <c r="P17" s="32"/>
      <c r="Q17" s="32"/>
      <c r="R17" s="32"/>
      <c r="S17" s="33"/>
      <c r="V17" s="123"/>
    </row>
    <row r="18" spans="2:22" s="14" customFormat="1" ht="36" customHeight="1">
      <c r="B18" s="35"/>
      <c r="D18" s="37" t="s">
        <v>174</v>
      </c>
      <c r="E18" s="37" t="s">
        <v>175</v>
      </c>
      <c r="F18" s="37" t="s">
        <v>146</v>
      </c>
      <c r="G18" s="37" t="s">
        <v>176</v>
      </c>
      <c r="H18" s="37" t="s">
        <v>177</v>
      </c>
      <c r="I18" s="37" t="s">
        <v>178</v>
      </c>
      <c r="J18" s="37" t="s">
        <v>179</v>
      </c>
      <c r="K18" s="37"/>
      <c r="L18" s="37"/>
      <c r="M18" s="37"/>
      <c r="N18" s="37"/>
      <c r="O18" s="37"/>
      <c r="P18" s="37"/>
      <c r="Q18" s="37"/>
      <c r="R18" s="37"/>
      <c r="S18" s="43"/>
      <c r="V18" s="123"/>
    </row>
    <row r="19" spans="2:22" s="46" customFormat="1" ht="60" customHeight="1">
      <c r="B19" s="22"/>
      <c r="C19" s="47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5"/>
      <c r="O19" s="25"/>
      <c r="P19" s="25"/>
      <c r="Q19" s="25"/>
      <c r="R19" s="25"/>
      <c r="V19" s="123"/>
    </row>
    <row r="20" spans="2:22" s="14" customFormat="1" ht="36" customHeight="1">
      <c r="B20" s="27"/>
      <c r="D20" s="28" t="s">
        <v>103</v>
      </c>
      <c r="E20" s="28" t="s">
        <v>104</v>
      </c>
      <c r="F20" s="28" t="s">
        <v>105</v>
      </c>
      <c r="G20" s="28" t="s">
        <v>106</v>
      </c>
      <c r="H20" s="28" t="s">
        <v>107</v>
      </c>
      <c r="I20" s="28" t="s">
        <v>108</v>
      </c>
      <c r="J20" s="28" t="s">
        <v>109</v>
      </c>
      <c r="K20" s="28"/>
      <c r="L20" s="28"/>
      <c r="M20" s="29"/>
      <c r="N20" s="29"/>
      <c r="O20" s="29"/>
      <c r="P20" s="29"/>
      <c r="Q20" s="29"/>
      <c r="R20" s="29"/>
      <c r="S20" s="30"/>
      <c r="V20" s="123"/>
    </row>
    <row r="21" spans="2:22" s="14" customFormat="1" ht="80.099999999999994" customHeight="1">
      <c r="B21" s="31">
        <f>B17+1</f>
        <v>5</v>
      </c>
      <c r="D21" s="32" t="s">
        <v>180</v>
      </c>
      <c r="E21" s="32" t="s">
        <v>181</v>
      </c>
      <c r="F21" s="32" t="s">
        <v>182</v>
      </c>
      <c r="G21" s="32" t="s">
        <v>183</v>
      </c>
      <c r="H21" s="32" t="s">
        <v>184</v>
      </c>
      <c r="I21" s="32" t="s">
        <v>185</v>
      </c>
      <c r="J21" s="32" t="s">
        <v>186</v>
      </c>
      <c r="K21" s="32" t="s">
        <v>159</v>
      </c>
      <c r="L21" s="32" t="str">
        <f>CHAR(10)</f>
        <v xml:space="preserve">
</v>
      </c>
      <c r="M21" s="32"/>
      <c r="N21" s="32"/>
      <c r="O21" s="32"/>
      <c r="P21" s="32"/>
      <c r="Q21" s="32"/>
      <c r="R21" s="32"/>
      <c r="S21" s="33"/>
      <c r="V21" s="123"/>
    </row>
    <row r="22" spans="2:22" s="14" customFormat="1" ht="36" customHeight="1">
      <c r="B22" s="35"/>
      <c r="D22" s="37" t="s">
        <v>187</v>
      </c>
      <c r="E22" s="37" t="s">
        <v>188</v>
      </c>
      <c r="F22" s="37" t="s">
        <v>189</v>
      </c>
      <c r="G22" s="37" t="s">
        <v>190</v>
      </c>
      <c r="H22" s="37" t="s">
        <v>191</v>
      </c>
      <c r="I22" s="37" t="s">
        <v>192</v>
      </c>
      <c r="J22" s="37" t="s">
        <v>193</v>
      </c>
      <c r="K22" s="37"/>
      <c r="L22" s="37"/>
      <c r="M22" s="37"/>
      <c r="N22" s="37"/>
      <c r="O22" s="37"/>
      <c r="P22" s="37"/>
      <c r="Q22" s="37"/>
      <c r="R22" s="37"/>
      <c r="S22" s="43"/>
      <c r="V22" s="123"/>
    </row>
    <row r="23" spans="2:22" s="46" customFormat="1" ht="60" customHeight="1">
      <c r="B23" s="22"/>
      <c r="C23" s="47"/>
      <c r="D23" s="24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V23" s="123"/>
    </row>
    <row r="24" spans="2:22" s="14" customFormat="1" ht="36" customHeight="1">
      <c r="B24" s="27"/>
      <c r="D24" s="28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30"/>
      <c r="V24" s="123"/>
    </row>
    <row r="25" spans="2:22" s="14" customFormat="1" ht="80.099999999999994" customHeight="1">
      <c r="B25" s="31">
        <f>B21+1</f>
        <v>6</v>
      </c>
      <c r="D25" s="32" t="s">
        <v>194</v>
      </c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3"/>
      <c r="V25" s="123"/>
    </row>
    <row r="26" spans="2:22" s="14" customFormat="1" ht="36" customHeight="1">
      <c r="B26" s="35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43"/>
      <c r="V26" s="123"/>
    </row>
    <row r="27" spans="2:22" s="46" customFormat="1" ht="60" customHeight="1">
      <c r="B27" s="22"/>
      <c r="C27" s="47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V27" s="123"/>
    </row>
    <row r="28" spans="2:22" s="14" customFormat="1" ht="36" customHeight="1">
      <c r="B28" s="27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30"/>
      <c r="U28" s="46"/>
      <c r="V28" s="123"/>
    </row>
    <row r="29" spans="2:22" s="14" customFormat="1" ht="80.099999999999994" customHeight="1">
      <c r="B29" s="31">
        <f>B25+1</f>
        <v>7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3"/>
      <c r="U29" s="46"/>
      <c r="V29" s="123"/>
    </row>
    <row r="30" spans="2:22" s="14" customFormat="1" ht="36" customHeight="1">
      <c r="B30" s="35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43"/>
      <c r="U30" s="46"/>
      <c r="V30" s="123"/>
    </row>
    <row r="31" spans="2:22" s="46" customFormat="1" ht="60" customHeight="1">
      <c r="B31" s="22"/>
      <c r="C31" s="47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V31" s="123"/>
    </row>
    <row r="32" spans="2:22" s="14" customFormat="1" ht="36" customHeight="1">
      <c r="B32" s="27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30"/>
      <c r="U32" s="46"/>
      <c r="V32" s="123"/>
    </row>
    <row r="33" spans="2:22" s="14" customFormat="1" ht="80.099999999999994" customHeight="1">
      <c r="B33" s="31">
        <f>B29+1</f>
        <v>8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3"/>
      <c r="V33" s="123"/>
    </row>
    <row r="34" spans="2:22" s="14" customFormat="1" ht="36" customHeight="1">
      <c r="B34" s="35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43"/>
      <c r="V34" s="123"/>
    </row>
    <row r="35" spans="2:22" s="46" customFormat="1" ht="60" customHeight="1">
      <c r="B35" s="22"/>
      <c r="C35" s="47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V35" s="123"/>
    </row>
    <row r="36" spans="2:22" s="14" customFormat="1" ht="36" customHeight="1">
      <c r="B36" s="27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30"/>
      <c r="V36" s="123"/>
    </row>
    <row r="37" spans="2:22" s="14" customFormat="1" ht="80.099999999999994" customHeight="1">
      <c r="B37" s="31">
        <f>B33+1</f>
        <v>9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3"/>
      <c r="V37" s="123"/>
    </row>
    <row r="38" spans="2:22" s="14" customFormat="1" ht="36" customHeight="1">
      <c r="B38" s="35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43"/>
      <c r="V38" s="123"/>
    </row>
    <row r="39" spans="2:22" s="46" customFormat="1" ht="60" customHeight="1">
      <c r="B39" s="22"/>
      <c r="C39" s="47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V39" s="123"/>
    </row>
    <row r="40" spans="2:22" s="14" customFormat="1" ht="36" customHeight="1">
      <c r="B40" s="27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0"/>
      <c r="V40" s="123"/>
    </row>
    <row r="41" spans="2:22" s="14" customFormat="1" ht="80.099999999999994" customHeight="1">
      <c r="B41" s="31">
        <f>B37+1</f>
        <v>10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3"/>
      <c r="V41" s="123"/>
    </row>
    <row r="42" spans="2:22" s="14" customFormat="1" ht="36" customHeight="1">
      <c r="B42" s="35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43"/>
      <c r="V42" s="123"/>
    </row>
    <row r="43" spans="2:22" s="46" customFormat="1" ht="60" customHeight="1">
      <c r="B43" s="22"/>
      <c r="C43" s="47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V43" s="123"/>
    </row>
    <row r="44" spans="2:22" s="14" customFormat="1" ht="36" customHeight="1">
      <c r="B44" s="27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30"/>
      <c r="V44" s="123"/>
    </row>
    <row r="45" spans="2:22" s="14" customFormat="1" ht="80.099999999999994" customHeight="1">
      <c r="B45" s="31">
        <f>B41+1</f>
        <v>11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3"/>
      <c r="V45" s="123"/>
    </row>
    <row r="46" spans="2:22" s="14" customFormat="1" ht="36" customHeight="1">
      <c r="B46" s="35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43"/>
      <c r="V46" s="123"/>
    </row>
    <row r="47" spans="2:22" s="46" customFormat="1" ht="60" customHeight="1">
      <c r="B47" s="22"/>
      <c r="C47" s="47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V47" s="123"/>
    </row>
    <row r="48" spans="2:22" s="14" customFormat="1" ht="36" customHeight="1">
      <c r="B48" s="27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30"/>
      <c r="V48" s="123"/>
    </row>
    <row r="49" spans="2:22" s="14" customFormat="1" ht="80.099999999999994" customHeight="1">
      <c r="B49" s="31">
        <f>B45+1</f>
        <v>12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3"/>
      <c r="V49" s="123"/>
    </row>
    <row r="50" spans="2:22" s="14" customFormat="1" ht="36" customHeight="1">
      <c r="B50" s="35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43"/>
      <c r="V50" s="123"/>
    </row>
    <row r="51" spans="2:22" s="46" customFormat="1" ht="60" customHeight="1">
      <c r="B51" s="22"/>
      <c r="C51" s="47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V51" s="123"/>
    </row>
    <row r="52" spans="2:22" s="14" customFormat="1" ht="36" customHeight="1">
      <c r="B52" s="27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30"/>
      <c r="V52" s="123"/>
    </row>
    <row r="53" spans="2:22" s="14" customFormat="1" ht="80.099999999999994" customHeight="1">
      <c r="B53" s="31">
        <f>B49+1</f>
        <v>13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3"/>
      <c r="V53" s="123"/>
    </row>
    <row r="54" spans="2:22" s="14" customFormat="1" ht="36" customHeight="1">
      <c r="B54" s="35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43"/>
      <c r="V54" s="123"/>
    </row>
    <row r="55" spans="2:22" s="46" customFormat="1" ht="60" customHeight="1">
      <c r="B55" s="22"/>
      <c r="C55" s="47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V55" s="123"/>
    </row>
    <row r="56" spans="2:22" s="14" customFormat="1" ht="36" customHeight="1">
      <c r="B56" s="27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30"/>
      <c r="V56" s="123"/>
    </row>
    <row r="57" spans="2:22" s="14" customFormat="1" ht="80.099999999999994" customHeight="1">
      <c r="B57" s="31">
        <f>B53+1</f>
        <v>14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3"/>
      <c r="V57" s="123"/>
    </row>
    <row r="58" spans="2:22" s="14" customFormat="1" ht="36" customHeight="1">
      <c r="B58" s="35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43"/>
      <c r="V58" s="123"/>
    </row>
    <row r="59" spans="2:22" s="46" customFormat="1" ht="60" customHeight="1">
      <c r="B59" s="22"/>
      <c r="C59" s="47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V59" s="123"/>
    </row>
    <row r="60" spans="2:22" s="14" customFormat="1" ht="36" customHeight="1">
      <c r="B60" s="27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30"/>
      <c r="V60" s="123"/>
    </row>
    <row r="61" spans="2:22" s="14" customFormat="1" ht="80.099999999999994" customHeight="1">
      <c r="B61" s="31">
        <f>B57+1</f>
        <v>15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3"/>
      <c r="V61" s="123"/>
    </row>
    <row r="62" spans="2:22" s="14" customFormat="1" ht="36" customHeight="1">
      <c r="B62" s="35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43"/>
      <c r="V62" s="123"/>
    </row>
    <row r="63" spans="2:22" s="46" customFormat="1" ht="60" customHeight="1">
      <c r="B63" s="22"/>
      <c r="C63" s="47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V63" s="123"/>
    </row>
    <row r="64" spans="2:22" s="14" customFormat="1" ht="36" customHeight="1">
      <c r="B64" s="27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30"/>
      <c r="V64" s="123"/>
    </row>
    <row r="65" spans="2:22" s="14" customFormat="1" ht="80.099999999999994" customHeight="1">
      <c r="B65" s="31">
        <f>B61+1</f>
        <v>16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3"/>
      <c r="V65" s="123"/>
    </row>
    <row r="66" spans="2:22" s="14" customFormat="1" ht="36" customHeight="1">
      <c r="B66" s="35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43"/>
      <c r="V66" s="123"/>
    </row>
    <row r="67" spans="2:22" s="46" customFormat="1" ht="60" customHeight="1">
      <c r="B67" s="22"/>
      <c r="C67" s="47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V67" s="123"/>
    </row>
    <row r="68" spans="2:22" s="14" customFormat="1" ht="36" customHeight="1">
      <c r="B68" s="27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30"/>
      <c r="V68" s="123"/>
    </row>
    <row r="69" spans="2:22" s="14" customFormat="1" ht="80.099999999999994" customHeight="1">
      <c r="B69" s="31">
        <f>B65+1</f>
        <v>17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3"/>
      <c r="V69" s="123"/>
    </row>
    <row r="70" spans="2:22" s="14" customFormat="1" ht="36" customHeight="1">
      <c r="B70" s="35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43"/>
      <c r="V70" s="123"/>
    </row>
    <row r="71" spans="2:22" s="46" customFormat="1" ht="60" customHeight="1">
      <c r="B71" s="22"/>
      <c r="C71" s="47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V71" s="123"/>
    </row>
    <row r="72" spans="2:22" s="14" customFormat="1" ht="36" customHeight="1">
      <c r="B72" s="27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30"/>
      <c r="V72" s="123"/>
    </row>
    <row r="73" spans="2:22" s="14" customFormat="1" ht="80.099999999999994" customHeight="1">
      <c r="B73" s="31">
        <f>B69+1</f>
        <v>18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3"/>
      <c r="V73" s="123"/>
    </row>
    <row r="74" spans="2:22" s="14" customFormat="1" ht="36" customHeight="1">
      <c r="B74" s="35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43"/>
      <c r="V74" s="123"/>
    </row>
    <row r="75" spans="2:22" s="46" customFormat="1" ht="60" customHeight="1">
      <c r="B75" s="22"/>
      <c r="C75" s="47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V75" s="123"/>
    </row>
    <row r="76" spans="2:22" s="14" customFormat="1" ht="36" customHeight="1">
      <c r="B76" s="27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30"/>
      <c r="V76" s="123"/>
    </row>
    <row r="77" spans="2:22" s="14" customFormat="1" ht="80.099999999999994" customHeight="1">
      <c r="B77" s="31">
        <f>B73+1</f>
        <v>19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3"/>
      <c r="V77" s="123"/>
    </row>
    <row r="78" spans="2:22" s="14" customFormat="1" ht="36" customHeight="1">
      <c r="B78" s="35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3"/>
      <c r="V78" s="123"/>
    </row>
    <row r="79" spans="2:22" s="46" customFormat="1" ht="60" customHeight="1">
      <c r="B79" s="22"/>
      <c r="C79" s="47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V79" s="123"/>
    </row>
    <row r="80" spans="2:22" s="14" customFormat="1" ht="36" customHeight="1">
      <c r="B80" s="27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30"/>
      <c r="V80" s="123"/>
    </row>
    <row r="81" spans="2:22" s="14" customFormat="1" ht="80.099999999999994" customHeight="1">
      <c r="B81" s="31">
        <f>B77+1</f>
        <v>20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3"/>
      <c r="V81" s="123"/>
    </row>
    <row r="82" spans="2:22" s="14" customFormat="1" ht="36" customHeight="1">
      <c r="B82" s="35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43"/>
      <c r="V82" s="124"/>
    </row>
    <row r="83" spans="2:22" s="46" customFormat="1" ht="60" customHeight="1">
      <c r="B83" s="22"/>
      <c r="C83" s="47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V83" s="48"/>
    </row>
    <row r="84" spans="2:22" s="14" customFormat="1" ht="36" customHeight="1">
      <c r="B84" s="27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30"/>
      <c r="V84" s="16"/>
    </row>
    <row r="85" spans="2:22" s="14" customFormat="1" ht="80.099999999999994" customHeight="1">
      <c r="B85" s="31">
        <f>B81+1</f>
        <v>21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3"/>
      <c r="V85" s="16"/>
    </row>
    <row r="86" spans="2:22" s="14" customFormat="1" ht="36" customHeight="1">
      <c r="B86" s="35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43"/>
      <c r="V86" s="16"/>
    </row>
    <row r="87" spans="2:22" s="46" customFormat="1" ht="60" customHeight="1">
      <c r="B87" s="22"/>
      <c r="C87" s="47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V87" s="48"/>
    </row>
    <row r="88" spans="2:22" s="14" customFormat="1" ht="36" customHeight="1">
      <c r="B88" s="27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30"/>
      <c r="V88" s="16"/>
    </row>
    <row r="89" spans="2:22" s="14" customFormat="1" ht="80.099999999999994" customHeight="1">
      <c r="B89" s="31">
        <f>B85+1</f>
        <v>22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3"/>
      <c r="V89" s="16"/>
    </row>
    <row r="90" spans="2:22" s="14" customFormat="1" ht="36" customHeight="1">
      <c r="B90" s="35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43"/>
      <c r="V90" s="16"/>
    </row>
    <row r="91" spans="2:22" s="46" customFormat="1" ht="60" customHeight="1">
      <c r="B91" s="22"/>
      <c r="C91" s="47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V91" s="48"/>
    </row>
    <row r="92" spans="2:22" s="14" customFormat="1" ht="36" customHeight="1">
      <c r="B92" s="27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30"/>
      <c r="V92" s="16"/>
    </row>
    <row r="93" spans="2:22" s="14" customFormat="1" ht="80.099999999999994" customHeight="1">
      <c r="B93" s="31">
        <f>B89+1</f>
        <v>23</v>
      </c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3"/>
      <c r="V93" s="16"/>
    </row>
    <row r="94" spans="2:22" s="14" customFormat="1" ht="36" customHeight="1">
      <c r="B94" s="35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43"/>
      <c r="V94" s="16"/>
    </row>
    <row r="95" spans="2:22">
      <c r="B95" s="22"/>
      <c r="C95" s="47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</row>
    <row r="96" spans="2:22" ht="39.75">
      <c r="B96" s="27"/>
      <c r="C96" s="14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</row>
    <row r="97" spans="2:18" s="14" customFormat="1" ht="80.099999999999994" customHeight="1">
      <c r="B97" s="31">
        <f>B93+1</f>
        <v>24</v>
      </c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</row>
    <row r="98" spans="2:18" s="14" customFormat="1" ht="36" customHeight="1">
      <c r="B98" s="35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</row>
    <row r="99" spans="2:18" s="46" customFormat="1" ht="60" customHeight="1">
      <c r="B99" s="22"/>
      <c r="C99" s="47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</row>
    <row r="100" spans="2:18" s="14" customFormat="1" ht="36" customHeight="1">
      <c r="B100" s="27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</row>
    <row r="101" spans="2:18" s="14" customFormat="1" ht="80.099999999999994" customHeight="1">
      <c r="B101" s="31">
        <f>B97+1</f>
        <v>25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</row>
    <row r="102" spans="2:18" s="14" customFormat="1" ht="36" customHeight="1">
      <c r="B102" s="35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</row>
    <row r="103" spans="2:18" s="46" customFormat="1" ht="60" customHeight="1">
      <c r="B103" s="22"/>
      <c r="C103" s="47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</row>
    <row r="104" spans="2:18" s="14" customFormat="1" ht="36" customHeight="1">
      <c r="B104" s="27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</row>
    <row r="105" spans="2:18" s="14" customFormat="1" ht="80.099999999999994" customHeight="1">
      <c r="B105" s="31">
        <f>B101+1</f>
        <v>26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</row>
    <row r="106" spans="2:18" s="14" customFormat="1" ht="36" customHeight="1">
      <c r="B106" s="35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</row>
    <row r="107" spans="2:18" s="46" customFormat="1" ht="60" customHeight="1">
      <c r="B107" s="22"/>
      <c r="C107" s="47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</row>
    <row r="108" spans="2:18" s="14" customFormat="1" ht="36" customHeight="1">
      <c r="B108" s="27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</row>
    <row r="109" spans="2:18" s="14" customFormat="1" ht="80.099999999999994" customHeight="1">
      <c r="B109" s="31">
        <f>B105+1</f>
        <v>27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</row>
    <row r="110" spans="2:18" s="14" customFormat="1" ht="36" customHeight="1">
      <c r="B110" s="35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</row>
    <row r="111" spans="2:18">
      <c r="B111" s="22"/>
      <c r="C111" s="47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</row>
    <row r="112" spans="2:18" ht="39.75">
      <c r="B112" s="27"/>
      <c r="C112" s="14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</row>
    <row r="113" spans="2:18" s="14" customFormat="1" ht="80.099999999999994" customHeight="1">
      <c r="B113" s="31">
        <f t="shared" ref="B113" si="1">B109+1</f>
        <v>28</v>
      </c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</row>
    <row r="114" spans="2:18" s="14" customFormat="1" ht="36" customHeight="1">
      <c r="B114" s="35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</row>
    <row r="115" spans="2:18" s="46" customFormat="1" ht="60" customHeight="1">
      <c r="B115" s="22"/>
      <c r="C115" s="47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</row>
    <row r="116" spans="2:18" s="14" customFormat="1" ht="36" customHeight="1">
      <c r="B116" s="27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</row>
    <row r="117" spans="2:18" s="14" customFormat="1" ht="80.099999999999994" customHeight="1">
      <c r="B117" s="31">
        <f t="shared" ref="B117" si="2">B113+1</f>
        <v>29</v>
      </c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</row>
    <row r="118" spans="2:18" s="14" customFormat="1" ht="36" customHeight="1">
      <c r="B118" s="35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</row>
    <row r="119" spans="2:18" s="46" customFormat="1" ht="60" customHeight="1">
      <c r="B119" s="22"/>
      <c r="C119" s="47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</row>
    <row r="120" spans="2:18" s="14" customFormat="1" ht="36" customHeight="1">
      <c r="B120" s="27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</row>
    <row r="121" spans="2:18" s="14" customFormat="1" ht="80.099999999999994" customHeight="1">
      <c r="B121" s="31">
        <f t="shared" ref="B121" si="3">B117+1</f>
        <v>30</v>
      </c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</row>
    <row r="122" spans="2:18" s="14" customFormat="1" ht="36" customHeight="1">
      <c r="B122" s="35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</row>
    <row r="123" spans="2:18" s="46" customFormat="1" ht="60" customHeight="1">
      <c r="B123" s="22"/>
      <c r="C123" s="47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</row>
    <row r="124" spans="2:18" s="14" customFormat="1" ht="36" customHeight="1">
      <c r="B124" s="27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</row>
    <row r="125" spans="2:18" s="14" customFormat="1" ht="80.099999999999994" customHeight="1">
      <c r="B125" s="31">
        <f t="shared" ref="B125" si="4">B121+1</f>
        <v>31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</row>
    <row r="126" spans="2:18" s="14" customFormat="1" ht="36" customHeight="1">
      <c r="B126" s="35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</row>
    <row r="127" spans="2:18" s="46" customFormat="1" ht="60" customHeight="1">
      <c r="B127" s="22"/>
      <c r="C127" s="47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</row>
    <row r="128" spans="2:18" s="14" customFormat="1" ht="36" customHeight="1">
      <c r="B128" s="27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</row>
    <row r="129" spans="2:18" s="14" customFormat="1" ht="80.099999999999994" customHeight="1">
      <c r="B129" s="31">
        <f t="shared" ref="B129" si="5">B125+1</f>
        <v>32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</row>
    <row r="130" spans="2:18" s="14" customFormat="1" ht="36" customHeight="1">
      <c r="B130" s="35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</row>
    <row r="131" spans="2:18" s="46" customFormat="1" ht="60" customHeight="1">
      <c r="B131" s="22"/>
      <c r="C131" s="47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</row>
    <row r="132" spans="2:18" s="14" customFormat="1" ht="36" customHeight="1">
      <c r="B132" s="27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</row>
    <row r="133" spans="2:18" s="14" customFormat="1" ht="80.099999999999994" customHeight="1">
      <c r="B133" s="31">
        <f t="shared" ref="B133" si="6">B129+1</f>
        <v>33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</row>
    <row r="134" spans="2:18" s="14" customFormat="1" ht="36" customHeight="1">
      <c r="B134" s="35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</row>
    <row r="135" spans="2:18" s="46" customFormat="1" ht="60" customHeight="1">
      <c r="B135" s="22"/>
      <c r="C135" s="47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</row>
    <row r="136" spans="2:18" s="14" customFormat="1" ht="36" customHeight="1">
      <c r="B136" s="27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</row>
    <row r="137" spans="2:18" s="14" customFormat="1" ht="80.099999999999994" customHeight="1">
      <c r="B137" s="31">
        <f t="shared" ref="B137" si="7">B133+1</f>
        <v>34</v>
      </c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</row>
    <row r="138" spans="2:18" s="14" customFormat="1" ht="36" customHeight="1">
      <c r="B138" s="35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</row>
    <row r="139" spans="2:18" s="46" customFormat="1" ht="60" customHeight="1">
      <c r="B139" s="22"/>
      <c r="C139" s="47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</row>
    <row r="140" spans="2:18" s="14" customFormat="1" ht="36" customHeight="1">
      <c r="B140" s="27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</row>
    <row r="141" spans="2:18" s="14" customFormat="1" ht="80.099999999999994" customHeight="1">
      <c r="B141" s="31">
        <f t="shared" ref="B141" si="8">B137+1</f>
        <v>35</v>
      </c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</row>
    <row r="142" spans="2:18" s="14" customFormat="1" ht="36" customHeight="1">
      <c r="B142" s="35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</row>
    <row r="143" spans="2:18" s="46" customFormat="1" ht="60" customHeight="1">
      <c r="B143" s="22"/>
      <c r="C143" s="47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</row>
    <row r="144" spans="2:18" s="14" customFormat="1" ht="36" customHeight="1">
      <c r="B144" s="27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</row>
    <row r="145" spans="2:18" s="14" customFormat="1" ht="80.099999999999994" customHeight="1">
      <c r="B145" s="31">
        <f t="shared" ref="B145" si="9">B141+1</f>
        <v>36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</row>
    <row r="146" spans="2:18" s="14" customFormat="1" ht="36" customHeight="1">
      <c r="B146" s="35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</row>
    <row r="147" spans="2:18" s="46" customFormat="1" ht="60" customHeight="1">
      <c r="B147" s="22"/>
      <c r="C147" s="47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</row>
    <row r="148" spans="2:18" s="14" customFormat="1" ht="36" customHeight="1">
      <c r="B148" s="27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</row>
    <row r="149" spans="2:18" s="14" customFormat="1" ht="80.099999999999994" customHeight="1">
      <c r="B149" s="31">
        <f t="shared" ref="B149" si="10">B145+1</f>
        <v>37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</row>
    <row r="150" spans="2:18" s="14" customFormat="1" ht="36" customHeight="1">
      <c r="B150" s="35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</row>
    <row r="151" spans="2:18" s="46" customFormat="1" ht="60" customHeight="1">
      <c r="B151" s="22"/>
      <c r="C151" s="47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</row>
    <row r="152" spans="2:18" s="14" customFormat="1" ht="36" customHeight="1">
      <c r="B152" s="27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</row>
    <row r="153" spans="2:18" s="14" customFormat="1" ht="80.099999999999994" customHeight="1">
      <c r="B153" s="31">
        <f t="shared" ref="B153" si="11">B149+1</f>
        <v>38</v>
      </c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</row>
    <row r="154" spans="2:18" s="14" customFormat="1" ht="36" customHeight="1">
      <c r="B154" s="35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</row>
    <row r="155" spans="2:18" s="46" customFormat="1" ht="60" customHeight="1">
      <c r="B155" s="22"/>
      <c r="C155" s="47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</row>
    <row r="156" spans="2:18" s="14" customFormat="1" ht="36" customHeight="1">
      <c r="B156" s="27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</row>
    <row r="157" spans="2:18" s="14" customFormat="1" ht="80.099999999999994" customHeight="1">
      <c r="B157" s="31">
        <f t="shared" ref="B157" si="12">B153+1</f>
        <v>39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</row>
    <row r="158" spans="2:18" s="14" customFormat="1" ht="36" customHeight="1">
      <c r="B158" s="35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</row>
    <row r="159" spans="2:18">
      <c r="B159" s="22"/>
      <c r="C159" s="47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</row>
    <row r="160" spans="2:18" ht="39.75">
      <c r="B160" s="27"/>
      <c r="C160" s="14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</row>
    <row r="161" spans="2:18" s="14" customFormat="1" ht="80.099999999999994" customHeight="1">
      <c r="B161" s="31">
        <f t="shared" ref="B161" si="13">B157+1</f>
        <v>40</v>
      </c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</row>
    <row r="162" spans="2:18" s="14" customFormat="1" ht="36" customHeight="1">
      <c r="B162" s="35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</row>
    <row r="163" spans="2:18" s="46" customFormat="1" ht="60" customHeight="1">
      <c r="B163" s="22"/>
      <c r="C163" s="47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</row>
    <row r="164" spans="2:18" s="14" customFormat="1" ht="36" customHeight="1">
      <c r="B164" s="27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</row>
    <row r="165" spans="2:18" s="14" customFormat="1" ht="80.099999999999994" customHeight="1">
      <c r="B165" s="31">
        <f t="shared" ref="B165" si="14">B161+1</f>
        <v>41</v>
      </c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</row>
    <row r="166" spans="2:18" s="14" customFormat="1" ht="36" customHeight="1">
      <c r="B166" s="35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</row>
    <row r="167" spans="2:18">
      <c r="B167" s="22"/>
      <c r="C167" s="47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</row>
    <row r="168" spans="2:18" ht="39.75">
      <c r="B168" s="27"/>
      <c r="C168" s="14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</row>
    <row r="169" spans="2:18" ht="58.5">
      <c r="B169" s="31">
        <f t="shared" ref="B169" si="15">B165+1</f>
        <v>42</v>
      </c>
      <c r="C169" s="14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</row>
    <row r="170" spans="2:18">
      <c r="B170" s="35"/>
      <c r="C170" s="14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</row>
    <row r="171" spans="2:18">
      <c r="B171" s="22"/>
      <c r="C171" s="47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</row>
    <row r="172" spans="2:18" ht="39.75">
      <c r="B172" s="27"/>
      <c r="C172" s="14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</row>
    <row r="173" spans="2:18" ht="58.5">
      <c r="B173" s="31">
        <f t="shared" ref="B173" si="16">B169+1</f>
        <v>43</v>
      </c>
      <c r="C173" s="14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</row>
    <row r="174" spans="2:18">
      <c r="B174" s="35"/>
      <c r="C174" s="14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</row>
    <row r="175" spans="2:18">
      <c r="B175" s="22"/>
      <c r="C175" s="47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</row>
    <row r="176" spans="2:18" ht="39.75">
      <c r="B176" s="27"/>
      <c r="C176" s="14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</row>
    <row r="177" spans="2:18" ht="58.5">
      <c r="B177" s="31">
        <f t="shared" ref="B177" si="17">B173+1</f>
        <v>44</v>
      </c>
      <c r="C177" s="14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</row>
    <row r="178" spans="2:18">
      <c r="B178" s="35"/>
      <c r="C178" s="14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</row>
    <row r="179" spans="2:18">
      <c r="B179" s="22"/>
      <c r="C179" s="47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</row>
    <row r="180" spans="2:18" ht="39.75">
      <c r="B180" s="27"/>
      <c r="C180" s="14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</row>
    <row r="181" spans="2:18" ht="58.5">
      <c r="B181" s="31">
        <f t="shared" ref="B181" si="18">B177+1</f>
        <v>45</v>
      </c>
      <c r="C181" s="14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</row>
    <row r="182" spans="2:18">
      <c r="B182" s="35"/>
      <c r="C182" s="14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</row>
    <row r="183" spans="2:18">
      <c r="B183" s="22"/>
      <c r="C183" s="47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</row>
    <row r="184" spans="2:18" ht="39.75">
      <c r="B184" s="27"/>
      <c r="C184" s="14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</row>
    <row r="185" spans="2:18" ht="58.5">
      <c r="B185" s="31">
        <f t="shared" ref="B185" si="19">B181+1</f>
        <v>46</v>
      </c>
      <c r="C185" s="14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</row>
    <row r="186" spans="2:18">
      <c r="B186" s="35"/>
      <c r="C186" s="14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</row>
    <row r="187" spans="2:18">
      <c r="B187" s="22"/>
      <c r="C187" s="47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</row>
    <row r="188" spans="2:18" ht="39.75">
      <c r="B188" s="27"/>
      <c r="C188" s="14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</row>
    <row r="189" spans="2:18" ht="58.5">
      <c r="B189" s="31">
        <f t="shared" ref="B189" si="20">B185+1</f>
        <v>47</v>
      </c>
      <c r="C189" s="14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</row>
    <row r="190" spans="2:18">
      <c r="B190" s="35"/>
      <c r="C190" s="14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</row>
    <row r="191" spans="2:18">
      <c r="B191" s="22"/>
      <c r="C191" s="47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</row>
    <row r="192" spans="2:18" ht="39.75">
      <c r="B192" s="27"/>
      <c r="C192" s="14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</row>
    <row r="193" spans="2:18" ht="58.5">
      <c r="B193" s="31">
        <f t="shared" ref="B193" si="21">B189+1</f>
        <v>48</v>
      </c>
      <c r="C193" s="14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</row>
    <row r="194" spans="2:18">
      <c r="B194" s="35"/>
      <c r="C194" s="14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</row>
    <row r="195" spans="2:18">
      <c r="B195" s="22"/>
      <c r="C195" s="47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</row>
    <row r="196" spans="2:18" ht="39.75">
      <c r="B196" s="27"/>
      <c r="C196" s="14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</row>
    <row r="197" spans="2:18" ht="58.5">
      <c r="B197" s="31">
        <f t="shared" ref="B197" si="22">B193+1</f>
        <v>49</v>
      </c>
      <c r="C197" s="14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</row>
    <row r="198" spans="2:18">
      <c r="B198" s="35"/>
      <c r="C198" s="14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</row>
    <row r="199" spans="2:18">
      <c r="B199" s="22"/>
      <c r="C199" s="47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</row>
    <row r="200" spans="2:18" ht="39.75">
      <c r="B200" s="27"/>
      <c r="C200" s="14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</row>
    <row r="201" spans="2:18" ht="58.5">
      <c r="B201" s="31">
        <f t="shared" ref="B201" si="23">B197+1</f>
        <v>50</v>
      </c>
      <c r="C201" s="14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</row>
    <row r="202" spans="2:18">
      <c r="B202" s="35"/>
      <c r="C202" s="14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</row>
    <row r="203" spans="2:18">
      <c r="B203" s="22"/>
      <c r="C203" s="47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</row>
    <row r="204" spans="2:18" ht="39.75">
      <c r="B204" s="27"/>
      <c r="C204" s="14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</row>
    <row r="205" spans="2:18" ht="58.5">
      <c r="B205" s="31">
        <f>B201+1</f>
        <v>51</v>
      </c>
      <c r="C205" s="14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</row>
    <row r="206" spans="2:18">
      <c r="B206" s="35"/>
      <c r="C206" s="14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</row>
    <row r="207" spans="2:18">
      <c r="B207" s="40"/>
      <c r="C207" s="41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</row>
    <row r="208" spans="2:18" ht="39.75">
      <c r="B208" s="27"/>
      <c r="C208" s="14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</row>
    <row r="209" spans="2:18" ht="58.5">
      <c r="B209" s="31">
        <f>B205+1</f>
        <v>52</v>
      </c>
      <c r="C209" s="14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</row>
    <row r="210" spans="2:18">
      <c r="B210" s="35"/>
      <c r="C210" s="14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</row>
    <row r="211" spans="2:18">
      <c r="B211" s="44"/>
      <c r="C211" s="4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</row>
    <row r="212" spans="2:18" ht="39.75">
      <c r="B212" s="27"/>
      <c r="C212" s="14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</row>
    <row r="213" spans="2:18" ht="58.5">
      <c r="B213" s="31">
        <f>B209+1</f>
        <v>53</v>
      </c>
      <c r="C213" s="14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</row>
    <row r="214" spans="2:18">
      <c r="B214" s="35"/>
      <c r="C214" s="14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</row>
    <row r="215" spans="2:18">
      <c r="B215" s="22"/>
      <c r="C215" s="47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</row>
    <row r="216" spans="2:18" ht="39.75">
      <c r="B216" s="27"/>
      <c r="C216" s="14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</row>
    <row r="217" spans="2:18" ht="58.5">
      <c r="B217" s="31">
        <f>B213+1</f>
        <v>54</v>
      </c>
      <c r="C217" s="14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</row>
    <row r="218" spans="2:18">
      <c r="B218" s="35"/>
      <c r="C218" s="14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</row>
    <row r="219" spans="2:18">
      <c r="B219" s="22"/>
      <c r="C219" s="47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</row>
    <row r="220" spans="2:18" ht="39.75">
      <c r="B220" s="27"/>
      <c r="C220" s="14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</row>
    <row r="221" spans="2:18" ht="58.5">
      <c r="B221" s="31">
        <f>B217+1</f>
        <v>55</v>
      </c>
      <c r="C221" s="14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</row>
    <row r="222" spans="2:18">
      <c r="B222" s="35"/>
      <c r="C222" s="14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</row>
    <row r="223" spans="2:18">
      <c r="B223" s="22"/>
      <c r="C223" s="47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</row>
    <row r="224" spans="2:18" ht="39.75">
      <c r="B224" s="27"/>
      <c r="C224" s="14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</row>
    <row r="225" spans="2:18" ht="58.5">
      <c r="B225" s="31">
        <f>B221+1</f>
        <v>56</v>
      </c>
      <c r="C225" s="14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</row>
    <row r="226" spans="2:18">
      <c r="B226" s="35"/>
      <c r="C226" s="14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</row>
    <row r="227" spans="2:18">
      <c r="B227" s="22"/>
      <c r="C227" s="47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</row>
    <row r="228" spans="2:18" ht="39.75">
      <c r="B228" s="27"/>
      <c r="C228" s="14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</row>
    <row r="229" spans="2:18" ht="58.5">
      <c r="B229" s="31">
        <f>B225+1</f>
        <v>57</v>
      </c>
      <c r="C229" s="14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</row>
    <row r="230" spans="2:18">
      <c r="B230" s="35"/>
      <c r="C230" s="14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</row>
    <row r="231" spans="2:18">
      <c r="B231" s="22"/>
      <c r="C231" s="47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</row>
    <row r="232" spans="2:18" ht="39.75">
      <c r="B232" s="27"/>
      <c r="C232" s="14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</row>
    <row r="233" spans="2:18" ht="58.5">
      <c r="B233" s="31">
        <f>B229+1</f>
        <v>58</v>
      </c>
      <c r="C233" s="14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</row>
    <row r="234" spans="2:18">
      <c r="B234" s="35"/>
      <c r="C234" s="14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</row>
    <row r="235" spans="2:18">
      <c r="B235" s="22"/>
      <c r="C235" s="47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</row>
    <row r="236" spans="2:18" ht="39.75">
      <c r="B236" s="27"/>
      <c r="C236" s="14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</row>
    <row r="237" spans="2:18" ht="58.5">
      <c r="B237" s="31">
        <f>B233+1</f>
        <v>59</v>
      </c>
      <c r="C237" s="14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</row>
    <row r="238" spans="2:18">
      <c r="B238" s="35"/>
      <c r="C238" s="14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</row>
    <row r="239" spans="2:18">
      <c r="B239" s="22"/>
      <c r="C239" s="47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</row>
    <row r="240" spans="2:18" ht="39.75">
      <c r="B240" s="27"/>
      <c r="C240" s="14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</row>
    <row r="241" spans="2:18" ht="58.5">
      <c r="B241" s="31">
        <f>B237+1</f>
        <v>60</v>
      </c>
      <c r="C241" s="14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</row>
    <row r="242" spans="2:18">
      <c r="B242" s="35"/>
      <c r="C242" s="14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</row>
    <row r="243" spans="2:18">
      <c r="B243" s="22"/>
      <c r="C243" s="47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</row>
    <row r="244" spans="2:18" ht="39.75">
      <c r="B244" s="27"/>
      <c r="C244" s="14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</row>
    <row r="245" spans="2:18" ht="58.5">
      <c r="B245" s="31">
        <f>B241+1</f>
        <v>61</v>
      </c>
      <c r="C245" s="14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</row>
    <row r="246" spans="2:18">
      <c r="B246" s="35"/>
      <c r="C246" s="14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</row>
    <row r="247" spans="2:18">
      <c r="B247" s="22"/>
      <c r="C247" s="47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</row>
    <row r="248" spans="2:18" ht="39.75">
      <c r="B248" s="27"/>
      <c r="C248" s="14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</row>
    <row r="249" spans="2:18" ht="58.5">
      <c r="B249" s="31">
        <f>B245+1</f>
        <v>62</v>
      </c>
      <c r="C249" s="14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</row>
    <row r="250" spans="2:18">
      <c r="B250" s="35"/>
      <c r="C250" s="14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</row>
    <row r="251" spans="2:18">
      <c r="B251" s="22"/>
      <c r="C251" s="47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</row>
    <row r="252" spans="2:18" ht="39.75">
      <c r="B252" s="27"/>
      <c r="C252" s="14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</row>
    <row r="253" spans="2:18" ht="58.5">
      <c r="B253" s="31">
        <f>B249+1</f>
        <v>63</v>
      </c>
      <c r="C253" s="14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</row>
    <row r="254" spans="2:18">
      <c r="B254" s="35"/>
      <c r="C254" s="14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</row>
    <row r="255" spans="2:18">
      <c r="B255" s="22"/>
      <c r="C255" s="47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</row>
    <row r="256" spans="2:18" ht="39.75">
      <c r="B256" s="27"/>
      <c r="C256" s="14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</row>
    <row r="257" spans="2:18" ht="58.5">
      <c r="B257" s="31">
        <f>B253+1</f>
        <v>64</v>
      </c>
      <c r="C257" s="14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</row>
    <row r="258" spans="2:18">
      <c r="B258" s="35"/>
      <c r="C258" s="14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</row>
    <row r="259" spans="2:18">
      <c r="B259" s="22"/>
      <c r="C259" s="47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</row>
    <row r="260" spans="2:18" ht="39.75">
      <c r="B260" s="27"/>
      <c r="C260" s="14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</row>
    <row r="261" spans="2:18" ht="58.5">
      <c r="B261" s="31">
        <f>B257+1</f>
        <v>65</v>
      </c>
      <c r="C261" s="14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</row>
    <row r="262" spans="2:18">
      <c r="B262" s="35"/>
      <c r="C262" s="14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</row>
    <row r="263" spans="2:18">
      <c r="B263" s="22"/>
      <c r="C263" s="47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</row>
    <row r="264" spans="2:18" ht="39.75">
      <c r="B264" s="27"/>
      <c r="C264" s="14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</row>
    <row r="265" spans="2:18" ht="58.5">
      <c r="B265" s="31">
        <f>B261+1</f>
        <v>66</v>
      </c>
      <c r="C265" s="14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</row>
    <row r="266" spans="2:18">
      <c r="B266" s="35"/>
      <c r="C266" s="14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</row>
    <row r="267" spans="2:18">
      <c r="B267" s="22"/>
      <c r="C267" s="47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</row>
    <row r="268" spans="2:18" ht="39.75">
      <c r="B268" s="27"/>
      <c r="C268" s="14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</row>
    <row r="269" spans="2:18" ht="58.5">
      <c r="B269" s="31">
        <f>B265+1</f>
        <v>67</v>
      </c>
      <c r="C269" s="14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</row>
    <row r="270" spans="2:18">
      <c r="B270" s="35"/>
      <c r="C270" s="14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</row>
    <row r="271" spans="2:18">
      <c r="B271" s="22"/>
      <c r="C271" s="47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</row>
    <row r="272" spans="2:18" ht="39.75">
      <c r="B272" s="27"/>
      <c r="C272" s="14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</row>
    <row r="273" spans="2:18" ht="58.5">
      <c r="B273" s="31">
        <f>B269+1</f>
        <v>68</v>
      </c>
      <c r="C273" s="14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</row>
    <row r="274" spans="2:18">
      <c r="B274" s="35"/>
      <c r="C274" s="14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</row>
    <row r="275" spans="2:18">
      <c r="B275" s="22"/>
      <c r="C275" s="47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</row>
    <row r="276" spans="2:18" ht="39.75">
      <c r="B276" s="27"/>
      <c r="C276" s="14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</row>
    <row r="277" spans="2:18" ht="58.5">
      <c r="B277" s="31">
        <f>B273+1</f>
        <v>69</v>
      </c>
      <c r="C277" s="14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</row>
    <row r="278" spans="2:18">
      <c r="B278" s="35"/>
      <c r="C278" s="14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</row>
    <row r="279" spans="2:18">
      <c r="B279" s="22"/>
      <c r="C279" s="47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</row>
    <row r="280" spans="2:18" ht="39.75">
      <c r="B280" s="27"/>
      <c r="C280" s="14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</row>
    <row r="281" spans="2:18" ht="58.5">
      <c r="B281" s="31">
        <f>B277+1</f>
        <v>70</v>
      </c>
      <c r="C281" s="14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</row>
    <row r="282" spans="2:18">
      <c r="B282" s="35"/>
      <c r="C282" s="14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</row>
    <row r="283" spans="2:18">
      <c r="B283" s="22"/>
      <c r="C283" s="47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</row>
    <row r="284" spans="2:18" ht="39.75">
      <c r="B284" s="27"/>
      <c r="C284" s="14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</row>
    <row r="285" spans="2:18" ht="58.5">
      <c r="B285" s="31">
        <f>B281+1</f>
        <v>71</v>
      </c>
      <c r="C285" s="14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</row>
    <row r="286" spans="2:18">
      <c r="B286" s="35"/>
      <c r="C286" s="14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</row>
    <row r="287" spans="2:18">
      <c r="B287" s="22"/>
      <c r="C287" s="47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</row>
    <row r="288" spans="2:18" ht="39.75">
      <c r="B288" s="27"/>
      <c r="C288" s="14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</row>
    <row r="289" spans="2:18" ht="58.5">
      <c r="B289" s="31">
        <f>B285+1</f>
        <v>72</v>
      </c>
      <c r="C289" s="14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</row>
    <row r="290" spans="2:18">
      <c r="B290" s="35"/>
      <c r="C290" s="14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</row>
    <row r="291" spans="2:18">
      <c r="B291" s="22"/>
      <c r="C291" s="47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</row>
    <row r="292" spans="2:18" ht="39.75">
      <c r="B292" s="27"/>
      <c r="C292" s="14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</row>
    <row r="293" spans="2:18" ht="58.5">
      <c r="B293" s="31">
        <f>B289+1</f>
        <v>73</v>
      </c>
      <c r="C293" s="14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</row>
    <row r="294" spans="2:18">
      <c r="B294" s="35"/>
      <c r="C294" s="14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</row>
    <row r="295" spans="2:18">
      <c r="B295" s="22"/>
      <c r="C295" s="47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</row>
    <row r="296" spans="2:18" ht="39.75">
      <c r="B296" s="27"/>
      <c r="C296" s="14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</row>
    <row r="297" spans="2:18" ht="58.5">
      <c r="B297" s="31">
        <f>B293+1</f>
        <v>74</v>
      </c>
      <c r="C297" s="14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</row>
    <row r="298" spans="2:18">
      <c r="B298" s="35"/>
      <c r="C298" s="14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</row>
    <row r="299" spans="2:18">
      <c r="B299" s="22"/>
      <c r="C299" s="47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</row>
    <row r="300" spans="2:18" ht="39.75">
      <c r="B300" s="27"/>
      <c r="C300" s="14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</row>
    <row r="301" spans="2:18" ht="58.5">
      <c r="B301" s="31">
        <f>B297+1</f>
        <v>75</v>
      </c>
      <c r="C301" s="14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</row>
    <row r="302" spans="2:18">
      <c r="B302" s="35"/>
      <c r="C302" s="14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</row>
    <row r="303" spans="2:18">
      <c r="B303" s="22"/>
      <c r="C303" s="47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</row>
    <row r="304" spans="2:18" ht="39.75">
      <c r="B304" s="27"/>
      <c r="C304" s="14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</row>
    <row r="305" spans="2:18" ht="58.5">
      <c r="B305" s="31">
        <f>B301+1</f>
        <v>76</v>
      </c>
      <c r="C305" s="14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</row>
    <row r="306" spans="2:18">
      <c r="B306" s="35"/>
      <c r="C306" s="14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</row>
    <row r="307" spans="2:18">
      <c r="B307" s="22"/>
      <c r="C307" s="47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</row>
    <row r="308" spans="2:18" ht="39.75">
      <c r="B308" s="27"/>
      <c r="C308" s="14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</row>
    <row r="309" spans="2:18" ht="58.5">
      <c r="B309" s="31">
        <f>B305+1</f>
        <v>77</v>
      </c>
      <c r="C309" s="14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</row>
    <row r="310" spans="2:18">
      <c r="B310" s="35"/>
      <c r="C310" s="14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</row>
    <row r="311" spans="2:18">
      <c r="B311" s="22"/>
      <c r="C311" s="47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</row>
    <row r="312" spans="2:18" ht="39.75">
      <c r="B312" s="27"/>
      <c r="C312" s="14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</row>
    <row r="313" spans="2:18" ht="58.5">
      <c r="B313" s="31">
        <f t="shared" ref="B313" si="24">B309+1</f>
        <v>78</v>
      </c>
      <c r="C313" s="14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</row>
    <row r="314" spans="2:18">
      <c r="B314" s="35"/>
      <c r="C314" s="14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</row>
    <row r="315" spans="2:18">
      <c r="B315" s="22"/>
      <c r="C315" s="47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</row>
    <row r="316" spans="2:18" ht="39.75">
      <c r="B316" s="27"/>
      <c r="C316" s="14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</row>
    <row r="317" spans="2:18" ht="58.5">
      <c r="B317" s="31">
        <f t="shared" ref="B317" si="25">B313+1</f>
        <v>79</v>
      </c>
      <c r="C317" s="14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</row>
    <row r="318" spans="2:18">
      <c r="B318" s="35"/>
      <c r="C318" s="14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</row>
    <row r="319" spans="2:18">
      <c r="B319" s="22"/>
      <c r="C319" s="47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</row>
    <row r="320" spans="2:18" ht="39.75">
      <c r="B320" s="27"/>
      <c r="C320" s="14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</row>
    <row r="321" spans="2:18" ht="58.5">
      <c r="B321" s="31">
        <f t="shared" ref="B321" si="26">B317+1</f>
        <v>80</v>
      </c>
      <c r="C321" s="14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</row>
    <row r="322" spans="2:18">
      <c r="B322" s="35"/>
      <c r="C322" s="14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</row>
    <row r="323" spans="2:18">
      <c r="B323" s="22"/>
      <c r="C323" s="47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</row>
    <row r="324" spans="2:18" ht="39.75">
      <c r="B324" s="27"/>
      <c r="C324" s="14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</row>
    <row r="325" spans="2:18" ht="58.5">
      <c r="B325" s="31">
        <f t="shared" ref="B325" si="27">B321+1</f>
        <v>81</v>
      </c>
      <c r="C325" s="14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</row>
    <row r="326" spans="2:18">
      <c r="B326" s="35"/>
      <c r="C326" s="14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</row>
    <row r="327" spans="2:18">
      <c r="B327" s="22"/>
      <c r="C327" s="47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</row>
    <row r="328" spans="2:18" ht="39.75">
      <c r="B328" s="27"/>
      <c r="C328" s="14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</row>
    <row r="329" spans="2:18" ht="58.5">
      <c r="B329" s="31">
        <f t="shared" ref="B329" si="28">B325+1</f>
        <v>82</v>
      </c>
      <c r="C329" s="14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</row>
    <row r="330" spans="2:18">
      <c r="B330" s="35"/>
      <c r="C330" s="14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</row>
    <row r="331" spans="2:18">
      <c r="B331" s="22"/>
      <c r="C331" s="47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</row>
    <row r="332" spans="2:18" ht="39.75">
      <c r="B332" s="27"/>
      <c r="C332" s="14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</row>
    <row r="333" spans="2:18" ht="58.5">
      <c r="B333" s="31">
        <f t="shared" ref="B333" si="29">B329+1</f>
        <v>83</v>
      </c>
      <c r="C333" s="14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</row>
    <row r="334" spans="2:18">
      <c r="B334" s="35"/>
      <c r="C334" s="14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</row>
    <row r="335" spans="2:18">
      <c r="B335" s="22"/>
      <c r="C335" s="47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</row>
    <row r="336" spans="2:18" ht="39.75">
      <c r="B336" s="27"/>
      <c r="C336" s="14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</row>
    <row r="337" spans="2:18" ht="58.5">
      <c r="B337" s="31">
        <f t="shared" ref="B337" si="30">B333+1</f>
        <v>84</v>
      </c>
      <c r="C337" s="14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</row>
    <row r="338" spans="2:18">
      <c r="B338" s="35"/>
      <c r="C338" s="14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</row>
    <row r="339" spans="2:18">
      <c r="B339" s="22"/>
      <c r="C339" s="47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</row>
    <row r="340" spans="2:18" ht="39.75">
      <c r="B340" s="27"/>
      <c r="C340" s="14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</row>
    <row r="341" spans="2:18" ht="58.5">
      <c r="B341" s="31">
        <f t="shared" ref="B341" si="31">B337+1</f>
        <v>85</v>
      </c>
      <c r="C341" s="14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</row>
    <row r="342" spans="2:18">
      <c r="B342" s="35"/>
      <c r="C342" s="14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</row>
    <row r="343" spans="2:18">
      <c r="B343" s="22"/>
      <c r="C343" s="47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</row>
    <row r="344" spans="2:18" ht="39.75">
      <c r="B344" s="27"/>
      <c r="C344" s="14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</row>
    <row r="345" spans="2:18" ht="58.5">
      <c r="B345" s="31">
        <f t="shared" ref="B345" si="32">B341+1</f>
        <v>86</v>
      </c>
      <c r="C345" s="14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</row>
    <row r="346" spans="2:18">
      <c r="B346" s="35"/>
      <c r="C346" s="14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</row>
    <row r="347" spans="2:18">
      <c r="B347" s="22"/>
      <c r="C347" s="47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</row>
    <row r="348" spans="2:18" ht="39.75">
      <c r="B348" s="27"/>
      <c r="C348" s="14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</row>
    <row r="349" spans="2:18" ht="58.5">
      <c r="B349" s="31">
        <f t="shared" ref="B349" si="33">B345+1</f>
        <v>87</v>
      </c>
      <c r="C349" s="14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</row>
    <row r="350" spans="2:18">
      <c r="B350" s="35"/>
      <c r="C350" s="14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</row>
    <row r="351" spans="2:18">
      <c r="B351" s="22"/>
      <c r="C351" s="47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</row>
    <row r="352" spans="2:18" ht="39.75">
      <c r="B352" s="27"/>
      <c r="C352" s="14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</row>
    <row r="353" spans="2:18" ht="58.5">
      <c r="B353" s="31">
        <f t="shared" ref="B353" si="34">B349+1</f>
        <v>88</v>
      </c>
      <c r="C353" s="14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</row>
    <row r="354" spans="2:18">
      <c r="B354" s="35"/>
      <c r="C354" s="14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</row>
    <row r="355" spans="2:18">
      <c r="B355" s="22"/>
      <c r="C355" s="47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</row>
    <row r="356" spans="2:18" ht="39.75">
      <c r="B356" s="27"/>
      <c r="C356" s="14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</row>
    <row r="357" spans="2:18" ht="58.5">
      <c r="B357" s="31">
        <f t="shared" ref="B357" si="35">B353+1</f>
        <v>89</v>
      </c>
      <c r="C357" s="14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</row>
    <row r="358" spans="2:18">
      <c r="B358" s="35"/>
      <c r="C358" s="14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</row>
    <row r="359" spans="2:18">
      <c r="B359" s="22"/>
      <c r="C359" s="47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</row>
    <row r="360" spans="2:18" ht="39.75">
      <c r="B360" s="27"/>
      <c r="C360" s="14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</row>
    <row r="361" spans="2:18" ht="58.5">
      <c r="B361" s="31">
        <f t="shared" ref="B361" si="36">B357+1</f>
        <v>90</v>
      </c>
      <c r="C361" s="14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</row>
    <row r="362" spans="2:18">
      <c r="B362" s="35"/>
      <c r="C362" s="14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</row>
    <row r="363" spans="2:18">
      <c r="B363" s="22"/>
      <c r="C363" s="47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</row>
    <row r="364" spans="2:18" ht="39.75">
      <c r="B364" s="27"/>
      <c r="C364" s="14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</row>
    <row r="365" spans="2:18" ht="58.5">
      <c r="B365" s="31">
        <f t="shared" ref="B365" si="37">B361+1</f>
        <v>91</v>
      </c>
      <c r="C365" s="14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</row>
    <row r="366" spans="2:18">
      <c r="B366" s="35"/>
      <c r="C366" s="14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</row>
    <row r="367" spans="2:18">
      <c r="B367" s="22"/>
      <c r="C367" s="47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</row>
    <row r="368" spans="2:18" ht="39.75">
      <c r="B368" s="27"/>
      <c r="C368" s="14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</row>
    <row r="369" spans="2:18" ht="58.5">
      <c r="B369" s="31">
        <f t="shared" ref="B369" si="38">B365+1</f>
        <v>92</v>
      </c>
      <c r="C369" s="14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</row>
    <row r="370" spans="2:18">
      <c r="B370" s="35"/>
      <c r="C370" s="14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</row>
    <row r="371" spans="2:18">
      <c r="B371" s="22"/>
      <c r="C371" s="47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</row>
    <row r="372" spans="2:18" ht="39.75">
      <c r="B372" s="27"/>
      <c r="C372" s="14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</row>
    <row r="373" spans="2:18" ht="58.5">
      <c r="B373" s="31">
        <f t="shared" ref="B373" si="39">B369+1</f>
        <v>93</v>
      </c>
      <c r="C373" s="14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</row>
    <row r="374" spans="2:18">
      <c r="B374" s="35"/>
      <c r="C374" s="14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</row>
    <row r="375" spans="2:18">
      <c r="B375" s="22"/>
      <c r="C375" s="47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</row>
    <row r="376" spans="2:18" ht="39.75">
      <c r="B376" s="27"/>
      <c r="C376" s="14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</row>
    <row r="377" spans="2:18" ht="58.5">
      <c r="B377" s="31">
        <f t="shared" ref="B377" si="40">B373+1</f>
        <v>94</v>
      </c>
      <c r="C377" s="14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</row>
    <row r="378" spans="2:18">
      <c r="B378" s="35"/>
      <c r="C378" s="14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</row>
    <row r="379" spans="2:18">
      <c r="B379" s="22"/>
      <c r="C379" s="47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</row>
    <row r="380" spans="2:18" ht="39.75">
      <c r="B380" s="27"/>
      <c r="C380" s="14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</row>
    <row r="381" spans="2:18" ht="58.5">
      <c r="B381" s="31">
        <f t="shared" ref="B381" si="41">B377+1</f>
        <v>95</v>
      </c>
      <c r="C381" s="14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</row>
    <row r="382" spans="2:18">
      <c r="B382" s="35"/>
      <c r="C382" s="14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</row>
    <row r="383" spans="2:18">
      <c r="B383" s="22"/>
      <c r="C383" s="47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</row>
    <row r="384" spans="2:18" ht="39.75">
      <c r="B384" s="27"/>
      <c r="C384" s="14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</row>
    <row r="385" spans="2:18" ht="58.5">
      <c r="B385" s="31">
        <f t="shared" ref="B385" si="42">B381+1</f>
        <v>96</v>
      </c>
      <c r="C385" s="14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</row>
    <row r="386" spans="2:18">
      <c r="B386" s="35"/>
      <c r="C386" s="14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</row>
    <row r="387" spans="2:18">
      <c r="B387" s="22"/>
      <c r="C387" s="47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</row>
    <row r="388" spans="2:18" ht="39.75">
      <c r="B388" s="27"/>
      <c r="C388" s="14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</row>
    <row r="389" spans="2:18" ht="58.5">
      <c r="B389" s="31">
        <f t="shared" ref="B389" si="43">B385+1</f>
        <v>97</v>
      </c>
      <c r="C389" s="14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</row>
    <row r="390" spans="2:18">
      <c r="B390" s="35"/>
      <c r="C390" s="14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</row>
    <row r="391" spans="2:18">
      <c r="B391" s="22"/>
      <c r="C391" s="47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</row>
    <row r="392" spans="2:18" ht="39.75">
      <c r="B392" s="27"/>
      <c r="C392" s="14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</row>
    <row r="393" spans="2:18" ht="58.5">
      <c r="B393" s="31">
        <f t="shared" ref="B393" si="44">B389+1</f>
        <v>98</v>
      </c>
      <c r="C393" s="14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</row>
    <row r="394" spans="2:18">
      <c r="B394" s="35"/>
      <c r="C394" s="14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</row>
    <row r="395" spans="2:18">
      <c r="B395" s="22"/>
      <c r="C395" s="47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</row>
    <row r="396" spans="2:18" ht="39.75">
      <c r="B396" s="27"/>
      <c r="C396" s="14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</row>
    <row r="397" spans="2:18" ht="58.5">
      <c r="B397" s="31">
        <f t="shared" ref="B397" si="45">B393+1</f>
        <v>99</v>
      </c>
      <c r="C397" s="14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</row>
    <row r="398" spans="2:18">
      <c r="B398" s="35"/>
      <c r="C398" s="14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</row>
    <row r="399" spans="2:18">
      <c r="B399" s="22"/>
      <c r="C399" s="47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</row>
    <row r="400" spans="2:18" ht="39.75">
      <c r="B400" s="27"/>
      <c r="C400" s="14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</row>
    <row r="401" spans="2:18" ht="58.5">
      <c r="B401" s="31">
        <f t="shared" ref="B401" si="46">B397+1</f>
        <v>100</v>
      </c>
      <c r="C401" s="14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</row>
    <row r="402" spans="2:18">
      <c r="B402" s="35"/>
      <c r="C402" s="14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</row>
    <row r="403" spans="2:18">
      <c r="B403" s="22"/>
      <c r="C403" s="47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</row>
    <row r="404" spans="2:18" ht="39.75">
      <c r="B404" s="27"/>
      <c r="C404" s="14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</row>
    <row r="405" spans="2:18" ht="58.5">
      <c r="B405" s="31">
        <f>B401+1</f>
        <v>101</v>
      </c>
      <c r="C405" s="14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</row>
    <row r="406" spans="2:18">
      <c r="B406" s="35"/>
      <c r="C406" s="14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</row>
    <row r="407" spans="2:18">
      <c r="B407" s="40"/>
      <c r="C407" s="41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</row>
    <row r="408" spans="2:18" ht="39.75">
      <c r="B408" s="27"/>
      <c r="C408" s="14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</row>
    <row r="409" spans="2:18" ht="58.5">
      <c r="B409" s="31">
        <f>B405+1</f>
        <v>102</v>
      </c>
      <c r="C409" s="14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</row>
    <row r="410" spans="2:18">
      <c r="B410" s="35"/>
      <c r="C410" s="14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</row>
    <row r="411" spans="2:18">
      <c r="B411" s="44"/>
      <c r="C411" s="4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</row>
    <row r="412" spans="2:18" ht="39.75">
      <c r="B412" s="27"/>
      <c r="C412" s="14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</row>
    <row r="413" spans="2:18" ht="58.5">
      <c r="B413" s="31">
        <f>B409+1</f>
        <v>103</v>
      </c>
      <c r="C413" s="14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</row>
    <row r="414" spans="2:18">
      <c r="B414" s="35"/>
      <c r="C414" s="14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</row>
    <row r="415" spans="2:18">
      <c r="B415" s="22"/>
      <c r="C415" s="47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</row>
    <row r="416" spans="2:18" ht="39.75">
      <c r="B416" s="27"/>
      <c r="C416" s="14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</row>
    <row r="417" spans="2:18" ht="58.5">
      <c r="B417" s="31">
        <f>B413+1</f>
        <v>104</v>
      </c>
      <c r="C417" s="14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</row>
    <row r="418" spans="2:18">
      <c r="B418" s="35"/>
      <c r="C418" s="14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</row>
    <row r="419" spans="2:18">
      <c r="B419" s="22"/>
      <c r="C419" s="47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</row>
    <row r="420" spans="2:18" ht="39.75">
      <c r="B420" s="27"/>
      <c r="C420" s="14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</row>
    <row r="421" spans="2:18" ht="58.5">
      <c r="B421" s="31">
        <f>B417+1</f>
        <v>105</v>
      </c>
      <c r="C421" s="14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</row>
    <row r="422" spans="2:18">
      <c r="B422" s="35"/>
      <c r="C422" s="14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</row>
    <row r="423" spans="2:18">
      <c r="B423" s="22"/>
      <c r="C423" s="47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</row>
    <row r="424" spans="2:18" ht="39.75">
      <c r="B424" s="27"/>
      <c r="C424" s="14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</row>
    <row r="425" spans="2:18" ht="58.5">
      <c r="B425" s="31">
        <f>B421+1</f>
        <v>106</v>
      </c>
      <c r="C425" s="14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</row>
    <row r="426" spans="2:18">
      <c r="B426" s="35"/>
      <c r="C426" s="14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</row>
    <row r="427" spans="2:18">
      <c r="B427" s="22"/>
      <c r="C427" s="47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</row>
    <row r="428" spans="2:18" ht="39.75">
      <c r="B428" s="27"/>
      <c r="C428" s="14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</row>
    <row r="429" spans="2:18" ht="58.5">
      <c r="B429" s="31">
        <f>B425+1</f>
        <v>107</v>
      </c>
      <c r="C429" s="14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</row>
    <row r="430" spans="2:18">
      <c r="B430" s="35"/>
      <c r="C430" s="14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</row>
    <row r="431" spans="2:18">
      <c r="B431" s="22"/>
      <c r="C431" s="47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</row>
    <row r="432" spans="2:18" ht="39.75">
      <c r="B432" s="27"/>
      <c r="C432" s="14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</row>
    <row r="433" spans="2:18" ht="58.5">
      <c r="B433" s="31">
        <f>B429+1</f>
        <v>108</v>
      </c>
      <c r="C433" s="14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</row>
    <row r="434" spans="2:18">
      <c r="B434" s="35"/>
      <c r="C434" s="14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</row>
    <row r="435" spans="2:18">
      <c r="B435" s="22"/>
      <c r="C435" s="47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</row>
    <row r="436" spans="2:18" ht="39.75">
      <c r="B436" s="27"/>
      <c r="C436" s="14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</row>
    <row r="437" spans="2:18" ht="58.5">
      <c r="B437" s="31">
        <f>B433+1</f>
        <v>109</v>
      </c>
      <c r="C437" s="14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</row>
    <row r="438" spans="2:18">
      <c r="B438" s="35"/>
      <c r="C438" s="14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</row>
    <row r="439" spans="2:18">
      <c r="B439" s="22"/>
      <c r="C439" s="47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</row>
    <row r="440" spans="2:18" ht="39.75">
      <c r="B440" s="27"/>
      <c r="C440" s="14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</row>
    <row r="441" spans="2:18" ht="58.5">
      <c r="B441" s="31">
        <f>B437+1</f>
        <v>110</v>
      </c>
      <c r="C441" s="14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</row>
    <row r="442" spans="2:18">
      <c r="B442" s="35"/>
      <c r="C442" s="14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</row>
    <row r="443" spans="2:18">
      <c r="B443" s="22"/>
      <c r="C443" s="47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</row>
    <row r="444" spans="2:18" ht="39.75">
      <c r="B444" s="27"/>
      <c r="C444" s="14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</row>
    <row r="445" spans="2:18" ht="58.5">
      <c r="B445" s="31">
        <f>B441+1</f>
        <v>111</v>
      </c>
      <c r="C445" s="14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</row>
    <row r="446" spans="2:18">
      <c r="B446" s="35"/>
      <c r="C446" s="14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</row>
    <row r="447" spans="2:18">
      <c r="B447" s="22"/>
      <c r="C447" s="47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</row>
    <row r="448" spans="2:18" ht="39.75">
      <c r="B448" s="27"/>
      <c r="C448" s="14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</row>
    <row r="449" spans="2:18" ht="58.5">
      <c r="B449" s="31">
        <f>B445+1</f>
        <v>112</v>
      </c>
      <c r="C449" s="14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</row>
    <row r="450" spans="2:18">
      <c r="B450" s="35"/>
      <c r="C450" s="14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</row>
    <row r="451" spans="2:18">
      <c r="B451" s="22"/>
      <c r="C451" s="47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</row>
    <row r="452" spans="2:18" ht="39.75">
      <c r="B452" s="27"/>
      <c r="C452" s="14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</row>
    <row r="453" spans="2:18" ht="58.5">
      <c r="B453" s="31">
        <f>B449+1</f>
        <v>113</v>
      </c>
      <c r="C453" s="14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</row>
    <row r="454" spans="2:18">
      <c r="B454" s="35"/>
      <c r="C454" s="14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</row>
    <row r="455" spans="2:18">
      <c r="B455" s="22"/>
      <c r="C455" s="47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</row>
    <row r="456" spans="2:18" ht="39.75">
      <c r="B456" s="27"/>
      <c r="C456" s="14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</row>
    <row r="457" spans="2:18" ht="58.5">
      <c r="B457" s="31">
        <f>B453+1</f>
        <v>114</v>
      </c>
      <c r="C457" s="14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</row>
    <row r="458" spans="2:18">
      <c r="B458" s="35"/>
      <c r="C458" s="14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</row>
    <row r="459" spans="2:18">
      <c r="B459" s="22"/>
      <c r="C459" s="47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</row>
    <row r="460" spans="2:18" ht="39.75">
      <c r="B460" s="27"/>
      <c r="C460" s="14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</row>
    <row r="461" spans="2:18" ht="58.5">
      <c r="B461" s="31">
        <f>B457+1</f>
        <v>115</v>
      </c>
      <c r="C461" s="14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</row>
    <row r="462" spans="2:18">
      <c r="B462" s="35"/>
      <c r="C462" s="14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</row>
    <row r="463" spans="2:18">
      <c r="B463" s="22"/>
      <c r="C463" s="47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</row>
    <row r="464" spans="2:18" ht="39.75">
      <c r="B464" s="27"/>
      <c r="C464" s="14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</row>
    <row r="465" spans="2:18" ht="58.5">
      <c r="B465" s="31">
        <f>B461+1</f>
        <v>116</v>
      </c>
      <c r="C465" s="14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</row>
    <row r="466" spans="2:18">
      <c r="B466" s="35"/>
      <c r="C466" s="14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</row>
    <row r="467" spans="2:18">
      <c r="B467" s="22"/>
      <c r="C467" s="47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</row>
    <row r="468" spans="2:18" ht="39.75">
      <c r="B468" s="27"/>
      <c r="C468" s="14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</row>
    <row r="469" spans="2:18" ht="58.5">
      <c r="B469" s="31">
        <f>B465+1</f>
        <v>117</v>
      </c>
      <c r="C469" s="14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</row>
    <row r="470" spans="2:18">
      <c r="B470" s="35"/>
      <c r="C470" s="14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</row>
    <row r="471" spans="2:18">
      <c r="B471" s="22"/>
      <c r="C471" s="47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</row>
    <row r="472" spans="2:18" ht="39.75">
      <c r="B472" s="27"/>
      <c r="C472" s="14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</row>
    <row r="473" spans="2:18" ht="58.5">
      <c r="B473" s="31">
        <f>B469+1</f>
        <v>118</v>
      </c>
      <c r="C473" s="14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</row>
    <row r="474" spans="2:18">
      <c r="B474" s="35"/>
      <c r="C474" s="14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</row>
    <row r="475" spans="2:18">
      <c r="B475" s="22"/>
      <c r="C475" s="47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</row>
    <row r="476" spans="2:18" ht="39.75">
      <c r="B476" s="27"/>
      <c r="C476" s="14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</row>
    <row r="477" spans="2:18" ht="58.5">
      <c r="B477" s="31">
        <f>B473+1</f>
        <v>119</v>
      </c>
      <c r="C477" s="14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</row>
    <row r="478" spans="2:18">
      <c r="B478" s="35"/>
      <c r="C478" s="14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</row>
    <row r="479" spans="2:18">
      <c r="B479" s="22"/>
      <c r="C479" s="47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</row>
    <row r="480" spans="2:18" ht="39.75">
      <c r="B480" s="27"/>
      <c r="C480" s="14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</row>
    <row r="481" spans="2:18" ht="58.5">
      <c r="B481" s="31">
        <f>B477+1</f>
        <v>120</v>
      </c>
      <c r="C481" s="14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</row>
    <row r="482" spans="2:18">
      <c r="B482" s="35"/>
      <c r="C482" s="14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</row>
    <row r="483" spans="2:18">
      <c r="B483" s="22"/>
      <c r="C483" s="47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</row>
    <row r="484" spans="2:18" ht="39.75">
      <c r="B484" s="27"/>
      <c r="C484" s="14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</row>
    <row r="485" spans="2:18" ht="58.5">
      <c r="B485" s="31">
        <f>B481+1</f>
        <v>121</v>
      </c>
      <c r="C485" s="14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</row>
    <row r="486" spans="2:18">
      <c r="B486" s="35"/>
      <c r="C486" s="14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</row>
    <row r="487" spans="2:18">
      <c r="B487" s="22"/>
      <c r="C487" s="47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</row>
    <row r="488" spans="2:18" ht="39.75">
      <c r="B488" s="27"/>
      <c r="C488" s="14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</row>
    <row r="489" spans="2:18" ht="58.5">
      <c r="B489" s="31">
        <f>B485+1</f>
        <v>122</v>
      </c>
      <c r="C489" s="14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</row>
    <row r="490" spans="2:18">
      <c r="B490" s="35"/>
      <c r="C490" s="14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</row>
    <row r="491" spans="2:18">
      <c r="B491" s="22"/>
      <c r="C491" s="47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</row>
    <row r="492" spans="2:18" ht="39.75">
      <c r="B492" s="27"/>
      <c r="C492" s="14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</row>
    <row r="493" spans="2:18" ht="58.5">
      <c r="B493" s="31">
        <f>B489+1</f>
        <v>123</v>
      </c>
      <c r="C493" s="14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</row>
    <row r="494" spans="2:18">
      <c r="B494" s="35"/>
      <c r="C494" s="14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</row>
    <row r="495" spans="2:18">
      <c r="B495" s="22"/>
      <c r="C495" s="47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</row>
    <row r="496" spans="2:18" ht="39.75">
      <c r="B496" s="27"/>
      <c r="C496" s="14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</row>
    <row r="497" spans="2:18" ht="58.5">
      <c r="B497" s="31">
        <f>B493+1</f>
        <v>124</v>
      </c>
      <c r="C497" s="14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</row>
    <row r="498" spans="2:18">
      <c r="B498" s="35"/>
      <c r="C498" s="14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</row>
    <row r="499" spans="2:18">
      <c r="B499" s="22"/>
      <c r="C499" s="47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</row>
    <row r="500" spans="2:18" ht="39.75">
      <c r="B500" s="27"/>
      <c r="C500" s="14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</row>
    <row r="501" spans="2:18" ht="58.5">
      <c r="B501" s="31">
        <f>B497+1</f>
        <v>125</v>
      </c>
      <c r="C501" s="14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</row>
    <row r="502" spans="2:18">
      <c r="B502" s="35"/>
      <c r="C502" s="14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</row>
    <row r="503" spans="2:18">
      <c r="B503" s="22"/>
      <c r="C503" s="47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</row>
    <row r="504" spans="2:18" ht="39.75">
      <c r="B504" s="27"/>
      <c r="C504" s="14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</row>
    <row r="505" spans="2:18" ht="58.5">
      <c r="B505" s="31">
        <f>B501+1</f>
        <v>126</v>
      </c>
      <c r="C505" s="14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</row>
    <row r="506" spans="2:18">
      <c r="B506" s="35"/>
      <c r="C506" s="14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</row>
    <row r="507" spans="2:18">
      <c r="B507" s="22"/>
      <c r="C507" s="47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</row>
    <row r="508" spans="2:18" ht="39.75">
      <c r="B508" s="27"/>
      <c r="C508" s="14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</row>
    <row r="509" spans="2:18" ht="58.5">
      <c r="B509" s="31">
        <f>B505+1</f>
        <v>127</v>
      </c>
      <c r="C509" s="14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</row>
    <row r="510" spans="2:18">
      <c r="B510" s="35"/>
      <c r="C510" s="14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</row>
    <row r="511" spans="2:18">
      <c r="B511" s="22"/>
      <c r="C511" s="47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</row>
    <row r="512" spans="2:18" ht="39.75">
      <c r="B512" s="27"/>
      <c r="C512" s="14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</row>
    <row r="513" spans="2:18" ht="58.5">
      <c r="B513" s="31">
        <f t="shared" ref="B513" si="47">B509+1</f>
        <v>128</v>
      </c>
      <c r="C513" s="14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</row>
    <row r="514" spans="2:18">
      <c r="B514" s="35"/>
      <c r="C514" s="14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</row>
    <row r="515" spans="2:18">
      <c r="B515" s="22"/>
      <c r="C515" s="47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</row>
    <row r="516" spans="2:18" ht="39.75">
      <c r="B516" s="27"/>
      <c r="C516" s="14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</row>
    <row r="517" spans="2:18" ht="58.5">
      <c r="B517" s="31">
        <f t="shared" ref="B517" si="48">B513+1</f>
        <v>129</v>
      </c>
      <c r="C517" s="14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</row>
    <row r="518" spans="2:18">
      <c r="B518" s="35"/>
      <c r="C518" s="14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</row>
    <row r="519" spans="2:18">
      <c r="B519" s="22"/>
      <c r="C519" s="47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</row>
    <row r="520" spans="2:18" ht="39.75">
      <c r="B520" s="27"/>
      <c r="C520" s="14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</row>
    <row r="521" spans="2:18" ht="58.5">
      <c r="B521" s="31">
        <f t="shared" ref="B521" si="49">B517+1</f>
        <v>130</v>
      </c>
      <c r="C521" s="14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</row>
    <row r="522" spans="2:18">
      <c r="B522" s="35"/>
      <c r="C522" s="14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</row>
    <row r="523" spans="2:18">
      <c r="B523" s="22"/>
      <c r="C523" s="47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</row>
    <row r="524" spans="2:18" ht="39.75">
      <c r="B524" s="27"/>
      <c r="C524" s="14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</row>
    <row r="525" spans="2:18" ht="58.5">
      <c r="B525" s="31">
        <f t="shared" ref="B525" si="50">B521+1</f>
        <v>131</v>
      </c>
      <c r="C525" s="14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</row>
    <row r="526" spans="2:18">
      <c r="B526" s="35"/>
      <c r="C526" s="14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</row>
    <row r="527" spans="2:18">
      <c r="B527" s="22"/>
      <c r="C527" s="47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</row>
    <row r="528" spans="2:18" ht="39.75">
      <c r="B528" s="27"/>
      <c r="C528" s="14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</row>
    <row r="529" spans="2:18" ht="58.5">
      <c r="B529" s="31">
        <f t="shared" ref="B529" si="51">B525+1</f>
        <v>132</v>
      </c>
      <c r="C529" s="14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</row>
    <row r="530" spans="2:18">
      <c r="B530" s="35"/>
      <c r="C530" s="14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</row>
    <row r="531" spans="2:18">
      <c r="B531" s="22"/>
      <c r="C531" s="47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</row>
    <row r="532" spans="2:18" ht="39.75">
      <c r="B532" s="27"/>
      <c r="C532" s="14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</row>
    <row r="533" spans="2:18" ht="58.5">
      <c r="B533" s="31">
        <f t="shared" ref="B533" si="52">B529+1</f>
        <v>133</v>
      </c>
      <c r="C533" s="14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</row>
    <row r="534" spans="2:18">
      <c r="B534" s="35"/>
      <c r="C534" s="14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</row>
    <row r="535" spans="2:18">
      <c r="B535" s="22"/>
      <c r="C535" s="47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</row>
    <row r="536" spans="2:18" ht="39.75">
      <c r="B536" s="27"/>
      <c r="C536" s="14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</row>
    <row r="537" spans="2:18" ht="58.5">
      <c r="B537" s="31">
        <f t="shared" ref="B537" si="53">B533+1</f>
        <v>134</v>
      </c>
      <c r="C537" s="14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</row>
    <row r="538" spans="2:18">
      <c r="B538" s="35"/>
      <c r="C538" s="14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</row>
    <row r="539" spans="2:18">
      <c r="B539" s="22"/>
      <c r="C539" s="47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</row>
    <row r="540" spans="2:18" ht="39.75">
      <c r="B540" s="27"/>
      <c r="C540" s="14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</row>
    <row r="541" spans="2:18" ht="58.5">
      <c r="B541" s="31">
        <f t="shared" ref="B541" si="54">B537+1</f>
        <v>135</v>
      </c>
      <c r="C541" s="14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</row>
    <row r="542" spans="2:18">
      <c r="B542" s="35"/>
      <c r="C542" s="14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</row>
    <row r="543" spans="2:18">
      <c r="B543" s="22"/>
      <c r="C543" s="47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</row>
    <row r="544" spans="2:18" ht="39.75">
      <c r="B544" s="27"/>
      <c r="C544" s="14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</row>
    <row r="545" spans="2:18" ht="58.5">
      <c r="B545" s="31">
        <f t="shared" ref="B545" si="55">B541+1</f>
        <v>136</v>
      </c>
      <c r="C545" s="14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</row>
    <row r="546" spans="2:18">
      <c r="B546" s="35"/>
      <c r="C546" s="14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</row>
    <row r="547" spans="2:18">
      <c r="B547" s="22"/>
      <c r="C547" s="47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</row>
    <row r="548" spans="2:18" ht="39.75">
      <c r="B548" s="27"/>
      <c r="C548" s="14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</row>
    <row r="549" spans="2:18" ht="58.5">
      <c r="B549" s="31">
        <f t="shared" ref="B549" si="56">B545+1</f>
        <v>137</v>
      </c>
      <c r="C549" s="14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</row>
    <row r="550" spans="2:18">
      <c r="B550" s="35"/>
      <c r="C550" s="14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</row>
    <row r="551" spans="2:18">
      <c r="B551" s="22"/>
      <c r="C551" s="47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</row>
    <row r="552" spans="2:18" ht="39.75">
      <c r="B552" s="27"/>
      <c r="C552" s="14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</row>
    <row r="553" spans="2:18" ht="58.5">
      <c r="B553" s="31">
        <f t="shared" ref="B553" si="57">B549+1</f>
        <v>138</v>
      </c>
      <c r="C553" s="14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</row>
    <row r="554" spans="2:18">
      <c r="B554" s="35"/>
      <c r="C554" s="14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</row>
    <row r="555" spans="2:18">
      <c r="B555" s="22"/>
      <c r="C555" s="47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</row>
    <row r="556" spans="2:18" ht="39.75">
      <c r="B556" s="27"/>
      <c r="C556" s="14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</row>
    <row r="557" spans="2:18" ht="58.5">
      <c r="B557" s="31">
        <f t="shared" ref="B557" si="58">B553+1</f>
        <v>139</v>
      </c>
      <c r="C557" s="14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</row>
    <row r="558" spans="2:18">
      <c r="B558" s="35"/>
      <c r="C558" s="14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</row>
    <row r="559" spans="2:18">
      <c r="B559" s="22"/>
      <c r="C559" s="47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</row>
    <row r="560" spans="2:18" ht="39.75">
      <c r="B560" s="27"/>
      <c r="C560" s="14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</row>
    <row r="561" spans="2:18" ht="58.5">
      <c r="B561" s="31">
        <f t="shared" ref="B561" si="59">B557+1</f>
        <v>140</v>
      </c>
      <c r="C561" s="14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</row>
    <row r="562" spans="2:18">
      <c r="B562" s="35"/>
      <c r="C562" s="14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</row>
    <row r="563" spans="2:18">
      <c r="B563" s="22"/>
      <c r="C563" s="47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</row>
    <row r="564" spans="2:18" ht="39.75">
      <c r="B564" s="27"/>
      <c r="C564" s="14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</row>
    <row r="565" spans="2:18" ht="58.5">
      <c r="B565" s="31">
        <f t="shared" ref="B565" si="60">B561+1</f>
        <v>141</v>
      </c>
      <c r="C565" s="14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</row>
    <row r="566" spans="2:18">
      <c r="B566" s="35"/>
      <c r="C566" s="14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</row>
    <row r="567" spans="2:18">
      <c r="B567" s="22"/>
      <c r="C567" s="47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</row>
    <row r="568" spans="2:18" ht="39.75">
      <c r="B568" s="27"/>
      <c r="C568" s="14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</row>
    <row r="569" spans="2:18" ht="58.5">
      <c r="B569" s="31">
        <f t="shared" ref="B569" si="61">B565+1</f>
        <v>142</v>
      </c>
      <c r="C569" s="14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</row>
    <row r="570" spans="2:18">
      <c r="B570" s="35"/>
      <c r="C570" s="14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</row>
    <row r="571" spans="2:18">
      <c r="B571" s="22"/>
      <c r="C571" s="47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</row>
    <row r="572" spans="2:18" ht="39.75">
      <c r="B572" s="27"/>
      <c r="C572" s="14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</row>
    <row r="573" spans="2:18" ht="58.5">
      <c r="B573" s="31">
        <f t="shared" ref="B573" si="62">B569+1</f>
        <v>143</v>
      </c>
      <c r="C573" s="14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</row>
    <row r="574" spans="2:18">
      <c r="B574" s="35"/>
      <c r="C574" s="14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</row>
    <row r="575" spans="2:18">
      <c r="B575" s="22"/>
      <c r="C575" s="47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</row>
    <row r="576" spans="2:18" ht="39.75">
      <c r="B576" s="27"/>
      <c r="C576" s="14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</row>
    <row r="577" spans="2:18" ht="58.5">
      <c r="B577" s="31">
        <f t="shared" ref="B577" si="63">B573+1</f>
        <v>144</v>
      </c>
      <c r="C577" s="14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</row>
    <row r="578" spans="2:18">
      <c r="B578" s="35"/>
      <c r="C578" s="14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</row>
    <row r="579" spans="2:18">
      <c r="B579" s="22"/>
      <c r="C579" s="47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</row>
    <row r="580" spans="2:18" ht="39.75">
      <c r="B580" s="27"/>
      <c r="C580" s="14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</row>
    <row r="581" spans="2:18" ht="58.5">
      <c r="B581" s="31">
        <f t="shared" ref="B581" si="64">B577+1</f>
        <v>145</v>
      </c>
      <c r="C581" s="14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</row>
    <row r="582" spans="2:18">
      <c r="B582" s="35"/>
      <c r="C582" s="14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</row>
    <row r="583" spans="2:18">
      <c r="B583" s="22"/>
      <c r="C583" s="47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</row>
    <row r="584" spans="2:18" ht="39.75">
      <c r="B584" s="27"/>
      <c r="C584" s="14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</row>
    <row r="585" spans="2:18" ht="58.5">
      <c r="B585" s="31">
        <f t="shared" ref="B585" si="65">B581+1</f>
        <v>146</v>
      </c>
      <c r="C585" s="14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</row>
    <row r="586" spans="2:18">
      <c r="B586" s="35"/>
      <c r="C586" s="14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</row>
    <row r="587" spans="2:18">
      <c r="B587" s="22"/>
      <c r="C587" s="47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</row>
    <row r="588" spans="2:18" ht="39.75">
      <c r="B588" s="27"/>
      <c r="C588" s="14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</row>
    <row r="589" spans="2:18" ht="58.5">
      <c r="B589" s="31">
        <f t="shared" ref="B589" si="66">B585+1</f>
        <v>147</v>
      </c>
      <c r="C589" s="14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</row>
    <row r="590" spans="2:18">
      <c r="B590" s="35"/>
      <c r="C590" s="14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</row>
    <row r="591" spans="2:18">
      <c r="B591" s="22"/>
      <c r="C591" s="47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</row>
    <row r="592" spans="2:18" ht="39.75">
      <c r="B592" s="27"/>
      <c r="C592" s="14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</row>
    <row r="593" spans="2:18" ht="58.5">
      <c r="B593" s="31">
        <f t="shared" ref="B593" si="67">B589+1</f>
        <v>148</v>
      </c>
      <c r="C593" s="14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</row>
    <row r="594" spans="2:18">
      <c r="B594" s="35"/>
      <c r="C594" s="14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</row>
    <row r="595" spans="2:18">
      <c r="B595" s="22"/>
      <c r="C595" s="47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</row>
    <row r="596" spans="2:18" ht="39.75">
      <c r="B596" s="27"/>
      <c r="C596" s="14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</row>
    <row r="597" spans="2:18" ht="58.5">
      <c r="B597" s="31">
        <f t="shared" ref="B597" si="68">B593+1</f>
        <v>149</v>
      </c>
      <c r="C597" s="14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</row>
    <row r="598" spans="2:18">
      <c r="B598" s="35"/>
      <c r="C598" s="14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</row>
    <row r="599" spans="2:18">
      <c r="B599" s="22"/>
      <c r="C599" s="47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</row>
    <row r="600" spans="2:18" ht="39.75">
      <c r="B600" s="27"/>
      <c r="C600" s="14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</row>
    <row r="601" spans="2:18" ht="58.5">
      <c r="B601" s="31">
        <f t="shared" ref="B601" si="69">B597+1</f>
        <v>150</v>
      </c>
      <c r="C601" s="14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</row>
    <row r="602" spans="2:18">
      <c r="B602" s="35"/>
      <c r="C602" s="14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</row>
    <row r="603" spans="2:18">
      <c r="B603" s="22"/>
      <c r="C603" s="47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</row>
    <row r="604" spans="2:18" ht="39.75">
      <c r="B604" s="27"/>
      <c r="C604" s="14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</row>
    <row r="605" spans="2:18" ht="58.5">
      <c r="B605" s="31">
        <f>B601+1</f>
        <v>151</v>
      </c>
      <c r="C605" s="14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</row>
    <row r="606" spans="2:18">
      <c r="B606" s="35"/>
      <c r="C606" s="14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</row>
    <row r="607" spans="2:18">
      <c r="B607" s="40"/>
      <c r="C607" s="41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</row>
    <row r="608" spans="2:18" ht="39.75">
      <c r="B608" s="27"/>
      <c r="C608" s="14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</row>
    <row r="609" spans="2:18" ht="58.5">
      <c r="B609" s="31">
        <f>B605+1</f>
        <v>152</v>
      </c>
      <c r="C609" s="14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</row>
    <row r="610" spans="2:18">
      <c r="B610" s="35"/>
      <c r="C610" s="14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</row>
    <row r="611" spans="2:18">
      <c r="B611" s="44"/>
      <c r="C611" s="4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</row>
    <row r="612" spans="2:18" ht="39.75">
      <c r="B612" s="27"/>
      <c r="C612" s="14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</row>
    <row r="613" spans="2:18" ht="58.5">
      <c r="B613" s="31">
        <f>B609+1</f>
        <v>153</v>
      </c>
      <c r="C613" s="14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</row>
    <row r="614" spans="2:18">
      <c r="B614" s="35"/>
      <c r="C614" s="14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</row>
    <row r="615" spans="2:18">
      <c r="B615" s="22"/>
      <c r="C615" s="47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</row>
    <row r="616" spans="2:18" ht="39.75">
      <c r="B616" s="27"/>
      <c r="C616" s="14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</row>
    <row r="617" spans="2:18" ht="58.5">
      <c r="B617" s="31">
        <f>B613+1</f>
        <v>154</v>
      </c>
      <c r="C617" s="14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</row>
    <row r="618" spans="2:18">
      <c r="B618" s="35"/>
      <c r="C618" s="14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</row>
    <row r="619" spans="2:18">
      <c r="B619" s="22"/>
      <c r="C619" s="47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</row>
    <row r="620" spans="2:18" ht="39.75">
      <c r="B620" s="27"/>
      <c r="C620" s="14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</row>
    <row r="621" spans="2:18" ht="58.5">
      <c r="B621" s="31">
        <f>B617+1</f>
        <v>155</v>
      </c>
      <c r="C621" s="14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</row>
    <row r="622" spans="2:18">
      <c r="B622" s="35"/>
      <c r="C622" s="14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</row>
    <row r="623" spans="2:18">
      <c r="B623" s="22"/>
      <c r="C623" s="47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</row>
    <row r="624" spans="2:18" ht="39.75">
      <c r="B624" s="27"/>
      <c r="C624" s="14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</row>
    <row r="625" spans="2:18" ht="58.5">
      <c r="B625" s="31">
        <f>B621+1</f>
        <v>156</v>
      </c>
      <c r="C625" s="14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</row>
    <row r="626" spans="2:18">
      <c r="B626" s="35"/>
      <c r="C626" s="14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</row>
    <row r="627" spans="2:18">
      <c r="B627" s="22"/>
      <c r="C627" s="47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</row>
    <row r="628" spans="2:18" ht="39.75">
      <c r="B628" s="27"/>
      <c r="C628" s="14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</row>
    <row r="629" spans="2:18" ht="58.5">
      <c r="B629" s="31">
        <f>B625+1</f>
        <v>157</v>
      </c>
      <c r="C629" s="14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</row>
    <row r="630" spans="2:18">
      <c r="B630" s="35"/>
      <c r="C630" s="14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</row>
    <row r="631" spans="2:18">
      <c r="B631" s="22"/>
      <c r="C631" s="47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</row>
    <row r="632" spans="2:18" ht="39.75">
      <c r="B632" s="27"/>
      <c r="C632" s="14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</row>
    <row r="633" spans="2:18" ht="58.5">
      <c r="B633" s="31">
        <f>B629+1</f>
        <v>158</v>
      </c>
      <c r="C633" s="14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</row>
    <row r="634" spans="2:18">
      <c r="B634" s="35"/>
      <c r="C634" s="14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</row>
    <row r="635" spans="2:18">
      <c r="B635" s="22"/>
      <c r="C635" s="47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</row>
    <row r="636" spans="2:18" ht="39.75">
      <c r="B636" s="27"/>
      <c r="C636" s="14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</row>
    <row r="637" spans="2:18" ht="58.5">
      <c r="B637" s="31">
        <f>B633+1</f>
        <v>159</v>
      </c>
      <c r="C637" s="14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</row>
    <row r="638" spans="2:18">
      <c r="B638" s="35"/>
      <c r="C638" s="14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</row>
    <row r="639" spans="2:18">
      <c r="B639" s="22"/>
      <c r="C639" s="47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</row>
    <row r="640" spans="2:18" ht="39.75">
      <c r="B640" s="27"/>
      <c r="C640" s="14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</row>
    <row r="641" spans="2:18" ht="58.5">
      <c r="B641" s="31">
        <f>B637+1</f>
        <v>160</v>
      </c>
      <c r="C641" s="14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</row>
    <row r="642" spans="2:18">
      <c r="B642" s="35"/>
      <c r="C642" s="14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</row>
    <row r="643" spans="2:18">
      <c r="B643" s="22"/>
      <c r="C643" s="47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</row>
    <row r="644" spans="2:18" ht="39.75">
      <c r="B644" s="27"/>
      <c r="C644" s="14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</row>
    <row r="645" spans="2:18" ht="58.5">
      <c r="B645" s="31">
        <f>B641+1</f>
        <v>161</v>
      </c>
      <c r="C645" s="14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</row>
    <row r="646" spans="2:18">
      <c r="B646" s="35"/>
      <c r="C646" s="14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</row>
    <row r="647" spans="2:18">
      <c r="B647" s="22"/>
      <c r="C647" s="47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</row>
    <row r="648" spans="2:18" ht="39.75">
      <c r="B648" s="27"/>
      <c r="C648" s="14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</row>
    <row r="649" spans="2:18" ht="58.5">
      <c r="B649" s="31">
        <f>B645+1</f>
        <v>162</v>
      </c>
      <c r="C649" s="14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</row>
    <row r="650" spans="2:18">
      <c r="B650" s="35"/>
      <c r="C650" s="14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</row>
    <row r="651" spans="2:18">
      <c r="B651" s="22"/>
      <c r="C651" s="47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</row>
    <row r="652" spans="2:18" ht="39.75">
      <c r="B652" s="27"/>
      <c r="C652" s="14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</row>
    <row r="653" spans="2:18" ht="58.5">
      <c r="B653" s="31">
        <f>B649+1</f>
        <v>163</v>
      </c>
      <c r="C653" s="14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</row>
    <row r="654" spans="2:18">
      <c r="B654" s="35"/>
      <c r="C654" s="14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</row>
    <row r="655" spans="2:18">
      <c r="B655" s="22"/>
      <c r="C655" s="47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</row>
    <row r="656" spans="2:18" ht="39.75">
      <c r="B656" s="27"/>
      <c r="C656" s="14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</row>
    <row r="657" spans="2:18" ht="58.5">
      <c r="B657" s="31">
        <f>B653+1</f>
        <v>164</v>
      </c>
      <c r="C657" s="14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</row>
    <row r="658" spans="2:18">
      <c r="B658" s="35"/>
      <c r="C658" s="14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</row>
    <row r="659" spans="2:18">
      <c r="B659" s="22"/>
      <c r="C659" s="47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</row>
    <row r="660" spans="2:18" ht="39.75">
      <c r="B660" s="27"/>
      <c r="C660" s="14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</row>
    <row r="661" spans="2:18" ht="58.5">
      <c r="B661" s="31">
        <f>B657+1</f>
        <v>165</v>
      </c>
      <c r="C661" s="14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</row>
    <row r="662" spans="2:18">
      <c r="B662" s="35"/>
      <c r="C662" s="14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</row>
    <row r="663" spans="2:18">
      <c r="B663" s="22"/>
      <c r="C663" s="47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</row>
    <row r="664" spans="2:18" ht="39.75">
      <c r="B664" s="27"/>
      <c r="C664" s="14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</row>
    <row r="665" spans="2:18" ht="58.5">
      <c r="B665" s="31">
        <f>B661+1</f>
        <v>166</v>
      </c>
      <c r="C665" s="14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</row>
    <row r="666" spans="2:18">
      <c r="B666" s="35"/>
      <c r="C666" s="14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</row>
    <row r="667" spans="2:18">
      <c r="B667" s="22"/>
      <c r="C667" s="47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</row>
    <row r="668" spans="2:18" ht="39.75">
      <c r="B668" s="27"/>
      <c r="C668" s="14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</row>
    <row r="669" spans="2:18" ht="58.5">
      <c r="B669" s="31">
        <f>B665+1</f>
        <v>167</v>
      </c>
      <c r="C669" s="14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</row>
    <row r="670" spans="2:18">
      <c r="B670" s="35"/>
      <c r="C670" s="14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</row>
    <row r="671" spans="2:18">
      <c r="B671" s="22"/>
      <c r="C671" s="47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</row>
    <row r="672" spans="2:18" ht="39.75">
      <c r="B672" s="27"/>
      <c r="C672" s="14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</row>
    <row r="673" spans="2:18" ht="58.5">
      <c r="B673" s="31">
        <f>B669+1</f>
        <v>168</v>
      </c>
      <c r="C673" s="14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</row>
    <row r="674" spans="2:18">
      <c r="B674" s="35"/>
      <c r="C674" s="14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</row>
    <row r="675" spans="2:18">
      <c r="B675" s="22"/>
      <c r="C675" s="47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</row>
    <row r="676" spans="2:18" ht="39.75">
      <c r="B676" s="27"/>
      <c r="C676" s="14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</row>
    <row r="677" spans="2:18" ht="58.5">
      <c r="B677" s="31">
        <f>B673+1</f>
        <v>169</v>
      </c>
      <c r="C677" s="14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</row>
    <row r="678" spans="2:18">
      <c r="B678" s="35"/>
      <c r="C678" s="14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</row>
    <row r="679" spans="2:18">
      <c r="B679" s="22"/>
      <c r="C679" s="47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</row>
    <row r="680" spans="2:18" ht="39.75">
      <c r="B680" s="27"/>
      <c r="C680" s="14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</row>
    <row r="681" spans="2:18" ht="58.5">
      <c r="B681" s="31">
        <f>B677+1</f>
        <v>170</v>
      </c>
      <c r="C681" s="14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</row>
    <row r="682" spans="2:18">
      <c r="B682" s="35"/>
      <c r="C682" s="14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</row>
    <row r="683" spans="2:18">
      <c r="B683" s="22"/>
      <c r="C683" s="47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</row>
    <row r="684" spans="2:18" ht="39.75">
      <c r="B684" s="27"/>
      <c r="C684" s="14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</row>
    <row r="685" spans="2:18" ht="58.5">
      <c r="B685" s="31">
        <f>B681+1</f>
        <v>171</v>
      </c>
      <c r="C685" s="14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</row>
    <row r="686" spans="2:18">
      <c r="B686" s="35"/>
      <c r="C686" s="14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</row>
    <row r="687" spans="2:18">
      <c r="B687" s="22"/>
      <c r="C687" s="47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</row>
    <row r="688" spans="2:18" ht="39.75">
      <c r="B688" s="27"/>
      <c r="C688" s="14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</row>
    <row r="689" spans="2:18" ht="58.5">
      <c r="B689" s="31">
        <f>B685+1</f>
        <v>172</v>
      </c>
      <c r="C689" s="14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</row>
    <row r="690" spans="2:18">
      <c r="B690" s="35"/>
      <c r="C690" s="14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</row>
    <row r="691" spans="2:18">
      <c r="B691" s="22"/>
      <c r="C691" s="47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</row>
    <row r="692" spans="2:18" ht="39.75">
      <c r="B692" s="27"/>
      <c r="C692" s="14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</row>
    <row r="693" spans="2:18" ht="58.5">
      <c r="B693" s="31">
        <f>B689+1</f>
        <v>173</v>
      </c>
      <c r="C693" s="14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</row>
    <row r="694" spans="2:18">
      <c r="B694" s="35"/>
      <c r="C694" s="14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</row>
    <row r="695" spans="2:18">
      <c r="B695" s="22"/>
      <c r="C695" s="47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</row>
    <row r="696" spans="2:18" ht="39.75">
      <c r="B696" s="27"/>
      <c r="C696" s="14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</row>
    <row r="697" spans="2:18" ht="58.5">
      <c r="B697" s="31">
        <f>B693+1</f>
        <v>174</v>
      </c>
      <c r="C697" s="14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</row>
    <row r="698" spans="2:18">
      <c r="B698" s="35"/>
      <c r="C698" s="14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</row>
    <row r="699" spans="2:18">
      <c r="B699" s="22"/>
      <c r="C699" s="47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</row>
    <row r="700" spans="2:18" ht="39.75">
      <c r="B700" s="27"/>
      <c r="C700" s="14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</row>
    <row r="701" spans="2:18" ht="58.5">
      <c r="B701" s="31">
        <f>B697+1</f>
        <v>175</v>
      </c>
      <c r="C701" s="14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</row>
    <row r="702" spans="2:18">
      <c r="B702" s="35"/>
      <c r="C702" s="14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</row>
    <row r="703" spans="2:18">
      <c r="B703" s="22"/>
      <c r="C703" s="47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</row>
    <row r="704" spans="2:18" ht="39.75">
      <c r="B704" s="27"/>
      <c r="C704" s="14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</row>
    <row r="705" spans="2:18" ht="58.5">
      <c r="B705" s="31">
        <f>B701+1</f>
        <v>176</v>
      </c>
      <c r="C705" s="14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</row>
    <row r="706" spans="2:18">
      <c r="B706" s="35"/>
      <c r="C706" s="14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</row>
    <row r="707" spans="2:18">
      <c r="B707" s="22"/>
      <c r="C707" s="47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</row>
    <row r="708" spans="2:18" ht="39.75">
      <c r="B708" s="27"/>
      <c r="C708" s="14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</row>
    <row r="709" spans="2:18" ht="58.5">
      <c r="B709" s="31">
        <f>B705+1</f>
        <v>177</v>
      </c>
      <c r="C709" s="14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</row>
    <row r="710" spans="2:18">
      <c r="B710" s="35"/>
      <c r="C710" s="14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</row>
    <row r="711" spans="2:18">
      <c r="B711" s="22"/>
      <c r="C711" s="47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</row>
    <row r="712" spans="2:18" ht="39.75">
      <c r="B712" s="27"/>
      <c r="C712" s="14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</row>
    <row r="713" spans="2:18" ht="58.5">
      <c r="B713" s="31">
        <f t="shared" ref="B713" si="70">B709+1</f>
        <v>178</v>
      </c>
      <c r="C713" s="14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</row>
    <row r="714" spans="2:18">
      <c r="B714" s="35"/>
      <c r="C714" s="14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</row>
    <row r="715" spans="2:18">
      <c r="B715" s="22"/>
      <c r="C715" s="47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</row>
    <row r="716" spans="2:18" ht="39.75">
      <c r="B716" s="27"/>
      <c r="C716" s="14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</row>
    <row r="717" spans="2:18" ht="58.5">
      <c r="B717" s="31">
        <f t="shared" ref="B717" si="71">B713+1</f>
        <v>179</v>
      </c>
      <c r="C717" s="14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</row>
    <row r="718" spans="2:18">
      <c r="B718" s="35"/>
      <c r="C718" s="14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</row>
    <row r="719" spans="2:18">
      <c r="B719" s="22"/>
      <c r="C719" s="47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</row>
    <row r="720" spans="2:18" ht="39.75">
      <c r="B720" s="27"/>
      <c r="C720" s="14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</row>
    <row r="721" spans="2:18" ht="58.5">
      <c r="B721" s="31">
        <f t="shared" ref="B721" si="72">B717+1</f>
        <v>180</v>
      </c>
      <c r="C721" s="14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</row>
    <row r="722" spans="2:18">
      <c r="B722" s="35"/>
      <c r="C722" s="14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</row>
    <row r="723" spans="2:18">
      <c r="B723" s="22"/>
      <c r="C723" s="47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</row>
    <row r="724" spans="2:18" ht="39.75">
      <c r="B724" s="27"/>
      <c r="C724" s="14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</row>
    <row r="725" spans="2:18" ht="58.5">
      <c r="B725" s="31">
        <f t="shared" ref="B725" si="73">B721+1</f>
        <v>181</v>
      </c>
      <c r="C725" s="14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</row>
    <row r="726" spans="2:18">
      <c r="B726" s="35"/>
      <c r="C726" s="14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</row>
    <row r="727" spans="2:18">
      <c r="B727" s="22"/>
      <c r="C727" s="47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</row>
    <row r="728" spans="2:18" ht="39.75">
      <c r="B728" s="27"/>
      <c r="C728" s="14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</row>
    <row r="729" spans="2:18" ht="58.5">
      <c r="B729" s="31">
        <f t="shared" ref="B729" si="74">B725+1</f>
        <v>182</v>
      </c>
      <c r="C729" s="14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</row>
    <row r="730" spans="2:18">
      <c r="B730" s="35"/>
      <c r="C730" s="14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</row>
    <row r="731" spans="2:18">
      <c r="B731" s="22"/>
      <c r="C731" s="47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</row>
    <row r="732" spans="2:18" ht="39.75">
      <c r="B732" s="27"/>
      <c r="C732" s="14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</row>
    <row r="733" spans="2:18" ht="58.5">
      <c r="B733" s="31">
        <f t="shared" ref="B733" si="75">B729+1</f>
        <v>183</v>
      </c>
      <c r="C733" s="14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</row>
    <row r="734" spans="2:18">
      <c r="B734" s="35"/>
      <c r="C734" s="14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</row>
    <row r="735" spans="2:18">
      <c r="B735" s="22"/>
      <c r="C735" s="47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</row>
    <row r="736" spans="2:18" ht="39.75">
      <c r="B736" s="27"/>
      <c r="C736" s="14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</row>
    <row r="737" spans="2:18" ht="58.5">
      <c r="B737" s="31">
        <f t="shared" ref="B737" si="76">B733+1</f>
        <v>184</v>
      </c>
      <c r="C737" s="14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</row>
    <row r="738" spans="2:18">
      <c r="B738" s="35"/>
      <c r="C738" s="14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</row>
    <row r="739" spans="2:18">
      <c r="B739" s="22"/>
      <c r="C739" s="47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</row>
    <row r="740" spans="2:18" ht="39.75">
      <c r="B740" s="27"/>
      <c r="C740" s="14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</row>
    <row r="741" spans="2:18" ht="58.5">
      <c r="B741" s="31">
        <f t="shared" ref="B741" si="77">B737+1</f>
        <v>185</v>
      </c>
      <c r="C741" s="14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</row>
    <row r="742" spans="2:18">
      <c r="B742" s="35"/>
      <c r="C742" s="14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</row>
    <row r="743" spans="2:18">
      <c r="B743" s="22"/>
      <c r="C743" s="47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</row>
    <row r="744" spans="2:18" ht="39.75">
      <c r="B744" s="27"/>
      <c r="C744" s="14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</row>
    <row r="745" spans="2:18" ht="58.5">
      <c r="B745" s="31">
        <f t="shared" ref="B745" si="78">B741+1</f>
        <v>186</v>
      </c>
      <c r="C745" s="14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</row>
    <row r="746" spans="2:18">
      <c r="B746" s="35"/>
      <c r="C746" s="14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</row>
    <row r="747" spans="2:18">
      <c r="B747" s="22"/>
      <c r="C747" s="47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</row>
    <row r="748" spans="2:18" ht="39.75">
      <c r="B748" s="27"/>
      <c r="C748" s="14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</row>
    <row r="749" spans="2:18" ht="58.5">
      <c r="B749" s="31">
        <f t="shared" ref="B749" si="79">B745+1</f>
        <v>187</v>
      </c>
      <c r="C749" s="14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</row>
    <row r="750" spans="2:18">
      <c r="B750" s="35"/>
      <c r="C750" s="14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</row>
    <row r="751" spans="2:18">
      <c r="B751" s="22"/>
      <c r="C751" s="47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</row>
    <row r="752" spans="2:18" ht="39.75">
      <c r="B752" s="27"/>
      <c r="C752" s="14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</row>
    <row r="753" spans="2:18" ht="58.5">
      <c r="B753" s="31">
        <f t="shared" ref="B753" si="80">B749+1</f>
        <v>188</v>
      </c>
      <c r="C753" s="14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</row>
    <row r="754" spans="2:18">
      <c r="B754" s="35"/>
      <c r="C754" s="14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</row>
    <row r="755" spans="2:18">
      <c r="B755" s="22"/>
      <c r="C755" s="47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</row>
    <row r="756" spans="2:18" ht="39.75">
      <c r="B756" s="27"/>
      <c r="C756" s="14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</row>
    <row r="757" spans="2:18" ht="58.5">
      <c r="B757" s="31">
        <f t="shared" ref="B757" si="81">B753+1</f>
        <v>189</v>
      </c>
      <c r="C757" s="14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</row>
    <row r="758" spans="2:18">
      <c r="B758" s="35"/>
      <c r="C758" s="14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</row>
    <row r="759" spans="2:18">
      <c r="B759" s="22"/>
      <c r="C759" s="47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</row>
    <row r="760" spans="2:18" ht="39.75">
      <c r="B760" s="27"/>
      <c r="C760" s="14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</row>
    <row r="761" spans="2:18" ht="58.5">
      <c r="B761" s="31">
        <f t="shared" ref="B761" si="82">B757+1</f>
        <v>190</v>
      </c>
      <c r="C761" s="14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</row>
    <row r="762" spans="2:18">
      <c r="B762" s="35"/>
      <c r="C762" s="14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</row>
    <row r="763" spans="2:18">
      <c r="B763" s="22"/>
      <c r="C763" s="47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</row>
    <row r="764" spans="2:18" ht="39.75">
      <c r="B764" s="27"/>
      <c r="C764" s="14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</row>
    <row r="765" spans="2:18" ht="58.5">
      <c r="B765" s="31">
        <f t="shared" ref="B765" si="83">B761+1</f>
        <v>191</v>
      </c>
      <c r="C765" s="14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</row>
    <row r="766" spans="2:18">
      <c r="B766" s="35"/>
      <c r="C766" s="14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</row>
    <row r="767" spans="2:18">
      <c r="B767" s="22"/>
      <c r="C767" s="47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</row>
    <row r="768" spans="2:18" ht="39.75">
      <c r="B768" s="27"/>
      <c r="C768" s="14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</row>
    <row r="769" spans="2:18" ht="58.5">
      <c r="B769" s="31">
        <f t="shared" ref="B769" si="84">B765+1</f>
        <v>192</v>
      </c>
      <c r="C769" s="14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</row>
    <row r="770" spans="2:18">
      <c r="B770" s="35"/>
      <c r="C770" s="14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</row>
    <row r="771" spans="2:18">
      <c r="B771" s="22"/>
      <c r="C771" s="47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</row>
    <row r="772" spans="2:18" ht="39.75">
      <c r="B772" s="27"/>
      <c r="C772" s="14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</row>
    <row r="773" spans="2:18" ht="58.5">
      <c r="B773" s="31">
        <f t="shared" ref="B773" si="85">B769+1</f>
        <v>193</v>
      </c>
      <c r="C773" s="14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</row>
    <row r="774" spans="2:18">
      <c r="B774" s="35"/>
      <c r="C774" s="14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</row>
    <row r="775" spans="2:18">
      <c r="B775" s="22"/>
      <c r="C775" s="47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</row>
    <row r="776" spans="2:18" ht="39.75">
      <c r="B776" s="27"/>
      <c r="C776" s="14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</row>
    <row r="777" spans="2:18" ht="58.5">
      <c r="B777" s="31">
        <f t="shared" ref="B777" si="86">B773+1</f>
        <v>194</v>
      </c>
      <c r="C777" s="14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</row>
    <row r="778" spans="2:18">
      <c r="B778" s="35"/>
      <c r="C778" s="14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</row>
    <row r="779" spans="2:18">
      <c r="B779" s="22"/>
      <c r="C779" s="47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</row>
    <row r="780" spans="2:18" ht="39.75">
      <c r="B780" s="27"/>
      <c r="C780" s="14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</row>
    <row r="781" spans="2:18" ht="58.5">
      <c r="B781" s="31">
        <f t="shared" ref="B781" si="87">B777+1</f>
        <v>195</v>
      </c>
      <c r="C781" s="14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</row>
    <row r="782" spans="2:18">
      <c r="B782" s="35"/>
      <c r="C782" s="14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</row>
    <row r="783" spans="2:18">
      <c r="B783" s="22"/>
      <c r="C783" s="47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</row>
    <row r="784" spans="2:18" ht="39.75">
      <c r="B784" s="27"/>
      <c r="C784" s="14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</row>
    <row r="785" spans="2:18" ht="58.5">
      <c r="B785" s="31">
        <f t="shared" ref="B785" si="88">B781+1</f>
        <v>196</v>
      </c>
      <c r="C785" s="14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</row>
    <row r="786" spans="2:18">
      <c r="B786" s="35"/>
      <c r="C786" s="14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</row>
    <row r="787" spans="2:18">
      <c r="B787" s="22"/>
      <c r="C787" s="47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</row>
    <row r="788" spans="2:18" ht="39.75">
      <c r="B788" s="27"/>
      <c r="C788" s="14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</row>
    <row r="789" spans="2:18" ht="58.5">
      <c r="B789" s="31">
        <f t="shared" ref="B789" si="89">B785+1</f>
        <v>197</v>
      </c>
      <c r="C789" s="14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</row>
    <row r="790" spans="2:18">
      <c r="B790" s="35"/>
      <c r="C790" s="14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</row>
    <row r="791" spans="2:18">
      <c r="B791" s="22"/>
      <c r="C791" s="47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</row>
    <row r="792" spans="2:18" ht="39.75">
      <c r="B792" s="27"/>
      <c r="C792" s="14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</row>
    <row r="793" spans="2:18" ht="58.5">
      <c r="B793" s="31">
        <f t="shared" ref="B793" si="90">B789+1</f>
        <v>198</v>
      </c>
      <c r="C793" s="14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</row>
    <row r="794" spans="2:18">
      <c r="B794" s="35"/>
      <c r="C794" s="14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</row>
    <row r="795" spans="2:18">
      <c r="B795" s="22"/>
      <c r="C795" s="47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</row>
    <row r="796" spans="2:18" ht="39.75">
      <c r="B796" s="27"/>
      <c r="C796" s="14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</row>
    <row r="797" spans="2:18" ht="58.5">
      <c r="B797" s="31">
        <f t="shared" ref="B797" si="91">B793+1</f>
        <v>199</v>
      </c>
      <c r="C797" s="14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</row>
    <row r="798" spans="2:18">
      <c r="B798" s="35"/>
      <c r="C798" s="14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</row>
    <row r="799" spans="2:18">
      <c r="B799" s="22"/>
      <c r="C799" s="47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</row>
    <row r="800" spans="2:18" ht="39.75">
      <c r="B800" s="27"/>
      <c r="C800" s="14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</row>
    <row r="801" spans="2:18" ht="58.5">
      <c r="B801" s="31">
        <f t="shared" ref="B801" si="92">B797+1</f>
        <v>200</v>
      </c>
      <c r="C801" s="14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</row>
    <row r="802" spans="2:18">
      <c r="B802" s="35"/>
      <c r="C802" s="14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</row>
    <row r="803" spans="2:18">
      <c r="B803" s="22"/>
      <c r="C803" s="47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</row>
    <row r="804" spans="2:18" ht="39.75">
      <c r="B804" s="27"/>
      <c r="C804" s="14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</row>
    <row r="805" spans="2:18" ht="58.5">
      <c r="B805" s="31">
        <f t="shared" ref="B805" si="93">B801+1</f>
        <v>201</v>
      </c>
      <c r="C805" s="14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</row>
    <row r="806" spans="2:18">
      <c r="B806" s="35"/>
      <c r="C806" s="14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</row>
    <row r="807" spans="2:18">
      <c r="B807" s="40"/>
      <c r="C807" s="41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</row>
    <row r="808" spans="2:18" ht="39.75">
      <c r="B808" s="27"/>
      <c r="C808" s="14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</row>
    <row r="809" spans="2:18" ht="58.5">
      <c r="B809" s="31">
        <f>B805+1</f>
        <v>202</v>
      </c>
      <c r="C809" s="14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</row>
    <row r="810" spans="2:18">
      <c r="B810" s="35"/>
      <c r="C810" s="14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</row>
    <row r="811" spans="2:18">
      <c r="B811" s="44"/>
      <c r="C811" s="4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</row>
    <row r="812" spans="2:18" ht="39.75">
      <c r="B812" s="27"/>
      <c r="C812" s="14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</row>
    <row r="813" spans="2:18" ht="58.5">
      <c r="B813" s="31">
        <f>B809+1</f>
        <v>203</v>
      </c>
      <c r="C813" s="14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</row>
    <row r="814" spans="2:18">
      <c r="B814" s="35"/>
      <c r="C814" s="14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</row>
    <row r="815" spans="2:18">
      <c r="B815" s="22"/>
      <c r="C815" s="47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</row>
    <row r="816" spans="2:18" ht="39.75">
      <c r="B816" s="27"/>
      <c r="C816" s="14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</row>
    <row r="817" spans="2:18" ht="58.5">
      <c r="B817" s="31">
        <f>B813+1</f>
        <v>204</v>
      </c>
      <c r="C817" s="14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</row>
    <row r="818" spans="2:18">
      <c r="B818" s="35"/>
      <c r="C818" s="14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</row>
    <row r="819" spans="2:18">
      <c r="B819" s="22"/>
      <c r="C819" s="47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</row>
    <row r="820" spans="2:18" ht="39.75">
      <c r="B820" s="27"/>
      <c r="C820" s="14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</row>
    <row r="821" spans="2:18" ht="58.5">
      <c r="B821" s="31">
        <f>B817+1</f>
        <v>205</v>
      </c>
      <c r="C821" s="14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</row>
    <row r="822" spans="2:18">
      <c r="B822" s="35"/>
      <c r="C822" s="14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</row>
    <row r="823" spans="2:18">
      <c r="B823" s="22"/>
      <c r="C823" s="47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</row>
    <row r="824" spans="2:18" ht="39.75">
      <c r="B824" s="27"/>
      <c r="C824" s="14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</row>
    <row r="825" spans="2:18" ht="58.5">
      <c r="B825" s="31">
        <f>B821+1</f>
        <v>206</v>
      </c>
      <c r="C825" s="14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</row>
    <row r="826" spans="2:18">
      <c r="B826" s="35"/>
      <c r="C826" s="14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</row>
    <row r="827" spans="2:18">
      <c r="B827" s="22"/>
      <c r="C827" s="47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</row>
    <row r="828" spans="2:18" ht="39.75">
      <c r="B828" s="27"/>
      <c r="C828" s="14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</row>
    <row r="829" spans="2:18" ht="58.5">
      <c r="B829" s="31">
        <f>B825+1</f>
        <v>207</v>
      </c>
      <c r="C829" s="14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</row>
    <row r="830" spans="2:18">
      <c r="B830" s="35"/>
      <c r="C830" s="14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</row>
    <row r="831" spans="2:18">
      <c r="B831" s="22"/>
      <c r="C831" s="47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</row>
    <row r="832" spans="2:18" ht="39.75">
      <c r="B832" s="27"/>
      <c r="C832" s="14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</row>
    <row r="833" spans="2:18" ht="58.5">
      <c r="B833" s="31">
        <f>B829+1</f>
        <v>208</v>
      </c>
      <c r="C833" s="14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</row>
    <row r="834" spans="2:18">
      <c r="B834" s="35"/>
      <c r="C834" s="14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</row>
    <row r="835" spans="2:18">
      <c r="B835" s="22"/>
      <c r="C835" s="47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</row>
    <row r="836" spans="2:18" ht="39.75">
      <c r="B836" s="27"/>
      <c r="C836" s="14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</row>
    <row r="837" spans="2:18" ht="58.5">
      <c r="B837" s="31">
        <f>B833+1</f>
        <v>209</v>
      </c>
      <c r="C837" s="14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</row>
    <row r="838" spans="2:18">
      <c r="B838" s="35"/>
      <c r="C838" s="14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</row>
    <row r="839" spans="2:18">
      <c r="B839" s="22"/>
      <c r="C839" s="47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</row>
    <row r="840" spans="2:18" ht="39.75">
      <c r="B840" s="27"/>
      <c r="C840" s="14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</row>
    <row r="841" spans="2:18" ht="58.5">
      <c r="B841" s="31">
        <f>B837+1</f>
        <v>210</v>
      </c>
      <c r="C841" s="14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</row>
    <row r="842" spans="2:18">
      <c r="B842" s="35"/>
      <c r="C842" s="14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</row>
    <row r="843" spans="2:18">
      <c r="B843" s="22"/>
      <c r="C843" s="47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</row>
    <row r="844" spans="2:18" ht="39.75">
      <c r="B844" s="27"/>
      <c r="C844" s="14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</row>
    <row r="845" spans="2:18" ht="58.5">
      <c r="B845" s="31">
        <f>B841+1</f>
        <v>211</v>
      </c>
      <c r="C845" s="14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</row>
    <row r="846" spans="2:18">
      <c r="B846" s="35"/>
      <c r="C846" s="14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</row>
    <row r="847" spans="2:18">
      <c r="B847" s="22"/>
      <c r="C847" s="47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</row>
    <row r="848" spans="2:18" ht="39.75">
      <c r="B848" s="27"/>
      <c r="C848" s="14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</row>
    <row r="849" spans="2:18" ht="58.5">
      <c r="B849" s="31">
        <f>B845+1</f>
        <v>212</v>
      </c>
      <c r="C849" s="14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</row>
    <row r="850" spans="2:18">
      <c r="B850" s="35"/>
      <c r="C850" s="14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</row>
    <row r="851" spans="2:18">
      <c r="B851" s="22"/>
      <c r="C851" s="47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</row>
    <row r="852" spans="2:18" ht="39.75">
      <c r="B852" s="27"/>
      <c r="C852" s="14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</row>
    <row r="853" spans="2:18" ht="58.5">
      <c r="B853" s="31">
        <f>B849+1</f>
        <v>213</v>
      </c>
      <c r="C853" s="14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</row>
    <row r="854" spans="2:18">
      <c r="B854" s="35"/>
      <c r="C854" s="14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</row>
    <row r="855" spans="2:18">
      <c r="B855" s="22"/>
      <c r="C855" s="47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</row>
    <row r="856" spans="2:18" ht="39.75">
      <c r="B856" s="27"/>
      <c r="C856" s="14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</row>
    <row r="857" spans="2:18" ht="58.5">
      <c r="B857" s="31">
        <f>B853+1</f>
        <v>214</v>
      </c>
      <c r="C857" s="14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</row>
    <row r="858" spans="2:18">
      <c r="B858" s="35"/>
      <c r="C858" s="14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</row>
    <row r="859" spans="2:18">
      <c r="B859" s="22"/>
      <c r="C859" s="47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</row>
    <row r="860" spans="2:18" ht="39.75">
      <c r="B860" s="27"/>
      <c r="C860" s="14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</row>
    <row r="861" spans="2:18" ht="58.5">
      <c r="B861" s="31">
        <f>B857+1</f>
        <v>215</v>
      </c>
      <c r="C861" s="14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</row>
    <row r="862" spans="2:18">
      <c r="B862" s="35"/>
      <c r="C862" s="14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</row>
    <row r="863" spans="2:18">
      <c r="B863" s="22"/>
      <c r="C863" s="47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</row>
    <row r="864" spans="2:18" ht="39.75">
      <c r="B864" s="27"/>
      <c r="C864" s="14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</row>
    <row r="865" spans="2:18" ht="58.5">
      <c r="B865" s="31">
        <f>B861+1</f>
        <v>216</v>
      </c>
      <c r="C865" s="14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</row>
    <row r="866" spans="2:18">
      <c r="B866" s="35"/>
      <c r="C866" s="14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</row>
    <row r="867" spans="2:18">
      <c r="B867" s="22"/>
      <c r="C867" s="47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</row>
    <row r="868" spans="2:18" ht="39.75">
      <c r="B868" s="27"/>
      <c r="C868" s="14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</row>
    <row r="869" spans="2:18" ht="58.5">
      <c r="B869" s="31">
        <f>B865+1</f>
        <v>217</v>
      </c>
      <c r="C869" s="14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</row>
    <row r="870" spans="2:18">
      <c r="B870" s="35"/>
      <c r="C870" s="14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</row>
    <row r="871" spans="2:18">
      <c r="B871" s="22"/>
      <c r="C871" s="47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</row>
    <row r="872" spans="2:18" ht="39.75">
      <c r="B872" s="27"/>
      <c r="C872" s="14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</row>
    <row r="873" spans="2:18" ht="58.5">
      <c r="B873" s="31">
        <f>B869+1</f>
        <v>218</v>
      </c>
      <c r="C873" s="14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</row>
    <row r="874" spans="2:18">
      <c r="B874" s="35"/>
      <c r="C874" s="14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</row>
    <row r="875" spans="2:18">
      <c r="B875" s="22"/>
      <c r="C875" s="47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</row>
    <row r="876" spans="2:18" ht="39.75">
      <c r="B876" s="27"/>
      <c r="C876" s="14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</row>
    <row r="877" spans="2:18" ht="58.5">
      <c r="B877" s="31">
        <f>B873+1</f>
        <v>219</v>
      </c>
      <c r="C877" s="14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</row>
    <row r="878" spans="2:18">
      <c r="B878" s="35"/>
      <c r="C878" s="14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</row>
    <row r="879" spans="2:18">
      <c r="B879" s="22"/>
      <c r="C879" s="47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</row>
    <row r="880" spans="2:18" ht="39.75">
      <c r="B880" s="27"/>
      <c r="C880" s="14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</row>
    <row r="881" spans="2:18" ht="58.5">
      <c r="B881" s="31">
        <f>B877+1</f>
        <v>220</v>
      </c>
      <c r="C881" s="14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</row>
    <row r="882" spans="2:18">
      <c r="B882" s="35"/>
      <c r="C882" s="14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</row>
    <row r="883" spans="2:18">
      <c r="B883" s="22"/>
      <c r="C883" s="47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</row>
    <row r="884" spans="2:18" ht="39.75">
      <c r="B884" s="27"/>
      <c r="C884" s="14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</row>
    <row r="885" spans="2:18" ht="58.5">
      <c r="B885" s="31">
        <f>B881+1</f>
        <v>221</v>
      </c>
      <c r="C885" s="14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</row>
    <row r="886" spans="2:18">
      <c r="B886" s="35"/>
      <c r="C886" s="14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</row>
    <row r="887" spans="2:18">
      <c r="B887" s="22"/>
      <c r="C887" s="47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</row>
    <row r="888" spans="2:18" ht="39.75">
      <c r="B888" s="27"/>
      <c r="C888" s="14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</row>
    <row r="889" spans="2:18" ht="58.5">
      <c r="B889" s="31">
        <f>B885+1</f>
        <v>222</v>
      </c>
      <c r="C889" s="14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</row>
    <row r="890" spans="2:18">
      <c r="B890" s="35"/>
      <c r="C890" s="14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</row>
    <row r="891" spans="2:18">
      <c r="B891" s="22"/>
      <c r="C891" s="47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</row>
    <row r="892" spans="2:18" ht="39.75">
      <c r="B892" s="27"/>
      <c r="C892" s="14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</row>
    <row r="893" spans="2:18" ht="58.5">
      <c r="B893" s="31">
        <f>B889+1</f>
        <v>223</v>
      </c>
      <c r="C893" s="14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</row>
    <row r="894" spans="2:18">
      <c r="B894" s="35"/>
      <c r="C894" s="14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</row>
    <row r="895" spans="2:18">
      <c r="B895" s="22"/>
      <c r="C895" s="47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</row>
    <row r="896" spans="2:18" ht="39.75">
      <c r="B896" s="27"/>
      <c r="C896" s="14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</row>
    <row r="897" spans="2:18" ht="58.5">
      <c r="B897" s="31">
        <f>B893+1</f>
        <v>224</v>
      </c>
      <c r="C897" s="14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</row>
    <row r="898" spans="2:18">
      <c r="B898" s="35"/>
      <c r="C898" s="14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</row>
    <row r="899" spans="2:18">
      <c r="B899" s="22"/>
      <c r="C899" s="47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</row>
    <row r="900" spans="2:18" ht="39.75">
      <c r="B900" s="27"/>
      <c r="C900" s="14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</row>
    <row r="901" spans="2:18" ht="58.5">
      <c r="B901" s="31">
        <f>B897+1</f>
        <v>225</v>
      </c>
      <c r="C901" s="14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</row>
    <row r="902" spans="2:18">
      <c r="B902" s="35"/>
      <c r="C902" s="14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</row>
    <row r="903" spans="2:18">
      <c r="B903" s="22"/>
      <c r="C903" s="47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</row>
    <row r="904" spans="2:18" ht="39.75">
      <c r="B904" s="27"/>
      <c r="C904" s="14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</row>
    <row r="905" spans="2:18" ht="58.5">
      <c r="B905" s="31">
        <f>B901+1</f>
        <v>226</v>
      </c>
      <c r="C905" s="14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</row>
    <row r="906" spans="2:18">
      <c r="B906" s="35"/>
      <c r="C906" s="14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</row>
    <row r="907" spans="2:18">
      <c r="B907" s="22"/>
      <c r="C907" s="47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</row>
    <row r="908" spans="2:18" ht="39.75">
      <c r="B908" s="27"/>
      <c r="C908" s="14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</row>
    <row r="909" spans="2:18" ht="58.5">
      <c r="B909" s="31">
        <f>B905+1</f>
        <v>227</v>
      </c>
      <c r="C909" s="14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</row>
    <row r="910" spans="2:18">
      <c r="B910" s="35"/>
      <c r="C910" s="14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</row>
    <row r="911" spans="2:18">
      <c r="B911" s="22"/>
      <c r="C911" s="47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</row>
    <row r="912" spans="2:18" ht="39.75">
      <c r="B912" s="27"/>
      <c r="C912" s="14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</row>
    <row r="913" spans="2:18" ht="58.5">
      <c r="B913" s="31">
        <f t="shared" ref="B913" si="94">B909+1</f>
        <v>228</v>
      </c>
      <c r="C913" s="14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</row>
    <row r="914" spans="2:18">
      <c r="B914" s="35"/>
      <c r="C914" s="14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</row>
    <row r="915" spans="2:18">
      <c r="B915" s="22"/>
      <c r="C915" s="47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</row>
    <row r="916" spans="2:18" ht="39.75">
      <c r="B916" s="27"/>
      <c r="C916" s="14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</row>
    <row r="917" spans="2:18" ht="58.5">
      <c r="B917" s="31">
        <f t="shared" ref="B917" si="95">B913+1</f>
        <v>229</v>
      </c>
      <c r="C917" s="14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</row>
    <row r="918" spans="2:18">
      <c r="B918" s="35"/>
      <c r="C918" s="14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</row>
    <row r="919" spans="2:18">
      <c r="B919" s="22"/>
      <c r="C919" s="47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</row>
    <row r="920" spans="2:18" ht="39.75">
      <c r="B920" s="27"/>
      <c r="C920" s="14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</row>
    <row r="921" spans="2:18" ht="58.5">
      <c r="B921" s="31">
        <f t="shared" ref="B921" si="96">B917+1</f>
        <v>230</v>
      </c>
      <c r="C921" s="14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</row>
    <row r="922" spans="2:18">
      <c r="B922" s="35"/>
      <c r="C922" s="14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</row>
    <row r="923" spans="2:18">
      <c r="B923" s="22"/>
      <c r="C923" s="47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</row>
    <row r="924" spans="2:18" ht="39.75">
      <c r="B924" s="27"/>
      <c r="C924" s="14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</row>
    <row r="925" spans="2:18" ht="58.5">
      <c r="B925" s="31">
        <f t="shared" ref="B925" si="97">B921+1</f>
        <v>231</v>
      </c>
      <c r="C925" s="14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</row>
    <row r="926" spans="2:18">
      <c r="B926" s="35"/>
      <c r="C926" s="14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</row>
    <row r="927" spans="2:18">
      <c r="B927" s="22"/>
      <c r="C927" s="47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</row>
    <row r="928" spans="2:18" ht="39.75">
      <c r="B928" s="27"/>
      <c r="C928" s="14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</row>
    <row r="929" spans="2:18" ht="58.5">
      <c r="B929" s="31">
        <f t="shared" ref="B929" si="98">B925+1</f>
        <v>232</v>
      </c>
      <c r="C929" s="14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</row>
    <row r="930" spans="2:18">
      <c r="B930" s="35"/>
      <c r="C930" s="14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</row>
    <row r="931" spans="2:18">
      <c r="B931" s="22"/>
      <c r="C931" s="47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</row>
    <row r="932" spans="2:18" ht="39.75">
      <c r="B932" s="27"/>
      <c r="C932" s="14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</row>
    <row r="933" spans="2:18" ht="58.5">
      <c r="B933" s="31">
        <f t="shared" ref="B933" si="99">B929+1</f>
        <v>233</v>
      </c>
      <c r="C933" s="14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</row>
    <row r="934" spans="2:18">
      <c r="B934" s="35"/>
      <c r="C934" s="14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</row>
    <row r="935" spans="2:18">
      <c r="B935" s="22"/>
      <c r="C935" s="47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</row>
    <row r="936" spans="2:18" ht="39.75">
      <c r="B936" s="27"/>
      <c r="C936" s="14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</row>
    <row r="937" spans="2:18" ht="58.5">
      <c r="B937" s="31">
        <f t="shared" ref="B937" si="100">B933+1</f>
        <v>234</v>
      </c>
      <c r="C937" s="14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</row>
    <row r="938" spans="2:18">
      <c r="B938" s="35"/>
      <c r="C938" s="14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</row>
    <row r="939" spans="2:18">
      <c r="B939" s="22"/>
      <c r="C939" s="47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</row>
    <row r="940" spans="2:18" ht="39.75">
      <c r="B940" s="27"/>
      <c r="C940" s="14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</row>
    <row r="941" spans="2:18" ht="58.5">
      <c r="B941" s="31">
        <f t="shared" ref="B941" si="101">B937+1</f>
        <v>235</v>
      </c>
      <c r="C941" s="14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</row>
    <row r="942" spans="2:18">
      <c r="B942" s="35"/>
      <c r="C942" s="14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</row>
    <row r="943" spans="2:18">
      <c r="B943" s="22"/>
      <c r="C943" s="47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</row>
    <row r="944" spans="2:18" ht="39.75">
      <c r="B944" s="27"/>
      <c r="C944" s="14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</row>
    <row r="945" spans="2:18" ht="58.5">
      <c r="B945" s="31">
        <f t="shared" ref="B945" si="102">B941+1</f>
        <v>236</v>
      </c>
      <c r="C945" s="14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</row>
    <row r="946" spans="2:18">
      <c r="B946" s="35"/>
      <c r="C946" s="14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</row>
    <row r="947" spans="2:18">
      <c r="B947" s="22"/>
      <c r="C947" s="47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</row>
    <row r="948" spans="2:18" ht="39.75">
      <c r="B948" s="27"/>
      <c r="C948" s="14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</row>
    <row r="949" spans="2:18" ht="58.5">
      <c r="B949" s="31">
        <f t="shared" ref="B949" si="103">B945+1</f>
        <v>237</v>
      </c>
      <c r="C949" s="14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</row>
    <row r="950" spans="2:18">
      <c r="B950" s="35"/>
      <c r="C950" s="14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</row>
    <row r="951" spans="2:18">
      <c r="B951" s="22"/>
      <c r="C951" s="47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</row>
    <row r="952" spans="2:18" ht="39.75">
      <c r="B952" s="27"/>
      <c r="C952" s="14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</row>
    <row r="953" spans="2:18" ht="58.5">
      <c r="B953" s="31">
        <f t="shared" ref="B953" si="104">B949+1</f>
        <v>238</v>
      </c>
      <c r="C953" s="14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</row>
    <row r="954" spans="2:18">
      <c r="B954" s="35"/>
      <c r="C954" s="14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</row>
    <row r="955" spans="2:18">
      <c r="B955" s="22"/>
      <c r="C955" s="47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</row>
    <row r="956" spans="2:18" ht="39.75">
      <c r="B956" s="27"/>
      <c r="C956" s="14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</row>
    <row r="957" spans="2:18" ht="58.5">
      <c r="B957" s="31">
        <f t="shared" ref="B957" si="105">B953+1</f>
        <v>239</v>
      </c>
      <c r="C957" s="14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</row>
    <row r="958" spans="2:18">
      <c r="B958" s="35"/>
      <c r="C958" s="14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</row>
    <row r="959" spans="2:18">
      <c r="B959" s="22"/>
      <c r="C959" s="47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</row>
    <row r="960" spans="2:18" ht="39.75">
      <c r="B960" s="27"/>
      <c r="C960" s="14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</row>
    <row r="961" spans="2:18" ht="58.5">
      <c r="B961" s="31">
        <f t="shared" ref="B961" si="106">B957+1</f>
        <v>240</v>
      </c>
      <c r="C961" s="14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</row>
    <row r="962" spans="2:18">
      <c r="B962" s="35"/>
      <c r="C962" s="14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</row>
    <row r="963" spans="2:18">
      <c r="B963" s="22"/>
      <c r="C963" s="47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</row>
    <row r="964" spans="2:18" ht="39.75">
      <c r="B964" s="27"/>
      <c r="C964" s="14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</row>
    <row r="965" spans="2:18" ht="58.5">
      <c r="B965" s="31">
        <f t="shared" ref="B965" si="107">B961+1</f>
        <v>241</v>
      </c>
      <c r="C965" s="14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</row>
    <row r="966" spans="2:18">
      <c r="B966" s="35"/>
      <c r="C966" s="14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</row>
    <row r="967" spans="2:18">
      <c r="B967" s="22"/>
      <c r="C967" s="47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</row>
    <row r="968" spans="2:18" ht="39.75">
      <c r="B968" s="27"/>
      <c r="C968" s="14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</row>
    <row r="969" spans="2:18" ht="58.5">
      <c r="B969" s="31">
        <f t="shared" ref="B969" si="108">B965+1</f>
        <v>242</v>
      </c>
      <c r="C969" s="14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</row>
    <row r="970" spans="2:18">
      <c r="B970" s="35"/>
      <c r="C970" s="14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</row>
    <row r="971" spans="2:18">
      <c r="B971" s="22"/>
      <c r="C971" s="47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</row>
    <row r="972" spans="2:18" ht="39.75">
      <c r="B972" s="27"/>
      <c r="C972" s="14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</row>
    <row r="973" spans="2:18" ht="58.5">
      <c r="B973" s="31">
        <f t="shared" ref="B973" si="109">B969+1</f>
        <v>243</v>
      </c>
      <c r="C973" s="14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</row>
    <row r="974" spans="2:18">
      <c r="B974" s="35"/>
      <c r="C974" s="14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</row>
    <row r="975" spans="2:18">
      <c r="B975" s="22"/>
      <c r="C975" s="47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</row>
    <row r="976" spans="2:18" ht="39.75">
      <c r="B976" s="27"/>
      <c r="C976" s="14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</row>
    <row r="977" spans="2:18" ht="58.5">
      <c r="B977" s="31">
        <f t="shared" ref="B977" si="110">B973+1</f>
        <v>244</v>
      </c>
      <c r="C977" s="14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</row>
    <row r="978" spans="2:18">
      <c r="B978" s="35"/>
      <c r="C978" s="14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</row>
    <row r="979" spans="2:18">
      <c r="B979" s="22"/>
      <c r="C979" s="47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</row>
    <row r="980" spans="2:18" ht="39.75">
      <c r="B980" s="27"/>
      <c r="C980" s="14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</row>
    <row r="981" spans="2:18" ht="58.5">
      <c r="B981" s="31">
        <f t="shared" ref="B981" si="111">B977+1</f>
        <v>245</v>
      </c>
      <c r="C981" s="14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</row>
    <row r="982" spans="2:18">
      <c r="B982" s="35"/>
      <c r="C982" s="14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</row>
    <row r="983" spans="2:18">
      <c r="B983" s="22"/>
      <c r="C983" s="47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</row>
    <row r="984" spans="2:18" ht="39.75">
      <c r="B984" s="27"/>
      <c r="C984" s="14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</row>
    <row r="985" spans="2:18" ht="58.5">
      <c r="B985" s="31">
        <f t="shared" ref="B985" si="112">B981+1</f>
        <v>246</v>
      </c>
      <c r="C985" s="14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</row>
    <row r="986" spans="2:18">
      <c r="B986" s="35"/>
      <c r="C986" s="14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</row>
    <row r="987" spans="2:18">
      <c r="B987" s="22"/>
      <c r="C987" s="47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</row>
    <row r="988" spans="2:18" ht="39.75">
      <c r="B988" s="27"/>
      <c r="C988" s="14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</row>
    <row r="989" spans="2:18" ht="58.5">
      <c r="B989" s="31">
        <f t="shared" ref="B989" si="113">B985+1</f>
        <v>247</v>
      </c>
      <c r="C989" s="14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</row>
    <row r="990" spans="2:18">
      <c r="B990" s="35"/>
      <c r="C990" s="14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</row>
    <row r="991" spans="2:18">
      <c r="B991" s="22"/>
      <c r="C991" s="47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</row>
    <row r="992" spans="2:18" ht="39.75">
      <c r="B992" s="27"/>
      <c r="C992" s="14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</row>
    <row r="993" spans="2:18" ht="58.5">
      <c r="B993" s="31">
        <f t="shared" ref="B993" si="114">B989+1</f>
        <v>248</v>
      </c>
      <c r="C993" s="14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</row>
    <row r="994" spans="2:18">
      <c r="B994" s="35"/>
      <c r="C994" s="14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</row>
    <row r="995" spans="2:18">
      <c r="B995" s="22"/>
      <c r="C995" s="47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</row>
    <row r="996" spans="2:18" ht="39.75">
      <c r="B996" s="27"/>
      <c r="C996" s="14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</row>
    <row r="997" spans="2:18" ht="58.5">
      <c r="B997" s="31">
        <f t="shared" ref="B997" si="115">B993+1</f>
        <v>249</v>
      </c>
      <c r="C997" s="14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</row>
    <row r="998" spans="2:18">
      <c r="B998" s="35"/>
      <c r="C998" s="14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</row>
    <row r="999" spans="2:18">
      <c r="B999" s="22"/>
      <c r="C999" s="47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</row>
    <row r="1000" spans="2:18" ht="39.75">
      <c r="B1000" s="27"/>
      <c r="C1000" s="14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</row>
    <row r="1001" spans="2:18" ht="58.5">
      <c r="B1001" s="31">
        <f t="shared" ref="B1001" si="116">B997+1</f>
        <v>250</v>
      </c>
      <c r="C1001" s="14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</row>
    <row r="1002" spans="2:18">
      <c r="B1002" s="35"/>
      <c r="C1002" s="14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</row>
    <row r="1003" spans="2:18">
      <c r="B1003" s="22"/>
      <c r="C1003" s="47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</row>
    <row r="1004" spans="2:18" ht="39.75">
      <c r="B1004" s="27"/>
      <c r="C1004" s="14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</row>
    <row r="1005" spans="2:18" ht="58.5">
      <c r="B1005" s="31">
        <f>B1001+1</f>
        <v>251</v>
      </c>
      <c r="C1005" s="14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</row>
    <row r="1006" spans="2:18">
      <c r="B1006" s="35"/>
      <c r="C1006" s="14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</row>
    <row r="1007" spans="2:18">
      <c r="B1007" s="40"/>
      <c r="C1007" s="41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</row>
    <row r="1008" spans="2:18" ht="39.75">
      <c r="B1008" s="27"/>
      <c r="C1008" s="14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</row>
    <row r="1009" spans="2:18" ht="58.5">
      <c r="B1009" s="31">
        <f>B1005+1</f>
        <v>252</v>
      </c>
      <c r="C1009" s="14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</row>
    <row r="1010" spans="2:18">
      <c r="B1010" s="35"/>
      <c r="C1010" s="14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</row>
    <row r="1011" spans="2:18">
      <c r="B1011" s="44"/>
      <c r="C1011" s="45"/>
      <c r="D1011" s="25"/>
      <c r="E1011" s="25"/>
      <c r="F1011" s="25"/>
      <c r="G1011" s="25"/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</row>
    <row r="1012" spans="2:18" ht="39.75">
      <c r="B1012" s="27"/>
      <c r="C1012" s="14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</row>
    <row r="1013" spans="2:18" ht="58.5">
      <c r="B1013" s="31">
        <f>B1009+1</f>
        <v>253</v>
      </c>
      <c r="C1013" s="14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</row>
    <row r="1014" spans="2:18">
      <c r="B1014" s="35"/>
      <c r="C1014" s="14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</row>
    <row r="1015" spans="2:18">
      <c r="B1015" s="22"/>
      <c r="C1015" s="47"/>
      <c r="D1015" s="25"/>
      <c r="E1015" s="25"/>
      <c r="F1015" s="25"/>
      <c r="G1015" s="25"/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</row>
    <row r="1016" spans="2:18" ht="39.75">
      <c r="B1016" s="27"/>
      <c r="C1016" s="14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</row>
    <row r="1017" spans="2:18" ht="58.5">
      <c r="B1017" s="31">
        <f>B1013+1</f>
        <v>254</v>
      </c>
      <c r="C1017" s="14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</row>
    <row r="1018" spans="2:18">
      <c r="B1018" s="35"/>
      <c r="C1018" s="14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</row>
    <row r="1019" spans="2:18">
      <c r="B1019" s="22"/>
      <c r="C1019" s="47"/>
      <c r="D1019" s="25"/>
      <c r="E1019" s="25"/>
      <c r="F1019" s="25"/>
      <c r="G1019" s="25"/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</row>
    <row r="1020" spans="2:18" ht="39.75">
      <c r="B1020" s="27"/>
      <c r="C1020" s="14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</row>
    <row r="1021" spans="2:18" ht="58.5">
      <c r="B1021" s="31">
        <f>B1017+1</f>
        <v>255</v>
      </c>
      <c r="C1021" s="14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</row>
    <row r="1022" spans="2:18">
      <c r="B1022" s="35"/>
      <c r="C1022" s="14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</row>
    <row r="1023" spans="2:18">
      <c r="B1023" s="22"/>
      <c r="C1023" s="47"/>
      <c r="D1023" s="25"/>
      <c r="E1023" s="25"/>
      <c r="F1023" s="25"/>
      <c r="G1023" s="25"/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</row>
    <row r="1024" spans="2:18" ht="39.75">
      <c r="B1024" s="27"/>
      <c r="C1024" s="14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</row>
    <row r="1025" spans="2:18" ht="58.5">
      <c r="B1025" s="31">
        <f>B1021+1</f>
        <v>256</v>
      </c>
      <c r="C1025" s="14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</row>
    <row r="1026" spans="2:18">
      <c r="B1026" s="35"/>
      <c r="C1026" s="14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</row>
    <row r="1027" spans="2:18">
      <c r="B1027" s="22"/>
      <c r="C1027" s="47"/>
      <c r="D1027" s="25"/>
      <c r="E1027" s="25"/>
      <c r="F1027" s="25"/>
      <c r="G1027" s="25"/>
      <c r="H1027" s="25"/>
      <c r="I1027" s="25"/>
      <c r="J1027" s="25"/>
      <c r="K1027" s="25"/>
      <c r="L1027" s="25"/>
      <c r="M1027" s="25"/>
      <c r="N1027" s="25"/>
      <c r="O1027" s="25"/>
      <c r="P1027" s="25"/>
      <c r="Q1027" s="25"/>
      <c r="R1027" s="25"/>
    </row>
    <row r="1028" spans="2:18" ht="39.75">
      <c r="B1028" s="27"/>
      <c r="C1028" s="14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</row>
    <row r="1029" spans="2:18" ht="58.5">
      <c r="B1029" s="31">
        <f>B1025+1</f>
        <v>257</v>
      </c>
      <c r="C1029" s="14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</row>
    <row r="1030" spans="2:18">
      <c r="B1030" s="35"/>
      <c r="C1030" s="14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</row>
    <row r="1031" spans="2:18">
      <c r="B1031" s="22"/>
      <c r="C1031" s="47"/>
      <c r="D1031" s="25"/>
      <c r="E1031" s="25"/>
      <c r="F1031" s="25"/>
      <c r="G1031" s="25"/>
      <c r="H1031" s="25"/>
      <c r="I1031" s="25"/>
      <c r="J1031" s="25"/>
      <c r="K1031" s="25"/>
      <c r="L1031" s="25"/>
      <c r="M1031" s="25"/>
      <c r="N1031" s="25"/>
      <c r="O1031" s="25"/>
      <c r="P1031" s="25"/>
      <c r="Q1031" s="25"/>
      <c r="R1031" s="25"/>
    </row>
    <row r="1032" spans="2:18" ht="39.75">
      <c r="B1032" s="27"/>
      <c r="C1032" s="14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</row>
    <row r="1033" spans="2:18" ht="58.5">
      <c r="B1033" s="31">
        <f>B1029+1</f>
        <v>258</v>
      </c>
      <c r="C1033" s="14"/>
      <c r="D1033" s="32"/>
      <c r="E1033" s="32"/>
      <c r="F1033" s="32"/>
      <c r="G1033" s="32"/>
      <c r="H1033" s="32"/>
      <c r="I1033" s="32"/>
      <c r="J1033" s="32"/>
      <c r="K1033" s="32"/>
      <c r="L1033" s="32"/>
      <c r="M1033" s="32"/>
      <c r="N1033" s="32"/>
      <c r="O1033" s="32"/>
      <c r="P1033" s="32"/>
      <c r="Q1033" s="32"/>
      <c r="R1033" s="32"/>
    </row>
    <row r="1034" spans="2:18">
      <c r="B1034" s="35"/>
      <c r="C1034" s="14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</row>
    <row r="1035" spans="2:18">
      <c r="B1035" s="22"/>
      <c r="C1035" s="47"/>
      <c r="D1035" s="25"/>
      <c r="E1035" s="25"/>
      <c r="F1035" s="25"/>
      <c r="G1035" s="25"/>
      <c r="H1035" s="25"/>
      <c r="I1035" s="25"/>
      <c r="J1035" s="25"/>
      <c r="K1035" s="25"/>
      <c r="L1035" s="25"/>
      <c r="M1035" s="25"/>
      <c r="N1035" s="25"/>
      <c r="O1035" s="25"/>
      <c r="P1035" s="25"/>
      <c r="Q1035" s="25"/>
      <c r="R1035" s="25"/>
    </row>
    <row r="1036" spans="2:18" ht="39.75">
      <c r="B1036" s="27"/>
      <c r="C1036" s="14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</row>
    <row r="1037" spans="2:18" ht="58.5">
      <c r="B1037" s="31">
        <f>B1033+1</f>
        <v>259</v>
      </c>
      <c r="C1037" s="14"/>
      <c r="D1037" s="32"/>
      <c r="E1037" s="32"/>
      <c r="F1037" s="32"/>
      <c r="G1037" s="32"/>
      <c r="H1037" s="32"/>
      <c r="I1037" s="32"/>
      <c r="J1037" s="32"/>
      <c r="K1037" s="32"/>
      <c r="L1037" s="32"/>
      <c r="M1037" s="32"/>
      <c r="N1037" s="32"/>
      <c r="O1037" s="32"/>
      <c r="P1037" s="32"/>
      <c r="Q1037" s="32"/>
      <c r="R1037" s="32"/>
    </row>
    <row r="1038" spans="2:18">
      <c r="B1038" s="35"/>
      <c r="C1038" s="14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</row>
    <row r="1039" spans="2:18">
      <c r="B1039" s="22"/>
      <c r="C1039" s="47"/>
      <c r="D1039" s="25"/>
      <c r="E1039" s="25"/>
      <c r="F1039" s="25"/>
      <c r="G1039" s="25"/>
      <c r="H1039" s="25"/>
      <c r="I1039" s="25"/>
      <c r="J1039" s="25"/>
      <c r="K1039" s="25"/>
      <c r="L1039" s="25"/>
      <c r="M1039" s="25"/>
      <c r="N1039" s="25"/>
      <c r="O1039" s="25"/>
      <c r="P1039" s="25"/>
      <c r="Q1039" s="25"/>
      <c r="R1039" s="25"/>
    </row>
    <row r="1040" spans="2:18" ht="39.75">
      <c r="B1040" s="27"/>
      <c r="C1040" s="14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</row>
    <row r="1041" spans="2:18" ht="58.5">
      <c r="B1041" s="31">
        <f>B1037+1</f>
        <v>260</v>
      </c>
      <c r="C1041" s="14"/>
      <c r="D1041" s="32"/>
      <c r="E1041" s="32"/>
      <c r="F1041" s="32"/>
      <c r="G1041" s="32"/>
      <c r="H1041" s="32"/>
      <c r="I1041" s="32"/>
      <c r="J1041" s="32"/>
      <c r="K1041" s="32"/>
      <c r="L1041" s="32"/>
      <c r="M1041" s="32"/>
      <c r="N1041" s="32"/>
      <c r="O1041" s="32"/>
      <c r="P1041" s="32"/>
      <c r="Q1041" s="32"/>
      <c r="R1041" s="32"/>
    </row>
    <row r="1042" spans="2:18">
      <c r="B1042" s="35"/>
      <c r="C1042" s="14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</row>
    <row r="1043" spans="2:18">
      <c r="B1043" s="22"/>
      <c r="C1043" s="47"/>
      <c r="D1043" s="25"/>
      <c r="E1043" s="25"/>
      <c r="F1043" s="25"/>
      <c r="G1043" s="25"/>
      <c r="H1043" s="25"/>
      <c r="I1043" s="25"/>
      <c r="J1043" s="25"/>
      <c r="K1043" s="25"/>
      <c r="L1043" s="25"/>
      <c r="M1043" s="25"/>
      <c r="N1043" s="25"/>
      <c r="O1043" s="25"/>
      <c r="P1043" s="25"/>
      <c r="Q1043" s="25"/>
      <c r="R1043" s="25"/>
    </row>
    <row r="1044" spans="2:18" ht="39.75">
      <c r="B1044" s="27"/>
      <c r="C1044" s="14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</row>
    <row r="1045" spans="2:18" ht="58.5">
      <c r="B1045" s="31">
        <f>B1041+1</f>
        <v>261</v>
      </c>
      <c r="C1045" s="14"/>
      <c r="D1045" s="32"/>
      <c r="E1045" s="32"/>
      <c r="F1045" s="32"/>
      <c r="G1045" s="32"/>
      <c r="H1045" s="32"/>
      <c r="I1045" s="32"/>
      <c r="J1045" s="32"/>
      <c r="K1045" s="32"/>
      <c r="L1045" s="32"/>
      <c r="M1045" s="32"/>
      <c r="N1045" s="32"/>
      <c r="O1045" s="32"/>
      <c r="P1045" s="32"/>
      <c r="Q1045" s="32"/>
      <c r="R1045" s="32"/>
    </row>
    <row r="1046" spans="2:18">
      <c r="B1046" s="35"/>
      <c r="C1046" s="14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</row>
    <row r="1047" spans="2:18">
      <c r="B1047" s="22"/>
      <c r="C1047" s="47"/>
      <c r="D1047" s="25"/>
      <c r="E1047" s="25"/>
      <c r="F1047" s="25"/>
      <c r="G1047" s="25"/>
      <c r="H1047" s="25"/>
      <c r="I1047" s="25"/>
      <c r="J1047" s="25"/>
      <c r="K1047" s="25"/>
      <c r="L1047" s="25"/>
      <c r="M1047" s="25"/>
      <c r="N1047" s="25"/>
      <c r="O1047" s="25"/>
      <c r="P1047" s="25"/>
      <c r="Q1047" s="25"/>
      <c r="R1047" s="25"/>
    </row>
    <row r="1048" spans="2:18" ht="39.75">
      <c r="B1048" s="27"/>
      <c r="C1048" s="14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</row>
    <row r="1049" spans="2:18" ht="58.5">
      <c r="B1049" s="31">
        <f>B1045+1</f>
        <v>262</v>
      </c>
      <c r="C1049" s="14"/>
      <c r="D1049" s="32"/>
      <c r="E1049" s="32"/>
      <c r="F1049" s="32"/>
      <c r="G1049" s="32"/>
      <c r="H1049" s="32"/>
      <c r="I1049" s="32"/>
      <c r="J1049" s="32"/>
      <c r="K1049" s="32"/>
      <c r="L1049" s="32"/>
      <c r="M1049" s="32"/>
      <c r="N1049" s="32"/>
      <c r="O1049" s="32"/>
      <c r="P1049" s="32"/>
      <c r="Q1049" s="32"/>
      <c r="R1049" s="32"/>
    </row>
    <row r="1050" spans="2:18">
      <c r="B1050" s="35"/>
      <c r="C1050" s="14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</row>
    <row r="1051" spans="2:18">
      <c r="B1051" s="22"/>
      <c r="C1051" s="47"/>
      <c r="D1051" s="25"/>
      <c r="E1051" s="25"/>
      <c r="F1051" s="25"/>
      <c r="G1051" s="25"/>
      <c r="H1051" s="25"/>
      <c r="I1051" s="25"/>
      <c r="J1051" s="25"/>
      <c r="K1051" s="25"/>
      <c r="L1051" s="25"/>
      <c r="M1051" s="25"/>
      <c r="N1051" s="25"/>
      <c r="O1051" s="25"/>
      <c r="P1051" s="25"/>
      <c r="Q1051" s="25"/>
      <c r="R1051" s="25"/>
    </row>
    <row r="1052" spans="2:18" ht="39.75">
      <c r="B1052" s="27"/>
      <c r="C1052" s="14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</row>
    <row r="1053" spans="2:18" ht="58.5">
      <c r="B1053" s="31">
        <f>B1049+1</f>
        <v>263</v>
      </c>
      <c r="C1053" s="14"/>
      <c r="D1053" s="32"/>
      <c r="E1053" s="32"/>
      <c r="F1053" s="32"/>
      <c r="G1053" s="32"/>
      <c r="H1053" s="32"/>
      <c r="I1053" s="32"/>
      <c r="J1053" s="32"/>
      <c r="K1053" s="32"/>
      <c r="L1053" s="32"/>
      <c r="M1053" s="32"/>
      <c r="N1053" s="32"/>
      <c r="O1053" s="32"/>
      <c r="P1053" s="32"/>
      <c r="Q1053" s="32"/>
      <c r="R1053" s="32"/>
    </row>
    <row r="1054" spans="2:18">
      <c r="B1054" s="35"/>
      <c r="C1054" s="14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</row>
    <row r="1055" spans="2:18">
      <c r="B1055" s="22"/>
      <c r="C1055" s="47"/>
      <c r="D1055" s="25"/>
      <c r="E1055" s="25"/>
      <c r="F1055" s="25"/>
      <c r="G1055" s="25"/>
      <c r="H1055" s="25"/>
      <c r="I1055" s="25"/>
      <c r="J1055" s="25"/>
      <c r="K1055" s="25"/>
      <c r="L1055" s="25"/>
      <c r="M1055" s="25"/>
      <c r="N1055" s="25"/>
      <c r="O1055" s="25"/>
      <c r="P1055" s="25"/>
      <c r="Q1055" s="25"/>
      <c r="R1055" s="25"/>
    </row>
    <row r="1056" spans="2:18" ht="39.75">
      <c r="B1056" s="27"/>
      <c r="C1056" s="14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</row>
    <row r="1057" spans="2:18" ht="58.5">
      <c r="B1057" s="31">
        <f>B1053+1</f>
        <v>264</v>
      </c>
      <c r="C1057" s="14"/>
      <c r="D1057" s="32"/>
      <c r="E1057" s="32"/>
      <c r="F1057" s="32"/>
      <c r="G1057" s="32"/>
      <c r="H1057" s="32"/>
      <c r="I1057" s="32"/>
      <c r="J1057" s="32"/>
      <c r="K1057" s="32"/>
      <c r="L1057" s="32"/>
      <c r="M1057" s="32"/>
      <c r="N1057" s="32"/>
      <c r="O1057" s="32"/>
      <c r="P1057" s="32"/>
      <c r="Q1057" s="32"/>
      <c r="R1057" s="32"/>
    </row>
    <row r="1058" spans="2:18">
      <c r="B1058" s="35"/>
      <c r="C1058" s="14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</row>
    <row r="1059" spans="2:18">
      <c r="B1059" s="22"/>
      <c r="C1059" s="47"/>
      <c r="D1059" s="25"/>
      <c r="E1059" s="25"/>
      <c r="F1059" s="25"/>
      <c r="G1059" s="25"/>
      <c r="H1059" s="25"/>
      <c r="I1059" s="25"/>
      <c r="J1059" s="25"/>
      <c r="K1059" s="25"/>
      <c r="L1059" s="25"/>
      <c r="M1059" s="25"/>
      <c r="N1059" s="25"/>
      <c r="O1059" s="25"/>
      <c r="P1059" s="25"/>
      <c r="Q1059" s="25"/>
      <c r="R1059" s="25"/>
    </row>
    <row r="1060" spans="2:18" ht="39.75">
      <c r="B1060" s="27"/>
      <c r="C1060" s="14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</row>
    <row r="1061" spans="2:18" ht="58.5">
      <c r="B1061" s="31">
        <f>B1057+1</f>
        <v>265</v>
      </c>
      <c r="C1061" s="14"/>
      <c r="D1061" s="32"/>
      <c r="E1061" s="32"/>
      <c r="F1061" s="32"/>
      <c r="G1061" s="32"/>
      <c r="H1061" s="32"/>
      <c r="I1061" s="32"/>
      <c r="J1061" s="32"/>
      <c r="K1061" s="32"/>
      <c r="L1061" s="32"/>
      <c r="M1061" s="32"/>
      <c r="N1061" s="32"/>
      <c r="O1061" s="32"/>
      <c r="P1061" s="32"/>
      <c r="Q1061" s="32"/>
      <c r="R1061" s="32"/>
    </row>
    <row r="1062" spans="2:18">
      <c r="B1062" s="35"/>
      <c r="C1062" s="14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</row>
    <row r="1063" spans="2:18">
      <c r="B1063" s="22"/>
      <c r="C1063" s="47"/>
      <c r="D1063" s="25"/>
      <c r="E1063" s="25"/>
      <c r="F1063" s="25"/>
      <c r="G1063" s="25"/>
      <c r="H1063" s="25"/>
      <c r="I1063" s="25"/>
      <c r="J1063" s="25"/>
      <c r="K1063" s="25"/>
      <c r="L1063" s="25"/>
      <c r="M1063" s="25"/>
      <c r="N1063" s="25"/>
      <c r="O1063" s="25"/>
      <c r="P1063" s="25"/>
      <c r="Q1063" s="25"/>
      <c r="R1063" s="25"/>
    </row>
    <row r="1064" spans="2:18" ht="39.75">
      <c r="B1064" s="27"/>
      <c r="C1064" s="14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</row>
    <row r="1065" spans="2:18" ht="58.5">
      <c r="B1065" s="31">
        <f>B1061+1</f>
        <v>266</v>
      </c>
      <c r="C1065" s="14"/>
      <c r="D1065" s="32"/>
      <c r="E1065" s="32"/>
      <c r="F1065" s="32"/>
      <c r="G1065" s="32"/>
      <c r="H1065" s="32"/>
      <c r="I1065" s="32"/>
      <c r="J1065" s="32"/>
      <c r="K1065" s="32"/>
      <c r="L1065" s="32"/>
      <c r="M1065" s="32"/>
      <c r="N1065" s="32"/>
      <c r="O1065" s="32"/>
      <c r="P1065" s="32"/>
      <c r="Q1065" s="32"/>
      <c r="R1065" s="32"/>
    </row>
    <row r="1066" spans="2:18">
      <c r="B1066" s="35"/>
      <c r="C1066" s="14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</row>
    <row r="1067" spans="2:18">
      <c r="B1067" s="22"/>
      <c r="C1067" s="47"/>
      <c r="D1067" s="25"/>
      <c r="E1067" s="25"/>
      <c r="F1067" s="25"/>
      <c r="G1067" s="25"/>
      <c r="H1067" s="25"/>
      <c r="I1067" s="25"/>
      <c r="J1067" s="25"/>
      <c r="K1067" s="25"/>
      <c r="L1067" s="25"/>
      <c r="M1067" s="25"/>
      <c r="N1067" s="25"/>
      <c r="O1067" s="25"/>
      <c r="P1067" s="25"/>
      <c r="Q1067" s="25"/>
      <c r="R1067" s="25"/>
    </row>
    <row r="1068" spans="2:18" ht="39.75">
      <c r="B1068" s="27"/>
      <c r="C1068" s="14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</row>
    <row r="1069" spans="2:18" ht="58.5">
      <c r="B1069" s="31">
        <f>B1065+1</f>
        <v>267</v>
      </c>
      <c r="C1069" s="14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</row>
    <row r="1070" spans="2:18">
      <c r="B1070" s="35"/>
      <c r="C1070" s="14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</row>
    <row r="1071" spans="2:18">
      <c r="B1071" s="22"/>
      <c r="C1071" s="47"/>
      <c r="D1071" s="25"/>
      <c r="E1071" s="25"/>
      <c r="F1071" s="25"/>
      <c r="G1071" s="25"/>
      <c r="H1071" s="25"/>
      <c r="I1071" s="25"/>
      <c r="J1071" s="25"/>
      <c r="K1071" s="25"/>
      <c r="L1071" s="25"/>
      <c r="M1071" s="25"/>
      <c r="N1071" s="25"/>
      <c r="O1071" s="25"/>
      <c r="P1071" s="25"/>
      <c r="Q1071" s="25"/>
      <c r="R1071" s="25"/>
    </row>
    <row r="1072" spans="2:18" ht="39.75">
      <c r="B1072" s="27"/>
      <c r="C1072" s="14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</row>
    <row r="1073" spans="2:18" ht="58.5">
      <c r="B1073" s="31">
        <f>B1069+1</f>
        <v>268</v>
      </c>
      <c r="C1073" s="14"/>
      <c r="D1073" s="32"/>
      <c r="E1073" s="32"/>
      <c r="F1073" s="32"/>
      <c r="G1073" s="32"/>
      <c r="H1073" s="32"/>
      <c r="I1073" s="32"/>
      <c r="J1073" s="32"/>
      <c r="K1073" s="32"/>
      <c r="L1073" s="32"/>
      <c r="M1073" s="32"/>
      <c r="N1073" s="32"/>
      <c r="O1073" s="32"/>
      <c r="P1073" s="32"/>
      <c r="Q1073" s="32"/>
      <c r="R1073" s="32"/>
    </row>
    <row r="1074" spans="2:18">
      <c r="B1074" s="35"/>
      <c r="C1074" s="14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</row>
    <row r="1075" spans="2:18">
      <c r="B1075" s="22"/>
      <c r="C1075" s="47"/>
      <c r="D1075" s="25"/>
      <c r="E1075" s="25"/>
      <c r="F1075" s="25"/>
      <c r="G1075" s="25"/>
      <c r="H1075" s="25"/>
      <c r="I1075" s="25"/>
      <c r="J1075" s="25"/>
      <c r="K1075" s="25"/>
      <c r="L1075" s="25"/>
      <c r="M1075" s="25"/>
      <c r="N1075" s="25"/>
      <c r="O1075" s="25"/>
      <c r="P1075" s="25"/>
      <c r="Q1075" s="25"/>
      <c r="R1075" s="25"/>
    </row>
    <row r="1076" spans="2:18" ht="39.75">
      <c r="B1076" s="27"/>
      <c r="C1076" s="14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</row>
    <row r="1077" spans="2:18" ht="58.5">
      <c r="B1077" s="31">
        <f>B1073+1</f>
        <v>269</v>
      </c>
      <c r="C1077" s="14"/>
      <c r="D1077" s="32"/>
      <c r="E1077" s="32"/>
      <c r="F1077" s="32"/>
      <c r="G1077" s="32"/>
      <c r="H1077" s="32"/>
      <c r="I1077" s="32"/>
      <c r="J1077" s="32"/>
      <c r="K1077" s="32"/>
      <c r="L1077" s="32"/>
      <c r="M1077" s="32"/>
      <c r="N1077" s="32"/>
      <c r="O1077" s="32"/>
      <c r="P1077" s="32"/>
      <c r="Q1077" s="32"/>
      <c r="R1077" s="32"/>
    </row>
    <row r="1078" spans="2:18">
      <c r="B1078" s="35"/>
      <c r="C1078" s="14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</row>
    <row r="1079" spans="2:18">
      <c r="B1079" s="22"/>
      <c r="C1079" s="47"/>
      <c r="D1079" s="25"/>
      <c r="E1079" s="25"/>
      <c r="F1079" s="25"/>
      <c r="G1079" s="25"/>
      <c r="H1079" s="25"/>
      <c r="I1079" s="25"/>
      <c r="J1079" s="25"/>
      <c r="K1079" s="25"/>
      <c r="L1079" s="25"/>
      <c r="M1079" s="25"/>
      <c r="N1079" s="25"/>
      <c r="O1079" s="25"/>
      <c r="P1079" s="25"/>
      <c r="Q1079" s="25"/>
      <c r="R1079" s="25"/>
    </row>
    <row r="1080" spans="2:18" ht="39.75">
      <c r="B1080" s="27"/>
      <c r="C1080" s="14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</row>
    <row r="1081" spans="2:18" ht="58.5">
      <c r="B1081" s="31">
        <f>B1077+1</f>
        <v>270</v>
      </c>
      <c r="C1081" s="14"/>
      <c r="D1081" s="32"/>
      <c r="E1081" s="32"/>
      <c r="F1081" s="32"/>
      <c r="G1081" s="32"/>
      <c r="H1081" s="32"/>
      <c r="I1081" s="32"/>
      <c r="J1081" s="32"/>
      <c r="K1081" s="32"/>
      <c r="L1081" s="32"/>
      <c r="M1081" s="32"/>
      <c r="N1081" s="32"/>
      <c r="O1081" s="32"/>
      <c r="P1081" s="32"/>
      <c r="Q1081" s="32"/>
      <c r="R1081" s="32"/>
    </row>
    <row r="1082" spans="2:18">
      <c r="B1082" s="35"/>
      <c r="C1082" s="14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</row>
    <row r="1083" spans="2:18">
      <c r="B1083" s="22"/>
      <c r="C1083" s="47"/>
      <c r="D1083" s="25"/>
      <c r="E1083" s="25"/>
      <c r="F1083" s="25"/>
      <c r="G1083" s="25"/>
      <c r="H1083" s="25"/>
      <c r="I1083" s="25"/>
      <c r="J1083" s="25"/>
      <c r="K1083" s="25"/>
      <c r="L1083" s="25"/>
      <c r="M1083" s="25"/>
      <c r="N1083" s="25"/>
      <c r="O1083" s="25"/>
      <c r="P1083" s="25"/>
      <c r="Q1083" s="25"/>
      <c r="R1083" s="25"/>
    </row>
    <row r="1084" spans="2:18" ht="39.75">
      <c r="B1084" s="27"/>
      <c r="C1084" s="14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</row>
    <row r="1085" spans="2:18" ht="58.5">
      <c r="B1085" s="31">
        <f>B1081+1</f>
        <v>271</v>
      </c>
      <c r="C1085" s="14"/>
      <c r="D1085" s="32"/>
      <c r="E1085" s="32"/>
      <c r="F1085" s="32"/>
      <c r="G1085" s="32"/>
      <c r="H1085" s="32"/>
      <c r="I1085" s="32"/>
      <c r="J1085" s="32"/>
      <c r="K1085" s="32"/>
      <c r="L1085" s="32"/>
      <c r="M1085" s="32"/>
      <c r="N1085" s="32"/>
      <c r="O1085" s="32"/>
      <c r="P1085" s="32"/>
      <c r="Q1085" s="32"/>
      <c r="R1085" s="32"/>
    </row>
    <row r="1086" spans="2:18">
      <c r="B1086" s="35"/>
      <c r="C1086" s="14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</row>
    <row r="1087" spans="2:18">
      <c r="B1087" s="22"/>
      <c r="C1087" s="47"/>
      <c r="D1087" s="25"/>
      <c r="E1087" s="25"/>
      <c r="F1087" s="25"/>
      <c r="G1087" s="25"/>
      <c r="H1087" s="25"/>
      <c r="I1087" s="25"/>
      <c r="J1087" s="25"/>
      <c r="K1087" s="25"/>
      <c r="L1087" s="25"/>
      <c r="M1087" s="25"/>
      <c r="N1087" s="25"/>
      <c r="O1087" s="25"/>
      <c r="P1087" s="25"/>
      <c r="Q1087" s="25"/>
      <c r="R1087" s="25"/>
    </row>
    <row r="1088" spans="2:18" ht="39.75">
      <c r="B1088" s="27"/>
      <c r="C1088" s="14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</row>
    <row r="1089" spans="2:18" ht="58.5">
      <c r="B1089" s="31">
        <f>B1085+1</f>
        <v>272</v>
      </c>
      <c r="C1089" s="14"/>
      <c r="D1089" s="32"/>
      <c r="E1089" s="32"/>
      <c r="F1089" s="32"/>
      <c r="G1089" s="32"/>
      <c r="H1089" s="32"/>
      <c r="I1089" s="32"/>
      <c r="J1089" s="32"/>
      <c r="K1089" s="32"/>
      <c r="L1089" s="32"/>
      <c r="M1089" s="32"/>
      <c r="N1089" s="32"/>
      <c r="O1089" s="32"/>
      <c r="P1089" s="32"/>
      <c r="Q1089" s="32"/>
      <c r="R1089" s="32"/>
    </row>
    <row r="1090" spans="2:18">
      <c r="B1090" s="35"/>
      <c r="C1090" s="14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</row>
    <row r="1091" spans="2:18">
      <c r="B1091" s="22"/>
      <c r="C1091" s="47"/>
      <c r="D1091" s="25"/>
      <c r="E1091" s="25"/>
      <c r="F1091" s="25"/>
      <c r="G1091" s="25"/>
      <c r="H1091" s="25"/>
      <c r="I1091" s="25"/>
      <c r="J1091" s="25"/>
      <c r="K1091" s="25"/>
      <c r="L1091" s="25"/>
      <c r="M1091" s="25"/>
      <c r="N1091" s="25"/>
      <c r="O1091" s="25"/>
      <c r="P1091" s="25"/>
      <c r="Q1091" s="25"/>
      <c r="R1091" s="25"/>
    </row>
    <row r="1092" spans="2:18" ht="39.75">
      <c r="B1092" s="27"/>
      <c r="C1092" s="14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</row>
    <row r="1093" spans="2:18" ht="58.5">
      <c r="B1093" s="31">
        <f>B1089+1</f>
        <v>273</v>
      </c>
      <c r="C1093" s="14"/>
      <c r="D1093" s="32"/>
      <c r="E1093" s="32"/>
      <c r="F1093" s="32"/>
      <c r="G1093" s="32"/>
      <c r="H1093" s="32"/>
      <c r="I1093" s="32"/>
      <c r="J1093" s="32"/>
      <c r="K1093" s="32"/>
      <c r="L1093" s="32"/>
      <c r="M1093" s="32"/>
      <c r="N1093" s="32"/>
      <c r="O1093" s="32"/>
      <c r="P1093" s="32"/>
      <c r="Q1093" s="32"/>
      <c r="R1093" s="32"/>
    </row>
    <row r="1094" spans="2:18">
      <c r="B1094" s="35"/>
      <c r="C1094" s="14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O1094" s="37"/>
      <c r="P1094" s="37"/>
      <c r="Q1094" s="37"/>
      <c r="R1094" s="37"/>
    </row>
    <row r="1095" spans="2:18">
      <c r="B1095" s="22"/>
      <c r="C1095" s="47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</row>
    <row r="1096" spans="2:18" ht="39.75">
      <c r="B1096" s="27"/>
      <c r="C1096" s="14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</row>
    <row r="1097" spans="2:18" ht="58.5">
      <c r="B1097" s="31">
        <f>B1093+1</f>
        <v>274</v>
      </c>
      <c r="C1097" s="14"/>
      <c r="D1097" s="32"/>
      <c r="E1097" s="32"/>
      <c r="F1097" s="32"/>
      <c r="G1097" s="32"/>
      <c r="H1097" s="32"/>
      <c r="I1097" s="32"/>
      <c r="J1097" s="32"/>
      <c r="K1097" s="32"/>
      <c r="L1097" s="32"/>
      <c r="M1097" s="32"/>
      <c r="N1097" s="32"/>
      <c r="O1097" s="32"/>
      <c r="P1097" s="32"/>
      <c r="Q1097" s="32"/>
      <c r="R1097" s="32"/>
    </row>
    <row r="1098" spans="2:18">
      <c r="B1098" s="35"/>
      <c r="C1098" s="14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O1098" s="37"/>
      <c r="P1098" s="37"/>
      <c r="Q1098" s="37"/>
      <c r="R1098" s="37"/>
    </row>
    <row r="1099" spans="2:18">
      <c r="B1099" s="22"/>
      <c r="C1099" s="47"/>
      <c r="D1099" s="25"/>
      <c r="E1099" s="25"/>
      <c r="F1099" s="25"/>
      <c r="G1099" s="25"/>
      <c r="H1099" s="25"/>
      <c r="I1099" s="25"/>
      <c r="J1099" s="25"/>
      <c r="K1099" s="25"/>
      <c r="L1099" s="25"/>
      <c r="M1099" s="25"/>
      <c r="N1099" s="25"/>
      <c r="O1099" s="25"/>
      <c r="P1099" s="25"/>
      <c r="Q1099" s="25"/>
      <c r="R1099" s="25"/>
    </row>
    <row r="1100" spans="2:18" ht="39.75">
      <c r="B1100" s="27"/>
      <c r="C1100" s="14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</row>
    <row r="1101" spans="2:18" ht="58.5">
      <c r="B1101" s="31">
        <f>B1097+1</f>
        <v>275</v>
      </c>
      <c r="C1101" s="14"/>
      <c r="D1101" s="32"/>
      <c r="E1101" s="32"/>
      <c r="F1101" s="32"/>
      <c r="G1101" s="32"/>
      <c r="H1101" s="32"/>
      <c r="I1101" s="32"/>
      <c r="J1101" s="32"/>
      <c r="K1101" s="32"/>
      <c r="L1101" s="32"/>
      <c r="M1101" s="32"/>
      <c r="N1101" s="32"/>
      <c r="O1101" s="32"/>
      <c r="P1101" s="32"/>
      <c r="Q1101" s="32"/>
      <c r="R1101" s="32"/>
    </row>
    <row r="1102" spans="2:18">
      <c r="B1102" s="35"/>
      <c r="C1102" s="14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O1102" s="37"/>
      <c r="P1102" s="37"/>
      <c r="Q1102" s="37"/>
      <c r="R1102" s="37"/>
    </row>
    <row r="1103" spans="2:18">
      <c r="B1103" s="22"/>
      <c r="C1103" s="47"/>
      <c r="D1103" s="25"/>
      <c r="E1103" s="25"/>
      <c r="F1103" s="25"/>
      <c r="G1103" s="25"/>
      <c r="H1103" s="25"/>
      <c r="I1103" s="25"/>
      <c r="J1103" s="25"/>
      <c r="K1103" s="25"/>
      <c r="L1103" s="25"/>
      <c r="M1103" s="25"/>
      <c r="N1103" s="25"/>
      <c r="O1103" s="25"/>
      <c r="P1103" s="25"/>
      <c r="Q1103" s="25"/>
      <c r="R1103" s="25"/>
    </row>
    <row r="1104" spans="2:18" ht="39.75">
      <c r="B1104" s="27"/>
      <c r="C1104" s="14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</row>
    <row r="1105" spans="2:18" ht="58.5">
      <c r="B1105" s="31">
        <f>B1101+1</f>
        <v>276</v>
      </c>
      <c r="C1105" s="14"/>
      <c r="D1105" s="32"/>
      <c r="E1105" s="32"/>
      <c r="F1105" s="32"/>
      <c r="G1105" s="32"/>
      <c r="H1105" s="32"/>
      <c r="I1105" s="32"/>
      <c r="J1105" s="32"/>
      <c r="K1105" s="32"/>
      <c r="L1105" s="32"/>
      <c r="M1105" s="32"/>
      <c r="N1105" s="32"/>
      <c r="O1105" s="32"/>
      <c r="P1105" s="32"/>
      <c r="Q1105" s="32"/>
      <c r="R1105" s="32"/>
    </row>
    <row r="1106" spans="2:18">
      <c r="B1106" s="35"/>
      <c r="C1106" s="14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O1106" s="37"/>
      <c r="P1106" s="37"/>
      <c r="Q1106" s="37"/>
      <c r="R1106" s="37"/>
    </row>
    <row r="1107" spans="2:18">
      <c r="B1107" s="22"/>
      <c r="C1107" s="47"/>
      <c r="D1107" s="25"/>
      <c r="E1107" s="25"/>
      <c r="F1107" s="25"/>
      <c r="G1107" s="25"/>
      <c r="H1107" s="25"/>
      <c r="I1107" s="25"/>
      <c r="J1107" s="25"/>
      <c r="K1107" s="25"/>
      <c r="L1107" s="25"/>
      <c r="M1107" s="25"/>
      <c r="N1107" s="25"/>
      <c r="O1107" s="25"/>
      <c r="P1107" s="25"/>
      <c r="Q1107" s="25"/>
      <c r="R1107" s="25"/>
    </row>
    <row r="1108" spans="2:18" ht="39.75">
      <c r="B1108" s="27"/>
      <c r="C1108" s="14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</row>
    <row r="1109" spans="2:18" ht="58.5">
      <c r="B1109" s="31">
        <f>B1105+1</f>
        <v>277</v>
      </c>
      <c r="C1109" s="14"/>
      <c r="D1109" s="32"/>
      <c r="E1109" s="32"/>
      <c r="F1109" s="32"/>
      <c r="G1109" s="32"/>
      <c r="H1109" s="32"/>
      <c r="I1109" s="32"/>
      <c r="J1109" s="32"/>
      <c r="K1109" s="32"/>
      <c r="L1109" s="32"/>
      <c r="M1109" s="32"/>
      <c r="N1109" s="32"/>
      <c r="O1109" s="32"/>
      <c r="P1109" s="32"/>
      <c r="Q1109" s="32"/>
      <c r="R1109" s="32"/>
    </row>
    <row r="1110" spans="2:18">
      <c r="B1110" s="35"/>
      <c r="C1110" s="14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O1110" s="37"/>
      <c r="P1110" s="37"/>
      <c r="Q1110" s="37"/>
      <c r="R1110" s="37"/>
    </row>
    <row r="1111" spans="2:18">
      <c r="B1111" s="22"/>
      <c r="C1111" s="47"/>
      <c r="D1111" s="25"/>
      <c r="E1111" s="25"/>
      <c r="F1111" s="25"/>
      <c r="G1111" s="25"/>
      <c r="H1111" s="25"/>
      <c r="I1111" s="25"/>
      <c r="J1111" s="25"/>
      <c r="K1111" s="25"/>
      <c r="L1111" s="25"/>
      <c r="M1111" s="25"/>
      <c r="N1111" s="25"/>
      <c r="O1111" s="25"/>
      <c r="P1111" s="25"/>
      <c r="Q1111" s="25"/>
      <c r="R1111" s="25"/>
    </row>
    <row r="1112" spans="2:18" ht="39.75">
      <c r="B1112" s="27"/>
      <c r="C1112" s="14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</row>
    <row r="1113" spans="2:18" ht="58.5">
      <c r="B1113" s="31">
        <f t="shared" ref="B1113" si="117">B1109+1</f>
        <v>278</v>
      </c>
      <c r="C1113" s="14"/>
      <c r="D1113" s="32"/>
      <c r="E1113" s="32"/>
      <c r="F1113" s="32"/>
      <c r="G1113" s="32"/>
      <c r="H1113" s="32"/>
      <c r="I1113" s="32"/>
      <c r="J1113" s="32"/>
      <c r="K1113" s="32"/>
      <c r="L1113" s="32"/>
      <c r="M1113" s="32"/>
      <c r="N1113" s="32"/>
      <c r="O1113" s="32"/>
      <c r="P1113" s="32"/>
      <c r="Q1113" s="32"/>
      <c r="R1113" s="32"/>
    </row>
    <row r="1114" spans="2:18">
      <c r="B1114" s="35"/>
      <c r="C1114" s="14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O1114" s="37"/>
      <c r="P1114" s="37"/>
      <c r="Q1114" s="37"/>
      <c r="R1114" s="37"/>
    </row>
    <row r="1115" spans="2:18">
      <c r="B1115" s="22"/>
      <c r="C1115" s="47"/>
      <c r="D1115" s="25"/>
      <c r="E1115" s="25"/>
      <c r="F1115" s="25"/>
      <c r="G1115" s="25"/>
      <c r="H1115" s="25"/>
      <c r="I1115" s="25"/>
      <c r="J1115" s="25"/>
      <c r="K1115" s="25"/>
      <c r="L1115" s="25"/>
      <c r="M1115" s="25"/>
      <c r="N1115" s="25"/>
      <c r="O1115" s="25"/>
      <c r="P1115" s="25"/>
      <c r="Q1115" s="25"/>
      <c r="R1115" s="25"/>
    </row>
    <row r="1116" spans="2:18" ht="39.75">
      <c r="B1116" s="27"/>
      <c r="C1116" s="14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</row>
    <row r="1117" spans="2:18" ht="58.5">
      <c r="B1117" s="31">
        <f t="shared" ref="B1117" si="118">B1113+1</f>
        <v>279</v>
      </c>
      <c r="C1117" s="14"/>
      <c r="D1117" s="32"/>
      <c r="E1117" s="32"/>
      <c r="F1117" s="32"/>
      <c r="G1117" s="32"/>
      <c r="H1117" s="32"/>
      <c r="I1117" s="32"/>
      <c r="J1117" s="32"/>
      <c r="K1117" s="32"/>
      <c r="L1117" s="32"/>
      <c r="M1117" s="32"/>
      <c r="N1117" s="32"/>
      <c r="O1117" s="32"/>
      <c r="P1117" s="32"/>
      <c r="Q1117" s="32"/>
      <c r="R1117" s="32"/>
    </row>
    <row r="1118" spans="2:18">
      <c r="B1118" s="35"/>
      <c r="C1118" s="14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O1118" s="37"/>
      <c r="P1118" s="37"/>
      <c r="Q1118" s="37"/>
      <c r="R1118" s="37"/>
    </row>
    <row r="1119" spans="2:18">
      <c r="B1119" s="22"/>
      <c r="C1119" s="47"/>
      <c r="D1119" s="25"/>
      <c r="E1119" s="25"/>
      <c r="F1119" s="25"/>
      <c r="G1119" s="25"/>
      <c r="H1119" s="25"/>
      <c r="I1119" s="25"/>
      <c r="J1119" s="25"/>
      <c r="K1119" s="25"/>
      <c r="L1119" s="25"/>
      <c r="M1119" s="25"/>
      <c r="N1119" s="25"/>
      <c r="O1119" s="25"/>
      <c r="P1119" s="25"/>
      <c r="Q1119" s="25"/>
      <c r="R1119" s="25"/>
    </row>
    <row r="1120" spans="2:18" ht="39.75">
      <c r="B1120" s="27"/>
      <c r="C1120" s="14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</row>
    <row r="1121" spans="2:18" ht="58.5">
      <c r="B1121" s="31">
        <f t="shared" ref="B1121" si="119">B1117+1</f>
        <v>280</v>
      </c>
      <c r="C1121" s="14"/>
      <c r="D1121" s="32"/>
      <c r="E1121" s="32"/>
      <c r="F1121" s="32"/>
      <c r="G1121" s="32"/>
      <c r="H1121" s="32"/>
      <c r="I1121" s="32"/>
      <c r="J1121" s="32"/>
      <c r="K1121" s="32"/>
      <c r="L1121" s="32"/>
      <c r="M1121" s="32"/>
      <c r="N1121" s="32"/>
      <c r="O1121" s="32"/>
      <c r="P1121" s="32"/>
      <c r="Q1121" s="32"/>
      <c r="R1121" s="32"/>
    </row>
    <row r="1122" spans="2:18">
      <c r="B1122" s="35"/>
      <c r="C1122" s="14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O1122" s="37"/>
      <c r="P1122" s="37"/>
      <c r="Q1122" s="37"/>
      <c r="R1122" s="37"/>
    </row>
    <row r="1123" spans="2:18">
      <c r="B1123" s="22"/>
      <c r="C1123" s="47"/>
      <c r="D1123" s="25"/>
      <c r="E1123" s="25"/>
      <c r="F1123" s="25"/>
      <c r="G1123" s="25"/>
      <c r="H1123" s="25"/>
      <c r="I1123" s="25"/>
      <c r="J1123" s="25"/>
      <c r="K1123" s="25"/>
      <c r="L1123" s="25"/>
      <c r="M1123" s="25"/>
      <c r="N1123" s="25"/>
      <c r="O1123" s="25"/>
      <c r="P1123" s="25"/>
      <c r="Q1123" s="25"/>
      <c r="R1123" s="25"/>
    </row>
    <row r="1124" spans="2:18" ht="39.75">
      <c r="B1124" s="27"/>
      <c r="C1124" s="14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</row>
    <row r="1125" spans="2:18" ht="58.5">
      <c r="B1125" s="31">
        <f t="shared" ref="B1125" si="120">B1121+1</f>
        <v>281</v>
      </c>
      <c r="C1125" s="14"/>
      <c r="D1125" s="32"/>
      <c r="E1125" s="32"/>
      <c r="F1125" s="32"/>
      <c r="G1125" s="32"/>
      <c r="H1125" s="32"/>
      <c r="I1125" s="32"/>
      <c r="J1125" s="32"/>
      <c r="K1125" s="32"/>
      <c r="L1125" s="32"/>
      <c r="M1125" s="32"/>
      <c r="N1125" s="32"/>
      <c r="O1125" s="32"/>
      <c r="P1125" s="32"/>
      <c r="Q1125" s="32"/>
      <c r="R1125" s="32"/>
    </row>
    <row r="1126" spans="2:18">
      <c r="B1126" s="35"/>
      <c r="C1126" s="14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O1126" s="37"/>
      <c r="P1126" s="37"/>
      <c r="Q1126" s="37"/>
      <c r="R1126" s="37"/>
    </row>
    <row r="1127" spans="2:18">
      <c r="B1127" s="22"/>
      <c r="C1127" s="47"/>
      <c r="D1127" s="25"/>
      <c r="E1127" s="25"/>
      <c r="F1127" s="25"/>
      <c r="G1127" s="25"/>
      <c r="H1127" s="25"/>
      <c r="I1127" s="25"/>
      <c r="J1127" s="25"/>
      <c r="K1127" s="25"/>
      <c r="L1127" s="25"/>
      <c r="M1127" s="25"/>
      <c r="N1127" s="25"/>
      <c r="O1127" s="25"/>
      <c r="P1127" s="25"/>
      <c r="Q1127" s="25"/>
      <c r="R1127" s="25"/>
    </row>
    <row r="1128" spans="2:18" ht="39.75">
      <c r="B1128" s="27"/>
      <c r="C1128" s="14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</row>
    <row r="1129" spans="2:18" ht="58.5">
      <c r="B1129" s="31">
        <f t="shared" ref="B1129" si="121">B1125+1</f>
        <v>282</v>
      </c>
      <c r="C1129" s="14"/>
      <c r="D1129" s="32"/>
      <c r="E1129" s="32"/>
      <c r="F1129" s="32"/>
      <c r="G1129" s="32"/>
      <c r="H1129" s="32"/>
      <c r="I1129" s="32"/>
      <c r="J1129" s="32"/>
      <c r="K1129" s="32"/>
      <c r="L1129" s="32"/>
      <c r="M1129" s="32"/>
      <c r="N1129" s="32"/>
      <c r="O1129" s="32"/>
      <c r="P1129" s="32"/>
      <c r="Q1129" s="32"/>
      <c r="R1129" s="32"/>
    </row>
    <row r="1130" spans="2:18">
      <c r="B1130" s="35"/>
      <c r="C1130" s="14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O1130" s="37"/>
      <c r="P1130" s="37"/>
      <c r="Q1130" s="37"/>
      <c r="R1130" s="37"/>
    </row>
    <row r="1131" spans="2:18">
      <c r="B1131" s="22"/>
      <c r="C1131" s="47"/>
      <c r="D1131" s="25"/>
      <c r="E1131" s="25"/>
      <c r="F1131" s="25"/>
      <c r="G1131" s="25"/>
      <c r="H1131" s="25"/>
      <c r="I1131" s="25"/>
      <c r="J1131" s="25"/>
      <c r="K1131" s="25"/>
      <c r="L1131" s="25"/>
      <c r="M1131" s="25"/>
      <c r="N1131" s="25"/>
      <c r="O1131" s="25"/>
      <c r="P1131" s="25"/>
      <c r="Q1131" s="25"/>
      <c r="R1131" s="25"/>
    </row>
    <row r="1132" spans="2:18" ht="39.75">
      <c r="B1132" s="27"/>
      <c r="C1132" s="14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</row>
    <row r="1133" spans="2:18" ht="58.5">
      <c r="B1133" s="31">
        <f t="shared" ref="B1133" si="122">B1129+1</f>
        <v>283</v>
      </c>
      <c r="C1133" s="14"/>
      <c r="D1133" s="32"/>
      <c r="E1133" s="32"/>
      <c r="F1133" s="32"/>
      <c r="G1133" s="32"/>
      <c r="H1133" s="32"/>
      <c r="I1133" s="32"/>
      <c r="J1133" s="32"/>
      <c r="K1133" s="32"/>
      <c r="L1133" s="32"/>
      <c r="M1133" s="32"/>
      <c r="N1133" s="32"/>
      <c r="O1133" s="32"/>
      <c r="P1133" s="32"/>
      <c r="Q1133" s="32"/>
      <c r="R1133" s="32"/>
    </row>
    <row r="1134" spans="2:18">
      <c r="B1134" s="35"/>
      <c r="C1134" s="14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O1134" s="37"/>
      <c r="P1134" s="37"/>
      <c r="Q1134" s="37"/>
      <c r="R1134" s="37"/>
    </row>
    <row r="1135" spans="2:18">
      <c r="B1135" s="22"/>
      <c r="C1135" s="47"/>
      <c r="D1135" s="25"/>
      <c r="E1135" s="25"/>
      <c r="F1135" s="25"/>
      <c r="G1135" s="25"/>
      <c r="H1135" s="25"/>
      <c r="I1135" s="25"/>
      <c r="J1135" s="25"/>
      <c r="K1135" s="25"/>
      <c r="L1135" s="25"/>
      <c r="M1135" s="25"/>
      <c r="N1135" s="25"/>
      <c r="O1135" s="25"/>
      <c r="P1135" s="25"/>
      <c r="Q1135" s="25"/>
      <c r="R1135" s="25"/>
    </row>
    <row r="1136" spans="2:18" ht="39.75">
      <c r="B1136" s="27"/>
      <c r="C1136" s="14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</row>
    <row r="1137" spans="2:18" ht="58.5">
      <c r="B1137" s="31">
        <f t="shared" ref="B1137" si="123">B1133+1</f>
        <v>284</v>
      </c>
      <c r="C1137" s="14"/>
      <c r="D1137" s="32"/>
      <c r="E1137" s="32"/>
      <c r="F1137" s="32"/>
      <c r="G1137" s="32"/>
      <c r="H1137" s="32"/>
      <c r="I1137" s="32"/>
      <c r="J1137" s="32"/>
      <c r="K1137" s="32"/>
      <c r="L1137" s="32"/>
      <c r="M1137" s="32"/>
      <c r="N1137" s="32"/>
      <c r="O1137" s="32"/>
      <c r="P1137" s="32"/>
      <c r="Q1137" s="32"/>
      <c r="R1137" s="32"/>
    </row>
    <row r="1138" spans="2:18">
      <c r="B1138" s="35"/>
      <c r="C1138" s="14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O1138" s="37"/>
      <c r="P1138" s="37"/>
      <c r="Q1138" s="37"/>
      <c r="R1138" s="37"/>
    </row>
    <row r="1139" spans="2:18">
      <c r="B1139" s="22"/>
      <c r="C1139" s="47"/>
      <c r="D1139" s="25"/>
      <c r="E1139" s="25"/>
      <c r="F1139" s="25"/>
      <c r="G1139" s="25"/>
      <c r="H1139" s="25"/>
      <c r="I1139" s="25"/>
      <c r="J1139" s="25"/>
      <c r="K1139" s="25"/>
      <c r="L1139" s="25"/>
      <c r="M1139" s="25"/>
      <c r="N1139" s="25"/>
      <c r="O1139" s="25"/>
      <c r="P1139" s="25"/>
      <c r="Q1139" s="25"/>
      <c r="R1139" s="25"/>
    </row>
    <row r="1140" spans="2:18" ht="39.75">
      <c r="B1140" s="27"/>
      <c r="C1140" s="14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</row>
    <row r="1141" spans="2:18" ht="58.5">
      <c r="B1141" s="31">
        <f t="shared" ref="B1141" si="124">B1137+1</f>
        <v>285</v>
      </c>
      <c r="C1141" s="14"/>
      <c r="D1141" s="32"/>
      <c r="E1141" s="32"/>
      <c r="F1141" s="32"/>
      <c r="G1141" s="32"/>
      <c r="H1141" s="32"/>
      <c r="I1141" s="32"/>
      <c r="J1141" s="32"/>
      <c r="K1141" s="32"/>
      <c r="L1141" s="32"/>
      <c r="M1141" s="32"/>
      <c r="N1141" s="32"/>
      <c r="O1141" s="32"/>
      <c r="P1141" s="32"/>
      <c r="Q1141" s="32"/>
      <c r="R1141" s="32"/>
    </row>
    <row r="1142" spans="2:18">
      <c r="B1142" s="35"/>
      <c r="C1142" s="14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O1142" s="37"/>
      <c r="P1142" s="37"/>
      <c r="Q1142" s="37"/>
      <c r="R1142" s="37"/>
    </row>
    <row r="1143" spans="2:18">
      <c r="B1143" s="22"/>
      <c r="C1143" s="47"/>
      <c r="D1143" s="25"/>
      <c r="E1143" s="25"/>
      <c r="F1143" s="25"/>
      <c r="G1143" s="25"/>
      <c r="H1143" s="25"/>
      <c r="I1143" s="25"/>
      <c r="J1143" s="25"/>
      <c r="K1143" s="25"/>
      <c r="L1143" s="25"/>
      <c r="M1143" s="25"/>
      <c r="N1143" s="25"/>
      <c r="O1143" s="25"/>
      <c r="P1143" s="25"/>
      <c r="Q1143" s="25"/>
      <c r="R1143" s="25"/>
    </row>
    <row r="1144" spans="2:18" ht="39.75">
      <c r="B1144" s="27"/>
      <c r="C1144" s="14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</row>
    <row r="1145" spans="2:18" ht="58.5">
      <c r="B1145" s="31">
        <f t="shared" ref="B1145" si="125">B1141+1</f>
        <v>286</v>
      </c>
      <c r="C1145" s="14"/>
      <c r="D1145" s="32"/>
      <c r="E1145" s="32"/>
      <c r="F1145" s="32"/>
      <c r="G1145" s="32"/>
      <c r="H1145" s="32"/>
      <c r="I1145" s="32"/>
      <c r="J1145" s="32"/>
      <c r="K1145" s="32"/>
      <c r="L1145" s="32"/>
      <c r="M1145" s="32"/>
      <c r="N1145" s="32"/>
      <c r="O1145" s="32"/>
      <c r="P1145" s="32"/>
      <c r="Q1145" s="32"/>
      <c r="R1145" s="32"/>
    </row>
    <row r="1146" spans="2:18">
      <c r="B1146" s="35"/>
      <c r="C1146" s="14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O1146" s="37"/>
      <c r="P1146" s="37"/>
      <c r="Q1146" s="37"/>
      <c r="R1146" s="37"/>
    </row>
    <row r="1147" spans="2:18">
      <c r="B1147" s="22"/>
      <c r="C1147" s="47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5"/>
      <c r="P1147" s="25"/>
      <c r="Q1147" s="25"/>
      <c r="R1147" s="25"/>
    </row>
    <row r="1148" spans="2:18" ht="39.75">
      <c r="B1148" s="27"/>
      <c r="C1148" s="14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</row>
    <row r="1149" spans="2:18" ht="58.5">
      <c r="B1149" s="31">
        <f t="shared" ref="B1149" si="126">B1145+1</f>
        <v>287</v>
      </c>
      <c r="C1149" s="14"/>
      <c r="D1149" s="32"/>
      <c r="E1149" s="32"/>
      <c r="F1149" s="32"/>
      <c r="G1149" s="32"/>
      <c r="H1149" s="32"/>
      <c r="I1149" s="32"/>
      <c r="J1149" s="32"/>
      <c r="K1149" s="32"/>
      <c r="L1149" s="32"/>
      <c r="M1149" s="32"/>
      <c r="N1149" s="32"/>
      <c r="O1149" s="32"/>
      <c r="P1149" s="32"/>
      <c r="Q1149" s="32"/>
      <c r="R1149" s="32"/>
    </row>
    <row r="1150" spans="2:18">
      <c r="B1150" s="35"/>
      <c r="C1150" s="14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O1150" s="37"/>
      <c r="P1150" s="37"/>
      <c r="Q1150" s="37"/>
      <c r="R1150" s="37"/>
    </row>
    <row r="1151" spans="2:18">
      <c r="B1151" s="22"/>
      <c r="C1151" s="47"/>
      <c r="D1151" s="25"/>
      <c r="E1151" s="25"/>
      <c r="F1151" s="25"/>
      <c r="G1151" s="25"/>
      <c r="H1151" s="25"/>
      <c r="I1151" s="25"/>
      <c r="J1151" s="25"/>
      <c r="K1151" s="25"/>
      <c r="L1151" s="25"/>
      <c r="M1151" s="25"/>
      <c r="N1151" s="25"/>
      <c r="O1151" s="25"/>
      <c r="P1151" s="25"/>
      <c r="Q1151" s="25"/>
      <c r="R1151" s="25"/>
    </row>
    <row r="1152" spans="2:18" ht="39.75">
      <c r="B1152" s="27"/>
      <c r="C1152" s="14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</row>
    <row r="1153" spans="2:18" ht="58.5">
      <c r="B1153" s="31">
        <f t="shared" ref="B1153" si="127">B1149+1</f>
        <v>288</v>
      </c>
      <c r="C1153" s="14"/>
      <c r="D1153" s="32"/>
      <c r="E1153" s="32"/>
      <c r="F1153" s="32"/>
      <c r="G1153" s="32"/>
      <c r="H1153" s="32"/>
      <c r="I1153" s="32"/>
      <c r="J1153" s="32"/>
      <c r="K1153" s="32"/>
      <c r="L1153" s="32"/>
      <c r="M1153" s="32"/>
      <c r="N1153" s="32"/>
      <c r="O1153" s="32"/>
      <c r="P1153" s="32"/>
      <c r="Q1153" s="32"/>
      <c r="R1153" s="32"/>
    </row>
    <row r="1154" spans="2:18">
      <c r="B1154" s="35"/>
      <c r="C1154" s="14"/>
      <c r="D1154" s="37"/>
      <c r="E1154" s="37"/>
      <c r="F1154" s="37"/>
      <c r="G1154" s="37"/>
      <c r="H1154" s="37"/>
      <c r="I1154" s="37"/>
      <c r="J1154" s="37"/>
      <c r="K1154" s="37"/>
      <c r="L1154" s="37"/>
      <c r="M1154" s="37"/>
      <c r="N1154" s="37"/>
      <c r="O1154" s="37"/>
      <c r="P1154" s="37"/>
      <c r="Q1154" s="37"/>
      <c r="R1154" s="37"/>
    </row>
    <row r="1155" spans="2:18">
      <c r="B1155" s="22"/>
      <c r="C1155" s="47"/>
      <c r="D1155" s="25"/>
      <c r="E1155" s="25"/>
      <c r="F1155" s="25"/>
      <c r="G1155" s="25"/>
      <c r="H1155" s="25"/>
      <c r="I1155" s="25"/>
      <c r="J1155" s="25"/>
      <c r="K1155" s="25"/>
      <c r="L1155" s="25"/>
      <c r="M1155" s="25"/>
      <c r="N1155" s="25"/>
      <c r="O1155" s="25"/>
      <c r="P1155" s="25"/>
      <c r="Q1155" s="25"/>
      <c r="R1155" s="25"/>
    </row>
    <row r="1156" spans="2:18" ht="39.75">
      <c r="B1156" s="27"/>
      <c r="C1156" s="14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</row>
    <row r="1157" spans="2:18" ht="58.5">
      <c r="B1157" s="31">
        <f t="shared" ref="B1157" si="128">B1153+1</f>
        <v>289</v>
      </c>
      <c r="C1157" s="14"/>
      <c r="D1157" s="32"/>
      <c r="E1157" s="32"/>
      <c r="F1157" s="32"/>
      <c r="G1157" s="32"/>
      <c r="H1157" s="32"/>
      <c r="I1157" s="32"/>
      <c r="J1157" s="32"/>
      <c r="K1157" s="32"/>
      <c r="L1157" s="32"/>
      <c r="M1157" s="32"/>
      <c r="N1157" s="32"/>
      <c r="O1157" s="32"/>
      <c r="P1157" s="32"/>
      <c r="Q1157" s="32"/>
      <c r="R1157" s="32"/>
    </row>
    <row r="1158" spans="2:18">
      <c r="B1158" s="35"/>
      <c r="C1158" s="14"/>
      <c r="D1158" s="37"/>
      <c r="E1158" s="37"/>
      <c r="F1158" s="37"/>
      <c r="G1158" s="37"/>
      <c r="H1158" s="37"/>
      <c r="I1158" s="37"/>
      <c r="J1158" s="37"/>
      <c r="K1158" s="37"/>
      <c r="L1158" s="37"/>
      <c r="M1158" s="37"/>
      <c r="N1158" s="37"/>
      <c r="O1158" s="37"/>
      <c r="P1158" s="37"/>
      <c r="Q1158" s="37"/>
      <c r="R1158" s="37"/>
    </row>
    <row r="1159" spans="2:18">
      <c r="B1159" s="22"/>
      <c r="C1159" s="47"/>
      <c r="D1159" s="25"/>
      <c r="E1159" s="25"/>
      <c r="F1159" s="25"/>
      <c r="G1159" s="25"/>
      <c r="H1159" s="25"/>
      <c r="I1159" s="25"/>
      <c r="J1159" s="25"/>
      <c r="K1159" s="25"/>
      <c r="L1159" s="25"/>
      <c r="M1159" s="25"/>
      <c r="N1159" s="25"/>
      <c r="O1159" s="25"/>
      <c r="P1159" s="25"/>
      <c r="Q1159" s="25"/>
      <c r="R1159" s="25"/>
    </row>
    <row r="1160" spans="2:18" ht="39.75">
      <c r="B1160" s="27"/>
      <c r="C1160" s="14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</row>
    <row r="1161" spans="2:18" ht="58.5">
      <c r="B1161" s="31">
        <f t="shared" ref="B1161" si="129">B1157+1</f>
        <v>290</v>
      </c>
      <c r="C1161" s="14"/>
      <c r="D1161" s="32"/>
      <c r="E1161" s="32"/>
      <c r="F1161" s="32"/>
      <c r="G1161" s="32"/>
      <c r="H1161" s="32"/>
      <c r="I1161" s="32"/>
      <c r="J1161" s="32"/>
      <c r="K1161" s="32"/>
      <c r="L1161" s="32"/>
      <c r="M1161" s="32"/>
      <c r="N1161" s="32"/>
      <c r="O1161" s="32"/>
      <c r="P1161" s="32"/>
      <c r="Q1161" s="32"/>
      <c r="R1161" s="32"/>
    </row>
    <row r="1162" spans="2:18">
      <c r="B1162" s="35"/>
      <c r="C1162" s="14"/>
      <c r="D1162" s="37"/>
      <c r="E1162" s="37"/>
      <c r="F1162" s="37"/>
      <c r="G1162" s="37"/>
      <c r="H1162" s="37"/>
      <c r="I1162" s="37"/>
      <c r="J1162" s="37"/>
      <c r="K1162" s="37"/>
      <c r="L1162" s="37"/>
      <c r="M1162" s="37"/>
      <c r="N1162" s="37"/>
      <c r="O1162" s="37"/>
      <c r="P1162" s="37"/>
      <c r="Q1162" s="37"/>
      <c r="R1162" s="37"/>
    </row>
    <row r="1163" spans="2:18">
      <c r="B1163" s="22"/>
      <c r="C1163" s="47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</row>
    <row r="1164" spans="2:18" ht="39.75">
      <c r="B1164" s="27"/>
      <c r="C1164" s="14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</row>
    <row r="1165" spans="2:18" ht="58.5">
      <c r="B1165" s="31">
        <f t="shared" ref="B1165" si="130">B1161+1</f>
        <v>291</v>
      </c>
      <c r="C1165" s="14"/>
      <c r="D1165" s="32"/>
      <c r="E1165" s="32"/>
      <c r="F1165" s="32"/>
      <c r="G1165" s="32"/>
      <c r="H1165" s="32"/>
      <c r="I1165" s="32"/>
      <c r="J1165" s="32"/>
      <c r="K1165" s="32"/>
      <c r="L1165" s="32"/>
      <c r="M1165" s="32"/>
      <c r="N1165" s="32"/>
      <c r="O1165" s="32"/>
      <c r="P1165" s="32"/>
      <c r="Q1165" s="32"/>
      <c r="R1165" s="32"/>
    </row>
    <row r="1166" spans="2:18">
      <c r="B1166" s="35"/>
      <c r="C1166" s="14"/>
      <c r="D1166" s="37"/>
      <c r="E1166" s="37"/>
      <c r="F1166" s="37"/>
      <c r="G1166" s="37"/>
      <c r="H1166" s="37"/>
      <c r="I1166" s="37"/>
      <c r="J1166" s="37"/>
      <c r="K1166" s="37"/>
      <c r="L1166" s="37"/>
      <c r="M1166" s="37"/>
      <c r="N1166" s="37"/>
      <c r="O1166" s="37"/>
      <c r="P1166" s="37"/>
      <c r="Q1166" s="37"/>
      <c r="R1166" s="37"/>
    </row>
    <row r="1167" spans="2:18">
      <c r="B1167" s="22"/>
      <c r="C1167" s="47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  <c r="O1167" s="25"/>
      <c r="P1167" s="25"/>
      <c r="Q1167" s="25"/>
      <c r="R1167" s="25"/>
    </row>
    <row r="1168" spans="2:18" ht="39.75">
      <c r="B1168" s="27"/>
      <c r="C1168" s="14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</row>
    <row r="1169" spans="2:18" ht="58.5">
      <c r="B1169" s="31">
        <f t="shared" ref="B1169" si="131">B1165+1</f>
        <v>292</v>
      </c>
      <c r="C1169" s="14"/>
      <c r="D1169" s="32"/>
      <c r="E1169" s="32"/>
      <c r="F1169" s="32"/>
      <c r="G1169" s="32"/>
      <c r="H1169" s="32"/>
      <c r="I1169" s="32"/>
      <c r="J1169" s="32"/>
      <c r="K1169" s="32"/>
      <c r="L1169" s="32"/>
      <c r="M1169" s="32"/>
      <c r="N1169" s="32"/>
      <c r="O1169" s="32"/>
      <c r="P1169" s="32"/>
      <c r="Q1169" s="32"/>
      <c r="R1169" s="32"/>
    </row>
    <row r="1170" spans="2:18">
      <c r="B1170" s="35"/>
      <c r="C1170" s="14"/>
      <c r="D1170" s="37"/>
      <c r="E1170" s="37"/>
      <c r="F1170" s="37"/>
      <c r="G1170" s="37"/>
      <c r="H1170" s="37"/>
      <c r="I1170" s="37"/>
      <c r="J1170" s="37"/>
      <c r="K1170" s="37"/>
      <c r="L1170" s="37"/>
      <c r="M1170" s="37"/>
      <c r="N1170" s="37"/>
      <c r="O1170" s="37"/>
      <c r="P1170" s="37"/>
      <c r="Q1170" s="37"/>
      <c r="R1170" s="37"/>
    </row>
    <row r="1171" spans="2:18">
      <c r="B1171" s="22"/>
      <c r="C1171" s="47"/>
      <c r="D1171" s="25"/>
      <c r="E1171" s="25"/>
      <c r="F1171" s="25"/>
      <c r="G1171" s="25"/>
      <c r="H1171" s="25"/>
      <c r="I1171" s="25"/>
      <c r="J1171" s="25"/>
      <c r="K1171" s="25"/>
      <c r="L1171" s="25"/>
      <c r="M1171" s="25"/>
      <c r="N1171" s="25"/>
      <c r="O1171" s="25"/>
      <c r="P1171" s="25"/>
      <c r="Q1171" s="25"/>
      <c r="R1171" s="25"/>
    </row>
    <row r="1172" spans="2:18" ht="39.75">
      <c r="B1172" s="27"/>
      <c r="C1172" s="14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</row>
    <row r="1173" spans="2:18" ht="58.5">
      <c r="B1173" s="31">
        <f t="shared" ref="B1173" si="132">B1169+1</f>
        <v>293</v>
      </c>
      <c r="C1173" s="14"/>
      <c r="D1173" s="32"/>
      <c r="E1173" s="32"/>
      <c r="F1173" s="32"/>
      <c r="G1173" s="32"/>
      <c r="H1173" s="32"/>
      <c r="I1173" s="32"/>
      <c r="J1173" s="32"/>
      <c r="K1173" s="32"/>
      <c r="L1173" s="32"/>
      <c r="M1173" s="32"/>
      <c r="N1173" s="32"/>
      <c r="O1173" s="32"/>
      <c r="P1173" s="32"/>
      <c r="Q1173" s="32"/>
      <c r="R1173" s="32"/>
    </row>
    <row r="1174" spans="2:18">
      <c r="B1174" s="35"/>
      <c r="C1174" s="14"/>
      <c r="D1174" s="37"/>
      <c r="E1174" s="37"/>
      <c r="F1174" s="37"/>
      <c r="G1174" s="37"/>
      <c r="H1174" s="37"/>
      <c r="I1174" s="37"/>
      <c r="J1174" s="37"/>
      <c r="K1174" s="37"/>
      <c r="L1174" s="37"/>
      <c r="M1174" s="37"/>
      <c r="N1174" s="37"/>
      <c r="O1174" s="37"/>
      <c r="P1174" s="37"/>
      <c r="Q1174" s="37"/>
      <c r="R1174" s="37"/>
    </row>
    <row r="1175" spans="2:18">
      <c r="B1175" s="22"/>
      <c r="C1175" s="47"/>
      <c r="D1175" s="25"/>
      <c r="E1175" s="25"/>
      <c r="F1175" s="25"/>
      <c r="G1175" s="25"/>
      <c r="H1175" s="25"/>
      <c r="I1175" s="25"/>
      <c r="J1175" s="25"/>
      <c r="K1175" s="25"/>
      <c r="L1175" s="25"/>
      <c r="M1175" s="25"/>
      <c r="N1175" s="25"/>
      <c r="O1175" s="25"/>
      <c r="P1175" s="25"/>
      <c r="Q1175" s="25"/>
      <c r="R1175" s="25"/>
    </row>
    <row r="1176" spans="2:18" ht="39.75">
      <c r="B1176" s="27"/>
      <c r="C1176" s="14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</row>
    <row r="1177" spans="2:18" ht="58.5">
      <c r="B1177" s="31">
        <f t="shared" ref="B1177" si="133">B1173+1</f>
        <v>294</v>
      </c>
      <c r="C1177" s="14"/>
      <c r="D1177" s="32"/>
      <c r="E1177" s="32"/>
      <c r="F1177" s="32"/>
      <c r="G1177" s="32"/>
      <c r="H1177" s="32"/>
      <c r="I1177" s="32"/>
      <c r="J1177" s="32"/>
      <c r="K1177" s="32"/>
      <c r="L1177" s="32"/>
      <c r="M1177" s="32"/>
      <c r="N1177" s="32"/>
      <c r="O1177" s="32"/>
      <c r="P1177" s="32"/>
      <c r="Q1177" s="32"/>
      <c r="R1177" s="32"/>
    </row>
    <row r="1178" spans="2:18">
      <c r="B1178" s="35"/>
      <c r="C1178" s="14"/>
      <c r="D1178" s="37"/>
      <c r="E1178" s="37"/>
      <c r="F1178" s="37"/>
      <c r="G1178" s="37"/>
      <c r="H1178" s="37"/>
      <c r="I1178" s="37"/>
      <c r="J1178" s="37"/>
      <c r="K1178" s="37"/>
      <c r="L1178" s="37"/>
      <c r="M1178" s="37"/>
      <c r="N1178" s="37"/>
      <c r="O1178" s="37"/>
      <c r="P1178" s="37"/>
      <c r="Q1178" s="37"/>
      <c r="R1178" s="37"/>
    </row>
    <row r="1179" spans="2:18">
      <c r="B1179" s="22"/>
      <c r="C1179" s="47"/>
      <c r="D1179" s="25"/>
      <c r="E1179" s="25"/>
      <c r="F1179" s="25"/>
      <c r="G1179" s="25"/>
      <c r="H1179" s="25"/>
      <c r="I1179" s="25"/>
      <c r="J1179" s="25"/>
      <c r="K1179" s="25"/>
      <c r="L1179" s="25"/>
      <c r="M1179" s="25"/>
      <c r="N1179" s="25"/>
      <c r="O1179" s="25"/>
      <c r="P1179" s="25"/>
      <c r="Q1179" s="25"/>
      <c r="R1179" s="25"/>
    </row>
    <row r="1180" spans="2:18" ht="39.75">
      <c r="B1180" s="27"/>
      <c r="C1180" s="14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</row>
    <row r="1181" spans="2:18" ht="58.5">
      <c r="B1181" s="31">
        <f t="shared" ref="B1181" si="134">B1177+1</f>
        <v>295</v>
      </c>
      <c r="C1181" s="14"/>
      <c r="D1181" s="32"/>
      <c r="E1181" s="32"/>
      <c r="F1181" s="32"/>
      <c r="G1181" s="32"/>
      <c r="H1181" s="32"/>
      <c r="I1181" s="32"/>
      <c r="J1181" s="32"/>
      <c r="K1181" s="32"/>
      <c r="L1181" s="32"/>
      <c r="M1181" s="32"/>
      <c r="N1181" s="32"/>
      <c r="O1181" s="32"/>
      <c r="P1181" s="32"/>
      <c r="Q1181" s="32"/>
      <c r="R1181" s="32"/>
    </row>
    <row r="1182" spans="2:18">
      <c r="B1182" s="35"/>
      <c r="C1182" s="14"/>
      <c r="D1182" s="37"/>
      <c r="E1182" s="37"/>
      <c r="F1182" s="37"/>
      <c r="G1182" s="37"/>
      <c r="H1182" s="37"/>
      <c r="I1182" s="37"/>
      <c r="J1182" s="37"/>
      <c r="K1182" s="37"/>
      <c r="L1182" s="37"/>
      <c r="M1182" s="37"/>
      <c r="N1182" s="37"/>
      <c r="O1182" s="37"/>
      <c r="P1182" s="37"/>
      <c r="Q1182" s="37"/>
      <c r="R1182" s="37"/>
    </row>
    <row r="1183" spans="2:18">
      <c r="B1183" s="22"/>
      <c r="C1183" s="47"/>
      <c r="D1183" s="25"/>
      <c r="E1183" s="25"/>
      <c r="F1183" s="25"/>
      <c r="G1183" s="25"/>
      <c r="H1183" s="25"/>
      <c r="I1183" s="25"/>
      <c r="J1183" s="25"/>
      <c r="K1183" s="25"/>
      <c r="L1183" s="25"/>
      <c r="M1183" s="25"/>
      <c r="N1183" s="25"/>
      <c r="O1183" s="25"/>
      <c r="P1183" s="25"/>
      <c r="Q1183" s="25"/>
      <c r="R1183" s="25"/>
    </row>
    <row r="1184" spans="2:18" ht="39.75">
      <c r="B1184" s="27"/>
      <c r="C1184" s="14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</row>
    <row r="1185" spans="2:18" ht="58.5">
      <c r="B1185" s="31">
        <f t="shared" ref="B1185" si="135">B1181+1</f>
        <v>296</v>
      </c>
      <c r="C1185" s="14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  <c r="N1185" s="32"/>
      <c r="O1185" s="32"/>
      <c r="P1185" s="32"/>
      <c r="Q1185" s="32"/>
      <c r="R1185" s="32"/>
    </row>
    <row r="1186" spans="2:18">
      <c r="B1186" s="35"/>
      <c r="C1186" s="14"/>
      <c r="D1186" s="37"/>
      <c r="E1186" s="37"/>
      <c r="F1186" s="37"/>
      <c r="G1186" s="37"/>
      <c r="H1186" s="37"/>
      <c r="I1186" s="37"/>
      <c r="J1186" s="37"/>
      <c r="K1186" s="37"/>
      <c r="L1186" s="37"/>
      <c r="M1186" s="37"/>
      <c r="N1186" s="37"/>
      <c r="O1186" s="37"/>
      <c r="P1186" s="37"/>
      <c r="Q1186" s="37"/>
      <c r="R1186" s="37"/>
    </row>
    <row r="1187" spans="2:18">
      <c r="B1187" s="22"/>
      <c r="C1187" s="47"/>
      <c r="D1187" s="25"/>
      <c r="E1187" s="25"/>
      <c r="F1187" s="25"/>
      <c r="G1187" s="25"/>
      <c r="H1187" s="25"/>
      <c r="I1187" s="25"/>
      <c r="J1187" s="25"/>
      <c r="K1187" s="25"/>
      <c r="L1187" s="25"/>
      <c r="M1187" s="25"/>
      <c r="N1187" s="25"/>
      <c r="O1187" s="25"/>
      <c r="P1187" s="25"/>
      <c r="Q1187" s="25"/>
      <c r="R1187" s="25"/>
    </row>
    <row r="1188" spans="2:18" ht="39.75">
      <c r="B1188" s="27"/>
      <c r="C1188" s="14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</row>
    <row r="1189" spans="2:18" ht="58.5">
      <c r="B1189" s="31">
        <f t="shared" ref="B1189" si="136">B1185+1</f>
        <v>297</v>
      </c>
      <c r="C1189" s="14"/>
      <c r="D1189" s="32"/>
      <c r="E1189" s="32"/>
      <c r="F1189" s="32"/>
      <c r="G1189" s="32"/>
      <c r="H1189" s="32"/>
      <c r="I1189" s="32"/>
      <c r="J1189" s="32"/>
      <c r="K1189" s="32"/>
      <c r="L1189" s="32"/>
      <c r="M1189" s="32"/>
      <c r="N1189" s="32"/>
      <c r="O1189" s="32"/>
      <c r="P1189" s="32"/>
      <c r="Q1189" s="32"/>
      <c r="R1189" s="32"/>
    </row>
    <row r="1190" spans="2:18">
      <c r="B1190" s="35"/>
      <c r="C1190" s="14"/>
      <c r="D1190" s="37"/>
      <c r="E1190" s="37"/>
      <c r="F1190" s="37"/>
      <c r="G1190" s="37"/>
      <c r="H1190" s="37"/>
      <c r="I1190" s="37"/>
      <c r="J1190" s="37"/>
      <c r="K1190" s="37"/>
      <c r="L1190" s="37"/>
      <c r="M1190" s="37"/>
      <c r="N1190" s="37"/>
      <c r="O1190" s="37"/>
      <c r="P1190" s="37"/>
      <c r="Q1190" s="37"/>
      <c r="R1190" s="37"/>
    </row>
    <row r="1191" spans="2:18">
      <c r="B1191" s="22"/>
      <c r="C1191" s="47"/>
      <c r="D1191" s="25"/>
      <c r="E1191" s="25"/>
      <c r="F1191" s="25"/>
      <c r="G1191" s="25"/>
      <c r="H1191" s="25"/>
      <c r="I1191" s="25"/>
      <c r="J1191" s="25"/>
      <c r="K1191" s="25"/>
      <c r="L1191" s="25"/>
      <c r="M1191" s="25"/>
      <c r="N1191" s="25"/>
      <c r="O1191" s="25"/>
      <c r="P1191" s="25"/>
      <c r="Q1191" s="25"/>
      <c r="R1191" s="25"/>
    </row>
    <row r="1192" spans="2:18" ht="39.75">
      <c r="B1192" s="27"/>
      <c r="C1192" s="14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</row>
    <row r="1193" spans="2:18" ht="58.5">
      <c r="B1193" s="31">
        <f t="shared" ref="B1193" si="137">B1189+1</f>
        <v>298</v>
      </c>
      <c r="C1193" s="14"/>
      <c r="D1193" s="32"/>
      <c r="E1193" s="32"/>
      <c r="F1193" s="32"/>
      <c r="G1193" s="32"/>
      <c r="H1193" s="32"/>
      <c r="I1193" s="32"/>
      <c r="J1193" s="32"/>
      <c r="K1193" s="32"/>
      <c r="L1193" s="32"/>
      <c r="M1193" s="32"/>
      <c r="N1193" s="32"/>
      <c r="O1193" s="32"/>
      <c r="P1193" s="32"/>
      <c r="Q1193" s="32"/>
      <c r="R1193" s="32"/>
    </row>
    <row r="1194" spans="2:18">
      <c r="B1194" s="35"/>
      <c r="C1194" s="14"/>
      <c r="D1194" s="37"/>
      <c r="E1194" s="37"/>
      <c r="F1194" s="37"/>
      <c r="G1194" s="37"/>
      <c r="H1194" s="37"/>
      <c r="I1194" s="37"/>
      <c r="J1194" s="37"/>
      <c r="K1194" s="37"/>
      <c r="L1194" s="37"/>
      <c r="M1194" s="37"/>
      <c r="N1194" s="37"/>
      <c r="O1194" s="37"/>
      <c r="P1194" s="37"/>
      <c r="Q1194" s="37"/>
      <c r="R1194" s="37"/>
    </row>
    <row r="1195" spans="2:18">
      <c r="B1195" s="22"/>
      <c r="C1195" s="47"/>
      <c r="D1195" s="25"/>
      <c r="E1195" s="25"/>
      <c r="F1195" s="25"/>
      <c r="G1195" s="25"/>
      <c r="H1195" s="25"/>
      <c r="I1195" s="25"/>
      <c r="J1195" s="25"/>
      <c r="K1195" s="25"/>
      <c r="L1195" s="25"/>
      <c r="M1195" s="25"/>
      <c r="N1195" s="25"/>
      <c r="O1195" s="25"/>
      <c r="P1195" s="25"/>
      <c r="Q1195" s="25"/>
      <c r="R1195" s="25"/>
    </row>
    <row r="1196" spans="2:18" ht="39.75">
      <c r="B1196" s="27"/>
      <c r="C1196" s="14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</row>
    <row r="1197" spans="2:18" ht="58.5">
      <c r="B1197" s="31">
        <f t="shared" ref="B1197" si="138">B1193+1</f>
        <v>299</v>
      </c>
      <c r="C1197" s="14"/>
      <c r="D1197" s="32"/>
      <c r="E1197" s="32"/>
      <c r="F1197" s="32"/>
      <c r="G1197" s="32"/>
      <c r="H1197" s="32"/>
      <c r="I1197" s="32"/>
      <c r="J1197" s="32"/>
      <c r="K1197" s="32"/>
      <c r="L1197" s="32"/>
      <c r="M1197" s="32"/>
      <c r="N1197" s="32"/>
      <c r="O1197" s="32"/>
      <c r="P1197" s="32"/>
      <c r="Q1197" s="32"/>
      <c r="R1197" s="32"/>
    </row>
    <row r="1198" spans="2:18">
      <c r="B1198" s="35"/>
      <c r="C1198" s="14"/>
      <c r="D1198" s="37"/>
      <c r="E1198" s="37"/>
      <c r="F1198" s="37"/>
      <c r="G1198" s="37"/>
      <c r="H1198" s="37"/>
      <c r="I1198" s="37"/>
      <c r="J1198" s="37"/>
      <c r="K1198" s="37"/>
      <c r="L1198" s="37"/>
      <c r="M1198" s="37"/>
      <c r="N1198" s="37"/>
      <c r="O1198" s="37"/>
      <c r="P1198" s="37"/>
      <c r="Q1198" s="37"/>
      <c r="R1198" s="37"/>
    </row>
    <row r="1199" spans="2:18">
      <c r="B1199" s="22"/>
      <c r="C1199" s="47"/>
      <c r="D1199" s="25"/>
      <c r="E1199" s="25"/>
      <c r="F1199" s="25"/>
      <c r="G1199" s="25"/>
      <c r="H1199" s="25"/>
      <c r="I1199" s="25"/>
      <c r="J1199" s="25"/>
      <c r="K1199" s="25"/>
      <c r="L1199" s="25"/>
      <c r="M1199" s="25"/>
      <c r="N1199" s="25"/>
      <c r="O1199" s="25"/>
      <c r="P1199" s="25"/>
      <c r="Q1199" s="25"/>
      <c r="R1199" s="25"/>
    </row>
    <row r="1200" spans="2:18" ht="39.75">
      <c r="B1200" s="27"/>
      <c r="C1200" s="14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</row>
    <row r="1201" spans="2:18" ht="58.5">
      <c r="B1201" s="31">
        <f t="shared" ref="B1201" si="139">B1197+1</f>
        <v>300</v>
      </c>
      <c r="C1201" s="14"/>
      <c r="D1201" s="32"/>
      <c r="E1201" s="32"/>
      <c r="F1201" s="32"/>
      <c r="G1201" s="32"/>
      <c r="H1201" s="32"/>
      <c r="I1201" s="32"/>
      <c r="J1201" s="32"/>
      <c r="K1201" s="32"/>
      <c r="L1201" s="32"/>
      <c r="M1201" s="32"/>
      <c r="N1201" s="32"/>
      <c r="O1201" s="32"/>
      <c r="P1201" s="32"/>
      <c r="Q1201" s="32"/>
      <c r="R1201" s="32"/>
    </row>
    <row r="1202" spans="2:18">
      <c r="B1202" s="35"/>
      <c r="C1202" s="14"/>
      <c r="D1202" s="37"/>
      <c r="E1202" s="37"/>
      <c r="F1202" s="37"/>
      <c r="G1202" s="37"/>
      <c r="H1202" s="37"/>
      <c r="I1202" s="37"/>
      <c r="J1202" s="37"/>
      <c r="K1202" s="37"/>
      <c r="L1202" s="37"/>
      <c r="M1202" s="37"/>
      <c r="N1202" s="37"/>
      <c r="O1202" s="37"/>
      <c r="P1202" s="37"/>
      <c r="Q1202" s="37"/>
      <c r="R1202" s="37"/>
    </row>
    <row r="1203" spans="2:18">
      <c r="B1203" s="22"/>
      <c r="C1203" s="47"/>
      <c r="D1203" s="25"/>
      <c r="E1203" s="25"/>
      <c r="F1203" s="25"/>
      <c r="G1203" s="25"/>
      <c r="H1203" s="25"/>
      <c r="I1203" s="25"/>
      <c r="J1203" s="25"/>
      <c r="K1203" s="25"/>
      <c r="L1203" s="25"/>
      <c r="M1203" s="25"/>
      <c r="N1203" s="25"/>
      <c r="O1203" s="25"/>
      <c r="P1203" s="25"/>
      <c r="Q1203" s="25"/>
      <c r="R1203" s="25"/>
    </row>
    <row r="1204" spans="2:18" ht="39.75">
      <c r="B1204" s="27"/>
      <c r="C1204" s="14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</row>
    <row r="1205" spans="2:18" ht="58.5">
      <c r="B1205" s="31">
        <f t="shared" ref="B1205" si="140">B1201+1</f>
        <v>301</v>
      </c>
      <c r="C1205" s="14"/>
      <c r="D1205" s="32"/>
      <c r="E1205" s="32"/>
      <c r="F1205" s="32"/>
      <c r="G1205" s="32"/>
      <c r="H1205" s="32"/>
      <c r="I1205" s="32"/>
      <c r="J1205" s="32"/>
      <c r="K1205" s="32"/>
      <c r="L1205" s="32"/>
      <c r="M1205" s="32"/>
      <c r="N1205" s="32"/>
      <c r="O1205" s="32"/>
      <c r="P1205" s="32"/>
      <c r="Q1205" s="32"/>
      <c r="R1205" s="32"/>
    </row>
    <row r="1206" spans="2:18">
      <c r="B1206" s="35"/>
      <c r="C1206" s="14"/>
      <c r="D1206" s="37"/>
      <c r="E1206" s="37"/>
      <c r="F1206" s="37"/>
      <c r="G1206" s="37"/>
      <c r="H1206" s="37"/>
      <c r="I1206" s="37"/>
      <c r="J1206" s="37"/>
      <c r="K1206" s="37"/>
      <c r="L1206" s="37"/>
      <c r="M1206" s="37"/>
      <c r="N1206" s="37"/>
      <c r="O1206" s="37"/>
      <c r="P1206" s="37"/>
      <c r="Q1206" s="37"/>
      <c r="R1206" s="37"/>
    </row>
    <row r="1207" spans="2:18">
      <c r="B1207" s="40"/>
      <c r="C1207" s="41"/>
      <c r="D1207" s="25"/>
      <c r="E1207" s="25"/>
      <c r="F1207" s="25"/>
      <c r="G1207" s="25"/>
      <c r="H1207" s="25"/>
      <c r="I1207" s="25"/>
      <c r="J1207" s="25"/>
      <c r="K1207" s="25"/>
      <c r="L1207" s="25"/>
      <c r="M1207" s="25"/>
      <c r="N1207" s="25"/>
      <c r="O1207" s="25"/>
      <c r="P1207" s="25"/>
      <c r="Q1207" s="25"/>
      <c r="R1207" s="25"/>
    </row>
    <row r="1208" spans="2:18" ht="39.75">
      <c r="B1208" s="27"/>
      <c r="C1208" s="14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</row>
    <row r="1209" spans="2:18" ht="58.5">
      <c r="B1209" s="31">
        <f>B1205+1</f>
        <v>302</v>
      </c>
      <c r="C1209" s="14"/>
      <c r="D1209" s="32"/>
      <c r="E1209" s="32"/>
      <c r="F1209" s="32"/>
      <c r="G1209" s="32"/>
      <c r="H1209" s="32"/>
      <c r="I1209" s="32"/>
      <c r="J1209" s="32"/>
      <c r="K1209" s="32"/>
      <c r="L1209" s="32"/>
      <c r="M1209" s="32"/>
      <c r="N1209" s="32"/>
      <c r="O1209" s="32"/>
      <c r="P1209" s="32"/>
      <c r="Q1209" s="32"/>
      <c r="R1209" s="32"/>
    </row>
    <row r="1210" spans="2:18">
      <c r="B1210" s="35"/>
      <c r="C1210" s="14"/>
      <c r="D1210" s="37"/>
      <c r="E1210" s="37"/>
      <c r="F1210" s="37"/>
      <c r="G1210" s="37"/>
      <c r="H1210" s="37"/>
      <c r="I1210" s="37"/>
      <c r="J1210" s="37"/>
      <c r="K1210" s="37"/>
      <c r="L1210" s="37"/>
      <c r="M1210" s="37"/>
      <c r="N1210" s="37"/>
      <c r="O1210" s="37"/>
      <c r="P1210" s="37"/>
      <c r="Q1210" s="37"/>
      <c r="R1210" s="37"/>
    </row>
    <row r="1211" spans="2:18">
      <c r="B1211" s="44"/>
      <c r="C1211" s="45"/>
      <c r="D1211" s="25"/>
      <c r="E1211" s="25"/>
      <c r="F1211" s="25"/>
      <c r="G1211" s="25"/>
      <c r="H1211" s="25"/>
      <c r="I1211" s="25"/>
      <c r="J1211" s="25"/>
      <c r="K1211" s="25"/>
      <c r="L1211" s="25"/>
      <c r="M1211" s="25"/>
      <c r="N1211" s="25"/>
      <c r="O1211" s="25"/>
      <c r="P1211" s="25"/>
      <c r="Q1211" s="25"/>
      <c r="R1211" s="25"/>
    </row>
    <row r="1212" spans="2:18" ht="39.75">
      <c r="B1212" s="27"/>
      <c r="C1212" s="14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</row>
    <row r="1213" spans="2:18" ht="58.5">
      <c r="B1213" s="31">
        <f>B1209+1</f>
        <v>303</v>
      </c>
      <c r="C1213" s="14"/>
      <c r="D1213" s="32"/>
      <c r="E1213" s="32"/>
      <c r="F1213" s="32"/>
      <c r="G1213" s="32"/>
      <c r="H1213" s="32"/>
      <c r="I1213" s="32"/>
      <c r="J1213" s="32"/>
      <c r="K1213" s="32"/>
      <c r="L1213" s="32"/>
      <c r="M1213" s="32"/>
      <c r="N1213" s="32"/>
      <c r="O1213" s="32"/>
      <c r="P1213" s="32"/>
      <c r="Q1213" s="32"/>
      <c r="R1213" s="32"/>
    </row>
    <row r="1214" spans="2:18">
      <c r="B1214" s="35"/>
      <c r="C1214" s="14"/>
      <c r="D1214" s="37"/>
      <c r="E1214" s="37"/>
      <c r="F1214" s="37"/>
      <c r="G1214" s="37"/>
      <c r="H1214" s="37"/>
      <c r="I1214" s="37"/>
      <c r="J1214" s="37"/>
      <c r="K1214" s="37"/>
      <c r="L1214" s="37"/>
      <c r="M1214" s="37"/>
      <c r="N1214" s="37"/>
      <c r="O1214" s="37"/>
      <c r="P1214" s="37"/>
      <c r="Q1214" s="37"/>
      <c r="R1214" s="37"/>
    </row>
    <row r="1215" spans="2:18">
      <c r="B1215" s="22"/>
      <c r="C1215" s="47"/>
      <c r="D1215" s="25"/>
      <c r="E1215" s="25"/>
      <c r="F1215" s="25"/>
      <c r="G1215" s="25"/>
      <c r="H1215" s="25"/>
      <c r="I1215" s="25"/>
      <c r="J1215" s="25"/>
      <c r="K1215" s="25"/>
      <c r="L1215" s="25"/>
      <c r="M1215" s="25"/>
      <c r="N1215" s="25"/>
      <c r="O1215" s="25"/>
      <c r="P1215" s="25"/>
      <c r="Q1215" s="25"/>
      <c r="R1215" s="25"/>
    </row>
    <row r="1216" spans="2:18" ht="39.75">
      <c r="B1216" s="27"/>
      <c r="C1216" s="14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</row>
    <row r="1217" spans="2:18" ht="58.5">
      <c r="B1217" s="31">
        <f>B1213+1</f>
        <v>304</v>
      </c>
      <c r="C1217" s="14"/>
      <c r="D1217" s="32"/>
      <c r="E1217" s="32"/>
      <c r="F1217" s="32"/>
      <c r="G1217" s="32"/>
      <c r="H1217" s="32"/>
      <c r="I1217" s="32"/>
      <c r="J1217" s="32"/>
      <c r="K1217" s="32"/>
      <c r="L1217" s="32"/>
      <c r="M1217" s="32"/>
      <c r="N1217" s="32"/>
      <c r="O1217" s="32"/>
      <c r="P1217" s="32"/>
      <c r="Q1217" s="32"/>
      <c r="R1217" s="32"/>
    </row>
    <row r="1218" spans="2:18">
      <c r="B1218" s="35"/>
      <c r="C1218" s="14"/>
      <c r="D1218" s="37"/>
      <c r="E1218" s="37"/>
      <c r="F1218" s="37"/>
      <c r="G1218" s="37"/>
      <c r="H1218" s="37"/>
      <c r="I1218" s="37"/>
      <c r="J1218" s="37"/>
      <c r="K1218" s="37"/>
      <c r="L1218" s="37"/>
      <c r="M1218" s="37"/>
      <c r="N1218" s="37"/>
      <c r="O1218" s="37"/>
      <c r="P1218" s="37"/>
      <c r="Q1218" s="37"/>
      <c r="R1218" s="37"/>
    </row>
    <row r="1219" spans="2:18">
      <c r="B1219" s="22"/>
      <c r="C1219" s="47"/>
      <c r="D1219" s="25"/>
      <c r="E1219" s="25"/>
      <c r="F1219" s="25"/>
      <c r="G1219" s="25"/>
      <c r="H1219" s="25"/>
      <c r="I1219" s="25"/>
      <c r="J1219" s="25"/>
      <c r="K1219" s="25"/>
      <c r="L1219" s="25"/>
      <c r="M1219" s="25"/>
      <c r="N1219" s="25"/>
      <c r="O1219" s="25"/>
      <c r="P1219" s="25"/>
      <c r="Q1219" s="25"/>
      <c r="R1219" s="25"/>
    </row>
    <row r="1220" spans="2:18" ht="39.75">
      <c r="B1220" s="27"/>
      <c r="C1220" s="14"/>
      <c r="D1220" s="29"/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</row>
    <row r="1221" spans="2:18" ht="58.5">
      <c r="B1221" s="31">
        <f>B1217+1</f>
        <v>305</v>
      </c>
      <c r="C1221" s="14"/>
      <c r="D1221" s="32"/>
      <c r="E1221" s="32"/>
      <c r="F1221" s="32"/>
      <c r="G1221" s="32"/>
      <c r="H1221" s="32"/>
      <c r="I1221" s="32"/>
      <c r="J1221" s="32"/>
      <c r="K1221" s="32"/>
      <c r="L1221" s="32"/>
      <c r="M1221" s="32"/>
      <c r="N1221" s="32"/>
      <c r="O1221" s="32"/>
      <c r="P1221" s="32"/>
      <c r="Q1221" s="32"/>
      <c r="R1221" s="32"/>
    </row>
    <row r="1222" spans="2:18">
      <c r="B1222" s="35"/>
      <c r="C1222" s="14"/>
      <c r="D1222" s="37"/>
      <c r="E1222" s="37"/>
      <c r="F1222" s="37"/>
      <c r="G1222" s="37"/>
      <c r="H1222" s="37"/>
      <c r="I1222" s="37"/>
      <c r="J1222" s="37"/>
      <c r="K1222" s="37"/>
      <c r="L1222" s="37"/>
      <c r="M1222" s="37"/>
      <c r="N1222" s="37"/>
      <c r="O1222" s="37"/>
      <c r="P1222" s="37"/>
      <c r="Q1222" s="37"/>
      <c r="R1222" s="37"/>
    </row>
    <row r="1223" spans="2:18">
      <c r="B1223" s="22"/>
      <c r="C1223" s="47"/>
      <c r="D1223" s="25"/>
      <c r="E1223" s="25"/>
      <c r="F1223" s="25"/>
      <c r="G1223" s="25"/>
      <c r="H1223" s="25"/>
      <c r="I1223" s="25"/>
      <c r="J1223" s="25"/>
      <c r="K1223" s="25"/>
      <c r="L1223" s="25"/>
      <c r="M1223" s="25"/>
      <c r="N1223" s="25"/>
      <c r="O1223" s="25"/>
      <c r="P1223" s="25"/>
      <c r="Q1223" s="25"/>
      <c r="R1223" s="25"/>
    </row>
    <row r="1224" spans="2:18" ht="39.75">
      <c r="B1224" s="27"/>
      <c r="C1224" s="14"/>
      <c r="D1224" s="29"/>
      <c r="E1224" s="29"/>
      <c r="F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</row>
    <row r="1225" spans="2:18" ht="58.5">
      <c r="B1225" s="31">
        <f>B1221+1</f>
        <v>306</v>
      </c>
      <c r="C1225" s="14"/>
      <c r="D1225" s="32"/>
      <c r="E1225" s="32"/>
      <c r="F1225" s="32"/>
      <c r="G1225" s="32"/>
      <c r="H1225" s="32"/>
      <c r="I1225" s="32"/>
      <c r="J1225" s="32"/>
      <c r="K1225" s="32"/>
      <c r="L1225" s="32"/>
      <c r="M1225" s="32"/>
      <c r="N1225" s="32"/>
      <c r="O1225" s="32"/>
      <c r="P1225" s="32"/>
      <c r="Q1225" s="32"/>
      <c r="R1225" s="32"/>
    </row>
    <row r="1226" spans="2:18">
      <c r="B1226" s="35"/>
      <c r="C1226" s="14"/>
      <c r="D1226" s="37"/>
      <c r="E1226" s="37"/>
      <c r="F1226" s="37"/>
      <c r="G1226" s="37"/>
      <c r="H1226" s="37"/>
      <c r="I1226" s="37"/>
      <c r="J1226" s="37"/>
      <c r="K1226" s="37"/>
      <c r="L1226" s="37"/>
      <c r="M1226" s="37"/>
      <c r="N1226" s="37"/>
      <c r="O1226" s="37"/>
      <c r="P1226" s="37"/>
      <c r="Q1226" s="37"/>
      <c r="R1226" s="37"/>
    </row>
    <row r="1227" spans="2:18">
      <c r="B1227" s="22"/>
      <c r="C1227" s="47"/>
      <c r="D1227" s="25"/>
      <c r="E1227" s="25"/>
      <c r="F1227" s="25"/>
      <c r="G1227" s="25"/>
      <c r="H1227" s="25"/>
      <c r="I1227" s="25"/>
      <c r="J1227" s="25"/>
      <c r="K1227" s="25"/>
      <c r="L1227" s="25"/>
      <c r="M1227" s="25"/>
      <c r="N1227" s="25"/>
      <c r="O1227" s="25"/>
      <c r="P1227" s="25"/>
      <c r="Q1227" s="25"/>
      <c r="R1227" s="25"/>
    </row>
    <row r="1228" spans="2:18" ht="39.75">
      <c r="B1228" s="27"/>
      <c r="C1228" s="14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</row>
    <row r="1229" spans="2:18" ht="58.5">
      <c r="B1229" s="31">
        <f>B1225+1</f>
        <v>307</v>
      </c>
      <c r="C1229" s="14"/>
      <c r="D1229" s="32"/>
      <c r="E1229" s="32"/>
      <c r="F1229" s="32"/>
      <c r="G1229" s="32"/>
      <c r="H1229" s="32"/>
      <c r="I1229" s="32"/>
      <c r="J1229" s="32"/>
      <c r="K1229" s="32"/>
      <c r="L1229" s="32"/>
      <c r="M1229" s="32"/>
      <c r="N1229" s="32"/>
      <c r="O1229" s="32"/>
      <c r="P1229" s="32"/>
      <c r="Q1229" s="32"/>
      <c r="R1229" s="32"/>
    </row>
    <row r="1230" spans="2:18">
      <c r="B1230" s="35"/>
      <c r="C1230" s="14"/>
      <c r="D1230" s="37"/>
      <c r="E1230" s="37"/>
      <c r="F1230" s="37"/>
      <c r="G1230" s="37"/>
      <c r="H1230" s="37"/>
      <c r="I1230" s="37"/>
      <c r="J1230" s="37"/>
      <c r="K1230" s="37"/>
      <c r="L1230" s="37"/>
      <c r="M1230" s="37"/>
      <c r="N1230" s="37"/>
      <c r="O1230" s="37"/>
      <c r="P1230" s="37"/>
      <c r="Q1230" s="37"/>
      <c r="R1230" s="37"/>
    </row>
    <row r="1231" spans="2:18">
      <c r="B1231" s="22"/>
      <c r="C1231" s="47"/>
      <c r="D1231" s="25"/>
      <c r="E1231" s="25"/>
      <c r="F1231" s="25"/>
      <c r="G1231" s="25"/>
      <c r="H1231" s="25"/>
      <c r="I1231" s="25"/>
      <c r="J1231" s="25"/>
      <c r="K1231" s="25"/>
      <c r="L1231" s="25"/>
      <c r="M1231" s="25"/>
      <c r="N1231" s="25"/>
      <c r="O1231" s="25"/>
      <c r="P1231" s="25"/>
      <c r="Q1231" s="25"/>
      <c r="R1231" s="25"/>
    </row>
    <row r="1232" spans="2:18" ht="39.75">
      <c r="B1232" s="27"/>
      <c r="C1232" s="14"/>
      <c r="D1232" s="29"/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</row>
    <row r="1233" spans="2:18" ht="58.5">
      <c r="B1233" s="31">
        <f>B1229+1</f>
        <v>308</v>
      </c>
      <c r="C1233" s="14"/>
      <c r="D1233" s="32"/>
      <c r="E1233" s="32"/>
      <c r="F1233" s="32"/>
      <c r="G1233" s="32"/>
      <c r="H1233" s="32"/>
      <c r="I1233" s="32"/>
      <c r="J1233" s="32"/>
      <c r="K1233" s="32"/>
      <c r="L1233" s="32"/>
      <c r="M1233" s="32"/>
      <c r="N1233" s="32"/>
      <c r="O1233" s="32"/>
      <c r="P1233" s="32"/>
      <c r="Q1233" s="32"/>
      <c r="R1233" s="32"/>
    </row>
    <row r="1234" spans="2:18">
      <c r="B1234" s="35"/>
      <c r="C1234" s="14"/>
      <c r="D1234" s="37"/>
      <c r="E1234" s="37"/>
      <c r="F1234" s="37"/>
      <c r="G1234" s="37"/>
      <c r="H1234" s="37"/>
      <c r="I1234" s="37"/>
      <c r="J1234" s="37"/>
      <c r="K1234" s="37"/>
      <c r="L1234" s="37"/>
      <c r="M1234" s="37"/>
      <c r="N1234" s="37"/>
      <c r="O1234" s="37"/>
      <c r="P1234" s="37"/>
      <c r="Q1234" s="37"/>
      <c r="R1234" s="37"/>
    </row>
    <row r="1235" spans="2:18">
      <c r="B1235" s="22"/>
      <c r="C1235" s="47"/>
      <c r="D1235" s="25"/>
      <c r="E1235" s="25"/>
      <c r="F1235" s="25"/>
      <c r="G1235" s="25"/>
      <c r="H1235" s="25"/>
      <c r="I1235" s="25"/>
      <c r="J1235" s="25"/>
      <c r="K1235" s="25"/>
      <c r="L1235" s="25"/>
      <c r="M1235" s="25"/>
      <c r="N1235" s="25"/>
      <c r="O1235" s="25"/>
      <c r="P1235" s="25"/>
      <c r="Q1235" s="25"/>
      <c r="R1235" s="25"/>
    </row>
    <row r="1236" spans="2:18" ht="39.75">
      <c r="B1236" s="27"/>
      <c r="C1236" s="14"/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</row>
    <row r="1237" spans="2:18" ht="58.5">
      <c r="B1237" s="31">
        <f>B1233+1</f>
        <v>309</v>
      </c>
      <c r="C1237" s="14"/>
      <c r="D1237" s="32"/>
      <c r="E1237" s="32"/>
      <c r="F1237" s="32"/>
      <c r="G1237" s="32"/>
      <c r="H1237" s="32"/>
      <c r="I1237" s="32"/>
      <c r="J1237" s="32"/>
      <c r="K1237" s="32"/>
      <c r="L1237" s="32"/>
      <c r="M1237" s="32"/>
      <c r="N1237" s="32"/>
      <c r="O1237" s="32"/>
      <c r="P1237" s="32"/>
      <c r="Q1237" s="32"/>
      <c r="R1237" s="32"/>
    </row>
    <row r="1238" spans="2:18">
      <c r="B1238" s="35"/>
      <c r="C1238" s="14"/>
      <c r="D1238" s="37"/>
      <c r="E1238" s="37"/>
      <c r="F1238" s="37"/>
      <c r="G1238" s="37"/>
      <c r="H1238" s="37"/>
      <c r="I1238" s="37"/>
      <c r="J1238" s="37"/>
      <c r="K1238" s="37"/>
      <c r="L1238" s="37"/>
      <c r="M1238" s="37"/>
      <c r="N1238" s="37"/>
      <c r="O1238" s="37"/>
      <c r="P1238" s="37"/>
      <c r="Q1238" s="37"/>
      <c r="R1238" s="37"/>
    </row>
    <row r="1239" spans="2:18">
      <c r="B1239" s="22"/>
      <c r="C1239" s="47"/>
      <c r="D1239" s="25"/>
      <c r="E1239" s="25"/>
      <c r="F1239" s="25"/>
      <c r="G1239" s="25"/>
      <c r="H1239" s="25"/>
      <c r="I1239" s="25"/>
      <c r="J1239" s="25"/>
      <c r="K1239" s="25"/>
      <c r="L1239" s="25"/>
      <c r="M1239" s="25"/>
      <c r="N1239" s="25"/>
      <c r="O1239" s="25"/>
      <c r="P1239" s="25"/>
      <c r="Q1239" s="25"/>
      <c r="R1239" s="25"/>
    </row>
    <row r="1240" spans="2:18" ht="39.75">
      <c r="B1240" s="27"/>
      <c r="C1240" s="14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</row>
    <row r="1241" spans="2:18" ht="58.5">
      <c r="B1241" s="31">
        <f>B1237+1</f>
        <v>310</v>
      </c>
      <c r="C1241" s="14"/>
      <c r="D1241" s="32"/>
      <c r="E1241" s="32"/>
      <c r="F1241" s="32"/>
      <c r="G1241" s="32"/>
      <c r="H1241" s="32"/>
      <c r="I1241" s="32"/>
      <c r="J1241" s="32"/>
      <c r="K1241" s="32"/>
      <c r="L1241" s="32"/>
      <c r="M1241" s="32"/>
      <c r="N1241" s="32"/>
      <c r="O1241" s="32"/>
      <c r="P1241" s="32"/>
      <c r="Q1241" s="32"/>
      <c r="R1241" s="32"/>
    </row>
    <row r="1242" spans="2:18">
      <c r="B1242" s="35"/>
      <c r="C1242" s="14"/>
      <c r="D1242" s="37"/>
      <c r="E1242" s="37"/>
      <c r="F1242" s="37"/>
      <c r="G1242" s="37"/>
      <c r="H1242" s="37"/>
      <c r="I1242" s="37"/>
      <c r="J1242" s="37"/>
      <c r="K1242" s="37"/>
      <c r="L1242" s="37"/>
      <c r="M1242" s="37"/>
      <c r="N1242" s="37"/>
      <c r="O1242" s="37"/>
      <c r="P1242" s="37"/>
      <c r="Q1242" s="37"/>
      <c r="R1242" s="37"/>
    </row>
    <row r="1243" spans="2:18">
      <c r="B1243" s="22"/>
      <c r="C1243" s="47"/>
      <c r="D1243" s="25"/>
      <c r="E1243" s="25"/>
      <c r="F1243" s="25"/>
      <c r="G1243" s="25"/>
      <c r="H1243" s="25"/>
      <c r="I1243" s="25"/>
      <c r="J1243" s="25"/>
      <c r="K1243" s="25"/>
      <c r="L1243" s="25"/>
      <c r="M1243" s="25"/>
      <c r="N1243" s="25"/>
      <c r="O1243" s="25"/>
      <c r="P1243" s="25"/>
      <c r="Q1243" s="25"/>
      <c r="R1243" s="25"/>
    </row>
    <row r="1244" spans="2:18" ht="39.75">
      <c r="B1244" s="27"/>
      <c r="C1244" s="14"/>
      <c r="D1244" s="29"/>
      <c r="E1244" s="29"/>
      <c r="F1244" s="29"/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</row>
    <row r="1245" spans="2:18" ht="58.5">
      <c r="B1245" s="31">
        <f>B1241+1</f>
        <v>311</v>
      </c>
      <c r="C1245" s="14"/>
      <c r="D1245" s="32"/>
      <c r="E1245" s="32"/>
      <c r="F1245" s="32"/>
      <c r="G1245" s="32"/>
      <c r="H1245" s="32"/>
      <c r="I1245" s="32"/>
      <c r="J1245" s="32"/>
      <c r="K1245" s="32"/>
      <c r="L1245" s="32"/>
      <c r="M1245" s="32"/>
      <c r="N1245" s="32"/>
      <c r="O1245" s="32"/>
      <c r="P1245" s="32"/>
      <c r="Q1245" s="32"/>
      <c r="R1245" s="32"/>
    </row>
    <row r="1246" spans="2:18">
      <c r="B1246" s="35"/>
      <c r="C1246" s="14"/>
      <c r="D1246" s="37"/>
      <c r="E1246" s="37"/>
      <c r="F1246" s="37"/>
      <c r="G1246" s="37"/>
      <c r="H1246" s="37"/>
      <c r="I1246" s="37"/>
      <c r="J1246" s="37"/>
      <c r="K1246" s="37"/>
      <c r="L1246" s="37"/>
      <c r="M1246" s="37"/>
      <c r="N1246" s="37"/>
      <c r="O1246" s="37"/>
      <c r="P1246" s="37"/>
      <c r="Q1246" s="37"/>
      <c r="R1246" s="37"/>
    </row>
    <row r="1247" spans="2:18">
      <c r="B1247" s="22"/>
      <c r="C1247" s="47"/>
      <c r="D1247" s="25"/>
      <c r="E1247" s="25"/>
      <c r="F1247" s="25"/>
      <c r="G1247" s="25"/>
      <c r="H1247" s="25"/>
      <c r="I1247" s="25"/>
      <c r="J1247" s="25"/>
      <c r="K1247" s="25"/>
      <c r="L1247" s="25"/>
      <c r="M1247" s="25"/>
      <c r="N1247" s="25"/>
      <c r="O1247" s="25"/>
      <c r="P1247" s="25"/>
      <c r="Q1247" s="25"/>
      <c r="R1247" s="25"/>
    </row>
    <row r="1248" spans="2:18" ht="39.75">
      <c r="B1248" s="27"/>
      <c r="C1248" s="14"/>
      <c r="D1248" s="29"/>
      <c r="E1248" s="29"/>
      <c r="F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</row>
    <row r="1249" spans="2:18" ht="58.5">
      <c r="B1249" s="31">
        <f>B1245+1</f>
        <v>312</v>
      </c>
      <c r="C1249" s="14"/>
      <c r="D1249" s="32"/>
      <c r="E1249" s="32"/>
      <c r="F1249" s="32"/>
      <c r="G1249" s="32"/>
      <c r="H1249" s="32"/>
      <c r="I1249" s="32"/>
      <c r="J1249" s="32"/>
      <c r="K1249" s="32"/>
      <c r="L1249" s="32"/>
      <c r="M1249" s="32"/>
      <c r="N1249" s="32"/>
      <c r="O1249" s="32"/>
      <c r="P1249" s="32"/>
      <c r="Q1249" s="32"/>
      <c r="R1249" s="32"/>
    </row>
    <row r="1250" spans="2:18">
      <c r="B1250" s="35"/>
      <c r="C1250" s="14"/>
      <c r="D1250" s="37"/>
      <c r="E1250" s="37"/>
      <c r="F1250" s="37"/>
      <c r="G1250" s="37"/>
      <c r="H1250" s="37"/>
      <c r="I1250" s="37"/>
      <c r="J1250" s="37"/>
      <c r="K1250" s="37"/>
      <c r="L1250" s="37"/>
      <c r="M1250" s="37"/>
      <c r="N1250" s="37"/>
      <c r="O1250" s="37"/>
      <c r="P1250" s="37"/>
      <c r="Q1250" s="37"/>
      <c r="R1250" s="37"/>
    </row>
    <row r="1251" spans="2:18">
      <c r="B1251" s="22"/>
      <c r="C1251" s="47"/>
      <c r="D1251" s="25"/>
      <c r="E1251" s="25"/>
      <c r="F1251" s="25"/>
      <c r="G1251" s="25"/>
      <c r="H1251" s="25"/>
      <c r="I1251" s="25"/>
      <c r="J1251" s="25"/>
      <c r="K1251" s="25"/>
      <c r="L1251" s="25"/>
      <c r="M1251" s="25"/>
      <c r="N1251" s="25"/>
      <c r="O1251" s="25"/>
      <c r="P1251" s="25"/>
      <c r="Q1251" s="25"/>
      <c r="R1251" s="25"/>
    </row>
    <row r="1252" spans="2:18" ht="39.75">
      <c r="B1252" s="27"/>
      <c r="C1252" s="14"/>
      <c r="D1252" s="29"/>
      <c r="E1252" s="29"/>
      <c r="F1252" s="29"/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</row>
    <row r="1253" spans="2:18" ht="58.5">
      <c r="B1253" s="31">
        <f>B1249+1</f>
        <v>313</v>
      </c>
      <c r="C1253" s="14"/>
      <c r="D1253" s="32"/>
      <c r="E1253" s="32"/>
      <c r="F1253" s="32"/>
      <c r="G1253" s="32"/>
      <c r="H1253" s="32"/>
      <c r="I1253" s="32"/>
      <c r="J1253" s="32"/>
      <c r="K1253" s="32"/>
      <c r="L1253" s="32"/>
      <c r="M1253" s="32"/>
      <c r="N1253" s="32"/>
      <c r="O1253" s="32"/>
      <c r="P1253" s="32"/>
      <c r="Q1253" s="32"/>
      <c r="R1253" s="32"/>
    </row>
    <row r="1254" spans="2:18">
      <c r="B1254" s="35"/>
      <c r="C1254" s="14"/>
      <c r="D1254" s="37"/>
      <c r="E1254" s="37"/>
      <c r="F1254" s="37"/>
      <c r="G1254" s="37"/>
      <c r="H1254" s="37"/>
      <c r="I1254" s="37"/>
      <c r="J1254" s="37"/>
      <c r="K1254" s="37"/>
      <c r="L1254" s="37"/>
      <c r="M1254" s="37"/>
      <c r="N1254" s="37"/>
      <c r="O1254" s="37"/>
      <c r="P1254" s="37"/>
      <c r="Q1254" s="37"/>
      <c r="R1254" s="37"/>
    </row>
    <row r="1255" spans="2:18">
      <c r="B1255" s="22"/>
      <c r="C1255" s="47"/>
      <c r="D1255" s="25"/>
      <c r="E1255" s="25"/>
      <c r="F1255" s="25"/>
      <c r="G1255" s="25"/>
      <c r="H1255" s="25"/>
      <c r="I1255" s="25"/>
      <c r="J1255" s="25"/>
      <c r="K1255" s="25"/>
      <c r="L1255" s="25"/>
      <c r="M1255" s="25"/>
      <c r="N1255" s="25"/>
      <c r="O1255" s="25"/>
      <c r="P1255" s="25"/>
      <c r="Q1255" s="25"/>
      <c r="R1255" s="25"/>
    </row>
    <row r="1256" spans="2:18" ht="39.75">
      <c r="B1256" s="27"/>
      <c r="C1256" s="14"/>
      <c r="D1256" s="29"/>
      <c r="E1256" s="29"/>
      <c r="F1256" s="29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</row>
    <row r="1257" spans="2:18" ht="58.5">
      <c r="B1257" s="31">
        <f>B1253+1</f>
        <v>314</v>
      </c>
      <c r="C1257" s="14"/>
      <c r="D1257" s="32"/>
      <c r="E1257" s="32"/>
      <c r="F1257" s="32"/>
      <c r="G1257" s="32"/>
      <c r="H1257" s="32"/>
      <c r="I1257" s="32"/>
      <c r="J1257" s="32"/>
      <c r="K1257" s="32"/>
      <c r="L1257" s="32"/>
      <c r="M1257" s="32"/>
      <c r="N1257" s="32"/>
      <c r="O1257" s="32"/>
      <c r="P1257" s="32"/>
      <c r="Q1257" s="32"/>
      <c r="R1257" s="32"/>
    </row>
    <row r="1258" spans="2:18">
      <c r="B1258" s="35"/>
      <c r="C1258" s="14"/>
      <c r="D1258" s="37"/>
      <c r="E1258" s="37"/>
      <c r="F1258" s="37"/>
      <c r="G1258" s="37"/>
      <c r="H1258" s="37"/>
      <c r="I1258" s="37"/>
      <c r="J1258" s="37"/>
      <c r="K1258" s="37"/>
      <c r="L1258" s="37"/>
      <c r="M1258" s="37"/>
      <c r="N1258" s="37"/>
      <c r="O1258" s="37"/>
      <c r="P1258" s="37"/>
      <c r="Q1258" s="37"/>
      <c r="R1258" s="37"/>
    </row>
    <row r="1259" spans="2:18">
      <c r="B1259" s="22"/>
      <c r="C1259" s="47"/>
      <c r="D1259" s="25"/>
      <c r="E1259" s="25"/>
      <c r="F1259" s="25"/>
      <c r="G1259" s="25"/>
      <c r="H1259" s="25"/>
      <c r="I1259" s="25"/>
      <c r="J1259" s="25"/>
      <c r="K1259" s="25"/>
      <c r="L1259" s="25"/>
      <c r="M1259" s="25"/>
      <c r="N1259" s="25"/>
      <c r="O1259" s="25"/>
      <c r="P1259" s="25"/>
      <c r="Q1259" s="25"/>
      <c r="R1259" s="25"/>
    </row>
    <row r="1260" spans="2:18" ht="39.75">
      <c r="B1260" s="27"/>
      <c r="C1260" s="14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</row>
    <row r="1261" spans="2:18" ht="58.5">
      <c r="B1261" s="31">
        <f>B1257+1</f>
        <v>315</v>
      </c>
      <c r="C1261" s="14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</row>
    <row r="1262" spans="2:18">
      <c r="B1262" s="35"/>
      <c r="C1262" s="14"/>
      <c r="D1262" s="37"/>
      <c r="E1262" s="37"/>
      <c r="F1262" s="37"/>
      <c r="G1262" s="37"/>
      <c r="H1262" s="37"/>
      <c r="I1262" s="37"/>
      <c r="J1262" s="37"/>
      <c r="K1262" s="37"/>
      <c r="L1262" s="37"/>
      <c r="M1262" s="37"/>
      <c r="N1262" s="37"/>
      <c r="O1262" s="37"/>
      <c r="P1262" s="37"/>
      <c r="Q1262" s="37"/>
      <c r="R1262" s="37"/>
    </row>
    <row r="1263" spans="2:18">
      <c r="B1263" s="22"/>
      <c r="C1263" s="47"/>
      <c r="D1263" s="25"/>
      <c r="E1263" s="25"/>
      <c r="F1263" s="25"/>
      <c r="G1263" s="25"/>
      <c r="H1263" s="25"/>
      <c r="I1263" s="25"/>
      <c r="J1263" s="25"/>
      <c r="K1263" s="25"/>
      <c r="L1263" s="25"/>
      <c r="M1263" s="25"/>
      <c r="N1263" s="25"/>
      <c r="O1263" s="25"/>
      <c r="P1263" s="25"/>
      <c r="Q1263" s="25"/>
      <c r="R1263" s="25"/>
    </row>
    <row r="1264" spans="2:18" ht="39.75">
      <c r="B1264" s="27"/>
      <c r="C1264" s="14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</row>
    <row r="1265" spans="2:18" ht="58.5">
      <c r="B1265" s="31">
        <f>B1261+1</f>
        <v>316</v>
      </c>
      <c r="C1265" s="14"/>
      <c r="D1265" s="32"/>
      <c r="E1265" s="32"/>
      <c r="F1265" s="32"/>
      <c r="G1265" s="32"/>
      <c r="H1265" s="32"/>
      <c r="I1265" s="32"/>
      <c r="J1265" s="32"/>
      <c r="K1265" s="32"/>
      <c r="L1265" s="32"/>
      <c r="M1265" s="32"/>
      <c r="N1265" s="32"/>
      <c r="O1265" s="32"/>
      <c r="P1265" s="32"/>
      <c r="Q1265" s="32"/>
      <c r="R1265" s="32"/>
    </row>
    <row r="1266" spans="2:18">
      <c r="B1266" s="35"/>
      <c r="C1266" s="14"/>
      <c r="D1266" s="37"/>
      <c r="E1266" s="37"/>
      <c r="F1266" s="37"/>
      <c r="G1266" s="37"/>
      <c r="H1266" s="37"/>
      <c r="I1266" s="37"/>
      <c r="J1266" s="37"/>
      <c r="K1266" s="37"/>
      <c r="L1266" s="37"/>
      <c r="M1266" s="37"/>
      <c r="N1266" s="37"/>
      <c r="O1266" s="37"/>
      <c r="P1266" s="37"/>
      <c r="Q1266" s="37"/>
      <c r="R1266" s="37"/>
    </row>
    <row r="1267" spans="2:18">
      <c r="B1267" s="22"/>
      <c r="C1267" s="47"/>
      <c r="D1267" s="25"/>
      <c r="E1267" s="25"/>
      <c r="F1267" s="25"/>
      <c r="G1267" s="25"/>
      <c r="H1267" s="25"/>
      <c r="I1267" s="25"/>
      <c r="J1267" s="25"/>
      <c r="K1267" s="25"/>
      <c r="L1267" s="25"/>
      <c r="M1267" s="25"/>
      <c r="N1267" s="25"/>
      <c r="O1267" s="25"/>
      <c r="P1267" s="25"/>
      <c r="Q1267" s="25"/>
      <c r="R1267" s="25"/>
    </row>
    <row r="1268" spans="2:18" ht="39.75">
      <c r="B1268" s="27"/>
      <c r="C1268" s="14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</row>
    <row r="1269" spans="2:18" ht="58.5">
      <c r="B1269" s="31">
        <f>B1265+1</f>
        <v>317</v>
      </c>
      <c r="C1269" s="14"/>
      <c r="D1269" s="32"/>
      <c r="E1269" s="32"/>
      <c r="F1269" s="32"/>
      <c r="G1269" s="32"/>
      <c r="H1269" s="32"/>
      <c r="I1269" s="32"/>
      <c r="J1269" s="32"/>
      <c r="K1269" s="32"/>
      <c r="L1269" s="32"/>
      <c r="M1269" s="32"/>
      <c r="N1269" s="32"/>
      <c r="O1269" s="32"/>
      <c r="P1269" s="32"/>
      <c r="Q1269" s="32"/>
      <c r="R1269" s="32"/>
    </row>
    <row r="1270" spans="2:18">
      <c r="B1270" s="35"/>
      <c r="C1270" s="14"/>
      <c r="D1270" s="37"/>
      <c r="E1270" s="37"/>
      <c r="F1270" s="37"/>
      <c r="G1270" s="37"/>
      <c r="H1270" s="37"/>
      <c r="I1270" s="37"/>
      <c r="J1270" s="37"/>
      <c r="K1270" s="37"/>
      <c r="L1270" s="37"/>
      <c r="M1270" s="37"/>
      <c r="N1270" s="37"/>
      <c r="O1270" s="37"/>
      <c r="P1270" s="37"/>
      <c r="Q1270" s="37"/>
      <c r="R1270" s="37"/>
    </row>
    <row r="1271" spans="2:18">
      <c r="B1271" s="22"/>
      <c r="C1271" s="47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  <c r="O1271" s="25"/>
      <c r="P1271" s="25"/>
      <c r="Q1271" s="25"/>
      <c r="R1271" s="25"/>
    </row>
    <row r="1272" spans="2:18" ht="39.75">
      <c r="B1272" s="27"/>
      <c r="C1272" s="14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</row>
    <row r="1273" spans="2:18" ht="58.5">
      <c r="B1273" s="31">
        <f>B1269+1</f>
        <v>318</v>
      </c>
      <c r="C1273" s="14"/>
      <c r="D1273" s="32"/>
      <c r="E1273" s="32"/>
      <c r="F1273" s="32"/>
      <c r="G1273" s="32"/>
      <c r="H1273" s="32"/>
      <c r="I1273" s="32"/>
      <c r="J1273" s="32"/>
      <c r="K1273" s="32"/>
      <c r="L1273" s="32"/>
      <c r="M1273" s="32"/>
      <c r="N1273" s="32"/>
      <c r="O1273" s="32"/>
      <c r="P1273" s="32"/>
      <c r="Q1273" s="32"/>
      <c r="R1273" s="32"/>
    </row>
    <row r="1274" spans="2:18">
      <c r="B1274" s="35"/>
      <c r="C1274" s="14"/>
      <c r="D1274" s="37"/>
      <c r="E1274" s="37"/>
      <c r="F1274" s="37"/>
      <c r="G1274" s="37"/>
      <c r="H1274" s="37"/>
      <c r="I1274" s="37"/>
      <c r="J1274" s="37"/>
      <c r="K1274" s="37"/>
      <c r="L1274" s="37"/>
      <c r="M1274" s="37"/>
      <c r="N1274" s="37"/>
      <c r="O1274" s="37"/>
      <c r="P1274" s="37"/>
      <c r="Q1274" s="37"/>
      <c r="R1274" s="37"/>
    </row>
    <row r="1275" spans="2:18">
      <c r="B1275" s="22"/>
      <c r="C1275" s="47"/>
      <c r="D1275" s="25"/>
      <c r="E1275" s="25"/>
      <c r="F1275" s="25"/>
      <c r="G1275" s="25"/>
      <c r="H1275" s="25"/>
      <c r="I1275" s="25"/>
      <c r="J1275" s="25"/>
      <c r="K1275" s="25"/>
      <c r="L1275" s="25"/>
      <c r="M1275" s="25"/>
      <c r="N1275" s="25"/>
      <c r="O1275" s="25"/>
      <c r="P1275" s="25"/>
      <c r="Q1275" s="25"/>
      <c r="R1275" s="25"/>
    </row>
    <row r="1276" spans="2:18" ht="39.75">
      <c r="B1276" s="27"/>
      <c r="C1276" s="14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</row>
    <row r="1277" spans="2:18" ht="58.5">
      <c r="B1277" s="31">
        <f>B1273+1</f>
        <v>319</v>
      </c>
      <c r="C1277" s="14"/>
      <c r="D1277" s="32"/>
      <c r="E1277" s="32"/>
      <c r="F1277" s="32"/>
      <c r="G1277" s="32"/>
      <c r="H1277" s="32"/>
      <c r="I1277" s="32"/>
      <c r="J1277" s="32"/>
      <c r="K1277" s="32"/>
      <c r="L1277" s="32"/>
      <c r="M1277" s="32"/>
      <c r="N1277" s="32"/>
      <c r="O1277" s="32"/>
      <c r="P1277" s="32"/>
      <c r="Q1277" s="32"/>
      <c r="R1277" s="32"/>
    </row>
    <row r="1278" spans="2:18">
      <c r="B1278" s="35"/>
      <c r="C1278" s="14"/>
      <c r="D1278" s="37"/>
      <c r="E1278" s="37"/>
      <c r="F1278" s="37"/>
      <c r="G1278" s="37"/>
      <c r="H1278" s="37"/>
      <c r="I1278" s="37"/>
      <c r="J1278" s="37"/>
      <c r="K1278" s="37"/>
      <c r="L1278" s="37"/>
      <c r="M1278" s="37"/>
      <c r="N1278" s="37"/>
      <c r="O1278" s="37"/>
      <c r="P1278" s="37"/>
      <c r="Q1278" s="37"/>
      <c r="R1278" s="37"/>
    </row>
    <row r="1279" spans="2:18">
      <c r="B1279" s="22"/>
      <c r="C1279" s="47"/>
      <c r="D1279" s="25"/>
      <c r="E1279" s="25"/>
      <c r="F1279" s="25"/>
      <c r="G1279" s="25"/>
      <c r="H1279" s="25"/>
      <c r="I1279" s="25"/>
      <c r="J1279" s="25"/>
      <c r="K1279" s="25"/>
      <c r="L1279" s="25"/>
      <c r="M1279" s="25"/>
      <c r="N1279" s="25"/>
      <c r="O1279" s="25"/>
      <c r="P1279" s="25"/>
      <c r="Q1279" s="25"/>
      <c r="R1279" s="25"/>
    </row>
    <row r="1280" spans="2:18" ht="39.75">
      <c r="B1280" s="27"/>
      <c r="C1280" s="14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</row>
    <row r="1281" spans="2:18" ht="58.5">
      <c r="B1281" s="31">
        <f>B1277+1</f>
        <v>320</v>
      </c>
      <c r="C1281" s="14"/>
      <c r="D1281" s="32"/>
      <c r="E1281" s="32"/>
      <c r="F1281" s="32"/>
      <c r="G1281" s="32"/>
      <c r="H1281" s="32"/>
      <c r="I1281" s="32"/>
      <c r="J1281" s="32"/>
      <c r="K1281" s="32"/>
      <c r="L1281" s="32"/>
      <c r="M1281" s="32"/>
      <c r="N1281" s="32"/>
      <c r="O1281" s="32"/>
      <c r="P1281" s="32"/>
      <c r="Q1281" s="32"/>
      <c r="R1281" s="32"/>
    </row>
    <row r="1282" spans="2:18">
      <c r="B1282" s="35"/>
      <c r="C1282" s="14"/>
      <c r="D1282" s="37"/>
      <c r="E1282" s="37"/>
      <c r="F1282" s="37"/>
      <c r="G1282" s="37"/>
      <c r="H1282" s="37"/>
      <c r="I1282" s="37"/>
      <c r="J1282" s="37"/>
      <c r="K1282" s="37"/>
      <c r="L1282" s="37"/>
      <c r="M1282" s="37"/>
      <c r="N1282" s="37"/>
      <c r="O1282" s="37"/>
      <c r="P1282" s="37"/>
      <c r="Q1282" s="37"/>
      <c r="R1282" s="37"/>
    </row>
    <row r="1283" spans="2:18">
      <c r="B1283" s="22"/>
      <c r="C1283" s="47"/>
      <c r="D1283" s="25"/>
      <c r="E1283" s="25"/>
      <c r="F1283" s="25"/>
      <c r="G1283" s="25"/>
      <c r="H1283" s="25"/>
      <c r="I1283" s="25"/>
      <c r="J1283" s="25"/>
      <c r="K1283" s="25"/>
      <c r="L1283" s="25"/>
      <c r="M1283" s="25"/>
      <c r="N1283" s="25"/>
      <c r="O1283" s="25"/>
      <c r="P1283" s="25"/>
      <c r="Q1283" s="25"/>
      <c r="R1283" s="25"/>
    </row>
    <row r="1284" spans="2:18" ht="39.75">
      <c r="B1284" s="27"/>
      <c r="C1284" s="14"/>
      <c r="D1284" s="29"/>
      <c r="E1284" s="29"/>
      <c r="F1284" s="29"/>
      <c r="G1284" s="29"/>
      <c r="H1284" s="29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</row>
    <row r="1285" spans="2:18" ht="58.5">
      <c r="B1285" s="31">
        <f>B1281+1</f>
        <v>321</v>
      </c>
      <c r="C1285" s="14"/>
      <c r="D1285" s="32"/>
      <c r="E1285" s="32"/>
      <c r="F1285" s="32"/>
      <c r="G1285" s="32"/>
      <c r="H1285" s="32"/>
      <c r="I1285" s="32"/>
      <c r="J1285" s="32"/>
      <c r="K1285" s="32"/>
      <c r="L1285" s="32"/>
      <c r="M1285" s="32"/>
      <c r="N1285" s="32"/>
      <c r="O1285" s="32"/>
      <c r="P1285" s="32"/>
      <c r="Q1285" s="32"/>
      <c r="R1285" s="32"/>
    </row>
    <row r="1286" spans="2:18">
      <c r="B1286" s="35"/>
      <c r="C1286" s="14"/>
      <c r="D1286" s="37"/>
      <c r="E1286" s="37"/>
      <c r="F1286" s="37"/>
      <c r="G1286" s="37"/>
      <c r="H1286" s="37"/>
      <c r="I1286" s="37"/>
      <c r="J1286" s="37"/>
      <c r="K1286" s="37"/>
      <c r="L1286" s="37"/>
      <c r="M1286" s="37"/>
      <c r="N1286" s="37"/>
      <c r="O1286" s="37"/>
      <c r="P1286" s="37"/>
      <c r="Q1286" s="37"/>
      <c r="R1286" s="37"/>
    </row>
    <row r="1287" spans="2:18">
      <c r="B1287" s="22"/>
      <c r="C1287" s="47"/>
      <c r="D1287" s="25"/>
      <c r="E1287" s="25"/>
      <c r="F1287" s="25"/>
      <c r="G1287" s="25"/>
      <c r="H1287" s="25"/>
      <c r="I1287" s="25"/>
      <c r="J1287" s="25"/>
      <c r="K1287" s="25"/>
      <c r="L1287" s="25"/>
      <c r="M1287" s="25"/>
      <c r="N1287" s="25"/>
      <c r="O1287" s="25"/>
      <c r="P1287" s="25"/>
      <c r="Q1287" s="25"/>
      <c r="R1287" s="25"/>
    </row>
    <row r="1288" spans="2:18" ht="39.75">
      <c r="B1288" s="27"/>
      <c r="C1288" s="14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</row>
    <row r="1289" spans="2:18" ht="58.5">
      <c r="B1289" s="31">
        <f>B1285+1</f>
        <v>322</v>
      </c>
      <c r="C1289" s="14"/>
      <c r="D1289" s="32"/>
      <c r="E1289" s="32"/>
      <c r="F1289" s="32"/>
      <c r="G1289" s="32"/>
      <c r="H1289" s="32"/>
      <c r="I1289" s="32"/>
      <c r="J1289" s="32"/>
      <c r="K1289" s="32"/>
      <c r="L1289" s="32"/>
      <c r="M1289" s="32"/>
      <c r="N1289" s="32"/>
      <c r="O1289" s="32"/>
      <c r="P1289" s="32"/>
      <c r="Q1289" s="32"/>
      <c r="R1289" s="32"/>
    </row>
    <row r="1290" spans="2:18">
      <c r="B1290" s="35"/>
      <c r="C1290" s="14"/>
      <c r="D1290" s="37"/>
      <c r="E1290" s="37"/>
      <c r="F1290" s="37"/>
      <c r="G1290" s="37"/>
      <c r="H1290" s="37"/>
      <c r="I1290" s="37"/>
      <c r="J1290" s="37"/>
      <c r="K1290" s="37"/>
      <c r="L1290" s="37"/>
      <c r="M1290" s="37"/>
      <c r="N1290" s="37"/>
      <c r="O1290" s="37"/>
      <c r="P1290" s="37"/>
      <c r="Q1290" s="37"/>
      <c r="R1290" s="37"/>
    </row>
    <row r="1291" spans="2:18">
      <c r="B1291" s="22"/>
      <c r="C1291" s="47"/>
      <c r="D1291" s="25"/>
      <c r="E1291" s="25"/>
      <c r="F1291" s="25"/>
      <c r="G1291" s="25"/>
      <c r="H1291" s="25"/>
      <c r="I1291" s="25"/>
      <c r="J1291" s="25"/>
      <c r="K1291" s="25"/>
      <c r="L1291" s="25"/>
      <c r="M1291" s="25"/>
      <c r="N1291" s="25"/>
      <c r="O1291" s="25"/>
      <c r="P1291" s="25"/>
      <c r="Q1291" s="25"/>
      <c r="R1291" s="25"/>
    </row>
    <row r="1292" spans="2:18" ht="39.75">
      <c r="B1292" s="27"/>
      <c r="C1292" s="14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</row>
    <row r="1293" spans="2:18" ht="58.5">
      <c r="B1293" s="31">
        <f>B1289+1</f>
        <v>323</v>
      </c>
      <c r="C1293" s="14"/>
      <c r="D1293" s="32"/>
      <c r="E1293" s="32"/>
      <c r="F1293" s="32"/>
      <c r="G1293" s="32"/>
      <c r="H1293" s="32"/>
      <c r="I1293" s="32"/>
      <c r="J1293" s="32"/>
      <c r="K1293" s="32"/>
      <c r="L1293" s="32"/>
      <c r="M1293" s="32"/>
      <c r="N1293" s="32"/>
      <c r="O1293" s="32"/>
      <c r="P1293" s="32"/>
      <c r="Q1293" s="32"/>
      <c r="R1293" s="32"/>
    </row>
    <row r="1294" spans="2:18">
      <c r="B1294" s="35"/>
      <c r="C1294" s="14"/>
      <c r="D1294" s="37"/>
      <c r="E1294" s="37"/>
      <c r="F1294" s="37"/>
      <c r="G1294" s="37"/>
      <c r="H1294" s="37"/>
      <c r="I1294" s="37"/>
      <c r="J1294" s="37"/>
      <c r="K1294" s="37"/>
      <c r="L1294" s="37"/>
      <c r="M1294" s="37"/>
      <c r="N1294" s="37"/>
      <c r="O1294" s="37"/>
      <c r="P1294" s="37"/>
      <c r="Q1294" s="37"/>
      <c r="R1294" s="37"/>
    </row>
    <row r="1295" spans="2:18">
      <c r="B1295" s="22"/>
      <c r="C1295" s="47"/>
      <c r="D1295" s="25"/>
      <c r="E1295" s="25"/>
      <c r="F1295" s="25"/>
      <c r="G1295" s="25"/>
      <c r="H1295" s="25"/>
      <c r="I1295" s="25"/>
      <c r="J1295" s="25"/>
      <c r="K1295" s="25"/>
      <c r="L1295" s="25"/>
      <c r="M1295" s="25"/>
      <c r="N1295" s="25"/>
      <c r="O1295" s="25"/>
      <c r="P1295" s="25"/>
      <c r="Q1295" s="25"/>
      <c r="R1295" s="25"/>
    </row>
    <row r="1296" spans="2:18" ht="39.75">
      <c r="B1296" s="27"/>
      <c r="C1296" s="14"/>
      <c r="D1296" s="29"/>
      <c r="E1296" s="29"/>
      <c r="F1296" s="29"/>
      <c r="G1296" s="29"/>
      <c r="H1296" s="29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</row>
    <row r="1297" spans="2:18" ht="58.5">
      <c r="B1297" s="31">
        <f>B1293+1</f>
        <v>324</v>
      </c>
      <c r="C1297" s="14"/>
      <c r="D1297" s="32"/>
      <c r="E1297" s="32"/>
      <c r="F1297" s="32"/>
      <c r="G1297" s="32"/>
      <c r="H1297" s="32"/>
      <c r="I1297" s="32"/>
      <c r="J1297" s="32"/>
      <c r="K1297" s="32"/>
      <c r="L1297" s="32"/>
      <c r="M1297" s="32"/>
      <c r="N1297" s="32"/>
      <c r="O1297" s="32"/>
      <c r="P1297" s="32"/>
      <c r="Q1297" s="32"/>
      <c r="R1297" s="32"/>
    </row>
    <row r="1298" spans="2:18">
      <c r="B1298" s="35"/>
      <c r="C1298" s="14"/>
      <c r="D1298" s="37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</row>
    <row r="1299" spans="2:18">
      <c r="B1299" s="22"/>
      <c r="C1299" s="47"/>
      <c r="D1299" s="25"/>
      <c r="E1299" s="25"/>
      <c r="F1299" s="25"/>
      <c r="G1299" s="25"/>
      <c r="H1299" s="25"/>
      <c r="I1299" s="25"/>
      <c r="J1299" s="25"/>
      <c r="K1299" s="25"/>
      <c r="L1299" s="25"/>
      <c r="M1299" s="25"/>
      <c r="N1299" s="25"/>
      <c r="O1299" s="25"/>
      <c r="P1299" s="25"/>
      <c r="Q1299" s="25"/>
      <c r="R1299" s="25"/>
    </row>
    <row r="1300" spans="2:18" ht="39.75">
      <c r="B1300" s="27"/>
      <c r="C1300" s="14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</row>
    <row r="1301" spans="2:18" ht="58.5">
      <c r="B1301" s="31">
        <f>B1297+1</f>
        <v>325</v>
      </c>
      <c r="C1301" s="14"/>
      <c r="D1301" s="32"/>
      <c r="E1301" s="32"/>
      <c r="F1301" s="32"/>
      <c r="G1301" s="32"/>
      <c r="H1301" s="32"/>
      <c r="I1301" s="32"/>
      <c r="J1301" s="32"/>
      <c r="K1301" s="32"/>
      <c r="L1301" s="32"/>
      <c r="M1301" s="32"/>
      <c r="N1301" s="32"/>
      <c r="O1301" s="32"/>
      <c r="P1301" s="32"/>
      <c r="Q1301" s="32"/>
      <c r="R1301" s="32"/>
    </row>
    <row r="1302" spans="2:18">
      <c r="B1302" s="35"/>
      <c r="C1302" s="14"/>
      <c r="D1302" s="37"/>
      <c r="E1302" s="37"/>
      <c r="F1302" s="37"/>
      <c r="G1302" s="37"/>
      <c r="H1302" s="37"/>
      <c r="I1302" s="37"/>
      <c r="J1302" s="37"/>
      <c r="K1302" s="37"/>
      <c r="L1302" s="37"/>
      <c r="M1302" s="37"/>
      <c r="N1302" s="37"/>
      <c r="O1302" s="37"/>
      <c r="P1302" s="37"/>
      <c r="Q1302" s="37"/>
      <c r="R1302" s="37"/>
    </row>
    <row r="1303" spans="2:18">
      <c r="B1303" s="22"/>
      <c r="C1303" s="47"/>
      <c r="D1303" s="25"/>
      <c r="E1303" s="25"/>
      <c r="F1303" s="25"/>
      <c r="G1303" s="25"/>
      <c r="H1303" s="25"/>
      <c r="I1303" s="25"/>
      <c r="J1303" s="25"/>
      <c r="K1303" s="25"/>
      <c r="L1303" s="25"/>
      <c r="M1303" s="25"/>
      <c r="N1303" s="25"/>
      <c r="O1303" s="25"/>
      <c r="P1303" s="25"/>
      <c r="Q1303" s="25"/>
      <c r="R1303" s="25"/>
    </row>
    <row r="1304" spans="2:18" ht="39.75">
      <c r="B1304" s="27"/>
      <c r="C1304" s="14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</row>
    <row r="1305" spans="2:18" ht="58.5">
      <c r="B1305" s="31">
        <f>B1301+1</f>
        <v>326</v>
      </c>
      <c r="C1305" s="14"/>
      <c r="D1305" s="32"/>
      <c r="E1305" s="32"/>
      <c r="F1305" s="32"/>
      <c r="G1305" s="32"/>
      <c r="H1305" s="32"/>
      <c r="I1305" s="32"/>
      <c r="J1305" s="32"/>
      <c r="K1305" s="32"/>
      <c r="L1305" s="32"/>
      <c r="M1305" s="32"/>
      <c r="N1305" s="32"/>
      <c r="O1305" s="32"/>
      <c r="P1305" s="32"/>
      <c r="Q1305" s="32"/>
      <c r="R1305" s="32"/>
    </row>
    <row r="1306" spans="2:18">
      <c r="B1306" s="35"/>
      <c r="C1306" s="14"/>
      <c r="D1306" s="37"/>
      <c r="E1306" s="37"/>
      <c r="F1306" s="37"/>
      <c r="G1306" s="37"/>
      <c r="H1306" s="37"/>
      <c r="I1306" s="37"/>
      <c r="J1306" s="37"/>
      <c r="K1306" s="37"/>
      <c r="L1306" s="37"/>
      <c r="M1306" s="37"/>
      <c r="N1306" s="37"/>
      <c r="O1306" s="37"/>
      <c r="P1306" s="37"/>
      <c r="Q1306" s="37"/>
      <c r="R1306" s="37"/>
    </row>
    <row r="1307" spans="2:18">
      <c r="B1307" s="22"/>
      <c r="C1307" s="47"/>
      <c r="D1307" s="25"/>
      <c r="E1307" s="25"/>
      <c r="F1307" s="25"/>
      <c r="G1307" s="25"/>
      <c r="H1307" s="25"/>
      <c r="I1307" s="25"/>
      <c r="J1307" s="25"/>
      <c r="K1307" s="25"/>
      <c r="L1307" s="25"/>
      <c r="M1307" s="25"/>
      <c r="N1307" s="25"/>
      <c r="O1307" s="25"/>
      <c r="P1307" s="25"/>
      <c r="Q1307" s="25"/>
      <c r="R1307" s="25"/>
    </row>
    <row r="1308" spans="2:18" ht="39.75">
      <c r="B1308" s="27"/>
      <c r="C1308" s="14"/>
      <c r="D1308" s="29"/>
      <c r="E1308" s="29"/>
      <c r="F1308" s="29"/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</row>
    <row r="1309" spans="2:18" ht="58.5">
      <c r="B1309" s="31">
        <f>B1305+1</f>
        <v>327</v>
      </c>
      <c r="C1309" s="14"/>
      <c r="D1309" s="32"/>
      <c r="E1309" s="32"/>
      <c r="F1309" s="32"/>
      <c r="G1309" s="32"/>
      <c r="H1309" s="32"/>
      <c r="I1309" s="32"/>
      <c r="J1309" s="32"/>
      <c r="K1309" s="32"/>
      <c r="L1309" s="32"/>
      <c r="M1309" s="32"/>
      <c r="N1309" s="32"/>
      <c r="O1309" s="32"/>
      <c r="P1309" s="32"/>
      <c r="Q1309" s="32"/>
      <c r="R1309" s="32"/>
    </row>
    <row r="1310" spans="2:18">
      <c r="B1310" s="35"/>
      <c r="C1310" s="14"/>
      <c r="D1310" s="37"/>
      <c r="E1310" s="37"/>
      <c r="F1310" s="37"/>
      <c r="G1310" s="37"/>
      <c r="H1310" s="37"/>
      <c r="I1310" s="37"/>
      <c r="J1310" s="37"/>
      <c r="K1310" s="37"/>
      <c r="L1310" s="37"/>
      <c r="M1310" s="37"/>
      <c r="N1310" s="37"/>
      <c r="O1310" s="37"/>
      <c r="P1310" s="37"/>
      <c r="Q1310" s="37"/>
      <c r="R1310" s="37"/>
    </row>
    <row r="1311" spans="2:18">
      <c r="B1311" s="22"/>
      <c r="C1311" s="47"/>
      <c r="D1311" s="25"/>
      <c r="E1311" s="25"/>
      <c r="F1311" s="25"/>
      <c r="G1311" s="25"/>
      <c r="H1311" s="25"/>
      <c r="I1311" s="25"/>
      <c r="J1311" s="25"/>
      <c r="K1311" s="25"/>
      <c r="L1311" s="25"/>
      <c r="M1311" s="25"/>
      <c r="N1311" s="25"/>
      <c r="O1311" s="25"/>
      <c r="P1311" s="25"/>
      <c r="Q1311" s="25"/>
      <c r="R1311" s="25"/>
    </row>
    <row r="1312" spans="2:18" ht="39.75">
      <c r="B1312" s="27"/>
      <c r="C1312" s="14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</row>
    <row r="1313" spans="2:18" ht="58.5">
      <c r="B1313" s="31">
        <f t="shared" ref="B1313" si="141">B1309+1</f>
        <v>328</v>
      </c>
      <c r="C1313" s="14"/>
      <c r="D1313" s="32"/>
      <c r="E1313" s="32"/>
      <c r="F1313" s="32"/>
      <c r="G1313" s="32"/>
      <c r="H1313" s="32"/>
      <c r="I1313" s="32"/>
      <c r="J1313" s="32"/>
      <c r="K1313" s="32"/>
      <c r="L1313" s="32"/>
      <c r="M1313" s="32"/>
      <c r="N1313" s="32"/>
      <c r="O1313" s="32"/>
      <c r="P1313" s="32"/>
      <c r="Q1313" s="32"/>
      <c r="R1313" s="32"/>
    </row>
    <row r="1314" spans="2:18">
      <c r="B1314" s="35"/>
      <c r="C1314" s="14"/>
      <c r="D1314" s="37"/>
      <c r="E1314" s="37"/>
      <c r="F1314" s="37"/>
      <c r="G1314" s="37"/>
      <c r="H1314" s="37"/>
      <c r="I1314" s="37"/>
      <c r="J1314" s="37"/>
      <c r="K1314" s="37"/>
      <c r="L1314" s="37"/>
      <c r="M1314" s="37"/>
      <c r="N1314" s="37"/>
      <c r="O1314" s="37"/>
      <c r="P1314" s="37"/>
      <c r="Q1314" s="37"/>
      <c r="R1314" s="37"/>
    </row>
    <row r="1315" spans="2:18">
      <c r="B1315" s="22"/>
      <c r="C1315" s="47"/>
      <c r="D1315" s="25"/>
      <c r="E1315" s="25"/>
      <c r="F1315" s="25"/>
      <c r="G1315" s="25"/>
      <c r="H1315" s="25"/>
      <c r="I1315" s="25"/>
      <c r="J1315" s="25"/>
      <c r="K1315" s="25"/>
      <c r="L1315" s="25"/>
      <c r="M1315" s="25"/>
      <c r="N1315" s="25"/>
      <c r="O1315" s="25"/>
      <c r="P1315" s="25"/>
      <c r="Q1315" s="25"/>
      <c r="R1315" s="25"/>
    </row>
    <row r="1316" spans="2:18" ht="39.75">
      <c r="B1316" s="27"/>
      <c r="C1316" s="14"/>
      <c r="D1316" s="29"/>
      <c r="E1316" s="29"/>
      <c r="F1316" s="29"/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</row>
    <row r="1317" spans="2:18" ht="58.5">
      <c r="B1317" s="31">
        <f t="shared" ref="B1317" si="142">B1313+1</f>
        <v>329</v>
      </c>
      <c r="C1317" s="14"/>
      <c r="D1317" s="32"/>
      <c r="E1317" s="32"/>
      <c r="F1317" s="32"/>
      <c r="G1317" s="32"/>
      <c r="H1317" s="32"/>
      <c r="I1317" s="32"/>
      <c r="J1317" s="32"/>
      <c r="K1317" s="32"/>
      <c r="L1317" s="32"/>
      <c r="M1317" s="32"/>
      <c r="N1317" s="32"/>
      <c r="O1317" s="32"/>
      <c r="P1317" s="32"/>
      <c r="Q1317" s="32"/>
      <c r="R1317" s="32"/>
    </row>
    <row r="1318" spans="2:18">
      <c r="B1318" s="35"/>
      <c r="C1318" s="14"/>
      <c r="D1318" s="37"/>
      <c r="E1318" s="37"/>
      <c r="F1318" s="37"/>
      <c r="G1318" s="37"/>
      <c r="H1318" s="37"/>
      <c r="I1318" s="37"/>
      <c r="J1318" s="37"/>
      <c r="K1318" s="37"/>
      <c r="L1318" s="37"/>
      <c r="M1318" s="37"/>
      <c r="N1318" s="37"/>
      <c r="O1318" s="37"/>
      <c r="P1318" s="37"/>
      <c r="Q1318" s="37"/>
      <c r="R1318" s="37"/>
    </row>
    <row r="1319" spans="2:18">
      <c r="B1319" s="22"/>
      <c r="C1319" s="47"/>
      <c r="D1319" s="25"/>
      <c r="E1319" s="25"/>
      <c r="F1319" s="25"/>
      <c r="G1319" s="25"/>
      <c r="H1319" s="25"/>
      <c r="I1319" s="25"/>
      <c r="J1319" s="25"/>
      <c r="K1319" s="25"/>
      <c r="L1319" s="25"/>
      <c r="M1319" s="25"/>
      <c r="N1319" s="25"/>
      <c r="O1319" s="25"/>
      <c r="P1319" s="25"/>
      <c r="Q1319" s="25"/>
      <c r="R1319" s="25"/>
    </row>
    <row r="1320" spans="2:18" ht="39.75">
      <c r="B1320" s="27"/>
      <c r="C1320" s="14"/>
      <c r="D1320" s="29"/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</row>
    <row r="1321" spans="2:18" ht="58.5">
      <c r="B1321" s="31">
        <f t="shared" ref="B1321" si="143">B1317+1</f>
        <v>330</v>
      </c>
      <c r="C1321" s="14"/>
      <c r="D1321" s="32"/>
      <c r="E1321" s="32"/>
      <c r="F1321" s="32"/>
      <c r="G1321" s="32"/>
      <c r="H1321" s="32"/>
      <c r="I1321" s="32"/>
      <c r="J1321" s="32"/>
      <c r="K1321" s="32"/>
      <c r="L1321" s="32"/>
      <c r="M1321" s="32"/>
      <c r="N1321" s="32"/>
      <c r="O1321" s="32"/>
      <c r="P1321" s="32"/>
      <c r="Q1321" s="32"/>
      <c r="R1321" s="32"/>
    </row>
    <row r="1322" spans="2:18">
      <c r="B1322" s="35"/>
      <c r="C1322" s="14"/>
      <c r="D1322" s="37"/>
      <c r="E1322" s="37"/>
      <c r="F1322" s="37"/>
      <c r="G1322" s="37"/>
      <c r="H1322" s="37"/>
      <c r="I1322" s="37"/>
      <c r="J1322" s="37"/>
      <c r="K1322" s="37"/>
      <c r="L1322" s="37"/>
      <c r="M1322" s="37"/>
      <c r="N1322" s="37"/>
      <c r="O1322" s="37"/>
      <c r="P1322" s="37"/>
      <c r="Q1322" s="37"/>
      <c r="R1322" s="37"/>
    </row>
    <row r="1323" spans="2:18">
      <c r="B1323" s="22"/>
      <c r="C1323" s="47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</row>
    <row r="1324" spans="2:18" ht="39.75">
      <c r="B1324" s="27"/>
      <c r="C1324" s="14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</row>
    <row r="1325" spans="2:18" ht="58.5">
      <c r="B1325" s="31">
        <f t="shared" ref="B1325" si="144">B1321+1</f>
        <v>331</v>
      </c>
      <c r="C1325" s="14"/>
      <c r="D1325" s="32"/>
      <c r="E1325" s="32"/>
      <c r="F1325" s="32"/>
      <c r="G1325" s="32"/>
      <c r="H1325" s="32"/>
      <c r="I1325" s="32"/>
      <c r="J1325" s="32"/>
      <c r="K1325" s="32"/>
      <c r="L1325" s="32"/>
      <c r="M1325" s="32"/>
      <c r="N1325" s="32"/>
      <c r="O1325" s="32"/>
      <c r="P1325" s="32"/>
      <c r="Q1325" s="32"/>
      <c r="R1325" s="32"/>
    </row>
    <row r="1326" spans="2:18">
      <c r="B1326" s="35"/>
      <c r="C1326" s="14"/>
      <c r="D1326" s="37"/>
      <c r="E1326" s="37"/>
      <c r="F1326" s="37"/>
      <c r="G1326" s="37"/>
      <c r="H1326" s="37"/>
      <c r="I1326" s="37"/>
      <c r="J1326" s="37"/>
      <c r="K1326" s="37"/>
      <c r="L1326" s="37"/>
      <c r="M1326" s="37"/>
      <c r="N1326" s="37"/>
      <c r="O1326" s="37"/>
      <c r="P1326" s="37"/>
      <c r="Q1326" s="37"/>
      <c r="R1326" s="37"/>
    </row>
    <row r="1327" spans="2:18">
      <c r="B1327" s="22"/>
      <c r="C1327" s="47"/>
      <c r="D1327" s="25"/>
      <c r="E1327" s="25"/>
      <c r="F1327" s="25"/>
      <c r="G1327" s="25"/>
      <c r="H1327" s="25"/>
      <c r="I1327" s="25"/>
      <c r="J1327" s="25"/>
      <c r="K1327" s="25"/>
      <c r="L1327" s="25"/>
      <c r="M1327" s="25"/>
      <c r="N1327" s="25"/>
      <c r="O1327" s="25"/>
      <c r="P1327" s="25"/>
      <c r="Q1327" s="25"/>
      <c r="R1327" s="25"/>
    </row>
    <row r="1328" spans="2:18" ht="39.75">
      <c r="B1328" s="27"/>
      <c r="C1328" s="14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</row>
    <row r="1329" spans="2:18" ht="58.5">
      <c r="B1329" s="31">
        <f t="shared" ref="B1329" si="145">B1325+1</f>
        <v>332</v>
      </c>
      <c r="C1329" s="14"/>
      <c r="D1329" s="32"/>
      <c r="E1329" s="32"/>
      <c r="F1329" s="32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</row>
    <row r="1330" spans="2:18">
      <c r="B1330" s="35"/>
      <c r="C1330" s="14"/>
      <c r="D1330" s="37"/>
      <c r="E1330" s="37"/>
      <c r="F1330" s="37"/>
      <c r="G1330" s="37"/>
      <c r="H1330" s="37"/>
      <c r="I1330" s="37"/>
      <c r="J1330" s="37"/>
      <c r="K1330" s="37"/>
      <c r="L1330" s="37"/>
      <c r="M1330" s="37"/>
      <c r="N1330" s="37"/>
      <c r="O1330" s="37"/>
      <c r="P1330" s="37"/>
      <c r="Q1330" s="37"/>
      <c r="R1330" s="37"/>
    </row>
    <row r="1331" spans="2:18">
      <c r="B1331" s="22"/>
      <c r="C1331" s="47"/>
      <c r="D1331" s="25"/>
      <c r="E1331" s="25"/>
      <c r="F1331" s="25"/>
      <c r="G1331" s="25"/>
      <c r="H1331" s="25"/>
      <c r="I1331" s="25"/>
      <c r="J1331" s="25"/>
      <c r="K1331" s="25"/>
      <c r="L1331" s="25"/>
      <c r="M1331" s="25"/>
      <c r="N1331" s="25"/>
      <c r="O1331" s="25"/>
      <c r="P1331" s="25"/>
      <c r="Q1331" s="25"/>
      <c r="R1331" s="25"/>
    </row>
    <row r="1332" spans="2:18" ht="39.75">
      <c r="B1332" s="27"/>
      <c r="C1332" s="14"/>
      <c r="D1332" s="29"/>
      <c r="E1332" s="29"/>
      <c r="F1332" s="29"/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</row>
    <row r="1333" spans="2:18" ht="58.5">
      <c r="B1333" s="31">
        <f t="shared" ref="B1333" si="146">B1329+1</f>
        <v>333</v>
      </c>
      <c r="C1333" s="14"/>
      <c r="D1333" s="32"/>
      <c r="E1333" s="32"/>
      <c r="F1333" s="32"/>
      <c r="G1333" s="32"/>
      <c r="H1333" s="32"/>
      <c r="I1333" s="32"/>
      <c r="J1333" s="32"/>
      <c r="K1333" s="32"/>
      <c r="L1333" s="32"/>
      <c r="M1333" s="32"/>
      <c r="N1333" s="32"/>
      <c r="O1333" s="32"/>
      <c r="P1333" s="32"/>
      <c r="Q1333" s="32"/>
      <c r="R1333" s="32"/>
    </row>
    <row r="1334" spans="2:18">
      <c r="B1334" s="35"/>
      <c r="C1334" s="14"/>
      <c r="D1334" s="37"/>
      <c r="E1334" s="37"/>
      <c r="F1334" s="37"/>
      <c r="G1334" s="37"/>
      <c r="H1334" s="37"/>
      <c r="I1334" s="37"/>
      <c r="J1334" s="37"/>
      <c r="K1334" s="37"/>
      <c r="L1334" s="37"/>
      <c r="M1334" s="37"/>
      <c r="N1334" s="37"/>
      <c r="O1334" s="37"/>
      <c r="P1334" s="37"/>
      <c r="Q1334" s="37"/>
      <c r="R1334" s="37"/>
    </row>
    <row r="1335" spans="2:18">
      <c r="B1335" s="22"/>
      <c r="C1335" s="47"/>
      <c r="D1335" s="25"/>
      <c r="E1335" s="25"/>
      <c r="F1335" s="25"/>
      <c r="G1335" s="25"/>
      <c r="H1335" s="25"/>
      <c r="I1335" s="25"/>
      <c r="J1335" s="25"/>
      <c r="K1335" s="25"/>
      <c r="L1335" s="25"/>
      <c r="M1335" s="25"/>
      <c r="N1335" s="25"/>
      <c r="O1335" s="25"/>
      <c r="P1335" s="25"/>
      <c r="Q1335" s="25"/>
      <c r="R1335" s="25"/>
    </row>
    <row r="1336" spans="2:18" ht="39.75">
      <c r="B1336" s="27"/>
      <c r="C1336" s="14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</row>
    <row r="1337" spans="2:18" ht="58.5">
      <c r="B1337" s="31">
        <f t="shared" ref="B1337" si="147">B1333+1</f>
        <v>334</v>
      </c>
      <c r="C1337" s="14"/>
      <c r="D1337" s="32"/>
      <c r="E1337" s="32"/>
      <c r="F1337" s="32"/>
      <c r="G1337" s="32"/>
      <c r="H1337" s="32"/>
      <c r="I1337" s="32"/>
      <c r="J1337" s="32"/>
      <c r="K1337" s="32"/>
      <c r="L1337" s="32"/>
      <c r="M1337" s="32"/>
      <c r="N1337" s="32"/>
      <c r="O1337" s="32"/>
      <c r="P1337" s="32"/>
      <c r="Q1337" s="32"/>
      <c r="R1337" s="32"/>
    </row>
    <row r="1338" spans="2:18">
      <c r="B1338" s="35"/>
      <c r="C1338" s="14"/>
      <c r="D1338" s="37"/>
      <c r="E1338" s="37"/>
      <c r="F1338" s="37"/>
      <c r="G1338" s="37"/>
      <c r="H1338" s="37"/>
      <c r="I1338" s="37"/>
      <c r="J1338" s="37"/>
      <c r="K1338" s="37"/>
      <c r="L1338" s="37"/>
      <c r="M1338" s="37"/>
      <c r="N1338" s="37"/>
      <c r="O1338" s="37"/>
      <c r="P1338" s="37"/>
      <c r="Q1338" s="37"/>
      <c r="R1338" s="37"/>
    </row>
    <row r="1339" spans="2:18">
      <c r="B1339" s="22"/>
      <c r="C1339" s="47"/>
      <c r="D1339" s="25"/>
      <c r="E1339" s="25"/>
      <c r="F1339" s="25"/>
      <c r="G1339" s="25"/>
      <c r="H1339" s="25"/>
      <c r="I1339" s="25"/>
      <c r="J1339" s="25"/>
      <c r="K1339" s="25"/>
      <c r="L1339" s="25"/>
      <c r="M1339" s="25"/>
      <c r="N1339" s="25"/>
      <c r="O1339" s="25"/>
      <c r="P1339" s="25"/>
      <c r="Q1339" s="25"/>
      <c r="R1339" s="25"/>
    </row>
    <row r="1340" spans="2:18" ht="39.75">
      <c r="B1340" s="27"/>
      <c r="C1340" s="14"/>
      <c r="D1340" s="29"/>
      <c r="E1340" s="29"/>
      <c r="F1340" s="29"/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</row>
    <row r="1341" spans="2:18" ht="58.5">
      <c r="B1341" s="31">
        <f t="shared" ref="B1341" si="148">B1337+1</f>
        <v>335</v>
      </c>
      <c r="C1341" s="14"/>
      <c r="D1341" s="32"/>
      <c r="E1341" s="32"/>
      <c r="F1341" s="32"/>
      <c r="G1341" s="32"/>
      <c r="H1341" s="32"/>
      <c r="I1341" s="32"/>
      <c r="J1341" s="32"/>
      <c r="K1341" s="32"/>
      <c r="L1341" s="32"/>
      <c r="M1341" s="32"/>
      <c r="N1341" s="32"/>
      <c r="O1341" s="32"/>
      <c r="P1341" s="32"/>
      <c r="Q1341" s="32"/>
      <c r="R1341" s="32"/>
    </row>
    <row r="1342" spans="2:18">
      <c r="B1342" s="35"/>
      <c r="C1342" s="14"/>
      <c r="D1342" s="37"/>
      <c r="E1342" s="37"/>
      <c r="F1342" s="37"/>
      <c r="G1342" s="37"/>
      <c r="H1342" s="37"/>
      <c r="I1342" s="37"/>
      <c r="J1342" s="37"/>
      <c r="K1342" s="37"/>
      <c r="L1342" s="37"/>
      <c r="M1342" s="37"/>
      <c r="N1342" s="37"/>
      <c r="O1342" s="37"/>
      <c r="P1342" s="37"/>
      <c r="Q1342" s="37"/>
      <c r="R1342" s="37"/>
    </row>
    <row r="1343" spans="2:18">
      <c r="B1343" s="22"/>
      <c r="C1343" s="47"/>
      <c r="D1343" s="25"/>
      <c r="E1343" s="25"/>
      <c r="F1343" s="25"/>
      <c r="G1343" s="25"/>
      <c r="H1343" s="25"/>
      <c r="I1343" s="25"/>
      <c r="J1343" s="25"/>
      <c r="K1343" s="25"/>
      <c r="L1343" s="25"/>
      <c r="M1343" s="25"/>
      <c r="N1343" s="25"/>
      <c r="O1343" s="25"/>
      <c r="P1343" s="25"/>
      <c r="Q1343" s="25"/>
      <c r="R1343" s="25"/>
    </row>
    <row r="1344" spans="2:18" ht="39.75">
      <c r="B1344" s="27"/>
      <c r="C1344" s="14"/>
      <c r="D1344" s="29"/>
      <c r="E1344" s="29"/>
      <c r="F1344" s="29"/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</row>
    <row r="1345" spans="2:18" ht="58.5">
      <c r="B1345" s="31">
        <f t="shared" ref="B1345" si="149">B1341+1</f>
        <v>336</v>
      </c>
      <c r="C1345" s="14"/>
      <c r="D1345" s="32"/>
      <c r="E1345" s="32"/>
      <c r="F1345" s="32"/>
      <c r="G1345" s="32"/>
      <c r="H1345" s="32"/>
      <c r="I1345" s="32"/>
      <c r="J1345" s="32"/>
      <c r="K1345" s="32"/>
      <c r="L1345" s="32"/>
      <c r="M1345" s="32"/>
      <c r="N1345" s="32"/>
      <c r="O1345" s="32"/>
      <c r="P1345" s="32"/>
      <c r="Q1345" s="32"/>
      <c r="R1345" s="32"/>
    </row>
    <row r="1346" spans="2:18">
      <c r="B1346" s="35"/>
      <c r="C1346" s="14"/>
      <c r="D1346" s="37"/>
      <c r="E1346" s="37"/>
      <c r="F1346" s="37"/>
      <c r="G1346" s="37"/>
      <c r="H1346" s="37"/>
      <c r="I1346" s="37"/>
      <c r="J1346" s="37"/>
      <c r="K1346" s="37"/>
      <c r="L1346" s="37"/>
      <c r="M1346" s="37"/>
      <c r="N1346" s="37"/>
      <c r="O1346" s="37"/>
      <c r="P1346" s="37"/>
      <c r="Q1346" s="37"/>
      <c r="R1346" s="37"/>
    </row>
    <row r="1347" spans="2:18">
      <c r="B1347" s="22"/>
      <c r="C1347" s="47"/>
      <c r="D1347" s="25"/>
      <c r="E1347" s="25"/>
      <c r="F1347" s="25"/>
      <c r="G1347" s="25"/>
      <c r="H1347" s="25"/>
      <c r="I1347" s="25"/>
      <c r="J1347" s="25"/>
      <c r="K1347" s="25"/>
      <c r="L1347" s="25"/>
      <c r="M1347" s="25"/>
      <c r="N1347" s="25"/>
      <c r="O1347" s="25"/>
      <c r="P1347" s="25"/>
      <c r="Q1347" s="25"/>
      <c r="R1347" s="25"/>
    </row>
    <row r="1348" spans="2:18" ht="39.75">
      <c r="B1348" s="27"/>
      <c r="C1348" s="14"/>
      <c r="D1348" s="29"/>
      <c r="E1348" s="29"/>
      <c r="F1348" s="29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</row>
    <row r="1349" spans="2:18" ht="58.5">
      <c r="B1349" s="31">
        <f t="shared" ref="B1349" si="150">B1345+1</f>
        <v>337</v>
      </c>
      <c r="C1349" s="14"/>
      <c r="D1349" s="32"/>
      <c r="E1349" s="32"/>
      <c r="F1349" s="32"/>
      <c r="G1349" s="32"/>
      <c r="H1349" s="32"/>
      <c r="I1349" s="32"/>
      <c r="J1349" s="32"/>
      <c r="K1349" s="32"/>
      <c r="L1349" s="32"/>
      <c r="M1349" s="32"/>
      <c r="N1349" s="32"/>
      <c r="O1349" s="32"/>
      <c r="P1349" s="32"/>
      <c r="Q1349" s="32"/>
      <c r="R1349" s="32"/>
    </row>
    <row r="1350" spans="2:18">
      <c r="B1350" s="35"/>
      <c r="C1350" s="14"/>
      <c r="D1350" s="37"/>
      <c r="E1350" s="37"/>
      <c r="F1350" s="37"/>
      <c r="G1350" s="37"/>
      <c r="H1350" s="37"/>
      <c r="I1350" s="37"/>
      <c r="J1350" s="37"/>
      <c r="K1350" s="37"/>
      <c r="L1350" s="37"/>
      <c r="M1350" s="37"/>
      <c r="N1350" s="37"/>
      <c r="O1350" s="37"/>
      <c r="P1350" s="37"/>
      <c r="Q1350" s="37"/>
      <c r="R1350" s="37"/>
    </row>
    <row r="1351" spans="2:18">
      <c r="B1351" s="22"/>
      <c r="C1351" s="47"/>
      <c r="D1351" s="25"/>
      <c r="E1351" s="25"/>
      <c r="F1351" s="25"/>
      <c r="G1351" s="25"/>
      <c r="H1351" s="25"/>
      <c r="I1351" s="25"/>
      <c r="J1351" s="25"/>
      <c r="K1351" s="25"/>
      <c r="L1351" s="25"/>
      <c r="M1351" s="25"/>
      <c r="N1351" s="25"/>
      <c r="O1351" s="25"/>
      <c r="P1351" s="25"/>
      <c r="Q1351" s="25"/>
      <c r="R1351" s="25"/>
    </row>
    <row r="1352" spans="2:18" ht="39.75">
      <c r="B1352" s="27"/>
      <c r="C1352" s="14"/>
      <c r="D1352" s="29"/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</row>
    <row r="1353" spans="2:18" ht="58.5">
      <c r="B1353" s="31">
        <f t="shared" ref="B1353" si="151">B1349+1</f>
        <v>338</v>
      </c>
      <c r="C1353" s="14"/>
      <c r="D1353" s="32"/>
      <c r="E1353" s="32"/>
      <c r="F1353" s="32"/>
      <c r="G1353" s="32"/>
      <c r="H1353" s="32"/>
      <c r="I1353" s="32"/>
      <c r="J1353" s="32"/>
      <c r="K1353" s="32"/>
      <c r="L1353" s="32"/>
      <c r="M1353" s="32"/>
      <c r="N1353" s="32"/>
      <c r="O1353" s="32"/>
      <c r="P1353" s="32"/>
      <c r="Q1353" s="32"/>
      <c r="R1353" s="32"/>
    </row>
    <row r="1354" spans="2:18">
      <c r="B1354" s="35"/>
      <c r="C1354" s="14"/>
      <c r="D1354" s="37"/>
      <c r="E1354" s="37"/>
      <c r="F1354" s="37"/>
      <c r="G1354" s="37"/>
      <c r="H1354" s="37"/>
      <c r="I1354" s="37"/>
      <c r="J1354" s="37"/>
      <c r="K1354" s="37"/>
      <c r="L1354" s="37"/>
      <c r="M1354" s="37"/>
      <c r="N1354" s="37"/>
      <c r="O1354" s="37"/>
      <c r="P1354" s="37"/>
      <c r="Q1354" s="37"/>
      <c r="R1354" s="37"/>
    </row>
    <row r="1355" spans="2:18">
      <c r="B1355" s="22"/>
      <c r="C1355" s="47"/>
      <c r="D1355" s="25"/>
      <c r="E1355" s="25"/>
      <c r="F1355" s="25"/>
      <c r="G1355" s="25"/>
      <c r="H1355" s="25"/>
      <c r="I1355" s="25"/>
      <c r="J1355" s="25"/>
      <c r="K1355" s="25"/>
      <c r="L1355" s="25"/>
      <c r="M1355" s="25"/>
      <c r="N1355" s="25"/>
      <c r="O1355" s="25"/>
      <c r="P1355" s="25"/>
      <c r="Q1355" s="25"/>
      <c r="R1355" s="25"/>
    </row>
    <row r="1356" spans="2:18" ht="39.75">
      <c r="B1356" s="27"/>
      <c r="C1356" s="14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</row>
    <row r="1357" spans="2:18" ht="58.5">
      <c r="B1357" s="31">
        <f t="shared" ref="B1357" si="152">B1353+1</f>
        <v>339</v>
      </c>
      <c r="C1357" s="14"/>
      <c r="D1357" s="32"/>
      <c r="E1357" s="32"/>
      <c r="F1357" s="32"/>
      <c r="G1357" s="32"/>
      <c r="H1357" s="32"/>
      <c r="I1357" s="32"/>
      <c r="J1357" s="32"/>
      <c r="K1357" s="32"/>
      <c r="L1357" s="32"/>
      <c r="M1357" s="32"/>
      <c r="N1357" s="32"/>
      <c r="O1357" s="32"/>
      <c r="P1357" s="32"/>
      <c r="Q1357" s="32"/>
      <c r="R1357" s="32"/>
    </row>
    <row r="1358" spans="2:18">
      <c r="B1358" s="35"/>
      <c r="C1358" s="14"/>
      <c r="D1358" s="37"/>
      <c r="E1358" s="37"/>
      <c r="F1358" s="37"/>
      <c r="G1358" s="37"/>
      <c r="H1358" s="37"/>
      <c r="I1358" s="37"/>
      <c r="J1358" s="37"/>
      <c r="K1358" s="37"/>
      <c r="L1358" s="37"/>
      <c r="M1358" s="37"/>
      <c r="N1358" s="37"/>
      <c r="O1358" s="37"/>
      <c r="P1358" s="37"/>
      <c r="Q1358" s="37"/>
      <c r="R1358" s="37"/>
    </row>
    <row r="1359" spans="2:18">
      <c r="B1359" s="22"/>
      <c r="C1359" s="47"/>
      <c r="D1359" s="25"/>
      <c r="E1359" s="25"/>
      <c r="F1359" s="25"/>
      <c r="G1359" s="25"/>
      <c r="H1359" s="25"/>
      <c r="I1359" s="25"/>
      <c r="J1359" s="25"/>
      <c r="K1359" s="25"/>
      <c r="L1359" s="25"/>
      <c r="M1359" s="25"/>
      <c r="N1359" s="25"/>
      <c r="O1359" s="25"/>
      <c r="P1359" s="25"/>
      <c r="Q1359" s="25"/>
      <c r="R1359" s="25"/>
    </row>
    <row r="1360" spans="2:18" ht="39.75">
      <c r="B1360" s="27"/>
      <c r="C1360" s="14"/>
      <c r="D1360" s="29"/>
      <c r="E1360" s="29"/>
      <c r="F1360" s="29"/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</row>
    <row r="1361" spans="2:18" ht="58.5">
      <c r="B1361" s="31">
        <f t="shared" ref="B1361" si="153">B1357+1</f>
        <v>340</v>
      </c>
      <c r="C1361" s="14"/>
      <c r="D1361" s="32"/>
      <c r="E1361" s="32"/>
      <c r="F1361" s="32"/>
      <c r="G1361" s="32"/>
      <c r="H1361" s="32"/>
      <c r="I1361" s="32"/>
      <c r="J1361" s="32"/>
      <c r="K1361" s="32"/>
      <c r="L1361" s="32"/>
      <c r="M1361" s="32"/>
      <c r="N1361" s="32"/>
      <c r="O1361" s="32"/>
      <c r="P1361" s="32"/>
      <c r="Q1361" s="32"/>
      <c r="R1361" s="32"/>
    </row>
    <row r="1362" spans="2:18">
      <c r="B1362" s="35"/>
      <c r="C1362" s="14"/>
      <c r="D1362" s="37"/>
      <c r="E1362" s="37"/>
      <c r="F1362" s="37"/>
      <c r="G1362" s="37"/>
      <c r="H1362" s="37"/>
      <c r="I1362" s="37"/>
      <c r="J1362" s="37"/>
      <c r="K1362" s="37"/>
      <c r="L1362" s="37"/>
      <c r="M1362" s="37"/>
      <c r="N1362" s="37"/>
      <c r="O1362" s="37"/>
      <c r="P1362" s="37"/>
      <c r="Q1362" s="37"/>
      <c r="R1362" s="37"/>
    </row>
    <row r="1363" spans="2:18">
      <c r="B1363" s="22"/>
      <c r="C1363" s="47"/>
      <c r="D1363" s="25"/>
      <c r="E1363" s="25"/>
      <c r="F1363" s="25"/>
      <c r="G1363" s="25"/>
      <c r="H1363" s="25"/>
      <c r="I1363" s="25"/>
      <c r="J1363" s="25"/>
      <c r="K1363" s="25"/>
      <c r="L1363" s="25"/>
      <c r="M1363" s="25"/>
      <c r="N1363" s="25"/>
      <c r="O1363" s="25"/>
      <c r="P1363" s="25"/>
      <c r="Q1363" s="25"/>
      <c r="R1363" s="25"/>
    </row>
    <row r="1364" spans="2:18" ht="39.75">
      <c r="B1364" s="27"/>
      <c r="C1364" s="14"/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</row>
    <row r="1365" spans="2:18" ht="58.5">
      <c r="B1365" s="31">
        <f t="shared" ref="B1365" si="154">B1361+1</f>
        <v>341</v>
      </c>
      <c r="C1365" s="14"/>
      <c r="D1365" s="32"/>
      <c r="E1365" s="32"/>
      <c r="F1365" s="32"/>
      <c r="G1365" s="32"/>
      <c r="H1365" s="32"/>
      <c r="I1365" s="32"/>
      <c r="J1365" s="32"/>
      <c r="K1365" s="32"/>
      <c r="L1365" s="32"/>
      <c r="M1365" s="32"/>
      <c r="N1365" s="32"/>
      <c r="O1365" s="32"/>
      <c r="P1365" s="32"/>
      <c r="Q1365" s="32"/>
      <c r="R1365" s="32"/>
    </row>
    <row r="1366" spans="2:18">
      <c r="B1366" s="35"/>
      <c r="C1366" s="14"/>
      <c r="D1366" s="37"/>
      <c r="E1366" s="37"/>
      <c r="F1366" s="37"/>
      <c r="G1366" s="37"/>
      <c r="H1366" s="37"/>
      <c r="I1366" s="37"/>
      <c r="J1366" s="37"/>
      <c r="K1366" s="37"/>
      <c r="L1366" s="37"/>
      <c r="M1366" s="37"/>
      <c r="N1366" s="37"/>
      <c r="O1366" s="37"/>
      <c r="P1366" s="37"/>
      <c r="Q1366" s="37"/>
      <c r="R1366" s="37"/>
    </row>
    <row r="1367" spans="2:18">
      <c r="B1367" s="22"/>
      <c r="C1367" s="47"/>
      <c r="D1367" s="25"/>
      <c r="E1367" s="25"/>
      <c r="F1367" s="25"/>
      <c r="G1367" s="25"/>
      <c r="H1367" s="25"/>
      <c r="I1367" s="25"/>
      <c r="J1367" s="25"/>
      <c r="K1367" s="25"/>
      <c r="L1367" s="25"/>
      <c r="M1367" s="25"/>
      <c r="N1367" s="25"/>
      <c r="O1367" s="25"/>
      <c r="P1367" s="25"/>
      <c r="Q1367" s="25"/>
      <c r="R1367" s="25"/>
    </row>
    <row r="1368" spans="2:18" ht="39.75">
      <c r="B1368" s="27"/>
      <c r="C1368" s="14"/>
      <c r="D1368" s="29"/>
      <c r="E1368" s="29"/>
      <c r="F1368" s="29"/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</row>
    <row r="1369" spans="2:18" ht="58.5">
      <c r="B1369" s="31">
        <f t="shared" ref="B1369" si="155">B1365+1</f>
        <v>342</v>
      </c>
      <c r="C1369" s="14"/>
      <c r="D1369" s="32"/>
      <c r="E1369" s="32"/>
      <c r="F1369" s="32"/>
      <c r="G1369" s="32"/>
      <c r="H1369" s="32"/>
      <c r="I1369" s="32"/>
      <c r="J1369" s="32"/>
      <c r="K1369" s="32"/>
      <c r="L1369" s="32"/>
      <c r="M1369" s="32"/>
      <c r="N1369" s="32"/>
      <c r="O1369" s="32"/>
      <c r="P1369" s="32"/>
      <c r="Q1369" s="32"/>
      <c r="R1369" s="32"/>
    </row>
    <row r="1370" spans="2:18">
      <c r="B1370" s="35"/>
      <c r="C1370" s="14"/>
      <c r="D1370" s="37"/>
      <c r="E1370" s="37"/>
      <c r="F1370" s="37"/>
      <c r="G1370" s="37"/>
      <c r="H1370" s="37"/>
      <c r="I1370" s="37"/>
      <c r="J1370" s="37"/>
      <c r="K1370" s="37"/>
      <c r="L1370" s="37"/>
      <c r="M1370" s="37"/>
      <c r="N1370" s="37"/>
      <c r="O1370" s="37"/>
      <c r="P1370" s="37"/>
      <c r="Q1370" s="37"/>
      <c r="R1370" s="37"/>
    </row>
    <row r="1371" spans="2:18">
      <c r="B1371" s="22"/>
      <c r="C1371" s="47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  <c r="O1371" s="25"/>
      <c r="P1371" s="25"/>
      <c r="Q1371" s="25"/>
      <c r="R1371" s="25"/>
    </row>
    <row r="1372" spans="2:18" ht="39.75">
      <c r="B1372" s="27"/>
      <c r="C1372" s="14"/>
      <c r="D1372" s="29"/>
      <c r="E1372" s="29"/>
      <c r="F1372" s="29"/>
      <c r="G1372" s="29"/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</row>
    <row r="1373" spans="2:18" ht="58.5">
      <c r="B1373" s="31">
        <f t="shared" ref="B1373" si="156">B1369+1</f>
        <v>343</v>
      </c>
      <c r="C1373" s="14"/>
      <c r="D1373" s="32"/>
      <c r="E1373" s="32"/>
      <c r="F1373" s="32"/>
      <c r="G1373" s="32"/>
      <c r="H1373" s="32"/>
      <c r="I1373" s="32"/>
      <c r="J1373" s="32"/>
      <c r="K1373" s="32"/>
      <c r="L1373" s="32"/>
      <c r="M1373" s="32"/>
      <c r="N1373" s="32"/>
      <c r="O1373" s="32"/>
      <c r="P1373" s="32"/>
      <c r="Q1373" s="32"/>
      <c r="R1373" s="32"/>
    </row>
    <row r="1374" spans="2:18">
      <c r="B1374" s="35"/>
      <c r="C1374" s="14"/>
      <c r="D1374" s="37"/>
      <c r="E1374" s="37"/>
      <c r="F1374" s="37"/>
      <c r="G1374" s="37"/>
      <c r="H1374" s="37"/>
      <c r="I1374" s="37"/>
      <c r="J1374" s="37"/>
      <c r="K1374" s="37"/>
      <c r="L1374" s="37"/>
      <c r="M1374" s="37"/>
      <c r="N1374" s="37"/>
      <c r="O1374" s="37"/>
      <c r="P1374" s="37"/>
      <c r="Q1374" s="37"/>
      <c r="R1374" s="37"/>
    </row>
    <row r="1375" spans="2:18">
      <c r="B1375" s="22"/>
      <c r="C1375" s="47"/>
      <c r="D1375" s="25"/>
      <c r="E1375" s="25"/>
      <c r="F1375" s="25"/>
      <c r="G1375" s="25"/>
      <c r="H1375" s="25"/>
      <c r="I1375" s="25"/>
      <c r="J1375" s="25"/>
      <c r="K1375" s="25"/>
      <c r="L1375" s="25"/>
      <c r="M1375" s="25"/>
      <c r="N1375" s="25"/>
      <c r="O1375" s="25"/>
      <c r="P1375" s="25"/>
      <c r="Q1375" s="25"/>
      <c r="R1375" s="25"/>
    </row>
    <row r="1376" spans="2:18" ht="39.75">
      <c r="B1376" s="27"/>
      <c r="C1376" s="14"/>
      <c r="D1376" s="29"/>
      <c r="E1376" s="29"/>
      <c r="F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</row>
    <row r="1377" spans="2:18" ht="58.5">
      <c r="B1377" s="31">
        <f t="shared" ref="B1377" si="157">B1373+1</f>
        <v>344</v>
      </c>
      <c r="C1377" s="14"/>
      <c r="D1377" s="32"/>
      <c r="E1377" s="32"/>
      <c r="F1377" s="32"/>
      <c r="G1377" s="32"/>
      <c r="H1377" s="32"/>
      <c r="I1377" s="32"/>
      <c r="J1377" s="32"/>
      <c r="K1377" s="32"/>
      <c r="L1377" s="32"/>
      <c r="M1377" s="32"/>
      <c r="N1377" s="32"/>
      <c r="O1377" s="32"/>
      <c r="P1377" s="32"/>
      <c r="Q1377" s="32"/>
      <c r="R1377" s="32"/>
    </row>
    <row r="1378" spans="2:18">
      <c r="B1378" s="35"/>
      <c r="C1378" s="14"/>
      <c r="D1378" s="37"/>
      <c r="E1378" s="37"/>
      <c r="F1378" s="37"/>
      <c r="G1378" s="37"/>
      <c r="H1378" s="37"/>
      <c r="I1378" s="37"/>
      <c r="J1378" s="37"/>
      <c r="K1378" s="37"/>
      <c r="L1378" s="37"/>
      <c r="M1378" s="37"/>
      <c r="N1378" s="37"/>
      <c r="O1378" s="37"/>
      <c r="P1378" s="37"/>
      <c r="Q1378" s="37"/>
      <c r="R1378" s="37"/>
    </row>
    <row r="1379" spans="2:18">
      <c r="B1379" s="22"/>
      <c r="C1379" s="47"/>
      <c r="D1379" s="25"/>
      <c r="E1379" s="25"/>
      <c r="F1379" s="25"/>
      <c r="G1379" s="25"/>
      <c r="H1379" s="25"/>
      <c r="I1379" s="25"/>
      <c r="J1379" s="25"/>
      <c r="K1379" s="25"/>
      <c r="L1379" s="25"/>
      <c r="M1379" s="25"/>
      <c r="N1379" s="25"/>
      <c r="O1379" s="25"/>
      <c r="P1379" s="25"/>
      <c r="Q1379" s="25"/>
      <c r="R1379" s="25"/>
    </row>
    <row r="1380" spans="2:18" ht="39.75">
      <c r="B1380" s="27"/>
      <c r="C1380" s="14"/>
      <c r="D1380" s="29"/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</row>
    <row r="1381" spans="2:18" ht="58.5">
      <c r="B1381" s="31">
        <f t="shared" ref="B1381" si="158">B1377+1</f>
        <v>345</v>
      </c>
      <c r="C1381" s="14"/>
      <c r="D1381" s="32"/>
      <c r="E1381" s="32"/>
      <c r="F1381" s="32"/>
      <c r="G1381" s="32"/>
      <c r="H1381" s="32"/>
      <c r="I1381" s="32"/>
      <c r="J1381" s="32"/>
      <c r="K1381" s="32"/>
      <c r="L1381" s="32"/>
      <c r="M1381" s="32"/>
      <c r="N1381" s="32"/>
      <c r="O1381" s="32"/>
      <c r="P1381" s="32"/>
      <c r="Q1381" s="32"/>
      <c r="R1381" s="32"/>
    </row>
    <row r="1382" spans="2:18">
      <c r="B1382" s="35"/>
      <c r="C1382" s="14"/>
      <c r="D1382" s="37"/>
      <c r="E1382" s="37"/>
      <c r="F1382" s="37"/>
      <c r="G1382" s="37"/>
      <c r="H1382" s="37"/>
      <c r="I1382" s="37"/>
      <c r="J1382" s="37"/>
      <c r="K1382" s="37"/>
      <c r="L1382" s="37"/>
      <c r="M1382" s="37"/>
      <c r="N1382" s="37"/>
      <c r="O1382" s="37"/>
      <c r="P1382" s="37"/>
      <c r="Q1382" s="37"/>
      <c r="R1382" s="37"/>
    </row>
    <row r="1383" spans="2:18">
      <c r="B1383" s="22"/>
      <c r="C1383" s="47"/>
      <c r="D1383" s="25"/>
      <c r="E1383" s="25"/>
      <c r="F1383" s="25"/>
      <c r="G1383" s="25"/>
      <c r="H1383" s="25"/>
      <c r="I1383" s="25"/>
      <c r="J1383" s="25"/>
      <c r="K1383" s="25"/>
      <c r="L1383" s="25"/>
      <c r="M1383" s="25"/>
      <c r="N1383" s="25"/>
      <c r="O1383" s="25"/>
      <c r="P1383" s="25"/>
      <c r="Q1383" s="25"/>
      <c r="R1383" s="25"/>
    </row>
    <row r="1384" spans="2:18" ht="39.75">
      <c r="B1384" s="27"/>
      <c r="C1384" s="14"/>
      <c r="D1384" s="29"/>
      <c r="E1384" s="29"/>
      <c r="F1384" s="29"/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</row>
    <row r="1385" spans="2:18" ht="58.5">
      <c r="B1385" s="31">
        <f t="shared" ref="B1385" si="159">B1381+1</f>
        <v>346</v>
      </c>
      <c r="C1385" s="14"/>
      <c r="D1385" s="32"/>
      <c r="E1385" s="32"/>
      <c r="F1385" s="32"/>
      <c r="G1385" s="32"/>
      <c r="H1385" s="32"/>
      <c r="I1385" s="32"/>
      <c r="J1385" s="32"/>
      <c r="K1385" s="32"/>
      <c r="L1385" s="32"/>
      <c r="M1385" s="32"/>
      <c r="N1385" s="32"/>
      <c r="O1385" s="32"/>
      <c r="P1385" s="32"/>
      <c r="Q1385" s="32"/>
      <c r="R1385" s="32"/>
    </row>
    <row r="1386" spans="2:18">
      <c r="B1386" s="35"/>
      <c r="C1386" s="14"/>
      <c r="D1386" s="37"/>
      <c r="E1386" s="37"/>
      <c r="F1386" s="37"/>
      <c r="G1386" s="37"/>
      <c r="H1386" s="37"/>
      <c r="I1386" s="37"/>
      <c r="J1386" s="37"/>
      <c r="K1386" s="37"/>
      <c r="L1386" s="37"/>
      <c r="M1386" s="37"/>
      <c r="N1386" s="37"/>
      <c r="O1386" s="37"/>
      <c r="P1386" s="37"/>
      <c r="Q1386" s="37"/>
      <c r="R1386" s="37"/>
    </row>
    <row r="1387" spans="2:18">
      <c r="B1387" s="22"/>
      <c r="C1387" s="47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</row>
    <row r="1388" spans="2:18" ht="39.75">
      <c r="B1388" s="27"/>
      <c r="C1388" s="14"/>
      <c r="D1388" s="29"/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</row>
    <row r="1389" spans="2:18" ht="58.5">
      <c r="B1389" s="31">
        <f t="shared" ref="B1389" si="160">B1385+1</f>
        <v>347</v>
      </c>
      <c r="C1389" s="14"/>
      <c r="D1389" s="32"/>
      <c r="E1389" s="32"/>
      <c r="F1389" s="32"/>
      <c r="G1389" s="32"/>
      <c r="H1389" s="32"/>
      <c r="I1389" s="32"/>
      <c r="J1389" s="32"/>
      <c r="K1389" s="32"/>
      <c r="L1389" s="32"/>
      <c r="M1389" s="32"/>
      <c r="N1389" s="32"/>
      <c r="O1389" s="32"/>
      <c r="P1389" s="32"/>
      <c r="Q1389" s="32"/>
      <c r="R1389" s="32"/>
    </row>
    <row r="1390" spans="2:18">
      <c r="B1390" s="35"/>
      <c r="C1390" s="14"/>
      <c r="D1390" s="37"/>
      <c r="E1390" s="37"/>
      <c r="F1390" s="37"/>
      <c r="G1390" s="37"/>
      <c r="H1390" s="37"/>
      <c r="I1390" s="37"/>
      <c r="J1390" s="37"/>
      <c r="K1390" s="37"/>
      <c r="L1390" s="37"/>
      <c r="M1390" s="37"/>
      <c r="N1390" s="37"/>
      <c r="O1390" s="37"/>
      <c r="P1390" s="37"/>
      <c r="Q1390" s="37"/>
      <c r="R1390" s="37"/>
    </row>
    <row r="1391" spans="2:18">
      <c r="B1391" s="22"/>
      <c r="C1391" s="47"/>
      <c r="D1391" s="25"/>
      <c r="E1391" s="25"/>
      <c r="F1391" s="25"/>
      <c r="G1391" s="25"/>
      <c r="H1391" s="25"/>
      <c r="I1391" s="25"/>
      <c r="J1391" s="25"/>
      <c r="K1391" s="25"/>
      <c r="L1391" s="25"/>
      <c r="M1391" s="25"/>
      <c r="N1391" s="25"/>
      <c r="O1391" s="25"/>
      <c r="P1391" s="25"/>
      <c r="Q1391" s="25"/>
      <c r="R1391" s="25"/>
    </row>
    <row r="1392" spans="2:18" ht="39.75">
      <c r="B1392" s="27"/>
      <c r="C1392" s="14"/>
      <c r="D1392" s="29"/>
      <c r="E1392" s="29"/>
      <c r="F1392" s="29"/>
      <c r="G1392" s="29"/>
      <c r="H1392" s="29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</row>
    <row r="1393" spans="2:18" ht="58.5">
      <c r="B1393" s="31">
        <f t="shared" ref="B1393" si="161">B1389+1</f>
        <v>348</v>
      </c>
      <c r="C1393" s="14"/>
      <c r="D1393" s="32"/>
      <c r="E1393" s="32"/>
      <c r="F1393" s="32"/>
      <c r="G1393" s="32"/>
      <c r="H1393" s="32"/>
      <c r="I1393" s="32"/>
      <c r="J1393" s="32"/>
      <c r="K1393" s="32"/>
      <c r="L1393" s="32"/>
      <c r="M1393" s="32"/>
      <c r="N1393" s="32"/>
      <c r="O1393" s="32"/>
      <c r="P1393" s="32"/>
      <c r="Q1393" s="32"/>
      <c r="R1393" s="32"/>
    </row>
    <row r="1394" spans="2:18">
      <c r="B1394" s="35"/>
      <c r="C1394" s="14"/>
      <c r="D1394" s="37"/>
      <c r="E1394" s="37"/>
      <c r="F1394" s="37"/>
      <c r="G1394" s="37"/>
      <c r="H1394" s="37"/>
      <c r="I1394" s="37"/>
      <c r="J1394" s="37"/>
      <c r="K1394" s="37"/>
      <c r="L1394" s="37"/>
      <c r="M1394" s="37"/>
      <c r="N1394" s="37"/>
      <c r="O1394" s="37"/>
      <c r="P1394" s="37"/>
      <c r="Q1394" s="37"/>
      <c r="R1394" s="37"/>
    </row>
    <row r="1395" spans="2:18">
      <c r="B1395" s="22"/>
      <c r="C1395" s="47"/>
      <c r="D1395" s="25"/>
      <c r="E1395" s="25"/>
      <c r="F1395" s="25"/>
      <c r="G1395" s="25"/>
      <c r="H1395" s="25"/>
      <c r="I1395" s="25"/>
      <c r="J1395" s="25"/>
      <c r="K1395" s="25"/>
      <c r="L1395" s="25"/>
      <c r="M1395" s="25"/>
      <c r="N1395" s="25"/>
      <c r="O1395" s="25"/>
      <c r="P1395" s="25"/>
      <c r="Q1395" s="25"/>
      <c r="R1395" s="25"/>
    </row>
    <row r="1396" spans="2:18" ht="39.75">
      <c r="B1396" s="27"/>
      <c r="C1396" s="14"/>
      <c r="D1396" s="29"/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</row>
    <row r="1397" spans="2:18" ht="58.5">
      <c r="B1397" s="31">
        <f t="shared" ref="B1397" si="162">B1393+1</f>
        <v>349</v>
      </c>
      <c r="C1397" s="14"/>
      <c r="D1397" s="32"/>
      <c r="E1397" s="32"/>
      <c r="F1397" s="32"/>
      <c r="G1397" s="32"/>
      <c r="H1397" s="32"/>
      <c r="I1397" s="32"/>
      <c r="J1397" s="32"/>
      <c r="K1397" s="32"/>
      <c r="L1397" s="32"/>
      <c r="M1397" s="32"/>
      <c r="N1397" s="32"/>
      <c r="O1397" s="32"/>
      <c r="P1397" s="32"/>
      <c r="Q1397" s="32"/>
      <c r="R1397" s="32"/>
    </row>
    <row r="1398" spans="2:18">
      <c r="B1398" s="35"/>
      <c r="C1398" s="14"/>
      <c r="D1398" s="37"/>
      <c r="E1398" s="37"/>
      <c r="F1398" s="37"/>
      <c r="G1398" s="37"/>
      <c r="H1398" s="37"/>
      <c r="I1398" s="37"/>
      <c r="J1398" s="37"/>
      <c r="K1398" s="37"/>
      <c r="L1398" s="37"/>
      <c r="M1398" s="37"/>
      <c r="N1398" s="37"/>
      <c r="O1398" s="37"/>
      <c r="P1398" s="37"/>
      <c r="Q1398" s="37"/>
      <c r="R1398" s="37"/>
    </row>
    <row r="1399" spans="2:18">
      <c r="B1399" s="22"/>
      <c r="C1399" s="47"/>
      <c r="D1399" s="25"/>
      <c r="E1399" s="25"/>
      <c r="F1399" s="25"/>
      <c r="G1399" s="25"/>
      <c r="H1399" s="25"/>
      <c r="I1399" s="25"/>
      <c r="J1399" s="25"/>
      <c r="K1399" s="25"/>
      <c r="L1399" s="25"/>
      <c r="M1399" s="25"/>
      <c r="N1399" s="25"/>
      <c r="O1399" s="25"/>
      <c r="P1399" s="25"/>
      <c r="Q1399" s="25"/>
      <c r="R1399" s="25"/>
    </row>
    <row r="1400" spans="2:18" ht="39.75">
      <c r="B1400" s="27"/>
      <c r="C1400" s="14"/>
      <c r="D1400" s="29"/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</row>
    <row r="1401" spans="2:18" ht="58.5">
      <c r="B1401" s="31">
        <f t="shared" ref="B1401" si="163">B1397+1</f>
        <v>350</v>
      </c>
      <c r="C1401" s="14"/>
      <c r="D1401" s="32"/>
      <c r="E1401" s="32"/>
      <c r="F1401" s="32"/>
      <c r="G1401" s="32"/>
      <c r="H1401" s="32"/>
      <c r="I1401" s="32"/>
      <c r="J1401" s="32"/>
      <c r="K1401" s="32"/>
      <c r="L1401" s="32"/>
      <c r="M1401" s="32"/>
      <c r="N1401" s="32"/>
      <c r="O1401" s="32"/>
      <c r="P1401" s="32"/>
      <c r="Q1401" s="32"/>
      <c r="R1401" s="32"/>
    </row>
    <row r="1402" spans="2:18">
      <c r="B1402" s="35"/>
      <c r="C1402" s="14"/>
      <c r="D1402" s="37"/>
      <c r="E1402" s="37"/>
      <c r="F1402" s="37"/>
      <c r="G1402" s="37"/>
      <c r="H1402" s="37"/>
      <c r="I1402" s="37"/>
      <c r="J1402" s="37"/>
      <c r="K1402" s="37"/>
      <c r="L1402" s="37"/>
      <c r="M1402" s="37"/>
      <c r="N1402" s="37"/>
      <c r="O1402" s="37"/>
      <c r="P1402" s="37"/>
      <c r="Q1402" s="37"/>
      <c r="R1402" s="37"/>
    </row>
    <row r="1403" spans="2:18">
      <c r="B1403" s="22"/>
      <c r="C1403" s="47"/>
      <c r="D1403" s="25"/>
      <c r="E1403" s="25"/>
      <c r="F1403" s="25"/>
      <c r="G1403" s="25"/>
      <c r="H1403" s="25"/>
      <c r="I1403" s="25"/>
      <c r="J1403" s="25"/>
      <c r="K1403" s="25"/>
      <c r="L1403" s="25"/>
      <c r="M1403" s="25"/>
      <c r="N1403" s="25"/>
      <c r="O1403" s="25"/>
      <c r="P1403" s="25"/>
      <c r="Q1403" s="25"/>
      <c r="R1403" s="25"/>
    </row>
    <row r="1404" spans="2:18" ht="39.75">
      <c r="B1404" s="27"/>
      <c r="C1404" s="14"/>
      <c r="D1404" s="29"/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</row>
    <row r="1405" spans="2:18" ht="58.5">
      <c r="B1405" s="31">
        <f>B1401+1</f>
        <v>351</v>
      </c>
      <c r="C1405" s="14"/>
      <c r="D1405" s="32"/>
      <c r="E1405" s="32"/>
      <c r="F1405" s="32"/>
      <c r="G1405" s="32"/>
      <c r="H1405" s="32"/>
      <c r="I1405" s="32"/>
      <c r="J1405" s="32"/>
      <c r="K1405" s="32"/>
      <c r="L1405" s="32"/>
      <c r="M1405" s="32"/>
      <c r="N1405" s="32"/>
      <c r="O1405" s="32"/>
      <c r="P1405" s="32"/>
      <c r="Q1405" s="32"/>
      <c r="R1405" s="32"/>
    </row>
    <row r="1406" spans="2:18">
      <c r="B1406" s="35"/>
      <c r="C1406" s="14"/>
      <c r="D1406" s="37"/>
      <c r="E1406" s="37"/>
      <c r="F1406" s="37"/>
      <c r="G1406" s="37"/>
      <c r="H1406" s="37"/>
      <c r="I1406" s="37"/>
      <c r="J1406" s="37"/>
      <c r="K1406" s="37"/>
      <c r="L1406" s="37"/>
      <c r="M1406" s="37"/>
      <c r="N1406" s="37"/>
      <c r="O1406" s="37"/>
      <c r="P1406" s="37"/>
      <c r="Q1406" s="37"/>
      <c r="R1406" s="37"/>
    </row>
    <row r="1407" spans="2:18">
      <c r="B1407" s="40"/>
      <c r="C1407" s="41"/>
      <c r="D1407" s="25"/>
      <c r="E1407" s="25"/>
      <c r="F1407" s="25"/>
      <c r="G1407" s="25"/>
      <c r="H1407" s="25"/>
      <c r="I1407" s="25"/>
      <c r="J1407" s="25"/>
      <c r="K1407" s="25"/>
      <c r="L1407" s="25"/>
      <c r="M1407" s="25"/>
      <c r="N1407" s="25"/>
      <c r="O1407" s="25"/>
      <c r="P1407" s="25"/>
      <c r="Q1407" s="25"/>
      <c r="R1407" s="25"/>
    </row>
    <row r="1408" spans="2:18" ht="39.75">
      <c r="B1408" s="27"/>
      <c r="C1408" s="14"/>
      <c r="D1408" s="29"/>
      <c r="E1408" s="29"/>
      <c r="F1408" s="29"/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</row>
    <row r="1409" spans="2:18" ht="58.5">
      <c r="B1409" s="31">
        <f>B1405+1</f>
        <v>352</v>
      </c>
      <c r="C1409" s="14"/>
      <c r="D1409" s="32"/>
      <c r="E1409" s="32"/>
      <c r="F1409" s="32"/>
      <c r="G1409" s="32"/>
      <c r="H1409" s="32"/>
      <c r="I1409" s="32"/>
      <c r="J1409" s="32"/>
      <c r="K1409" s="32"/>
      <c r="L1409" s="32"/>
      <c r="M1409" s="32"/>
      <c r="N1409" s="32"/>
      <c r="O1409" s="32"/>
      <c r="P1409" s="32"/>
      <c r="Q1409" s="32"/>
      <c r="R1409" s="32"/>
    </row>
    <row r="1410" spans="2:18">
      <c r="B1410" s="35"/>
      <c r="C1410" s="14"/>
      <c r="D1410" s="37"/>
      <c r="E1410" s="37"/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</row>
    <row r="1411" spans="2:18">
      <c r="B1411" s="44"/>
      <c r="C1411" s="45"/>
      <c r="D1411" s="25"/>
      <c r="E1411" s="25"/>
      <c r="F1411" s="25"/>
      <c r="G1411" s="25"/>
      <c r="H1411" s="25"/>
      <c r="I1411" s="25"/>
      <c r="J1411" s="25"/>
      <c r="K1411" s="25"/>
      <c r="L1411" s="25"/>
      <c r="M1411" s="25"/>
      <c r="N1411" s="25"/>
      <c r="O1411" s="25"/>
      <c r="P1411" s="25"/>
      <c r="Q1411" s="25"/>
      <c r="R1411" s="25"/>
    </row>
    <row r="1412" spans="2:18" ht="39.75">
      <c r="B1412" s="27"/>
      <c r="C1412" s="14"/>
      <c r="D1412" s="29"/>
      <c r="E1412" s="29"/>
      <c r="F1412" s="29"/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</row>
    <row r="1413" spans="2:18" ht="58.5">
      <c r="B1413" s="31">
        <f>B1409+1</f>
        <v>353</v>
      </c>
      <c r="C1413" s="14"/>
      <c r="D1413" s="32"/>
      <c r="E1413" s="32"/>
      <c r="F1413" s="32"/>
      <c r="G1413" s="32"/>
      <c r="H1413" s="32"/>
      <c r="I1413" s="32"/>
      <c r="J1413" s="32"/>
      <c r="K1413" s="32"/>
      <c r="L1413" s="32"/>
      <c r="M1413" s="32"/>
      <c r="N1413" s="32"/>
      <c r="O1413" s="32"/>
      <c r="P1413" s="32"/>
      <c r="Q1413" s="32"/>
      <c r="R1413" s="32"/>
    </row>
    <row r="1414" spans="2:18">
      <c r="B1414" s="35"/>
      <c r="C1414" s="14"/>
      <c r="D1414" s="37"/>
      <c r="E1414" s="37"/>
      <c r="F1414" s="37"/>
      <c r="G1414" s="37"/>
      <c r="H1414" s="37"/>
      <c r="I1414" s="37"/>
      <c r="J1414" s="37"/>
      <c r="K1414" s="37"/>
      <c r="L1414" s="37"/>
      <c r="M1414" s="37"/>
      <c r="N1414" s="37"/>
      <c r="O1414" s="37"/>
      <c r="P1414" s="37"/>
      <c r="Q1414" s="37"/>
      <c r="R1414" s="37"/>
    </row>
    <row r="1415" spans="2:18">
      <c r="B1415" s="22"/>
      <c r="C1415" s="47"/>
      <c r="D1415" s="25"/>
      <c r="E1415" s="25"/>
      <c r="F1415" s="25"/>
      <c r="G1415" s="25"/>
      <c r="H1415" s="25"/>
      <c r="I1415" s="25"/>
      <c r="J1415" s="25"/>
      <c r="K1415" s="25"/>
      <c r="L1415" s="25"/>
      <c r="M1415" s="25"/>
      <c r="N1415" s="25"/>
      <c r="O1415" s="25"/>
      <c r="P1415" s="25"/>
      <c r="Q1415" s="25"/>
      <c r="R1415" s="25"/>
    </row>
    <row r="1416" spans="2:18" ht="39.75">
      <c r="B1416" s="27"/>
      <c r="C1416" s="14"/>
      <c r="D1416" s="29"/>
      <c r="E1416" s="29"/>
      <c r="F1416" s="29"/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</row>
    <row r="1417" spans="2:18" ht="58.5">
      <c r="B1417" s="31">
        <f>B1413+1</f>
        <v>354</v>
      </c>
      <c r="C1417" s="14"/>
      <c r="D1417" s="32"/>
      <c r="E1417" s="32"/>
      <c r="F1417" s="32"/>
      <c r="G1417" s="32"/>
      <c r="H1417" s="32"/>
      <c r="I1417" s="32"/>
      <c r="J1417" s="32"/>
      <c r="K1417" s="32"/>
      <c r="L1417" s="32"/>
      <c r="M1417" s="32"/>
      <c r="N1417" s="32"/>
      <c r="O1417" s="32"/>
      <c r="P1417" s="32"/>
      <c r="Q1417" s="32"/>
      <c r="R1417" s="32"/>
    </row>
    <row r="1418" spans="2:18">
      <c r="B1418" s="35"/>
      <c r="C1418" s="14"/>
      <c r="D1418" s="37"/>
      <c r="E1418" s="37"/>
      <c r="F1418" s="37"/>
      <c r="G1418" s="37"/>
      <c r="H1418" s="37"/>
      <c r="I1418" s="37"/>
      <c r="J1418" s="37"/>
      <c r="K1418" s="37"/>
      <c r="L1418" s="37"/>
      <c r="M1418" s="37"/>
      <c r="N1418" s="37"/>
      <c r="O1418" s="37"/>
      <c r="P1418" s="37"/>
      <c r="Q1418" s="37"/>
      <c r="R1418" s="37"/>
    </row>
    <row r="1419" spans="2:18">
      <c r="B1419" s="22"/>
      <c r="C1419" s="47"/>
      <c r="D1419" s="25"/>
      <c r="E1419" s="25"/>
      <c r="F1419" s="25"/>
      <c r="G1419" s="25"/>
      <c r="H1419" s="25"/>
      <c r="I1419" s="25"/>
      <c r="J1419" s="25"/>
      <c r="K1419" s="25"/>
      <c r="L1419" s="25"/>
      <c r="M1419" s="25"/>
      <c r="N1419" s="25"/>
      <c r="O1419" s="25"/>
      <c r="P1419" s="25"/>
      <c r="Q1419" s="25"/>
      <c r="R1419" s="25"/>
    </row>
    <row r="1420" spans="2:18" ht="39.75">
      <c r="B1420" s="27"/>
      <c r="C1420" s="14"/>
      <c r="D1420" s="29"/>
      <c r="E1420" s="29"/>
      <c r="F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</row>
    <row r="1421" spans="2:18" ht="58.5">
      <c r="B1421" s="31">
        <f>B1417+1</f>
        <v>355</v>
      </c>
      <c r="C1421" s="14"/>
      <c r="D1421" s="32"/>
      <c r="E1421" s="32"/>
      <c r="F1421" s="32"/>
      <c r="G1421" s="32"/>
      <c r="H1421" s="32"/>
      <c r="I1421" s="32"/>
      <c r="J1421" s="32"/>
      <c r="K1421" s="32"/>
      <c r="L1421" s="32"/>
      <c r="M1421" s="32"/>
      <c r="N1421" s="32"/>
      <c r="O1421" s="32"/>
      <c r="P1421" s="32"/>
      <c r="Q1421" s="32"/>
      <c r="R1421" s="32"/>
    </row>
    <row r="1422" spans="2:18">
      <c r="B1422" s="35"/>
      <c r="C1422" s="14"/>
      <c r="D1422" s="37"/>
      <c r="E1422" s="37"/>
      <c r="F1422" s="37"/>
      <c r="G1422" s="37"/>
      <c r="H1422" s="37"/>
      <c r="I1422" s="37"/>
      <c r="J1422" s="37"/>
      <c r="K1422" s="37"/>
      <c r="L1422" s="37"/>
      <c r="M1422" s="37"/>
      <c r="N1422" s="37"/>
      <c r="O1422" s="37"/>
      <c r="P1422" s="37"/>
      <c r="Q1422" s="37"/>
      <c r="R1422" s="37"/>
    </row>
    <row r="1423" spans="2:18">
      <c r="B1423" s="22"/>
      <c r="C1423" s="47"/>
      <c r="D1423" s="25"/>
      <c r="E1423" s="25"/>
      <c r="F1423" s="25"/>
      <c r="G1423" s="25"/>
      <c r="H1423" s="25"/>
      <c r="I1423" s="25"/>
      <c r="J1423" s="25"/>
      <c r="K1423" s="25"/>
      <c r="L1423" s="25"/>
      <c r="M1423" s="25"/>
      <c r="N1423" s="25"/>
      <c r="O1423" s="25"/>
      <c r="P1423" s="25"/>
      <c r="Q1423" s="25"/>
      <c r="R1423" s="25"/>
    </row>
    <row r="1424" spans="2:18" ht="39.75">
      <c r="B1424" s="27"/>
      <c r="C1424" s="14"/>
      <c r="D1424" s="29"/>
      <c r="E1424" s="29"/>
      <c r="F1424" s="29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</row>
    <row r="1425" spans="2:18" ht="58.5">
      <c r="B1425" s="31">
        <f>B1421+1</f>
        <v>356</v>
      </c>
      <c r="C1425" s="14"/>
      <c r="D1425" s="32"/>
      <c r="E1425" s="32"/>
      <c r="F1425" s="32"/>
      <c r="G1425" s="32"/>
      <c r="H1425" s="32"/>
      <c r="I1425" s="32"/>
      <c r="J1425" s="32"/>
      <c r="K1425" s="32"/>
      <c r="L1425" s="32"/>
      <c r="M1425" s="32"/>
      <c r="N1425" s="32"/>
      <c r="O1425" s="32"/>
      <c r="P1425" s="32"/>
      <c r="Q1425" s="32"/>
      <c r="R1425" s="32"/>
    </row>
    <row r="1426" spans="2:18">
      <c r="B1426" s="35"/>
      <c r="C1426" s="14"/>
      <c r="D1426" s="37"/>
      <c r="E1426" s="37"/>
      <c r="F1426" s="37"/>
      <c r="G1426" s="37"/>
      <c r="H1426" s="37"/>
      <c r="I1426" s="37"/>
      <c r="J1426" s="37"/>
      <c r="K1426" s="37"/>
      <c r="L1426" s="37"/>
      <c r="M1426" s="37"/>
      <c r="N1426" s="37"/>
      <c r="O1426" s="37"/>
      <c r="P1426" s="37"/>
      <c r="Q1426" s="37"/>
      <c r="R1426" s="37"/>
    </row>
    <row r="1427" spans="2:18">
      <c r="B1427" s="22"/>
      <c r="C1427" s="47"/>
      <c r="D1427" s="25"/>
      <c r="E1427" s="25"/>
      <c r="F1427" s="25"/>
      <c r="G1427" s="25"/>
      <c r="H1427" s="25"/>
      <c r="I1427" s="25"/>
      <c r="J1427" s="25"/>
      <c r="K1427" s="25"/>
      <c r="L1427" s="25"/>
      <c r="M1427" s="25"/>
      <c r="N1427" s="25"/>
      <c r="O1427" s="25"/>
      <c r="P1427" s="25"/>
      <c r="Q1427" s="25"/>
      <c r="R1427" s="25"/>
    </row>
    <row r="1428" spans="2:18" ht="39.75">
      <c r="B1428" s="27"/>
      <c r="C1428" s="14"/>
      <c r="D1428" s="29"/>
      <c r="E1428" s="29"/>
      <c r="F1428" s="29"/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</row>
    <row r="1429" spans="2:18" ht="58.5">
      <c r="B1429" s="31">
        <f>B1425+1</f>
        <v>357</v>
      </c>
      <c r="C1429" s="14"/>
      <c r="D1429" s="32"/>
      <c r="E1429" s="32"/>
      <c r="F1429" s="32"/>
      <c r="G1429" s="32"/>
      <c r="H1429" s="32"/>
      <c r="I1429" s="32"/>
      <c r="J1429" s="32"/>
      <c r="K1429" s="32"/>
      <c r="L1429" s="32"/>
      <c r="M1429" s="32"/>
      <c r="N1429" s="32"/>
      <c r="O1429" s="32"/>
      <c r="P1429" s="32"/>
      <c r="Q1429" s="32"/>
      <c r="R1429" s="32"/>
    </row>
    <row r="1430" spans="2:18">
      <c r="B1430" s="35"/>
      <c r="C1430" s="14"/>
      <c r="D1430" s="37"/>
      <c r="E1430" s="37"/>
      <c r="F1430" s="37"/>
      <c r="G1430" s="37"/>
      <c r="H1430" s="37"/>
      <c r="I1430" s="37"/>
      <c r="J1430" s="37"/>
      <c r="K1430" s="37"/>
      <c r="L1430" s="37"/>
      <c r="M1430" s="37"/>
      <c r="N1430" s="37"/>
      <c r="O1430" s="37"/>
      <c r="P1430" s="37"/>
      <c r="Q1430" s="37"/>
      <c r="R1430" s="37"/>
    </row>
    <row r="1431" spans="2:18">
      <c r="B1431" s="22"/>
      <c r="C1431" s="47"/>
      <c r="D1431" s="25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</row>
    <row r="1432" spans="2:18" ht="39.75">
      <c r="B1432" s="27"/>
      <c r="C1432" s="14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</row>
    <row r="1433" spans="2:18" ht="58.5">
      <c r="B1433" s="31">
        <f>B1429+1</f>
        <v>358</v>
      </c>
      <c r="C1433" s="14"/>
      <c r="D1433" s="32"/>
      <c r="E1433" s="32"/>
      <c r="F1433" s="32"/>
      <c r="G1433" s="32"/>
      <c r="H1433" s="32"/>
      <c r="I1433" s="32"/>
      <c r="J1433" s="32"/>
      <c r="K1433" s="32"/>
      <c r="L1433" s="32"/>
      <c r="M1433" s="32"/>
      <c r="N1433" s="32"/>
      <c r="O1433" s="32"/>
      <c r="P1433" s="32"/>
      <c r="Q1433" s="32"/>
      <c r="R1433" s="32"/>
    </row>
    <row r="1434" spans="2:18">
      <c r="B1434" s="35"/>
      <c r="C1434" s="14"/>
      <c r="D1434" s="37"/>
      <c r="E1434" s="37"/>
      <c r="F1434" s="37"/>
      <c r="G1434" s="37"/>
      <c r="H1434" s="37"/>
      <c r="I1434" s="37"/>
      <c r="J1434" s="37"/>
      <c r="K1434" s="37"/>
      <c r="L1434" s="37"/>
      <c r="M1434" s="37"/>
      <c r="N1434" s="37"/>
      <c r="O1434" s="37"/>
      <c r="P1434" s="37"/>
      <c r="Q1434" s="37"/>
      <c r="R1434" s="37"/>
    </row>
    <row r="1435" spans="2:18">
      <c r="B1435" s="22"/>
      <c r="C1435" s="47"/>
      <c r="D1435" s="25"/>
      <c r="E1435" s="25"/>
      <c r="F1435" s="25"/>
      <c r="G1435" s="25"/>
      <c r="H1435" s="25"/>
      <c r="I1435" s="25"/>
      <c r="J1435" s="25"/>
      <c r="K1435" s="25"/>
      <c r="L1435" s="25"/>
      <c r="M1435" s="25"/>
      <c r="N1435" s="25"/>
      <c r="O1435" s="25"/>
      <c r="P1435" s="25"/>
      <c r="Q1435" s="25"/>
      <c r="R1435" s="25"/>
    </row>
    <row r="1436" spans="2:18" ht="39.75">
      <c r="B1436" s="27"/>
      <c r="C1436" s="14"/>
      <c r="D1436" s="29"/>
      <c r="E1436" s="29"/>
      <c r="F1436" s="29"/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</row>
    <row r="1437" spans="2:18" ht="58.5">
      <c r="B1437" s="31">
        <f>B1433+1</f>
        <v>359</v>
      </c>
      <c r="C1437" s="14"/>
      <c r="D1437" s="32"/>
      <c r="E1437" s="32"/>
      <c r="F1437" s="32"/>
      <c r="G1437" s="32"/>
      <c r="H1437" s="32"/>
      <c r="I1437" s="32"/>
      <c r="J1437" s="32"/>
      <c r="K1437" s="32"/>
      <c r="L1437" s="32"/>
      <c r="M1437" s="32"/>
      <c r="N1437" s="32"/>
      <c r="O1437" s="32"/>
      <c r="P1437" s="32"/>
      <c r="Q1437" s="32"/>
      <c r="R1437" s="32"/>
    </row>
    <row r="1438" spans="2:18">
      <c r="B1438" s="35"/>
      <c r="C1438" s="14"/>
      <c r="D1438" s="37"/>
      <c r="E1438" s="37"/>
      <c r="F1438" s="37"/>
      <c r="G1438" s="37"/>
      <c r="H1438" s="37"/>
      <c r="I1438" s="37"/>
      <c r="J1438" s="37"/>
      <c r="K1438" s="37"/>
      <c r="L1438" s="37"/>
      <c r="M1438" s="37"/>
      <c r="N1438" s="37"/>
      <c r="O1438" s="37"/>
      <c r="P1438" s="37"/>
      <c r="Q1438" s="37"/>
      <c r="R1438" s="37"/>
    </row>
    <row r="1439" spans="2:18">
      <c r="B1439" s="22"/>
      <c r="C1439" s="47"/>
      <c r="D1439" s="25"/>
      <c r="E1439" s="25"/>
      <c r="F1439" s="25"/>
      <c r="G1439" s="25"/>
      <c r="H1439" s="25"/>
      <c r="I1439" s="25"/>
      <c r="J1439" s="25"/>
      <c r="K1439" s="25"/>
      <c r="L1439" s="25"/>
      <c r="M1439" s="25"/>
      <c r="N1439" s="25"/>
      <c r="O1439" s="25"/>
      <c r="P1439" s="25"/>
      <c r="Q1439" s="25"/>
      <c r="R1439" s="25"/>
    </row>
    <row r="1440" spans="2:18" ht="39.75">
      <c r="B1440" s="27"/>
      <c r="C1440" s="14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</row>
    <row r="1441" spans="2:18" ht="58.5">
      <c r="B1441" s="31">
        <f>B1437+1</f>
        <v>360</v>
      </c>
      <c r="C1441" s="14"/>
      <c r="D1441" s="32"/>
      <c r="E1441" s="32"/>
      <c r="F1441" s="32"/>
      <c r="G1441" s="32"/>
      <c r="H1441" s="32"/>
      <c r="I1441" s="32"/>
      <c r="J1441" s="32"/>
      <c r="K1441" s="32"/>
      <c r="L1441" s="32"/>
      <c r="M1441" s="32"/>
      <c r="N1441" s="32"/>
      <c r="O1441" s="32"/>
      <c r="P1441" s="32"/>
      <c r="Q1441" s="32"/>
      <c r="R1441" s="32"/>
    </row>
    <row r="1442" spans="2:18">
      <c r="B1442" s="35"/>
      <c r="C1442" s="14"/>
      <c r="D1442" s="37"/>
      <c r="E1442" s="37"/>
      <c r="F1442" s="37"/>
      <c r="G1442" s="37"/>
      <c r="H1442" s="37"/>
      <c r="I1442" s="37"/>
      <c r="J1442" s="37"/>
      <c r="K1442" s="37"/>
      <c r="L1442" s="37"/>
      <c r="M1442" s="37"/>
      <c r="N1442" s="37"/>
      <c r="O1442" s="37"/>
      <c r="P1442" s="37"/>
      <c r="Q1442" s="37"/>
      <c r="R1442" s="37"/>
    </row>
    <row r="1443" spans="2:18">
      <c r="B1443" s="22"/>
      <c r="C1443" s="47"/>
      <c r="D1443" s="25"/>
      <c r="E1443" s="25"/>
      <c r="F1443" s="25"/>
      <c r="G1443" s="25"/>
      <c r="H1443" s="25"/>
      <c r="I1443" s="25"/>
      <c r="J1443" s="25"/>
      <c r="K1443" s="25"/>
      <c r="L1443" s="25"/>
      <c r="M1443" s="25"/>
      <c r="N1443" s="25"/>
      <c r="O1443" s="25"/>
      <c r="P1443" s="25"/>
      <c r="Q1443" s="25"/>
      <c r="R1443" s="25"/>
    </row>
    <row r="1444" spans="2:18" ht="39.75">
      <c r="B1444" s="27"/>
      <c r="C1444" s="14"/>
      <c r="D1444" s="29"/>
      <c r="E1444" s="29"/>
      <c r="F1444" s="29"/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</row>
    <row r="1445" spans="2:18" ht="58.5">
      <c r="B1445" s="31">
        <f>B1441+1</f>
        <v>361</v>
      </c>
      <c r="C1445" s="14"/>
      <c r="D1445" s="32"/>
      <c r="E1445" s="32"/>
      <c r="F1445" s="32"/>
      <c r="G1445" s="32"/>
      <c r="H1445" s="32"/>
      <c r="I1445" s="32"/>
      <c r="J1445" s="32"/>
      <c r="K1445" s="32"/>
      <c r="L1445" s="32"/>
      <c r="M1445" s="32"/>
      <c r="N1445" s="32"/>
      <c r="O1445" s="32"/>
      <c r="P1445" s="32"/>
      <c r="Q1445" s="32"/>
      <c r="R1445" s="32"/>
    </row>
    <row r="1446" spans="2:18">
      <c r="B1446" s="35"/>
      <c r="C1446" s="14"/>
      <c r="D1446" s="37"/>
      <c r="E1446" s="37"/>
      <c r="F1446" s="37"/>
      <c r="G1446" s="37"/>
      <c r="H1446" s="37"/>
      <c r="I1446" s="37"/>
      <c r="J1446" s="37"/>
      <c r="K1446" s="37"/>
      <c r="L1446" s="37"/>
      <c r="M1446" s="37"/>
      <c r="N1446" s="37"/>
      <c r="O1446" s="37"/>
      <c r="P1446" s="37"/>
      <c r="Q1446" s="37"/>
      <c r="R1446" s="37"/>
    </row>
    <row r="1447" spans="2:18">
      <c r="B1447" s="22"/>
      <c r="C1447" s="47"/>
      <c r="D1447" s="25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</row>
    <row r="1448" spans="2:18" ht="39.75">
      <c r="B1448" s="27"/>
      <c r="C1448" s="14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</row>
    <row r="1449" spans="2:18" ht="58.5">
      <c r="B1449" s="31">
        <f>B1445+1</f>
        <v>362</v>
      </c>
      <c r="C1449" s="14"/>
      <c r="D1449" s="32"/>
      <c r="E1449" s="32"/>
      <c r="F1449" s="32"/>
      <c r="G1449" s="32"/>
      <c r="H1449" s="32"/>
      <c r="I1449" s="32"/>
      <c r="J1449" s="32"/>
      <c r="K1449" s="32"/>
      <c r="L1449" s="32"/>
      <c r="M1449" s="32"/>
      <c r="N1449" s="32"/>
      <c r="O1449" s="32"/>
      <c r="P1449" s="32"/>
      <c r="Q1449" s="32"/>
      <c r="R1449" s="32"/>
    </row>
    <row r="1450" spans="2:18">
      <c r="B1450" s="35"/>
      <c r="C1450" s="14"/>
      <c r="D1450" s="37"/>
      <c r="E1450" s="37"/>
      <c r="F1450" s="37"/>
      <c r="G1450" s="37"/>
      <c r="H1450" s="37"/>
      <c r="I1450" s="37"/>
      <c r="J1450" s="37"/>
      <c r="K1450" s="37"/>
      <c r="L1450" s="37"/>
      <c r="M1450" s="37"/>
      <c r="N1450" s="37"/>
      <c r="O1450" s="37"/>
      <c r="P1450" s="37"/>
      <c r="Q1450" s="37"/>
      <c r="R1450" s="37"/>
    </row>
    <row r="1451" spans="2:18">
      <c r="B1451" s="22"/>
      <c r="C1451" s="47"/>
      <c r="D1451" s="25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  <c r="O1451" s="25"/>
      <c r="P1451" s="25"/>
      <c r="Q1451" s="25"/>
      <c r="R1451" s="25"/>
    </row>
    <row r="1452" spans="2:18" ht="39.75">
      <c r="B1452" s="27"/>
      <c r="C1452" s="14"/>
      <c r="D1452" s="29"/>
      <c r="E1452" s="29"/>
      <c r="F1452" s="29"/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</row>
    <row r="1453" spans="2:18" ht="58.5">
      <c r="B1453" s="31">
        <f>B1449+1</f>
        <v>363</v>
      </c>
      <c r="C1453" s="14"/>
      <c r="D1453" s="32"/>
      <c r="E1453" s="32"/>
      <c r="F1453" s="32"/>
      <c r="G1453" s="32"/>
      <c r="H1453" s="32"/>
      <c r="I1453" s="32"/>
      <c r="J1453" s="32"/>
      <c r="K1453" s="32"/>
      <c r="L1453" s="32"/>
      <c r="M1453" s="32"/>
      <c r="N1453" s="32"/>
      <c r="O1453" s="32"/>
      <c r="P1453" s="32"/>
      <c r="Q1453" s="32"/>
      <c r="R1453" s="32"/>
    </row>
    <row r="1454" spans="2:18">
      <c r="B1454" s="35"/>
      <c r="C1454" s="14"/>
      <c r="D1454" s="37"/>
      <c r="E1454" s="37"/>
      <c r="F1454" s="37"/>
      <c r="G1454" s="37"/>
      <c r="H1454" s="37"/>
      <c r="I1454" s="37"/>
      <c r="J1454" s="37"/>
      <c r="K1454" s="37"/>
      <c r="L1454" s="37"/>
      <c r="M1454" s="37"/>
      <c r="N1454" s="37"/>
      <c r="O1454" s="37"/>
      <c r="P1454" s="37"/>
      <c r="Q1454" s="37"/>
      <c r="R1454" s="37"/>
    </row>
    <row r="1455" spans="2:18">
      <c r="B1455" s="22"/>
      <c r="C1455" s="47"/>
      <c r="D1455" s="25"/>
      <c r="E1455" s="25"/>
      <c r="F1455" s="25"/>
      <c r="G1455" s="25"/>
      <c r="H1455" s="25"/>
      <c r="I1455" s="25"/>
      <c r="J1455" s="25"/>
      <c r="K1455" s="25"/>
      <c r="L1455" s="25"/>
      <c r="M1455" s="25"/>
      <c r="N1455" s="25"/>
      <c r="O1455" s="25"/>
      <c r="P1455" s="25"/>
      <c r="Q1455" s="25"/>
      <c r="R1455" s="25"/>
    </row>
    <row r="1456" spans="2:18" ht="39.75">
      <c r="B1456" s="27"/>
      <c r="C1456" s="14"/>
      <c r="D1456" s="29"/>
      <c r="E1456" s="29"/>
      <c r="F1456" s="29"/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</row>
    <row r="1457" spans="2:18" ht="58.5">
      <c r="B1457" s="31">
        <f>B1453+1</f>
        <v>364</v>
      </c>
      <c r="C1457" s="14"/>
      <c r="D1457" s="32"/>
      <c r="E1457" s="32"/>
      <c r="F1457" s="32"/>
      <c r="G1457" s="32"/>
      <c r="H1457" s="32"/>
      <c r="I1457" s="32"/>
      <c r="J1457" s="32"/>
      <c r="K1457" s="32"/>
      <c r="L1457" s="32"/>
      <c r="M1457" s="32"/>
      <c r="N1457" s="32"/>
      <c r="O1457" s="32"/>
      <c r="P1457" s="32"/>
      <c r="Q1457" s="32"/>
      <c r="R1457" s="32"/>
    </row>
    <row r="1458" spans="2:18">
      <c r="B1458" s="35"/>
      <c r="C1458" s="14"/>
      <c r="D1458" s="37"/>
      <c r="E1458" s="37"/>
      <c r="F1458" s="37"/>
      <c r="G1458" s="37"/>
      <c r="H1458" s="37"/>
      <c r="I1458" s="37"/>
      <c r="J1458" s="37"/>
      <c r="K1458" s="37"/>
      <c r="L1458" s="37"/>
      <c r="M1458" s="37"/>
      <c r="N1458" s="37"/>
      <c r="O1458" s="37"/>
      <c r="P1458" s="37"/>
      <c r="Q1458" s="37"/>
      <c r="R1458" s="37"/>
    </row>
    <row r="1459" spans="2:18">
      <c r="B1459" s="22"/>
      <c r="C1459" s="47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</row>
    <row r="1460" spans="2:18" ht="39.75">
      <c r="B1460" s="27"/>
      <c r="C1460" s="14"/>
      <c r="D1460" s="29"/>
      <c r="E1460" s="29"/>
      <c r="F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</row>
    <row r="1461" spans="2:18" ht="58.5">
      <c r="B1461" s="31">
        <f>B1457+1</f>
        <v>365</v>
      </c>
      <c r="C1461" s="14"/>
      <c r="D1461" s="32"/>
      <c r="E1461" s="32"/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/>
      <c r="Q1461" s="32"/>
      <c r="R1461" s="32"/>
    </row>
    <row r="1462" spans="2:18">
      <c r="B1462" s="35"/>
      <c r="C1462" s="14"/>
      <c r="D1462" s="37"/>
      <c r="E1462" s="37"/>
      <c r="F1462" s="37"/>
      <c r="G1462" s="37"/>
      <c r="H1462" s="37"/>
      <c r="I1462" s="37"/>
      <c r="J1462" s="37"/>
      <c r="K1462" s="37"/>
      <c r="L1462" s="37"/>
      <c r="M1462" s="37"/>
      <c r="N1462" s="37"/>
      <c r="O1462" s="37"/>
      <c r="P1462" s="37"/>
      <c r="Q1462" s="37"/>
      <c r="R1462" s="37"/>
    </row>
    <row r="1463" spans="2:18">
      <c r="B1463" s="22"/>
      <c r="C1463" s="47"/>
      <c r="D1463" s="25"/>
      <c r="E1463" s="25"/>
      <c r="F1463" s="25"/>
      <c r="G1463" s="25"/>
      <c r="H1463" s="25"/>
      <c r="I1463" s="25"/>
      <c r="J1463" s="25"/>
      <c r="K1463" s="25"/>
      <c r="L1463" s="25"/>
      <c r="M1463" s="25"/>
      <c r="N1463" s="25"/>
      <c r="O1463" s="25"/>
      <c r="P1463" s="25"/>
      <c r="Q1463" s="25"/>
      <c r="R1463" s="25"/>
    </row>
    <row r="1464" spans="2:18" ht="39.75">
      <c r="B1464" s="27"/>
      <c r="C1464" s="14"/>
      <c r="D1464" s="29"/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</row>
    <row r="1465" spans="2:18" ht="58.5">
      <c r="B1465" s="31">
        <f>B1461+1</f>
        <v>366</v>
      </c>
      <c r="C1465" s="14"/>
      <c r="D1465" s="32"/>
      <c r="E1465" s="32"/>
      <c r="F1465" s="32"/>
      <c r="G1465" s="32"/>
      <c r="H1465" s="32"/>
      <c r="I1465" s="32"/>
      <c r="J1465" s="32"/>
      <c r="K1465" s="32"/>
      <c r="L1465" s="32"/>
      <c r="M1465" s="32"/>
      <c r="N1465" s="32"/>
      <c r="O1465" s="32"/>
      <c r="P1465" s="32"/>
      <c r="Q1465" s="32"/>
      <c r="R1465" s="32"/>
    </row>
    <row r="1466" spans="2:18">
      <c r="B1466" s="35"/>
      <c r="C1466" s="14"/>
      <c r="D1466" s="37"/>
      <c r="E1466" s="37"/>
      <c r="F1466" s="37"/>
      <c r="G1466" s="37"/>
      <c r="H1466" s="37"/>
      <c r="I1466" s="37"/>
      <c r="J1466" s="37"/>
      <c r="K1466" s="37"/>
      <c r="L1466" s="37"/>
      <c r="M1466" s="37"/>
      <c r="N1466" s="37"/>
      <c r="O1466" s="37"/>
      <c r="P1466" s="37"/>
      <c r="Q1466" s="37"/>
      <c r="R1466" s="37"/>
    </row>
    <row r="1467" spans="2:18">
      <c r="B1467" s="22"/>
      <c r="C1467" s="47"/>
      <c r="D1467" s="25"/>
      <c r="E1467" s="25"/>
      <c r="F1467" s="25"/>
      <c r="G1467" s="25"/>
      <c r="H1467" s="25"/>
      <c r="I1467" s="25"/>
      <c r="J1467" s="25"/>
      <c r="K1467" s="25"/>
      <c r="L1467" s="25"/>
      <c r="M1467" s="25"/>
      <c r="N1467" s="25"/>
      <c r="O1467" s="25"/>
      <c r="P1467" s="25"/>
      <c r="Q1467" s="25"/>
      <c r="R1467" s="25"/>
    </row>
    <row r="1468" spans="2:18" ht="39.75">
      <c r="B1468" s="27"/>
      <c r="C1468" s="14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</row>
    <row r="1469" spans="2:18" ht="58.5">
      <c r="B1469" s="31">
        <f>B1465+1</f>
        <v>367</v>
      </c>
      <c r="C1469" s="14"/>
      <c r="D1469" s="32"/>
      <c r="E1469" s="32"/>
      <c r="F1469" s="32"/>
      <c r="G1469" s="32"/>
      <c r="H1469" s="32"/>
      <c r="I1469" s="32"/>
      <c r="J1469" s="32"/>
      <c r="K1469" s="32"/>
      <c r="L1469" s="32"/>
      <c r="M1469" s="32"/>
      <c r="N1469" s="32"/>
      <c r="O1469" s="32"/>
      <c r="P1469" s="32"/>
      <c r="Q1469" s="32"/>
      <c r="R1469" s="32"/>
    </row>
    <row r="1470" spans="2:18">
      <c r="B1470" s="35"/>
      <c r="C1470" s="14"/>
      <c r="D1470" s="37"/>
      <c r="E1470" s="37"/>
      <c r="F1470" s="37"/>
      <c r="G1470" s="37"/>
      <c r="H1470" s="37"/>
      <c r="I1470" s="37"/>
      <c r="J1470" s="37"/>
      <c r="K1470" s="37"/>
      <c r="L1470" s="37"/>
      <c r="M1470" s="37"/>
      <c r="N1470" s="37"/>
      <c r="O1470" s="37"/>
      <c r="P1470" s="37"/>
      <c r="Q1470" s="37"/>
      <c r="R1470" s="37"/>
    </row>
    <row r="1471" spans="2:18">
      <c r="B1471" s="22"/>
      <c r="C1471" s="47"/>
      <c r="D1471" s="25"/>
      <c r="E1471" s="25"/>
      <c r="F1471" s="25"/>
      <c r="G1471" s="25"/>
      <c r="H1471" s="25"/>
      <c r="I1471" s="25"/>
      <c r="J1471" s="25"/>
      <c r="K1471" s="25"/>
      <c r="L1471" s="25"/>
      <c r="M1471" s="25"/>
      <c r="N1471" s="25"/>
      <c r="O1471" s="25"/>
      <c r="P1471" s="25"/>
      <c r="Q1471" s="25"/>
      <c r="R1471" s="25"/>
    </row>
    <row r="1472" spans="2:18" ht="39.75">
      <c r="B1472" s="27"/>
      <c r="C1472" s="14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</row>
    <row r="1473" spans="2:18" ht="58.5">
      <c r="B1473" s="31">
        <f>B1469+1</f>
        <v>368</v>
      </c>
      <c r="C1473" s="14"/>
      <c r="D1473" s="32"/>
      <c r="E1473" s="32"/>
      <c r="F1473" s="32"/>
      <c r="G1473" s="32"/>
      <c r="H1473" s="32"/>
      <c r="I1473" s="32"/>
      <c r="J1473" s="32"/>
      <c r="K1473" s="32"/>
      <c r="L1473" s="32"/>
      <c r="M1473" s="32"/>
      <c r="N1473" s="32"/>
      <c r="O1473" s="32"/>
      <c r="P1473" s="32"/>
      <c r="Q1473" s="32"/>
      <c r="R1473" s="32"/>
    </row>
    <row r="1474" spans="2:18">
      <c r="B1474" s="35"/>
      <c r="C1474" s="14"/>
      <c r="D1474" s="37"/>
      <c r="E1474" s="37"/>
      <c r="F1474" s="37"/>
      <c r="G1474" s="37"/>
      <c r="H1474" s="37"/>
      <c r="I1474" s="37"/>
      <c r="J1474" s="37"/>
      <c r="K1474" s="37"/>
      <c r="L1474" s="37"/>
      <c r="M1474" s="37"/>
      <c r="N1474" s="37"/>
      <c r="O1474" s="37"/>
      <c r="P1474" s="37"/>
      <c r="Q1474" s="37"/>
      <c r="R1474" s="37"/>
    </row>
    <row r="1475" spans="2:18">
      <c r="B1475" s="22"/>
      <c r="C1475" s="47"/>
      <c r="D1475" s="25"/>
      <c r="E1475" s="25"/>
      <c r="F1475" s="25"/>
      <c r="G1475" s="25"/>
      <c r="H1475" s="25"/>
      <c r="I1475" s="25"/>
      <c r="J1475" s="25"/>
      <c r="K1475" s="25"/>
      <c r="L1475" s="25"/>
      <c r="M1475" s="25"/>
      <c r="N1475" s="25"/>
      <c r="O1475" s="25"/>
      <c r="P1475" s="25"/>
      <c r="Q1475" s="25"/>
      <c r="R1475" s="25"/>
    </row>
    <row r="1476" spans="2:18" ht="39.75">
      <c r="B1476" s="27"/>
      <c r="C1476" s="14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</row>
    <row r="1477" spans="2:18" ht="58.5">
      <c r="B1477" s="31">
        <f>B1473+1</f>
        <v>369</v>
      </c>
      <c r="C1477" s="14"/>
      <c r="D1477" s="32"/>
      <c r="E1477" s="32"/>
      <c r="F1477" s="32"/>
      <c r="G1477" s="32"/>
      <c r="H1477" s="32"/>
      <c r="I1477" s="32"/>
      <c r="J1477" s="32"/>
      <c r="K1477" s="32"/>
      <c r="L1477" s="32"/>
      <c r="M1477" s="32"/>
      <c r="N1477" s="32"/>
      <c r="O1477" s="32"/>
      <c r="P1477" s="32"/>
      <c r="Q1477" s="32"/>
      <c r="R1477" s="32"/>
    </row>
    <row r="1478" spans="2:18">
      <c r="B1478" s="35"/>
      <c r="C1478" s="14"/>
      <c r="D1478" s="37"/>
      <c r="E1478" s="37"/>
      <c r="F1478" s="37"/>
      <c r="G1478" s="37"/>
      <c r="H1478" s="37"/>
      <c r="I1478" s="37"/>
      <c r="J1478" s="37"/>
      <c r="K1478" s="37"/>
      <c r="L1478" s="37"/>
      <c r="M1478" s="37"/>
      <c r="N1478" s="37"/>
      <c r="O1478" s="37"/>
      <c r="P1478" s="37"/>
      <c r="Q1478" s="37"/>
      <c r="R1478" s="37"/>
    </row>
    <row r="1479" spans="2:18">
      <c r="B1479" s="22"/>
      <c r="C1479" s="47"/>
      <c r="D1479" s="25"/>
      <c r="E1479" s="25"/>
      <c r="F1479" s="25"/>
      <c r="G1479" s="25"/>
      <c r="H1479" s="25"/>
      <c r="I1479" s="25"/>
      <c r="J1479" s="25"/>
      <c r="K1479" s="25"/>
      <c r="L1479" s="25"/>
      <c r="M1479" s="25"/>
      <c r="N1479" s="25"/>
      <c r="O1479" s="25"/>
      <c r="P1479" s="25"/>
      <c r="Q1479" s="25"/>
      <c r="R1479" s="25"/>
    </row>
    <row r="1480" spans="2:18" ht="39.75">
      <c r="B1480" s="27"/>
      <c r="C1480" s="14"/>
      <c r="D1480" s="29"/>
      <c r="E1480" s="29"/>
      <c r="F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</row>
    <row r="1481" spans="2:18" ht="58.5">
      <c r="B1481" s="31">
        <f>B1477+1</f>
        <v>370</v>
      </c>
      <c r="C1481" s="14"/>
      <c r="D1481" s="32"/>
      <c r="E1481" s="32"/>
      <c r="F1481" s="32"/>
      <c r="G1481" s="32"/>
      <c r="H1481" s="32"/>
      <c r="I1481" s="32"/>
      <c r="J1481" s="32"/>
      <c r="K1481" s="32"/>
      <c r="L1481" s="32"/>
      <c r="M1481" s="32"/>
      <c r="N1481" s="32"/>
      <c r="O1481" s="32"/>
      <c r="P1481" s="32"/>
      <c r="Q1481" s="32"/>
      <c r="R1481" s="32"/>
    </row>
    <row r="1482" spans="2:18">
      <c r="B1482" s="35"/>
      <c r="C1482" s="14"/>
      <c r="D1482" s="37"/>
      <c r="E1482" s="37"/>
      <c r="F1482" s="37"/>
      <c r="G1482" s="37"/>
      <c r="H1482" s="37"/>
      <c r="I1482" s="37"/>
      <c r="J1482" s="37"/>
      <c r="K1482" s="37"/>
      <c r="L1482" s="37"/>
      <c r="M1482" s="37"/>
      <c r="N1482" s="37"/>
      <c r="O1482" s="37"/>
      <c r="P1482" s="37"/>
      <c r="Q1482" s="37"/>
      <c r="R1482" s="37"/>
    </row>
    <row r="1483" spans="2:18">
      <c r="B1483" s="22"/>
      <c r="C1483" s="47"/>
      <c r="D1483" s="25"/>
      <c r="E1483" s="25"/>
      <c r="F1483" s="25"/>
      <c r="G1483" s="25"/>
      <c r="H1483" s="25"/>
      <c r="I1483" s="25"/>
      <c r="J1483" s="25"/>
      <c r="K1483" s="25"/>
      <c r="L1483" s="25"/>
      <c r="M1483" s="25"/>
      <c r="N1483" s="25"/>
      <c r="O1483" s="25"/>
      <c r="P1483" s="25"/>
      <c r="Q1483" s="25"/>
      <c r="R1483" s="25"/>
    </row>
    <row r="1484" spans="2:18" ht="39.75">
      <c r="B1484" s="27"/>
      <c r="C1484" s="14"/>
      <c r="D1484" s="29"/>
      <c r="E1484" s="29"/>
      <c r="F1484" s="29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</row>
    <row r="1485" spans="2:18" ht="58.5">
      <c r="B1485" s="31">
        <f>B1481+1</f>
        <v>371</v>
      </c>
      <c r="C1485" s="14"/>
      <c r="D1485" s="32"/>
      <c r="E1485" s="32"/>
      <c r="F1485" s="32"/>
      <c r="G1485" s="32"/>
      <c r="H1485" s="32"/>
      <c r="I1485" s="32"/>
      <c r="J1485" s="32"/>
      <c r="K1485" s="32"/>
      <c r="L1485" s="32"/>
      <c r="M1485" s="32"/>
      <c r="N1485" s="32"/>
      <c r="O1485" s="32"/>
      <c r="P1485" s="32"/>
      <c r="Q1485" s="32"/>
      <c r="R1485" s="32"/>
    </row>
    <row r="1486" spans="2:18">
      <c r="B1486" s="35"/>
      <c r="C1486" s="14"/>
      <c r="D1486" s="37"/>
      <c r="E1486" s="37"/>
      <c r="F1486" s="37"/>
      <c r="G1486" s="37"/>
      <c r="H1486" s="37"/>
      <c r="I1486" s="37"/>
      <c r="J1486" s="37"/>
      <c r="K1486" s="37"/>
      <c r="L1486" s="37"/>
      <c r="M1486" s="37"/>
      <c r="N1486" s="37"/>
      <c r="O1486" s="37"/>
      <c r="P1486" s="37"/>
      <c r="Q1486" s="37"/>
      <c r="R1486" s="37"/>
    </row>
    <row r="1487" spans="2:18">
      <c r="B1487" s="22"/>
      <c r="C1487" s="47"/>
      <c r="D1487" s="25"/>
      <c r="E1487" s="25"/>
      <c r="F1487" s="25"/>
      <c r="G1487" s="25"/>
      <c r="H1487" s="25"/>
      <c r="I1487" s="25"/>
      <c r="J1487" s="25"/>
      <c r="K1487" s="25"/>
      <c r="L1487" s="25"/>
      <c r="M1487" s="25"/>
      <c r="N1487" s="25"/>
      <c r="O1487" s="25"/>
      <c r="P1487" s="25"/>
      <c r="Q1487" s="25"/>
      <c r="R1487" s="25"/>
    </row>
    <row r="1488" spans="2:18" ht="39.75">
      <c r="B1488" s="27"/>
      <c r="C1488" s="14"/>
      <c r="D1488" s="29"/>
      <c r="E1488" s="29"/>
      <c r="F1488" s="29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</row>
    <row r="1489" spans="2:18" ht="58.5">
      <c r="B1489" s="31">
        <f>B1485+1</f>
        <v>372</v>
      </c>
      <c r="C1489" s="14"/>
      <c r="D1489" s="32"/>
      <c r="E1489" s="32"/>
      <c r="F1489" s="32"/>
      <c r="G1489" s="32"/>
      <c r="H1489" s="32"/>
      <c r="I1489" s="32"/>
      <c r="J1489" s="32"/>
      <c r="K1489" s="32"/>
      <c r="L1489" s="32"/>
      <c r="M1489" s="32"/>
      <c r="N1489" s="32"/>
      <c r="O1489" s="32"/>
      <c r="P1489" s="32"/>
      <c r="Q1489" s="32"/>
      <c r="R1489" s="32"/>
    </row>
    <row r="1490" spans="2:18">
      <c r="B1490" s="35"/>
      <c r="C1490" s="14"/>
      <c r="D1490" s="37"/>
      <c r="E1490" s="37"/>
      <c r="F1490" s="37"/>
      <c r="G1490" s="37"/>
      <c r="H1490" s="37"/>
      <c r="I1490" s="37"/>
      <c r="J1490" s="37"/>
      <c r="K1490" s="37"/>
      <c r="L1490" s="37"/>
      <c r="M1490" s="37"/>
      <c r="N1490" s="37"/>
      <c r="O1490" s="37"/>
      <c r="P1490" s="37"/>
      <c r="Q1490" s="37"/>
      <c r="R1490" s="37"/>
    </row>
    <row r="1491" spans="2:18">
      <c r="B1491" s="22"/>
      <c r="C1491" s="47"/>
      <c r="D1491" s="25"/>
      <c r="E1491" s="25"/>
      <c r="F1491" s="25"/>
      <c r="G1491" s="25"/>
      <c r="H1491" s="25"/>
      <c r="I1491" s="25"/>
      <c r="J1491" s="25"/>
      <c r="K1491" s="25"/>
      <c r="L1491" s="25"/>
      <c r="M1491" s="25"/>
      <c r="N1491" s="25"/>
      <c r="O1491" s="25"/>
      <c r="P1491" s="25"/>
      <c r="Q1491" s="25"/>
      <c r="R1491" s="25"/>
    </row>
    <row r="1492" spans="2:18" ht="39.75">
      <c r="B1492" s="27"/>
      <c r="C1492" s="14"/>
      <c r="D1492" s="29"/>
      <c r="E1492" s="29"/>
      <c r="F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</row>
    <row r="1493" spans="2:18" ht="58.5">
      <c r="B1493" s="31">
        <f>B1489+1</f>
        <v>373</v>
      </c>
      <c r="C1493" s="14"/>
      <c r="D1493" s="32"/>
      <c r="E1493" s="32"/>
      <c r="F1493" s="32"/>
      <c r="G1493" s="32"/>
      <c r="H1493" s="32"/>
      <c r="I1493" s="32"/>
      <c r="J1493" s="32"/>
      <c r="K1493" s="32"/>
      <c r="L1493" s="32"/>
      <c r="M1493" s="32"/>
      <c r="N1493" s="32"/>
      <c r="O1493" s="32"/>
      <c r="P1493" s="32"/>
      <c r="Q1493" s="32"/>
      <c r="R1493" s="32"/>
    </row>
    <row r="1494" spans="2:18">
      <c r="B1494" s="35"/>
      <c r="C1494" s="14"/>
      <c r="D1494" s="37"/>
      <c r="E1494" s="37"/>
      <c r="F1494" s="37"/>
      <c r="G1494" s="37"/>
      <c r="H1494" s="37"/>
      <c r="I1494" s="37"/>
      <c r="J1494" s="37"/>
      <c r="K1494" s="37"/>
      <c r="L1494" s="37"/>
      <c r="M1494" s="37"/>
      <c r="N1494" s="37"/>
      <c r="O1494" s="37"/>
      <c r="P1494" s="37"/>
      <c r="Q1494" s="37"/>
      <c r="R1494" s="37"/>
    </row>
    <row r="1495" spans="2:18">
      <c r="B1495" s="22"/>
      <c r="C1495" s="47"/>
      <c r="D1495" s="25"/>
      <c r="E1495" s="25"/>
      <c r="F1495" s="25"/>
      <c r="G1495" s="25"/>
      <c r="H1495" s="25"/>
      <c r="I1495" s="25"/>
      <c r="J1495" s="25"/>
      <c r="K1495" s="25"/>
      <c r="L1495" s="25"/>
      <c r="M1495" s="25"/>
      <c r="N1495" s="25"/>
      <c r="O1495" s="25"/>
      <c r="P1495" s="25"/>
      <c r="Q1495" s="25"/>
      <c r="R1495" s="25"/>
    </row>
    <row r="1496" spans="2:18" ht="39.75">
      <c r="B1496" s="27"/>
      <c r="C1496" s="14"/>
      <c r="D1496" s="29"/>
      <c r="E1496" s="29"/>
      <c r="F1496" s="29"/>
      <c r="G1496" s="29"/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</row>
    <row r="1497" spans="2:18" ht="58.5">
      <c r="B1497" s="31">
        <f>B1493+1</f>
        <v>374</v>
      </c>
      <c r="C1497" s="14"/>
      <c r="D1497" s="32"/>
      <c r="E1497" s="32"/>
      <c r="F1497" s="32"/>
      <c r="G1497" s="32"/>
      <c r="H1497" s="32"/>
      <c r="I1497" s="32"/>
      <c r="J1497" s="32"/>
      <c r="K1497" s="32"/>
      <c r="L1497" s="32"/>
      <c r="M1497" s="32"/>
      <c r="N1497" s="32"/>
      <c r="O1497" s="32"/>
      <c r="P1497" s="32"/>
      <c r="Q1497" s="32"/>
      <c r="R1497" s="32"/>
    </row>
    <row r="1498" spans="2:18">
      <c r="B1498" s="35"/>
      <c r="C1498" s="14"/>
      <c r="D1498" s="37"/>
      <c r="E1498" s="37"/>
      <c r="F1498" s="37"/>
      <c r="G1498" s="37"/>
      <c r="H1498" s="37"/>
      <c r="I1498" s="37"/>
      <c r="J1498" s="37"/>
      <c r="K1498" s="37"/>
      <c r="L1498" s="37"/>
      <c r="M1498" s="37"/>
      <c r="N1498" s="37"/>
      <c r="O1498" s="37"/>
      <c r="P1498" s="37"/>
      <c r="Q1498" s="37"/>
      <c r="R1498" s="37"/>
    </row>
    <row r="1499" spans="2:18">
      <c r="B1499" s="22"/>
      <c r="C1499" s="47"/>
      <c r="D1499" s="25"/>
      <c r="E1499" s="25"/>
      <c r="F1499" s="25"/>
      <c r="G1499" s="25"/>
      <c r="H1499" s="25"/>
      <c r="I1499" s="25"/>
      <c r="J1499" s="25"/>
      <c r="K1499" s="25"/>
      <c r="L1499" s="25"/>
      <c r="M1499" s="25"/>
      <c r="N1499" s="25"/>
      <c r="O1499" s="25"/>
      <c r="P1499" s="25"/>
      <c r="Q1499" s="25"/>
      <c r="R1499" s="25"/>
    </row>
    <row r="1500" spans="2:18" ht="39.75">
      <c r="B1500" s="27"/>
      <c r="C1500" s="14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</row>
    <row r="1501" spans="2:18" ht="58.5">
      <c r="B1501" s="31">
        <f>B1497+1</f>
        <v>375</v>
      </c>
      <c r="C1501" s="14"/>
      <c r="D1501" s="32"/>
      <c r="E1501" s="32"/>
      <c r="F1501" s="32"/>
      <c r="G1501" s="32"/>
      <c r="H1501" s="32"/>
      <c r="I1501" s="32"/>
      <c r="J1501" s="32"/>
      <c r="K1501" s="32"/>
      <c r="L1501" s="32"/>
      <c r="M1501" s="32"/>
      <c r="N1501" s="32"/>
      <c r="O1501" s="32"/>
      <c r="P1501" s="32"/>
      <c r="Q1501" s="32"/>
      <c r="R1501" s="32"/>
    </row>
    <row r="1502" spans="2:18">
      <c r="B1502" s="35"/>
      <c r="C1502" s="14"/>
      <c r="D1502" s="37"/>
      <c r="E1502" s="37"/>
      <c r="F1502" s="37"/>
      <c r="G1502" s="37"/>
      <c r="H1502" s="37"/>
      <c r="I1502" s="37"/>
      <c r="J1502" s="37"/>
      <c r="K1502" s="37"/>
      <c r="L1502" s="37"/>
      <c r="M1502" s="37"/>
      <c r="N1502" s="37"/>
      <c r="O1502" s="37"/>
      <c r="P1502" s="37"/>
      <c r="Q1502" s="37"/>
      <c r="R1502" s="37"/>
    </row>
    <row r="1503" spans="2:18">
      <c r="B1503" s="22"/>
      <c r="C1503" s="47"/>
      <c r="D1503" s="25"/>
      <c r="E1503" s="25"/>
      <c r="F1503" s="25"/>
      <c r="G1503" s="25"/>
      <c r="H1503" s="25"/>
      <c r="I1503" s="25"/>
      <c r="J1503" s="25"/>
      <c r="K1503" s="25"/>
      <c r="L1503" s="25"/>
      <c r="M1503" s="25"/>
      <c r="N1503" s="25"/>
      <c r="O1503" s="25"/>
      <c r="P1503" s="25"/>
      <c r="Q1503" s="25"/>
      <c r="R1503" s="25"/>
    </row>
    <row r="1504" spans="2:18" ht="39.75">
      <c r="B1504" s="27"/>
      <c r="C1504" s="14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</row>
    <row r="1505" spans="2:18" ht="58.5">
      <c r="B1505" s="31">
        <f>B1501+1</f>
        <v>376</v>
      </c>
      <c r="C1505" s="14"/>
      <c r="D1505" s="32"/>
      <c r="E1505" s="32"/>
      <c r="F1505" s="32"/>
      <c r="G1505" s="32"/>
      <c r="H1505" s="32"/>
      <c r="I1505" s="32"/>
      <c r="J1505" s="32"/>
      <c r="K1505" s="32"/>
      <c r="L1505" s="32"/>
      <c r="M1505" s="32"/>
      <c r="N1505" s="32"/>
      <c r="O1505" s="32"/>
      <c r="P1505" s="32"/>
      <c r="Q1505" s="32"/>
      <c r="R1505" s="32"/>
    </row>
    <row r="1506" spans="2:18">
      <c r="B1506" s="35"/>
      <c r="C1506" s="14"/>
      <c r="D1506" s="37"/>
      <c r="E1506" s="37"/>
      <c r="F1506" s="37"/>
      <c r="G1506" s="37"/>
      <c r="H1506" s="37"/>
      <c r="I1506" s="37"/>
      <c r="J1506" s="37"/>
      <c r="K1506" s="37"/>
      <c r="L1506" s="37"/>
      <c r="M1506" s="37"/>
      <c r="N1506" s="37"/>
      <c r="O1506" s="37"/>
      <c r="P1506" s="37"/>
      <c r="Q1506" s="37"/>
      <c r="R1506" s="37"/>
    </row>
    <row r="1507" spans="2:18">
      <c r="B1507" s="22"/>
      <c r="C1507" s="47"/>
      <c r="D1507" s="25"/>
      <c r="E1507" s="25"/>
      <c r="F1507" s="25"/>
      <c r="G1507" s="25"/>
      <c r="H1507" s="25"/>
      <c r="I1507" s="25"/>
      <c r="J1507" s="25"/>
      <c r="K1507" s="25"/>
      <c r="L1507" s="25"/>
      <c r="M1507" s="25"/>
      <c r="N1507" s="25"/>
      <c r="O1507" s="25"/>
      <c r="P1507" s="25"/>
      <c r="Q1507" s="25"/>
      <c r="R1507" s="25"/>
    </row>
    <row r="1508" spans="2:18" ht="39.75">
      <c r="B1508" s="27"/>
      <c r="C1508" s="14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</row>
    <row r="1509" spans="2:18" ht="58.5">
      <c r="B1509" s="31">
        <f>B1505+1</f>
        <v>377</v>
      </c>
      <c r="C1509" s="14"/>
      <c r="D1509" s="32"/>
      <c r="E1509" s="32"/>
      <c r="F1509" s="32"/>
      <c r="G1509" s="32"/>
      <c r="H1509" s="32"/>
      <c r="I1509" s="32"/>
      <c r="J1509" s="32"/>
      <c r="K1509" s="32"/>
      <c r="L1509" s="32"/>
      <c r="M1509" s="32"/>
      <c r="N1509" s="32"/>
      <c r="O1509" s="32"/>
      <c r="P1509" s="32"/>
      <c r="Q1509" s="32"/>
      <c r="R1509" s="32"/>
    </row>
    <row r="1510" spans="2:18">
      <c r="B1510" s="35"/>
      <c r="C1510" s="14"/>
      <c r="D1510" s="37"/>
      <c r="E1510" s="37"/>
      <c r="F1510" s="37"/>
      <c r="G1510" s="37"/>
      <c r="H1510" s="37"/>
      <c r="I1510" s="37"/>
      <c r="J1510" s="37"/>
      <c r="K1510" s="37"/>
      <c r="L1510" s="37"/>
      <c r="M1510" s="37"/>
      <c r="N1510" s="37"/>
      <c r="O1510" s="37"/>
      <c r="P1510" s="37"/>
      <c r="Q1510" s="37"/>
      <c r="R1510" s="37"/>
    </row>
    <row r="1511" spans="2:18">
      <c r="B1511" s="22"/>
      <c r="C1511" s="47"/>
      <c r="D1511" s="25"/>
      <c r="E1511" s="25"/>
      <c r="F1511" s="25"/>
      <c r="G1511" s="25"/>
      <c r="H1511" s="25"/>
      <c r="I1511" s="25"/>
      <c r="J1511" s="25"/>
      <c r="K1511" s="25"/>
      <c r="L1511" s="25"/>
      <c r="M1511" s="25"/>
      <c r="N1511" s="25"/>
      <c r="O1511" s="25"/>
      <c r="P1511" s="25"/>
      <c r="Q1511" s="25"/>
      <c r="R1511" s="25"/>
    </row>
    <row r="1512" spans="2:18" ht="39.75">
      <c r="B1512" s="27"/>
      <c r="C1512" s="14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</row>
    <row r="1513" spans="2:18" ht="58.5">
      <c r="B1513" s="31">
        <f t="shared" ref="B1513" si="164">B1509+1</f>
        <v>378</v>
      </c>
      <c r="C1513" s="14"/>
      <c r="D1513" s="32"/>
      <c r="E1513" s="32"/>
      <c r="F1513" s="32"/>
      <c r="G1513" s="32"/>
      <c r="H1513" s="32"/>
      <c r="I1513" s="32"/>
      <c r="J1513" s="32"/>
      <c r="K1513" s="32"/>
      <c r="L1513" s="32"/>
      <c r="M1513" s="32"/>
      <c r="N1513" s="32"/>
      <c r="O1513" s="32"/>
      <c r="P1513" s="32"/>
      <c r="Q1513" s="32"/>
      <c r="R1513" s="32"/>
    </row>
    <row r="1514" spans="2:18">
      <c r="B1514" s="35"/>
      <c r="C1514" s="14"/>
      <c r="D1514" s="37"/>
      <c r="E1514" s="37"/>
      <c r="F1514" s="37"/>
      <c r="G1514" s="37"/>
      <c r="H1514" s="37"/>
      <c r="I1514" s="37"/>
      <c r="J1514" s="37"/>
      <c r="K1514" s="37"/>
      <c r="L1514" s="37"/>
      <c r="M1514" s="37"/>
      <c r="N1514" s="37"/>
      <c r="O1514" s="37"/>
      <c r="P1514" s="37"/>
      <c r="Q1514" s="37"/>
      <c r="R1514" s="37"/>
    </row>
    <row r="1515" spans="2:18">
      <c r="B1515" s="22"/>
      <c r="C1515" s="47"/>
      <c r="D1515" s="25"/>
      <c r="E1515" s="25"/>
      <c r="F1515" s="25"/>
      <c r="G1515" s="25"/>
      <c r="H1515" s="25"/>
      <c r="I1515" s="25"/>
      <c r="J1515" s="25"/>
      <c r="K1515" s="25"/>
      <c r="L1515" s="25"/>
      <c r="M1515" s="25"/>
      <c r="N1515" s="25"/>
      <c r="O1515" s="25"/>
      <c r="P1515" s="25"/>
      <c r="Q1515" s="25"/>
      <c r="R1515" s="25"/>
    </row>
    <row r="1516" spans="2:18" ht="39.75">
      <c r="B1516" s="27"/>
      <c r="C1516" s="14"/>
      <c r="D1516" s="29"/>
      <c r="E1516" s="29"/>
      <c r="F1516" s="29"/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</row>
    <row r="1517" spans="2:18" ht="58.5">
      <c r="B1517" s="31">
        <f t="shared" ref="B1517" si="165">B1513+1</f>
        <v>379</v>
      </c>
      <c r="C1517" s="14"/>
      <c r="D1517" s="32"/>
      <c r="E1517" s="32"/>
      <c r="F1517" s="32"/>
      <c r="G1517" s="32"/>
      <c r="H1517" s="32"/>
      <c r="I1517" s="32"/>
      <c r="J1517" s="32"/>
      <c r="K1517" s="32"/>
      <c r="L1517" s="32"/>
      <c r="M1517" s="32"/>
      <c r="N1517" s="32"/>
      <c r="O1517" s="32"/>
      <c r="P1517" s="32"/>
      <c r="Q1517" s="32"/>
      <c r="R1517" s="32"/>
    </row>
    <row r="1518" spans="2:18">
      <c r="B1518" s="35"/>
      <c r="C1518" s="14"/>
      <c r="D1518" s="37"/>
      <c r="E1518" s="37"/>
      <c r="F1518" s="37"/>
      <c r="G1518" s="37"/>
      <c r="H1518" s="37"/>
      <c r="I1518" s="37"/>
      <c r="J1518" s="37"/>
      <c r="K1518" s="37"/>
      <c r="L1518" s="37"/>
      <c r="M1518" s="37"/>
      <c r="N1518" s="37"/>
      <c r="O1518" s="37"/>
      <c r="P1518" s="37"/>
      <c r="Q1518" s="37"/>
      <c r="R1518" s="37"/>
    </row>
    <row r="1519" spans="2:18">
      <c r="B1519" s="22"/>
      <c r="C1519" s="47"/>
      <c r="D1519" s="25"/>
      <c r="E1519" s="25"/>
      <c r="F1519" s="25"/>
      <c r="G1519" s="25"/>
      <c r="H1519" s="25"/>
      <c r="I1519" s="25"/>
      <c r="J1519" s="25"/>
      <c r="K1519" s="25"/>
      <c r="L1519" s="25"/>
      <c r="M1519" s="25"/>
      <c r="N1519" s="25"/>
      <c r="O1519" s="25"/>
      <c r="P1519" s="25"/>
      <c r="Q1519" s="25"/>
      <c r="R1519" s="25"/>
    </row>
    <row r="1520" spans="2:18" ht="39.75">
      <c r="B1520" s="27"/>
      <c r="C1520" s="14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</row>
    <row r="1521" spans="2:18" ht="58.5">
      <c r="B1521" s="31">
        <f t="shared" ref="B1521" si="166">B1517+1</f>
        <v>380</v>
      </c>
      <c r="C1521" s="14"/>
      <c r="D1521" s="32"/>
      <c r="E1521" s="32"/>
      <c r="F1521" s="32"/>
      <c r="G1521" s="32"/>
      <c r="H1521" s="32"/>
      <c r="I1521" s="32"/>
      <c r="J1521" s="32"/>
      <c r="K1521" s="32"/>
      <c r="L1521" s="32"/>
      <c r="M1521" s="32"/>
      <c r="N1521" s="32"/>
      <c r="O1521" s="32"/>
      <c r="P1521" s="32"/>
      <c r="Q1521" s="32"/>
      <c r="R1521" s="32"/>
    </row>
    <row r="1522" spans="2:18">
      <c r="B1522" s="35"/>
      <c r="C1522" s="14"/>
      <c r="D1522" s="37"/>
      <c r="E1522" s="37"/>
      <c r="F1522" s="37"/>
      <c r="G1522" s="37"/>
      <c r="H1522" s="37"/>
      <c r="I1522" s="37"/>
      <c r="J1522" s="37"/>
      <c r="K1522" s="37"/>
      <c r="L1522" s="37"/>
      <c r="M1522" s="37"/>
      <c r="N1522" s="37"/>
      <c r="O1522" s="37"/>
      <c r="P1522" s="37"/>
      <c r="Q1522" s="37"/>
      <c r="R1522" s="37"/>
    </row>
    <row r="1523" spans="2:18">
      <c r="B1523" s="22"/>
      <c r="C1523" s="47"/>
      <c r="D1523" s="25"/>
      <c r="E1523" s="25"/>
      <c r="F1523" s="25"/>
      <c r="G1523" s="25"/>
      <c r="H1523" s="25"/>
      <c r="I1523" s="25"/>
      <c r="J1523" s="25"/>
      <c r="K1523" s="25"/>
      <c r="L1523" s="25"/>
      <c r="M1523" s="25"/>
      <c r="N1523" s="25"/>
      <c r="O1523" s="25"/>
      <c r="P1523" s="25"/>
      <c r="Q1523" s="25"/>
      <c r="R1523" s="25"/>
    </row>
    <row r="1524" spans="2:18" ht="39.75">
      <c r="B1524" s="27"/>
      <c r="C1524" s="14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</row>
    <row r="1525" spans="2:18" ht="58.5">
      <c r="B1525" s="31">
        <f t="shared" ref="B1525" si="167">B1521+1</f>
        <v>381</v>
      </c>
      <c r="C1525" s="14"/>
      <c r="D1525" s="32"/>
      <c r="E1525" s="32"/>
      <c r="F1525" s="32"/>
      <c r="G1525" s="32"/>
      <c r="H1525" s="32"/>
      <c r="I1525" s="32"/>
      <c r="J1525" s="32"/>
      <c r="K1525" s="32"/>
      <c r="L1525" s="32"/>
      <c r="M1525" s="32"/>
      <c r="N1525" s="32"/>
      <c r="O1525" s="32"/>
      <c r="P1525" s="32"/>
      <c r="Q1525" s="32"/>
      <c r="R1525" s="32"/>
    </row>
    <row r="1526" spans="2:18">
      <c r="B1526" s="35"/>
      <c r="C1526" s="14"/>
      <c r="D1526" s="37"/>
      <c r="E1526" s="37"/>
      <c r="F1526" s="37"/>
      <c r="G1526" s="37"/>
      <c r="H1526" s="37"/>
      <c r="I1526" s="37"/>
      <c r="J1526" s="37"/>
      <c r="K1526" s="37"/>
      <c r="L1526" s="37"/>
      <c r="M1526" s="37"/>
      <c r="N1526" s="37"/>
      <c r="O1526" s="37"/>
      <c r="P1526" s="37"/>
      <c r="Q1526" s="37"/>
      <c r="R1526" s="37"/>
    </row>
    <row r="1527" spans="2:18">
      <c r="B1527" s="22"/>
      <c r="C1527" s="47"/>
      <c r="D1527" s="25"/>
      <c r="E1527" s="25"/>
      <c r="F1527" s="25"/>
      <c r="G1527" s="25"/>
      <c r="H1527" s="25"/>
      <c r="I1527" s="25"/>
      <c r="J1527" s="25"/>
      <c r="K1527" s="25"/>
      <c r="L1527" s="25"/>
      <c r="M1527" s="25"/>
      <c r="N1527" s="25"/>
      <c r="O1527" s="25"/>
      <c r="P1527" s="25"/>
      <c r="Q1527" s="25"/>
      <c r="R1527" s="25"/>
    </row>
    <row r="1528" spans="2:18" ht="39.75">
      <c r="B1528" s="27"/>
      <c r="C1528" s="14"/>
      <c r="D1528" s="29"/>
      <c r="E1528" s="29"/>
      <c r="F1528" s="29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</row>
    <row r="1529" spans="2:18" ht="58.5">
      <c r="B1529" s="31">
        <f t="shared" ref="B1529" si="168">B1525+1</f>
        <v>382</v>
      </c>
      <c r="C1529" s="14"/>
      <c r="D1529" s="32"/>
      <c r="E1529" s="32"/>
      <c r="F1529" s="32"/>
      <c r="G1529" s="32"/>
      <c r="H1529" s="32"/>
      <c r="I1529" s="32"/>
      <c r="J1529" s="32"/>
      <c r="K1529" s="32"/>
      <c r="L1529" s="32"/>
      <c r="M1529" s="32"/>
      <c r="N1529" s="32"/>
      <c r="O1529" s="32"/>
      <c r="P1529" s="32"/>
      <c r="Q1529" s="32"/>
      <c r="R1529" s="32"/>
    </row>
    <row r="1530" spans="2:18">
      <c r="B1530" s="35"/>
      <c r="C1530" s="14"/>
      <c r="D1530" s="37"/>
      <c r="E1530" s="37"/>
      <c r="F1530" s="37"/>
      <c r="G1530" s="37"/>
      <c r="H1530" s="37"/>
      <c r="I1530" s="37"/>
      <c r="J1530" s="37"/>
      <c r="K1530" s="37"/>
      <c r="L1530" s="37"/>
      <c r="M1530" s="37"/>
      <c r="N1530" s="37"/>
      <c r="O1530" s="37"/>
      <c r="P1530" s="37"/>
      <c r="Q1530" s="37"/>
      <c r="R1530" s="37"/>
    </row>
    <row r="1531" spans="2:18">
      <c r="B1531" s="22"/>
      <c r="C1531" s="47"/>
      <c r="D1531" s="25"/>
      <c r="E1531" s="25"/>
      <c r="F1531" s="25"/>
      <c r="G1531" s="25"/>
      <c r="H1531" s="25"/>
      <c r="I1531" s="25"/>
      <c r="J1531" s="25"/>
      <c r="K1531" s="25"/>
      <c r="L1531" s="25"/>
      <c r="M1531" s="25"/>
      <c r="N1531" s="25"/>
      <c r="O1531" s="25"/>
      <c r="P1531" s="25"/>
      <c r="Q1531" s="25"/>
      <c r="R1531" s="25"/>
    </row>
    <row r="1532" spans="2:18" ht="39.75">
      <c r="B1532" s="27"/>
      <c r="C1532" s="14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</row>
    <row r="1533" spans="2:18" ht="58.5">
      <c r="B1533" s="31">
        <f t="shared" ref="B1533" si="169">B1529+1</f>
        <v>383</v>
      </c>
      <c r="C1533" s="14"/>
      <c r="D1533" s="32"/>
      <c r="E1533" s="32"/>
      <c r="F1533" s="32"/>
      <c r="G1533" s="32"/>
      <c r="H1533" s="32"/>
      <c r="I1533" s="32"/>
      <c r="J1533" s="32"/>
      <c r="K1533" s="32"/>
      <c r="L1533" s="32"/>
      <c r="M1533" s="32"/>
      <c r="N1533" s="32"/>
      <c r="O1533" s="32"/>
      <c r="P1533" s="32"/>
      <c r="Q1533" s="32"/>
      <c r="R1533" s="32"/>
    </row>
    <row r="1534" spans="2:18">
      <c r="B1534" s="35"/>
      <c r="C1534" s="14"/>
      <c r="D1534" s="37"/>
      <c r="E1534" s="37"/>
      <c r="F1534" s="37"/>
      <c r="G1534" s="37"/>
      <c r="H1534" s="37"/>
      <c r="I1534" s="37"/>
      <c r="J1534" s="37"/>
      <c r="K1534" s="37"/>
      <c r="L1534" s="37"/>
      <c r="M1534" s="37"/>
      <c r="N1534" s="37"/>
      <c r="O1534" s="37"/>
      <c r="P1534" s="37"/>
      <c r="Q1534" s="37"/>
      <c r="R1534" s="37"/>
    </row>
    <row r="1535" spans="2:18">
      <c r="B1535" s="22"/>
      <c r="C1535" s="47"/>
      <c r="D1535" s="25"/>
      <c r="E1535" s="25"/>
      <c r="F1535" s="25"/>
      <c r="G1535" s="25"/>
      <c r="H1535" s="25"/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</row>
    <row r="1536" spans="2:18" ht="39.75">
      <c r="B1536" s="27"/>
      <c r="C1536" s="14"/>
      <c r="D1536" s="29"/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</row>
    <row r="1537" spans="2:18" ht="58.5">
      <c r="B1537" s="31">
        <f t="shared" ref="B1537" si="170">B1533+1</f>
        <v>384</v>
      </c>
      <c r="C1537" s="14"/>
      <c r="D1537" s="32"/>
      <c r="E1537" s="32"/>
      <c r="F1537" s="32"/>
      <c r="G1537" s="32"/>
      <c r="H1537" s="32"/>
      <c r="I1537" s="32"/>
      <c r="J1537" s="32"/>
      <c r="K1537" s="32"/>
      <c r="L1537" s="32"/>
      <c r="M1537" s="32"/>
      <c r="N1537" s="32"/>
      <c r="O1537" s="32"/>
      <c r="P1537" s="32"/>
      <c r="Q1537" s="32"/>
      <c r="R1537" s="32"/>
    </row>
    <row r="1538" spans="2:18">
      <c r="B1538" s="35"/>
      <c r="C1538" s="14"/>
      <c r="D1538" s="37"/>
      <c r="E1538" s="37"/>
      <c r="F1538" s="37"/>
      <c r="G1538" s="37"/>
      <c r="H1538" s="37"/>
      <c r="I1538" s="37"/>
      <c r="J1538" s="37"/>
      <c r="K1538" s="37"/>
      <c r="L1538" s="37"/>
      <c r="M1538" s="37"/>
      <c r="N1538" s="37"/>
      <c r="O1538" s="37"/>
      <c r="P1538" s="37"/>
      <c r="Q1538" s="37"/>
      <c r="R1538" s="37"/>
    </row>
    <row r="1539" spans="2:18">
      <c r="B1539" s="22"/>
      <c r="C1539" s="47"/>
      <c r="D1539" s="25"/>
      <c r="E1539" s="25"/>
      <c r="F1539" s="25"/>
      <c r="G1539" s="25"/>
      <c r="H1539" s="25"/>
      <c r="I1539" s="25"/>
      <c r="J1539" s="25"/>
      <c r="K1539" s="25"/>
      <c r="L1539" s="25"/>
      <c r="M1539" s="25"/>
      <c r="N1539" s="25"/>
      <c r="O1539" s="25"/>
      <c r="P1539" s="25"/>
      <c r="Q1539" s="25"/>
      <c r="R1539" s="25"/>
    </row>
    <row r="1540" spans="2:18" ht="39.75">
      <c r="B1540" s="27"/>
      <c r="C1540" s="14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</row>
    <row r="1541" spans="2:18" ht="58.5">
      <c r="B1541" s="31">
        <f t="shared" ref="B1541" si="171">B1537+1</f>
        <v>385</v>
      </c>
      <c r="C1541" s="14"/>
      <c r="D1541" s="32"/>
      <c r="E1541" s="32"/>
      <c r="F1541" s="32"/>
      <c r="G1541" s="32"/>
      <c r="H1541" s="32"/>
      <c r="I1541" s="32"/>
      <c r="J1541" s="32"/>
      <c r="K1541" s="32"/>
      <c r="L1541" s="32"/>
      <c r="M1541" s="32"/>
      <c r="N1541" s="32"/>
      <c r="O1541" s="32"/>
      <c r="P1541" s="32"/>
      <c r="Q1541" s="32"/>
      <c r="R1541" s="32"/>
    </row>
    <row r="1542" spans="2:18">
      <c r="B1542" s="35"/>
      <c r="C1542" s="14"/>
      <c r="D1542" s="37"/>
      <c r="E1542" s="37"/>
      <c r="F1542" s="37"/>
      <c r="G1542" s="37"/>
      <c r="H1542" s="37"/>
      <c r="I1542" s="37"/>
      <c r="J1542" s="37"/>
      <c r="K1542" s="37"/>
      <c r="L1542" s="37"/>
      <c r="M1542" s="37"/>
      <c r="N1542" s="37"/>
      <c r="O1542" s="37"/>
      <c r="P1542" s="37"/>
      <c r="Q1542" s="37"/>
      <c r="R1542" s="37"/>
    </row>
    <row r="1543" spans="2:18">
      <c r="B1543" s="22"/>
      <c r="C1543" s="47"/>
      <c r="D1543" s="25"/>
      <c r="E1543" s="25"/>
      <c r="F1543" s="25"/>
      <c r="G1543" s="25"/>
      <c r="H1543" s="25"/>
      <c r="I1543" s="25"/>
      <c r="J1543" s="25"/>
      <c r="K1543" s="25"/>
      <c r="L1543" s="25"/>
      <c r="M1543" s="25"/>
      <c r="N1543" s="25"/>
      <c r="O1543" s="25"/>
      <c r="P1543" s="25"/>
      <c r="Q1543" s="25"/>
      <c r="R1543" s="25"/>
    </row>
    <row r="1544" spans="2:18" ht="39.75">
      <c r="B1544" s="27"/>
      <c r="C1544" s="14"/>
      <c r="D1544" s="29"/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</row>
    <row r="1545" spans="2:18" ht="58.5">
      <c r="B1545" s="31">
        <f t="shared" ref="B1545" si="172">B1541+1</f>
        <v>386</v>
      </c>
      <c r="C1545" s="14"/>
      <c r="D1545" s="32"/>
      <c r="E1545" s="32"/>
      <c r="F1545" s="32"/>
      <c r="G1545" s="32"/>
      <c r="H1545" s="32"/>
      <c r="I1545" s="32"/>
      <c r="J1545" s="32"/>
      <c r="K1545" s="32"/>
      <c r="L1545" s="32"/>
      <c r="M1545" s="32"/>
      <c r="N1545" s="32"/>
      <c r="O1545" s="32"/>
      <c r="P1545" s="32"/>
      <c r="Q1545" s="32"/>
      <c r="R1545" s="32"/>
    </row>
    <row r="1546" spans="2:18">
      <c r="B1546" s="35"/>
      <c r="C1546" s="14"/>
      <c r="D1546" s="37"/>
      <c r="E1546" s="37"/>
      <c r="F1546" s="37"/>
      <c r="G1546" s="37"/>
      <c r="H1546" s="37"/>
      <c r="I1546" s="37"/>
      <c r="J1546" s="37"/>
      <c r="K1546" s="37"/>
      <c r="L1546" s="37"/>
      <c r="M1546" s="37"/>
      <c r="N1546" s="37"/>
      <c r="O1546" s="37"/>
      <c r="P1546" s="37"/>
      <c r="Q1546" s="37"/>
      <c r="R1546" s="37"/>
    </row>
    <row r="1547" spans="2:18">
      <c r="B1547" s="22"/>
      <c r="C1547" s="47"/>
      <c r="D1547" s="25"/>
      <c r="E1547" s="25"/>
      <c r="F1547" s="25"/>
      <c r="G1547" s="25"/>
      <c r="H1547" s="25"/>
      <c r="I1547" s="25"/>
      <c r="J1547" s="25"/>
      <c r="K1547" s="25"/>
      <c r="L1547" s="25"/>
      <c r="M1547" s="25"/>
      <c r="N1547" s="25"/>
      <c r="O1547" s="25"/>
      <c r="P1547" s="25"/>
      <c r="Q1547" s="25"/>
      <c r="R1547" s="25"/>
    </row>
    <row r="1548" spans="2:18" ht="39.75">
      <c r="B1548" s="27"/>
      <c r="C1548" s="14"/>
      <c r="D1548" s="29"/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</row>
    <row r="1549" spans="2:18" ht="58.5">
      <c r="B1549" s="31">
        <f t="shared" ref="B1549" si="173">B1545+1</f>
        <v>387</v>
      </c>
      <c r="C1549" s="14"/>
      <c r="D1549" s="32"/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  <c r="O1549" s="32"/>
      <c r="P1549" s="32"/>
      <c r="Q1549" s="32"/>
      <c r="R1549" s="32"/>
    </row>
    <row r="1550" spans="2:18">
      <c r="B1550" s="35"/>
      <c r="C1550" s="14"/>
      <c r="D1550" s="37"/>
      <c r="E1550" s="37"/>
      <c r="F1550" s="37"/>
      <c r="G1550" s="37"/>
      <c r="H1550" s="37"/>
      <c r="I1550" s="37"/>
      <c r="J1550" s="37"/>
      <c r="K1550" s="37"/>
      <c r="L1550" s="37"/>
      <c r="M1550" s="37"/>
      <c r="N1550" s="37"/>
      <c r="O1550" s="37"/>
      <c r="P1550" s="37"/>
      <c r="Q1550" s="37"/>
      <c r="R1550" s="37"/>
    </row>
    <row r="1551" spans="2:18">
      <c r="B1551" s="22"/>
      <c r="C1551" s="47"/>
      <c r="D1551" s="25"/>
      <c r="E1551" s="25"/>
      <c r="F1551" s="25"/>
      <c r="G1551" s="25"/>
      <c r="H1551" s="25"/>
      <c r="I1551" s="25"/>
      <c r="J1551" s="25"/>
      <c r="K1551" s="25"/>
      <c r="L1551" s="25"/>
      <c r="M1551" s="25"/>
      <c r="N1551" s="25"/>
      <c r="O1551" s="25"/>
      <c r="P1551" s="25"/>
      <c r="Q1551" s="25"/>
      <c r="R1551" s="25"/>
    </row>
    <row r="1552" spans="2:18" ht="39.75">
      <c r="B1552" s="27"/>
      <c r="C1552" s="14"/>
      <c r="D1552" s="29"/>
      <c r="E1552" s="29"/>
      <c r="F1552" s="29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</row>
    <row r="1553" spans="2:18" ht="58.5">
      <c r="B1553" s="31">
        <f t="shared" ref="B1553" si="174">B1549+1</f>
        <v>388</v>
      </c>
      <c r="C1553" s="14"/>
      <c r="D1553" s="32"/>
      <c r="E1553" s="32"/>
      <c r="F1553" s="32"/>
      <c r="G1553" s="32"/>
      <c r="H1553" s="32"/>
      <c r="I1553" s="32"/>
      <c r="J1553" s="32"/>
      <c r="K1553" s="32"/>
      <c r="L1553" s="32"/>
      <c r="M1553" s="32"/>
      <c r="N1553" s="32"/>
      <c r="O1553" s="32"/>
      <c r="P1553" s="32"/>
      <c r="Q1553" s="32"/>
      <c r="R1553" s="32"/>
    </row>
    <row r="1554" spans="2:18">
      <c r="B1554" s="35"/>
      <c r="C1554" s="14"/>
      <c r="D1554" s="37"/>
      <c r="E1554" s="37"/>
      <c r="F1554" s="37"/>
      <c r="G1554" s="37"/>
      <c r="H1554" s="37"/>
      <c r="I1554" s="37"/>
      <c r="J1554" s="37"/>
      <c r="K1554" s="37"/>
      <c r="L1554" s="37"/>
      <c r="M1554" s="37"/>
      <c r="N1554" s="37"/>
      <c r="O1554" s="37"/>
      <c r="P1554" s="37"/>
      <c r="Q1554" s="37"/>
      <c r="R1554" s="37"/>
    </row>
    <row r="1555" spans="2:18">
      <c r="B1555" s="22"/>
      <c r="C1555" s="47"/>
      <c r="D1555" s="25"/>
      <c r="E1555" s="25"/>
      <c r="F1555" s="25"/>
      <c r="G1555" s="25"/>
      <c r="H1555" s="25"/>
      <c r="I1555" s="25"/>
      <c r="J1555" s="25"/>
      <c r="K1555" s="25"/>
      <c r="L1555" s="25"/>
      <c r="M1555" s="25"/>
      <c r="N1555" s="25"/>
      <c r="O1555" s="25"/>
      <c r="P1555" s="25"/>
      <c r="Q1555" s="25"/>
      <c r="R1555" s="25"/>
    </row>
    <row r="1556" spans="2:18" ht="39.75">
      <c r="B1556" s="27"/>
      <c r="C1556" s="14"/>
      <c r="D1556" s="29"/>
      <c r="E1556" s="29"/>
      <c r="F1556" s="29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</row>
    <row r="1557" spans="2:18" ht="58.5">
      <c r="B1557" s="31">
        <f t="shared" ref="B1557" si="175">B1553+1</f>
        <v>389</v>
      </c>
      <c r="C1557" s="14"/>
      <c r="D1557" s="32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  <c r="O1557" s="32"/>
      <c r="P1557" s="32"/>
      <c r="Q1557" s="32"/>
      <c r="R1557" s="32"/>
    </row>
    <row r="1558" spans="2:18">
      <c r="B1558" s="35"/>
      <c r="C1558" s="14"/>
      <c r="D1558" s="37"/>
      <c r="E1558" s="37"/>
      <c r="F1558" s="37"/>
      <c r="G1558" s="37"/>
      <c r="H1558" s="37"/>
      <c r="I1558" s="37"/>
      <c r="J1558" s="37"/>
      <c r="K1558" s="37"/>
      <c r="L1558" s="37"/>
      <c r="M1558" s="37"/>
      <c r="N1558" s="37"/>
      <c r="O1558" s="37"/>
      <c r="P1558" s="37"/>
      <c r="Q1558" s="37"/>
      <c r="R1558" s="37"/>
    </row>
    <row r="1559" spans="2:18">
      <c r="B1559" s="22"/>
      <c r="C1559" s="47"/>
      <c r="D1559" s="25"/>
      <c r="E1559" s="25"/>
      <c r="F1559" s="25"/>
      <c r="G1559" s="25"/>
      <c r="H1559" s="25"/>
      <c r="I1559" s="25"/>
      <c r="J1559" s="25"/>
      <c r="K1559" s="25"/>
      <c r="L1559" s="25"/>
      <c r="M1559" s="25"/>
      <c r="N1559" s="25"/>
      <c r="O1559" s="25"/>
      <c r="P1559" s="25"/>
      <c r="Q1559" s="25"/>
      <c r="R1559" s="25"/>
    </row>
    <row r="1560" spans="2:18" ht="39.75">
      <c r="B1560" s="27"/>
      <c r="C1560" s="14"/>
      <c r="D1560" s="29"/>
      <c r="E1560" s="29"/>
      <c r="F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</row>
    <row r="1561" spans="2:18" ht="58.5">
      <c r="B1561" s="31">
        <f t="shared" ref="B1561" si="176">B1557+1</f>
        <v>390</v>
      </c>
      <c r="C1561" s="14"/>
      <c r="D1561" s="32"/>
      <c r="E1561" s="32"/>
      <c r="F1561" s="32"/>
      <c r="G1561" s="32"/>
      <c r="H1561" s="32"/>
      <c r="I1561" s="32"/>
      <c r="J1561" s="32"/>
      <c r="K1561" s="32"/>
      <c r="L1561" s="32"/>
      <c r="M1561" s="32"/>
      <c r="N1561" s="32"/>
      <c r="O1561" s="32"/>
      <c r="P1561" s="32"/>
      <c r="Q1561" s="32"/>
      <c r="R1561" s="32"/>
    </row>
    <row r="1562" spans="2:18">
      <c r="B1562" s="35"/>
      <c r="C1562" s="14"/>
      <c r="D1562" s="37"/>
      <c r="E1562" s="37"/>
      <c r="F1562" s="37"/>
      <c r="G1562" s="37"/>
      <c r="H1562" s="37"/>
      <c r="I1562" s="37"/>
      <c r="J1562" s="37"/>
      <c r="K1562" s="37"/>
      <c r="L1562" s="37"/>
      <c r="M1562" s="37"/>
      <c r="N1562" s="37"/>
      <c r="O1562" s="37"/>
      <c r="P1562" s="37"/>
      <c r="Q1562" s="37"/>
      <c r="R1562" s="37"/>
    </row>
    <row r="1563" spans="2:18">
      <c r="B1563" s="22"/>
      <c r="C1563" s="47"/>
      <c r="D1563" s="25"/>
      <c r="E1563" s="25"/>
      <c r="F1563" s="25"/>
      <c r="G1563" s="25"/>
      <c r="H1563" s="25"/>
      <c r="I1563" s="25"/>
      <c r="J1563" s="25"/>
      <c r="K1563" s="25"/>
      <c r="L1563" s="25"/>
      <c r="M1563" s="25"/>
      <c r="N1563" s="25"/>
      <c r="O1563" s="25"/>
      <c r="P1563" s="25"/>
      <c r="Q1563" s="25"/>
      <c r="R1563" s="25"/>
    </row>
    <row r="1564" spans="2:18" ht="39.75">
      <c r="B1564" s="27"/>
      <c r="C1564" s="14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</row>
    <row r="1565" spans="2:18" ht="58.5">
      <c r="B1565" s="31">
        <f t="shared" ref="B1565" si="177">B1561+1</f>
        <v>391</v>
      </c>
      <c r="C1565" s="14"/>
      <c r="D1565" s="32"/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  <c r="O1565" s="32"/>
      <c r="P1565" s="32"/>
      <c r="Q1565" s="32"/>
      <c r="R1565" s="32"/>
    </row>
    <row r="1566" spans="2:18">
      <c r="B1566" s="35"/>
      <c r="C1566" s="14"/>
      <c r="D1566" s="37"/>
      <c r="E1566" s="37"/>
      <c r="F1566" s="37"/>
      <c r="G1566" s="37"/>
      <c r="H1566" s="37"/>
      <c r="I1566" s="37"/>
      <c r="J1566" s="37"/>
      <c r="K1566" s="37"/>
      <c r="L1566" s="37"/>
      <c r="M1566" s="37"/>
      <c r="N1566" s="37"/>
      <c r="O1566" s="37"/>
      <c r="P1566" s="37"/>
      <c r="Q1566" s="37"/>
      <c r="R1566" s="37"/>
    </row>
    <row r="1567" spans="2:18">
      <c r="B1567" s="22"/>
      <c r="C1567" s="47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</row>
    <row r="1568" spans="2:18" ht="39.75">
      <c r="B1568" s="27"/>
      <c r="C1568" s="14"/>
      <c r="D1568" s="29"/>
      <c r="E1568" s="29"/>
      <c r="F1568" s="29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</row>
    <row r="1569" spans="2:18" ht="58.5">
      <c r="B1569" s="31">
        <f t="shared" ref="B1569" si="178">B1565+1</f>
        <v>392</v>
      </c>
      <c r="C1569" s="14"/>
      <c r="D1569" s="32"/>
      <c r="E1569" s="32"/>
      <c r="F1569" s="32"/>
      <c r="G1569" s="32"/>
      <c r="H1569" s="32"/>
      <c r="I1569" s="32"/>
      <c r="J1569" s="32"/>
      <c r="K1569" s="32"/>
      <c r="L1569" s="32"/>
      <c r="M1569" s="32"/>
      <c r="N1569" s="32"/>
      <c r="O1569" s="32"/>
      <c r="P1569" s="32"/>
      <c r="Q1569" s="32"/>
      <c r="R1569" s="32"/>
    </row>
    <row r="1570" spans="2:18">
      <c r="B1570" s="35"/>
      <c r="C1570" s="14"/>
      <c r="D1570" s="37"/>
      <c r="E1570" s="37"/>
      <c r="F1570" s="37"/>
      <c r="G1570" s="37"/>
      <c r="H1570" s="37"/>
      <c r="I1570" s="37"/>
      <c r="J1570" s="37"/>
      <c r="K1570" s="37"/>
      <c r="L1570" s="37"/>
      <c r="M1570" s="37"/>
      <c r="N1570" s="37"/>
      <c r="O1570" s="37"/>
      <c r="P1570" s="37"/>
      <c r="Q1570" s="37"/>
      <c r="R1570" s="37"/>
    </row>
    <row r="1571" spans="2:18">
      <c r="B1571" s="22"/>
      <c r="C1571" s="47"/>
      <c r="D1571" s="25"/>
      <c r="E1571" s="25"/>
      <c r="F1571" s="25"/>
      <c r="G1571" s="25"/>
      <c r="H1571" s="25"/>
      <c r="I1571" s="25"/>
      <c r="J1571" s="25"/>
      <c r="K1571" s="25"/>
      <c r="L1571" s="25"/>
      <c r="M1571" s="25"/>
      <c r="N1571" s="25"/>
      <c r="O1571" s="25"/>
      <c r="P1571" s="25"/>
      <c r="Q1571" s="25"/>
      <c r="R1571" s="25"/>
    </row>
    <row r="1572" spans="2:18" ht="39.75">
      <c r="B1572" s="27"/>
      <c r="C1572" s="14"/>
      <c r="D1572" s="29"/>
      <c r="E1572" s="29"/>
      <c r="F1572" s="29"/>
      <c r="G1572" s="29"/>
      <c r="H1572" s="29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</row>
    <row r="1573" spans="2:18" ht="58.5">
      <c r="B1573" s="31">
        <f t="shared" ref="B1573" si="179">B1569+1</f>
        <v>393</v>
      </c>
      <c r="C1573" s="14"/>
      <c r="D1573" s="32"/>
      <c r="E1573" s="32"/>
      <c r="F1573" s="32"/>
      <c r="G1573" s="32"/>
      <c r="H1573" s="32"/>
      <c r="I1573" s="32"/>
      <c r="J1573" s="32"/>
      <c r="K1573" s="32"/>
      <c r="L1573" s="32"/>
      <c r="M1573" s="32"/>
      <c r="N1573" s="32"/>
      <c r="O1573" s="32"/>
      <c r="P1573" s="32"/>
      <c r="Q1573" s="32"/>
      <c r="R1573" s="32"/>
    </row>
    <row r="1574" spans="2:18">
      <c r="B1574" s="35"/>
      <c r="C1574" s="14"/>
      <c r="D1574" s="37"/>
      <c r="E1574" s="37"/>
      <c r="F1574" s="37"/>
      <c r="G1574" s="37"/>
      <c r="H1574" s="37"/>
      <c r="I1574" s="37"/>
      <c r="J1574" s="37"/>
      <c r="K1574" s="37"/>
      <c r="L1574" s="37"/>
      <c r="M1574" s="37"/>
      <c r="N1574" s="37"/>
      <c r="O1574" s="37"/>
      <c r="P1574" s="37"/>
      <c r="Q1574" s="37"/>
      <c r="R1574" s="37"/>
    </row>
    <row r="1575" spans="2:18">
      <c r="B1575" s="22"/>
      <c r="C1575" s="47"/>
      <c r="D1575" s="25"/>
      <c r="E1575" s="25"/>
      <c r="F1575" s="25"/>
      <c r="G1575" s="25"/>
      <c r="H1575" s="25"/>
      <c r="I1575" s="25"/>
      <c r="J1575" s="25"/>
      <c r="K1575" s="25"/>
      <c r="L1575" s="25"/>
      <c r="M1575" s="25"/>
      <c r="N1575" s="25"/>
      <c r="O1575" s="25"/>
      <c r="P1575" s="25"/>
      <c r="Q1575" s="25"/>
      <c r="R1575" s="25"/>
    </row>
    <row r="1576" spans="2:18" ht="39.75">
      <c r="B1576" s="27"/>
      <c r="C1576" s="14"/>
      <c r="D1576" s="29"/>
      <c r="E1576" s="29"/>
      <c r="F1576" s="29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</row>
    <row r="1577" spans="2:18" ht="58.5">
      <c r="B1577" s="31">
        <f t="shared" ref="B1577" si="180">B1573+1</f>
        <v>394</v>
      </c>
      <c r="C1577" s="14"/>
      <c r="D1577" s="32"/>
      <c r="E1577" s="32"/>
      <c r="F1577" s="32"/>
      <c r="G1577" s="32"/>
      <c r="H1577" s="32"/>
      <c r="I1577" s="32"/>
      <c r="J1577" s="32"/>
      <c r="K1577" s="32"/>
      <c r="L1577" s="32"/>
      <c r="M1577" s="32"/>
      <c r="N1577" s="32"/>
      <c r="O1577" s="32"/>
      <c r="P1577" s="32"/>
      <c r="Q1577" s="32"/>
      <c r="R1577" s="32"/>
    </row>
    <row r="1578" spans="2:18">
      <c r="B1578" s="35"/>
      <c r="C1578" s="14"/>
      <c r="D1578" s="37"/>
      <c r="E1578" s="37"/>
      <c r="F1578" s="37"/>
      <c r="G1578" s="37"/>
      <c r="H1578" s="37"/>
      <c r="I1578" s="37"/>
      <c r="J1578" s="37"/>
      <c r="K1578" s="37"/>
      <c r="L1578" s="37"/>
      <c r="M1578" s="37"/>
      <c r="N1578" s="37"/>
      <c r="O1578" s="37"/>
      <c r="P1578" s="37"/>
      <c r="Q1578" s="37"/>
      <c r="R1578" s="37"/>
    </row>
    <row r="1579" spans="2:18">
      <c r="B1579" s="22"/>
      <c r="C1579" s="47"/>
      <c r="D1579" s="25"/>
      <c r="E1579" s="25"/>
      <c r="F1579" s="25"/>
      <c r="G1579" s="25"/>
      <c r="H1579" s="25"/>
      <c r="I1579" s="25"/>
      <c r="J1579" s="25"/>
      <c r="K1579" s="25"/>
      <c r="L1579" s="25"/>
      <c r="M1579" s="25"/>
      <c r="N1579" s="25"/>
      <c r="O1579" s="25"/>
      <c r="P1579" s="25"/>
      <c r="Q1579" s="25"/>
      <c r="R1579" s="25"/>
    </row>
    <row r="1580" spans="2:18" ht="39.75">
      <c r="B1580" s="27"/>
      <c r="C1580" s="14"/>
      <c r="D1580" s="29"/>
      <c r="E1580" s="29"/>
      <c r="F1580" s="29"/>
      <c r="G1580" s="29"/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</row>
    <row r="1581" spans="2:18" ht="58.5">
      <c r="B1581" s="31">
        <f t="shared" ref="B1581" si="181">B1577+1</f>
        <v>395</v>
      </c>
      <c r="C1581" s="14"/>
      <c r="D1581" s="32"/>
      <c r="E1581" s="32"/>
      <c r="F1581" s="32"/>
      <c r="G1581" s="32"/>
      <c r="H1581" s="32"/>
      <c r="I1581" s="32"/>
      <c r="J1581" s="32"/>
      <c r="K1581" s="32"/>
      <c r="L1581" s="32"/>
      <c r="M1581" s="32"/>
      <c r="N1581" s="32"/>
      <c r="O1581" s="32"/>
      <c r="P1581" s="32"/>
      <c r="Q1581" s="32"/>
      <c r="R1581" s="32"/>
    </row>
    <row r="1582" spans="2:18">
      <c r="B1582" s="35"/>
      <c r="C1582" s="14"/>
      <c r="D1582" s="37"/>
      <c r="E1582" s="37"/>
      <c r="F1582" s="37"/>
      <c r="G1582" s="37"/>
      <c r="H1582" s="37"/>
      <c r="I1582" s="37"/>
      <c r="J1582" s="37"/>
      <c r="K1582" s="37"/>
      <c r="L1582" s="37"/>
      <c r="M1582" s="37"/>
      <c r="N1582" s="37"/>
      <c r="O1582" s="37"/>
      <c r="P1582" s="37"/>
      <c r="Q1582" s="37"/>
      <c r="R1582" s="37"/>
    </row>
    <row r="1583" spans="2:18">
      <c r="B1583" s="22"/>
      <c r="C1583" s="47"/>
      <c r="D1583" s="25"/>
      <c r="E1583" s="25"/>
      <c r="F1583" s="25"/>
      <c r="G1583" s="25"/>
      <c r="H1583" s="25"/>
      <c r="I1583" s="25"/>
      <c r="J1583" s="25"/>
      <c r="K1583" s="25"/>
      <c r="L1583" s="25"/>
      <c r="M1583" s="25"/>
      <c r="N1583" s="25"/>
      <c r="O1583" s="25"/>
      <c r="P1583" s="25"/>
      <c r="Q1583" s="25"/>
      <c r="R1583" s="25"/>
    </row>
    <row r="1584" spans="2:18" ht="39.75">
      <c r="B1584" s="27"/>
      <c r="C1584" s="14"/>
      <c r="D1584" s="29"/>
      <c r="E1584" s="29"/>
      <c r="F1584" s="29"/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</row>
    <row r="1585" spans="2:18" ht="58.5">
      <c r="B1585" s="31">
        <f t="shared" ref="B1585" si="182">B1581+1</f>
        <v>396</v>
      </c>
      <c r="C1585" s="14"/>
      <c r="D1585" s="32"/>
      <c r="E1585" s="32"/>
      <c r="F1585" s="32"/>
      <c r="G1585" s="32"/>
      <c r="H1585" s="32"/>
      <c r="I1585" s="32"/>
      <c r="J1585" s="32"/>
      <c r="K1585" s="32"/>
      <c r="L1585" s="32"/>
      <c r="M1585" s="32"/>
      <c r="N1585" s="32"/>
      <c r="O1585" s="32"/>
      <c r="P1585" s="32"/>
      <c r="Q1585" s="32"/>
      <c r="R1585" s="32"/>
    </row>
    <row r="1586" spans="2:18">
      <c r="B1586" s="35"/>
      <c r="C1586" s="14"/>
      <c r="D1586" s="37"/>
      <c r="E1586" s="37"/>
      <c r="F1586" s="37"/>
      <c r="G1586" s="37"/>
      <c r="H1586" s="37"/>
      <c r="I1586" s="37"/>
      <c r="J1586" s="37"/>
      <c r="K1586" s="37"/>
      <c r="L1586" s="37"/>
      <c r="M1586" s="37"/>
      <c r="N1586" s="37"/>
      <c r="O1586" s="37"/>
      <c r="P1586" s="37"/>
      <c r="Q1586" s="37"/>
      <c r="R1586" s="37"/>
    </row>
    <row r="1587" spans="2:18">
      <c r="B1587" s="22"/>
      <c r="C1587" s="47"/>
      <c r="D1587" s="25"/>
      <c r="E1587" s="25"/>
      <c r="F1587" s="25"/>
      <c r="G1587" s="25"/>
      <c r="H1587" s="25"/>
      <c r="I1587" s="25"/>
      <c r="J1587" s="25"/>
      <c r="K1587" s="25"/>
      <c r="L1587" s="25"/>
      <c r="M1587" s="25"/>
      <c r="N1587" s="25"/>
      <c r="O1587" s="25"/>
      <c r="P1587" s="25"/>
      <c r="Q1587" s="25"/>
      <c r="R1587" s="25"/>
    </row>
    <row r="1588" spans="2:18" ht="39.75">
      <c r="B1588" s="27"/>
      <c r="C1588" s="14"/>
      <c r="D1588" s="29"/>
      <c r="E1588" s="29"/>
      <c r="F1588" s="29"/>
      <c r="G1588" s="29"/>
      <c r="H1588" s="29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</row>
    <row r="1589" spans="2:18" ht="58.5">
      <c r="B1589" s="31">
        <f t="shared" ref="B1589" si="183">B1585+1</f>
        <v>397</v>
      </c>
      <c r="C1589" s="14"/>
      <c r="D1589" s="32"/>
      <c r="E1589" s="32"/>
      <c r="F1589" s="32"/>
      <c r="G1589" s="32"/>
      <c r="H1589" s="32"/>
      <c r="I1589" s="32"/>
      <c r="J1589" s="32"/>
      <c r="K1589" s="32"/>
      <c r="L1589" s="32"/>
      <c r="M1589" s="32"/>
      <c r="N1589" s="32"/>
      <c r="O1589" s="32"/>
      <c r="P1589" s="32"/>
      <c r="Q1589" s="32"/>
      <c r="R1589" s="32"/>
    </row>
    <row r="1590" spans="2:18">
      <c r="B1590" s="35"/>
      <c r="C1590" s="14"/>
      <c r="D1590" s="37"/>
      <c r="E1590" s="37"/>
      <c r="F1590" s="37"/>
      <c r="G1590" s="37"/>
      <c r="H1590" s="37"/>
      <c r="I1590" s="37"/>
      <c r="J1590" s="37"/>
      <c r="K1590" s="37"/>
      <c r="L1590" s="37"/>
      <c r="M1590" s="37"/>
      <c r="N1590" s="37"/>
      <c r="O1590" s="37"/>
      <c r="P1590" s="37"/>
      <c r="Q1590" s="37"/>
      <c r="R1590" s="37"/>
    </row>
    <row r="1591" spans="2:18">
      <c r="B1591" s="22"/>
      <c r="C1591" s="47"/>
      <c r="D1591" s="25"/>
      <c r="E1591" s="25"/>
      <c r="F1591" s="25"/>
      <c r="G1591" s="25"/>
      <c r="H1591" s="25"/>
      <c r="I1591" s="25"/>
      <c r="J1591" s="25"/>
      <c r="K1591" s="25"/>
      <c r="L1591" s="25"/>
      <c r="M1591" s="25"/>
      <c r="N1591" s="25"/>
      <c r="O1591" s="25"/>
      <c r="P1591" s="25"/>
      <c r="Q1591" s="25"/>
      <c r="R1591" s="25"/>
    </row>
    <row r="1592" spans="2:18" ht="39.75">
      <c r="B1592" s="27"/>
      <c r="C1592" s="14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</row>
    <row r="1593" spans="2:18" ht="58.5">
      <c r="B1593" s="31">
        <f t="shared" ref="B1593" si="184">B1589+1</f>
        <v>398</v>
      </c>
      <c r="C1593" s="14"/>
      <c r="D1593" s="32"/>
      <c r="E1593" s="32"/>
      <c r="F1593" s="32"/>
      <c r="G1593" s="32"/>
      <c r="H1593" s="32"/>
      <c r="I1593" s="32"/>
      <c r="J1593" s="32"/>
      <c r="K1593" s="32"/>
      <c r="L1593" s="32"/>
      <c r="M1593" s="32"/>
      <c r="N1593" s="32"/>
      <c r="O1593" s="32"/>
      <c r="P1593" s="32"/>
      <c r="Q1593" s="32"/>
      <c r="R1593" s="32"/>
    </row>
    <row r="1594" spans="2:18">
      <c r="B1594" s="35"/>
      <c r="C1594" s="14"/>
      <c r="D1594" s="37"/>
      <c r="E1594" s="37"/>
      <c r="F1594" s="37"/>
      <c r="G1594" s="37"/>
      <c r="H1594" s="37"/>
      <c r="I1594" s="37"/>
      <c r="J1594" s="37"/>
      <c r="K1594" s="37"/>
      <c r="L1594" s="37"/>
      <c r="M1594" s="37"/>
      <c r="N1594" s="37"/>
      <c r="O1594" s="37"/>
      <c r="P1594" s="37"/>
      <c r="Q1594" s="37"/>
      <c r="R1594" s="37"/>
    </row>
    <row r="1595" spans="2:18">
      <c r="B1595" s="22"/>
      <c r="C1595" s="47"/>
      <c r="D1595" s="25"/>
      <c r="E1595" s="25"/>
      <c r="F1595" s="25"/>
      <c r="G1595" s="25"/>
      <c r="H1595" s="25"/>
      <c r="I1595" s="25"/>
      <c r="J1595" s="25"/>
      <c r="K1595" s="25"/>
      <c r="L1595" s="25"/>
      <c r="M1595" s="25"/>
      <c r="N1595" s="25"/>
      <c r="O1595" s="25"/>
      <c r="P1595" s="25"/>
      <c r="Q1595" s="25"/>
      <c r="R1595" s="25"/>
    </row>
    <row r="1596" spans="2:18" ht="39.75">
      <c r="B1596" s="27"/>
      <c r="C1596" s="14"/>
      <c r="D1596" s="29"/>
      <c r="E1596" s="29"/>
      <c r="F1596" s="29"/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</row>
    <row r="1597" spans="2:18" ht="58.5">
      <c r="B1597" s="31">
        <f t="shared" ref="B1597" si="185">B1593+1</f>
        <v>399</v>
      </c>
      <c r="C1597" s="14"/>
      <c r="D1597" s="32"/>
      <c r="E1597" s="32"/>
      <c r="F1597" s="32"/>
      <c r="G1597" s="32"/>
      <c r="H1597" s="32"/>
      <c r="I1597" s="32"/>
      <c r="J1597" s="32"/>
      <c r="K1597" s="32"/>
      <c r="L1597" s="32"/>
      <c r="M1597" s="32"/>
      <c r="N1597" s="32"/>
      <c r="O1597" s="32"/>
      <c r="P1597" s="32"/>
      <c r="Q1597" s="32"/>
      <c r="R1597" s="32"/>
    </row>
    <row r="1598" spans="2:18">
      <c r="B1598" s="35"/>
      <c r="C1598" s="14"/>
      <c r="D1598" s="37"/>
      <c r="E1598" s="37"/>
      <c r="F1598" s="37"/>
      <c r="G1598" s="37"/>
      <c r="H1598" s="37"/>
      <c r="I1598" s="37"/>
      <c r="J1598" s="37"/>
      <c r="K1598" s="37"/>
      <c r="L1598" s="37"/>
      <c r="M1598" s="37"/>
      <c r="N1598" s="37"/>
      <c r="O1598" s="37"/>
      <c r="P1598" s="37"/>
      <c r="Q1598" s="37"/>
      <c r="R1598" s="37"/>
    </row>
    <row r="1599" spans="2:18">
      <c r="B1599" s="22"/>
      <c r="C1599" s="47"/>
      <c r="D1599" s="25"/>
      <c r="E1599" s="25"/>
      <c r="F1599" s="25"/>
      <c r="G1599" s="25"/>
      <c r="H1599" s="25"/>
      <c r="I1599" s="25"/>
      <c r="J1599" s="25"/>
      <c r="K1599" s="25"/>
      <c r="L1599" s="25"/>
      <c r="M1599" s="25"/>
      <c r="N1599" s="25"/>
      <c r="O1599" s="25"/>
      <c r="P1599" s="25"/>
      <c r="Q1599" s="25"/>
      <c r="R1599" s="25"/>
    </row>
    <row r="1600" spans="2:18" ht="39.75">
      <c r="B1600" s="27"/>
      <c r="C1600" s="14"/>
      <c r="D1600" s="29"/>
      <c r="E1600" s="29"/>
      <c r="F1600" s="29"/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</row>
    <row r="1601" spans="2:18" ht="58.5">
      <c r="B1601" s="31">
        <f t="shared" ref="B1601" si="186">B1597+1</f>
        <v>400</v>
      </c>
      <c r="C1601" s="14"/>
      <c r="D1601" s="32"/>
      <c r="E1601" s="32"/>
      <c r="F1601" s="32"/>
      <c r="G1601" s="32"/>
      <c r="H1601" s="32"/>
      <c r="I1601" s="32"/>
      <c r="J1601" s="32"/>
      <c r="K1601" s="32"/>
      <c r="L1601" s="32"/>
      <c r="M1601" s="32"/>
      <c r="N1601" s="32"/>
      <c r="O1601" s="32"/>
      <c r="P1601" s="32"/>
      <c r="Q1601" s="32"/>
      <c r="R1601" s="32"/>
    </row>
    <row r="1602" spans="2:18">
      <c r="B1602" s="35"/>
      <c r="C1602" s="14"/>
      <c r="D1602" s="37"/>
      <c r="E1602" s="37"/>
      <c r="F1602" s="37"/>
      <c r="G1602" s="37"/>
      <c r="H1602" s="37"/>
      <c r="I1602" s="37"/>
      <c r="J1602" s="37"/>
      <c r="K1602" s="37"/>
      <c r="L1602" s="37"/>
      <c r="M1602" s="37"/>
      <c r="N1602" s="37"/>
      <c r="O1602" s="37"/>
      <c r="P1602" s="37"/>
      <c r="Q1602" s="37"/>
      <c r="R1602" s="37"/>
    </row>
    <row r="1603" spans="2:18">
      <c r="B1603" s="22"/>
      <c r="C1603" s="47"/>
      <c r="D1603" s="25"/>
      <c r="E1603" s="25"/>
      <c r="F1603" s="25"/>
      <c r="G1603" s="25"/>
      <c r="H1603" s="25"/>
      <c r="I1603" s="25"/>
      <c r="J1603" s="25"/>
      <c r="K1603" s="25"/>
      <c r="L1603" s="25"/>
      <c r="M1603" s="25"/>
      <c r="N1603" s="25"/>
      <c r="O1603" s="25"/>
      <c r="P1603" s="25"/>
      <c r="Q1603" s="25"/>
      <c r="R1603" s="25"/>
    </row>
    <row r="1604" spans="2:18" ht="39.75">
      <c r="B1604" s="27"/>
      <c r="C1604" s="14"/>
      <c r="D1604" s="29"/>
      <c r="E1604" s="29"/>
      <c r="F1604" s="29"/>
      <c r="G1604" s="29"/>
      <c r="H1604" s="29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</row>
    <row r="1605" spans="2:18" ht="58.5">
      <c r="B1605" s="31">
        <f t="shared" ref="B1605" si="187">B1601+1</f>
        <v>401</v>
      </c>
      <c r="C1605" s="14"/>
      <c r="D1605" s="32"/>
      <c r="E1605" s="32"/>
      <c r="F1605" s="32"/>
      <c r="G1605" s="32"/>
      <c r="H1605" s="32"/>
      <c r="I1605" s="32"/>
      <c r="J1605" s="32"/>
      <c r="K1605" s="32"/>
      <c r="L1605" s="32"/>
      <c r="M1605" s="32"/>
      <c r="N1605" s="32"/>
      <c r="O1605" s="32"/>
      <c r="P1605" s="32"/>
      <c r="Q1605" s="32"/>
      <c r="R1605" s="32"/>
    </row>
    <row r="1606" spans="2:18">
      <c r="B1606" s="35"/>
      <c r="C1606" s="14"/>
      <c r="D1606" s="37"/>
      <c r="E1606" s="37"/>
      <c r="F1606" s="37"/>
      <c r="G1606" s="37"/>
      <c r="H1606" s="37"/>
      <c r="I1606" s="37"/>
      <c r="J1606" s="37"/>
      <c r="K1606" s="37"/>
      <c r="L1606" s="37"/>
      <c r="M1606" s="37"/>
      <c r="N1606" s="37"/>
      <c r="O1606" s="37"/>
      <c r="P1606" s="37"/>
      <c r="Q1606" s="37"/>
      <c r="R1606" s="37"/>
    </row>
    <row r="1607" spans="2:18">
      <c r="B1607" s="40"/>
      <c r="C1607" s="41"/>
      <c r="D1607" s="25"/>
      <c r="E1607" s="25"/>
      <c r="F1607" s="25"/>
      <c r="G1607" s="25"/>
      <c r="H1607" s="25"/>
      <c r="I1607" s="25"/>
      <c r="J1607" s="25"/>
      <c r="K1607" s="25"/>
      <c r="L1607" s="25"/>
      <c r="M1607" s="25"/>
      <c r="N1607" s="25"/>
      <c r="O1607" s="25"/>
      <c r="P1607" s="25"/>
      <c r="Q1607" s="25"/>
      <c r="R1607" s="25"/>
    </row>
    <row r="1608" spans="2:18" ht="39.75">
      <c r="B1608" s="27"/>
      <c r="C1608" s="14"/>
      <c r="D1608" s="29"/>
      <c r="E1608" s="29"/>
      <c r="F1608" s="29"/>
      <c r="G1608" s="29"/>
      <c r="H1608" s="29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</row>
    <row r="1609" spans="2:18" ht="58.5">
      <c r="B1609" s="31">
        <f>B1605+1</f>
        <v>402</v>
      </c>
      <c r="C1609" s="14"/>
      <c r="D1609" s="32"/>
      <c r="E1609" s="32"/>
      <c r="F1609" s="32"/>
      <c r="G1609" s="32"/>
      <c r="H1609" s="32"/>
      <c r="I1609" s="32"/>
      <c r="J1609" s="32"/>
      <c r="K1609" s="32"/>
      <c r="L1609" s="32"/>
      <c r="M1609" s="32"/>
      <c r="N1609" s="32"/>
      <c r="O1609" s="32"/>
      <c r="P1609" s="32"/>
      <c r="Q1609" s="32"/>
      <c r="R1609" s="32"/>
    </row>
    <row r="1610" spans="2:18">
      <c r="B1610" s="35"/>
      <c r="C1610" s="14"/>
      <c r="D1610" s="37"/>
      <c r="E1610" s="37"/>
      <c r="F1610" s="37"/>
      <c r="G1610" s="37"/>
      <c r="H1610" s="37"/>
      <c r="I1610" s="37"/>
      <c r="J1610" s="37"/>
      <c r="K1610" s="37"/>
      <c r="L1610" s="37"/>
      <c r="M1610" s="37"/>
      <c r="N1610" s="37"/>
      <c r="O1610" s="37"/>
      <c r="P1610" s="37"/>
      <c r="Q1610" s="37"/>
      <c r="R1610" s="37"/>
    </row>
    <row r="1611" spans="2:18">
      <c r="B1611" s="44"/>
      <c r="C1611" s="45"/>
      <c r="D1611" s="25"/>
      <c r="E1611" s="25"/>
      <c r="F1611" s="25"/>
      <c r="G1611" s="25"/>
      <c r="H1611" s="25"/>
      <c r="I1611" s="25"/>
      <c r="J1611" s="25"/>
      <c r="K1611" s="25"/>
      <c r="L1611" s="25"/>
      <c r="M1611" s="25"/>
      <c r="N1611" s="25"/>
      <c r="O1611" s="25"/>
      <c r="P1611" s="25"/>
      <c r="Q1611" s="25"/>
      <c r="R1611" s="25"/>
    </row>
    <row r="1612" spans="2:18" ht="39.75">
      <c r="B1612" s="27"/>
      <c r="C1612" s="14"/>
      <c r="D1612" s="29"/>
      <c r="E1612" s="29"/>
      <c r="F1612" s="29"/>
      <c r="G1612" s="29"/>
      <c r="H1612" s="29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</row>
    <row r="1613" spans="2:18" ht="58.5">
      <c r="B1613" s="31">
        <f>B1609+1</f>
        <v>403</v>
      </c>
      <c r="C1613" s="14"/>
      <c r="D1613" s="32"/>
      <c r="E1613" s="32"/>
      <c r="F1613" s="32"/>
      <c r="G1613" s="32"/>
      <c r="H1613" s="32"/>
      <c r="I1613" s="32"/>
      <c r="J1613" s="32"/>
      <c r="K1613" s="32"/>
      <c r="L1613" s="32"/>
      <c r="M1613" s="32"/>
      <c r="N1613" s="32"/>
      <c r="O1613" s="32"/>
      <c r="P1613" s="32"/>
      <c r="Q1613" s="32"/>
      <c r="R1613" s="32"/>
    </row>
    <row r="1614" spans="2:18">
      <c r="B1614" s="35"/>
      <c r="C1614" s="14"/>
      <c r="D1614" s="37"/>
      <c r="E1614" s="37"/>
      <c r="F1614" s="37"/>
      <c r="G1614" s="37"/>
      <c r="H1614" s="37"/>
      <c r="I1614" s="37"/>
      <c r="J1614" s="37"/>
      <c r="K1614" s="37"/>
      <c r="L1614" s="37"/>
      <c r="M1614" s="37"/>
      <c r="N1614" s="37"/>
      <c r="O1614" s="37"/>
      <c r="P1614" s="37"/>
      <c r="Q1614" s="37"/>
      <c r="R1614" s="37"/>
    </row>
    <row r="1615" spans="2:18">
      <c r="B1615" s="22"/>
      <c r="C1615" s="47"/>
      <c r="D1615" s="25"/>
      <c r="E1615" s="25"/>
      <c r="F1615" s="25"/>
      <c r="G1615" s="25"/>
      <c r="H1615" s="25"/>
      <c r="I1615" s="25"/>
      <c r="J1615" s="25"/>
      <c r="K1615" s="25"/>
      <c r="L1615" s="25"/>
      <c r="M1615" s="25"/>
      <c r="N1615" s="25"/>
      <c r="O1615" s="25"/>
      <c r="P1615" s="25"/>
      <c r="Q1615" s="25"/>
      <c r="R1615" s="25"/>
    </row>
    <row r="1616" spans="2:18" ht="39.75">
      <c r="B1616" s="27"/>
      <c r="C1616" s="14"/>
      <c r="D1616" s="29"/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</row>
    <row r="1617" spans="2:18" ht="58.5">
      <c r="B1617" s="31">
        <f>B1613+1</f>
        <v>404</v>
      </c>
      <c r="C1617" s="14"/>
      <c r="D1617" s="32"/>
      <c r="E1617" s="32"/>
      <c r="F1617" s="32"/>
      <c r="G1617" s="32"/>
      <c r="H1617" s="32"/>
      <c r="I1617" s="32"/>
      <c r="J1617" s="32"/>
      <c r="K1617" s="32"/>
      <c r="L1617" s="32"/>
      <c r="M1617" s="32"/>
      <c r="N1617" s="32"/>
      <c r="O1617" s="32"/>
      <c r="P1617" s="32"/>
      <c r="Q1617" s="32"/>
      <c r="R1617" s="32"/>
    </row>
    <row r="1618" spans="2:18">
      <c r="B1618" s="35"/>
      <c r="C1618" s="14"/>
      <c r="D1618" s="37"/>
      <c r="E1618" s="37"/>
      <c r="F1618" s="37"/>
      <c r="G1618" s="37"/>
      <c r="H1618" s="37"/>
      <c r="I1618" s="37"/>
      <c r="J1618" s="37"/>
      <c r="K1618" s="37"/>
      <c r="L1618" s="37"/>
      <c r="M1618" s="37"/>
      <c r="N1618" s="37"/>
      <c r="O1618" s="37"/>
      <c r="P1618" s="37"/>
      <c r="Q1618" s="37"/>
      <c r="R1618" s="37"/>
    </row>
    <row r="1619" spans="2:18">
      <c r="B1619" s="22"/>
      <c r="C1619" s="47"/>
      <c r="D1619" s="25"/>
      <c r="E1619" s="25"/>
      <c r="F1619" s="25"/>
      <c r="G1619" s="25"/>
      <c r="H1619" s="25"/>
      <c r="I1619" s="25"/>
      <c r="J1619" s="25"/>
      <c r="K1619" s="25"/>
      <c r="L1619" s="25"/>
      <c r="M1619" s="25"/>
      <c r="N1619" s="25"/>
      <c r="O1619" s="25"/>
      <c r="P1619" s="25"/>
      <c r="Q1619" s="25"/>
      <c r="R1619" s="25"/>
    </row>
    <row r="1620" spans="2:18" ht="39.75">
      <c r="B1620" s="27"/>
      <c r="C1620" s="14"/>
      <c r="D1620" s="29"/>
      <c r="E1620" s="29"/>
      <c r="F1620" s="29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</row>
    <row r="1621" spans="2:18" ht="58.5">
      <c r="B1621" s="31">
        <f>B1617+1</f>
        <v>405</v>
      </c>
      <c r="C1621" s="14"/>
      <c r="D1621" s="32"/>
      <c r="E1621" s="32"/>
      <c r="F1621" s="32"/>
      <c r="G1621" s="32"/>
      <c r="H1621" s="32"/>
      <c r="I1621" s="32"/>
      <c r="J1621" s="32"/>
      <c r="K1621" s="32"/>
      <c r="L1621" s="32"/>
      <c r="M1621" s="32"/>
      <c r="N1621" s="32"/>
      <c r="O1621" s="32"/>
      <c r="P1621" s="32"/>
      <c r="Q1621" s="32"/>
      <c r="R1621" s="32"/>
    </row>
    <row r="1622" spans="2:18">
      <c r="B1622" s="35"/>
      <c r="C1622" s="14"/>
      <c r="D1622" s="37"/>
      <c r="E1622" s="37"/>
      <c r="F1622" s="37"/>
      <c r="G1622" s="37"/>
      <c r="H1622" s="37"/>
      <c r="I1622" s="37"/>
      <c r="J1622" s="37"/>
      <c r="K1622" s="37"/>
      <c r="L1622" s="37"/>
      <c r="M1622" s="37"/>
      <c r="N1622" s="37"/>
      <c r="O1622" s="37"/>
      <c r="P1622" s="37"/>
      <c r="Q1622" s="37"/>
      <c r="R1622" s="37"/>
    </row>
    <row r="1623" spans="2:18">
      <c r="B1623" s="22"/>
      <c r="C1623" s="47"/>
      <c r="D1623" s="25"/>
      <c r="E1623" s="25"/>
      <c r="F1623" s="25"/>
      <c r="G1623" s="25"/>
      <c r="H1623" s="25"/>
      <c r="I1623" s="25"/>
      <c r="J1623" s="25"/>
      <c r="K1623" s="25"/>
      <c r="L1623" s="25"/>
      <c r="M1623" s="25"/>
      <c r="N1623" s="25"/>
      <c r="O1623" s="25"/>
      <c r="P1623" s="25"/>
      <c r="Q1623" s="25"/>
      <c r="R1623" s="25"/>
    </row>
    <row r="1624" spans="2:18" ht="39.75">
      <c r="B1624" s="27"/>
      <c r="C1624" s="14"/>
      <c r="D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</row>
    <row r="1625" spans="2:18" ht="58.5">
      <c r="B1625" s="31">
        <f>B1621+1</f>
        <v>406</v>
      </c>
      <c r="C1625" s="14"/>
      <c r="D1625" s="32"/>
      <c r="E1625" s="32"/>
      <c r="F1625" s="32"/>
      <c r="G1625" s="32"/>
      <c r="H1625" s="32"/>
      <c r="I1625" s="32"/>
      <c r="J1625" s="32"/>
      <c r="K1625" s="32"/>
      <c r="L1625" s="32"/>
      <c r="M1625" s="32"/>
      <c r="N1625" s="32"/>
      <c r="O1625" s="32"/>
      <c r="P1625" s="32"/>
      <c r="Q1625" s="32"/>
      <c r="R1625" s="32"/>
    </row>
    <row r="1626" spans="2:18">
      <c r="B1626" s="35"/>
      <c r="C1626" s="14"/>
      <c r="D1626" s="37"/>
      <c r="E1626" s="37"/>
      <c r="F1626" s="37"/>
      <c r="G1626" s="37"/>
      <c r="H1626" s="37"/>
      <c r="I1626" s="37"/>
      <c r="J1626" s="37"/>
      <c r="K1626" s="37"/>
      <c r="L1626" s="37"/>
      <c r="M1626" s="37"/>
      <c r="N1626" s="37"/>
      <c r="O1626" s="37"/>
      <c r="P1626" s="37"/>
      <c r="Q1626" s="37"/>
      <c r="R1626" s="37"/>
    </row>
    <row r="1627" spans="2:18">
      <c r="B1627" s="22"/>
      <c r="C1627" s="47"/>
      <c r="D1627" s="25"/>
      <c r="E1627" s="25"/>
      <c r="F1627" s="25"/>
      <c r="G1627" s="25"/>
      <c r="H1627" s="25"/>
      <c r="I1627" s="25"/>
      <c r="J1627" s="25"/>
      <c r="K1627" s="25"/>
      <c r="L1627" s="25"/>
      <c r="M1627" s="25"/>
      <c r="N1627" s="25"/>
      <c r="O1627" s="25"/>
      <c r="P1627" s="25"/>
      <c r="Q1627" s="25"/>
      <c r="R1627" s="25"/>
    </row>
    <row r="1628" spans="2:18" ht="39.75">
      <c r="B1628" s="27"/>
      <c r="C1628" s="14"/>
      <c r="D1628" s="29"/>
      <c r="E1628" s="29"/>
      <c r="F1628" s="29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</row>
    <row r="1629" spans="2:18" ht="58.5">
      <c r="B1629" s="31">
        <f>B1625+1</f>
        <v>407</v>
      </c>
      <c r="C1629" s="14"/>
      <c r="D1629" s="32"/>
      <c r="E1629" s="32"/>
      <c r="F1629" s="32"/>
      <c r="G1629" s="32"/>
      <c r="H1629" s="32"/>
      <c r="I1629" s="32"/>
      <c r="J1629" s="32"/>
      <c r="K1629" s="32"/>
      <c r="L1629" s="32"/>
      <c r="M1629" s="32"/>
      <c r="N1629" s="32"/>
      <c r="O1629" s="32"/>
      <c r="P1629" s="32"/>
      <c r="Q1629" s="32"/>
      <c r="R1629" s="32"/>
    </row>
    <row r="1630" spans="2:18">
      <c r="B1630" s="35"/>
      <c r="C1630" s="14"/>
      <c r="D1630" s="37"/>
      <c r="E1630" s="37"/>
      <c r="F1630" s="37"/>
      <c r="G1630" s="37"/>
      <c r="H1630" s="37"/>
      <c r="I1630" s="37"/>
      <c r="J1630" s="37"/>
      <c r="K1630" s="37"/>
      <c r="L1630" s="37"/>
      <c r="M1630" s="37"/>
      <c r="N1630" s="37"/>
      <c r="O1630" s="37"/>
      <c r="P1630" s="37"/>
      <c r="Q1630" s="37"/>
      <c r="R1630" s="37"/>
    </row>
    <row r="1631" spans="2:18">
      <c r="B1631" s="22"/>
      <c r="C1631" s="47"/>
      <c r="D1631" s="25"/>
      <c r="E1631" s="25"/>
      <c r="F1631" s="25"/>
      <c r="G1631" s="25"/>
      <c r="H1631" s="25"/>
      <c r="I1631" s="25"/>
      <c r="J1631" s="25"/>
      <c r="K1631" s="25"/>
      <c r="L1631" s="25"/>
      <c r="M1631" s="25"/>
      <c r="N1631" s="25"/>
      <c r="O1631" s="25"/>
      <c r="P1631" s="25"/>
      <c r="Q1631" s="25"/>
      <c r="R1631" s="25"/>
    </row>
    <row r="1632" spans="2:18" ht="39.75">
      <c r="B1632" s="27"/>
      <c r="C1632" s="14"/>
      <c r="D1632" s="29"/>
      <c r="E1632" s="29"/>
      <c r="F1632" s="29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</row>
    <row r="1633" spans="2:18" ht="58.5">
      <c r="B1633" s="31">
        <f>B1629+1</f>
        <v>408</v>
      </c>
      <c r="C1633" s="14"/>
      <c r="D1633" s="32"/>
      <c r="E1633" s="32"/>
      <c r="F1633" s="32"/>
      <c r="G1633" s="32"/>
      <c r="H1633" s="32"/>
      <c r="I1633" s="32"/>
      <c r="J1633" s="32"/>
      <c r="K1633" s="32"/>
      <c r="L1633" s="32"/>
      <c r="M1633" s="32"/>
      <c r="N1633" s="32"/>
      <c r="O1633" s="32"/>
      <c r="P1633" s="32"/>
      <c r="Q1633" s="32"/>
      <c r="R1633" s="32"/>
    </row>
    <row r="1634" spans="2:18">
      <c r="B1634" s="35"/>
      <c r="C1634" s="14"/>
      <c r="D1634" s="37"/>
      <c r="E1634" s="37"/>
      <c r="F1634" s="37"/>
      <c r="G1634" s="37"/>
      <c r="H1634" s="37"/>
      <c r="I1634" s="37"/>
      <c r="J1634" s="37"/>
      <c r="K1634" s="37"/>
      <c r="L1634" s="37"/>
      <c r="M1634" s="37"/>
      <c r="N1634" s="37"/>
      <c r="O1634" s="37"/>
      <c r="P1634" s="37"/>
      <c r="Q1634" s="37"/>
      <c r="R1634" s="37"/>
    </row>
    <row r="1635" spans="2:18">
      <c r="B1635" s="22"/>
      <c r="C1635" s="47"/>
      <c r="D1635" s="25"/>
      <c r="E1635" s="25"/>
      <c r="F1635" s="25"/>
      <c r="G1635" s="25"/>
      <c r="H1635" s="25"/>
      <c r="I1635" s="25"/>
      <c r="J1635" s="25"/>
      <c r="K1635" s="25"/>
      <c r="L1635" s="25"/>
      <c r="M1635" s="25"/>
      <c r="N1635" s="25"/>
      <c r="O1635" s="25"/>
      <c r="P1635" s="25"/>
      <c r="Q1635" s="25"/>
      <c r="R1635" s="25"/>
    </row>
    <row r="1636" spans="2:18" ht="39.75">
      <c r="B1636" s="27"/>
      <c r="C1636" s="14"/>
      <c r="D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</row>
    <row r="1637" spans="2:18" ht="58.5">
      <c r="B1637" s="31">
        <f>B1633+1</f>
        <v>409</v>
      </c>
      <c r="C1637" s="14"/>
      <c r="D1637" s="32"/>
      <c r="E1637" s="32"/>
      <c r="F1637" s="32"/>
      <c r="G1637" s="32"/>
      <c r="H1637" s="32"/>
      <c r="I1637" s="32"/>
      <c r="J1637" s="32"/>
      <c r="K1637" s="32"/>
      <c r="L1637" s="32"/>
      <c r="M1637" s="32"/>
      <c r="N1637" s="32"/>
      <c r="O1637" s="32"/>
      <c r="P1637" s="32"/>
      <c r="Q1637" s="32"/>
      <c r="R1637" s="32"/>
    </row>
    <row r="1638" spans="2:18">
      <c r="B1638" s="35"/>
      <c r="C1638" s="14"/>
      <c r="D1638" s="37"/>
      <c r="E1638" s="37"/>
      <c r="F1638" s="37"/>
      <c r="G1638" s="37"/>
      <c r="H1638" s="37"/>
      <c r="I1638" s="37"/>
      <c r="J1638" s="37"/>
      <c r="K1638" s="37"/>
      <c r="L1638" s="37"/>
      <c r="M1638" s="37"/>
      <c r="N1638" s="37"/>
      <c r="O1638" s="37"/>
      <c r="P1638" s="37"/>
      <c r="Q1638" s="37"/>
      <c r="R1638" s="37"/>
    </row>
    <row r="1639" spans="2:18">
      <c r="B1639" s="22"/>
      <c r="C1639" s="47"/>
      <c r="D1639" s="25"/>
      <c r="E1639" s="25"/>
      <c r="F1639" s="25"/>
      <c r="G1639" s="25"/>
      <c r="H1639" s="25"/>
      <c r="I1639" s="25"/>
      <c r="J1639" s="25"/>
      <c r="K1639" s="25"/>
      <c r="L1639" s="25"/>
      <c r="M1639" s="25"/>
      <c r="N1639" s="25"/>
      <c r="O1639" s="25"/>
      <c r="P1639" s="25"/>
      <c r="Q1639" s="25"/>
      <c r="R1639" s="25"/>
    </row>
    <row r="1640" spans="2:18" ht="39.75">
      <c r="B1640" s="27"/>
      <c r="C1640" s="14"/>
      <c r="D1640" s="29"/>
      <c r="E1640" s="29"/>
      <c r="F1640" s="29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</row>
    <row r="1641" spans="2:18" ht="58.5">
      <c r="B1641" s="31">
        <f>B1637+1</f>
        <v>410</v>
      </c>
      <c r="C1641" s="14"/>
      <c r="D1641" s="32"/>
      <c r="E1641" s="32"/>
      <c r="F1641" s="32"/>
      <c r="G1641" s="32"/>
      <c r="H1641" s="32"/>
      <c r="I1641" s="32"/>
      <c r="J1641" s="32"/>
      <c r="K1641" s="32"/>
      <c r="L1641" s="32"/>
      <c r="M1641" s="32"/>
      <c r="N1641" s="32"/>
      <c r="O1641" s="32"/>
      <c r="P1641" s="32"/>
      <c r="Q1641" s="32"/>
      <c r="R1641" s="32"/>
    </row>
    <row r="1642" spans="2:18">
      <c r="B1642" s="35"/>
      <c r="C1642" s="14"/>
      <c r="D1642" s="37"/>
      <c r="E1642" s="37"/>
      <c r="F1642" s="37"/>
      <c r="G1642" s="37"/>
      <c r="H1642" s="37"/>
      <c r="I1642" s="37"/>
      <c r="J1642" s="37"/>
      <c r="K1642" s="37"/>
      <c r="L1642" s="37"/>
      <c r="M1642" s="37"/>
      <c r="N1642" s="37"/>
      <c r="O1642" s="37"/>
      <c r="P1642" s="37"/>
      <c r="Q1642" s="37"/>
      <c r="R1642" s="37"/>
    </row>
    <row r="1643" spans="2:18">
      <c r="B1643" s="22"/>
      <c r="C1643" s="47"/>
      <c r="D1643" s="25"/>
      <c r="E1643" s="25"/>
      <c r="F1643" s="25"/>
      <c r="G1643" s="25"/>
      <c r="H1643" s="25"/>
      <c r="I1643" s="25"/>
      <c r="J1643" s="25"/>
      <c r="K1643" s="25"/>
      <c r="L1643" s="25"/>
      <c r="M1643" s="25"/>
      <c r="N1643" s="25"/>
      <c r="O1643" s="25"/>
      <c r="P1643" s="25"/>
      <c r="Q1643" s="25"/>
      <c r="R1643" s="25"/>
    </row>
    <row r="1644" spans="2:18" ht="39.75">
      <c r="B1644" s="27"/>
      <c r="C1644" s="14"/>
      <c r="D1644" s="29"/>
      <c r="E1644" s="29"/>
      <c r="F1644" s="29"/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</row>
    <row r="1645" spans="2:18" ht="58.5">
      <c r="B1645" s="31">
        <f>B1641+1</f>
        <v>411</v>
      </c>
      <c r="C1645" s="14"/>
      <c r="D1645" s="32"/>
      <c r="E1645" s="32"/>
      <c r="F1645" s="32"/>
      <c r="G1645" s="32"/>
      <c r="H1645" s="32"/>
      <c r="I1645" s="32"/>
      <c r="J1645" s="32"/>
      <c r="K1645" s="32"/>
      <c r="L1645" s="32"/>
      <c r="M1645" s="32"/>
      <c r="N1645" s="32"/>
      <c r="O1645" s="32"/>
      <c r="P1645" s="32"/>
      <c r="Q1645" s="32"/>
      <c r="R1645" s="32"/>
    </row>
    <row r="1646" spans="2:18">
      <c r="B1646" s="35"/>
      <c r="C1646" s="14"/>
      <c r="D1646" s="37"/>
      <c r="E1646" s="37"/>
      <c r="F1646" s="37"/>
      <c r="G1646" s="37"/>
      <c r="H1646" s="37"/>
      <c r="I1646" s="37"/>
      <c r="J1646" s="37"/>
      <c r="K1646" s="37"/>
      <c r="L1646" s="37"/>
      <c r="M1646" s="37"/>
      <c r="N1646" s="37"/>
      <c r="O1646" s="37"/>
      <c r="P1646" s="37"/>
      <c r="Q1646" s="37"/>
      <c r="R1646" s="37"/>
    </row>
    <row r="1647" spans="2:18">
      <c r="B1647" s="22"/>
      <c r="C1647" s="47"/>
      <c r="D1647" s="25"/>
      <c r="E1647" s="25"/>
      <c r="F1647" s="25"/>
      <c r="G1647" s="25"/>
      <c r="H1647" s="25"/>
      <c r="I1647" s="25"/>
      <c r="J1647" s="25"/>
      <c r="K1647" s="25"/>
      <c r="L1647" s="25"/>
      <c r="M1647" s="25"/>
      <c r="N1647" s="25"/>
      <c r="O1647" s="25"/>
      <c r="P1647" s="25"/>
      <c r="Q1647" s="25"/>
      <c r="R1647" s="25"/>
    </row>
    <row r="1648" spans="2:18" ht="39.75">
      <c r="B1648" s="27"/>
      <c r="C1648" s="14"/>
      <c r="D1648" s="29"/>
      <c r="E1648" s="29"/>
      <c r="F1648" s="29"/>
      <c r="G1648" s="29"/>
      <c r="H1648" s="29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</row>
    <row r="1649" spans="2:18" ht="58.5">
      <c r="B1649" s="31">
        <f>B1645+1</f>
        <v>412</v>
      </c>
      <c r="C1649" s="14"/>
      <c r="D1649" s="32"/>
      <c r="E1649" s="32"/>
      <c r="F1649" s="32"/>
      <c r="G1649" s="32"/>
      <c r="H1649" s="32"/>
      <c r="I1649" s="32"/>
      <c r="J1649" s="32"/>
      <c r="K1649" s="32"/>
      <c r="L1649" s="32"/>
      <c r="M1649" s="32"/>
      <c r="N1649" s="32"/>
      <c r="O1649" s="32"/>
      <c r="P1649" s="32"/>
      <c r="Q1649" s="32"/>
      <c r="R1649" s="32"/>
    </row>
    <row r="1650" spans="2:18">
      <c r="B1650" s="35"/>
      <c r="C1650" s="14"/>
      <c r="D1650" s="37"/>
      <c r="E1650" s="37"/>
      <c r="F1650" s="37"/>
      <c r="G1650" s="37"/>
      <c r="H1650" s="37"/>
      <c r="I1650" s="37"/>
      <c r="J1650" s="37"/>
      <c r="K1650" s="37"/>
      <c r="L1650" s="37"/>
      <c r="M1650" s="37"/>
      <c r="N1650" s="37"/>
      <c r="O1650" s="37"/>
      <c r="P1650" s="37"/>
      <c r="Q1650" s="37"/>
      <c r="R1650" s="37"/>
    </row>
    <row r="1651" spans="2:18">
      <c r="B1651" s="22"/>
      <c r="C1651" s="47"/>
      <c r="D1651" s="25"/>
      <c r="E1651" s="25"/>
      <c r="F1651" s="25"/>
      <c r="G1651" s="25"/>
      <c r="H1651" s="25"/>
      <c r="I1651" s="25"/>
      <c r="J1651" s="25"/>
      <c r="K1651" s="25"/>
      <c r="L1651" s="25"/>
      <c r="M1651" s="25"/>
      <c r="N1651" s="25"/>
      <c r="O1651" s="25"/>
      <c r="P1651" s="25"/>
      <c r="Q1651" s="25"/>
      <c r="R1651" s="25"/>
    </row>
    <row r="1652" spans="2:18" ht="39.75">
      <c r="B1652" s="27"/>
      <c r="C1652" s="14"/>
      <c r="D1652" s="29"/>
      <c r="E1652" s="29"/>
      <c r="F1652" s="29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</row>
    <row r="1653" spans="2:18" ht="58.5">
      <c r="B1653" s="31">
        <f>B1649+1</f>
        <v>413</v>
      </c>
      <c r="C1653" s="14"/>
      <c r="D1653" s="32"/>
      <c r="E1653" s="32"/>
      <c r="F1653" s="32"/>
      <c r="G1653" s="32"/>
      <c r="H1653" s="32"/>
      <c r="I1653" s="32"/>
      <c r="J1653" s="32"/>
      <c r="K1653" s="32"/>
      <c r="L1653" s="32"/>
      <c r="M1653" s="32"/>
      <c r="N1653" s="32"/>
      <c r="O1653" s="32"/>
      <c r="P1653" s="32"/>
      <c r="Q1653" s="32"/>
      <c r="R1653" s="32"/>
    </row>
    <row r="1654" spans="2:18">
      <c r="B1654" s="35"/>
      <c r="C1654" s="14"/>
      <c r="D1654" s="37"/>
      <c r="E1654" s="37"/>
      <c r="F1654" s="37"/>
      <c r="G1654" s="37"/>
      <c r="H1654" s="37"/>
      <c r="I1654" s="37"/>
      <c r="J1654" s="37"/>
      <c r="K1654" s="37"/>
      <c r="L1654" s="37"/>
      <c r="M1654" s="37"/>
      <c r="N1654" s="37"/>
      <c r="O1654" s="37"/>
      <c r="P1654" s="37"/>
      <c r="Q1654" s="37"/>
      <c r="R1654" s="37"/>
    </row>
    <row r="1655" spans="2:18">
      <c r="B1655" s="22"/>
      <c r="C1655" s="47"/>
      <c r="D1655" s="25"/>
      <c r="E1655" s="25"/>
      <c r="F1655" s="25"/>
      <c r="G1655" s="25"/>
      <c r="H1655" s="25"/>
      <c r="I1655" s="25"/>
      <c r="J1655" s="25"/>
      <c r="K1655" s="25"/>
      <c r="L1655" s="25"/>
      <c r="M1655" s="25"/>
      <c r="N1655" s="25"/>
      <c r="O1655" s="25"/>
      <c r="P1655" s="25"/>
      <c r="Q1655" s="25"/>
      <c r="R1655" s="25"/>
    </row>
    <row r="1656" spans="2:18" ht="39.75">
      <c r="B1656" s="27"/>
      <c r="C1656" s="14"/>
      <c r="D1656" s="29"/>
      <c r="E1656" s="29"/>
      <c r="F1656" s="29"/>
      <c r="G1656" s="29"/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</row>
    <row r="1657" spans="2:18" ht="58.5">
      <c r="B1657" s="31">
        <f>B1653+1</f>
        <v>414</v>
      </c>
      <c r="C1657" s="14"/>
      <c r="D1657" s="32"/>
      <c r="E1657" s="32"/>
      <c r="F1657" s="32"/>
      <c r="G1657" s="32"/>
      <c r="H1657" s="32"/>
      <c r="I1657" s="32"/>
      <c r="J1657" s="32"/>
      <c r="K1657" s="32"/>
      <c r="L1657" s="32"/>
      <c r="M1657" s="32"/>
      <c r="N1657" s="32"/>
      <c r="O1657" s="32"/>
      <c r="P1657" s="32"/>
      <c r="Q1657" s="32"/>
      <c r="R1657" s="32"/>
    </row>
    <row r="1658" spans="2:18">
      <c r="B1658" s="35"/>
      <c r="C1658" s="14"/>
      <c r="D1658" s="37"/>
      <c r="E1658" s="37"/>
      <c r="F1658" s="37"/>
      <c r="G1658" s="37"/>
      <c r="H1658" s="37"/>
      <c r="I1658" s="37"/>
      <c r="J1658" s="37"/>
      <c r="K1658" s="37"/>
      <c r="L1658" s="37"/>
      <c r="M1658" s="37"/>
      <c r="N1658" s="37"/>
      <c r="O1658" s="37"/>
      <c r="P1658" s="37"/>
      <c r="Q1658" s="37"/>
      <c r="R1658" s="37"/>
    </row>
    <row r="1659" spans="2:18">
      <c r="B1659" s="22"/>
      <c r="C1659" s="47"/>
      <c r="D1659" s="25"/>
      <c r="E1659" s="25"/>
      <c r="F1659" s="25"/>
      <c r="G1659" s="25"/>
      <c r="H1659" s="25"/>
      <c r="I1659" s="25"/>
      <c r="J1659" s="25"/>
      <c r="K1659" s="25"/>
      <c r="L1659" s="25"/>
      <c r="M1659" s="25"/>
      <c r="N1659" s="25"/>
      <c r="O1659" s="25"/>
      <c r="P1659" s="25"/>
      <c r="Q1659" s="25"/>
      <c r="R1659" s="25"/>
    </row>
    <row r="1660" spans="2:18" ht="39.75">
      <c r="B1660" s="27"/>
      <c r="C1660" s="14"/>
      <c r="D1660" s="29"/>
      <c r="E1660" s="29"/>
      <c r="F1660" s="29"/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</row>
    <row r="1661" spans="2:18" ht="58.5">
      <c r="B1661" s="31">
        <f>B1657+1</f>
        <v>415</v>
      </c>
      <c r="C1661" s="14"/>
      <c r="D1661" s="32"/>
      <c r="E1661" s="32"/>
      <c r="F1661" s="32"/>
      <c r="G1661" s="32"/>
      <c r="H1661" s="32"/>
      <c r="I1661" s="32"/>
      <c r="J1661" s="32"/>
      <c r="K1661" s="32"/>
      <c r="L1661" s="32"/>
      <c r="M1661" s="32"/>
      <c r="N1661" s="32"/>
      <c r="O1661" s="32"/>
      <c r="P1661" s="32"/>
      <c r="Q1661" s="32"/>
      <c r="R1661" s="32"/>
    </row>
    <row r="1662" spans="2:18">
      <c r="B1662" s="35"/>
      <c r="C1662" s="14"/>
      <c r="D1662" s="37"/>
      <c r="E1662" s="37"/>
      <c r="F1662" s="37"/>
      <c r="G1662" s="37"/>
      <c r="H1662" s="37"/>
      <c r="I1662" s="37"/>
      <c r="J1662" s="37"/>
      <c r="K1662" s="37"/>
      <c r="L1662" s="37"/>
      <c r="M1662" s="37"/>
      <c r="N1662" s="37"/>
      <c r="O1662" s="37"/>
      <c r="P1662" s="37"/>
      <c r="Q1662" s="37"/>
      <c r="R1662" s="37"/>
    </row>
    <row r="1663" spans="2:18">
      <c r="B1663" s="22"/>
      <c r="C1663" s="47"/>
      <c r="D1663" s="25"/>
      <c r="E1663" s="25"/>
      <c r="F1663" s="25"/>
      <c r="G1663" s="25"/>
      <c r="H1663" s="25"/>
      <c r="I1663" s="25"/>
      <c r="J1663" s="25"/>
      <c r="K1663" s="25"/>
      <c r="L1663" s="25"/>
      <c r="M1663" s="25"/>
      <c r="N1663" s="25"/>
      <c r="O1663" s="25"/>
      <c r="P1663" s="25"/>
      <c r="Q1663" s="25"/>
      <c r="R1663" s="25"/>
    </row>
    <row r="1664" spans="2:18" ht="39.75">
      <c r="B1664" s="27"/>
      <c r="C1664" s="14"/>
      <c r="D1664" s="29"/>
      <c r="E1664" s="29"/>
      <c r="F1664" s="29"/>
      <c r="G1664" s="29"/>
      <c r="H1664" s="29"/>
      <c r="I1664" s="29"/>
      <c r="J1664" s="29"/>
      <c r="K1664" s="29"/>
      <c r="L1664" s="29"/>
      <c r="M1664" s="29"/>
      <c r="N1664" s="29"/>
      <c r="O1664" s="29"/>
      <c r="P1664" s="29"/>
      <c r="Q1664" s="29"/>
      <c r="R1664" s="29"/>
    </row>
    <row r="1665" spans="2:18" ht="58.5">
      <c r="B1665" s="31">
        <f>B1661+1</f>
        <v>416</v>
      </c>
      <c r="C1665" s="14"/>
      <c r="D1665" s="32"/>
      <c r="E1665" s="32"/>
      <c r="F1665" s="32"/>
      <c r="G1665" s="32"/>
      <c r="H1665" s="32"/>
      <c r="I1665" s="32"/>
      <c r="J1665" s="32"/>
      <c r="K1665" s="32"/>
      <c r="L1665" s="32"/>
      <c r="M1665" s="32"/>
      <c r="N1665" s="32"/>
      <c r="O1665" s="32"/>
      <c r="P1665" s="32"/>
      <c r="Q1665" s="32"/>
      <c r="R1665" s="32"/>
    </row>
    <row r="1666" spans="2:18">
      <c r="B1666" s="35"/>
      <c r="C1666" s="14"/>
      <c r="D1666" s="37"/>
      <c r="E1666" s="37"/>
      <c r="F1666" s="37"/>
      <c r="G1666" s="37"/>
      <c r="H1666" s="37"/>
      <c r="I1666" s="37"/>
      <c r="J1666" s="37"/>
      <c r="K1666" s="37"/>
      <c r="L1666" s="37"/>
      <c r="M1666" s="37"/>
      <c r="N1666" s="37"/>
      <c r="O1666" s="37"/>
      <c r="P1666" s="37"/>
      <c r="Q1666" s="37"/>
      <c r="R1666" s="37"/>
    </row>
    <row r="1667" spans="2:18">
      <c r="B1667" s="22"/>
      <c r="C1667" s="47"/>
      <c r="D1667" s="25"/>
      <c r="E1667" s="25"/>
      <c r="F1667" s="25"/>
      <c r="G1667" s="25"/>
      <c r="H1667" s="25"/>
      <c r="I1667" s="25"/>
      <c r="J1667" s="25"/>
      <c r="K1667" s="25"/>
      <c r="L1667" s="25"/>
      <c r="M1667" s="25"/>
      <c r="N1667" s="25"/>
      <c r="O1667" s="25"/>
      <c r="P1667" s="25"/>
      <c r="Q1667" s="25"/>
      <c r="R1667" s="25"/>
    </row>
    <row r="1668" spans="2:18" ht="39.75">
      <c r="B1668" s="27"/>
      <c r="C1668" s="14"/>
      <c r="D1668" s="29"/>
      <c r="E1668" s="29"/>
      <c r="F1668" s="29"/>
      <c r="G1668" s="29"/>
      <c r="H1668" s="29"/>
      <c r="I1668" s="29"/>
      <c r="J1668" s="29"/>
      <c r="K1668" s="29"/>
      <c r="L1668" s="29"/>
      <c r="M1668" s="29"/>
      <c r="N1668" s="29"/>
      <c r="O1668" s="29"/>
      <c r="P1668" s="29"/>
      <c r="Q1668" s="29"/>
      <c r="R1668" s="29"/>
    </row>
    <row r="1669" spans="2:18" ht="58.5">
      <c r="B1669" s="31">
        <f>B1665+1</f>
        <v>417</v>
      </c>
      <c r="C1669" s="14"/>
      <c r="D1669" s="32"/>
      <c r="E1669" s="32"/>
      <c r="F1669" s="32"/>
      <c r="G1669" s="32"/>
      <c r="H1669" s="32"/>
      <c r="I1669" s="32"/>
      <c r="J1669" s="32"/>
      <c r="K1669" s="32"/>
      <c r="L1669" s="32"/>
      <c r="M1669" s="32"/>
      <c r="N1669" s="32"/>
      <c r="O1669" s="32"/>
      <c r="P1669" s="32"/>
      <c r="Q1669" s="32"/>
      <c r="R1669" s="32"/>
    </row>
    <row r="1670" spans="2:18">
      <c r="B1670" s="35"/>
      <c r="C1670" s="14"/>
      <c r="D1670" s="37"/>
      <c r="E1670" s="37"/>
      <c r="F1670" s="37"/>
      <c r="G1670" s="37"/>
      <c r="H1670" s="37"/>
      <c r="I1670" s="37"/>
      <c r="J1670" s="37"/>
      <c r="K1670" s="37"/>
      <c r="L1670" s="37"/>
      <c r="M1670" s="37"/>
      <c r="N1670" s="37"/>
      <c r="O1670" s="37"/>
      <c r="P1670" s="37"/>
      <c r="Q1670" s="37"/>
      <c r="R1670" s="37"/>
    </row>
    <row r="1671" spans="2:18">
      <c r="B1671" s="22"/>
      <c r="C1671" s="47"/>
      <c r="D1671" s="25"/>
      <c r="E1671" s="25"/>
      <c r="F1671" s="25"/>
      <c r="G1671" s="25"/>
      <c r="H1671" s="25"/>
      <c r="I1671" s="25"/>
      <c r="J1671" s="25"/>
      <c r="K1671" s="25"/>
      <c r="L1671" s="25"/>
      <c r="M1671" s="25"/>
      <c r="N1671" s="25"/>
      <c r="O1671" s="25"/>
      <c r="P1671" s="25"/>
      <c r="Q1671" s="25"/>
      <c r="R1671" s="25"/>
    </row>
    <row r="1672" spans="2:18" ht="39.75">
      <c r="B1672" s="27"/>
      <c r="C1672" s="14"/>
      <c r="D1672" s="29"/>
      <c r="E1672" s="29"/>
      <c r="F1672" s="29"/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</row>
    <row r="1673" spans="2:18" ht="58.5">
      <c r="B1673" s="31">
        <f>B1669+1</f>
        <v>418</v>
      </c>
      <c r="C1673" s="14"/>
      <c r="D1673" s="32"/>
      <c r="E1673" s="32"/>
      <c r="F1673" s="32"/>
      <c r="G1673" s="32"/>
      <c r="H1673" s="32"/>
      <c r="I1673" s="32"/>
      <c r="J1673" s="32"/>
      <c r="K1673" s="32"/>
      <c r="L1673" s="32"/>
      <c r="M1673" s="32"/>
      <c r="N1673" s="32"/>
      <c r="O1673" s="32"/>
      <c r="P1673" s="32"/>
      <c r="Q1673" s="32"/>
      <c r="R1673" s="32"/>
    </row>
    <row r="1674" spans="2:18">
      <c r="B1674" s="35"/>
      <c r="C1674" s="14"/>
      <c r="D1674" s="37"/>
      <c r="E1674" s="37"/>
      <c r="F1674" s="37"/>
      <c r="G1674" s="37"/>
      <c r="H1674" s="37"/>
      <c r="I1674" s="37"/>
      <c r="J1674" s="37"/>
      <c r="K1674" s="37"/>
      <c r="L1674" s="37"/>
      <c r="M1674" s="37"/>
      <c r="N1674" s="37"/>
      <c r="O1674" s="37"/>
      <c r="P1674" s="37"/>
      <c r="Q1674" s="37"/>
      <c r="R1674" s="37"/>
    </row>
    <row r="1675" spans="2:18">
      <c r="B1675" s="22"/>
      <c r="C1675" s="47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</row>
    <row r="1676" spans="2:18" ht="39.75">
      <c r="B1676" s="27"/>
      <c r="C1676" s="14"/>
      <c r="D1676" s="29"/>
      <c r="E1676" s="29"/>
      <c r="F1676" s="29"/>
      <c r="G1676" s="29"/>
      <c r="H1676" s="29"/>
      <c r="I1676" s="29"/>
      <c r="J1676" s="29"/>
      <c r="K1676" s="29"/>
      <c r="L1676" s="29"/>
      <c r="M1676" s="29"/>
      <c r="N1676" s="29"/>
      <c r="O1676" s="29"/>
      <c r="P1676" s="29"/>
      <c r="Q1676" s="29"/>
      <c r="R1676" s="29"/>
    </row>
    <row r="1677" spans="2:18" ht="58.5">
      <c r="B1677" s="31">
        <f>B1673+1</f>
        <v>419</v>
      </c>
      <c r="C1677" s="14"/>
      <c r="D1677" s="32"/>
      <c r="E1677" s="32"/>
      <c r="F1677" s="32"/>
      <c r="G1677" s="32"/>
      <c r="H1677" s="32"/>
      <c r="I1677" s="32"/>
      <c r="J1677" s="32"/>
      <c r="K1677" s="32"/>
      <c r="L1677" s="32"/>
      <c r="M1677" s="32"/>
      <c r="N1677" s="32"/>
      <c r="O1677" s="32"/>
      <c r="P1677" s="32"/>
      <c r="Q1677" s="32"/>
      <c r="R1677" s="32"/>
    </row>
    <row r="1678" spans="2:18">
      <c r="B1678" s="35"/>
      <c r="C1678" s="14"/>
      <c r="D1678" s="37"/>
      <c r="E1678" s="37"/>
      <c r="F1678" s="37"/>
      <c r="G1678" s="37"/>
      <c r="H1678" s="37"/>
      <c r="I1678" s="37"/>
      <c r="J1678" s="37"/>
      <c r="K1678" s="37"/>
      <c r="L1678" s="37"/>
      <c r="M1678" s="37"/>
      <c r="N1678" s="37"/>
      <c r="O1678" s="37"/>
      <c r="P1678" s="37"/>
      <c r="Q1678" s="37"/>
      <c r="R1678" s="37"/>
    </row>
    <row r="1679" spans="2:18">
      <c r="B1679" s="22"/>
      <c r="C1679" s="47"/>
      <c r="D1679" s="25"/>
      <c r="E1679" s="25"/>
      <c r="F1679" s="25"/>
      <c r="G1679" s="25"/>
      <c r="H1679" s="25"/>
      <c r="I1679" s="25"/>
      <c r="J1679" s="25"/>
      <c r="K1679" s="25"/>
      <c r="L1679" s="25"/>
      <c r="M1679" s="25"/>
      <c r="N1679" s="25"/>
      <c r="O1679" s="25"/>
      <c r="P1679" s="25"/>
      <c r="Q1679" s="25"/>
      <c r="R1679" s="25"/>
    </row>
    <row r="1680" spans="2:18" ht="39.75">
      <c r="B1680" s="27"/>
      <c r="C1680" s="14"/>
      <c r="D1680" s="29"/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</row>
    <row r="1681" spans="2:18" ht="58.5">
      <c r="B1681" s="31">
        <f>B1677+1</f>
        <v>420</v>
      </c>
      <c r="C1681" s="14"/>
      <c r="D1681" s="32"/>
      <c r="E1681" s="32"/>
      <c r="F1681" s="32"/>
      <c r="G1681" s="32"/>
      <c r="H1681" s="32"/>
      <c r="I1681" s="32"/>
      <c r="J1681" s="32"/>
      <c r="K1681" s="32"/>
      <c r="L1681" s="32"/>
      <c r="M1681" s="32"/>
      <c r="N1681" s="32"/>
      <c r="O1681" s="32"/>
      <c r="P1681" s="32"/>
      <c r="Q1681" s="32"/>
      <c r="R1681" s="32"/>
    </row>
    <row r="1682" spans="2:18">
      <c r="B1682" s="35"/>
      <c r="C1682" s="14"/>
      <c r="D1682" s="37"/>
      <c r="E1682" s="37"/>
      <c r="F1682" s="37"/>
      <c r="G1682" s="37"/>
      <c r="H1682" s="37"/>
      <c r="I1682" s="37"/>
      <c r="J1682" s="37"/>
      <c r="K1682" s="37"/>
      <c r="L1682" s="37"/>
      <c r="M1682" s="37"/>
      <c r="N1682" s="37"/>
      <c r="O1682" s="37"/>
      <c r="P1682" s="37"/>
      <c r="Q1682" s="37"/>
      <c r="R1682" s="37"/>
    </row>
    <row r="1683" spans="2:18">
      <c r="B1683" s="22"/>
      <c r="C1683" s="47"/>
      <c r="D1683" s="25"/>
      <c r="E1683" s="25"/>
      <c r="F1683" s="25"/>
      <c r="G1683" s="25"/>
      <c r="H1683" s="25"/>
      <c r="I1683" s="25"/>
      <c r="J1683" s="25"/>
      <c r="K1683" s="25"/>
      <c r="L1683" s="25"/>
      <c r="M1683" s="25"/>
      <c r="N1683" s="25"/>
      <c r="O1683" s="25"/>
      <c r="P1683" s="25"/>
      <c r="Q1683" s="25"/>
      <c r="R1683" s="25"/>
    </row>
    <row r="1684" spans="2:18" ht="39.75">
      <c r="B1684" s="27"/>
      <c r="C1684" s="14"/>
      <c r="D1684" s="29"/>
      <c r="E1684" s="29"/>
      <c r="F1684" s="29"/>
      <c r="G1684" s="29"/>
      <c r="H1684" s="29"/>
      <c r="I1684" s="29"/>
      <c r="J1684" s="29"/>
      <c r="K1684" s="29"/>
      <c r="L1684" s="29"/>
      <c r="M1684" s="29"/>
      <c r="N1684" s="29"/>
      <c r="O1684" s="29"/>
      <c r="P1684" s="29"/>
      <c r="Q1684" s="29"/>
      <c r="R1684" s="29"/>
    </row>
    <row r="1685" spans="2:18" ht="58.5">
      <c r="B1685" s="31">
        <f>B1681+1</f>
        <v>421</v>
      </c>
      <c r="C1685" s="14"/>
      <c r="D1685" s="32"/>
      <c r="E1685" s="32"/>
      <c r="F1685" s="32"/>
      <c r="G1685" s="32"/>
      <c r="H1685" s="32"/>
      <c r="I1685" s="32"/>
      <c r="J1685" s="32"/>
      <c r="K1685" s="32"/>
      <c r="L1685" s="32"/>
      <c r="M1685" s="32"/>
      <c r="N1685" s="32"/>
      <c r="O1685" s="32"/>
      <c r="P1685" s="32"/>
      <c r="Q1685" s="32"/>
      <c r="R1685" s="32"/>
    </row>
    <row r="1686" spans="2:18">
      <c r="B1686" s="35"/>
      <c r="C1686" s="14"/>
      <c r="D1686" s="37"/>
      <c r="E1686" s="37"/>
      <c r="F1686" s="37"/>
      <c r="G1686" s="37"/>
      <c r="H1686" s="37"/>
      <c r="I1686" s="37"/>
      <c r="J1686" s="37"/>
      <c r="K1686" s="37"/>
      <c r="L1686" s="37"/>
      <c r="M1686" s="37"/>
      <c r="N1686" s="37"/>
      <c r="O1686" s="37"/>
      <c r="P1686" s="37"/>
      <c r="Q1686" s="37"/>
      <c r="R1686" s="37"/>
    </row>
    <row r="1687" spans="2:18">
      <c r="B1687" s="22"/>
      <c r="C1687" s="47"/>
      <c r="D1687" s="25"/>
      <c r="E1687" s="25"/>
      <c r="F1687" s="25"/>
      <c r="G1687" s="25"/>
      <c r="H1687" s="25"/>
      <c r="I1687" s="25"/>
      <c r="J1687" s="25"/>
      <c r="K1687" s="25"/>
      <c r="L1687" s="25"/>
      <c r="M1687" s="25"/>
      <c r="N1687" s="25"/>
      <c r="O1687" s="25"/>
      <c r="P1687" s="25"/>
      <c r="Q1687" s="25"/>
      <c r="R1687" s="25"/>
    </row>
    <row r="1688" spans="2:18" ht="39.75">
      <c r="B1688" s="27"/>
      <c r="C1688" s="14"/>
      <c r="D1688" s="29"/>
      <c r="E1688" s="29"/>
      <c r="F1688" s="29"/>
      <c r="G1688" s="29"/>
      <c r="H1688" s="29"/>
      <c r="I1688" s="29"/>
      <c r="J1688" s="29"/>
      <c r="K1688" s="29"/>
      <c r="L1688" s="29"/>
      <c r="M1688" s="29"/>
      <c r="N1688" s="29"/>
      <c r="O1688" s="29"/>
      <c r="P1688" s="29"/>
      <c r="Q1688" s="29"/>
      <c r="R1688" s="29"/>
    </row>
    <row r="1689" spans="2:18" ht="58.5">
      <c r="B1689" s="31">
        <f>B1685+1</f>
        <v>422</v>
      </c>
      <c r="C1689" s="14"/>
      <c r="D1689" s="32"/>
      <c r="E1689" s="32"/>
      <c r="F1689" s="32"/>
      <c r="G1689" s="32"/>
      <c r="H1689" s="32"/>
      <c r="I1689" s="32"/>
      <c r="J1689" s="32"/>
      <c r="K1689" s="32"/>
      <c r="L1689" s="32"/>
      <c r="M1689" s="32"/>
      <c r="N1689" s="32"/>
      <c r="O1689" s="32"/>
      <c r="P1689" s="32"/>
      <c r="Q1689" s="32"/>
      <c r="R1689" s="32"/>
    </row>
    <row r="1690" spans="2:18">
      <c r="B1690" s="35"/>
      <c r="C1690" s="14"/>
      <c r="D1690" s="37"/>
      <c r="E1690" s="37"/>
      <c r="F1690" s="37"/>
      <c r="G1690" s="37"/>
      <c r="H1690" s="37"/>
      <c r="I1690" s="37"/>
      <c r="J1690" s="37"/>
      <c r="K1690" s="37"/>
      <c r="L1690" s="37"/>
      <c r="M1690" s="37"/>
      <c r="N1690" s="37"/>
      <c r="O1690" s="37"/>
      <c r="P1690" s="37"/>
      <c r="Q1690" s="37"/>
      <c r="R1690" s="37"/>
    </row>
    <row r="1691" spans="2:18">
      <c r="B1691" s="22"/>
      <c r="C1691" s="47"/>
      <c r="D1691" s="25"/>
      <c r="E1691" s="25"/>
      <c r="F1691" s="25"/>
      <c r="G1691" s="25"/>
      <c r="H1691" s="25"/>
      <c r="I1691" s="25"/>
      <c r="J1691" s="25"/>
      <c r="K1691" s="25"/>
      <c r="L1691" s="25"/>
      <c r="M1691" s="25"/>
      <c r="N1691" s="25"/>
      <c r="O1691" s="25"/>
      <c r="P1691" s="25"/>
      <c r="Q1691" s="25"/>
      <c r="R1691" s="25"/>
    </row>
    <row r="1692" spans="2:18" ht="39.75">
      <c r="B1692" s="27"/>
      <c r="C1692" s="14"/>
      <c r="D1692" s="29"/>
      <c r="E1692" s="29"/>
      <c r="F1692" s="29"/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</row>
    <row r="1693" spans="2:18" ht="58.5">
      <c r="B1693" s="31">
        <f>B1689+1</f>
        <v>423</v>
      </c>
      <c r="C1693" s="14"/>
      <c r="D1693" s="32"/>
      <c r="E1693" s="32"/>
      <c r="F1693" s="32"/>
      <c r="G1693" s="32"/>
      <c r="H1693" s="32"/>
      <c r="I1693" s="32"/>
      <c r="J1693" s="32"/>
      <c r="K1693" s="32"/>
      <c r="L1693" s="32"/>
      <c r="M1693" s="32"/>
      <c r="N1693" s="32"/>
      <c r="O1693" s="32"/>
      <c r="P1693" s="32"/>
      <c r="Q1693" s="32"/>
      <c r="R1693" s="32"/>
    </row>
    <row r="1694" spans="2:18">
      <c r="B1694" s="35"/>
      <c r="C1694" s="14"/>
      <c r="D1694" s="37"/>
      <c r="E1694" s="37"/>
      <c r="F1694" s="37"/>
      <c r="G1694" s="37"/>
      <c r="H1694" s="37"/>
      <c r="I1694" s="37"/>
      <c r="J1694" s="37"/>
      <c r="K1694" s="37"/>
      <c r="L1694" s="37"/>
      <c r="M1694" s="37"/>
      <c r="N1694" s="37"/>
      <c r="O1694" s="37"/>
      <c r="P1694" s="37"/>
      <c r="Q1694" s="37"/>
      <c r="R1694" s="37"/>
    </row>
    <row r="1695" spans="2:18">
      <c r="B1695" s="22"/>
      <c r="C1695" s="47"/>
      <c r="D1695" s="25"/>
      <c r="E1695" s="25"/>
      <c r="F1695" s="25"/>
      <c r="G1695" s="25"/>
      <c r="H1695" s="25"/>
      <c r="I1695" s="25"/>
      <c r="J1695" s="25"/>
      <c r="K1695" s="25"/>
      <c r="L1695" s="25"/>
      <c r="M1695" s="25"/>
      <c r="N1695" s="25"/>
      <c r="O1695" s="25"/>
      <c r="P1695" s="25"/>
      <c r="Q1695" s="25"/>
      <c r="R1695" s="25"/>
    </row>
    <row r="1696" spans="2:18" ht="39.75">
      <c r="B1696" s="27"/>
      <c r="C1696" s="14"/>
      <c r="D1696" s="29"/>
      <c r="E1696" s="29"/>
      <c r="F1696" s="29"/>
      <c r="G1696" s="29"/>
      <c r="H1696" s="29"/>
      <c r="I1696" s="29"/>
      <c r="J1696" s="29"/>
      <c r="K1696" s="29"/>
      <c r="L1696" s="29"/>
      <c r="M1696" s="29"/>
      <c r="N1696" s="29"/>
      <c r="O1696" s="29"/>
      <c r="P1696" s="29"/>
      <c r="Q1696" s="29"/>
      <c r="R1696" s="29"/>
    </row>
    <row r="1697" spans="2:18" ht="58.5">
      <c r="B1697" s="31">
        <f>B1693+1</f>
        <v>424</v>
      </c>
      <c r="C1697" s="14"/>
      <c r="D1697" s="32"/>
      <c r="E1697" s="32"/>
      <c r="F1697" s="32"/>
      <c r="G1697" s="32"/>
      <c r="H1697" s="32"/>
      <c r="I1697" s="32"/>
      <c r="J1697" s="32"/>
      <c r="K1697" s="32"/>
      <c r="L1697" s="32"/>
      <c r="M1697" s="32"/>
      <c r="N1697" s="32"/>
      <c r="O1697" s="32"/>
      <c r="P1697" s="32"/>
      <c r="Q1697" s="32"/>
      <c r="R1697" s="32"/>
    </row>
    <row r="1698" spans="2:18">
      <c r="B1698" s="35"/>
      <c r="C1698" s="14"/>
      <c r="D1698" s="37"/>
      <c r="E1698" s="37"/>
      <c r="F1698" s="37"/>
      <c r="G1698" s="37"/>
      <c r="H1698" s="37"/>
      <c r="I1698" s="37"/>
      <c r="J1698" s="37"/>
      <c r="K1698" s="37"/>
      <c r="L1698" s="37"/>
      <c r="M1698" s="37"/>
      <c r="N1698" s="37"/>
      <c r="O1698" s="37"/>
      <c r="P1698" s="37"/>
      <c r="Q1698" s="37"/>
      <c r="R1698" s="37"/>
    </row>
    <row r="1699" spans="2:18">
      <c r="B1699" s="22"/>
      <c r="C1699" s="47"/>
      <c r="D1699" s="25"/>
      <c r="E1699" s="25"/>
      <c r="F1699" s="25"/>
      <c r="G1699" s="25"/>
      <c r="H1699" s="25"/>
      <c r="I1699" s="25"/>
      <c r="J1699" s="25"/>
      <c r="K1699" s="25"/>
      <c r="L1699" s="25"/>
      <c r="M1699" s="25"/>
      <c r="N1699" s="25"/>
      <c r="O1699" s="25"/>
      <c r="P1699" s="25"/>
      <c r="Q1699" s="25"/>
      <c r="R1699" s="25"/>
    </row>
    <row r="1700" spans="2:18" ht="39.75">
      <c r="B1700" s="27"/>
      <c r="C1700" s="14"/>
      <c r="D1700" s="29"/>
      <c r="E1700" s="29"/>
      <c r="F1700" s="29"/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29"/>
    </row>
    <row r="1701" spans="2:18" ht="58.5">
      <c r="B1701" s="31">
        <f>B1697+1</f>
        <v>425</v>
      </c>
      <c r="C1701" s="14"/>
      <c r="D1701" s="32"/>
      <c r="E1701" s="32"/>
      <c r="F1701" s="32"/>
      <c r="G1701" s="32"/>
      <c r="H1701" s="32"/>
      <c r="I1701" s="32"/>
      <c r="J1701" s="32"/>
      <c r="K1701" s="32"/>
      <c r="L1701" s="32"/>
      <c r="M1701" s="32"/>
      <c r="N1701" s="32"/>
      <c r="O1701" s="32"/>
      <c r="P1701" s="32"/>
      <c r="Q1701" s="32"/>
      <c r="R1701" s="32"/>
    </row>
    <row r="1702" spans="2:18">
      <c r="B1702" s="35"/>
      <c r="C1702" s="14"/>
      <c r="D1702" s="37"/>
      <c r="E1702" s="37"/>
      <c r="F1702" s="37"/>
      <c r="G1702" s="37"/>
      <c r="H1702" s="37"/>
      <c r="I1702" s="37"/>
      <c r="J1702" s="37"/>
      <c r="K1702" s="37"/>
      <c r="L1702" s="37"/>
      <c r="M1702" s="37"/>
      <c r="N1702" s="37"/>
      <c r="O1702" s="37"/>
      <c r="P1702" s="37"/>
      <c r="Q1702" s="37"/>
      <c r="R1702" s="37"/>
    </row>
    <row r="1703" spans="2:18">
      <c r="B1703" s="22"/>
      <c r="C1703" s="47"/>
      <c r="D1703" s="25"/>
      <c r="E1703" s="25"/>
      <c r="F1703" s="25"/>
      <c r="G1703" s="25"/>
      <c r="H1703" s="25"/>
      <c r="I1703" s="25"/>
      <c r="J1703" s="25"/>
      <c r="K1703" s="25"/>
      <c r="L1703" s="25"/>
      <c r="M1703" s="25"/>
      <c r="N1703" s="25"/>
      <c r="O1703" s="25"/>
      <c r="P1703" s="25"/>
      <c r="Q1703" s="25"/>
      <c r="R1703" s="25"/>
    </row>
    <row r="1704" spans="2:18" ht="39.75">
      <c r="B1704" s="27"/>
      <c r="C1704" s="14"/>
      <c r="D1704" s="29"/>
      <c r="E1704" s="29"/>
      <c r="F1704" s="29"/>
      <c r="G1704" s="29"/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</row>
    <row r="1705" spans="2:18" ht="58.5">
      <c r="B1705" s="31">
        <f>B1701+1</f>
        <v>426</v>
      </c>
      <c r="C1705" s="14"/>
      <c r="D1705" s="32"/>
      <c r="E1705" s="32"/>
      <c r="F1705" s="32"/>
      <c r="G1705" s="32"/>
      <c r="H1705" s="32"/>
      <c r="I1705" s="32"/>
      <c r="J1705" s="32"/>
      <c r="K1705" s="32"/>
      <c r="L1705" s="32"/>
      <c r="M1705" s="32"/>
      <c r="N1705" s="32"/>
      <c r="O1705" s="32"/>
      <c r="P1705" s="32"/>
      <c r="Q1705" s="32"/>
      <c r="R1705" s="32"/>
    </row>
    <row r="1706" spans="2:18">
      <c r="B1706" s="35"/>
      <c r="C1706" s="14"/>
      <c r="D1706" s="37"/>
      <c r="E1706" s="37"/>
      <c r="F1706" s="37"/>
      <c r="G1706" s="37"/>
      <c r="H1706" s="37"/>
      <c r="I1706" s="37"/>
      <c r="J1706" s="37"/>
      <c r="K1706" s="37"/>
      <c r="L1706" s="37"/>
      <c r="M1706" s="37"/>
      <c r="N1706" s="37"/>
      <c r="O1706" s="37"/>
      <c r="P1706" s="37"/>
      <c r="Q1706" s="37"/>
      <c r="R1706" s="37"/>
    </row>
    <row r="1707" spans="2:18">
      <c r="B1707" s="22"/>
      <c r="C1707" s="47"/>
      <c r="D1707" s="25"/>
      <c r="E1707" s="25"/>
      <c r="F1707" s="25"/>
      <c r="G1707" s="25"/>
      <c r="H1707" s="25"/>
      <c r="I1707" s="25"/>
      <c r="J1707" s="25"/>
      <c r="K1707" s="25"/>
      <c r="L1707" s="25"/>
      <c r="M1707" s="25"/>
      <c r="N1707" s="25"/>
      <c r="O1707" s="25"/>
      <c r="P1707" s="25"/>
      <c r="Q1707" s="25"/>
      <c r="R1707" s="25"/>
    </row>
    <row r="1708" spans="2:18" ht="39.75">
      <c r="B1708" s="27"/>
      <c r="C1708" s="14"/>
      <c r="D1708" s="29"/>
      <c r="E1708" s="29"/>
      <c r="F1708" s="29"/>
      <c r="G1708" s="29"/>
      <c r="H1708" s="29"/>
      <c r="I1708" s="29"/>
      <c r="J1708" s="29"/>
      <c r="K1708" s="29"/>
      <c r="L1708" s="29"/>
      <c r="M1708" s="29"/>
      <c r="N1708" s="29"/>
      <c r="O1708" s="29"/>
      <c r="P1708" s="29"/>
      <c r="Q1708" s="29"/>
      <c r="R1708" s="29"/>
    </row>
    <row r="1709" spans="2:18" ht="58.5">
      <c r="B1709" s="31">
        <f>B1705+1</f>
        <v>427</v>
      </c>
      <c r="C1709" s="14"/>
      <c r="D1709" s="32"/>
      <c r="E1709" s="32"/>
      <c r="F1709" s="32"/>
      <c r="G1709" s="32"/>
      <c r="H1709" s="32"/>
      <c r="I1709" s="32"/>
      <c r="J1709" s="32"/>
      <c r="K1709" s="32"/>
      <c r="L1709" s="32"/>
      <c r="M1709" s="32"/>
      <c r="N1709" s="32"/>
      <c r="O1709" s="32"/>
      <c r="P1709" s="32"/>
      <c r="Q1709" s="32"/>
      <c r="R1709" s="32"/>
    </row>
    <row r="1710" spans="2:18">
      <c r="B1710" s="35"/>
      <c r="C1710" s="14"/>
      <c r="D1710" s="37"/>
      <c r="E1710" s="37"/>
      <c r="F1710" s="37"/>
      <c r="G1710" s="37"/>
      <c r="H1710" s="37"/>
      <c r="I1710" s="37"/>
      <c r="J1710" s="37"/>
      <c r="K1710" s="37"/>
      <c r="L1710" s="37"/>
      <c r="M1710" s="37"/>
      <c r="N1710" s="37"/>
      <c r="O1710" s="37"/>
      <c r="P1710" s="37"/>
      <c r="Q1710" s="37"/>
      <c r="R1710" s="37"/>
    </row>
    <row r="1711" spans="2:18">
      <c r="B1711" s="22"/>
      <c r="C1711" s="47"/>
      <c r="D1711" s="25"/>
      <c r="E1711" s="25"/>
      <c r="F1711" s="25"/>
      <c r="G1711" s="25"/>
      <c r="H1711" s="25"/>
      <c r="I1711" s="25"/>
      <c r="J1711" s="25"/>
      <c r="K1711" s="25"/>
      <c r="L1711" s="25"/>
      <c r="M1711" s="25"/>
      <c r="N1711" s="25"/>
      <c r="O1711" s="25"/>
      <c r="P1711" s="25"/>
      <c r="Q1711" s="25"/>
      <c r="R1711" s="25"/>
    </row>
    <row r="1712" spans="2:18" ht="39.75">
      <c r="B1712" s="27"/>
      <c r="C1712" s="14"/>
      <c r="D1712" s="29"/>
      <c r="E1712" s="29"/>
      <c r="F1712" s="29"/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29"/>
    </row>
    <row r="1713" spans="2:18" ht="58.5">
      <c r="B1713" s="31">
        <f t="shared" ref="B1713" si="188">B1709+1</f>
        <v>428</v>
      </c>
      <c r="C1713" s="14"/>
      <c r="D1713" s="32"/>
      <c r="E1713" s="32"/>
      <c r="F1713" s="32"/>
      <c r="G1713" s="32"/>
      <c r="H1713" s="32"/>
      <c r="I1713" s="32"/>
      <c r="J1713" s="32"/>
      <c r="K1713" s="32"/>
      <c r="L1713" s="32"/>
      <c r="M1713" s="32"/>
      <c r="N1713" s="32"/>
      <c r="O1713" s="32"/>
      <c r="P1713" s="32"/>
      <c r="Q1713" s="32"/>
      <c r="R1713" s="32"/>
    </row>
    <row r="1714" spans="2:18">
      <c r="B1714" s="35"/>
      <c r="C1714" s="14"/>
      <c r="D1714" s="37"/>
      <c r="E1714" s="37"/>
      <c r="F1714" s="37"/>
      <c r="G1714" s="37"/>
      <c r="H1714" s="37"/>
      <c r="I1714" s="37"/>
      <c r="J1714" s="37"/>
      <c r="K1714" s="37"/>
      <c r="L1714" s="37"/>
      <c r="M1714" s="37"/>
      <c r="N1714" s="37"/>
      <c r="O1714" s="37"/>
      <c r="P1714" s="37"/>
      <c r="Q1714" s="37"/>
      <c r="R1714" s="37"/>
    </row>
    <row r="1715" spans="2:18">
      <c r="B1715" s="22"/>
      <c r="C1715" s="47"/>
      <c r="D1715" s="25"/>
      <c r="E1715" s="25"/>
      <c r="F1715" s="25"/>
      <c r="G1715" s="25"/>
      <c r="H1715" s="25"/>
      <c r="I1715" s="25"/>
      <c r="J1715" s="25"/>
      <c r="K1715" s="25"/>
      <c r="L1715" s="25"/>
      <c r="M1715" s="25"/>
      <c r="N1715" s="25"/>
      <c r="O1715" s="25"/>
      <c r="P1715" s="25"/>
      <c r="Q1715" s="25"/>
      <c r="R1715" s="25"/>
    </row>
    <row r="1716" spans="2:18" ht="39.75">
      <c r="B1716" s="27"/>
      <c r="C1716" s="14"/>
      <c r="D1716" s="29"/>
      <c r="E1716" s="29"/>
      <c r="F1716" s="29"/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29"/>
    </row>
    <row r="1717" spans="2:18" ht="58.5">
      <c r="B1717" s="31">
        <f t="shared" ref="B1717" si="189">B1713+1</f>
        <v>429</v>
      </c>
      <c r="C1717" s="14"/>
      <c r="D1717" s="32"/>
      <c r="E1717" s="32"/>
      <c r="F1717" s="32"/>
      <c r="G1717" s="32"/>
      <c r="H1717" s="32"/>
      <c r="I1717" s="32"/>
      <c r="J1717" s="32"/>
      <c r="K1717" s="32"/>
      <c r="L1717" s="32"/>
      <c r="M1717" s="32"/>
      <c r="N1717" s="32"/>
      <c r="O1717" s="32"/>
      <c r="P1717" s="32"/>
      <c r="Q1717" s="32"/>
      <c r="R1717" s="32"/>
    </row>
    <row r="1718" spans="2:18">
      <c r="B1718" s="35"/>
      <c r="C1718" s="14"/>
      <c r="D1718" s="37"/>
      <c r="E1718" s="37"/>
      <c r="F1718" s="37"/>
      <c r="G1718" s="37"/>
      <c r="H1718" s="37"/>
      <c r="I1718" s="37"/>
      <c r="J1718" s="37"/>
      <c r="K1718" s="37"/>
      <c r="L1718" s="37"/>
      <c r="M1718" s="37"/>
      <c r="N1718" s="37"/>
      <c r="O1718" s="37"/>
      <c r="P1718" s="37"/>
      <c r="Q1718" s="37"/>
      <c r="R1718" s="37"/>
    </row>
    <row r="1719" spans="2:18">
      <c r="B1719" s="22"/>
      <c r="C1719" s="47"/>
      <c r="D1719" s="25"/>
      <c r="E1719" s="25"/>
      <c r="F1719" s="25"/>
      <c r="G1719" s="25"/>
      <c r="H1719" s="25"/>
      <c r="I1719" s="25"/>
      <c r="J1719" s="25"/>
      <c r="K1719" s="25"/>
      <c r="L1719" s="25"/>
      <c r="M1719" s="25"/>
      <c r="N1719" s="25"/>
      <c r="O1719" s="25"/>
      <c r="P1719" s="25"/>
      <c r="Q1719" s="25"/>
      <c r="R1719" s="25"/>
    </row>
    <row r="1720" spans="2:18" ht="39.75">
      <c r="B1720" s="27"/>
      <c r="C1720" s="14"/>
      <c r="D1720" s="29"/>
      <c r="E1720" s="29"/>
      <c r="F1720" s="29"/>
      <c r="G1720" s="29"/>
      <c r="H1720" s="29"/>
      <c r="I1720" s="29"/>
      <c r="J1720" s="29"/>
      <c r="K1720" s="29"/>
      <c r="L1720" s="29"/>
      <c r="M1720" s="29"/>
      <c r="N1720" s="29"/>
      <c r="O1720" s="29"/>
      <c r="P1720" s="29"/>
      <c r="Q1720" s="29"/>
      <c r="R1720" s="29"/>
    </row>
    <row r="1721" spans="2:18" ht="58.5">
      <c r="B1721" s="31">
        <f t="shared" ref="B1721" si="190">B1717+1</f>
        <v>430</v>
      </c>
      <c r="C1721" s="14"/>
      <c r="D1721" s="32"/>
      <c r="E1721" s="32"/>
      <c r="F1721" s="32"/>
      <c r="G1721" s="32"/>
      <c r="H1721" s="32"/>
      <c r="I1721" s="32"/>
      <c r="J1721" s="32"/>
      <c r="K1721" s="32"/>
      <c r="L1721" s="32"/>
      <c r="M1721" s="32"/>
      <c r="N1721" s="32"/>
      <c r="O1721" s="32"/>
      <c r="P1721" s="32"/>
      <c r="Q1721" s="32"/>
      <c r="R1721" s="32"/>
    </row>
    <row r="1722" spans="2:18">
      <c r="B1722" s="35"/>
      <c r="C1722" s="14"/>
      <c r="D1722" s="37"/>
      <c r="E1722" s="37"/>
      <c r="F1722" s="37"/>
      <c r="G1722" s="37"/>
      <c r="H1722" s="37"/>
      <c r="I1722" s="37"/>
      <c r="J1722" s="37"/>
      <c r="K1722" s="37"/>
      <c r="L1722" s="37"/>
      <c r="M1722" s="37"/>
      <c r="N1722" s="37"/>
      <c r="O1722" s="37"/>
      <c r="P1722" s="37"/>
      <c r="Q1722" s="37"/>
      <c r="R1722" s="37"/>
    </row>
    <row r="1723" spans="2:18">
      <c r="B1723" s="22"/>
      <c r="C1723" s="47"/>
      <c r="D1723" s="25"/>
      <c r="E1723" s="25"/>
      <c r="F1723" s="25"/>
      <c r="G1723" s="25"/>
      <c r="H1723" s="25"/>
      <c r="I1723" s="25"/>
      <c r="J1723" s="25"/>
      <c r="K1723" s="25"/>
      <c r="L1723" s="25"/>
      <c r="M1723" s="25"/>
      <c r="N1723" s="25"/>
      <c r="O1723" s="25"/>
      <c r="P1723" s="25"/>
      <c r="Q1723" s="25"/>
      <c r="R1723" s="25"/>
    </row>
    <row r="1724" spans="2:18" ht="39.75">
      <c r="B1724" s="27"/>
      <c r="C1724" s="14"/>
      <c r="D1724" s="29"/>
      <c r="E1724" s="29"/>
      <c r="F1724" s="29"/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</row>
    <row r="1725" spans="2:18" ht="58.5">
      <c r="B1725" s="31">
        <f t="shared" ref="B1725" si="191">B1721+1</f>
        <v>431</v>
      </c>
      <c r="C1725" s="14"/>
      <c r="D1725" s="32"/>
      <c r="E1725" s="32"/>
      <c r="F1725" s="32"/>
      <c r="G1725" s="32"/>
      <c r="H1725" s="32"/>
      <c r="I1725" s="32"/>
      <c r="J1725" s="32"/>
      <c r="K1725" s="32"/>
      <c r="L1725" s="32"/>
      <c r="M1725" s="32"/>
      <c r="N1725" s="32"/>
      <c r="O1725" s="32"/>
      <c r="P1725" s="32"/>
      <c r="Q1725" s="32"/>
      <c r="R1725" s="32"/>
    </row>
    <row r="1726" spans="2:18">
      <c r="B1726" s="35"/>
      <c r="C1726" s="14"/>
      <c r="D1726" s="37"/>
      <c r="E1726" s="37"/>
      <c r="F1726" s="37"/>
      <c r="G1726" s="37"/>
      <c r="H1726" s="37"/>
      <c r="I1726" s="37"/>
      <c r="J1726" s="37"/>
      <c r="K1726" s="37"/>
      <c r="L1726" s="37"/>
      <c r="M1726" s="37"/>
      <c r="N1726" s="37"/>
      <c r="O1726" s="37"/>
      <c r="P1726" s="37"/>
      <c r="Q1726" s="37"/>
      <c r="R1726" s="37"/>
    </row>
    <row r="1727" spans="2:18">
      <c r="B1727" s="22"/>
      <c r="C1727" s="47"/>
      <c r="D1727" s="25"/>
      <c r="E1727" s="25"/>
      <c r="F1727" s="25"/>
      <c r="G1727" s="25"/>
      <c r="H1727" s="25"/>
      <c r="I1727" s="25"/>
      <c r="J1727" s="25"/>
      <c r="K1727" s="25"/>
      <c r="L1727" s="25"/>
      <c r="M1727" s="25"/>
      <c r="N1727" s="25"/>
      <c r="O1727" s="25"/>
      <c r="P1727" s="25"/>
      <c r="Q1727" s="25"/>
      <c r="R1727" s="25"/>
    </row>
    <row r="1728" spans="2:18" ht="39.75">
      <c r="B1728" s="27"/>
      <c r="C1728" s="14"/>
      <c r="D1728" s="29"/>
      <c r="E1728" s="29"/>
      <c r="F1728" s="29"/>
      <c r="G1728" s="29"/>
      <c r="H1728" s="29"/>
      <c r="I1728" s="29"/>
      <c r="J1728" s="29"/>
      <c r="K1728" s="29"/>
      <c r="L1728" s="29"/>
      <c r="M1728" s="29"/>
      <c r="N1728" s="29"/>
      <c r="O1728" s="29"/>
      <c r="P1728" s="29"/>
      <c r="Q1728" s="29"/>
      <c r="R1728" s="29"/>
    </row>
    <row r="1729" spans="2:18" ht="58.5">
      <c r="B1729" s="31">
        <f t="shared" ref="B1729" si="192">B1725+1</f>
        <v>432</v>
      </c>
      <c r="C1729" s="14"/>
      <c r="D1729" s="32"/>
      <c r="E1729" s="32"/>
      <c r="F1729" s="32"/>
      <c r="G1729" s="32"/>
      <c r="H1729" s="32"/>
      <c r="I1729" s="32"/>
      <c r="J1729" s="32"/>
      <c r="K1729" s="32"/>
      <c r="L1729" s="32"/>
      <c r="M1729" s="32"/>
      <c r="N1729" s="32"/>
      <c r="O1729" s="32"/>
      <c r="P1729" s="32"/>
      <c r="Q1729" s="32"/>
      <c r="R1729" s="32"/>
    </row>
    <row r="1730" spans="2:18">
      <c r="B1730" s="35"/>
      <c r="C1730" s="14"/>
      <c r="D1730" s="37"/>
      <c r="E1730" s="37"/>
      <c r="F1730" s="37"/>
      <c r="G1730" s="37"/>
      <c r="H1730" s="37"/>
      <c r="I1730" s="37"/>
      <c r="J1730" s="37"/>
      <c r="K1730" s="37"/>
      <c r="L1730" s="37"/>
      <c r="M1730" s="37"/>
      <c r="N1730" s="37"/>
      <c r="O1730" s="37"/>
      <c r="P1730" s="37"/>
      <c r="Q1730" s="37"/>
      <c r="R1730" s="37"/>
    </row>
    <row r="1731" spans="2:18">
      <c r="B1731" s="22"/>
      <c r="C1731" s="47"/>
      <c r="D1731" s="25"/>
      <c r="E1731" s="25"/>
      <c r="F1731" s="25"/>
      <c r="G1731" s="25"/>
      <c r="H1731" s="25"/>
      <c r="I1731" s="25"/>
      <c r="J1731" s="25"/>
      <c r="K1731" s="25"/>
      <c r="L1731" s="25"/>
      <c r="M1731" s="25"/>
      <c r="N1731" s="25"/>
      <c r="O1731" s="25"/>
      <c r="P1731" s="25"/>
      <c r="Q1731" s="25"/>
      <c r="R1731" s="25"/>
    </row>
    <row r="1732" spans="2:18" ht="39.75">
      <c r="B1732" s="27"/>
      <c r="C1732" s="14"/>
      <c r="D1732" s="29"/>
      <c r="E1732" s="29"/>
      <c r="F1732" s="29"/>
      <c r="G1732" s="29"/>
      <c r="H1732" s="29"/>
      <c r="I1732" s="29"/>
      <c r="J1732" s="29"/>
      <c r="K1732" s="29"/>
      <c r="L1732" s="29"/>
      <c r="M1732" s="29"/>
      <c r="N1732" s="29"/>
      <c r="O1732" s="29"/>
      <c r="P1732" s="29"/>
      <c r="Q1732" s="29"/>
      <c r="R1732" s="29"/>
    </row>
    <row r="1733" spans="2:18" ht="58.5">
      <c r="B1733" s="31">
        <f t="shared" ref="B1733" si="193">B1729+1</f>
        <v>433</v>
      </c>
      <c r="C1733" s="14"/>
      <c r="D1733" s="32"/>
      <c r="E1733" s="32"/>
      <c r="F1733" s="32"/>
      <c r="G1733" s="32"/>
      <c r="H1733" s="32"/>
      <c r="I1733" s="32"/>
      <c r="J1733" s="32"/>
      <c r="K1733" s="32"/>
      <c r="L1733" s="32"/>
      <c r="M1733" s="32"/>
      <c r="N1733" s="32"/>
      <c r="O1733" s="32"/>
      <c r="P1733" s="32"/>
      <c r="Q1733" s="32"/>
      <c r="R1733" s="32"/>
    </row>
    <row r="1734" spans="2:18">
      <c r="B1734" s="35"/>
      <c r="C1734" s="14"/>
      <c r="D1734" s="37"/>
      <c r="E1734" s="37"/>
      <c r="F1734" s="37"/>
      <c r="G1734" s="37"/>
      <c r="H1734" s="37"/>
      <c r="I1734" s="37"/>
      <c r="J1734" s="37"/>
      <c r="K1734" s="37"/>
      <c r="L1734" s="37"/>
      <c r="M1734" s="37"/>
      <c r="N1734" s="37"/>
      <c r="O1734" s="37"/>
      <c r="P1734" s="37"/>
      <c r="Q1734" s="37"/>
      <c r="R1734" s="37"/>
    </row>
    <row r="1735" spans="2:18">
      <c r="B1735" s="22"/>
      <c r="C1735" s="47"/>
      <c r="D1735" s="25"/>
      <c r="E1735" s="25"/>
      <c r="F1735" s="25"/>
      <c r="G1735" s="25"/>
      <c r="H1735" s="25"/>
      <c r="I1735" s="25"/>
      <c r="J1735" s="25"/>
      <c r="K1735" s="25"/>
      <c r="L1735" s="25"/>
      <c r="M1735" s="25"/>
      <c r="N1735" s="25"/>
      <c r="O1735" s="25"/>
      <c r="P1735" s="25"/>
      <c r="Q1735" s="25"/>
      <c r="R1735" s="25"/>
    </row>
    <row r="1736" spans="2:18" ht="39.75">
      <c r="B1736" s="27"/>
      <c r="C1736" s="14"/>
      <c r="D1736" s="29"/>
      <c r="E1736" s="29"/>
      <c r="F1736" s="29"/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29"/>
    </row>
    <row r="1737" spans="2:18" ht="58.5">
      <c r="B1737" s="31">
        <f t="shared" ref="B1737" si="194">B1733+1</f>
        <v>434</v>
      </c>
      <c r="C1737" s="14"/>
      <c r="D1737" s="32"/>
      <c r="E1737" s="32"/>
      <c r="F1737" s="32"/>
      <c r="G1737" s="32"/>
      <c r="H1737" s="32"/>
      <c r="I1737" s="32"/>
      <c r="J1737" s="32"/>
      <c r="K1737" s="32"/>
      <c r="L1737" s="32"/>
      <c r="M1737" s="32"/>
      <c r="N1737" s="32"/>
      <c r="O1737" s="32"/>
      <c r="P1737" s="32"/>
      <c r="Q1737" s="32"/>
      <c r="R1737" s="32"/>
    </row>
    <row r="1738" spans="2:18">
      <c r="B1738" s="35"/>
      <c r="C1738" s="14"/>
      <c r="D1738" s="37"/>
      <c r="E1738" s="37"/>
      <c r="F1738" s="37"/>
      <c r="G1738" s="37"/>
      <c r="H1738" s="37"/>
      <c r="I1738" s="37"/>
      <c r="J1738" s="37"/>
      <c r="K1738" s="37"/>
      <c r="L1738" s="37"/>
      <c r="M1738" s="37"/>
      <c r="N1738" s="37"/>
      <c r="O1738" s="37"/>
      <c r="P1738" s="37"/>
      <c r="Q1738" s="37"/>
      <c r="R1738" s="37"/>
    </row>
    <row r="1739" spans="2:18">
      <c r="B1739" s="22"/>
      <c r="C1739" s="47"/>
      <c r="D1739" s="25"/>
      <c r="E1739" s="25"/>
      <c r="F1739" s="25"/>
      <c r="G1739" s="25"/>
      <c r="H1739" s="25"/>
      <c r="I1739" s="25"/>
      <c r="J1739" s="25"/>
      <c r="K1739" s="25"/>
      <c r="L1739" s="25"/>
      <c r="M1739" s="25"/>
      <c r="N1739" s="25"/>
      <c r="O1739" s="25"/>
      <c r="P1739" s="25"/>
      <c r="Q1739" s="25"/>
      <c r="R1739" s="25"/>
    </row>
    <row r="1740" spans="2:18" ht="39.75">
      <c r="B1740" s="27"/>
      <c r="C1740" s="14"/>
      <c r="D1740" s="29"/>
      <c r="E1740" s="29"/>
      <c r="F1740" s="29"/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</row>
    <row r="1741" spans="2:18" ht="58.5">
      <c r="B1741" s="31">
        <f t="shared" ref="B1741" si="195">B1737+1</f>
        <v>435</v>
      </c>
      <c r="C1741" s="14"/>
      <c r="D1741" s="32"/>
      <c r="E1741" s="32"/>
      <c r="F1741" s="32"/>
      <c r="G1741" s="32"/>
      <c r="H1741" s="32"/>
      <c r="I1741" s="32"/>
      <c r="J1741" s="32"/>
      <c r="K1741" s="32"/>
      <c r="L1741" s="32"/>
      <c r="M1741" s="32"/>
      <c r="N1741" s="32"/>
      <c r="O1741" s="32"/>
      <c r="P1741" s="32"/>
      <c r="Q1741" s="32"/>
      <c r="R1741" s="32"/>
    </row>
    <row r="1742" spans="2:18">
      <c r="B1742" s="35"/>
      <c r="C1742" s="14"/>
      <c r="D1742" s="37"/>
      <c r="E1742" s="37"/>
      <c r="F1742" s="37"/>
      <c r="G1742" s="37"/>
      <c r="H1742" s="37"/>
      <c r="I1742" s="37"/>
      <c r="J1742" s="37"/>
      <c r="K1742" s="37"/>
      <c r="L1742" s="37"/>
      <c r="M1742" s="37"/>
      <c r="N1742" s="37"/>
      <c r="O1742" s="37"/>
      <c r="P1742" s="37"/>
      <c r="Q1742" s="37"/>
      <c r="R1742" s="37"/>
    </row>
    <row r="1743" spans="2:18">
      <c r="B1743" s="22"/>
      <c r="C1743" s="47"/>
      <c r="D1743" s="25"/>
      <c r="E1743" s="25"/>
      <c r="F1743" s="25"/>
      <c r="G1743" s="25"/>
      <c r="H1743" s="25"/>
      <c r="I1743" s="25"/>
      <c r="J1743" s="25"/>
      <c r="K1743" s="25"/>
      <c r="L1743" s="25"/>
      <c r="M1743" s="25"/>
      <c r="N1743" s="25"/>
      <c r="O1743" s="25"/>
      <c r="P1743" s="25"/>
      <c r="Q1743" s="25"/>
      <c r="R1743" s="25"/>
    </row>
    <row r="1744" spans="2:18" ht="39.75">
      <c r="B1744" s="27"/>
      <c r="C1744" s="14"/>
      <c r="D1744" s="29"/>
      <c r="E1744" s="29"/>
      <c r="F1744" s="29"/>
      <c r="G1744" s="29"/>
      <c r="H1744" s="29"/>
      <c r="I1744" s="29"/>
      <c r="J1744" s="29"/>
      <c r="K1744" s="29"/>
      <c r="L1744" s="29"/>
      <c r="M1744" s="29"/>
      <c r="N1744" s="29"/>
      <c r="O1744" s="29"/>
      <c r="P1744" s="29"/>
      <c r="Q1744" s="29"/>
      <c r="R1744" s="29"/>
    </row>
    <row r="1745" spans="2:18" ht="58.5">
      <c r="B1745" s="31">
        <f t="shared" ref="B1745" si="196">B1741+1</f>
        <v>436</v>
      </c>
      <c r="C1745" s="14"/>
      <c r="D1745" s="32"/>
      <c r="E1745" s="32"/>
      <c r="F1745" s="32"/>
      <c r="G1745" s="32"/>
      <c r="H1745" s="32"/>
      <c r="I1745" s="32"/>
      <c r="J1745" s="32"/>
      <c r="K1745" s="32"/>
      <c r="L1745" s="32"/>
      <c r="M1745" s="32"/>
      <c r="N1745" s="32"/>
      <c r="O1745" s="32"/>
      <c r="P1745" s="32"/>
      <c r="Q1745" s="32"/>
      <c r="R1745" s="32"/>
    </row>
    <row r="1746" spans="2:18">
      <c r="B1746" s="35"/>
      <c r="C1746" s="14"/>
      <c r="D1746" s="37"/>
      <c r="E1746" s="37"/>
      <c r="F1746" s="37"/>
      <c r="G1746" s="37"/>
      <c r="H1746" s="37"/>
      <c r="I1746" s="37"/>
      <c r="J1746" s="37"/>
      <c r="K1746" s="37"/>
      <c r="L1746" s="37"/>
      <c r="M1746" s="37"/>
      <c r="N1746" s="37"/>
      <c r="O1746" s="37"/>
      <c r="P1746" s="37"/>
      <c r="Q1746" s="37"/>
      <c r="R1746" s="37"/>
    </row>
    <row r="1747" spans="2:18">
      <c r="B1747" s="22"/>
      <c r="C1747" s="47"/>
      <c r="D1747" s="25"/>
      <c r="E1747" s="25"/>
      <c r="F1747" s="25"/>
      <c r="G1747" s="25"/>
      <c r="H1747" s="25"/>
      <c r="I1747" s="25"/>
      <c r="J1747" s="25"/>
      <c r="K1747" s="25"/>
      <c r="L1747" s="25"/>
      <c r="M1747" s="25"/>
      <c r="N1747" s="25"/>
      <c r="O1747" s="25"/>
      <c r="P1747" s="25"/>
      <c r="Q1747" s="25"/>
      <c r="R1747" s="25"/>
    </row>
    <row r="1748" spans="2:18" ht="39.75">
      <c r="B1748" s="27"/>
      <c r="C1748" s="14"/>
      <c r="D1748" s="29"/>
      <c r="E1748" s="29"/>
      <c r="F1748" s="29"/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29"/>
    </row>
    <row r="1749" spans="2:18" ht="58.5">
      <c r="B1749" s="31">
        <f t="shared" ref="B1749" si="197">B1745+1</f>
        <v>437</v>
      </c>
      <c r="C1749" s="14"/>
      <c r="D1749" s="32"/>
      <c r="E1749" s="32"/>
      <c r="F1749" s="32"/>
      <c r="G1749" s="32"/>
      <c r="H1749" s="32"/>
      <c r="I1749" s="32"/>
      <c r="J1749" s="32"/>
      <c r="K1749" s="32"/>
      <c r="L1749" s="32"/>
      <c r="M1749" s="32"/>
      <c r="N1749" s="32"/>
      <c r="O1749" s="32"/>
      <c r="P1749" s="32"/>
      <c r="Q1749" s="32"/>
      <c r="R1749" s="32"/>
    </row>
    <row r="1750" spans="2:18">
      <c r="B1750" s="35"/>
      <c r="C1750" s="14"/>
      <c r="D1750" s="37"/>
      <c r="E1750" s="37"/>
      <c r="F1750" s="37"/>
      <c r="G1750" s="37"/>
      <c r="H1750" s="37"/>
      <c r="I1750" s="37"/>
      <c r="J1750" s="37"/>
      <c r="K1750" s="37"/>
      <c r="L1750" s="37"/>
      <c r="M1750" s="37"/>
      <c r="N1750" s="37"/>
      <c r="O1750" s="37"/>
      <c r="P1750" s="37"/>
      <c r="Q1750" s="37"/>
      <c r="R1750" s="37"/>
    </row>
    <row r="1751" spans="2:18">
      <c r="B1751" s="22"/>
      <c r="C1751" s="47"/>
      <c r="D1751" s="25"/>
      <c r="E1751" s="25"/>
      <c r="F1751" s="25"/>
      <c r="G1751" s="25"/>
      <c r="H1751" s="25"/>
      <c r="I1751" s="25"/>
      <c r="J1751" s="25"/>
      <c r="K1751" s="25"/>
      <c r="L1751" s="25"/>
      <c r="M1751" s="25"/>
      <c r="N1751" s="25"/>
      <c r="O1751" s="25"/>
      <c r="P1751" s="25"/>
      <c r="Q1751" s="25"/>
      <c r="R1751" s="25"/>
    </row>
    <row r="1752" spans="2:18" ht="39.75">
      <c r="B1752" s="27"/>
      <c r="C1752" s="14"/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  <c r="N1752" s="29"/>
      <c r="O1752" s="29"/>
      <c r="P1752" s="29"/>
      <c r="Q1752" s="29"/>
      <c r="R1752" s="29"/>
    </row>
    <row r="1753" spans="2:18" ht="58.5">
      <c r="B1753" s="31">
        <f t="shared" ref="B1753" si="198">B1749+1</f>
        <v>438</v>
      </c>
      <c r="C1753" s="14"/>
      <c r="D1753" s="32"/>
      <c r="E1753" s="32"/>
      <c r="F1753" s="32"/>
      <c r="G1753" s="32"/>
      <c r="H1753" s="32"/>
      <c r="I1753" s="32"/>
      <c r="J1753" s="32"/>
      <c r="K1753" s="32"/>
      <c r="L1753" s="32"/>
      <c r="M1753" s="32"/>
      <c r="N1753" s="32"/>
      <c r="O1753" s="32"/>
      <c r="P1753" s="32"/>
      <c r="Q1753" s="32"/>
      <c r="R1753" s="32"/>
    </row>
    <row r="1754" spans="2:18">
      <c r="B1754" s="35"/>
      <c r="C1754" s="14"/>
      <c r="D1754" s="37"/>
      <c r="E1754" s="37"/>
      <c r="F1754" s="37"/>
      <c r="G1754" s="37"/>
      <c r="H1754" s="37"/>
      <c r="I1754" s="37"/>
      <c r="J1754" s="37"/>
      <c r="K1754" s="37"/>
      <c r="L1754" s="37"/>
      <c r="M1754" s="37"/>
      <c r="N1754" s="37"/>
      <c r="O1754" s="37"/>
      <c r="P1754" s="37"/>
      <c r="Q1754" s="37"/>
      <c r="R1754" s="37"/>
    </row>
    <row r="1755" spans="2:18">
      <c r="B1755" s="22"/>
      <c r="C1755" s="47"/>
      <c r="D1755" s="25"/>
      <c r="E1755" s="25"/>
      <c r="F1755" s="25"/>
      <c r="G1755" s="25"/>
      <c r="H1755" s="25"/>
      <c r="I1755" s="25"/>
      <c r="J1755" s="25"/>
      <c r="K1755" s="25"/>
      <c r="L1755" s="25"/>
      <c r="M1755" s="25"/>
      <c r="N1755" s="25"/>
      <c r="O1755" s="25"/>
      <c r="P1755" s="25"/>
      <c r="Q1755" s="25"/>
      <c r="R1755" s="25"/>
    </row>
    <row r="1756" spans="2:18" ht="39.75">
      <c r="B1756" s="27"/>
      <c r="C1756" s="14"/>
      <c r="D1756" s="29"/>
      <c r="E1756" s="29"/>
      <c r="F1756" s="29"/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</row>
    <row r="1757" spans="2:18" ht="58.5">
      <c r="B1757" s="31">
        <f t="shared" ref="B1757" si="199">B1753+1</f>
        <v>439</v>
      </c>
      <c r="C1757" s="14"/>
      <c r="D1757" s="32"/>
      <c r="E1757" s="32"/>
      <c r="F1757" s="32"/>
      <c r="G1757" s="32"/>
      <c r="H1757" s="32"/>
      <c r="I1757" s="32"/>
      <c r="J1757" s="32"/>
      <c r="K1757" s="32"/>
      <c r="L1757" s="32"/>
      <c r="M1757" s="32"/>
      <c r="N1757" s="32"/>
      <c r="O1757" s="32"/>
      <c r="P1757" s="32"/>
      <c r="Q1757" s="32"/>
      <c r="R1757" s="32"/>
    </row>
    <row r="1758" spans="2:18">
      <c r="B1758" s="35"/>
      <c r="C1758" s="14"/>
      <c r="D1758" s="37"/>
      <c r="E1758" s="37"/>
      <c r="F1758" s="37"/>
      <c r="G1758" s="37"/>
      <c r="H1758" s="37"/>
      <c r="I1758" s="37"/>
      <c r="J1758" s="37"/>
      <c r="K1758" s="37"/>
      <c r="L1758" s="37"/>
      <c r="M1758" s="37"/>
      <c r="N1758" s="37"/>
      <c r="O1758" s="37"/>
      <c r="P1758" s="37"/>
      <c r="Q1758" s="37"/>
      <c r="R1758" s="37"/>
    </row>
    <row r="1759" spans="2:18">
      <c r="B1759" s="22"/>
      <c r="C1759" s="47"/>
      <c r="D1759" s="25"/>
      <c r="E1759" s="25"/>
      <c r="F1759" s="25"/>
      <c r="G1759" s="25"/>
      <c r="H1759" s="25"/>
      <c r="I1759" s="25"/>
      <c r="J1759" s="25"/>
      <c r="K1759" s="25"/>
      <c r="L1759" s="25"/>
      <c r="M1759" s="25"/>
      <c r="N1759" s="25"/>
      <c r="O1759" s="25"/>
      <c r="P1759" s="25"/>
      <c r="Q1759" s="25"/>
      <c r="R1759" s="25"/>
    </row>
    <row r="1760" spans="2:18" ht="39.75">
      <c r="B1760" s="27"/>
      <c r="C1760" s="14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</row>
    <row r="1761" spans="2:18" ht="58.5">
      <c r="B1761" s="31">
        <f t="shared" ref="B1761" si="200">B1757+1</f>
        <v>440</v>
      </c>
      <c r="C1761" s="14"/>
      <c r="D1761" s="32"/>
      <c r="E1761" s="32"/>
      <c r="F1761" s="32"/>
      <c r="G1761" s="32"/>
      <c r="H1761" s="32"/>
      <c r="I1761" s="32"/>
      <c r="J1761" s="32"/>
      <c r="K1761" s="32"/>
      <c r="L1761" s="32"/>
      <c r="M1761" s="32"/>
      <c r="N1761" s="32"/>
      <c r="O1761" s="32"/>
      <c r="P1761" s="32"/>
      <c r="Q1761" s="32"/>
      <c r="R1761" s="32"/>
    </row>
    <row r="1762" spans="2:18">
      <c r="B1762" s="35"/>
      <c r="C1762" s="14"/>
      <c r="D1762" s="37"/>
      <c r="E1762" s="37"/>
      <c r="F1762" s="37"/>
      <c r="G1762" s="37"/>
      <c r="H1762" s="37"/>
      <c r="I1762" s="37"/>
      <c r="J1762" s="37"/>
      <c r="K1762" s="37"/>
      <c r="L1762" s="37"/>
      <c r="M1762" s="37"/>
      <c r="N1762" s="37"/>
      <c r="O1762" s="37"/>
      <c r="P1762" s="37"/>
      <c r="Q1762" s="37"/>
      <c r="R1762" s="37"/>
    </row>
    <row r="1763" spans="2:18">
      <c r="B1763" s="22"/>
      <c r="C1763" s="47"/>
      <c r="D1763" s="25"/>
      <c r="E1763" s="25"/>
      <c r="F1763" s="25"/>
      <c r="G1763" s="25"/>
      <c r="H1763" s="25"/>
      <c r="I1763" s="25"/>
      <c r="J1763" s="25"/>
      <c r="K1763" s="25"/>
      <c r="L1763" s="25"/>
      <c r="M1763" s="25"/>
      <c r="N1763" s="25"/>
      <c r="O1763" s="25"/>
      <c r="P1763" s="25"/>
      <c r="Q1763" s="25"/>
      <c r="R1763" s="25"/>
    </row>
    <row r="1764" spans="2:18" ht="39.75">
      <c r="B1764" s="27"/>
      <c r="C1764" s="14"/>
      <c r="D1764" s="29"/>
      <c r="E1764" s="29"/>
      <c r="F1764" s="29"/>
      <c r="G1764" s="29"/>
      <c r="H1764" s="29"/>
      <c r="I1764" s="29"/>
      <c r="J1764" s="29"/>
      <c r="K1764" s="29"/>
      <c r="L1764" s="29"/>
      <c r="M1764" s="29"/>
      <c r="N1764" s="29"/>
      <c r="O1764" s="29"/>
      <c r="P1764" s="29"/>
      <c r="Q1764" s="29"/>
      <c r="R1764" s="29"/>
    </row>
    <row r="1765" spans="2:18" ht="58.5">
      <c r="B1765" s="31">
        <f t="shared" ref="B1765" si="201">B1761+1</f>
        <v>441</v>
      </c>
      <c r="C1765" s="14"/>
      <c r="D1765" s="32"/>
      <c r="E1765" s="32"/>
      <c r="F1765" s="32"/>
      <c r="G1765" s="32"/>
      <c r="H1765" s="32"/>
      <c r="I1765" s="32"/>
      <c r="J1765" s="32"/>
      <c r="K1765" s="32"/>
      <c r="L1765" s="32"/>
      <c r="M1765" s="32"/>
      <c r="N1765" s="32"/>
      <c r="O1765" s="32"/>
      <c r="P1765" s="32"/>
      <c r="Q1765" s="32"/>
      <c r="R1765" s="32"/>
    </row>
    <row r="1766" spans="2:18">
      <c r="B1766" s="35"/>
      <c r="C1766" s="14"/>
      <c r="D1766" s="37"/>
      <c r="E1766" s="37"/>
      <c r="F1766" s="37"/>
      <c r="G1766" s="37"/>
      <c r="H1766" s="37"/>
      <c r="I1766" s="37"/>
      <c r="J1766" s="37"/>
      <c r="K1766" s="37"/>
      <c r="L1766" s="37"/>
      <c r="M1766" s="37"/>
      <c r="N1766" s="37"/>
      <c r="O1766" s="37"/>
      <c r="P1766" s="37"/>
      <c r="Q1766" s="37"/>
      <c r="R1766" s="37"/>
    </row>
    <row r="1767" spans="2:18">
      <c r="B1767" s="22"/>
      <c r="C1767" s="47"/>
      <c r="D1767" s="25"/>
      <c r="E1767" s="25"/>
      <c r="F1767" s="25"/>
      <c r="G1767" s="25"/>
      <c r="H1767" s="25"/>
      <c r="I1767" s="25"/>
      <c r="J1767" s="25"/>
      <c r="K1767" s="25"/>
      <c r="L1767" s="25"/>
      <c r="M1767" s="25"/>
      <c r="N1767" s="25"/>
      <c r="O1767" s="25"/>
      <c r="P1767" s="25"/>
      <c r="Q1767" s="25"/>
      <c r="R1767" s="25"/>
    </row>
    <row r="1768" spans="2:18" ht="39.75">
      <c r="B1768" s="27"/>
      <c r="C1768" s="14"/>
      <c r="D1768" s="29"/>
      <c r="E1768" s="29"/>
      <c r="F1768" s="29"/>
      <c r="G1768" s="29"/>
      <c r="H1768" s="29"/>
      <c r="I1768" s="29"/>
      <c r="J1768" s="29"/>
      <c r="K1768" s="29"/>
      <c r="L1768" s="29"/>
      <c r="M1768" s="29"/>
      <c r="N1768" s="29"/>
      <c r="O1768" s="29"/>
      <c r="P1768" s="29"/>
      <c r="Q1768" s="29"/>
      <c r="R1768" s="29"/>
    </row>
    <row r="1769" spans="2:18" ht="58.5">
      <c r="B1769" s="31">
        <f t="shared" ref="B1769" si="202">B1765+1</f>
        <v>442</v>
      </c>
      <c r="C1769" s="14"/>
      <c r="D1769" s="32"/>
      <c r="E1769" s="32"/>
      <c r="F1769" s="32"/>
      <c r="G1769" s="32"/>
      <c r="H1769" s="32"/>
      <c r="I1769" s="32"/>
      <c r="J1769" s="32"/>
      <c r="K1769" s="32"/>
      <c r="L1769" s="32"/>
      <c r="M1769" s="32"/>
      <c r="N1769" s="32"/>
      <c r="O1769" s="32"/>
      <c r="P1769" s="32"/>
      <c r="Q1769" s="32"/>
      <c r="R1769" s="32"/>
    </row>
    <row r="1770" spans="2:18">
      <c r="B1770" s="35"/>
      <c r="C1770" s="14"/>
      <c r="D1770" s="37"/>
      <c r="E1770" s="37"/>
      <c r="F1770" s="37"/>
      <c r="G1770" s="37"/>
      <c r="H1770" s="37"/>
      <c r="I1770" s="37"/>
      <c r="J1770" s="37"/>
      <c r="K1770" s="37"/>
      <c r="L1770" s="37"/>
      <c r="M1770" s="37"/>
      <c r="N1770" s="37"/>
      <c r="O1770" s="37"/>
      <c r="P1770" s="37"/>
      <c r="Q1770" s="37"/>
      <c r="R1770" s="37"/>
    </row>
    <row r="1771" spans="2:18">
      <c r="B1771" s="22"/>
      <c r="C1771" s="47"/>
      <c r="D1771" s="25"/>
      <c r="E1771" s="25"/>
      <c r="F1771" s="25"/>
      <c r="G1771" s="25"/>
      <c r="H1771" s="25"/>
      <c r="I1771" s="25"/>
      <c r="J1771" s="25"/>
      <c r="K1771" s="25"/>
      <c r="L1771" s="25"/>
      <c r="M1771" s="25"/>
      <c r="N1771" s="25"/>
      <c r="O1771" s="25"/>
      <c r="P1771" s="25"/>
      <c r="Q1771" s="25"/>
      <c r="R1771" s="25"/>
    </row>
    <row r="1772" spans="2:18" ht="39.75">
      <c r="B1772" s="27"/>
      <c r="C1772" s="14"/>
      <c r="D1772" s="29"/>
      <c r="E1772" s="29"/>
      <c r="F1772" s="29"/>
      <c r="G1772" s="29"/>
      <c r="H1772" s="29"/>
      <c r="I1772" s="29"/>
      <c r="J1772" s="29"/>
      <c r="K1772" s="29"/>
      <c r="L1772" s="29"/>
      <c r="M1772" s="29"/>
      <c r="N1772" s="29"/>
      <c r="O1772" s="29"/>
      <c r="P1772" s="29"/>
      <c r="Q1772" s="29"/>
      <c r="R1772" s="29"/>
    </row>
    <row r="1773" spans="2:18" ht="58.5">
      <c r="B1773" s="31">
        <f t="shared" ref="B1773" si="203">B1769+1</f>
        <v>443</v>
      </c>
      <c r="C1773" s="14"/>
      <c r="D1773" s="32"/>
      <c r="E1773" s="32"/>
      <c r="F1773" s="32"/>
      <c r="G1773" s="32"/>
      <c r="H1773" s="32"/>
      <c r="I1773" s="32"/>
      <c r="J1773" s="32"/>
      <c r="K1773" s="32"/>
      <c r="L1773" s="32"/>
      <c r="M1773" s="32"/>
      <c r="N1773" s="32"/>
      <c r="O1773" s="32"/>
      <c r="P1773" s="32"/>
      <c r="Q1773" s="32"/>
      <c r="R1773" s="32"/>
    </row>
    <row r="1774" spans="2:18">
      <c r="B1774" s="35"/>
      <c r="C1774" s="14"/>
      <c r="D1774" s="37"/>
      <c r="E1774" s="37"/>
      <c r="F1774" s="37"/>
      <c r="G1774" s="37"/>
      <c r="H1774" s="37"/>
      <c r="I1774" s="37"/>
      <c r="J1774" s="37"/>
      <c r="K1774" s="37"/>
      <c r="L1774" s="37"/>
      <c r="M1774" s="37"/>
      <c r="N1774" s="37"/>
      <c r="O1774" s="37"/>
      <c r="P1774" s="37"/>
      <c r="Q1774" s="37"/>
      <c r="R1774" s="37"/>
    </row>
    <row r="1775" spans="2:18">
      <c r="B1775" s="22"/>
      <c r="C1775" s="47"/>
      <c r="D1775" s="25"/>
      <c r="E1775" s="25"/>
      <c r="F1775" s="25"/>
      <c r="G1775" s="25"/>
      <c r="H1775" s="25"/>
      <c r="I1775" s="25"/>
      <c r="J1775" s="25"/>
      <c r="K1775" s="25"/>
      <c r="L1775" s="25"/>
      <c r="M1775" s="25"/>
      <c r="N1775" s="25"/>
      <c r="O1775" s="25"/>
      <c r="P1775" s="25"/>
      <c r="Q1775" s="25"/>
      <c r="R1775" s="25"/>
    </row>
    <row r="1776" spans="2:18" ht="39.75">
      <c r="B1776" s="27"/>
      <c r="C1776" s="14"/>
      <c r="D1776" s="29"/>
      <c r="E1776" s="29"/>
      <c r="F1776" s="29"/>
      <c r="G1776" s="29"/>
      <c r="H1776" s="29"/>
      <c r="I1776" s="29"/>
      <c r="J1776" s="29"/>
      <c r="K1776" s="29"/>
      <c r="L1776" s="29"/>
      <c r="M1776" s="29"/>
      <c r="N1776" s="29"/>
      <c r="O1776" s="29"/>
      <c r="P1776" s="29"/>
      <c r="Q1776" s="29"/>
      <c r="R1776" s="29"/>
    </row>
    <row r="1777" spans="2:18" ht="58.5">
      <c r="B1777" s="31">
        <f t="shared" ref="B1777" si="204">B1773+1</f>
        <v>444</v>
      </c>
      <c r="C1777" s="14"/>
      <c r="D1777" s="32"/>
      <c r="E1777" s="32"/>
      <c r="F1777" s="32"/>
      <c r="G1777" s="32"/>
      <c r="H1777" s="32"/>
      <c r="I1777" s="32"/>
      <c r="J1777" s="32"/>
      <c r="K1777" s="32"/>
      <c r="L1777" s="32"/>
      <c r="M1777" s="32"/>
      <c r="N1777" s="32"/>
      <c r="O1777" s="32"/>
      <c r="P1777" s="32"/>
      <c r="Q1777" s="32"/>
      <c r="R1777" s="32"/>
    </row>
    <row r="1778" spans="2:18">
      <c r="B1778" s="35"/>
      <c r="C1778" s="14"/>
      <c r="D1778" s="37"/>
      <c r="E1778" s="37"/>
      <c r="F1778" s="37"/>
      <c r="G1778" s="37"/>
      <c r="H1778" s="37"/>
      <c r="I1778" s="37"/>
      <c r="J1778" s="37"/>
      <c r="K1778" s="37"/>
      <c r="L1778" s="37"/>
      <c r="M1778" s="37"/>
      <c r="N1778" s="37"/>
      <c r="O1778" s="37"/>
      <c r="P1778" s="37"/>
      <c r="Q1778" s="37"/>
      <c r="R1778" s="37"/>
    </row>
    <row r="1779" spans="2:18">
      <c r="B1779" s="22"/>
      <c r="C1779" s="47"/>
      <c r="D1779" s="25"/>
      <c r="E1779" s="25"/>
      <c r="F1779" s="25"/>
      <c r="G1779" s="25"/>
      <c r="H1779" s="25"/>
      <c r="I1779" s="25"/>
      <c r="J1779" s="25"/>
      <c r="K1779" s="25"/>
      <c r="L1779" s="25"/>
      <c r="M1779" s="25"/>
      <c r="N1779" s="25"/>
      <c r="O1779" s="25"/>
      <c r="P1779" s="25"/>
      <c r="Q1779" s="25"/>
      <c r="R1779" s="25"/>
    </row>
    <row r="1780" spans="2:18" ht="39.75">
      <c r="B1780" s="27"/>
      <c r="C1780" s="14"/>
      <c r="D1780" s="29"/>
      <c r="E1780" s="29"/>
      <c r="F1780" s="29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</row>
    <row r="1781" spans="2:18" ht="58.5">
      <c r="B1781" s="31">
        <f t="shared" ref="B1781" si="205">B1777+1</f>
        <v>445</v>
      </c>
      <c r="C1781" s="14"/>
      <c r="D1781" s="32"/>
      <c r="E1781" s="32"/>
      <c r="F1781" s="32"/>
      <c r="G1781" s="32"/>
      <c r="H1781" s="32"/>
      <c r="I1781" s="32"/>
      <c r="J1781" s="32"/>
      <c r="K1781" s="32"/>
      <c r="L1781" s="32"/>
      <c r="M1781" s="32"/>
      <c r="N1781" s="32"/>
      <c r="O1781" s="32"/>
      <c r="P1781" s="32"/>
      <c r="Q1781" s="32"/>
      <c r="R1781" s="32"/>
    </row>
    <row r="1782" spans="2:18">
      <c r="B1782" s="35"/>
      <c r="C1782" s="14"/>
      <c r="D1782" s="37"/>
      <c r="E1782" s="37"/>
      <c r="F1782" s="37"/>
      <c r="G1782" s="37"/>
      <c r="H1782" s="37"/>
      <c r="I1782" s="37"/>
      <c r="J1782" s="37"/>
      <c r="K1782" s="37"/>
      <c r="L1782" s="37"/>
      <c r="M1782" s="37"/>
      <c r="N1782" s="37"/>
      <c r="O1782" s="37"/>
      <c r="P1782" s="37"/>
      <c r="Q1782" s="37"/>
      <c r="R1782" s="37"/>
    </row>
    <row r="1783" spans="2:18">
      <c r="B1783" s="22"/>
      <c r="C1783" s="47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</row>
    <row r="1784" spans="2:18" ht="39.75">
      <c r="B1784" s="27"/>
      <c r="C1784" s="14"/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  <c r="O1784" s="29"/>
      <c r="P1784" s="29"/>
      <c r="Q1784" s="29"/>
      <c r="R1784" s="29"/>
    </row>
    <row r="1785" spans="2:18" ht="58.5">
      <c r="B1785" s="31">
        <f t="shared" ref="B1785" si="206">B1781+1</f>
        <v>446</v>
      </c>
      <c r="C1785" s="14"/>
      <c r="D1785" s="32"/>
      <c r="E1785" s="32"/>
      <c r="F1785" s="32"/>
      <c r="G1785" s="32"/>
      <c r="H1785" s="32"/>
      <c r="I1785" s="32"/>
      <c r="J1785" s="32"/>
      <c r="K1785" s="32"/>
      <c r="L1785" s="32"/>
      <c r="M1785" s="32"/>
      <c r="N1785" s="32"/>
      <c r="O1785" s="32"/>
      <c r="P1785" s="32"/>
      <c r="Q1785" s="32"/>
      <c r="R1785" s="32"/>
    </row>
    <row r="1786" spans="2:18">
      <c r="B1786" s="35"/>
      <c r="C1786" s="14"/>
      <c r="D1786" s="37"/>
      <c r="E1786" s="37"/>
      <c r="F1786" s="37"/>
      <c r="G1786" s="37"/>
      <c r="H1786" s="37"/>
      <c r="I1786" s="37"/>
      <c r="J1786" s="37"/>
      <c r="K1786" s="37"/>
      <c r="L1786" s="37"/>
      <c r="M1786" s="37"/>
      <c r="N1786" s="37"/>
      <c r="O1786" s="37"/>
      <c r="P1786" s="37"/>
      <c r="Q1786" s="37"/>
      <c r="R1786" s="37"/>
    </row>
    <row r="1787" spans="2:18">
      <c r="B1787" s="22"/>
      <c r="C1787" s="47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  <c r="O1787" s="25"/>
      <c r="P1787" s="25"/>
      <c r="Q1787" s="25"/>
      <c r="R1787" s="25"/>
    </row>
    <row r="1788" spans="2:18" ht="39.75">
      <c r="B1788" s="27"/>
      <c r="C1788" s="14"/>
      <c r="D1788" s="29"/>
      <c r="E1788" s="29"/>
      <c r="F1788" s="29"/>
      <c r="G1788" s="29"/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</row>
    <row r="1789" spans="2:18" ht="58.5">
      <c r="B1789" s="31">
        <f t="shared" ref="B1789" si="207">B1785+1</f>
        <v>447</v>
      </c>
      <c r="C1789" s="14"/>
      <c r="D1789" s="32"/>
      <c r="E1789" s="32"/>
      <c r="F1789" s="32"/>
      <c r="G1789" s="32"/>
      <c r="H1789" s="32"/>
      <c r="I1789" s="32"/>
      <c r="J1789" s="32"/>
      <c r="K1789" s="32"/>
      <c r="L1789" s="32"/>
      <c r="M1789" s="32"/>
      <c r="N1789" s="32"/>
      <c r="O1789" s="32"/>
      <c r="P1789" s="32"/>
      <c r="Q1789" s="32"/>
      <c r="R1789" s="32"/>
    </row>
    <row r="1790" spans="2:18">
      <c r="B1790" s="35"/>
      <c r="C1790" s="14"/>
      <c r="D1790" s="37"/>
      <c r="E1790" s="37"/>
      <c r="F1790" s="37"/>
      <c r="G1790" s="37"/>
      <c r="H1790" s="37"/>
      <c r="I1790" s="37"/>
      <c r="J1790" s="37"/>
      <c r="K1790" s="37"/>
      <c r="L1790" s="37"/>
      <c r="M1790" s="37"/>
      <c r="N1790" s="37"/>
      <c r="O1790" s="37"/>
      <c r="P1790" s="37"/>
      <c r="Q1790" s="37"/>
      <c r="R1790" s="37"/>
    </row>
    <row r="1791" spans="2:18">
      <c r="B1791" s="22"/>
      <c r="C1791" s="47"/>
      <c r="D1791" s="25"/>
      <c r="E1791" s="25"/>
      <c r="F1791" s="25"/>
      <c r="G1791" s="25"/>
      <c r="H1791" s="25"/>
      <c r="I1791" s="25"/>
      <c r="J1791" s="25"/>
      <c r="K1791" s="25"/>
      <c r="L1791" s="25"/>
      <c r="M1791" s="25"/>
      <c r="N1791" s="25"/>
      <c r="O1791" s="25"/>
      <c r="P1791" s="25"/>
      <c r="Q1791" s="25"/>
      <c r="R1791" s="25"/>
    </row>
    <row r="1792" spans="2:18" ht="39.75">
      <c r="B1792" s="27"/>
      <c r="C1792" s="14"/>
      <c r="D1792" s="29"/>
      <c r="E1792" s="29"/>
      <c r="F1792" s="29"/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</row>
    <row r="1793" spans="2:18" ht="58.5">
      <c r="B1793" s="31">
        <f t="shared" ref="B1793" si="208">B1789+1</f>
        <v>448</v>
      </c>
      <c r="C1793" s="14"/>
      <c r="D1793" s="32"/>
      <c r="E1793" s="32"/>
      <c r="F1793" s="32"/>
      <c r="G1793" s="32"/>
      <c r="H1793" s="32"/>
      <c r="I1793" s="32"/>
      <c r="J1793" s="32"/>
      <c r="K1793" s="32"/>
      <c r="L1793" s="32"/>
      <c r="M1793" s="32"/>
      <c r="N1793" s="32"/>
      <c r="O1793" s="32"/>
      <c r="P1793" s="32"/>
      <c r="Q1793" s="32"/>
      <c r="R1793" s="32"/>
    </row>
    <row r="1794" spans="2:18">
      <c r="B1794" s="35"/>
      <c r="C1794" s="14"/>
      <c r="D1794" s="37"/>
      <c r="E1794" s="37"/>
      <c r="F1794" s="37"/>
      <c r="G1794" s="37"/>
      <c r="H1794" s="37"/>
      <c r="I1794" s="37"/>
      <c r="J1794" s="37"/>
      <c r="K1794" s="37"/>
      <c r="L1794" s="37"/>
      <c r="M1794" s="37"/>
      <c r="N1794" s="37"/>
      <c r="O1794" s="37"/>
      <c r="P1794" s="37"/>
      <c r="Q1794" s="37"/>
      <c r="R1794" s="37"/>
    </row>
    <row r="1795" spans="2:18">
      <c r="B1795" s="22"/>
      <c r="C1795" s="47"/>
      <c r="D1795" s="25"/>
      <c r="E1795" s="25"/>
      <c r="F1795" s="25"/>
      <c r="G1795" s="25"/>
      <c r="H1795" s="25"/>
      <c r="I1795" s="25"/>
      <c r="J1795" s="25"/>
      <c r="K1795" s="25"/>
      <c r="L1795" s="25"/>
      <c r="M1795" s="25"/>
      <c r="N1795" s="25"/>
      <c r="O1795" s="25"/>
      <c r="P1795" s="25"/>
      <c r="Q1795" s="25"/>
      <c r="R1795" s="25"/>
    </row>
    <row r="1796" spans="2:18" ht="39.75">
      <c r="B1796" s="27"/>
      <c r="C1796" s="14"/>
      <c r="D1796" s="29"/>
      <c r="E1796" s="29"/>
      <c r="F1796" s="29"/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29"/>
    </row>
    <row r="1797" spans="2:18" ht="58.5">
      <c r="B1797" s="31">
        <f t="shared" ref="B1797" si="209">B1793+1</f>
        <v>449</v>
      </c>
      <c r="C1797" s="14"/>
      <c r="D1797" s="32"/>
      <c r="E1797" s="32"/>
      <c r="F1797" s="32"/>
      <c r="G1797" s="32"/>
      <c r="H1797" s="32"/>
      <c r="I1797" s="32"/>
      <c r="J1797" s="32"/>
      <c r="K1797" s="32"/>
      <c r="L1797" s="32"/>
      <c r="M1797" s="32"/>
      <c r="N1797" s="32"/>
      <c r="O1797" s="32"/>
      <c r="P1797" s="32"/>
      <c r="Q1797" s="32"/>
      <c r="R1797" s="32"/>
    </row>
    <row r="1798" spans="2:18">
      <c r="B1798" s="35"/>
      <c r="C1798" s="14"/>
      <c r="D1798" s="37"/>
      <c r="E1798" s="37"/>
      <c r="F1798" s="37"/>
      <c r="G1798" s="37"/>
      <c r="H1798" s="37"/>
      <c r="I1798" s="37"/>
      <c r="J1798" s="37"/>
      <c r="K1798" s="37"/>
      <c r="L1798" s="37"/>
      <c r="M1798" s="37"/>
      <c r="N1798" s="37"/>
      <c r="O1798" s="37"/>
      <c r="P1798" s="37"/>
      <c r="Q1798" s="37"/>
      <c r="R1798" s="37"/>
    </row>
    <row r="1799" spans="2:18">
      <c r="B1799" s="22"/>
      <c r="C1799" s="47"/>
      <c r="D1799" s="25"/>
      <c r="E1799" s="25"/>
      <c r="F1799" s="25"/>
      <c r="G1799" s="25"/>
      <c r="H1799" s="25"/>
      <c r="I1799" s="25"/>
      <c r="J1799" s="25"/>
      <c r="K1799" s="25"/>
      <c r="L1799" s="25"/>
      <c r="M1799" s="25"/>
      <c r="N1799" s="25"/>
      <c r="O1799" s="25"/>
      <c r="P1799" s="25"/>
      <c r="Q1799" s="25"/>
      <c r="R1799" s="25"/>
    </row>
    <row r="1800" spans="2:18" ht="39.75">
      <c r="B1800" s="27"/>
      <c r="C1800" s="14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</row>
    <row r="1801" spans="2:18" ht="58.5">
      <c r="B1801" s="31">
        <f t="shared" ref="B1801" si="210">B1797+1</f>
        <v>450</v>
      </c>
      <c r="C1801" s="14"/>
      <c r="D1801" s="32"/>
      <c r="E1801" s="32"/>
      <c r="F1801" s="32"/>
      <c r="G1801" s="32"/>
      <c r="H1801" s="32"/>
      <c r="I1801" s="32"/>
      <c r="J1801" s="32"/>
      <c r="K1801" s="32"/>
      <c r="L1801" s="32"/>
      <c r="M1801" s="32"/>
      <c r="N1801" s="32"/>
      <c r="O1801" s="32"/>
      <c r="P1801" s="32"/>
      <c r="Q1801" s="32"/>
      <c r="R1801" s="32"/>
    </row>
    <row r="1802" spans="2:18">
      <c r="B1802" s="35"/>
      <c r="C1802" s="14"/>
      <c r="D1802" s="37"/>
      <c r="E1802" s="37"/>
      <c r="F1802" s="37"/>
      <c r="G1802" s="37"/>
      <c r="H1802" s="37"/>
      <c r="I1802" s="37"/>
      <c r="J1802" s="37"/>
      <c r="K1802" s="37"/>
      <c r="L1802" s="37"/>
      <c r="M1802" s="37"/>
      <c r="N1802" s="37"/>
      <c r="O1802" s="37"/>
      <c r="P1802" s="37"/>
      <c r="Q1802" s="37"/>
      <c r="R1802" s="37"/>
    </row>
    <row r="1803" spans="2:18">
      <c r="B1803" s="22"/>
      <c r="C1803" s="47"/>
      <c r="D1803" s="25"/>
      <c r="E1803" s="25"/>
      <c r="F1803" s="25"/>
      <c r="G1803" s="25"/>
      <c r="H1803" s="25"/>
      <c r="I1803" s="25"/>
      <c r="J1803" s="25"/>
      <c r="K1803" s="25"/>
      <c r="L1803" s="25"/>
      <c r="M1803" s="25"/>
      <c r="N1803" s="25"/>
      <c r="O1803" s="25"/>
      <c r="P1803" s="25"/>
      <c r="Q1803" s="25"/>
      <c r="R1803" s="25"/>
    </row>
    <row r="1804" spans="2:18" ht="39.75">
      <c r="B1804" s="27"/>
      <c r="C1804" s="14"/>
      <c r="D1804" s="29"/>
      <c r="E1804" s="29"/>
      <c r="F1804" s="29"/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</row>
    <row r="1805" spans="2:18" ht="58.5">
      <c r="B1805" s="31">
        <f>B1801+1</f>
        <v>451</v>
      </c>
      <c r="C1805" s="14"/>
      <c r="D1805" s="32"/>
      <c r="E1805" s="32"/>
      <c r="F1805" s="32"/>
      <c r="G1805" s="32"/>
      <c r="H1805" s="32"/>
      <c r="I1805" s="32"/>
      <c r="J1805" s="32"/>
      <c r="K1805" s="32"/>
      <c r="L1805" s="32"/>
      <c r="M1805" s="32"/>
      <c r="N1805" s="32"/>
      <c r="O1805" s="32"/>
      <c r="P1805" s="32"/>
      <c r="Q1805" s="32"/>
      <c r="R1805" s="32"/>
    </row>
    <row r="1806" spans="2:18">
      <c r="B1806" s="35"/>
      <c r="C1806" s="14"/>
      <c r="D1806" s="37"/>
      <c r="E1806" s="37"/>
      <c r="F1806" s="37"/>
      <c r="G1806" s="37"/>
      <c r="H1806" s="37"/>
      <c r="I1806" s="37"/>
      <c r="J1806" s="37"/>
      <c r="K1806" s="37"/>
      <c r="L1806" s="37"/>
      <c r="M1806" s="37"/>
      <c r="N1806" s="37"/>
      <c r="O1806" s="37"/>
      <c r="P1806" s="37"/>
      <c r="Q1806" s="37"/>
      <c r="R1806" s="37"/>
    </row>
    <row r="1807" spans="2:18">
      <c r="B1807" s="40"/>
      <c r="C1807" s="41"/>
      <c r="D1807" s="25"/>
      <c r="E1807" s="25"/>
      <c r="F1807" s="25"/>
      <c r="G1807" s="25"/>
      <c r="H1807" s="25"/>
      <c r="I1807" s="25"/>
      <c r="J1807" s="25"/>
      <c r="K1807" s="25"/>
      <c r="L1807" s="25"/>
      <c r="M1807" s="25"/>
      <c r="N1807" s="25"/>
      <c r="O1807" s="25"/>
      <c r="P1807" s="25"/>
      <c r="Q1807" s="25"/>
      <c r="R1807" s="25"/>
    </row>
    <row r="1808" spans="2:18" ht="39.75">
      <c r="B1808" s="27"/>
      <c r="C1808" s="14"/>
      <c r="D1808" s="29"/>
      <c r="E1808" s="29"/>
      <c r="F1808" s="29"/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</row>
    <row r="1809" spans="2:18" ht="58.5">
      <c r="B1809" s="31">
        <f>B1805+1</f>
        <v>452</v>
      </c>
      <c r="C1809" s="14"/>
      <c r="D1809" s="32"/>
      <c r="E1809" s="32"/>
      <c r="F1809" s="32"/>
      <c r="G1809" s="32"/>
      <c r="H1809" s="32"/>
      <c r="I1809" s="32"/>
      <c r="J1809" s="32"/>
      <c r="K1809" s="32"/>
      <c r="L1809" s="32"/>
      <c r="M1809" s="32"/>
      <c r="N1809" s="32"/>
      <c r="O1809" s="32"/>
      <c r="P1809" s="32"/>
      <c r="Q1809" s="32"/>
      <c r="R1809" s="32"/>
    </row>
    <row r="1810" spans="2:18">
      <c r="B1810" s="35"/>
      <c r="C1810" s="14"/>
      <c r="D1810" s="37"/>
      <c r="E1810" s="37"/>
      <c r="F1810" s="37"/>
      <c r="G1810" s="37"/>
      <c r="H1810" s="37"/>
      <c r="I1810" s="37"/>
      <c r="J1810" s="37"/>
      <c r="K1810" s="37"/>
      <c r="L1810" s="37"/>
      <c r="M1810" s="37"/>
      <c r="N1810" s="37"/>
      <c r="O1810" s="37"/>
      <c r="P1810" s="37"/>
      <c r="Q1810" s="37"/>
      <c r="R1810" s="37"/>
    </row>
    <row r="1811" spans="2:18">
      <c r="B1811" s="44"/>
      <c r="C1811" s="45"/>
      <c r="D1811" s="25"/>
      <c r="E1811" s="25"/>
      <c r="F1811" s="25"/>
      <c r="G1811" s="25"/>
      <c r="H1811" s="25"/>
      <c r="I1811" s="25"/>
      <c r="J1811" s="25"/>
      <c r="K1811" s="25"/>
      <c r="L1811" s="25"/>
      <c r="M1811" s="25"/>
      <c r="N1811" s="25"/>
      <c r="O1811" s="25"/>
      <c r="P1811" s="25"/>
      <c r="Q1811" s="25"/>
      <c r="R1811" s="25"/>
    </row>
    <row r="1812" spans="2:18" ht="39.75">
      <c r="B1812" s="27"/>
      <c r="C1812" s="14"/>
      <c r="D1812" s="29"/>
      <c r="E1812" s="29"/>
      <c r="F1812" s="29"/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29"/>
    </row>
    <row r="1813" spans="2:18" ht="58.5">
      <c r="B1813" s="31">
        <f>B1809+1</f>
        <v>453</v>
      </c>
      <c r="C1813" s="14"/>
      <c r="D1813" s="32"/>
      <c r="E1813" s="32"/>
      <c r="F1813" s="32"/>
      <c r="G1813" s="32"/>
      <c r="H1813" s="32"/>
      <c r="I1813" s="32"/>
      <c r="J1813" s="32"/>
      <c r="K1813" s="32"/>
      <c r="L1813" s="32"/>
      <c r="M1813" s="32"/>
      <c r="N1813" s="32"/>
      <c r="O1813" s="32"/>
      <c r="P1813" s="32"/>
      <c r="Q1813" s="32"/>
      <c r="R1813" s="32"/>
    </row>
    <row r="1814" spans="2:18">
      <c r="B1814" s="35"/>
      <c r="C1814" s="14"/>
      <c r="D1814" s="37"/>
      <c r="E1814" s="37"/>
      <c r="F1814" s="37"/>
      <c r="G1814" s="37"/>
      <c r="H1814" s="37"/>
      <c r="I1814" s="37"/>
      <c r="J1814" s="37"/>
      <c r="K1814" s="37"/>
      <c r="L1814" s="37"/>
      <c r="M1814" s="37"/>
      <c r="N1814" s="37"/>
      <c r="O1814" s="37"/>
      <c r="P1814" s="37"/>
      <c r="Q1814" s="37"/>
      <c r="R1814" s="37"/>
    </row>
    <row r="1815" spans="2:18">
      <c r="B1815" s="22"/>
      <c r="C1815" s="47"/>
      <c r="D1815" s="25"/>
      <c r="E1815" s="25"/>
      <c r="F1815" s="25"/>
      <c r="G1815" s="25"/>
      <c r="H1815" s="25"/>
      <c r="I1815" s="25"/>
      <c r="J1815" s="25"/>
      <c r="K1815" s="25"/>
      <c r="L1815" s="25"/>
      <c r="M1815" s="25"/>
      <c r="N1815" s="25"/>
      <c r="O1815" s="25"/>
      <c r="P1815" s="25"/>
      <c r="Q1815" s="25"/>
      <c r="R1815" s="25"/>
    </row>
    <row r="1816" spans="2:18" ht="39.75">
      <c r="B1816" s="27"/>
      <c r="C1816" s="14"/>
      <c r="D1816" s="29"/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</row>
    <row r="1817" spans="2:18" ht="58.5">
      <c r="B1817" s="31">
        <f>B1813+1</f>
        <v>454</v>
      </c>
      <c r="C1817" s="14"/>
      <c r="D1817" s="32"/>
      <c r="E1817" s="32"/>
      <c r="F1817" s="32"/>
      <c r="G1817" s="32"/>
      <c r="H1817" s="32"/>
      <c r="I1817" s="32"/>
      <c r="J1817" s="32"/>
      <c r="K1817" s="32"/>
      <c r="L1817" s="32"/>
      <c r="M1817" s="32"/>
      <c r="N1817" s="32"/>
      <c r="O1817" s="32"/>
      <c r="P1817" s="32"/>
      <c r="Q1817" s="32"/>
      <c r="R1817" s="32"/>
    </row>
    <row r="1818" spans="2:18">
      <c r="B1818" s="35"/>
      <c r="C1818" s="14"/>
      <c r="D1818" s="37"/>
      <c r="E1818" s="37"/>
      <c r="F1818" s="37"/>
      <c r="G1818" s="37"/>
      <c r="H1818" s="37"/>
      <c r="I1818" s="37"/>
      <c r="J1818" s="37"/>
      <c r="K1818" s="37"/>
      <c r="L1818" s="37"/>
      <c r="M1818" s="37"/>
      <c r="N1818" s="37"/>
      <c r="O1818" s="37"/>
      <c r="P1818" s="37"/>
      <c r="Q1818" s="37"/>
      <c r="R1818" s="37"/>
    </row>
    <row r="1819" spans="2:18">
      <c r="B1819" s="22"/>
      <c r="C1819" s="47"/>
      <c r="D1819" s="25"/>
      <c r="E1819" s="25"/>
      <c r="F1819" s="25"/>
      <c r="G1819" s="25"/>
      <c r="H1819" s="25"/>
      <c r="I1819" s="25"/>
      <c r="J1819" s="25"/>
      <c r="K1819" s="25"/>
      <c r="L1819" s="25"/>
      <c r="M1819" s="25"/>
      <c r="N1819" s="25"/>
      <c r="O1819" s="25"/>
      <c r="P1819" s="25"/>
      <c r="Q1819" s="25"/>
      <c r="R1819" s="25"/>
    </row>
    <row r="1820" spans="2:18" ht="39.75">
      <c r="B1820" s="27"/>
      <c r="C1820" s="14"/>
      <c r="D1820" s="29"/>
      <c r="E1820" s="29"/>
      <c r="F1820" s="29"/>
      <c r="G1820" s="29"/>
      <c r="H1820" s="29"/>
      <c r="I1820" s="29"/>
      <c r="J1820" s="29"/>
      <c r="K1820" s="29"/>
      <c r="L1820" s="29"/>
      <c r="M1820" s="29"/>
      <c r="N1820" s="29"/>
      <c r="O1820" s="29"/>
      <c r="P1820" s="29"/>
      <c r="Q1820" s="29"/>
      <c r="R1820" s="29"/>
    </row>
    <row r="1821" spans="2:18" ht="58.5">
      <c r="B1821" s="31">
        <f>B1817+1</f>
        <v>455</v>
      </c>
      <c r="C1821" s="14"/>
      <c r="D1821" s="32"/>
      <c r="E1821" s="32"/>
      <c r="F1821" s="32"/>
      <c r="G1821" s="32"/>
      <c r="H1821" s="32"/>
      <c r="I1821" s="32"/>
      <c r="J1821" s="32"/>
      <c r="K1821" s="32"/>
      <c r="L1821" s="32"/>
      <c r="M1821" s="32"/>
      <c r="N1821" s="32"/>
      <c r="O1821" s="32"/>
      <c r="P1821" s="32"/>
      <c r="Q1821" s="32"/>
      <c r="R1821" s="32"/>
    </row>
    <row r="1822" spans="2:18">
      <c r="B1822" s="35"/>
      <c r="C1822" s="14"/>
      <c r="D1822" s="37"/>
      <c r="E1822" s="37"/>
      <c r="F1822" s="37"/>
      <c r="G1822" s="37"/>
      <c r="H1822" s="37"/>
      <c r="I1822" s="37"/>
      <c r="J1822" s="37"/>
      <c r="K1822" s="37"/>
      <c r="L1822" s="37"/>
      <c r="M1822" s="37"/>
      <c r="N1822" s="37"/>
      <c r="O1822" s="37"/>
      <c r="P1822" s="37"/>
      <c r="Q1822" s="37"/>
      <c r="R1822" s="37"/>
    </row>
    <row r="1823" spans="2:18">
      <c r="B1823" s="22"/>
      <c r="C1823" s="47"/>
      <c r="D1823" s="25"/>
      <c r="E1823" s="25"/>
      <c r="F1823" s="25"/>
      <c r="G1823" s="25"/>
      <c r="H1823" s="25"/>
      <c r="I1823" s="25"/>
      <c r="J1823" s="25"/>
      <c r="K1823" s="25"/>
      <c r="L1823" s="25"/>
      <c r="M1823" s="25"/>
      <c r="N1823" s="25"/>
      <c r="O1823" s="25"/>
      <c r="P1823" s="25"/>
      <c r="Q1823" s="25"/>
      <c r="R1823" s="25"/>
    </row>
    <row r="1824" spans="2:18" ht="39.75">
      <c r="B1824" s="27"/>
      <c r="C1824" s="14"/>
      <c r="D1824" s="29"/>
      <c r="E1824" s="29"/>
      <c r="F1824" s="29"/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</row>
    <row r="1825" spans="2:18" ht="58.5">
      <c r="B1825" s="31">
        <f>B1821+1</f>
        <v>456</v>
      </c>
      <c r="C1825" s="14"/>
      <c r="D1825" s="32"/>
      <c r="E1825" s="32"/>
      <c r="F1825" s="32"/>
      <c r="G1825" s="32"/>
      <c r="H1825" s="32"/>
      <c r="I1825" s="32"/>
      <c r="J1825" s="32"/>
      <c r="K1825" s="32"/>
      <c r="L1825" s="32"/>
      <c r="M1825" s="32"/>
      <c r="N1825" s="32"/>
      <c r="O1825" s="32"/>
      <c r="P1825" s="32"/>
      <c r="Q1825" s="32"/>
      <c r="R1825" s="32"/>
    </row>
    <row r="1826" spans="2:18">
      <c r="B1826" s="35"/>
      <c r="C1826" s="14"/>
      <c r="D1826" s="37"/>
      <c r="E1826" s="37"/>
      <c r="F1826" s="37"/>
      <c r="G1826" s="37"/>
      <c r="H1826" s="37"/>
      <c r="I1826" s="37"/>
      <c r="J1826" s="37"/>
      <c r="K1826" s="37"/>
      <c r="L1826" s="37"/>
      <c r="M1826" s="37"/>
      <c r="N1826" s="37"/>
      <c r="O1826" s="37"/>
      <c r="P1826" s="37"/>
      <c r="Q1826" s="37"/>
      <c r="R1826" s="37"/>
    </row>
    <row r="1827" spans="2:18">
      <c r="B1827" s="22"/>
      <c r="C1827" s="47"/>
      <c r="D1827" s="25"/>
      <c r="E1827" s="25"/>
      <c r="F1827" s="25"/>
      <c r="G1827" s="25"/>
      <c r="H1827" s="25"/>
      <c r="I1827" s="25"/>
      <c r="J1827" s="25"/>
      <c r="K1827" s="25"/>
      <c r="L1827" s="25"/>
      <c r="M1827" s="25"/>
      <c r="N1827" s="25"/>
      <c r="O1827" s="25"/>
      <c r="P1827" s="25"/>
      <c r="Q1827" s="25"/>
      <c r="R1827" s="25"/>
    </row>
    <row r="1828" spans="2:18" ht="39.75">
      <c r="B1828" s="27"/>
      <c r="C1828" s="14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</row>
    <row r="1829" spans="2:18" ht="58.5">
      <c r="B1829" s="31">
        <f>B1825+1</f>
        <v>457</v>
      </c>
      <c r="C1829" s="14"/>
      <c r="D1829" s="32"/>
      <c r="E1829" s="32"/>
      <c r="F1829" s="32"/>
      <c r="G1829" s="32"/>
      <c r="H1829" s="32"/>
      <c r="I1829" s="32"/>
      <c r="J1829" s="32"/>
      <c r="K1829" s="32"/>
      <c r="L1829" s="32"/>
      <c r="M1829" s="32"/>
      <c r="N1829" s="32"/>
      <c r="O1829" s="32"/>
      <c r="P1829" s="32"/>
      <c r="Q1829" s="32"/>
      <c r="R1829" s="32"/>
    </row>
    <row r="1830" spans="2:18">
      <c r="B1830" s="35"/>
      <c r="C1830" s="14"/>
      <c r="D1830" s="37"/>
      <c r="E1830" s="37"/>
      <c r="F1830" s="37"/>
      <c r="G1830" s="37"/>
      <c r="H1830" s="37"/>
      <c r="I1830" s="37"/>
      <c r="J1830" s="37"/>
      <c r="K1830" s="37"/>
      <c r="L1830" s="37"/>
      <c r="M1830" s="37"/>
      <c r="N1830" s="37"/>
      <c r="O1830" s="37"/>
      <c r="P1830" s="37"/>
      <c r="Q1830" s="37"/>
      <c r="R1830" s="37"/>
    </row>
    <row r="1831" spans="2:18">
      <c r="B1831" s="22"/>
      <c r="C1831" s="47"/>
      <c r="D1831" s="25"/>
      <c r="E1831" s="25"/>
      <c r="F1831" s="25"/>
      <c r="G1831" s="25"/>
      <c r="H1831" s="25"/>
      <c r="I1831" s="25"/>
      <c r="J1831" s="25"/>
      <c r="K1831" s="25"/>
      <c r="L1831" s="25"/>
      <c r="M1831" s="25"/>
      <c r="N1831" s="25"/>
      <c r="O1831" s="25"/>
      <c r="P1831" s="25"/>
      <c r="Q1831" s="25"/>
      <c r="R1831" s="25"/>
    </row>
    <row r="1832" spans="2:18" ht="39.75">
      <c r="B1832" s="27"/>
      <c r="C1832" s="14"/>
      <c r="D1832" s="29"/>
      <c r="E1832" s="29"/>
      <c r="F1832" s="29"/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</row>
    <row r="1833" spans="2:18" ht="58.5">
      <c r="B1833" s="31">
        <f>B1829+1</f>
        <v>458</v>
      </c>
      <c r="C1833" s="14"/>
      <c r="D1833" s="32"/>
      <c r="E1833" s="32"/>
      <c r="F1833" s="32"/>
      <c r="G1833" s="32"/>
      <c r="H1833" s="32"/>
      <c r="I1833" s="32"/>
      <c r="J1833" s="32"/>
      <c r="K1833" s="32"/>
      <c r="L1833" s="32"/>
      <c r="M1833" s="32"/>
      <c r="N1833" s="32"/>
      <c r="O1833" s="32"/>
      <c r="P1833" s="32"/>
      <c r="Q1833" s="32"/>
      <c r="R1833" s="32"/>
    </row>
    <row r="1834" spans="2:18">
      <c r="B1834" s="35"/>
      <c r="C1834" s="14"/>
      <c r="D1834" s="37"/>
      <c r="E1834" s="37"/>
      <c r="F1834" s="37"/>
      <c r="G1834" s="37"/>
      <c r="H1834" s="37"/>
      <c r="I1834" s="37"/>
      <c r="J1834" s="37"/>
      <c r="K1834" s="37"/>
      <c r="L1834" s="37"/>
      <c r="M1834" s="37"/>
      <c r="N1834" s="37"/>
      <c r="O1834" s="37"/>
      <c r="P1834" s="37"/>
      <c r="Q1834" s="37"/>
      <c r="R1834" s="37"/>
    </row>
    <row r="1835" spans="2:18">
      <c r="B1835" s="22"/>
      <c r="C1835" s="47"/>
      <c r="D1835" s="25"/>
      <c r="E1835" s="25"/>
      <c r="F1835" s="25"/>
      <c r="G1835" s="25"/>
      <c r="H1835" s="25"/>
      <c r="I1835" s="25"/>
      <c r="J1835" s="25"/>
      <c r="K1835" s="25"/>
      <c r="L1835" s="25"/>
      <c r="M1835" s="25"/>
      <c r="N1835" s="25"/>
      <c r="O1835" s="25"/>
      <c r="P1835" s="25"/>
      <c r="Q1835" s="25"/>
      <c r="R1835" s="25"/>
    </row>
    <row r="1836" spans="2:18" ht="39.75">
      <c r="B1836" s="27"/>
      <c r="C1836" s="14"/>
      <c r="D1836" s="29"/>
      <c r="E1836" s="29"/>
      <c r="F1836" s="29"/>
      <c r="G1836" s="29"/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</row>
    <row r="1837" spans="2:18" ht="58.5">
      <c r="B1837" s="31">
        <f>B1833+1</f>
        <v>459</v>
      </c>
      <c r="C1837" s="14"/>
      <c r="D1837" s="32"/>
      <c r="E1837" s="32"/>
      <c r="F1837" s="32"/>
      <c r="G1837" s="32"/>
      <c r="H1837" s="32"/>
      <c r="I1837" s="32"/>
      <c r="J1837" s="32"/>
      <c r="K1837" s="32"/>
      <c r="L1837" s="32"/>
      <c r="M1837" s="32"/>
      <c r="N1837" s="32"/>
      <c r="O1837" s="32"/>
      <c r="P1837" s="32"/>
      <c r="Q1837" s="32"/>
      <c r="R1837" s="32"/>
    </row>
    <row r="1838" spans="2:18">
      <c r="B1838" s="35"/>
      <c r="C1838" s="14"/>
      <c r="D1838" s="37"/>
      <c r="E1838" s="37"/>
      <c r="F1838" s="37"/>
      <c r="G1838" s="37"/>
      <c r="H1838" s="37"/>
      <c r="I1838" s="37"/>
      <c r="J1838" s="37"/>
      <c r="K1838" s="37"/>
      <c r="L1838" s="37"/>
      <c r="M1838" s="37"/>
      <c r="N1838" s="37"/>
      <c r="O1838" s="37"/>
      <c r="P1838" s="37"/>
      <c r="Q1838" s="37"/>
      <c r="R1838" s="37"/>
    </row>
    <row r="1839" spans="2:18">
      <c r="B1839" s="22"/>
      <c r="C1839" s="47"/>
      <c r="D1839" s="25"/>
      <c r="E1839" s="25"/>
      <c r="F1839" s="25"/>
      <c r="G1839" s="25"/>
      <c r="H1839" s="25"/>
      <c r="I1839" s="25"/>
      <c r="J1839" s="25"/>
      <c r="K1839" s="25"/>
      <c r="L1839" s="25"/>
      <c r="M1839" s="25"/>
      <c r="N1839" s="25"/>
      <c r="O1839" s="25"/>
      <c r="P1839" s="25"/>
      <c r="Q1839" s="25"/>
      <c r="R1839" s="25"/>
    </row>
    <row r="1840" spans="2:18" ht="39.75">
      <c r="B1840" s="27"/>
      <c r="C1840" s="14"/>
      <c r="D1840" s="29"/>
      <c r="E1840" s="29"/>
      <c r="F1840" s="29"/>
      <c r="G1840" s="29"/>
      <c r="H1840" s="29"/>
      <c r="I1840" s="29"/>
      <c r="J1840" s="29"/>
      <c r="K1840" s="29"/>
      <c r="L1840" s="29"/>
      <c r="M1840" s="29"/>
      <c r="N1840" s="29"/>
      <c r="O1840" s="29"/>
      <c r="P1840" s="29"/>
      <c r="Q1840" s="29"/>
      <c r="R1840" s="29"/>
    </row>
    <row r="1841" spans="2:18" ht="58.5">
      <c r="B1841" s="31">
        <f>B1837+1</f>
        <v>460</v>
      </c>
      <c r="C1841" s="14"/>
      <c r="D1841" s="32"/>
      <c r="E1841" s="32"/>
      <c r="F1841" s="32"/>
      <c r="G1841" s="32"/>
      <c r="H1841" s="32"/>
      <c r="I1841" s="32"/>
      <c r="J1841" s="32"/>
      <c r="K1841" s="32"/>
      <c r="L1841" s="32"/>
      <c r="M1841" s="32"/>
      <c r="N1841" s="32"/>
      <c r="O1841" s="32"/>
      <c r="P1841" s="32"/>
      <c r="Q1841" s="32"/>
      <c r="R1841" s="32"/>
    </row>
    <row r="1842" spans="2:18">
      <c r="B1842" s="35"/>
      <c r="C1842" s="14"/>
      <c r="D1842" s="37"/>
      <c r="E1842" s="37"/>
      <c r="F1842" s="37"/>
      <c r="G1842" s="37"/>
      <c r="H1842" s="37"/>
      <c r="I1842" s="37"/>
      <c r="J1842" s="37"/>
      <c r="K1842" s="37"/>
      <c r="L1842" s="37"/>
      <c r="M1842" s="37"/>
      <c r="N1842" s="37"/>
      <c r="O1842" s="37"/>
      <c r="P1842" s="37"/>
      <c r="Q1842" s="37"/>
      <c r="R1842" s="37"/>
    </row>
    <row r="1843" spans="2:18">
      <c r="B1843" s="22"/>
      <c r="C1843" s="47"/>
      <c r="D1843" s="25"/>
      <c r="E1843" s="25"/>
      <c r="F1843" s="25"/>
      <c r="G1843" s="25"/>
      <c r="H1843" s="25"/>
      <c r="I1843" s="25"/>
      <c r="J1843" s="25"/>
      <c r="K1843" s="25"/>
      <c r="L1843" s="25"/>
      <c r="M1843" s="25"/>
      <c r="N1843" s="25"/>
      <c r="O1843" s="25"/>
      <c r="P1843" s="25"/>
      <c r="Q1843" s="25"/>
      <c r="R1843" s="25"/>
    </row>
    <row r="1844" spans="2:18" ht="39.75">
      <c r="B1844" s="27"/>
      <c r="C1844" s="14"/>
      <c r="D1844" s="29"/>
      <c r="E1844" s="29"/>
      <c r="F1844" s="29"/>
      <c r="G1844" s="29"/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29"/>
    </row>
    <row r="1845" spans="2:18" ht="58.5">
      <c r="B1845" s="31">
        <f>B1841+1</f>
        <v>461</v>
      </c>
      <c r="C1845" s="14"/>
      <c r="D1845" s="32"/>
      <c r="E1845" s="32"/>
      <c r="F1845" s="32"/>
      <c r="G1845" s="32"/>
      <c r="H1845" s="32"/>
      <c r="I1845" s="32"/>
      <c r="J1845" s="32"/>
      <c r="K1845" s="32"/>
      <c r="L1845" s="32"/>
      <c r="M1845" s="32"/>
      <c r="N1845" s="32"/>
      <c r="O1845" s="32"/>
      <c r="P1845" s="32"/>
      <c r="Q1845" s="32"/>
      <c r="R1845" s="32"/>
    </row>
    <row r="1846" spans="2:18">
      <c r="B1846" s="35"/>
      <c r="C1846" s="14"/>
      <c r="D1846" s="37"/>
      <c r="E1846" s="37"/>
      <c r="F1846" s="37"/>
      <c r="G1846" s="37"/>
      <c r="H1846" s="37"/>
      <c r="I1846" s="37"/>
      <c r="J1846" s="37"/>
      <c r="K1846" s="37"/>
      <c r="L1846" s="37"/>
      <c r="M1846" s="37"/>
      <c r="N1846" s="37"/>
      <c r="O1846" s="37"/>
      <c r="P1846" s="37"/>
      <c r="Q1846" s="37"/>
      <c r="R1846" s="37"/>
    </row>
    <row r="1847" spans="2:18">
      <c r="B1847" s="22"/>
      <c r="C1847" s="47"/>
      <c r="D1847" s="25"/>
      <c r="E1847" s="25"/>
      <c r="F1847" s="25"/>
      <c r="G1847" s="25"/>
      <c r="H1847" s="25"/>
      <c r="I1847" s="25"/>
      <c r="J1847" s="25"/>
      <c r="K1847" s="25"/>
      <c r="L1847" s="25"/>
      <c r="M1847" s="25"/>
      <c r="N1847" s="25"/>
      <c r="O1847" s="25"/>
      <c r="P1847" s="25"/>
      <c r="Q1847" s="25"/>
      <c r="R1847" s="25"/>
    </row>
    <row r="1848" spans="2:18" ht="39.75">
      <c r="B1848" s="27"/>
      <c r="C1848" s="14"/>
      <c r="D1848" s="29"/>
      <c r="E1848" s="29"/>
      <c r="F1848" s="29"/>
      <c r="G1848" s="29"/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</row>
    <row r="1849" spans="2:18" ht="58.5">
      <c r="B1849" s="31">
        <f>B1845+1</f>
        <v>462</v>
      </c>
      <c r="C1849" s="14"/>
      <c r="D1849" s="32"/>
      <c r="E1849" s="32"/>
      <c r="F1849" s="32"/>
      <c r="G1849" s="32"/>
      <c r="H1849" s="32"/>
      <c r="I1849" s="32"/>
      <c r="J1849" s="32"/>
      <c r="K1849" s="32"/>
      <c r="L1849" s="32"/>
      <c r="M1849" s="32"/>
      <c r="N1849" s="32"/>
      <c r="O1849" s="32"/>
      <c r="P1849" s="32"/>
      <c r="Q1849" s="32"/>
      <c r="R1849" s="32"/>
    </row>
    <row r="1850" spans="2:18">
      <c r="B1850" s="35"/>
      <c r="C1850" s="14"/>
      <c r="D1850" s="37"/>
      <c r="E1850" s="37"/>
      <c r="F1850" s="37"/>
      <c r="G1850" s="37"/>
      <c r="H1850" s="37"/>
      <c r="I1850" s="37"/>
      <c r="J1850" s="37"/>
      <c r="K1850" s="37"/>
      <c r="L1850" s="37"/>
      <c r="M1850" s="37"/>
      <c r="N1850" s="37"/>
      <c r="O1850" s="37"/>
      <c r="P1850" s="37"/>
      <c r="Q1850" s="37"/>
      <c r="R1850" s="37"/>
    </row>
    <row r="1851" spans="2:18">
      <c r="B1851" s="22"/>
      <c r="C1851" s="47"/>
      <c r="D1851" s="25"/>
      <c r="E1851" s="25"/>
      <c r="F1851" s="25"/>
      <c r="G1851" s="25"/>
      <c r="H1851" s="25"/>
      <c r="I1851" s="25"/>
      <c r="J1851" s="25"/>
      <c r="K1851" s="25"/>
      <c r="L1851" s="25"/>
      <c r="M1851" s="25"/>
      <c r="N1851" s="25"/>
      <c r="O1851" s="25"/>
      <c r="P1851" s="25"/>
      <c r="Q1851" s="25"/>
      <c r="R1851" s="25"/>
    </row>
    <row r="1852" spans="2:18" ht="39.75">
      <c r="B1852" s="27"/>
      <c r="C1852" s="14"/>
      <c r="D1852" s="29"/>
      <c r="E1852" s="29"/>
      <c r="F1852" s="29"/>
      <c r="G1852" s="29"/>
      <c r="H1852" s="29"/>
      <c r="I1852" s="29"/>
      <c r="J1852" s="29"/>
      <c r="K1852" s="29"/>
      <c r="L1852" s="29"/>
      <c r="M1852" s="29"/>
      <c r="N1852" s="29"/>
      <c r="O1852" s="29"/>
      <c r="P1852" s="29"/>
      <c r="Q1852" s="29"/>
      <c r="R1852" s="29"/>
    </row>
    <row r="1853" spans="2:18" ht="58.5">
      <c r="B1853" s="31">
        <f>B1849+1</f>
        <v>463</v>
      </c>
      <c r="C1853" s="14"/>
      <c r="D1853" s="32"/>
      <c r="E1853" s="32"/>
      <c r="F1853" s="32"/>
      <c r="G1853" s="32"/>
      <c r="H1853" s="32"/>
      <c r="I1853" s="32"/>
      <c r="J1853" s="32"/>
      <c r="K1853" s="32"/>
      <c r="L1853" s="32"/>
      <c r="M1853" s="32"/>
      <c r="N1853" s="32"/>
      <c r="O1853" s="32"/>
      <c r="P1853" s="32"/>
      <c r="Q1853" s="32"/>
      <c r="R1853" s="32"/>
    </row>
    <row r="1854" spans="2:18">
      <c r="B1854" s="35"/>
      <c r="C1854" s="14"/>
      <c r="D1854" s="37"/>
      <c r="E1854" s="37"/>
      <c r="F1854" s="37"/>
      <c r="G1854" s="37"/>
      <c r="H1854" s="37"/>
      <c r="I1854" s="37"/>
      <c r="J1854" s="37"/>
      <c r="K1854" s="37"/>
      <c r="L1854" s="37"/>
      <c r="M1854" s="37"/>
      <c r="N1854" s="37"/>
      <c r="O1854" s="37"/>
      <c r="P1854" s="37"/>
      <c r="Q1854" s="37"/>
      <c r="R1854" s="37"/>
    </row>
    <row r="1855" spans="2:18">
      <c r="B1855" s="22"/>
      <c r="C1855" s="47"/>
      <c r="D1855" s="25"/>
      <c r="E1855" s="25"/>
      <c r="F1855" s="25"/>
      <c r="G1855" s="25"/>
      <c r="H1855" s="25"/>
      <c r="I1855" s="25"/>
      <c r="J1855" s="25"/>
      <c r="K1855" s="25"/>
      <c r="L1855" s="25"/>
      <c r="M1855" s="25"/>
      <c r="N1855" s="25"/>
      <c r="O1855" s="25"/>
      <c r="P1855" s="25"/>
      <c r="Q1855" s="25"/>
      <c r="R1855" s="25"/>
    </row>
    <row r="1856" spans="2:18" ht="39.75">
      <c r="B1856" s="27"/>
      <c r="C1856" s="14"/>
      <c r="D1856" s="29"/>
      <c r="E1856" s="29"/>
      <c r="F1856" s="29"/>
      <c r="G1856" s="29"/>
      <c r="H1856" s="29"/>
      <c r="I1856" s="29"/>
      <c r="J1856" s="29"/>
      <c r="K1856" s="29"/>
      <c r="L1856" s="29"/>
      <c r="M1856" s="29"/>
      <c r="N1856" s="29"/>
      <c r="O1856" s="29"/>
      <c r="P1856" s="29"/>
      <c r="Q1856" s="29"/>
      <c r="R1856" s="29"/>
    </row>
    <row r="1857" spans="2:18" ht="58.5">
      <c r="B1857" s="31">
        <f>B1853+1</f>
        <v>464</v>
      </c>
      <c r="C1857" s="14"/>
      <c r="D1857" s="32"/>
      <c r="E1857" s="32"/>
      <c r="F1857" s="32"/>
      <c r="G1857" s="32"/>
      <c r="H1857" s="32"/>
      <c r="I1857" s="32"/>
      <c r="J1857" s="32"/>
      <c r="K1857" s="32"/>
      <c r="L1857" s="32"/>
      <c r="M1857" s="32"/>
      <c r="N1857" s="32"/>
      <c r="O1857" s="32"/>
      <c r="P1857" s="32"/>
      <c r="Q1857" s="32"/>
      <c r="R1857" s="32"/>
    </row>
    <row r="1858" spans="2:18">
      <c r="B1858" s="35"/>
      <c r="C1858" s="14"/>
      <c r="D1858" s="37"/>
      <c r="E1858" s="37"/>
      <c r="F1858" s="37"/>
      <c r="G1858" s="37"/>
      <c r="H1858" s="37"/>
      <c r="I1858" s="37"/>
      <c r="J1858" s="37"/>
      <c r="K1858" s="37"/>
      <c r="L1858" s="37"/>
      <c r="M1858" s="37"/>
      <c r="N1858" s="37"/>
      <c r="O1858" s="37"/>
      <c r="P1858" s="37"/>
      <c r="Q1858" s="37"/>
      <c r="R1858" s="37"/>
    </row>
    <row r="1859" spans="2:18">
      <c r="B1859" s="22"/>
      <c r="C1859" s="47"/>
      <c r="D1859" s="25"/>
      <c r="E1859" s="25"/>
      <c r="F1859" s="25"/>
      <c r="G1859" s="25"/>
      <c r="H1859" s="25"/>
      <c r="I1859" s="25"/>
      <c r="J1859" s="25"/>
      <c r="K1859" s="25"/>
      <c r="L1859" s="25"/>
      <c r="M1859" s="25"/>
      <c r="N1859" s="25"/>
      <c r="O1859" s="25"/>
      <c r="P1859" s="25"/>
      <c r="Q1859" s="25"/>
      <c r="R1859" s="25"/>
    </row>
    <row r="1860" spans="2:18" ht="39.75">
      <c r="B1860" s="27"/>
      <c r="C1860" s="14"/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</row>
    <row r="1861" spans="2:18" ht="58.5">
      <c r="B1861" s="31">
        <f>B1857+1</f>
        <v>465</v>
      </c>
      <c r="C1861" s="14"/>
      <c r="D1861" s="32"/>
      <c r="E1861" s="32"/>
      <c r="F1861" s="32"/>
      <c r="G1861" s="32"/>
      <c r="H1861" s="32"/>
      <c r="I1861" s="32"/>
      <c r="J1861" s="32"/>
      <c r="K1861" s="32"/>
      <c r="L1861" s="32"/>
      <c r="M1861" s="32"/>
      <c r="N1861" s="32"/>
      <c r="O1861" s="32"/>
      <c r="P1861" s="32"/>
      <c r="Q1861" s="32"/>
      <c r="R1861" s="32"/>
    </row>
    <row r="1862" spans="2:18">
      <c r="B1862" s="35"/>
      <c r="C1862" s="14"/>
      <c r="D1862" s="37"/>
      <c r="E1862" s="37"/>
      <c r="F1862" s="37"/>
      <c r="G1862" s="37"/>
      <c r="H1862" s="37"/>
      <c r="I1862" s="37"/>
      <c r="J1862" s="37"/>
      <c r="K1862" s="37"/>
      <c r="L1862" s="37"/>
      <c r="M1862" s="37"/>
      <c r="N1862" s="37"/>
      <c r="O1862" s="37"/>
      <c r="P1862" s="37"/>
      <c r="Q1862" s="37"/>
      <c r="R1862" s="37"/>
    </row>
    <row r="1863" spans="2:18">
      <c r="B1863" s="22"/>
      <c r="C1863" s="47"/>
      <c r="D1863" s="25"/>
      <c r="E1863" s="25"/>
      <c r="F1863" s="25"/>
      <c r="G1863" s="25"/>
      <c r="H1863" s="25"/>
      <c r="I1863" s="25"/>
      <c r="J1863" s="25"/>
      <c r="K1863" s="25"/>
      <c r="L1863" s="25"/>
      <c r="M1863" s="25"/>
      <c r="N1863" s="25"/>
      <c r="O1863" s="25"/>
      <c r="P1863" s="25"/>
      <c r="Q1863" s="25"/>
      <c r="R1863" s="25"/>
    </row>
    <row r="1864" spans="2:18" ht="39.75">
      <c r="B1864" s="27"/>
      <c r="C1864" s="14"/>
      <c r="D1864" s="29"/>
      <c r="E1864" s="29"/>
      <c r="F1864" s="29"/>
      <c r="G1864" s="29"/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29"/>
    </row>
    <row r="1865" spans="2:18" ht="58.5">
      <c r="B1865" s="31">
        <f>B1861+1</f>
        <v>466</v>
      </c>
      <c r="C1865" s="14"/>
      <c r="D1865" s="32"/>
      <c r="E1865" s="32"/>
      <c r="F1865" s="32"/>
      <c r="G1865" s="32"/>
      <c r="H1865" s="32"/>
      <c r="I1865" s="32"/>
      <c r="J1865" s="32"/>
      <c r="K1865" s="32"/>
      <c r="L1865" s="32"/>
      <c r="M1865" s="32"/>
      <c r="N1865" s="32"/>
      <c r="O1865" s="32"/>
      <c r="P1865" s="32"/>
      <c r="Q1865" s="32"/>
      <c r="R1865" s="32"/>
    </row>
    <row r="1866" spans="2:18">
      <c r="B1866" s="35"/>
      <c r="C1866" s="14"/>
      <c r="D1866" s="37"/>
      <c r="E1866" s="37"/>
      <c r="F1866" s="37"/>
      <c r="G1866" s="37"/>
      <c r="H1866" s="37"/>
      <c r="I1866" s="37"/>
      <c r="J1866" s="37"/>
      <c r="K1866" s="37"/>
      <c r="L1866" s="37"/>
      <c r="M1866" s="37"/>
      <c r="N1866" s="37"/>
      <c r="O1866" s="37"/>
      <c r="P1866" s="37"/>
      <c r="Q1866" s="37"/>
      <c r="R1866" s="37"/>
    </row>
    <row r="1867" spans="2:18">
      <c r="B1867" s="22"/>
      <c r="C1867" s="47"/>
      <c r="D1867" s="25"/>
      <c r="E1867" s="25"/>
      <c r="F1867" s="25"/>
      <c r="G1867" s="25"/>
      <c r="H1867" s="25"/>
      <c r="I1867" s="25"/>
      <c r="J1867" s="25"/>
      <c r="K1867" s="25"/>
      <c r="L1867" s="25"/>
      <c r="M1867" s="25"/>
      <c r="N1867" s="25"/>
      <c r="O1867" s="25"/>
      <c r="P1867" s="25"/>
      <c r="Q1867" s="25"/>
      <c r="R1867" s="25"/>
    </row>
    <row r="1868" spans="2:18" ht="39.75">
      <c r="B1868" s="27"/>
      <c r="C1868" s="14"/>
      <c r="D1868" s="29"/>
      <c r="E1868" s="29"/>
      <c r="F1868" s="29"/>
      <c r="G1868" s="29"/>
      <c r="H1868" s="29"/>
      <c r="I1868" s="29"/>
      <c r="J1868" s="29"/>
      <c r="K1868" s="29"/>
      <c r="L1868" s="29"/>
      <c r="M1868" s="29"/>
      <c r="N1868" s="29"/>
      <c r="O1868" s="29"/>
      <c r="P1868" s="29"/>
      <c r="Q1868" s="29"/>
      <c r="R1868" s="29"/>
    </row>
    <row r="1869" spans="2:18" ht="58.5">
      <c r="B1869" s="31">
        <f>B1865+1</f>
        <v>467</v>
      </c>
      <c r="C1869" s="14"/>
      <c r="D1869" s="32"/>
      <c r="E1869" s="32"/>
      <c r="F1869" s="32"/>
      <c r="G1869" s="32"/>
      <c r="H1869" s="32"/>
      <c r="I1869" s="32"/>
      <c r="J1869" s="32"/>
      <c r="K1869" s="32"/>
      <c r="L1869" s="32"/>
      <c r="M1869" s="32"/>
      <c r="N1869" s="32"/>
      <c r="O1869" s="32"/>
      <c r="P1869" s="32"/>
      <c r="Q1869" s="32"/>
      <c r="R1869" s="32"/>
    </row>
    <row r="1870" spans="2:18">
      <c r="B1870" s="35"/>
      <c r="C1870" s="14"/>
      <c r="D1870" s="37"/>
      <c r="E1870" s="37"/>
      <c r="F1870" s="37"/>
      <c r="G1870" s="37"/>
      <c r="H1870" s="37"/>
      <c r="I1870" s="37"/>
      <c r="J1870" s="37"/>
      <c r="K1870" s="37"/>
      <c r="L1870" s="37"/>
      <c r="M1870" s="37"/>
      <c r="N1870" s="37"/>
      <c r="O1870" s="37"/>
      <c r="P1870" s="37"/>
      <c r="Q1870" s="37"/>
      <c r="R1870" s="37"/>
    </row>
    <row r="1871" spans="2:18">
      <c r="B1871" s="22"/>
      <c r="C1871" s="47"/>
      <c r="D1871" s="25"/>
      <c r="E1871" s="25"/>
      <c r="F1871" s="25"/>
      <c r="G1871" s="25"/>
      <c r="H1871" s="25"/>
      <c r="I1871" s="25"/>
      <c r="J1871" s="25"/>
      <c r="K1871" s="25"/>
      <c r="L1871" s="25"/>
      <c r="M1871" s="25"/>
      <c r="N1871" s="25"/>
      <c r="O1871" s="25"/>
      <c r="P1871" s="25"/>
      <c r="Q1871" s="25"/>
      <c r="R1871" s="25"/>
    </row>
    <row r="1872" spans="2:18" ht="39.75">
      <c r="B1872" s="27"/>
      <c r="C1872" s="14"/>
      <c r="D1872" s="29"/>
      <c r="E1872" s="29"/>
      <c r="F1872" s="29"/>
      <c r="G1872" s="29"/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</row>
    <row r="1873" spans="2:18" ht="58.5">
      <c r="B1873" s="31">
        <f>B1869+1</f>
        <v>468</v>
      </c>
      <c r="C1873" s="14"/>
      <c r="D1873" s="32"/>
      <c r="E1873" s="32"/>
      <c r="F1873" s="32"/>
      <c r="G1873" s="32"/>
      <c r="H1873" s="32"/>
      <c r="I1873" s="32"/>
      <c r="J1873" s="32"/>
      <c r="K1873" s="32"/>
      <c r="L1873" s="32"/>
      <c r="M1873" s="32"/>
      <c r="N1873" s="32"/>
      <c r="O1873" s="32"/>
      <c r="P1873" s="32"/>
      <c r="Q1873" s="32"/>
      <c r="R1873" s="32"/>
    </row>
    <row r="1874" spans="2:18">
      <c r="B1874" s="35"/>
      <c r="C1874" s="14"/>
      <c r="D1874" s="37"/>
      <c r="E1874" s="37"/>
      <c r="F1874" s="37"/>
      <c r="G1874" s="37"/>
      <c r="H1874" s="37"/>
      <c r="I1874" s="37"/>
      <c r="J1874" s="37"/>
      <c r="K1874" s="37"/>
      <c r="L1874" s="37"/>
      <c r="M1874" s="37"/>
      <c r="N1874" s="37"/>
      <c r="O1874" s="37"/>
      <c r="P1874" s="37"/>
      <c r="Q1874" s="37"/>
      <c r="R1874" s="37"/>
    </row>
    <row r="1875" spans="2:18">
      <c r="B1875" s="22"/>
      <c r="C1875" s="47"/>
      <c r="D1875" s="25"/>
      <c r="E1875" s="25"/>
      <c r="F1875" s="25"/>
      <c r="G1875" s="25"/>
      <c r="H1875" s="25"/>
      <c r="I1875" s="25"/>
      <c r="J1875" s="25"/>
      <c r="K1875" s="25"/>
      <c r="L1875" s="25"/>
      <c r="M1875" s="25"/>
      <c r="N1875" s="25"/>
      <c r="O1875" s="25"/>
      <c r="P1875" s="25"/>
      <c r="Q1875" s="25"/>
      <c r="R1875" s="25"/>
    </row>
    <row r="1876" spans="2:18" ht="39.75">
      <c r="B1876" s="27"/>
      <c r="C1876" s="14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</row>
    <row r="1877" spans="2:18" ht="58.5">
      <c r="B1877" s="31">
        <f>B1873+1</f>
        <v>469</v>
      </c>
      <c r="C1877" s="14"/>
      <c r="D1877" s="32"/>
      <c r="E1877" s="32"/>
      <c r="F1877" s="32"/>
      <c r="G1877" s="32"/>
      <c r="H1877" s="32"/>
      <c r="I1877" s="32"/>
      <c r="J1877" s="32"/>
      <c r="K1877" s="32"/>
      <c r="L1877" s="32"/>
      <c r="M1877" s="32"/>
      <c r="N1877" s="32"/>
      <c r="O1877" s="32"/>
      <c r="P1877" s="32"/>
      <c r="Q1877" s="32"/>
      <c r="R1877" s="32"/>
    </row>
    <row r="1878" spans="2:18">
      <c r="B1878" s="35"/>
      <c r="C1878" s="14"/>
      <c r="D1878" s="37"/>
      <c r="E1878" s="37"/>
      <c r="F1878" s="37"/>
      <c r="G1878" s="37"/>
      <c r="H1878" s="37"/>
      <c r="I1878" s="37"/>
      <c r="J1878" s="37"/>
      <c r="K1878" s="37"/>
      <c r="L1878" s="37"/>
      <c r="M1878" s="37"/>
      <c r="N1878" s="37"/>
      <c r="O1878" s="37"/>
      <c r="P1878" s="37"/>
      <c r="Q1878" s="37"/>
      <c r="R1878" s="37"/>
    </row>
    <row r="1879" spans="2:18">
      <c r="B1879" s="22"/>
      <c r="C1879" s="47"/>
      <c r="D1879" s="25"/>
      <c r="E1879" s="25"/>
      <c r="F1879" s="25"/>
      <c r="G1879" s="25"/>
      <c r="H1879" s="25"/>
      <c r="I1879" s="25"/>
      <c r="J1879" s="25"/>
      <c r="K1879" s="25"/>
      <c r="L1879" s="25"/>
      <c r="M1879" s="25"/>
      <c r="N1879" s="25"/>
      <c r="O1879" s="25"/>
      <c r="P1879" s="25"/>
      <c r="Q1879" s="25"/>
      <c r="R1879" s="25"/>
    </row>
    <row r="1880" spans="2:18" ht="39.75">
      <c r="B1880" s="27"/>
      <c r="C1880" s="14"/>
      <c r="D1880" s="29"/>
      <c r="E1880" s="29"/>
      <c r="F1880" s="29"/>
      <c r="G1880" s="29"/>
      <c r="H1880" s="29"/>
      <c r="I1880" s="29"/>
      <c r="J1880" s="29"/>
      <c r="K1880" s="29"/>
      <c r="L1880" s="29"/>
      <c r="M1880" s="29"/>
      <c r="N1880" s="29"/>
      <c r="O1880" s="29"/>
      <c r="P1880" s="29"/>
      <c r="Q1880" s="29"/>
      <c r="R1880" s="29"/>
    </row>
    <row r="1881" spans="2:18" ht="58.5">
      <c r="B1881" s="31">
        <f>B1877+1</f>
        <v>470</v>
      </c>
      <c r="C1881" s="14"/>
      <c r="D1881" s="32"/>
      <c r="E1881" s="32"/>
      <c r="F1881" s="32"/>
      <c r="G1881" s="32"/>
      <c r="H1881" s="32"/>
      <c r="I1881" s="32"/>
      <c r="J1881" s="32"/>
      <c r="K1881" s="32"/>
      <c r="L1881" s="32"/>
      <c r="M1881" s="32"/>
      <c r="N1881" s="32"/>
      <c r="O1881" s="32"/>
      <c r="P1881" s="32"/>
      <c r="Q1881" s="32"/>
      <c r="R1881" s="32"/>
    </row>
    <row r="1882" spans="2:18">
      <c r="B1882" s="35"/>
      <c r="C1882" s="14"/>
      <c r="D1882" s="37"/>
      <c r="E1882" s="37"/>
      <c r="F1882" s="37"/>
      <c r="G1882" s="37"/>
      <c r="H1882" s="37"/>
      <c r="I1882" s="37"/>
      <c r="J1882" s="37"/>
      <c r="K1882" s="37"/>
      <c r="L1882" s="37"/>
      <c r="M1882" s="37"/>
      <c r="N1882" s="37"/>
      <c r="O1882" s="37"/>
      <c r="P1882" s="37"/>
      <c r="Q1882" s="37"/>
      <c r="R1882" s="37"/>
    </row>
    <row r="1883" spans="2:18">
      <c r="B1883" s="22"/>
      <c r="C1883" s="47"/>
      <c r="D1883" s="25"/>
      <c r="E1883" s="25"/>
      <c r="F1883" s="25"/>
      <c r="G1883" s="25"/>
      <c r="H1883" s="25"/>
      <c r="I1883" s="25"/>
      <c r="J1883" s="25"/>
      <c r="K1883" s="25"/>
      <c r="L1883" s="25"/>
      <c r="M1883" s="25"/>
      <c r="N1883" s="25"/>
      <c r="O1883" s="25"/>
      <c r="P1883" s="25"/>
      <c r="Q1883" s="25"/>
      <c r="R1883" s="25"/>
    </row>
    <row r="1884" spans="2:18" ht="39.75">
      <c r="B1884" s="27"/>
      <c r="C1884" s="14"/>
      <c r="D1884" s="29"/>
      <c r="E1884" s="29"/>
      <c r="F1884" s="29"/>
      <c r="G1884" s="29"/>
      <c r="H1884" s="29"/>
      <c r="I1884" s="29"/>
      <c r="J1884" s="29"/>
      <c r="K1884" s="29"/>
      <c r="L1884" s="29"/>
      <c r="M1884" s="29"/>
      <c r="N1884" s="29"/>
      <c r="O1884" s="29"/>
      <c r="P1884" s="29"/>
      <c r="Q1884" s="29"/>
      <c r="R1884" s="29"/>
    </row>
    <row r="1885" spans="2:18" ht="58.5">
      <c r="B1885" s="31">
        <f>B1881+1</f>
        <v>471</v>
      </c>
      <c r="C1885" s="14"/>
      <c r="D1885" s="32"/>
      <c r="E1885" s="32"/>
      <c r="F1885" s="32"/>
      <c r="G1885" s="32"/>
      <c r="H1885" s="32"/>
      <c r="I1885" s="32"/>
      <c r="J1885" s="32"/>
      <c r="K1885" s="32"/>
      <c r="L1885" s="32"/>
      <c r="M1885" s="32"/>
      <c r="N1885" s="32"/>
      <c r="O1885" s="32"/>
      <c r="P1885" s="32"/>
      <c r="Q1885" s="32"/>
      <c r="R1885" s="32"/>
    </row>
    <row r="1886" spans="2:18">
      <c r="B1886" s="35"/>
      <c r="C1886" s="14"/>
      <c r="D1886" s="37"/>
      <c r="E1886" s="37"/>
      <c r="F1886" s="37"/>
      <c r="G1886" s="37"/>
      <c r="H1886" s="37"/>
      <c r="I1886" s="37"/>
      <c r="J1886" s="37"/>
      <c r="K1886" s="37"/>
      <c r="L1886" s="37"/>
      <c r="M1886" s="37"/>
      <c r="N1886" s="37"/>
      <c r="O1886" s="37"/>
      <c r="P1886" s="37"/>
      <c r="Q1886" s="37"/>
      <c r="R1886" s="37"/>
    </row>
    <row r="1887" spans="2:18">
      <c r="B1887" s="22"/>
      <c r="C1887" s="47"/>
      <c r="D1887" s="25"/>
      <c r="E1887" s="25"/>
      <c r="F1887" s="25"/>
      <c r="G1887" s="25"/>
      <c r="H1887" s="25"/>
      <c r="I1887" s="25"/>
      <c r="J1887" s="25"/>
      <c r="K1887" s="25"/>
      <c r="L1887" s="25"/>
      <c r="M1887" s="25"/>
      <c r="N1887" s="25"/>
      <c r="O1887" s="25"/>
      <c r="P1887" s="25"/>
      <c r="Q1887" s="25"/>
      <c r="R1887" s="25"/>
    </row>
    <row r="1888" spans="2:18" ht="39.75">
      <c r="B1888" s="27"/>
      <c r="C1888" s="14"/>
      <c r="D1888" s="29"/>
      <c r="E1888" s="29"/>
      <c r="F1888" s="29"/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29"/>
    </row>
    <row r="1889" spans="2:18" ht="58.5">
      <c r="B1889" s="31">
        <f>B1885+1</f>
        <v>472</v>
      </c>
      <c r="C1889" s="14"/>
      <c r="D1889" s="32"/>
      <c r="E1889" s="32"/>
      <c r="F1889" s="32"/>
      <c r="G1889" s="32"/>
      <c r="H1889" s="32"/>
      <c r="I1889" s="32"/>
      <c r="J1889" s="32"/>
      <c r="K1889" s="32"/>
      <c r="L1889" s="32"/>
      <c r="M1889" s="32"/>
      <c r="N1889" s="32"/>
      <c r="O1889" s="32"/>
      <c r="P1889" s="32"/>
      <c r="Q1889" s="32"/>
      <c r="R1889" s="32"/>
    </row>
    <row r="1890" spans="2:18">
      <c r="B1890" s="35"/>
      <c r="C1890" s="14"/>
      <c r="D1890" s="37"/>
      <c r="E1890" s="37"/>
      <c r="F1890" s="37"/>
      <c r="G1890" s="37"/>
      <c r="H1890" s="37"/>
      <c r="I1890" s="37"/>
      <c r="J1890" s="37"/>
      <c r="K1890" s="37"/>
      <c r="L1890" s="37"/>
      <c r="M1890" s="37"/>
      <c r="N1890" s="37"/>
      <c r="O1890" s="37"/>
      <c r="P1890" s="37"/>
      <c r="Q1890" s="37"/>
      <c r="R1890" s="37"/>
    </row>
    <row r="1891" spans="2:18">
      <c r="B1891" s="22"/>
      <c r="C1891" s="47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</row>
    <row r="1892" spans="2:18" ht="39.75">
      <c r="B1892" s="27"/>
      <c r="C1892" s="14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</row>
    <row r="1893" spans="2:18" ht="58.5">
      <c r="B1893" s="31">
        <f>B1889+1</f>
        <v>473</v>
      </c>
      <c r="C1893" s="14"/>
      <c r="D1893" s="32"/>
      <c r="E1893" s="32"/>
      <c r="F1893" s="32"/>
      <c r="G1893" s="32"/>
      <c r="H1893" s="32"/>
      <c r="I1893" s="32"/>
      <c r="J1893" s="32"/>
      <c r="K1893" s="32"/>
      <c r="L1893" s="32"/>
      <c r="M1893" s="32"/>
      <c r="N1893" s="32"/>
      <c r="O1893" s="32"/>
      <c r="P1893" s="32"/>
      <c r="Q1893" s="32"/>
      <c r="R1893" s="32"/>
    </row>
    <row r="1894" spans="2:18">
      <c r="B1894" s="35"/>
      <c r="C1894" s="14"/>
      <c r="D1894" s="37"/>
      <c r="E1894" s="37"/>
      <c r="F1894" s="37"/>
      <c r="G1894" s="37"/>
      <c r="H1894" s="37"/>
      <c r="I1894" s="37"/>
      <c r="J1894" s="37"/>
      <c r="K1894" s="37"/>
      <c r="L1894" s="37"/>
      <c r="M1894" s="37"/>
      <c r="N1894" s="37"/>
      <c r="O1894" s="37"/>
      <c r="P1894" s="37"/>
      <c r="Q1894" s="37"/>
      <c r="R1894" s="37"/>
    </row>
    <row r="1895" spans="2:18">
      <c r="B1895" s="22"/>
      <c r="C1895" s="47"/>
      <c r="D1895" s="25"/>
      <c r="E1895" s="25"/>
      <c r="F1895" s="25"/>
      <c r="G1895" s="25"/>
      <c r="H1895" s="25"/>
      <c r="I1895" s="25"/>
      <c r="J1895" s="25"/>
      <c r="K1895" s="25"/>
      <c r="L1895" s="25"/>
      <c r="M1895" s="25"/>
      <c r="N1895" s="25"/>
      <c r="O1895" s="25"/>
      <c r="P1895" s="25"/>
      <c r="Q1895" s="25"/>
      <c r="R1895" s="25"/>
    </row>
    <row r="1896" spans="2:18" ht="39.75">
      <c r="B1896" s="27"/>
      <c r="C1896" s="14"/>
      <c r="D1896" s="29"/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</row>
    <row r="1897" spans="2:18" ht="58.5">
      <c r="B1897" s="31">
        <f>B1893+1</f>
        <v>474</v>
      </c>
      <c r="C1897" s="14"/>
      <c r="D1897" s="32"/>
      <c r="E1897" s="32"/>
      <c r="F1897" s="32"/>
      <c r="G1897" s="32"/>
      <c r="H1897" s="32"/>
      <c r="I1897" s="32"/>
      <c r="J1897" s="32"/>
      <c r="K1897" s="32"/>
      <c r="L1897" s="32"/>
      <c r="M1897" s="32"/>
      <c r="N1897" s="32"/>
      <c r="O1897" s="32"/>
      <c r="P1897" s="32"/>
      <c r="Q1897" s="32"/>
      <c r="R1897" s="32"/>
    </row>
    <row r="1898" spans="2:18">
      <c r="B1898" s="35"/>
      <c r="C1898" s="14"/>
      <c r="D1898" s="37"/>
      <c r="E1898" s="37"/>
      <c r="F1898" s="37"/>
      <c r="G1898" s="37"/>
      <c r="H1898" s="37"/>
      <c r="I1898" s="37"/>
      <c r="J1898" s="37"/>
      <c r="K1898" s="37"/>
      <c r="L1898" s="37"/>
      <c r="M1898" s="37"/>
      <c r="N1898" s="37"/>
      <c r="O1898" s="37"/>
      <c r="P1898" s="37"/>
      <c r="Q1898" s="37"/>
      <c r="R1898" s="37"/>
    </row>
    <row r="1899" spans="2:18">
      <c r="B1899" s="22"/>
      <c r="C1899" s="47"/>
      <c r="D1899" s="25"/>
      <c r="E1899" s="25"/>
      <c r="F1899" s="25"/>
      <c r="G1899" s="25"/>
      <c r="H1899" s="25"/>
      <c r="I1899" s="25"/>
      <c r="J1899" s="25"/>
      <c r="K1899" s="25"/>
      <c r="L1899" s="25"/>
      <c r="M1899" s="25"/>
      <c r="N1899" s="25"/>
      <c r="O1899" s="25"/>
      <c r="P1899" s="25"/>
      <c r="Q1899" s="25"/>
      <c r="R1899" s="25"/>
    </row>
    <row r="1900" spans="2:18" ht="39.75">
      <c r="B1900" s="27"/>
      <c r="C1900" s="14"/>
      <c r="D1900" s="29"/>
      <c r="E1900" s="29"/>
      <c r="F1900" s="29"/>
      <c r="G1900" s="29"/>
      <c r="H1900" s="29"/>
      <c r="I1900" s="29"/>
      <c r="J1900" s="29"/>
      <c r="K1900" s="29"/>
      <c r="L1900" s="29"/>
      <c r="M1900" s="29"/>
      <c r="N1900" s="29"/>
      <c r="O1900" s="29"/>
      <c r="P1900" s="29"/>
      <c r="Q1900" s="29"/>
      <c r="R1900" s="29"/>
    </row>
    <row r="1901" spans="2:18" ht="58.5">
      <c r="B1901" s="31">
        <f>B1897+1</f>
        <v>475</v>
      </c>
      <c r="C1901" s="14"/>
      <c r="D1901" s="32"/>
      <c r="E1901" s="32"/>
      <c r="F1901" s="32"/>
      <c r="G1901" s="32"/>
      <c r="H1901" s="32"/>
      <c r="I1901" s="32"/>
      <c r="J1901" s="32"/>
      <c r="K1901" s="32"/>
      <c r="L1901" s="32"/>
      <c r="M1901" s="32"/>
      <c r="N1901" s="32"/>
      <c r="O1901" s="32"/>
      <c r="P1901" s="32"/>
      <c r="Q1901" s="32"/>
      <c r="R1901" s="32"/>
    </row>
    <row r="1902" spans="2:18">
      <c r="B1902" s="35"/>
      <c r="C1902" s="14"/>
      <c r="D1902" s="37"/>
      <c r="E1902" s="37"/>
      <c r="F1902" s="37"/>
      <c r="G1902" s="37"/>
      <c r="H1902" s="37"/>
      <c r="I1902" s="37"/>
      <c r="J1902" s="37"/>
      <c r="K1902" s="37"/>
      <c r="L1902" s="37"/>
      <c r="M1902" s="37"/>
      <c r="N1902" s="37"/>
      <c r="O1902" s="37"/>
      <c r="P1902" s="37"/>
      <c r="Q1902" s="37"/>
      <c r="R1902" s="37"/>
    </row>
    <row r="1903" spans="2:18">
      <c r="B1903" s="22"/>
      <c r="C1903" s="47"/>
      <c r="D1903" s="25"/>
      <c r="E1903" s="25"/>
      <c r="F1903" s="25"/>
      <c r="G1903" s="25"/>
      <c r="H1903" s="25"/>
      <c r="I1903" s="25"/>
      <c r="J1903" s="25"/>
      <c r="K1903" s="25"/>
      <c r="L1903" s="25"/>
      <c r="M1903" s="25"/>
      <c r="N1903" s="25"/>
      <c r="O1903" s="25"/>
      <c r="P1903" s="25"/>
      <c r="Q1903" s="25"/>
      <c r="R1903" s="25"/>
    </row>
    <row r="1904" spans="2:18" ht="39.75">
      <c r="B1904" s="27"/>
      <c r="C1904" s="14"/>
      <c r="D1904" s="29"/>
      <c r="E1904" s="29"/>
      <c r="F1904" s="29"/>
      <c r="G1904" s="29"/>
      <c r="H1904" s="29"/>
      <c r="I1904" s="29"/>
      <c r="J1904" s="29"/>
      <c r="K1904" s="29"/>
      <c r="L1904" s="29"/>
      <c r="M1904" s="29"/>
      <c r="N1904" s="29"/>
      <c r="O1904" s="29"/>
      <c r="P1904" s="29"/>
      <c r="Q1904" s="29"/>
      <c r="R1904" s="29"/>
    </row>
    <row r="1905" spans="2:18" ht="58.5">
      <c r="B1905" s="31">
        <f>B1901+1</f>
        <v>476</v>
      </c>
      <c r="C1905" s="14"/>
      <c r="D1905" s="32"/>
      <c r="E1905" s="32"/>
      <c r="F1905" s="32"/>
      <c r="G1905" s="32"/>
      <c r="H1905" s="32"/>
      <c r="I1905" s="32"/>
      <c r="J1905" s="32"/>
      <c r="K1905" s="32"/>
      <c r="L1905" s="32"/>
      <c r="M1905" s="32"/>
      <c r="N1905" s="32"/>
      <c r="O1905" s="32"/>
      <c r="P1905" s="32"/>
      <c r="Q1905" s="32"/>
      <c r="R1905" s="32"/>
    </row>
    <row r="1906" spans="2:18">
      <c r="B1906" s="35"/>
      <c r="C1906" s="14"/>
      <c r="D1906" s="37"/>
      <c r="E1906" s="37"/>
      <c r="F1906" s="37"/>
      <c r="G1906" s="37"/>
      <c r="H1906" s="37"/>
      <c r="I1906" s="37"/>
      <c r="J1906" s="37"/>
      <c r="K1906" s="37"/>
      <c r="L1906" s="37"/>
      <c r="M1906" s="37"/>
      <c r="N1906" s="37"/>
      <c r="O1906" s="37"/>
      <c r="P1906" s="37"/>
      <c r="Q1906" s="37"/>
      <c r="R1906" s="37"/>
    </row>
    <row r="1907" spans="2:18">
      <c r="B1907" s="22"/>
      <c r="C1907" s="47"/>
      <c r="D1907" s="25"/>
      <c r="E1907" s="25"/>
      <c r="F1907" s="25"/>
      <c r="G1907" s="25"/>
      <c r="H1907" s="25"/>
      <c r="I1907" s="25"/>
      <c r="J1907" s="25"/>
      <c r="K1907" s="25"/>
      <c r="L1907" s="25"/>
      <c r="M1907" s="25"/>
      <c r="N1907" s="25"/>
      <c r="O1907" s="25"/>
      <c r="P1907" s="25"/>
      <c r="Q1907" s="25"/>
      <c r="R1907" s="25"/>
    </row>
    <row r="1908" spans="2:18" ht="39.75">
      <c r="B1908" s="27"/>
      <c r="C1908" s="14"/>
      <c r="D1908" s="29"/>
      <c r="E1908" s="29"/>
      <c r="F1908" s="29"/>
      <c r="G1908" s="29"/>
      <c r="H1908" s="29"/>
      <c r="I1908" s="29"/>
      <c r="J1908" s="29"/>
      <c r="K1908" s="29"/>
      <c r="L1908" s="29"/>
      <c r="M1908" s="29"/>
      <c r="N1908" s="29"/>
      <c r="O1908" s="29"/>
      <c r="P1908" s="29"/>
      <c r="Q1908" s="29"/>
      <c r="R1908" s="29"/>
    </row>
    <row r="1909" spans="2:18" ht="58.5">
      <c r="B1909" s="31">
        <f>B1905+1</f>
        <v>477</v>
      </c>
      <c r="C1909" s="14"/>
      <c r="D1909" s="32"/>
      <c r="E1909" s="32"/>
      <c r="F1909" s="32"/>
      <c r="G1909" s="32"/>
      <c r="H1909" s="32"/>
      <c r="I1909" s="32"/>
      <c r="J1909" s="32"/>
      <c r="K1909" s="32"/>
      <c r="L1909" s="32"/>
      <c r="M1909" s="32"/>
      <c r="N1909" s="32"/>
      <c r="O1909" s="32"/>
      <c r="P1909" s="32"/>
      <c r="Q1909" s="32"/>
      <c r="R1909" s="32"/>
    </row>
    <row r="1910" spans="2:18">
      <c r="B1910" s="35"/>
      <c r="C1910" s="14"/>
      <c r="D1910" s="37"/>
      <c r="E1910" s="37"/>
      <c r="F1910" s="37"/>
      <c r="G1910" s="37"/>
      <c r="H1910" s="37"/>
      <c r="I1910" s="37"/>
      <c r="J1910" s="37"/>
      <c r="K1910" s="37"/>
      <c r="L1910" s="37"/>
      <c r="M1910" s="37"/>
      <c r="N1910" s="37"/>
      <c r="O1910" s="37"/>
      <c r="P1910" s="37"/>
      <c r="Q1910" s="37"/>
      <c r="R1910" s="37"/>
    </row>
    <row r="1911" spans="2:18">
      <c r="B1911" s="22"/>
      <c r="C1911" s="47"/>
      <c r="D1911" s="25"/>
      <c r="E1911" s="25"/>
      <c r="F1911" s="25"/>
      <c r="G1911" s="25"/>
      <c r="H1911" s="25"/>
      <c r="I1911" s="25"/>
      <c r="J1911" s="25"/>
      <c r="K1911" s="25"/>
      <c r="L1911" s="25"/>
      <c r="M1911" s="25"/>
      <c r="N1911" s="25"/>
      <c r="O1911" s="25"/>
      <c r="P1911" s="25"/>
      <c r="Q1911" s="25"/>
      <c r="R1911" s="25"/>
    </row>
    <row r="1912" spans="2:18" ht="39.75">
      <c r="B1912" s="27"/>
      <c r="C1912" s="14"/>
      <c r="D1912" s="29"/>
      <c r="E1912" s="29"/>
      <c r="F1912" s="29"/>
      <c r="G1912" s="29"/>
      <c r="H1912" s="29"/>
      <c r="I1912" s="29"/>
      <c r="J1912" s="29"/>
      <c r="K1912" s="29"/>
      <c r="L1912" s="29"/>
      <c r="M1912" s="29"/>
      <c r="N1912" s="29"/>
      <c r="O1912" s="29"/>
      <c r="P1912" s="29"/>
      <c r="Q1912" s="29"/>
      <c r="R1912" s="29"/>
    </row>
    <row r="1913" spans="2:18" ht="58.5">
      <c r="B1913" s="31">
        <f t="shared" ref="B1913" si="211">B1909+1</f>
        <v>478</v>
      </c>
      <c r="C1913" s="14"/>
      <c r="D1913" s="32"/>
      <c r="E1913" s="32"/>
      <c r="F1913" s="32"/>
      <c r="G1913" s="32"/>
      <c r="H1913" s="32"/>
      <c r="I1913" s="32"/>
      <c r="J1913" s="32"/>
      <c r="K1913" s="32"/>
      <c r="L1913" s="32"/>
      <c r="M1913" s="32"/>
      <c r="N1913" s="32"/>
      <c r="O1913" s="32"/>
      <c r="P1913" s="32"/>
      <c r="Q1913" s="32"/>
      <c r="R1913" s="32"/>
    </row>
    <row r="1914" spans="2:18">
      <c r="B1914" s="35"/>
      <c r="C1914" s="14"/>
      <c r="D1914" s="37"/>
      <c r="E1914" s="37"/>
      <c r="F1914" s="37"/>
      <c r="G1914" s="37"/>
      <c r="H1914" s="37"/>
      <c r="I1914" s="37"/>
      <c r="J1914" s="37"/>
      <c r="K1914" s="37"/>
      <c r="L1914" s="37"/>
      <c r="M1914" s="37"/>
      <c r="N1914" s="37"/>
      <c r="O1914" s="37"/>
      <c r="P1914" s="37"/>
      <c r="Q1914" s="37"/>
      <c r="R1914" s="37"/>
    </row>
    <row r="1915" spans="2:18">
      <c r="B1915" s="22"/>
      <c r="C1915" s="47"/>
      <c r="D1915" s="25"/>
      <c r="E1915" s="25"/>
      <c r="F1915" s="25"/>
      <c r="G1915" s="25"/>
      <c r="H1915" s="25"/>
      <c r="I1915" s="25"/>
      <c r="J1915" s="25"/>
      <c r="K1915" s="25"/>
      <c r="L1915" s="25"/>
      <c r="M1915" s="25"/>
      <c r="N1915" s="25"/>
      <c r="O1915" s="25"/>
      <c r="P1915" s="25"/>
      <c r="Q1915" s="25"/>
      <c r="R1915" s="25"/>
    </row>
    <row r="1916" spans="2:18" ht="39.75">
      <c r="B1916" s="27"/>
      <c r="C1916" s="14"/>
      <c r="D1916" s="29"/>
      <c r="E1916" s="29"/>
      <c r="F1916" s="29"/>
      <c r="G1916" s="29"/>
      <c r="H1916" s="29"/>
      <c r="I1916" s="29"/>
      <c r="J1916" s="29"/>
      <c r="K1916" s="29"/>
      <c r="L1916" s="29"/>
      <c r="M1916" s="29"/>
      <c r="N1916" s="29"/>
      <c r="O1916" s="29"/>
      <c r="P1916" s="29"/>
      <c r="Q1916" s="29"/>
      <c r="R1916" s="29"/>
    </row>
    <row r="1917" spans="2:18" ht="58.5">
      <c r="B1917" s="31">
        <f t="shared" ref="B1917" si="212">B1913+1</f>
        <v>479</v>
      </c>
      <c r="C1917" s="14"/>
      <c r="D1917" s="32"/>
      <c r="E1917" s="32"/>
      <c r="F1917" s="32"/>
      <c r="G1917" s="32"/>
      <c r="H1917" s="32"/>
      <c r="I1917" s="32"/>
      <c r="J1917" s="32"/>
      <c r="K1917" s="32"/>
      <c r="L1917" s="32"/>
      <c r="M1917" s="32"/>
      <c r="N1917" s="32"/>
      <c r="O1917" s="32"/>
      <c r="P1917" s="32"/>
      <c r="Q1917" s="32"/>
      <c r="R1917" s="32"/>
    </row>
    <row r="1918" spans="2:18">
      <c r="B1918" s="35"/>
      <c r="C1918" s="14"/>
      <c r="D1918" s="37"/>
      <c r="E1918" s="37"/>
      <c r="F1918" s="37"/>
      <c r="G1918" s="37"/>
      <c r="H1918" s="37"/>
      <c r="I1918" s="37"/>
      <c r="J1918" s="37"/>
      <c r="K1918" s="37"/>
      <c r="L1918" s="37"/>
      <c r="M1918" s="37"/>
      <c r="N1918" s="37"/>
      <c r="O1918" s="37"/>
      <c r="P1918" s="37"/>
      <c r="Q1918" s="37"/>
      <c r="R1918" s="37"/>
    </row>
    <row r="1919" spans="2:18">
      <c r="B1919" s="22"/>
      <c r="C1919" s="47"/>
      <c r="D1919" s="25"/>
      <c r="E1919" s="25"/>
      <c r="F1919" s="25"/>
      <c r="G1919" s="25"/>
      <c r="H1919" s="25"/>
      <c r="I1919" s="25"/>
      <c r="J1919" s="25"/>
      <c r="K1919" s="25"/>
      <c r="L1919" s="25"/>
      <c r="M1919" s="25"/>
      <c r="N1919" s="25"/>
      <c r="O1919" s="25"/>
      <c r="P1919" s="25"/>
      <c r="Q1919" s="25"/>
      <c r="R1919" s="25"/>
    </row>
    <row r="1920" spans="2:18" ht="39.75">
      <c r="B1920" s="27"/>
      <c r="C1920" s="14"/>
      <c r="D1920" s="29"/>
      <c r="E1920" s="29"/>
      <c r="F1920" s="29"/>
      <c r="G1920" s="29"/>
      <c r="H1920" s="29"/>
      <c r="I1920" s="29"/>
      <c r="J1920" s="29"/>
      <c r="K1920" s="29"/>
      <c r="L1920" s="29"/>
      <c r="M1920" s="29"/>
      <c r="N1920" s="29"/>
      <c r="O1920" s="29"/>
      <c r="P1920" s="29"/>
      <c r="Q1920" s="29"/>
      <c r="R1920" s="29"/>
    </row>
    <row r="1921" spans="2:18" ht="58.5">
      <c r="B1921" s="31">
        <f t="shared" ref="B1921" si="213">B1917+1</f>
        <v>480</v>
      </c>
      <c r="C1921" s="14"/>
      <c r="D1921" s="32"/>
      <c r="E1921" s="32"/>
      <c r="F1921" s="32"/>
      <c r="G1921" s="32"/>
      <c r="H1921" s="32"/>
      <c r="I1921" s="32"/>
      <c r="J1921" s="32"/>
      <c r="K1921" s="32"/>
      <c r="L1921" s="32"/>
      <c r="M1921" s="32"/>
      <c r="N1921" s="32"/>
      <c r="O1921" s="32"/>
      <c r="P1921" s="32"/>
      <c r="Q1921" s="32"/>
      <c r="R1921" s="32"/>
    </row>
    <row r="1922" spans="2:18">
      <c r="B1922" s="35"/>
      <c r="C1922" s="14"/>
      <c r="D1922" s="37"/>
      <c r="E1922" s="37"/>
      <c r="F1922" s="37"/>
      <c r="G1922" s="37"/>
      <c r="H1922" s="37"/>
      <c r="I1922" s="37"/>
      <c r="J1922" s="37"/>
      <c r="K1922" s="37"/>
      <c r="L1922" s="37"/>
      <c r="M1922" s="37"/>
      <c r="N1922" s="37"/>
      <c r="O1922" s="37"/>
      <c r="P1922" s="37"/>
      <c r="Q1922" s="37"/>
      <c r="R1922" s="37"/>
    </row>
    <row r="1923" spans="2:18">
      <c r="B1923" s="22"/>
      <c r="C1923" s="47"/>
      <c r="D1923" s="25"/>
      <c r="E1923" s="25"/>
      <c r="F1923" s="25"/>
      <c r="G1923" s="25"/>
      <c r="H1923" s="25"/>
      <c r="I1923" s="25"/>
      <c r="J1923" s="25"/>
      <c r="K1923" s="25"/>
      <c r="L1923" s="25"/>
      <c r="M1923" s="25"/>
      <c r="N1923" s="25"/>
      <c r="O1923" s="25"/>
      <c r="P1923" s="25"/>
      <c r="Q1923" s="25"/>
      <c r="R1923" s="25"/>
    </row>
    <row r="1924" spans="2:18" ht="39.75">
      <c r="B1924" s="27"/>
      <c r="C1924" s="14"/>
      <c r="D1924" s="29"/>
      <c r="E1924" s="29"/>
      <c r="F1924" s="29"/>
      <c r="G1924" s="29"/>
      <c r="H1924" s="29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</row>
    <row r="1925" spans="2:18" ht="58.5">
      <c r="B1925" s="31">
        <f t="shared" ref="B1925" si="214">B1921+1</f>
        <v>481</v>
      </c>
      <c r="C1925" s="14"/>
      <c r="D1925" s="32"/>
      <c r="E1925" s="32"/>
      <c r="F1925" s="32"/>
      <c r="G1925" s="32"/>
      <c r="H1925" s="32"/>
      <c r="I1925" s="32"/>
      <c r="J1925" s="32"/>
      <c r="K1925" s="32"/>
      <c r="L1925" s="32"/>
      <c r="M1925" s="32"/>
      <c r="N1925" s="32"/>
      <c r="O1925" s="32"/>
      <c r="P1925" s="32"/>
      <c r="Q1925" s="32"/>
      <c r="R1925" s="32"/>
    </row>
    <row r="1926" spans="2:18">
      <c r="B1926" s="35"/>
      <c r="C1926" s="14"/>
      <c r="D1926" s="37"/>
      <c r="E1926" s="37"/>
      <c r="F1926" s="37"/>
      <c r="G1926" s="37"/>
      <c r="H1926" s="37"/>
      <c r="I1926" s="37"/>
      <c r="J1926" s="37"/>
      <c r="K1926" s="37"/>
      <c r="L1926" s="37"/>
      <c r="M1926" s="37"/>
      <c r="N1926" s="37"/>
      <c r="O1926" s="37"/>
      <c r="P1926" s="37"/>
      <c r="Q1926" s="37"/>
      <c r="R1926" s="37"/>
    </row>
    <row r="1927" spans="2:18">
      <c r="B1927" s="22"/>
      <c r="C1927" s="47"/>
      <c r="D1927" s="25"/>
      <c r="E1927" s="25"/>
      <c r="F1927" s="25"/>
      <c r="G1927" s="25"/>
      <c r="H1927" s="25"/>
      <c r="I1927" s="25"/>
      <c r="J1927" s="25"/>
      <c r="K1927" s="25"/>
      <c r="L1927" s="25"/>
      <c r="M1927" s="25"/>
      <c r="N1927" s="25"/>
      <c r="O1927" s="25"/>
      <c r="P1927" s="25"/>
      <c r="Q1927" s="25"/>
      <c r="R1927" s="25"/>
    </row>
    <row r="1928" spans="2:18" ht="39.75">
      <c r="B1928" s="27"/>
      <c r="C1928" s="14"/>
      <c r="D1928" s="29"/>
      <c r="E1928" s="29"/>
      <c r="F1928" s="29"/>
      <c r="G1928" s="29"/>
      <c r="H1928" s="29"/>
      <c r="I1928" s="29"/>
      <c r="J1928" s="29"/>
      <c r="K1928" s="29"/>
      <c r="L1928" s="29"/>
      <c r="M1928" s="29"/>
      <c r="N1928" s="29"/>
      <c r="O1928" s="29"/>
      <c r="P1928" s="29"/>
      <c r="Q1928" s="29"/>
      <c r="R1928" s="29"/>
    </row>
    <row r="1929" spans="2:18" ht="58.5">
      <c r="B1929" s="31">
        <f t="shared" ref="B1929" si="215">B1925+1</f>
        <v>482</v>
      </c>
      <c r="C1929" s="14"/>
      <c r="D1929" s="32"/>
      <c r="E1929" s="32"/>
      <c r="F1929" s="32"/>
      <c r="G1929" s="32"/>
      <c r="H1929" s="32"/>
      <c r="I1929" s="32"/>
      <c r="J1929" s="32"/>
      <c r="K1929" s="32"/>
      <c r="L1929" s="32"/>
      <c r="M1929" s="32"/>
      <c r="N1929" s="32"/>
      <c r="O1929" s="32"/>
      <c r="P1929" s="32"/>
      <c r="Q1929" s="32"/>
      <c r="R1929" s="32"/>
    </row>
    <row r="1930" spans="2:18">
      <c r="B1930" s="35"/>
      <c r="C1930" s="14"/>
      <c r="D1930" s="37"/>
      <c r="E1930" s="37"/>
      <c r="F1930" s="37"/>
      <c r="G1930" s="37"/>
      <c r="H1930" s="37"/>
      <c r="I1930" s="37"/>
      <c r="J1930" s="37"/>
      <c r="K1930" s="37"/>
      <c r="L1930" s="37"/>
      <c r="M1930" s="37"/>
      <c r="N1930" s="37"/>
      <c r="O1930" s="37"/>
      <c r="P1930" s="37"/>
      <c r="Q1930" s="37"/>
      <c r="R1930" s="37"/>
    </row>
    <row r="1931" spans="2:18">
      <c r="B1931" s="22"/>
      <c r="C1931" s="47"/>
      <c r="D1931" s="25"/>
      <c r="E1931" s="25"/>
      <c r="F1931" s="25"/>
      <c r="G1931" s="25"/>
      <c r="H1931" s="25"/>
      <c r="I1931" s="25"/>
      <c r="J1931" s="25"/>
      <c r="K1931" s="25"/>
      <c r="L1931" s="25"/>
      <c r="M1931" s="25"/>
      <c r="N1931" s="25"/>
      <c r="O1931" s="25"/>
      <c r="P1931" s="25"/>
      <c r="Q1931" s="25"/>
      <c r="R1931" s="25"/>
    </row>
    <row r="1932" spans="2:18" ht="39.75">
      <c r="B1932" s="27"/>
      <c r="C1932" s="14"/>
      <c r="D1932" s="29"/>
      <c r="E1932" s="29"/>
      <c r="F1932" s="29"/>
      <c r="G1932" s="29"/>
      <c r="H1932" s="29"/>
      <c r="I1932" s="29"/>
      <c r="J1932" s="29"/>
      <c r="K1932" s="29"/>
      <c r="L1932" s="29"/>
      <c r="M1932" s="29"/>
      <c r="N1932" s="29"/>
      <c r="O1932" s="29"/>
      <c r="P1932" s="29"/>
      <c r="Q1932" s="29"/>
      <c r="R1932" s="29"/>
    </row>
    <row r="1933" spans="2:18" ht="58.5">
      <c r="B1933" s="31">
        <f t="shared" ref="B1933" si="216">B1929+1</f>
        <v>483</v>
      </c>
      <c r="C1933" s="14"/>
      <c r="D1933" s="32"/>
      <c r="E1933" s="32"/>
      <c r="F1933" s="32"/>
      <c r="G1933" s="32"/>
      <c r="H1933" s="32"/>
      <c r="I1933" s="32"/>
      <c r="J1933" s="32"/>
      <c r="K1933" s="32"/>
      <c r="L1933" s="32"/>
      <c r="M1933" s="32"/>
      <c r="N1933" s="32"/>
      <c r="O1933" s="32"/>
      <c r="P1933" s="32"/>
      <c r="Q1933" s="32"/>
      <c r="R1933" s="32"/>
    </row>
    <row r="1934" spans="2:18">
      <c r="B1934" s="35"/>
      <c r="C1934" s="14"/>
      <c r="D1934" s="37"/>
      <c r="E1934" s="37"/>
      <c r="F1934" s="37"/>
      <c r="G1934" s="37"/>
      <c r="H1934" s="37"/>
      <c r="I1934" s="37"/>
      <c r="J1934" s="37"/>
      <c r="K1934" s="37"/>
      <c r="L1934" s="37"/>
      <c r="M1934" s="37"/>
      <c r="N1934" s="37"/>
      <c r="O1934" s="37"/>
      <c r="P1934" s="37"/>
      <c r="Q1934" s="37"/>
      <c r="R1934" s="37"/>
    </row>
    <row r="1935" spans="2:18">
      <c r="B1935" s="22"/>
      <c r="C1935" s="47"/>
      <c r="D1935" s="25"/>
      <c r="E1935" s="25"/>
      <c r="F1935" s="25"/>
      <c r="G1935" s="25"/>
      <c r="H1935" s="25"/>
      <c r="I1935" s="25"/>
      <c r="J1935" s="25"/>
      <c r="K1935" s="25"/>
      <c r="L1935" s="25"/>
      <c r="M1935" s="25"/>
      <c r="N1935" s="25"/>
      <c r="O1935" s="25"/>
      <c r="P1935" s="25"/>
      <c r="Q1935" s="25"/>
      <c r="R1935" s="25"/>
    </row>
    <row r="1936" spans="2:18" ht="39.75">
      <c r="B1936" s="27"/>
      <c r="C1936" s="14"/>
      <c r="D1936" s="29"/>
      <c r="E1936" s="29"/>
      <c r="F1936" s="29"/>
      <c r="G1936" s="29"/>
      <c r="H1936" s="29"/>
      <c r="I1936" s="29"/>
      <c r="J1936" s="29"/>
      <c r="K1936" s="29"/>
      <c r="L1936" s="29"/>
      <c r="M1936" s="29"/>
      <c r="N1936" s="29"/>
      <c r="O1936" s="29"/>
      <c r="P1936" s="29"/>
      <c r="Q1936" s="29"/>
      <c r="R1936" s="29"/>
    </row>
    <row r="1937" spans="2:18" ht="58.5">
      <c r="B1937" s="31">
        <f t="shared" ref="B1937" si="217">B1933+1</f>
        <v>484</v>
      </c>
      <c r="C1937" s="14"/>
      <c r="D1937" s="32"/>
      <c r="E1937" s="32"/>
      <c r="F1937" s="32"/>
      <c r="G1937" s="32"/>
      <c r="H1937" s="32"/>
      <c r="I1937" s="32"/>
      <c r="J1937" s="32"/>
      <c r="K1937" s="32"/>
      <c r="L1937" s="32"/>
      <c r="M1937" s="32"/>
      <c r="N1937" s="32"/>
      <c r="O1937" s="32"/>
      <c r="P1937" s="32"/>
      <c r="Q1937" s="32"/>
      <c r="R1937" s="32"/>
    </row>
    <row r="1938" spans="2:18">
      <c r="B1938" s="35"/>
      <c r="C1938" s="14"/>
      <c r="D1938" s="37"/>
      <c r="E1938" s="37"/>
      <c r="F1938" s="37"/>
      <c r="G1938" s="37"/>
      <c r="H1938" s="37"/>
      <c r="I1938" s="37"/>
      <c r="J1938" s="37"/>
      <c r="K1938" s="37"/>
      <c r="L1938" s="37"/>
      <c r="M1938" s="37"/>
      <c r="N1938" s="37"/>
      <c r="O1938" s="37"/>
      <c r="P1938" s="37"/>
      <c r="Q1938" s="37"/>
      <c r="R1938" s="37"/>
    </row>
    <row r="1939" spans="2:18">
      <c r="B1939" s="22"/>
      <c r="C1939" s="47"/>
      <c r="D1939" s="25"/>
      <c r="E1939" s="25"/>
      <c r="F1939" s="25"/>
      <c r="G1939" s="25"/>
      <c r="H1939" s="25"/>
      <c r="I1939" s="25"/>
      <c r="J1939" s="25"/>
      <c r="K1939" s="25"/>
      <c r="L1939" s="25"/>
      <c r="M1939" s="25"/>
      <c r="N1939" s="25"/>
      <c r="O1939" s="25"/>
      <c r="P1939" s="25"/>
      <c r="Q1939" s="25"/>
      <c r="R1939" s="25"/>
    </row>
    <row r="1940" spans="2:18" ht="39.75">
      <c r="B1940" s="27"/>
      <c r="C1940" s="14"/>
      <c r="D1940" s="29"/>
      <c r="E1940" s="29"/>
      <c r="F1940" s="29"/>
      <c r="G1940" s="29"/>
      <c r="H1940" s="29"/>
      <c r="I1940" s="29"/>
      <c r="J1940" s="29"/>
      <c r="K1940" s="29"/>
      <c r="L1940" s="29"/>
      <c r="M1940" s="29"/>
      <c r="N1940" s="29"/>
      <c r="O1940" s="29"/>
      <c r="P1940" s="29"/>
      <c r="Q1940" s="29"/>
      <c r="R1940" s="29"/>
    </row>
    <row r="1941" spans="2:18" ht="58.5">
      <c r="B1941" s="31">
        <f t="shared" ref="B1941" si="218">B1937+1</f>
        <v>485</v>
      </c>
      <c r="C1941" s="14"/>
      <c r="D1941" s="32"/>
      <c r="E1941" s="32"/>
      <c r="F1941" s="32"/>
      <c r="G1941" s="32"/>
      <c r="H1941" s="32"/>
      <c r="I1941" s="32"/>
      <c r="J1941" s="32"/>
      <c r="K1941" s="32"/>
      <c r="L1941" s="32"/>
      <c r="M1941" s="32"/>
      <c r="N1941" s="32"/>
      <c r="O1941" s="32"/>
      <c r="P1941" s="32"/>
      <c r="Q1941" s="32"/>
      <c r="R1941" s="32"/>
    </row>
    <row r="1942" spans="2:18">
      <c r="B1942" s="35"/>
      <c r="C1942" s="14"/>
      <c r="D1942" s="37"/>
      <c r="E1942" s="37"/>
      <c r="F1942" s="37"/>
      <c r="G1942" s="37"/>
      <c r="H1942" s="37"/>
      <c r="I1942" s="37"/>
      <c r="J1942" s="37"/>
      <c r="K1942" s="37"/>
      <c r="L1942" s="37"/>
      <c r="M1942" s="37"/>
      <c r="N1942" s="37"/>
      <c r="O1942" s="37"/>
      <c r="P1942" s="37"/>
      <c r="Q1942" s="37"/>
      <c r="R1942" s="37"/>
    </row>
    <row r="1943" spans="2:18">
      <c r="B1943" s="22"/>
      <c r="C1943" s="47"/>
      <c r="D1943" s="25"/>
      <c r="E1943" s="25"/>
      <c r="F1943" s="25"/>
      <c r="G1943" s="25"/>
      <c r="H1943" s="25"/>
      <c r="I1943" s="25"/>
      <c r="J1943" s="25"/>
      <c r="K1943" s="25"/>
      <c r="L1943" s="25"/>
      <c r="M1943" s="25"/>
      <c r="N1943" s="25"/>
      <c r="O1943" s="25"/>
      <c r="P1943" s="25"/>
      <c r="Q1943" s="25"/>
      <c r="R1943" s="25"/>
    </row>
    <row r="1944" spans="2:18" ht="39.75">
      <c r="B1944" s="27"/>
      <c r="C1944" s="14"/>
      <c r="D1944" s="29"/>
      <c r="E1944" s="29"/>
      <c r="F1944" s="29"/>
      <c r="G1944" s="29"/>
      <c r="H1944" s="29"/>
      <c r="I1944" s="29"/>
      <c r="J1944" s="29"/>
      <c r="K1944" s="29"/>
      <c r="L1944" s="29"/>
      <c r="M1944" s="29"/>
      <c r="N1944" s="29"/>
      <c r="O1944" s="29"/>
      <c r="P1944" s="29"/>
      <c r="Q1944" s="29"/>
      <c r="R1944" s="29"/>
    </row>
    <row r="1945" spans="2:18" ht="58.5">
      <c r="B1945" s="31">
        <f t="shared" ref="B1945" si="219">B1941+1</f>
        <v>486</v>
      </c>
      <c r="C1945" s="14"/>
      <c r="D1945" s="32"/>
      <c r="E1945" s="32"/>
      <c r="F1945" s="32"/>
      <c r="G1945" s="32"/>
      <c r="H1945" s="32"/>
      <c r="I1945" s="32"/>
      <c r="J1945" s="32"/>
      <c r="K1945" s="32"/>
      <c r="L1945" s="32"/>
      <c r="M1945" s="32"/>
      <c r="N1945" s="32"/>
      <c r="O1945" s="32"/>
      <c r="P1945" s="32"/>
      <c r="Q1945" s="32"/>
      <c r="R1945" s="32"/>
    </row>
    <row r="1946" spans="2:18">
      <c r="B1946" s="35"/>
      <c r="C1946" s="14"/>
      <c r="D1946" s="37"/>
      <c r="E1946" s="37"/>
      <c r="F1946" s="37"/>
      <c r="G1946" s="37"/>
      <c r="H1946" s="37"/>
      <c r="I1946" s="37"/>
      <c r="J1946" s="37"/>
      <c r="K1946" s="37"/>
      <c r="L1946" s="37"/>
      <c r="M1946" s="37"/>
      <c r="N1946" s="37"/>
      <c r="O1946" s="37"/>
      <c r="P1946" s="37"/>
      <c r="Q1946" s="37"/>
      <c r="R1946" s="37"/>
    </row>
    <row r="1947" spans="2:18">
      <c r="B1947" s="22"/>
      <c r="C1947" s="47"/>
      <c r="D1947" s="25"/>
      <c r="E1947" s="25"/>
      <c r="F1947" s="25"/>
      <c r="G1947" s="25"/>
      <c r="H1947" s="25"/>
      <c r="I1947" s="25"/>
      <c r="J1947" s="25"/>
      <c r="K1947" s="25"/>
      <c r="L1947" s="25"/>
      <c r="M1947" s="25"/>
      <c r="N1947" s="25"/>
      <c r="O1947" s="25"/>
      <c r="P1947" s="25"/>
      <c r="Q1947" s="25"/>
      <c r="R1947" s="25"/>
    </row>
    <row r="1948" spans="2:18" ht="39.75">
      <c r="B1948" s="27"/>
      <c r="C1948" s="14"/>
      <c r="D1948" s="29"/>
      <c r="E1948" s="29"/>
      <c r="F1948" s="29"/>
      <c r="G1948" s="29"/>
      <c r="H1948" s="29"/>
      <c r="I1948" s="29"/>
      <c r="J1948" s="29"/>
      <c r="K1948" s="29"/>
      <c r="L1948" s="29"/>
      <c r="M1948" s="29"/>
      <c r="N1948" s="29"/>
      <c r="O1948" s="29"/>
      <c r="P1948" s="29"/>
      <c r="Q1948" s="29"/>
      <c r="R1948" s="29"/>
    </row>
    <row r="1949" spans="2:18" ht="58.5">
      <c r="B1949" s="31">
        <f t="shared" ref="B1949" si="220">B1945+1</f>
        <v>487</v>
      </c>
      <c r="C1949" s="14"/>
      <c r="D1949" s="32"/>
      <c r="E1949" s="32"/>
      <c r="F1949" s="32"/>
      <c r="G1949" s="32"/>
      <c r="H1949" s="32"/>
      <c r="I1949" s="32"/>
      <c r="J1949" s="32"/>
      <c r="K1949" s="32"/>
      <c r="L1949" s="32"/>
      <c r="M1949" s="32"/>
      <c r="N1949" s="32"/>
      <c r="O1949" s="32"/>
      <c r="P1949" s="32"/>
      <c r="Q1949" s="32"/>
      <c r="R1949" s="32"/>
    </row>
    <row r="1950" spans="2:18">
      <c r="B1950" s="35"/>
      <c r="C1950" s="14"/>
      <c r="D1950" s="37"/>
      <c r="E1950" s="37"/>
      <c r="F1950" s="37"/>
      <c r="G1950" s="37"/>
      <c r="H1950" s="37"/>
      <c r="I1950" s="37"/>
      <c r="J1950" s="37"/>
      <c r="K1950" s="37"/>
      <c r="L1950" s="37"/>
      <c r="M1950" s="37"/>
      <c r="N1950" s="37"/>
      <c r="O1950" s="37"/>
      <c r="P1950" s="37"/>
      <c r="Q1950" s="37"/>
      <c r="R1950" s="37"/>
    </row>
    <row r="1951" spans="2:18">
      <c r="B1951" s="22"/>
      <c r="C1951" s="47"/>
      <c r="D1951" s="25"/>
      <c r="E1951" s="25"/>
      <c r="F1951" s="25"/>
      <c r="G1951" s="25"/>
      <c r="H1951" s="25"/>
      <c r="I1951" s="25"/>
      <c r="J1951" s="25"/>
      <c r="K1951" s="25"/>
      <c r="L1951" s="25"/>
      <c r="M1951" s="25"/>
      <c r="N1951" s="25"/>
      <c r="O1951" s="25"/>
      <c r="P1951" s="25"/>
      <c r="Q1951" s="25"/>
      <c r="R1951" s="25"/>
    </row>
    <row r="1952" spans="2:18" ht="39.75">
      <c r="B1952" s="27"/>
      <c r="C1952" s="14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</row>
    <row r="1953" spans="2:18" ht="58.5">
      <c r="B1953" s="31">
        <f t="shared" ref="B1953" si="221">B1949+1</f>
        <v>488</v>
      </c>
      <c r="C1953" s="14"/>
      <c r="D1953" s="32"/>
      <c r="E1953" s="32"/>
      <c r="F1953" s="32"/>
      <c r="G1953" s="32"/>
      <c r="H1953" s="32"/>
      <c r="I1953" s="32"/>
      <c r="J1953" s="32"/>
      <c r="K1953" s="32"/>
      <c r="L1953" s="32"/>
      <c r="M1953" s="32"/>
      <c r="N1953" s="32"/>
      <c r="O1953" s="32"/>
      <c r="P1953" s="32"/>
      <c r="Q1953" s="32"/>
      <c r="R1953" s="32"/>
    </row>
    <row r="1954" spans="2:18">
      <c r="B1954" s="35"/>
      <c r="C1954" s="14"/>
      <c r="D1954" s="37"/>
      <c r="E1954" s="37"/>
      <c r="F1954" s="37"/>
      <c r="G1954" s="37"/>
      <c r="H1954" s="37"/>
      <c r="I1954" s="37"/>
      <c r="J1954" s="37"/>
      <c r="K1954" s="37"/>
      <c r="L1954" s="37"/>
      <c r="M1954" s="37"/>
      <c r="N1954" s="37"/>
      <c r="O1954" s="37"/>
      <c r="P1954" s="37"/>
      <c r="Q1954" s="37"/>
      <c r="R1954" s="37"/>
    </row>
    <row r="1955" spans="2:18">
      <c r="B1955" s="22"/>
      <c r="C1955" s="47"/>
      <c r="D1955" s="25"/>
      <c r="E1955" s="25"/>
      <c r="F1955" s="25"/>
      <c r="G1955" s="25"/>
      <c r="H1955" s="25"/>
      <c r="I1955" s="25"/>
      <c r="J1955" s="25"/>
      <c r="K1955" s="25"/>
      <c r="L1955" s="25"/>
      <c r="M1955" s="25"/>
      <c r="N1955" s="25"/>
      <c r="O1955" s="25"/>
      <c r="P1955" s="25"/>
      <c r="Q1955" s="25"/>
      <c r="R1955" s="25"/>
    </row>
    <row r="1956" spans="2:18" ht="39.75">
      <c r="B1956" s="27"/>
      <c r="C1956" s="14"/>
      <c r="D1956" s="29"/>
      <c r="E1956" s="29"/>
      <c r="F1956" s="29"/>
      <c r="G1956" s="29"/>
      <c r="H1956" s="29"/>
      <c r="I1956" s="29"/>
      <c r="J1956" s="29"/>
      <c r="K1956" s="29"/>
      <c r="L1956" s="29"/>
      <c r="M1956" s="29"/>
      <c r="N1956" s="29"/>
      <c r="O1956" s="29"/>
      <c r="P1956" s="29"/>
      <c r="Q1956" s="29"/>
      <c r="R1956" s="29"/>
    </row>
    <row r="1957" spans="2:18" ht="58.5">
      <c r="B1957" s="31">
        <f t="shared" ref="B1957" si="222">B1953+1</f>
        <v>489</v>
      </c>
      <c r="C1957" s="14"/>
      <c r="D1957" s="32"/>
      <c r="E1957" s="32"/>
      <c r="F1957" s="32"/>
      <c r="G1957" s="32"/>
      <c r="H1957" s="32"/>
      <c r="I1957" s="32"/>
      <c r="J1957" s="32"/>
      <c r="K1957" s="32"/>
      <c r="L1957" s="32"/>
      <c r="M1957" s="32"/>
      <c r="N1957" s="32"/>
      <c r="O1957" s="32"/>
      <c r="P1957" s="32"/>
      <c r="Q1957" s="32"/>
      <c r="R1957" s="32"/>
    </row>
    <row r="1958" spans="2:18">
      <c r="B1958" s="35"/>
      <c r="C1958" s="14"/>
      <c r="D1958" s="37"/>
      <c r="E1958" s="37"/>
      <c r="F1958" s="37"/>
      <c r="G1958" s="37"/>
      <c r="H1958" s="37"/>
      <c r="I1958" s="37"/>
      <c r="J1958" s="37"/>
      <c r="K1958" s="37"/>
      <c r="L1958" s="37"/>
      <c r="M1958" s="37"/>
      <c r="N1958" s="37"/>
      <c r="O1958" s="37"/>
      <c r="P1958" s="37"/>
      <c r="Q1958" s="37"/>
      <c r="R1958" s="37"/>
    </row>
    <row r="1959" spans="2:18">
      <c r="B1959" s="22"/>
      <c r="C1959" s="47"/>
      <c r="D1959" s="25"/>
      <c r="E1959" s="25"/>
      <c r="F1959" s="25"/>
      <c r="G1959" s="25"/>
      <c r="H1959" s="25"/>
      <c r="I1959" s="25"/>
      <c r="J1959" s="25"/>
      <c r="K1959" s="25"/>
      <c r="L1959" s="25"/>
      <c r="M1959" s="25"/>
      <c r="N1959" s="25"/>
      <c r="O1959" s="25"/>
      <c r="P1959" s="25"/>
      <c r="Q1959" s="25"/>
      <c r="R1959" s="25"/>
    </row>
    <row r="1960" spans="2:18" ht="39.75">
      <c r="B1960" s="27"/>
      <c r="C1960" s="14"/>
      <c r="D1960" s="29"/>
      <c r="E1960" s="29"/>
      <c r="F1960" s="29"/>
      <c r="G1960" s="29"/>
      <c r="H1960" s="29"/>
      <c r="I1960" s="29"/>
      <c r="J1960" s="29"/>
      <c r="K1960" s="29"/>
      <c r="L1960" s="29"/>
      <c r="M1960" s="29"/>
      <c r="N1960" s="29"/>
      <c r="O1960" s="29"/>
      <c r="P1960" s="29"/>
      <c r="Q1960" s="29"/>
      <c r="R1960" s="29"/>
    </row>
    <row r="1961" spans="2:18" ht="58.5">
      <c r="B1961" s="31">
        <f t="shared" ref="B1961" si="223">B1957+1</f>
        <v>490</v>
      </c>
      <c r="C1961" s="14"/>
      <c r="D1961" s="32"/>
      <c r="E1961" s="32"/>
      <c r="F1961" s="32"/>
      <c r="G1961" s="32"/>
      <c r="H1961" s="32"/>
      <c r="I1961" s="32"/>
      <c r="J1961" s="32"/>
      <c r="K1961" s="32"/>
      <c r="L1961" s="32"/>
      <c r="M1961" s="32"/>
      <c r="N1961" s="32"/>
      <c r="O1961" s="32"/>
      <c r="P1961" s="32"/>
      <c r="Q1961" s="32"/>
      <c r="R1961" s="32"/>
    </row>
    <row r="1962" spans="2:18">
      <c r="B1962" s="35"/>
      <c r="C1962" s="14"/>
      <c r="D1962" s="37"/>
      <c r="E1962" s="37"/>
      <c r="F1962" s="37"/>
      <c r="G1962" s="37"/>
      <c r="H1962" s="37"/>
      <c r="I1962" s="37"/>
      <c r="J1962" s="37"/>
      <c r="K1962" s="37"/>
      <c r="L1962" s="37"/>
      <c r="M1962" s="37"/>
      <c r="N1962" s="37"/>
      <c r="O1962" s="37"/>
      <c r="P1962" s="37"/>
      <c r="Q1962" s="37"/>
      <c r="R1962" s="37"/>
    </row>
    <row r="1963" spans="2:18">
      <c r="B1963" s="22"/>
      <c r="C1963" s="47"/>
      <c r="D1963" s="25"/>
      <c r="E1963" s="25"/>
      <c r="F1963" s="25"/>
      <c r="G1963" s="25"/>
      <c r="H1963" s="25"/>
      <c r="I1963" s="25"/>
      <c r="J1963" s="25"/>
      <c r="K1963" s="25"/>
      <c r="L1963" s="25"/>
      <c r="M1963" s="25"/>
      <c r="N1963" s="25"/>
      <c r="O1963" s="25"/>
      <c r="P1963" s="25"/>
      <c r="Q1963" s="25"/>
      <c r="R1963" s="25"/>
    </row>
    <row r="1964" spans="2:18" ht="39.75">
      <c r="B1964" s="27"/>
      <c r="C1964" s="14"/>
      <c r="D1964" s="29"/>
      <c r="E1964" s="29"/>
      <c r="F1964" s="29"/>
      <c r="G1964" s="29"/>
      <c r="H1964" s="29"/>
      <c r="I1964" s="29"/>
      <c r="J1964" s="29"/>
      <c r="K1964" s="29"/>
      <c r="L1964" s="29"/>
      <c r="M1964" s="29"/>
      <c r="N1964" s="29"/>
      <c r="O1964" s="29"/>
      <c r="P1964" s="29"/>
      <c r="Q1964" s="29"/>
      <c r="R1964" s="29"/>
    </row>
    <row r="1965" spans="2:18" ht="58.5">
      <c r="B1965" s="31">
        <f t="shared" ref="B1965" si="224">B1961+1</f>
        <v>491</v>
      </c>
      <c r="C1965" s="14"/>
      <c r="D1965" s="32"/>
      <c r="E1965" s="32"/>
      <c r="F1965" s="32"/>
      <c r="G1965" s="32"/>
      <c r="H1965" s="32"/>
      <c r="I1965" s="32"/>
      <c r="J1965" s="32"/>
      <c r="K1965" s="32"/>
      <c r="L1965" s="32"/>
      <c r="M1965" s="32"/>
      <c r="N1965" s="32"/>
      <c r="O1965" s="32"/>
      <c r="P1965" s="32"/>
      <c r="Q1965" s="32"/>
      <c r="R1965" s="32"/>
    </row>
    <row r="1966" spans="2:18">
      <c r="B1966" s="35"/>
      <c r="C1966" s="14"/>
      <c r="D1966" s="37"/>
      <c r="E1966" s="37"/>
      <c r="F1966" s="37"/>
      <c r="G1966" s="37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R1966" s="37"/>
    </row>
    <row r="1967" spans="2:18">
      <c r="B1967" s="22"/>
      <c r="C1967" s="47"/>
      <c r="D1967" s="25"/>
      <c r="E1967" s="25"/>
      <c r="F1967" s="25"/>
      <c r="G1967" s="25"/>
      <c r="H1967" s="25"/>
      <c r="I1967" s="25"/>
      <c r="J1967" s="25"/>
      <c r="K1967" s="25"/>
      <c r="L1967" s="25"/>
      <c r="M1967" s="25"/>
      <c r="N1967" s="25"/>
      <c r="O1967" s="25"/>
      <c r="P1967" s="25"/>
      <c r="Q1967" s="25"/>
      <c r="R1967" s="25"/>
    </row>
    <row r="1968" spans="2:18" ht="39.75">
      <c r="B1968" s="27"/>
      <c r="C1968" s="14"/>
      <c r="D1968" s="29"/>
      <c r="E1968" s="29"/>
      <c r="F1968" s="29"/>
      <c r="G1968" s="29"/>
      <c r="H1968" s="29"/>
      <c r="I1968" s="29"/>
      <c r="J1968" s="29"/>
      <c r="K1968" s="29"/>
      <c r="L1968" s="29"/>
      <c r="M1968" s="29"/>
      <c r="N1968" s="29"/>
      <c r="O1968" s="29"/>
      <c r="P1968" s="29"/>
      <c r="Q1968" s="29"/>
      <c r="R1968" s="29"/>
    </row>
    <row r="1969" spans="2:18" ht="58.5">
      <c r="B1969" s="31">
        <f t="shared" ref="B1969" si="225">B1965+1</f>
        <v>492</v>
      </c>
      <c r="C1969" s="14"/>
      <c r="D1969" s="32"/>
      <c r="E1969" s="32"/>
      <c r="F1969" s="32"/>
      <c r="G1969" s="32"/>
      <c r="H1969" s="32"/>
      <c r="I1969" s="32"/>
      <c r="J1969" s="32"/>
      <c r="K1969" s="32"/>
      <c r="L1969" s="32"/>
      <c r="M1969" s="32"/>
      <c r="N1969" s="32"/>
      <c r="O1969" s="32"/>
      <c r="P1969" s="32"/>
      <c r="Q1969" s="32"/>
      <c r="R1969" s="32"/>
    </row>
    <row r="1970" spans="2:18">
      <c r="B1970" s="35"/>
      <c r="C1970" s="14"/>
      <c r="D1970" s="37"/>
      <c r="E1970" s="37"/>
      <c r="F1970" s="37"/>
      <c r="G1970" s="37"/>
      <c r="H1970" s="37"/>
      <c r="I1970" s="37"/>
      <c r="J1970" s="37"/>
      <c r="K1970" s="37"/>
      <c r="L1970" s="37"/>
      <c r="M1970" s="37"/>
      <c r="N1970" s="37"/>
      <c r="O1970" s="37"/>
      <c r="P1970" s="37"/>
      <c r="Q1970" s="37"/>
      <c r="R1970" s="37"/>
    </row>
    <row r="1971" spans="2:18">
      <c r="B1971" s="22"/>
      <c r="C1971" s="47"/>
      <c r="D1971" s="25"/>
      <c r="E1971" s="25"/>
      <c r="F1971" s="25"/>
      <c r="G1971" s="25"/>
      <c r="H1971" s="25"/>
      <c r="I1971" s="25"/>
      <c r="J1971" s="25"/>
      <c r="K1971" s="25"/>
      <c r="L1971" s="25"/>
      <c r="M1971" s="25"/>
      <c r="N1971" s="25"/>
      <c r="O1971" s="25"/>
      <c r="P1971" s="25"/>
      <c r="Q1971" s="25"/>
      <c r="R1971" s="25"/>
    </row>
    <row r="1972" spans="2:18" ht="39.75">
      <c r="B1972" s="27"/>
      <c r="C1972" s="14"/>
      <c r="D1972" s="29"/>
      <c r="E1972" s="29"/>
      <c r="F1972" s="29"/>
      <c r="G1972" s="29"/>
      <c r="H1972" s="29"/>
      <c r="I1972" s="29"/>
      <c r="J1972" s="29"/>
      <c r="K1972" s="29"/>
      <c r="L1972" s="29"/>
      <c r="M1972" s="29"/>
      <c r="N1972" s="29"/>
      <c r="O1972" s="29"/>
      <c r="P1972" s="29"/>
      <c r="Q1972" s="29"/>
      <c r="R1972" s="29"/>
    </row>
    <row r="1973" spans="2:18" ht="58.5">
      <c r="B1973" s="31">
        <f t="shared" ref="B1973" si="226">B1969+1</f>
        <v>493</v>
      </c>
      <c r="C1973" s="14"/>
      <c r="D1973" s="32"/>
      <c r="E1973" s="32"/>
      <c r="F1973" s="32"/>
      <c r="G1973" s="32"/>
      <c r="H1973" s="32"/>
      <c r="I1973" s="32"/>
      <c r="J1973" s="32"/>
      <c r="K1973" s="32"/>
      <c r="L1973" s="32"/>
      <c r="M1973" s="32"/>
      <c r="N1973" s="32"/>
      <c r="O1973" s="32"/>
      <c r="P1973" s="32"/>
      <c r="Q1973" s="32"/>
      <c r="R1973" s="32"/>
    </row>
    <row r="1974" spans="2:18">
      <c r="B1974" s="35"/>
      <c r="C1974" s="14"/>
      <c r="D1974" s="37"/>
      <c r="E1974" s="37"/>
      <c r="F1974" s="37"/>
      <c r="G1974" s="37"/>
      <c r="H1974" s="37"/>
      <c r="I1974" s="37"/>
      <c r="J1974" s="37"/>
      <c r="K1974" s="37"/>
      <c r="L1974" s="37"/>
      <c r="M1974" s="37"/>
      <c r="N1974" s="37"/>
      <c r="O1974" s="37"/>
      <c r="P1974" s="37"/>
      <c r="Q1974" s="37"/>
      <c r="R1974" s="37"/>
    </row>
    <row r="1975" spans="2:18">
      <c r="B1975" s="22"/>
      <c r="C1975" s="47"/>
      <c r="D1975" s="25"/>
      <c r="E1975" s="25"/>
      <c r="F1975" s="25"/>
      <c r="G1975" s="25"/>
      <c r="H1975" s="25"/>
      <c r="I1975" s="25"/>
      <c r="J1975" s="25"/>
      <c r="K1975" s="25"/>
      <c r="L1975" s="25"/>
      <c r="M1975" s="25"/>
      <c r="N1975" s="25"/>
      <c r="O1975" s="25"/>
      <c r="P1975" s="25"/>
      <c r="Q1975" s="25"/>
      <c r="R1975" s="25"/>
    </row>
    <row r="1976" spans="2:18" ht="39.75">
      <c r="B1976" s="27"/>
      <c r="C1976" s="14"/>
      <c r="D1976" s="29"/>
      <c r="E1976" s="29"/>
      <c r="F1976" s="29"/>
      <c r="G1976" s="29"/>
      <c r="H1976" s="29"/>
      <c r="I1976" s="29"/>
      <c r="J1976" s="29"/>
      <c r="K1976" s="29"/>
      <c r="L1976" s="29"/>
      <c r="M1976" s="29"/>
      <c r="N1976" s="29"/>
      <c r="O1976" s="29"/>
      <c r="P1976" s="29"/>
      <c r="Q1976" s="29"/>
      <c r="R1976" s="29"/>
    </row>
    <row r="1977" spans="2:18" ht="58.5">
      <c r="B1977" s="31">
        <f t="shared" ref="B1977" si="227">B1973+1</f>
        <v>494</v>
      </c>
      <c r="C1977" s="14"/>
      <c r="D1977" s="32"/>
      <c r="E1977" s="32"/>
      <c r="F1977" s="32"/>
      <c r="G1977" s="32"/>
      <c r="H1977" s="32"/>
      <c r="I1977" s="32"/>
      <c r="J1977" s="32"/>
      <c r="K1977" s="32"/>
      <c r="L1977" s="32"/>
      <c r="M1977" s="32"/>
      <c r="N1977" s="32"/>
      <c r="O1977" s="32"/>
      <c r="P1977" s="32"/>
      <c r="Q1977" s="32"/>
      <c r="R1977" s="32"/>
    </row>
    <row r="1978" spans="2:18">
      <c r="B1978" s="35"/>
      <c r="C1978" s="14"/>
      <c r="D1978" s="37"/>
      <c r="E1978" s="37"/>
      <c r="F1978" s="37"/>
      <c r="G1978" s="37"/>
      <c r="H1978" s="37"/>
      <c r="I1978" s="37"/>
      <c r="J1978" s="37"/>
      <c r="K1978" s="37"/>
      <c r="L1978" s="37"/>
      <c r="M1978" s="37"/>
      <c r="N1978" s="37"/>
      <c r="O1978" s="37"/>
      <c r="P1978" s="37"/>
      <c r="Q1978" s="37"/>
      <c r="R1978" s="37"/>
    </row>
    <row r="1979" spans="2:18">
      <c r="B1979" s="22"/>
      <c r="C1979" s="47"/>
      <c r="D1979" s="25"/>
      <c r="E1979" s="25"/>
      <c r="F1979" s="25"/>
      <c r="G1979" s="25"/>
      <c r="H1979" s="25"/>
      <c r="I1979" s="25"/>
      <c r="J1979" s="25"/>
      <c r="K1979" s="25"/>
      <c r="L1979" s="25"/>
      <c r="M1979" s="25"/>
      <c r="N1979" s="25"/>
      <c r="O1979" s="25"/>
      <c r="P1979" s="25"/>
      <c r="Q1979" s="25"/>
      <c r="R1979" s="25"/>
    </row>
    <row r="1980" spans="2:18" ht="39.75">
      <c r="B1980" s="27"/>
      <c r="C1980" s="14"/>
      <c r="D1980" s="29"/>
      <c r="E1980" s="29"/>
      <c r="F1980" s="29"/>
      <c r="G1980" s="29"/>
      <c r="H1980" s="29"/>
      <c r="I1980" s="29"/>
      <c r="J1980" s="29"/>
      <c r="K1980" s="29"/>
      <c r="L1980" s="29"/>
      <c r="M1980" s="29"/>
      <c r="N1980" s="29"/>
      <c r="O1980" s="29"/>
      <c r="P1980" s="29"/>
      <c r="Q1980" s="29"/>
      <c r="R1980" s="29"/>
    </row>
    <row r="1981" spans="2:18" ht="58.5">
      <c r="B1981" s="31">
        <f t="shared" ref="B1981" si="228">B1977+1</f>
        <v>495</v>
      </c>
      <c r="C1981" s="14"/>
      <c r="D1981" s="32"/>
      <c r="E1981" s="32"/>
      <c r="F1981" s="32"/>
      <c r="G1981" s="32"/>
      <c r="H1981" s="32"/>
      <c r="I1981" s="32"/>
      <c r="J1981" s="32"/>
      <c r="K1981" s="32"/>
      <c r="L1981" s="32"/>
      <c r="M1981" s="32"/>
      <c r="N1981" s="32"/>
      <c r="O1981" s="32"/>
      <c r="P1981" s="32"/>
      <c r="Q1981" s="32"/>
      <c r="R1981" s="32"/>
    </row>
    <row r="1982" spans="2:18">
      <c r="B1982" s="35"/>
      <c r="C1982" s="14"/>
      <c r="D1982" s="37"/>
      <c r="E1982" s="37"/>
      <c r="F1982" s="37"/>
      <c r="G1982" s="37"/>
      <c r="H1982" s="37"/>
      <c r="I1982" s="37"/>
      <c r="J1982" s="37"/>
      <c r="K1982" s="37"/>
      <c r="L1982" s="37"/>
      <c r="M1982" s="37"/>
      <c r="N1982" s="37"/>
      <c r="O1982" s="37"/>
      <c r="P1982" s="37"/>
      <c r="Q1982" s="37"/>
      <c r="R1982" s="37"/>
    </row>
    <row r="1983" spans="2:18">
      <c r="B1983" s="22"/>
      <c r="C1983" s="47"/>
      <c r="D1983" s="25"/>
      <c r="E1983" s="25"/>
      <c r="F1983" s="25"/>
      <c r="G1983" s="25"/>
      <c r="H1983" s="25"/>
      <c r="I1983" s="25"/>
      <c r="J1983" s="25"/>
      <c r="K1983" s="25"/>
      <c r="L1983" s="25"/>
      <c r="M1983" s="25"/>
      <c r="N1983" s="25"/>
      <c r="O1983" s="25"/>
      <c r="P1983" s="25"/>
      <c r="Q1983" s="25"/>
      <c r="R1983" s="25"/>
    </row>
    <row r="1984" spans="2:18" ht="39.75">
      <c r="B1984" s="27"/>
      <c r="C1984" s="14"/>
      <c r="D1984" s="29"/>
      <c r="E1984" s="29"/>
      <c r="F1984" s="29"/>
      <c r="G1984" s="29"/>
      <c r="H1984" s="29"/>
      <c r="I1984" s="29"/>
      <c r="J1984" s="29"/>
      <c r="K1984" s="29"/>
      <c r="L1984" s="29"/>
      <c r="M1984" s="29"/>
      <c r="N1984" s="29"/>
      <c r="O1984" s="29"/>
      <c r="P1984" s="29"/>
      <c r="Q1984" s="29"/>
      <c r="R1984" s="29"/>
    </row>
    <row r="1985" spans="2:18" ht="58.5">
      <c r="B1985" s="31">
        <f t="shared" ref="B1985" si="229">B1981+1</f>
        <v>496</v>
      </c>
      <c r="C1985" s="14"/>
      <c r="D1985" s="32"/>
      <c r="E1985" s="32"/>
      <c r="F1985" s="32"/>
      <c r="G1985" s="32"/>
      <c r="H1985" s="32"/>
      <c r="I1985" s="32"/>
      <c r="J1985" s="32"/>
      <c r="K1985" s="32"/>
      <c r="L1985" s="32"/>
      <c r="M1985" s="32"/>
      <c r="N1985" s="32"/>
      <c r="O1985" s="32"/>
      <c r="P1985" s="32"/>
      <c r="Q1985" s="32"/>
      <c r="R1985" s="32"/>
    </row>
    <row r="1986" spans="2:18">
      <c r="B1986" s="35"/>
      <c r="C1986" s="14"/>
      <c r="D1986" s="37"/>
      <c r="E1986" s="37"/>
      <c r="F1986" s="37"/>
      <c r="G1986" s="37"/>
      <c r="H1986" s="37"/>
      <c r="I1986" s="37"/>
      <c r="J1986" s="37"/>
      <c r="K1986" s="37"/>
      <c r="L1986" s="37"/>
      <c r="M1986" s="37"/>
      <c r="N1986" s="37"/>
      <c r="O1986" s="37"/>
      <c r="P1986" s="37"/>
      <c r="Q1986" s="37"/>
      <c r="R1986" s="37"/>
    </row>
    <row r="1987" spans="2:18">
      <c r="B1987" s="22"/>
      <c r="C1987" s="47"/>
      <c r="D1987" s="25"/>
      <c r="E1987" s="25"/>
      <c r="F1987" s="25"/>
      <c r="G1987" s="25"/>
      <c r="H1987" s="25"/>
      <c r="I1987" s="25"/>
      <c r="J1987" s="25"/>
      <c r="K1987" s="25"/>
      <c r="L1987" s="25"/>
      <c r="M1987" s="25"/>
      <c r="N1987" s="25"/>
      <c r="O1987" s="25"/>
      <c r="P1987" s="25"/>
      <c r="Q1987" s="25"/>
      <c r="R1987" s="25"/>
    </row>
    <row r="1988" spans="2:18" ht="39.75">
      <c r="B1988" s="27"/>
      <c r="C1988" s="14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  <c r="O1988" s="29"/>
      <c r="P1988" s="29"/>
      <c r="Q1988" s="29"/>
      <c r="R1988" s="29"/>
    </row>
    <row r="1989" spans="2:18" ht="58.5">
      <c r="B1989" s="31">
        <f t="shared" ref="B1989" si="230">B1985+1</f>
        <v>497</v>
      </c>
      <c r="C1989" s="14"/>
      <c r="D1989" s="32"/>
      <c r="E1989" s="32"/>
      <c r="F1989" s="32"/>
      <c r="G1989" s="32"/>
      <c r="H1989" s="32"/>
      <c r="I1989" s="32"/>
      <c r="J1989" s="32"/>
      <c r="K1989" s="32"/>
      <c r="L1989" s="32"/>
      <c r="M1989" s="32"/>
      <c r="N1989" s="32"/>
      <c r="O1989" s="32"/>
      <c r="P1989" s="32"/>
      <c r="Q1989" s="32"/>
      <c r="R1989" s="32"/>
    </row>
    <row r="1990" spans="2:18">
      <c r="B1990" s="35"/>
      <c r="C1990" s="14"/>
      <c r="D1990" s="37"/>
      <c r="E1990" s="37"/>
      <c r="F1990" s="37"/>
      <c r="G1990" s="37"/>
      <c r="H1990" s="37"/>
      <c r="I1990" s="37"/>
      <c r="J1990" s="37"/>
      <c r="K1990" s="37"/>
      <c r="L1990" s="37"/>
      <c r="M1990" s="37"/>
      <c r="N1990" s="37"/>
      <c r="O1990" s="37"/>
      <c r="P1990" s="37"/>
      <c r="Q1990" s="37"/>
      <c r="R1990" s="37"/>
    </row>
    <row r="1991" spans="2:18">
      <c r="B1991" s="22"/>
      <c r="C1991" s="47"/>
      <c r="D1991" s="25"/>
      <c r="E1991" s="25"/>
      <c r="F1991" s="25"/>
      <c r="G1991" s="25"/>
      <c r="H1991" s="25"/>
      <c r="I1991" s="25"/>
      <c r="J1991" s="25"/>
      <c r="K1991" s="25"/>
      <c r="L1991" s="25"/>
      <c r="M1991" s="25"/>
      <c r="N1991" s="25"/>
      <c r="O1991" s="25"/>
      <c r="P1991" s="25"/>
      <c r="Q1991" s="25"/>
      <c r="R1991" s="25"/>
    </row>
    <row r="1992" spans="2:18" ht="39.75">
      <c r="B1992" s="27"/>
      <c r="C1992" s="14"/>
      <c r="D1992" s="29"/>
      <c r="E1992" s="29"/>
      <c r="F1992" s="29"/>
      <c r="G1992" s="29"/>
      <c r="H1992" s="29"/>
      <c r="I1992" s="29"/>
      <c r="J1992" s="29"/>
      <c r="K1992" s="29"/>
      <c r="L1992" s="29"/>
      <c r="M1992" s="29"/>
      <c r="N1992" s="29"/>
      <c r="O1992" s="29"/>
      <c r="P1992" s="29"/>
      <c r="Q1992" s="29"/>
      <c r="R1992" s="29"/>
    </row>
    <row r="1993" spans="2:18" ht="58.5">
      <c r="B1993" s="31">
        <f t="shared" ref="B1993" si="231">B1989+1</f>
        <v>498</v>
      </c>
      <c r="C1993" s="14"/>
      <c r="D1993" s="32"/>
      <c r="E1993" s="32"/>
      <c r="F1993" s="32"/>
      <c r="G1993" s="32"/>
      <c r="H1993" s="32"/>
      <c r="I1993" s="32"/>
      <c r="J1993" s="32"/>
      <c r="K1993" s="32"/>
      <c r="L1993" s="32"/>
      <c r="M1993" s="32"/>
      <c r="N1993" s="32"/>
      <c r="O1993" s="32"/>
      <c r="P1993" s="32"/>
      <c r="Q1993" s="32"/>
      <c r="R1993" s="32"/>
    </row>
    <row r="1994" spans="2:18">
      <c r="B1994" s="35"/>
      <c r="C1994" s="14"/>
      <c r="D1994" s="37"/>
      <c r="E1994" s="37"/>
      <c r="F1994" s="37"/>
      <c r="G1994" s="37"/>
      <c r="H1994" s="37"/>
      <c r="I1994" s="37"/>
      <c r="J1994" s="37"/>
      <c r="K1994" s="37"/>
      <c r="L1994" s="37"/>
      <c r="M1994" s="37"/>
      <c r="N1994" s="37"/>
      <c r="O1994" s="37"/>
      <c r="P1994" s="37"/>
      <c r="Q1994" s="37"/>
      <c r="R1994" s="37"/>
    </row>
    <row r="1995" spans="2:18">
      <c r="B1995" s="22"/>
      <c r="C1995" s="47"/>
      <c r="D1995" s="25"/>
      <c r="E1995" s="25"/>
      <c r="F1995" s="25"/>
      <c r="G1995" s="25"/>
      <c r="H1995" s="25"/>
      <c r="I1995" s="25"/>
      <c r="J1995" s="25"/>
      <c r="K1995" s="25"/>
      <c r="L1995" s="25"/>
      <c r="M1995" s="25"/>
      <c r="N1995" s="25"/>
      <c r="O1995" s="25"/>
      <c r="P1995" s="25"/>
      <c r="Q1995" s="25"/>
      <c r="R1995" s="25"/>
    </row>
    <row r="1996" spans="2:18" ht="39.75">
      <c r="B1996" s="27"/>
      <c r="C1996" s="14"/>
      <c r="D1996" s="29"/>
      <c r="E1996" s="29"/>
      <c r="F1996" s="29"/>
      <c r="G1996" s="29"/>
      <c r="H1996" s="29"/>
      <c r="I1996" s="29"/>
      <c r="J1996" s="29"/>
      <c r="K1996" s="29"/>
      <c r="L1996" s="29"/>
      <c r="M1996" s="29"/>
      <c r="N1996" s="29"/>
      <c r="O1996" s="29"/>
      <c r="P1996" s="29"/>
      <c r="Q1996" s="29"/>
      <c r="R1996" s="29"/>
    </row>
    <row r="1997" spans="2:18" ht="58.5">
      <c r="B1997" s="31">
        <f t="shared" ref="B1997" si="232">B1993+1</f>
        <v>499</v>
      </c>
      <c r="C1997" s="14"/>
      <c r="D1997" s="32"/>
      <c r="E1997" s="32"/>
      <c r="F1997" s="32"/>
      <c r="G1997" s="32"/>
      <c r="H1997" s="32"/>
      <c r="I1997" s="32"/>
      <c r="J1997" s="32"/>
      <c r="K1997" s="32"/>
      <c r="L1997" s="32"/>
      <c r="M1997" s="32"/>
      <c r="N1997" s="32"/>
      <c r="O1997" s="32"/>
      <c r="P1997" s="32"/>
      <c r="Q1997" s="32"/>
      <c r="R1997" s="32"/>
    </row>
    <row r="1998" spans="2:18">
      <c r="B1998" s="35"/>
      <c r="C1998" s="14"/>
      <c r="D1998" s="37"/>
      <c r="E1998" s="37"/>
      <c r="F1998" s="37"/>
      <c r="G1998" s="37"/>
      <c r="H1998" s="37"/>
      <c r="I1998" s="37"/>
      <c r="J1998" s="37"/>
      <c r="K1998" s="37"/>
      <c r="L1998" s="37"/>
      <c r="M1998" s="37"/>
      <c r="N1998" s="37"/>
      <c r="O1998" s="37"/>
      <c r="P1998" s="37"/>
      <c r="Q1998" s="37"/>
      <c r="R1998" s="37"/>
    </row>
    <row r="1999" spans="2:18">
      <c r="B1999" s="22"/>
      <c r="C1999" s="47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</row>
    <row r="2000" spans="2:18" ht="39.75">
      <c r="B2000" s="27"/>
      <c r="C2000" s="14"/>
      <c r="D2000" s="29"/>
      <c r="E2000" s="29"/>
      <c r="F2000" s="29"/>
      <c r="G2000" s="29"/>
      <c r="H2000" s="29"/>
      <c r="I2000" s="29"/>
      <c r="J2000" s="29"/>
      <c r="K2000" s="29"/>
      <c r="L2000" s="29"/>
      <c r="M2000" s="29"/>
      <c r="N2000" s="29"/>
      <c r="O2000" s="29"/>
      <c r="P2000" s="29"/>
      <c r="Q2000" s="29"/>
      <c r="R2000" s="29"/>
    </row>
    <row r="2001" spans="2:18" ht="58.5">
      <c r="B2001" s="31">
        <f t="shared" ref="B2001" si="233">B1997+1</f>
        <v>500</v>
      </c>
      <c r="C2001" s="14"/>
      <c r="D2001" s="32"/>
      <c r="E2001" s="32"/>
      <c r="F2001" s="32"/>
      <c r="G2001" s="32"/>
      <c r="H2001" s="32"/>
      <c r="I2001" s="32"/>
      <c r="J2001" s="32"/>
      <c r="K2001" s="32"/>
      <c r="L2001" s="32"/>
      <c r="M2001" s="32"/>
      <c r="N2001" s="32"/>
      <c r="O2001" s="32"/>
      <c r="P2001" s="32"/>
      <c r="Q2001" s="32"/>
      <c r="R2001" s="32"/>
    </row>
    <row r="2002" spans="2:18">
      <c r="B2002" s="35"/>
      <c r="C2002" s="14"/>
      <c r="D2002" s="37"/>
      <c r="E2002" s="37"/>
      <c r="F2002" s="37"/>
      <c r="G2002" s="37"/>
      <c r="H2002" s="37"/>
      <c r="I2002" s="37"/>
      <c r="J2002" s="37"/>
      <c r="K2002" s="37"/>
      <c r="L2002" s="37"/>
      <c r="M2002" s="37"/>
      <c r="N2002" s="37"/>
      <c r="O2002" s="37"/>
      <c r="P2002" s="37"/>
      <c r="Q2002" s="37"/>
      <c r="R2002" s="37"/>
    </row>
  </sheetData>
  <mergeCells count="1">
    <mergeCell ref="V3:V82"/>
  </mergeCells>
  <phoneticPr fontId="1" type="noConversion"/>
  <conditionalFormatting sqref="D3:R3">
    <cfRule type="expression" dxfId="55" priority="47">
      <formula>顯示注音輸入</formula>
    </cfRule>
    <cfRule type="expression" dxfId="54" priority="48">
      <formula>"'= TRUE(顯示注音輸入)"</formula>
    </cfRule>
  </conditionalFormatting>
  <conditionalFormatting sqref="D7:R7">
    <cfRule type="expression" dxfId="53" priority="45">
      <formula>顯示注音輸入</formula>
    </cfRule>
    <cfRule type="expression" dxfId="52" priority="46">
      <formula>"'= TRUE(顯示注音輸入)"</formula>
    </cfRule>
  </conditionalFormatting>
  <conditionalFormatting sqref="D11:R11">
    <cfRule type="expression" dxfId="51" priority="43">
      <formula>顯示注音輸入</formula>
    </cfRule>
    <cfRule type="expression" dxfId="50" priority="44">
      <formula>"'= TRUE(顯示注音輸入)"</formula>
    </cfRule>
  </conditionalFormatting>
  <conditionalFormatting sqref="D15:R15">
    <cfRule type="expression" dxfId="49" priority="41">
      <formula>顯示注音輸入</formula>
    </cfRule>
    <cfRule type="expression" dxfId="48" priority="42">
      <formula>"'= TRUE(顯示注音輸入)"</formula>
    </cfRule>
  </conditionalFormatting>
  <conditionalFormatting sqref="D19:R19">
    <cfRule type="expression" dxfId="47" priority="39">
      <formula>顯示注音輸入</formula>
    </cfRule>
    <cfRule type="expression" dxfId="46" priority="40">
      <formula>"'= TRUE(顯示注音輸入)"</formula>
    </cfRule>
  </conditionalFormatting>
  <conditionalFormatting sqref="D23:R23">
    <cfRule type="expression" dxfId="45" priority="37">
      <formula>顯示注音輸入</formula>
    </cfRule>
    <cfRule type="expression" dxfId="44" priority="38">
      <formula>"'= TRUE(顯示注音輸入)"</formula>
    </cfRule>
  </conditionalFormatting>
  <conditionalFormatting sqref="D27:R27">
    <cfRule type="expression" dxfId="43" priority="35">
      <formula>顯示注音輸入</formula>
    </cfRule>
    <cfRule type="expression" dxfId="42" priority="36">
      <formula>"'= TRUE(顯示注音輸入)"</formula>
    </cfRule>
  </conditionalFormatting>
  <conditionalFormatting sqref="D31:R31">
    <cfRule type="expression" dxfId="41" priority="33">
      <formula>顯示注音輸入</formula>
    </cfRule>
    <cfRule type="expression" dxfId="40" priority="34">
      <formula>"'= TRUE(顯示注音輸入)"</formula>
    </cfRule>
  </conditionalFormatting>
  <conditionalFormatting sqref="D35:R35">
    <cfRule type="expression" dxfId="39" priority="31">
      <formula>顯示注音輸入</formula>
    </cfRule>
    <cfRule type="expression" dxfId="38" priority="32">
      <formula>"'= TRUE(顯示注音輸入)"</formula>
    </cfRule>
  </conditionalFormatting>
  <conditionalFormatting sqref="D39:R39">
    <cfRule type="expression" dxfId="37" priority="29">
      <formula>顯示注音輸入</formula>
    </cfRule>
    <cfRule type="expression" dxfId="36" priority="30">
      <formula>"'= TRUE(顯示注音輸入)"</formula>
    </cfRule>
  </conditionalFormatting>
  <conditionalFormatting sqref="D43:R43">
    <cfRule type="expression" dxfId="35" priority="27">
      <formula>顯示注音輸入</formula>
    </cfRule>
    <cfRule type="expression" dxfId="34" priority="28">
      <formula>"'= TRUE(顯示注音輸入)"</formula>
    </cfRule>
  </conditionalFormatting>
  <conditionalFormatting sqref="D47:R47">
    <cfRule type="expression" dxfId="33" priority="25">
      <formula>顯示注音輸入</formula>
    </cfRule>
    <cfRule type="expression" dxfId="32" priority="26">
      <formula>"'= TRUE(顯示注音輸入)"</formula>
    </cfRule>
  </conditionalFormatting>
  <conditionalFormatting sqref="D51:R51">
    <cfRule type="expression" dxfId="31" priority="23">
      <formula>顯示注音輸入</formula>
    </cfRule>
    <cfRule type="expression" dxfId="30" priority="24">
      <formula>"'= TRUE(顯示注音輸入)"</formula>
    </cfRule>
  </conditionalFormatting>
  <conditionalFormatting sqref="D55:R55">
    <cfRule type="expression" dxfId="29" priority="21">
      <formula>顯示注音輸入</formula>
    </cfRule>
    <cfRule type="expression" dxfId="28" priority="22">
      <formula>"'= TRUE(顯示注音輸入)"</formula>
    </cfRule>
  </conditionalFormatting>
  <conditionalFormatting sqref="D59:R59">
    <cfRule type="expression" dxfId="27" priority="19">
      <formula>顯示注音輸入</formula>
    </cfRule>
    <cfRule type="expression" dxfId="26" priority="20">
      <formula>"'= TRUE(顯示注音輸入)"</formula>
    </cfRule>
  </conditionalFormatting>
  <conditionalFormatting sqref="D63:R63">
    <cfRule type="expression" dxfId="25" priority="17">
      <formula>顯示注音輸入</formula>
    </cfRule>
    <cfRule type="expression" dxfId="24" priority="18">
      <formula>"'= TRUE(顯示注音輸入)"</formula>
    </cfRule>
  </conditionalFormatting>
  <conditionalFormatting sqref="D67:R67">
    <cfRule type="expression" dxfId="23" priority="15">
      <formula>顯示注音輸入</formula>
    </cfRule>
    <cfRule type="expression" dxfId="22" priority="16">
      <formula>"'= TRUE(顯示注音輸入)"</formula>
    </cfRule>
  </conditionalFormatting>
  <conditionalFormatting sqref="D71:R71">
    <cfRule type="expression" dxfId="21" priority="13">
      <formula>顯示注音輸入</formula>
    </cfRule>
    <cfRule type="expression" dxfId="20" priority="14">
      <formula>"'= TRUE(顯示注音輸入)"</formula>
    </cfRule>
  </conditionalFormatting>
  <conditionalFormatting sqref="D75:R75">
    <cfRule type="expression" dxfId="19" priority="11">
      <formula>顯示注音輸入</formula>
    </cfRule>
    <cfRule type="expression" dxfId="18" priority="12">
      <formula>"'= TRUE(顯示注音輸入)"</formula>
    </cfRule>
  </conditionalFormatting>
  <conditionalFormatting sqref="D79:R79">
    <cfRule type="expression" dxfId="17" priority="9">
      <formula>顯示注音輸入</formula>
    </cfRule>
    <cfRule type="expression" dxfId="16" priority="10">
      <formula>"'= TRUE(顯示注音輸入)"</formula>
    </cfRule>
  </conditionalFormatting>
  <conditionalFormatting sqref="D83:R83">
    <cfRule type="expression" dxfId="15" priority="7">
      <formula>顯示注音輸入</formula>
    </cfRule>
    <cfRule type="expression" dxfId="14" priority="8">
      <formula>"'= TRUE(顯示注音輸入)"</formula>
    </cfRule>
  </conditionalFormatting>
  <conditionalFormatting sqref="D87:R87">
    <cfRule type="expression" dxfId="13" priority="5">
      <formula>顯示注音輸入</formula>
    </cfRule>
    <cfRule type="expression" dxfId="12" priority="6">
      <formula>"'= TRUE(顯示注音輸入)"</formula>
    </cfRule>
  </conditionalFormatting>
  <conditionalFormatting sqref="D91:R91">
    <cfRule type="expression" dxfId="11" priority="3">
      <formula>顯示注音輸入</formula>
    </cfRule>
    <cfRule type="expression" dxfId="10" priority="4">
      <formula>"'= TRUE(顯示注音輸入)"</formula>
    </cfRule>
  </conditionalFormatting>
  <conditionalFormatting sqref="D95:R95 D99:R99 D103:R103 D107:R107 D111:R111 D115:R115 D119:R119 D123:R123 D127:R127 D131:R131 D135:R135 D139:R139 D143:R143 D147:R147 D151:R151 D155:R155 D159:R159 D163:R163 D167:R167 D171:R171 D175:R175 D179:R179 D183:R183 D187:R187 D191:R191 D195:R195 D199:R199 D203:R203 D207:R207 D211:R211 D215:R215 D219:R219 D223:R223 D227:R227 D231:R231 D235:R235 D239:R239 D243:R243 D247:R247 D251:R251 D255:R255 D259:R259 D263:R263 D267:R267 D271:R271 D275:R275 D279:R279 D283:R283 D287:R287 D291:R291 D295:R295 D299:R299 D303:R303 D307:R307 D311:R311 D315:R315 D319:R319 D323:R323 D327:R327 D331:R331 D335:R335 D339:R339 D343:R343 D347:R347 D351:R351 D355:R355 D359:R359 D363:R363 D367:R367 D371:R371 D375:R375 D379:R379 D383:R383 D387:R387 D391:R391 D395:R395 D399:R399 D403:R403 D407:R407 D411:R411 D415:R415 D419:R419 D423:R423 D427:R427 D431:R431 D435:R435 D439:R439 D443:R443 D447:R447 D451:R451 D455:R455 D459:R459 D463:R463 D467:R467 D471:R471 D475:R475 D479:R479 D483:R483 D487:R487 D491:R491 D495:R495 D499:R499 D503:R503 D507:R507 D511:R511 D515:R515 D519:R519 D523:R523 D527:R527 D531:R531 D535:R535 D539:R539 D543:R543 D547:R547 D551:R551 D555:R555 D559:R559 D563:R563 D567:R567 D571:R571 D575:R575 D579:R579 D583:R583 D587:R587 D591:R591 D595:R595 D599:R599 D603:R603 D607:R607 D611:R611 D615:R615 D619:R619 D623:R623 D627:R627 D631:R631 D635:R635 D639:R639 D643:R643 D647:R647 D651:R651 D655:R655 D659:R659 D663:R663 D667:R667 D671:R671 D675:R675 D679:R679 D683:R683 D687:R687 D691:R691 D695:R695 D699:R699 D703:R703 D707:R707 D711:R711 D715:R715 D719:R719 D723:R723 D727:R727 D731:R731 D735:R735 D739:R739 D743:R743 D747:R747 D751:R751 D755:R755 D759:R759 D763:R763 D767:R767 D771:R771 D775:R775 D779:R779 D783:R783 D787:R787 D791:R791 D795:R795 D799:R799 D803:R803 D807:R807 D811:R811 D815:R815 D819:R819 D823:R823 D827:R827 D831:R831 D835:R835 D839:R839 D843:R843 D847:R847 D851:R851 D855:R855 D859:R859 D863:R863 D867:R867 D871:R871 D875:R875 D879:R879 D883:R883 D887:R887 D891:R891 D895:R895 D899:R899 D903:R903 D907:R907 D911:R911 D915:R915 D919:R919 D923:R923 D927:R927 D931:R931 D935:R935 D939:R939 D943:R943 D947:R947 D951:R951 D955:R955 D959:R959 D963:R963 D967:R967 D971:R971 D975:R975 D979:R979 D983:R983 D987:R987 D991:R991 D995:R995 D999:R999 D1003:R1003 D1007:R1007 D1011:R1011 D1015:R1015 D1019:R1019 D1023:R1023 D1027:R1027 D1031:R1031 D1035:R1035 D1039:R1039 D1043:R1043 D1047:R1047 D1051:R1051 D1055:R1055 D1059:R1059 D1063:R1063 D1067:R1067 D1071:R1071 D1075:R1075 D1079:R1079 D1083:R1083 D1087:R1087 D1091:R1091 D1095:R1095 D1099:R1099 D1103:R1103 D1107:R1107 D1111:R1111 D1115:R1115 D1119:R1119 D1123:R1123 D1127:R1127 D1131:R1131 D1135:R1135 D1139:R1139 D1143:R1143 D1147:R1147 D1151:R1151 D1155:R1155 D1159:R1159 D1163:R1163 D1167:R1167 D1171:R1171 D1175:R1175 D1179:R1179 D1183:R1183 D1187:R1187 D1191:R1191 D1195:R1195 D1199:R1199 D1203:R1203 D1207:R1207 D1211:R1211 D1215:R1215 D1219:R1219 D1223:R1223 D1227:R1227 D1231:R1231 D1235:R1235 D1239:R1239 D1243:R1243 D1247:R1247 D1251:R1251 D1255:R1255 D1259:R1259 D1263:R1263 D1267:R1267 D1271:R1271 D1275:R1275 D1279:R1279 D1283:R1283 D1287:R1287 D1291:R1291 D1295:R1295 D1299:R1299 D1303:R1303 D1307:R1307 D1311:R1311 D1315:R1315 D1319:R1319 D1323:R1323 D1327:R1327 D1331:R1331 D1335:R1335 D1339:R1339 D1343:R1343 D1347:R1347 D1351:R1351 D1355:R1355 D1359:R1359 D1363:R1363 D1367:R1367 D1371:R1371 D1375:R1375 D1379:R1379 D1383:R1383 D1387:R1387 D1391:R1391 D1395:R1395 D1399:R1399 D1403:R1403 D1407:R1407 D1411:R1411 D1415:R1415 D1419:R1419 D1423:R1423 D1427:R1427 D1431:R1431 D1435:R1435 D1439:R1439 D1443:R1443 D1447:R1447 D1451:R1451 D1455:R1455 D1459:R1459 D1463:R1463 D1467:R1467 D1471:R1471 D1475:R1475 D1479:R1479 D1483:R1483 D1487:R1487 D1491:R1491 D1495:R1495 D1499:R1499 D1503:R1503 D1507:R1507 D1511:R1511 D1515:R1515 D1519:R1519 D1523:R1523 D1527:R1527 D1531:R1531 D1535:R1535 D1539:R1539 D1543:R1543 D1547:R1547 D1551:R1551 D1555:R1555 D1559:R1559 D1563:R1563 D1567:R1567 D1571:R1571 D1575:R1575 D1579:R1579 D1583:R1583 D1587:R1587 D1591:R1591 D1595:R1595 D1599:R1599 D1603:R1603 D1607:R1607 D1611:R1611 D1615:R1615 D1619:R1619 D1623:R1623 D1627:R1627 D1631:R1631 D1635:R1635 D1639:R1639 D1643:R1643 D1647:R1647 D1651:R1651 D1655:R1655 D1659:R1659 D1663:R1663 D1667:R1667 D1671:R1671 D1675:R1675 D1679:R1679 D1683:R1683 D1687:R1687 D1691:R1691 D1695:R1695 D1699:R1699 D1703:R1703 D1707:R1707 D1711:R1711 D1715:R1715 D1719:R1719 D1723:R1723 D1727:R1727 D1731:R1731 D1735:R1735 D1739:R1739 D1743:R1743 D1747:R1747 D1751:R1751 D1755:R1755 D1759:R1759 D1763:R1763 D1767:R1767 D1771:R1771 D1775:R1775 D1779:R1779 D1783:R1783 D1787:R1787 D1791:R1791 D1795:R1795 D1799:R1799 D1803:R1803 D1807:R1807 D1811:R1811 D1815:R1815 D1819:R1819 D1823:R1823 D1827:R1827 D1831:R1831 D1835:R1835 D1839:R1839 D1843:R1843 D1847:R1847 D1851:R1851 D1855:R1855 D1859:R1859 D1863:R1863 D1867:R1867 D1871:R1871 D1875:R1875 D1879:R1879 D1883:R1883 D1887:R1887 D1891:R1891 D1895:R1895 D1899:R1899 D1903:R1903 D1907:R1907 D1911:R1911 D1915:R1915 D1919:R1919 D1923:R1923 D1927:R1927 D1931:R1931 D1935:R1935 D1939:R1939 D1943:R1943 D1947:R1947 D1951:R1951 D1955:R1955 D1959:R1959 D1963:R1963 D1967:R1967 D1971:R1971 D1975:R1975 D1979:R1979 D1983:R1983 D1987:R1987 D1991:R1991 D1995:R1995 D1999:R1999">
    <cfRule type="expression" dxfId="9" priority="1">
      <formula>顯示注音輸入</formula>
    </cfRule>
    <cfRule type="expression" dxfId="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C49E-C63C-408C-A5EA-426463E68588}">
  <dimension ref="B2:M62"/>
  <sheetViews>
    <sheetView showGridLines="0" topLeftCell="C1" zoomScaleNormal="100" workbookViewId="0">
      <pane ySplit="2" topLeftCell="A26" activePane="bottomLeft" state="frozen"/>
      <selection pane="bottomLeft" activeCell="H1" sqref="H1:H1048576"/>
    </sheetView>
  </sheetViews>
  <sheetFormatPr defaultRowHeight="16.5"/>
  <cols>
    <col min="1" max="1" width="14.5" customWidth="1"/>
    <col min="2" max="2" width="9.125" customWidth="1"/>
    <col min="3" max="6" width="18.375" customWidth="1"/>
    <col min="7" max="7" width="14.25" customWidth="1"/>
    <col min="8" max="8" width="59.5" style="130" customWidth="1"/>
    <col min="9" max="9" width="12.75" style="97" customWidth="1"/>
  </cols>
  <sheetData>
    <row r="2" spans="2:9" s="97" customFormat="1" ht="25.5">
      <c r="B2" s="114" t="s">
        <v>461</v>
      </c>
      <c r="C2" s="100" t="s">
        <v>433</v>
      </c>
      <c r="D2" s="98" t="s">
        <v>546</v>
      </c>
      <c r="E2" s="99" t="s">
        <v>462</v>
      </c>
      <c r="F2" s="103" t="s">
        <v>549</v>
      </c>
      <c r="G2" s="97" t="s">
        <v>582</v>
      </c>
      <c r="H2" s="130" t="s">
        <v>580</v>
      </c>
      <c r="I2" s="97" t="s">
        <v>581</v>
      </c>
    </row>
    <row r="3" spans="2:9" ht="39">
      <c r="B3" s="115">
        <v>1</v>
      </c>
      <c r="C3" s="102" t="s">
        <v>219</v>
      </c>
      <c r="D3" s="101" t="s">
        <v>437</v>
      </c>
      <c r="E3" s="104" t="s">
        <v>464</v>
      </c>
      <c r="F3" s="108" t="s">
        <v>464</v>
      </c>
      <c r="H3" s="130" t="str">
        <f>_xlfn.CONCAT(URL, F3, ".png")</f>
        <v>https://alanjui.github.io/Blogger/assets/images/keys/key_1.png</v>
      </c>
      <c r="I3" s="97" t="e" vm="1">
        <f xml:space="preserve"> IFERROR( _xlfn.IMAGE(按鍵位置表[[#This Row],[Pict URL]]), "")</f>
        <v>#VALUE!</v>
      </c>
    </row>
    <row r="4" spans="2:9" ht="39">
      <c r="B4" s="116">
        <v>2</v>
      </c>
      <c r="C4" s="107" t="s">
        <v>234</v>
      </c>
      <c r="D4" s="101" t="s">
        <v>438</v>
      </c>
      <c r="E4" s="104" t="s">
        <v>463</v>
      </c>
      <c r="F4" s="109">
        <v>1</v>
      </c>
      <c r="H4" s="130" t="str">
        <f>_xlfn.CONCAT(URL, F4, ".png")</f>
        <v>https://alanjui.github.io/Blogger/assets/images/keys/key_1.png</v>
      </c>
      <c r="I4" s="97" t="e" vm="1">
        <f xml:space="preserve"> IFERROR( _xlfn.IMAGE(按鍵位置表[[#This Row],[Pict URL]]), "")</f>
        <v>#VALUE!</v>
      </c>
    </row>
    <row r="5" spans="2:9" ht="39">
      <c r="B5" s="115">
        <v>3</v>
      </c>
      <c r="C5" s="102" t="s">
        <v>228</v>
      </c>
      <c r="D5" s="101" t="s">
        <v>444</v>
      </c>
      <c r="E5" s="104" t="s">
        <v>465</v>
      </c>
      <c r="F5" s="106" t="s">
        <v>465</v>
      </c>
      <c r="H5" s="130" t="str">
        <f>_xlfn.CONCAT(URL, F5, ".png")</f>
        <v>https://alanjui.github.io/Blogger/assets/images/keys/key_q.png</v>
      </c>
      <c r="I5" s="97" t="e" vm="2">
        <f xml:space="preserve"> IFERROR( _xlfn.IMAGE(按鍵位置表[[#This Row],[Pict URL]]), "")</f>
        <v>#VALUE!</v>
      </c>
    </row>
    <row r="6" spans="2:9" ht="39">
      <c r="B6" s="116">
        <v>4</v>
      </c>
      <c r="C6" s="102" t="s">
        <v>455</v>
      </c>
      <c r="D6" s="101" t="s">
        <v>453</v>
      </c>
      <c r="E6" s="104" t="s">
        <v>466</v>
      </c>
      <c r="F6" s="106" t="s">
        <v>466</v>
      </c>
      <c r="H6" s="130" t="str">
        <f>_xlfn.CONCAT(URL, F6, ".png")</f>
        <v>https://alanjui.github.io/Blogger/assets/images/keys/key_a.png</v>
      </c>
      <c r="I6" s="97" t="e" vm="3">
        <f xml:space="preserve"> IFERROR( _xlfn.IMAGE(按鍵位置表[[#This Row],[Pict URL]]), "")</f>
        <v>#VALUE!</v>
      </c>
    </row>
    <row r="7" spans="2:9" ht="39">
      <c r="B7" s="115">
        <v>5</v>
      </c>
      <c r="C7" s="102" t="s">
        <v>241</v>
      </c>
      <c r="D7" s="101" t="s">
        <v>442</v>
      </c>
      <c r="E7" s="104" t="s">
        <v>467</v>
      </c>
      <c r="F7" s="106" t="s">
        <v>467</v>
      </c>
      <c r="H7" s="130" t="str">
        <f>_xlfn.CONCAT(URL, F7, ".png")</f>
        <v>https://alanjui.github.io/Blogger/assets/images/keys/key_2.png</v>
      </c>
      <c r="I7" s="97" t="e" vm="4">
        <f xml:space="preserve"> IFERROR( _xlfn.IMAGE(按鍵位置表[[#This Row],[Pict URL]]), "")</f>
        <v>#VALUE!</v>
      </c>
    </row>
    <row r="8" spans="2:9" ht="39">
      <c r="B8" s="116">
        <v>6</v>
      </c>
      <c r="C8" s="102" t="s">
        <v>446</v>
      </c>
      <c r="D8" s="101" t="s">
        <v>445</v>
      </c>
      <c r="E8" s="104" t="s">
        <v>468</v>
      </c>
      <c r="F8" s="106" t="s">
        <v>468</v>
      </c>
      <c r="H8" s="130" t="str">
        <f>_xlfn.CONCAT(URL, F8, ".png")</f>
        <v>https://alanjui.github.io/Blogger/assets/images/keys/key_w.png</v>
      </c>
      <c r="I8" s="97" t="e" vm="5">
        <f xml:space="preserve"> IFERROR( _xlfn.IMAGE(按鍵位置表[[#This Row],[Pict URL]]), "")</f>
        <v>#VALUE!</v>
      </c>
    </row>
    <row r="9" spans="2:9" ht="39">
      <c r="B9" s="115">
        <v>7</v>
      </c>
      <c r="C9" s="102" t="s">
        <v>436</v>
      </c>
      <c r="D9" s="101" t="s">
        <v>435</v>
      </c>
      <c r="E9" s="104" t="s">
        <v>452</v>
      </c>
      <c r="F9" s="106" t="s">
        <v>452</v>
      </c>
      <c r="H9" s="130" t="str">
        <f>_xlfn.CONCAT(URL, F9, ".png")</f>
        <v>https://alanjui.github.io/Blogger/assets/images/keys/key_s.png</v>
      </c>
      <c r="I9" s="97" t="e" vm="6">
        <f xml:space="preserve"> IFERROR( _xlfn.IMAGE(按鍵位置表[[#This Row],[Pict URL]]), "")</f>
        <v>#VALUE!</v>
      </c>
    </row>
    <row r="10" spans="2:9" ht="39">
      <c r="B10" s="116">
        <v>8</v>
      </c>
      <c r="C10" s="102" t="s">
        <v>197</v>
      </c>
      <c r="D10" s="101" t="s">
        <v>434</v>
      </c>
      <c r="E10" s="104" t="s">
        <v>469</v>
      </c>
      <c r="F10" s="106" t="s">
        <v>469</v>
      </c>
      <c r="H10" s="130" t="str">
        <f>_xlfn.CONCAT(URL, F10, ".png")</f>
        <v>https://alanjui.github.io/Blogger/assets/images/keys/key_x.png</v>
      </c>
      <c r="I10" s="97" t="e" vm="7">
        <f xml:space="preserve"> IFERROR( _xlfn.IMAGE(按鍵位置表[[#This Row],[Pict URL]]), "")</f>
        <v>#VALUE!</v>
      </c>
    </row>
    <row r="11" spans="2:9" ht="39">
      <c r="B11" s="115">
        <v>9</v>
      </c>
      <c r="C11" s="102" t="s">
        <v>224</v>
      </c>
      <c r="D11" s="101" t="s">
        <v>439</v>
      </c>
      <c r="E11" s="104" t="s">
        <v>471</v>
      </c>
      <c r="F11" s="108" t="s">
        <v>471</v>
      </c>
      <c r="H11" s="130" t="str">
        <f>_xlfn.CONCAT(URL, F11, ".png")</f>
        <v>https://alanjui.github.io/Blogger/assets/images/keys/key_e.png</v>
      </c>
      <c r="I11" s="97" t="e" vm="8">
        <f xml:space="preserve"> IFERROR( _xlfn.IMAGE(按鍵位置表[[#This Row],[Pict URL]]), "")</f>
        <v>#VALUE!</v>
      </c>
    </row>
    <row r="12" spans="2:9" ht="39">
      <c r="B12" s="116">
        <v>10</v>
      </c>
      <c r="C12" s="107" t="s">
        <v>252</v>
      </c>
      <c r="D12" s="101" t="s">
        <v>440</v>
      </c>
      <c r="E12" s="104" t="s">
        <v>470</v>
      </c>
      <c r="F12" s="109" t="s">
        <v>552</v>
      </c>
      <c r="H12" s="130" t="str">
        <f>_xlfn.CONCAT(URL, F12, ".png")</f>
        <v>https://alanjui.github.io/Blogger/assets/images/keys/key_e.png</v>
      </c>
      <c r="I12" s="97" t="e" vm="8">
        <f xml:space="preserve"> IFERROR( _xlfn.IMAGE(按鍵位置表[[#This Row],[Pict URL]]), "")</f>
        <v>#VALUE!</v>
      </c>
    </row>
    <row r="13" spans="2:9" ht="39">
      <c r="B13" s="115">
        <v>11</v>
      </c>
      <c r="C13" s="102" t="s">
        <v>239</v>
      </c>
      <c r="D13" s="101" t="s">
        <v>441</v>
      </c>
      <c r="E13" s="104" t="s">
        <v>443</v>
      </c>
      <c r="F13" s="106" t="s">
        <v>443</v>
      </c>
      <c r="H13" s="130" t="str">
        <f>_xlfn.CONCAT(URL, F13, ".png")</f>
        <v>https://alanjui.github.io/Blogger/assets/images/keys/key_d.png</v>
      </c>
      <c r="I13" s="97" t="e" vm="9">
        <f xml:space="preserve"> IFERROR( _xlfn.IMAGE(按鍵位置表[[#This Row],[Pict URL]]), "")</f>
        <v>#VALUE!</v>
      </c>
    </row>
    <row r="14" spans="2:9" ht="39">
      <c r="B14" s="116">
        <v>12</v>
      </c>
      <c r="C14" s="102" t="s">
        <v>210</v>
      </c>
      <c r="D14" s="101" t="s">
        <v>460</v>
      </c>
      <c r="E14" s="104" t="s">
        <v>458</v>
      </c>
      <c r="F14" s="106" t="s">
        <v>458</v>
      </c>
      <c r="H14" s="130" t="str">
        <f>_xlfn.CONCAT(URL, F14, ".png")</f>
        <v>https://alanjui.github.io/Blogger/assets/images/keys/key_c.png</v>
      </c>
      <c r="I14" s="97" t="e" vm="10">
        <f xml:space="preserve"> IFERROR( _xlfn.IMAGE(按鍵位置表[[#This Row],[Pict URL]]), "")</f>
        <v>#VALUE!</v>
      </c>
    </row>
    <row r="15" spans="2:9" ht="39">
      <c r="B15" s="115">
        <v>13</v>
      </c>
      <c r="C15" s="102" t="s">
        <v>201</v>
      </c>
      <c r="D15" s="101" t="s">
        <v>478</v>
      </c>
      <c r="E15" s="104" t="s">
        <v>479</v>
      </c>
      <c r="F15" s="106" t="s">
        <v>479</v>
      </c>
      <c r="H15" s="130" t="str">
        <f>_xlfn.CONCAT(URL, F15, ".png")</f>
        <v>https://alanjui.github.io/Blogger/assets/images/keys/key_r.png</v>
      </c>
      <c r="I15" s="97" t="e" vm="11">
        <f xml:space="preserve"> IFERROR( _xlfn.IMAGE(按鍵位置表[[#This Row],[Pict URL]]), "")</f>
        <v>#VALUE!</v>
      </c>
    </row>
    <row r="16" spans="2:9" ht="39">
      <c r="B16" s="116">
        <v>14</v>
      </c>
      <c r="C16" s="107" t="s">
        <v>236</v>
      </c>
      <c r="D16" s="101" t="s">
        <v>475</v>
      </c>
      <c r="E16" s="104" t="s">
        <v>477</v>
      </c>
      <c r="F16" s="106" t="s">
        <v>553</v>
      </c>
      <c r="H16" s="130" t="str">
        <f>_xlfn.CONCAT(URL, F16, ".png")</f>
        <v>https://alanjui.github.io/Blogger/assets/images/keys/key_r.png</v>
      </c>
      <c r="I16" s="97" t="e" vm="11">
        <f xml:space="preserve"> IFERROR( _xlfn.IMAGE(按鍵位置表[[#This Row],[Pict URL]]), "")</f>
        <v>#VALUE!</v>
      </c>
    </row>
    <row r="17" spans="2:9" ht="39">
      <c r="B17" s="115">
        <v>15</v>
      </c>
      <c r="C17" s="102" t="s">
        <v>459</v>
      </c>
      <c r="D17" s="101" t="s">
        <v>480</v>
      </c>
      <c r="E17" s="104" t="s">
        <v>481</v>
      </c>
      <c r="F17" s="106" t="s">
        <v>481</v>
      </c>
      <c r="H17" s="130" t="str">
        <f>_xlfn.CONCAT(URL, F17, ".png")</f>
        <v>https://alanjui.github.io/Blogger/assets/images/keys/key_f.png</v>
      </c>
      <c r="I17" s="97" t="e" vm="12">
        <f xml:space="preserve"> IFERROR( _xlfn.IMAGE(按鍵位置表[[#This Row],[Pict URL]]), "")</f>
        <v>#VALUE!</v>
      </c>
    </row>
    <row r="18" spans="2:9" ht="39">
      <c r="B18" s="116">
        <v>16</v>
      </c>
      <c r="C18" s="102" t="s">
        <v>217</v>
      </c>
      <c r="D18" s="101" t="s">
        <v>482</v>
      </c>
      <c r="E18" s="104" t="s">
        <v>483</v>
      </c>
      <c r="F18" s="106" t="s">
        <v>483</v>
      </c>
      <c r="H18" s="130" t="str">
        <f>_xlfn.CONCAT(URL, F18, ".png")</f>
        <v>https://alanjui.github.io/Blogger/assets/images/keys/key_v.png</v>
      </c>
      <c r="I18" s="97" t="e" vm="13">
        <f xml:space="preserve"> IFERROR( _xlfn.IMAGE(按鍵位置表[[#This Row],[Pict URL]]), "")</f>
        <v>#VALUE!</v>
      </c>
    </row>
    <row r="19" spans="2:9" ht="39">
      <c r="B19" s="115">
        <v>17</v>
      </c>
      <c r="C19" s="102" t="s">
        <v>448</v>
      </c>
      <c r="D19" s="101" t="s">
        <v>547</v>
      </c>
      <c r="E19" s="104" t="s">
        <v>474</v>
      </c>
      <c r="F19" s="108" t="s">
        <v>474</v>
      </c>
      <c r="H19" s="130" t="str">
        <f>_xlfn.CONCAT(URL, F19, ".png")</f>
        <v>https://alanjui.github.io/Blogger/assets/images/keys/key_y.png</v>
      </c>
      <c r="I19" s="97" t="e" vm="14">
        <f xml:space="preserve"> IFERROR( _xlfn.IMAGE(按鍵位置表[[#This Row],[Pict URL]]), "")</f>
        <v>#VALUE!</v>
      </c>
    </row>
    <row r="20" spans="2:9" ht="39">
      <c r="B20" s="116">
        <v>18</v>
      </c>
      <c r="C20" s="107" t="s">
        <v>451</v>
      </c>
      <c r="D20" s="101" t="s">
        <v>449</v>
      </c>
      <c r="E20" s="104" t="s">
        <v>473</v>
      </c>
      <c r="F20" s="109" t="s">
        <v>554</v>
      </c>
      <c r="H20" s="130" t="str">
        <f>_xlfn.CONCAT(URL, F20, ".png")</f>
        <v>https://alanjui.github.io/Blogger/assets/images/keys/key_y.png</v>
      </c>
      <c r="I20" s="97" t="e" vm="14">
        <f xml:space="preserve"> IFERROR( _xlfn.IMAGE(按鍵位置表[[#This Row],[Pict URL]]), "")</f>
        <v>#VALUE!</v>
      </c>
    </row>
    <row r="21" spans="2:9" ht="39">
      <c r="B21" s="115">
        <v>19</v>
      </c>
      <c r="C21" s="102" t="s">
        <v>247</v>
      </c>
      <c r="D21" s="101" t="s">
        <v>548</v>
      </c>
      <c r="E21" s="104" t="s">
        <v>460</v>
      </c>
      <c r="F21" s="106" t="s">
        <v>460</v>
      </c>
      <c r="H21" s="130" t="str">
        <f>_xlfn.CONCAT(URL, F21, ".png")</f>
        <v>https://alanjui.github.io/Blogger/assets/images/keys/key_h.png</v>
      </c>
      <c r="I21" s="97" t="e" vm="15">
        <f xml:space="preserve"> IFERROR( _xlfn.IMAGE(按鍵位置表[[#This Row],[Pict URL]]), "")</f>
        <v>#VALUE!</v>
      </c>
    </row>
    <row r="22" spans="2:9" ht="39">
      <c r="B22" s="116">
        <v>20</v>
      </c>
      <c r="C22" s="102" t="s">
        <v>205</v>
      </c>
      <c r="D22" s="101" t="s">
        <v>452</v>
      </c>
      <c r="E22" s="104" t="s">
        <v>435</v>
      </c>
      <c r="F22" s="108" t="s">
        <v>435</v>
      </c>
      <c r="H22" s="130" t="str">
        <f>_xlfn.CONCAT(URL, F22, ".png")</f>
        <v>https://alanjui.github.io/Blogger/assets/images/keys/key_n.png</v>
      </c>
      <c r="I22" s="97" t="e" vm="16">
        <f xml:space="preserve"> IFERROR( _xlfn.IMAGE(按鍵位置表[[#This Row],[Pict URL]]), "")</f>
        <v>#VALUE!</v>
      </c>
    </row>
    <row r="23" spans="2:9" ht="39">
      <c r="B23" s="115">
        <v>21</v>
      </c>
      <c r="C23" s="107" t="s">
        <v>456</v>
      </c>
      <c r="D23" s="101" t="s">
        <v>457</v>
      </c>
      <c r="E23" s="104" t="s">
        <v>556</v>
      </c>
      <c r="F23" s="109" t="s">
        <v>555</v>
      </c>
      <c r="H23" s="130" t="str">
        <f>_xlfn.CONCAT(URL, F23, ".png")</f>
        <v>https://alanjui.github.io/Blogger/assets/images/keys/key_n.png</v>
      </c>
      <c r="I23" s="97" t="e" vm="16">
        <f xml:space="preserve"> IFERROR( _xlfn.IMAGE(按鍵位置表[[#This Row],[Pict URL]]), "")</f>
        <v>#VALUE!</v>
      </c>
    </row>
    <row r="24" spans="2:9" ht="39">
      <c r="B24" s="116">
        <v>22</v>
      </c>
      <c r="C24" s="102" t="s">
        <v>485</v>
      </c>
      <c r="D24" s="101" t="s">
        <v>466</v>
      </c>
      <c r="E24" s="104" t="s">
        <v>484</v>
      </c>
      <c r="F24" s="108" t="s">
        <v>484</v>
      </c>
      <c r="H24" s="130" t="str">
        <f>_xlfn.CONCAT(URL, F24, ".png")</f>
        <v>https://alanjui.github.io/Blogger/assets/images/keys/key_8.png</v>
      </c>
      <c r="I24" s="97" t="e" vm="17">
        <f xml:space="preserve"> IFERROR( _xlfn.IMAGE(按鍵位置表[[#This Row],[Pict URL]]), "")</f>
        <v>#VALUE!</v>
      </c>
    </row>
    <row r="25" spans="2:9" ht="39">
      <c r="B25" s="115">
        <v>23</v>
      </c>
      <c r="C25" s="107" t="s">
        <v>524</v>
      </c>
      <c r="D25" s="101" t="s">
        <v>522</v>
      </c>
      <c r="E25" s="104" t="s">
        <v>523</v>
      </c>
      <c r="F25" s="109">
        <v>8</v>
      </c>
      <c r="H25" s="130" t="str">
        <f>_xlfn.CONCAT(URL, F25, ".png")</f>
        <v>https://alanjui.github.io/Blogger/assets/images/keys/key_8.png</v>
      </c>
      <c r="I25" s="97" t="e" vm="17">
        <f xml:space="preserve"> IFERROR( _xlfn.IMAGE(按鍵位置表[[#This Row],[Pict URL]]), "")</f>
        <v>#VALUE!</v>
      </c>
    </row>
    <row r="26" spans="2:9" ht="39">
      <c r="B26" s="116">
        <v>24</v>
      </c>
      <c r="C26" s="102" t="s">
        <v>198</v>
      </c>
      <c r="D26" s="101" t="s">
        <v>486</v>
      </c>
      <c r="E26" s="104" t="s">
        <v>487</v>
      </c>
      <c r="F26" s="108" t="s">
        <v>487</v>
      </c>
      <c r="H26" s="130" t="str">
        <f>_xlfn.CONCAT(URL, F26, ".png")</f>
        <v>https://alanjui.github.io/Blogger/assets/images/keys/key_u.png</v>
      </c>
      <c r="I26" s="97" t="e" vm="18">
        <f xml:space="preserve"> IFERROR( _xlfn.IMAGE(按鍵位置表[[#This Row],[Pict URL]]), "")</f>
        <v>#VALUE!</v>
      </c>
    </row>
    <row r="27" spans="2:9" ht="39">
      <c r="B27" s="115">
        <v>25</v>
      </c>
      <c r="C27" s="107" t="s">
        <v>526</v>
      </c>
      <c r="D27" s="101" t="s">
        <v>525</v>
      </c>
      <c r="E27" s="104" t="s">
        <v>512</v>
      </c>
      <c r="F27" s="109" t="s">
        <v>557</v>
      </c>
      <c r="H27" s="130" t="str">
        <f>_xlfn.CONCAT(URL, F27, ".png")</f>
        <v>https://alanjui.github.io/Blogger/assets/images/keys/key_u.png</v>
      </c>
      <c r="I27" s="97" t="e" vm="18">
        <f xml:space="preserve"> IFERROR( _xlfn.IMAGE(按鍵位置表[[#This Row],[Pict URL]]), "")</f>
        <v>#VALUE!</v>
      </c>
    </row>
    <row r="28" spans="2:9" ht="39">
      <c r="B28" s="116">
        <v>26</v>
      </c>
      <c r="C28" s="102" t="s">
        <v>202</v>
      </c>
      <c r="D28" s="101" t="s">
        <v>487</v>
      </c>
      <c r="E28" s="104" t="s">
        <v>449</v>
      </c>
      <c r="F28" s="109" t="s">
        <v>449</v>
      </c>
      <c r="H28" s="130" t="str">
        <f>_xlfn.CONCAT(URL, F28, ".png")</f>
        <v>https://alanjui.github.io/Blogger/assets/images/keys/key_j.png</v>
      </c>
      <c r="I28" s="97" t="e" vm="19">
        <f xml:space="preserve"> IFERROR( _xlfn.IMAGE(按鍵位置表[[#This Row],[Pict URL]]), "")</f>
        <v>#VALUE!</v>
      </c>
    </row>
    <row r="29" spans="2:9" ht="39">
      <c r="B29" s="115">
        <v>27</v>
      </c>
      <c r="C29" s="107" t="s">
        <v>528</v>
      </c>
      <c r="D29" s="101" t="s">
        <v>527</v>
      </c>
      <c r="E29" s="104" t="s">
        <v>476</v>
      </c>
      <c r="F29" s="109" t="s">
        <v>558</v>
      </c>
      <c r="H29" s="130" t="str">
        <f>_xlfn.CONCAT(URL, F29, ".png")</f>
        <v>https://alanjui.github.io/Blogger/assets/images/keys/key_j.png</v>
      </c>
      <c r="I29" s="97" t="e" vm="19">
        <f xml:space="preserve"> IFERROR( _xlfn.IMAGE(按鍵位置表[[#This Row],[Pict URL]]), "")</f>
        <v>#VALUE!</v>
      </c>
    </row>
    <row r="30" spans="2:9" ht="39">
      <c r="B30" s="116">
        <v>28</v>
      </c>
      <c r="C30" s="102" t="s">
        <v>491</v>
      </c>
      <c r="D30" s="101" t="s">
        <v>471</v>
      </c>
      <c r="E30" s="104" t="s">
        <v>490</v>
      </c>
      <c r="F30" s="109" t="s">
        <v>559</v>
      </c>
      <c r="H30" s="130" t="str">
        <f>_xlfn.CONCAT(URL, F30, ".png")</f>
        <v>https://alanjui.github.io/Blogger/assets/images/keys/key_comma.png</v>
      </c>
      <c r="I30" s="97" t="e" vm="20">
        <f xml:space="preserve"> IFERROR( _xlfn.IMAGE(按鍵位置表[[#This Row],[Pict URL]]), "")</f>
        <v>#VALUE!</v>
      </c>
    </row>
    <row r="31" spans="2:9" ht="39">
      <c r="B31" s="115">
        <v>29</v>
      </c>
      <c r="C31" s="107" t="s">
        <v>531</v>
      </c>
      <c r="D31" s="101" t="s">
        <v>529</v>
      </c>
      <c r="E31" s="104" t="s">
        <v>530</v>
      </c>
      <c r="F31" s="109" t="s">
        <v>559</v>
      </c>
      <c r="H31" s="130" t="str">
        <f>_xlfn.CONCAT(URL, F31, ".png")</f>
        <v>https://alanjui.github.io/Blogger/assets/images/keys/key_comma.png</v>
      </c>
      <c r="I31" s="97" t="e" vm="20">
        <f xml:space="preserve"> IFERROR( _xlfn.IMAGE(按鍵位置表[[#This Row],[Pict URL]]), "")</f>
        <v>#VALUE!</v>
      </c>
    </row>
    <row r="32" spans="2:9" ht="39">
      <c r="B32" s="116">
        <v>30</v>
      </c>
      <c r="C32" s="102" t="s">
        <v>230</v>
      </c>
      <c r="D32" s="101" t="s">
        <v>492</v>
      </c>
      <c r="E32" s="104" t="s">
        <v>486</v>
      </c>
      <c r="F32" s="109" t="s">
        <v>486</v>
      </c>
      <c r="H32" s="130" t="str">
        <f>_xlfn.CONCAT(URL, F32, ".png")</f>
        <v>https://alanjui.github.io/Blogger/assets/images/keys/key_i.png</v>
      </c>
      <c r="I32" s="97" t="e" vm="21">
        <f xml:space="preserve"> IFERROR( _xlfn.IMAGE(按鍵位置表[[#This Row],[Pict URL]]), "")</f>
        <v>#VALUE!</v>
      </c>
    </row>
    <row r="33" spans="2:9" ht="39">
      <c r="B33" s="115">
        <v>31</v>
      </c>
      <c r="C33" s="107" t="s">
        <v>533</v>
      </c>
      <c r="D33" s="101" t="s">
        <v>532</v>
      </c>
      <c r="E33" s="104" t="s">
        <v>508</v>
      </c>
      <c r="F33" s="109" t="s">
        <v>560</v>
      </c>
      <c r="H33" s="130" t="str">
        <f>_xlfn.CONCAT(URL, F33, ".png")</f>
        <v>https://alanjui.github.io/Blogger/assets/images/keys/key_i.png</v>
      </c>
      <c r="I33" s="97" t="e" vm="21">
        <f xml:space="preserve"> IFERROR( _xlfn.IMAGE(按鍵位置表[[#This Row],[Pict URL]]), "")</f>
        <v>#VALUE!</v>
      </c>
    </row>
    <row r="34" spans="2:9" ht="39">
      <c r="B34" s="116">
        <v>32</v>
      </c>
      <c r="C34" s="102" t="s">
        <v>214</v>
      </c>
      <c r="D34" s="101" t="s">
        <v>494</v>
      </c>
      <c r="E34" s="104" t="s">
        <v>439</v>
      </c>
      <c r="F34" s="109" t="s">
        <v>439</v>
      </c>
      <c r="H34" s="130" t="str">
        <f>_xlfn.CONCAT(URL, F34, ".png")</f>
        <v>https://alanjui.github.io/Blogger/assets/images/keys/key_k.png</v>
      </c>
      <c r="I34" s="97" t="e" vm="22">
        <f xml:space="preserve"> IFERROR( _xlfn.IMAGE(按鍵位置表[[#This Row],[Pict URL]]), "")</f>
        <v>#VALUE!</v>
      </c>
    </row>
    <row r="35" spans="2:9" ht="39">
      <c r="B35" s="115">
        <v>33</v>
      </c>
      <c r="C35" s="107" t="s">
        <v>489</v>
      </c>
      <c r="D35" s="101" t="s">
        <v>488</v>
      </c>
      <c r="E35" s="104" t="s">
        <v>472</v>
      </c>
      <c r="F35" s="109" t="s">
        <v>561</v>
      </c>
      <c r="H35" s="130" t="str">
        <f>_xlfn.CONCAT(URL, F35, ".png")</f>
        <v>https://alanjui.github.io/Blogger/assets/images/keys/key_k.png</v>
      </c>
      <c r="I35" s="97" t="e" vm="22">
        <f xml:space="preserve"> IFERROR( _xlfn.IMAGE(按鍵位置表[[#This Row],[Pict URL]]), "")</f>
        <v>#VALUE!</v>
      </c>
    </row>
    <row r="36" spans="2:9" ht="39">
      <c r="B36" s="116">
        <v>34</v>
      </c>
      <c r="C36" s="102" t="s">
        <v>510</v>
      </c>
      <c r="D36" s="101" t="s">
        <v>507</v>
      </c>
      <c r="E36" s="104" t="s">
        <v>509</v>
      </c>
      <c r="F36" s="108" t="s">
        <v>509</v>
      </c>
      <c r="H36" s="130" t="str">
        <f>_xlfn.CONCAT(URL, F36, ".png")</f>
        <v>https://alanjui.github.io/Blogger/assets/images/keys/key_9.png</v>
      </c>
      <c r="I36" s="97" t="e" vm="23">
        <f xml:space="preserve"> IFERROR( _xlfn.IMAGE(按鍵位置表[[#This Row],[Pict URL]]), "")</f>
        <v>#VALUE!</v>
      </c>
    </row>
    <row r="37" spans="2:9" ht="39">
      <c r="B37" s="115">
        <v>35</v>
      </c>
      <c r="C37" s="107" t="s">
        <v>536</v>
      </c>
      <c r="D37" s="101" t="s">
        <v>534</v>
      </c>
      <c r="E37" s="104" t="s">
        <v>535</v>
      </c>
      <c r="F37" s="109">
        <v>9</v>
      </c>
      <c r="H37" s="130" t="str">
        <f>_xlfn.CONCAT(URL, F37, ".png")</f>
        <v>https://alanjui.github.io/Blogger/assets/images/keys/key_9.png</v>
      </c>
      <c r="I37" s="97" t="e" vm="23">
        <f xml:space="preserve"> IFERROR( _xlfn.IMAGE(按鍵位置表[[#This Row],[Pict URL]]), "")</f>
        <v>#VALUE!</v>
      </c>
    </row>
    <row r="38" spans="2:9" ht="39">
      <c r="B38" s="116">
        <v>36</v>
      </c>
      <c r="C38" s="102" t="s">
        <v>513</v>
      </c>
      <c r="D38" s="101" t="s">
        <v>511</v>
      </c>
      <c r="E38" s="104" t="s">
        <v>434</v>
      </c>
      <c r="F38" s="108" t="s">
        <v>434</v>
      </c>
      <c r="H38" s="130" t="str">
        <f>_xlfn.CONCAT(URL, F38, ".png")</f>
        <v>https://alanjui.github.io/Blogger/assets/images/keys/key_l.png</v>
      </c>
      <c r="I38" s="97" t="e" vm="24">
        <f xml:space="preserve"> IFERROR( _xlfn.IMAGE(按鍵位置表[[#This Row],[Pict URL]]), "")</f>
        <v>#VALUE!</v>
      </c>
    </row>
    <row r="39" spans="2:9" ht="39">
      <c r="B39" s="115">
        <v>37</v>
      </c>
      <c r="C39" s="107" t="s">
        <v>539</v>
      </c>
      <c r="D39" s="101" t="s">
        <v>537</v>
      </c>
      <c r="E39" s="104" t="s">
        <v>538</v>
      </c>
      <c r="F39" s="109" t="s">
        <v>563</v>
      </c>
      <c r="H39" s="130" t="str">
        <f>_xlfn.CONCAT(URL, F39, ".png")</f>
        <v>https://alanjui.github.io/Blogger/assets/images/keys/key_l.png</v>
      </c>
      <c r="I39" s="97" t="e" vm="24">
        <f xml:space="preserve"> IFERROR( _xlfn.IMAGE(按鍵位置表[[#This Row],[Pict URL]]), "")</f>
        <v>#VALUE!</v>
      </c>
    </row>
    <row r="40" spans="2:9" ht="39">
      <c r="B40" s="116">
        <v>38</v>
      </c>
      <c r="C40" s="102" t="s">
        <v>211</v>
      </c>
      <c r="D40" s="101" t="s">
        <v>516</v>
      </c>
      <c r="E40" s="105" t="s">
        <v>517</v>
      </c>
      <c r="F40" s="106" t="s">
        <v>517</v>
      </c>
      <c r="H40" s="130" t="str">
        <f>_xlfn.CONCAT(URL, F40, ".png")</f>
        <v>https://alanjui.github.io/Blogger/assets/images/keys/key_0.png</v>
      </c>
      <c r="I40" s="97" t="e" vm="25">
        <f xml:space="preserve"> IFERROR( _xlfn.IMAGE(按鍵位置表[[#This Row],[Pict URL]]), "")</f>
        <v>#VALUE!</v>
      </c>
    </row>
    <row r="41" spans="2:9" ht="39">
      <c r="B41" s="115">
        <v>39</v>
      </c>
      <c r="C41" s="102" t="s">
        <v>222</v>
      </c>
      <c r="D41" s="101" t="s">
        <v>498</v>
      </c>
      <c r="E41" s="104" t="s">
        <v>437</v>
      </c>
      <c r="F41" s="106" t="s">
        <v>437</v>
      </c>
      <c r="H41" s="130" t="str">
        <f>_xlfn.CONCAT(URL, F41, ".png")</f>
        <v>https://alanjui.github.io/Blogger/assets/images/keys/key_p.png</v>
      </c>
      <c r="I41" s="97" t="e" vm="26">
        <f xml:space="preserve"> IFERROR( _xlfn.IMAGE(按鍵位置表[[#This Row],[Pict URL]]), "")</f>
        <v>#VALUE!</v>
      </c>
    </row>
    <row r="42" spans="2:9" ht="39">
      <c r="B42" s="116">
        <v>40</v>
      </c>
      <c r="C42" s="102" t="s">
        <v>199</v>
      </c>
      <c r="D42" s="101" t="s">
        <v>518</v>
      </c>
      <c r="E42" s="104" t="s">
        <v>12</v>
      </c>
      <c r="F42" s="106" t="s">
        <v>564</v>
      </c>
      <c r="H42" s="130" t="str">
        <f>_xlfn.CONCAT(URL, F42, ".png")</f>
        <v>https://alanjui.github.io/Blogger/assets/images/keys/key_semicolon.png</v>
      </c>
      <c r="I42" s="97" t="e" vm="27">
        <f xml:space="preserve"> IFERROR( _xlfn.IMAGE(按鍵位置表[[#This Row],[Pict URL]]), "")</f>
        <v>#VALUE!</v>
      </c>
    </row>
    <row r="43" spans="2:9" ht="39">
      <c r="B43" s="115">
        <v>41</v>
      </c>
      <c r="C43" s="102" t="s">
        <v>500</v>
      </c>
      <c r="D43" s="101" t="s">
        <v>499</v>
      </c>
      <c r="E43" s="104" t="s">
        <v>25</v>
      </c>
      <c r="F43" s="106" t="s">
        <v>565</v>
      </c>
      <c r="H43" s="130" t="str">
        <f>_xlfn.CONCAT(URL, F43, ".png")</f>
        <v>https://alanjui.github.io/Blogger/assets/images/keys/key_slash.png</v>
      </c>
      <c r="I43" s="97" t="e" vm="28">
        <f xml:space="preserve"> IFERROR( _xlfn.IMAGE(按鍵位置表[[#This Row],[Pict URL]]), "")</f>
        <v>#VALUE!</v>
      </c>
    </row>
    <row r="44" spans="2:9" ht="39">
      <c r="B44" s="116">
        <v>42</v>
      </c>
      <c r="C44" s="102" t="s">
        <v>497</v>
      </c>
      <c r="D44" s="101" t="s">
        <v>495</v>
      </c>
      <c r="E44" s="104" t="s">
        <v>453</v>
      </c>
      <c r="F44" s="108" t="s">
        <v>453</v>
      </c>
      <c r="H44" s="130" t="str">
        <f>_xlfn.CONCAT(URL, F44, ".png")</f>
        <v>https://alanjui.github.io/Blogger/assets/images/keys/key_m.png</v>
      </c>
      <c r="I44" s="97" t="e" vm="29">
        <f xml:space="preserve"> IFERROR( _xlfn.IMAGE(按鍵位置表[[#This Row],[Pict URL]]), "")</f>
        <v>#VALUE!</v>
      </c>
    </row>
    <row r="45" spans="2:9" ht="39">
      <c r="B45" s="115">
        <v>43</v>
      </c>
      <c r="C45" s="107" t="s">
        <v>515</v>
      </c>
      <c r="D45" s="101" t="s">
        <v>514</v>
      </c>
      <c r="E45" s="104" t="s">
        <v>496</v>
      </c>
      <c r="F45" s="109" t="s">
        <v>454</v>
      </c>
      <c r="H45" s="130" t="str">
        <f>_xlfn.CONCAT(URL, F45, ".png")</f>
        <v>https://alanjui.github.io/Blogger/assets/images/keys/key_m.png</v>
      </c>
      <c r="I45" s="97" t="e" vm="29">
        <f xml:space="preserve"> IFERROR( _xlfn.IMAGE(按鍵位置表[[#This Row],[Pict URL]]), "")</f>
        <v>#VALUE!</v>
      </c>
    </row>
    <row r="46" spans="2:9" ht="39">
      <c r="B46" s="116">
        <v>44</v>
      </c>
      <c r="C46" s="102" t="s">
        <v>207</v>
      </c>
      <c r="D46" s="101" t="s">
        <v>521</v>
      </c>
      <c r="E46" s="104" t="s">
        <v>494</v>
      </c>
      <c r="F46" s="108" t="s">
        <v>494</v>
      </c>
      <c r="H46" s="130" t="str">
        <f>_xlfn.CONCAT(URL, F46, ".png")</f>
        <v>https://alanjui.github.io/Blogger/assets/images/keys/key_o.png</v>
      </c>
      <c r="I46" s="97" t="e" vm="30">
        <f xml:space="preserve"> IFERROR( _xlfn.IMAGE(按鍵位置表[[#This Row],[Pict URL]]), "")</f>
        <v>#VALUE!</v>
      </c>
    </row>
    <row r="47" spans="2:9" ht="39">
      <c r="B47" s="115">
        <v>45</v>
      </c>
      <c r="C47" s="107" t="s">
        <v>520</v>
      </c>
      <c r="D47" s="101" t="s">
        <v>519</v>
      </c>
      <c r="E47" s="104" t="s">
        <v>493</v>
      </c>
      <c r="F47" s="109" t="s">
        <v>562</v>
      </c>
      <c r="H47" s="130" t="str">
        <f>_xlfn.CONCAT(URL, F47, ".png")</f>
        <v>https://alanjui.github.io/Blogger/assets/images/keys/key_o.png</v>
      </c>
      <c r="I47" s="97" t="e" vm="30">
        <f xml:space="preserve"> IFERROR( _xlfn.IMAGE(按鍵位置表[[#This Row],[Pict URL]]), "")</f>
        <v>#VALUE!</v>
      </c>
    </row>
    <row r="48" spans="2:9" ht="39">
      <c r="B48" s="116">
        <v>46</v>
      </c>
      <c r="C48" s="102" t="s">
        <v>226</v>
      </c>
      <c r="D48" s="101" t="s">
        <v>503</v>
      </c>
      <c r="E48" s="104" t="s">
        <v>442</v>
      </c>
      <c r="F48" s="106" t="s">
        <v>442</v>
      </c>
      <c r="H48" s="130" t="str">
        <f>_xlfn.CONCAT(URL, F48, ".png")</f>
        <v>https://alanjui.github.io/Blogger/assets/images/keys/key_t.png</v>
      </c>
      <c r="I48" s="97" t="e" vm="31">
        <f xml:space="preserve"> IFERROR( _xlfn.IMAGE(按鍵位置表[[#This Row],[Pict URL]]), "")</f>
        <v>#VALUE!</v>
      </c>
    </row>
    <row r="49" spans="2:13" ht="39">
      <c r="B49" s="115">
        <v>47</v>
      </c>
      <c r="C49" s="102" t="s">
        <v>220</v>
      </c>
      <c r="D49" s="101" t="s">
        <v>504</v>
      </c>
      <c r="E49" s="104" t="s">
        <v>440</v>
      </c>
      <c r="F49" s="106" t="s">
        <v>440</v>
      </c>
      <c r="H49" s="130" t="str">
        <f>_xlfn.CONCAT(URL, F49, ".png")</f>
        <v>https://alanjui.github.io/Blogger/assets/images/keys/key_g.png</v>
      </c>
      <c r="I49" s="97" t="e" vm="32">
        <f xml:space="preserve"> IFERROR( _xlfn.IMAGE(按鍵位置表[[#This Row],[Pict URL]]), "")</f>
        <v>#VALUE!</v>
      </c>
    </row>
    <row r="50" spans="2:13" ht="39">
      <c r="B50" s="116">
        <v>48</v>
      </c>
      <c r="C50" s="102" t="s">
        <v>502</v>
      </c>
      <c r="D50" s="101" t="s">
        <v>501</v>
      </c>
      <c r="E50" s="104" t="s">
        <v>438</v>
      </c>
      <c r="F50" s="106" t="s">
        <v>438</v>
      </c>
      <c r="H50" s="130" t="str">
        <f>_xlfn.CONCAT(URL, F50, ".png")</f>
        <v>https://alanjui.github.io/Blogger/assets/images/keys/key_b.png</v>
      </c>
      <c r="I50" s="97" t="e" vm="33">
        <f xml:space="preserve"> IFERROR( _xlfn.IMAGE(按鍵位置表[[#This Row],[Pict URL]]), "")</f>
        <v>#VALUE!</v>
      </c>
    </row>
    <row r="51" spans="2:13" ht="39">
      <c r="B51" s="115">
        <v>49</v>
      </c>
      <c r="C51" s="102" t="s">
        <v>506</v>
      </c>
      <c r="D51" s="101" t="s">
        <v>505</v>
      </c>
      <c r="E51" s="104" t="s">
        <v>447</v>
      </c>
      <c r="F51" s="106" t="s">
        <v>447</v>
      </c>
      <c r="H51" s="130" t="str">
        <f>_xlfn.CONCAT(URL, F51, ".png")</f>
        <v>https://alanjui.github.io/Blogger/assets/images/keys/key_z.png</v>
      </c>
      <c r="I51" s="97" t="e" vm="34">
        <f xml:space="preserve"> IFERROR( _xlfn.IMAGE(按鍵位置表[[#This Row],[Pict URL]]), "")</f>
        <v>#VALUE!</v>
      </c>
    </row>
    <row r="52" spans="2:13" ht="39">
      <c r="B52" s="116">
        <v>50</v>
      </c>
      <c r="C52" s="111" t="s">
        <v>429</v>
      </c>
      <c r="D52" s="101">
        <v>1</v>
      </c>
      <c r="E52" s="104" t="s">
        <v>429</v>
      </c>
      <c r="F52" s="106" t="s">
        <v>571</v>
      </c>
      <c r="G52" s="97" t="s">
        <v>152</v>
      </c>
      <c r="H52" s="130" t="str">
        <f>_xlfn.CONCAT(URL, F52, ".png")</f>
        <v>https://alanjui.github.io/Blogger/assets/images/keys/key_quote.png</v>
      </c>
      <c r="I52" s="97" t="e" vm="35">
        <f xml:space="preserve"> IFERROR( _xlfn.IMAGE(按鍵位置表[[#This Row],[Pict URL]]), "")</f>
        <v>#VALUE!</v>
      </c>
      <c r="M52" t="s">
        <v>569</v>
      </c>
    </row>
    <row r="53" spans="2:13" ht="39">
      <c r="B53" s="115">
        <v>51</v>
      </c>
      <c r="C53" s="112" t="s">
        <v>285</v>
      </c>
      <c r="D53" s="101">
        <v>7</v>
      </c>
      <c r="E53" s="104">
        <v>5</v>
      </c>
      <c r="F53" s="106">
        <v>5</v>
      </c>
      <c r="G53" s="97" t="s">
        <v>540</v>
      </c>
      <c r="H53" s="130" t="str">
        <f>_xlfn.CONCAT(URL, F53, ".png")</f>
        <v>https://alanjui.github.io/Blogger/assets/images/keys/key_5.png</v>
      </c>
      <c r="I53" s="97" t="e" vm="36">
        <f xml:space="preserve"> IFERROR( _xlfn.IMAGE(按鍵位置表[[#This Row],[Pict URL]]), "")</f>
        <v>#VALUE!</v>
      </c>
    </row>
    <row r="54" spans="2:13" ht="39">
      <c r="B54" s="116">
        <v>52</v>
      </c>
      <c r="C54" s="112" t="s">
        <v>287</v>
      </c>
      <c r="D54" s="101">
        <v>3</v>
      </c>
      <c r="E54" s="104">
        <v>3</v>
      </c>
      <c r="F54" s="106">
        <v>3</v>
      </c>
      <c r="G54" s="97" t="s">
        <v>541</v>
      </c>
      <c r="H54" s="130" t="str">
        <f>_xlfn.CONCAT(URL, F54, ".png")</f>
        <v>https://alanjui.github.io/Blogger/assets/images/keys/key_3.png</v>
      </c>
      <c r="I54" s="97" t="e" vm="37">
        <f xml:space="preserve"> IFERROR( _xlfn.IMAGE(按鍵位置表[[#This Row],[Pict URL]]), "")</f>
        <v>#VALUE!</v>
      </c>
    </row>
    <row r="55" spans="2:13" ht="39">
      <c r="B55" s="115">
        <v>53</v>
      </c>
      <c r="C55" s="113" t="s">
        <v>286</v>
      </c>
      <c r="D55" s="101">
        <v>2</v>
      </c>
      <c r="E55" s="104">
        <v>4</v>
      </c>
      <c r="F55" s="106">
        <v>4</v>
      </c>
      <c r="G55" s="97" t="s">
        <v>542</v>
      </c>
      <c r="H55" s="130" t="str">
        <f>_xlfn.CONCAT(URL, F55, ".png")</f>
        <v>https://alanjui.github.io/Blogger/assets/images/keys/key_4.png</v>
      </c>
      <c r="I55" s="97" t="e" vm="38">
        <f xml:space="preserve"> IFERROR( _xlfn.IMAGE(按鍵位置表[[#This Row],[Pict URL]]), "")</f>
        <v>#VALUE!</v>
      </c>
    </row>
    <row r="56" spans="2:13" ht="39">
      <c r="B56" s="116">
        <v>54</v>
      </c>
      <c r="C56" s="113" t="s">
        <v>569</v>
      </c>
      <c r="D56" s="101">
        <v>5</v>
      </c>
      <c r="E56" s="104">
        <v>6</v>
      </c>
      <c r="F56" s="106">
        <v>6</v>
      </c>
      <c r="G56" s="97" t="s">
        <v>543</v>
      </c>
      <c r="H56" s="130" t="str">
        <f>_xlfn.CONCAT(URL, F56, ".png")</f>
        <v>https://alanjui.github.io/Blogger/assets/images/keys/key_6.png</v>
      </c>
      <c r="I56" s="97" t="e" vm="39">
        <f xml:space="preserve"> IFERROR( _xlfn.IMAGE(按鍵位置表[[#This Row],[Pict URL]]), "")</f>
        <v>#VALUE!</v>
      </c>
    </row>
    <row r="57" spans="2:13" ht="39">
      <c r="B57" s="115">
        <v>55</v>
      </c>
      <c r="C57" s="111" t="s">
        <v>430</v>
      </c>
      <c r="D57" s="101">
        <v>4</v>
      </c>
      <c r="E57" s="104" t="s">
        <v>21</v>
      </c>
      <c r="F57" s="106" t="s">
        <v>550</v>
      </c>
      <c r="G57" s="97" t="s">
        <v>545</v>
      </c>
      <c r="H57" s="130" t="str">
        <f>_xlfn.CONCAT(URL, F57, ".png")</f>
        <v>https://alanjui.github.io/Blogger/assets/images/keys/key_lbracket.png</v>
      </c>
      <c r="I57" s="97" t="e" vm="40">
        <f xml:space="preserve"> IFERROR( _xlfn.IMAGE(按鍵位置表[[#This Row],[Pict URL]]), "")</f>
        <v>#VALUE!</v>
      </c>
    </row>
    <row r="58" spans="2:13" ht="39">
      <c r="B58" s="116">
        <v>56</v>
      </c>
      <c r="C58" s="102" t="s">
        <v>570</v>
      </c>
      <c r="D58" s="101">
        <v>8</v>
      </c>
      <c r="E58" s="104" t="s">
        <v>32</v>
      </c>
      <c r="F58" s="106" t="s">
        <v>551</v>
      </c>
      <c r="G58" s="97" t="s">
        <v>544</v>
      </c>
      <c r="H58" s="130" t="str">
        <f>_xlfn.CONCAT(URL, F58, ".png")</f>
        <v>https://alanjui.github.io/Blogger/assets/images/keys/key_rbracket.png</v>
      </c>
      <c r="I58" s="97" t="e" vm="41">
        <f xml:space="preserve"> IFERROR( _xlfn.IMAGE(按鍵位置表[[#This Row],[Pict URL]]), "")</f>
        <v>#VALUE!</v>
      </c>
    </row>
    <row r="59" spans="2:13" ht="39">
      <c r="B59" s="115">
        <v>57</v>
      </c>
      <c r="C59" s="102" t="s">
        <v>450</v>
      </c>
      <c r="D59" s="101">
        <v>0</v>
      </c>
      <c r="E59" s="104">
        <v>7</v>
      </c>
      <c r="F59" s="106">
        <v>7</v>
      </c>
      <c r="H59" s="130" t="str">
        <f>_xlfn.CONCAT(URL, F59, ".png")</f>
        <v>https://alanjui.github.io/Blogger/assets/images/keys/key_7.png</v>
      </c>
      <c r="I59" s="97" t="e" vm="42">
        <f xml:space="preserve"> IFERROR( _xlfn.IMAGE(按鍵位置表[[#This Row],[Pict URL]]), "")</f>
        <v>#VALUE!</v>
      </c>
    </row>
    <row r="60" spans="2:13" ht="39">
      <c r="B60" s="116">
        <v>58</v>
      </c>
      <c r="C60" s="111" t="s">
        <v>566</v>
      </c>
      <c r="D60" s="101" t="s">
        <v>577</v>
      </c>
      <c r="E60" s="105" t="s">
        <v>566</v>
      </c>
      <c r="F60" s="110" t="s">
        <v>572</v>
      </c>
      <c r="H60" s="130" t="str">
        <f>_xlfn.CONCAT(URL, F60, ".png")</f>
        <v>https://alanjui.github.io/Blogger/assets/images/keys/key_equal.png</v>
      </c>
      <c r="I60" s="97" t="e" vm="43">
        <f xml:space="preserve"> IFERROR( _xlfn.IMAGE(按鍵位置表[[#This Row],[Pict URL]]), "")</f>
        <v>#VALUE!</v>
      </c>
    </row>
    <row r="61" spans="2:13" ht="39">
      <c r="B61" s="115">
        <v>59</v>
      </c>
      <c r="C61" s="102" t="s">
        <v>232</v>
      </c>
      <c r="D61" s="118" t="s">
        <v>576</v>
      </c>
      <c r="E61" s="105" t="s">
        <v>573</v>
      </c>
      <c r="F61" s="110" t="s">
        <v>574</v>
      </c>
      <c r="G61" s="119" t="s">
        <v>576</v>
      </c>
      <c r="H61" s="131" t="str">
        <f>_xlfn.CONCAT(URL, F61, ".png")</f>
        <v>https://alanjui.github.io/Blogger/assets/images/keys/key_minus.png</v>
      </c>
      <c r="I61" s="97" t="e" vm="44">
        <f xml:space="preserve"> IFERROR( _xlfn.IMAGE(按鍵位置表[[#This Row],[Pict URL]]), "")</f>
        <v>#VALUE!</v>
      </c>
      <c r="L61" t="str">
        <f xml:space="preserve"> _xlfn.CONCAT("a",按鍵位置表[[#This Row],[Note]])</f>
        <v>aⁿ</v>
      </c>
    </row>
    <row r="62" spans="2:13" ht="39">
      <c r="B62" s="116">
        <v>60</v>
      </c>
      <c r="C62" s="102" t="str">
        <f xml:space="preserve"> _xlfn.UNICHAR(HEX2DEC(RIGHT("U+207F",4)))</f>
        <v>ⁿ</v>
      </c>
      <c r="D62" s="118" t="s">
        <v>575</v>
      </c>
      <c r="E62" s="105" t="s">
        <v>573</v>
      </c>
      <c r="F62" s="106" t="s">
        <v>574</v>
      </c>
      <c r="H62" s="130" t="str">
        <f>_xlfn.CONCAT(URL, F62, ".png")</f>
        <v>https://alanjui.github.io/Blogger/assets/images/keys/key_minus.png</v>
      </c>
      <c r="I62" s="97" t="e" vm="44">
        <f xml:space="preserve"> IFERROR( _xlfn.IMAGE(按鍵位置表[[#This Row],[Pict URL]]), "")</f>
        <v>#VALUE!</v>
      </c>
    </row>
  </sheetData>
  <sortState xmlns:xlrd2="http://schemas.microsoft.com/office/spreadsheetml/2017/richdata2" ref="B3:F62">
    <sortCondition ref="E36:E62"/>
  </sortState>
  <phoneticPr fontId="1" type="noConversion"/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D366A-6021-46D6-9F21-C57524288254}">
  <dimension ref="B1:Z1997"/>
  <sheetViews>
    <sheetView showGridLines="0" tabSelected="1" zoomScale="120" zoomScaleNormal="120" workbookViewId="0">
      <pane ySplit="4" topLeftCell="A5" activePane="bottomLeft" state="frozen"/>
      <selection pane="bottomLeft" activeCell="X45" sqref="X45"/>
    </sheetView>
  </sheetViews>
  <sheetFormatPr defaultRowHeight="114" outlineLevelCol="1"/>
  <cols>
    <col min="1" max="1" width="2.75" style="1" customWidth="1"/>
    <col min="2" max="2" width="10.625" style="1" customWidth="1"/>
    <col min="3" max="3" width="17" style="85" customWidth="1"/>
    <col min="4" max="4" width="20" style="1" bestFit="1" customWidth="1"/>
    <col min="5" max="6" width="20" style="1" hidden="1" customWidth="1" outlineLevel="1"/>
    <col min="7" max="8" width="10.625" style="1" hidden="1" customWidth="1" outlineLevel="1"/>
    <col min="9" max="9" width="10.625" style="1" customWidth="1" collapsed="1"/>
    <col min="10" max="16" width="10.625" style="1" customWidth="1"/>
    <col min="17" max="17" width="9" style="1"/>
    <col min="18" max="18" width="10.625" style="1" customWidth="1" collapsed="1"/>
    <col min="19" max="25" width="10.625" style="1" customWidth="1"/>
    <col min="26" max="27" width="11.5" style="1" customWidth="1"/>
    <col min="28" max="16384" width="9" style="1"/>
  </cols>
  <sheetData>
    <row r="1" spans="2:26" s="95" customFormat="1" ht="30">
      <c r="B1" s="95" t="s">
        <v>360</v>
      </c>
      <c r="C1" s="96" t="s">
        <v>432</v>
      </c>
      <c r="R1" s="95" t="s">
        <v>568</v>
      </c>
      <c r="S1" s="117" t="s">
        <v>567</v>
      </c>
      <c r="Y1" s="117" t="s">
        <v>567</v>
      </c>
    </row>
    <row r="2" spans="2:26" ht="21.75" customHeight="1">
      <c r="C2" s="84"/>
    </row>
    <row r="3" spans="2:26" ht="39">
      <c r="B3" s="120" t="s">
        <v>4</v>
      </c>
      <c r="C3" s="120" t="s">
        <v>393</v>
      </c>
      <c r="D3" s="121" t="s">
        <v>427</v>
      </c>
      <c r="E3" s="121" t="s">
        <v>578</v>
      </c>
      <c r="F3" s="121" t="s">
        <v>579</v>
      </c>
      <c r="G3" s="120" t="s">
        <v>8</v>
      </c>
      <c r="H3" s="120" t="s">
        <v>428</v>
      </c>
      <c r="I3" s="120" t="s">
        <v>36</v>
      </c>
      <c r="J3" s="120"/>
      <c r="K3" s="120"/>
      <c r="L3" s="120"/>
      <c r="M3" s="120"/>
      <c r="N3" s="120"/>
      <c r="O3" s="120"/>
      <c r="P3" s="120"/>
      <c r="R3" s="120" t="s">
        <v>36</v>
      </c>
      <c r="S3" s="120"/>
      <c r="T3" s="120"/>
      <c r="U3" s="120"/>
      <c r="V3" s="120"/>
      <c r="W3" s="120"/>
      <c r="X3" s="120"/>
      <c r="Y3" s="120"/>
    </row>
    <row r="4" spans="2:26" s="2" customFormat="1" ht="39">
      <c r="B4" s="120"/>
      <c r="C4" s="120"/>
      <c r="D4" s="120"/>
      <c r="E4" s="120"/>
      <c r="F4" s="120"/>
      <c r="G4" s="120"/>
      <c r="H4" s="120"/>
      <c r="I4" s="86">
        <v>1</v>
      </c>
      <c r="J4" s="86">
        <v>2</v>
      </c>
      <c r="K4" s="86">
        <v>3</v>
      </c>
      <c r="L4" s="86">
        <v>4</v>
      </c>
      <c r="M4" s="86">
        <v>5</v>
      </c>
      <c r="N4" s="86">
        <v>6</v>
      </c>
      <c r="O4" s="86">
        <v>7</v>
      </c>
      <c r="P4" s="86">
        <v>8</v>
      </c>
      <c r="R4" s="86">
        <v>1</v>
      </c>
      <c r="S4" s="86">
        <v>2</v>
      </c>
      <c r="T4" s="86">
        <v>3</v>
      </c>
      <c r="U4" s="86">
        <v>4</v>
      </c>
      <c r="V4" s="86">
        <v>5</v>
      </c>
      <c r="W4" s="86">
        <v>6</v>
      </c>
      <c r="X4" s="86">
        <v>7</v>
      </c>
      <c r="Y4" s="86">
        <v>8</v>
      </c>
      <c r="Z4" s="1"/>
    </row>
    <row r="5" spans="2:26" ht="39">
      <c r="B5" s="87" t="s">
        <v>125</v>
      </c>
      <c r="C5" s="88"/>
      <c r="D5" s="88"/>
      <c r="E5" s="93" t="str">
        <f>IF($D5="", "", IF(RIGHT($C5,1)="英",_xlfn.CONCAT("零", $D5),$D5))</f>
        <v/>
      </c>
      <c r="F5" s="93" t="str">
        <f>IF(MID($C5,2,1)="一",_xlfn.CONCAT($D5,"1"),IF(MID($C5,2,1)="四",_xlfn.CONCAT($D5,"4"), IF($D5="","",$E5)))</f>
        <v/>
      </c>
      <c r="G5" s="94" t="str">
        <f xml:space="preserve"> IF(LEN($F5)=0, "", LEN($F5))</f>
        <v/>
      </c>
      <c r="H5" s="94" t="str">
        <f t="shared" ref="H5:H45" si="0" xml:space="preserve"> IF($D5="", "", SEARCH(LEFT($F5), $C$1))</f>
        <v/>
      </c>
      <c r="I5" s="89" t="str">
        <f xml:space="preserve"> IF(AND($H5&gt;0, I$4&lt;$G5), IF(MID($F5,I$4+1,1)="1", """", IF(MID($F5,I$4+1,1)="4", "[", MID($F5,I$4+1,1))), IF(I$4&lt;=$G5, IF(LEFT($F5,1)="零", "Ø", LEFT($F5,1)), ""))</f>
        <v/>
      </c>
      <c r="J5" s="89" t="str">
        <f t="shared" ref="J5:P5" si="1" xml:space="preserve"> IF(AND($H5&gt;0, J$4&lt;$G5), IF(MID($F5,J$4+1,1)="1", """", IF(MID($F5,J$4+1,1)="4", "[", MID($F5,J$4+1,1))), IF(J$4&lt;=$G5, IF(LEFT($F5,1)="零", "Ø", LEFT($F5,1)), ""))</f>
        <v/>
      </c>
      <c r="K5" s="89" t="str">
        <f t="shared" si="1"/>
        <v/>
      </c>
      <c r="L5" s="89" t="str">
        <f t="shared" si="1"/>
        <v/>
      </c>
      <c r="M5" s="89" t="str">
        <f t="shared" si="1"/>
        <v/>
      </c>
      <c r="N5" s="89" t="str">
        <f t="shared" si="1"/>
        <v/>
      </c>
      <c r="O5" s="89" t="str">
        <f t="shared" si="1"/>
        <v/>
      </c>
      <c r="P5" s="89" t="str">
        <f t="shared" si="1"/>
        <v/>
      </c>
      <c r="R5" s="89" t="str">
        <f xml:space="preserve"> IFERROR( _xlfn.IMAGE(_xlfn.XLOOKUP(I5,按鍵位置表[方音符號], 按鍵位置表[Pict URL])), "")</f>
        <v/>
      </c>
      <c r="S5" s="89" t="str">
        <f xml:space="preserve"> IFERROR( _xlfn.IMAGE(_xlfn.XLOOKUP(J5,按鍵位置表[方音符號], 按鍵位置表[Pict URL])), "")</f>
        <v/>
      </c>
      <c r="T5" s="89" t="str">
        <f xml:space="preserve"> IFERROR( _xlfn.IMAGE(_xlfn.XLOOKUP(K5,按鍵位置表[方音符號], 按鍵位置表[Pict URL])), "")</f>
        <v/>
      </c>
      <c r="U5" s="89" t="str">
        <f xml:space="preserve"> IFERROR( _xlfn.IMAGE(_xlfn.XLOOKUP(L5,按鍵位置表[方音符號], 按鍵位置表[Pict URL])), "")</f>
        <v/>
      </c>
      <c r="V5" s="89" t="str">
        <f xml:space="preserve"> IFERROR( _xlfn.IMAGE(_xlfn.XLOOKUP(M5,按鍵位置表[方音符號], 按鍵位置表[Pict URL])), "")</f>
        <v/>
      </c>
      <c r="W5" s="89" t="str">
        <f xml:space="preserve"> IFERROR( _xlfn.IMAGE(_xlfn.XLOOKUP(N5,按鍵位置表[方音符號], 按鍵位置表[Pict URL])), "")</f>
        <v/>
      </c>
      <c r="X5" s="89" t="str">
        <f xml:space="preserve"> IFERROR( _xlfn.IMAGE(_xlfn.XLOOKUP(O5,按鍵位置表[方音符號], 按鍵位置表[Pict URL])), "")</f>
        <v/>
      </c>
      <c r="Y5" s="89" t="str">
        <f xml:space="preserve"> IFERROR( _xlfn.IMAGE(_xlfn.XLOOKUP(P5,按鍵位置表[方音符號], 按鍵位置表[Pict URL])), "")</f>
        <v/>
      </c>
    </row>
    <row r="6" spans="2:26" ht="45.75">
      <c r="B6" s="87" t="s">
        <v>126</v>
      </c>
      <c r="C6" s="90" t="s">
        <v>394</v>
      </c>
      <c r="D6" s="88" t="s">
        <v>196</v>
      </c>
      <c r="E6" s="93" t="str">
        <f t="shared" ref="E6:E45" si="2">IF($D6="", "", IF(RIGHT($C6,1)="英",_xlfn.CONCAT("零", $D6),$D6))</f>
        <v>ㄌㄧㄤˊ</v>
      </c>
      <c r="F6" s="93" t="str">
        <f t="shared" ref="F6:F45" si="3">IF(MID($C6,2,1)="一",_xlfn.CONCAT($D6,"1"),IF(MID($C6,2,1)="四",_xlfn.CONCAT($D6,"4"), IF($D6="","",$E6)))</f>
        <v>ㄌㄧㄤˊ</v>
      </c>
      <c r="G6" s="94">
        <f t="shared" ref="G6:G45" si="4" xml:space="preserve"> IF(LEN($F6)=0, "", LEN($F6))</f>
        <v>4</v>
      </c>
      <c r="H6" s="94">
        <f t="shared" si="0"/>
        <v>9</v>
      </c>
      <c r="I6" s="89" t="str">
        <f t="shared" ref="I6:P15" si="5" xml:space="preserve"> IF(AND($H6&gt;0, I$4&lt;$G6), IF(MID($F6,I$4+1,1)="1", """", IF(MID($F6,I$4+1,1)="4", "[", MID($F6,I$4+1,1))), IF(I$4&lt;=$G6, IF(LEFT($F6,1)="零", "=", LEFT($F6,1)), ""))</f>
        <v>ㄧ</v>
      </c>
      <c r="J6" s="89" t="str">
        <f t="shared" si="5"/>
        <v>ㄤ</v>
      </c>
      <c r="K6" s="89" t="str">
        <f t="shared" si="5"/>
        <v>ˊ</v>
      </c>
      <c r="L6" s="89" t="str">
        <f t="shared" si="5"/>
        <v>ㄌ</v>
      </c>
      <c r="M6" s="89" t="str">
        <f t="shared" si="5"/>
        <v/>
      </c>
      <c r="N6" s="89" t="str">
        <f t="shared" si="5"/>
        <v/>
      </c>
      <c r="O6" s="89" t="str">
        <f t="shared" si="5"/>
        <v/>
      </c>
      <c r="P6" s="89" t="str">
        <f t="shared" si="5"/>
        <v/>
      </c>
      <c r="R6" s="89" t="e" vm="18">
        <f xml:space="preserve"> IFERROR( _xlfn.IMAGE(_xlfn.XLOOKUP(I6,按鍵位置表[方音符號], 按鍵位置表[Pict URL])), "")</f>
        <v>#VALUE!</v>
      </c>
      <c r="S6" s="89" t="e" vm="27">
        <f xml:space="preserve"> IFERROR( _xlfn.IMAGE(_xlfn.XLOOKUP(J6,按鍵位置表[方音符號], 按鍵位置表[Pict URL])), "")</f>
        <v>#VALUE!</v>
      </c>
      <c r="T6" s="89" t="e" vm="39">
        <f xml:space="preserve"> IFERROR( _xlfn.IMAGE(_xlfn.XLOOKUP(K6,按鍵位置表[方音符號], 按鍵位置表[Pict URL])), "")</f>
        <v>#VALUE!</v>
      </c>
      <c r="U6" s="89" t="e" vm="7">
        <f xml:space="preserve"> IFERROR( _xlfn.IMAGE(_xlfn.XLOOKUP(L6,按鍵位置表[方音符號], 按鍵位置表[Pict URL])), "")</f>
        <v>#VALUE!</v>
      </c>
      <c r="V6" s="89" t="str">
        <f xml:space="preserve"> IFERROR( _xlfn.IMAGE(_xlfn.XLOOKUP(M6,按鍵位置表[方音符號], 按鍵位置表[Pict URL])), "")</f>
        <v/>
      </c>
      <c r="W6" s="89" t="str">
        <f xml:space="preserve"> IFERROR( _xlfn.IMAGE(_xlfn.XLOOKUP(N6,按鍵位置表[方音符號], 按鍵位置表[Pict URL])), "")</f>
        <v/>
      </c>
      <c r="X6" s="89" t="str">
        <f xml:space="preserve"> IFERROR( _xlfn.IMAGE(_xlfn.XLOOKUP(O6,按鍵位置表[方音符號], 按鍵位置表[Pict URL])), "")</f>
        <v/>
      </c>
      <c r="Y6" s="89" t="str">
        <f xml:space="preserve"> IFERROR( _xlfn.IMAGE(_xlfn.XLOOKUP(P6,按鍵位置表[方音符號], 按鍵位置表[Pict URL])), "")</f>
        <v/>
      </c>
    </row>
    <row r="7" spans="2:26" ht="39">
      <c r="B7" s="87" t="s">
        <v>1</v>
      </c>
      <c r="C7" s="92" t="s">
        <v>395</v>
      </c>
      <c r="D7" s="88" t="s">
        <v>200</v>
      </c>
      <c r="E7" s="93" t="str">
        <f t="shared" si="2"/>
        <v>ㄐㄧㄨ</v>
      </c>
      <c r="F7" s="93" t="str">
        <f t="shared" si="3"/>
        <v>ㄐㄧㄨ1</v>
      </c>
      <c r="G7" s="94">
        <f t="shared" si="4"/>
        <v>4</v>
      </c>
      <c r="H7" s="94">
        <f t="shared" si="0"/>
        <v>18</v>
      </c>
      <c r="I7" s="89" t="str">
        <f t="shared" si="5"/>
        <v>ㄧ</v>
      </c>
      <c r="J7" s="89" t="str">
        <f t="shared" si="5"/>
        <v>ㄨ</v>
      </c>
      <c r="K7" s="89" t="str">
        <f t="shared" si="5"/>
        <v>"</v>
      </c>
      <c r="L7" s="89" t="str">
        <f t="shared" si="5"/>
        <v>ㄐ</v>
      </c>
      <c r="M7" s="89" t="str">
        <f t="shared" si="5"/>
        <v/>
      </c>
      <c r="N7" s="89" t="str">
        <f t="shared" si="5"/>
        <v/>
      </c>
      <c r="O7" s="89" t="str">
        <f t="shared" si="5"/>
        <v/>
      </c>
      <c r="P7" s="89" t="str">
        <f t="shared" si="5"/>
        <v/>
      </c>
      <c r="R7" s="89" t="e" vm="18">
        <f xml:space="preserve"> IFERROR( _xlfn.IMAGE(_xlfn.XLOOKUP(I7,按鍵位置表[方音符號], 按鍵位置表[Pict URL])), "")</f>
        <v>#VALUE!</v>
      </c>
      <c r="S7" s="89" t="e" vm="19">
        <f xml:space="preserve"> IFERROR( _xlfn.IMAGE(_xlfn.XLOOKUP(J7,按鍵位置表[方音符號], 按鍵位置表[Pict URL])), "")</f>
        <v>#VALUE!</v>
      </c>
      <c r="T7" s="89" t="e" vm="35">
        <f xml:space="preserve"> IFERROR( _xlfn.IMAGE(_xlfn.XLOOKUP(K7,按鍵位置表[方音符號], 按鍵位置表[Pict URL])), "")</f>
        <v>#VALUE!</v>
      </c>
      <c r="U7" s="89" t="e" vm="11">
        <f xml:space="preserve"> IFERROR( _xlfn.IMAGE(_xlfn.XLOOKUP(L7,按鍵位置表[方音符號], 按鍵位置表[Pict URL])), "")</f>
        <v>#VALUE!</v>
      </c>
      <c r="V7" s="89" t="str">
        <f xml:space="preserve"> IFERROR( _xlfn.IMAGE(_xlfn.XLOOKUP(M7,按鍵位置表[方音符號], 按鍵位置表[Pict URL])), "")</f>
        <v/>
      </c>
      <c r="W7" s="89" t="str">
        <f xml:space="preserve"> IFERROR( _xlfn.IMAGE(_xlfn.XLOOKUP(N7,按鍵位置表[方音符號], 按鍵位置表[Pict URL])), "")</f>
        <v/>
      </c>
      <c r="X7" s="89" t="str">
        <f xml:space="preserve"> IFERROR( _xlfn.IMAGE(_xlfn.XLOOKUP(O7,按鍵位置表[方音符號], 按鍵位置表[Pict URL])), "")</f>
        <v/>
      </c>
      <c r="Y7" s="89" t="str">
        <f xml:space="preserve"> IFERROR( _xlfn.IMAGE(_xlfn.XLOOKUP(P7,按鍵位置表[方音符號], 按鍵位置表[Pict URL])), "")</f>
        <v/>
      </c>
    </row>
    <row r="8" spans="2:26" ht="39">
      <c r="B8" s="87" t="s">
        <v>2</v>
      </c>
      <c r="C8" s="92" t="s">
        <v>396</v>
      </c>
      <c r="D8" s="88" t="s">
        <v>204</v>
      </c>
      <c r="E8" s="93" t="str">
        <f t="shared" si="2"/>
        <v>ㄙㄨˊ</v>
      </c>
      <c r="F8" s="93" t="str">
        <f t="shared" si="3"/>
        <v>ㄙㄨˊ</v>
      </c>
      <c r="G8" s="94">
        <f t="shared" si="4"/>
        <v>3</v>
      </c>
      <c r="H8" s="94">
        <f t="shared" si="0"/>
        <v>17</v>
      </c>
      <c r="I8" s="89" t="str">
        <f t="shared" si="5"/>
        <v>ㄨ</v>
      </c>
      <c r="J8" s="89" t="str">
        <f t="shared" si="5"/>
        <v>ˊ</v>
      </c>
      <c r="K8" s="89" t="str">
        <f t="shared" si="5"/>
        <v>ㄙ</v>
      </c>
      <c r="L8" s="89" t="str">
        <f t="shared" si="5"/>
        <v/>
      </c>
      <c r="M8" s="89" t="str">
        <f t="shared" si="5"/>
        <v/>
      </c>
      <c r="N8" s="89" t="str">
        <f t="shared" si="5"/>
        <v/>
      </c>
      <c r="O8" s="89" t="str">
        <f t="shared" si="5"/>
        <v/>
      </c>
      <c r="P8" s="89" t="str">
        <f t="shared" si="5"/>
        <v/>
      </c>
      <c r="R8" s="89" t="e" vm="19">
        <f xml:space="preserve"> IFERROR( _xlfn.IMAGE(_xlfn.XLOOKUP(I8,按鍵位置表[方音符號], 按鍵位置表[Pict URL])), "")</f>
        <v>#VALUE!</v>
      </c>
      <c r="S8" s="89" t="e" vm="39">
        <f xml:space="preserve"> IFERROR( _xlfn.IMAGE(_xlfn.XLOOKUP(J8,按鍵位置表[方音符號], 按鍵位置表[Pict URL])), "")</f>
        <v>#VALUE!</v>
      </c>
      <c r="T8" s="89" t="e" vm="16">
        <f xml:space="preserve"> IFERROR( _xlfn.IMAGE(_xlfn.XLOOKUP(K8,按鍵位置表[方音符號], 按鍵位置表[Pict URL])), "")</f>
        <v>#VALUE!</v>
      </c>
      <c r="U8" s="89" t="str">
        <f xml:space="preserve"> IFERROR( _xlfn.IMAGE(_xlfn.XLOOKUP(L8,按鍵位置表[方音符號], 按鍵位置表[Pict URL])), "")</f>
        <v/>
      </c>
      <c r="V8" s="89" t="str">
        <f xml:space="preserve"> IFERROR( _xlfn.IMAGE(_xlfn.XLOOKUP(M8,按鍵位置表[方音符號], 按鍵位置表[Pict URL])), "")</f>
        <v/>
      </c>
      <c r="W8" s="89" t="str">
        <f xml:space="preserve"> IFERROR( _xlfn.IMAGE(_xlfn.XLOOKUP(N8,按鍵位置表[方音符號], 按鍵位置表[Pict URL])), "")</f>
        <v/>
      </c>
      <c r="X8" s="89" t="str">
        <f xml:space="preserve"> IFERROR( _xlfn.IMAGE(_xlfn.XLOOKUP(O8,按鍵位置表[方音符號], 按鍵位置表[Pict URL])), "")</f>
        <v/>
      </c>
      <c r="Y8" s="89" t="str">
        <f xml:space="preserve"> IFERROR( _xlfn.IMAGE(_xlfn.XLOOKUP(P8,按鍵位置表[方音符號], 按鍵位置表[Pict URL])), "")</f>
        <v/>
      </c>
    </row>
    <row r="9" spans="2:26" ht="45.75">
      <c r="B9" s="87" t="s">
        <v>127</v>
      </c>
      <c r="C9" s="90"/>
      <c r="D9" s="88"/>
      <c r="E9" s="93" t="str">
        <f t="shared" si="2"/>
        <v/>
      </c>
      <c r="F9" s="93" t="str">
        <f t="shared" si="3"/>
        <v/>
      </c>
      <c r="G9" s="94" t="str">
        <f t="shared" si="4"/>
        <v/>
      </c>
      <c r="H9" s="94" t="str">
        <f t="shared" si="0"/>
        <v/>
      </c>
      <c r="I9" s="89" t="str">
        <f t="shared" si="5"/>
        <v/>
      </c>
      <c r="J9" s="89" t="str">
        <f t="shared" si="5"/>
        <v/>
      </c>
      <c r="K9" s="89" t="str">
        <f t="shared" si="5"/>
        <v/>
      </c>
      <c r="L9" s="89" t="str">
        <f t="shared" si="5"/>
        <v/>
      </c>
      <c r="M9" s="89" t="str">
        <f t="shared" si="5"/>
        <v/>
      </c>
      <c r="N9" s="89" t="str">
        <f t="shared" si="5"/>
        <v/>
      </c>
      <c r="O9" s="89" t="str">
        <f t="shared" si="5"/>
        <v/>
      </c>
      <c r="P9" s="89" t="str">
        <f t="shared" si="5"/>
        <v/>
      </c>
      <c r="R9" s="89" t="str">
        <f xml:space="preserve"> IFERROR( _xlfn.IMAGE(_xlfn.XLOOKUP(I9,按鍵位置表[方音符號], 按鍵位置表[Pict URL])), "")</f>
        <v/>
      </c>
      <c r="S9" s="89" t="str">
        <f xml:space="preserve"> IFERROR( _xlfn.IMAGE(_xlfn.XLOOKUP(J9,按鍵位置表[方音符號], 按鍵位置表[Pict URL])), "")</f>
        <v/>
      </c>
      <c r="T9" s="89" t="str">
        <f xml:space="preserve"> IFERROR( _xlfn.IMAGE(_xlfn.XLOOKUP(K9,按鍵位置表[方音符號], 按鍵位置表[Pict URL])), "")</f>
        <v/>
      </c>
      <c r="U9" s="89" t="str">
        <f xml:space="preserve"> IFERROR( _xlfn.IMAGE(_xlfn.XLOOKUP(L9,按鍵位置表[方音符號], 按鍵位置表[Pict URL])), "")</f>
        <v/>
      </c>
      <c r="V9" s="89" t="str">
        <f xml:space="preserve"> IFERROR( _xlfn.IMAGE(_xlfn.XLOOKUP(M9,按鍵位置表[方音符號], 按鍵位置表[Pict URL])), "")</f>
        <v/>
      </c>
      <c r="W9" s="89" t="str">
        <f xml:space="preserve"> IFERROR( _xlfn.IMAGE(_xlfn.XLOOKUP(N9,按鍵位置表[方音符號], 按鍵位置表[Pict URL])), "")</f>
        <v/>
      </c>
      <c r="X9" s="89" t="str">
        <f xml:space="preserve"> IFERROR( _xlfn.IMAGE(_xlfn.XLOOKUP(O9,按鍵位置表[方音符號], 按鍵位置表[Pict URL])), "")</f>
        <v/>
      </c>
      <c r="Y9" s="89" t="str">
        <f xml:space="preserve"> IFERROR( _xlfn.IMAGE(_xlfn.XLOOKUP(P9,按鍵位置表[方音符號], 按鍵位置表[Pict URL])), "")</f>
        <v/>
      </c>
    </row>
    <row r="10" spans="2:26" ht="45.75">
      <c r="B10" s="87" t="s">
        <v>128</v>
      </c>
      <c r="C10" s="90" t="s">
        <v>397</v>
      </c>
      <c r="D10" s="88" t="s">
        <v>206</v>
      </c>
      <c r="E10" s="93" t="str">
        <f t="shared" si="2"/>
        <v>零ㆲˊ</v>
      </c>
      <c r="F10" s="93" t="str">
        <f t="shared" si="3"/>
        <v>零ㆲˊ</v>
      </c>
      <c r="G10" s="94">
        <f t="shared" si="4"/>
        <v>3</v>
      </c>
      <c r="H10" s="94">
        <f t="shared" si="0"/>
        <v>1</v>
      </c>
      <c r="I10" s="89" t="str">
        <f t="shared" si="5"/>
        <v>ㆲ</v>
      </c>
      <c r="J10" s="89" t="str">
        <f t="shared" si="5"/>
        <v>ˊ</v>
      </c>
      <c r="K10" s="89" t="str">
        <f t="shared" si="5"/>
        <v>=</v>
      </c>
      <c r="L10" s="89" t="str">
        <f t="shared" si="5"/>
        <v/>
      </c>
      <c r="M10" s="89" t="str">
        <f t="shared" si="5"/>
        <v/>
      </c>
      <c r="N10" s="89" t="str">
        <f t="shared" si="5"/>
        <v/>
      </c>
      <c r="O10" s="89" t="str">
        <f t="shared" si="5"/>
        <v/>
      </c>
      <c r="P10" s="89" t="str">
        <f t="shared" si="5"/>
        <v/>
      </c>
      <c r="R10" s="89" t="e" vm="30">
        <f xml:space="preserve"> IFERROR( _xlfn.IMAGE(_xlfn.XLOOKUP(I10,按鍵位置表[方音符號], 按鍵位置表[Pict URL])), "")</f>
        <v>#VALUE!</v>
      </c>
      <c r="S10" s="89" t="e" vm="39">
        <f xml:space="preserve"> IFERROR( _xlfn.IMAGE(_xlfn.XLOOKUP(J10,按鍵位置表[方音符號], 按鍵位置表[Pict URL])), "")</f>
        <v>#VALUE!</v>
      </c>
      <c r="T10" s="89" t="e" vm="43">
        <f xml:space="preserve"> IFERROR( _xlfn.IMAGE(_xlfn.XLOOKUP(K10,按鍵位置表[方音符號], 按鍵位置表[Pict URL])), "")</f>
        <v>#VALUE!</v>
      </c>
      <c r="U10" s="89" t="str">
        <f xml:space="preserve"> IFERROR( _xlfn.IMAGE(_xlfn.XLOOKUP(L10,按鍵位置表[方音符號], 按鍵位置表[Pict URL])), "")</f>
        <v/>
      </c>
      <c r="V10" s="89" t="str">
        <f xml:space="preserve"> IFERROR( _xlfn.IMAGE(_xlfn.XLOOKUP(M10,按鍵位置表[方音符號], 按鍵位置表[Pict URL])), "")</f>
        <v/>
      </c>
      <c r="W10" s="89" t="str">
        <f xml:space="preserve"> IFERROR( _xlfn.IMAGE(_xlfn.XLOOKUP(N10,按鍵位置表[方音符號], 按鍵位置表[Pict URL])), "")</f>
        <v/>
      </c>
      <c r="X10" s="89" t="str">
        <f xml:space="preserve"> IFERROR( _xlfn.IMAGE(_xlfn.XLOOKUP(O10,按鍵位置表[方音符號], 按鍵位置表[Pict URL])), "")</f>
        <v/>
      </c>
      <c r="Y10" s="89" t="str">
        <f xml:space="preserve"> IFERROR( _xlfn.IMAGE(_xlfn.XLOOKUP(P10,按鍵位置表[方音符號], 按鍵位置表[Pict URL])), "")</f>
        <v/>
      </c>
    </row>
    <row r="11" spans="2:26" ht="45.75">
      <c r="B11" s="87" t="s">
        <v>129</v>
      </c>
      <c r="C11" s="90" t="s">
        <v>398</v>
      </c>
      <c r="D11" s="88" t="s">
        <v>208</v>
      </c>
      <c r="E11" s="93" t="str">
        <f t="shared" si="2"/>
        <v>ㄐㄧ</v>
      </c>
      <c r="F11" s="93" t="str">
        <f t="shared" si="3"/>
        <v>ㄐㄧ1</v>
      </c>
      <c r="G11" s="94">
        <f t="shared" si="4"/>
        <v>3</v>
      </c>
      <c r="H11" s="94">
        <f t="shared" si="0"/>
        <v>18</v>
      </c>
      <c r="I11" s="89" t="str">
        <f t="shared" si="5"/>
        <v>ㄧ</v>
      </c>
      <c r="J11" s="89" t="str">
        <f t="shared" si="5"/>
        <v>"</v>
      </c>
      <c r="K11" s="89" t="str">
        <f t="shared" si="5"/>
        <v>ㄐ</v>
      </c>
      <c r="L11" s="89" t="str">
        <f t="shared" si="5"/>
        <v/>
      </c>
      <c r="M11" s="89" t="str">
        <f t="shared" si="5"/>
        <v/>
      </c>
      <c r="N11" s="89" t="str">
        <f t="shared" si="5"/>
        <v/>
      </c>
      <c r="O11" s="89" t="str">
        <f t="shared" si="5"/>
        <v/>
      </c>
      <c r="P11" s="89" t="str">
        <f t="shared" si="5"/>
        <v/>
      </c>
      <c r="R11" s="89" t="e" vm="18">
        <f xml:space="preserve"> IFERROR( _xlfn.IMAGE(_xlfn.XLOOKUP(I11,按鍵位置表[方音符號], 按鍵位置表[Pict URL])), "")</f>
        <v>#VALUE!</v>
      </c>
      <c r="S11" s="89" t="e" vm="35">
        <f xml:space="preserve"> IFERROR( _xlfn.IMAGE(_xlfn.XLOOKUP(J11,按鍵位置表[方音符號], 按鍵位置表[Pict URL])), "")</f>
        <v>#VALUE!</v>
      </c>
      <c r="T11" s="89" t="e" vm="11">
        <f xml:space="preserve"> IFERROR( _xlfn.IMAGE(_xlfn.XLOOKUP(K11,按鍵位置表[方音符號], 按鍵位置表[Pict URL])), "")</f>
        <v>#VALUE!</v>
      </c>
      <c r="U11" s="89" t="str">
        <f xml:space="preserve"> IFERROR( _xlfn.IMAGE(_xlfn.XLOOKUP(L11,按鍵位置表[方音符號], 按鍵位置表[Pict URL])), "")</f>
        <v/>
      </c>
      <c r="V11" s="89" t="str">
        <f xml:space="preserve"> IFERROR( _xlfn.IMAGE(_xlfn.XLOOKUP(M11,按鍵位置表[方音符號], 按鍵位置表[Pict URL])), "")</f>
        <v/>
      </c>
      <c r="W11" s="89" t="str">
        <f xml:space="preserve"> IFERROR( _xlfn.IMAGE(_xlfn.XLOOKUP(N11,按鍵位置表[方音符號], 按鍵位置表[Pict URL])), "")</f>
        <v/>
      </c>
      <c r="X11" s="89" t="str">
        <f xml:space="preserve"> IFERROR( _xlfn.IMAGE(_xlfn.XLOOKUP(O11,按鍵位置表[方音符號], 按鍵位置表[Pict URL])), "")</f>
        <v/>
      </c>
      <c r="Y11" s="89" t="str">
        <f xml:space="preserve"> IFERROR( _xlfn.IMAGE(_xlfn.XLOOKUP(P11,按鍵位置表[方音符號], 按鍵位置表[Pict URL])), "")</f>
        <v/>
      </c>
    </row>
    <row r="12" spans="2:26" ht="45.75">
      <c r="B12" s="87" t="s">
        <v>130</v>
      </c>
      <c r="C12" s="90" t="s">
        <v>399</v>
      </c>
      <c r="D12" s="88" t="s">
        <v>209</v>
      </c>
      <c r="E12" s="93" t="str">
        <f t="shared" si="2"/>
        <v>ㄏㄨㄢ˪</v>
      </c>
      <c r="F12" s="93" t="str">
        <f t="shared" si="3"/>
        <v>ㄏㄨㄢ˪</v>
      </c>
      <c r="G12" s="94">
        <f t="shared" si="4"/>
        <v>4</v>
      </c>
      <c r="H12" s="94">
        <f t="shared" si="0"/>
        <v>13</v>
      </c>
      <c r="I12" s="89" t="str">
        <f t="shared" si="5"/>
        <v>ㄨ</v>
      </c>
      <c r="J12" s="89" t="str">
        <f t="shared" si="5"/>
        <v>ㄢ</v>
      </c>
      <c r="K12" s="89" t="str">
        <f t="shared" si="5"/>
        <v>˪</v>
      </c>
      <c r="L12" s="89" t="str">
        <f t="shared" si="5"/>
        <v>ㄏ</v>
      </c>
      <c r="M12" s="89" t="str">
        <f t="shared" si="5"/>
        <v/>
      </c>
      <c r="N12" s="89" t="str">
        <f t="shared" si="5"/>
        <v/>
      </c>
      <c r="O12" s="89" t="str">
        <f t="shared" si="5"/>
        <v/>
      </c>
      <c r="P12" s="89" t="str">
        <f t="shared" si="5"/>
        <v/>
      </c>
      <c r="R12" s="89" t="e" vm="19">
        <f xml:space="preserve"> IFERROR( _xlfn.IMAGE(_xlfn.XLOOKUP(I12,按鍵位置表[方音符號], 按鍵位置表[Pict URL])), "")</f>
        <v>#VALUE!</v>
      </c>
      <c r="S12" s="89" t="e" vm="25">
        <f xml:space="preserve"> IFERROR( _xlfn.IMAGE(_xlfn.XLOOKUP(J12,按鍵位置表[方音符號], 按鍵位置表[Pict URL])), "")</f>
        <v>#VALUE!</v>
      </c>
      <c r="T12" s="89" t="e" vm="37">
        <f xml:space="preserve"> IFERROR( _xlfn.IMAGE(_xlfn.XLOOKUP(K12,按鍵位置表[方音符號], 按鍵位置表[Pict URL])), "")</f>
        <v>#VALUE!</v>
      </c>
      <c r="U12" s="89" t="e" vm="10">
        <f xml:space="preserve"> IFERROR( _xlfn.IMAGE(_xlfn.XLOOKUP(L12,按鍵位置表[方音符號], 按鍵位置表[Pict URL])), "")</f>
        <v>#VALUE!</v>
      </c>
      <c r="V12" s="89" t="str">
        <f xml:space="preserve"> IFERROR( _xlfn.IMAGE(_xlfn.XLOOKUP(M12,按鍵位置表[方音符號], 按鍵位置表[Pict URL])), "")</f>
        <v/>
      </c>
      <c r="W12" s="89" t="str">
        <f xml:space="preserve"> IFERROR( _xlfn.IMAGE(_xlfn.XLOOKUP(N12,按鍵位置表[方音符號], 按鍵位置表[Pict URL])), "")</f>
        <v/>
      </c>
      <c r="X12" s="89" t="str">
        <f xml:space="preserve"> IFERROR( _xlfn.IMAGE(_xlfn.XLOOKUP(O12,按鍵位置表[方音符號], 按鍵位置表[Pict URL])), "")</f>
        <v/>
      </c>
      <c r="Y12" s="89" t="str">
        <f xml:space="preserve"> IFERROR( _xlfn.IMAGE(_xlfn.XLOOKUP(P12,按鍵位置表[方音符號], 按鍵位置表[Pict URL])), "")</f>
        <v/>
      </c>
    </row>
    <row r="13" spans="2:26" ht="45.75">
      <c r="B13" s="87"/>
      <c r="C13" s="90"/>
      <c r="D13" s="88"/>
      <c r="E13" s="93" t="str">
        <f t="shared" si="2"/>
        <v/>
      </c>
      <c r="F13" s="93" t="str">
        <f t="shared" si="3"/>
        <v/>
      </c>
      <c r="G13" s="94" t="str">
        <f t="shared" si="4"/>
        <v/>
      </c>
      <c r="H13" s="94" t="str">
        <f t="shared" si="0"/>
        <v/>
      </c>
      <c r="I13" s="89" t="str">
        <f t="shared" si="5"/>
        <v/>
      </c>
      <c r="J13" s="89" t="str">
        <f t="shared" si="5"/>
        <v/>
      </c>
      <c r="K13" s="89" t="str">
        <f t="shared" si="5"/>
        <v/>
      </c>
      <c r="L13" s="89" t="str">
        <f t="shared" si="5"/>
        <v/>
      </c>
      <c r="M13" s="89" t="str">
        <f t="shared" si="5"/>
        <v/>
      </c>
      <c r="N13" s="89" t="str">
        <f t="shared" si="5"/>
        <v/>
      </c>
      <c r="O13" s="89" t="str">
        <f t="shared" si="5"/>
        <v/>
      </c>
      <c r="P13" s="89" t="str">
        <f t="shared" si="5"/>
        <v/>
      </c>
      <c r="R13" s="89" t="str">
        <f xml:space="preserve"> IFERROR( _xlfn.IMAGE(_xlfn.XLOOKUP(I13,按鍵位置表[方音符號], 按鍵位置表[Pict URL])), "")</f>
        <v/>
      </c>
      <c r="S13" s="89" t="str">
        <f xml:space="preserve"> IFERROR( _xlfn.IMAGE(_xlfn.XLOOKUP(J13,按鍵位置表[方音符號], 按鍵位置表[Pict URL])), "")</f>
        <v/>
      </c>
      <c r="T13" s="89" t="str">
        <f xml:space="preserve"> IFERROR( _xlfn.IMAGE(_xlfn.XLOOKUP(K13,按鍵位置表[方音符號], 按鍵位置表[Pict URL])), "")</f>
        <v/>
      </c>
      <c r="U13" s="89" t="str">
        <f xml:space="preserve"> IFERROR( _xlfn.IMAGE(_xlfn.XLOOKUP(L13,按鍵位置表[方音符號], 按鍵位置表[Pict URL])), "")</f>
        <v/>
      </c>
      <c r="V13" s="89" t="str">
        <f xml:space="preserve"> IFERROR( _xlfn.IMAGE(_xlfn.XLOOKUP(M13,按鍵位置表[方音符號], 按鍵位置表[Pict URL])), "")</f>
        <v/>
      </c>
      <c r="W13" s="89" t="str">
        <f xml:space="preserve"> IFERROR( _xlfn.IMAGE(_xlfn.XLOOKUP(N13,按鍵位置表[方音符號], 按鍵位置表[Pict URL])), "")</f>
        <v/>
      </c>
      <c r="X13" s="89" t="str">
        <f xml:space="preserve"> IFERROR( _xlfn.IMAGE(_xlfn.XLOOKUP(O13,按鍵位置表[方音符號], 按鍵位置表[Pict URL])), "")</f>
        <v/>
      </c>
      <c r="Y13" s="89" t="str">
        <f xml:space="preserve"> IFERROR( _xlfn.IMAGE(_xlfn.XLOOKUP(P13,按鍵位置表[方音符號], 按鍵位置表[Pict URL])), "")</f>
        <v/>
      </c>
    </row>
    <row r="14" spans="2:26" ht="45.75">
      <c r="B14" s="87" t="s">
        <v>137</v>
      </c>
      <c r="C14" s="90" t="s">
        <v>400</v>
      </c>
      <c r="D14" s="88" t="s">
        <v>212</v>
      </c>
      <c r="E14" s="93" t="str">
        <f t="shared" si="2"/>
        <v>ㄏㆲˊ</v>
      </c>
      <c r="F14" s="93" t="str">
        <f t="shared" si="3"/>
        <v>ㄏㆲˊ</v>
      </c>
      <c r="G14" s="94">
        <f t="shared" si="4"/>
        <v>3</v>
      </c>
      <c r="H14" s="94">
        <f t="shared" si="0"/>
        <v>13</v>
      </c>
      <c r="I14" s="89" t="str">
        <f t="shared" si="5"/>
        <v>ㆲ</v>
      </c>
      <c r="J14" s="89" t="str">
        <f t="shared" si="5"/>
        <v>ˊ</v>
      </c>
      <c r="K14" s="89" t="str">
        <f t="shared" si="5"/>
        <v>ㄏ</v>
      </c>
      <c r="L14" s="89" t="str">
        <f t="shared" si="5"/>
        <v/>
      </c>
      <c r="M14" s="89" t="str">
        <f t="shared" si="5"/>
        <v/>
      </c>
      <c r="N14" s="89" t="str">
        <f t="shared" si="5"/>
        <v/>
      </c>
      <c r="O14" s="89" t="str">
        <f t="shared" si="5"/>
        <v/>
      </c>
      <c r="P14" s="89" t="str">
        <f t="shared" si="5"/>
        <v/>
      </c>
      <c r="R14" s="89" t="e" vm="30">
        <f xml:space="preserve"> IFERROR( _xlfn.IMAGE(_xlfn.XLOOKUP(I14,按鍵位置表[方音符號], 按鍵位置表[Pict URL])), "")</f>
        <v>#VALUE!</v>
      </c>
      <c r="S14" s="89" t="e" vm="39">
        <f xml:space="preserve"> IFERROR( _xlfn.IMAGE(_xlfn.XLOOKUP(J14,按鍵位置表[方音符號], 按鍵位置表[Pict URL])), "")</f>
        <v>#VALUE!</v>
      </c>
      <c r="T14" s="89" t="e" vm="10">
        <f xml:space="preserve"> IFERROR( _xlfn.IMAGE(_xlfn.XLOOKUP(K14,按鍵位置表[方音符號], 按鍵位置表[Pict URL])), "")</f>
        <v>#VALUE!</v>
      </c>
      <c r="U14" s="89" t="str">
        <f xml:space="preserve"> IFERROR( _xlfn.IMAGE(_xlfn.XLOOKUP(L14,按鍵位置表[方音符號], 按鍵位置表[Pict URL])), "")</f>
        <v/>
      </c>
      <c r="V14" s="89" t="str">
        <f xml:space="preserve"> IFERROR( _xlfn.IMAGE(_xlfn.XLOOKUP(M14,按鍵位置表[方音符號], 按鍵位置表[Pict URL])), "")</f>
        <v/>
      </c>
      <c r="W14" s="89" t="str">
        <f xml:space="preserve"> IFERROR( _xlfn.IMAGE(_xlfn.XLOOKUP(N14,按鍵位置表[方音符號], 按鍵位置表[Pict URL])), "")</f>
        <v/>
      </c>
      <c r="X14" s="89" t="str">
        <f xml:space="preserve"> IFERROR( _xlfn.IMAGE(_xlfn.XLOOKUP(O14,按鍵位置表[方音符號], 按鍵位置表[Pict URL])), "")</f>
        <v/>
      </c>
      <c r="Y14" s="89" t="str">
        <f xml:space="preserve"> IFERROR( _xlfn.IMAGE(_xlfn.XLOOKUP(P14,按鍵位置表[方音符號], 按鍵位置表[Pict URL])), "")</f>
        <v/>
      </c>
    </row>
    <row r="15" spans="2:26" ht="45.75">
      <c r="B15" s="87" t="s">
        <v>138</v>
      </c>
      <c r="C15" s="90" t="s">
        <v>401</v>
      </c>
      <c r="D15" s="88" t="s">
        <v>213</v>
      </c>
      <c r="E15" s="93" t="str">
        <f t="shared" si="2"/>
        <v>ㄏㄜˊ</v>
      </c>
      <c r="F15" s="93" t="str">
        <f t="shared" si="3"/>
        <v>ㄏㄜˊ</v>
      </c>
      <c r="G15" s="94">
        <f t="shared" si="4"/>
        <v>3</v>
      </c>
      <c r="H15" s="94">
        <f t="shared" si="0"/>
        <v>13</v>
      </c>
      <c r="I15" s="89" t="str">
        <f t="shared" si="5"/>
        <v>ㄜ</v>
      </c>
      <c r="J15" s="89" t="str">
        <f t="shared" si="5"/>
        <v>ˊ</v>
      </c>
      <c r="K15" s="89" t="str">
        <f t="shared" si="5"/>
        <v>ㄏ</v>
      </c>
      <c r="L15" s="89" t="str">
        <f t="shared" si="5"/>
        <v/>
      </c>
      <c r="M15" s="89" t="str">
        <f t="shared" si="5"/>
        <v/>
      </c>
      <c r="N15" s="89" t="str">
        <f t="shared" si="5"/>
        <v/>
      </c>
      <c r="O15" s="89" t="str">
        <f t="shared" si="5"/>
        <v/>
      </c>
      <c r="P15" s="89" t="str">
        <f t="shared" si="5"/>
        <v/>
      </c>
      <c r="R15" s="89" t="e" vm="22">
        <f xml:space="preserve"> IFERROR( _xlfn.IMAGE(_xlfn.XLOOKUP(I15,按鍵位置表[方音符號], 按鍵位置表[Pict URL])), "")</f>
        <v>#VALUE!</v>
      </c>
      <c r="S15" s="89" t="e" vm="39">
        <f xml:space="preserve"> IFERROR( _xlfn.IMAGE(_xlfn.XLOOKUP(J15,按鍵位置表[方音符號], 按鍵位置表[Pict URL])), "")</f>
        <v>#VALUE!</v>
      </c>
      <c r="T15" s="89" t="e" vm="10">
        <f xml:space="preserve"> IFERROR( _xlfn.IMAGE(_xlfn.XLOOKUP(K15,按鍵位置表[方音符號], 按鍵位置表[Pict URL])), "")</f>
        <v>#VALUE!</v>
      </c>
      <c r="U15" s="89" t="str">
        <f xml:space="preserve"> IFERROR( _xlfn.IMAGE(_xlfn.XLOOKUP(L15,按鍵位置表[方音符號], 按鍵位置表[Pict URL])), "")</f>
        <v/>
      </c>
      <c r="V15" s="89" t="str">
        <f xml:space="preserve"> IFERROR( _xlfn.IMAGE(_xlfn.XLOOKUP(M15,按鍵位置表[方音符號], 按鍵位置表[Pict URL])), "")</f>
        <v/>
      </c>
      <c r="W15" s="89" t="str">
        <f xml:space="preserve"> IFERROR( _xlfn.IMAGE(_xlfn.XLOOKUP(N15,按鍵位置表[方音符號], 按鍵位置表[Pict URL])), "")</f>
        <v/>
      </c>
      <c r="X15" s="89" t="str">
        <f xml:space="preserve"> IFERROR( _xlfn.IMAGE(_xlfn.XLOOKUP(O15,按鍵位置表[方音符號], 按鍵位置表[Pict URL])), "")</f>
        <v/>
      </c>
      <c r="Y15" s="89" t="str">
        <f xml:space="preserve"> IFERROR( _xlfn.IMAGE(_xlfn.XLOOKUP(P15,按鍵位置表[方音符號], 按鍵位置表[Pict URL])), "")</f>
        <v/>
      </c>
    </row>
    <row r="16" spans="2:26" ht="45.75">
      <c r="B16" s="87" t="s">
        <v>139</v>
      </c>
      <c r="C16" s="90" t="s">
        <v>402</v>
      </c>
      <c r="D16" s="88" t="s">
        <v>215</v>
      </c>
      <c r="E16" s="93" t="str">
        <f t="shared" si="2"/>
        <v>零ㄨㄢˋ</v>
      </c>
      <c r="F16" s="93" t="str">
        <f t="shared" si="3"/>
        <v>零ㄨㄢˋ</v>
      </c>
      <c r="G16" s="94">
        <f t="shared" si="4"/>
        <v>4</v>
      </c>
      <c r="H16" s="94">
        <f t="shared" si="0"/>
        <v>1</v>
      </c>
      <c r="I16" s="89" t="str">
        <f t="shared" ref="I16:P25" si="6" xml:space="preserve"> IF(AND($H16&gt;0, I$4&lt;$G16), IF(MID($F16,I$4+1,1)="1", """", IF(MID($F16,I$4+1,1)="4", "[", MID($F16,I$4+1,1))), IF(I$4&lt;=$G16, IF(LEFT($F16,1)="零", "=", LEFT($F16,1)), ""))</f>
        <v>ㄨ</v>
      </c>
      <c r="J16" s="89" t="str">
        <f t="shared" si="6"/>
        <v>ㄢ</v>
      </c>
      <c r="K16" s="89" t="str">
        <f t="shared" si="6"/>
        <v>ˋ</v>
      </c>
      <c r="L16" s="89" t="str">
        <f t="shared" si="6"/>
        <v>=</v>
      </c>
      <c r="M16" s="89" t="str">
        <f t="shared" si="6"/>
        <v/>
      </c>
      <c r="N16" s="89" t="str">
        <f t="shared" si="6"/>
        <v/>
      </c>
      <c r="O16" s="89" t="str">
        <f t="shared" si="6"/>
        <v/>
      </c>
      <c r="P16" s="89" t="str">
        <f t="shared" si="6"/>
        <v/>
      </c>
      <c r="R16" s="89" t="e" vm="19">
        <f xml:space="preserve"> IFERROR( _xlfn.IMAGE(_xlfn.XLOOKUP(I16,按鍵位置表[方音符號], 按鍵位置表[Pict URL])), "")</f>
        <v>#VALUE!</v>
      </c>
      <c r="S16" s="89" t="e" vm="25">
        <f xml:space="preserve"> IFERROR( _xlfn.IMAGE(_xlfn.XLOOKUP(J16,按鍵位置表[方音符號], 按鍵位置表[Pict URL])), "")</f>
        <v>#VALUE!</v>
      </c>
      <c r="T16" s="89" t="e" vm="38">
        <f xml:space="preserve"> IFERROR( _xlfn.IMAGE(_xlfn.XLOOKUP(K16,按鍵位置表[方音符號], 按鍵位置表[Pict URL])), "")</f>
        <v>#VALUE!</v>
      </c>
      <c r="U16" s="89" t="e" vm="43">
        <f xml:space="preserve"> IFERROR( _xlfn.IMAGE(_xlfn.XLOOKUP(L16,按鍵位置表[方音符號], 按鍵位置表[Pict URL])), "")</f>
        <v>#VALUE!</v>
      </c>
      <c r="V16" s="89" t="str">
        <f xml:space="preserve"> IFERROR( _xlfn.IMAGE(_xlfn.XLOOKUP(M16,按鍵位置表[方音符號], 按鍵位置表[Pict URL])), "")</f>
        <v/>
      </c>
      <c r="W16" s="89" t="str">
        <f xml:space="preserve"> IFERROR( _xlfn.IMAGE(_xlfn.XLOOKUP(N16,按鍵位置表[方音符號], 按鍵位置表[Pict URL])), "")</f>
        <v/>
      </c>
      <c r="X16" s="89" t="str">
        <f xml:space="preserve"> IFERROR( _xlfn.IMAGE(_xlfn.XLOOKUP(O16,按鍵位置表[方音符號], 按鍵位置表[Pict URL])), "")</f>
        <v/>
      </c>
      <c r="Y16" s="89" t="str">
        <f xml:space="preserve"> IFERROR( _xlfn.IMAGE(_xlfn.XLOOKUP(P16,按鍵位置表[方音符號], 按鍵位置表[Pict URL])), "")</f>
        <v/>
      </c>
    </row>
    <row r="17" spans="2:25" ht="45.75">
      <c r="B17" s="87" t="s">
        <v>140</v>
      </c>
      <c r="C17" s="90" t="s">
        <v>403</v>
      </c>
      <c r="D17" s="88" t="s">
        <v>216</v>
      </c>
      <c r="E17" s="93" t="str">
        <f t="shared" si="2"/>
        <v>ㄒㄧㆲˋ</v>
      </c>
      <c r="F17" s="93" t="str">
        <f t="shared" si="3"/>
        <v>ㄒㄧㆲˋ</v>
      </c>
      <c r="G17" s="94">
        <f t="shared" si="4"/>
        <v>4</v>
      </c>
      <c r="H17" s="94">
        <f t="shared" si="0"/>
        <v>21</v>
      </c>
      <c r="I17" s="89" t="str">
        <f t="shared" si="6"/>
        <v>ㄧ</v>
      </c>
      <c r="J17" s="89" t="str">
        <f t="shared" si="6"/>
        <v>ㆲ</v>
      </c>
      <c r="K17" s="89" t="str">
        <f t="shared" si="6"/>
        <v>ˋ</v>
      </c>
      <c r="L17" s="89" t="str">
        <f t="shared" si="6"/>
        <v>ㄒ</v>
      </c>
      <c r="M17" s="89" t="str">
        <f t="shared" si="6"/>
        <v/>
      </c>
      <c r="N17" s="89" t="str">
        <f t="shared" si="6"/>
        <v/>
      </c>
      <c r="O17" s="89" t="str">
        <f t="shared" si="6"/>
        <v/>
      </c>
      <c r="P17" s="89" t="str">
        <f t="shared" si="6"/>
        <v/>
      </c>
      <c r="R17" s="89" t="e" vm="18">
        <f xml:space="preserve"> IFERROR( _xlfn.IMAGE(_xlfn.XLOOKUP(I17,按鍵位置表[方音符號], 按鍵位置表[Pict URL])), "")</f>
        <v>#VALUE!</v>
      </c>
      <c r="S17" s="89" t="e" vm="30">
        <f xml:space="preserve"> IFERROR( _xlfn.IMAGE(_xlfn.XLOOKUP(J17,按鍵位置表[方音符號], 按鍵位置表[Pict URL])), "")</f>
        <v>#VALUE!</v>
      </c>
      <c r="T17" s="89" t="e" vm="38">
        <f xml:space="preserve"> IFERROR( _xlfn.IMAGE(_xlfn.XLOOKUP(K17,按鍵位置表[方音符號], 按鍵位置表[Pict URL])), "")</f>
        <v>#VALUE!</v>
      </c>
      <c r="U17" s="89" t="e" vm="13">
        <f xml:space="preserve"> IFERROR( _xlfn.IMAGE(_xlfn.XLOOKUP(L17,按鍵位置表[方音符號], 按鍵位置表[Pict URL])), "")</f>
        <v>#VALUE!</v>
      </c>
      <c r="V17" s="89" t="str">
        <f xml:space="preserve"> IFERROR( _xlfn.IMAGE(_xlfn.XLOOKUP(M17,按鍵位置表[方音符號], 按鍵位置表[Pict URL])), "")</f>
        <v/>
      </c>
      <c r="W17" s="89" t="str">
        <f xml:space="preserve"> IFERROR( _xlfn.IMAGE(_xlfn.XLOOKUP(N17,按鍵位置表[方音符號], 按鍵位置表[Pict URL])), "")</f>
        <v/>
      </c>
      <c r="X17" s="89" t="str">
        <f xml:space="preserve"> IFERROR( _xlfn.IMAGE(_xlfn.XLOOKUP(O17,按鍵位置表[方音符號], 按鍵位置表[Pict URL])), "")</f>
        <v/>
      </c>
      <c r="Y17" s="89" t="str">
        <f xml:space="preserve"> IFERROR( _xlfn.IMAGE(_xlfn.XLOOKUP(P17,按鍵位置表[方音符號], 按鍵位置表[Pict URL])), "")</f>
        <v/>
      </c>
    </row>
    <row r="18" spans="2:25" ht="45.75">
      <c r="B18" s="87" t="s">
        <v>141</v>
      </c>
      <c r="C18" s="90" t="s">
        <v>404</v>
      </c>
      <c r="D18" s="88" t="s">
        <v>218</v>
      </c>
      <c r="E18" s="93" t="str">
        <f t="shared" si="2"/>
        <v>ㄅㄧㆻ˙</v>
      </c>
      <c r="F18" s="93" t="str">
        <f t="shared" si="3"/>
        <v>ㄅㄧㆻ˙</v>
      </c>
      <c r="G18" s="94">
        <f t="shared" si="4"/>
        <v>4</v>
      </c>
      <c r="H18" s="94">
        <f t="shared" si="0"/>
        <v>2</v>
      </c>
      <c r="I18" s="89" t="str">
        <f t="shared" si="6"/>
        <v>ㄧ</v>
      </c>
      <c r="J18" s="89" t="str">
        <f t="shared" si="6"/>
        <v>ㆻ</v>
      </c>
      <c r="K18" s="89" t="str">
        <f t="shared" si="6"/>
        <v>˙</v>
      </c>
      <c r="L18" s="89" t="str">
        <f t="shared" si="6"/>
        <v>ㄅ</v>
      </c>
      <c r="M18" s="89" t="str">
        <f t="shared" si="6"/>
        <v/>
      </c>
      <c r="N18" s="89" t="str">
        <f t="shared" si="6"/>
        <v/>
      </c>
      <c r="O18" s="89" t="str">
        <f t="shared" si="6"/>
        <v/>
      </c>
      <c r="P18" s="89" t="str">
        <f t="shared" si="6"/>
        <v/>
      </c>
      <c r="R18" s="89" t="e" vm="18">
        <f xml:space="preserve"> IFERROR( _xlfn.IMAGE(_xlfn.XLOOKUP(I18,按鍵位置表[方音符號], 按鍵位置表[Pict URL])), "")</f>
        <v>#VALUE!</v>
      </c>
      <c r="S18" s="89" t="e" vm="32">
        <f xml:space="preserve"> IFERROR( _xlfn.IMAGE(_xlfn.XLOOKUP(J18,按鍵位置表[方音符號], 按鍵位置表[Pict URL])), "")</f>
        <v>#VALUE!</v>
      </c>
      <c r="T18" s="89" t="e" vm="41">
        <f xml:space="preserve"> IFERROR( _xlfn.IMAGE(_xlfn.XLOOKUP(K18,按鍵位置表[方音符號], 按鍵位置表[Pict URL])), "")</f>
        <v>#VALUE!</v>
      </c>
      <c r="U18" s="89" t="e" vm="1">
        <f xml:space="preserve"> IFERROR( _xlfn.IMAGE(_xlfn.XLOOKUP(L18,按鍵位置表[方音符號], 按鍵位置表[Pict URL])), "")</f>
        <v>#VALUE!</v>
      </c>
      <c r="V18" s="89" t="str">
        <f xml:space="preserve"> IFERROR( _xlfn.IMAGE(_xlfn.XLOOKUP(M18,按鍵位置表[方音符號], 按鍵位置表[Pict URL])), "")</f>
        <v/>
      </c>
      <c r="W18" s="89" t="str">
        <f xml:space="preserve"> IFERROR( _xlfn.IMAGE(_xlfn.XLOOKUP(N18,按鍵位置表[方音符號], 按鍵位置表[Pict URL])), "")</f>
        <v/>
      </c>
      <c r="X18" s="89" t="str">
        <f xml:space="preserve"> IFERROR( _xlfn.IMAGE(_xlfn.XLOOKUP(O18,按鍵位置表[方音符號], 按鍵位置表[Pict URL])), "")</f>
        <v/>
      </c>
      <c r="Y18" s="89" t="str">
        <f xml:space="preserve"> IFERROR( _xlfn.IMAGE(_xlfn.XLOOKUP(P18,按鍵位置表[方音符號], 按鍵位置表[Pict URL])), "")</f>
        <v/>
      </c>
    </row>
    <row r="19" spans="2:25" ht="45.75">
      <c r="B19" s="87" t="s">
        <v>142</v>
      </c>
      <c r="C19" s="90" t="s">
        <v>405</v>
      </c>
      <c r="D19" s="88" t="s">
        <v>221</v>
      </c>
      <c r="E19" s="93" t="str">
        <f t="shared" si="2"/>
        <v>ㄏㄨㄣˊ</v>
      </c>
      <c r="F19" s="93" t="str">
        <f t="shared" si="3"/>
        <v>ㄏㄨㄣˊ</v>
      </c>
      <c r="G19" s="94">
        <f t="shared" si="4"/>
        <v>4</v>
      </c>
      <c r="H19" s="94">
        <f t="shared" si="0"/>
        <v>13</v>
      </c>
      <c r="I19" s="89" t="str">
        <f t="shared" si="6"/>
        <v>ㄨ</v>
      </c>
      <c r="J19" s="89" t="str">
        <f t="shared" si="6"/>
        <v>ㄣ</v>
      </c>
      <c r="K19" s="89" t="str">
        <f t="shared" si="6"/>
        <v>ˊ</v>
      </c>
      <c r="L19" s="89" t="str">
        <f t="shared" si="6"/>
        <v>ㄏ</v>
      </c>
      <c r="M19" s="89" t="str">
        <f t="shared" si="6"/>
        <v/>
      </c>
      <c r="N19" s="89" t="str">
        <f t="shared" si="6"/>
        <v/>
      </c>
      <c r="O19" s="89" t="str">
        <f t="shared" si="6"/>
        <v/>
      </c>
      <c r="P19" s="89" t="str">
        <f t="shared" si="6"/>
        <v/>
      </c>
      <c r="R19" s="89" t="e" vm="19">
        <f xml:space="preserve"> IFERROR( _xlfn.IMAGE(_xlfn.XLOOKUP(I19,按鍵位置表[方音符號], 按鍵位置表[Pict URL])), "")</f>
        <v>#VALUE!</v>
      </c>
      <c r="S19" s="89" t="e" vm="26">
        <f xml:space="preserve"> IFERROR( _xlfn.IMAGE(_xlfn.XLOOKUP(J19,按鍵位置表[方音符號], 按鍵位置表[Pict URL])), "")</f>
        <v>#VALUE!</v>
      </c>
      <c r="T19" s="89" t="e" vm="39">
        <f xml:space="preserve"> IFERROR( _xlfn.IMAGE(_xlfn.XLOOKUP(K19,按鍵位置表[方音符號], 按鍵位置表[Pict URL])), "")</f>
        <v>#VALUE!</v>
      </c>
      <c r="U19" s="89" t="e" vm="10">
        <f xml:space="preserve"> IFERROR( _xlfn.IMAGE(_xlfn.XLOOKUP(L19,按鍵位置表[方音符號], 按鍵位置表[Pict URL])), "")</f>
        <v>#VALUE!</v>
      </c>
      <c r="V19" s="89" t="str">
        <f xml:space="preserve"> IFERROR( _xlfn.IMAGE(_xlfn.XLOOKUP(M19,按鍵位置表[方音符號], 按鍵位置表[Pict URL])), "")</f>
        <v/>
      </c>
      <c r="W19" s="89" t="str">
        <f xml:space="preserve"> IFERROR( _xlfn.IMAGE(_xlfn.XLOOKUP(N19,按鍵位置表[方音符號], 按鍵位置表[Pict URL])), "")</f>
        <v/>
      </c>
      <c r="X19" s="89" t="str">
        <f xml:space="preserve"> IFERROR( _xlfn.IMAGE(_xlfn.XLOOKUP(O19,按鍵位置表[方音符號], 按鍵位置表[Pict URL])), "")</f>
        <v/>
      </c>
      <c r="Y19" s="89" t="str">
        <f xml:space="preserve"> IFERROR( _xlfn.IMAGE(_xlfn.XLOOKUP(P19,按鍵位置表[方音符號], 按鍵位置表[Pict URL])), "")</f>
        <v/>
      </c>
    </row>
    <row r="20" spans="2:25" ht="45.75">
      <c r="B20" s="87" t="s">
        <v>143</v>
      </c>
      <c r="C20" s="90" t="s">
        <v>406</v>
      </c>
      <c r="D20" s="88" t="s">
        <v>223</v>
      </c>
      <c r="E20" s="93" t="str">
        <f t="shared" si="2"/>
        <v>ㄍㄢ</v>
      </c>
      <c r="F20" s="93" t="str">
        <f t="shared" si="3"/>
        <v>ㄍㄢ1</v>
      </c>
      <c r="G20" s="94">
        <f t="shared" si="4"/>
        <v>3</v>
      </c>
      <c r="H20" s="94">
        <f t="shared" si="0"/>
        <v>10</v>
      </c>
      <c r="I20" s="89" t="str">
        <f t="shared" si="6"/>
        <v>ㄢ</v>
      </c>
      <c r="J20" s="89" t="str">
        <f t="shared" si="6"/>
        <v>"</v>
      </c>
      <c r="K20" s="89" t="str">
        <f t="shared" si="6"/>
        <v>ㄍ</v>
      </c>
      <c r="L20" s="89" t="str">
        <f t="shared" si="6"/>
        <v/>
      </c>
      <c r="M20" s="89" t="str">
        <f t="shared" si="6"/>
        <v/>
      </c>
      <c r="N20" s="89" t="str">
        <f t="shared" si="6"/>
        <v/>
      </c>
      <c r="O20" s="89" t="str">
        <f t="shared" si="6"/>
        <v/>
      </c>
      <c r="P20" s="89" t="str">
        <f t="shared" si="6"/>
        <v/>
      </c>
      <c r="R20" s="89" t="e" vm="25">
        <f xml:space="preserve"> IFERROR( _xlfn.IMAGE(_xlfn.XLOOKUP(I20,按鍵位置表[方音符號], 按鍵位置表[Pict URL])), "")</f>
        <v>#VALUE!</v>
      </c>
      <c r="S20" s="89" t="e" vm="35">
        <f xml:space="preserve"> IFERROR( _xlfn.IMAGE(_xlfn.XLOOKUP(J20,按鍵位置表[方音符號], 按鍵位置表[Pict URL])), "")</f>
        <v>#VALUE!</v>
      </c>
      <c r="T20" s="89" t="e" vm="8">
        <f xml:space="preserve"> IFERROR( _xlfn.IMAGE(_xlfn.XLOOKUP(K20,按鍵位置表[方音符號], 按鍵位置表[Pict URL])), "")</f>
        <v>#VALUE!</v>
      </c>
      <c r="U20" s="89" t="str">
        <f xml:space="preserve"> IFERROR( _xlfn.IMAGE(_xlfn.XLOOKUP(L20,按鍵位置表[方音符號], 按鍵位置表[Pict URL])), "")</f>
        <v/>
      </c>
      <c r="V20" s="89" t="str">
        <f xml:space="preserve"> IFERROR( _xlfn.IMAGE(_xlfn.XLOOKUP(M20,按鍵位置表[方音符號], 按鍵位置表[Pict URL])), "")</f>
        <v/>
      </c>
      <c r="W20" s="89" t="str">
        <f xml:space="preserve"> IFERROR( _xlfn.IMAGE(_xlfn.XLOOKUP(N20,按鍵位置表[方音符號], 按鍵位置表[Pict URL])), "")</f>
        <v/>
      </c>
      <c r="X20" s="89" t="str">
        <f xml:space="preserve"> IFERROR( _xlfn.IMAGE(_xlfn.XLOOKUP(O20,按鍵位置表[方音符號], 按鍵位置表[Pict URL])), "")</f>
        <v/>
      </c>
      <c r="Y20" s="89" t="str">
        <f xml:space="preserve"> IFERROR( _xlfn.IMAGE(_xlfn.XLOOKUP(P20,按鍵位置表[方音符號], 按鍵位置表[Pict URL])), "")</f>
        <v/>
      </c>
    </row>
    <row r="21" spans="2:25" ht="45.75">
      <c r="B21" s="87" t="s">
        <v>144</v>
      </c>
      <c r="C21" s="90"/>
      <c r="D21" s="88"/>
      <c r="E21" s="93" t="str">
        <f t="shared" si="2"/>
        <v/>
      </c>
      <c r="F21" s="93" t="str">
        <f t="shared" si="3"/>
        <v/>
      </c>
      <c r="G21" s="94" t="str">
        <f t="shared" si="4"/>
        <v/>
      </c>
      <c r="H21" s="94" t="str">
        <f t="shared" si="0"/>
        <v/>
      </c>
      <c r="I21" s="89" t="str">
        <f t="shared" si="6"/>
        <v/>
      </c>
      <c r="J21" s="89" t="str">
        <f t="shared" si="6"/>
        <v/>
      </c>
      <c r="K21" s="89" t="str">
        <f t="shared" si="6"/>
        <v/>
      </c>
      <c r="L21" s="89" t="str">
        <f t="shared" si="6"/>
        <v/>
      </c>
      <c r="M21" s="89" t="str">
        <f t="shared" si="6"/>
        <v/>
      </c>
      <c r="N21" s="89" t="str">
        <f t="shared" si="6"/>
        <v/>
      </c>
      <c r="O21" s="89" t="str">
        <f t="shared" si="6"/>
        <v/>
      </c>
      <c r="P21" s="89" t="str">
        <f t="shared" si="6"/>
        <v/>
      </c>
      <c r="R21" s="89" t="str">
        <f xml:space="preserve"> IFERROR( _xlfn.IMAGE(_xlfn.XLOOKUP(I21,按鍵位置表[方音符號], 按鍵位置表[Pict URL])), "")</f>
        <v/>
      </c>
      <c r="S21" s="89" t="str">
        <f xml:space="preserve"> IFERROR( _xlfn.IMAGE(_xlfn.XLOOKUP(J21,按鍵位置表[方音符號], 按鍵位置表[Pict URL])), "")</f>
        <v/>
      </c>
      <c r="T21" s="89" t="str">
        <f xml:space="preserve"> IFERROR( _xlfn.IMAGE(_xlfn.XLOOKUP(K21,按鍵位置表[方音符號], 按鍵位置表[Pict URL])), "")</f>
        <v/>
      </c>
      <c r="U21" s="89" t="str">
        <f xml:space="preserve"> IFERROR( _xlfn.IMAGE(_xlfn.XLOOKUP(L21,按鍵位置表[方音符號], 按鍵位置表[Pict URL])), "")</f>
        <v/>
      </c>
      <c r="V21" s="89" t="str">
        <f xml:space="preserve"> IFERROR( _xlfn.IMAGE(_xlfn.XLOOKUP(M21,按鍵位置表[方音符號], 按鍵位置表[Pict URL])), "")</f>
        <v/>
      </c>
      <c r="W21" s="89" t="str">
        <f xml:space="preserve"> IFERROR( _xlfn.IMAGE(_xlfn.XLOOKUP(N21,按鍵位置表[方音符號], 按鍵位置表[Pict URL])), "")</f>
        <v/>
      </c>
      <c r="X21" s="89" t="str">
        <f xml:space="preserve"> IFERROR( _xlfn.IMAGE(_xlfn.XLOOKUP(O21,按鍵位置表[方音符號], 按鍵位置表[Pict URL])), "")</f>
        <v/>
      </c>
      <c r="Y21" s="89" t="str">
        <f xml:space="preserve"> IFERROR( _xlfn.IMAGE(_xlfn.XLOOKUP(P21,按鍵位置表[方音符號], 按鍵位置表[Pict URL])), "")</f>
        <v/>
      </c>
    </row>
    <row r="22" spans="2:25" ht="45.75">
      <c r="B22" s="87" t="s">
        <v>152</v>
      </c>
      <c r="C22" s="90" t="s">
        <v>407</v>
      </c>
      <c r="D22" s="88" t="s">
        <v>225</v>
      </c>
      <c r="E22" s="93" t="str">
        <f t="shared" si="2"/>
        <v>零ㄧㆵ</v>
      </c>
      <c r="F22" s="93" t="str">
        <f t="shared" si="3"/>
        <v>ㄧㆵ4</v>
      </c>
      <c r="G22" s="94">
        <f t="shared" si="4"/>
        <v>3</v>
      </c>
      <c r="H22" s="94" t="e">
        <f t="shared" si="0"/>
        <v>#VALUE!</v>
      </c>
      <c r="I22" s="89" t="e">
        <f t="shared" si="6"/>
        <v>#VALUE!</v>
      </c>
      <c r="J22" s="89" t="e">
        <f t="shared" si="6"/>
        <v>#VALUE!</v>
      </c>
      <c r="K22" s="89" t="e">
        <f t="shared" si="6"/>
        <v>#VALUE!</v>
      </c>
      <c r="L22" s="89" t="e">
        <f t="shared" si="6"/>
        <v>#VALUE!</v>
      </c>
      <c r="M22" s="89" t="e">
        <f t="shared" si="6"/>
        <v>#VALUE!</v>
      </c>
      <c r="N22" s="89" t="e">
        <f t="shared" si="6"/>
        <v>#VALUE!</v>
      </c>
      <c r="O22" s="89" t="e">
        <f t="shared" si="6"/>
        <v>#VALUE!</v>
      </c>
      <c r="P22" s="89" t="e">
        <f t="shared" si="6"/>
        <v>#VALUE!</v>
      </c>
      <c r="R22" s="89" t="str">
        <f xml:space="preserve"> IFERROR( _xlfn.IMAGE(_xlfn.XLOOKUP(I22,按鍵位置表[方音符號], 按鍵位置表[Pict URL])), "")</f>
        <v/>
      </c>
      <c r="S22" s="89" t="str">
        <f xml:space="preserve"> IFERROR( _xlfn.IMAGE(_xlfn.XLOOKUP(J22,按鍵位置表[方音符號], 按鍵位置表[Pict URL])), "")</f>
        <v/>
      </c>
      <c r="T22" s="89" t="str">
        <f xml:space="preserve"> IFERROR( _xlfn.IMAGE(_xlfn.XLOOKUP(K22,按鍵位置表[方音符號], 按鍵位置表[Pict URL])), "")</f>
        <v/>
      </c>
      <c r="U22" s="89" t="str">
        <f xml:space="preserve"> IFERROR( _xlfn.IMAGE(_xlfn.XLOOKUP(L22,按鍵位置表[方音符號], 按鍵位置表[Pict URL])), "")</f>
        <v/>
      </c>
      <c r="V22" s="89" t="str">
        <f xml:space="preserve"> IFERROR( _xlfn.IMAGE(_xlfn.XLOOKUP(M22,按鍵位置表[方音符號], 按鍵位置表[Pict URL])), "")</f>
        <v/>
      </c>
      <c r="W22" s="89" t="str">
        <f xml:space="preserve"> IFERROR( _xlfn.IMAGE(_xlfn.XLOOKUP(N22,按鍵位置表[方音符號], 按鍵位置表[Pict URL])), "")</f>
        <v/>
      </c>
      <c r="X22" s="89" t="str">
        <f xml:space="preserve"> IFERROR( _xlfn.IMAGE(_xlfn.XLOOKUP(O22,按鍵位置表[方音符號], 按鍵位置表[Pict URL])), "")</f>
        <v/>
      </c>
      <c r="Y22" s="89" t="str">
        <f xml:space="preserve"> IFERROR( _xlfn.IMAGE(_xlfn.XLOOKUP(P22,按鍵位置表[方音符號], 按鍵位置表[Pict URL])), "")</f>
        <v/>
      </c>
    </row>
    <row r="23" spans="2:25" ht="45.75">
      <c r="B23" s="87" t="s">
        <v>153</v>
      </c>
      <c r="C23" s="90" t="s">
        <v>408</v>
      </c>
      <c r="D23" s="88" t="s">
        <v>227</v>
      </c>
      <c r="E23" s="93" t="str">
        <f t="shared" si="2"/>
        <v>ㄆㄧㄢ˪</v>
      </c>
      <c r="F23" s="93" t="str">
        <f t="shared" si="3"/>
        <v>ㄆㄧㄢ˪</v>
      </c>
      <c r="G23" s="94">
        <f t="shared" si="4"/>
        <v>4</v>
      </c>
      <c r="H23" s="94">
        <f t="shared" si="0"/>
        <v>3</v>
      </c>
      <c r="I23" s="89" t="str">
        <f t="shared" si="6"/>
        <v>ㄧ</v>
      </c>
      <c r="J23" s="89" t="str">
        <f t="shared" si="6"/>
        <v>ㄢ</v>
      </c>
      <c r="K23" s="89" t="str">
        <f t="shared" si="6"/>
        <v>˪</v>
      </c>
      <c r="L23" s="89" t="str">
        <f t="shared" si="6"/>
        <v>ㄆ</v>
      </c>
      <c r="M23" s="89" t="str">
        <f t="shared" si="6"/>
        <v/>
      </c>
      <c r="N23" s="89" t="str">
        <f t="shared" si="6"/>
        <v/>
      </c>
      <c r="O23" s="89" t="str">
        <f t="shared" si="6"/>
        <v/>
      </c>
      <c r="P23" s="89" t="str">
        <f t="shared" si="6"/>
        <v/>
      </c>
      <c r="R23" s="89" t="e" vm="18">
        <f xml:space="preserve"> IFERROR( _xlfn.IMAGE(_xlfn.XLOOKUP(I23,按鍵位置表[方音符號], 按鍵位置表[Pict URL])), "")</f>
        <v>#VALUE!</v>
      </c>
      <c r="S23" s="89" t="e" vm="25">
        <f xml:space="preserve"> IFERROR( _xlfn.IMAGE(_xlfn.XLOOKUP(J23,按鍵位置表[方音符號], 按鍵位置表[Pict URL])), "")</f>
        <v>#VALUE!</v>
      </c>
      <c r="T23" s="89" t="e" vm="37">
        <f xml:space="preserve"> IFERROR( _xlfn.IMAGE(_xlfn.XLOOKUP(K23,按鍵位置表[方音符號], 按鍵位置表[Pict URL])), "")</f>
        <v>#VALUE!</v>
      </c>
      <c r="U23" s="89" t="e" vm="2">
        <f xml:space="preserve"> IFERROR( _xlfn.IMAGE(_xlfn.XLOOKUP(L23,按鍵位置表[方音符號], 按鍵位置表[Pict URL])), "")</f>
        <v>#VALUE!</v>
      </c>
      <c r="V23" s="89" t="str">
        <f xml:space="preserve"> IFERROR( _xlfn.IMAGE(_xlfn.XLOOKUP(M23,按鍵位置表[方音符號], 按鍵位置表[Pict URL])), "")</f>
        <v/>
      </c>
      <c r="W23" s="89" t="str">
        <f xml:space="preserve"> IFERROR( _xlfn.IMAGE(_xlfn.XLOOKUP(N23,按鍵位置表[方音符號], 按鍵位置表[Pict URL])), "")</f>
        <v/>
      </c>
      <c r="X23" s="89" t="str">
        <f xml:space="preserve"> IFERROR( _xlfn.IMAGE(_xlfn.XLOOKUP(O23,按鍵位置表[方音符號], 按鍵位置表[Pict URL])), "")</f>
        <v/>
      </c>
      <c r="Y23" s="89" t="str">
        <f xml:space="preserve"> IFERROR( _xlfn.IMAGE(_xlfn.XLOOKUP(P23,按鍵位置表[方音符號], 按鍵位置表[Pict URL])), "")</f>
        <v/>
      </c>
    </row>
    <row r="24" spans="2:25" ht="45.75">
      <c r="B24" s="87" t="s">
        <v>154</v>
      </c>
      <c r="C24" s="90" t="s">
        <v>409</v>
      </c>
      <c r="D24" s="88" t="s">
        <v>229</v>
      </c>
      <c r="E24" s="93" t="str">
        <f t="shared" si="2"/>
        <v>ㄍㆦ</v>
      </c>
      <c r="F24" s="93" t="str">
        <f t="shared" si="3"/>
        <v>ㄍㆦ1</v>
      </c>
      <c r="G24" s="94">
        <f t="shared" si="4"/>
        <v>3</v>
      </c>
      <c r="H24" s="94">
        <f t="shared" si="0"/>
        <v>10</v>
      </c>
      <c r="I24" s="89" t="str">
        <f t="shared" si="6"/>
        <v>ㆦ</v>
      </c>
      <c r="J24" s="89" t="str">
        <f t="shared" si="6"/>
        <v>"</v>
      </c>
      <c r="K24" s="89" t="str">
        <f t="shared" si="6"/>
        <v>ㄍ</v>
      </c>
      <c r="L24" s="89" t="str">
        <f t="shared" si="6"/>
        <v/>
      </c>
      <c r="M24" s="89" t="str">
        <f t="shared" si="6"/>
        <v/>
      </c>
      <c r="N24" s="89" t="str">
        <f t="shared" si="6"/>
        <v/>
      </c>
      <c r="O24" s="89" t="str">
        <f t="shared" si="6"/>
        <v/>
      </c>
      <c r="P24" s="89" t="str">
        <f t="shared" si="6"/>
        <v/>
      </c>
      <c r="R24" s="89" t="e" vm="21">
        <f xml:space="preserve"> IFERROR( _xlfn.IMAGE(_xlfn.XLOOKUP(I24,按鍵位置表[方音符號], 按鍵位置表[Pict URL])), "")</f>
        <v>#VALUE!</v>
      </c>
      <c r="S24" s="89" t="e" vm="35">
        <f xml:space="preserve"> IFERROR( _xlfn.IMAGE(_xlfn.XLOOKUP(J24,按鍵位置表[方音符號], 按鍵位置表[Pict URL])), "")</f>
        <v>#VALUE!</v>
      </c>
      <c r="T24" s="89" t="e" vm="8">
        <f xml:space="preserve"> IFERROR( _xlfn.IMAGE(_xlfn.XLOOKUP(K24,按鍵位置表[方音符號], 按鍵位置表[Pict URL])), "")</f>
        <v>#VALUE!</v>
      </c>
      <c r="U24" s="89" t="str">
        <f xml:space="preserve"> IFERROR( _xlfn.IMAGE(_xlfn.XLOOKUP(L24,按鍵位置表[方音符號], 按鍵位置表[Pict URL])), "")</f>
        <v/>
      </c>
      <c r="V24" s="89" t="str">
        <f xml:space="preserve"> IFERROR( _xlfn.IMAGE(_xlfn.XLOOKUP(M24,按鍵位置表[方音符號], 按鍵位置表[Pict URL])), "")</f>
        <v/>
      </c>
      <c r="W24" s="89" t="str">
        <f xml:space="preserve"> IFERROR( _xlfn.IMAGE(_xlfn.XLOOKUP(N24,按鍵位置表[方音符號], 按鍵位置表[Pict URL])), "")</f>
        <v/>
      </c>
      <c r="X24" s="89" t="str">
        <f xml:space="preserve"> IFERROR( _xlfn.IMAGE(_xlfn.XLOOKUP(O24,按鍵位置表[方音符號], 按鍵位置表[Pict URL])), "")</f>
        <v/>
      </c>
      <c r="Y24" s="89" t="str">
        <f xml:space="preserve"> IFERROR( _xlfn.IMAGE(_xlfn.XLOOKUP(P24,按鍵位置表[方音符號], 按鍵位置表[Pict URL])), "")</f>
        <v/>
      </c>
    </row>
    <row r="25" spans="2:25" ht="45.75">
      <c r="B25" s="87" t="s">
        <v>155</v>
      </c>
      <c r="C25" s="90" t="s">
        <v>410</v>
      </c>
      <c r="D25" s="88" t="s">
        <v>231</v>
      </c>
      <c r="E25" s="93" t="str">
        <f t="shared" si="2"/>
        <v>ㄒㄧㄥˊ</v>
      </c>
      <c r="F25" s="93" t="str">
        <f t="shared" si="3"/>
        <v>ㄒㄧㄥˊ</v>
      </c>
      <c r="G25" s="94">
        <f t="shared" si="4"/>
        <v>4</v>
      </c>
      <c r="H25" s="94">
        <f t="shared" si="0"/>
        <v>21</v>
      </c>
      <c r="I25" s="89" t="str">
        <f t="shared" si="6"/>
        <v>ㄧ</v>
      </c>
      <c r="J25" s="89" t="str">
        <f t="shared" si="6"/>
        <v>ㄥ</v>
      </c>
      <c r="K25" s="89" t="str">
        <f t="shared" si="6"/>
        <v>ˊ</v>
      </c>
      <c r="L25" s="89" t="str">
        <f t="shared" si="6"/>
        <v>ㄒ</v>
      </c>
      <c r="M25" s="89" t="str">
        <f t="shared" si="6"/>
        <v/>
      </c>
      <c r="N25" s="89" t="str">
        <f t="shared" si="6"/>
        <v/>
      </c>
      <c r="O25" s="89" t="str">
        <f t="shared" si="6"/>
        <v/>
      </c>
      <c r="P25" s="89" t="str">
        <f t="shared" si="6"/>
        <v/>
      </c>
      <c r="R25" s="89" t="e" vm="18">
        <f xml:space="preserve"> IFERROR( _xlfn.IMAGE(_xlfn.XLOOKUP(I25,按鍵位置表[方音符號], 按鍵位置表[Pict URL])), "")</f>
        <v>#VALUE!</v>
      </c>
      <c r="S25" s="89" t="e" vm="44">
        <f xml:space="preserve"> IFERROR( _xlfn.IMAGE(_xlfn.XLOOKUP(J25,按鍵位置表[方音符號], 按鍵位置表[Pict URL])), "")</f>
        <v>#VALUE!</v>
      </c>
      <c r="T25" s="89" t="e" vm="39">
        <f xml:space="preserve"> IFERROR( _xlfn.IMAGE(_xlfn.XLOOKUP(K25,按鍵位置表[方音符號], 按鍵位置表[Pict URL])), "")</f>
        <v>#VALUE!</v>
      </c>
      <c r="U25" s="89" t="e" vm="13">
        <f xml:space="preserve"> IFERROR( _xlfn.IMAGE(_xlfn.XLOOKUP(L25,按鍵位置表[方音符號], 按鍵位置表[Pict URL])), "")</f>
        <v>#VALUE!</v>
      </c>
      <c r="V25" s="89" t="str">
        <f xml:space="preserve"> IFERROR( _xlfn.IMAGE(_xlfn.XLOOKUP(M25,按鍵位置表[方音符號], 按鍵位置表[Pict URL])), "")</f>
        <v/>
      </c>
      <c r="W25" s="89" t="str">
        <f xml:space="preserve"> IFERROR( _xlfn.IMAGE(_xlfn.XLOOKUP(N25,按鍵位置表[方音符號], 按鍵位置表[Pict URL])), "")</f>
        <v/>
      </c>
      <c r="X25" s="89" t="str">
        <f xml:space="preserve"> IFERROR( _xlfn.IMAGE(_xlfn.XLOOKUP(O25,按鍵位置表[方音符號], 按鍵位置表[Pict URL])), "")</f>
        <v/>
      </c>
      <c r="Y25" s="89" t="str">
        <f xml:space="preserve"> IFERROR( _xlfn.IMAGE(_xlfn.XLOOKUP(P25,按鍵位置表[方音符號], 按鍵位置表[Pict URL])), "")</f>
        <v/>
      </c>
    </row>
    <row r="26" spans="2:25" ht="45.75">
      <c r="B26" s="87" t="s">
        <v>156</v>
      </c>
      <c r="C26" s="90" t="s">
        <v>411</v>
      </c>
      <c r="D26" s="88" t="s">
        <v>233</v>
      </c>
      <c r="E26" s="93" t="str">
        <f t="shared" si="2"/>
        <v>ㆠㄢ˫</v>
      </c>
      <c r="F26" s="93" t="str">
        <f t="shared" si="3"/>
        <v>ㆠㄢ˫</v>
      </c>
      <c r="G26" s="94">
        <f t="shared" si="4"/>
        <v>3</v>
      </c>
      <c r="H26" s="94">
        <f t="shared" si="0"/>
        <v>5</v>
      </c>
      <c r="I26" s="89" t="str">
        <f t="shared" ref="I26:P35" si="7" xml:space="preserve"> IF(AND($H26&gt;0, I$4&lt;$G26), IF(MID($F26,I$4+1,1)="1", """", IF(MID($F26,I$4+1,1)="4", "[", MID($F26,I$4+1,1))), IF(I$4&lt;=$G26, IF(LEFT($F26,1)="零", "=", LEFT($F26,1)), ""))</f>
        <v>ㄢ</v>
      </c>
      <c r="J26" s="89" t="str">
        <f t="shared" si="7"/>
        <v>˫</v>
      </c>
      <c r="K26" s="89" t="str">
        <f t="shared" si="7"/>
        <v>ㆠ</v>
      </c>
      <c r="L26" s="89" t="str">
        <f t="shared" si="7"/>
        <v/>
      </c>
      <c r="M26" s="89" t="str">
        <f t="shared" si="7"/>
        <v/>
      </c>
      <c r="N26" s="89" t="str">
        <f t="shared" si="7"/>
        <v/>
      </c>
      <c r="O26" s="89" t="str">
        <f t="shared" si="7"/>
        <v/>
      </c>
      <c r="P26" s="89" t="str">
        <f t="shared" si="7"/>
        <v/>
      </c>
      <c r="R26" s="89" t="e" vm="25">
        <f xml:space="preserve"> IFERROR( _xlfn.IMAGE(_xlfn.XLOOKUP(I26,按鍵位置表[方音符號], 按鍵位置表[Pict URL])), "")</f>
        <v>#VALUE!</v>
      </c>
      <c r="S26" s="89" t="e" vm="36">
        <f xml:space="preserve"> IFERROR( _xlfn.IMAGE(_xlfn.XLOOKUP(J26,按鍵位置表[方音符號], 按鍵位置表[Pict URL])), "")</f>
        <v>#VALUE!</v>
      </c>
      <c r="T26" s="89" t="e" vm="1">
        <f xml:space="preserve"> IFERROR( _xlfn.IMAGE(_xlfn.XLOOKUP(K26,按鍵位置表[方音符號], 按鍵位置表[Pict URL])), "")</f>
        <v>#VALUE!</v>
      </c>
      <c r="U26" s="89" t="str">
        <f xml:space="preserve"> IFERROR( _xlfn.IMAGE(_xlfn.XLOOKUP(L26,按鍵位置表[方音符號], 按鍵位置表[Pict URL])), "")</f>
        <v/>
      </c>
      <c r="V26" s="89" t="str">
        <f xml:space="preserve"> IFERROR( _xlfn.IMAGE(_xlfn.XLOOKUP(M26,按鍵位置表[方音符號], 按鍵位置表[Pict URL])), "")</f>
        <v/>
      </c>
      <c r="W26" s="89" t="str">
        <f xml:space="preserve"> IFERROR( _xlfn.IMAGE(_xlfn.XLOOKUP(N26,按鍵位置表[方音符號], 按鍵位置表[Pict URL])), "")</f>
        <v/>
      </c>
      <c r="X26" s="89" t="str">
        <f xml:space="preserve"> IFERROR( _xlfn.IMAGE(_xlfn.XLOOKUP(O26,按鍵位置表[方音符號], 按鍵位置表[Pict URL])), "")</f>
        <v/>
      </c>
      <c r="Y26" s="89" t="str">
        <f xml:space="preserve"> IFERROR( _xlfn.IMAGE(_xlfn.XLOOKUP(P26,按鍵位置表[方音符號], 按鍵位置表[Pict URL])), "")</f>
        <v/>
      </c>
    </row>
    <row r="27" spans="2:25" ht="45.75">
      <c r="B27" s="87" t="s">
        <v>157</v>
      </c>
      <c r="C27" s="90" t="s">
        <v>412</v>
      </c>
      <c r="D27" s="88" t="s">
        <v>235</v>
      </c>
      <c r="E27" s="93" t="str">
        <f t="shared" si="2"/>
        <v>ㆢㄧㄣ˫</v>
      </c>
      <c r="F27" s="93" t="str">
        <f t="shared" si="3"/>
        <v>ㆢㄧㄣ˫</v>
      </c>
      <c r="G27" s="94">
        <f t="shared" si="4"/>
        <v>4</v>
      </c>
      <c r="H27" s="94">
        <f t="shared" si="0"/>
        <v>20</v>
      </c>
      <c r="I27" s="89" t="str">
        <f t="shared" si="7"/>
        <v>ㄧ</v>
      </c>
      <c r="J27" s="89" t="str">
        <f t="shared" si="7"/>
        <v>ㄣ</v>
      </c>
      <c r="K27" s="89" t="str">
        <f t="shared" si="7"/>
        <v>˫</v>
      </c>
      <c r="L27" s="89" t="str">
        <f t="shared" si="7"/>
        <v>ㆢ</v>
      </c>
      <c r="M27" s="89" t="str">
        <f t="shared" si="7"/>
        <v/>
      </c>
      <c r="N27" s="89" t="str">
        <f t="shared" si="7"/>
        <v/>
      </c>
      <c r="O27" s="89" t="str">
        <f t="shared" si="7"/>
        <v/>
      </c>
      <c r="P27" s="89" t="str">
        <f t="shared" si="7"/>
        <v/>
      </c>
      <c r="R27" s="89" t="e" vm="18">
        <f xml:space="preserve"> IFERROR( _xlfn.IMAGE(_xlfn.XLOOKUP(I27,按鍵位置表[方音符號], 按鍵位置表[Pict URL])), "")</f>
        <v>#VALUE!</v>
      </c>
      <c r="S27" s="89" t="e" vm="26">
        <f xml:space="preserve"> IFERROR( _xlfn.IMAGE(_xlfn.XLOOKUP(J27,按鍵位置表[方音符號], 按鍵位置表[Pict URL])), "")</f>
        <v>#VALUE!</v>
      </c>
      <c r="T27" s="89" t="e" vm="36">
        <f xml:space="preserve"> IFERROR( _xlfn.IMAGE(_xlfn.XLOOKUP(K27,按鍵位置表[方音符號], 按鍵位置表[Pict URL])), "")</f>
        <v>#VALUE!</v>
      </c>
      <c r="U27" s="89" t="e" vm="11">
        <f xml:space="preserve"> IFERROR( _xlfn.IMAGE(_xlfn.XLOOKUP(L27,按鍵位置表[方音符號], 按鍵位置表[Pict URL])), "")</f>
        <v>#VALUE!</v>
      </c>
      <c r="V27" s="89" t="str">
        <f xml:space="preserve"> IFERROR( _xlfn.IMAGE(_xlfn.XLOOKUP(M27,按鍵位置表[方音符號], 按鍵位置表[Pict URL])), "")</f>
        <v/>
      </c>
      <c r="W27" s="89" t="str">
        <f xml:space="preserve"> IFERROR( _xlfn.IMAGE(_xlfn.XLOOKUP(N27,按鍵位置表[方音符號], 按鍵位置表[Pict URL])), "")</f>
        <v/>
      </c>
      <c r="X27" s="89" t="str">
        <f xml:space="preserve"> IFERROR( _xlfn.IMAGE(_xlfn.XLOOKUP(O27,按鍵位置表[方音符號], 按鍵位置表[Pict URL])), "")</f>
        <v/>
      </c>
      <c r="Y27" s="89" t="str">
        <f xml:space="preserve"> IFERROR( _xlfn.IMAGE(_xlfn.XLOOKUP(P27,按鍵位置表[方音符號], 按鍵位置表[Pict URL])), "")</f>
        <v/>
      </c>
    </row>
    <row r="28" spans="2:25" ht="45.75">
      <c r="B28" s="87" t="s">
        <v>158</v>
      </c>
      <c r="C28" s="90" t="s">
        <v>413</v>
      </c>
      <c r="D28" s="88" t="s">
        <v>237</v>
      </c>
      <c r="E28" s="93" t="str">
        <f t="shared" si="2"/>
        <v>ㄙㄢ</v>
      </c>
      <c r="F28" s="93" t="str">
        <f t="shared" si="3"/>
        <v>ㄙㄢ1</v>
      </c>
      <c r="G28" s="94">
        <f t="shared" si="4"/>
        <v>3</v>
      </c>
      <c r="H28" s="94">
        <f t="shared" si="0"/>
        <v>17</v>
      </c>
      <c r="I28" s="89" t="str">
        <f t="shared" si="7"/>
        <v>ㄢ</v>
      </c>
      <c r="J28" s="89" t="str">
        <f t="shared" si="7"/>
        <v>"</v>
      </c>
      <c r="K28" s="89" t="str">
        <f t="shared" si="7"/>
        <v>ㄙ</v>
      </c>
      <c r="L28" s="89" t="str">
        <f t="shared" si="7"/>
        <v/>
      </c>
      <c r="M28" s="89" t="str">
        <f t="shared" si="7"/>
        <v/>
      </c>
      <c r="N28" s="89" t="str">
        <f t="shared" si="7"/>
        <v/>
      </c>
      <c r="O28" s="89" t="str">
        <f t="shared" si="7"/>
        <v/>
      </c>
      <c r="P28" s="89" t="str">
        <f t="shared" si="7"/>
        <v/>
      </c>
      <c r="R28" s="89" t="e" vm="25">
        <f xml:space="preserve"> IFERROR( _xlfn.IMAGE(_xlfn.XLOOKUP(I28,按鍵位置表[方音符號], 按鍵位置表[Pict URL])), "")</f>
        <v>#VALUE!</v>
      </c>
      <c r="S28" s="89" t="e" vm="35">
        <f xml:space="preserve"> IFERROR( _xlfn.IMAGE(_xlfn.XLOOKUP(J28,按鍵位置表[方音符號], 按鍵位置表[Pict URL])), "")</f>
        <v>#VALUE!</v>
      </c>
      <c r="T28" s="89" t="e" vm="16">
        <f xml:space="preserve"> IFERROR( _xlfn.IMAGE(_xlfn.XLOOKUP(K28,按鍵位置表[方音符號], 按鍵位置表[Pict URL])), "")</f>
        <v>#VALUE!</v>
      </c>
      <c r="U28" s="89" t="str">
        <f xml:space="preserve"> IFERROR( _xlfn.IMAGE(_xlfn.XLOOKUP(L28,按鍵位置表[方音符號], 按鍵位置表[Pict URL])), "")</f>
        <v/>
      </c>
      <c r="V28" s="89" t="str">
        <f xml:space="preserve"> IFERROR( _xlfn.IMAGE(_xlfn.XLOOKUP(M28,按鍵位置表[方音符號], 按鍵位置表[Pict URL])), "")</f>
        <v/>
      </c>
      <c r="W28" s="89" t="str">
        <f xml:space="preserve"> IFERROR( _xlfn.IMAGE(_xlfn.XLOOKUP(N28,按鍵位置表[方音符號], 按鍵位置表[Pict URL])), "")</f>
        <v/>
      </c>
      <c r="X28" s="89" t="str">
        <f xml:space="preserve"> IFERROR( _xlfn.IMAGE(_xlfn.XLOOKUP(O28,按鍵位置表[方音符號], 按鍵位置表[Pict URL])), "")</f>
        <v/>
      </c>
      <c r="Y28" s="89" t="str">
        <f xml:space="preserve"> IFERROR( _xlfn.IMAGE(_xlfn.XLOOKUP(P28,按鍵位置表[方音符號], 按鍵位置表[Pict URL])), "")</f>
        <v/>
      </c>
    </row>
    <row r="29" spans="2:25" ht="45.75">
      <c r="B29" s="87" t="s">
        <v>159</v>
      </c>
      <c r="C29" s="90"/>
      <c r="D29" s="88"/>
      <c r="E29" s="93" t="str">
        <f t="shared" si="2"/>
        <v/>
      </c>
      <c r="F29" s="93" t="str">
        <f t="shared" si="3"/>
        <v/>
      </c>
      <c r="G29" s="94" t="str">
        <f t="shared" si="4"/>
        <v/>
      </c>
      <c r="H29" s="94" t="str">
        <f t="shared" si="0"/>
        <v/>
      </c>
      <c r="I29" s="89" t="str">
        <f t="shared" si="7"/>
        <v/>
      </c>
      <c r="J29" s="89" t="str">
        <f t="shared" si="7"/>
        <v/>
      </c>
      <c r="K29" s="89" t="str">
        <f t="shared" si="7"/>
        <v/>
      </c>
      <c r="L29" s="89" t="str">
        <f t="shared" si="7"/>
        <v/>
      </c>
      <c r="M29" s="89" t="str">
        <f t="shared" si="7"/>
        <v/>
      </c>
      <c r="N29" s="89" t="str">
        <f t="shared" si="7"/>
        <v/>
      </c>
      <c r="O29" s="89" t="str">
        <f t="shared" si="7"/>
        <v/>
      </c>
      <c r="P29" s="89" t="str">
        <f t="shared" si="7"/>
        <v/>
      </c>
      <c r="R29" s="89" t="str">
        <f xml:space="preserve"> IFERROR( _xlfn.IMAGE(_xlfn.XLOOKUP(I29,按鍵位置表[方音符號], 按鍵位置表[Pict URL])), "")</f>
        <v/>
      </c>
      <c r="S29" s="89" t="str">
        <f xml:space="preserve"> IFERROR( _xlfn.IMAGE(_xlfn.XLOOKUP(J29,按鍵位置表[方音符號], 按鍵位置表[Pict URL])), "")</f>
        <v/>
      </c>
      <c r="T29" s="89" t="str">
        <f xml:space="preserve"> IFERROR( _xlfn.IMAGE(_xlfn.XLOOKUP(K29,按鍵位置表[方音符號], 按鍵位置表[Pict URL])), "")</f>
        <v/>
      </c>
      <c r="U29" s="89" t="str">
        <f xml:space="preserve"> IFERROR( _xlfn.IMAGE(_xlfn.XLOOKUP(L29,按鍵位置表[方音符號], 按鍵位置表[Pict URL])), "")</f>
        <v/>
      </c>
      <c r="V29" s="89" t="str">
        <f xml:space="preserve"> IFERROR( _xlfn.IMAGE(_xlfn.XLOOKUP(M29,按鍵位置表[方音符號], 按鍵位置表[Pict URL])), "")</f>
        <v/>
      </c>
      <c r="W29" s="89" t="str">
        <f xml:space="preserve"> IFERROR( _xlfn.IMAGE(_xlfn.XLOOKUP(N29,按鍵位置表[方音符號], 按鍵位置表[Pict URL])), "")</f>
        <v/>
      </c>
      <c r="X29" s="89" t="str">
        <f xml:space="preserve"> IFERROR( _xlfn.IMAGE(_xlfn.XLOOKUP(O29,按鍵位置表[方音符號], 按鍵位置表[Pict URL])), "")</f>
        <v/>
      </c>
      <c r="Y29" s="89" t="str">
        <f xml:space="preserve"> IFERROR( _xlfn.IMAGE(_xlfn.XLOOKUP(P29,按鍵位置表[方音符號], 按鍵位置表[Pict URL])), "")</f>
        <v/>
      </c>
    </row>
    <row r="30" spans="2:25" ht="45.75">
      <c r="B30" s="87" t="s">
        <v>167</v>
      </c>
      <c r="C30" s="90" t="s">
        <v>414</v>
      </c>
      <c r="D30" s="88" t="s">
        <v>238</v>
      </c>
      <c r="E30" s="93" t="str">
        <f t="shared" si="2"/>
        <v>ㄎㄧㄤ</v>
      </c>
      <c r="F30" s="93" t="str">
        <f t="shared" si="3"/>
        <v>ㄎㄧㄤ1</v>
      </c>
      <c r="G30" s="94">
        <f t="shared" si="4"/>
        <v>4</v>
      </c>
      <c r="H30" s="94">
        <f t="shared" si="0"/>
        <v>11</v>
      </c>
      <c r="I30" s="89" t="str">
        <f t="shared" si="7"/>
        <v>ㄧ</v>
      </c>
      <c r="J30" s="89" t="str">
        <f t="shared" si="7"/>
        <v>ㄤ</v>
      </c>
      <c r="K30" s="89" t="str">
        <f t="shared" si="7"/>
        <v>"</v>
      </c>
      <c r="L30" s="89" t="str">
        <f t="shared" si="7"/>
        <v>ㄎ</v>
      </c>
      <c r="M30" s="89" t="str">
        <f t="shared" si="7"/>
        <v/>
      </c>
      <c r="N30" s="89" t="str">
        <f t="shared" si="7"/>
        <v/>
      </c>
      <c r="O30" s="89" t="str">
        <f t="shared" si="7"/>
        <v/>
      </c>
      <c r="P30" s="89" t="str">
        <f t="shared" si="7"/>
        <v/>
      </c>
      <c r="R30" s="89" t="e" vm="18">
        <f xml:space="preserve"> IFERROR( _xlfn.IMAGE(_xlfn.XLOOKUP(I30,按鍵位置表[方音符號], 按鍵位置表[Pict URL])), "")</f>
        <v>#VALUE!</v>
      </c>
      <c r="S30" s="89" t="e" vm="27">
        <f xml:space="preserve"> IFERROR( _xlfn.IMAGE(_xlfn.XLOOKUP(J30,按鍵位置表[方音符號], 按鍵位置表[Pict URL])), "")</f>
        <v>#VALUE!</v>
      </c>
      <c r="T30" s="89" t="e" vm="35">
        <f xml:space="preserve"> IFERROR( _xlfn.IMAGE(_xlfn.XLOOKUP(K30,按鍵位置表[方音符號], 按鍵位置表[Pict URL])), "")</f>
        <v>#VALUE!</v>
      </c>
      <c r="U30" s="89" t="e" vm="9">
        <f xml:space="preserve"> IFERROR( _xlfn.IMAGE(_xlfn.XLOOKUP(L30,按鍵位置表[方音符號], 按鍵位置表[Pict URL])), "")</f>
        <v>#VALUE!</v>
      </c>
      <c r="V30" s="89" t="str">
        <f xml:space="preserve"> IFERROR( _xlfn.IMAGE(_xlfn.XLOOKUP(M30,按鍵位置表[方音符號], 按鍵位置表[Pict URL])), "")</f>
        <v/>
      </c>
      <c r="W30" s="89" t="str">
        <f xml:space="preserve"> IFERROR( _xlfn.IMAGE(_xlfn.XLOOKUP(N30,按鍵位置表[方音符號], 按鍵位置表[Pict URL])), "")</f>
        <v/>
      </c>
      <c r="X30" s="89" t="str">
        <f xml:space="preserve"> IFERROR( _xlfn.IMAGE(_xlfn.XLOOKUP(O30,按鍵位置表[方音符號], 按鍵位置表[Pict URL])), "")</f>
        <v/>
      </c>
      <c r="Y30" s="89" t="str">
        <f xml:space="preserve"> IFERROR( _xlfn.IMAGE(_xlfn.XLOOKUP(P30,按鍵位置表[方音符號], 按鍵位置表[Pict URL])), "")</f>
        <v/>
      </c>
    </row>
    <row r="31" spans="2:25" ht="45.75">
      <c r="B31" s="87" t="s">
        <v>168</v>
      </c>
      <c r="C31" s="90" t="s">
        <v>415</v>
      </c>
      <c r="D31" s="88" t="s">
        <v>240</v>
      </c>
      <c r="E31" s="93" t="str">
        <f t="shared" si="2"/>
        <v>ㄉㄧㆻ˙</v>
      </c>
      <c r="F31" s="93" t="str">
        <f t="shared" si="3"/>
        <v>ㄉㄧㆻ˙</v>
      </c>
      <c r="G31" s="94">
        <f t="shared" si="4"/>
        <v>4</v>
      </c>
      <c r="H31" s="94">
        <f t="shared" si="0"/>
        <v>6</v>
      </c>
      <c r="I31" s="89" t="str">
        <f t="shared" si="7"/>
        <v>ㄧ</v>
      </c>
      <c r="J31" s="89" t="str">
        <f t="shared" si="7"/>
        <v>ㆻ</v>
      </c>
      <c r="K31" s="89" t="str">
        <f t="shared" si="7"/>
        <v>˙</v>
      </c>
      <c r="L31" s="89" t="str">
        <f t="shared" si="7"/>
        <v>ㄉ</v>
      </c>
      <c r="M31" s="89" t="str">
        <f t="shared" si="7"/>
        <v/>
      </c>
      <c r="N31" s="89" t="str">
        <f t="shared" si="7"/>
        <v/>
      </c>
      <c r="O31" s="89" t="str">
        <f t="shared" si="7"/>
        <v/>
      </c>
      <c r="P31" s="89" t="str">
        <f t="shared" si="7"/>
        <v/>
      </c>
      <c r="R31" s="89" t="e" vm="18">
        <f xml:space="preserve"> IFERROR( _xlfn.IMAGE(_xlfn.XLOOKUP(I31,按鍵位置表[方音符號], 按鍵位置表[Pict URL])), "")</f>
        <v>#VALUE!</v>
      </c>
      <c r="S31" s="89" t="e" vm="32">
        <f xml:space="preserve"> IFERROR( _xlfn.IMAGE(_xlfn.XLOOKUP(J31,按鍵位置表[方音符號], 按鍵位置表[Pict URL])), "")</f>
        <v>#VALUE!</v>
      </c>
      <c r="T31" s="89" t="e" vm="41">
        <f xml:space="preserve"> IFERROR( _xlfn.IMAGE(_xlfn.XLOOKUP(K31,按鍵位置表[方音符號], 按鍵位置表[Pict URL])), "")</f>
        <v>#VALUE!</v>
      </c>
      <c r="U31" s="89" t="e" vm="4">
        <f xml:space="preserve"> IFERROR( _xlfn.IMAGE(_xlfn.XLOOKUP(L31,按鍵位置表[方音符號], 按鍵位置表[Pict URL])), "")</f>
        <v>#VALUE!</v>
      </c>
      <c r="V31" s="89" t="str">
        <f xml:space="preserve"> IFERROR( _xlfn.IMAGE(_xlfn.XLOOKUP(M31,按鍵位置表[方音符號], 按鍵位置表[Pict URL])), "")</f>
        <v/>
      </c>
      <c r="W31" s="89" t="str">
        <f xml:space="preserve"> IFERROR( _xlfn.IMAGE(_xlfn.XLOOKUP(N31,按鍵位置表[方音符號], 按鍵位置表[Pict URL])), "")</f>
        <v/>
      </c>
      <c r="X31" s="89" t="str">
        <f xml:space="preserve"> IFERROR( _xlfn.IMAGE(_xlfn.XLOOKUP(O31,按鍵位置表[方音符號], 按鍵位置表[Pict URL])), "")</f>
        <v/>
      </c>
      <c r="Y31" s="89" t="str">
        <f xml:space="preserve"> IFERROR( _xlfn.IMAGE(_xlfn.XLOOKUP(P31,按鍵位置表[方音符號], 按鍵位置表[Pict URL])), "")</f>
        <v/>
      </c>
    </row>
    <row r="32" spans="2:25" ht="45.75">
      <c r="B32" s="87" t="s">
        <v>169</v>
      </c>
      <c r="C32" s="90" t="s">
        <v>401</v>
      </c>
      <c r="D32" s="88" t="s">
        <v>213</v>
      </c>
      <c r="E32" s="93" t="str">
        <f t="shared" si="2"/>
        <v>ㄏㄜˊ</v>
      </c>
      <c r="F32" s="93" t="str">
        <f t="shared" si="3"/>
        <v>ㄏㄜˊ</v>
      </c>
      <c r="G32" s="94">
        <f t="shared" si="4"/>
        <v>3</v>
      </c>
      <c r="H32" s="94">
        <f t="shared" si="0"/>
        <v>13</v>
      </c>
      <c r="I32" s="89" t="str">
        <f t="shared" si="7"/>
        <v>ㄜ</v>
      </c>
      <c r="J32" s="89" t="str">
        <f t="shared" si="7"/>
        <v>ˊ</v>
      </c>
      <c r="K32" s="89" t="str">
        <f t="shared" si="7"/>
        <v>ㄏ</v>
      </c>
      <c r="L32" s="89" t="str">
        <f t="shared" si="7"/>
        <v/>
      </c>
      <c r="M32" s="89" t="str">
        <f t="shared" si="7"/>
        <v/>
      </c>
      <c r="N32" s="89" t="str">
        <f t="shared" si="7"/>
        <v/>
      </c>
      <c r="O32" s="89" t="str">
        <f t="shared" si="7"/>
        <v/>
      </c>
      <c r="P32" s="89" t="str">
        <f t="shared" si="7"/>
        <v/>
      </c>
      <c r="R32" s="89" t="e" vm="22">
        <f xml:space="preserve"> IFERROR( _xlfn.IMAGE(_xlfn.XLOOKUP(I32,按鍵位置表[方音符號], 按鍵位置表[Pict URL])), "")</f>
        <v>#VALUE!</v>
      </c>
      <c r="S32" s="89" t="e" vm="39">
        <f xml:space="preserve"> IFERROR( _xlfn.IMAGE(_xlfn.XLOOKUP(J32,按鍵位置表[方音符號], 按鍵位置表[Pict URL])), "")</f>
        <v>#VALUE!</v>
      </c>
      <c r="T32" s="89" t="e" vm="10">
        <f xml:space="preserve"> IFERROR( _xlfn.IMAGE(_xlfn.XLOOKUP(K32,按鍵位置表[方音符號], 按鍵位置表[Pict URL])), "")</f>
        <v>#VALUE!</v>
      </c>
      <c r="U32" s="89" t="str">
        <f xml:space="preserve"> IFERROR( _xlfn.IMAGE(_xlfn.XLOOKUP(L32,按鍵位置表[方音符號], 按鍵位置表[Pict URL])), "")</f>
        <v/>
      </c>
      <c r="V32" s="89" t="str">
        <f xml:space="preserve"> IFERROR( _xlfn.IMAGE(_xlfn.XLOOKUP(M32,按鍵位置表[方音符號], 按鍵位置表[Pict URL])), "")</f>
        <v/>
      </c>
      <c r="W32" s="89" t="str">
        <f xml:space="preserve"> IFERROR( _xlfn.IMAGE(_xlfn.XLOOKUP(N32,按鍵位置表[方音符號], 按鍵位置表[Pict URL])), "")</f>
        <v/>
      </c>
      <c r="X32" s="89" t="str">
        <f xml:space="preserve"> IFERROR( _xlfn.IMAGE(_xlfn.XLOOKUP(O32,按鍵位置表[方音符號], 按鍵位置表[Pict URL])), "")</f>
        <v/>
      </c>
      <c r="Y32" s="89" t="str">
        <f xml:space="preserve"> IFERROR( _xlfn.IMAGE(_xlfn.XLOOKUP(P32,按鍵位置表[方音符號], 按鍵位置表[Pict URL])), "")</f>
        <v/>
      </c>
    </row>
    <row r="33" spans="2:25" ht="39">
      <c r="B33" s="87" t="s">
        <v>170</v>
      </c>
      <c r="C33" s="92" t="s">
        <v>416</v>
      </c>
      <c r="D33" s="88" t="s">
        <v>242</v>
      </c>
      <c r="E33" s="93" t="str">
        <f t="shared" si="2"/>
        <v>ㄙㄨ</v>
      </c>
      <c r="F33" s="93" t="str">
        <f t="shared" si="3"/>
        <v>ㄙㄨ1</v>
      </c>
      <c r="G33" s="94">
        <f t="shared" si="4"/>
        <v>3</v>
      </c>
      <c r="H33" s="94">
        <f t="shared" si="0"/>
        <v>17</v>
      </c>
      <c r="I33" s="89" t="str">
        <f t="shared" si="7"/>
        <v>ㄨ</v>
      </c>
      <c r="J33" s="89" t="str">
        <f t="shared" si="7"/>
        <v>"</v>
      </c>
      <c r="K33" s="89" t="str">
        <f t="shared" si="7"/>
        <v>ㄙ</v>
      </c>
      <c r="L33" s="89" t="str">
        <f t="shared" si="7"/>
        <v/>
      </c>
      <c r="M33" s="89" t="str">
        <f t="shared" si="7"/>
        <v/>
      </c>
      <c r="N33" s="89" t="str">
        <f t="shared" si="7"/>
        <v/>
      </c>
      <c r="O33" s="89" t="str">
        <f t="shared" si="7"/>
        <v/>
      </c>
      <c r="P33" s="89" t="str">
        <f t="shared" si="7"/>
        <v/>
      </c>
      <c r="R33" s="89" t="e" vm="19">
        <f xml:space="preserve"> IFERROR( _xlfn.IMAGE(_xlfn.XLOOKUP(I33,按鍵位置表[方音符號], 按鍵位置表[Pict URL])), "")</f>
        <v>#VALUE!</v>
      </c>
      <c r="S33" s="89" t="e" vm="35">
        <f xml:space="preserve"> IFERROR( _xlfn.IMAGE(_xlfn.XLOOKUP(J33,按鍵位置表[方音符號], 按鍵位置表[Pict URL])), "")</f>
        <v>#VALUE!</v>
      </c>
      <c r="T33" s="89" t="e" vm="16">
        <f xml:space="preserve"> IFERROR( _xlfn.IMAGE(_xlfn.XLOOKUP(K33,按鍵位置表[方音符號], 按鍵位置表[Pict URL])), "")</f>
        <v>#VALUE!</v>
      </c>
      <c r="U33" s="89" t="str">
        <f xml:space="preserve"> IFERROR( _xlfn.IMAGE(_xlfn.XLOOKUP(L33,按鍵位置表[方音符號], 按鍵位置表[Pict URL])), "")</f>
        <v/>
      </c>
      <c r="V33" s="89" t="str">
        <f xml:space="preserve"> IFERROR( _xlfn.IMAGE(_xlfn.XLOOKUP(M33,按鍵位置表[方音符號], 按鍵位置表[Pict URL])), "")</f>
        <v/>
      </c>
      <c r="W33" s="89" t="str">
        <f xml:space="preserve"> IFERROR( _xlfn.IMAGE(_xlfn.XLOOKUP(N33,按鍵位置表[方音符號], 按鍵位置表[Pict URL])), "")</f>
        <v/>
      </c>
      <c r="X33" s="89" t="str">
        <f xml:space="preserve"> IFERROR( _xlfn.IMAGE(_xlfn.XLOOKUP(O33,按鍵位置表[方音符號], 按鍵位置表[Pict URL])), "")</f>
        <v/>
      </c>
      <c r="Y33" s="89" t="str">
        <f xml:space="preserve"> IFERROR( _xlfn.IMAGE(_xlfn.XLOOKUP(P33,按鍵位置表[方音符號], 按鍵位置表[Pict URL])), "")</f>
        <v/>
      </c>
    </row>
    <row r="34" spans="2:25" ht="45.75">
      <c r="B34" s="87" t="s">
        <v>171</v>
      </c>
      <c r="C34" s="90" t="s">
        <v>417</v>
      </c>
      <c r="D34" s="88" t="s">
        <v>243</v>
      </c>
      <c r="E34" s="93" t="str">
        <f t="shared" si="2"/>
        <v>零ㄨㄢ˪</v>
      </c>
      <c r="F34" s="93" t="str">
        <f t="shared" si="3"/>
        <v>零ㄨㄢ˪</v>
      </c>
      <c r="G34" s="94">
        <f t="shared" si="4"/>
        <v>4</v>
      </c>
      <c r="H34" s="94">
        <f t="shared" si="0"/>
        <v>1</v>
      </c>
      <c r="I34" s="89" t="str">
        <f t="shared" si="7"/>
        <v>ㄨ</v>
      </c>
      <c r="J34" s="89" t="str">
        <f t="shared" si="7"/>
        <v>ㄢ</v>
      </c>
      <c r="K34" s="89" t="str">
        <f t="shared" si="7"/>
        <v>˪</v>
      </c>
      <c r="L34" s="89" t="str">
        <f t="shared" si="7"/>
        <v>=</v>
      </c>
      <c r="M34" s="89" t="str">
        <f t="shared" si="7"/>
        <v/>
      </c>
      <c r="N34" s="89" t="str">
        <f t="shared" si="7"/>
        <v/>
      </c>
      <c r="O34" s="89" t="str">
        <f t="shared" si="7"/>
        <v/>
      </c>
      <c r="P34" s="89" t="str">
        <f t="shared" si="7"/>
        <v/>
      </c>
      <c r="R34" s="89" t="e" vm="19">
        <f xml:space="preserve"> IFERROR( _xlfn.IMAGE(_xlfn.XLOOKUP(I34,按鍵位置表[方音符號], 按鍵位置表[Pict URL])), "")</f>
        <v>#VALUE!</v>
      </c>
      <c r="S34" s="89" t="e" vm="25">
        <f xml:space="preserve"> IFERROR( _xlfn.IMAGE(_xlfn.XLOOKUP(J34,按鍵位置表[方音符號], 按鍵位置表[Pict URL])), "")</f>
        <v>#VALUE!</v>
      </c>
      <c r="T34" s="89" t="e" vm="37">
        <f xml:space="preserve"> IFERROR( _xlfn.IMAGE(_xlfn.XLOOKUP(K34,按鍵位置表[方音符號], 按鍵位置表[Pict URL])), "")</f>
        <v>#VALUE!</v>
      </c>
      <c r="U34" s="89" t="e" vm="43">
        <f xml:space="preserve"> IFERROR( _xlfn.IMAGE(_xlfn.XLOOKUP(L34,按鍵位置表[方音符號], 按鍵位置表[Pict URL])), "")</f>
        <v>#VALUE!</v>
      </c>
      <c r="V34" s="89" t="str">
        <f xml:space="preserve"> IFERROR( _xlfn.IMAGE(_xlfn.XLOOKUP(M34,按鍵位置表[方音符號], 按鍵位置表[Pict URL])), "")</f>
        <v/>
      </c>
      <c r="W34" s="89" t="str">
        <f xml:space="preserve"> IFERROR( _xlfn.IMAGE(_xlfn.XLOOKUP(N34,按鍵位置表[方音符號], 按鍵位置表[Pict URL])), "")</f>
        <v/>
      </c>
      <c r="X34" s="89" t="str">
        <f xml:space="preserve"> IFERROR( _xlfn.IMAGE(_xlfn.XLOOKUP(O34,按鍵位置表[方音符號], 按鍵位置表[Pict URL])), "")</f>
        <v/>
      </c>
      <c r="Y34" s="89" t="str">
        <f xml:space="preserve"> IFERROR( _xlfn.IMAGE(_xlfn.XLOOKUP(P34,按鍵位置表[方音符號], 按鍵位置表[Pict URL])), "")</f>
        <v/>
      </c>
    </row>
    <row r="35" spans="2:25" ht="45.75">
      <c r="B35" s="87" t="s">
        <v>172</v>
      </c>
      <c r="C35" s="90" t="s">
        <v>418</v>
      </c>
      <c r="D35" s="88" t="s">
        <v>244</v>
      </c>
      <c r="E35" s="93" t="str">
        <f t="shared" si="2"/>
        <v>零ㄧㆲˊ</v>
      </c>
      <c r="F35" s="93" t="str">
        <f t="shared" si="3"/>
        <v>零ㄧㆲˊ</v>
      </c>
      <c r="G35" s="94">
        <f t="shared" si="4"/>
        <v>4</v>
      </c>
      <c r="H35" s="94">
        <f t="shared" si="0"/>
        <v>1</v>
      </c>
      <c r="I35" s="89" t="str">
        <f t="shared" si="7"/>
        <v>ㄧ</v>
      </c>
      <c r="J35" s="89" t="str">
        <f t="shared" si="7"/>
        <v>ㆲ</v>
      </c>
      <c r="K35" s="89" t="str">
        <f t="shared" si="7"/>
        <v>ˊ</v>
      </c>
      <c r="L35" s="89" t="str">
        <f t="shared" si="7"/>
        <v>=</v>
      </c>
      <c r="M35" s="89" t="str">
        <f t="shared" si="7"/>
        <v/>
      </c>
      <c r="N35" s="89" t="str">
        <f t="shared" si="7"/>
        <v/>
      </c>
      <c r="O35" s="89" t="str">
        <f t="shared" si="7"/>
        <v/>
      </c>
      <c r="P35" s="89" t="str">
        <f t="shared" si="7"/>
        <v/>
      </c>
      <c r="R35" s="89" t="e" vm="18">
        <f xml:space="preserve"> IFERROR( _xlfn.IMAGE(_xlfn.XLOOKUP(I35,按鍵位置表[方音符號], 按鍵位置表[Pict URL])), "")</f>
        <v>#VALUE!</v>
      </c>
      <c r="S35" s="89" t="e" vm="30">
        <f xml:space="preserve"> IFERROR( _xlfn.IMAGE(_xlfn.XLOOKUP(J35,按鍵位置表[方音符號], 按鍵位置表[Pict URL])), "")</f>
        <v>#VALUE!</v>
      </c>
      <c r="T35" s="89" t="e" vm="39">
        <f xml:space="preserve"> IFERROR( _xlfn.IMAGE(_xlfn.XLOOKUP(K35,按鍵位置表[方音符號], 按鍵位置表[Pict URL])), "")</f>
        <v>#VALUE!</v>
      </c>
      <c r="U35" s="89" t="e" vm="43">
        <f xml:space="preserve"> IFERROR( _xlfn.IMAGE(_xlfn.XLOOKUP(L35,按鍵位置表[方音符號], 按鍵位置表[Pict URL])), "")</f>
        <v>#VALUE!</v>
      </c>
      <c r="V35" s="89" t="str">
        <f xml:space="preserve"> IFERROR( _xlfn.IMAGE(_xlfn.XLOOKUP(M35,按鍵位置表[方音符號], 按鍵位置表[Pict URL])), "")</f>
        <v/>
      </c>
      <c r="W35" s="89" t="str">
        <f xml:space="preserve"> IFERROR( _xlfn.IMAGE(_xlfn.XLOOKUP(N35,按鍵位置表[方音符號], 按鍵位置表[Pict URL])), "")</f>
        <v/>
      </c>
      <c r="X35" s="89" t="str">
        <f xml:space="preserve"> IFERROR( _xlfn.IMAGE(_xlfn.XLOOKUP(O35,按鍵位置表[方音符號], 按鍵位置表[Pict URL])), "")</f>
        <v/>
      </c>
      <c r="Y35" s="89" t="str">
        <f xml:space="preserve"> IFERROR( _xlfn.IMAGE(_xlfn.XLOOKUP(P35,按鍵位置表[方音符號], 按鍵位置表[Pict URL])), "")</f>
        <v/>
      </c>
    </row>
    <row r="36" spans="2:25" ht="39">
      <c r="B36" s="87" t="s">
        <v>173</v>
      </c>
      <c r="C36" s="92" t="s">
        <v>419</v>
      </c>
      <c r="D36" s="88" t="s">
        <v>245</v>
      </c>
      <c r="E36" s="93" t="str">
        <f t="shared" si="2"/>
        <v>ㄌㄧㄨˋ</v>
      </c>
      <c r="F36" s="93" t="str">
        <f t="shared" si="3"/>
        <v>ㄌㄧㄨˋ</v>
      </c>
      <c r="G36" s="94">
        <f t="shared" si="4"/>
        <v>4</v>
      </c>
      <c r="H36" s="94">
        <f t="shared" si="0"/>
        <v>9</v>
      </c>
      <c r="I36" s="89" t="str">
        <f t="shared" ref="I36:O36" si="8" xml:space="preserve"> IF(AND($H36&gt;0, I$4&lt;$G36), IF(MID($F36,I$4+1,1)="1", """", IF(MID($F36,I$4+1,1)="4", "[", MID($F36,I$4+1,1))), IF(I$4&lt;=$G36, IF(LEFT($F36,1)="零", "=", LEFT($F36,1)), ""))</f>
        <v>ㄧ</v>
      </c>
      <c r="J36" s="89" t="str">
        <f t="shared" si="8"/>
        <v>ㄨ</v>
      </c>
      <c r="K36" s="89" t="str">
        <f t="shared" si="8"/>
        <v>ˋ</v>
      </c>
      <c r="L36" s="89" t="str">
        <f t="shared" si="8"/>
        <v>ㄌ</v>
      </c>
      <c r="M36" s="89" t="str">
        <f t="shared" si="8"/>
        <v/>
      </c>
      <c r="N36" s="89" t="str">
        <f t="shared" si="8"/>
        <v/>
      </c>
      <c r="O36" s="89" t="str">
        <f t="shared" si="8"/>
        <v/>
      </c>
      <c r="P36" s="89" t="str">
        <f t="shared" ref="L36:P39" si="9" xml:space="preserve"> IF(AND($H36&gt;0, P$4&lt;$G36), IF(MID($F36,P$4+1,1)="1", """", IF(MID($F36,P$4+1,1)="4", "[", MID($F36,P$4+1,1))), IF(P$4&lt;=$G36, IF(LEFT($F36,1)="零", "=", LEFT($F36,1)), ""))</f>
        <v/>
      </c>
      <c r="R36" s="89" t="e" vm="18">
        <f xml:space="preserve"> IFERROR( _xlfn.IMAGE(_xlfn.XLOOKUP(I36,按鍵位置表[方音符號], 按鍵位置表[Pict URL])), "")</f>
        <v>#VALUE!</v>
      </c>
      <c r="S36" s="89" t="e" vm="19">
        <f xml:space="preserve"> IFERROR( _xlfn.IMAGE(_xlfn.XLOOKUP(J36,按鍵位置表[方音符號], 按鍵位置表[Pict URL])), "")</f>
        <v>#VALUE!</v>
      </c>
      <c r="T36" s="89" t="e" vm="38">
        <f xml:space="preserve"> IFERROR( _xlfn.IMAGE(_xlfn.XLOOKUP(K36,按鍵位置表[方音符號], 按鍵位置表[Pict URL])), "")</f>
        <v>#VALUE!</v>
      </c>
      <c r="U36" s="89" t="e" vm="7">
        <f xml:space="preserve"> IFERROR( _xlfn.IMAGE(_xlfn.XLOOKUP(L36,按鍵位置表[方音符號], 按鍵位置表[Pict URL])), "")</f>
        <v>#VALUE!</v>
      </c>
      <c r="V36" s="89" t="str">
        <f xml:space="preserve"> IFERROR( _xlfn.IMAGE(_xlfn.XLOOKUP(M36,按鍵位置表[方音符號], 按鍵位置表[Pict URL])), "")</f>
        <v/>
      </c>
      <c r="W36" s="89" t="str">
        <f xml:space="preserve"> IFERROR( _xlfn.IMAGE(_xlfn.XLOOKUP(N36,按鍵位置表[方音符號], 按鍵位置表[Pict URL])), "")</f>
        <v/>
      </c>
      <c r="X36" s="89" t="str">
        <f xml:space="preserve"> IFERROR( _xlfn.IMAGE(_xlfn.XLOOKUP(O36,按鍵位置表[方音符號], 按鍵位置表[Pict URL])), "")</f>
        <v/>
      </c>
      <c r="Y36" s="89" t="str">
        <f xml:space="preserve"> IFERROR( _xlfn.IMAGE(_xlfn.XLOOKUP(P36,按鍵位置表[方音符號], 按鍵位置表[Pict URL])), "")</f>
        <v/>
      </c>
    </row>
    <row r="37" spans="2:25" ht="45.75">
      <c r="B37" s="87" t="s">
        <v>144</v>
      </c>
      <c r="C37" s="90"/>
      <c r="D37" s="88"/>
      <c r="E37" s="93" t="str">
        <f t="shared" si="2"/>
        <v/>
      </c>
      <c r="F37" s="93" t="str">
        <f t="shared" si="3"/>
        <v/>
      </c>
      <c r="G37" s="94" t="str">
        <f t="shared" si="4"/>
        <v/>
      </c>
      <c r="H37" s="94" t="str">
        <f t="shared" si="0"/>
        <v/>
      </c>
      <c r="I37" s="89" t="str">
        <f t="shared" ref="I37:K39" si="10" xml:space="preserve"> IF(AND($H37&gt;0, I$4&lt;$G37), IF(MID($F37,I$4+1,1)="1", """", IF(MID($F37,I$4+1,1)="4", "[", MID($F37,I$4+1,1))), IF(I$4&lt;=$G37, IF(LEFT($F37,1)="零", "=", LEFT($F37,1)), ""))</f>
        <v/>
      </c>
      <c r="J37" s="89" t="str">
        <f t="shared" si="10"/>
        <v/>
      </c>
      <c r="K37" s="89" t="str">
        <f t="shared" si="10"/>
        <v/>
      </c>
      <c r="L37" s="89" t="str">
        <f t="shared" si="9"/>
        <v/>
      </c>
      <c r="M37" s="89" t="str">
        <f t="shared" si="9"/>
        <v/>
      </c>
      <c r="N37" s="89" t="str">
        <f t="shared" si="9"/>
        <v/>
      </c>
      <c r="O37" s="89" t="str">
        <f t="shared" si="9"/>
        <v/>
      </c>
      <c r="P37" s="89" t="str">
        <f t="shared" si="9"/>
        <v/>
      </c>
      <c r="R37" s="89" t="str">
        <f xml:space="preserve"> IFERROR( _xlfn.IMAGE(_xlfn.XLOOKUP(I37,按鍵位置表[方音符號], 按鍵位置表[Pict URL])), "")</f>
        <v/>
      </c>
      <c r="S37" s="89" t="str">
        <f xml:space="preserve"> IFERROR( _xlfn.IMAGE(_xlfn.XLOOKUP(J37,按鍵位置表[方音符號], 按鍵位置表[Pict URL])), "")</f>
        <v/>
      </c>
      <c r="T37" s="89" t="str">
        <f xml:space="preserve"> IFERROR( _xlfn.IMAGE(_xlfn.XLOOKUP(K37,按鍵位置表[方音符號], 按鍵位置表[Pict URL])), "")</f>
        <v/>
      </c>
      <c r="U37" s="89" t="str">
        <f xml:space="preserve"> IFERROR( _xlfn.IMAGE(_xlfn.XLOOKUP(L37,按鍵位置表[方音符號], 按鍵位置表[Pict URL])), "")</f>
        <v/>
      </c>
      <c r="V37" s="89" t="str">
        <f xml:space="preserve"> IFERROR( _xlfn.IMAGE(_xlfn.XLOOKUP(M37,按鍵位置表[方音符號], 按鍵位置表[Pict URL])), "")</f>
        <v/>
      </c>
      <c r="W37" s="89" t="str">
        <f xml:space="preserve"> IFERROR( _xlfn.IMAGE(_xlfn.XLOOKUP(N37,按鍵位置表[方音符號], 按鍵位置表[Pict URL])), "")</f>
        <v/>
      </c>
      <c r="X37" s="89" t="str">
        <f xml:space="preserve"> IFERROR( _xlfn.IMAGE(_xlfn.XLOOKUP(O37,按鍵位置表[方音符號], 按鍵位置表[Pict URL])), "")</f>
        <v/>
      </c>
      <c r="Y37" s="89" t="str">
        <f xml:space="preserve"> IFERROR( _xlfn.IMAGE(_xlfn.XLOOKUP(P37,按鍵位置表[方音符號], 按鍵位置表[Pict URL])), "")</f>
        <v/>
      </c>
    </row>
    <row r="38" spans="2:25" ht="45.75">
      <c r="B38" s="87" t="s">
        <v>180</v>
      </c>
      <c r="C38" s="90" t="s">
        <v>420</v>
      </c>
      <c r="D38" s="88" t="s">
        <v>246</v>
      </c>
      <c r="E38" s="93" t="str">
        <f t="shared" si="2"/>
        <v>ㄘㄨㄣ</v>
      </c>
      <c r="F38" s="93" t="str">
        <f t="shared" si="3"/>
        <v>ㄘㄨㄣ1</v>
      </c>
      <c r="G38" s="94">
        <f t="shared" si="4"/>
        <v>4</v>
      </c>
      <c r="H38" s="94">
        <f t="shared" si="0"/>
        <v>15</v>
      </c>
      <c r="I38" s="89" t="str">
        <f t="shared" si="10"/>
        <v>ㄨ</v>
      </c>
      <c r="J38" s="89" t="str">
        <f t="shared" si="10"/>
        <v>ㄣ</v>
      </c>
      <c r="K38" s="89" t="str">
        <f t="shared" si="10"/>
        <v>"</v>
      </c>
      <c r="L38" s="89" t="str">
        <f t="shared" si="9"/>
        <v>ㄘ</v>
      </c>
      <c r="M38" s="89" t="str">
        <f t="shared" si="9"/>
        <v/>
      </c>
      <c r="N38" s="89" t="str">
        <f t="shared" si="9"/>
        <v/>
      </c>
      <c r="O38" s="89" t="str">
        <f t="shared" si="9"/>
        <v/>
      </c>
      <c r="P38" s="89" t="str">
        <f t="shared" si="9"/>
        <v/>
      </c>
      <c r="R38" s="89" t="e" vm="19">
        <f xml:space="preserve"> IFERROR( _xlfn.IMAGE(_xlfn.XLOOKUP(I38,按鍵位置表[方音符號], 按鍵位置表[Pict URL])), "")</f>
        <v>#VALUE!</v>
      </c>
      <c r="S38" s="89" t="e" vm="26">
        <f xml:space="preserve"> IFERROR( _xlfn.IMAGE(_xlfn.XLOOKUP(J38,按鍵位置表[方音符號], 按鍵位置表[Pict URL])), "")</f>
        <v>#VALUE!</v>
      </c>
      <c r="T38" s="89" t="e" vm="35">
        <f xml:space="preserve"> IFERROR( _xlfn.IMAGE(_xlfn.XLOOKUP(K38,按鍵位置表[方音符號], 按鍵位置表[Pict URL])), "")</f>
        <v>#VALUE!</v>
      </c>
      <c r="U38" s="89" t="e" vm="15">
        <f xml:space="preserve"> IFERROR( _xlfn.IMAGE(_xlfn.XLOOKUP(L38,按鍵位置表[方音符號], 按鍵位置表[Pict URL])), "")</f>
        <v>#VALUE!</v>
      </c>
      <c r="V38" s="89" t="str">
        <f xml:space="preserve"> IFERROR( _xlfn.IMAGE(_xlfn.XLOOKUP(M38,按鍵位置表[方音符號], 按鍵位置表[Pict URL])), "")</f>
        <v/>
      </c>
      <c r="W38" s="89" t="str">
        <f xml:space="preserve"> IFERROR( _xlfn.IMAGE(_xlfn.XLOOKUP(N38,按鍵位置表[方音符號], 按鍵位置表[Pict URL])), "")</f>
        <v/>
      </c>
      <c r="X38" s="89" t="str">
        <f xml:space="preserve"> IFERROR( _xlfn.IMAGE(_xlfn.XLOOKUP(O38,按鍵位置表[方音符號], 按鍵位置表[Pict URL])), "")</f>
        <v/>
      </c>
      <c r="Y38" s="89" t="str">
        <f xml:space="preserve"> IFERROR( _xlfn.IMAGE(_xlfn.XLOOKUP(P38,按鍵位置表[方音符號], 按鍵位置表[Pict URL])), "")</f>
        <v/>
      </c>
    </row>
    <row r="39" spans="2:25" ht="45.75">
      <c r="B39" s="87" t="s">
        <v>181</v>
      </c>
      <c r="C39" s="90" t="s">
        <v>421</v>
      </c>
      <c r="D39" s="88" t="s">
        <v>248</v>
      </c>
      <c r="E39" s="93" t="str">
        <f t="shared" si="2"/>
        <v>ㄏㆲ</v>
      </c>
      <c r="F39" s="93" t="str">
        <f t="shared" si="3"/>
        <v>ㄏㆲ1</v>
      </c>
      <c r="G39" s="94">
        <f t="shared" si="4"/>
        <v>3</v>
      </c>
      <c r="H39" s="94">
        <f t="shared" si="0"/>
        <v>13</v>
      </c>
      <c r="I39" s="89" t="str">
        <f t="shared" si="10"/>
        <v>ㆲ</v>
      </c>
      <c r="J39" s="89" t="str">
        <f t="shared" si="10"/>
        <v>"</v>
      </c>
      <c r="K39" s="89" t="str">
        <f t="shared" si="10"/>
        <v>ㄏ</v>
      </c>
      <c r="L39" s="89" t="str">
        <f t="shared" si="9"/>
        <v/>
      </c>
      <c r="M39" s="89" t="str">
        <f t="shared" si="9"/>
        <v/>
      </c>
      <c r="N39" s="89" t="str">
        <f t="shared" si="9"/>
        <v/>
      </c>
      <c r="O39" s="89" t="str">
        <f t="shared" si="9"/>
        <v/>
      </c>
      <c r="P39" s="89" t="str">
        <f t="shared" si="9"/>
        <v/>
      </c>
      <c r="R39" s="89" t="e" vm="30">
        <f xml:space="preserve"> IFERROR( _xlfn.IMAGE(_xlfn.XLOOKUP(I39,按鍵位置表[方音符號], 按鍵位置表[Pict URL])), "")</f>
        <v>#VALUE!</v>
      </c>
      <c r="S39" s="89" t="e" vm="35">
        <f xml:space="preserve"> IFERROR( _xlfn.IMAGE(_xlfn.XLOOKUP(J39,按鍵位置表[方音符號], 按鍵位置表[Pict URL])), "")</f>
        <v>#VALUE!</v>
      </c>
      <c r="T39" s="89" t="e" vm="10">
        <f xml:space="preserve"> IFERROR( _xlfn.IMAGE(_xlfn.XLOOKUP(K39,按鍵位置表[方音符號], 按鍵位置表[Pict URL])), "")</f>
        <v>#VALUE!</v>
      </c>
      <c r="U39" s="89" t="str">
        <f xml:space="preserve"> IFERROR( _xlfn.IMAGE(_xlfn.XLOOKUP(L39,按鍵位置表[方音符號], 按鍵位置表[Pict URL])), "")</f>
        <v/>
      </c>
      <c r="V39" s="89" t="str">
        <f xml:space="preserve"> IFERROR( _xlfn.IMAGE(_xlfn.XLOOKUP(M39,按鍵位置表[方音符號], 按鍵位置表[Pict URL])), "")</f>
        <v/>
      </c>
      <c r="W39" s="89" t="str">
        <f xml:space="preserve"> IFERROR( _xlfn.IMAGE(_xlfn.XLOOKUP(N39,按鍵位置表[方音符號], 按鍵位置表[Pict URL])), "")</f>
        <v/>
      </c>
      <c r="X39" s="89" t="str">
        <f xml:space="preserve"> IFERROR( _xlfn.IMAGE(_xlfn.XLOOKUP(O39,按鍵位置表[方音符號], 按鍵位置表[Pict URL])), "")</f>
        <v/>
      </c>
      <c r="Y39" s="89" t="str">
        <f xml:space="preserve"> IFERROR( _xlfn.IMAGE(_xlfn.XLOOKUP(P39,按鍵位置表[方音符號], 按鍵位置表[Pict URL])), "")</f>
        <v/>
      </c>
    </row>
    <row r="40" spans="2:25" ht="45.75">
      <c r="B40" s="87" t="s">
        <v>182</v>
      </c>
      <c r="C40" s="90" t="s">
        <v>422</v>
      </c>
      <c r="D40" s="88" t="s">
        <v>249</v>
      </c>
      <c r="E40" s="93" t="str">
        <f t="shared" si="2"/>
        <v>ㄅㄨㆵ</v>
      </c>
      <c r="F40" s="93" t="str">
        <f t="shared" si="3"/>
        <v>ㄅㄨㆵ4</v>
      </c>
      <c r="G40" s="94">
        <f t="shared" si="4"/>
        <v>4</v>
      </c>
      <c r="H40" s="94">
        <f t="shared" si="0"/>
        <v>2</v>
      </c>
      <c r="I40" s="89" t="str">
        <f t="shared" ref="I40:K45" si="11" xml:space="preserve"> IF(AND($H40&gt;0, I$4&lt;$G40), IF(MID($F40,I$4+1,1)="1", """", IF(MID($F40,I$4+1,1)="4", "[", MID($F40,I$4+1,1))), IF(I$4&lt;=$G40, IF(LEFT($F40,1)="零", "=", LEFT($F40,1)), ""))</f>
        <v>ㄨ</v>
      </c>
      <c r="J40" s="89" t="str">
        <f t="shared" si="11"/>
        <v>ㆵ</v>
      </c>
      <c r="K40" s="89" t="str">
        <f xml:space="preserve"> IF(AND($H40&gt;0, K$4&lt;$G40), IF(MID($F40,K$4+1,1)="1", """", IF(MID($F40,K$4+1,1)="4", "[", MID($F40,K$4+1,1))), IF(K$4&lt;=$G40, IF(LEFT($F40,1)="零", "=", LEFT($F40,1)), ""))</f>
        <v>[</v>
      </c>
      <c r="L40" s="89" t="str">
        <f t="shared" ref="L40:P45" si="12" xml:space="preserve"> IF(AND($H40&gt;0, L$4&lt;$G40), IF(MID($F40,L$4+1,1)="1", """", IF(MID($F40,L$4+1,1)="4", "[", MID($F40,L$4+1,1))), IF(L$4&lt;=$G40, IF(LEFT($F40,1)="零", "=", LEFT($F40,1)), ""))</f>
        <v>ㄅ</v>
      </c>
      <c r="M40" s="89" t="str">
        <f t="shared" si="12"/>
        <v/>
      </c>
      <c r="N40" s="89" t="str">
        <f t="shared" si="12"/>
        <v/>
      </c>
      <c r="O40" s="89" t="str">
        <f t="shared" si="12"/>
        <v/>
      </c>
      <c r="P40" s="89" t="str">
        <f t="shared" si="12"/>
        <v/>
      </c>
      <c r="R40" s="89" t="e" vm="19">
        <f xml:space="preserve"> IFERROR( _xlfn.IMAGE(_xlfn.XLOOKUP(I40,按鍵位置表[方音符號], 按鍵位置表[Pict URL])), "")</f>
        <v>#VALUE!</v>
      </c>
      <c r="S40" s="89" t="e" vm="31">
        <f xml:space="preserve"> IFERROR( _xlfn.IMAGE(_xlfn.XLOOKUP(J40,按鍵位置表[方音符號], 按鍵位置表[Pict URL])), "")</f>
        <v>#VALUE!</v>
      </c>
      <c r="T40" s="89" t="e" vm="40">
        <f xml:space="preserve"> IFERROR( _xlfn.IMAGE(_xlfn.XLOOKUP(K40,按鍵位置表[方音符號], 按鍵位置表[Pict URL])), "")</f>
        <v>#VALUE!</v>
      </c>
      <c r="U40" s="89" t="e" vm="1">
        <f xml:space="preserve"> IFERROR( _xlfn.IMAGE(_xlfn.XLOOKUP(L40,按鍵位置表[方音符號], 按鍵位置表[Pict URL])), "")</f>
        <v>#VALUE!</v>
      </c>
      <c r="V40" s="89" t="str">
        <f xml:space="preserve"> IFERROR( _xlfn.IMAGE(_xlfn.XLOOKUP(M40,按鍵位置表[方音符號], 按鍵位置表[Pict URL])), "")</f>
        <v/>
      </c>
      <c r="W40" s="89" t="str">
        <f xml:space="preserve"> IFERROR( _xlfn.IMAGE(_xlfn.XLOOKUP(N40,按鍵位置表[方音符號], 按鍵位置表[Pict URL])), "")</f>
        <v/>
      </c>
      <c r="X40" s="89" t="str">
        <f xml:space="preserve"> IFERROR( _xlfn.IMAGE(_xlfn.XLOOKUP(O40,按鍵位置表[方音符號], 按鍵位置表[Pict URL])), "")</f>
        <v/>
      </c>
      <c r="Y40" s="89" t="str">
        <f xml:space="preserve"> IFERROR( _xlfn.IMAGE(_xlfn.XLOOKUP(P40,按鍵位置表[方音符號], 按鍵位置表[Pict URL])), "")</f>
        <v/>
      </c>
    </row>
    <row r="41" spans="2:25" ht="45.75">
      <c r="B41" s="87" t="s">
        <v>183</v>
      </c>
      <c r="C41" s="90" t="s">
        <v>423</v>
      </c>
      <c r="D41" s="88" t="s">
        <v>250</v>
      </c>
      <c r="E41" s="93" t="str">
        <f t="shared" si="2"/>
        <v>ㄉㆦ˫</v>
      </c>
      <c r="F41" s="93" t="str">
        <f t="shared" si="3"/>
        <v>ㄉㆦ˫</v>
      </c>
      <c r="G41" s="94">
        <f t="shared" si="4"/>
        <v>3</v>
      </c>
      <c r="H41" s="94">
        <f t="shared" si="0"/>
        <v>6</v>
      </c>
      <c r="I41" s="89" t="str">
        <f t="shared" si="11"/>
        <v>ㆦ</v>
      </c>
      <c r="J41" s="89" t="str">
        <f t="shared" si="11"/>
        <v>˫</v>
      </c>
      <c r="K41" s="89" t="str">
        <f t="shared" si="11"/>
        <v>ㄉ</v>
      </c>
      <c r="L41" s="89" t="str">
        <f t="shared" si="12"/>
        <v/>
      </c>
      <c r="M41" s="89" t="str">
        <f t="shared" si="12"/>
        <v/>
      </c>
      <c r="N41" s="89" t="str">
        <f t="shared" si="12"/>
        <v/>
      </c>
      <c r="O41" s="89" t="str">
        <f t="shared" si="12"/>
        <v/>
      </c>
      <c r="P41" s="89" t="str">
        <f t="shared" si="12"/>
        <v/>
      </c>
      <c r="R41" s="89" t="e" vm="21">
        <f xml:space="preserve"> IFERROR( _xlfn.IMAGE(_xlfn.XLOOKUP(I41,按鍵位置表[方音符號], 按鍵位置表[Pict URL])), "")</f>
        <v>#VALUE!</v>
      </c>
      <c r="S41" s="89" t="e" vm="36">
        <f xml:space="preserve"> IFERROR( _xlfn.IMAGE(_xlfn.XLOOKUP(J41,按鍵位置表[方音符號], 按鍵位置表[Pict URL])), "")</f>
        <v>#VALUE!</v>
      </c>
      <c r="T41" s="89" t="e" vm="4">
        <f xml:space="preserve"> IFERROR( _xlfn.IMAGE(_xlfn.XLOOKUP(K41,按鍵位置表[方音符號], 按鍵位置表[Pict URL])), "")</f>
        <v>#VALUE!</v>
      </c>
      <c r="U41" s="89" t="str">
        <f xml:space="preserve"> IFERROR( _xlfn.IMAGE(_xlfn.XLOOKUP(L41,按鍵位置表[方音符號], 按鍵位置表[Pict URL])), "")</f>
        <v/>
      </c>
      <c r="V41" s="89" t="str">
        <f xml:space="preserve"> IFERROR( _xlfn.IMAGE(_xlfn.XLOOKUP(M41,按鍵位置表[方音符號], 按鍵位置表[Pict URL])), "")</f>
        <v/>
      </c>
      <c r="W41" s="89" t="str">
        <f xml:space="preserve"> IFERROR( _xlfn.IMAGE(_xlfn.XLOOKUP(N41,按鍵位置表[方音符號], 按鍵位置表[Pict URL])), "")</f>
        <v/>
      </c>
      <c r="X41" s="89" t="str">
        <f xml:space="preserve"> IFERROR( _xlfn.IMAGE(_xlfn.XLOOKUP(O41,按鍵位置表[方音符號], 按鍵位置表[Pict URL])), "")</f>
        <v/>
      </c>
      <c r="Y41" s="89" t="str">
        <f xml:space="preserve"> IFERROR( _xlfn.IMAGE(_xlfn.XLOOKUP(P41,按鍵位置表[方音符號], 按鍵位置表[Pict URL])), "")</f>
        <v/>
      </c>
    </row>
    <row r="42" spans="2:25" ht="45.75">
      <c r="B42" s="87" t="s">
        <v>184</v>
      </c>
      <c r="C42" s="90" t="s">
        <v>424</v>
      </c>
      <c r="D42" s="88" t="s">
        <v>251</v>
      </c>
      <c r="E42" s="93" t="str">
        <f t="shared" si="2"/>
        <v>ㆣㄧㆦㆻ˙</v>
      </c>
      <c r="F42" s="93" t="str">
        <f t="shared" si="3"/>
        <v>ㆣㄧㆦㆻ˙</v>
      </c>
      <c r="G42" s="94">
        <f t="shared" si="4"/>
        <v>5</v>
      </c>
      <c r="H42" s="94">
        <f t="shared" si="0"/>
        <v>12</v>
      </c>
      <c r="I42" s="89" t="str">
        <f t="shared" si="11"/>
        <v>ㄧ</v>
      </c>
      <c r="J42" s="89" t="str">
        <f t="shared" si="11"/>
        <v>ㆦ</v>
      </c>
      <c r="K42" s="89" t="str">
        <f t="shared" si="11"/>
        <v>ㆻ</v>
      </c>
      <c r="L42" s="89" t="str">
        <f t="shared" si="12"/>
        <v>˙</v>
      </c>
      <c r="M42" s="89" t="str">
        <f t="shared" si="12"/>
        <v>ㆣ</v>
      </c>
      <c r="N42" s="89" t="str">
        <f t="shared" si="12"/>
        <v/>
      </c>
      <c r="O42" s="89" t="str">
        <f t="shared" si="12"/>
        <v/>
      </c>
      <c r="P42" s="89" t="str">
        <f t="shared" si="12"/>
        <v/>
      </c>
      <c r="R42" s="89" t="e" vm="18">
        <f xml:space="preserve"> IFERROR( _xlfn.IMAGE(_xlfn.XLOOKUP(I42,按鍵位置表[方音符號], 按鍵位置表[Pict URL])), "")</f>
        <v>#VALUE!</v>
      </c>
      <c r="S42" s="89" t="e" vm="21">
        <f xml:space="preserve"> IFERROR( _xlfn.IMAGE(_xlfn.XLOOKUP(J42,按鍵位置表[方音符號], 按鍵位置表[Pict URL])), "")</f>
        <v>#VALUE!</v>
      </c>
      <c r="T42" s="89" t="e" vm="32">
        <f xml:space="preserve"> IFERROR( _xlfn.IMAGE(_xlfn.XLOOKUP(K42,按鍵位置表[方音符號], 按鍵位置表[Pict URL])), "")</f>
        <v>#VALUE!</v>
      </c>
      <c r="U42" s="89" t="e" vm="41">
        <f xml:space="preserve"> IFERROR( _xlfn.IMAGE(_xlfn.XLOOKUP(L42,按鍵位置表[方音符號], 按鍵位置表[Pict URL])), "")</f>
        <v>#VALUE!</v>
      </c>
      <c r="V42" s="89" t="e" vm="8">
        <f xml:space="preserve"> IFERROR( _xlfn.IMAGE(_xlfn.XLOOKUP(M42,按鍵位置表[方音符號], 按鍵位置表[Pict URL])), "")</f>
        <v>#VALUE!</v>
      </c>
      <c r="W42" s="89" t="str">
        <f xml:space="preserve"> IFERROR( _xlfn.IMAGE(_xlfn.XLOOKUP(N42,按鍵位置表[方音符號], 按鍵位置表[Pict URL])), "")</f>
        <v/>
      </c>
      <c r="X42" s="89" t="str">
        <f xml:space="preserve"> IFERROR( _xlfn.IMAGE(_xlfn.XLOOKUP(O42,按鍵位置表[方音符號], 按鍵位置表[Pict URL])), "")</f>
        <v/>
      </c>
      <c r="Y42" s="89" t="str">
        <f xml:space="preserve"> IFERROR( _xlfn.IMAGE(_xlfn.XLOOKUP(P42,按鍵位置表[方音符號], 按鍵位置表[Pict URL])), "")</f>
        <v/>
      </c>
    </row>
    <row r="43" spans="2:25" ht="45.75">
      <c r="B43" s="87" t="s">
        <v>185</v>
      </c>
      <c r="C43" s="90" t="s">
        <v>425</v>
      </c>
      <c r="D43" s="88" t="s">
        <v>253</v>
      </c>
      <c r="E43" s="93" t="str">
        <f t="shared" si="2"/>
        <v>ㆠㄨㄣˊ</v>
      </c>
      <c r="F43" s="93" t="str">
        <f t="shared" si="3"/>
        <v>ㆠㄨㄣˊ</v>
      </c>
      <c r="G43" s="94">
        <f t="shared" si="4"/>
        <v>4</v>
      </c>
      <c r="H43" s="94">
        <f t="shared" si="0"/>
        <v>5</v>
      </c>
      <c r="I43" s="89" t="str">
        <f t="shared" si="11"/>
        <v>ㄨ</v>
      </c>
      <c r="J43" s="89" t="str">
        <f t="shared" si="11"/>
        <v>ㄣ</v>
      </c>
      <c r="K43" s="89" t="str">
        <f t="shared" si="11"/>
        <v>ˊ</v>
      </c>
      <c r="L43" s="89" t="str">
        <f t="shared" si="12"/>
        <v>ㆠ</v>
      </c>
      <c r="M43" s="89" t="str">
        <f t="shared" si="12"/>
        <v/>
      </c>
      <c r="N43" s="89" t="str">
        <f t="shared" si="12"/>
        <v/>
      </c>
      <c r="O43" s="89" t="str">
        <f t="shared" si="12"/>
        <v/>
      </c>
      <c r="P43" s="89" t="str">
        <f t="shared" si="12"/>
        <v/>
      </c>
      <c r="R43" s="89" t="e" vm="19">
        <f xml:space="preserve"> IFERROR( _xlfn.IMAGE(_xlfn.XLOOKUP(I43,按鍵位置表[方音符號], 按鍵位置表[Pict URL])), "")</f>
        <v>#VALUE!</v>
      </c>
      <c r="S43" s="89" t="e" vm="26">
        <f xml:space="preserve"> IFERROR( _xlfn.IMAGE(_xlfn.XLOOKUP(J43,按鍵位置表[方音符號], 按鍵位置表[Pict URL])), "")</f>
        <v>#VALUE!</v>
      </c>
      <c r="T43" s="89" t="e" vm="39">
        <f xml:space="preserve"> IFERROR( _xlfn.IMAGE(_xlfn.XLOOKUP(K43,按鍵位置表[方音符號], 按鍵位置表[Pict URL])), "")</f>
        <v>#VALUE!</v>
      </c>
      <c r="U43" s="89" t="e" vm="1">
        <f xml:space="preserve"> IFERROR( _xlfn.IMAGE(_xlfn.XLOOKUP(L43,按鍵位置表[方音符號], 按鍵位置表[Pict URL])), "")</f>
        <v>#VALUE!</v>
      </c>
      <c r="V43" s="89" t="str">
        <f xml:space="preserve"> IFERROR( _xlfn.IMAGE(_xlfn.XLOOKUP(M43,按鍵位置表[方音符號], 按鍵位置表[Pict URL])), "")</f>
        <v/>
      </c>
      <c r="W43" s="89" t="str">
        <f xml:space="preserve"> IFERROR( _xlfn.IMAGE(_xlfn.XLOOKUP(N43,按鍵位置表[方音符號], 按鍵位置表[Pict URL])), "")</f>
        <v/>
      </c>
      <c r="X43" s="89" t="str">
        <f xml:space="preserve"> IFERROR( _xlfn.IMAGE(_xlfn.XLOOKUP(O43,按鍵位置表[方音符號], 按鍵位置表[Pict URL])), "")</f>
        <v/>
      </c>
      <c r="Y43" s="89" t="str">
        <f xml:space="preserve"> IFERROR( _xlfn.IMAGE(_xlfn.XLOOKUP(P43,按鍵位置表[方音符號], 按鍵位置表[Pict URL])), "")</f>
        <v/>
      </c>
    </row>
    <row r="44" spans="2:25" ht="45.75">
      <c r="B44" s="87" t="s">
        <v>186</v>
      </c>
      <c r="C44" s="90" t="s">
        <v>426</v>
      </c>
      <c r="D44" s="88" t="s">
        <v>254</v>
      </c>
      <c r="E44" s="93" t="str">
        <f t="shared" si="2"/>
        <v>ㄍㄨㄢ</v>
      </c>
      <c r="F44" s="93" t="str">
        <f t="shared" si="3"/>
        <v>ㄍㄨㄢ1</v>
      </c>
      <c r="G44" s="94">
        <f t="shared" si="4"/>
        <v>4</v>
      </c>
      <c r="H44" s="94">
        <f t="shared" si="0"/>
        <v>10</v>
      </c>
      <c r="I44" s="89" t="str">
        <f t="shared" si="11"/>
        <v>ㄨ</v>
      </c>
      <c r="J44" s="89" t="str">
        <f t="shared" si="11"/>
        <v>ㄢ</v>
      </c>
      <c r="K44" s="89" t="str">
        <f t="shared" si="11"/>
        <v>"</v>
      </c>
      <c r="L44" s="89" t="str">
        <f t="shared" si="12"/>
        <v>ㄍ</v>
      </c>
      <c r="M44" s="89" t="str">
        <f t="shared" si="12"/>
        <v/>
      </c>
      <c r="N44" s="89" t="str">
        <f t="shared" si="12"/>
        <v/>
      </c>
      <c r="O44" s="89" t="str">
        <f t="shared" si="12"/>
        <v/>
      </c>
      <c r="P44" s="89" t="str">
        <f t="shared" si="12"/>
        <v/>
      </c>
      <c r="R44" s="89" t="e" vm="19">
        <f xml:space="preserve"> IFERROR( _xlfn.IMAGE(_xlfn.XLOOKUP(I44,按鍵位置表[方音符號], 按鍵位置表[Pict URL])), "")</f>
        <v>#VALUE!</v>
      </c>
      <c r="S44" s="89" t="e" vm="25">
        <f xml:space="preserve"> IFERROR( _xlfn.IMAGE(_xlfn.XLOOKUP(J44,按鍵位置表[方音符號], 按鍵位置表[Pict URL])), "")</f>
        <v>#VALUE!</v>
      </c>
      <c r="T44" s="89" t="e" vm="35">
        <f xml:space="preserve"> IFERROR( _xlfn.IMAGE(_xlfn.XLOOKUP(K44,按鍵位置表[方音符號], 按鍵位置表[Pict URL])), "")</f>
        <v>#VALUE!</v>
      </c>
      <c r="U44" s="89" t="e" vm="8">
        <f xml:space="preserve"> IFERROR( _xlfn.IMAGE(_xlfn.XLOOKUP(L44,按鍵位置表[方音符號], 按鍵位置表[Pict URL])), "")</f>
        <v>#VALUE!</v>
      </c>
      <c r="V44" s="89" t="str">
        <f xml:space="preserve"> IFERROR( _xlfn.IMAGE(_xlfn.XLOOKUP(M44,按鍵位置表[方音符號], 按鍵位置表[Pict URL])), "")</f>
        <v/>
      </c>
      <c r="W44" s="89" t="str">
        <f xml:space="preserve"> IFERROR( _xlfn.IMAGE(_xlfn.XLOOKUP(N44,按鍵位置表[方音符號], 按鍵位置表[Pict URL])), "")</f>
        <v/>
      </c>
      <c r="X44" s="89" t="str">
        <f xml:space="preserve"> IFERROR( _xlfn.IMAGE(_xlfn.XLOOKUP(O44,按鍵位置表[方音符號], 按鍵位置表[Pict URL])), "")</f>
        <v/>
      </c>
      <c r="Y44" s="89" t="str">
        <f xml:space="preserve"> IFERROR( _xlfn.IMAGE(_xlfn.XLOOKUP(P44,按鍵位置表[方音符號], 按鍵位置表[Pict URL])), "")</f>
        <v/>
      </c>
    </row>
    <row r="45" spans="2:25" ht="45.75">
      <c r="B45" s="87" t="s">
        <v>159</v>
      </c>
      <c r="C45" s="90"/>
      <c r="D45" s="88"/>
      <c r="E45" s="93" t="str">
        <f t="shared" si="2"/>
        <v/>
      </c>
      <c r="F45" s="93" t="str">
        <f t="shared" si="3"/>
        <v/>
      </c>
      <c r="G45" s="94" t="str">
        <f t="shared" si="4"/>
        <v/>
      </c>
      <c r="H45" s="94" t="str">
        <f t="shared" si="0"/>
        <v/>
      </c>
      <c r="I45" s="89" t="str">
        <f t="shared" si="11"/>
        <v/>
      </c>
      <c r="J45" s="89" t="str">
        <f t="shared" si="11"/>
        <v/>
      </c>
      <c r="K45" s="89" t="str">
        <f t="shared" si="11"/>
        <v/>
      </c>
      <c r="L45" s="89" t="str">
        <f t="shared" si="12"/>
        <v/>
      </c>
      <c r="M45" s="89" t="str">
        <f t="shared" si="12"/>
        <v/>
      </c>
      <c r="N45" s="89" t="str">
        <f t="shared" si="12"/>
        <v/>
      </c>
      <c r="O45" s="89" t="str">
        <f t="shared" si="12"/>
        <v/>
      </c>
      <c r="P45" s="89" t="str">
        <f t="shared" si="12"/>
        <v/>
      </c>
      <c r="R45" s="89" t="str">
        <f xml:space="preserve"> IFERROR( _xlfn.IMAGE(_xlfn.XLOOKUP(I45,按鍵位置表[方音符號], 按鍵位置表[Pict URL])), "")</f>
        <v/>
      </c>
      <c r="S45" s="89" t="str">
        <f xml:space="preserve"> IFERROR( _xlfn.IMAGE(_xlfn.XLOOKUP(J45,按鍵位置表[方音符號], 按鍵位置表[Pict URL])), "")</f>
        <v/>
      </c>
      <c r="T45" s="89" t="str">
        <f xml:space="preserve"> IFERROR( _xlfn.IMAGE(_xlfn.XLOOKUP(K45,按鍵位置表[方音符號], 按鍵位置表[Pict URL])), "")</f>
        <v/>
      </c>
      <c r="U45" s="89" t="str">
        <f xml:space="preserve"> IFERROR( _xlfn.IMAGE(_xlfn.XLOOKUP(L45,按鍵位置表[方音符號], 按鍵位置表[Pict URL])), "")</f>
        <v/>
      </c>
      <c r="V45" s="89" t="str">
        <f xml:space="preserve"> IFERROR( _xlfn.IMAGE(_xlfn.XLOOKUP(M45,按鍵位置表[方音符號], 按鍵位置表[Pict URL])), "")</f>
        <v/>
      </c>
      <c r="W45" s="89" t="str">
        <f xml:space="preserve"> IFERROR( _xlfn.IMAGE(_xlfn.XLOOKUP(N45,按鍵位置表[方音符號], 按鍵位置表[Pict URL])), "")</f>
        <v/>
      </c>
      <c r="X45" s="89" t="str">
        <f xml:space="preserve"> IFERROR( _xlfn.IMAGE(_xlfn.XLOOKUP(O45,按鍵位置表[方音符號], 按鍵位置表[Pict URL])), "")</f>
        <v/>
      </c>
      <c r="Y45" s="89" t="str">
        <f xml:space="preserve"> IFERROR( _xlfn.IMAGE(_xlfn.XLOOKUP(P45,按鍵位置表[方音符號], 按鍵位置表[Pict URL])), "")</f>
        <v/>
      </c>
    </row>
    <row r="46" spans="2:25">
      <c r="B46"/>
      <c r="D46"/>
      <c r="E46"/>
      <c r="F46"/>
      <c r="G46"/>
      <c r="H46"/>
      <c r="I46"/>
      <c r="J46"/>
      <c r="K46"/>
      <c r="L46"/>
      <c r="M46"/>
      <c r="N46"/>
      <c r="O46"/>
      <c r="P46"/>
      <c r="R46"/>
      <c r="S46"/>
      <c r="T46"/>
      <c r="U46"/>
      <c r="V46"/>
      <c r="W46"/>
      <c r="X46"/>
      <c r="Y46"/>
    </row>
    <row r="47" spans="2:25">
      <c r="B47"/>
      <c r="D47"/>
      <c r="E47"/>
      <c r="F47"/>
      <c r="G47"/>
      <c r="H47"/>
      <c r="I47"/>
      <c r="J47"/>
      <c r="K47"/>
      <c r="L47"/>
      <c r="M47"/>
      <c r="N47"/>
      <c r="O47"/>
      <c r="P47"/>
      <c r="R47"/>
      <c r="S47"/>
      <c r="T47"/>
      <c r="U47"/>
      <c r="V47"/>
      <c r="W47"/>
      <c r="X47"/>
      <c r="Y47"/>
    </row>
    <row r="48" spans="2:25">
      <c r="B48"/>
      <c r="D48"/>
      <c r="E48"/>
      <c r="F48"/>
      <c r="G48"/>
      <c r="H48"/>
      <c r="I48"/>
      <c r="J48"/>
      <c r="K48"/>
      <c r="L48"/>
      <c r="M48"/>
      <c r="N48"/>
      <c r="O48"/>
      <c r="P48"/>
      <c r="R48"/>
      <c r="S48"/>
      <c r="T48"/>
      <c r="U48"/>
      <c r="V48"/>
      <c r="W48"/>
      <c r="X48"/>
      <c r="Y48"/>
    </row>
    <row r="49" spans="2:25">
      <c r="B49"/>
      <c r="D49"/>
      <c r="E49"/>
      <c r="F49"/>
      <c r="G49"/>
      <c r="H49"/>
      <c r="I49"/>
      <c r="J49"/>
      <c r="K49"/>
      <c r="L49"/>
      <c r="M49"/>
      <c r="N49"/>
      <c r="O49"/>
      <c r="P49"/>
      <c r="R49"/>
      <c r="S49"/>
      <c r="T49"/>
      <c r="U49"/>
      <c r="V49"/>
      <c r="W49"/>
      <c r="X49"/>
      <c r="Y49"/>
    </row>
    <row r="50" spans="2:25">
      <c r="B50"/>
      <c r="D50"/>
      <c r="E50"/>
      <c r="F50"/>
      <c r="G50"/>
      <c r="H50"/>
      <c r="I50"/>
      <c r="J50"/>
      <c r="K50"/>
      <c r="L50"/>
      <c r="M50"/>
      <c r="N50"/>
      <c r="O50"/>
      <c r="P50"/>
      <c r="R50"/>
      <c r="S50"/>
      <c r="T50"/>
      <c r="U50"/>
      <c r="V50"/>
      <c r="W50"/>
      <c r="X50"/>
      <c r="Y50"/>
    </row>
    <row r="51" spans="2:25">
      <c r="B51"/>
      <c r="D51"/>
      <c r="E51"/>
      <c r="F51"/>
      <c r="G51"/>
      <c r="H51"/>
      <c r="I51"/>
      <c r="J51"/>
      <c r="K51"/>
      <c r="L51"/>
      <c r="M51"/>
      <c r="N51"/>
      <c r="O51"/>
      <c r="P51"/>
      <c r="R51"/>
      <c r="S51"/>
      <c r="T51"/>
      <c r="U51"/>
      <c r="V51"/>
      <c r="W51"/>
      <c r="X51"/>
      <c r="Y51"/>
    </row>
    <row r="52" spans="2:25">
      <c r="B52"/>
      <c r="D52"/>
      <c r="E52"/>
      <c r="F52"/>
      <c r="G52"/>
      <c r="H52"/>
      <c r="I52"/>
      <c r="J52"/>
      <c r="K52"/>
      <c r="L52"/>
      <c r="M52"/>
      <c r="N52"/>
      <c r="O52"/>
      <c r="P52"/>
      <c r="R52"/>
      <c r="S52"/>
      <c r="T52"/>
      <c r="U52"/>
      <c r="V52"/>
      <c r="W52"/>
      <c r="X52"/>
      <c r="Y52"/>
    </row>
    <row r="53" spans="2:25">
      <c r="B53"/>
      <c r="D53"/>
      <c r="E53"/>
      <c r="F53"/>
      <c r="G53"/>
      <c r="H53"/>
      <c r="I53"/>
      <c r="J53"/>
      <c r="K53"/>
      <c r="L53"/>
      <c r="M53"/>
      <c r="N53"/>
      <c r="O53"/>
      <c r="P53"/>
      <c r="R53"/>
      <c r="S53"/>
      <c r="T53"/>
      <c r="U53"/>
      <c r="V53"/>
      <c r="W53"/>
      <c r="X53"/>
      <c r="Y53"/>
    </row>
    <row r="54" spans="2:25">
      <c r="B54"/>
      <c r="D54"/>
      <c r="E54"/>
      <c r="F54"/>
      <c r="G54"/>
      <c r="H54"/>
      <c r="I54"/>
      <c r="J54"/>
      <c r="K54"/>
      <c r="L54"/>
      <c r="M54"/>
      <c r="N54"/>
      <c r="O54"/>
      <c r="P54"/>
      <c r="R54"/>
      <c r="S54"/>
      <c r="T54"/>
      <c r="U54"/>
      <c r="V54"/>
      <c r="W54"/>
      <c r="X54"/>
      <c r="Y54"/>
    </row>
    <row r="55" spans="2:25">
      <c r="B55"/>
      <c r="D55"/>
      <c r="E55"/>
      <c r="F55"/>
      <c r="G55"/>
      <c r="H55"/>
      <c r="I55"/>
      <c r="J55"/>
      <c r="K55"/>
      <c r="L55"/>
      <c r="M55"/>
      <c r="N55"/>
      <c r="O55"/>
      <c r="P55"/>
      <c r="R55"/>
      <c r="S55"/>
      <c r="T55"/>
      <c r="U55"/>
      <c r="V55"/>
      <c r="W55"/>
      <c r="X55"/>
      <c r="Y55"/>
    </row>
    <row r="56" spans="2:25"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R56"/>
      <c r="S56"/>
      <c r="T56"/>
      <c r="U56"/>
      <c r="V56"/>
      <c r="W56"/>
      <c r="X56"/>
      <c r="Y56"/>
    </row>
    <row r="57" spans="2:25">
      <c r="B57"/>
      <c r="D57"/>
      <c r="E57"/>
      <c r="F57"/>
      <c r="G57"/>
      <c r="H57"/>
      <c r="I57"/>
      <c r="J57"/>
      <c r="K57"/>
      <c r="L57"/>
      <c r="M57"/>
      <c r="N57"/>
      <c r="O57"/>
      <c r="P57"/>
      <c r="R57"/>
      <c r="S57"/>
      <c r="T57"/>
      <c r="U57"/>
      <c r="V57"/>
      <c r="W57"/>
      <c r="X57"/>
      <c r="Y57"/>
    </row>
    <row r="58" spans="2:25"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R58"/>
      <c r="S58"/>
      <c r="T58"/>
      <c r="U58"/>
      <c r="V58"/>
      <c r="W58"/>
      <c r="X58"/>
      <c r="Y58"/>
    </row>
    <row r="59" spans="2:25">
      <c r="B59"/>
      <c r="D59"/>
      <c r="E59"/>
      <c r="F59"/>
      <c r="G59"/>
      <c r="H59"/>
      <c r="I59"/>
      <c r="J59"/>
      <c r="K59"/>
      <c r="L59"/>
      <c r="M59"/>
      <c r="N59"/>
      <c r="O59"/>
      <c r="P59"/>
      <c r="R59"/>
      <c r="S59"/>
      <c r="T59"/>
      <c r="U59"/>
      <c r="V59"/>
      <c r="W59"/>
      <c r="X59"/>
      <c r="Y59"/>
    </row>
    <row r="60" spans="2:25">
      <c r="B60"/>
      <c r="D60"/>
      <c r="E60"/>
      <c r="F60"/>
      <c r="G60"/>
      <c r="H60"/>
      <c r="I60"/>
      <c r="J60"/>
      <c r="K60"/>
      <c r="L60"/>
      <c r="M60"/>
      <c r="N60"/>
      <c r="O60"/>
      <c r="P60"/>
      <c r="R60"/>
      <c r="S60"/>
      <c r="T60"/>
      <c r="U60"/>
      <c r="V60"/>
      <c r="W60"/>
      <c r="X60"/>
      <c r="Y60"/>
    </row>
    <row r="61" spans="2:25">
      <c r="B61"/>
      <c r="D61"/>
      <c r="E61"/>
      <c r="F61"/>
      <c r="G61"/>
      <c r="H61"/>
      <c r="I61"/>
      <c r="J61"/>
      <c r="K61"/>
      <c r="L61"/>
      <c r="M61"/>
      <c r="N61"/>
      <c r="O61"/>
      <c r="P61"/>
      <c r="R61"/>
      <c r="S61"/>
      <c r="T61"/>
      <c r="U61"/>
      <c r="V61"/>
      <c r="W61"/>
      <c r="X61"/>
      <c r="Y61"/>
    </row>
    <row r="62" spans="2:25">
      <c r="B62"/>
      <c r="D62"/>
      <c r="E62"/>
      <c r="F62"/>
      <c r="G62"/>
      <c r="H62"/>
      <c r="I62"/>
      <c r="J62"/>
      <c r="K62"/>
      <c r="L62"/>
      <c r="M62"/>
      <c r="N62"/>
      <c r="O62"/>
      <c r="P62"/>
      <c r="R62"/>
      <c r="S62"/>
      <c r="T62"/>
      <c r="U62"/>
      <c r="V62"/>
      <c r="W62"/>
      <c r="X62"/>
      <c r="Y62"/>
    </row>
    <row r="63" spans="2:25">
      <c r="B63"/>
      <c r="D63"/>
      <c r="E63"/>
      <c r="F63"/>
      <c r="G63"/>
      <c r="H63"/>
      <c r="I63"/>
      <c r="J63"/>
      <c r="K63"/>
      <c r="L63"/>
      <c r="M63"/>
      <c r="N63"/>
      <c r="O63"/>
      <c r="P63"/>
      <c r="R63"/>
      <c r="S63"/>
      <c r="T63"/>
      <c r="U63"/>
      <c r="V63"/>
      <c r="W63"/>
      <c r="X63"/>
      <c r="Y63"/>
    </row>
    <row r="64" spans="2:25">
      <c r="B64"/>
      <c r="D64"/>
      <c r="E64"/>
      <c r="F64"/>
      <c r="G64"/>
      <c r="H64"/>
      <c r="I64"/>
      <c r="J64"/>
      <c r="K64"/>
      <c r="L64"/>
      <c r="M64"/>
      <c r="N64"/>
      <c r="O64"/>
      <c r="P64"/>
      <c r="R64"/>
      <c r="S64"/>
      <c r="T64"/>
      <c r="U64"/>
      <c r="V64"/>
      <c r="W64"/>
      <c r="X64"/>
      <c r="Y64"/>
    </row>
    <row r="65" spans="2:25">
      <c r="B65"/>
      <c r="D65"/>
      <c r="E65"/>
      <c r="F65"/>
      <c r="G65"/>
      <c r="H65"/>
      <c r="I65"/>
      <c r="J65"/>
      <c r="K65"/>
      <c r="L65"/>
      <c r="M65"/>
      <c r="N65"/>
      <c r="O65"/>
      <c r="P65"/>
      <c r="R65"/>
      <c r="S65"/>
      <c r="T65"/>
      <c r="U65"/>
      <c r="V65"/>
      <c r="W65"/>
      <c r="X65"/>
      <c r="Y65"/>
    </row>
    <row r="66" spans="2:25">
      <c r="B66"/>
      <c r="D66"/>
      <c r="E66"/>
      <c r="F66"/>
      <c r="G66"/>
      <c r="H66"/>
      <c r="I66"/>
      <c r="J66"/>
      <c r="K66"/>
      <c r="L66"/>
      <c r="M66"/>
      <c r="N66"/>
      <c r="O66"/>
      <c r="P66"/>
      <c r="R66"/>
      <c r="S66"/>
      <c r="T66"/>
      <c r="U66"/>
      <c r="V66"/>
      <c r="W66"/>
      <c r="X66"/>
      <c r="Y66"/>
    </row>
    <row r="67" spans="2:25">
      <c r="B67"/>
      <c r="D67"/>
      <c r="E67"/>
      <c r="F67"/>
      <c r="G67"/>
      <c r="H67"/>
      <c r="I67"/>
      <c r="J67"/>
      <c r="K67"/>
      <c r="L67"/>
      <c r="M67"/>
      <c r="N67"/>
      <c r="O67"/>
      <c r="P67"/>
      <c r="R67"/>
      <c r="S67"/>
      <c r="T67"/>
      <c r="U67"/>
      <c r="V67"/>
      <c r="W67"/>
      <c r="X67"/>
      <c r="Y67"/>
    </row>
    <row r="68" spans="2:25"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R68"/>
      <c r="S68"/>
      <c r="T68"/>
      <c r="U68"/>
      <c r="V68"/>
      <c r="W68"/>
      <c r="X68"/>
      <c r="Y68"/>
    </row>
    <row r="69" spans="2:25"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R69"/>
      <c r="S69"/>
      <c r="T69"/>
      <c r="U69"/>
      <c r="V69"/>
      <c r="W69"/>
      <c r="X69"/>
      <c r="Y69"/>
    </row>
    <row r="70" spans="2:25"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R70"/>
      <c r="S70"/>
      <c r="T70"/>
      <c r="U70"/>
      <c r="V70"/>
      <c r="W70"/>
      <c r="X70"/>
      <c r="Y70"/>
    </row>
    <row r="71" spans="2:25"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R71"/>
      <c r="S71"/>
      <c r="T71"/>
      <c r="U71"/>
      <c r="V71"/>
      <c r="W71"/>
      <c r="X71"/>
      <c r="Y71"/>
    </row>
    <row r="72" spans="2:25">
      <c r="B72"/>
      <c r="D72"/>
      <c r="E72"/>
      <c r="F72"/>
      <c r="G72"/>
      <c r="H72"/>
      <c r="I72"/>
      <c r="J72"/>
      <c r="K72"/>
      <c r="L72"/>
      <c r="M72"/>
      <c r="N72"/>
      <c r="O72"/>
      <c r="P72"/>
      <c r="R72"/>
      <c r="S72"/>
      <c r="T72"/>
      <c r="U72"/>
      <c r="V72"/>
      <c r="W72"/>
      <c r="X72"/>
      <c r="Y72"/>
    </row>
    <row r="73" spans="2:25">
      <c r="B73"/>
      <c r="D73"/>
      <c r="E73"/>
      <c r="F73"/>
      <c r="G73"/>
      <c r="H73"/>
      <c r="I73"/>
      <c r="J73"/>
      <c r="K73"/>
      <c r="L73"/>
      <c r="M73"/>
      <c r="N73"/>
      <c r="O73"/>
      <c r="P73"/>
      <c r="R73"/>
      <c r="S73"/>
      <c r="T73"/>
      <c r="U73"/>
      <c r="V73"/>
      <c r="W73"/>
      <c r="X73"/>
      <c r="Y73"/>
    </row>
    <row r="74" spans="2:25"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R74"/>
      <c r="S74"/>
      <c r="T74"/>
      <c r="U74"/>
      <c r="V74"/>
      <c r="W74"/>
      <c r="X74"/>
      <c r="Y74"/>
    </row>
    <row r="75" spans="2:25">
      <c r="B75"/>
      <c r="D75"/>
      <c r="E75"/>
      <c r="F75"/>
      <c r="G75"/>
      <c r="H75"/>
      <c r="I75"/>
      <c r="J75"/>
      <c r="K75"/>
      <c r="L75"/>
      <c r="M75"/>
      <c r="N75"/>
      <c r="O75"/>
      <c r="P75"/>
      <c r="R75"/>
      <c r="S75"/>
      <c r="T75"/>
      <c r="U75"/>
      <c r="V75"/>
      <c r="W75"/>
      <c r="X75"/>
      <c r="Y75"/>
    </row>
    <row r="76" spans="2:25"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R76"/>
      <c r="S76"/>
      <c r="T76"/>
      <c r="U76"/>
      <c r="V76"/>
      <c r="W76"/>
      <c r="X76"/>
      <c r="Y76"/>
    </row>
    <row r="77" spans="2:25">
      <c r="B77"/>
      <c r="D77"/>
      <c r="E77"/>
      <c r="F77"/>
      <c r="G77"/>
      <c r="H77"/>
      <c r="I77"/>
      <c r="J77"/>
      <c r="K77"/>
      <c r="L77"/>
      <c r="M77"/>
      <c r="N77"/>
      <c r="O77"/>
      <c r="P77"/>
      <c r="R77"/>
      <c r="S77"/>
      <c r="T77"/>
      <c r="U77"/>
      <c r="V77"/>
      <c r="W77"/>
      <c r="X77"/>
      <c r="Y77"/>
    </row>
    <row r="78" spans="2:25">
      <c r="B78"/>
      <c r="D78"/>
      <c r="E78"/>
      <c r="F78"/>
      <c r="G78"/>
      <c r="H78"/>
      <c r="I78"/>
      <c r="J78"/>
      <c r="K78"/>
      <c r="L78"/>
      <c r="M78"/>
      <c r="N78"/>
      <c r="O78"/>
      <c r="P78"/>
      <c r="R78"/>
      <c r="S78"/>
      <c r="T78"/>
      <c r="U78"/>
      <c r="V78"/>
      <c r="W78"/>
      <c r="X78"/>
      <c r="Y78"/>
    </row>
    <row r="79" spans="2:25">
      <c r="B79"/>
      <c r="D79"/>
      <c r="E79"/>
      <c r="F79"/>
      <c r="G79"/>
      <c r="H79"/>
      <c r="I79"/>
      <c r="J79"/>
      <c r="K79"/>
      <c r="L79"/>
      <c r="M79"/>
      <c r="N79"/>
      <c r="O79"/>
      <c r="P79"/>
      <c r="R79"/>
      <c r="S79"/>
      <c r="T79"/>
      <c r="U79"/>
      <c r="V79"/>
      <c r="W79"/>
      <c r="X79"/>
      <c r="Y79"/>
    </row>
    <row r="80" spans="2:25">
      <c r="B80"/>
      <c r="D80"/>
      <c r="E80"/>
      <c r="F80"/>
      <c r="G80"/>
      <c r="H80"/>
      <c r="I80"/>
      <c r="J80"/>
      <c r="K80"/>
      <c r="L80"/>
      <c r="M80"/>
      <c r="N80"/>
      <c r="O80"/>
      <c r="P80"/>
      <c r="R80"/>
      <c r="S80"/>
      <c r="T80"/>
      <c r="U80"/>
      <c r="V80"/>
      <c r="W80"/>
      <c r="X80"/>
      <c r="Y80"/>
    </row>
    <row r="81" spans="2:25">
      <c r="B81"/>
      <c r="D81"/>
      <c r="E81"/>
      <c r="F81"/>
      <c r="G81"/>
      <c r="H81"/>
      <c r="I81"/>
      <c r="J81"/>
      <c r="K81"/>
      <c r="L81"/>
      <c r="M81"/>
      <c r="N81"/>
      <c r="O81"/>
      <c r="P81"/>
      <c r="R81"/>
      <c r="S81"/>
      <c r="T81"/>
      <c r="U81"/>
      <c r="V81"/>
      <c r="W81"/>
      <c r="X81"/>
      <c r="Y81"/>
    </row>
    <row r="82" spans="2:25">
      <c r="B82"/>
      <c r="D82"/>
      <c r="E82"/>
      <c r="F82"/>
      <c r="G82"/>
      <c r="H82"/>
      <c r="I82"/>
      <c r="J82"/>
      <c r="K82"/>
      <c r="L82"/>
      <c r="M82"/>
      <c r="N82"/>
      <c r="O82"/>
      <c r="P82"/>
      <c r="R82"/>
      <c r="S82"/>
      <c r="T82"/>
      <c r="U82"/>
      <c r="V82"/>
      <c r="W82"/>
      <c r="X82"/>
      <c r="Y82"/>
    </row>
    <row r="83" spans="2:25"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R83"/>
      <c r="S83"/>
      <c r="T83"/>
      <c r="U83"/>
      <c r="V83"/>
      <c r="W83"/>
      <c r="X83"/>
      <c r="Y83"/>
    </row>
    <row r="84" spans="2:25"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R84"/>
      <c r="S84"/>
      <c r="T84"/>
      <c r="U84"/>
      <c r="V84"/>
      <c r="W84"/>
      <c r="X84"/>
      <c r="Y84"/>
    </row>
    <row r="85" spans="2:25"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R85"/>
      <c r="S85"/>
      <c r="T85"/>
      <c r="U85"/>
      <c r="V85"/>
      <c r="W85"/>
      <c r="X85"/>
      <c r="Y85"/>
    </row>
    <row r="86" spans="2:25"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R86"/>
      <c r="S86"/>
      <c r="T86"/>
      <c r="U86"/>
      <c r="V86"/>
      <c r="W86"/>
      <c r="X86"/>
      <c r="Y86"/>
    </row>
    <row r="87" spans="2:25">
      <c r="B87"/>
      <c r="D87"/>
      <c r="E87"/>
      <c r="F87"/>
      <c r="G87"/>
      <c r="H87"/>
      <c r="I87"/>
      <c r="J87"/>
      <c r="K87"/>
      <c r="L87"/>
      <c r="M87"/>
      <c r="N87"/>
      <c r="O87"/>
      <c r="P87"/>
      <c r="R87"/>
      <c r="S87"/>
      <c r="T87"/>
      <c r="U87"/>
      <c r="V87"/>
      <c r="W87"/>
      <c r="X87"/>
      <c r="Y87"/>
    </row>
    <row r="88" spans="2:25">
      <c r="B88"/>
      <c r="D88"/>
      <c r="E88"/>
      <c r="F88"/>
      <c r="G88"/>
      <c r="H88"/>
      <c r="I88"/>
      <c r="J88"/>
      <c r="K88"/>
      <c r="L88"/>
      <c r="M88"/>
      <c r="N88"/>
      <c r="O88"/>
      <c r="P88"/>
      <c r="R88"/>
      <c r="S88"/>
      <c r="T88"/>
      <c r="U88"/>
      <c r="V88"/>
      <c r="W88"/>
      <c r="X88"/>
      <c r="Y88"/>
    </row>
    <row r="89" spans="2:25">
      <c r="B89"/>
      <c r="D89"/>
      <c r="E89"/>
      <c r="F89"/>
      <c r="G89"/>
      <c r="H89"/>
      <c r="I89"/>
      <c r="J89"/>
      <c r="K89"/>
      <c r="L89"/>
      <c r="M89"/>
      <c r="N89"/>
      <c r="O89"/>
      <c r="P89"/>
      <c r="R89"/>
      <c r="S89"/>
      <c r="T89"/>
      <c r="U89"/>
      <c r="V89"/>
      <c r="W89"/>
      <c r="X89"/>
      <c r="Y89"/>
    </row>
    <row r="90" spans="2:25">
      <c r="B90"/>
      <c r="D90"/>
      <c r="E90"/>
      <c r="F90"/>
      <c r="G90"/>
      <c r="H90"/>
      <c r="I90"/>
      <c r="J90"/>
      <c r="K90"/>
      <c r="L90"/>
      <c r="M90"/>
      <c r="N90"/>
      <c r="O90"/>
      <c r="P90"/>
      <c r="R90"/>
      <c r="S90"/>
      <c r="T90"/>
      <c r="U90"/>
      <c r="V90"/>
      <c r="W90"/>
      <c r="X90"/>
      <c r="Y90"/>
    </row>
    <row r="91" spans="2:25">
      <c r="B91"/>
      <c r="D91"/>
      <c r="E91"/>
      <c r="F91"/>
      <c r="G91"/>
      <c r="H91"/>
      <c r="I91"/>
      <c r="J91"/>
      <c r="K91"/>
      <c r="L91"/>
      <c r="M91"/>
      <c r="N91"/>
      <c r="O91"/>
      <c r="P91"/>
      <c r="R91"/>
      <c r="S91"/>
      <c r="T91"/>
      <c r="U91"/>
      <c r="V91"/>
      <c r="W91"/>
      <c r="X91"/>
      <c r="Y91"/>
    </row>
    <row r="92" spans="2:25">
      <c r="B92"/>
      <c r="D92"/>
      <c r="E92"/>
      <c r="F92"/>
      <c r="G92"/>
      <c r="H92"/>
      <c r="I92"/>
      <c r="J92"/>
      <c r="K92"/>
      <c r="L92"/>
      <c r="M92"/>
      <c r="N92"/>
      <c r="O92"/>
      <c r="P92"/>
      <c r="R92"/>
      <c r="S92"/>
      <c r="T92"/>
      <c r="U92"/>
      <c r="V92"/>
      <c r="W92"/>
      <c r="X92"/>
      <c r="Y92"/>
    </row>
    <row r="93" spans="2:25">
      <c r="B93"/>
      <c r="D93"/>
      <c r="E93"/>
      <c r="F93"/>
      <c r="G93"/>
      <c r="H93"/>
      <c r="I93"/>
      <c r="J93"/>
      <c r="K93"/>
      <c r="L93"/>
      <c r="M93"/>
      <c r="N93"/>
      <c r="O93"/>
      <c r="P93"/>
      <c r="R93"/>
      <c r="S93"/>
      <c r="T93"/>
      <c r="U93"/>
      <c r="V93"/>
      <c r="W93"/>
      <c r="X93"/>
      <c r="Y93"/>
    </row>
    <row r="94" spans="2:25">
      <c r="B94"/>
      <c r="D94"/>
      <c r="E94"/>
      <c r="F94"/>
      <c r="G94"/>
      <c r="H94"/>
      <c r="I94"/>
      <c r="J94"/>
      <c r="K94"/>
      <c r="L94"/>
      <c r="M94"/>
      <c r="N94"/>
      <c r="O94"/>
      <c r="P94"/>
      <c r="R94"/>
      <c r="S94"/>
      <c r="T94"/>
      <c r="U94"/>
      <c r="V94"/>
      <c r="W94"/>
      <c r="X94"/>
      <c r="Y94"/>
    </row>
    <row r="95" spans="2:25">
      <c r="B95"/>
      <c r="D95"/>
      <c r="E95"/>
      <c r="F95"/>
      <c r="G95"/>
      <c r="H95"/>
      <c r="I95"/>
      <c r="J95"/>
      <c r="K95"/>
      <c r="L95"/>
      <c r="M95"/>
      <c r="N95"/>
      <c r="O95"/>
      <c r="P95"/>
      <c r="R95"/>
      <c r="S95"/>
      <c r="T95"/>
      <c r="U95"/>
      <c r="V95"/>
      <c r="W95"/>
      <c r="X95"/>
      <c r="Y95"/>
    </row>
    <row r="96" spans="2:25">
      <c r="B96"/>
      <c r="D96"/>
      <c r="E96"/>
      <c r="F96"/>
      <c r="G96"/>
      <c r="H96"/>
      <c r="I96"/>
      <c r="J96"/>
      <c r="K96"/>
      <c r="L96"/>
      <c r="M96"/>
      <c r="N96"/>
      <c r="O96"/>
      <c r="P96"/>
      <c r="R96"/>
      <c r="S96"/>
      <c r="T96"/>
      <c r="U96"/>
      <c r="V96"/>
      <c r="W96"/>
      <c r="X96"/>
      <c r="Y96"/>
    </row>
    <row r="97" spans="2:25">
      <c r="B97"/>
      <c r="D97"/>
      <c r="E97"/>
      <c r="F97"/>
      <c r="G97"/>
      <c r="H97"/>
      <c r="I97"/>
      <c r="J97"/>
      <c r="K97"/>
      <c r="L97"/>
      <c r="M97"/>
      <c r="N97"/>
      <c r="O97"/>
      <c r="P97"/>
      <c r="R97"/>
      <c r="S97"/>
      <c r="T97"/>
      <c r="U97"/>
      <c r="V97"/>
      <c r="W97"/>
      <c r="X97"/>
      <c r="Y97"/>
    </row>
    <row r="98" spans="2:25"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R98"/>
      <c r="S98"/>
      <c r="T98"/>
      <c r="U98"/>
      <c r="V98"/>
      <c r="W98"/>
      <c r="X98"/>
      <c r="Y98"/>
    </row>
    <row r="99" spans="2:25">
      <c r="B99"/>
      <c r="D99"/>
      <c r="E99"/>
      <c r="F99"/>
      <c r="G99"/>
      <c r="H99"/>
      <c r="I99"/>
      <c r="J99"/>
      <c r="K99"/>
      <c r="L99"/>
      <c r="M99"/>
      <c r="N99"/>
      <c r="O99"/>
      <c r="P99"/>
      <c r="R99"/>
      <c r="S99"/>
      <c r="T99"/>
      <c r="U99"/>
      <c r="V99"/>
      <c r="W99"/>
      <c r="X99"/>
      <c r="Y99"/>
    </row>
    <row r="100" spans="2:25"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R100"/>
      <c r="S100"/>
      <c r="T100"/>
      <c r="U100"/>
      <c r="V100"/>
      <c r="W100"/>
      <c r="X100"/>
      <c r="Y100"/>
    </row>
    <row r="101" spans="2:25">
      <c r="B101"/>
      <c r="D101"/>
      <c r="E101"/>
      <c r="F101"/>
      <c r="G101"/>
      <c r="H101"/>
      <c r="I101"/>
      <c r="J101"/>
      <c r="K101"/>
      <c r="L101"/>
      <c r="M101"/>
      <c r="N101"/>
      <c r="O101"/>
      <c r="P101"/>
      <c r="R101"/>
      <c r="S101"/>
      <c r="T101"/>
      <c r="U101"/>
      <c r="V101"/>
      <c r="W101"/>
      <c r="X101"/>
      <c r="Y101"/>
    </row>
    <row r="102" spans="2:25"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R102"/>
      <c r="S102"/>
      <c r="T102"/>
      <c r="U102"/>
      <c r="V102"/>
      <c r="W102"/>
      <c r="X102"/>
      <c r="Y102"/>
    </row>
    <row r="103" spans="2:25">
      <c r="B103"/>
      <c r="D103"/>
      <c r="E103"/>
      <c r="F103"/>
      <c r="G103"/>
      <c r="H103"/>
      <c r="I103"/>
      <c r="J103"/>
      <c r="K103"/>
      <c r="L103"/>
      <c r="M103"/>
      <c r="N103"/>
      <c r="O103"/>
      <c r="P103"/>
      <c r="R103"/>
      <c r="S103"/>
      <c r="T103"/>
      <c r="U103"/>
      <c r="V103"/>
      <c r="W103"/>
      <c r="X103"/>
      <c r="Y103"/>
    </row>
    <row r="104" spans="2:25">
      <c r="B104"/>
      <c r="D104"/>
      <c r="E104"/>
      <c r="F104"/>
      <c r="G104"/>
      <c r="H104"/>
      <c r="I104"/>
      <c r="J104"/>
      <c r="K104"/>
      <c r="L104"/>
      <c r="M104"/>
      <c r="N104"/>
      <c r="O104"/>
      <c r="P104"/>
      <c r="R104"/>
      <c r="S104"/>
      <c r="T104"/>
      <c r="U104"/>
      <c r="V104"/>
      <c r="W104"/>
      <c r="X104"/>
      <c r="Y104"/>
    </row>
    <row r="105" spans="2:25">
      <c r="B105"/>
      <c r="D105"/>
      <c r="E105"/>
      <c r="F105"/>
      <c r="G105"/>
      <c r="H105"/>
      <c r="I105"/>
      <c r="J105"/>
      <c r="K105"/>
      <c r="L105"/>
      <c r="M105"/>
      <c r="N105"/>
      <c r="O105"/>
      <c r="P105"/>
      <c r="R105"/>
      <c r="S105"/>
      <c r="T105"/>
      <c r="U105"/>
      <c r="V105"/>
      <c r="W105"/>
      <c r="X105"/>
      <c r="Y105"/>
    </row>
    <row r="106" spans="2:25">
      <c r="B106"/>
      <c r="D106"/>
      <c r="E106"/>
      <c r="F106"/>
      <c r="G106"/>
      <c r="H106"/>
      <c r="I106"/>
      <c r="J106"/>
      <c r="K106"/>
      <c r="L106"/>
      <c r="M106"/>
      <c r="N106"/>
      <c r="O106"/>
      <c r="P106"/>
      <c r="R106"/>
      <c r="S106"/>
      <c r="T106"/>
      <c r="U106"/>
      <c r="V106"/>
      <c r="W106"/>
      <c r="X106"/>
      <c r="Y106"/>
    </row>
    <row r="107" spans="2:25">
      <c r="B107"/>
      <c r="D107"/>
      <c r="E107"/>
      <c r="F107"/>
      <c r="G107"/>
      <c r="H107"/>
      <c r="I107"/>
      <c r="J107"/>
      <c r="K107"/>
      <c r="L107"/>
      <c r="M107"/>
      <c r="N107"/>
      <c r="O107"/>
      <c r="P107"/>
      <c r="R107"/>
      <c r="S107"/>
      <c r="T107"/>
      <c r="U107"/>
      <c r="V107"/>
      <c r="W107"/>
      <c r="X107"/>
      <c r="Y107"/>
    </row>
    <row r="108" spans="2:25">
      <c r="B108"/>
      <c r="D108"/>
      <c r="E108"/>
      <c r="F108"/>
      <c r="G108"/>
      <c r="H108"/>
      <c r="I108"/>
      <c r="J108"/>
      <c r="K108"/>
      <c r="L108"/>
      <c r="M108"/>
      <c r="N108"/>
      <c r="O108"/>
      <c r="P108"/>
      <c r="R108"/>
      <c r="S108"/>
      <c r="T108"/>
      <c r="U108"/>
      <c r="V108"/>
      <c r="W108"/>
      <c r="X108"/>
      <c r="Y108"/>
    </row>
    <row r="109" spans="2:25"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R109"/>
      <c r="S109"/>
      <c r="T109"/>
      <c r="U109"/>
      <c r="V109"/>
      <c r="W109"/>
      <c r="X109"/>
      <c r="Y109"/>
    </row>
    <row r="110" spans="2:25">
      <c r="B110"/>
      <c r="D110"/>
      <c r="E110"/>
      <c r="F110"/>
      <c r="G110"/>
      <c r="H110"/>
      <c r="I110"/>
      <c r="J110"/>
      <c r="K110"/>
      <c r="L110"/>
      <c r="M110"/>
      <c r="N110"/>
      <c r="O110"/>
      <c r="P110"/>
      <c r="R110"/>
      <c r="S110"/>
      <c r="T110"/>
      <c r="U110"/>
      <c r="V110"/>
      <c r="W110"/>
      <c r="X110"/>
      <c r="Y110"/>
    </row>
    <row r="111" spans="2:25"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R111"/>
      <c r="S111"/>
      <c r="T111"/>
      <c r="U111"/>
      <c r="V111"/>
      <c r="W111"/>
      <c r="X111"/>
      <c r="Y111"/>
    </row>
    <row r="112" spans="2:25">
      <c r="B112"/>
      <c r="D112"/>
      <c r="E112"/>
      <c r="F112"/>
      <c r="G112"/>
      <c r="H112"/>
      <c r="I112"/>
      <c r="J112"/>
      <c r="K112"/>
      <c r="L112"/>
      <c r="M112"/>
      <c r="N112"/>
      <c r="O112"/>
      <c r="P112"/>
      <c r="R112"/>
      <c r="S112"/>
      <c r="T112"/>
      <c r="U112"/>
      <c r="V112"/>
      <c r="W112"/>
      <c r="X112"/>
      <c r="Y112"/>
    </row>
    <row r="113" spans="2:25">
      <c r="B113"/>
      <c r="D113"/>
      <c r="E113"/>
      <c r="F113"/>
      <c r="G113"/>
      <c r="H113"/>
      <c r="I113"/>
      <c r="J113"/>
      <c r="K113"/>
      <c r="L113"/>
      <c r="M113"/>
      <c r="N113"/>
      <c r="O113"/>
      <c r="P113"/>
      <c r="R113"/>
      <c r="S113"/>
      <c r="T113"/>
      <c r="U113"/>
      <c r="V113"/>
      <c r="W113"/>
      <c r="X113"/>
      <c r="Y113"/>
    </row>
    <row r="114" spans="2:25">
      <c r="B114"/>
      <c r="D114"/>
      <c r="E114"/>
      <c r="F114"/>
      <c r="G114"/>
      <c r="H114"/>
      <c r="I114"/>
      <c r="J114"/>
      <c r="K114"/>
      <c r="L114"/>
      <c r="M114"/>
      <c r="N114"/>
      <c r="O114"/>
      <c r="P114"/>
      <c r="R114"/>
      <c r="S114"/>
      <c r="T114"/>
      <c r="U114"/>
      <c r="V114"/>
      <c r="W114"/>
      <c r="X114"/>
      <c r="Y114"/>
    </row>
    <row r="115" spans="2:25">
      <c r="B115"/>
      <c r="D115"/>
      <c r="E115"/>
      <c r="F115"/>
      <c r="G115"/>
      <c r="H115"/>
      <c r="I115"/>
      <c r="J115"/>
      <c r="K115"/>
      <c r="L115"/>
      <c r="M115"/>
      <c r="N115"/>
      <c r="O115"/>
      <c r="P115"/>
      <c r="R115"/>
      <c r="S115"/>
      <c r="T115"/>
      <c r="U115"/>
      <c r="V115"/>
      <c r="W115"/>
      <c r="X115"/>
      <c r="Y115"/>
    </row>
    <row r="116" spans="2:25">
      <c r="B116"/>
      <c r="D116"/>
      <c r="E116"/>
      <c r="F116"/>
      <c r="G116"/>
      <c r="H116"/>
      <c r="I116"/>
      <c r="J116"/>
      <c r="K116"/>
      <c r="L116"/>
      <c r="M116"/>
      <c r="N116"/>
      <c r="O116"/>
      <c r="P116"/>
      <c r="R116"/>
      <c r="S116"/>
      <c r="T116"/>
      <c r="U116"/>
      <c r="V116"/>
      <c r="W116"/>
      <c r="X116"/>
      <c r="Y116"/>
    </row>
    <row r="117" spans="2:25">
      <c r="B117"/>
      <c r="D117"/>
      <c r="E117"/>
      <c r="F117"/>
      <c r="G117"/>
      <c r="H117"/>
      <c r="I117"/>
      <c r="J117"/>
      <c r="K117"/>
      <c r="L117"/>
      <c r="M117"/>
      <c r="N117"/>
      <c r="O117"/>
      <c r="P117"/>
      <c r="R117"/>
      <c r="S117"/>
      <c r="T117"/>
      <c r="U117"/>
      <c r="V117"/>
      <c r="W117"/>
      <c r="X117"/>
      <c r="Y117"/>
    </row>
    <row r="118" spans="2:25">
      <c r="B118"/>
      <c r="D118"/>
      <c r="E118"/>
      <c r="F118"/>
      <c r="G118"/>
      <c r="H118"/>
      <c r="I118"/>
      <c r="J118"/>
      <c r="K118"/>
      <c r="L118"/>
      <c r="M118"/>
      <c r="N118"/>
      <c r="O118"/>
      <c r="P118"/>
      <c r="R118"/>
      <c r="S118"/>
      <c r="T118"/>
      <c r="U118"/>
      <c r="V118"/>
      <c r="W118"/>
      <c r="X118"/>
      <c r="Y118"/>
    </row>
    <row r="119" spans="2:25">
      <c r="B119"/>
      <c r="D119"/>
      <c r="E119"/>
      <c r="F119"/>
      <c r="G119"/>
      <c r="H119"/>
      <c r="I119"/>
      <c r="J119"/>
      <c r="K119"/>
      <c r="L119"/>
      <c r="M119"/>
      <c r="N119"/>
      <c r="O119"/>
      <c r="P119"/>
      <c r="R119"/>
      <c r="S119"/>
      <c r="T119"/>
      <c r="U119"/>
      <c r="V119"/>
      <c r="W119"/>
      <c r="X119"/>
      <c r="Y119"/>
    </row>
    <row r="120" spans="2:25">
      <c r="B120"/>
      <c r="D120"/>
      <c r="E120"/>
      <c r="F120"/>
      <c r="G120"/>
      <c r="H120"/>
      <c r="I120"/>
      <c r="J120"/>
      <c r="K120"/>
      <c r="L120"/>
      <c r="M120"/>
      <c r="N120"/>
      <c r="O120"/>
      <c r="P120"/>
      <c r="R120"/>
      <c r="S120"/>
      <c r="T120"/>
      <c r="U120"/>
      <c r="V120"/>
      <c r="W120"/>
      <c r="X120"/>
      <c r="Y120"/>
    </row>
    <row r="121" spans="2:25">
      <c r="B121"/>
      <c r="D121"/>
      <c r="E121"/>
      <c r="F121"/>
      <c r="G121"/>
      <c r="H121"/>
      <c r="I121"/>
      <c r="J121"/>
      <c r="K121"/>
      <c r="L121"/>
      <c r="M121"/>
      <c r="N121"/>
      <c r="O121"/>
      <c r="P121"/>
      <c r="R121"/>
      <c r="S121"/>
      <c r="T121"/>
      <c r="U121"/>
      <c r="V121"/>
      <c r="W121"/>
      <c r="X121"/>
      <c r="Y121"/>
    </row>
    <row r="122" spans="2:25">
      <c r="B122"/>
      <c r="D122"/>
      <c r="E122"/>
      <c r="F122"/>
      <c r="G122"/>
      <c r="H122"/>
      <c r="I122"/>
      <c r="J122"/>
      <c r="K122"/>
      <c r="L122"/>
      <c r="M122"/>
      <c r="N122"/>
      <c r="O122"/>
      <c r="P122"/>
      <c r="R122"/>
      <c r="S122"/>
      <c r="T122"/>
      <c r="U122"/>
      <c r="V122"/>
      <c r="W122"/>
      <c r="X122"/>
      <c r="Y122"/>
    </row>
    <row r="123" spans="2:25">
      <c r="B123"/>
      <c r="D123"/>
      <c r="E123"/>
      <c r="F123"/>
      <c r="G123"/>
      <c r="H123"/>
      <c r="I123"/>
      <c r="J123"/>
      <c r="K123"/>
      <c r="L123"/>
      <c r="M123"/>
      <c r="N123"/>
      <c r="O123"/>
      <c r="P123"/>
      <c r="R123"/>
      <c r="S123"/>
      <c r="T123"/>
      <c r="U123"/>
      <c r="V123"/>
      <c r="W123"/>
      <c r="X123"/>
      <c r="Y123"/>
    </row>
    <row r="124" spans="2:25">
      <c r="B124"/>
      <c r="D124"/>
      <c r="E124"/>
      <c r="F124"/>
      <c r="G124"/>
      <c r="H124"/>
      <c r="I124"/>
      <c r="J124"/>
      <c r="K124"/>
      <c r="L124"/>
      <c r="M124"/>
      <c r="N124"/>
      <c r="O124"/>
      <c r="P124"/>
      <c r="R124"/>
      <c r="S124"/>
      <c r="T124"/>
      <c r="U124"/>
      <c r="V124"/>
      <c r="W124"/>
      <c r="X124"/>
      <c r="Y124"/>
    </row>
    <row r="125" spans="2:25">
      <c r="B125"/>
      <c r="D125"/>
      <c r="E125"/>
      <c r="F125"/>
      <c r="G125"/>
      <c r="H125"/>
      <c r="I125"/>
      <c r="J125"/>
      <c r="K125"/>
      <c r="L125"/>
      <c r="M125"/>
      <c r="N125"/>
      <c r="O125"/>
      <c r="P125"/>
      <c r="R125"/>
      <c r="S125"/>
      <c r="T125"/>
      <c r="U125"/>
      <c r="V125"/>
      <c r="W125"/>
      <c r="X125"/>
      <c r="Y125"/>
    </row>
    <row r="126" spans="2:25">
      <c r="B126"/>
      <c r="D126"/>
      <c r="E126"/>
      <c r="F126"/>
      <c r="G126"/>
      <c r="H126"/>
      <c r="I126"/>
      <c r="J126"/>
      <c r="K126"/>
      <c r="L126"/>
      <c r="M126"/>
      <c r="N126"/>
      <c r="O126"/>
      <c r="P126"/>
      <c r="R126"/>
      <c r="S126"/>
      <c r="T126"/>
      <c r="U126"/>
      <c r="V126"/>
      <c r="W126"/>
      <c r="X126"/>
      <c r="Y126"/>
    </row>
    <row r="127" spans="2:25">
      <c r="B127"/>
      <c r="D127"/>
      <c r="E127"/>
      <c r="F127"/>
      <c r="G127"/>
      <c r="H127"/>
      <c r="I127"/>
      <c r="J127"/>
      <c r="K127"/>
      <c r="L127"/>
      <c r="M127"/>
      <c r="N127"/>
      <c r="O127"/>
      <c r="P127"/>
      <c r="R127"/>
      <c r="S127"/>
      <c r="T127"/>
      <c r="U127"/>
      <c r="V127"/>
      <c r="W127"/>
      <c r="X127"/>
      <c r="Y127"/>
    </row>
    <row r="128" spans="2:25">
      <c r="B128"/>
      <c r="D128"/>
      <c r="E128"/>
      <c r="F128"/>
      <c r="G128"/>
      <c r="H128"/>
      <c r="I128"/>
      <c r="J128"/>
      <c r="K128"/>
      <c r="L128"/>
      <c r="M128"/>
      <c r="N128"/>
      <c r="O128"/>
      <c r="P128"/>
      <c r="R128"/>
      <c r="S128"/>
      <c r="T128"/>
      <c r="U128"/>
      <c r="V128"/>
      <c r="W128"/>
      <c r="X128"/>
      <c r="Y128"/>
    </row>
    <row r="129" spans="2:25">
      <c r="B129"/>
      <c r="D129"/>
      <c r="E129"/>
      <c r="F129"/>
      <c r="G129"/>
      <c r="H129"/>
      <c r="I129"/>
      <c r="J129"/>
      <c r="K129"/>
      <c r="L129"/>
      <c r="M129"/>
      <c r="N129"/>
      <c r="O129"/>
      <c r="P129"/>
      <c r="R129"/>
      <c r="S129"/>
      <c r="T129"/>
      <c r="U129"/>
      <c r="V129"/>
      <c r="W129"/>
      <c r="X129"/>
      <c r="Y129"/>
    </row>
    <row r="130" spans="2:25">
      <c r="B130"/>
      <c r="D130"/>
      <c r="E130"/>
      <c r="F130"/>
      <c r="G130"/>
      <c r="H130"/>
      <c r="I130"/>
      <c r="J130"/>
      <c r="K130"/>
      <c r="L130"/>
      <c r="M130"/>
      <c r="N130"/>
      <c r="O130"/>
      <c r="P130"/>
      <c r="R130"/>
      <c r="S130"/>
      <c r="T130"/>
      <c r="U130"/>
      <c r="V130"/>
      <c r="W130"/>
      <c r="X130"/>
      <c r="Y130"/>
    </row>
    <row r="131" spans="2:25">
      <c r="B131"/>
      <c r="D131"/>
      <c r="E131"/>
      <c r="F131"/>
      <c r="G131"/>
      <c r="H131"/>
      <c r="I131"/>
      <c r="J131"/>
      <c r="K131"/>
      <c r="L131"/>
      <c r="M131"/>
      <c r="N131"/>
      <c r="O131"/>
      <c r="P131"/>
      <c r="R131"/>
      <c r="S131"/>
      <c r="T131"/>
      <c r="U131"/>
      <c r="V131"/>
      <c r="W131"/>
      <c r="X131"/>
      <c r="Y131"/>
    </row>
    <row r="132" spans="2:25">
      <c r="B132"/>
      <c r="D132"/>
      <c r="E132"/>
      <c r="F132"/>
      <c r="G132"/>
      <c r="H132"/>
      <c r="I132"/>
      <c r="J132"/>
      <c r="K132"/>
      <c r="L132"/>
      <c r="M132"/>
      <c r="N132"/>
      <c r="O132"/>
      <c r="P132"/>
      <c r="R132"/>
      <c r="S132"/>
      <c r="T132"/>
      <c r="U132"/>
      <c r="V132"/>
      <c r="W132"/>
      <c r="X132"/>
      <c r="Y132"/>
    </row>
    <row r="133" spans="2:25">
      <c r="B133"/>
      <c r="D133"/>
      <c r="E133"/>
      <c r="F133"/>
      <c r="G133"/>
      <c r="H133"/>
      <c r="I133"/>
      <c r="J133"/>
      <c r="K133"/>
      <c r="L133"/>
      <c r="M133"/>
      <c r="N133"/>
      <c r="O133"/>
      <c r="P133"/>
      <c r="R133"/>
      <c r="S133"/>
      <c r="T133"/>
      <c r="U133"/>
      <c r="V133"/>
      <c r="W133"/>
      <c r="X133"/>
      <c r="Y133"/>
    </row>
    <row r="134" spans="2:25">
      <c r="B134"/>
      <c r="D134"/>
      <c r="E134"/>
      <c r="F134"/>
      <c r="G134"/>
      <c r="H134"/>
      <c r="I134"/>
      <c r="J134"/>
      <c r="K134"/>
      <c r="L134"/>
      <c r="M134"/>
      <c r="N134"/>
      <c r="O134"/>
      <c r="P134"/>
      <c r="R134"/>
      <c r="S134"/>
      <c r="T134"/>
      <c r="U134"/>
      <c r="V134"/>
      <c r="W134"/>
      <c r="X134"/>
      <c r="Y134"/>
    </row>
    <row r="135" spans="2:25">
      <c r="B135"/>
      <c r="D135"/>
      <c r="E135"/>
      <c r="F135"/>
      <c r="G135"/>
      <c r="H135"/>
      <c r="I135"/>
      <c r="J135"/>
      <c r="K135"/>
      <c r="L135"/>
      <c r="M135"/>
      <c r="N135"/>
      <c r="O135"/>
      <c r="P135"/>
      <c r="R135"/>
      <c r="S135"/>
      <c r="T135"/>
      <c r="U135"/>
      <c r="V135"/>
      <c r="W135"/>
      <c r="X135"/>
      <c r="Y135"/>
    </row>
    <row r="136" spans="2:25">
      <c r="B136"/>
      <c r="D136"/>
      <c r="E136"/>
      <c r="F136"/>
      <c r="G136"/>
      <c r="H136"/>
      <c r="I136"/>
      <c r="J136"/>
      <c r="K136"/>
      <c r="L136"/>
      <c r="M136"/>
      <c r="N136"/>
      <c r="O136"/>
      <c r="P136"/>
      <c r="R136"/>
      <c r="S136"/>
      <c r="T136"/>
      <c r="U136"/>
      <c r="V136"/>
      <c r="W136"/>
      <c r="X136"/>
      <c r="Y136"/>
    </row>
    <row r="137" spans="2:25">
      <c r="B137"/>
      <c r="D137"/>
      <c r="E137"/>
      <c r="F137"/>
      <c r="G137"/>
      <c r="H137"/>
      <c r="I137"/>
      <c r="J137"/>
      <c r="K137"/>
      <c r="L137"/>
      <c r="M137"/>
      <c r="N137"/>
      <c r="O137"/>
      <c r="P137"/>
      <c r="R137"/>
      <c r="S137"/>
      <c r="T137"/>
      <c r="U137"/>
      <c r="V137"/>
      <c r="W137"/>
      <c r="X137"/>
      <c r="Y137"/>
    </row>
    <row r="138" spans="2:25">
      <c r="B138"/>
      <c r="D138"/>
      <c r="E138"/>
      <c r="F138"/>
      <c r="G138"/>
      <c r="H138"/>
      <c r="I138"/>
      <c r="J138"/>
      <c r="K138"/>
      <c r="L138"/>
      <c r="M138"/>
      <c r="N138"/>
      <c r="O138"/>
      <c r="P138"/>
      <c r="R138"/>
      <c r="S138"/>
      <c r="T138"/>
      <c r="U138"/>
      <c r="V138"/>
      <c r="W138"/>
      <c r="X138"/>
      <c r="Y138"/>
    </row>
    <row r="139" spans="2:25">
      <c r="B139"/>
      <c r="D139"/>
      <c r="E139"/>
      <c r="F139"/>
      <c r="G139"/>
      <c r="H139"/>
      <c r="I139"/>
      <c r="J139"/>
      <c r="K139"/>
      <c r="L139"/>
      <c r="M139"/>
      <c r="N139"/>
      <c r="O139"/>
      <c r="P139"/>
      <c r="R139"/>
      <c r="S139"/>
      <c r="T139"/>
      <c r="U139"/>
      <c r="V139"/>
      <c r="W139"/>
      <c r="X139"/>
      <c r="Y139"/>
    </row>
    <row r="140" spans="2:25">
      <c r="B140"/>
      <c r="D140"/>
      <c r="E140"/>
      <c r="F140"/>
      <c r="G140"/>
      <c r="H140"/>
      <c r="I140"/>
      <c r="J140"/>
      <c r="K140"/>
      <c r="L140"/>
      <c r="M140"/>
      <c r="N140"/>
      <c r="O140"/>
      <c r="P140"/>
      <c r="R140"/>
      <c r="S140"/>
      <c r="T140"/>
      <c r="U140"/>
      <c r="V140"/>
      <c r="W140"/>
      <c r="X140"/>
      <c r="Y140"/>
    </row>
    <row r="141" spans="2:25">
      <c r="B141"/>
      <c r="D141"/>
      <c r="E141"/>
      <c r="F141"/>
      <c r="G141"/>
      <c r="H141"/>
      <c r="I141"/>
      <c r="J141"/>
      <c r="K141"/>
      <c r="L141"/>
      <c r="M141"/>
      <c r="N141"/>
      <c r="O141"/>
      <c r="P141"/>
      <c r="R141"/>
      <c r="S141"/>
      <c r="T141"/>
      <c r="U141"/>
      <c r="V141"/>
      <c r="W141"/>
      <c r="X141"/>
      <c r="Y141"/>
    </row>
    <row r="142" spans="2:25">
      <c r="B142"/>
      <c r="D142"/>
      <c r="E142"/>
      <c r="F142"/>
      <c r="G142"/>
      <c r="H142"/>
      <c r="I142"/>
      <c r="J142"/>
      <c r="K142"/>
      <c r="L142"/>
      <c r="M142"/>
      <c r="N142"/>
      <c r="O142"/>
      <c r="P142"/>
      <c r="R142"/>
      <c r="S142"/>
      <c r="T142"/>
      <c r="U142"/>
      <c r="V142"/>
      <c r="W142"/>
      <c r="X142"/>
      <c r="Y142"/>
    </row>
    <row r="143" spans="2:25">
      <c r="B143"/>
      <c r="D143"/>
      <c r="E143"/>
      <c r="F143"/>
      <c r="G143"/>
      <c r="H143"/>
      <c r="I143"/>
      <c r="J143"/>
      <c r="K143"/>
      <c r="L143"/>
      <c r="M143"/>
      <c r="N143"/>
      <c r="O143"/>
      <c r="P143"/>
      <c r="R143"/>
      <c r="S143"/>
      <c r="T143"/>
      <c r="U143"/>
      <c r="V143"/>
      <c r="W143"/>
      <c r="X143"/>
      <c r="Y143"/>
    </row>
    <row r="144" spans="2:25">
      <c r="B144"/>
      <c r="D144"/>
      <c r="E144"/>
      <c r="F144"/>
      <c r="G144"/>
      <c r="H144"/>
      <c r="I144"/>
      <c r="J144"/>
      <c r="K144"/>
      <c r="L144"/>
      <c r="M144"/>
      <c r="N144"/>
      <c r="O144"/>
      <c r="P144"/>
      <c r="R144"/>
      <c r="S144"/>
      <c r="T144"/>
      <c r="U144"/>
      <c r="V144"/>
      <c r="W144"/>
      <c r="X144"/>
      <c r="Y144"/>
    </row>
    <row r="145" spans="2:25">
      <c r="B145"/>
      <c r="D145"/>
      <c r="E145"/>
      <c r="F145"/>
      <c r="G145"/>
      <c r="H145"/>
      <c r="I145"/>
      <c r="J145"/>
      <c r="K145"/>
      <c r="L145"/>
      <c r="M145"/>
      <c r="N145"/>
      <c r="O145"/>
      <c r="P145"/>
      <c r="R145"/>
      <c r="S145"/>
      <c r="T145"/>
      <c r="U145"/>
      <c r="V145"/>
      <c r="W145"/>
      <c r="X145"/>
      <c r="Y145"/>
    </row>
    <row r="146" spans="2:25">
      <c r="B146"/>
      <c r="D146"/>
      <c r="E146"/>
      <c r="F146"/>
      <c r="G146"/>
      <c r="H146"/>
      <c r="I146"/>
      <c r="J146"/>
      <c r="K146"/>
      <c r="L146"/>
      <c r="M146"/>
      <c r="N146"/>
      <c r="O146"/>
      <c r="P146"/>
      <c r="R146"/>
      <c r="S146"/>
      <c r="T146"/>
      <c r="U146"/>
      <c r="V146"/>
      <c r="W146"/>
      <c r="X146"/>
      <c r="Y146"/>
    </row>
    <row r="147" spans="2:25">
      <c r="B147"/>
      <c r="D147"/>
      <c r="E147"/>
      <c r="F147"/>
      <c r="G147"/>
      <c r="H147"/>
      <c r="I147"/>
      <c r="J147"/>
      <c r="K147"/>
      <c r="L147"/>
      <c r="M147"/>
      <c r="N147"/>
      <c r="O147"/>
      <c r="P147"/>
      <c r="R147"/>
      <c r="S147"/>
      <c r="T147"/>
      <c r="U147"/>
      <c r="V147"/>
      <c r="W147"/>
      <c r="X147"/>
      <c r="Y147"/>
    </row>
    <row r="148" spans="2:25">
      <c r="B148"/>
      <c r="D148"/>
      <c r="E148"/>
      <c r="F148"/>
      <c r="G148"/>
      <c r="H148"/>
      <c r="I148"/>
      <c r="J148"/>
      <c r="K148"/>
      <c r="L148"/>
      <c r="M148"/>
      <c r="N148"/>
      <c r="O148"/>
      <c r="P148"/>
      <c r="R148"/>
      <c r="S148"/>
      <c r="T148"/>
      <c r="U148"/>
      <c r="V148"/>
      <c r="W148"/>
      <c r="X148"/>
      <c r="Y148"/>
    </row>
    <row r="149" spans="2:25">
      <c r="B149"/>
      <c r="D149"/>
      <c r="E149"/>
      <c r="F149"/>
      <c r="G149"/>
      <c r="H149"/>
      <c r="I149"/>
      <c r="J149"/>
      <c r="K149"/>
      <c r="L149"/>
      <c r="M149"/>
      <c r="N149"/>
      <c r="O149"/>
      <c r="P149"/>
      <c r="R149"/>
      <c r="S149"/>
      <c r="T149"/>
      <c r="U149"/>
      <c r="V149"/>
      <c r="W149"/>
      <c r="X149"/>
      <c r="Y149"/>
    </row>
    <row r="150" spans="2:25">
      <c r="B150"/>
      <c r="D150"/>
      <c r="E150"/>
      <c r="F150"/>
      <c r="G150"/>
      <c r="H150"/>
      <c r="I150"/>
      <c r="J150"/>
      <c r="K150"/>
      <c r="L150"/>
      <c r="M150"/>
      <c r="N150"/>
      <c r="O150"/>
      <c r="P150"/>
      <c r="R150"/>
      <c r="S150"/>
      <c r="T150"/>
      <c r="U150"/>
      <c r="V150"/>
      <c r="W150"/>
      <c r="X150"/>
      <c r="Y150"/>
    </row>
    <row r="151" spans="2:25">
      <c r="B151"/>
      <c r="D151"/>
      <c r="E151"/>
      <c r="F151"/>
      <c r="G151"/>
      <c r="H151"/>
      <c r="I151"/>
      <c r="J151"/>
      <c r="K151"/>
      <c r="L151"/>
      <c r="M151"/>
      <c r="N151"/>
      <c r="O151"/>
      <c r="P151"/>
      <c r="R151"/>
      <c r="S151"/>
      <c r="T151"/>
      <c r="U151"/>
      <c r="V151"/>
      <c r="W151"/>
      <c r="X151"/>
      <c r="Y151"/>
    </row>
    <row r="152" spans="2:25">
      <c r="B152"/>
      <c r="D152"/>
      <c r="E152"/>
      <c r="F152"/>
      <c r="G152"/>
      <c r="H152"/>
      <c r="I152"/>
      <c r="J152"/>
      <c r="K152"/>
      <c r="L152"/>
      <c r="M152"/>
      <c r="N152"/>
      <c r="O152"/>
      <c r="P152"/>
      <c r="R152"/>
      <c r="S152"/>
      <c r="T152"/>
      <c r="U152"/>
      <c r="V152"/>
      <c r="W152"/>
      <c r="X152"/>
      <c r="Y152"/>
    </row>
    <row r="153" spans="2:25">
      <c r="B153"/>
      <c r="D153"/>
      <c r="E153"/>
      <c r="F153"/>
      <c r="G153"/>
      <c r="H153"/>
      <c r="I153"/>
      <c r="J153"/>
      <c r="K153"/>
      <c r="L153"/>
      <c r="M153"/>
      <c r="N153"/>
      <c r="O153"/>
      <c r="P153"/>
      <c r="R153"/>
      <c r="S153"/>
      <c r="T153"/>
      <c r="U153"/>
      <c r="V153"/>
      <c r="W153"/>
      <c r="X153"/>
      <c r="Y153"/>
    </row>
    <row r="154" spans="2:25">
      <c r="B154"/>
      <c r="D154"/>
      <c r="E154"/>
      <c r="F154"/>
      <c r="G154"/>
      <c r="H154"/>
      <c r="I154"/>
      <c r="J154"/>
      <c r="K154"/>
      <c r="L154"/>
      <c r="M154"/>
      <c r="N154"/>
      <c r="O154"/>
      <c r="P154"/>
      <c r="R154"/>
      <c r="S154"/>
      <c r="T154"/>
      <c r="U154"/>
      <c r="V154"/>
      <c r="W154"/>
      <c r="X154"/>
      <c r="Y154"/>
    </row>
    <row r="155" spans="2:25">
      <c r="B155"/>
      <c r="D155"/>
      <c r="E155"/>
      <c r="F155"/>
      <c r="G155"/>
      <c r="H155"/>
      <c r="I155"/>
      <c r="J155"/>
      <c r="K155"/>
      <c r="L155"/>
      <c r="M155"/>
      <c r="N155"/>
      <c r="O155"/>
      <c r="P155"/>
      <c r="R155"/>
      <c r="S155"/>
      <c r="T155"/>
      <c r="U155"/>
      <c r="V155"/>
      <c r="W155"/>
      <c r="X155"/>
      <c r="Y155"/>
    </row>
    <row r="156" spans="2:25">
      <c r="B156"/>
      <c r="D156"/>
      <c r="E156"/>
      <c r="F156"/>
      <c r="G156"/>
      <c r="H156"/>
      <c r="I156"/>
      <c r="J156"/>
      <c r="K156"/>
      <c r="L156"/>
      <c r="M156"/>
      <c r="N156"/>
      <c r="O156"/>
      <c r="P156"/>
      <c r="R156"/>
      <c r="S156"/>
      <c r="T156"/>
      <c r="U156"/>
      <c r="V156"/>
      <c r="W156"/>
      <c r="X156"/>
      <c r="Y156"/>
    </row>
    <row r="157" spans="2:25">
      <c r="B157"/>
      <c r="D157"/>
      <c r="E157"/>
      <c r="F157"/>
      <c r="G157"/>
      <c r="H157"/>
      <c r="I157"/>
      <c r="J157"/>
      <c r="K157"/>
      <c r="L157"/>
      <c r="M157"/>
      <c r="N157"/>
      <c r="O157"/>
      <c r="P157"/>
      <c r="R157"/>
      <c r="S157"/>
      <c r="T157"/>
      <c r="U157"/>
      <c r="V157"/>
      <c r="W157"/>
      <c r="X157"/>
      <c r="Y157"/>
    </row>
    <row r="158" spans="2:25">
      <c r="B158"/>
      <c r="D158"/>
      <c r="E158"/>
      <c r="F158"/>
      <c r="G158"/>
      <c r="H158"/>
      <c r="I158"/>
      <c r="J158"/>
      <c r="K158"/>
      <c r="L158"/>
      <c r="M158"/>
      <c r="N158"/>
      <c r="O158"/>
      <c r="P158"/>
      <c r="R158"/>
      <c r="S158"/>
      <c r="T158"/>
      <c r="U158"/>
      <c r="V158"/>
      <c r="W158"/>
      <c r="X158"/>
      <c r="Y158"/>
    </row>
    <row r="159" spans="2:25">
      <c r="B159"/>
      <c r="D159"/>
      <c r="E159"/>
      <c r="F159"/>
      <c r="G159"/>
      <c r="H159"/>
      <c r="I159"/>
      <c r="J159"/>
      <c r="K159"/>
      <c r="L159"/>
      <c r="M159"/>
      <c r="N159"/>
      <c r="O159"/>
      <c r="P159"/>
      <c r="R159"/>
      <c r="S159"/>
      <c r="T159"/>
      <c r="U159"/>
      <c r="V159"/>
      <c r="W159"/>
      <c r="X159"/>
      <c r="Y159"/>
    </row>
    <row r="160" spans="2:25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R160"/>
      <c r="S160"/>
      <c r="T160"/>
      <c r="U160"/>
      <c r="V160"/>
      <c r="W160"/>
      <c r="X160"/>
      <c r="Y160"/>
    </row>
    <row r="161" spans="2:25">
      <c r="B161"/>
      <c r="D161"/>
      <c r="E161"/>
      <c r="F161"/>
      <c r="G161"/>
      <c r="H161"/>
      <c r="I161"/>
      <c r="J161"/>
      <c r="K161"/>
      <c r="L161"/>
      <c r="M161"/>
      <c r="N161"/>
      <c r="O161"/>
      <c r="P161"/>
      <c r="R161"/>
      <c r="S161"/>
      <c r="T161"/>
      <c r="U161"/>
      <c r="V161"/>
      <c r="W161"/>
      <c r="X161"/>
      <c r="Y161"/>
    </row>
    <row r="162" spans="2:25">
      <c r="B162"/>
      <c r="D162"/>
      <c r="E162"/>
      <c r="F162"/>
      <c r="G162"/>
      <c r="H162"/>
      <c r="I162"/>
      <c r="J162"/>
      <c r="K162"/>
      <c r="L162"/>
      <c r="M162"/>
      <c r="N162"/>
      <c r="O162"/>
      <c r="P162"/>
      <c r="R162"/>
      <c r="S162"/>
      <c r="T162"/>
      <c r="U162"/>
      <c r="V162"/>
      <c r="W162"/>
      <c r="X162"/>
      <c r="Y162"/>
    </row>
    <row r="163" spans="2:25">
      <c r="B163"/>
      <c r="D163"/>
      <c r="E163"/>
      <c r="F163"/>
      <c r="G163"/>
      <c r="H163"/>
      <c r="I163"/>
      <c r="J163"/>
      <c r="K163"/>
      <c r="L163"/>
      <c r="M163"/>
      <c r="N163"/>
      <c r="O163"/>
      <c r="P163"/>
      <c r="R163"/>
      <c r="S163"/>
      <c r="T163"/>
      <c r="U163"/>
      <c r="V163"/>
      <c r="W163"/>
      <c r="X163"/>
      <c r="Y163"/>
    </row>
    <row r="164" spans="2:25">
      <c r="B164"/>
      <c r="D164"/>
      <c r="E164"/>
      <c r="F164"/>
      <c r="G164"/>
      <c r="H164"/>
      <c r="I164"/>
      <c r="J164"/>
      <c r="K164"/>
      <c r="L164"/>
      <c r="M164"/>
      <c r="N164"/>
      <c r="O164"/>
      <c r="P164"/>
      <c r="R164"/>
      <c r="S164"/>
      <c r="T164"/>
      <c r="U164"/>
      <c r="V164"/>
      <c r="W164"/>
      <c r="X164"/>
      <c r="Y164"/>
    </row>
    <row r="165" spans="2:25">
      <c r="B165"/>
      <c r="D165"/>
      <c r="E165"/>
      <c r="F165"/>
      <c r="G165"/>
      <c r="H165"/>
      <c r="I165"/>
      <c r="J165"/>
      <c r="K165"/>
      <c r="L165"/>
      <c r="M165"/>
      <c r="N165"/>
      <c r="O165"/>
      <c r="P165"/>
      <c r="R165"/>
      <c r="S165"/>
      <c r="T165"/>
      <c r="U165"/>
      <c r="V165"/>
      <c r="W165"/>
      <c r="X165"/>
      <c r="Y165"/>
    </row>
    <row r="166" spans="2:25">
      <c r="B166"/>
      <c r="D166"/>
      <c r="E166"/>
      <c r="F166"/>
      <c r="G166"/>
      <c r="H166"/>
      <c r="I166"/>
      <c r="J166"/>
      <c r="K166"/>
      <c r="L166"/>
      <c r="M166"/>
      <c r="N166"/>
      <c r="O166"/>
      <c r="P166"/>
      <c r="R166"/>
      <c r="S166"/>
      <c r="T166"/>
      <c r="U166"/>
      <c r="V166"/>
      <c r="W166"/>
      <c r="X166"/>
      <c r="Y166"/>
    </row>
    <row r="167" spans="2:25">
      <c r="B167"/>
      <c r="D167"/>
      <c r="E167"/>
      <c r="F167"/>
      <c r="G167"/>
      <c r="H167"/>
      <c r="I167"/>
      <c r="J167"/>
      <c r="K167"/>
      <c r="L167"/>
      <c r="M167"/>
      <c r="N167"/>
      <c r="O167"/>
      <c r="P167"/>
      <c r="R167"/>
      <c r="S167"/>
      <c r="T167"/>
      <c r="U167"/>
      <c r="V167"/>
      <c r="W167"/>
      <c r="X167"/>
      <c r="Y167"/>
    </row>
    <row r="168" spans="2:25">
      <c r="B168"/>
      <c r="D168"/>
      <c r="E168"/>
      <c r="F168"/>
      <c r="G168"/>
      <c r="H168"/>
      <c r="I168"/>
      <c r="J168"/>
      <c r="K168"/>
      <c r="L168"/>
      <c r="M168"/>
      <c r="N168"/>
      <c r="O168"/>
      <c r="P168"/>
      <c r="R168"/>
      <c r="S168"/>
      <c r="T168"/>
      <c r="U168"/>
      <c r="V168"/>
      <c r="W168"/>
      <c r="X168"/>
      <c r="Y168"/>
    </row>
    <row r="169" spans="2:25">
      <c r="B169"/>
      <c r="D169"/>
      <c r="E169"/>
      <c r="F169"/>
      <c r="G169"/>
      <c r="H169"/>
      <c r="I169"/>
      <c r="J169"/>
      <c r="K169"/>
      <c r="L169"/>
      <c r="M169"/>
      <c r="N169"/>
      <c r="O169"/>
      <c r="P169"/>
      <c r="R169"/>
      <c r="S169"/>
      <c r="T169"/>
      <c r="U169"/>
      <c r="V169"/>
      <c r="W169"/>
      <c r="X169"/>
      <c r="Y169"/>
    </row>
    <row r="170" spans="2:25">
      <c r="B170"/>
      <c r="D170"/>
      <c r="E170"/>
      <c r="F170"/>
      <c r="G170"/>
      <c r="H170"/>
      <c r="I170"/>
      <c r="J170"/>
      <c r="K170"/>
      <c r="L170"/>
      <c r="M170"/>
      <c r="N170"/>
      <c r="O170"/>
      <c r="P170"/>
      <c r="R170"/>
      <c r="S170"/>
      <c r="T170"/>
      <c r="U170"/>
      <c r="V170"/>
      <c r="W170"/>
      <c r="X170"/>
      <c r="Y170"/>
    </row>
    <row r="171" spans="2:25">
      <c r="B171"/>
      <c r="D171"/>
      <c r="E171"/>
      <c r="F171"/>
      <c r="G171"/>
      <c r="H171"/>
      <c r="I171"/>
      <c r="J171"/>
      <c r="K171"/>
      <c r="L171"/>
      <c r="M171"/>
      <c r="N171"/>
      <c r="O171"/>
      <c r="P171"/>
      <c r="R171"/>
      <c r="S171"/>
      <c r="T171"/>
      <c r="U171"/>
      <c r="V171"/>
      <c r="W171"/>
      <c r="X171"/>
      <c r="Y171"/>
    </row>
    <row r="172" spans="2:25">
      <c r="B172"/>
      <c r="D172"/>
      <c r="E172"/>
      <c r="F172"/>
      <c r="G172"/>
      <c r="H172"/>
      <c r="I172"/>
      <c r="J172"/>
      <c r="K172"/>
      <c r="L172"/>
      <c r="M172"/>
      <c r="N172"/>
      <c r="O172"/>
      <c r="P172"/>
      <c r="R172"/>
      <c r="S172"/>
      <c r="T172"/>
      <c r="U172"/>
      <c r="V172"/>
      <c r="W172"/>
      <c r="X172"/>
      <c r="Y172"/>
    </row>
    <row r="173" spans="2:25">
      <c r="B173"/>
      <c r="D173"/>
      <c r="E173"/>
      <c r="F173"/>
      <c r="G173"/>
      <c r="H173"/>
      <c r="I173"/>
      <c r="J173"/>
      <c r="K173"/>
      <c r="L173"/>
      <c r="M173"/>
      <c r="N173"/>
      <c r="O173"/>
      <c r="P173"/>
      <c r="R173"/>
      <c r="S173"/>
      <c r="T173"/>
      <c r="U173"/>
      <c r="V173"/>
      <c r="W173"/>
      <c r="X173"/>
      <c r="Y173"/>
    </row>
    <row r="174" spans="2:25">
      <c r="B174"/>
      <c r="D174"/>
      <c r="E174"/>
      <c r="F174"/>
      <c r="G174"/>
      <c r="H174"/>
      <c r="I174"/>
      <c r="J174"/>
      <c r="K174"/>
      <c r="L174"/>
      <c r="M174"/>
      <c r="N174"/>
      <c r="O174"/>
      <c r="P174"/>
      <c r="R174"/>
      <c r="S174"/>
      <c r="T174"/>
      <c r="U174"/>
      <c r="V174"/>
      <c r="W174"/>
      <c r="X174"/>
      <c r="Y174"/>
    </row>
    <row r="175" spans="2:25">
      <c r="B175"/>
      <c r="D175"/>
      <c r="E175"/>
      <c r="F175"/>
      <c r="G175"/>
      <c r="H175"/>
      <c r="I175"/>
      <c r="J175"/>
      <c r="K175"/>
      <c r="L175"/>
      <c r="M175"/>
      <c r="N175"/>
      <c r="O175"/>
      <c r="P175"/>
      <c r="R175"/>
      <c r="S175"/>
      <c r="T175"/>
      <c r="U175"/>
      <c r="V175"/>
      <c r="W175"/>
      <c r="X175"/>
      <c r="Y175"/>
    </row>
    <row r="176" spans="2:25">
      <c r="B176"/>
      <c r="D176"/>
      <c r="E176"/>
      <c r="F176"/>
      <c r="G176"/>
      <c r="H176"/>
      <c r="I176"/>
      <c r="J176"/>
      <c r="K176"/>
      <c r="L176"/>
      <c r="M176"/>
      <c r="N176"/>
      <c r="O176"/>
      <c r="P176"/>
      <c r="R176"/>
      <c r="S176"/>
      <c r="T176"/>
      <c r="U176"/>
      <c r="V176"/>
      <c r="W176"/>
      <c r="X176"/>
      <c r="Y176"/>
    </row>
    <row r="177" spans="2:25">
      <c r="B177"/>
      <c r="D177"/>
      <c r="E177"/>
      <c r="F177"/>
      <c r="G177"/>
      <c r="H177"/>
      <c r="I177"/>
      <c r="J177"/>
      <c r="K177"/>
      <c r="L177"/>
      <c r="M177"/>
      <c r="N177"/>
      <c r="O177"/>
      <c r="P177"/>
      <c r="R177"/>
      <c r="S177"/>
      <c r="T177"/>
      <c r="U177"/>
      <c r="V177"/>
      <c r="W177"/>
      <c r="X177"/>
      <c r="Y177"/>
    </row>
    <row r="178" spans="2:25">
      <c r="B178"/>
      <c r="D178"/>
      <c r="E178"/>
      <c r="F178"/>
      <c r="G178"/>
      <c r="H178"/>
      <c r="I178"/>
      <c r="J178"/>
      <c r="K178"/>
      <c r="L178"/>
      <c r="M178"/>
      <c r="N178"/>
      <c r="O178"/>
      <c r="P178"/>
      <c r="R178"/>
      <c r="S178"/>
      <c r="T178"/>
      <c r="U178"/>
      <c r="V178"/>
      <c r="W178"/>
      <c r="X178"/>
      <c r="Y178"/>
    </row>
    <row r="179" spans="2:25">
      <c r="B179"/>
      <c r="D179"/>
      <c r="E179"/>
      <c r="F179"/>
      <c r="G179"/>
      <c r="H179"/>
      <c r="I179"/>
      <c r="J179"/>
      <c r="K179"/>
      <c r="L179"/>
      <c r="M179"/>
      <c r="N179"/>
      <c r="O179"/>
      <c r="P179"/>
      <c r="R179"/>
      <c r="S179"/>
      <c r="T179"/>
      <c r="U179"/>
      <c r="V179"/>
      <c r="W179"/>
      <c r="X179"/>
      <c r="Y179"/>
    </row>
    <row r="180" spans="2:25">
      <c r="B180"/>
      <c r="D180"/>
      <c r="E180"/>
      <c r="F180"/>
      <c r="G180"/>
      <c r="H180"/>
      <c r="I180"/>
      <c r="J180"/>
      <c r="K180"/>
      <c r="L180"/>
      <c r="M180"/>
      <c r="N180"/>
      <c r="O180"/>
      <c r="P180"/>
      <c r="R180"/>
      <c r="S180"/>
      <c r="T180"/>
      <c r="U180"/>
      <c r="V180"/>
      <c r="W180"/>
      <c r="X180"/>
      <c r="Y180"/>
    </row>
    <row r="181" spans="2:25">
      <c r="B181"/>
      <c r="D181"/>
      <c r="E181"/>
      <c r="F181"/>
      <c r="G181"/>
      <c r="H181"/>
      <c r="I181"/>
      <c r="J181"/>
      <c r="K181"/>
      <c r="L181"/>
      <c r="M181"/>
      <c r="N181"/>
      <c r="O181"/>
      <c r="P181"/>
      <c r="R181"/>
      <c r="S181"/>
      <c r="T181"/>
      <c r="U181"/>
      <c r="V181"/>
      <c r="W181"/>
      <c r="X181"/>
      <c r="Y181"/>
    </row>
    <row r="182" spans="2:25">
      <c r="B182"/>
      <c r="D182"/>
      <c r="E182"/>
      <c r="F182"/>
      <c r="G182"/>
      <c r="H182"/>
      <c r="I182"/>
      <c r="J182"/>
      <c r="K182"/>
      <c r="L182"/>
      <c r="M182"/>
      <c r="N182"/>
      <c r="O182"/>
      <c r="P182"/>
      <c r="R182"/>
      <c r="S182"/>
      <c r="T182"/>
      <c r="U182"/>
      <c r="V182"/>
      <c r="W182"/>
      <c r="X182"/>
      <c r="Y182"/>
    </row>
    <row r="183" spans="2:25">
      <c r="B183"/>
      <c r="D183"/>
      <c r="E183"/>
      <c r="F183"/>
      <c r="G183"/>
      <c r="H183"/>
      <c r="I183"/>
      <c r="J183"/>
      <c r="K183"/>
      <c r="L183"/>
      <c r="M183"/>
      <c r="N183"/>
      <c r="O183"/>
      <c r="P183"/>
      <c r="R183"/>
      <c r="S183"/>
      <c r="T183"/>
      <c r="U183"/>
      <c r="V183"/>
      <c r="W183"/>
      <c r="X183"/>
      <c r="Y183"/>
    </row>
    <row r="184" spans="2:25">
      <c r="B184"/>
      <c r="D184"/>
      <c r="E184"/>
      <c r="F184"/>
      <c r="G184"/>
      <c r="H184"/>
      <c r="I184"/>
      <c r="J184"/>
      <c r="K184"/>
      <c r="L184"/>
      <c r="M184"/>
      <c r="N184"/>
      <c r="O184"/>
      <c r="P184"/>
      <c r="R184"/>
      <c r="S184"/>
      <c r="T184"/>
      <c r="U184"/>
      <c r="V184"/>
      <c r="W184"/>
      <c r="X184"/>
      <c r="Y184"/>
    </row>
    <row r="185" spans="2:25">
      <c r="B185"/>
      <c r="D185"/>
      <c r="E185"/>
      <c r="F185"/>
      <c r="G185"/>
      <c r="H185"/>
      <c r="I185"/>
      <c r="J185"/>
      <c r="K185"/>
      <c r="L185"/>
      <c r="M185"/>
      <c r="N185"/>
      <c r="O185"/>
      <c r="P185"/>
      <c r="R185"/>
      <c r="S185"/>
      <c r="T185"/>
      <c r="U185"/>
      <c r="V185"/>
      <c r="W185"/>
      <c r="X185"/>
      <c r="Y185"/>
    </row>
    <row r="186" spans="2:25">
      <c r="B186"/>
      <c r="D186"/>
      <c r="E186"/>
      <c r="F186"/>
      <c r="G186"/>
      <c r="H186"/>
      <c r="I186"/>
      <c r="J186"/>
      <c r="K186"/>
      <c r="L186"/>
      <c r="M186"/>
      <c r="N186"/>
      <c r="O186"/>
      <c r="P186"/>
      <c r="R186"/>
      <c r="S186"/>
      <c r="T186"/>
      <c r="U186"/>
      <c r="V186"/>
      <c r="W186"/>
      <c r="X186"/>
      <c r="Y186"/>
    </row>
    <row r="187" spans="2:25">
      <c r="B187"/>
      <c r="D187"/>
      <c r="E187"/>
      <c r="F187"/>
      <c r="G187"/>
      <c r="H187"/>
      <c r="I187"/>
      <c r="J187"/>
      <c r="K187"/>
      <c r="L187"/>
      <c r="M187"/>
      <c r="N187"/>
      <c r="O187"/>
      <c r="P187"/>
      <c r="R187"/>
      <c r="S187"/>
      <c r="T187"/>
      <c r="U187"/>
      <c r="V187"/>
      <c r="W187"/>
      <c r="X187"/>
      <c r="Y187"/>
    </row>
    <row r="188" spans="2:25">
      <c r="B188"/>
      <c r="D188"/>
      <c r="E188"/>
      <c r="F188"/>
      <c r="G188"/>
      <c r="H188"/>
      <c r="I188"/>
      <c r="J188"/>
      <c r="K188"/>
      <c r="L188"/>
      <c r="M188"/>
      <c r="N188"/>
      <c r="O188"/>
      <c r="P188"/>
      <c r="R188"/>
      <c r="S188"/>
      <c r="T188"/>
      <c r="U188"/>
      <c r="V188"/>
      <c r="W188"/>
      <c r="X188"/>
      <c r="Y188"/>
    </row>
    <row r="189" spans="2:25">
      <c r="B189"/>
      <c r="D189"/>
      <c r="E189"/>
      <c r="F189"/>
      <c r="G189"/>
      <c r="H189"/>
      <c r="I189"/>
      <c r="J189"/>
      <c r="K189"/>
      <c r="L189"/>
      <c r="M189"/>
      <c r="N189"/>
      <c r="O189"/>
      <c r="P189"/>
      <c r="R189"/>
      <c r="S189"/>
      <c r="T189"/>
      <c r="U189"/>
      <c r="V189"/>
      <c r="W189"/>
      <c r="X189"/>
      <c r="Y189"/>
    </row>
    <row r="190" spans="2:25">
      <c r="B190"/>
      <c r="D190"/>
      <c r="E190"/>
      <c r="F190"/>
      <c r="G190"/>
      <c r="H190"/>
      <c r="I190"/>
      <c r="J190"/>
      <c r="K190"/>
      <c r="L190"/>
      <c r="M190"/>
      <c r="N190"/>
      <c r="O190"/>
      <c r="P190"/>
      <c r="R190"/>
      <c r="S190"/>
      <c r="T190"/>
      <c r="U190"/>
      <c r="V190"/>
      <c r="W190"/>
      <c r="X190"/>
      <c r="Y190"/>
    </row>
    <row r="191" spans="2:25">
      <c r="B191"/>
      <c r="D191"/>
      <c r="E191"/>
      <c r="F191"/>
      <c r="G191"/>
      <c r="H191"/>
      <c r="I191"/>
      <c r="J191"/>
      <c r="K191"/>
      <c r="L191"/>
      <c r="M191"/>
      <c r="N191"/>
      <c r="O191"/>
      <c r="P191"/>
      <c r="R191"/>
      <c r="S191"/>
      <c r="T191"/>
      <c r="U191"/>
      <c r="V191"/>
      <c r="W191"/>
      <c r="X191"/>
      <c r="Y191"/>
    </row>
    <row r="192" spans="2:25">
      <c r="B192"/>
      <c r="D192"/>
      <c r="E192"/>
      <c r="F192"/>
      <c r="G192"/>
      <c r="H192"/>
      <c r="I192"/>
      <c r="J192"/>
      <c r="K192"/>
      <c r="L192"/>
      <c r="M192"/>
      <c r="N192"/>
      <c r="O192"/>
      <c r="P192"/>
      <c r="R192"/>
      <c r="S192"/>
      <c r="T192"/>
      <c r="U192"/>
      <c r="V192"/>
      <c r="W192"/>
      <c r="X192"/>
      <c r="Y192"/>
    </row>
    <row r="193" spans="2:25">
      <c r="B193"/>
      <c r="D193"/>
      <c r="E193"/>
      <c r="F193"/>
      <c r="G193"/>
      <c r="H193"/>
      <c r="I193"/>
      <c r="J193"/>
      <c r="K193"/>
      <c r="L193"/>
      <c r="M193"/>
      <c r="N193"/>
      <c r="O193"/>
      <c r="P193"/>
      <c r="R193"/>
      <c r="S193"/>
      <c r="T193"/>
      <c r="U193"/>
      <c r="V193"/>
      <c r="W193"/>
      <c r="X193"/>
      <c r="Y193"/>
    </row>
    <row r="194" spans="2:25">
      <c r="B194"/>
      <c r="D194"/>
      <c r="E194"/>
      <c r="F194"/>
      <c r="G194"/>
      <c r="H194"/>
      <c r="I194"/>
      <c r="J194"/>
      <c r="K194"/>
      <c r="L194"/>
      <c r="M194"/>
      <c r="N194"/>
      <c r="O194"/>
      <c r="P194"/>
      <c r="R194"/>
      <c r="S194"/>
      <c r="T194"/>
      <c r="U194"/>
      <c r="V194"/>
      <c r="W194"/>
      <c r="X194"/>
      <c r="Y194"/>
    </row>
    <row r="195" spans="2:25">
      <c r="B195"/>
      <c r="D195"/>
      <c r="E195"/>
      <c r="F195"/>
      <c r="G195"/>
      <c r="H195"/>
      <c r="I195"/>
      <c r="J195"/>
      <c r="K195"/>
      <c r="L195"/>
      <c r="M195"/>
      <c r="N195"/>
      <c r="O195"/>
      <c r="P195"/>
      <c r="R195"/>
      <c r="S195"/>
      <c r="T195"/>
      <c r="U195"/>
      <c r="V195"/>
      <c r="W195"/>
      <c r="X195"/>
      <c r="Y195"/>
    </row>
    <row r="196" spans="2:25">
      <c r="B196"/>
      <c r="D196"/>
      <c r="E196"/>
      <c r="F196"/>
      <c r="G196"/>
      <c r="H196"/>
      <c r="I196"/>
      <c r="J196"/>
      <c r="K196"/>
      <c r="L196"/>
      <c r="M196"/>
      <c r="N196"/>
      <c r="O196"/>
      <c r="P196"/>
      <c r="R196"/>
      <c r="S196"/>
      <c r="T196"/>
      <c r="U196"/>
      <c r="V196"/>
      <c r="W196"/>
      <c r="X196"/>
      <c r="Y196"/>
    </row>
    <row r="197" spans="2:25">
      <c r="B197"/>
      <c r="D197"/>
      <c r="E197"/>
      <c r="F197"/>
      <c r="G197"/>
      <c r="H197"/>
      <c r="I197"/>
      <c r="J197"/>
      <c r="K197"/>
      <c r="L197"/>
      <c r="M197"/>
      <c r="N197"/>
      <c r="O197"/>
      <c r="P197"/>
      <c r="R197"/>
      <c r="S197"/>
      <c r="T197"/>
      <c r="U197"/>
      <c r="V197"/>
      <c r="W197"/>
      <c r="X197"/>
      <c r="Y197"/>
    </row>
    <row r="198" spans="2:25">
      <c r="B198"/>
      <c r="D198"/>
      <c r="E198"/>
      <c r="F198"/>
      <c r="G198"/>
      <c r="H198"/>
      <c r="I198"/>
      <c r="J198"/>
      <c r="K198"/>
      <c r="L198"/>
      <c r="M198"/>
      <c r="N198"/>
      <c r="O198"/>
      <c r="P198"/>
      <c r="R198"/>
      <c r="S198"/>
      <c r="T198"/>
      <c r="U198"/>
      <c r="V198"/>
      <c r="W198"/>
      <c r="X198"/>
      <c r="Y198"/>
    </row>
    <row r="199" spans="2:25">
      <c r="B199"/>
      <c r="D199"/>
      <c r="E199"/>
      <c r="F199"/>
      <c r="G199"/>
      <c r="H199"/>
      <c r="I199"/>
      <c r="J199"/>
      <c r="K199"/>
      <c r="L199"/>
      <c r="M199"/>
      <c r="N199"/>
      <c r="O199"/>
      <c r="P199"/>
      <c r="R199"/>
      <c r="S199"/>
      <c r="T199"/>
      <c r="U199"/>
      <c r="V199"/>
      <c r="W199"/>
      <c r="X199"/>
      <c r="Y199"/>
    </row>
    <row r="200" spans="2:25">
      <c r="B200"/>
      <c r="D200"/>
      <c r="E200"/>
      <c r="F200"/>
      <c r="G200"/>
      <c r="H200"/>
      <c r="I200"/>
      <c r="J200"/>
      <c r="K200"/>
      <c r="L200"/>
      <c r="M200"/>
      <c r="N200"/>
      <c r="O200"/>
      <c r="P200"/>
      <c r="R200"/>
      <c r="S200"/>
      <c r="T200"/>
      <c r="U200"/>
      <c r="V200"/>
      <c r="W200"/>
      <c r="X200"/>
      <c r="Y200"/>
    </row>
    <row r="201" spans="2:25">
      <c r="B201"/>
      <c r="D201"/>
      <c r="E201"/>
      <c r="F201"/>
      <c r="G201"/>
      <c r="H201"/>
      <c r="I201"/>
      <c r="J201"/>
      <c r="K201"/>
      <c r="L201"/>
      <c r="M201"/>
      <c r="N201"/>
      <c r="O201"/>
      <c r="P201"/>
      <c r="R201"/>
      <c r="S201"/>
      <c r="T201"/>
      <c r="U201"/>
      <c r="V201"/>
      <c r="W201"/>
      <c r="X201"/>
      <c r="Y201"/>
    </row>
    <row r="202" spans="2:25">
      <c r="B202"/>
      <c r="D202"/>
      <c r="E202"/>
      <c r="F202"/>
      <c r="G202"/>
      <c r="H202"/>
      <c r="I202"/>
      <c r="J202"/>
      <c r="K202"/>
      <c r="L202"/>
      <c r="M202"/>
      <c r="N202"/>
      <c r="O202"/>
      <c r="P202"/>
      <c r="R202"/>
      <c r="S202"/>
      <c r="T202"/>
      <c r="U202"/>
      <c r="V202"/>
      <c r="W202"/>
      <c r="X202"/>
      <c r="Y202"/>
    </row>
    <row r="203" spans="2:25">
      <c r="B203"/>
      <c r="D203"/>
      <c r="E203"/>
      <c r="F203"/>
      <c r="G203"/>
      <c r="H203"/>
      <c r="I203"/>
      <c r="J203"/>
      <c r="K203"/>
      <c r="L203"/>
      <c r="M203"/>
      <c r="N203"/>
      <c r="O203"/>
      <c r="P203"/>
      <c r="R203"/>
      <c r="S203"/>
      <c r="T203"/>
      <c r="U203"/>
      <c r="V203"/>
      <c r="W203"/>
      <c r="X203"/>
      <c r="Y203"/>
    </row>
    <row r="204" spans="2:25">
      <c r="B204"/>
      <c r="D204"/>
      <c r="E204"/>
      <c r="F204"/>
      <c r="G204"/>
      <c r="H204"/>
      <c r="I204"/>
      <c r="J204"/>
      <c r="K204"/>
      <c r="L204"/>
      <c r="M204"/>
      <c r="N204"/>
      <c r="O204"/>
      <c r="P204"/>
      <c r="R204"/>
      <c r="S204"/>
      <c r="T204"/>
      <c r="U204"/>
      <c r="V204"/>
      <c r="W204"/>
      <c r="X204"/>
      <c r="Y204"/>
    </row>
    <row r="205" spans="2:25">
      <c r="B205"/>
      <c r="D205"/>
      <c r="E205"/>
      <c r="F205"/>
      <c r="G205"/>
      <c r="H205"/>
      <c r="I205"/>
      <c r="J205"/>
      <c r="K205"/>
      <c r="L205"/>
      <c r="M205"/>
      <c r="N205"/>
      <c r="O205"/>
      <c r="P205"/>
      <c r="R205"/>
      <c r="S205"/>
      <c r="T205"/>
      <c r="U205"/>
      <c r="V205"/>
      <c r="W205"/>
      <c r="X205"/>
      <c r="Y205"/>
    </row>
    <row r="206" spans="2:25">
      <c r="B206"/>
      <c r="D206"/>
      <c r="E206"/>
      <c r="F206"/>
      <c r="G206"/>
      <c r="H206"/>
      <c r="I206"/>
      <c r="J206"/>
      <c r="K206"/>
      <c r="L206"/>
      <c r="M206"/>
      <c r="N206"/>
      <c r="O206"/>
      <c r="P206"/>
      <c r="R206"/>
      <c r="S206"/>
      <c r="T206"/>
      <c r="U206"/>
      <c r="V206"/>
      <c r="W206"/>
      <c r="X206"/>
      <c r="Y206"/>
    </row>
    <row r="207" spans="2:25">
      <c r="B207"/>
      <c r="D207"/>
      <c r="E207"/>
      <c r="F207"/>
      <c r="G207"/>
      <c r="H207"/>
      <c r="I207"/>
      <c r="J207"/>
      <c r="K207"/>
      <c r="L207"/>
      <c r="M207"/>
      <c r="N207"/>
      <c r="O207"/>
      <c r="P207"/>
      <c r="R207"/>
      <c r="S207"/>
      <c r="T207"/>
      <c r="U207"/>
      <c r="V207"/>
      <c r="W207"/>
      <c r="X207"/>
      <c r="Y207"/>
    </row>
    <row r="208" spans="2:25">
      <c r="B208"/>
      <c r="D208"/>
      <c r="E208"/>
      <c r="F208"/>
      <c r="G208"/>
      <c r="H208"/>
      <c r="I208"/>
      <c r="J208"/>
      <c r="K208"/>
      <c r="L208"/>
      <c r="M208"/>
      <c r="N208"/>
      <c r="O208"/>
      <c r="P208"/>
      <c r="R208"/>
      <c r="S208"/>
      <c r="T208"/>
      <c r="U208"/>
      <c r="V208"/>
      <c r="W208"/>
      <c r="X208"/>
      <c r="Y208"/>
    </row>
    <row r="209" spans="2:25">
      <c r="B209"/>
      <c r="D209"/>
      <c r="E209"/>
      <c r="F209"/>
      <c r="G209"/>
      <c r="H209"/>
      <c r="I209"/>
      <c r="J209"/>
      <c r="K209"/>
      <c r="L209"/>
      <c r="M209"/>
      <c r="N209"/>
      <c r="O209"/>
      <c r="P209"/>
      <c r="R209"/>
      <c r="S209"/>
      <c r="T209"/>
      <c r="U209"/>
      <c r="V209"/>
      <c r="W209"/>
      <c r="X209"/>
      <c r="Y209"/>
    </row>
    <row r="210" spans="2:25">
      <c r="B210"/>
      <c r="D210"/>
      <c r="E210"/>
      <c r="F210"/>
      <c r="G210"/>
      <c r="H210"/>
      <c r="I210"/>
      <c r="J210"/>
      <c r="K210"/>
      <c r="L210"/>
      <c r="M210"/>
      <c r="N210"/>
      <c r="O210"/>
      <c r="P210"/>
      <c r="R210"/>
      <c r="S210"/>
      <c r="T210"/>
      <c r="U210"/>
      <c r="V210"/>
      <c r="W210"/>
      <c r="X210"/>
      <c r="Y210"/>
    </row>
    <row r="211" spans="2:25">
      <c r="B211"/>
      <c r="D211"/>
      <c r="E211"/>
      <c r="F211"/>
      <c r="G211"/>
      <c r="H211"/>
      <c r="I211"/>
      <c r="J211"/>
      <c r="K211"/>
      <c r="L211"/>
      <c r="M211"/>
      <c r="N211"/>
      <c r="O211"/>
      <c r="P211"/>
      <c r="R211"/>
      <c r="S211"/>
      <c r="T211"/>
      <c r="U211"/>
      <c r="V211"/>
      <c r="W211"/>
      <c r="X211"/>
      <c r="Y211"/>
    </row>
    <row r="212" spans="2:25">
      <c r="B212"/>
      <c r="D212"/>
      <c r="E212"/>
      <c r="F212"/>
      <c r="G212"/>
      <c r="H212"/>
      <c r="I212"/>
      <c r="J212"/>
      <c r="K212"/>
      <c r="L212"/>
      <c r="M212"/>
      <c r="N212"/>
      <c r="O212"/>
      <c r="P212"/>
      <c r="R212"/>
      <c r="S212"/>
      <c r="T212"/>
      <c r="U212"/>
      <c r="V212"/>
      <c r="W212"/>
      <c r="X212"/>
      <c r="Y212"/>
    </row>
    <row r="213" spans="2:25">
      <c r="B213"/>
      <c r="D213"/>
      <c r="E213"/>
      <c r="F213"/>
      <c r="G213"/>
      <c r="H213"/>
      <c r="I213"/>
      <c r="J213"/>
      <c r="K213"/>
      <c r="L213"/>
      <c r="M213"/>
      <c r="N213"/>
      <c r="O213"/>
      <c r="P213"/>
      <c r="R213"/>
      <c r="S213"/>
      <c r="T213"/>
      <c r="U213"/>
      <c r="V213"/>
      <c r="W213"/>
      <c r="X213"/>
      <c r="Y213"/>
    </row>
    <row r="214" spans="2:25">
      <c r="B214"/>
      <c r="D214"/>
      <c r="E214"/>
      <c r="F214"/>
      <c r="G214"/>
      <c r="H214"/>
      <c r="I214"/>
      <c r="J214"/>
      <c r="K214"/>
      <c r="L214"/>
      <c r="M214"/>
      <c r="N214"/>
      <c r="O214"/>
      <c r="P214"/>
      <c r="R214"/>
      <c r="S214"/>
      <c r="T214"/>
      <c r="U214"/>
      <c r="V214"/>
      <c r="W214"/>
      <c r="X214"/>
      <c r="Y214"/>
    </row>
    <row r="215" spans="2:25">
      <c r="B215"/>
      <c r="D215"/>
      <c r="E215"/>
      <c r="F215"/>
      <c r="G215"/>
      <c r="H215"/>
      <c r="I215"/>
      <c r="J215"/>
      <c r="K215"/>
      <c r="L215"/>
      <c r="M215"/>
      <c r="N215"/>
      <c r="O215"/>
      <c r="P215"/>
      <c r="R215"/>
      <c r="S215"/>
      <c r="T215"/>
      <c r="U215"/>
      <c r="V215"/>
      <c r="W215"/>
      <c r="X215"/>
      <c r="Y215"/>
    </row>
    <row r="216" spans="2:25">
      <c r="B216"/>
      <c r="D216"/>
      <c r="E216"/>
      <c r="F216"/>
      <c r="G216"/>
      <c r="H216"/>
      <c r="I216"/>
      <c r="J216"/>
      <c r="K216"/>
      <c r="L216"/>
      <c r="M216"/>
      <c r="N216"/>
      <c r="O216"/>
      <c r="P216"/>
      <c r="R216"/>
      <c r="S216"/>
      <c r="T216"/>
      <c r="U216"/>
      <c r="V216"/>
      <c r="W216"/>
      <c r="X216"/>
      <c r="Y216"/>
    </row>
    <row r="217" spans="2:25">
      <c r="B217"/>
      <c r="D217"/>
      <c r="E217"/>
      <c r="F217"/>
      <c r="G217"/>
      <c r="H217"/>
      <c r="I217"/>
      <c r="J217"/>
      <c r="K217"/>
      <c r="L217"/>
      <c r="M217"/>
      <c r="N217"/>
      <c r="O217"/>
      <c r="P217"/>
      <c r="R217"/>
      <c r="S217"/>
      <c r="T217"/>
      <c r="U217"/>
      <c r="V217"/>
      <c r="W217"/>
      <c r="X217"/>
      <c r="Y217"/>
    </row>
    <row r="218" spans="2:25">
      <c r="B218"/>
      <c r="D218"/>
      <c r="E218"/>
      <c r="F218"/>
      <c r="G218"/>
      <c r="H218"/>
      <c r="I218"/>
      <c r="J218"/>
      <c r="K218"/>
      <c r="L218"/>
      <c r="M218"/>
      <c r="N218"/>
      <c r="O218"/>
      <c r="P218"/>
      <c r="R218"/>
      <c r="S218"/>
      <c r="T218"/>
      <c r="U218"/>
      <c r="V218"/>
      <c r="W218"/>
      <c r="X218"/>
      <c r="Y218"/>
    </row>
    <row r="219" spans="2:25">
      <c r="B219"/>
      <c r="D219"/>
      <c r="E219"/>
      <c r="F219"/>
      <c r="G219"/>
      <c r="H219"/>
      <c r="I219"/>
      <c r="J219"/>
      <c r="K219"/>
      <c r="L219"/>
      <c r="M219"/>
      <c r="N219"/>
      <c r="O219"/>
      <c r="P219"/>
      <c r="R219"/>
      <c r="S219"/>
      <c r="T219"/>
      <c r="U219"/>
      <c r="V219"/>
      <c r="W219"/>
      <c r="X219"/>
      <c r="Y219"/>
    </row>
    <row r="220" spans="2:25">
      <c r="B220"/>
      <c r="D220"/>
      <c r="E220"/>
      <c r="F220"/>
      <c r="G220"/>
      <c r="H220"/>
      <c r="I220"/>
      <c r="J220"/>
      <c r="K220"/>
      <c r="L220"/>
      <c r="M220"/>
      <c r="N220"/>
      <c r="O220"/>
      <c r="P220"/>
      <c r="R220"/>
      <c r="S220"/>
      <c r="T220"/>
      <c r="U220"/>
      <c r="V220"/>
      <c r="W220"/>
      <c r="X220"/>
      <c r="Y220"/>
    </row>
    <row r="221" spans="2:25">
      <c r="B221"/>
      <c r="D221"/>
      <c r="E221"/>
      <c r="F221"/>
      <c r="G221"/>
      <c r="H221"/>
      <c r="I221"/>
      <c r="J221"/>
      <c r="K221"/>
      <c r="L221"/>
      <c r="M221"/>
      <c r="N221"/>
      <c r="O221"/>
      <c r="P221"/>
      <c r="R221"/>
      <c r="S221"/>
      <c r="T221"/>
      <c r="U221"/>
      <c r="V221"/>
      <c r="W221"/>
      <c r="X221"/>
      <c r="Y221"/>
    </row>
    <row r="222" spans="2:25">
      <c r="B222"/>
      <c r="D222"/>
      <c r="E222"/>
      <c r="F222"/>
      <c r="G222"/>
      <c r="H222"/>
      <c r="I222"/>
      <c r="J222"/>
      <c r="K222"/>
      <c r="L222"/>
      <c r="M222"/>
      <c r="N222"/>
      <c r="O222"/>
      <c r="P222"/>
      <c r="R222"/>
      <c r="S222"/>
      <c r="T222"/>
      <c r="U222"/>
      <c r="V222"/>
      <c r="W222"/>
      <c r="X222"/>
      <c r="Y222"/>
    </row>
    <row r="223" spans="2:25">
      <c r="B223"/>
      <c r="D223"/>
      <c r="E223"/>
      <c r="F223"/>
      <c r="G223"/>
      <c r="H223"/>
      <c r="I223"/>
      <c r="J223"/>
      <c r="K223"/>
      <c r="L223"/>
      <c r="M223"/>
      <c r="N223"/>
      <c r="O223"/>
      <c r="P223"/>
      <c r="R223"/>
      <c r="S223"/>
      <c r="T223"/>
      <c r="U223"/>
      <c r="V223"/>
      <c r="W223"/>
      <c r="X223"/>
      <c r="Y223"/>
    </row>
    <row r="224" spans="2:25">
      <c r="B224"/>
      <c r="D224"/>
      <c r="E224"/>
      <c r="F224"/>
      <c r="G224"/>
      <c r="H224"/>
      <c r="I224"/>
      <c r="J224"/>
      <c r="K224"/>
      <c r="L224"/>
      <c r="M224"/>
      <c r="N224"/>
      <c r="O224"/>
      <c r="P224"/>
      <c r="R224"/>
      <c r="S224"/>
      <c r="T224"/>
      <c r="U224"/>
      <c r="V224"/>
      <c r="W224"/>
      <c r="X224"/>
      <c r="Y224"/>
    </row>
    <row r="225" spans="2:25">
      <c r="B225"/>
      <c r="D225"/>
      <c r="E225"/>
      <c r="F225"/>
      <c r="G225"/>
      <c r="H225"/>
      <c r="I225"/>
      <c r="J225"/>
      <c r="K225"/>
      <c r="L225"/>
      <c r="M225"/>
      <c r="N225"/>
      <c r="O225"/>
      <c r="P225"/>
      <c r="R225"/>
      <c r="S225"/>
      <c r="T225"/>
      <c r="U225"/>
      <c r="V225"/>
      <c r="W225"/>
      <c r="X225"/>
      <c r="Y225"/>
    </row>
    <row r="226" spans="2:25">
      <c r="B226"/>
      <c r="D226"/>
      <c r="E226"/>
      <c r="F226"/>
      <c r="G226"/>
      <c r="H226"/>
      <c r="I226"/>
      <c r="J226"/>
      <c r="K226"/>
      <c r="L226"/>
      <c r="M226"/>
      <c r="N226"/>
      <c r="O226"/>
      <c r="P226"/>
      <c r="R226"/>
      <c r="S226"/>
      <c r="T226"/>
      <c r="U226"/>
      <c r="V226"/>
      <c r="W226"/>
      <c r="X226"/>
      <c r="Y226"/>
    </row>
    <row r="227" spans="2:25">
      <c r="B227"/>
      <c r="D227"/>
      <c r="E227"/>
      <c r="F227"/>
      <c r="G227"/>
      <c r="H227"/>
      <c r="I227"/>
      <c r="J227"/>
      <c r="K227"/>
      <c r="L227"/>
      <c r="M227"/>
      <c r="N227"/>
      <c r="O227"/>
      <c r="P227"/>
      <c r="R227"/>
      <c r="S227"/>
      <c r="T227"/>
      <c r="U227"/>
      <c r="V227"/>
      <c r="W227"/>
      <c r="X227"/>
      <c r="Y227"/>
    </row>
    <row r="228" spans="2:25">
      <c r="B228"/>
      <c r="D228"/>
      <c r="E228"/>
      <c r="F228"/>
      <c r="G228"/>
      <c r="H228"/>
      <c r="I228"/>
      <c r="J228"/>
      <c r="K228"/>
      <c r="L228"/>
      <c r="M228"/>
      <c r="N228"/>
      <c r="O228"/>
      <c r="P228"/>
      <c r="R228"/>
      <c r="S228"/>
      <c r="T228"/>
      <c r="U228"/>
      <c r="V228"/>
      <c r="W228"/>
      <c r="X228"/>
      <c r="Y228"/>
    </row>
    <row r="229" spans="2:25">
      <c r="B229"/>
      <c r="D229"/>
      <c r="E229"/>
      <c r="F229"/>
      <c r="G229"/>
      <c r="H229"/>
      <c r="I229"/>
      <c r="J229"/>
      <c r="K229"/>
      <c r="L229"/>
      <c r="M229"/>
      <c r="N229"/>
      <c r="O229"/>
      <c r="P229"/>
      <c r="R229"/>
      <c r="S229"/>
      <c r="T229"/>
      <c r="U229"/>
      <c r="V229"/>
      <c r="W229"/>
      <c r="X229"/>
      <c r="Y229"/>
    </row>
    <row r="230" spans="2:25">
      <c r="B230"/>
      <c r="D230"/>
      <c r="E230"/>
      <c r="F230"/>
      <c r="G230"/>
      <c r="H230"/>
      <c r="I230"/>
      <c r="J230"/>
      <c r="K230"/>
      <c r="L230"/>
      <c r="M230"/>
      <c r="N230"/>
      <c r="O230"/>
      <c r="P230"/>
      <c r="R230"/>
      <c r="S230"/>
      <c r="T230"/>
      <c r="U230"/>
      <c r="V230"/>
      <c r="W230"/>
      <c r="X230"/>
      <c r="Y230"/>
    </row>
    <row r="231" spans="2:25">
      <c r="B231"/>
      <c r="D231"/>
      <c r="E231"/>
      <c r="F231"/>
      <c r="G231"/>
      <c r="H231"/>
      <c r="I231"/>
      <c r="J231"/>
      <c r="K231"/>
      <c r="L231"/>
      <c r="M231"/>
      <c r="N231"/>
      <c r="O231"/>
      <c r="P231"/>
      <c r="R231"/>
      <c r="S231"/>
      <c r="T231"/>
      <c r="U231"/>
      <c r="V231"/>
      <c r="W231"/>
      <c r="X231"/>
      <c r="Y231"/>
    </row>
    <row r="232" spans="2:25">
      <c r="B232"/>
      <c r="D232"/>
      <c r="E232"/>
      <c r="F232"/>
      <c r="G232"/>
      <c r="H232"/>
      <c r="I232"/>
      <c r="J232"/>
      <c r="K232"/>
      <c r="L232"/>
      <c r="M232"/>
      <c r="N232"/>
      <c r="O232"/>
      <c r="P232"/>
      <c r="R232"/>
      <c r="S232"/>
      <c r="T232"/>
      <c r="U232"/>
      <c r="V232"/>
      <c r="W232"/>
      <c r="X232"/>
      <c r="Y232"/>
    </row>
    <row r="233" spans="2:25">
      <c r="B233"/>
      <c r="D233"/>
      <c r="E233"/>
      <c r="F233"/>
      <c r="G233"/>
      <c r="H233"/>
      <c r="I233"/>
      <c r="J233"/>
      <c r="K233"/>
      <c r="L233"/>
      <c r="M233"/>
      <c r="N233"/>
      <c r="O233"/>
      <c r="P233"/>
      <c r="R233"/>
      <c r="S233"/>
      <c r="T233"/>
      <c r="U233"/>
      <c r="V233"/>
      <c r="W233"/>
      <c r="X233"/>
      <c r="Y233"/>
    </row>
    <row r="234" spans="2:25">
      <c r="B234"/>
      <c r="D234"/>
      <c r="E234"/>
      <c r="F234"/>
      <c r="G234"/>
      <c r="H234"/>
      <c r="I234"/>
      <c r="J234"/>
      <c r="K234"/>
      <c r="L234"/>
      <c r="M234"/>
      <c r="N234"/>
      <c r="O234"/>
      <c r="P234"/>
      <c r="R234"/>
      <c r="S234"/>
      <c r="T234"/>
      <c r="U234"/>
      <c r="V234"/>
      <c r="W234"/>
      <c r="X234"/>
      <c r="Y234"/>
    </row>
    <row r="235" spans="2:25">
      <c r="B235"/>
      <c r="D235"/>
      <c r="E235"/>
      <c r="F235"/>
      <c r="G235"/>
      <c r="H235"/>
      <c r="I235"/>
      <c r="J235"/>
      <c r="K235"/>
      <c r="L235"/>
      <c r="M235"/>
      <c r="N235"/>
      <c r="O235"/>
      <c r="P235"/>
      <c r="R235"/>
      <c r="S235"/>
      <c r="T235"/>
      <c r="U235"/>
      <c r="V235"/>
      <c r="W235"/>
      <c r="X235"/>
      <c r="Y235"/>
    </row>
    <row r="236" spans="2:25">
      <c r="B236"/>
      <c r="D236"/>
      <c r="E236"/>
      <c r="F236"/>
      <c r="G236"/>
      <c r="H236"/>
      <c r="I236"/>
      <c r="J236"/>
      <c r="K236"/>
      <c r="L236"/>
      <c r="M236"/>
      <c r="N236"/>
      <c r="O236"/>
      <c r="P236"/>
      <c r="R236"/>
      <c r="S236"/>
      <c r="T236"/>
      <c r="U236"/>
      <c r="V236"/>
      <c r="W236"/>
      <c r="X236"/>
      <c r="Y236"/>
    </row>
    <row r="237" spans="2:25">
      <c r="B237"/>
      <c r="D237"/>
      <c r="E237"/>
      <c r="F237"/>
      <c r="G237"/>
      <c r="H237"/>
      <c r="I237"/>
      <c r="J237"/>
      <c r="K237"/>
      <c r="L237"/>
      <c r="M237"/>
      <c r="N237"/>
      <c r="O237"/>
      <c r="P237"/>
      <c r="R237"/>
      <c r="S237"/>
      <c r="T237"/>
      <c r="U237"/>
      <c r="V237"/>
      <c r="W237"/>
      <c r="X237"/>
      <c r="Y237"/>
    </row>
    <row r="238" spans="2:25">
      <c r="B238"/>
      <c r="D238"/>
      <c r="E238"/>
      <c r="F238"/>
      <c r="G238"/>
      <c r="H238"/>
      <c r="I238"/>
      <c r="J238"/>
      <c r="K238"/>
      <c r="L238"/>
      <c r="M238"/>
      <c r="N238"/>
      <c r="O238"/>
      <c r="P238"/>
      <c r="R238"/>
      <c r="S238"/>
      <c r="T238"/>
      <c r="U238"/>
      <c r="V238"/>
      <c r="W238"/>
      <c r="X238"/>
      <c r="Y238"/>
    </row>
    <row r="239" spans="2:25">
      <c r="B239"/>
      <c r="D239"/>
      <c r="E239"/>
      <c r="F239"/>
      <c r="G239"/>
      <c r="H239"/>
      <c r="I239"/>
      <c r="J239"/>
      <c r="K239"/>
      <c r="L239"/>
      <c r="M239"/>
      <c r="N239"/>
      <c r="O239"/>
      <c r="P239"/>
      <c r="R239"/>
      <c r="S239"/>
      <c r="T239"/>
      <c r="U239"/>
      <c r="V239"/>
      <c r="W239"/>
      <c r="X239"/>
      <c r="Y239"/>
    </row>
    <row r="240" spans="2:25">
      <c r="B240"/>
      <c r="D240"/>
      <c r="E240"/>
      <c r="F240"/>
      <c r="G240"/>
      <c r="H240"/>
      <c r="I240"/>
      <c r="J240"/>
      <c r="K240"/>
      <c r="L240"/>
      <c r="M240"/>
      <c r="N240"/>
      <c r="O240"/>
      <c r="P240"/>
      <c r="R240"/>
      <c r="S240"/>
      <c r="T240"/>
      <c r="U240"/>
      <c r="V240"/>
      <c r="W240"/>
      <c r="X240"/>
      <c r="Y240"/>
    </row>
    <row r="241" spans="2:25">
      <c r="B241"/>
      <c r="D241"/>
      <c r="E241"/>
      <c r="F241"/>
      <c r="G241"/>
      <c r="H241"/>
      <c r="I241"/>
      <c r="J241"/>
      <c r="K241"/>
      <c r="L241"/>
      <c r="M241"/>
      <c r="N241"/>
      <c r="O241"/>
      <c r="P241"/>
      <c r="R241"/>
      <c r="S241"/>
      <c r="T241"/>
      <c r="U241"/>
      <c r="V241"/>
      <c r="W241"/>
      <c r="X241"/>
      <c r="Y241"/>
    </row>
    <row r="242" spans="2:25">
      <c r="B242"/>
      <c r="D242"/>
      <c r="E242"/>
      <c r="F242"/>
      <c r="G242"/>
      <c r="H242"/>
      <c r="I242"/>
      <c r="J242"/>
      <c r="K242"/>
      <c r="L242"/>
      <c r="M242"/>
      <c r="N242"/>
      <c r="O242"/>
      <c r="P242"/>
      <c r="R242"/>
      <c r="S242"/>
      <c r="T242"/>
      <c r="U242"/>
      <c r="V242"/>
      <c r="W242"/>
      <c r="X242"/>
      <c r="Y242"/>
    </row>
    <row r="243" spans="2:25">
      <c r="B243"/>
      <c r="D243"/>
      <c r="E243"/>
      <c r="F243"/>
      <c r="G243"/>
      <c r="H243"/>
      <c r="I243"/>
      <c r="J243"/>
      <c r="K243"/>
      <c r="L243"/>
      <c r="M243"/>
      <c r="N243"/>
      <c r="O243"/>
      <c r="P243"/>
      <c r="R243"/>
      <c r="S243"/>
      <c r="T243"/>
      <c r="U243"/>
      <c r="V243"/>
      <c r="W243"/>
      <c r="X243"/>
      <c r="Y243"/>
    </row>
    <row r="244" spans="2:25">
      <c r="B244"/>
      <c r="D244"/>
      <c r="E244"/>
      <c r="F244"/>
      <c r="G244"/>
      <c r="H244"/>
      <c r="I244"/>
      <c r="J244"/>
      <c r="K244"/>
      <c r="L244"/>
      <c r="M244"/>
      <c r="N244"/>
      <c r="O244"/>
      <c r="P244"/>
      <c r="R244"/>
      <c r="S244"/>
      <c r="T244"/>
      <c r="U244"/>
      <c r="V244"/>
      <c r="W244"/>
      <c r="X244"/>
      <c r="Y244"/>
    </row>
    <row r="245" spans="2:25">
      <c r="B245"/>
      <c r="D245"/>
      <c r="E245"/>
      <c r="F245"/>
      <c r="G245"/>
      <c r="H245"/>
      <c r="I245"/>
      <c r="J245"/>
      <c r="K245"/>
      <c r="L245"/>
      <c r="M245"/>
      <c r="N245"/>
      <c r="O245"/>
      <c r="P245"/>
      <c r="R245"/>
      <c r="S245"/>
      <c r="T245"/>
      <c r="U245"/>
      <c r="V245"/>
      <c r="W245"/>
      <c r="X245"/>
      <c r="Y245"/>
    </row>
    <row r="246" spans="2:25">
      <c r="B246"/>
      <c r="D246"/>
      <c r="E246"/>
      <c r="F246"/>
      <c r="G246"/>
      <c r="H246"/>
      <c r="I246"/>
      <c r="J246"/>
      <c r="K246"/>
      <c r="L246"/>
      <c r="M246"/>
      <c r="N246"/>
      <c r="O246"/>
      <c r="P246"/>
      <c r="R246"/>
      <c r="S246"/>
      <c r="T246"/>
      <c r="U246"/>
      <c r="V246"/>
      <c r="W246"/>
      <c r="X246"/>
      <c r="Y246"/>
    </row>
    <row r="247" spans="2:25">
      <c r="B247"/>
      <c r="D247"/>
      <c r="E247"/>
      <c r="F247"/>
      <c r="G247"/>
      <c r="H247"/>
      <c r="I247"/>
      <c r="J247"/>
      <c r="K247"/>
      <c r="L247"/>
      <c r="M247"/>
      <c r="N247"/>
      <c r="O247"/>
      <c r="P247"/>
      <c r="R247"/>
      <c r="S247"/>
      <c r="T247"/>
      <c r="U247"/>
      <c r="V247"/>
      <c r="W247"/>
      <c r="X247"/>
      <c r="Y247"/>
    </row>
    <row r="248" spans="2:25">
      <c r="B248"/>
      <c r="D248"/>
      <c r="E248"/>
      <c r="F248"/>
      <c r="G248"/>
      <c r="H248"/>
      <c r="I248"/>
      <c r="J248"/>
      <c r="K248"/>
      <c r="L248"/>
      <c r="M248"/>
      <c r="N248"/>
      <c r="O248"/>
      <c r="P248"/>
      <c r="R248"/>
      <c r="S248"/>
      <c r="T248"/>
      <c r="U248"/>
      <c r="V248"/>
      <c r="W248"/>
      <c r="X248"/>
      <c r="Y248"/>
    </row>
    <row r="249" spans="2:25">
      <c r="B249"/>
      <c r="D249"/>
      <c r="E249"/>
      <c r="F249"/>
      <c r="G249"/>
      <c r="H249"/>
      <c r="I249"/>
      <c r="J249"/>
      <c r="K249"/>
      <c r="L249"/>
      <c r="M249"/>
      <c r="N249"/>
      <c r="O249"/>
      <c r="P249"/>
      <c r="R249"/>
      <c r="S249"/>
      <c r="T249"/>
      <c r="U249"/>
      <c r="V249"/>
      <c r="W249"/>
      <c r="X249"/>
      <c r="Y249"/>
    </row>
    <row r="250" spans="2:25">
      <c r="B250"/>
      <c r="D250"/>
      <c r="E250"/>
      <c r="F250"/>
      <c r="G250"/>
      <c r="H250"/>
      <c r="I250"/>
      <c r="J250"/>
      <c r="K250"/>
      <c r="L250"/>
      <c r="M250"/>
      <c r="N250"/>
      <c r="O250"/>
      <c r="P250"/>
      <c r="R250"/>
      <c r="S250"/>
      <c r="T250"/>
      <c r="U250"/>
      <c r="V250"/>
      <c r="W250"/>
      <c r="X250"/>
      <c r="Y250"/>
    </row>
    <row r="251" spans="2:25">
      <c r="B251"/>
      <c r="D251"/>
      <c r="E251"/>
      <c r="F251"/>
      <c r="G251"/>
      <c r="H251"/>
      <c r="I251"/>
      <c r="J251"/>
      <c r="K251"/>
      <c r="L251"/>
      <c r="M251"/>
      <c r="N251"/>
      <c r="O251"/>
      <c r="P251"/>
      <c r="R251"/>
      <c r="S251"/>
      <c r="T251"/>
      <c r="U251"/>
      <c r="V251"/>
      <c r="W251"/>
      <c r="X251"/>
      <c r="Y251"/>
    </row>
    <row r="252" spans="2:25">
      <c r="B252"/>
      <c r="D252"/>
      <c r="E252"/>
      <c r="F252"/>
      <c r="G252"/>
      <c r="H252"/>
      <c r="I252"/>
      <c r="J252"/>
      <c r="K252"/>
      <c r="L252"/>
      <c r="M252"/>
      <c r="N252"/>
      <c r="O252"/>
      <c r="P252"/>
      <c r="R252"/>
      <c r="S252"/>
      <c r="T252"/>
      <c r="U252"/>
      <c r="V252"/>
      <c r="W252"/>
      <c r="X252"/>
      <c r="Y252"/>
    </row>
    <row r="253" spans="2:25">
      <c r="B253"/>
      <c r="D253"/>
      <c r="E253"/>
      <c r="F253"/>
      <c r="G253"/>
      <c r="H253"/>
      <c r="I253"/>
      <c r="J253"/>
      <c r="K253"/>
      <c r="L253"/>
      <c r="M253"/>
      <c r="N253"/>
      <c r="O253"/>
      <c r="P253"/>
      <c r="R253"/>
      <c r="S253"/>
      <c r="T253"/>
      <c r="U253"/>
      <c r="V253"/>
      <c r="W253"/>
      <c r="X253"/>
      <c r="Y253"/>
    </row>
    <row r="254" spans="2:25">
      <c r="B254"/>
      <c r="D254"/>
      <c r="E254"/>
      <c r="F254"/>
      <c r="G254"/>
      <c r="H254"/>
      <c r="I254"/>
      <c r="J254"/>
      <c r="K254"/>
      <c r="L254"/>
      <c r="M254"/>
      <c r="N254"/>
      <c r="O254"/>
      <c r="P254"/>
      <c r="R254"/>
      <c r="S254"/>
      <c r="T254"/>
      <c r="U254"/>
      <c r="V254"/>
      <c r="W254"/>
      <c r="X254"/>
      <c r="Y254"/>
    </row>
    <row r="255" spans="2:25">
      <c r="B255"/>
      <c r="D255"/>
      <c r="E255"/>
      <c r="F255"/>
      <c r="G255"/>
      <c r="H255"/>
      <c r="I255"/>
      <c r="J255"/>
      <c r="K255"/>
      <c r="L255"/>
      <c r="M255"/>
      <c r="N255"/>
      <c r="O255"/>
      <c r="P255"/>
      <c r="R255"/>
      <c r="S255"/>
      <c r="T255"/>
      <c r="U255"/>
      <c r="V255"/>
      <c r="W255"/>
      <c r="X255"/>
      <c r="Y255"/>
    </row>
    <row r="256" spans="2:25">
      <c r="B256"/>
      <c r="D256"/>
      <c r="E256"/>
      <c r="F256"/>
      <c r="G256"/>
      <c r="H256"/>
      <c r="I256"/>
      <c r="J256"/>
      <c r="K256"/>
      <c r="L256"/>
      <c r="M256"/>
      <c r="N256"/>
      <c r="O256"/>
      <c r="P256"/>
      <c r="R256"/>
      <c r="S256"/>
      <c r="T256"/>
      <c r="U256"/>
      <c r="V256"/>
      <c r="W256"/>
      <c r="X256"/>
      <c r="Y256"/>
    </row>
    <row r="257" spans="2:25">
      <c r="B257"/>
      <c r="D257"/>
      <c r="E257"/>
      <c r="F257"/>
      <c r="G257"/>
      <c r="H257"/>
      <c r="I257"/>
      <c r="J257"/>
      <c r="K257"/>
      <c r="L257"/>
      <c r="M257"/>
      <c r="N257"/>
      <c r="O257"/>
      <c r="P257"/>
      <c r="R257"/>
      <c r="S257"/>
      <c r="T257"/>
      <c r="U257"/>
      <c r="V257"/>
      <c r="W257"/>
      <c r="X257"/>
      <c r="Y257"/>
    </row>
    <row r="258" spans="2:25">
      <c r="B258"/>
      <c r="D258"/>
      <c r="E258"/>
      <c r="F258"/>
      <c r="G258"/>
      <c r="H258"/>
      <c r="I258"/>
      <c r="J258"/>
      <c r="K258"/>
      <c r="L258"/>
      <c r="M258"/>
      <c r="N258"/>
      <c r="O258"/>
      <c r="P258"/>
      <c r="R258"/>
      <c r="S258"/>
      <c r="T258"/>
      <c r="U258"/>
      <c r="V258"/>
      <c r="W258"/>
      <c r="X258"/>
      <c r="Y258"/>
    </row>
    <row r="259" spans="2:25">
      <c r="B259"/>
      <c r="D259"/>
      <c r="E259"/>
      <c r="F259"/>
      <c r="G259"/>
      <c r="H259"/>
      <c r="I259"/>
      <c r="J259"/>
      <c r="K259"/>
      <c r="L259"/>
      <c r="M259"/>
      <c r="N259"/>
      <c r="O259"/>
      <c r="P259"/>
      <c r="R259"/>
      <c r="S259"/>
      <c r="T259"/>
      <c r="U259"/>
      <c r="V259"/>
      <c r="W259"/>
      <c r="X259"/>
      <c r="Y259"/>
    </row>
    <row r="260" spans="2:25">
      <c r="B260"/>
      <c r="D260"/>
      <c r="E260"/>
      <c r="F260"/>
      <c r="G260"/>
      <c r="H260"/>
      <c r="I260"/>
      <c r="J260"/>
      <c r="K260"/>
      <c r="L260"/>
      <c r="M260"/>
      <c r="N260"/>
      <c r="O260"/>
      <c r="P260"/>
      <c r="R260"/>
      <c r="S260"/>
      <c r="T260"/>
      <c r="U260"/>
      <c r="V260"/>
      <c r="W260"/>
      <c r="X260"/>
      <c r="Y260"/>
    </row>
    <row r="261" spans="2:25">
      <c r="B261"/>
      <c r="D261"/>
      <c r="E261"/>
      <c r="F261"/>
      <c r="G261"/>
      <c r="H261"/>
      <c r="I261"/>
      <c r="J261"/>
      <c r="K261"/>
      <c r="L261"/>
      <c r="M261"/>
      <c r="N261"/>
      <c r="O261"/>
      <c r="P261"/>
      <c r="R261"/>
      <c r="S261"/>
      <c r="T261"/>
      <c r="U261"/>
      <c r="V261"/>
      <c r="W261"/>
      <c r="X261"/>
      <c r="Y261"/>
    </row>
    <row r="262" spans="2:25">
      <c r="B262"/>
      <c r="D262"/>
      <c r="E262"/>
      <c r="F262"/>
      <c r="G262"/>
      <c r="H262"/>
      <c r="I262"/>
      <c r="J262"/>
      <c r="K262"/>
      <c r="L262"/>
      <c r="M262"/>
      <c r="N262"/>
      <c r="O262"/>
      <c r="P262"/>
      <c r="R262"/>
      <c r="S262"/>
      <c r="T262"/>
      <c r="U262"/>
      <c r="V262"/>
      <c r="W262"/>
      <c r="X262"/>
      <c r="Y262"/>
    </row>
    <row r="263" spans="2:25">
      <c r="B263"/>
      <c r="D263"/>
      <c r="E263"/>
      <c r="F263"/>
      <c r="G263"/>
      <c r="H263"/>
      <c r="I263"/>
      <c r="J263"/>
      <c r="K263"/>
      <c r="L263"/>
      <c r="M263"/>
      <c r="N263"/>
      <c r="O263"/>
      <c r="P263"/>
      <c r="R263"/>
      <c r="S263"/>
      <c r="T263"/>
      <c r="U263"/>
      <c r="V263"/>
      <c r="W263"/>
      <c r="X263"/>
      <c r="Y263"/>
    </row>
    <row r="264" spans="2:25">
      <c r="B264"/>
      <c r="D264"/>
      <c r="E264"/>
      <c r="F264"/>
      <c r="G264"/>
      <c r="H264"/>
      <c r="I264"/>
      <c r="J264"/>
      <c r="K264"/>
      <c r="L264"/>
      <c r="M264"/>
      <c r="N264"/>
      <c r="O264"/>
      <c r="P264"/>
      <c r="R264"/>
      <c r="S264"/>
      <c r="T264"/>
      <c r="U264"/>
      <c r="V264"/>
      <c r="W264"/>
      <c r="X264"/>
      <c r="Y264"/>
    </row>
    <row r="265" spans="2:25">
      <c r="B265"/>
      <c r="D265"/>
      <c r="E265"/>
      <c r="F265"/>
      <c r="G265"/>
      <c r="H265"/>
      <c r="I265"/>
      <c r="J265"/>
      <c r="K265"/>
      <c r="L265"/>
      <c r="M265"/>
      <c r="N265"/>
      <c r="O265"/>
      <c r="P265"/>
      <c r="R265"/>
      <c r="S265"/>
      <c r="T265"/>
      <c r="U265"/>
      <c r="V265"/>
      <c r="W265"/>
      <c r="X265"/>
      <c r="Y265"/>
    </row>
    <row r="266" spans="2:25">
      <c r="B266"/>
      <c r="D266"/>
      <c r="E266"/>
      <c r="F266"/>
      <c r="G266"/>
      <c r="H266"/>
      <c r="I266"/>
      <c r="J266"/>
      <c r="K266"/>
      <c r="L266"/>
      <c r="M266"/>
      <c r="N266"/>
      <c r="O266"/>
      <c r="P266"/>
      <c r="R266"/>
      <c r="S266"/>
      <c r="T266"/>
      <c r="U266"/>
      <c r="V266"/>
      <c r="W266"/>
      <c r="X266"/>
      <c r="Y266"/>
    </row>
    <row r="267" spans="2:25">
      <c r="B267"/>
      <c r="D267"/>
      <c r="E267"/>
      <c r="F267"/>
      <c r="G267"/>
      <c r="H267"/>
      <c r="I267"/>
      <c r="J267"/>
      <c r="K267"/>
      <c r="L267"/>
      <c r="M267"/>
      <c r="N267"/>
      <c r="O267"/>
      <c r="P267"/>
      <c r="R267"/>
      <c r="S267"/>
      <c r="T267"/>
      <c r="U267"/>
      <c r="V267"/>
      <c r="W267"/>
      <c r="X267"/>
      <c r="Y267"/>
    </row>
    <row r="268" spans="2:25">
      <c r="B268"/>
      <c r="D268"/>
      <c r="E268"/>
      <c r="F268"/>
      <c r="G268"/>
      <c r="H268"/>
      <c r="I268"/>
      <c r="J268"/>
      <c r="K268"/>
      <c r="L268"/>
      <c r="M268"/>
      <c r="N268"/>
      <c r="O268"/>
      <c r="P268"/>
      <c r="R268"/>
      <c r="S268"/>
      <c r="T268"/>
      <c r="U268"/>
      <c r="V268"/>
      <c r="W268"/>
      <c r="X268"/>
      <c r="Y268"/>
    </row>
    <row r="269" spans="2:25">
      <c r="B269"/>
      <c r="D269"/>
      <c r="E269"/>
      <c r="F269"/>
      <c r="G269"/>
      <c r="H269"/>
      <c r="I269"/>
      <c r="J269"/>
      <c r="K269"/>
      <c r="L269"/>
      <c r="M269"/>
      <c r="N269"/>
      <c r="O269"/>
      <c r="P269"/>
      <c r="R269"/>
      <c r="S269"/>
      <c r="T269"/>
      <c r="U269"/>
      <c r="V269"/>
      <c r="W269"/>
      <c r="X269"/>
      <c r="Y269"/>
    </row>
    <row r="270" spans="2:25">
      <c r="B270"/>
      <c r="D270"/>
      <c r="E270"/>
      <c r="F270"/>
      <c r="G270"/>
      <c r="H270"/>
      <c r="I270"/>
      <c r="J270"/>
      <c r="K270"/>
      <c r="L270"/>
      <c r="M270"/>
      <c r="N270"/>
      <c r="O270"/>
      <c r="P270"/>
      <c r="R270"/>
      <c r="S270"/>
      <c r="T270"/>
      <c r="U270"/>
      <c r="V270"/>
      <c r="W270"/>
      <c r="X270"/>
      <c r="Y270"/>
    </row>
    <row r="271" spans="2:25">
      <c r="B271"/>
      <c r="D271"/>
      <c r="E271"/>
      <c r="F271"/>
      <c r="G271"/>
      <c r="H271"/>
      <c r="I271"/>
      <c r="J271"/>
      <c r="K271"/>
      <c r="L271"/>
      <c r="M271"/>
      <c r="N271"/>
      <c r="O271"/>
      <c r="P271"/>
      <c r="R271"/>
      <c r="S271"/>
      <c r="T271"/>
      <c r="U271"/>
      <c r="V271"/>
      <c r="W271"/>
      <c r="X271"/>
      <c r="Y271"/>
    </row>
    <row r="272" spans="2:25">
      <c r="B272"/>
      <c r="D272"/>
      <c r="E272"/>
      <c r="F272"/>
      <c r="G272"/>
      <c r="H272"/>
      <c r="I272"/>
      <c r="J272"/>
      <c r="K272"/>
      <c r="L272"/>
      <c r="M272"/>
      <c r="N272"/>
      <c r="O272"/>
      <c r="P272"/>
      <c r="R272"/>
      <c r="S272"/>
      <c r="T272"/>
      <c r="U272"/>
      <c r="V272"/>
      <c r="W272"/>
      <c r="X272"/>
      <c r="Y272"/>
    </row>
    <row r="273" spans="2:25">
      <c r="B273"/>
      <c r="D273"/>
      <c r="E273"/>
      <c r="F273"/>
      <c r="G273"/>
      <c r="H273"/>
      <c r="I273"/>
      <c r="J273"/>
      <c r="K273"/>
      <c r="L273"/>
      <c r="M273"/>
      <c r="N273"/>
      <c r="O273"/>
      <c r="P273"/>
      <c r="R273"/>
      <c r="S273"/>
      <c r="T273"/>
      <c r="U273"/>
      <c r="V273"/>
      <c r="W273"/>
      <c r="X273"/>
      <c r="Y273"/>
    </row>
    <row r="274" spans="2:25">
      <c r="B274"/>
      <c r="D274"/>
      <c r="E274"/>
      <c r="F274"/>
      <c r="G274"/>
      <c r="H274"/>
      <c r="I274"/>
      <c r="J274"/>
      <c r="K274"/>
      <c r="L274"/>
      <c r="M274"/>
      <c r="N274"/>
      <c r="O274"/>
      <c r="P274"/>
      <c r="R274"/>
      <c r="S274"/>
      <c r="T274"/>
      <c r="U274"/>
      <c r="V274"/>
      <c r="W274"/>
      <c r="X274"/>
      <c r="Y274"/>
    </row>
    <row r="275" spans="2:25">
      <c r="B275"/>
      <c r="D275"/>
      <c r="E275"/>
      <c r="F275"/>
      <c r="G275"/>
      <c r="H275"/>
      <c r="I275"/>
      <c r="J275"/>
      <c r="K275"/>
      <c r="L275"/>
      <c r="M275"/>
      <c r="N275"/>
      <c r="O275"/>
      <c r="P275"/>
      <c r="R275"/>
      <c r="S275"/>
      <c r="T275"/>
      <c r="U275"/>
      <c r="V275"/>
      <c r="W275"/>
      <c r="X275"/>
      <c r="Y275"/>
    </row>
    <row r="276" spans="2:25">
      <c r="B276"/>
      <c r="D276"/>
      <c r="E276"/>
      <c r="F276"/>
      <c r="G276"/>
      <c r="H276"/>
      <c r="I276"/>
      <c r="J276"/>
      <c r="K276"/>
      <c r="L276"/>
      <c r="M276"/>
      <c r="N276"/>
      <c r="O276"/>
      <c r="P276"/>
      <c r="R276"/>
      <c r="S276"/>
      <c r="T276"/>
      <c r="U276"/>
      <c r="V276"/>
      <c r="W276"/>
      <c r="X276"/>
      <c r="Y276"/>
    </row>
    <row r="277" spans="2:25">
      <c r="B277"/>
      <c r="D277"/>
      <c r="E277"/>
      <c r="F277"/>
      <c r="G277"/>
      <c r="H277"/>
      <c r="I277"/>
      <c r="J277"/>
      <c r="K277"/>
      <c r="L277"/>
      <c r="M277"/>
      <c r="N277"/>
      <c r="O277"/>
      <c r="P277"/>
      <c r="R277"/>
      <c r="S277"/>
      <c r="T277"/>
      <c r="U277"/>
      <c r="V277"/>
      <c r="W277"/>
      <c r="X277"/>
      <c r="Y277"/>
    </row>
    <row r="278" spans="2:25">
      <c r="B278"/>
      <c r="D278"/>
      <c r="E278"/>
      <c r="F278"/>
      <c r="G278"/>
      <c r="H278"/>
      <c r="I278"/>
      <c r="J278"/>
      <c r="K278"/>
      <c r="L278"/>
      <c r="M278"/>
      <c r="N278"/>
      <c r="O278"/>
      <c r="P278"/>
      <c r="R278"/>
      <c r="S278"/>
      <c r="T278"/>
      <c r="U278"/>
      <c r="V278"/>
      <c r="W278"/>
      <c r="X278"/>
      <c r="Y278"/>
    </row>
    <row r="279" spans="2:25">
      <c r="B279"/>
      <c r="D279"/>
      <c r="E279"/>
      <c r="F279"/>
      <c r="G279"/>
      <c r="H279"/>
      <c r="I279"/>
      <c r="J279"/>
      <c r="K279"/>
      <c r="L279"/>
      <c r="M279"/>
      <c r="N279"/>
      <c r="O279"/>
      <c r="P279"/>
      <c r="R279"/>
      <c r="S279"/>
      <c r="T279"/>
      <c r="U279"/>
      <c r="V279"/>
      <c r="W279"/>
      <c r="X279"/>
      <c r="Y279"/>
    </row>
    <row r="280" spans="2:25">
      <c r="B280"/>
      <c r="D280"/>
      <c r="E280"/>
      <c r="F280"/>
      <c r="G280"/>
      <c r="H280"/>
      <c r="I280"/>
      <c r="J280"/>
      <c r="K280"/>
      <c r="L280"/>
      <c r="M280"/>
      <c r="N280"/>
      <c r="O280"/>
      <c r="P280"/>
      <c r="R280"/>
      <c r="S280"/>
      <c r="T280"/>
      <c r="U280"/>
      <c r="V280"/>
      <c r="W280"/>
      <c r="X280"/>
      <c r="Y280"/>
    </row>
    <row r="281" spans="2:25">
      <c r="B281"/>
      <c r="D281"/>
      <c r="E281"/>
      <c r="F281"/>
      <c r="G281"/>
      <c r="H281"/>
      <c r="I281"/>
      <c r="J281"/>
      <c r="K281"/>
      <c r="L281"/>
      <c r="M281"/>
      <c r="N281"/>
      <c r="O281"/>
      <c r="P281"/>
      <c r="R281"/>
      <c r="S281"/>
      <c r="T281"/>
      <c r="U281"/>
      <c r="V281"/>
      <c r="W281"/>
      <c r="X281"/>
      <c r="Y281"/>
    </row>
    <row r="282" spans="2:25">
      <c r="B282"/>
      <c r="D282"/>
      <c r="E282"/>
      <c r="F282"/>
      <c r="G282"/>
      <c r="H282"/>
      <c r="I282"/>
      <c r="J282"/>
      <c r="K282"/>
      <c r="L282"/>
      <c r="M282"/>
      <c r="N282"/>
      <c r="O282"/>
      <c r="P282"/>
      <c r="R282"/>
      <c r="S282"/>
      <c r="T282"/>
      <c r="U282"/>
      <c r="V282"/>
      <c r="W282"/>
      <c r="X282"/>
      <c r="Y282"/>
    </row>
    <row r="283" spans="2:25">
      <c r="B283"/>
      <c r="D283"/>
      <c r="E283"/>
      <c r="F283"/>
      <c r="G283"/>
      <c r="H283"/>
      <c r="I283"/>
      <c r="J283"/>
      <c r="K283"/>
      <c r="L283"/>
      <c r="M283"/>
      <c r="N283"/>
      <c r="O283"/>
      <c r="P283"/>
      <c r="R283"/>
      <c r="S283"/>
      <c r="T283"/>
      <c r="U283"/>
      <c r="V283"/>
      <c r="W283"/>
      <c r="X283"/>
      <c r="Y283"/>
    </row>
    <row r="284" spans="2:25">
      <c r="B284"/>
      <c r="D284"/>
      <c r="E284"/>
      <c r="F284"/>
      <c r="G284"/>
      <c r="H284"/>
      <c r="I284"/>
      <c r="J284"/>
      <c r="K284"/>
      <c r="L284"/>
      <c r="M284"/>
      <c r="N284"/>
      <c r="O284"/>
      <c r="P284"/>
      <c r="R284"/>
      <c r="S284"/>
      <c r="T284"/>
      <c r="U284"/>
      <c r="V284"/>
      <c r="W284"/>
      <c r="X284"/>
      <c r="Y284"/>
    </row>
    <row r="285" spans="2:25">
      <c r="B285"/>
      <c r="D285"/>
      <c r="E285"/>
      <c r="F285"/>
      <c r="G285"/>
      <c r="H285"/>
      <c r="I285"/>
      <c r="J285"/>
      <c r="K285"/>
      <c r="L285"/>
      <c r="M285"/>
      <c r="N285"/>
      <c r="O285"/>
      <c r="P285"/>
      <c r="R285"/>
      <c r="S285"/>
      <c r="T285"/>
      <c r="U285"/>
      <c r="V285"/>
      <c r="W285"/>
      <c r="X285"/>
      <c r="Y285"/>
    </row>
    <row r="286" spans="2:25">
      <c r="B286"/>
      <c r="D286"/>
      <c r="E286"/>
      <c r="F286"/>
      <c r="G286"/>
      <c r="H286"/>
      <c r="I286"/>
      <c r="J286"/>
      <c r="K286"/>
      <c r="L286"/>
      <c r="M286"/>
      <c r="N286"/>
      <c r="O286"/>
      <c r="P286"/>
      <c r="R286"/>
      <c r="S286"/>
      <c r="T286"/>
      <c r="U286"/>
      <c r="V286"/>
      <c r="W286"/>
      <c r="X286"/>
      <c r="Y286"/>
    </row>
    <row r="287" spans="2:25">
      <c r="B287"/>
      <c r="D287"/>
      <c r="E287"/>
      <c r="F287"/>
      <c r="G287"/>
      <c r="H287"/>
      <c r="I287"/>
      <c r="J287"/>
      <c r="K287"/>
      <c r="L287"/>
      <c r="M287"/>
      <c r="N287"/>
      <c r="O287"/>
      <c r="P287"/>
      <c r="R287"/>
      <c r="S287"/>
      <c r="T287"/>
      <c r="U287"/>
      <c r="V287"/>
      <c r="W287"/>
      <c r="X287"/>
      <c r="Y287"/>
    </row>
    <row r="288" spans="2:25">
      <c r="B288"/>
      <c r="D288"/>
      <c r="E288"/>
      <c r="F288"/>
      <c r="G288"/>
      <c r="H288"/>
      <c r="I288"/>
      <c r="J288"/>
      <c r="K288"/>
      <c r="L288"/>
      <c r="M288"/>
      <c r="N288"/>
      <c r="O288"/>
      <c r="P288"/>
      <c r="R288"/>
      <c r="S288"/>
      <c r="T288"/>
      <c r="U288"/>
      <c r="V288"/>
      <c r="W288"/>
      <c r="X288"/>
      <c r="Y288"/>
    </row>
    <row r="289" spans="2:25">
      <c r="B289"/>
      <c r="D289"/>
      <c r="E289"/>
      <c r="F289"/>
      <c r="G289"/>
      <c r="H289"/>
      <c r="I289"/>
      <c r="J289"/>
      <c r="K289"/>
      <c r="L289"/>
      <c r="M289"/>
      <c r="N289"/>
      <c r="O289"/>
      <c r="P289"/>
      <c r="R289"/>
      <c r="S289"/>
      <c r="T289"/>
      <c r="U289"/>
      <c r="V289"/>
      <c r="W289"/>
      <c r="X289"/>
      <c r="Y289"/>
    </row>
    <row r="290" spans="2:25">
      <c r="B290"/>
      <c r="D290"/>
      <c r="E290"/>
      <c r="F290"/>
      <c r="G290"/>
      <c r="H290"/>
      <c r="I290"/>
      <c r="J290"/>
      <c r="K290"/>
      <c r="L290"/>
      <c r="M290"/>
      <c r="N290"/>
      <c r="O290"/>
      <c r="P290"/>
      <c r="R290"/>
      <c r="S290"/>
      <c r="T290"/>
      <c r="U290"/>
      <c r="V290"/>
      <c r="W290"/>
      <c r="X290"/>
      <c r="Y290"/>
    </row>
    <row r="291" spans="2:25">
      <c r="B291"/>
      <c r="D291"/>
      <c r="E291"/>
      <c r="F291"/>
      <c r="G291"/>
      <c r="H291"/>
      <c r="I291"/>
      <c r="J291"/>
      <c r="K291"/>
      <c r="L291"/>
      <c r="M291"/>
      <c r="N291"/>
      <c r="O291"/>
      <c r="P291"/>
      <c r="R291"/>
      <c r="S291"/>
      <c r="T291"/>
      <c r="U291"/>
      <c r="V291"/>
      <c r="W291"/>
      <c r="X291"/>
      <c r="Y291"/>
    </row>
    <row r="292" spans="2:25">
      <c r="B292"/>
      <c r="D292"/>
      <c r="E292"/>
      <c r="F292"/>
      <c r="G292"/>
      <c r="H292"/>
      <c r="I292"/>
      <c r="J292"/>
      <c r="K292"/>
      <c r="L292"/>
      <c r="M292"/>
      <c r="N292"/>
      <c r="O292"/>
      <c r="P292"/>
      <c r="R292"/>
      <c r="S292"/>
      <c r="T292"/>
      <c r="U292"/>
      <c r="V292"/>
      <c r="W292"/>
      <c r="X292"/>
      <c r="Y292"/>
    </row>
    <row r="293" spans="2:25">
      <c r="B293"/>
      <c r="D293"/>
      <c r="E293"/>
      <c r="F293"/>
      <c r="G293"/>
      <c r="H293"/>
      <c r="I293"/>
      <c r="J293"/>
      <c r="K293"/>
      <c r="L293"/>
      <c r="M293"/>
      <c r="N293"/>
      <c r="O293"/>
      <c r="P293"/>
      <c r="R293"/>
      <c r="S293"/>
      <c r="T293"/>
      <c r="U293"/>
      <c r="V293"/>
      <c r="W293"/>
      <c r="X293"/>
      <c r="Y293"/>
    </row>
    <row r="294" spans="2:25">
      <c r="B294"/>
      <c r="D294"/>
      <c r="E294"/>
      <c r="F294"/>
      <c r="G294"/>
      <c r="H294"/>
      <c r="I294"/>
      <c r="J294"/>
      <c r="K294"/>
      <c r="L294"/>
      <c r="M294"/>
      <c r="N294"/>
      <c r="O294"/>
      <c r="P294"/>
      <c r="R294"/>
      <c r="S294"/>
      <c r="T294"/>
      <c r="U294"/>
      <c r="V294"/>
      <c r="W294"/>
      <c r="X294"/>
      <c r="Y294"/>
    </row>
    <row r="295" spans="2:25">
      <c r="B295"/>
      <c r="D295"/>
      <c r="E295"/>
      <c r="F295"/>
      <c r="G295"/>
      <c r="H295"/>
      <c r="I295"/>
      <c r="J295"/>
      <c r="K295"/>
      <c r="L295"/>
      <c r="M295"/>
      <c r="N295"/>
      <c r="O295"/>
      <c r="P295"/>
      <c r="R295"/>
      <c r="S295"/>
      <c r="T295"/>
      <c r="U295"/>
      <c r="V295"/>
      <c r="W295"/>
      <c r="X295"/>
      <c r="Y295"/>
    </row>
    <row r="296" spans="2:25">
      <c r="B296"/>
      <c r="D296"/>
      <c r="E296"/>
      <c r="F296"/>
      <c r="G296"/>
      <c r="H296"/>
      <c r="I296"/>
      <c r="J296"/>
      <c r="K296"/>
      <c r="L296"/>
      <c r="M296"/>
      <c r="N296"/>
      <c r="O296"/>
      <c r="P296"/>
      <c r="R296"/>
      <c r="S296"/>
      <c r="T296"/>
      <c r="U296"/>
      <c r="V296"/>
      <c r="W296"/>
      <c r="X296"/>
      <c r="Y296"/>
    </row>
    <row r="297" spans="2:25">
      <c r="B297"/>
      <c r="D297"/>
      <c r="E297"/>
      <c r="F297"/>
      <c r="G297"/>
      <c r="H297"/>
      <c r="I297"/>
      <c r="J297"/>
      <c r="K297"/>
      <c r="L297"/>
      <c r="M297"/>
      <c r="N297"/>
      <c r="O297"/>
      <c r="P297"/>
      <c r="R297"/>
      <c r="S297"/>
      <c r="T297"/>
      <c r="U297"/>
      <c r="V297"/>
      <c r="W297"/>
      <c r="X297"/>
      <c r="Y297"/>
    </row>
    <row r="298" spans="2:25">
      <c r="B298"/>
      <c r="D298"/>
      <c r="E298"/>
      <c r="F298"/>
      <c r="G298"/>
      <c r="H298"/>
      <c r="I298"/>
      <c r="J298"/>
      <c r="K298"/>
      <c r="L298"/>
      <c r="M298"/>
      <c r="N298"/>
      <c r="O298"/>
      <c r="P298"/>
      <c r="R298"/>
      <c r="S298"/>
      <c r="T298"/>
      <c r="U298"/>
      <c r="V298"/>
      <c r="W298"/>
      <c r="X298"/>
      <c r="Y298"/>
    </row>
    <row r="299" spans="2:25">
      <c r="B299"/>
      <c r="D299"/>
      <c r="E299"/>
      <c r="F299"/>
      <c r="G299"/>
      <c r="H299"/>
      <c r="I299"/>
      <c r="J299"/>
      <c r="K299"/>
      <c r="L299"/>
      <c r="M299"/>
      <c r="N299"/>
      <c r="O299"/>
      <c r="P299"/>
      <c r="R299"/>
      <c r="S299"/>
      <c r="T299"/>
      <c r="U299"/>
      <c r="V299"/>
      <c r="W299"/>
      <c r="X299"/>
      <c r="Y299"/>
    </row>
    <row r="300" spans="2:25">
      <c r="B300"/>
      <c r="D300"/>
      <c r="E300"/>
      <c r="F300"/>
      <c r="G300"/>
      <c r="H300"/>
      <c r="I300"/>
      <c r="J300"/>
      <c r="K300"/>
      <c r="L300"/>
      <c r="M300"/>
      <c r="N300"/>
      <c r="O300"/>
      <c r="P300"/>
      <c r="R300"/>
      <c r="S300"/>
      <c r="T300"/>
      <c r="U300"/>
      <c r="V300"/>
      <c r="W300"/>
      <c r="X300"/>
      <c r="Y300"/>
    </row>
    <row r="301" spans="2:25">
      <c r="B301"/>
      <c r="D301"/>
      <c r="E301"/>
      <c r="F301"/>
      <c r="G301"/>
      <c r="H301"/>
      <c r="I301"/>
      <c r="J301"/>
      <c r="K301"/>
      <c r="L301"/>
      <c r="M301"/>
      <c r="N301"/>
      <c r="O301"/>
      <c r="P301"/>
      <c r="R301"/>
      <c r="S301"/>
      <c r="T301"/>
      <c r="U301"/>
      <c r="V301"/>
      <c r="W301"/>
      <c r="X301"/>
      <c r="Y301"/>
    </row>
    <row r="302" spans="2:25">
      <c r="B302"/>
      <c r="D302"/>
      <c r="E302"/>
      <c r="F302"/>
      <c r="G302"/>
      <c r="H302"/>
      <c r="I302"/>
      <c r="J302"/>
      <c r="K302"/>
      <c r="L302"/>
      <c r="M302"/>
      <c r="N302"/>
      <c r="O302"/>
      <c r="P302"/>
      <c r="R302"/>
      <c r="S302"/>
      <c r="T302"/>
      <c r="U302"/>
      <c r="V302"/>
      <c r="W302"/>
      <c r="X302"/>
      <c r="Y302"/>
    </row>
    <row r="303" spans="2:25">
      <c r="B303"/>
      <c r="D303"/>
      <c r="E303"/>
      <c r="F303"/>
      <c r="G303"/>
      <c r="H303"/>
      <c r="I303"/>
      <c r="J303"/>
      <c r="K303"/>
      <c r="L303"/>
      <c r="M303"/>
      <c r="N303"/>
      <c r="O303"/>
      <c r="P303"/>
      <c r="R303"/>
      <c r="S303"/>
      <c r="T303"/>
      <c r="U303"/>
      <c r="V303"/>
      <c r="W303"/>
      <c r="X303"/>
      <c r="Y303"/>
    </row>
    <row r="304" spans="2:25">
      <c r="B304"/>
      <c r="D304"/>
      <c r="E304"/>
      <c r="F304"/>
      <c r="G304"/>
      <c r="H304"/>
      <c r="I304"/>
      <c r="J304"/>
      <c r="K304"/>
      <c r="L304"/>
      <c r="M304"/>
      <c r="N304"/>
      <c r="O304"/>
      <c r="P304"/>
      <c r="R304"/>
      <c r="S304"/>
      <c r="T304"/>
      <c r="U304"/>
      <c r="V304"/>
      <c r="W304"/>
      <c r="X304"/>
      <c r="Y304"/>
    </row>
    <row r="305" spans="2:25">
      <c r="B305"/>
      <c r="D305"/>
      <c r="E305"/>
      <c r="F305"/>
      <c r="G305"/>
      <c r="H305"/>
      <c r="I305"/>
      <c r="J305"/>
      <c r="K305"/>
      <c r="L305"/>
      <c r="M305"/>
      <c r="N305"/>
      <c r="O305"/>
      <c r="P305"/>
      <c r="R305"/>
      <c r="S305"/>
      <c r="T305"/>
      <c r="U305"/>
      <c r="V305"/>
      <c r="W305"/>
      <c r="X305"/>
      <c r="Y305"/>
    </row>
    <row r="306" spans="2:25">
      <c r="B306"/>
      <c r="D306"/>
      <c r="E306"/>
      <c r="F306"/>
      <c r="G306"/>
      <c r="H306"/>
      <c r="I306"/>
      <c r="J306"/>
      <c r="K306"/>
      <c r="L306"/>
      <c r="M306"/>
      <c r="N306"/>
      <c r="O306"/>
      <c r="P306"/>
      <c r="R306"/>
      <c r="S306"/>
      <c r="T306"/>
      <c r="U306"/>
      <c r="V306"/>
      <c r="W306"/>
      <c r="X306"/>
      <c r="Y306"/>
    </row>
    <row r="307" spans="2:25">
      <c r="B307"/>
      <c r="D307"/>
      <c r="E307"/>
      <c r="F307"/>
      <c r="G307"/>
      <c r="H307"/>
      <c r="I307"/>
      <c r="J307"/>
      <c r="K307"/>
      <c r="L307"/>
      <c r="M307"/>
      <c r="N307"/>
      <c r="O307"/>
      <c r="P307"/>
      <c r="R307"/>
      <c r="S307"/>
      <c r="T307"/>
      <c r="U307"/>
      <c r="V307"/>
      <c r="W307"/>
      <c r="X307"/>
      <c r="Y307"/>
    </row>
    <row r="308" spans="2:25">
      <c r="B308"/>
      <c r="D308"/>
      <c r="E308"/>
      <c r="F308"/>
      <c r="G308"/>
      <c r="H308"/>
      <c r="I308"/>
      <c r="J308"/>
      <c r="K308"/>
      <c r="L308"/>
      <c r="M308"/>
      <c r="N308"/>
      <c r="O308"/>
      <c r="P308"/>
      <c r="R308"/>
      <c r="S308"/>
      <c r="T308"/>
      <c r="U308"/>
      <c r="V308"/>
      <c r="W308"/>
      <c r="X308"/>
      <c r="Y308"/>
    </row>
    <row r="309" spans="2:25">
      <c r="B309"/>
      <c r="D309"/>
      <c r="E309"/>
      <c r="F309"/>
      <c r="G309"/>
      <c r="H309"/>
      <c r="I309"/>
      <c r="J309"/>
      <c r="K309"/>
      <c r="L309"/>
      <c r="M309"/>
      <c r="N309"/>
      <c r="O309"/>
      <c r="P309"/>
      <c r="R309"/>
      <c r="S309"/>
      <c r="T309"/>
      <c r="U309"/>
      <c r="V309"/>
      <c r="W309"/>
      <c r="X309"/>
      <c r="Y309"/>
    </row>
    <row r="310" spans="2:25">
      <c r="B310"/>
      <c r="D310"/>
      <c r="E310"/>
      <c r="F310"/>
      <c r="G310"/>
      <c r="H310"/>
      <c r="I310"/>
      <c r="J310"/>
      <c r="K310"/>
      <c r="L310"/>
      <c r="M310"/>
      <c r="N310"/>
      <c r="O310"/>
      <c r="P310"/>
      <c r="R310"/>
      <c r="S310"/>
      <c r="T310"/>
      <c r="U310"/>
      <c r="V310"/>
      <c r="W310"/>
      <c r="X310"/>
      <c r="Y310"/>
    </row>
    <row r="311" spans="2:25">
      <c r="B311"/>
      <c r="D311"/>
      <c r="E311"/>
      <c r="F311"/>
      <c r="G311"/>
      <c r="H311"/>
      <c r="I311"/>
      <c r="J311"/>
      <c r="K311"/>
      <c r="L311"/>
      <c r="M311"/>
      <c r="N311"/>
      <c r="O311"/>
      <c r="P311"/>
      <c r="R311"/>
      <c r="S311"/>
      <c r="T311"/>
      <c r="U311"/>
      <c r="V311"/>
      <c r="W311"/>
      <c r="X311"/>
      <c r="Y311"/>
    </row>
    <row r="312" spans="2:25">
      <c r="B312"/>
      <c r="D312"/>
      <c r="E312"/>
      <c r="F312"/>
      <c r="G312"/>
      <c r="H312"/>
      <c r="I312"/>
      <c r="J312"/>
      <c r="K312"/>
      <c r="L312"/>
      <c r="M312"/>
      <c r="N312"/>
      <c r="O312"/>
      <c r="P312"/>
      <c r="R312"/>
      <c r="S312"/>
      <c r="T312"/>
      <c r="U312"/>
      <c r="V312"/>
      <c r="W312"/>
      <c r="X312"/>
      <c r="Y312"/>
    </row>
    <row r="313" spans="2:25">
      <c r="B313"/>
      <c r="D313"/>
      <c r="E313"/>
      <c r="F313"/>
      <c r="G313"/>
      <c r="H313"/>
      <c r="I313"/>
      <c r="J313"/>
      <c r="K313"/>
      <c r="L313"/>
      <c r="M313"/>
      <c r="N313"/>
      <c r="O313"/>
      <c r="P313"/>
      <c r="R313"/>
      <c r="S313"/>
      <c r="T313"/>
      <c r="U313"/>
      <c r="V313"/>
      <c r="W313"/>
      <c r="X313"/>
      <c r="Y313"/>
    </row>
    <row r="314" spans="2:25">
      <c r="B314"/>
      <c r="D314"/>
      <c r="E314"/>
      <c r="F314"/>
      <c r="G314"/>
      <c r="H314"/>
      <c r="I314"/>
      <c r="J314"/>
      <c r="K314"/>
      <c r="L314"/>
      <c r="M314"/>
      <c r="N314"/>
      <c r="O314"/>
      <c r="P314"/>
      <c r="R314"/>
      <c r="S314"/>
      <c r="T314"/>
      <c r="U314"/>
      <c r="V314"/>
      <c r="W314"/>
      <c r="X314"/>
      <c r="Y314"/>
    </row>
    <row r="315" spans="2:25">
      <c r="B315"/>
      <c r="D315"/>
      <c r="E315"/>
      <c r="F315"/>
      <c r="G315"/>
      <c r="H315"/>
      <c r="I315"/>
      <c r="J315"/>
      <c r="K315"/>
      <c r="L315"/>
      <c r="M315"/>
      <c r="N315"/>
      <c r="O315"/>
      <c r="P315"/>
      <c r="R315"/>
      <c r="S315"/>
      <c r="T315"/>
      <c r="U315"/>
      <c r="V315"/>
      <c r="W315"/>
      <c r="X315"/>
      <c r="Y315"/>
    </row>
    <row r="316" spans="2:25">
      <c r="B316"/>
      <c r="D316"/>
      <c r="E316"/>
      <c r="F316"/>
      <c r="G316"/>
      <c r="H316"/>
      <c r="I316"/>
      <c r="J316"/>
      <c r="K316"/>
      <c r="L316"/>
      <c r="M316"/>
      <c r="N316"/>
      <c r="O316"/>
      <c r="P316"/>
      <c r="R316"/>
      <c r="S316"/>
      <c r="T316"/>
      <c r="U316"/>
      <c r="V316"/>
      <c r="W316"/>
      <c r="X316"/>
      <c r="Y316"/>
    </row>
    <row r="317" spans="2:25">
      <c r="B317"/>
      <c r="D317"/>
      <c r="E317"/>
      <c r="F317"/>
      <c r="G317"/>
      <c r="H317"/>
      <c r="I317"/>
      <c r="J317"/>
      <c r="K317"/>
      <c r="L317"/>
      <c r="M317"/>
      <c r="N317"/>
      <c r="O317"/>
      <c r="P317"/>
      <c r="R317"/>
      <c r="S317"/>
      <c r="T317"/>
      <c r="U317"/>
      <c r="V317"/>
      <c r="W317"/>
      <c r="X317"/>
      <c r="Y317"/>
    </row>
    <row r="318" spans="2:25">
      <c r="B318"/>
      <c r="D318"/>
      <c r="E318"/>
      <c r="F318"/>
      <c r="G318"/>
      <c r="H318"/>
      <c r="I318"/>
      <c r="J318"/>
      <c r="K318"/>
      <c r="L318"/>
      <c r="M318"/>
      <c r="N318"/>
      <c r="O318"/>
      <c r="P318"/>
      <c r="R318"/>
      <c r="S318"/>
      <c r="T318"/>
      <c r="U318"/>
      <c r="V318"/>
      <c r="W318"/>
      <c r="X318"/>
      <c r="Y318"/>
    </row>
    <row r="319" spans="2:25">
      <c r="B319"/>
      <c r="D319"/>
      <c r="E319"/>
      <c r="F319"/>
      <c r="G319"/>
      <c r="H319"/>
      <c r="I319"/>
      <c r="J319"/>
      <c r="K319"/>
      <c r="L319"/>
      <c r="M319"/>
      <c r="N319"/>
      <c r="O319"/>
      <c r="P319"/>
      <c r="R319"/>
      <c r="S319"/>
      <c r="T319"/>
      <c r="U319"/>
      <c r="V319"/>
      <c r="W319"/>
      <c r="X319"/>
      <c r="Y319"/>
    </row>
    <row r="320" spans="2:25">
      <c r="B320"/>
      <c r="D320"/>
      <c r="E320"/>
      <c r="F320"/>
      <c r="G320"/>
      <c r="H320"/>
      <c r="I320"/>
      <c r="J320"/>
      <c r="K320"/>
      <c r="L320"/>
      <c r="M320"/>
      <c r="N320"/>
      <c r="O320"/>
      <c r="P320"/>
      <c r="R320"/>
      <c r="S320"/>
      <c r="T320"/>
      <c r="U320"/>
      <c r="V320"/>
      <c r="W320"/>
      <c r="X320"/>
      <c r="Y320"/>
    </row>
    <row r="321" spans="2:25">
      <c r="B321"/>
      <c r="D321"/>
      <c r="E321"/>
      <c r="F321"/>
      <c r="G321"/>
      <c r="H321"/>
      <c r="I321"/>
      <c r="J321"/>
      <c r="K321"/>
      <c r="L321"/>
      <c r="M321"/>
      <c r="N321"/>
      <c r="O321"/>
      <c r="P321"/>
      <c r="R321"/>
      <c r="S321"/>
      <c r="T321"/>
      <c r="U321"/>
      <c r="V321"/>
      <c r="W321"/>
      <c r="X321"/>
      <c r="Y321"/>
    </row>
    <row r="322" spans="2:25">
      <c r="B322"/>
      <c r="D322"/>
      <c r="E322"/>
      <c r="F322"/>
      <c r="G322"/>
      <c r="H322"/>
      <c r="I322"/>
      <c r="J322"/>
      <c r="K322"/>
      <c r="L322"/>
      <c r="M322"/>
      <c r="N322"/>
      <c r="O322"/>
      <c r="P322"/>
      <c r="R322"/>
      <c r="S322"/>
      <c r="T322"/>
      <c r="U322"/>
      <c r="V322"/>
      <c r="W322"/>
      <c r="X322"/>
      <c r="Y322"/>
    </row>
    <row r="323" spans="2:25">
      <c r="B323"/>
      <c r="D323"/>
      <c r="E323"/>
      <c r="F323"/>
      <c r="G323"/>
      <c r="H323"/>
      <c r="I323"/>
      <c r="J323"/>
      <c r="K323"/>
      <c r="L323"/>
      <c r="M323"/>
      <c r="N323"/>
      <c r="O323"/>
      <c r="P323"/>
      <c r="R323"/>
      <c r="S323"/>
      <c r="T323"/>
      <c r="U323"/>
      <c r="V323"/>
      <c r="W323"/>
      <c r="X323"/>
      <c r="Y323"/>
    </row>
    <row r="324" spans="2:25">
      <c r="B324"/>
      <c r="D324"/>
      <c r="E324"/>
      <c r="F324"/>
      <c r="G324"/>
      <c r="H324"/>
      <c r="I324"/>
      <c r="J324"/>
      <c r="K324"/>
      <c r="L324"/>
      <c r="M324"/>
      <c r="N324"/>
      <c r="O324"/>
      <c r="P324"/>
      <c r="R324"/>
      <c r="S324"/>
      <c r="T324"/>
      <c r="U324"/>
      <c r="V324"/>
      <c r="W324"/>
      <c r="X324"/>
      <c r="Y324"/>
    </row>
    <row r="325" spans="2:25">
      <c r="B325"/>
      <c r="D325"/>
      <c r="E325"/>
      <c r="F325"/>
      <c r="G325"/>
      <c r="H325"/>
      <c r="I325"/>
      <c r="J325"/>
      <c r="K325"/>
      <c r="L325"/>
      <c r="M325"/>
      <c r="N325"/>
      <c r="O325"/>
      <c r="P325"/>
      <c r="R325"/>
      <c r="S325"/>
      <c r="T325"/>
      <c r="U325"/>
      <c r="V325"/>
      <c r="W325"/>
      <c r="X325"/>
      <c r="Y325"/>
    </row>
    <row r="326" spans="2:25">
      <c r="B326"/>
      <c r="D326"/>
      <c r="E326"/>
      <c r="F326"/>
      <c r="G326"/>
      <c r="H326"/>
      <c r="I326"/>
      <c r="J326"/>
      <c r="K326"/>
      <c r="L326"/>
      <c r="M326"/>
      <c r="N326"/>
      <c r="O326"/>
      <c r="P326"/>
      <c r="R326"/>
      <c r="S326"/>
      <c r="T326"/>
      <c r="U326"/>
      <c r="V326"/>
      <c r="W326"/>
      <c r="X326"/>
      <c r="Y326"/>
    </row>
    <row r="327" spans="2:25">
      <c r="B327"/>
      <c r="D327"/>
      <c r="E327"/>
      <c r="F327"/>
      <c r="G327"/>
      <c r="H327"/>
      <c r="I327"/>
      <c r="J327"/>
      <c r="K327"/>
      <c r="L327"/>
      <c r="M327"/>
      <c r="N327"/>
      <c r="O327"/>
      <c r="P327"/>
      <c r="R327"/>
      <c r="S327"/>
      <c r="T327"/>
      <c r="U327"/>
      <c r="V327"/>
      <c r="W327"/>
      <c r="X327"/>
      <c r="Y327"/>
    </row>
    <row r="328" spans="2:25">
      <c r="B328"/>
      <c r="D328"/>
      <c r="E328"/>
      <c r="F328"/>
      <c r="G328"/>
      <c r="H328"/>
      <c r="I328"/>
      <c r="J328"/>
      <c r="K328"/>
      <c r="L328"/>
      <c r="M328"/>
      <c r="N328"/>
      <c r="O328"/>
      <c r="P328"/>
      <c r="R328"/>
      <c r="S328"/>
      <c r="T328"/>
      <c r="U328"/>
      <c r="V328"/>
      <c r="W328"/>
      <c r="X328"/>
      <c r="Y328"/>
    </row>
    <row r="329" spans="2:25">
      <c r="B329"/>
      <c r="D329"/>
      <c r="E329"/>
      <c r="F329"/>
      <c r="G329"/>
      <c r="H329"/>
      <c r="I329"/>
      <c r="J329"/>
      <c r="K329"/>
      <c r="L329"/>
      <c r="M329"/>
      <c r="N329"/>
      <c r="O329"/>
      <c r="P329"/>
      <c r="R329"/>
      <c r="S329"/>
      <c r="T329"/>
      <c r="U329"/>
      <c r="V329"/>
      <c r="W329"/>
      <c r="X329"/>
      <c r="Y329"/>
    </row>
    <row r="330" spans="2:25">
      <c r="B330"/>
      <c r="D330"/>
      <c r="E330"/>
      <c r="F330"/>
      <c r="G330"/>
      <c r="H330"/>
      <c r="I330"/>
      <c r="J330"/>
      <c r="K330"/>
      <c r="L330"/>
      <c r="M330"/>
      <c r="N330"/>
      <c r="O330"/>
      <c r="P330"/>
      <c r="R330"/>
      <c r="S330"/>
      <c r="T330"/>
      <c r="U330"/>
      <c r="V330"/>
      <c r="W330"/>
      <c r="X330"/>
      <c r="Y330"/>
    </row>
    <row r="331" spans="2:25">
      <c r="B331"/>
      <c r="D331"/>
      <c r="E331"/>
      <c r="F331"/>
      <c r="G331"/>
      <c r="H331"/>
      <c r="I331"/>
      <c r="J331"/>
      <c r="K331"/>
      <c r="L331"/>
      <c r="M331"/>
      <c r="N331"/>
      <c r="O331"/>
      <c r="P331"/>
      <c r="R331"/>
      <c r="S331"/>
      <c r="T331"/>
      <c r="U331"/>
      <c r="V331"/>
      <c r="W331"/>
      <c r="X331"/>
      <c r="Y331"/>
    </row>
    <row r="332" spans="2:25">
      <c r="B332"/>
      <c r="D332"/>
      <c r="E332"/>
      <c r="F332"/>
      <c r="G332"/>
      <c r="H332"/>
      <c r="I332"/>
      <c r="J332"/>
      <c r="K332"/>
      <c r="L332"/>
      <c r="M332"/>
      <c r="N332"/>
      <c r="O332"/>
      <c r="P332"/>
      <c r="R332"/>
      <c r="S332"/>
      <c r="T332"/>
      <c r="U332"/>
      <c r="V332"/>
      <c r="W332"/>
      <c r="X332"/>
      <c r="Y332"/>
    </row>
    <row r="333" spans="2:25">
      <c r="B333"/>
      <c r="D333"/>
      <c r="E333"/>
      <c r="F333"/>
      <c r="G333"/>
      <c r="H333"/>
      <c r="I333"/>
      <c r="J333"/>
      <c r="K333"/>
      <c r="L333"/>
      <c r="M333"/>
      <c r="N333"/>
      <c r="O333"/>
      <c r="P333"/>
      <c r="R333"/>
      <c r="S333"/>
      <c r="T333"/>
      <c r="U333"/>
      <c r="V333"/>
      <c r="W333"/>
      <c r="X333"/>
      <c r="Y333"/>
    </row>
    <row r="334" spans="2:25">
      <c r="B334"/>
      <c r="D334"/>
      <c r="E334"/>
      <c r="F334"/>
      <c r="G334"/>
      <c r="H334"/>
      <c r="I334"/>
      <c r="J334"/>
      <c r="K334"/>
      <c r="L334"/>
      <c r="M334"/>
      <c r="N334"/>
      <c r="O334"/>
      <c r="P334"/>
      <c r="R334"/>
      <c r="S334"/>
      <c r="T334"/>
      <c r="U334"/>
      <c r="V334"/>
      <c r="W334"/>
      <c r="X334"/>
      <c r="Y334"/>
    </row>
    <row r="335" spans="2:25">
      <c r="B335"/>
      <c r="D335"/>
      <c r="E335"/>
      <c r="F335"/>
      <c r="G335"/>
      <c r="H335"/>
      <c r="I335"/>
      <c r="J335"/>
      <c r="K335"/>
      <c r="L335"/>
      <c r="M335"/>
      <c r="N335"/>
      <c r="O335"/>
      <c r="P335"/>
      <c r="R335"/>
      <c r="S335"/>
      <c r="T335"/>
      <c r="U335"/>
      <c r="V335"/>
      <c r="W335"/>
      <c r="X335"/>
      <c r="Y335"/>
    </row>
    <row r="336" spans="2:25">
      <c r="B336"/>
      <c r="D336"/>
      <c r="E336"/>
      <c r="F336"/>
      <c r="G336"/>
      <c r="H336"/>
      <c r="I336"/>
      <c r="J336"/>
      <c r="K336"/>
      <c r="L336"/>
      <c r="M336"/>
      <c r="N336"/>
      <c r="O336"/>
      <c r="P336"/>
      <c r="R336"/>
      <c r="S336"/>
      <c r="T336"/>
      <c r="U336"/>
      <c r="V336"/>
      <c r="W336"/>
      <c r="X336"/>
      <c r="Y336"/>
    </row>
    <row r="337" spans="2:25">
      <c r="B337"/>
      <c r="D337"/>
      <c r="E337"/>
      <c r="F337"/>
      <c r="G337"/>
      <c r="H337"/>
      <c r="I337"/>
      <c r="J337"/>
      <c r="K337"/>
      <c r="L337"/>
      <c r="M337"/>
      <c r="N337"/>
      <c r="O337"/>
      <c r="P337"/>
      <c r="R337"/>
      <c r="S337"/>
      <c r="T337"/>
      <c r="U337"/>
      <c r="V337"/>
      <c r="W337"/>
      <c r="X337"/>
      <c r="Y337"/>
    </row>
    <row r="338" spans="2:25">
      <c r="B338"/>
      <c r="D338"/>
      <c r="E338"/>
      <c r="F338"/>
      <c r="G338"/>
      <c r="H338"/>
      <c r="I338"/>
      <c r="J338"/>
      <c r="K338"/>
      <c r="L338"/>
      <c r="M338"/>
      <c r="N338"/>
      <c r="O338"/>
      <c r="P338"/>
      <c r="R338"/>
      <c r="S338"/>
      <c r="T338"/>
      <c r="U338"/>
      <c r="V338"/>
      <c r="W338"/>
      <c r="X338"/>
      <c r="Y338"/>
    </row>
    <row r="339" spans="2:25">
      <c r="B339"/>
      <c r="D339"/>
      <c r="E339"/>
      <c r="F339"/>
      <c r="G339"/>
      <c r="H339"/>
      <c r="I339"/>
      <c r="J339"/>
      <c r="K339"/>
      <c r="L339"/>
      <c r="M339"/>
      <c r="N339"/>
      <c r="O339"/>
      <c r="P339"/>
      <c r="R339"/>
      <c r="S339"/>
      <c r="T339"/>
      <c r="U339"/>
      <c r="V339"/>
      <c r="W339"/>
      <c r="X339"/>
      <c r="Y339"/>
    </row>
    <row r="340" spans="2:25">
      <c r="B340"/>
      <c r="D340"/>
      <c r="E340"/>
      <c r="F340"/>
      <c r="G340"/>
      <c r="H340"/>
      <c r="I340"/>
      <c r="J340"/>
      <c r="K340"/>
      <c r="L340"/>
      <c r="M340"/>
      <c r="N340"/>
      <c r="O340"/>
      <c r="P340"/>
      <c r="R340"/>
      <c r="S340"/>
      <c r="T340"/>
      <c r="U340"/>
      <c r="V340"/>
      <c r="W340"/>
      <c r="X340"/>
      <c r="Y340"/>
    </row>
    <row r="341" spans="2:25">
      <c r="B341"/>
      <c r="D341"/>
      <c r="E341"/>
      <c r="F341"/>
      <c r="G341"/>
      <c r="H341"/>
      <c r="I341"/>
      <c r="J341"/>
      <c r="K341"/>
      <c r="L341"/>
      <c r="M341"/>
      <c r="N341"/>
      <c r="O341"/>
      <c r="P341"/>
      <c r="R341"/>
      <c r="S341"/>
      <c r="T341"/>
      <c r="U341"/>
      <c r="V341"/>
      <c r="W341"/>
      <c r="X341"/>
      <c r="Y341"/>
    </row>
    <row r="342" spans="2:25">
      <c r="B342"/>
      <c r="D342"/>
      <c r="E342"/>
      <c r="F342"/>
      <c r="G342"/>
      <c r="H342"/>
      <c r="I342"/>
      <c r="J342"/>
      <c r="K342"/>
      <c r="L342"/>
      <c r="M342"/>
      <c r="N342"/>
      <c r="O342"/>
      <c r="P342"/>
      <c r="R342"/>
      <c r="S342"/>
      <c r="T342"/>
      <c r="U342"/>
      <c r="V342"/>
      <c r="W342"/>
      <c r="X342"/>
      <c r="Y342"/>
    </row>
    <row r="343" spans="2:25">
      <c r="B343"/>
      <c r="D343"/>
      <c r="E343"/>
      <c r="F343"/>
      <c r="G343"/>
      <c r="H343"/>
      <c r="I343"/>
      <c r="J343"/>
      <c r="K343"/>
      <c r="L343"/>
      <c r="M343"/>
      <c r="N343"/>
      <c r="O343"/>
      <c r="P343"/>
      <c r="R343"/>
      <c r="S343"/>
      <c r="T343"/>
      <c r="U343"/>
      <c r="V343"/>
      <c r="W343"/>
      <c r="X343"/>
      <c r="Y343"/>
    </row>
    <row r="344" spans="2:25">
      <c r="B344"/>
      <c r="D344"/>
      <c r="E344"/>
      <c r="F344"/>
      <c r="G344"/>
      <c r="H344"/>
      <c r="I344"/>
      <c r="J344"/>
      <c r="K344"/>
      <c r="L344"/>
      <c r="M344"/>
      <c r="N344"/>
      <c r="O344"/>
      <c r="P344"/>
      <c r="R344"/>
      <c r="S344"/>
      <c r="T344"/>
      <c r="U344"/>
      <c r="V344"/>
      <c r="W344"/>
      <c r="X344"/>
      <c r="Y344"/>
    </row>
    <row r="345" spans="2:25">
      <c r="B345"/>
      <c r="D345"/>
      <c r="E345"/>
      <c r="F345"/>
      <c r="G345"/>
      <c r="H345"/>
      <c r="I345"/>
      <c r="J345"/>
      <c r="K345"/>
      <c r="L345"/>
      <c r="M345"/>
      <c r="N345"/>
      <c r="O345"/>
      <c r="P345"/>
      <c r="R345"/>
      <c r="S345"/>
      <c r="T345"/>
      <c r="U345"/>
      <c r="V345"/>
      <c r="W345"/>
      <c r="X345"/>
      <c r="Y345"/>
    </row>
    <row r="346" spans="2:25">
      <c r="B346"/>
      <c r="D346"/>
      <c r="E346"/>
      <c r="F346"/>
      <c r="G346"/>
      <c r="H346"/>
      <c r="I346"/>
      <c r="J346"/>
      <c r="K346"/>
      <c r="L346"/>
      <c r="M346"/>
      <c r="N346"/>
      <c r="O346"/>
      <c r="P346"/>
      <c r="R346"/>
      <c r="S346"/>
      <c r="T346"/>
      <c r="U346"/>
      <c r="V346"/>
      <c r="W346"/>
      <c r="X346"/>
      <c r="Y346"/>
    </row>
    <row r="347" spans="2:25">
      <c r="B347"/>
      <c r="D347"/>
      <c r="E347"/>
      <c r="F347"/>
      <c r="G347"/>
      <c r="H347"/>
      <c r="I347"/>
      <c r="J347"/>
      <c r="K347"/>
      <c r="L347"/>
      <c r="M347"/>
      <c r="N347"/>
      <c r="O347"/>
      <c r="P347"/>
      <c r="R347"/>
      <c r="S347"/>
      <c r="T347"/>
      <c r="U347"/>
      <c r="V347"/>
      <c r="W347"/>
      <c r="X347"/>
      <c r="Y347"/>
    </row>
    <row r="348" spans="2:25">
      <c r="B348"/>
      <c r="D348"/>
      <c r="E348"/>
      <c r="F348"/>
      <c r="G348"/>
      <c r="H348"/>
      <c r="I348"/>
      <c r="J348"/>
      <c r="K348"/>
      <c r="L348"/>
      <c r="M348"/>
      <c r="N348"/>
      <c r="O348"/>
      <c r="P348"/>
      <c r="R348"/>
      <c r="S348"/>
      <c r="T348"/>
      <c r="U348"/>
      <c r="V348"/>
      <c r="W348"/>
      <c r="X348"/>
      <c r="Y348"/>
    </row>
    <row r="349" spans="2:25">
      <c r="B349"/>
      <c r="D349"/>
      <c r="E349"/>
      <c r="F349"/>
      <c r="G349"/>
      <c r="H349"/>
      <c r="I349"/>
      <c r="J349"/>
      <c r="K349"/>
      <c r="L349"/>
      <c r="M349"/>
      <c r="N349"/>
      <c r="O349"/>
      <c r="P349"/>
      <c r="R349"/>
      <c r="S349"/>
      <c r="T349"/>
      <c r="U349"/>
      <c r="V349"/>
      <c r="W349"/>
      <c r="X349"/>
      <c r="Y349"/>
    </row>
    <row r="350" spans="2:25">
      <c r="B350"/>
      <c r="D350"/>
      <c r="E350"/>
      <c r="F350"/>
      <c r="G350"/>
      <c r="H350"/>
      <c r="I350"/>
      <c r="J350"/>
      <c r="K350"/>
      <c r="L350"/>
      <c r="M350"/>
      <c r="N350"/>
      <c r="O350"/>
      <c r="P350"/>
      <c r="R350"/>
      <c r="S350"/>
      <c r="T350"/>
      <c r="U350"/>
      <c r="V350"/>
      <c r="W350"/>
      <c r="X350"/>
      <c r="Y350"/>
    </row>
    <row r="351" spans="2:25">
      <c r="B351"/>
      <c r="D351"/>
      <c r="E351"/>
      <c r="F351"/>
      <c r="G351"/>
      <c r="H351"/>
      <c r="I351"/>
      <c r="J351"/>
      <c r="K351"/>
      <c r="L351"/>
      <c r="M351"/>
      <c r="N351"/>
      <c r="O351"/>
      <c r="P351"/>
      <c r="R351"/>
      <c r="S351"/>
      <c r="T351"/>
      <c r="U351"/>
      <c r="V351"/>
      <c r="W351"/>
      <c r="X351"/>
      <c r="Y351"/>
    </row>
    <row r="352" spans="2:25">
      <c r="B352"/>
      <c r="D352"/>
      <c r="E352"/>
      <c r="F352"/>
      <c r="G352"/>
      <c r="H352"/>
      <c r="I352"/>
      <c r="J352"/>
      <c r="K352"/>
      <c r="L352"/>
      <c r="M352"/>
      <c r="N352"/>
      <c r="O352"/>
      <c r="P352"/>
      <c r="R352"/>
      <c r="S352"/>
      <c r="T352"/>
      <c r="U352"/>
      <c r="V352"/>
      <c r="W352"/>
      <c r="X352"/>
      <c r="Y352"/>
    </row>
    <row r="353" spans="2:25">
      <c r="B353"/>
      <c r="D353"/>
      <c r="E353"/>
      <c r="F353"/>
      <c r="G353"/>
      <c r="H353"/>
      <c r="I353"/>
      <c r="J353"/>
      <c r="K353"/>
      <c r="L353"/>
      <c r="M353"/>
      <c r="N353"/>
      <c r="O353"/>
      <c r="P353"/>
      <c r="R353"/>
      <c r="S353"/>
      <c r="T353"/>
      <c r="U353"/>
      <c r="V353"/>
      <c r="W353"/>
      <c r="X353"/>
      <c r="Y353"/>
    </row>
    <row r="354" spans="2:25">
      <c r="B354"/>
      <c r="D354"/>
      <c r="E354"/>
      <c r="F354"/>
      <c r="G354"/>
      <c r="H354"/>
      <c r="I354"/>
      <c r="J354"/>
      <c r="K354"/>
      <c r="L354"/>
      <c r="M354"/>
      <c r="N354"/>
      <c r="O354"/>
      <c r="P354"/>
      <c r="R354"/>
      <c r="S354"/>
      <c r="T354"/>
      <c r="U354"/>
      <c r="V354"/>
      <c r="W354"/>
      <c r="X354"/>
      <c r="Y354"/>
    </row>
    <row r="355" spans="2:25">
      <c r="B355"/>
      <c r="D355"/>
      <c r="E355"/>
      <c r="F355"/>
      <c r="G355"/>
      <c r="H355"/>
      <c r="I355"/>
      <c r="J355"/>
      <c r="K355"/>
      <c r="L355"/>
      <c r="M355"/>
      <c r="N355"/>
      <c r="O355"/>
      <c r="P355"/>
      <c r="R355"/>
      <c r="S355"/>
      <c r="T355"/>
      <c r="U355"/>
      <c r="V355"/>
      <c r="W355"/>
      <c r="X355"/>
      <c r="Y355"/>
    </row>
    <row r="356" spans="2:25">
      <c r="B356"/>
      <c r="D356"/>
      <c r="E356"/>
      <c r="F356"/>
      <c r="G356"/>
      <c r="H356"/>
      <c r="I356"/>
      <c r="J356"/>
      <c r="K356"/>
      <c r="L356"/>
      <c r="M356"/>
      <c r="N356"/>
      <c r="O356"/>
      <c r="P356"/>
      <c r="R356"/>
      <c r="S356"/>
      <c r="T356"/>
      <c r="U356"/>
      <c r="V356"/>
      <c r="W356"/>
      <c r="X356"/>
      <c r="Y356"/>
    </row>
    <row r="357" spans="2:25">
      <c r="B357"/>
      <c r="D357"/>
      <c r="E357"/>
      <c r="F357"/>
      <c r="G357"/>
      <c r="H357"/>
      <c r="I357"/>
      <c r="J357"/>
      <c r="K357"/>
      <c r="L357"/>
      <c r="M357"/>
      <c r="N357"/>
      <c r="O357"/>
      <c r="P357"/>
      <c r="R357"/>
      <c r="S357"/>
      <c r="T357"/>
      <c r="U357"/>
      <c r="V357"/>
      <c r="W357"/>
      <c r="X357"/>
      <c r="Y357"/>
    </row>
    <row r="358" spans="2:25">
      <c r="B358"/>
      <c r="D358"/>
      <c r="E358"/>
      <c r="F358"/>
      <c r="G358"/>
      <c r="H358"/>
      <c r="I358"/>
      <c r="J358"/>
      <c r="K358"/>
      <c r="L358"/>
      <c r="M358"/>
      <c r="N358"/>
      <c r="O358"/>
      <c r="P358"/>
      <c r="R358"/>
      <c r="S358"/>
      <c r="T358"/>
      <c r="U358"/>
      <c r="V358"/>
      <c r="W358"/>
      <c r="X358"/>
      <c r="Y358"/>
    </row>
    <row r="359" spans="2:25">
      <c r="B359"/>
      <c r="D359"/>
      <c r="E359"/>
      <c r="F359"/>
      <c r="G359"/>
      <c r="H359"/>
      <c r="I359"/>
      <c r="J359"/>
      <c r="K359"/>
      <c r="L359"/>
      <c r="M359"/>
      <c r="N359"/>
      <c r="O359"/>
      <c r="P359"/>
      <c r="R359"/>
      <c r="S359"/>
      <c r="T359"/>
      <c r="U359"/>
      <c r="V359"/>
      <c r="W359"/>
      <c r="X359"/>
      <c r="Y359"/>
    </row>
    <row r="360" spans="2:25">
      <c r="B360"/>
      <c r="D360"/>
      <c r="E360"/>
      <c r="F360"/>
      <c r="G360"/>
      <c r="H360"/>
      <c r="I360"/>
      <c r="J360"/>
      <c r="K360"/>
      <c r="L360"/>
      <c r="M360"/>
      <c r="N360"/>
      <c r="O360"/>
      <c r="P360"/>
      <c r="R360"/>
      <c r="S360"/>
      <c r="T360"/>
      <c r="U360"/>
      <c r="V360"/>
      <c r="W360"/>
      <c r="X360"/>
      <c r="Y360"/>
    </row>
    <row r="361" spans="2:25">
      <c r="B361"/>
      <c r="D361"/>
      <c r="E361"/>
      <c r="F361"/>
      <c r="G361"/>
      <c r="H361"/>
      <c r="I361"/>
      <c r="J361"/>
      <c r="K361"/>
      <c r="L361"/>
      <c r="M361"/>
      <c r="N361"/>
      <c r="O361"/>
      <c r="P361"/>
      <c r="R361"/>
      <c r="S361"/>
      <c r="T361"/>
      <c r="U361"/>
      <c r="V361"/>
      <c r="W361"/>
      <c r="X361"/>
      <c r="Y361"/>
    </row>
    <row r="362" spans="2:25">
      <c r="B362"/>
      <c r="D362"/>
      <c r="E362"/>
      <c r="F362"/>
      <c r="G362"/>
      <c r="H362"/>
      <c r="I362"/>
      <c r="J362"/>
      <c r="K362"/>
      <c r="L362"/>
      <c r="M362"/>
      <c r="N362"/>
      <c r="O362"/>
      <c r="P362"/>
      <c r="R362"/>
      <c r="S362"/>
      <c r="T362"/>
      <c r="U362"/>
      <c r="V362"/>
      <c r="W362"/>
      <c r="X362"/>
      <c r="Y362"/>
    </row>
    <row r="363" spans="2:25">
      <c r="B363"/>
      <c r="D363"/>
      <c r="E363"/>
      <c r="F363"/>
      <c r="G363"/>
      <c r="H363"/>
      <c r="I363"/>
      <c r="J363"/>
      <c r="K363"/>
      <c r="L363"/>
      <c r="M363"/>
      <c r="N363"/>
      <c r="O363"/>
      <c r="P363"/>
      <c r="R363"/>
      <c r="S363"/>
      <c r="T363"/>
      <c r="U363"/>
      <c r="V363"/>
      <c r="W363"/>
      <c r="X363"/>
      <c r="Y363"/>
    </row>
    <row r="364" spans="2:25">
      <c r="B364"/>
      <c r="D364"/>
      <c r="E364"/>
      <c r="F364"/>
      <c r="G364"/>
      <c r="H364"/>
      <c r="I364"/>
      <c r="J364"/>
      <c r="K364"/>
      <c r="L364"/>
      <c r="M364"/>
      <c r="N364"/>
      <c r="O364"/>
      <c r="P364"/>
      <c r="R364"/>
      <c r="S364"/>
      <c r="T364"/>
      <c r="U364"/>
      <c r="V364"/>
      <c r="W364"/>
      <c r="X364"/>
      <c r="Y364"/>
    </row>
    <row r="365" spans="2:25">
      <c r="B365"/>
      <c r="D365"/>
      <c r="E365"/>
      <c r="F365"/>
      <c r="G365"/>
      <c r="H365"/>
      <c r="I365"/>
      <c r="J365"/>
      <c r="K365"/>
      <c r="L365"/>
      <c r="M365"/>
      <c r="N365"/>
      <c r="O365"/>
      <c r="P365"/>
      <c r="R365"/>
      <c r="S365"/>
      <c r="T365"/>
      <c r="U365"/>
      <c r="V365"/>
      <c r="W365"/>
      <c r="X365"/>
      <c r="Y365"/>
    </row>
    <row r="366" spans="2:25">
      <c r="B366"/>
      <c r="D366"/>
      <c r="E366"/>
      <c r="F366"/>
      <c r="G366"/>
      <c r="H366"/>
      <c r="I366"/>
      <c r="J366"/>
      <c r="K366"/>
      <c r="L366"/>
      <c r="M366"/>
      <c r="N366"/>
      <c r="O366"/>
      <c r="P366"/>
      <c r="R366"/>
      <c r="S366"/>
      <c r="T366"/>
      <c r="U366"/>
      <c r="V366"/>
      <c r="W366"/>
      <c r="X366"/>
      <c r="Y366"/>
    </row>
    <row r="367" spans="2:25">
      <c r="B367"/>
      <c r="D367"/>
      <c r="E367"/>
      <c r="F367"/>
      <c r="G367"/>
      <c r="H367"/>
      <c r="I367"/>
      <c r="J367"/>
      <c r="K367"/>
      <c r="L367"/>
      <c r="M367"/>
      <c r="N367"/>
      <c r="O367"/>
      <c r="P367"/>
      <c r="R367"/>
      <c r="S367"/>
      <c r="T367"/>
      <c r="U367"/>
      <c r="V367"/>
      <c r="W367"/>
      <c r="X367"/>
      <c r="Y367"/>
    </row>
    <row r="368" spans="2:25">
      <c r="B368"/>
      <c r="D368"/>
      <c r="E368"/>
      <c r="F368"/>
      <c r="G368"/>
      <c r="H368"/>
      <c r="I368"/>
      <c r="J368"/>
      <c r="K368"/>
      <c r="L368"/>
      <c r="M368"/>
      <c r="N368"/>
      <c r="O368"/>
      <c r="P368"/>
      <c r="R368"/>
      <c r="S368"/>
      <c r="T368"/>
      <c r="U368"/>
      <c r="V368"/>
      <c r="W368"/>
      <c r="X368"/>
      <c r="Y368"/>
    </row>
    <row r="369" spans="2:25">
      <c r="B369"/>
      <c r="D369"/>
      <c r="E369"/>
      <c r="F369"/>
      <c r="G369"/>
      <c r="H369"/>
      <c r="I369"/>
      <c r="J369"/>
      <c r="K369"/>
      <c r="L369"/>
      <c r="M369"/>
      <c r="N369"/>
      <c r="O369"/>
      <c r="P369"/>
      <c r="R369"/>
      <c r="S369"/>
      <c r="T369"/>
      <c r="U369"/>
      <c r="V369"/>
      <c r="W369"/>
      <c r="X369"/>
      <c r="Y369"/>
    </row>
    <row r="370" spans="2:25">
      <c r="B370"/>
      <c r="D370"/>
      <c r="E370"/>
      <c r="F370"/>
      <c r="G370"/>
      <c r="H370"/>
      <c r="I370"/>
      <c r="J370"/>
      <c r="K370"/>
      <c r="L370"/>
      <c r="M370"/>
      <c r="N370"/>
      <c r="O370"/>
      <c r="P370"/>
      <c r="R370"/>
      <c r="S370"/>
      <c r="T370"/>
      <c r="U370"/>
      <c r="V370"/>
      <c r="W370"/>
      <c r="X370"/>
      <c r="Y370"/>
    </row>
    <row r="371" spans="2:25">
      <c r="B371"/>
      <c r="D371"/>
      <c r="E371"/>
      <c r="F371"/>
      <c r="G371"/>
      <c r="H371"/>
      <c r="I371"/>
      <c r="J371"/>
      <c r="K371"/>
      <c r="L371"/>
      <c r="M371"/>
      <c r="N371"/>
      <c r="O371"/>
      <c r="P371"/>
      <c r="R371"/>
      <c r="S371"/>
      <c r="T371"/>
      <c r="U371"/>
      <c r="V371"/>
      <c r="W371"/>
      <c r="X371"/>
      <c r="Y371"/>
    </row>
    <row r="372" spans="2:25">
      <c r="B372"/>
      <c r="D372"/>
      <c r="E372"/>
      <c r="F372"/>
      <c r="G372"/>
      <c r="H372"/>
      <c r="I372"/>
      <c r="J372"/>
      <c r="K372"/>
      <c r="L372"/>
      <c r="M372"/>
      <c r="N372"/>
      <c r="O372"/>
      <c r="P372"/>
      <c r="R372"/>
      <c r="S372"/>
      <c r="T372"/>
      <c r="U372"/>
      <c r="V372"/>
      <c r="W372"/>
      <c r="X372"/>
      <c r="Y372"/>
    </row>
    <row r="373" spans="2:25">
      <c r="B373"/>
      <c r="D373"/>
      <c r="E373"/>
      <c r="F373"/>
      <c r="G373"/>
      <c r="H373"/>
      <c r="I373"/>
      <c r="J373"/>
      <c r="K373"/>
      <c r="L373"/>
      <c r="M373"/>
      <c r="N373"/>
      <c r="O373"/>
      <c r="P373"/>
      <c r="R373"/>
      <c r="S373"/>
      <c r="T373"/>
      <c r="U373"/>
      <c r="V373"/>
      <c r="W373"/>
      <c r="X373"/>
      <c r="Y373"/>
    </row>
    <row r="374" spans="2:25">
      <c r="B374"/>
      <c r="D374"/>
      <c r="E374"/>
      <c r="F374"/>
      <c r="G374"/>
      <c r="H374"/>
      <c r="I374"/>
      <c r="J374"/>
      <c r="K374"/>
      <c r="L374"/>
      <c r="M374"/>
      <c r="N374"/>
      <c r="O374"/>
      <c r="P374"/>
      <c r="R374"/>
      <c r="S374"/>
      <c r="T374"/>
      <c r="U374"/>
      <c r="V374"/>
      <c r="W374"/>
      <c r="X374"/>
      <c r="Y374"/>
    </row>
    <row r="375" spans="2:25">
      <c r="B375"/>
      <c r="D375"/>
      <c r="E375"/>
      <c r="F375"/>
      <c r="G375"/>
      <c r="H375"/>
      <c r="I375"/>
      <c r="J375"/>
      <c r="K375"/>
      <c r="L375"/>
      <c r="M375"/>
      <c r="N375"/>
      <c r="O375"/>
      <c r="P375"/>
      <c r="R375"/>
      <c r="S375"/>
      <c r="T375"/>
      <c r="U375"/>
      <c r="V375"/>
      <c r="W375"/>
      <c r="X375"/>
      <c r="Y375"/>
    </row>
    <row r="376" spans="2:25">
      <c r="B376"/>
      <c r="D376"/>
      <c r="E376"/>
      <c r="F376"/>
      <c r="G376"/>
      <c r="H376"/>
      <c r="I376"/>
      <c r="J376"/>
      <c r="K376"/>
      <c r="L376"/>
      <c r="M376"/>
      <c r="N376"/>
      <c r="O376"/>
      <c r="P376"/>
      <c r="R376"/>
      <c r="S376"/>
      <c r="T376"/>
      <c r="U376"/>
      <c r="V376"/>
      <c r="W376"/>
      <c r="X376"/>
      <c r="Y376"/>
    </row>
    <row r="377" spans="2:25">
      <c r="B377"/>
      <c r="D377"/>
      <c r="E377"/>
      <c r="F377"/>
      <c r="G377"/>
      <c r="H377"/>
      <c r="I377"/>
      <c r="J377"/>
      <c r="K377"/>
      <c r="L377"/>
      <c r="M377"/>
      <c r="N377"/>
      <c r="O377"/>
      <c r="P377"/>
      <c r="R377"/>
      <c r="S377"/>
      <c r="T377"/>
      <c r="U377"/>
      <c r="V377"/>
      <c r="W377"/>
      <c r="X377"/>
      <c r="Y377"/>
    </row>
    <row r="378" spans="2:25">
      <c r="B378"/>
      <c r="D378"/>
      <c r="E378"/>
      <c r="F378"/>
      <c r="G378"/>
      <c r="H378"/>
      <c r="I378"/>
      <c r="J378"/>
      <c r="K378"/>
      <c r="L378"/>
      <c r="M378"/>
      <c r="N378"/>
      <c r="O378"/>
      <c r="P378"/>
      <c r="R378"/>
      <c r="S378"/>
      <c r="T378"/>
      <c r="U378"/>
      <c r="V378"/>
      <c r="W378"/>
      <c r="X378"/>
      <c r="Y378"/>
    </row>
    <row r="379" spans="2:25">
      <c r="B379"/>
      <c r="D379"/>
      <c r="E379"/>
      <c r="F379"/>
      <c r="G379"/>
      <c r="H379"/>
      <c r="I379"/>
      <c r="J379"/>
      <c r="K379"/>
      <c r="L379"/>
      <c r="M379"/>
      <c r="N379"/>
      <c r="O379"/>
      <c r="P379"/>
      <c r="R379"/>
      <c r="S379"/>
      <c r="T379"/>
      <c r="U379"/>
      <c r="V379"/>
      <c r="W379"/>
      <c r="X379"/>
      <c r="Y379"/>
    </row>
    <row r="380" spans="2:25">
      <c r="B380"/>
      <c r="D380"/>
      <c r="E380"/>
      <c r="F380"/>
      <c r="G380"/>
      <c r="H380"/>
      <c r="I380"/>
      <c r="J380"/>
      <c r="K380"/>
      <c r="L380"/>
      <c r="M380"/>
      <c r="N380"/>
      <c r="O380"/>
      <c r="P380"/>
      <c r="R380"/>
      <c r="S380"/>
      <c r="T380"/>
      <c r="U380"/>
      <c r="V380"/>
      <c r="W380"/>
      <c r="X380"/>
      <c r="Y380"/>
    </row>
    <row r="381" spans="2:25">
      <c r="B381"/>
      <c r="D381"/>
      <c r="E381"/>
      <c r="F381"/>
      <c r="G381"/>
      <c r="H381"/>
      <c r="I381"/>
      <c r="J381"/>
      <c r="K381"/>
      <c r="L381"/>
      <c r="M381"/>
      <c r="N381"/>
      <c r="O381"/>
      <c r="P381"/>
      <c r="R381"/>
      <c r="S381"/>
      <c r="T381"/>
      <c r="U381"/>
      <c r="V381"/>
      <c r="W381"/>
      <c r="X381"/>
      <c r="Y381"/>
    </row>
    <row r="382" spans="2:25">
      <c r="B382"/>
      <c r="D382"/>
      <c r="E382"/>
      <c r="F382"/>
      <c r="G382"/>
      <c r="H382"/>
      <c r="I382"/>
      <c r="J382"/>
      <c r="K382"/>
      <c r="L382"/>
      <c r="M382"/>
      <c r="N382"/>
      <c r="O382"/>
      <c r="P382"/>
      <c r="R382"/>
      <c r="S382"/>
      <c r="T382"/>
      <c r="U382"/>
      <c r="V382"/>
      <c r="W382"/>
      <c r="X382"/>
      <c r="Y382"/>
    </row>
    <row r="383" spans="2:25">
      <c r="B383"/>
      <c r="D383"/>
      <c r="E383"/>
      <c r="F383"/>
      <c r="G383"/>
      <c r="H383"/>
      <c r="I383"/>
      <c r="J383"/>
      <c r="K383"/>
      <c r="L383"/>
      <c r="M383"/>
      <c r="N383"/>
      <c r="O383"/>
      <c r="P383"/>
      <c r="R383"/>
      <c r="S383"/>
      <c r="T383"/>
      <c r="U383"/>
      <c r="V383"/>
      <c r="W383"/>
      <c r="X383"/>
      <c r="Y383"/>
    </row>
    <row r="384" spans="2:25">
      <c r="B384"/>
      <c r="D384"/>
      <c r="E384"/>
      <c r="F384"/>
      <c r="G384"/>
      <c r="H384"/>
      <c r="I384"/>
      <c r="J384"/>
      <c r="K384"/>
      <c r="L384"/>
      <c r="M384"/>
      <c r="N384"/>
      <c r="O384"/>
      <c r="P384"/>
      <c r="R384"/>
      <c r="S384"/>
      <c r="T384"/>
      <c r="U384"/>
      <c r="V384"/>
      <c r="W384"/>
      <c r="X384"/>
      <c r="Y384"/>
    </row>
    <row r="385" spans="2:25">
      <c r="B385"/>
      <c r="D385"/>
      <c r="E385"/>
      <c r="F385"/>
      <c r="G385"/>
      <c r="H385"/>
      <c r="I385"/>
      <c r="J385"/>
      <c r="K385"/>
      <c r="L385"/>
      <c r="M385"/>
      <c r="N385"/>
      <c r="O385"/>
      <c r="P385"/>
      <c r="R385"/>
      <c r="S385"/>
      <c r="T385"/>
      <c r="U385"/>
      <c r="V385"/>
      <c r="W385"/>
      <c r="X385"/>
      <c r="Y385"/>
    </row>
    <row r="386" spans="2:25">
      <c r="B386"/>
      <c r="D386"/>
      <c r="E386"/>
      <c r="F386"/>
      <c r="G386"/>
      <c r="H386"/>
      <c r="I386"/>
      <c r="J386"/>
      <c r="K386"/>
      <c r="L386"/>
      <c r="M386"/>
      <c r="N386"/>
      <c r="O386"/>
      <c r="P386"/>
      <c r="R386"/>
      <c r="S386"/>
      <c r="T386"/>
      <c r="U386"/>
      <c r="V386"/>
      <c r="W386"/>
      <c r="X386"/>
      <c r="Y386"/>
    </row>
    <row r="387" spans="2:25">
      <c r="B387"/>
      <c r="D387"/>
      <c r="E387"/>
      <c r="F387"/>
      <c r="G387"/>
      <c r="H387"/>
      <c r="I387"/>
      <c r="J387"/>
      <c r="K387"/>
      <c r="L387"/>
      <c r="M387"/>
      <c r="N387"/>
      <c r="O387"/>
      <c r="P387"/>
      <c r="R387"/>
      <c r="S387"/>
      <c r="T387"/>
      <c r="U387"/>
      <c r="V387"/>
      <c r="W387"/>
      <c r="X387"/>
      <c r="Y387"/>
    </row>
    <row r="388" spans="2:25">
      <c r="B388"/>
      <c r="D388"/>
      <c r="E388"/>
      <c r="F388"/>
      <c r="G388"/>
      <c r="H388"/>
      <c r="I388"/>
      <c r="J388"/>
      <c r="K388"/>
      <c r="L388"/>
      <c r="M388"/>
      <c r="N388"/>
      <c r="O388"/>
      <c r="P388"/>
      <c r="R388"/>
      <c r="S388"/>
      <c r="T388"/>
      <c r="U388"/>
      <c r="V388"/>
      <c r="W388"/>
      <c r="X388"/>
      <c r="Y388"/>
    </row>
    <row r="389" spans="2:25">
      <c r="B389"/>
      <c r="D389"/>
      <c r="E389"/>
      <c r="F389"/>
      <c r="G389"/>
      <c r="H389"/>
      <c r="I389"/>
      <c r="J389"/>
      <c r="K389"/>
      <c r="L389"/>
      <c r="M389"/>
      <c r="N389"/>
      <c r="O389"/>
      <c r="P389"/>
      <c r="R389"/>
      <c r="S389"/>
      <c r="T389"/>
      <c r="U389"/>
      <c r="V389"/>
      <c r="W389"/>
      <c r="X389"/>
      <c r="Y389"/>
    </row>
    <row r="390" spans="2:25">
      <c r="B390"/>
      <c r="D390"/>
      <c r="E390"/>
      <c r="F390"/>
      <c r="G390"/>
      <c r="H390"/>
      <c r="I390"/>
      <c r="J390"/>
      <c r="K390"/>
      <c r="L390"/>
      <c r="M390"/>
      <c r="N390"/>
      <c r="O390"/>
      <c r="P390"/>
      <c r="R390"/>
      <c r="S390"/>
      <c r="T390"/>
      <c r="U390"/>
      <c r="V390"/>
      <c r="W390"/>
      <c r="X390"/>
      <c r="Y390"/>
    </row>
    <row r="391" spans="2:25">
      <c r="B391"/>
      <c r="D391"/>
      <c r="E391"/>
      <c r="F391"/>
      <c r="G391"/>
      <c r="H391"/>
      <c r="I391"/>
      <c r="J391"/>
      <c r="K391"/>
      <c r="L391"/>
      <c r="M391"/>
      <c r="N391"/>
      <c r="O391"/>
      <c r="P391"/>
      <c r="R391"/>
      <c r="S391"/>
      <c r="T391"/>
      <c r="U391"/>
      <c r="V391"/>
      <c r="W391"/>
      <c r="X391"/>
      <c r="Y391"/>
    </row>
    <row r="392" spans="2:25">
      <c r="B392"/>
      <c r="D392"/>
      <c r="E392"/>
      <c r="F392"/>
      <c r="G392"/>
      <c r="H392"/>
      <c r="I392"/>
      <c r="J392"/>
      <c r="K392"/>
      <c r="L392"/>
      <c r="M392"/>
      <c r="N392"/>
      <c r="O392"/>
      <c r="P392"/>
      <c r="R392"/>
      <c r="S392"/>
      <c r="T392"/>
      <c r="U392"/>
      <c r="V392"/>
      <c r="W392"/>
      <c r="X392"/>
      <c r="Y392"/>
    </row>
    <row r="393" spans="2:25">
      <c r="B393"/>
      <c r="D393"/>
      <c r="E393"/>
      <c r="F393"/>
      <c r="G393"/>
      <c r="H393"/>
      <c r="I393"/>
      <c r="J393"/>
      <c r="K393"/>
      <c r="L393"/>
      <c r="M393"/>
      <c r="N393"/>
      <c r="O393"/>
      <c r="P393"/>
      <c r="R393"/>
      <c r="S393"/>
      <c r="T393"/>
      <c r="U393"/>
      <c r="V393"/>
      <c r="W393"/>
      <c r="X393"/>
      <c r="Y393"/>
    </row>
    <row r="394" spans="2:25">
      <c r="B394"/>
      <c r="D394"/>
      <c r="E394"/>
      <c r="F394"/>
      <c r="G394"/>
      <c r="H394"/>
      <c r="I394"/>
      <c r="J394"/>
      <c r="K394"/>
      <c r="L394"/>
      <c r="M394"/>
      <c r="N394"/>
      <c r="O394"/>
      <c r="P394"/>
      <c r="R394"/>
      <c r="S394"/>
      <c r="T394"/>
      <c r="U394"/>
      <c r="V394"/>
      <c r="W394"/>
      <c r="X394"/>
      <c r="Y394"/>
    </row>
    <row r="395" spans="2:25">
      <c r="B395"/>
      <c r="D395"/>
      <c r="E395"/>
      <c r="F395"/>
      <c r="G395"/>
      <c r="H395"/>
      <c r="I395"/>
      <c r="J395"/>
      <c r="K395"/>
      <c r="L395"/>
      <c r="M395"/>
      <c r="N395"/>
      <c r="O395"/>
      <c r="P395"/>
      <c r="R395"/>
      <c r="S395"/>
      <c r="T395"/>
      <c r="U395"/>
      <c r="V395"/>
      <c r="W395"/>
      <c r="X395"/>
      <c r="Y395"/>
    </row>
    <row r="396" spans="2:25">
      <c r="B396"/>
      <c r="D396"/>
      <c r="E396"/>
      <c r="F396"/>
      <c r="G396"/>
      <c r="H396"/>
      <c r="I396"/>
      <c r="J396"/>
      <c r="K396"/>
      <c r="L396"/>
      <c r="M396"/>
      <c r="N396"/>
      <c r="O396"/>
      <c r="P396"/>
      <c r="R396"/>
      <c r="S396"/>
      <c r="T396"/>
      <c r="U396"/>
      <c r="V396"/>
      <c r="W396"/>
      <c r="X396"/>
      <c r="Y396"/>
    </row>
    <row r="397" spans="2:25">
      <c r="B397"/>
      <c r="D397"/>
      <c r="E397"/>
      <c r="F397"/>
      <c r="G397"/>
      <c r="H397"/>
      <c r="I397"/>
      <c r="J397"/>
      <c r="K397"/>
      <c r="L397"/>
      <c r="M397"/>
      <c r="N397"/>
      <c r="O397"/>
      <c r="P397"/>
      <c r="R397"/>
      <c r="S397"/>
      <c r="T397"/>
      <c r="U397"/>
      <c r="V397"/>
      <c r="W397"/>
      <c r="X397"/>
      <c r="Y397"/>
    </row>
    <row r="398" spans="2:25">
      <c r="B398"/>
      <c r="D398"/>
      <c r="E398"/>
      <c r="F398"/>
      <c r="G398"/>
      <c r="H398"/>
      <c r="I398"/>
      <c r="J398"/>
      <c r="K398"/>
      <c r="L398"/>
      <c r="M398"/>
      <c r="N398"/>
      <c r="O398"/>
      <c r="P398"/>
      <c r="R398"/>
      <c r="S398"/>
      <c r="T398"/>
      <c r="U398"/>
      <c r="V398"/>
      <c r="W398"/>
      <c r="X398"/>
      <c r="Y398"/>
    </row>
    <row r="399" spans="2:25">
      <c r="B399"/>
      <c r="D399"/>
      <c r="E399"/>
      <c r="F399"/>
      <c r="G399"/>
      <c r="H399"/>
      <c r="I399"/>
      <c r="J399"/>
      <c r="K399"/>
      <c r="L399"/>
      <c r="M399"/>
      <c r="N399"/>
      <c r="O399"/>
      <c r="P399"/>
      <c r="R399"/>
      <c r="S399"/>
      <c r="T399"/>
      <c r="U399"/>
      <c r="V399"/>
      <c r="W399"/>
      <c r="X399"/>
      <c r="Y399"/>
    </row>
    <row r="400" spans="2:25">
      <c r="B400"/>
      <c r="D400"/>
      <c r="E400"/>
      <c r="F400"/>
      <c r="G400"/>
      <c r="H400"/>
      <c r="I400"/>
      <c r="J400"/>
      <c r="K400"/>
      <c r="L400"/>
      <c r="M400"/>
      <c r="N400"/>
      <c r="O400"/>
      <c r="P400"/>
      <c r="R400"/>
      <c r="S400"/>
      <c r="T400"/>
      <c r="U400"/>
      <c r="V400"/>
      <c r="W400"/>
      <c r="X400"/>
      <c r="Y400"/>
    </row>
    <row r="401" spans="2:25">
      <c r="B401"/>
      <c r="D401"/>
      <c r="E401"/>
      <c r="F401"/>
      <c r="G401"/>
      <c r="H401"/>
      <c r="I401"/>
      <c r="J401"/>
      <c r="K401"/>
      <c r="L401"/>
      <c r="M401"/>
      <c r="N401"/>
      <c r="O401"/>
      <c r="P401"/>
      <c r="R401"/>
      <c r="S401"/>
      <c r="T401"/>
      <c r="U401"/>
      <c r="V401"/>
      <c r="W401"/>
      <c r="X401"/>
      <c r="Y401"/>
    </row>
    <row r="402" spans="2:25">
      <c r="B402"/>
      <c r="D402"/>
      <c r="E402"/>
      <c r="F402"/>
      <c r="G402"/>
      <c r="H402"/>
      <c r="I402"/>
      <c r="J402"/>
      <c r="K402"/>
      <c r="L402"/>
      <c r="M402"/>
      <c r="N402"/>
      <c r="O402"/>
      <c r="P402"/>
      <c r="R402"/>
      <c r="S402"/>
      <c r="T402"/>
      <c r="U402"/>
      <c r="V402"/>
      <c r="W402"/>
      <c r="X402"/>
      <c r="Y402"/>
    </row>
    <row r="403" spans="2:25">
      <c r="B403"/>
      <c r="D403"/>
      <c r="E403"/>
      <c r="F403"/>
      <c r="G403"/>
      <c r="H403"/>
      <c r="I403"/>
      <c r="J403"/>
      <c r="K403"/>
      <c r="L403"/>
      <c r="M403"/>
      <c r="N403"/>
      <c r="O403"/>
      <c r="P403"/>
      <c r="R403"/>
      <c r="S403"/>
      <c r="T403"/>
      <c r="U403"/>
      <c r="V403"/>
      <c r="W403"/>
      <c r="X403"/>
      <c r="Y403"/>
    </row>
    <row r="404" spans="2:25">
      <c r="B404"/>
      <c r="D404"/>
      <c r="E404"/>
      <c r="F404"/>
      <c r="G404"/>
      <c r="H404"/>
      <c r="I404"/>
      <c r="J404"/>
      <c r="K404"/>
      <c r="L404"/>
      <c r="M404"/>
      <c r="N404"/>
      <c r="O404"/>
      <c r="P404"/>
      <c r="R404"/>
      <c r="S404"/>
      <c r="T404"/>
      <c r="U404"/>
      <c r="V404"/>
      <c r="W404"/>
      <c r="X404"/>
      <c r="Y404"/>
    </row>
    <row r="405" spans="2:25">
      <c r="B405"/>
      <c r="D405"/>
      <c r="E405"/>
      <c r="F405"/>
      <c r="G405"/>
      <c r="H405"/>
      <c r="I405"/>
      <c r="J405"/>
      <c r="K405"/>
      <c r="L405"/>
      <c r="M405"/>
      <c r="N405"/>
      <c r="O405"/>
      <c r="P405"/>
      <c r="R405"/>
      <c r="S405"/>
      <c r="T405"/>
      <c r="U405"/>
      <c r="V405"/>
      <c r="W405"/>
      <c r="X405"/>
      <c r="Y405"/>
    </row>
    <row r="406" spans="2:25">
      <c r="B406"/>
      <c r="D406"/>
      <c r="E406"/>
      <c r="F406"/>
      <c r="G406"/>
      <c r="H406"/>
      <c r="I406"/>
      <c r="J406"/>
      <c r="K406"/>
      <c r="L406"/>
      <c r="M406"/>
      <c r="N406"/>
      <c r="O406"/>
      <c r="P406"/>
      <c r="R406"/>
      <c r="S406"/>
      <c r="T406"/>
      <c r="U406"/>
      <c r="V406"/>
      <c r="W406"/>
      <c r="X406"/>
      <c r="Y406"/>
    </row>
    <row r="407" spans="2:25">
      <c r="B407"/>
      <c r="D407"/>
      <c r="E407"/>
      <c r="F407"/>
      <c r="G407"/>
      <c r="H407"/>
      <c r="I407"/>
      <c r="J407"/>
      <c r="K407"/>
      <c r="L407"/>
      <c r="M407"/>
      <c r="N407"/>
      <c r="O407"/>
      <c r="P407"/>
      <c r="R407"/>
      <c r="S407"/>
      <c r="T407"/>
      <c r="U407"/>
      <c r="V407"/>
      <c r="W407"/>
      <c r="X407"/>
      <c r="Y407"/>
    </row>
    <row r="408" spans="2:25">
      <c r="B408"/>
      <c r="D408"/>
      <c r="E408"/>
      <c r="F408"/>
      <c r="G408"/>
      <c r="H408"/>
      <c r="I408"/>
      <c r="J408"/>
      <c r="K408"/>
      <c r="L408"/>
      <c r="M408"/>
      <c r="N408"/>
      <c r="O408"/>
      <c r="P408"/>
      <c r="R408"/>
      <c r="S408"/>
      <c r="T408"/>
      <c r="U408"/>
      <c r="V408"/>
      <c r="W408"/>
      <c r="X408"/>
      <c r="Y408"/>
    </row>
    <row r="409" spans="2:25">
      <c r="B409"/>
      <c r="D409"/>
      <c r="E409"/>
      <c r="F409"/>
      <c r="G409"/>
      <c r="H409"/>
      <c r="I409"/>
      <c r="J409"/>
      <c r="K409"/>
      <c r="L409"/>
      <c r="M409"/>
      <c r="N409"/>
      <c r="O409"/>
      <c r="P409"/>
      <c r="R409"/>
      <c r="S409"/>
      <c r="T409"/>
      <c r="U409"/>
      <c r="V409"/>
      <c r="W409"/>
      <c r="X409"/>
      <c r="Y409"/>
    </row>
    <row r="410" spans="2:25">
      <c r="B410"/>
      <c r="D410"/>
      <c r="E410"/>
      <c r="F410"/>
      <c r="G410"/>
      <c r="H410"/>
      <c r="I410"/>
      <c r="J410"/>
      <c r="K410"/>
      <c r="L410"/>
      <c r="M410"/>
      <c r="N410"/>
      <c r="O410"/>
      <c r="P410"/>
      <c r="R410"/>
      <c r="S410"/>
      <c r="T410"/>
      <c r="U410"/>
      <c r="V410"/>
      <c r="W410"/>
      <c r="X410"/>
      <c r="Y410"/>
    </row>
    <row r="411" spans="2:25">
      <c r="B411"/>
      <c r="D411"/>
      <c r="E411"/>
      <c r="F411"/>
      <c r="G411"/>
      <c r="H411"/>
      <c r="I411"/>
      <c r="J411"/>
      <c r="K411"/>
      <c r="L411"/>
      <c r="M411"/>
      <c r="N411"/>
      <c r="O411"/>
      <c r="P411"/>
      <c r="R411"/>
      <c r="S411"/>
      <c r="T411"/>
      <c r="U411"/>
      <c r="V411"/>
      <c r="W411"/>
      <c r="X411"/>
      <c r="Y411"/>
    </row>
    <row r="412" spans="2:25">
      <c r="B412"/>
      <c r="D412"/>
      <c r="E412"/>
      <c r="F412"/>
      <c r="G412"/>
      <c r="H412"/>
      <c r="I412"/>
      <c r="J412"/>
      <c r="K412"/>
      <c r="L412"/>
      <c r="M412"/>
      <c r="N412"/>
      <c r="O412"/>
      <c r="P412"/>
      <c r="R412"/>
      <c r="S412"/>
      <c r="T412"/>
      <c r="U412"/>
      <c r="V412"/>
      <c r="W412"/>
      <c r="X412"/>
      <c r="Y412"/>
    </row>
    <row r="413" spans="2:25">
      <c r="B413"/>
      <c r="D413"/>
      <c r="E413"/>
      <c r="F413"/>
      <c r="G413"/>
      <c r="H413"/>
      <c r="I413"/>
      <c r="J413"/>
      <c r="K413"/>
      <c r="L413"/>
      <c r="M413"/>
      <c r="N413"/>
      <c r="O413"/>
      <c r="P413"/>
      <c r="R413"/>
      <c r="S413"/>
      <c r="T413"/>
      <c r="U413"/>
      <c r="V413"/>
      <c r="W413"/>
      <c r="X413"/>
      <c r="Y413"/>
    </row>
    <row r="414" spans="2:25">
      <c r="B414"/>
      <c r="D414"/>
      <c r="E414"/>
      <c r="F414"/>
      <c r="G414"/>
      <c r="H414"/>
      <c r="I414"/>
      <c r="J414"/>
      <c r="K414"/>
      <c r="L414"/>
      <c r="M414"/>
      <c r="N414"/>
      <c r="O414"/>
      <c r="P414"/>
      <c r="R414"/>
      <c r="S414"/>
      <c r="T414"/>
      <c r="U414"/>
      <c r="V414"/>
      <c r="W414"/>
      <c r="X414"/>
      <c r="Y414"/>
    </row>
    <row r="415" spans="2:25">
      <c r="B415"/>
      <c r="D415"/>
      <c r="E415"/>
      <c r="F415"/>
      <c r="G415"/>
      <c r="H415"/>
      <c r="I415"/>
      <c r="J415"/>
      <c r="K415"/>
      <c r="L415"/>
      <c r="M415"/>
      <c r="N415"/>
      <c r="O415"/>
      <c r="P415"/>
      <c r="R415"/>
      <c r="S415"/>
      <c r="T415"/>
      <c r="U415"/>
      <c r="V415"/>
      <c r="W415"/>
      <c r="X415"/>
      <c r="Y415"/>
    </row>
    <row r="416" spans="2:25">
      <c r="B416"/>
      <c r="D416"/>
      <c r="E416"/>
      <c r="F416"/>
      <c r="G416"/>
      <c r="H416"/>
      <c r="I416"/>
      <c r="J416"/>
      <c r="K416"/>
      <c r="L416"/>
      <c r="M416"/>
      <c r="N416"/>
      <c r="O416"/>
      <c r="P416"/>
      <c r="R416"/>
      <c r="S416"/>
      <c r="T416"/>
      <c r="U416"/>
      <c r="V416"/>
      <c r="W416"/>
      <c r="X416"/>
      <c r="Y416"/>
    </row>
    <row r="417" spans="2:25">
      <c r="B417"/>
      <c r="D417"/>
      <c r="E417"/>
      <c r="F417"/>
      <c r="G417"/>
      <c r="H417"/>
      <c r="I417"/>
      <c r="J417"/>
      <c r="K417"/>
      <c r="L417"/>
      <c r="M417"/>
      <c r="N417"/>
      <c r="O417"/>
      <c r="P417"/>
      <c r="R417"/>
      <c r="S417"/>
      <c r="T417"/>
      <c r="U417"/>
      <c r="V417"/>
      <c r="W417"/>
      <c r="X417"/>
      <c r="Y417"/>
    </row>
    <row r="418" spans="2:25">
      <c r="B418"/>
      <c r="D418"/>
      <c r="E418"/>
      <c r="F418"/>
      <c r="G418"/>
      <c r="H418"/>
      <c r="I418"/>
      <c r="J418"/>
      <c r="K418"/>
      <c r="L418"/>
      <c r="M418"/>
      <c r="N418"/>
      <c r="O418"/>
      <c r="P418"/>
      <c r="R418"/>
      <c r="S418"/>
      <c r="T418"/>
      <c r="U418"/>
      <c r="V418"/>
      <c r="W418"/>
      <c r="X418"/>
      <c r="Y418"/>
    </row>
    <row r="419" spans="2:25">
      <c r="B419"/>
      <c r="D419"/>
      <c r="E419"/>
      <c r="F419"/>
      <c r="G419"/>
      <c r="H419"/>
      <c r="I419"/>
      <c r="J419"/>
      <c r="K419"/>
      <c r="L419"/>
      <c r="M419"/>
      <c r="N419"/>
      <c r="O419"/>
      <c r="P419"/>
      <c r="R419"/>
      <c r="S419"/>
      <c r="T419"/>
      <c r="U419"/>
      <c r="V419"/>
      <c r="W419"/>
      <c r="X419"/>
      <c r="Y419"/>
    </row>
    <row r="420" spans="2:25">
      <c r="B420"/>
      <c r="D420"/>
      <c r="E420"/>
      <c r="F420"/>
      <c r="G420"/>
      <c r="H420"/>
      <c r="I420"/>
      <c r="J420"/>
      <c r="K420"/>
      <c r="L420"/>
      <c r="M420"/>
      <c r="N420"/>
      <c r="O420"/>
      <c r="P420"/>
      <c r="R420"/>
      <c r="S420"/>
      <c r="T420"/>
      <c r="U420"/>
      <c r="V420"/>
      <c r="W420"/>
      <c r="X420"/>
      <c r="Y420"/>
    </row>
    <row r="421" spans="2:25">
      <c r="B421"/>
      <c r="D421"/>
      <c r="E421"/>
      <c r="F421"/>
      <c r="G421"/>
      <c r="H421"/>
      <c r="I421"/>
      <c r="J421"/>
      <c r="K421"/>
      <c r="L421"/>
      <c r="M421"/>
      <c r="N421"/>
      <c r="O421"/>
      <c r="P421"/>
      <c r="R421"/>
      <c r="S421"/>
      <c r="T421"/>
      <c r="U421"/>
      <c r="V421"/>
      <c r="W421"/>
      <c r="X421"/>
      <c r="Y421"/>
    </row>
    <row r="422" spans="2:25">
      <c r="B422"/>
      <c r="D422"/>
      <c r="E422"/>
      <c r="F422"/>
      <c r="G422"/>
      <c r="H422"/>
      <c r="I422"/>
      <c r="J422"/>
      <c r="K422"/>
      <c r="L422"/>
      <c r="M422"/>
      <c r="N422"/>
      <c r="O422"/>
      <c r="P422"/>
      <c r="R422"/>
      <c r="S422"/>
      <c r="T422"/>
      <c r="U422"/>
      <c r="V422"/>
      <c r="W422"/>
      <c r="X422"/>
      <c r="Y422"/>
    </row>
    <row r="423" spans="2:25">
      <c r="B423"/>
      <c r="D423"/>
      <c r="E423"/>
      <c r="F423"/>
      <c r="G423"/>
      <c r="H423"/>
      <c r="I423"/>
      <c r="J423"/>
      <c r="K423"/>
      <c r="L423"/>
      <c r="M423"/>
      <c r="N423"/>
      <c r="O423"/>
      <c r="P423"/>
      <c r="R423"/>
      <c r="S423"/>
      <c r="T423"/>
      <c r="U423"/>
      <c r="V423"/>
      <c r="W423"/>
      <c r="X423"/>
      <c r="Y423"/>
    </row>
    <row r="424" spans="2:25">
      <c r="B424"/>
      <c r="D424"/>
      <c r="E424"/>
      <c r="F424"/>
      <c r="G424"/>
      <c r="H424"/>
      <c r="I424"/>
      <c r="J424"/>
      <c r="K424"/>
      <c r="L424"/>
      <c r="M424"/>
      <c r="N424"/>
      <c r="O424"/>
      <c r="P424"/>
      <c r="R424"/>
      <c r="S424"/>
      <c r="T424"/>
      <c r="U424"/>
      <c r="V424"/>
      <c r="W424"/>
      <c r="X424"/>
      <c r="Y424"/>
    </row>
    <row r="425" spans="2:25">
      <c r="B425"/>
      <c r="D425"/>
      <c r="E425"/>
      <c r="F425"/>
      <c r="G425"/>
      <c r="H425"/>
      <c r="I425"/>
      <c r="J425"/>
      <c r="K425"/>
      <c r="L425"/>
      <c r="M425"/>
      <c r="N425"/>
      <c r="O425"/>
      <c r="P425"/>
      <c r="R425"/>
      <c r="S425"/>
      <c r="T425"/>
      <c r="U425"/>
      <c r="V425"/>
      <c r="W425"/>
      <c r="X425"/>
      <c r="Y425"/>
    </row>
    <row r="426" spans="2:25">
      <c r="B426"/>
      <c r="D426"/>
      <c r="E426"/>
      <c r="F426"/>
      <c r="G426"/>
      <c r="H426"/>
      <c r="I426"/>
      <c r="J426"/>
      <c r="K426"/>
      <c r="L426"/>
      <c r="M426"/>
      <c r="N426"/>
      <c r="O426"/>
      <c r="P426"/>
      <c r="R426"/>
      <c r="S426"/>
      <c r="T426"/>
      <c r="U426"/>
      <c r="V426"/>
      <c r="W426"/>
      <c r="X426"/>
      <c r="Y426"/>
    </row>
    <row r="427" spans="2:25">
      <c r="B427"/>
      <c r="D427"/>
      <c r="E427"/>
      <c r="F427"/>
      <c r="G427"/>
      <c r="H427"/>
      <c r="I427"/>
      <c r="J427"/>
      <c r="K427"/>
      <c r="L427"/>
      <c r="M427"/>
      <c r="N427"/>
      <c r="O427"/>
      <c r="P427"/>
      <c r="R427"/>
      <c r="S427"/>
      <c r="T427"/>
      <c r="U427"/>
      <c r="V427"/>
      <c r="W427"/>
      <c r="X427"/>
      <c r="Y427"/>
    </row>
    <row r="428" spans="2:25">
      <c r="B428"/>
      <c r="D428"/>
      <c r="E428"/>
      <c r="F428"/>
      <c r="G428"/>
      <c r="H428"/>
      <c r="I428"/>
      <c r="J428"/>
      <c r="K428"/>
      <c r="L428"/>
      <c r="M428"/>
      <c r="N428"/>
      <c r="O428"/>
      <c r="P428"/>
      <c r="R428"/>
      <c r="S428"/>
      <c r="T428"/>
      <c r="U428"/>
      <c r="V428"/>
      <c r="W428"/>
      <c r="X428"/>
      <c r="Y428"/>
    </row>
    <row r="429" spans="2:25">
      <c r="B429"/>
      <c r="D429"/>
      <c r="E429"/>
      <c r="F429"/>
      <c r="G429"/>
      <c r="H429"/>
      <c r="I429"/>
      <c r="J429"/>
      <c r="K429"/>
      <c r="L429"/>
      <c r="M429"/>
      <c r="N429"/>
      <c r="O429"/>
      <c r="P429"/>
      <c r="R429"/>
      <c r="S429"/>
      <c r="T429"/>
      <c r="U429"/>
      <c r="V429"/>
      <c r="W429"/>
      <c r="X429"/>
      <c r="Y429"/>
    </row>
    <row r="430" spans="2:25">
      <c r="B430"/>
      <c r="D430"/>
      <c r="E430"/>
      <c r="F430"/>
      <c r="G430"/>
      <c r="H430"/>
      <c r="I430"/>
      <c r="J430"/>
      <c r="K430"/>
      <c r="L430"/>
      <c r="M430"/>
      <c r="N430"/>
      <c r="O430"/>
      <c r="P430"/>
      <c r="R430"/>
      <c r="S430"/>
      <c r="T430"/>
      <c r="U430"/>
      <c r="V430"/>
      <c r="W430"/>
      <c r="X430"/>
      <c r="Y430"/>
    </row>
    <row r="431" spans="2:25">
      <c r="B431"/>
      <c r="D431"/>
      <c r="E431"/>
      <c r="F431"/>
      <c r="G431"/>
      <c r="H431"/>
      <c r="I431"/>
      <c r="J431"/>
      <c r="K431"/>
      <c r="L431"/>
      <c r="M431"/>
      <c r="N431"/>
      <c r="O431"/>
      <c r="P431"/>
      <c r="R431"/>
      <c r="S431"/>
      <c r="T431"/>
      <c r="U431"/>
      <c r="V431"/>
      <c r="W431"/>
      <c r="X431"/>
      <c r="Y431"/>
    </row>
    <row r="432" spans="2:25">
      <c r="B432"/>
      <c r="D432"/>
      <c r="E432"/>
      <c r="F432"/>
      <c r="G432"/>
      <c r="H432"/>
      <c r="I432"/>
      <c r="J432"/>
      <c r="K432"/>
      <c r="L432"/>
      <c r="M432"/>
      <c r="N432"/>
      <c r="O432"/>
      <c r="P432"/>
      <c r="R432"/>
      <c r="S432"/>
      <c r="T432"/>
      <c r="U432"/>
      <c r="V432"/>
      <c r="W432"/>
      <c r="X432"/>
      <c r="Y432"/>
    </row>
    <row r="433" spans="2:25">
      <c r="B433"/>
      <c r="D433"/>
      <c r="E433"/>
      <c r="F433"/>
      <c r="G433"/>
      <c r="H433"/>
      <c r="I433"/>
      <c r="J433"/>
      <c r="K433"/>
      <c r="L433"/>
      <c r="M433"/>
      <c r="N433"/>
      <c r="O433"/>
      <c r="P433"/>
      <c r="R433"/>
      <c r="S433"/>
      <c r="T433"/>
      <c r="U433"/>
      <c r="V433"/>
      <c r="W433"/>
      <c r="X433"/>
      <c r="Y433"/>
    </row>
    <row r="434" spans="2:25">
      <c r="B434"/>
      <c r="D434"/>
      <c r="E434"/>
      <c r="F434"/>
      <c r="G434"/>
      <c r="H434"/>
      <c r="I434"/>
      <c r="J434"/>
      <c r="K434"/>
      <c r="L434"/>
      <c r="M434"/>
      <c r="N434"/>
      <c r="O434"/>
      <c r="P434"/>
      <c r="R434"/>
      <c r="S434"/>
      <c r="T434"/>
      <c r="U434"/>
      <c r="V434"/>
      <c r="W434"/>
      <c r="X434"/>
      <c r="Y434"/>
    </row>
    <row r="435" spans="2:25">
      <c r="B435"/>
      <c r="D435"/>
      <c r="E435"/>
      <c r="F435"/>
      <c r="G435"/>
      <c r="H435"/>
      <c r="I435"/>
      <c r="J435"/>
      <c r="K435"/>
      <c r="L435"/>
      <c r="M435"/>
      <c r="N435"/>
      <c r="O435"/>
      <c r="P435"/>
      <c r="R435"/>
      <c r="S435"/>
      <c r="T435"/>
      <c r="U435"/>
      <c r="V435"/>
      <c r="W435"/>
      <c r="X435"/>
      <c r="Y435"/>
    </row>
    <row r="436" spans="2:25">
      <c r="B436"/>
      <c r="D436"/>
      <c r="E436"/>
      <c r="F436"/>
      <c r="G436"/>
      <c r="H436"/>
      <c r="I436"/>
      <c r="J436"/>
      <c r="K436"/>
      <c r="L436"/>
      <c r="M436"/>
      <c r="N436"/>
      <c r="O436"/>
      <c r="P436"/>
      <c r="R436"/>
      <c r="S436"/>
      <c r="T436"/>
      <c r="U436"/>
      <c r="V436"/>
      <c r="W436"/>
      <c r="X436"/>
      <c r="Y436"/>
    </row>
    <row r="437" spans="2:25">
      <c r="B437"/>
      <c r="D437"/>
      <c r="E437"/>
      <c r="F437"/>
      <c r="G437"/>
      <c r="H437"/>
      <c r="I437"/>
      <c r="J437"/>
      <c r="K437"/>
      <c r="L437"/>
      <c r="M437"/>
      <c r="N437"/>
      <c r="O437"/>
      <c r="P437"/>
      <c r="R437"/>
      <c r="S437"/>
      <c r="T437"/>
      <c r="U437"/>
      <c r="V437"/>
      <c r="W437"/>
      <c r="X437"/>
      <c r="Y437"/>
    </row>
    <row r="438" spans="2:25">
      <c r="B438"/>
      <c r="D438"/>
      <c r="E438"/>
      <c r="F438"/>
      <c r="G438"/>
      <c r="H438"/>
      <c r="I438"/>
      <c r="J438"/>
      <c r="K438"/>
      <c r="L438"/>
      <c r="M438"/>
      <c r="N438"/>
      <c r="O438"/>
      <c r="P438"/>
      <c r="R438"/>
      <c r="S438"/>
      <c r="T438"/>
      <c r="U438"/>
      <c r="V438"/>
      <c r="W438"/>
      <c r="X438"/>
      <c r="Y438"/>
    </row>
    <row r="439" spans="2:25">
      <c r="B439"/>
      <c r="D439"/>
      <c r="E439"/>
      <c r="F439"/>
      <c r="G439"/>
      <c r="H439"/>
      <c r="I439"/>
      <c r="J439"/>
      <c r="K439"/>
      <c r="L439"/>
      <c r="M439"/>
      <c r="N439"/>
      <c r="O439"/>
      <c r="P439"/>
      <c r="R439"/>
      <c r="S439"/>
      <c r="T439"/>
      <c r="U439"/>
      <c r="V439"/>
      <c r="W439"/>
      <c r="X439"/>
      <c r="Y439"/>
    </row>
    <row r="440" spans="2:25">
      <c r="B440"/>
      <c r="D440"/>
      <c r="E440"/>
      <c r="F440"/>
      <c r="G440"/>
      <c r="H440"/>
      <c r="I440"/>
      <c r="J440"/>
      <c r="K440"/>
      <c r="L440"/>
      <c r="M440"/>
      <c r="N440"/>
      <c r="O440"/>
      <c r="P440"/>
      <c r="R440"/>
      <c r="S440"/>
      <c r="T440"/>
      <c r="U440"/>
      <c r="V440"/>
      <c r="W440"/>
      <c r="X440"/>
      <c r="Y440"/>
    </row>
    <row r="441" spans="2:25">
      <c r="B441"/>
      <c r="D441"/>
      <c r="E441"/>
      <c r="F441"/>
      <c r="G441"/>
      <c r="H441"/>
      <c r="I441"/>
      <c r="J441"/>
      <c r="K441"/>
      <c r="L441"/>
      <c r="M441"/>
      <c r="N441"/>
      <c r="O441"/>
      <c r="P441"/>
      <c r="R441"/>
      <c r="S441"/>
      <c r="T441"/>
      <c r="U441"/>
      <c r="V441"/>
      <c r="W441"/>
      <c r="X441"/>
      <c r="Y441"/>
    </row>
    <row r="442" spans="2:25">
      <c r="B442"/>
      <c r="D442"/>
      <c r="E442"/>
      <c r="F442"/>
      <c r="G442"/>
      <c r="H442"/>
      <c r="I442"/>
      <c r="J442"/>
      <c r="K442"/>
      <c r="L442"/>
      <c r="M442"/>
      <c r="N442"/>
      <c r="O442"/>
      <c r="P442"/>
      <c r="R442"/>
      <c r="S442"/>
      <c r="T442"/>
      <c r="U442"/>
      <c r="V442"/>
      <c r="W442"/>
      <c r="X442"/>
      <c r="Y442"/>
    </row>
    <row r="443" spans="2:25">
      <c r="B443"/>
      <c r="D443"/>
      <c r="E443"/>
      <c r="F443"/>
      <c r="G443"/>
      <c r="H443"/>
      <c r="I443"/>
      <c r="J443"/>
      <c r="K443"/>
      <c r="L443"/>
      <c r="M443"/>
      <c r="N443"/>
      <c r="O443"/>
      <c r="P443"/>
      <c r="R443"/>
      <c r="S443"/>
      <c r="T443"/>
      <c r="U443"/>
      <c r="V443"/>
      <c r="W443"/>
      <c r="X443"/>
      <c r="Y443"/>
    </row>
    <row r="444" spans="2:25">
      <c r="B444"/>
      <c r="D444"/>
      <c r="E444"/>
      <c r="F444"/>
      <c r="G444"/>
      <c r="H444"/>
      <c r="I444"/>
      <c r="J444"/>
      <c r="K444"/>
      <c r="L444"/>
      <c r="M444"/>
      <c r="N444"/>
      <c r="O444"/>
      <c r="P444"/>
      <c r="R444"/>
      <c r="S444"/>
      <c r="T444"/>
      <c r="U444"/>
      <c r="V444"/>
      <c r="W444"/>
      <c r="X444"/>
      <c r="Y444"/>
    </row>
    <row r="445" spans="2:25">
      <c r="B445"/>
      <c r="D445"/>
      <c r="E445"/>
      <c r="F445"/>
      <c r="G445"/>
      <c r="H445"/>
      <c r="I445"/>
      <c r="J445"/>
      <c r="K445"/>
      <c r="L445"/>
      <c r="M445"/>
      <c r="N445"/>
      <c r="O445"/>
      <c r="P445"/>
      <c r="R445"/>
      <c r="S445"/>
      <c r="T445"/>
      <c r="U445"/>
      <c r="V445"/>
      <c r="W445"/>
      <c r="X445"/>
      <c r="Y445"/>
    </row>
    <row r="446" spans="2:25">
      <c r="B446"/>
      <c r="D446"/>
      <c r="E446"/>
      <c r="F446"/>
      <c r="G446"/>
      <c r="H446"/>
      <c r="I446"/>
      <c r="J446"/>
      <c r="K446"/>
      <c r="L446"/>
      <c r="M446"/>
      <c r="N446"/>
      <c r="O446"/>
      <c r="P446"/>
      <c r="R446"/>
      <c r="S446"/>
      <c r="T446"/>
      <c r="U446"/>
      <c r="V446"/>
      <c r="W446"/>
      <c r="X446"/>
      <c r="Y446"/>
    </row>
    <row r="447" spans="2:25">
      <c r="B447"/>
      <c r="D447"/>
      <c r="E447"/>
      <c r="F447"/>
      <c r="G447"/>
      <c r="H447"/>
      <c r="I447"/>
      <c r="J447"/>
      <c r="K447"/>
      <c r="L447"/>
      <c r="M447"/>
      <c r="N447"/>
      <c r="O447"/>
      <c r="P447"/>
      <c r="R447"/>
      <c r="S447"/>
      <c r="T447"/>
      <c r="U447"/>
      <c r="V447"/>
      <c r="W447"/>
      <c r="X447"/>
      <c r="Y447"/>
    </row>
    <row r="448" spans="2:25">
      <c r="B448"/>
      <c r="D448"/>
      <c r="E448"/>
      <c r="F448"/>
      <c r="G448"/>
      <c r="H448"/>
      <c r="I448"/>
      <c r="J448"/>
      <c r="K448"/>
      <c r="L448"/>
      <c r="M448"/>
      <c r="N448"/>
      <c r="O448"/>
      <c r="P448"/>
      <c r="R448"/>
      <c r="S448"/>
      <c r="T448"/>
      <c r="U448"/>
      <c r="V448"/>
      <c r="W448"/>
      <c r="X448"/>
      <c r="Y448"/>
    </row>
    <row r="449" spans="2:25">
      <c r="B449"/>
      <c r="D449"/>
      <c r="E449"/>
      <c r="F449"/>
      <c r="G449"/>
      <c r="H449"/>
      <c r="I449"/>
      <c r="J449"/>
      <c r="K449"/>
      <c r="L449"/>
      <c r="M449"/>
      <c r="N449"/>
      <c r="O449"/>
      <c r="P449"/>
      <c r="R449"/>
      <c r="S449"/>
      <c r="T449"/>
      <c r="U449"/>
      <c r="V449"/>
      <c r="W449"/>
      <c r="X449"/>
      <c r="Y449"/>
    </row>
    <row r="450" spans="2:25">
      <c r="B450"/>
      <c r="D450"/>
      <c r="E450"/>
      <c r="F450"/>
      <c r="G450"/>
      <c r="H450"/>
      <c r="I450"/>
      <c r="J450"/>
      <c r="K450"/>
      <c r="L450"/>
      <c r="M450"/>
      <c r="N450"/>
      <c r="O450"/>
      <c r="P450"/>
      <c r="R450"/>
      <c r="S450"/>
      <c r="T450"/>
      <c r="U450"/>
      <c r="V450"/>
      <c r="W450"/>
      <c r="X450"/>
      <c r="Y450"/>
    </row>
    <row r="451" spans="2:25">
      <c r="B451"/>
      <c r="D451"/>
      <c r="E451"/>
      <c r="F451"/>
      <c r="G451"/>
      <c r="H451"/>
      <c r="I451"/>
      <c r="J451"/>
      <c r="K451"/>
      <c r="L451"/>
      <c r="M451"/>
      <c r="N451"/>
      <c r="O451"/>
      <c r="P451"/>
      <c r="R451"/>
      <c r="S451"/>
      <c r="T451"/>
      <c r="U451"/>
      <c r="V451"/>
      <c r="W451"/>
      <c r="X451"/>
      <c r="Y451"/>
    </row>
    <row r="452" spans="2:25">
      <c r="B452"/>
      <c r="D452"/>
      <c r="E452"/>
      <c r="F452"/>
      <c r="G452"/>
      <c r="H452"/>
      <c r="I452"/>
      <c r="J452"/>
      <c r="K452"/>
      <c r="L452"/>
      <c r="M452"/>
      <c r="N452"/>
      <c r="O452"/>
      <c r="P452"/>
      <c r="R452"/>
      <c r="S452"/>
      <c r="T452"/>
      <c r="U452"/>
      <c r="V452"/>
      <c r="W452"/>
      <c r="X452"/>
      <c r="Y452"/>
    </row>
    <row r="453" spans="2:25">
      <c r="B453"/>
      <c r="D453"/>
      <c r="E453"/>
      <c r="F453"/>
      <c r="G453"/>
      <c r="H453"/>
      <c r="I453"/>
      <c r="J453"/>
      <c r="K453"/>
      <c r="L453"/>
      <c r="M453"/>
      <c r="N453"/>
      <c r="O453"/>
      <c r="P453"/>
      <c r="R453"/>
      <c r="S453"/>
      <c r="T453"/>
      <c r="U453"/>
      <c r="V453"/>
      <c r="W453"/>
      <c r="X453"/>
      <c r="Y453"/>
    </row>
    <row r="454" spans="2:25">
      <c r="B454"/>
      <c r="D454"/>
      <c r="E454"/>
      <c r="F454"/>
      <c r="G454"/>
      <c r="H454"/>
      <c r="I454"/>
      <c r="J454"/>
      <c r="K454"/>
      <c r="L454"/>
      <c r="M454"/>
      <c r="N454"/>
      <c r="O454"/>
      <c r="P454"/>
      <c r="R454"/>
      <c r="S454"/>
      <c r="T454"/>
      <c r="U454"/>
      <c r="V454"/>
      <c r="W454"/>
      <c r="X454"/>
      <c r="Y454"/>
    </row>
    <row r="455" spans="2:25">
      <c r="B455"/>
      <c r="D455"/>
      <c r="E455"/>
      <c r="F455"/>
      <c r="G455"/>
      <c r="H455"/>
      <c r="I455"/>
      <c r="J455"/>
      <c r="K455"/>
      <c r="L455"/>
      <c r="M455"/>
      <c r="N455"/>
      <c r="O455"/>
      <c r="P455"/>
      <c r="R455"/>
      <c r="S455"/>
      <c r="T455"/>
      <c r="U455"/>
      <c r="V455"/>
      <c r="W455"/>
      <c r="X455"/>
      <c r="Y455"/>
    </row>
    <row r="456" spans="2:25">
      <c r="B456"/>
      <c r="D456"/>
      <c r="E456"/>
      <c r="F456"/>
      <c r="G456"/>
      <c r="H456"/>
      <c r="I456"/>
      <c r="J456"/>
      <c r="K456"/>
      <c r="L456"/>
      <c r="M456"/>
      <c r="N456"/>
      <c r="O456"/>
      <c r="P456"/>
      <c r="R456"/>
      <c r="S456"/>
      <c r="T456"/>
      <c r="U456"/>
      <c r="V456"/>
      <c r="W456"/>
      <c r="X456"/>
      <c r="Y456"/>
    </row>
    <row r="457" spans="2:25">
      <c r="B457"/>
      <c r="D457"/>
      <c r="E457"/>
      <c r="F457"/>
      <c r="G457"/>
      <c r="H457"/>
      <c r="I457"/>
      <c r="J457"/>
      <c r="K457"/>
      <c r="L457"/>
      <c r="M457"/>
      <c r="N457"/>
      <c r="O457"/>
      <c r="P457"/>
      <c r="R457"/>
      <c r="S457"/>
      <c r="T457"/>
      <c r="U457"/>
      <c r="V457"/>
      <c r="W457"/>
      <c r="X457"/>
      <c r="Y457"/>
    </row>
    <row r="458" spans="2:25">
      <c r="B458"/>
      <c r="D458"/>
      <c r="E458"/>
      <c r="F458"/>
      <c r="G458"/>
      <c r="H458"/>
      <c r="I458"/>
      <c r="J458"/>
      <c r="K458"/>
      <c r="L458"/>
      <c r="M458"/>
      <c r="N458"/>
      <c r="O458"/>
      <c r="P458"/>
      <c r="R458"/>
      <c r="S458"/>
      <c r="T458"/>
      <c r="U458"/>
      <c r="V458"/>
      <c r="W458"/>
      <c r="X458"/>
      <c r="Y458"/>
    </row>
    <row r="459" spans="2:25">
      <c r="B459"/>
      <c r="D459"/>
      <c r="E459"/>
      <c r="F459"/>
      <c r="G459"/>
      <c r="H459"/>
      <c r="I459"/>
      <c r="J459"/>
      <c r="K459"/>
      <c r="L459"/>
      <c r="M459"/>
      <c r="N459"/>
      <c r="O459"/>
      <c r="P459"/>
      <c r="R459"/>
      <c r="S459"/>
      <c r="T459"/>
      <c r="U459"/>
      <c r="V459"/>
      <c r="W459"/>
      <c r="X459"/>
      <c r="Y459"/>
    </row>
    <row r="460" spans="2:25">
      <c r="B460"/>
      <c r="D460"/>
      <c r="E460"/>
      <c r="F460"/>
      <c r="G460"/>
      <c r="H460"/>
      <c r="I460"/>
      <c r="J460"/>
      <c r="K460"/>
      <c r="L460"/>
      <c r="M460"/>
      <c r="N460"/>
      <c r="O460"/>
      <c r="P460"/>
      <c r="R460"/>
      <c r="S460"/>
      <c r="T460"/>
      <c r="U460"/>
      <c r="V460"/>
      <c r="W460"/>
      <c r="X460"/>
      <c r="Y460"/>
    </row>
    <row r="461" spans="2:25">
      <c r="B461"/>
      <c r="D461"/>
      <c r="E461"/>
      <c r="F461"/>
      <c r="G461"/>
      <c r="H461"/>
      <c r="I461"/>
      <c r="J461"/>
      <c r="K461"/>
      <c r="L461"/>
      <c r="M461"/>
      <c r="N461"/>
      <c r="O461"/>
      <c r="P461"/>
      <c r="R461"/>
      <c r="S461"/>
      <c r="T461"/>
      <c r="U461"/>
      <c r="V461"/>
      <c r="W461"/>
      <c r="X461"/>
      <c r="Y461"/>
    </row>
    <row r="462" spans="2:25">
      <c r="B462"/>
      <c r="D462"/>
      <c r="E462"/>
      <c r="F462"/>
      <c r="G462"/>
      <c r="H462"/>
      <c r="I462"/>
      <c r="J462"/>
      <c r="K462"/>
      <c r="L462"/>
      <c r="M462"/>
      <c r="N462"/>
      <c r="O462"/>
      <c r="P462"/>
      <c r="R462"/>
      <c r="S462"/>
      <c r="T462"/>
      <c r="U462"/>
      <c r="V462"/>
      <c r="W462"/>
      <c r="X462"/>
      <c r="Y462"/>
    </row>
    <row r="463" spans="2:25">
      <c r="B463"/>
      <c r="D463"/>
      <c r="E463"/>
      <c r="F463"/>
      <c r="G463"/>
      <c r="H463"/>
      <c r="I463"/>
      <c r="J463"/>
      <c r="K463"/>
      <c r="L463"/>
      <c r="M463"/>
      <c r="N463"/>
      <c r="O463"/>
      <c r="P463"/>
      <c r="R463"/>
      <c r="S463"/>
      <c r="T463"/>
      <c r="U463"/>
      <c r="V463"/>
      <c r="W463"/>
      <c r="X463"/>
      <c r="Y463"/>
    </row>
    <row r="464" spans="2:25">
      <c r="B464"/>
      <c r="D464"/>
      <c r="E464"/>
      <c r="F464"/>
      <c r="G464"/>
      <c r="H464"/>
      <c r="I464"/>
      <c r="J464"/>
      <c r="K464"/>
      <c r="L464"/>
      <c r="M464"/>
      <c r="N464"/>
      <c r="O464"/>
      <c r="P464"/>
      <c r="R464"/>
      <c r="S464"/>
      <c r="T464"/>
      <c r="U464"/>
      <c r="V464"/>
      <c r="W464"/>
      <c r="X464"/>
      <c r="Y464"/>
    </row>
    <row r="465" spans="2:25">
      <c r="B465"/>
      <c r="D465"/>
      <c r="E465"/>
      <c r="F465"/>
      <c r="G465"/>
      <c r="H465"/>
      <c r="I465"/>
      <c r="J465"/>
      <c r="K465"/>
      <c r="L465"/>
      <c r="M465"/>
      <c r="N465"/>
      <c r="O465"/>
      <c r="P465"/>
      <c r="R465"/>
      <c r="S465"/>
      <c r="T465"/>
      <c r="U465"/>
      <c r="V465"/>
      <c r="W465"/>
      <c r="X465"/>
      <c r="Y465"/>
    </row>
    <row r="466" spans="2:25">
      <c r="B466"/>
      <c r="D466"/>
      <c r="E466"/>
      <c r="F466"/>
      <c r="G466"/>
      <c r="H466"/>
      <c r="I466"/>
      <c r="J466"/>
      <c r="K466"/>
      <c r="L466"/>
      <c r="M466"/>
      <c r="N466"/>
      <c r="O466"/>
      <c r="P466"/>
      <c r="R466"/>
      <c r="S466"/>
      <c r="T466"/>
      <c r="U466"/>
      <c r="V466"/>
      <c r="W466"/>
      <c r="X466"/>
      <c r="Y466"/>
    </row>
    <row r="467" spans="2:25">
      <c r="B467"/>
      <c r="D467"/>
      <c r="E467"/>
      <c r="F467"/>
      <c r="G467"/>
      <c r="H467"/>
      <c r="I467"/>
      <c r="J467"/>
      <c r="K467"/>
      <c r="L467"/>
      <c r="M467"/>
      <c r="N467"/>
      <c r="O467"/>
      <c r="P467"/>
      <c r="R467"/>
      <c r="S467"/>
      <c r="T467"/>
      <c r="U467"/>
      <c r="V467"/>
      <c r="W467"/>
      <c r="X467"/>
      <c r="Y467"/>
    </row>
    <row r="468" spans="2:25">
      <c r="B468"/>
      <c r="D468"/>
      <c r="E468"/>
      <c r="F468"/>
      <c r="G468"/>
      <c r="H468"/>
      <c r="I468"/>
      <c r="J468"/>
      <c r="K468"/>
      <c r="L468"/>
      <c r="M468"/>
      <c r="N468"/>
      <c r="O468"/>
      <c r="P468"/>
      <c r="R468"/>
      <c r="S468"/>
      <c r="T468"/>
      <c r="U468"/>
      <c r="V468"/>
      <c r="W468"/>
      <c r="X468"/>
      <c r="Y468"/>
    </row>
    <row r="469" spans="2:25">
      <c r="B469"/>
      <c r="D469"/>
      <c r="E469"/>
      <c r="F469"/>
      <c r="G469"/>
      <c r="H469"/>
      <c r="I469"/>
      <c r="J469"/>
      <c r="K469"/>
      <c r="L469"/>
      <c r="M469"/>
      <c r="N469"/>
      <c r="O469"/>
      <c r="P469"/>
      <c r="R469"/>
      <c r="S469"/>
      <c r="T469"/>
      <c r="U469"/>
      <c r="V469"/>
      <c r="W469"/>
      <c r="X469"/>
      <c r="Y469"/>
    </row>
    <row r="470" spans="2:25">
      <c r="B470"/>
      <c r="D470"/>
      <c r="E470"/>
      <c r="F470"/>
      <c r="G470"/>
      <c r="H470"/>
      <c r="I470"/>
      <c r="J470"/>
      <c r="K470"/>
      <c r="L470"/>
      <c r="M470"/>
      <c r="N470"/>
      <c r="O470"/>
      <c r="P470"/>
      <c r="R470"/>
      <c r="S470"/>
      <c r="T470"/>
      <c r="U470"/>
      <c r="V470"/>
      <c r="W470"/>
      <c r="X470"/>
      <c r="Y470"/>
    </row>
    <row r="471" spans="2:25">
      <c r="B471"/>
      <c r="D471"/>
      <c r="E471"/>
      <c r="F471"/>
      <c r="G471"/>
      <c r="H471"/>
      <c r="I471"/>
      <c r="J471"/>
      <c r="K471"/>
      <c r="L471"/>
      <c r="M471"/>
      <c r="N471"/>
      <c r="O471"/>
      <c r="P471"/>
      <c r="R471"/>
      <c r="S471"/>
      <c r="T471"/>
      <c r="U471"/>
      <c r="V471"/>
      <c r="W471"/>
      <c r="X471"/>
      <c r="Y471"/>
    </row>
    <row r="472" spans="2:25">
      <c r="B472"/>
      <c r="D472"/>
      <c r="E472"/>
      <c r="F472"/>
      <c r="G472"/>
      <c r="H472"/>
      <c r="I472"/>
      <c r="J472"/>
      <c r="K472"/>
      <c r="L472"/>
      <c r="M472"/>
      <c r="N472"/>
      <c r="O472"/>
      <c r="P472"/>
      <c r="R472"/>
      <c r="S472"/>
      <c r="T472"/>
      <c r="U472"/>
      <c r="V472"/>
      <c r="W472"/>
      <c r="X472"/>
      <c r="Y472"/>
    </row>
    <row r="473" spans="2:25">
      <c r="B473"/>
      <c r="D473"/>
      <c r="E473"/>
      <c r="F473"/>
      <c r="G473"/>
      <c r="H473"/>
      <c r="I473"/>
      <c r="J473"/>
      <c r="K473"/>
      <c r="L473"/>
      <c r="M473"/>
      <c r="N473"/>
      <c r="O473"/>
      <c r="P473"/>
      <c r="R473"/>
      <c r="S473"/>
      <c r="T473"/>
      <c r="U473"/>
      <c r="V473"/>
      <c r="W473"/>
      <c r="X473"/>
      <c r="Y473"/>
    </row>
    <row r="474" spans="2:25">
      <c r="B474"/>
      <c r="D474"/>
      <c r="E474"/>
      <c r="F474"/>
      <c r="G474"/>
      <c r="H474"/>
      <c r="I474"/>
      <c r="J474"/>
      <c r="K474"/>
      <c r="L474"/>
      <c r="M474"/>
      <c r="N474"/>
      <c r="O474"/>
      <c r="P474"/>
      <c r="R474"/>
      <c r="S474"/>
      <c r="T474"/>
      <c r="U474"/>
      <c r="V474"/>
      <c r="W474"/>
      <c r="X474"/>
      <c r="Y474"/>
    </row>
    <row r="475" spans="2:25">
      <c r="B475"/>
      <c r="D475"/>
      <c r="E475"/>
      <c r="F475"/>
      <c r="G475"/>
      <c r="H475"/>
      <c r="I475"/>
      <c r="J475"/>
      <c r="K475"/>
      <c r="L475"/>
      <c r="M475"/>
      <c r="N475"/>
      <c r="O475"/>
      <c r="P475"/>
      <c r="R475"/>
      <c r="S475"/>
      <c r="T475"/>
      <c r="U475"/>
      <c r="V475"/>
      <c r="W475"/>
      <c r="X475"/>
      <c r="Y475"/>
    </row>
    <row r="476" spans="2:25">
      <c r="B476"/>
      <c r="D476"/>
      <c r="E476"/>
      <c r="F476"/>
      <c r="G476"/>
      <c r="H476"/>
      <c r="I476"/>
      <c r="J476"/>
      <c r="K476"/>
      <c r="L476"/>
      <c r="M476"/>
      <c r="N476"/>
      <c r="O476"/>
      <c r="P476"/>
      <c r="R476"/>
      <c r="S476"/>
      <c r="T476"/>
      <c r="U476"/>
      <c r="V476"/>
      <c r="W476"/>
      <c r="X476"/>
      <c r="Y476"/>
    </row>
    <row r="477" spans="2:25">
      <c r="B477"/>
      <c r="D477"/>
      <c r="E477"/>
      <c r="F477"/>
      <c r="G477"/>
      <c r="H477"/>
      <c r="I477"/>
      <c r="J477"/>
      <c r="K477"/>
      <c r="L477"/>
      <c r="M477"/>
      <c r="N477"/>
      <c r="O477"/>
      <c r="P477"/>
      <c r="R477"/>
      <c r="S477"/>
      <c r="T477"/>
      <c r="U477"/>
      <c r="V477"/>
      <c r="W477"/>
      <c r="X477"/>
      <c r="Y477"/>
    </row>
    <row r="478" spans="2:25">
      <c r="B478"/>
      <c r="D478"/>
      <c r="E478"/>
      <c r="F478"/>
      <c r="G478"/>
      <c r="H478"/>
      <c r="I478"/>
      <c r="J478"/>
      <c r="K478"/>
      <c r="L478"/>
      <c r="M478"/>
      <c r="N478"/>
      <c r="O478"/>
      <c r="P478"/>
      <c r="R478"/>
      <c r="S478"/>
      <c r="T478"/>
      <c r="U478"/>
      <c r="V478"/>
      <c r="W478"/>
      <c r="X478"/>
      <c r="Y478"/>
    </row>
    <row r="479" spans="2:25">
      <c r="B479"/>
      <c r="D479"/>
      <c r="E479"/>
      <c r="F479"/>
      <c r="G479"/>
      <c r="H479"/>
      <c r="I479"/>
      <c r="J479"/>
      <c r="K479"/>
      <c r="L479"/>
      <c r="M479"/>
      <c r="N479"/>
      <c r="O479"/>
      <c r="P479"/>
      <c r="R479"/>
      <c r="S479"/>
      <c r="T479"/>
      <c r="U479"/>
      <c r="V479"/>
      <c r="W479"/>
      <c r="X479"/>
      <c r="Y479"/>
    </row>
    <row r="480" spans="2:25">
      <c r="B480"/>
      <c r="D480"/>
      <c r="E480"/>
      <c r="F480"/>
      <c r="G480"/>
      <c r="H480"/>
      <c r="I480"/>
      <c r="J480"/>
      <c r="K480"/>
      <c r="L480"/>
      <c r="M480"/>
      <c r="N480"/>
      <c r="O480"/>
      <c r="P480"/>
      <c r="R480"/>
      <c r="S480"/>
      <c r="T480"/>
      <c r="U480"/>
      <c r="V480"/>
      <c r="W480"/>
      <c r="X480"/>
      <c r="Y480"/>
    </row>
    <row r="481" spans="2:25">
      <c r="B481"/>
      <c r="D481"/>
      <c r="E481"/>
      <c r="F481"/>
      <c r="G481"/>
      <c r="H481"/>
      <c r="I481"/>
      <c r="J481"/>
      <c r="K481"/>
      <c r="L481"/>
      <c r="M481"/>
      <c r="N481"/>
      <c r="O481"/>
      <c r="P481"/>
      <c r="R481"/>
      <c r="S481"/>
      <c r="T481"/>
      <c r="U481"/>
      <c r="V481"/>
      <c r="W481"/>
      <c r="X481"/>
      <c r="Y481"/>
    </row>
    <row r="482" spans="2:25">
      <c r="B482"/>
      <c r="D482"/>
      <c r="E482"/>
      <c r="F482"/>
      <c r="G482"/>
      <c r="H482"/>
      <c r="I482"/>
      <c r="J482"/>
      <c r="K482"/>
      <c r="L482"/>
      <c r="M482"/>
      <c r="N482"/>
      <c r="O482"/>
      <c r="P482"/>
      <c r="R482"/>
      <c r="S482"/>
      <c r="T482"/>
      <c r="U482"/>
      <c r="V482"/>
      <c r="W482"/>
      <c r="X482"/>
      <c r="Y482"/>
    </row>
    <row r="483" spans="2:25">
      <c r="B483"/>
      <c r="D483"/>
      <c r="E483"/>
      <c r="F483"/>
      <c r="G483"/>
      <c r="H483"/>
      <c r="I483"/>
      <c r="J483"/>
      <c r="K483"/>
      <c r="L483"/>
      <c r="M483"/>
      <c r="N483"/>
      <c r="O483"/>
      <c r="P483"/>
      <c r="R483"/>
      <c r="S483"/>
      <c r="T483"/>
      <c r="U483"/>
      <c r="V483"/>
      <c r="W483"/>
      <c r="X483"/>
      <c r="Y483"/>
    </row>
    <row r="484" spans="2:25">
      <c r="B484"/>
      <c r="D484"/>
      <c r="E484"/>
      <c r="F484"/>
      <c r="G484"/>
      <c r="H484"/>
      <c r="I484"/>
      <c r="J484"/>
      <c r="K484"/>
      <c r="L484"/>
      <c r="M484"/>
      <c r="N484"/>
      <c r="O484"/>
      <c r="P484"/>
      <c r="R484"/>
      <c r="S484"/>
      <c r="T484"/>
      <c r="U484"/>
      <c r="V484"/>
      <c r="W484"/>
      <c r="X484"/>
      <c r="Y484"/>
    </row>
    <row r="485" spans="2:25">
      <c r="B485"/>
      <c r="D485"/>
      <c r="E485"/>
      <c r="F485"/>
      <c r="G485"/>
      <c r="H485"/>
      <c r="I485"/>
      <c r="J485"/>
      <c r="K485"/>
      <c r="L485"/>
      <c r="M485"/>
      <c r="N485"/>
      <c r="O485"/>
      <c r="P485"/>
      <c r="R485"/>
      <c r="S485"/>
      <c r="T485"/>
      <c r="U485"/>
      <c r="V485"/>
      <c r="W485"/>
      <c r="X485"/>
      <c r="Y485"/>
    </row>
    <row r="486" spans="2:25">
      <c r="B486"/>
      <c r="D486"/>
      <c r="E486"/>
      <c r="F486"/>
      <c r="G486"/>
      <c r="H486"/>
      <c r="I486"/>
      <c r="J486"/>
      <c r="K486"/>
      <c r="L486"/>
      <c r="M486"/>
      <c r="N486"/>
      <c r="O486"/>
      <c r="P486"/>
      <c r="R486"/>
      <c r="S486"/>
      <c r="T486"/>
      <c r="U486"/>
      <c r="V486"/>
      <c r="W486"/>
      <c r="X486"/>
      <c r="Y486"/>
    </row>
    <row r="487" spans="2:25">
      <c r="B487"/>
      <c r="D487"/>
      <c r="E487"/>
      <c r="F487"/>
      <c r="G487"/>
      <c r="H487"/>
      <c r="I487"/>
      <c r="J487"/>
      <c r="K487"/>
      <c r="L487"/>
      <c r="M487"/>
      <c r="N487"/>
      <c r="O487"/>
      <c r="P487"/>
      <c r="R487"/>
      <c r="S487"/>
      <c r="T487"/>
      <c r="U487"/>
      <c r="V487"/>
      <c r="W487"/>
      <c r="X487"/>
      <c r="Y487"/>
    </row>
    <row r="488" spans="2:25">
      <c r="B488"/>
      <c r="D488"/>
      <c r="E488"/>
      <c r="F488"/>
      <c r="G488"/>
      <c r="H488"/>
      <c r="I488"/>
      <c r="J488"/>
      <c r="K488"/>
      <c r="L488"/>
      <c r="M488"/>
      <c r="N488"/>
      <c r="O488"/>
      <c r="P488"/>
      <c r="R488"/>
      <c r="S488"/>
      <c r="T488"/>
      <c r="U488"/>
      <c r="V488"/>
      <c r="W488"/>
      <c r="X488"/>
      <c r="Y488"/>
    </row>
    <row r="489" spans="2:25">
      <c r="B489"/>
      <c r="D489"/>
      <c r="E489"/>
      <c r="F489"/>
      <c r="G489"/>
      <c r="H489"/>
      <c r="I489"/>
      <c r="J489"/>
      <c r="K489"/>
      <c r="L489"/>
      <c r="M489"/>
      <c r="N489"/>
      <c r="O489"/>
      <c r="P489"/>
      <c r="R489"/>
      <c r="S489"/>
      <c r="T489"/>
      <c r="U489"/>
      <c r="V489"/>
      <c r="W489"/>
      <c r="X489"/>
      <c r="Y489"/>
    </row>
    <row r="490" spans="2:25">
      <c r="B490"/>
      <c r="D490"/>
      <c r="E490"/>
      <c r="F490"/>
      <c r="G490"/>
      <c r="H490"/>
      <c r="I490"/>
      <c r="J490"/>
      <c r="K490"/>
      <c r="L490"/>
      <c r="M490"/>
      <c r="N490"/>
      <c r="O490"/>
      <c r="P490"/>
      <c r="R490"/>
      <c r="S490"/>
      <c r="T490"/>
      <c r="U490"/>
      <c r="V490"/>
      <c r="W490"/>
      <c r="X490"/>
      <c r="Y490"/>
    </row>
    <row r="491" spans="2:25">
      <c r="B491"/>
      <c r="D491"/>
      <c r="E491"/>
      <c r="F491"/>
      <c r="G491"/>
      <c r="H491"/>
      <c r="I491"/>
      <c r="J491"/>
      <c r="K491"/>
      <c r="L491"/>
      <c r="M491"/>
      <c r="N491"/>
      <c r="O491"/>
      <c r="P491"/>
      <c r="R491"/>
      <c r="S491"/>
      <c r="T491"/>
      <c r="U491"/>
      <c r="V491"/>
      <c r="W491"/>
      <c r="X491"/>
      <c r="Y491"/>
    </row>
    <row r="492" spans="2:25">
      <c r="B492"/>
      <c r="D492"/>
      <c r="E492"/>
      <c r="F492"/>
      <c r="G492"/>
      <c r="H492"/>
      <c r="I492"/>
      <c r="J492"/>
      <c r="K492"/>
      <c r="L492"/>
      <c r="M492"/>
      <c r="N492"/>
      <c r="O492"/>
      <c r="P492"/>
      <c r="R492"/>
      <c r="S492"/>
      <c r="T492"/>
      <c r="U492"/>
      <c r="V492"/>
      <c r="W492"/>
      <c r="X492"/>
      <c r="Y492"/>
    </row>
    <row r="493" spans="2:25">
      <c r="B493"/>
      <c r="D493"/>
      <c r="E493"/>
      <c r="F493"/>
      <c r="G493"/>
      <c r="H493"/>
      <c r="I493"/>
      <c r="J493"/>
      <c r="K493"/>
      <c r="L493"/>
      <c r="M493"/>
      <c r="N493"/>
      <c r="O493"/>
      <c r="P493"/>
      <c r="R493"/>
      <c r="S493"/>
      <c r="T493"/>
      <c r="U493"/>
      <c r="V493"/>
      <c r="W493"/>
      <c r="X493"/>
      <c r="Y493"/>
    </row>
    <row r="494" spans="2:25">
      <c r="B494"/>
      <c r="D494"/>
      <c r="E494"/>
      <c r="F494"/>
      <c r="G494"/>
      <c r="H494"/>
      <c r="I494"/>
      <c r="J494"/>
      <c r="K494"/>
      <c r="L494"/>
      <c r="M494"/>
      <c r="N494"/>
      <c r="O494"/>
      <c r="P494"/>
      <c r="R494"/>
      <c r="S494"/>
      <c r="T494"/>
      <c r="U494"/>
      <c r="V494"/>
      <c r="W494"/>
      <c r="X494"/>
      <c r="Y494"/>
    </row>
    <row r="495" spans="2:25">
      <c r="B495"/>
      <c r="D495"/>
      <c r="E495"/>
      <c r="F495"/>
      <c r="G495"/>
      <c r="H495"/>
      <c r="I495"/>
      <c r="J495"/>
      <c r="K495"/>
      <c r="L495"/>
      <c r="M495"/>
      <c r="N495"/>
      <c r="O495"/>
      <c r="P495"/>
      <c r="R495"/>
      <c r="S495"/>
      <c r="T495"/>
      <c r="U495"/>
      <c r="V495"/>
      <c r="W495"/>
      <c r="X495"/>
      <c r="Y495"/>
    </row>
    <row r="496" spans="2:25">
      <c r="B496"/>
      <c r="D496"/>
      <c r="E496"/>
      <c r="F496"/>
      <c r="G496"/>
      <c r="H496"/>
      <c r="I496"/>
      <c r="J496"/>
      <c r="K496"/>
      <c r="L496"/>
      <c r="M496"/>
      <c r="N496"/>
      <c r="O496"/>
      <c r="P496"/>
      <c r="R496"/>
      <c r="S496"/>
      <c r="T496"/>
      <c r="U496"/>
      <c r="V496"/>
      <c r="W496"/>
      <c r="X496"/>
      <c r="Y496"/>
    </row>
    <row r="497" spans="2:25">
      <c r="B497"/>
      <c r="D497"/>
      <c r="E497"/>
      <c r="F497"/>
      <c r="G497"/>
      <c r="H497"/>
      <c r="I497"/>
      <c r="J497"/>
      <c r="K497"/>
      <c r="L497"/>
      <c r="M497"/>
      <c r="N497"/>
      <c r="O497"/>
      <c r="P497"/>
      <c r="R497"/>
      <c r="S497"/>
      <c r="T497"/>
      <c r="U497"/>
      <c r="V497"/>
      <c r="W497"/>
      <c r="X497"/>
      <c r="Y497"/>
    </row>
    <row r="498" spans="2:25">
      <c r="B498"/>
      <c r="D498"/>
      <c r="E498"/>
      <c r="F498"/>
      <c r="G498"/>
      <c r="H498"/>
      <c r="I498"/>
      <c r="J498"/>
      <c r="K498"/>
      <c r="L498"/>
      <c r="M498"/>
      <c r="N498"/>
      <c r="O498"/>
      <c r="P498"/>
      <c r="R498"/>
      <c r="S498"/>
      <c r="T498"/>
      <c r="U498"/>
      <c r="V498"/>
      <c r="W498"/>
      <c r="X498"/>
      <c r="Y498"/>
    </row>
    <row r="499" spans="2:25">
      <c r="B499"/>
      <c r="D499"/>
      <c r="E499"/>
      <c r="F499"/>
      <c r="G499"/>
      <c r="H499"/>
      <c r="I499"/>
      <c r="J499"/>
      <c r="K499"/>
      <c r="L499"/>
      <c r="M499"/>
      <c r="N499"/>
      <c r="O499"/>
      <c r="P499"/>
      <c r="R499"/>
      <c r="S499"/>
      <c r="T499"/>
      <c r="U499"/>
      <c r="V499"/>
      <c r="W499"/>
      <c r="X499"/>
      <c r="Y499"/>
    </row>
    <row r="500" spans="2:25">
      <c r="B500"/>
      <c r="D500"/>
      <c r="E500"/>
      <c r="F500"/>
      <c r="G500"/>
      <c r="H500"/>
      <c r="I500"/>
      <c r="J500"/>
      <c r="K500"/>
      <c r="L500"/>
      <c r="M500"/>
      <c r="N500"/>
      <c r="O500"/>
      <c r="P500"/>
      <c r="R500"/>
      <c r="S500"/>
      <c r="T500"/>
      <c r="U500"/>
      <c r="V500"/>
      <c r="W500"/>
      <c r="X500"/>
      <c r="Y500"/>
    </row>
    <row r="501" spans="2:25">
      <c r="B501"/>
      <c r="D501"/>
      <c r="E501"/>
      <c r="F501"/>
      <c r="G501"/>
      <c r="H501"/>
      <c r="I501"/>
      <c r="J501"/>
      <c r="K501"/>
      <c r="L501"/>
      <c r="M501"/>
      <c r="N501"/>
      <c r="O501"/>
      <c r="P501"/>
      <c r="R501"/>
      <c r="S501"/>
      <c r="T501"/>
      <c r="U501"/>
      <c r="V501"/>
      <c r="W501"/>
      <c r="X501"/>
      <c r="Y501"/>
    </row>
    <row r="502" spans="2:25">
      <c r="B502"/>
      <c r="D502"/>
      <c r="E502"/>
      <c r="F502"/>
      <c r="G502"/>
      <c r="H502"/>
      <c r="I502"/>
      <c r="J502"/>
      <c r="K502"/>
      <c r="L502"/>
      <c r="M502"/>
      <c r="N502"/>
      <c r="O502"/>
      <c r="P502"/>
      <c r="R502"/>
      <c r="S502"/>
      <c r="T502"/>
      <c r="U502"/>
      <c r="V502"/>
      <c r="W502"/>
      <c r="X502"/>
      <c r="Y502"/>
    </row>
    <row r="503" spans="2:25">
      <c r="B503"/>
      <c r="D503"/>
      <c r="E503"/>
      <c r="F503"/>
      <c r="G503"/>
      <c r="H503"/>
      <c r="I503"/>
      <c r="J503"/>
      <c r="K503"/>
      <c r="L503"/>
      <c r="M503"/>
      <c r="N503"/>
      <c r="O503"/>
      <c r="P503"/>
      <c r="R503"/>
      <c r="S503"/>
      <c r="T503"/>
      <c r="U503"/>
      <c r="V503"/>
      <c r="W503"/>
      <c r="X503"/>
      <c r="Y503"/>
    </row>
    <row r="504" spans="2:25">
      <c r="B504"/>
      <c r="D504"/>
      <c r="E504"/>
      <c r="F504"/>
      <c r="G504"/>
      <c r="H504"/>
      <c r="I504"/>
      <c r="J504"/>
      <c r="K504"/>
      <c r="L504"/>
      <c r="M504"/>
      <c r="N504"/>
      <c r="O504"/>
      <c r="P504"/>
      <c r="R504"/>
      <c r="S504"/>
      <c r="T504"/>
      <c r="U504"/>
      <c r="V504"/>
      <c r="W504"/>
      <c r="X504"/>
      <c r="Y504"/>
    </row>
    <row r="505" spans="2:25">
      <c r="B505"/>
      <c r="D505"/>
      <c r="E505"/>
      <c r="F505"/>
      <c r="G505"/>
      <c r="H505"/>
      <c r="I505"/>
      <c r="J505"/>
      <c r="K505"/>
      <c r="L505"/>
      <c r="M505"/>
      <c r="N505"/>
      <c r="O505"/>
      <c r="P505"/>
      <c r="R505"/>
      <c r="S505"/>
      <c r="T505"/>
      <c r="U505"/>
      <c r="V505"/>
      <c r="W505"/>
      <c r="X505"/>
      <c r="Y505"/>
    </row>
    <row r="506" spans="2:25">
      <c r="B506"/>
      <c r="D506"/>
      <c r="E506"/>
      <c r="F506"/>
      <c r="G506"/>
      <c r="H506"/>
      <c r="I506"/>
      <c r="J506"/>
      <c r="K506"/>
      <c r="L506"/>
      <c r="M506"/>
      <c r="N506"/>
      <c r="O506"/>
      <c r="P506"/>
      <c r="R506"/>
      <c r="S506"/>
      <c r="T506"/>
      <c r="U506"/>
      <c r="V506"/>
      <c r="W506"/>
      <c r="X506"/>
      <c r="Y506"/>
    </row>
    <row r="507" spans="2:25">
      <c r="B507"/>
      <c r="D507"/>
      <c r="E507"/>
      <c r="F507"/>
      <c r="G507"/>
      <c r="H507"/>
      <c r="I507"/>
      <c r="J507"/>
      <c r="K507"/>
      <c r="L507"/>
      <c r="M507"/>
      <c r="N507"/>
      <c r="O507"/>
      <c r="P507"/>
      <c r="R507"/>
      <c r="S507"/>
      <c r="T507"/>
      <c r="U507"/>
      <c r="V507"/>
      <c r="W507"/>
      <c r="X507"/>
      <c r="Y507"/>
    </row>
    <row r="508" spans="2:25">
      <c r="B508"/>
      <c r="D508"/>
      <c r="E508"/>
      <c r="F508"/>
      <c r="G508"/>
      <c r="H508"/>
      <c r="I508"/>
      <c r="J508"/>
      <c r="K508"/>
      <c r="L508"/>
      <c r="M508"/>
      <c r="N508"/>
      <c r="O508"/>
      <c r="P508"/>
      <c r="R508"/>
      <c r="S508"/>
      <c r="T508"/>
      <c r="U508"/>
      <c r="V508"/>
      <c r="W508"/>
      <c r="X508"/>
      <c r="Y508"/>
    </row>
    <row r="509" spans="2:25">
      <c r="B509"/>
      <c r="D509"/>
      <c r="E509"/>
      <c r="F509"/>
      <c r="G509"/>
      <c r="H509"/>
      <c r="I509"/>
      <c r="J509"/>
      <c r="K509"/>
      <c r="L509"/>
      <c r="M509"/>
      <c r="N509"/>
      <c r="O509"/>
      <c r="P509"/>
      <c r="R509"/>
      <c r="S509"/>
      <c r="T509"/>
      <c r="U509"/>
      <c r="V509"/>
      <c r="W509"/>
      <c r="X509"/>
      <c r="Y509"/>
    </row>
    <row r="510" spans="2:25">
      <c r="B510"/>
      <c r="D510"/>
      <c r="E510"/>
      <c r="F510"/>
      <c r="G510"/>
      <c r="H510"/>
      <c r="I510"/>
      <c r="J510"/>
      <c r="K510"/>
      <c r="L510"/>
      <c r="M510"/>
      <c r="N510"/>
      <c r="O510"/>
      <c r="P510"/>
      <c r="R510"/>
      <c r="S510"/>
      <c r="T510"/>
      <c r="U510"/>
      <c r="V510"/>
      <c r="W510"/>
      <c r="X510"/>
      <c r="Y510"/>
    </row>
    <row r="511" spans="2:25">
      <c r="B511"/>
      <c r="D511"/>
      <c r="E511"/>
      <c r="F511"/>
      <c r="G511"/>
      <c r="H511"/>
      <c r="I511"/>
      <c r="J511"/>
      <c r="K511"/>
      <c r="L511"/>
      <c r="M511"/>
      <c r="N511"/>
      <c r="O511"/>
      <c r="P511"/>
      <c r="R511"/>
      <c r="S511"/>
      <c r="T511"/>
      <c r="U511"/>
      <c r="V511"/>
      <c r="W511"/>
      <c r="X511"/>
      <c r="Y511"/>
    </row>
    <row r="512" spans="2:25">
      <c r="B512"/>
      <c r="D512"/>
      <c r="E512"/>
      <c r="F512"/>
      <c r="G512"/>
      <c r="H512"/>
      <c r="I512"/>
      <c r="J512"/>
      <c r="K512"/>
      <c r="L512"/>
      <c r="M512"/>
      <c r="N512"/>
      <c r="O512"/>
      <c r="P512"/>
      <c r="R512"/>
      <c r="S512"/>
      <c r="T512"/>
      <c r="U512"/>
      <c r="V512"/>
      <c r="W512"/>
      <c r="X512"/>
      <c r="Y512"/>
    </row>
    <row r="513" spans="2:25">
      <c r="B513"/>
      <c r="D513"/>
      <c r="E513"/>
      <c r="F513"/>
      <c r="G513"/>
      <c r="H513"/>
      <c r="I513"/>
      <c r="J513"/>
      <c r="K513"/>
      <c r="L513"/>
      <c r="M513"/>
      <c r="N513"/>
      <c r="O513"/>
      <c r="P513"/>
      <c r="R513"/>
      <c r="S513"/>
      <c r="T513"/>
      <c r="U513"/>
      <c r="V513"/>
      <c r="W513"/>
      <c r="X513"/>
      <c r="Y513"/>
    </row>
    <row r="514" spans="2:25">
      <c r="B514"/>
      <c r="D514"/>
      <c r="E514"/>
      <c r="F514"/>
      <c r="G514"/>
      <c r="H514"/>
      <c r="I514"/>
      <c r="J514"/>
      <c r="K514"/>
      <c r="L514"/>
      <c r="M514"/>
      <c r="N514"/>
      <c r="O514"/>
      <c r="P514"/>
      <c r="R514"/>
      <c r="S514"/>
      <c r="T514"/>
      <c r="U514"/>
      <c r="V514"/>
      <c r="W514"/>
      <c r="X514"/>
      <c r="Y514"/>
    </row>
    <row r="515" spans="2:25">
      <c r="B515"/>
      <c r="D515"/>
      <c r="E515"/>
      <c r="F515"/>
      <c r="G515"/>
      <c r="H515"/>
      <c r="I515"/>
      <c r="J515"/>
      <c r="K515"/>
      <c r="L515"/>
      <c r="M515"/>
      <c r="N515"/>
      <c r="O515"/>
      <c r="P515"/>
      <c r="R515"/>
      <c r="S515"/>
      <c r="T515"/>
      <c r="U515"/>
      <c r="V515"/>
      <c r="W515"/>
      <c r="X515"/>
      <c r="Y515"/>
    </row>
    <row r="516" spans="2:25">
      <c r="B516"/>
      <c r="D516"/>
      <c r="E516"/>
      <c r="F516"/>
      <c r="G516"/>
      <c r="H516"/>
      <c r="I516"/>
      <c r="J516"/>
      <c r="K516"/>
      <c r="L516"/>
      <c r="M516"/>
      <c r="N516"/>
      <c r="O516"/>
      <c r="P516"/>
      <c r="R516"/>
      <c r="S516"/>
      <c r="T516"/>
      <c r="U516"/>
      <c r="V516"/>
      <c r="W516"/>
      <c r="X516"/>
      <c r="Y516"/>
    </row>
    <row r="517" spans="2:25">
      <c r="B517"/>
      <c r="D517"/>
      <c r="E517"/>
      <c r="F517"/>
      <c r="G517"/>
      <c r="H517"/>
      <c r="I517"/>
      <c r="J517"/>
      <c r="K517"/>
      <c r="L517"/>
      <c r="M517"/>
      <c r="N517"/>
      <c r="O517"/>
      <c r="P517"/>
      <c r="R517"/>
      <c r="S517"/>
      <c r="T517"/>
      <c r="U517"/>
      <c r="V517"/>
      <c r="W517"/>
      <c r="X517"/>
      <c r="Y517"/>
    </row>
    <row r="518" spans="2:25">
      <c r="B518"/>
      <c r="D518"/>
      <c r="E518"/>
      <c r="F518"/>
      <c r="G518"/>
      <c r="H518"/>
      <c r="I518"/>
      <c r="J518"/>
      <c r="K518"/>
      <c r="L518"/>
      <c r="M518"/>
      <c r="N518"/>
      <c r="O518"/>
      <c r="P518"/>
      <c r="R518"/>
      <c r="S518"/>
      <c r="T518"/>
      <c r="U518"/>
      <c r="V518"/>
      <c r="W518"/>
      <c r="X518"/>
      <c r="Y518"/>
    </row>
    <row r="519" spans="2:25">
      <c r="B519"/>
      <c r="D519"/>
      <c r="E519"/>
      <c r="F519"/>
      <c r="G519"/>
      <c r="H519"/>
      <c r="I519"/>
      <c r="J519"/>
      <c r="K519"/>
      <c r="L519"/>
      <c r="M519"/>
      <c r="N519"/>
      <c r="O519"/>
      <c r="P519"/>
      <c r="R519"/>
      <c r="S519"/>
      <c r="T519"/>
      <c r="U519"/>
      <c r="V519"/>
      <c r="W519"/>
      <c r="X519"/>
      <c r="Y519"/>
    </row>
    <row r="520" spans="2:25">
      <c r="B520"/>
      <c r="D520"/>
      <c r="E520"/>
      <c r="F520"/>
      <c r="G520"/>
      <c r="H520"/>
      <c r="I520"/>
      <c r="J520"/>
      <c r="K520"/>
      <c r="L520"/>
      <c r="M520"/>
      <c r="N520"/>
      <c r="O520"/>
      <c r="P520"/>
      <c r="R520"/>
      <c r="S520"/>
      <c r="T520"/>
      <c r="U520"/>
      <c r="V520"/>
      <c r="W520"/>
      <c r="X520"/>
      <c r="Y520"/>
    </row>
    <row r="521" spans="2:25">
      <c r="B521"/>
      <c r="D521"/>
      <c r="E521"/>
      <c r="F521"/>
      <c r="G521"/>
      <c r="H521"/>
      <c r="I521"/>
      <c r="J521"/>
      <c r="K521"/>
      <c r="L521"/>
      <c r="M521"/>
      <c r="N521"/>
      <c r="O521"/>
      <c r="P521"/>
      <c r="R521"/>
      <c r="S521"/>
      <c r="T521"/>
      <c r="U521"/>
      <c r="V521"/>
      <c r="W521"/>
      <c r="X521"/>
      <c r="Y521"/>
    </row>
    <row r="522" spans="2:25">
      <c r="B522"/>
      <c r="D522"/>
      <c r="E522"/>
      <c r="F522"/>
      <c r="G522"/>
      <c r="H522"/>
      <c r="I522"/>
      <c r="J522"/>
      <c r="K522"/>
      <c r="L522"/>
      <c r="M522"/>
      <c r="N522"/>
      <c r="O522"/>
      <c r="P522"/>
      <c r="R522"/>
      <c r="S522"/>
      <c r="T522"/>
      <c r="U522"/>
      <c r="V522"/>
      <c r="W522"/>
      <c r="X522"/>
      <c r="Y522"/>
    </row>
    <row r="523" spans="2:25">
      <c r="B523"/>
      <c r="D523"/>
      <c r="E523"/>
      <c r="F523"/>
      <c r="G523"/>
      <c r="H523"/>
      <c r="I523"/>
      <c r="J523"/>
      <c r="K523"/>
      <c r="L523"/>
      <c r="M523"/>
      <c r="N523"/>
      <c r="O523"/>
      <c r="P523"/>
      <c r="R523"/>
      <c r="S523"/>
      <c r="T523"/>
      <c r="U523"/>
      <c r="V523"/>
      <c r="W523"/>
      <c r="X523"/>
      <c r="Y523"/>
    </row>
    <row r="524" spans="2:25">
      <c r="B524"/>
      <c r="D524"/>
      <c r="E524"/>
      <c r="F524"/>
      <c r="G524"/>
      <c r="H524"/>
      <c r="I524"/>
      <c r="J524"/>
      <c r="K524"/>
      <c r="L524"/>
      <c r="M524"/>
      <c r="N524"/>
      <c r="O524"/>
      <c r="P524"/>
      <c r="R524"/>
      <c r="S524"/>
      <c r="T524"/>
      <c r="U524"/>
      <c r="V524"/>
      <c r="W524"/>
      <c r="X524"/>
      <c r="Y524"/>
    </row>
    <row r="525" spans="2:25">
      <c r="B525"/>
      <c r="D525"/>
      <c r="E525"/>
      <c r="F525"/>
      <c r="G525"/>
      <c r="H525"/>
      <c r="I525"/>
      <c r="J525"/>
      <c r="K525"/>
      <c r="L525"/>
      <c r="M525"/>
      <c r="N525"/>
      <c r="O525"/>
      <c r="P525"/>
      <c r="R525"/>
      <c r="S525"/>
      <c r="T525"/>
      <c r="U525"/>
      <c r="V525"/>
      <c r="W525"/>
      <c r="X525"/>
      <c r="Y525"/>
    </row>
    <row r="526" spans="2:25">
      <c r="B526"/>
      <c r="D526"/>
      <c r="E526"/>
      <c r="F526"/>
      <c r="G526"/>
      <c r="H526"/>
      <c r="I526"/>
      <c r="J526"/>
      <c r="K526"/>
      <c r="L526"/>
      <c r="M526"/>
      <c r="N526"/>
      <c r="O526"/>
      <c r="P526"/>
      <c r="R526"/>
      <c r="S526"/>
      <c r="T526"/>
      <c r="U526"/>
      <c r="V526"/>
      <c r="W526"/>
      <c r="X526"/>
      <c r="Y526"/>
    </row>
    <row r="527" spans="2:25">
      <c r="B527"/>
      <c r="D527"/>
      <c r="E527"/>
      <c r="F527"/>
      <c r="G527"/>
      <c r="H527"/>
      <c r="I527"/>
      <c r="J527"/>
      <c r="K527"/>
      <c r="L527"/>
      <c r="M527"/>
      <c r="N527"/>
      <c r="O527"/>
      <c r="P527"/>
      <c r="R527"/>
      <c r="S527"/>
      <c r="T527"/>
      <c r="U527"/>
      <c r="V527"/>
      <c r="W527"/>
      <c r="X527"/>
      <c r="Y527"/>
    </row>
    <row r="528" spans="2:25">
      <c r="B528"/>
      <c r="D528"/>
      <c r="E528"/>
      <c r="F528"/>
      <c r="G528"/>
      <c r="H528"/>
      <c r="I528"/>
      <c r="J528"/>
      <c r="K528"/>
      <c r="L528"/>
      <c r="M528"/>
      <c r="N528"/>
      <c r="O528"/>
      <c r="P528"/>
      <c r="R528"/>
      <c r="S528"/>
      <c r="T528"/>
      <c r="U528"/>
      <c r="V528"/>
      <c r="W528"/>
      <c r="X528"/>
      <c r="Y528"/>
    </row>
    <row r="529" spans="2:25">
      <c r="B529"/>
      <c r="D529"/>
      <c r="E529"/>
      <c r="F529"/>
      <c r="G529"/>
      <c r="H529"/>
      <c r="I529"/>
      <c r="J529"/>
      <c r="K529"/>
      <c r="L529"/>
      <c r="M529"/>
      <c r="N529"/>
      <c r="O529"/>
      <c r="P529"/>
      <c r="R529"/>
      <c r="S529"/>
      <c r="T529"/>
      <c r="U529"/>
      <c r="V529"/>
      <c r="W529"/>
      <c r="X529"/>
      <c r="Y529"/>
    </row>
    <row r="530" spans="2:25">
      <c r="B530"/>
      <c r="D530"/>
      <c r="E530"/>
      <c r="F530"/>
      <c r="G530"/>
      <c r="H530"/>
      <c r="I530"/>
      <c r="J530"/>
      <c r="K530"/>
      <c r="L530"/>
      <c r="M530"/>
      <c r="N530"/>
      <c r="O530"/>
      <c r="P530"/>
      <c r="R530"/>
      <c r="S530"/>
      <c r="T530"/>
      <c r="U530"/>
      <c r="V530"/>
      <c r="W530"/>
      <c r="X530"/>
      <c r="Y530"/>
    </row>
    <row r="531" spans="2:25">
      <c r="B531"/>
      <c r="D531"/>
      <c r="E531"/>
      <c r="F531"/>
      <c r="G531"/>
      <c r="H531"/>
      <c r="I531"/>
      <c r="J531"/>
      <c r="K531"/>
      <c r="L531"/>
      <c r="M531"/>
      <c r="N531"/>
      <c r="O531"/>
      <c r="P531"/>
      <c r="R531"/>
      <c r="S531"/>
      <c r="T531"/>
      <c r="U531"/>
      <c r="V531"/>
      <c r="W531"/>
      <c r="X531"/>
      <c r="Y531"/>
    </row>
    <row r="532" spans="2:25">
      <c r="B532"/>
      <c r="D532"/>
      <c r="E532"/>
      <c r="F532"/>
      <c r="G532"/>
      <c r="H532"/>
      <c r="I532"/>
      <c r="J532"/>
      <c r="K532"/>
      <c r="L532"/>
      <c r="M532"/>
      <c r="N532"/>
      <c r="O532"/>
      <c r="P532"/>
      <c r="R532"/>
      <c r="S532"/>
      <c r="T532"/>
      <c r="U532"/>
      <c r="V532"/>
      <c r="W532"/>
      <c r="X532"/>
      <c r="Y532"/>
    </row>
    <row r="533" spans="2:25">
      <c r="B533"/>
      <c r="D533"/>
      <c r="E533"/>
      <c r="F533"/>
      <c r="G533"/>
      <c r="H533"/>
      <c r="I533"/>
      <c r="J533"/>
      <c r="K533"/>
      <c r="L533"/>
      <c r="M533"/>
      <c r="N533"/>
      <c r="O533"/>
      <c r="P533"/>
      <c r="R533"/>
      <c r="S533"/>
      <c r="T533"/>
      <c r="U533"/>
      <c r="V533"/>
      <c r="W533"/>
      <c r="X533"/>
      <c r="Y533"/>
    </row>
    <row r="534" spans="2:25">
      <c r="B534"/>
      <c r="D534"/>
      <c r="E534"/>
      <c r="F534"/>
      <c r="G534"/>
      <c r="H534"/>
      <c r="I534"/>
      <c r="J534"/>
      <c r="K534"/>
      <c r="L534"/>
      <c r="M534"/>
      <c r="N534"/>
      <c r="O534"/>
      <c r="P534"/>
      <c r="R534"/>
      <c r="S534"/>
      <c r="T534"/>
      <c r="U534"/>
      <c r="V534"/>
      <c r="W534"/>
      <c r="X534"/>
      <c r="Y534"/>
    </row>
    <row r="535" spans="2:25">
      <c r="B535"/>
      <c r="D535"/>
      <c r="E535"/>
      <c r="F535"/>
      <c r="G535"/>
      <c r="H535"/>
      <c r="I535"/>
      <c r="J535"/>
      <c r="K535"/>
      <c r="L535"/>
      <c r="M535"/>
      <c r="N535"/>
      <c r="O535"/>
      <c r="P535"/>
      <c r="R535"/>
      <c r="S535"/>
      <c r="T535"/>
      <c r="U535"/>
      <c r="V535"/>
      <c r="W535"/>
      <c r="X535"/>
      <c r="Y535"/>
    </row>
    <row r="536" spans="2:25">
      <c r="B536"/>
      <c r="D536"/>
      <c r="E536"/>
      <c r="F536"/>
      <c r="G536"/>
      <c r="H536"/>
      <c r="I536"/>
      <c r="J536"/>
      <c r="K536"/>
      <c r="L536"/>
      <c r="M536"/>
      <c r="N536"/>
      <c r="O536"/>
      <c r="P536"/>
      <c r="R536"/>
      <c r="S536"/>
      <c r="T536"/>
      <c r="U536"/>
      <c r="V536"/>
      <c r="W536"/>
      <c r="X536"/>
      <c r="Y536"/>
    </row>
    <row r="537" spans="2:25">
      <c r="B537"/>
      <c r="D537"/>
      <c r="E537"/>
      <c r="F537"/>
      <c r="G537"/>
      <c r="H537"/>
      <c r="I537"/>
      <c r="J537"/>
      <c r="K537"/>
      <c r="L537"/>
      <c r="M537"/>
      <c r="N537"/>
      <c r="O537"/>
      <c r="P537"/>
      <c r="R537"/>
      <c r="S537"/>
      <c r="T537"/>
      <c r="U537"/>
      <c r="V537"/>
      <c r="W537"/>
      <c r="X537"/>
      <c r="Y537"/>
    </row>
    <row r="538" spans="2:25">
      <c r="B538"/>
      <c r="D538"/>
      <c r="E538"/>
      <c r="F538"/>
      <c r="G538"/>
      <c r="H538"/>
      <c r="I538"/>
      <c r="J538"/>
      <c r="K538"/>
      <c r="L538"/>
      <c r="M538"/>
      <c r="N538"/>
      <c r="O538"/>
      <c r="P538"/>
      <c r="R538"/>
      <c r="S538"/>
      <c r="T538"/>
      <c r="U538"/>
      <c r="V538"/>
      <c r="W538"/>
      <c r="X538"/>
      <c r="Y538"/>
    </row>
    <row r="539" spans="2:25">
      <c r="B539"/>
      <c r="D539"/>
      <c r="E539"/>
      <c r="F539"/>
      <c r="G539"/>
      <c r="H539"/>
      <c r="I539"/>
      <c r="J539"/>
      <c r="K539"/>
      <c r="L539"/>
      <c r="M539"/>
      <c r="N539"/>
      <c r="O539"/>
      <c r="P539"/>
      <c r="R539"/>
      <c r="S539"/>
      <c r="T539"/>
      <c r="U539"/>
      <c r="V539"/>
      <c r="W539"/>
      <c r="X539"/>
      <c r="Y539"/>
    </row>
    <row r="540" spans="2:25">
      <c r="B540"/>
      <c r="D540"/>
      <c r="E540"/>
      <c r="F540"/>
      <c r="G540"/>
      <c r="H540"/>
      <c r="I540"/>
      <c r="J540"/>
      <c r="K540"/>
      <c r="L540"/>
      <c r="M540"/>
      <c r="N540"/>
      <c r="O540"/>
      <c r="P540"/>
      <c r="R540"/>
      <c r="S540"/>
      <c r="T540"/>
      <c r="U540"/>
      <c r="V540"/>
      <c r="W540"/>
      <c r="X540"/>
      <c r="Y540"/>
    </row>
    <row r="541" spans="2:25">
      <c r="B541"/>
      <c r="D541"/>
      <c r="E541"/>
      <c r="F541"/>
      <c r="G541"/>
      <c r="H541"/>
      <c r="I541"/>
      <c r="J541"/>
      <c r="K541"/>
      <c r="L541"/>
      <c r="M541"/>
      <c r="N541"/>
      <c r="O541"/>
      <c r="P541"/>
      <c r="R541"/>
      <c r="S541"/>
      <c r="T541"/>
      <c r="U541"/>
      <c r="V541"/>
      <c r="W541"/>
      <c r="X541"/>
      <c r="Y541"/>
    </row>
    <row r="542" spans="2:25">
      <c r="B542"/>
      <c r="D542"/>
      <c r="E542"/>
      <c r="F542"/>
      <c r="G542"/>
      <c r="H542"/>
      <c r="I542"/>
      <c r="J542"/>
      <c r="K542"/>
      <c r="L542"/>
      <c r="M542"/>
      <c r="N542"/>
      <c r="O542"/>
      <c r="P542"/>
      <c r="R542"/>
      <c r="S542"/>
      <c r="T542"/>
      <c r="U542"/>
      <c r="V542"/>
      <c r="W542"/>
      <c r="X542"/>
      <c r="Y542"/>
    </row>
    <row r="543" spans="2:25">
      <c r="B543"/>
      <c r="D543"/>
      <c r="E543"/>
      <c r="F543"/>
      <c r="G543"/>
      <c r="H543"/>
      <c r="I543"/>
      <c r="J543"/>
      <c r="K543"/>
      <c r="L543"/>
      <c r="M543"/>
      <c r="N543"/>
      <c r="O543"/>
      <c r="P543"/>
      <c r="R543"/>
      <c r="S543"/>
      <c r="T543"/>
      <c r="U543"/>
      <c r="V543"/>
      <c r="W543"/>
      <c r="X543"/>
      <c r="Y543"/>
    </row>
    <row r="544" spans="2:25">
      <c r="B544"/>
      <c r="D544"/>
      <c r="E544"/>
      <c r="F544"/>
      <c r="G544"/>
      <c r="H544"/>
      <c r="I544"/>
      <c r="J544"/>
      <c r="K544"/>
      <c r="L544"/>
      <c r="M544"/>
      <c r="N544"/>
      <c r="O544"/>
      <c r="P544"/>
      <c r="R544"/>
      <c r="S544"/>
      <c r="T544"/>
      <c r="U544"/>
      <c r="V544"/>
      <c r="W544"/>
      <c r="X544"/>
      <c r="Y544"/>
    </row>
    <row r="545" spans="2:25">
      <c r="B545"/>
      <c r="D545"/>
      <c r="E545"/>
      <c r="F545"/>
      <c r="G545"/>
      <c r="H545"/>
      <c r="I545"/>
      <c r="J545"/>
      <c r="K545"/>
      <c r="L545"/>
      <c r="M545"/>
      <c r="N545"/>
      <c r="O545"/>
      <c r="P545"/>
      <c r="R545"/>
      <c r="S545"/>
      <c r="T545"/>
      <c r="U545"/>
      <c r="V545"/>
      <c r="W545"/>
      <c r="X545"/>
      <c r="Y545"/>
    </row>
    <row r="546" spans="2:25">
      <c r="B546"/>
      <c r="D546"/>
      <c r="E546"/>
      <c r="F546"/>
      <c r="G546"/>
      <c r="H546"/>
      <c r="I546"/>
      <c r="J546"/>
      <c r="K546"/>
      <c r="L546"/>
      <c r="M546"/>
      <c r="N546"/>
      <c r="O546"/>
      <c r="P546"/>
      <c r="R546"/>
      <c r="S546"/>
      <c r="T546"/>
      <c r="U546"/>
      <c r="V546"/>
      <c r="W546"/>
      <c r="X546"/>
      <c r="Y546"/>
    </row>
    <row r="547" spans="2:25">
      <c r="B547"/>
      <c r="D547"/>
      <c r="E547"/>
      <c r="F547"/>
      <c r="G547"/>
      <c r="H547"/>
      <c r="I547"/>
      <c r="J547"/>
      <c r="K547"/>
      <c r="L547"/>
      <c r="M547"/>
      <c r="N547"/>
      <c r="O547"/>
      <c r="P547"/>
      <c r="R547"/>
      <c r="S547"/>
      <c r="T547"/>
      <c r="U547"/>
      <c r="V547"/>
      <c r="W547"/>
      <c r="X547"/>
      <c r="Y547"/>
    </row>
    <row r="548" spans="2:25">
      <c r="B548"/>
      <c r="D548"/>
      <c r="E548"/>
      <c r="F548"/>
      <c r="G548"/>
      <c r="H548"/>
      <c r="I548"/>
      <c r="J548"/>
      <c r="K548"/>
      <c r="L548"/>
      <c r="M548"/>
      <c r="N548"/>
      <c r="O548"/>
      <c r="P548"/>
      <c r="R548"/>
      <c r="S548"/>
      <c r="T548"/>
      <c r="U548"/>
      <c r="V548"/>
      <c r="W548"/>
      <c r="X548"/>
      <c r="Y548"/>
    </row>
    <row r="549" spans="2:25">
      <c r="B549"/>
      <c r="D549"/>
      <c r="E549"/>
      <c r="F549"/>
      <c r="G549"/>
      <c r="H549"/>
      <c r="I549"/>
      <c r="J549"/>
      <c r="K549"/>
      <c r="L549"/>
      <c r="M549"/>
      <c r="N549"/>
      <c r="O549"/>
      <c r="P549"/>
      <c r="R549"/>
      <c r="S549"/>
      <c r="T549"/>
      <c r="U549"/>
      <c r="V549"/>
      <c r="W549"/>
      <c r="X549"/>
      <c r="Y549"/>
    </row>
    <row r="550" spans="2:25">
      <c r="B550"/>
      <c r="D550"/>
      <c r="E550"/>
      <c r="F550"/>
      <c r="G550"/>
      <c r="H550"/>
      <c r="I550"/>
      <c r="J550"/>
      <c r="K550"/>
      <c r="L550"/>
      <c r="M550"/>
      <c r="N550"/>
      <c r="O550"/>
      <c r="P550"/>
      <c r="R550"/>
      <c r="S550"/>
      <c r="T550"/>
      <c r="U550"/>
      <c r="V550"/>
      <c r="W550"/>
      <c r="X550"/>
      <c r="Y550"/>
    </row>
    <row r="551" spans="2:25">
      <c r="B551"/>
      <c r="D551"/>
      <c r="E551"/>
      <c r="F551"/>
      <c r="G551"/>
      <c r="H551"/>
      <c r="I551"/>
      <c r="J551"/>
      <c r="K551"/>
      <c r="L551"/>
      <c r="M551"/>
      <c r="N551"/>
      <c r="O551"/>
      <c r="P551"/>
      <c r="R551"/>
      <c r="S551"/>
      <c r="T551"/>
      <c r="U551"/>
      <c r="V551"/>
      <c r="W551"/>
      <c r="X551"/>
      <c r="Y551"/>
    </row>
    <row r="552" spans="2:25">
      <c r="B552"/>
      <c r="D552"/>
      <c r="E552"/>
      <c r="F552"/>
      <c r="G552"/>
      <c r="H552"/>
      <c r="I552"/>
      <c r="J552"/>
      <c r="K552"/>
      <c r="L552"/>
      <c r="M552"/>
      <c r="N552"/>
      <c r="O552"/>
      <c r="P552"/>
      <c r="R552"/>
      <c r="S552"/>
      <c r="T552"/>
      <c r="U552"/>
      <c r="V552"/>
      <c r="W552"/>
      <c r="X552"/>
      <c r="Y552"/>
    </row>
    <row r="553" spans="2:25">
      <c r="B553"/>
      <c r="D553"/>
      <c r="E553"/>
      <c r="F553"/>
      <c r="G553"/>
      <c r="H553"/>
      <c r="I553"/>
      <c r="J553"/>
      <c r="K553"/>
      <c r="L553"/>
      <c r="M553"/>
      <c r="N553"/>
      <c r="O553"/>
      <c r="P553"/>
      <c r="R553"/>
      <c r="S553"/>
      <c r="T553"/>
      <c r="U553"/>
      <c r="V553"/>
      <c r="W553"/>
      <c r="X553"/>
      <c r="Y553"/>
    </row>
    <row r="554" spans="2:25">
      <c r="B554"/>
      <c r="D554"/>
      <c r="E554"/>
      <c r="F554"/>
      <c r="G554"/>
      <c r="H554"/>
      <c r="I554"/>
      <c r="J554"/>
      <c r="K554"/>
      <c r="L554"/>
      <c r="M554"/>
      <c r="N554"/>
      <c r="O554"/>
      <c r="P554"/>
      <c r="R554"/>
      <c r="S554"/>
      <c r="T554"/>
      <c r="U554"/>
      <c r="V554"/>
      <c r="W554"/>
      <c r="X554"/>
      <c r="Y554"/>
    </row>
    <row r="555" spans="2:25">
      <c r="B555"/>
      <c r="D555"/>
      <c r="E555"/>
      <c r="F555"/>
      <c r="G555"/>
      <c r="H555"/>
      <c r="I555"/>
      <c r="J555"/>
      <c r="K555"/>
      <c r="L555"/>
      <c r="M555"/>
      <c r="N555"/>
      <c r="O555"/>
      <c r="P555"/>
      <c r="R555"/>
      <c r="S555"/>
      <c r="T555"/>
      <c r="U555"/>
      <c r="V555"/>
      <c r="W555"/>
      <c r="X555"/>
      <c r="Y555"/>
    </row>
    <row r="556" spans="2:25">
      <c r="B556"/>
      <c r="D556"/>
      <c r="E556"/>
      <c r="F556"/>
      <c r="G556"/>
      <c r="H556"/>
      <c r="I556"/>
      <c r="J556"/>
      <c r="K556"/>
      <c r="L556"/>
      <c r="M556"/>
      <c r="N556"/>
      <c r="O556"/>
      <c r="P556"/>
      <c r="R556"/>
      <c r="S556"/>
      <c r="T556"/>
      <c r="U556"/>
      <c r="V556"/>
      <c r="W556"/>
      <c r="X556"/>
      <c r="Y556"/>
    </row>
    <row r="557" spans="2:25">
      <c r="B557"/>
      <c r="D557"/>
      <c r="E557"/>
      <c r="F557"/>
      <c r="G557"/>
      <c r="H557"/>
      <c r="I557"/>
      <c r="J557"/>
      <c r="K557"/>
      <c r="L557"/>
      <c r="M557"/>
      <c r="N557"/>
      <c r="O557"/>
      <c r="P557"/>
      <c r="R557"/>
      <c r="S557"/>
      <c r="T557"/>
      <c r="U557"/>
      <c r="V557"/>
      <c r="W557"/>
      <c r="X557"/>
      <c r="Y557"/>
    </row>
    <row r="558" spans="2:25">
      <c r="B558"/>
      <c r="D558"/>
      <c r="E558"/>
      <c r="F558"/>
      <c r="G558"/>
      <c r="H558"/>
      <c r="I558"/>
      <c r="J558"/>
      <c r="K558"/>
      <c r="L558"/>
      <c r="M558"/>
      <c r="N558"/>
      <c r="O558"/>
      <c r="P558"/>
      <c r="R558"/>
      <c r="S558"/>
      <c r="T558"/>
      <c r="U558"/>
      <c r="V558"/>
      <c r="W558"/>
      <c r="X558"/>
      <c r="Y558"/>
    </row>
    <row r="559" spans="2:25">
      <c r="B559"/>
      <c r="D559"/>
      <c r="E559"/>
      <c r="F559"/>
      <c r="G559"/>
      <c r="H559"/>
      <c r="I559"/>
      <c r="J559"/>
      <c r="K559"/>
      <c r="L559"/>
      <c r="M559"/>
      <c r="N559"/>
      <c r="O559"/>
      <c r="P559"/>
      <c r="R559"/>
      <c r="S559"/>
      <c r="T559"/>
      <c r="U559"/>
      <c r="V559"/>
      <c r="W559"/>
      <c r="X559"/>
      <c r="Y559"/>
    </row>
    <row r="560" spans="2:25">
      <c r="B560"/>
      <c r="D560"/>
      <c r="E560"/>
      <c r="F560"/>
      <c r="G560"/>
      <c r="H560"/>
      <c r="I560"/>
      <c r="J560"/>
      <c r="K560"/>
      <c r="L560"/>
      <c r="M560"/>
      <c r="N560"/>
      <c r="O560"/>
      <c r="P560"/>
      <c r="R560"/>
      <c r="S560"/>
      <c r="T560"/>
      <c r="U560"/>
      <c r="V560"/>
      <c r="W560"/>
      <c r="X560"/>
      <c r="Y560"/>
    </row>
    <row r="561" spans="2:25">
      <c r="B561"/>
      <c r="D561"/>
      <c r="E561"/>
      <c r="F561"/>
      <c r="G561"/>
      <c r="H561"/>
      <c r="I561"/>
      <c r="J561"/>
      <c r="K561"/>
      <c r="L561"/>
      <c r="M561"/>
      <c r="N561"/>
      <c r="O561"/>
      <c r="P561"/>
      <c r="R561"/>
      <c r="S561"/>
      <c r="T561"/>
      <c r="U561"/>
      <c r="V561"/>
      <c r="W561"/>
      <c r="X561"/>
      <c r="Y561"/>
    </row>
    <row r="562" spans="2:25">
      <c r="B562"/>
      <c r="D562"/>
      <c r="E562"/>
      <c r="F562"/>
      <c r="G562"/>
      <c r="H562"/>
      <c r="I562"/>
      <c r="J562"/>
      <c r="K562"/>
      <c r="L562"/>
      <c r="M562"/>
      <c r="N562"/>
      <c r="O562"/>
      <c r="P562"/>
      <c r="R562"/>
      <c r="S562"/>
      <c r="T562"/>
      <c r="U562"/>
      <c r="V562"/>
      <c r="W562"/>
      <c r="X562"/>
      <c r="Y562"/>
    </row>
    <row r="563" spans="2:25">
      <c r="B563"/>
      <c r="D563"/>
      <c r="E563"/>
      <c r="F563"/>
      <c r="G563"/>
      <c r="H563"/>
      <c r="I563"/>
      <c r="J563"/>
      <c r="K563"/>
      <c r="L563"/>
      <c r="M563"/>
      <c r="N563"/>
      <c r="O563"/>
      <c r="P563"/>
      <c r="R563"/>
      <c r="S563"/>
      <c r="T563"/>
      <c r="U563"/>
      <c r="V563"/>
      <c r="W563"/>
      <c r="X563"/>
      <c r="Y563"/>
    </row>
    <row r="564" spans="2:25">
      <c r="B564"/>
      <c r="D564"/>
      <c r="E564"/>
      <c r="F564"/>
      <c r="G564"/>
      <c r="H564"/>
      <c r="I564"/>
      <c r="J564"/>
      <c r="K564"/>
      <c r="L564"/>
      <c r="M564"/>
      <c r="N564"/>
      <c r="O564"/>
      <c r="P564"/>
      <c r="R564"/>
      <c r="S564"/>
      <c r="T564"/>
      <c r="U564"/>
      <c r="V564"/>
      <c r="W564"/>
      <c r="X564"/>
      <c r="Y564"/>
    </row>
    <row r="565" spans="2:25">
      <c r="B565"/>
      <c r="D565"/>
      <c r="E565"/>
      <c r="F565"/>
      <c r="G565"/>
      <c r="H565"/>
      <c r="I565"/>
      <c r="J565"/>
      <c r="K565"/>
      <c r="L565"/>
      <c r="M565"/>
      <c r="N565"/>
      <c r="O565"/>
      <c r="P565"/>
      <c r="R565"/>
      <c r="S565"/>
      <c r="T565"/>
      <c r="U565"/>
      <c r="V565"/>
      <c r="W565"/>
      <c r="X565"/>
      <c r="Y565"/>
    </row>
    <row r="566" spans="2:25">
      <c r="B566"/>
      <c r="D566"/>
      <c r="E566"/>
      <c r="F566"/>
      <c r="G566"/>
      <c r="H566"/>
      <c r="I566"/>
      <c r="J566"/>
      <c r="K566"/>
      <c r="L566"/>
      <c r="M566"/>
      <c r="N566"/>
      <c r="O566"/>
      <c r="P566"/>
      <c r="R566"/>
      <c r="S566"/>
      <c r="T566"/>
      <c r="U566"/>
      <c r="V566"/>
      <c r="W566"/>
      <c r="X566"/>
      <c r="Y566"/>
    </row>
    <row r="567" spans="2:25">
      <c r="B567"/>
      <c r="D567"/>
      <c r="E567"/>
      <c r="F567"/>
      <c r="G567"/>
      <c r="H567"/>
      <c r="I567"/>
      <c r="J567"/>
      <c r="K567"/>
      <c r="L567"/>
      <c r="M567"/>
      <c r="N567"/>
      <c r="O567"/>
      <c r="P567"/>
      <c r="R567"/>
      <c r="S567"/>
      <c r="T567"/>
      <c r="U567"/>
      <c r="V567"/>
      <c r="W567"/>
      <c r="X567"/>
      <c r="Y567"/>
    </row>
    <row r="568" spans="2:25">
      <c r="B568"/>
      <c r="D568"/>
      <c r="E568"/>
      <c r="F568"/>
      <c r="G568"/>
      <c r="H568"/>
      <c r="I568"/>
      <c r="J568"/>
      <c r="K568"/>
      <c r="L568"/>
      <c r="M568"/>
      <c r="N568"/>
      <c r="O568"/>
      <c r="P568"/>
      <c r="R568"/>
      <c r="S568"/>
      <c r="T568"/>
      <c r="U568"/>
      <c r="V568"/>
      <c r="W568"/>
      <c r="X568"/>
      <c r="Y568"/>
    </row>
    <row r="569" spans="2:25">
      <c r="B569"/>
      <c r="D569"/>
      <c r="E569"/>
      <c r="F569"/>
      <c r="G569"/>
      <c r="H569"/>
      <c r="I569"/>
      <c r="J569"/>
      <c r="K569"/>
      <c r="L569"/>
      <c r="M569"/>
      <c r="N569"/>
      <c r="O569"/>
      <c r="P569"/>
      <c r="R569"/>
      <c r="S569"/>
      <c r="T569"/>
      <c r="U569"/>
      <c r="V569"/>
      <c r="W569"/>
      <c r="X569"/>
      <c r="Y569"/>
    </row>
    <row r="570" spans="2:25">
      <c r="B570"/>
      <c r="D570"/>
      <c r="E570"/>
      <c r="F570"/>
      <c r="G570"/>
      <c r="H570"/>
      <c r="I570"/>
      <c r="J570"/>
      <c r="K570"/>
      <c r="L570"/>
      <c r="M570"/>
      <c r="N570"/>
      <c r="O570"/>
      <c r="P570"/>
      <c r="R570"/>
      <c r="S570"/>
      <c r="T570"/>
      <c r="U570"/>
      <c r="V570"/>
      <c r="W570"/>
      <c r="X570"/>
      <c r="Y570"/>
    </row>
    <row r="571" spans="2:25">
      <c r="B571"/>
      <c r="D571"/>
      <c r="E571"/>
      <c r="F571"/>
      <c r="G571"/>
      <c r="H571"/>
      <c r="I571"/>
      <c r="J571"/>
      <c r="K571"/>
      <c r="L571"/>
      <c r="M571"/>
      <c r="N571"/>
      <c r="O571"/>
      <c r="P571"/>
      <c r="R571"/>
      <c r="S571"/>
      <c r="T571"/>
      <c r="U571"/>
      <c r="V571"/>
      <c r="W571"/>
      <c r="X571"/>
      <c r="Y571"/>
    </row>
    <row r="572" spans="2:25">
      <c r="B572"/>
      <c r="D572"/>
      <c r="E572"/>
      <c r="F572"/>
      <c r="G572"/>
      <c r="H572"/>
      <c r="I572"/>
      <c r="J572"/>
      <c r="K572"/>
      <c r="L572"/>
      <c r="M572"/>
      <c r="N572"/>
      <c r="O572"/>
      <c r="P572"/>
      <c r="R572"/>
      <c r="S572"/>
      <c r="T572"/>
      <c r="U572"/>
      <c r="V572"/>
      <c r="W572"/>
      <c r="X572"/>
      <c r="Y572"/>
    </row>
    <row r="573" spans="2:25">
      <c r="B573"/>
      <c r="D573"/>
      <c r="E573"/>
      <c r="F573"/>
      <c r="G573"/>
      <c r="H573"/>
      <c r="I573"/>
      <c r="J573"/>
      <c r="K573"/>
      <c r="L573"/>
      <c r="M573"/>
      <c r="N573"/>
      <c r="O573"/>
      <c r="P573"/>
      <c r="R573"/>
      <c r="S573"/>
      <c r="T573"/>
      <c r="U573"/>
      <c r="V573"/>
      <c r="W573"/>
      <c r="X573"/>
      <c r="Y573"/>
    </row>
    <row r="574" spans="2:25">
      <c r="B574"/>
      <c r="D574"/>
      <c r="E574"/>
      <c r="F574"/>
      <c r="G574"/>
      <c r="H574"/>
      <c r="I574"/>
      <c r="J574"/>
      <c r="K574"/>
      <c r="L574"/>
      <c r="M574"/>
      <c r="N574"/>
      <c r="O574"/>
      <c r="P574"/>
      <c r="R574"/>
      <c r="S574"/>
      <c r="T574"/>
      <c r="U574"/>
      <c r="V574"/>
      <c r="W574"/>
      <c r="X574"/>
      <c r="Y574"/>
    </row>
    <row r="575" spans="2:25">
      <c r="B575"/>
      <c r="D575"/>
      <c r="E575"/>
      <c r="F575"/>
      <c r="G575"/>
      <c r="H575"/>
      <c r="I575"/>
      <c r="J575"/>
      <c r="K575"/>
      <c r="L575"/>
      <c r="M575"/>
      <c r="N575"/>
      <c r="O575"/>
      <c r="P575"/>
      <c r="R575"/>
      <c r="S575"/>
      <c r="T575"/>
      <c r="U575"/>
      <c r="V575"/>
      <c r="W575"/>
      <c r="X575"/>
      <c r="Y575"/>
    </row>
    <row r="576" spans="2:25">
      <c r="B576"/>
      <c r="D576"/>
      <c r="E576"/>
      <c r="F576"/>
      <c r="G576"/>
      <c r="H576"/>
      <c r="I576"/>
      <c r="J576"/>
      <c r="K576"/>
      <c r="L576"/>
      <c r="M576"/>
      <c r="N576"/>
      <c r="O576"/>
      <c r="P576"/>
      <c r="R576"/>
      <c r="S576"/>
      <c r="T576"/>
      <c r="U576"/>
      <c r="V576"/>
      <c r="W576"/>
      <c r="X576"/>
      <c r="Y576"/>
    </row>
    <row r="577" spans="2:25">
      <c r="B577"/>
      <c r="D577"/>
      <c r="E577"/>
      <c r="F577"/>
      <c r="G577"/>
      <c r="H577"/>
      <c r="I577"/>
      <c r="J577"/>
      <c r="K577"/>
      <c r="L577"/>
      <c r="M577"/>
      <c r="N577"/>
      <c r="O577"/>
      <c r="P577"/>
      <c r="R577"/>
      <c r="S577"/>
      <c r="T577"/>
      <c r="U577"/>
      <c r="V577"/>
      <c r="W577"/>
      <c r="X577"/>
      <c r="Y577"/>
    </row>
    <row r="578" spans="2:25">
      <c r="B578"/>
      <c r="D578"/>
      <c r="E578"/>
      <c r="F578"/>
      <c r="G578"/>
      <c r="H578"/>
      <c r="I578"/>
      <c r="J578"/>
      <c r="K578"/>
      <c r="L578"/>
      <c r="M578"/>
      <c r="N578"/>
      <c r="O578"/>
      <c r="P578"/>
      <c r="R578"/>
      <c r="S578"/>
      <c r="T578"/>
      <c r="U578"/>
      <c r="V578"/>
      <c r="W578"/>
      <c r="X578"/>
      <c r="Y578"/>
    </row>
    <row r="579" spans="2:25">
      <c r="B579"/>
      <c r="D579"/>
      <c r="E579"/>
      <c r="F579"/>
      <c r="G579"/>
      <c r="H579"/>
      <c r="I579"/>
      <c r="J579"/>
      <c r="K579"/>
      <c r="L579"/>
      <c r="M579"/>
      <c r="N579"/>
      <c r="O579"/>
      <c r="P579"/>
      <c r="R579"/>
      <c r="S579"/>
      <c r="T579"/>
      <c r="U579"/>
      <c r="V579"/>
      <c r="W579"/>
      <c r="X579"/>
      <c r="Y579"/>
    </row>
    <row r="580" spans="2:25">
      <c r="B580"/>
      <c r="D580"/>
      <c r="E580"/>
      <c r="F580"/>
      <c r="G580"/>
      <c r="H580"/>
      <c r="I580"/>
      <c r="J580"/>
      <c r="K580"/>
      <c r="L580"/>
      <c r="M580"/>
      <c r="N580"/>
      <c r="O580"/>
      <c r="P580"/>
      <c r="R580"/>
      <c r="S580"/>
      <c r="T580"/>
      <c r="U580"/>
      <c r="V580"/>
      <c r="W580"/>
      <c r="X580"/>
      <c r="Y580"/>
    </row>
    <row r="581" spans="2:25">
      <c r="B581"/>
      <c r="D581"/>
      <c r="E581"/>
      <c r="F581"/>
      <c r="G581"/>
      <c r="H581"/>
      <c r="I581"/>
      <c r="J581"/>
      <c r="K581"/>
      <c r="L581"/>
      <c r="M581"/>
      <c r="N581"/>
      <c r="O581"/>
      <c r="P581"/>
      <c r="R581"/>
      <c r="S581"/>
      <c r="T581"/>
      <c r="U581"/>
      <c r="V581"/>
      <c r="W581"/>
      <c r="X581"/>
      <c r="Y581"/>
    </row>
    <row r="582" spans="2:25">
      <c r="B582"/>
      <c r="D582"/>
      <c r="E582"/>
      <c r="F582"/>
      <c r="G582"/>
      <c r="H582"/>
      <c r="I582"/>
      <c r="J582"/>
      <c r="K582"/>
      <c r="L582"/>
      <c r="M582"/>
      <c r="N582"/>
      <c r="O582"/>
      <c r="P582"/>
      <c r="R582"/>
      <c r="S582"/>
      <c r="T582"/>
      <c r="U582"/>
      <c r="V582"/>
      <c r="W582"/>
      <c r="X582"/>
      <c r="Y582"/>
    </row>
    <row r="583" spans="2:25">
      <c r="B583"/>
      <c r="D583"/>
      <c r="E583"/>
      <c r="F583"/>
      <c r="G583"/>
      <c r="H583"/>
      <c r="I583"/>
      <c r="J583"/>
      <c r="K583"/>
      <c r="L583"/>
      <c r="M583"/>
      <c r="N583"/>
      <c r="O583"/>
      <c r="P583"/>
      <c r="R583"/>
      <c r="S583"/>
      <c r="T583"/>
      <c r="U583"/>
      <c r="V583"/>
      <c r="W583"/>
      <c r="X583"/>
      <c r="Y583"/>
    </row>
    <row r="584" spans="2:25">
      <c r="B584"/>
      <c r="D584"/>
      <c r="E584"/>
      <c r="F584"/>
      <c r="G584"/>
      <c r="H584"/>
      <c r="I584"/>
      <c r="J584"/>
      <c r="K584"/>
      <c r="L584"/>
      <c r="M584"/>
      <c r="N584"/>
      <c r="O584"/>
      <c r="P584"/>
      <c r="R584"/>
      <c r="S584"/>
      <c r="T584"/>
      <c r="U584"/>
      <c r="V584"/>
      <c r="W584"/>
      <c r="X584"/>
      <c r="Y584"/>
    </row>
    <row r="585" spans="2:25">
      <c r="B585"/>
      <c r="D585"/>
      <c r="E585"/>
      <c r="F585"/>
      <c r="G585"/>
      <c r="H585"/>
      <c r="I585"/>
      <c r="J585"/>
      <c r="K585"/>
      <c r="L585"/>
      <c r="M585"/>
      <c r="N585"/>
      <c r="O585"/>
      <c r="P585"/>
      <c r="R585"/>
      <c r="S585"/>
      <c r="T585"/>
      <c r="U585"/>
      <c r="V585"/>
      <c r="W585"/>
      <c r="X585"/>
      <c r="Y585"/>
    </row>
    <row r="586" spans="2:25">
      <c r="B586"/>
      <c r="D586"/>
      <c r="E586"/>
      <c r="F586"/>
      <c r="G586"/>
      <c r="H586"/>
      <c r="I586"/>
      <c r="J586"/>
      <c r="K586"/>
      <c r="L586"/>
      <c r="M586"/>
      <c r="N586"/>
      <c r="O586"/>
      <c r="P586"/>
      <c r="R586"/>
      <c r="S586"/>
      <c r="T586"/>
      <c r="U586"/>
      <c r="V586"/>
      <c r="W586"/>
      <c r="X586"/>
      <c r="Y586"/>
    </row>
    <row r="587" spans="2:25">
      <c r="B587"/>
      <c r="D587"/>
      <c r="E587"/>
      <c r="F587"/>
      <c r="G587"/>
      <c r="H587"/>
      <c r="I587"/>
      <c r="J587"/>
      <c r="K587"/>
      <c r="L587"/>
      <c r="M587"/>
      <c r="N587"/>
      <c r="O587"/>
      <c r="P587"/>
      <c r="R587"/>
      <c r="S587"/>
      <c r="T587"/>
      <c r="U587"/>
      <c r="V587"/>
      <c r="W587"/>
      <c r="X587"/>
      <c r="Y587"/>
    </row>
    <row r="588" spans="2:25">
      <c r="B588"/>
      <c r="D588"/>
      <c r="E588"/>
      <c r="F588"/>
      <c r="G588"/>
      <c r="H588"/>
      <c r="I588"/>
      <c r="J588"/>
      <c r="K588"/>
      <c r="L588"/>
      <c r="M588"/>
      <c r="N588"/>
      <c r="O588"/>
      <c r="P588"/>
      <c r="R588"/>
      <c r="S588"/>
      <c r="T588"/>
      <c r="U588"/>
      <c r="V588"/>
      <c r="W588"/>
      <c r="X588"/>
      <c r="Y588"/>
    </row>
    <row r="589" spans="2:25">
      <c r="B589"/>
      <c r="D589"/>
      <c r="E589"/>
      <c r="F589"/>
      <c r="G589"/>
      <c r="H589"/>
      <c r="I589"/>
      <c r="J589"/>
      <c r="K589"/>
      <c r="L589"/>
      <c r="M589"/>
      <c r="N589"/>
      <c r="O589"/>
      <c r="P589"/>
      <c r="R589"/>
      <c r="S589"/>
      <c r="T589"/>
      <c r="U589"/>
      <c r="V589"/>
      <c r="W589"/>
      <c r="X589"/>
      <c r="Y589"/>
    </row>
    <row r="590" spans="2:25">
      <c r="B590"/>
      <c r="D590"/>
      <c r="E590"/>
      <c r="F590"/>
      <c r="G590"/>
      <c r="H590"/>
      <c r="I590"/>
      <c r="J590"/>
      <c r="K590"/>
      <c r="L590"/>
      <c r="M590"/>
      <c r="N590"/>
      <c r="O590"/>
      <c r="P590"/>
      <c r="R590"/>
      <c r="S590"/>
      <c r="T590"/>
      <c r="U590"/>
      <c r="V590"/>
      <c r="W590"/>
      <c r="X590"/>
      <c r="Y590"/>
    </row>
    <row r="591" spans="2:25">
      <c r="B591"/>
      <c r="D591"/>
      <c r="E591"/>
      <c r="F591"/>
      <c r="G591"/>
      <c r="H591"/>
      <c r="I591"/>
      <c r="J591"/>
      <c r="K591"/>
      <c r="L591"/>
      <c r="M591"/>
      <c r="N591"/>
      <c r="O591"/>
      <c r="P591"/>
      <c r="R591"/>
      <c r="S591"/>
      <c r="T591"/>
      <c r="U591"/>
      <c r="V591"/>
      <c r="W591"/>
      <c r="X591"/>
      <c r="Y591"/>
    </row>
    <row r="592" spans="2:25">
      <c r="B592"/>
      <c r="D592"/>
      <c r="E592"/>
      <c r="F592"/>
      <c r="G592"/>
      <c r="H592"/>
      <c r="I592"/>
      <c r="J592"/>
      <c r="K592"/>
      <c r="L592"/>
      <c r="M592"/>
      <c r="N592"/>
      <c r="O592"/>
      <c r="P592"/>
      <c r="R592"/>
      <c r="S592"/>
      <c r="T592"/>
      <c r="U592"/>
      <c r="V592"/>
      <c r="W592"/>
      <c r="X592"/>
      <c r="Y592"/>
    </row>
    <row r="593" spans="2:25">
      <c r="B593"/>
      <c r="D593"/>
      <c r="E593"/>
      <c r="F593"/>
      <c r="G593"/>
      <c r="H593"/>
      <c r="I593"/>
      <c r="J593"/>
      <c r="K593"/>
      <c r="L593"/>
      <c r="M593"/>
      <c r="N593"/>
      <c r="O593"/>
      <c r="P593"/>
      <c r="R593"/>
      <c r="S593"/>
      <c r="T593"/>
      <c r="U593"/>
      <c r="V593"/>
      <c r="W593"/>
      <c r="X593"/>
      <c r="Y593"/>
    </row>
    <row r="594" spans="2:25">
      <c r="B594"/>
      <c r="D594"/>
      <c r="E594"/>
      <c r="F594"/>
      <c r="G594"/>
      <c r="H594"/>
      <c r="I594"/>
      <c r="J594"/>
      <c r="K594"/>
      <c r="L594"/>
      <c r="M594"/>
      <c r="N594"/>
      <c r="O594"/>
      <c r="P594"/>
      <c r="R594"/>
      <c r="S594"/>
      <c r="T594"/>
      <c r="U594"/>
      <c r="V594"/>
      <c r="W594"/>
      <c r="X594"/>
      <c r="Y594"/>
    </row>
    <row r="595" spans="2:25">
      <c r="B595"/>
      <c r="D595"/>
      <c r="E595"/>
      <c r="F595"/>
      <c r="G595"/>
      <c r="H595"/>
      <c r="I595"/>
      <c r="J595"/>
      <c r="K595"/>
      <c r="L595"/>
      <c r="M595"/>
      <c r="N595"/>
      <c r="O595"/>
      <c r="P595"/>
      <c r="R595"/>
      <c r="S595"/>
      <c r="T595"/>
      <c r="U595"/>
      <c r="V595"/>
      <c r="W595"/>
      <c r="X595"/>
      <c r="Y595"/>
    </row>
    <row r="596" spans="2:25">
      <c r="B596"/>
      <c r="D596"/>
      <c r="E596"/>
      <c r="F596"/>
      <c r="G596"/>
      <c r="H596"/>
      <c r="I596"/>
      <c r="J596"/>
      <c r="K596"/>
      <c r="L596"/>
      <c r="M596"/>
      <c r="N596"/>
      <c r="O596"/>
      <c r="P596"/>
      <c r="R596"/>
      <c r="S596"/>
      <c r="T596"/>
      <c r="U596"/>
      <c r="V596"/>
      <c r="W596"/>
      <c r="X596"/>
      <c r="Y596"/>
    </row>
    <row r="597" spans="2:25">
      <c r="B597"/>
      <c r="D597"/>
      <c r="E597"/>
      <c r="F597"/>
      <c r="G597"/>
      <c r="H597"/>
      <c r="I597"/>
      <c r="J597"/>
      <c r="K597"/>
      <c r="L597"/>
      <c r="M597"/>
      <c r="N597"/>
      <c r="O597"/>
      <c r="P597"/>
      <c r="R597"/>
      <c r="S597"/>
      <c r="T597"/>
      <c r="U597"/>
      <c r="V597"/>
      <c r="W597"/>
      <c r="X597"/>
      <c r="Y597"/>
    </row>
    <row r="598" spans="2:25">
      <c r="B598"/>
      <c r="D598"/>
      <c r="E598"/>
      <c r="F598"/>
      <c r="G598"/>
      <c r="H598"/>
      <c r="I598"/>
      <c r="J598"/>
      <c r="K598"/>
      <c r="L598"/>
      <c r="M598"/>
      <c r="N598"/>
      <c r="O598"/>
      <c r="P598"/>
      <c r="R598"/>
      <c r="S598"/>
      <c r="T598"/>
      <c r="U598"/>
      <c r="V598"/>
      <c r="W598"/>
      <c r="X598"/>
      <c r="Y598"/>
    </row>
    <row r="599" spans="2:25">
      <c r="B599"/>
      <c r="D599"/>
      <c r="E599"/>
      <c r="F599"/>
      <c r="G599"/>
      <c r="H599"/>
      <c r="I599"/>
      <c r="J599"/>
      <c r="K599"/>
      <c r="L599"/>
      <c r="M599"/>
      <c r="N599"/>
      <c r="O599"/>
      <c r="P599"/>
      <c r="R599"/>
      <c r="S599"/>
      <c r="T599"/>
      <c r="U599"/>
      <c r="V599"/>
      <c r="W599"/>
      <c r="X599"/>
      <c r="Y599"/>
    </row>
    <row r="600" spans="2:25">
      <c r="B600"/>
      <c r="D600"/>
      <c r="E600"/>
      <c r="F600"/>
      <c r="G600"/>
      <c r="H600"/>
      <c r="I600"/>
      <c r="J600"/>
      <c r="K600"/>
      <c r="L600"/>
      <c r="M600"/>
      <c r="N600"/>
      <c r="O600"/>
      <c r="P600"/>
      <c r="R600"/>
      <c r="S600"/>
      <c r="T600"/>
      <c r="U600"/>
      <c r="V600"/>
      <c r="W600"/>
      <c r="X600"/>
      <c r="Y600"/>
    </row>
    <row r="601" spans="2:25">
      <c r="B601"/>
      <c r="D601"/>
      <c r="E601"/>
      <c r="F601"/>
      <c r="G601"/>
      <c r="H601"/>
      <c r="I601"/>
      <c r="J601"/>
      <c r="K601"/>
      <c r="L601"/>
      <c r="M601"/>
      <c r="N601"/>
      <c r="O601"/>
      <c r="P601"/>
      <c r="R601"/>
      <c r="S601"/>
      <c r="T601"/>
      <c r="U601"/>
      <c r="V601"/>
      <c r="W601"/>
      <c r="X601"/>
      <c r="Y601"/>
    </row>
    <row r="602" spans="2:25">
      <c r="B602"/>
      <c r="D602"/>
      <c r="E602"/>
      <c r="F602"/>
      <c r="G602"/>
      <c r="H602"/>
      <c r="I602"/>
      <c r="J602"/>
      <c r="K602"/>
      <c r="L602"/>
      <c r="M602"/>
      <c r="N602"/>
      <c r="O602"/>
      <c r="P602"/>
      <c r="R602"/>
      <c r="S602"/>
      <c r="T602"/>
      <c r="U602"/>
      <c r="V602"/>
      <c r="W602"/>
      <c r="X602"/>
      <c r="Y602"/>
    </row>
    <row r="603" spans="2:25">
      <c r="B603"/>
      <c r="D603"/>
      <c r="E603"/>
      <c r="F603"/>
      <c r="G603"/>
      <c r="H603"/>
      <c r="I603"/>
      <c r="J603"/>
      <c r="K603"/>
      <c r="L603"/>
      <c r="M603"/>
      <c r="N603"/>
      <c r="O603"/>
      <c r="P603"/>
      <c r="R603"/>
      <c r="S603"/>
      <c r="T603"/>
      <c r="U603"/>
      <c r="V603"/>
      <c r="W603"/>
      <c r="X603"/>
      <c r="Y603"/>
    </row>
    <row r="604" spans="2:25">
      <c r="B604"/>
      <c r="D604"/>
      <c r="E604"/>
      <c r="F604"/>
      <c r="G604"/>
      <c r="H604"/>
      <c r="I604"/>
      <c r="J604"/>
      <c r="K604"/>
      <c r="L604"/>
      <c r="M604"/>
      <c r="N604"/>
      <c r="O604"/>
      <c r="P604"/>
      <c r="R604"/>
      <c r="S604"/>
      <c r="T604"/>
      <c r="U604"/>
      <c r="V604"/>
      <c r="W604"/>
      <c r="X604"/>
      <c r="Y604"/>
    </row>
    <row r="605" spans="2:25">
      <c r="B605"/>
      <c r="D605"/>
      <c r="E605"/>
      <c r="F605"/>
      <c r="G605"/>
      <c r="H605"/>
      <c r="I605"/>
      <c r="J605"/>
      <c r="K605"/>
      <c r="L605"/>
      <c r="M605"/>
      <c r="N605"/>
      <c r="O605"/>
      <c r="P605"/>
      <c r="R605"/>
      <c r="S605"/>
      <c r="T605"/>
      <c r="U605"/>
      <c r="V605"/>
      <c r="W605"/>
      <c r="X605"/>
      <c r="Y605"/>
    </row>
    <row r="606" spans="2:25">
      <c r="B606"/>
      <c r="D606"/>
      <c r="E606"/>
      <c r="F606"/>
      <c r="G606"/>
      <c r="H606"/>
      <c r="I606"/>
      <c r="J606"/>
      <c r="K606"/>
      <c r="L606"/>
      <c r="M606"/>
      <c r="N606"/>
      <c r="O606"/>
      <c r="P606"/>
      <c r="R606"/>
      <c r="S606"/>
      <c r="T606"/>
      <c r="U606"/>
      <c r="V606"/>
      <c r="W606"/>
      <c r="X606"/>
      <c r="Y606"/>
    </row>
    <row r="607" spans="2:25">
      <c r="B607"/>
      <c r="D607"/>
      <c r="E607"/>
      <c r="F607"/>
      <c r="G607"/>
      <c r="H607"/>
      <c r="I607"/>
      <c r="J607"/>
      <c r="K607"/>
      <c r="L607"/>
      <c r="M607"/>
      <c r="N607"/>
      <c r="O607"/>
      <c r="P607"/>
      <c r="R607"/>
      <c r="S607"/>
      <c r="T607"/>
      <c r="U607"/>
      <c r="V607"/>
      <c r="W607"/>
      <c r="X607"/>
      <c r="Y607"/>
    </row>
    <row r="608" spans="2:25">
      <c r="B608"/>
      <c r="D608"/>
      <c r="E608"/>
      <c r="F608"/>
      <c r="G608"/>
      <c r="H608"/>
      <c r="I608"/>
      <c r="J608"/>
      <c r="K608"/>
      <c r="L608"/>
      <c r="M608"/>
      <c r="N608"/>
      <c r="O608"/>
      <c r="P608"/>
      <c r="R608"/>
      <c r="S608"/>
      <c r="T608"/>
      <c r="U608"/>
      <c r="V608"/>
      <c r="W608"/>
      <c r="X608"/>
      <c r="Y608"/>
    </row>
    <row r="609" spans="2:25">
      <c r="B609"/>
      <c r="D609"/>
      <c r="E609"/>
      <c r="F609"/>
      <c r="G609"/>
      <c r="H609"/>
      <c r="I609"/>
      <c r="J609"/>
      <c r="K609"/>
      <c r="L609"/>
      <c r="M609"/>
      <c r="N609"/>
      <c r="O609"/>
      <c r="P609"/>
      <c r="R609"/>
      <c r="S609"/>
      <c r="T609"/>
      <c r="U609"/>
      <c r="V609"/>
      <c r="W609"/>
      <c r="X609"/>
      <c r="Y609"/>
    </row>
    <row r="610" spans="2:25">
      <c r="B610"/>
      <c r="D610"/>
      <c r="E610"/>
      <c r="F610"/>
      <c r="G610"/>
      <c r="H610"/>
      <c r="I610"/>
      <c r="J610"/>
      <c r="K610"/>
      <c r="L610"/>
      <c r="M610"/>
      <c r="N610"/>
      <c r="O610"/>
      <c r="P610"/>
      <c r="R610"/>
      <c r="S610"/>
      <c r="T610"/>
      <c r="U610"/>
      <c r="V610"/>
      <c r="W610"/>
      <c r="X610"/>
      <c r="Y610"/>
    </row>
    <row r="611" spans="2:25">
      <c r="B611"/>
      <c r="D611"/>
      <c r="E611"/>
      <c r="F611"/>
      <c r="G611"/>
      <c r="H611"/>
      <c r="I611"/>
      <c r="J611"/>
      <c r="K611"/>
      <c r="L611"/>
      <c r="M611"/>
      <c r="N611"/>
      <c r="O611"/>
      <c r="P611"/>
      <c r="R611"/>
      <c r="S611"/>
      <c r="T611"/>
      <c r="U611"/>
      <c r="V611"/>
      <c r="W611"/>
      <c r="X611"/>
      <c r="Y611"/>
    </row>
    <row r="612" spans="2:25">
      <c r="B612"/>
      <c r="D612"/>
      <c r="E612"/>
      <c r="F612"/>
      <c r="G612"/>
      <c r="H612"/>
      <c r="I612"/>
      <c r="J612"/>
      <c r="K612"/>
      <c r="L612"/>
      <c r="M612"/>
      <c r="N612"/>
      <c r="O612"/>
      <c r="P612"/>
      <c r="R612"/>
      <c r="S612"/>
      <c r="T612"/>
      <c r="U612"/>
      <c r="V612"/>
      <c r="W612"/>
      <c r="X612"/>
      <c r="Y612"/>
    </row>
    <row r="613" spans="2:25">
      <c r="B613"/>
      <c r="D613"/>
      <c r="E613"/>
      <c r="F613"/>
      <c r="G613"/>
      <c r="H613"/>
      <c r="I613"/>
      <c r="J613"/>
      <c r="K613"/>
      <c r="L613"/>
      <c r="M613"/>
      <c r="N613"/>
      <c r="O613"/>
      <c r="P613"/>
      <c r="R613"/>
      <c r="S613"/>
      <c r="T613"/>
      <c r="U613"/>
      <c r="V613"/>
      <c r="W613"/>
      <c r="X613"/>
      <c r="Y613"/>
    </row>
    <row r="614" spans="2:25">
      <c r="B614"/>
      <c r="D614"/>
      <c r="E614"/>
      <c r="F614"/>
      <c r="G614"/>
      <c r="H614"/>
      <c r="I614"/>
      <c r="J614"/>
      <c r="K614"/>
      <c r="L614"/>
      <c r="M614"/>
      <c r="N614"/>
      <c r="O614"/>
      <c r="P614"/>
      <c r="R614"/>
      <c r="S614"/>
      <c r="T614"/>
      <c r="U614"/>
      <c r="V614"/>
      <c r="W614"/>
      <c r="X614"/>
      <c r="Y614"/>
    </row>
    <row r="615" spans="2:25">
      <c r="B615"/>
      <c r="D615"/>
      <c r="E615"/>
      <c r="F615"/>
      <c r="G615"/>
      <c r="H615"/>
      <c r="I615"/>
      <c r="J615"/>
      <c r="K615"/>
      <c r="L615"/>
      <c r="M615"/>
      <c r="N615"/>
      <c r="O615"/>
      <c r="P615"/>
      <c r="R615"/>
      <c r="S615"/>
      <c r="T615"/>
      <c r="U615"/>
      <c r="V615"/>
      <c r="W615"/>
      <c r="X615"/>
      <c r="Y615"/>
    </row>
    <row r="616" spans="2:25">
      <c r="B616"/>
      <c r="D616"/>
      <c r="E616"/>
      <c r="F616"/>
      <c r="G616"/>
      <c r="H616"/>
      <c r="I616"/>
      <c r="J616"/>
      <c r="K616"/>
      <c r="L616"/>
      <c r="M616"/>
      <c r="N616"/>
      <c r="O616"/>
      <c r="P616"/>
      <c r="R616"/>
      <c r="S616"/>
      <c r="T616"/>
      <c r="U616"/>
      <c r="V616"/>
      <c r="W616"/>
      <c r="X616"/>
      <c r="Y616"/>
    </row>
    <row r="617" spans="2:25">
      <c r="B617"/>
      <c r="D617"/>
      <c r="E617"/>
      <c r="F617"/>
      <c r="G617"/>
      <c r="H617"/>
      <c r="I617"/>
      <c r="J617"/>
      <c r="K617"/>
      <c r="L617"/>
      <c r="M617"/>
      <c r="N617"/>
      <c r="O617"/>
      <c r="P617"/>
      <c r="R617"/>
      <c r="S617"/>
      <c r="T617"/>
      <c r="U617"/>
      <c r="V617"/>
      <c r="W617"/>
      <c r="X617"/>
      <c r="Y617"/>
    </row>
    <row r="618" spans="2:25">
      <c r="B618"/>
      <c r="D618"/>
      <c r="E618"/>
      <c r="F618"/>
      <c r="G618"/>
      <c r="H618"/>
      <c r="I618"/>
      <c r="J618"/>
      <c r="K618"/>
      <c r="L618"/>
      <c r="M618"/>
      <c r="N618"/>
      <c r="O618"/>
      <c r="P618"/>
      <c r="R618"/>
      <c r="S618"/>
      <c r="T618"/>
      <c r="U618"/>
      <c r="V618"/>
      <c r="W618"/>
      <c r="X618"/>
      <c r="Y618"/>
    </row>
    <row r="619" spans="2:25">
      <c r="B619"/>
      <c r="D619"/>
      <c r="E619"/>
      <c r="F619"/>
      <c r="G619"/>
      <c r="H619"/>
      <c r="I619"/>
      <c r="J619"/>
      <c r="K619"/>
      <c r="L619"/>
      <c r="M619"/>
      <c r="N619"/>
      <c r="O619"/>
      <c r="P619"/>
      <c r="R619"/>
      <c r="S619"/>
      <c r="T619"/>
      <c r="U619"/>
      <c r="V619"/>
      <c r="W619"/>
      <c r="X619"/>
      <c r="Y619"/>
    </row>
    <row r="620" spans="2:25">
      <c r="B620"/>
      <c r="D620"/>
      <c r="E620"/>
      <c r="F620"/>
      <c r="G620"/>
      <c r="H620"/>
      <c r="I620"/>
      <c r="J620"/>
      <c r="K620"/>
      <c r="L620"/>
      <c r="M620"/>
      <c r="N620"/>
      <c r="O620"/>
      <c r="P620"/>
      <c r="R620"/>
      <c r="S620"/>
      <c r="T620"/>
      <c r="U620"/>
      <c r="V620"/>
      <c r="W620"/>
      <c r="X620"/>
      <c r="Y620"/>
    </row>
    <row r="621" spans="2:25">
      <c r="B621"/>
      <c r="D621"/>
      <c r="E621"/>
      <c r="F621"/>
      <c r="G621"/>
      <c r="H621"/>
      <c r="I621"/>
      <c r="J621"/>
      <c r="K621"/>
      <c r="L621"/>
      <c r="M621"/>
      <c r="N621"/>
      <c r="O621"/>
      <c r="P621"/>
      <c r="R621"/>
      <c r="S621"/>
      <c r="T621"/>
      <c r="U621"/>
      <c r="V621"/>
      <c r="W621"/>
      <c r="X621"/>
      <c r="Y621"/>
    </row>
    <row r="622" spans="2:25">
      <c r="B622"/>
      <c r="D622"/>
      <c r="E622"/>
      <c r="F622"/>
      <c r="G622"/>
      <c r="H622"/>
      <c r="I622"/>
      <c r="J622"/>
      <c r="K622"/>
      <c r="L622"/>
      <c r="M622"/>
      <c r="N622"/>
      <c r="O622"/>
      <c r="P622"/>
      <c r="R622"/>
      <c r="S622"/>
      <c r="T622"/>
      <c r="U622"/>
      <c r="V622"/>
      <c r="W622"/>
      <c r="X622"/>
      <c r="Y622"/>
    </row>
    <row r="623" spans="2:25">
      <c r="B623"/>
      <c r="D623"/>
      <c r="E623"/>
      <c r="F623"/>
      <c r="G623"/>
      <c r="H623"/>
      <c r="I623"/>
      <c r="J623"/>
      <c r="K623"/>
      <c r="L623"/>
      <c r="M623"/>
      <c r="N623"/>
      <c r="O623"/>
      <c r="P623"/>
      <c r="R623"/>
      <c r="S623"/>
      <c r="T623"/>
      <c r="U623"/>
      <c r="V623"/>
      <c r="W623"/>
      <c r="X623"/>
      <c r="Y623"/>
    </row>
    <row r="624" spans="2:25">
      <c r="B624"/>
      <c r="D624"/>
      <c r="E624"/>
      <c r="F624"/>
      <c r="G624"/>
      <c r="H624"/>
      <c r="I624"/>
      <c r="J624"/>
      <c r="K624"/>
      <c r="L624"/>
      <c r="M624"/>
      <c r="N624"/>
      <c r="O624"/>
      <c r="P624"/>
      <c r="R624"/>
      <c r="S624"/>
      <c r="T624"/>
      <c r="U624"/>
      <c r="V624"/>
      <c r="W624"/>
      <c r="X624"/>
      <c r="Y624"/>
    </row>
    <row r="625" spans="2:25">
      <c r="B625"/>
      <c r="D625"/>
      <c r="E625"/>
      <c r="F625"/>
      <c r="G625"/>
      <c r="H625"/>
      <c r="I625"/>
      <c r="J625"/>
      <c r="K625"/>
      <c r="L625"/>
      <c r="M625"/>
      <c r="N625"/>
      <c r="O625"/>
      <c r="P625"/>
      <c r="R625"/>
      <c r="S625"/>
      <c r="T625"/>
      <c r="U625"/>
      <c r="V625"/>
      <c r="W625"/>
      <c r="X625"/>
      <c r="Y625"/>
    </row>
    <row r="626" spans="2:25">
      <c r="B626"/>
      <c r="D626"/>
      <c r="E626"/>
      <c r="F626"/>
      <c r="G626"/>
      <c r="H626"/>
      <c r="I626"/>
      <c r="J626"/>
      <c r="K626"/>
      <c r="L626"/>
      <c r="M626"/>
      <c r="N626"/>
      <c r="O626"/>
      <c r="P626"/>
      <c r="R626"/>
      <c r="S626"/>
      <c r="T626"/>
      <c r="U626"/>
      <c r="V626"/>
      <c r="W626"/>
      <c r="X626"/>
      <c r="Y626"/>
    </row>
    <row r="627" spans="2:25">
      <c r="B627"/>
      <c r="D627"/>
      <c r="E627"/>
      <c r="F627"/>
      <c r="G627"/>
      <c r="H627"/>
      <c r="I627"/>
      <c r="J627"/>
      <c r="K627"/>
      <c r="L627"/>
      <c r="M627"/>
      <c r="N627"/>
      <c r="O627"/>
      <c r="P627"/>
      <c r="R627"/>
      <c r="S627"/>
      <c r="T627"/>
      <c r="U627"/>
      <c r="V627"/>
      <c r="W627"/>
      <c r="X627"/>
      <c r="Y627"/>
    </row>
    <row r="628" spans="2:25">
      <c r="B628"/>
      <c r="D628"/>
      <c r="E628"/>
      <c r="F628"/>
      <c r="G628"/>
      <c r="H628"/>
      <c r="I628"/>
      <c r="J628"/>
      <c r="K628"/>
      <c r="L628"/>
      <c r="M628"/>
      <c r="N628"/>
      <c r="O628"/>
      <c r="P628"/>
      <c r="R628"/>
      <c r="S628"/>
      <c r="T628"/>
      <c r="U628"/>
      <c r="V628"/>
      <c r="W628"/>
      <c r="X628"/>
      <c r="Y628"/>
    </row>
    <row r="629" spans="2:25">
      <c r="B629"/>
      <c r="D629"/>
      <c r="E629"/>
      <c r="F629"/>
      <c r="G629"/>
      <c r="H629"/>
      <c r="I629"/>
      <c r="J629"/>
      <c r="K629"/>
      <c r="L629"/>
      <c r="M629"/>
      <c r="N629"/>
      <c r="O629"/>
      <c r="P629"/>
      <c r="R629"/>
      <c r="S629"/>
      <c r="T629"/>
      <c r="U629"/>
      <c r="V629"/>
      <c r="W629"/>
      <c r="X629"/>
      <c r="Y629"/>
    </row>
    <row r="630" spans="2:25">
      <c r="B630"/>
      <c r="D630"/>
      <c r="E630"/>
      <c r="F630"/>
      <c r="G630"/>
      <c r="H630"/>
      <c r="I630"/>
      <c r="J630"/>
      <c r="K630"/>
      <c r="L630"/>
      <c r="M630"/>
      <c r="N630"/>
      <c r="O630"/>
      <c r="P630"/>
      <c r="R630"/>
      <c r="S630"/>
      <c r="T630"/>
      <c r="U630"/>
      <c r="V630"/>
      <c r="W630"/>
      <c r="X630"/>
      <c r="Y630"/>
    </row>
    <row r="631" spans="2:25">
      <c r="B631"/>
      <c r="D631"/>
      <c r="E631"/>
      <c r="F631"/>
      <c r="G631"/>
      <c r="H631"/>
      <c r="I631"/>
      <c r="J631"/>
      <c r="K631"/>
      <c r="L631"/>
      <c r="M631"/>
      <c r="N631"/>
      <c r="O631"/>
      <c r="P631"/>
      <c r="R631"/>
      <c r="S631"/>
      <c r="T631"/>
      <c r="U631"/>
      <c r="V631"/>
      <c r="W631"/>
      <c r="X631"/>
      <c r="Y631"/>
    </row>
    <row r="632" spans="2:25">
      <c r="B632"/>
      <c r="D632"/>
      <c r="E632"/>
      <c r="F632"/>
      <c r="G632"/>
      <c r="H632"/>
      <c r="I632"/>
      <c r="J632"/>
      <c r="K632"/>
      <c r="L632"/>
      <c r="M632"/>
      <c r="N632"/>
      <c r="O632"/>
      <c r="P632"/>
      <c r="R632"/>
      <c r="S632"/>
      <c r="T632"/>
      <c r="U632"/>
      <c r="V632"/>
      <c r="W632"/>
      <c r="X632"/>
      <c r="Y632"/>
    </row>
    <row r="633" spans="2:25">
      <c r="B633"/>
      <c r="D633"/>
      <c r="E633"/>
      <c r="F633"/>
      <c r="G633"/>
      <c r="H633"/>
      <c r="I633"/>
      <c r="J633"/>
      <c r="K633"/>
      <c r="L633"/>
      <c r="M633"/>
      <c r="N633"/>
      <c r="O633"/>
      <c r="P633"/>
      <c r="R633"/>
      <c r="S633"/>
      <c r="T633"/>
      <c r="U633"/>
      <c r="V633"/>
      <c r="W633"/>
      <c r="X633"/>
      <c r="Y633"/>
    </row>
    <row r="634" spans="2:25">
      <c r="B634"/>
      <c r="D634"/>
      <c r="E634"/>
      <c r="F634"/>
      <c r="G634"/>
      <c r="H634"/>
      <c r="I634"/>
      <c r="J634"/>
      <c r="K634"/>
      <c r="L634"/>
      <c r="M634"/>
      <c r="N634"/>
      <c r="O634"/>
      <c r="P634"/>
      <c r="R634"/>
      <c r="S634"/>
      <c r="T634"/>
      <c r="U634"/>
      <c r="V634"/>
      <c r="W634"/>
      <c r="X634"/>
      <c r="Y634"/>
    </row>
    <row r="635" spans="2:25">
      <c r="B635"/>
      <c r="D635"/>
      <c r="E635"/>
      <c r="F635"/>
      <c r="G635"/>
      <c r="H635"/>
      <c r="I635"/>
      <c r="J635"/>
      <c r="K635"/>
      <c r="L635"/>
      <c r="M635"/>
      <c r="N635"/>
      <c r="O635"/>
      <c r="P635"/>
      <c r="R635"/>
      <c r="S635"/>
      <c r="T635"/>
      <c r="U635"/>
      <c r="V635"/>
      <c r="W635"/>
      <c r="X635"/>
      <c r="Y635"/>
    </row>
    <row r="636" spans="2:25">
      <c r="B636"/>
      <c r="D636"/>
      <c r="E636"/>
      <c r="F636"/>
      <c r="G636"/>
      <c r="H636"/>
      <c r="I636"/>
      <c r="J636"/>
      <c r="K636"/>
      <c r="L636"/>
      <c r="M636"/>
      <c r="N636"/>
      <c r="O636"/>
      <c r="P636"/>
      <c r="R636"/>
      <c r="S636"/>
      <c r="T636"/>
      <c r="U636"/>
      <c r="V636"/>
      <c r="W636"/>
      <c r="X636"/>
      <c r="Y636"/>
    </row>
    <row r="637" spans="2:25">
      <c r="B637"/>
      <c r="D637"/>
      <c r="E637"/>
      <c r="F637"/>
      <c r="G637"/>
      <c r="H637"/>
      <c r="I637"/>
      <c r="J637"/>
      <c r="K637"/>
      <c r="L637"/>
      <c r="M637"/>
      <c r="N637"/>
      <c r="O637"/>
      <c r="P637"/>
      <c r="R637"/>
      <c r="S637"/>
      <c r="T637"/>
      <c r="U637"/>
      <c r="V637"/>
      <c r="W637"/>
      <c r="X637"/>
      <c r="Y637"/>
    </row>
    <row r="638" spans="2:25">
      <c r="B638"/>
      <c r="D638"/>
      <c r="E638"/>
      <c r="F638"/>
      <c r="G638"/>
      <c r="H638"/>
      <c r="I638"/>
      <c r="J638"/>
      <c r="K638"/>
      <c r="L638"/>
      <c r="M638"/>
      <c r="N638"/>
      <c r="O638"/>
      <c r="P638"/>
      <c r="R638"/>
      <c r="S638"/>
      <c r="T638"/>
      <c r="U638"/>
      <c r="V638"/>
      <c r="W638"/>
      <c r="X638"/>
      <c r="Y638"/>
    </row>
    <row r="639" spans="2:25">
      <c r="B639"/>
      <c r="D639"/>
      <c r="E639"/>
      <c r="F639"/>
      <c r="G639"/>
      <c r="H639"/>
      <c r="I639"/>
      <c r="J639"/>
      <c r="K639"/>
      <c r="L639"/>
      <c r="M639"/>
      <c r="N639"/>
      <c r="O639"/>
      <c r="P639"/>
      <c r="R639"/>
      <c r="S639"/>
      <c r="T639"/>
      <c r="U639"/>
      <c r="V639"/>
      <c r="W639"/>
      <c r="X639"/>
      <c r="Y639"/>
    </row>
    <row r="640" spans="2:25">
      <c r="B640"/>
      <c r="D640"/>
      <c r="E640"/>
      <c r="F640"/>
      <c r="G640"/>
      <c r="H640"/>
      <c r="I640"/>
      <c r="J640"/>
      <c r="K640"/>
      <c r="L640"/>
      <c r="M640"/>
      <c r="N640"/>
      <c r="O640"/>
      <c r="P640"/>
      <c r="R640"/>
      <c r="S640"/>
      <c r="T640"/>
      <c r="U640"/>
      <c r="V640"/>
      <c r="W640"/>
      <c r="X640"/>
      <c r="Y640"/>
    </row>
    <row r="641" spans="2:25">
      <c r="B641"/>
      <c r="D641"/>
      <c r="E641"/>
      <c r="F641"/>
      <c r="G641"/>
      <c r="H641"/>
      <c r="I641"/>
      <c r="J641"/>
      <c r="K641"/>
      <c r="L641"/>
      <c r="M641"/>
      <c r="N641"/>
      <c r="O641"/>
      <c r="P641"/>
      <c r="R641"/>
      <c r="S641"/>
      <c r="T641"/>
      <c r="U641"/>
      <c r="V641"/>
      <c r="W641"/>
      <c r="X641"/>
      <c r="Y641"/>
    </row>
    <row r="642" spans="2:25">
      <c r="B642"/>
      <c r="D642"/>
      <c r="E642"/>
      <c r="F642"/>
      <c r="G642"/>
      <c r="H642"/>
      <c r="I642"/>
      <c r="J642"/>
      <c r="K642"/>
      <c r="L642"/>
      <c r="M642"/>
      <c r="N642"/>
      <c r="O642"/>
      <c r="P642"/>
      <c r="R642"/>
      <c r="S642"/>
      <c r="T642"/>
      <c r="U642"/>
      <c r="V642"/>
      <c r="W642"/>
      <c r="X642"/>
      <c r="Y642"/>
    </row>
    <row r="643" spans="2:25">
      <c r="B643"/>
      <c r="D643"/>
      <c r="E643"/>
      <c r="F643"/>
      <c r="G643"/>
      <c r="H643"/>
      <c r="I643"/>
      <c r="J643"/>
      <c r="K643"/>
      <c r="L643"/>
      <c r="M643"/>
      <c r="N643"/>
      <c r="O643"/>
      <c r="P643"/>
      <c r="R643"/>
      <c r="S643"/>
      <c r="T643"/>
      <c r="U643"/>
      <c r="V643"/>
      <c r="W643"/>
      <c r="X643"/>
      <c r="Y643"/>
    </row>
    <row r="644" spans="2:25">
      <c r="B644"/>
      <c r="D644"/>
      <c r="E644"/>
      <c r="F644"/>
      <c r="G644"/>
      <c r="H644"/>
      <c r="I644"/>
      <c r="J644"/>
      <c r="K644"/>
      <c r="L644"/>
      <c r="M644"/>
      <c r="N644"/>
      <c r="O644"/>
      <c r="P644"/>
      <c r="R644"/>
      <c r="S644"/>
      <c r="T644"/>
      <c r="U644"/>
      <c r="V644"/>
      <c r="W644"/>
      <c r="X644"/>
      <c r="Y644"/>
    </row>
    <row r="645" spans="2:25">
      <c r="B645"/>
      <c r="D645"/>
      <c r="E645"/>
      <c r="F645"/>
      <c r="G645"/>
      <c r="H645"/>
      <c r="I645"/>
      <c r="J645"/>
      <c r="K645"/>
      <c r="L645"/>
      <c r="M645"/>
      <c r="N645"/>
      <c r="O645"/>
      <c r="P645"/>
      <c r="R645"/>
      <c r="S645"/>
      <c r="T645"/>
      <c r="U645"/>
      <c r="V645"/>
      <c r="W645"/>
      <c r="X645"/>
      <c r="Y645"/>
    </row>
    <row r="646" spans="2:25">
      <c r="B646"/>
      <c r="D646"/>
      <c r="E646"/>
      <c r="F646"/>
      <c r="G646"/>
      <c r="H646"/>
      <c r="I646"/>
      <c r="J646"/>
      <c r="K646"/>
      <c r="L646"/>
      <c r="M646"/>
      <c r="N646"/>
      <c r="O646"/>
      <c r="P646"/>
      <c r="R646"/>
      <c r="S646"/>
      <c r="T646"/>
      <c r="U646"/>
      <c r="V646"/>
      <c r="W646"/>
      <c r="X646"/>
      <c r="Y646"/>
    </row>
    <row r="647" spans="2:25">
      <c r="B647"/>
      <c r="D647"/>
      <c r="E647"/>
      <c r="F647"/>
      <c r="G647"/>
      <c r="H647"/>
      <c r="I647"/>
      <c r="J647"/>
      <c r="K647"/>
      <c r="L647"/>
      <c r="M647"/>
      <c r="N647"/>
      <c r="O647"/>
      <c r="P647"/>
      <c r="R647"/>
      <c r="S647"/>
      <c r="T647"/>
      <c r="U647"/>
      <c r="V647"/>
      <c r="W647"/>
      <c r="X647"/>
      <c r="Y647"/>
    </row>
    <row r="648" spans="2:25">
      <c r="B648"/>
      <c r="D648"/>
      <c r="E648"/>
      <c r="F648"/>
      <c r="G648"/>
      <c r="H648"/>
      <c r="I648"/>
      <c r="J648"/>
      <c r="K648"/>
      <c r="L648"/>
      <c r="M648"/>
      <c r="N648"/>
      <c r="O648"/>
      <c r="P648"/>
      <c r="R648"/>
      <c r="S648"/>
      <c r="T648"/>
      <c r="U648"/>
      <c r="V648"/>
      <c r="W648"/>
      <c r="X648"/>
      <c r="Y648"/>
    </row>
    <row r="649" spans="2:25">
      <c r="B649"/>
      <c r="D649"/>
      <c r="E649"/>
      <c r="F649"/>
      <c r="G649"/>
      <c r="H649"/>
      <c r="I649"/>
      <c r="J649"/>
      <c r="K649"/>
      <c r="L649"/>
      <c r="M649"/>
      <c r="N649"/>
      <c r="O649"/>
      <c r="P649"/>
      <c r="R649"/>
      <c r="S649"/>
      <c r="T649"/>
      <c r="U649"/>
      <c r="V649"/>
      <c r="W649"/>
      <c r="X649"/>
      <c r="Y649"/>
    </row>
    <row r="650" spans="2:25">
      <c r="B650"/>
      <c r="D650"/>
      <c r="E650"/>
      <c r="F650"/>
      <c r="G650"/>
      <c r="H650"/>
      <c r="I650"/>
      <c r="J650"/>
      <c r="K650"/>
      <c r="L650"/>
      <c r="M650"/>
      <c r="N650"/>
      <c r="O650"/>
      <c r="P650"/>
      <c r="R650"/>
      <c r="S650"/>
      <c r="T650"/>
      <c r="U650"/>
      <c r="V650"/>
      <c r="W650"/>
      <c r="X650"/>
      <c r="Y650"/>
    </row>
    <row r="651" spans="2:25">
      <c r="B651"/>
      <c r="D651"/>
      <c r="E651"/>
      <c r="F651"/>
      <c r="G651"/>
      <c r="H651"/>
      <c r="I651"/>
      <c r="J651"/>
      <c r="K651"/>
      <c r="L651"/>
      <c r="M651"/>
      <c r="N651"/>
      <c r="O651"/>
      <c r="P651"/>
      <c r="R651"/>
      <c r="S651"/>
      <c r="T651"/>
      <c r="U651"/>
      <c r="V651"/>
      <c r="W651"/>
      <c r="X651"/>
      <c r="Y651"/>
    </row>
    <row r="652" spans="2:25">
      <c r="B652"/>
      <c r="D652"/>
      <c r="E652"/>
      <c r="F652"/>
      <c r="G652"/>
      <c r="H652"/>
      <c r="I652"/>
      <c r="J652"/>
      <c r="K652"/>
      <c r="L652"/>
      <c r="M652"/>
      <c r="N652"/>
      <c r="O652"/>
      <c r="P652"/>
      <c r="R652"/>
      <c r="S652"/>
      <c r="T652"/>
      <c r="U652"/>
      <c r="V652"/>
      <c r="W652"/>
      <c r="X652"/>
      <c r="Y652"/>
    </row>
    <row r="653" spans="2:25">
      <c r="B653"/>
      <c r="D653"/>
      <c r="E653"/>
      <c r="F653"/>
      <c r="G653"/>
      <c r="H653"/>
      <c r="I653"/>
      <c r="J653"/>
      <c r="K653"/>
      <c r="L653"/>
      <c r="M653"/>
      <c r="N653"/>
      <c r="O653"/>
      <c r="P653"/>
      <c r="R653"/>
      <c r="S653"/>
      <c r="T653"/>
      <c r="U653"/>
      <c r="V653"/>
      <c r="W653"/>
      <c r="X653"/>
      <c r="Y653"/>
    </row>
    <row r="654" spans="2:25">
      <c r="B654"/>
      <c r="D654"/>
      <c r="E654"/>
      <c r="F654"/>
      <c r="G654"/>
      <c r="H654"/>
      <c r="I654"/>
      <c r="J654"/>
      <c r="K654"/>
      <c r="L654"/>
      <c r="M654"/>
      <c r="N654"/>
      <c r="O654"/>
      <c r="P654"/>
      <c r="R654"/>
      <c r="S654"/>
      <c r="T654"/>
      <c r="U654"/>
      <c r="V654"/>
      <c r="W654"/>
      <c r="X654"/>
      <c r="Y654"/>
    </row>
    <row r="655" spans="2:25">
      <c r="B655"/>
      <c r="D655"/>
      <c r="E655"/>
      <c r="F655"/>
      <c r="G655"/>
      <c r="H655"/>
      <c r="I655"/>
      <c r="J655"/>
      <c r="K655"/>
      <c r="L655"/>
      <c r="M655"/>
      <c r="N655"/>
      <c r="O655"/>
      <c r="P655"/>
      <c r="R655"/>
      <c r="S655"/>
      <c r="T655"/>
      <c r="U655"/>
      <c r="V655"/>
      <c r="W655"/>
      <c r="X655"/>
      <c r="Y655"/>
    </row>
    <row r="656" spans="2:25">
      <c r="B656"/>
      <c r="D656"/>
      <c r="E656"/>
      <c r="F656"/>
      <c r="G656"/>
      <c r="H656"/>
      <c r="I656"/>
      <c r="J656"/>
      <c r="K656"/>
      <c r="L656"/>
      <c r="M656"/>
      <c r="N656"/>
      <c r="O656"/>
      <c r="P656"/>
      <c r="R656"/>
      <c r="S656"/>
      <c r="T656"/>
      <c r="U656"/>
      <c r="V656"/>
      <c r="W656"/>
      <c r="X656"/>
      <c r="Y656"/>
    </row>
    <row r="657" spans="2:25">
      <c r="B657"/>
      <c r="D657"/>
      <c r="E657"/>
      <c r="F657"/>
      <c r="G657"/>
      <c r="H657"/>
      <c r="I657"/>
      <c r="J657"/>
      <c r="K657"/>
      <c r="L657"/>
      <c r="M657"/>
      <c r="N657"/>
      <c r="O657"/>
      <c r="P657"/>
      <c r="R657"/>
      <c r="S657"/>
      <c r="T657"/>
      <c r="U657"/>
      <c r="V657"/>
      <c r="W657"/>
      <c r="X657"/>
      <c r="Y657"/>
    </row>
    <row r="658" spans="2:25">
      <c r="B658"/>
      <c r="D658"/>
      <c r="E658"/>
      <c r="F658"/>
      <c r="G658"/>
      <c r="H658"/>
      <c r="I658"/>
      <c r="J658"/>
      <c r="K658"/>
      <c r="L658"/>
      <c r="M658"/>
      <c r="N658"/>
      <c r="O658"/>
      <c r="P658"/>
      <c r="R658"/>
      <c r="S658"/>
      <c r="T658"/>
      <c r="U658"/>
      <c r="V658"/>
      <c r="W658"/>
      <c r="X658"/>
      <c r="Y658"/>
    </row>
    <row r="659" spans="2:25">
      <c r="B659"/>
      <c r="D659"/>
      <c r="E659"/>
      <c r="F659"/>
      <c r="G659"/>
      <c r="H659"/>
      <c r="I659"/>
      <c r="J659"/>
      <c r="K659"/>
      <c r="L659"/>
      <c r="M659"/>
      <c r="N659"/>
      <c r="O659"/>
      <c r="P659"/>
      <c r="R659"/>
      <c r="S659"/>
      <c r="T659"/>
      <c r="U659"/>
      <c r="V659"/>
      <c r="W659"/>
      <c r="X659"/>
      <c r="Y659"/>
    </row>
    <row r="660" spans="2:25">
      <c r="B660"/>
      <c r="D660"/>
      <c r="E660"/>
      <c r="F660"/>
      <c r="G660"/>
      <c r="H660"/>
      <c r="I660"/>
      <c r="J660"/>
      <c r="K660"/>
      <c r="L660"/>
      <c r="M660"/>
      <c r="N660"/>
      <c r="O660"/>
      <c r="P660"/>
      <c r="R660"/>
      <c r="S660"/>
      <c r="T660"/>
      <c r="U660"/>
      <c r="V660"/>
      <c r="W660"/>
      <c r="X660"/>
      <c r="Y660"/>
    </row>
    <row r="661" spans="2:25">
      <c r="B661"/>
      <c r="D661"/>
      <c r="E661"/>
      <c r="F661"/>
      <c r="G661"/>
      <c r="H661"/>
      <c r="I661"/>
      <c r="J661"/>
      <c r="K661"/>
      <c r="L661"/>
      <c r="M661"/>
      <c r="N661"/>
      <c r="O661"/>
      <c r="P661"/>
      <c r="R661"/>
      <c r="S661"/>
      <c r="T661"/>
      <c r="U661"/>
      <c r="V661"/>
      <c r="W661"/>
      <c r="X661"/>
      <c r="Y661"/>
    </row>
    <row r="662" spans="2:25">
      <c r="B662"/>
      <c r="D662"/>
      <c r="E662"/>
      <c r="F662"/>
      <c r="G662"/>
      <c r="H662"/>
      <c r="I662"/>
      <c r="J662"/>
      <c r="K662"/>
      <c r="L662"/>
      <c r="M662"/>
      <c r="N662"/>
      <c r="O662"/>
      <c r="P662"/>
      <c r="R662"/>
      <c r="S662"/>
      <c r="T662"/>
      <c r="U662"/>
      <c r="V662"/>
      <c r="W662"/>
      <c r="X662"/>
      <c r="Y662"/>
    </row>
    <row r="663" spans="2:25">
      <c r="B663"/>
      <c r="D663"/>
      <c r="E663"/>
      <c r="F663"/>
      <c r="G663"/>
      <c r="H663"/>
      <c r="I663"/>
      <c r="J663"/>
      <c r="K663"/>
      <c r="L663"/>
      <c r="M663"/>
      <c r="N663"/>
      <c r="O663"/>
      <c r="P663"/>
      <c r="R663"/>
      <c r="S663"/>
      <c r="T663"/>
      <c r="U663"/>
      <c r="V663"/>
      <c r="W663"/>
      <c r="X663"/>
      <c r="Y663"/>
    </row>
    <row r="664" spans="2:25">
      <c r="B664"/>
      <c r="D664"/>
      <c r="E664"/>
      <c r="F664"/>
      <c r="G664"/>
      <c r="H664"/>
      <c r="I664"/>
      <c r="J664"/>
      <c r="K664"/>
      <c r="L664"/>
      <c r="M664"/>
      <c r="N664"/>
      <c r="O664"/>
      <c r="P664"/>
      <c r="R664"/>
      <c r="S664"/>
      <c r="T664"/>
      <c r="U664"/>
      <c r="V664"/>
      <c r="W664"/>
      <c r="X664"/>
      <c r="Y664"/>
    </row>
    <row r="665" spans="2:25">
      <c r="B665"/>
      <c r="D665"/>
      <c r="E665"/>
      <c r="F665"/>
      <c r="G665"/>
      <c r="H665"/>
      <c r="I665"/>
      <c r="J665"/>
      <c r="K665"/>
      <c r="L665"/>
      <c r="M665"/>
      <c r="N665"/>
      <c r="O665"/>
      <c r="P665"/>
      <c r="R665"/>
      <c r="S665"/>
      <c r="T665"/>
      <c r="U665"/>
      <c r="V665"/>
      <c r="W665"/>
      <c r="X665"/>
      <c r="Y665"/>
    </row>
    <row r="666" spans="2:25">
      <c r="B666"/>
      <c r="D666"/>
      <c r="E666"/>
      <c r="F666"/>
      <c r="G666"/>
      <c r="H666"/>
      <c r="I666"/>
      <c r="J666"/>
      <c r="K666"/>
      <c r="L666"/>
      <c r="M666"/>
      <c r="N666"/>
      <c r="O666"/>
      <c r="P666"/>
      <c r="R666"/>
      <c r="S666"/>
      <c r="T666"/>
      <c r="U666"/>
      <c r="V666"/>
      <c r="W666"/>
      <c r="X666"/>
      <c r="Y666"/>
    </row>
    <row r="667" spans="2:25">
      <c r="B667"/>
      <c r="D667"/>
      <c r="E667"/>
      <c r="F667"/>
      <c r="G667"/>
      <c r="H667"/>
      <c r="I667"/>
      <c r="J667"/>
      <c r="K667"/>
      <c r="L667"/>
      <c r="M667"/>
      <c r="N667"/>
      <c r="O667"/>
      <c r="P667"/>
      <c r="R667"/>
      <c r="S667"/>
      <c r="T667"/>
      <c r="U667"/>
      <c r="V667"/>
      <c r="W667"/>
      <c r="X667"/>
      <c r="Y667"/>
    </row>
    <row r="668" spans="2:25">
      <c r="B668"/>
      <c r="D668"/>
      <c r="E668"/>
      <c r="F668"/>
      <c r="G668"/>
      <c r="H668"/>
      <c r="I668"/>
      <c r="J668"/>
      <c r="K668"/>
      <c r="L668"/>
      <c r="M668"/>
      <c r="N668"/>
      <c r="O668"/>
      <c r="P668"/>
      <c r="R668"/>
      <c r="S668"/>
      <c r="T668"/>
      <c r="U668"/>
      <c r="V668"/>
      <c r="W668"/>
      <c r="X668"/>
      <c r="Y668"/>
    </row>
    <row r="669" spans="2:25">
      <c r="B669"/>
      <c r="D669"/>
      <c r="E669"/>
      <c r="F669"/>
      <c r="G669"/>
      <c r="H669"/>
      <c r="I669"/>
      <c r="J669"/>
      <c r="K669"/>
      <c r="L669"/>
      <c r="M669"/>
      <c r="N669"/>
      <c r="O669"/>
      <c r="P669"/>
      <c r="R669"/>
      <c r="S669"/>
      <c r="T669"/>
      <c r="U669"/>
      <c r="V669"/>
      <c r="W669"/>
      <c r="X669"/>
      <c r="Y669"/>
    </row>
    <row r="670" spans="2:25">
      <c r="B670"/>
      <c r="D670"/>
      <c r="E670"/>
      <c r="F670"/>
      <c r="G670"/>
      <c r="H670"/>
      <c r="I670"/>
      <c r="J670"/>
      <c r="K670"/>
      <c r="L670"/>
      <c r="M670"/>
      <c r="N670"/>
      <c r="O670"/>
      <c r="P670"/>
      <c r="R670"/>
      <c r="S670"/>
      <c r="T670"/>
      <c r="U670"/>
      <c r="V670"/>
      <c r="W670"/>
      <c r="X670"/>
      <c r="Y670"/>
    </row>
    <row r="671" spans="2:25">
      <c r="B671"/>
      <c r="D671"/>
      <c r="E671"/>
      <c r="F671"/>
      <c r="G671"/>
      <c r="H671"/>
      <c r="I671"/>
      <c r="J671"/>
      <c r="K671"/>
      <c r="L671"/>
      <c r="M671"/>
      <c r="N671"/>
      <c r="O671"/>
      <c r="P671"/>
      <c r="R671"/>
      <c r="S671"/>
      <c r="T671"/>
      <c r="U671"/>
      <c r="V671"/>
      <c r="W671"/>
      <c r="X671"/>
      <c r="Y671"/>
    </row>
    <row r="672" spans="2:25">
      <c r="B672"/>
      <c r="D672"/>
      <c r="E672"/>
      <c r="F672"/>
      <c r="G672"/>
      <c r="H672"/>
      <c r="I672"/>
      <c r="J672"/>
      <c r="K672"/>
      <c r="L672"/>
      <c r="M672"/>
      <c r="N672"/>
      <c r="O672"/>
      <c r="P672"/>
      <c r="R672"/>
      <c r="S672"/>
      <c r="T672"/>
      <c r="U672"/>
      <c r="V672"/>
      <c r="W672"/>
      <c r="X672"/>
      <c r="Y672"/>
    </row>
    <row r="673" spans="2:25">
      <c r="B673"/>
      <c r="D673"/>
      <c r="E673"/>
      <c r="F673"/>
      <c r="G673"/>
      <c r="H673"/>
      <c r="I673"/>
      <c r="J673"/>
      <c r="K673"/>
      <c r="L673"/>
      <c r="M673"/>
      <c r="N673"/>
      <c r="O673"/>
      <c r="P673"/>
      <c r="R673"/>
      <c r="S673"/>
      <c r="T673"/>
      <c r="U673"/>
      <c r="V673"/>
      <c r="W673"/>
      <c r="X673"/>
      <c r="Y673"/>
    </row>
    <row r="674" spans="2:25">
      <c r="B674"/>
      <c r="D674"/>
      <c r="E674"/>
      <c r="F674"/>
      <c r="G674"/>
      <c r="H674"/>
      <c r="I674"/>
      <c r="J674"/>
      <c r="K674"/>
      <c r="L674"/>
      <c r="M674"/>
      <c r="N674"/>
      <c r="O674"/>
      <c r="P674"/>
      <c r="R674"/>
      <c r="S674"/>
      <c r="T674"/>
      <c r="U674"/>
      <c r="V674"/>
      <c r="W674"/>
      <c r="X674"/>
      <c r="Y674"/>
    </row>
    <row r="675" spans="2:25">
      <c r="B675"/>
      <c r="D675"/>
      <c r="E675"/>
      <c r="F675"/>
      <c r="G675"/>
      <c r="H675"/>
      <c r="I675"/>
      <c r="J675"/>
      <c r="K675"/>
      <c r="L675"/>
      <c r="M675"/>
      <c r="N675"/>
      <c r="O675"/>
      <c r="P675"/>
      <c r="R675"/>
      <c r="S675"/>
      <c r="T675"/>
      <c r="U675"/>
      <c r="V675"/>
      <c r="W675"/>
      <c r="X675"/>
      <c r="Y675"/>
    </row>
    <row r="676" spans="2:25">
      <c r="B676"/>
      <c r="D676"/>
      <c r="E676"/>
      <c r="F676"/>
      <c r="G676"/>
      <c r="H676"/>
      <c r="I676"/>
      <c r="J676"/>
      <c r="K676"/>
      <c r="L676"/>
      <c r="M676"/>
      <c r="N676"/>
      <c r="O676"/>
      <c r="P676"/>
      <c r="R676"/>
      <c r="S676"/>
      <c r="T676"/>
      <c r="U676"/>
      <c r="V676"/>
      <c r="W676"/>
      <c r="X676"/>
      <c r="Y676"/>
    </row>
    <row r="677" spans="2:25">
      <c r="B677"/>
      <c r="D677"/>
      <c r="E677"/>
      <c r="F677"/>
      <c r="G677"/>
      <c r="H677"/>
      <c r="I677"/>
      <c r="J677"/>
      <c r="K677"/>
      <c r="L677"/>
      <c r="M677"/>
      <c r="N677"/>
      <c r="O677"/>
      <c r="P677"/>
      <c r="R677"/>
      <c r="S677"/>
      <c r="T677"/>
      <c r="U677"/>
      <c r="V677"/>
      <c r="W677"/>
      <c r="X677"/>
      <c r="Y677"/>
    </row>
    <row r="678" spans="2:25">
      <c r="B678"/>
      <c r="D678"/>
      <c r="E678"/>
      <c r="F678"/>
      <c r="G678"/>
      <c r="H678"/>
      <c r="I678"/>
      <c r="J678"/>
      <c r="K678"/>
      <c r="L678"/>
      <c r="M678"/>
      <c r="N678"/>
      <c r="O678"/>
      <c r="P678"/>
      <c r="R678"/>
      <c r="S678"/>
      <c r="T678"/>
      <c r="U678"/>
      <c r="V678"/>
      <c r="W678"/>
      <c r="X678"/>
      <c r="Y678"/>
    </row>
    <row r="679" spans="2:25">
      <c r="B679"/>
      <c r="D679"/>
      <c r="E679"/>
      <c r="F679"/>
      <c r="G679"/>
      <c r="H679"/>
      <c r="I679"/>
      <c r="J679"/>
      <c r="K679"/>
      <c r="L679"/>
      <c r="M679"/>
      <c r="N679"/>
      <c r="O679"/>
      <c r="P679"/>
      <c r="R679"/>
      <c r="S679"/>
      <c r="T679"/>
      <c r="U679"/>
      <c r="V679"/>
      <c r="W679"/>
      <c r="X679"/>
      <c r="Y679"/>
    </row>
    <row r="680" spans="2:25">
      <c r="B680"/>
      <c r="D680"/>
      <c r="E680"/>
      <c r="F680"/>
      <c r="G680"/>
      <c r="H680"/>
      <c r="I680"/>
      <c r="J680"/>
      <c r="K680"/>
      <c r="L680"/>
      <c r="M680"/>
      <c r="N680"/>
      <c r="O680"/>
      <c r="P680"/>
      <c r="R680"/>
      <c r="S680"/>
      <c r="T680"/>
      <c r="U680"/>
      <c r="V680"/>
      <c r="W680"/>
      <c r="X680"/>
      <c r="Y680"/>
    </row>
    <row r="681" spans="2:25">
      <c r="B681"/>
      <c r="D681"/>
      <c r="E681"/>
      <c r="F681"/>
      <c r="G681"/>
      <c r="H681"/>
      <c r="I681"/>
      <c r="J681"/>
      <c r="K681"/>
      <c r="L681"/>
      <c r="M681"/>
      <c r="N681"/>
      <c r="O681"/>
      <c r="P681"/>
      <c r="R681"/>
      <c r="S681"/>
      <c r="T681"/>
      <c r="U681"/>
      <c r="V681"/>
      <c r="W681"/>
      <c r="X681"/>
      <c r="Y681"/>
    </row>
    <row r="682" spans="2:25">
      <c r="B682"/>
      <c r="D682"/>
      <c r="E682"/>
      <c r="F682"/>
      <c r="G682"/>
      <c r="H682"/>
      <c r="I682"/>
      <c r="J682"/>
      <c r="K682"/>
      <c r="L682"/>
      <c r="M682"/>
      <c r="N682"/>
      <c r="O682"/>
      <c r="P682"/>
      <c r="R682"/>
      <c r="S682"/>
      <c r="T682"/>
      <c r="U682"/>
      <c r="V682"/>
      <c r="W682"/>
      <c r="X682"/>
      <c r="Y682"/>
    </row>
    <row r="683" spans="2:25">
      <c r="B683"/>
      <c r="D683"/>
      <c r="E683"/>
      <c r="F683"/>
      <c r="G683"/>
      <c r="H683"/>
      <c r="I683"/>
      <c r="J683"/>
      <c r="K683"/>
      <c r="L683"/>
      <c r="M683"/>
      <c r="N683"/>
      <c r="O683"/>
      <c r="P683"/>
      <c r="R683"/>
      <c r="S683"/>
      <c r="T683"/>
      <c r="U683"/>
      <c r="V683"/>
      <c r="W683"/>
      <c r="X683"/>
      <c r="Y683"/>
    </row>
    <row r="684" spans="2:25">
      <c r="B684"/>
      <c r="D684"/>
      <c r="E684"/>
      <c r="F684"/>
      <c r="G684"/>
      <c r="H684"/>
      <c r="I684"/>
      <c r="J684"/>
      <c r="K684"/>
      <c r="L684"/>
      <c r="M684"/>
      <c r="N684"/>
      <c r="O684"/>
      <c r="P684"/>
      <c r="R684"/>
      <c r="S684"/>
      <c r="T684"/>
      <c r="U684"/>
      <c r="V684"/>
      <c r="W684"/>
      <c r="X684"/>
      <c r="Y684"/>
    </row>
    <row r="685" spans="2:25">
      <c r="B685"/>
      <c r="D685"/>
      <c r="E685"/>
      <c r="F685"/>
      <c r="G685"/>
      <c r="H685"/>
      <c r="I685"/>
      <c r="J685"/>
      <c r="K685"/>
      <c r="L685"/>
      <c r="M685"/>
      <c r="N685"/>
      <c r="O685"/>
      <c r="P685"/>
      <c r="R685"/>
      <c r="S685"/>
      <c r="T685"/>
      <c r="U685"/>
      <c r="V685"/>
      <c r="W685"/>
      <c r="X685"/>
      <c r="Y685"/>
    </row>
    <row r="686" spans="2:25">
      <c r="B686"/>
      <c r="D686"/>
      <c r="E686"/>
      <c r="F686"/>
      <c r="G686"/>
      <c r="H686"/>
      <c r="I686"/>
      <c r="J686"/>
      <c r="K686"/>
      <c r="L686"/>
      <c r="M686"/>
      <c r="N686"/>
      <c r="O686"/>
      <c r="P686"/>
      <c r="R686"/>
      <c r="S686"/>
      <c r="T686"/>
      <c r="U686"/>
      <c r="V686"/>
      <c r="W686"/>
      <c r="X686"/>
      <c r="Y686"/>
    </row>
    <row r="687" spans="2:25">
      <c r="B687"/>
      <c r="D687"/>
      <c r="E687"/>
      <c r="F687"/>
      <c r="G687"/>
      <c r="H687"/>
      <c r="I687"/>
      <c r="J687"/>
      <c r="K687"/>
      <c r="L687"/>
      <c r="M687"/>
      <c r="N687"/>
      <c r="O687"/>
      <c r="P687"/>
      <c r="R687"/>
      <c r="S687"/>
      <c r="T687"/>
      <c r="U687"/>
      <c r="V687"/>
      <c r="W687"/>
      <c r="X687"/>
      <c r="Y687"/>
    </row>
    <row r="688" spans="2:25">
      <c r="B688"/>
      <c r="D688"/>
      <c r="E688"/>
      <c r="F688"/>
      <c r="G688"/>
      <c r="H688"/>
      <c r="I688"/>
      <c r="J688"/>
      <c r="K688"/>
      <c r="L688"/>
      <c r="M688"/>
      <c r="N688"/>
      <c r="O688"/>
      <c r="P688"/>
      <c r="R688"/>
      <c r="S688"/>
      <c r="T688"/>
      <c r="U688"/>
      <c r="V688"/>
      <c r="W688"/>
      <c r="X688"/>
      <c r="Y688"/>
    </row>
    <row r="689" spans="2:25">
      <c r="B689"/>
      <c r="D689"/>
      <c r="E689"/>
      <c r="F689"/>
      <c r="G689"/>
      <c r="H689"/>
      <c r="I689"/>
      <c r="J689"/>
      <c r="K689"/>
      <c r="L689"/>
      <c r="M689"/>
      <c r="N689"/>
      <c r="O689"/>
      <c r="P689"/>
      <c r="R689"/>
      <c r="S689"/>
      <c r="T689"/>
      <c r="U689"/>
      <c r="V689"/>
      <c r="W689"/>
      <c r="X689"/>
      <c r="Y689"/>
    </row>
    <row r="690" spans="2:25">
      <c r="B690"/>
      <c r="D690"/>
      <c r="E690"/>
      <c r="F690"/>
      <c r="G690"/>
      <c r="H690"/>
      <c r="I690"/>
      <c r="J690"/>
      <c r="K690"/>
      <c r="L690"/>
      <c r="M690"/>
      <c r="N690"/>
      <c r="O690"/>
      <c r="P690"/>
      <c r="R690"/>
      <c r="S690"/>
      <c r="T690"/>
      <c r="U690"/>
      <c r="V690"/>
      <c r="W690"/>
      <c r="X690"/>
      <c r="Y690"/>
    </row>
    <row r="691" spans="2:25">
      <c r="B691"/>
      <c r="D691"/>
      <c r="E691"/>
      <c r="F691"/>
      <c r="G691"/>
      <c r="H691"/>
      <c r="I691"/>
      <c r="J691"/>
      <c r="K691"/>
      <c r="L691"/>
      <c r="M691"/>
      <c r="N691"/>
      <c r="O691"/>
      <c r="P691"/>
      <c r="R691"/>
      <c r="S691"/>
      <c r="T691"/>
      <c r="U691"/>
      <c r="V691"/>
      <c r="W691"/>
      <c r="X691"/>
      <c r="Y691"/>
    </row>
    <row r="692" spans="2:25">
      <c r="B692"/>
      <c r="D692"/>
      <c r="E692"/>
      <c r="F692"/>
      <c r="G692"/>
      <c r="H692"/>
      <c r="I692"/>
      <c r="J692"/>
      <c r="K692"/>
      <c r="L692"/>
      <c r="M692"/>
      <c r="N692"/>
      <c r="O692"/>
      <c r="P692"/>
      <c r="R692"/>
      <c r="S692"/>
      <c r="T692"/>
      <c r="U692"/>
      <c r="V692"/>
      <c r="W692"/>
      <c r="X692"/>
      <c r="Y692"/>
    </row>
    <row r="693" spans="2:25">
      <c r="B693"/>
      <c r="D693"/>
      <c r="E693"/>
      <c r="F693"/>
      <c r="G693"/>
      <c r="H693"/>
      <c r="I693"/>
      <c r="J693"/>
      <c r="K693"/>
      <c r="L693"/>
      <c r="M693"/>
      <c r="N693"/>
      <c r="O693"/>
      <c r="P693"/>
      <c r="R693"/>
      <c r="S693"/>
      <c r="T693"/>
      <c r="U693"/>
      <c r="V693"/>
      <c r="W693"/>
      <c r="X693"/>
      <c r="Y693"/>
    </row>
    <row r="694" spans="2:25">
      <c r="B694"/>
      <c r="D694"/>
      <c r="E694"/>
      <c r="F694"/>
      <c r="G694"/>
      <c r="H694"/>
      <c r="I694"/>
      <c r="J694"/>
      <c r="K694"/>
      <c r="L694"/>
      <c r="M694"/>
      <c r="N694"/>
      <c r="O694"/>
      <c r="P694"/>
      <c r="R694"/>
      <c r="S694"/>
      <c r="T694"/>
      <c r="U694"/>
      <c r="V694"/>
      <c r="W694"/>
      <c r="X694"/>
      <c r="Y694"/>
    </row>
    <row r="695" spans="2:25">
      <c r="B695"/>
      <c r="D695"/>
      <c r="E695"/>
      <c r="F695"/>
      <c r="G695"/>
      <c r="H695"/>
      <c r="I695"/>
      <c r="J695"/>
      <c r="K695"/>
      <c r="L695"/>
      <c r="M695"/>
      <c r="N695"/>
      <c r="O695"/>
      <c r="P695"/>
      <c r="R695"/>
      <c r="S695"/>
      <c r="T695"/>
      <c r="U695"/>
      <c r="V695"/>
      <c r="W695"/>
      <c r="X695"/>
      <c r="Y695"/>
    </row>
    <row r="696" spans="2:25">
      <c r="B696"/>
      <c r="D696"/>
      <c r="E696"/>
      <c r="F696"/>
      <c r="G696"/>
      <c r="H696"/>
      <c r="I696"/>
      <c r="J696"/>
      <c r="K696"/>
      <c r="L696"/>
      <c r="M696"/>
      <c r="N696"/>
      <c r="O696"/>
      <c r="P696"/>
      <c r="R696"/>
      <c r="S696"/>
      <c r="T696"/>
      <c r="U696"/>
      <c r="V696"/>
      <c r="W696"/>
      <c r="X696"/>
      <c r="Y696"/>
    </row>
    <row r="697" spans="2:25">
      <c r="B697"/>
      <c r="D697"/>
      <c r="E697"/>
      <c r="F697"/>
      <c r="G697"/>
      <c r="H697"/>
      <c r="I697"/>
      <c r="J697"/>
      <c r="K697"/>
      <c r="L697"/>
      <c r="M697"/>
      <c r="N697"/>
      <c r="O697"/>
      <c r="P697"/>
      <c r="R697"/>
      <c r="S697"/>
      <c r="T697"/>
      <c r="U697"/>
      <c r="V697"/>
      <c r="W697"/>
      <c r="X697"/>
      <c r="Y697"/>
    </row>
    <row r="698" spans="2:25">
      <c r="B698"/>
      <c r="D698"/>
      <c r="E698"/>
      <c r="F698"/>
      <c r="G698"/>
      <c r="H698"/>
      <c r="I698"/>
      <c r="J698"/>
      <c r="K698"/>
      <c r="L698"/>
      <c r="M698"/>
      <c r="N698"/>
      <c r="O698"/>
      <c r="P698"/>
      <c r="R698"/>
      <c r="S698"/>
      <c r="T698"/>
      <c r="U698"/>
      <c r="V698"/>
      <c r="W698"/>
      <c r="X698"/>
      <c r="Y698"/>
    </row>
    <row r="699" spans="2:25">
      <c r="B699"/>
      <c r="D699"/>
      <c r="E699"/>
      <c r="F699"/>
      <c r="G699"/>
      <c r="H699"/>
      <c r="I699"/>
      <c r="J699"/>
      <c r="K699"/>
      <c r="L699"/>
      <c r="M699"/>
      <c r="N699"/>
      <c r="O699"/>
      <c r="P699"/>
      <c r="R699"/>
      <c r="S699"/>
      <c r="T699"/>
      <c r="U699"/>
      <c r="V699"/>
      <c r="W699"/>
      <c r="X699"/>
      <c r="Y699"/>
    </row>
    <row r="700" spans="2:25">
      <c r="B700"/>
      <c r="D700"/>
      <c r="E700"/>
      <c r="F700"/>
      <c r="G700"/>
      <c r="H700"/>
      <c r="I700"/>
      <c r="J700"/>
      <c r="K700"/>
      <c r="L700"/>
      <c r="M700"/>
      <c r="N700"/>
      <c r="O700"/>
      <c r="P700"/>
      <c r="R700"/>
      <c r="S700"/>
      <c r="T700"/>
      <c r="U700"/>
      <c r="V700"/>
      <c r="W700"/>
      <c r="X700"/>
      <c r="Y700"/>
    </row>
    <row r="701" spans="2:25">
      <c r="B701"/>
      <c r="D701"/>
      <c r="E701"/>
      <c r="F701"/>
      <c r="G701"/>
      <c r="H701"/>
      <c r="I701"/>
      <c r="J701"/>
      <c r="K701"/>
      <c r="L701"/>
      <c r="M701"/>
      <c r="N701"/>
      <c r="O701"/>
      <c r="P701"/>
      <c r="R701"/>
      <c r="S701"/>
      <c r="T701"/>
      <c r="U701"/>
      <c r="V701"/>
      <c r="W701"/>
      <c r="X701"/>
      <c r="Y701"/>
    </row>
    <row r="702" spans="2:25">
      <c r="B702"/>
      <c r="D702"/>
      <c r="E702"/>
      <c r="F702"/>
      <c r="G702"/>
      <c r="H702"/>
      <c r="I702"/>
      <c r="J702"/>
      <c r="K702"/>
      <c r="L702"/>
      <c r="M702"/>
      <c r="N702"/>
      <c r="O702"/>
      <c r="P702"/>
      <c r="R702"/>
      <c r="S702"/>
      <c r="T702"/>
      <c r="U702"/>
      <c r="V702"/>
      <c r="W702"/>
      <c r="X702"/>
      <c r="Y702"/>
    </row>
    <row r="703" spans="2:25">
      <c r="B703"/>
      <c r="D703"/>
      <c r="E703"/>
      <c r="F703"/>
      <c r="G703"/>
      <c r="H703"/>
      <c r="I703"/>
      <c r="J703"/>
      <c r="K703"/>
      <c r="L703"/>
      <c r="M703"/>
      <c r="N703"/>
      <c r="O703"/>
      <c r="P703"/>
      <c r="R703"/>
      <c r="S703"/>
      <c r="T703"/>
      <c r="U703"/>
      <c r="V703"/>
      <c r="W703"/>
      <c r="X703"/>
      <c r="Y703"/>
    </row>
    <row r="704" spans="2:25">
      <c r="B704"/>
      <c r="D704"/>
      <c r="E704"/>
      <c r="F704"/>
      <c r="G704"/>
      <c r="H704"/>
      <c r="I704"/>
      <c r="J704"/>
      <c r="K704"/>
      <c r="L704"/>
      <c r="M704"/>
      <c r="N704"/>
      <c r="O704"/>
      <c r="P704"/>
      <c r="R704"/>
      <c r="S704"/>
      <c r="T704"/>
      <c r="U704"/>
      <c r="V704"/>
      <c r="W704"/>
      <c r="X704"/>
      <c r="Y704"/>
    </row>
    <row r="705" spans="2:25">
      <c r="B705"/>
      <c r="D705"/>
      <c r="E705"/>
      <c r="F705"/>
      <c r="G705"/>
      <c r="H705"/>
      <c r="I705"/>
      <c r="J705"/>
      <c r="K705"/>
      <c r="L705"/>
      <c r="M705"/>
      <c r="N705"/>
      <c r="O705"/>
      <c r="P705"/>
      <c r="R705"/>
      <c r="S705"/>
      <c r="T705"/>
      <c r="U705"/>
      <c r="V705"/>
      <c r="W705"/>
      <c r="X705"/>
      <c r="Y705"/>
    </row>
    <row r="706" spans="2:25">
      <c r="B706"/>
      <c r="D706"/>
      <c r="E706"/>
      <c r="F706"/>
      <c r="G706"/>
      <c r="H706"/>
      <c r="I706"/>
      <c r="J706"/>
      <c r="K706"/>
      <c r="L706"/>
      <c r="M706"/>
      <c r="N706"/>
      <c r="O706"/>
      <c r="P706"/>
      <c r="R706"/>
      <c r="S706"/>
      <c r="T706"/>
      <c r="U706"/>
      <c r="V706"/>
      <c r="W706"/>
      <c r="X706"/>
      <c r="Y706"/>
    </row>
    <row r="707" spans="2:25">
      <c r="B707"/>
      <c r="D707"/>
      <c r="E707"/>
      <c r="F707"/>
      <c r="G707"/>
      <c r="H707"/>
      <c r="I707"/>
      <c r="J707"/>
      <c r="K707"/>
      <c r="L707"/>
      <c r="M707"/>
      <c r="N707"/>
      <c r="O707"/>
      <c r="P707"/>
      <c r="R707"/>
      <c r="S707"/>
      <c r="T707"/>
      <c r="U707"/>
      <c r="V707"/>
      <c r="W707"/>
      <c r="X707"/>
      <c r="Y707"/>
    </row>
    <row r="708" spans="2:25">
      <c r="B708"/>
      <c r="D708"/>
      <c r="E708"/>
      <c r="F708"/>
      <c r="G708"/>
      <c r="H708"/>
      <c r="I708"/>
      <c r="J708"/>
      <c r="K708"/>
      <c r="L708"/>
      <c r="M708"/>
      <c r="N708"/>
      <c r="O708"/>
      <c r="P708"/>
      <c r="R708"/>
      <c r="S708"/>
      <c r="T708"/>
      <c r="U708"/>
      <c r="V708"/>
      <c r="W708"/>
      <c r="X708"/>
      <c r="Y708"/>
    </row>
    <row r="709" spans="2:25">
      <c r="B709"/>
      <c r="D709"/>
      <c r="E709"/>
      <c r="F709"/>
      <c r="G709"/>
      <c r="H709"/>
      <c r="I709"/>
      <c r="J709"/>
      <c r="K709"/>
      <c r="L709"/>
      <c r="M709"/>
      <c r="N709"/>
      <c r="O709"/>
      <c r="P709"/>
      <c r="R709"/>
      <c r="S709"/>
      <c r="T709"/>
      <c r="U709"/>
      <c r="V709"/>
      <c r="W709"/>
      <c r="X709"/>
      <c r="Y709"/>
    </row>
    <row r="710" spans="2:25">
      <c r="B710"/>
      <c r="D710"/>
      <c r="E710"/>
      <c r="F710"/>
      <c r="G710"/>
      <c r="H710"/>
      <c r="I710"/>
      <c r="J710"/>
      <c r="K710"/>
      <c r="L710"/>
      <c r="M710"/>
      <c r="N710"/>
      <c r="O710"/>
      <c r="P710"/>
      <c r="R710"/>
      <c r="S710"/>
      <c r="T710"/>
      <c r="U710"/>
      <c r="V710"/>
      <c r="W710"/>
      <c r="X710"/>
      <c r="Y710"/>
    </row>
    <row r="711" spans="2:25">
      <c r="B711"/>
      <c r="D711"/>
      <c r="E711"/>
      <c r="F711"/>
      <c r="G711"/>
      <c r="H711"/>
      <c r="I711"/>
      <c r="J711"/>
      <c r="K711"/>
      <c r="L711"/>
      <c r="M711"/>
      <c r="N711"/>
      <c r="O711"/>
      <c r="P711"/>
      <c r="R711"/>
      <c r="S711"/>
      <c r="T711"/>
      <c r="U711"/>
      <c r="V711"/>
      <c r="W711"/>
      <c r="X711"/>
      <c r="Y711"/>
    </row>
    <row r="712" spans="2:25">
      <c r="B712"/>
      <c r="D712"/>
      <c r="E712"/>
      <c r="F712"/>
      <c r="G712"/>
      <c r="H712"/>
      <c r="I712"/>
      <c r="J712"/>
      <c r="K712"/>
      <c r="L712"/>
      <c r="M712"/>
      <c r="N712"/>
      <c r="O712"/>
      <c r="P712"/>
      <c r="R712"/>
      <c r="S712"/>
      <c r="T712"/>
      <c r="U712"/>
      <c r="V712"/>
      <c r="W712"/>
      <c r="X712"/>
      <c r="Y712"/>
    </row>
    <row r="713" spans="2:25">
      <c r="B713"/>
      <c r="D713"/>
      <c r="E713"/>
      <c r="F713"/>
      <c r="G713"/>
      <c r="H713"/>
      <c r="I713"/>
      <c r="J713"/>
      <c r="K713"/>
      <c r="L713"/>
      <c r="M713"/>
      <c r="N713"/>
      <c r="O713"/>
      <c r="P713"/>
      <c r="R713"/>
      <c r="S713"/>
      <c r="T713"/>
      <c r="U713"/>
      <c r="V713"/>
      <c r="W713"/>
      <c r="X713"/>
      <c r="Y713"/>
    </row>
    <row r="714" spans="2:25">
      <c r="B714"/>
      <c r="D714"/>
      <c r="E714"/>
      <c r="F714"/>
      <c r="G714"/>
      <c r="H714"/>
      <c r="I714"/>
      <c r="J714"/>
      <c r="K714"/>
      <c r="L714"/>
      <c r="M714"/>
      <c r="N714"/>
      <c r="O714"/>
      <c r="P714"/>
      <c r="R714"/>
      <c r="S714"/>
      <c r="T714"/>
      <c r="U714"/>
      <c r="V714"/>
      <c r="W714"/>
      <c r="X714"/>
      <c r="Y714"/>
    </row>
    <row r="715" spans="2:25">
      <c r="B715"/>
      <c r="D715"/>
      <c r="E715"/>
      <c r="F715"/>
      <c r="G715"/>
      <c r="H715"/>
      <c r="I715"/>
      <c r="J715"/>
      <c r="K715"/>
      <c r="L715"/>
      <c r="M715"/>
      <c r="N715"/>
      <c r="O715"/>
      <c r="P715"/>
      <c r="R715"/>
      <c r="S715"/>
      <c r="T715"/>
      <c r="U715"/>
      <c r="V715"/>
      <c r="W715"/>
      <c r="X715"/>
      <c r="Y715"/>
    </row>
    <row r="716" spans="2:25">
      <c r="B716"/>
      <c r="D716"/>
      <c r="E716"/>
      <c r="F716"/>
      <c r="G716"/>
      <c r="H716"/>
      <c r="I716"/>
      <c r="J716"/>
      <c r="K716"/>
      <c r="L716"/>
      <c r="M716"/>
      <c r="N716"/>
      <c r="O716"/>
      <c r="P716"/>
      <c r="R716"/>
      <c r="S716"/>
      <c r="T716"/>
      <c r="U716"/>
      <c r="V716"/>
      <c r="W716"/>
      <c r="X716"/>
      <c r="Y716"/>
    </row>
    <row r="717" spans="2:25">
      <c r="B717"/>
      <c r="D717"/>
      <c r="E717"/>
      <c r="F717"/>
      <c r="G717"/>
      <c r="H717"/>
      <c r="I717"/>
      <c r="J717"/>
      <c r="K717"/>
      <c r="L717"/>
      <c r="M717"/>
      <c r="N717"/>
      <c r="O717"/>
      <c r="P717"/>
      <c r="R717"/>
      <c r="S717"/>
      <c r="T717"/>
      <c r="U717"/>
      <c r="V717"/>
      <c r="W717"/>
      <c r="X717"/>
      <c r="Y717"/>
    </row>
    <row r="718" spans="2:25">
      <c r="B718"/>
      <c r="D718"/>
      <c r="E718"/>
      <c r="F718"/>
      <c r="G718"/>
      <c r="H718"/>
      <c r="I718"/>
      <c r="J718"/>
      <c r="K718"/>
      <c r="L718"/>
      <c r="M718"/>
      <c r="N718"/>
      <c r="O718"/>
      <c r="P718"/>
      <c r="R718"/>
      <c r="S718"/>
      <c r="T718"/>
      <c r="U718"/>
      <c r="V718"/>
      <c r="W718"/>
      <c r="X718"/>
      <c r="Y718"/>
    </row>
    <row r="719" spans="2:25">
      <c r="B719"/>
      <c r="D719"/>
      <c r="E719"/>
      <c r="F719"/>
      <c r="G719"/>
      <c r="H719"/>
      <c r="I719"/>
      <c r="J719"/>
      <c r="K719"/>
      <c r="L719"/>
      <c r="M719"/>
      <c r="N719"/>
      <c r="O719"/>
      <c r="P719"/>
      <c r="R719"/>
      <c r="S719"/>
      <c r="T719"/>
      <c r="U719"/>
      <c r="V719"/>
      <c r="W719"/>
      <c r="X719"/>
      <c r="Y719"/>
    </row>
    <row r="720" spans="2:25">
      <c r="B720"/>
      <c r="D720"/>
      <c r="E720"/>
      <c r="F720"/>
      <c r="G720"/>
      <c r="H720"/>
      <c r="I720"/>
      <c r="J720"/>
      <c r="K720"/>
      <c r="L720"/>
      <c r="M720"/>
      <c r="N720"/>
      <c r="O720"/>
      <c r="P720"/>
      <c r="R720"/>
      <c r="S720"/>
      <c r="T720"/>
      <c r="U720"/>
      <c r="V720"/>
      <c r="W720"/>
      <c r="X720"/>
      <c r="Y720"/>
    </row>
    <row r="721" spans="2:25">
      <c r="B721"/>
      <c r="D721"/>
      <c r="E721"/>
      <c r="F721"/>
      <c r="G721"/>
      <c r="H721"/>
      <c r="I721"/>
      <c r="J721"/>
      <c r="K721"/>
      <c r="L721"/>
      <c r="M721"/>
      <c r="N721"/>
      <c r="O721"/>
      <c r="P721"/>
      <c r="R721"/>
      <c r="S721"/>
      <c r="T721"/>
      <c r="U721"/>
      <c r="V721"/>
      <c r="W721"/>
      <c r="X721"/>
      <c r="Y721"/>
    </row>
    <row r="722" spans="2:25">
      <c r="B722"/>
      <c r="D722"/>
      <c r="E722"/>
      <c r="F722"/>
      <c r="G722"/>
      <c r="H722"/>
      <c r="I722"/>
      <c r="J722"/>
      <c r="K722"/>
      <c r="L722"/>
      <c r="M722"/>
      <c r="N722"/>
      <c r="O722"/>
      <c r="P722"/>
      <c r="R722"/>
      <c r="S722"/>
      <c r="T722"/>
      <c r="U722"/>
      <c r="V722"/>
      <c r="W722"/>
      <c r="X722"/>
      <c r="Y722"/>
    </row>
    <row r="723" spans="2:25">
      <c r="B723"/>
      <c r="D723"/>
      <c r="E723"/>
      <c r="F723"/>
      <c r="G723"/>
      <c r="H723"/>
      <c r="I723"/>
      <c r="J723"/>
      <c r="K723"/>
      <c r="L723"/>
      <c r="M723"/>
      <c r="N723"/>
      <c r="O723"/>
      <c r="P723"/>
      <c r="R723"/>
      <c r="S723"/>
      <c r="T723"/>
      <c r="U723"/>
      <c r="V723"/>
      <c r="W723"/>
      <c r="X723"/>
      <c r="Y723"/>
    </row>
    <row r="724" spans="2:25">
      <c r="B724"/>
      <c r="D724"/>
      <c r="E724"/>
      <c r="F724"/>
      <c r="G724"/>
      <c r="H724"/>
      <c r="I724"/>
      <c r="J724"/>
      <c r="K724"/>
      <c r="L724"/>
      <c r="M724"/>
      <c r="N724"/>
      <c r="O724"/>
      <c r="P724"/>
      <c r="R724"/>
      <c r="S724"/>
      <c r="T724"/>
      <c r="U724"/>
      <c r="V724"/>
      <c r="W724"/>
      <c r="X724"/>
      <c r="Y724"/>
    </row>
    <row r="725" spans="2:25">
      <c r="B725"/>
      <c r="D725"/>
      <c r="E725"/>
      <c r="F725"/>
      <c r="G725"/>
      <c r="H725"/>
      <c r="I725"/>
      <c r="J725"/>
      <c r="K725"/>
      <c r="L725"/>
      <c r="M725"/>
      <c r="N725"/>
      <c r="O725"/>
      <c r="P725"/>
      <c r="R725"/>
      <c r="S725"/>
      <c r="T725"/>
      <c r="U725"/>
      <c r="V725"/>
      <c r="W725"/>
      <c r="X725"/>
      <c r="Y725"/>
    </row>
    <row r="726" spans="2:25">
      <c r="B726"/>
      <c r="D726"/>
      <c r="E726"/>
      <c r="F726"/>
      <c r="G726"/>
      <c r="H726"/>
      <c r="I726"/>
      <c r="J726"/>
      <c r="K726"/>
      <c r="L726"/>
      <c r="M726"/>
      <c r="N726"/>
      <c r="O726"/>
      <c r="P726"/>
      <c r="R726"/>
      <c r="S726"/>
      <c r="T726"/>
      <c r="U726"/>
      <c r="V726"/>
      <c r="W726"/>
      <c r="X726"/>
      <c r="Y726"/>
    </row>
    <row r="727" spans="2:25">
      <c r="B727"/>
      <c r="D727"/>
      <c r="E727"/>
      <c r="F727"/>
      <c r="G727"/>
      <c r="H727"/>
      <c r="I727"/>
      <c r="J727"/>
      <c r="K727"/>
      <c r="L727"/>
      <c r="M727"/>
      <c r="N727"/>
      <c r="O727"/>
      <c r="P727"/>
      <c r="R727"/>
      <c r="S727"/>
      <c r="T727"/>
      <c r="U727"/>
      <c r="V727"/>
      <c r="W727"/>
      <c r="X727"/>
      <c r="Y727"/>
    </row>
    <row r="728" spans="2:25">
      <c r="B728"/>
      <c r="D728"/>
      <c r="E728"/>
      <c r="F728"/>
      <c r="G728"/>
      <c r="H728"/>
      <c r="I728"/>
      <c r="J728"/>
      <c r="K728"/>
      <c r="L728"/>
      <c r="M728"/>
      <c r="N728"/>
      <c r="O728"/>
      <c r="P728"/>
      <c r="R728"/>
      <c r="S728"/>
      <c r="T728"/>
      <c r="U728"/>
      <c r="V728"/>
      <c r="W728"/>
      <c r="X728"/>
      <c r="Y728"/>
    </row>
    <row r="729" spans="2:25">
      <c r="B729"/>
      <c r="D729"/>
      <c r="E729"/>
      <c r="F729"/>
      <c r="G729"/>
      <c r="H729"/>
      <c r="I729"/>
      <c r="J729"/>
      <c r="K729"/>
      <c r="L729"/>
      <c r="M729"/>
      <c r="N729"/>
      <c r="O729"/>
      <c r="P729"/>
      <c r="R729"/>
      <c r="S729"/>
      <c r="T729"/>
      <c r="U729"/>
      <c r="V729"/>
      <c r="W729"/>
      <c r="X729"/>
      <c r="Y729"/>
    </row>
    <row r="730" spans="2:25">
      <c r="B730"/>
      <c r="D730"/>
      <c r="E730"/>
      <c r="F730"/>
      <c r="G730"/>
      <c r="H730"/>
      <c r="I730"/>
      <c r="J730"/>
      <c r="K730"/>
      <c r="L730"/>
      <c r="M730"/>
      <c r="N730"/>
      <c r="O730"/>
      <c r="P730"/>
      <c r="R730"/>
      <c r="S730"/>
      <c r="T730"/>
      <c r="U730"/>
      <c r="V730"/>
      <c r="W730"/>
      <c r="X730"/>
      <c r="Y730"/>
    </row>
    <row r="731" spans="2:25">
      <c r="B731"/>
      <c r="D731"/>
      <c r="E731"/>
      <c r="F731"/>
      <c r="G731"/>
      <c r="H731"/>
      <c r="I731"/>
      <c r="J731"/>
      <c r="K731"/>
      <c r="L731"/>
      <c r="M731"/>
      <c r="N731"/>
      <c r="O731"/>
      <c r="P731"/>
      <c r="R731"/>
      <c r="S731"/>
      <c r="T731"/>
      <c r="U731"/>
      <c r="V731"/>
      <c r="W731"/>
      <c r="X731"/>
      <c r="Y731"/>
    </row>
    <row r="732" spans="2:25">
      <c r="B732"/>
      <c r="D732"/>
      <c r="E732"/>
      <c r="F732"/>
      <c r="G732"/>
      <c r="H732"/>
      <c r="I732"/>
      <c r="J732"/>
      <c r="K732"/>
      <c r="L732"/>
      <c r="M732"/>
      <c r="N732"/>
      <c r="O732"/>
      <c r="P732"/>
      <c r="R732"/>
      <c r="S732"/>
      <c r="T732"/>
      <c r="U732"/>
      <c r="V732"/>
      <c r="W732"/>
      <c r="X732"/>
      <c r="Y732"/>
    </row>
    <row r="733" spans="2:25">
      <c r="B733"/>
      <c r="D733"/>
      <c r="E733"/>
      <c r="F733"/>
      <c r="G733"/>
      <c r="H733"/>
      <c r="I733"/>
      <c r="J733"/>
      <c r="K733"/>
      <c r="L733"/>
      <c r="M733"/>
      <c r="N733"/>
      <c r="O733"/>
      <c r="P733"/>
      <c r="R733"/>
      <c r="S733"/>
      <c r="T733"/>
      <c r="U733"/>
      <c r="V733"/>
      <c r="W733"/>
      <c r="X733"/>
      <c r="Y733"/>
    </row>
    <row r="734" spans="2:25">
      <c r="B734"/>
      <c r="D734"/>
      <c r="E734"/>
      <c r="F734"/>
      <c r="G734"/>
      <c r="H734"/>
      <c r="I734"/>
      <c r="J734"/>
      <c r="K734"/>
      <c r="L734"/>
      <c r="M734"/>
      <c r="N734"/>
      <c r="O734"/>
      <c r="P734"/>
      <c r="R734"/>
      <c r="S734"/>
      <c r="T734"/>
      <c r="U734"/>
      <c r="V734"/>
      <c r="W734"/>
      <c r="X734"/>
      <c r="Y734"/>
    </row>
    <row r="735" spans="2:25">
      <c r="B735"/>
      <c r="D735"/>
      <c r="E735"/>
      <c r="F735"/>
      <c r="G735"/>
      <c r="H735"/>
      <c r="I735"/>
      <c r="J735"/>
      <c r="K735"/>
      <c r="L735"/>
      <c r="M735"/>
      <c r="N735"/>
      <c r="O735"/>
      <c r="P735"/>
      <c r="R735"/>
      <c r="S735"/>
      <c r="T735"/>
      <c r="U735"/>
      <c r="V735"/>
      <c r="W735"/>
      <c r="X735"/>
      <c r="Y735"/>
    </row>
    <row r="736" spans="2:25">
      <c r="B736"/>
      <c r="D736"/>
      <c r="E736"/>
      <c r="F736"/>
      <c r="G736"/>
      <c r="H736"/>
      <c r="I736"/>
      <c r="J736"/>
      <c r="K736"/>
      <c r="L736"/>
      <c r="M736"/>
      <c r="N736"/>
      <c r="O736"/>
      <c r="P736"/>
      <c r="R736"/>
      <c r="S736"/>
      <c r="T736"/>
      <c r="U736"/>
      <c r="V736"/>
      <c r="W736"/>
      <c r="X736"/>
      <c r="Y736"/>
    </row>
    <row r="737" spans="2:25">
      <c r="B737"/>
      <c r="D737"/>
      <c r="E737"/>
      <c r="F737"/>
      <c r="G737"/>
      <c r="H737"/>
      <c r="I737"/>
      <c r="J737"/>
      <c r="K737"/>
      <c r="L737"/>
      <c r="M737"/>
      <c r="N737"/>
      <c r="O737"/>
      <c r="P737"/>
      <c r="R737"/>
      <c r="S737"/>
      <c r="T737"/>
      <c r="U737"/>
      <c r="V737"/>
      <c r="W737"/>
      <c r="X737"/>
      <c r="Y737"/>
    </row>
    <row r="738" spans="2:25">
      <c r="B738"/>
      <c r="D738"/>
      <c r="E738"/>
      <c r="F738"/>
      <c r="G738"/>
      <c r="H738"/>
      <c r="I738"/>
      <c r="J738"/>
      <c r="K738"/>
      <c r="L738"/>
      <c r="M738"/>
      <c r="N738"/>
      <c r="O738"/>
      <c r="P738"/>
      <c r="R738"/>
      <c r="S738"/>
      <c r="T738"/>
      <c r="U738"/>
      <c r="V738"/>
      <c r="W738"/>
      <c r="X738"/>
      <c r="Y738"/>
    </row>
    <row r="739" spans="2:25">
      <c r="B739"/>
      <c r="D739"/>
      <c r="E739"/>
      <c r="F739"/>
      <c r="G739"/>
      <c r="H739"/>
      <c r="I739"/>
      <c r="J739"/>
      <c r="K739"/>
      <c r="L739"/>
      <c r="M739"/>
      <c r="N739"/>
      <c r="O739"/>
      <c r="P739"/>
      <c r="R739"/>
      <c r="S739"/>
      <c r="T739"/>
      <c r="U739"/>
      <c r="V739"/>
      <c r="W739"/>
      <c r="X739"/>
      <c r="Y739"/>
    </row>
    <row r="740" spans="2:25">
      <c r="B740"/>
      <c r="D740"/>
      <c r="E740"/>
      <c r="F740"/>
      <c r="G740"/>
      <c r="H740"/>
      <c r="I740"/>
      <c r="J740"/>
      <c r="K740"/>
      <c r="L740"/>
      <c r="M740"/>
      <c r="N740"/>
      <c r="O740"/>
      <c r="P740"/>
      <c r="R740"/>
      <c r="S740"/>
      <c r="T740"/>
      <c r="U740"/>
      <c r="V740"/>
      <c r="W740"/>
      <c r="X740"/>
      <c r="Y740"/>
    </row>
    <row r="741" spans="2:25">
      <c r="B741"/>
      <c r="D741"/>
      <c r="E741"/>
      <c r="F741"/>
      <c r="G741"/>
      <c r="H741"/>
      <c r="I741"/>
      <c r="J741"/>
      <c r="K741"/>
      <c r="L741"/>
      <c r="M741"/>
      <c r="N741"/>
      <c r="O741"/>
      <c r="P741"/>
      <c r="R741"/>
      <c r="S741"/>
      <c r="T741"/>
      <c r="U741"/>
      <c r="V741"/>
      <c r="W741"/>
      <c r="X741"/>
      <c r="Y741"/>
    </row>
    <row r="742" spans="2:25">
      <c r="B742"/>
      <c r="D742"/>
      <c r="E742"/>
      <c r="F742"/>
      <c r="G742"/>
      <c r="H742"/>
      <c r="I742"/>
      <c r="J742"/>
      <c r="K742"/>
      <c r="L742"/>
      <c r="M742"/>
      <c r="N742"/>
      <c r="O742"/>
      <c r="P742"/>
      <c r="R742"/>
      <c r="S742"/>
      <c r="T742"/>
      <c r="U742"/>
      <c r="V742"/>
      <c r="W742"/>
      <c r="X742"/>
      <c r="Y742"/>
    </row>
    <row r="743" spans="2:25">
      <c r="B743"/>
      <c r="D743"/>
      <c r="E743"/>
      <c r="F743"/>
      <c r="G743"/>
      <c r="H743"/>
      <c r="I743"/>
      <c r="J743"/>
      <c r="K743"/>
      <c r="L743"/>
      <c r="M743"/>
      <c r="N743"/>
      <c r="O743"/>
      <c r="P743"/>
      <c r="R743"/>
      <c r="S743"/>
      <c r="T743"/>
      <c r="U743"/>
      <c r="V743"/>
      <c r="W743"/>
      <c r="X743"/>
      <c r="Y743"/>
    </row>
    <row r="744" spans="2:25">
      <c r="B744"/>
      <c r="D744"/>
      <c r="E744"/>
      <c r="F744"/>
      <c r="G744"/>
      <c r="H744"/>
      <c r="I744"/>
      <c r="J744"/>
      <c r="K744"/>
      <c r="L744"/>
      <c r="M744"/>
      <c r="N744"/>
      <c r="O744"/>
      <c r="P744"/>
      <c r="R744"/>
      <c r="S744"/>
      <c r="T744"/>
      <c r="U744"/>
      <c r="V744"/>
      <c r="W744"/>
      <c r="X744"/>
      <c r="Y744"/>
    </row>
    <row r="745" spans="2:25">
      <c r="B745"/>
      <c r="D745"/>
      <c r="E745"/>
      <c r="F745"/>
      <c r="G745"/>
      <c r="H745"/>
      <c r="I745"/>
      <c r="J745"/>
      <c r="K745"/>
      <c r="L745"/>
      <c r="M745"/>
      <c r="N745"/>
      <c r="O745"/>
      <c r="P745"/>
      <c r="R745"/>
      <c r="S745"/>
      <c r="T745"/>
      <c r="U745"/>
      <c r="V745"/>
      <c r="W745"/>
      <c r="X745"/>
      <c r="Y745"/>
    </row>
    <row r="746" spans="2:25">
      <c r="B746"/>
      <c r="D746"/>
      <c r="E746"/>
      <c r="F746"/>
      <c r="G746"/>
      <c r="H746"/>
      <c r="I746"/>
      <c r="J746"/>
      <c r="K746"/>
      <c r="L746"/>
      <c r="M746"/>
      <c r="N746"/>
      <c r="O746"/>
      <c r="P746"/>
      <c r="R746"/>
      <c r="S746"/>
      <c r="T746"/>
      <c r="U746"/>
      <c r="V746"/>
      <c r="W746"/>
      <c r="X746"/>
      <c r="Y746"/>
    </row>
    <row r="747" spans="2:25">
      <c r="B747"/>
      <c r="D747"/>
      <c r="E747"/>
      <c r="F747"/>
      <c r="G747"/>
      <c r="H747"/>
      <c r="I747"/>
      <c r="J747"/>
      <c r="K747"/>
      <c r="L747"/>
      <c r="M747"/>
      <c r="N747"/>
      <c r="O747"/>
      <c r="P747"/>
      <c r="R747"/>
      <c r="S747"/>
      <c r="T747"/>
      <c r="U747"/>
      <c r="V747"/>
      <c r="W747"/>
      <c r="X747"/>
      <c r="Y747"/>
    </row>
    <row r="748" spans="2:25">
      <c r="B748"/>
      <c r="D748"/>
      <c r="E748"/>
      <c r="F748"/>
      <c r="G748"/>
      <c r="H748"/>
      <c r="I748"/>
      <c r="J748"/>
      <c r="K748"/>
      <c r="L748"/>
      <c r="M748"/>
      <c r="N748"/>
      <c r="O748"/>
      <c r="P748"/>
      <c r="R748"/>
      <c r="S748"/>
      <c r="T748"/>
      <c r="U748"/>
      <c r="V748"/>
      <c r="W748"/>
      <c r="X748"/>
      <c r="Y748"/>
    </row>
    <row r="749" spans="2:25">
      <c r="B749"/>
      <c r="D749"/>
      <c r="E749"/>
      <c r="F749"/>
      <c r="G749"/>
      <c r="H749"/>
      <c r="I749"/>
      <c r="J749"/>
      <c r="K749"/>
      <c r="L749"/>
      <c r="M749"/>
      <c r="N749"/>
      <c r="O749"/>
      <c r="P749"/>
      <c r="R749"/>
      <c r="S749"/>
      <c r="T749"/>
      <c r="U749"/>
      <c r="V749"/>
      <c r="W749"/>
      <c r="X749"/>
      <c r="Y749"/>
    </row>
    <row r="750" spans="2:25">
      <c r="B750"/>
      <c r="D750"/>
      <c r="E750"/>
      <c r="F750"/>
      <c r="G750"/>
      <c r="H750"/>
      <c r="I750"/>
      <c r="J750"/>
      <c r="K750"/>
      <c r="L750"/>
      <c r="M750"/>
      <c r="N750"/>
      <c r="O750"/>
      <c r="P750"/>
      <c r="R750"/>
      <c r="S750"/>
      <c r="T750"/>
      <c r="U750"/>
      <c r="V750"/>
      <c r="W750"/>
      <c r="X750"/>
      <c r="Y750"/>
    </row>
    <row r="751" spans="2:25">
      <c r="B751"/>
      <c r="D751"/>
      <c r="E751"/>
      <c r="F751"/>
      <c r="G751"/>
      <c r="H751"/>
      <c r="I751"/>
      <c r="J751"/>
      <c r="K751"/>
      <c r="L751"/>
      <c r="M751"/>
      <c r="N751"/>
      <c r="O751"/>
      <c r="P751"/>
      <c r="R751"/>
      <c r="S751"/>
      <c r="T751"/>
      <c r="U751"/>
      <c r="V751"/>
      <c r="W751"/>
      <c r="X751"/>
      <c r="Y751"/>
    </row>
    <row r="752" spans="2:25">
      <c r="B752"/>
      <c r="D752"/>
      <c r="E752"/>
      <c r="F752"/>
      <c r="G752"/>
      <c r="H752"/>
      <c r="I752"/>
      <c r="J752"/>
      <c r="K752"/>
      <c r="L752"/>
      <c r="M752"/>
      <c r="N752"/>
      <c r="O752"/>
      <c r="P752"/>
      <c r="R752"/>
      <c r="S752"/>
      <c r="T752"/>
      <c r="U752"/>
      <c r="V752"/>
      <c r="W752"/>
      <c r="X752"/>
      <c r="Y752"/>
    </row>
    <row r="753" spans="2:25">
      <c r="B753"/>
      <c r="D753"/>
      <c r="E753"/>
      <c r="F753"/>
      <c r="G753"/>
      <c r="H753"/>
      <c r="I753"/>
      <c r="J753"/>
      <c r="K753"/>
      <c r="L753"/>
      <c r="M753"/>
      <c r="N753"/>
      <c r="O753"/>
      <c r="P753"/>
      <c r="R753"/>
      <c r="S753"/>
      <c r="T753"/>
      <c r="U753"/>
      <c r="V753"/>
      <c r="W753"/>
      <c r="X753"/>
      <c r="Y753"/>
    </row>
    <row r="754" spans="2:25">
      <c r="B754"/>
      <c r="D754"/>
      <c r="E754"/>
      <c r="F754"/>
      <c r="G754"/>
      <c r="H754"/>
      <c r="I754"/>
      <c r="J754"/>
      <c r="K754"/>
      <c r="L754"/>
      <c r="M754"/>
      <c r="N754"/>
      <c r="O754"/>
      <c r="P754"/>
      <c r="R754"/>
      <c r="S754"/>
      <c r="T754"/>
      <c r="U754"/>
      <c r="V754"/>
      <c r="W754"/>
      <c r="X754"/>
      <c r="Y754"/>
    </row>
    <row r="755" spans="2:25">
      <c r="B755"/>
      <c r="D755"/>
      <c r="E755"/>
      <c r="F755"/>
      <c r="G755"/>
      <c r="H755"/>
      <c r="I755"/>
      <c r="J755"/>
      <c r="K755"/>
      <c r="L755"/>
      <c r="M755"/>
      <c r="N755"/>
      <c r="O755"/>
      <c r="P755"/>
      <c r="R755"/>
      <c r="S755"/>
      <c r="T755"/>
      <c r="U755"/>
      <c r="V755"/>
      <c r="W755"/>
      <c r="X755"/>
      <c r="Y755"/>
    </row>
    <row r="756" spans="2:25">
      <c r="B756"/>
      <c r="D756"/>
      <c r="E756"/>
      <c r="F756"/>
      <c r="G756"/>
      <c r="H756"/>
      <c r="I756"/>
      <c r="J756"/>
      <c r="K756"/>
      <c r="L756"/>
      <c r="M756"/>
      <c r="N756"/>
      <c r="O756"/>
      <c r="P756"/>
      <c r="R756"/>
      <c r="S756"/>
      <c r="T756"/>
      <c r="U756"/>
      <c r="V756"/>
      <c r="W756"/>
      <c r="X756"/>
      <c r="Y756"/>
    </row>
    <row r="757" spans="2:25">
      <c r="B757"/>
      <c r="D757"/>
      <c r="E757"/>
      <c r="F757"/>
      <c r="G757"/>
      <c r="H757"/>
      <c r="I757"/>
      <c r="J757"/>
      <c r="K757"/>
      <c r="L757"/>
      <c r="M757"/>
      <c r="N757"/>
      <c r="O757"/>
      <c r="P757"/>
      <c r="R757"/>
      <c r="S757"/>
      <c r="T757"/>
      <c r="U757"/>
      <c r="V757"/>
      <c r="W757"/>
      <c r="X757"/>
      <c r="Y757"/>
    </row>
    <row r="758" spans="2:25">
      <c r="B758"/>
      <c r="D758"/>
      <c r="E758"/>
      <c r="F758"/>
      <c r="G758"/>
      <c r="H758"/>
      <c r="I758"/>
      <c r="J758"/>
      <c r="K758"/>
      <c r="L758"/>
      <c r="M758"/>
      <c r="N758"/>
      <c r="O758"/>
      <c r="P758"/>
      <c r="R758"/>
      <c r="S758"/>
      <c r="T758"/>
      <c r="U758"/>
      <c r="V758"/>
      <c r="W758"/>
      <c r="X758"/>
      <c r="Y758"/>
    </row>
    <row r="759" spans="2:25">
      <c r="B759"/>
      <c r="D759"/>
      <c r="E759"/>
      <c r="F759"/>
      <c r="G759"/>
      <c r="H759"/>
      <c r="I759"/>
      <c r="J759"/>
      <c r="K759"/>
      <c r="L759"/>
      <c r="M759"/>
      <c r="N759"/>
      <c r="O759"/>
      <c r="P759"/>
      <c r="R759"/>
      <c r="S759"/>
      <c r="T759"/>
      <c r="U759"/>
      <c r="V759"/>
      <c r="W759"/>
      <c r="X759"/>
      <c r="Y759"/>
    </row>
    <row r="760" spans="2:25">
      <c r="B760"/>
      <c r="D760"/>
      <c r="E760"/>
      <c r="F760"/>
      <c r="G760"/>
      <c r="H760"/>
      <c r="I760"/>
      <c r="J760"/>
      <c r="K760"/>
      <c r="L760"/>
      <c r="M760"/>
      <c r="N760"/>
      <c r="O760"/>
      <c r="P760"/>
      <c r="R760"/>
      <c r="S760"/>
      <c r="T760"/>
      <c r="U760"/>
      <c r="V760"/>
      <c r="W760"/>
      <c r="X760"/>
      <c r="Y760"/>
    </row>
    <row r="761" spans="2:25">
      <c r="B761"/>
      <c r="D761"/>
      <c r="E761"/>
      <c r="F761"/>
      <c r="G761"/>
      <c r="H761"/>
      <c r="I761"/>
      <c r="J761"/>
      <c r="K761"/>
      <c r="L761"/>
      <c r="M761"/>
      <c r="N761"/>
      <c r="O761"/>
      <c r="P761"/>
      <c r="R761"/>
      <c r="S761"/>
      <c r="T761"/>
      <c r="U761"/>
      <c r="V761"/>
      <c r="W761"/>
      <c r="X761"/>
      <c r="Y761"/>
    </row>
    <row r="762" spans="2:25">
      <c r="B762"/>
      <c r="D762"/>
      <c r="E762"/>
      <c r="F762"/>
      <c r="G762"/>
      <c r="H762"/>
      <c r="I762"/>
      <c r="J762"/>
      <c r="K762"/>
      <c r="L762"/>
      <c r="M762"/>
      <c r="N762"/>
      <c r="O762"/>
      <c r="P762"/>
      <c r="R762"/>
      <c r="S762"/>
      <c r="T762"/>
      <c r="U762"/>
      <c r="V762"/>
      <c r="W762"/>
      <c r="X762"/>
      <c r="Y762"/>
    </row>
    <row r="763" spans="2:25">
      <c r="B763"/>
      <c r="D763"/>
      <c r="E763"/>
      <c r="F763"/>
      <c r="G763"/>
      <c r="H763"/>
      <c r="I763"/>
      <c r="J763"/>
      <c r="K763"/>
      <c r="L763"/>
      <c r="M763"/>
      <c r="N763"/>
      <c r="O763"/>
      <c r="P763"/>
      <c r="R763"/>
      <c r="S763"/>
      <c r="T763"/>
      <c r="U763"/>
      <c r="V763"/>
      <c r="W763"/>
      <c r="X763"/>
      <c r="Y763"/>
    </row>
    <row r="764" spans="2:25">
      <c r="B764"/>
      <c r="D764"/>
      <c r="E764"/>
      <c r="F764"/>
      <c r="G764"/>
      <c r="H764"/>
      <c r="I764"/>
      <c r="J764"/>
      <c r="K764"/>
      <c r="L764"/>
      <c r="M764"/>
      <c r="N764"/>
      <c r="O764"/>
      <c r="P764"/>
      <c r="R764"/>
      <c r="S764"/>
      <c r="T764"/>
      <c r="U764"/>
      <c r="V764"/>
      <c r="W764"/>
      <c r="X764"/>
      <c r="Y764"/>
    </row>
    <row r="765" spans="2:25">
      <c r="B765"/>
      <c r="D765"/>
      <c r="E765"/>
      <c r="F765"/>
      <c r="G765"/>
      <c r="H765"/>
      <c r="I765"/>
      <c r="J765"/>
      <c r="K765"/>
      <c r="L765"/>
      <c r="M765"/>
      <c r="N765"/>
      <c r="O765"/>
      <c r="P765"/>
      <c r="R765"/>
      <c r="S765"/>
      <c r="T765"/>
      <c r="U765"/>
      <c r="V765"/>
      <c r="W765"/>
      <c r="X765"/>
      <c r="Y765"/>
    </row>
    <row r="766" spans="2:25">
      <c r="B766"/>
      <c r="D766"/>
      <c r="E766"/>
      <c r="F766"/>
      <c r="G766"/>
      <c r="H766"/>
      <c r="I766"/>
      <c r="J766"/>
      <c r="K766"/>
      <c r="L766"/>
      <c r="M766"/>
      <c r="N766"/>
      <c r="O766"/>
      <c r="P766"/>
      <c r="R766"/>
      <c r="S766"/>
      <c r="T766"/>
      <c r="U766"/>
      <c r="V766"/>
      <c r="W766"/>
      <c r="X766"/>
      <c r="Y766"/>
    </row>
    <row r="767" spans="2:25">
      <c r="B767"/>
      <c r="D767"/>
      <c r="E767"/>
      <c r="F767"/>
      <c r="G767"/>
      <c r="H767"/>
      <c r="I767"/>
      <c r="J767"/>
      <c r="K767"/>
      <c r="L767"/>
      <c r="M767"/>
      <c r="N767"/>
      <c r="O767"/>
      <c r="P767"/>
      <c r="R767"/>
      <c r="S767"/>
      <c r="T767"/>
      <c r="U767"/>
      <c r="V767"/>
      <c r="W767"/>
      <c r="X767"/>
      <c r="Y767"/>
    </row>
    <row r="768" spans="2:25">
      <c r="B768"/>
      <c r="D768"/>
      <c r="E768"/>
      <c r="F768"/>
      <c r="G768"/>
      <c r="H768"/>
      <c r="I768"/>
      <c r="J768"/>
      <c r="K768"/>
      <c r="L768"/>
      <c r="M768"/>
      <c r="N768"/>
      <c r="O768"/>
      <c r="P768"/>
      <c r="R768"/>
      <c r="S768"/>
      <c r="T768"/>
      <c r="U768"/>
      <c r="V768"/>
      <c r="W768"/>
      <c r="X768"/>
      <c r="Y768"/>
    </row>
    <row r="769" spans="2:25">
      <c r="B769"/>
      <c r="D769"/>
      <c r="E769"/>
      <c r="F769"/>
      <c r="G769"/>
      <c r="H769"/>
      <c r="I769"/>
      <c r="J769"/>
      <c r="K769"/>
      <c r="L769"/>
      <c r="M769"/>
      <c r="N769"/>
      <c r="O769"/>
      <c r="P769"/>
      <c r="R769"/>
      <c r="S769"/>
      <c r="T769"/>
      <c r="U769"/>
      <c r="V769"/>
      <c r="W769"/>
      <c r="X769"/>
      <c r="Y769"/>
    </row>
    <row r="770" spans="2:25">
      <c r="B770"/>
      <c r="D770"/>
      <c r="E770"/>
      <c r="F770"/>
      <c r="G770"/>
      <c r="H770"/>
      <c r="I770"/>
      <c r="J770"/>
      <c r="K770"/>
      <c r="L770"/>
      <c r="M770"/>
      <c r="N770"/>
      <c r="O770"/>
      <c r="P770"/>
      <c r="R770"/>
      <c r="S770"/>
      <c r="T770"/>
      <c r="U770"/>
      <c r="V770"/>
      <c r="W770"/>
      <c r="X770"/>
      <c r="Y770"/>
    </row>
    <row r="771" spans="2:25">
      <c r="B771"/>
      <c r="D771"/>
      <c r="E771"/>
      <c r="F771"/>
      <c r="G771"/>
      <c r="H771"/>
      <c r="I771"/>
      <c r="J771"/>
      <c r="K771"/>
      <c r="L771"/>
      <c r="M771"/>
      <c r="N771"/>
      <c r="O771"/>
      <c r="P771"/>
      <c r="R771"/>
      <c r="S771"/>
      <c r="T771"/>
      <c r="U771"/>
      <c r="V771"/>
      <c r="W771"/>
      <c r="X771"/>
      <c r="Y771"/>
    </row>
    <row r="772" spans="2:25">
      <c r="B772"/>
      <c r="D772"/>
      <c r="E772"/>
      <c r="F772"/>
      <c r="G772"/>
      <c r="H772"/>
      <c r="I772"/>
      <c r="J772"/>
      <c r="K772"/>
      <c r="L772"/>
      <c r="M772"/>
      <c r="N772"/>
      <c r="O772"/>
      <c r="P772"/>
      <c r="R772"/>
      <c r="S772"/>
      <c r="T772"/>
      <c r="U772"/>
      <c r="V772"/>
      <c r="W772"/>
      <c r="X772"/>
      <c r="Y772"/>
    </row>
    <row r="773" spans="2:25">
      <c r="B773"/>
      <c r="D773"/>
      <c r="E773"/>
      <c r="F773"/>
      <c r="G773"/>
      <c r="H773"/>
      <c r="I773"/>
      <c r="J773"/>
      <c r="K773"/>
      <c r="L773"/>
      <c r="M773"/>
      <c r="N773"/>
      <c r="O773"/>
      <c r="P773"/>
      <c r="R773"/>
      <c r="S773"/>
      <c r="T773"/>
      <c r="U773"/>
      <c r="V773"/>
      <c r="W773"/>
      <c r="X773"/>
      <c r="Y773"/>
    </row>
    <row r="774" spans="2:25">
      <c r="B774"/>
      <c r="D774"/>
      <c r="E774"/>
      <c r="F774"/>
      <c r="G774"/>
      <c r="H774"/>
      <c r="I774"/>
      <c r="J774"/>
      <c r="K774"/>
      <c r="L774"/>
      <c r="M774"/>
      <c r="N774"/>
      <c r="O774"/>
      <c r="P774"/>
      <c r="R774"/>
      <c r="S774"/>
      <c r="T774"/>
      <c r="U774"/>
      <c r="V774"/>
      <c r="W774"/>
      <c r="X774"/>
      <c r="Y774"/>
    </row>
    <row r="775" spans="2:25">
      <c r="B775"/>
      <c r="D775"/>
      <c r="E775"/>
      <c r="F775"/>
      <c r="G775"/>
      <c r="H775"/>
      <c r="I775"/>
      <c r="J775"/>
      <c r="K775"/>
      <c r="L775"/>
      <c r="M775"/>
      <c r="N775"/>
      <c r="O775"/>
      <c r="P775"/>
      <c r="R775"/>
      <c r="S775"/>
      <c r="T775"/>
      <c r="U775"/>
      <c r="V775"/>
      <c r="W775"/>
      <c r="X775"/>
      <c r="Y775"/>
    </row>
    <row r="776" spans="2:25">
      <c r="B776"/>
      <c r="D776"/>
      <c r="E776"/>
      <c r="F776"/>
      <c r="G776"/>
      <c r="H776"/>
      <c r="I776"/>
      <c r="J776"/>
      <c r="K776"/>
      <c r="L776"/>
      <c r="M776"/>
      <c r="N776"/>
      <c r="O776"/>
      <c r="P776"/>
      <c r="R776"/>
      <c r="S776"/>
      <c r="T776"/>
      <c r="U776"/>
      <c r="V776"/>
      <c r="W776"/>
      <c r="X776"/>
      <c r="Y776"/>
    </row>
    <row r="777" spans="2:25">
      <c r="B777"/>
      <c r="D777"/>
      <c r="E777"/>
      <c r="F777"/>
      <c r="G777"/>
      <c r="H777"/>
      <c r="I777"/>
      <c r="J777"/>
      <c r="K777"/>
      <c r="L777"/>
      <c r="M777"/>
      <c r="N777"/>
      <c r="O777"/>
      <c r="P777"/>
      <c r="R777"/>
      <c r="S777"/>
      <c r="T777"/>
      <c r="U777"/>
      <c r="V777"/>
      <c r="W777"/>
      <c r="X777"/>
      <c r="Y777"/>
    </row>
    <row r="778" spans="2:25">
      <c r="B778"/>
      <c r="D778"/>
      <c r="E778"/>
      <c r="F778"/>
      <c r="G778"/>
      <c r="H778"/>
      <c r="I778"/>
      <c r="J778"/>
      <c r="K778"/>
      <c r="L778"/>
      <c r="M778"/>
      <c r="N778"/>
      <c r="O778"/>
      <c r="P778"/>
      <c r="R778"/>
      <c r="S778"/>
      <c r="T778"/>
      <c r="U778"/>
      <c r="V778"/>
      <c r="W778"/>
      <c r="X778"/>
      <c r="Y778"/>
    </row>
    <row r="779" spans="2:25">
      <c r="B779"/>
      <c r="D779"/>
      <c r="E779"/>
      <c r="F779"/>
      <c r="G779"/>
      <c r="H779"/>
      <c r="I779"/>
      <c r="J779"/>
      <c r="K779"/>
      <c r="L779"/>
      <c r="M779"/>
      <c r="N779"/>
      <c r="O779"/>
      <c r="P779"/>
      <c r="R779"/>
      <c r="S779"/>
      <c r="T779"/>
      <c r="U779"/>
      <c r="V779"/>
      <c r="W779"/>
      <c r="X779"/>
      <c r="Y779"/>
    </row>
    <row r="780" spans="2:25">
      <c r="B780"/>
      <c r="D780"/>
      <c r="E780"/>
      <c r="F780"/>
      <c r="G780"/>
      <c r="H780"/>
      <c r="I780"/>
      <c r="J780"/>
      <c r="K780"/>
      <c r="L780"/>
      <c r="M780"/>
      <c r="N780"/>
      <c r="O780"/>
      <c r="P780"/>
      <c r="R780"/>
      <c r="S780"/>
      <c r="T780"/>
      <c r="U780"/>
      <c r="V780"/>
      <c r="W780"/>
      <c r="X780"/>
      <c r="Y780"/>
    </row>
    <row r="781" spans="2:25">
      <c r="B781"/>
      <c r="D781"/>
      <c r="E781"/>
      <c r="F781"/>
      <c r="G781"/>
      <c r="H781"/>
      <c r="I781"/>
      <c r="J781"/>
      <c r="K781"/>
      <c r="L781"/>
      <c r="M781"/>
      <c r="N781"/>
      <c r="O781"/>
      <c r="P781"/>
      <c r="R781"/>
      <c r="S781"/>
      <c r="T781"/>
      <c r="U781"/>
      <c r="V781"/>
      <c r="W781"/>
      <c r="X781"/>
      <c r="Y781"/>
    </row>
    <row r="782" spans="2:25">
      <c r="B782"/>
      <c r="D782"/>
      <c r="E782"/>
      <c r="F782"/>
      <c r="G782"/>
      <c r="H782"/>
      <c r="I782"/>
      <c r="J782"/>
      <c r="K782"/>
      <c r="L782"/>
      <c r="M782"/>
      <c r="N782"/>
      <c r="O782"/>
      <c r="P782"/>
      <c r="R782"/>
      <c r="S782"/>
      <c r="T782"/>
      <c r="U782"/>
      <c r="V782"/>
      <c r="W782"/>
      <c r="X782"/>
      <c r="Y782"/>
    </row>
    <row r="783" spans="2:25">
      <c r="B783"/>
      <c r="D783"/>
      <c r="E783"/>
      <c r="F783"/>
      <c r="G783"/>
      <c r="H783"/>
      <c r="I783"/>
      <c r="J783"/>
      <c r="K783"/>
      <c r="L783"/>
      <c r="M783"/>
      <c r="N783"/>
      <c r="O783"/>
      <c r="P783"/>
      <c r="R783"/>
      <c r="S783"/>
      <c r="T783"/>
      <c r="U783"/>
      <c r="V783"/>
      <c r="W783"/>
      <c r="X783"/>
      <c r="Y783"/>
    </row>
    <row r="784" spans="2:25">
      <c r="B784"/>
      <c r="D784"/>
      <c r="E784"/>
      <c r="F784"/>
      <c r="G784"/>
      <c r="H784"/>
      <c r="I784"/>
      <c r="J784"/>
      <c r="K784"/>
      <c r="L784"/>
      <c r="M784"/>
      <c r="N784"/>
      <c r="O784"/>
      <c r="P784"/>
      <c r="R784"/>
      <c r="S784"/>
      <c r="T784"/>
      <c r="U784"/>
      <c r="V784"/>
      <c r="W784"/>
      <c r="X784"/>
      <c r="Y784"/>
    </row>
    <row r="785" spans="2:25">
      <c r="B785"/>
      <c r="D785"/>
      <c r="E785"/>
      <c r="F785"/>
      <c r="G785"/>
      <c r="H785"/>
      <c r="I785"/>
      <c r="J785"/>
      <c r="K785"/>
      <c r="L785"/>
      <c r="M785"/>
      <c r="N785"/>
      <c r="O785"/>
      <c r="P785"/>
      <c r="R785"/>
      <c r="S785"/>
      <c r="T785"/>
      <c r="U785"/>
      <c r="V785"/>
      <c r="W785"/>
      <c r="X785"/>
      <c r="Y785"/>
    </row>
    <row r="786" spans="2:25">
      <c r="B786"/>
      <c r="D786"/>
      <c r="E786"/>
      <c r="F786"/>
      <c r="G786"/>
      <c r="H786"/>
      <c r="I786"/>
      <c r="J786"/>
      <c r="K786"/>
      <c r="L786"/>
      <c r="M786"/>
      <c r="N786"/>
      <c r="O786"/>
      <c r="P786"/>
      <c r="R786"/>
      <c r="S786"/>
      <c r="T786"/>
      <c r="U786"/>
      <c r="V786"/>
      <c r="W786"/>
      <c r="X786"/>
      <c r="Y786"/>
    </row>
    <row r="787" spans="2:25">
      <c r="B787"/>
      <c r="D787"/>
      <c r="E787"/>
      <c r="F787"/>
      <c r="G787"/>
      <c r="H787"/>
      <c r="I787"/>
      <c r="J787"/>
      <c r="K787"/>
      <c r="L787"/>
      <c r="M787"/>
      <c r="N787"/>
      <c r="O787"/>
      <c r="P787"/>
      <c r="R787"/>
      <c r="S787"/>
      <c r="T787"/>
      <c r="U787"/>
      <c r="V787"/>
      <c r="W787"/>
      <c r="X787"/>
      <c r="Y787"/>
    </row>
    <row r="788" spans="2:25">
      <c r="B788"/>
      <c r="D788"/>
      <c r="E788"/>
      <c r="F788"/>
      <c r="G788"/>
      <c r="H788"/>
      <c r="I788"/>
      <c r="J788"/>
      <c r="K788"/>
      <c r="L788"/>
      <c r="M788"/>
      <c r="N788"/>
      <c r="O788"/>
      <c r="P788"/>
      <c r="R788"/>
      <c r="S788"/>
      <c r="T788"/>
      <c r="U788"/>
      <c r="V788"/>
      <c r="W788"/>
      <c r="X788"/>
      <c r="Y788"/>
    </row>
    <row r="789" spans="2:25">
      <c r="B789"/>
      <c r="D789"/>
      <c r="E789"/>
      <c r="F789"/>
      <c r="G789"/>
      <c r="H789"/>
      <c r="I789"/>
      <c r="J789"/>
      <c r="K789"/>
      <c r="L789"/>
      <c r="M789"/>
      <c r="N789"/>
      <c r="O789"/>
      <c r="P789"/>
      <c r="R789"/>
      <c r="S789"/>
      <c r="T789"/>
      <c r="U789"/>
      <c r="V789"/>
      <c r="W789"/>
      <c r="X789"/>
      <c r="Y789"/>
    </row>
    <row r="790" spans="2:25">
      <c r="B790"/>
      <c r="D790"/>
      <c r="E790"/>
      <c r="F790"/>
      <c r="G790"/>
      <c r="H790"/>
      <c r="I790"/>
      <c r="J790"/>
      <c r="K790"/>
      <c r="L790"/>
      <c r="M790"/>
      <c r="N790"/>
      <c r="O790"/>
      <c r="P790"/>
      <c r="R790"/>
      <c r="S790"/>
      <c r="T790"/>
      <c r="U790"/>
      <c r="V790"/>
      <c r="W790"/>
      <c r="X790"/>
      <c r="Y790"/>
    </row>
    <row r="791" spans="2:25">
      <c r="B791"/>
      <c r="D791"/>
      <c r="E791"/>
      <c r="F791"/>
      <c r="G791"/>
      <c r="H791"/>
      <c r="I791"/>
      <c r="J791"/>
      <c r="K791"/>
      <c r="L791"/>
      <c r="M791"/>
      <c r="N791"/>
      <c r="O791"/>
      <c r="P791"/>
      <c r="R791"/>
      <c r="S791"/>
      <c r="T791"/>
      <c r="U791"/>
      <c r="V791"/>
      <c r="W791"/>
      <c r="X791"/>
      <c r="Y791"/>
    </row>
    <row r="792" spans="2:25">
      <c r="B792"/>
      <c r="D792"/>
      <c r="E792"/>
      <c r="F792"/>
      <c r="G792"/>
      <c r="H792"/>
      <c r="I792"/>
      <c r="J792"/>
      <c r="K792"/>
      <c r="L792"/>
      <c r="M792"/>
      <c r="N792"/>
      <c r="O792"/>
      <c r="P792"/>
      <c r="R792"/>
      <c r="S792"/>
      <c r="T792"/>
      <c r="U792"/>
      <c r="V792"/>
      <c r="W792"/>
      <c r="X792"/>
      <c r="Y792"/>
    </row>
    <row r="793" spans="2:25">
      <c r="B793"/>
      <c r="D793"/>
      <c r="E793"/>
      <c r="F793"/>
      <c r="G793"/>
      <c r="H793"/>
      <c r="I793"/>
      <c r="J793"/>
      <c r="K793"/>
      <c r="L793"/>
      <c r="M793"/>
      <c r="N793"/>
      <c r="O793"/>
      <c r="P793"/>
      <c r="R793"/>
      <c r="S793"/>
      <c r="T793"/>
      <c r="U793"/>
      <c r="V793"/>
      <c r="W793"/>
      <c r="X793"/>
      <c r="Y793"/>
    </row>
    <row r="794" spans="2:25">
      <c r="B794"/>
      <c r="D794"/>
      <c r="E794"/>
      <c r="F794"/>
      <c r="G794"/>
      <c r="H794"/>
      <c r="I794"/>
      <c r="J794"/>
      <c r="K794"/>
      <c r="L794"/>
      <c r="M794"/>
      <c r="N794"/>
      <c r="O794"/>
      <c r="P794"/>
      <c r="R794"/>
      <c r="S794"/>
      <c r="T794"/>
      <c r="U794"/>
      <c r="V794"/>
      <c r="W794"/>
      <c r="X794"/>
      <c r="Y794"/>
    </row>
    <row r="795" spans="2:25">
      <c r="B795"/>
      <c r="D795"/>
      <c r="E795"/>
      <c r="F795"/>
      <c r="G795"/>
      <c r="H795"/>
      <c r="I795"/>
      <c r="J795"/>
      <c r="K795"/>
      <c r="L795"/>
      <c r="M795"/>
      <c r="N795"/>
      <c r="O795"/>
      <c r="P795"/>
      <c r="R795"/>
      <c r="S795"/>
      <c r="T795"/>
      <c r="U795"/>
      <c r="V795"/>
      <c r="W795"/>
      <c r="X795"/>
      <c r="Y795"/>
    </row>
    <row r="796" spans="2:25">
      <c r="B796"/>
      <c r="D796"/>
      <c r="E796"/>
      <c r="F796"/>
      <c r="G796"/>
      <c r="H796"/>
      <c r="I796"/>
      <c r="J796"/>
      <c r="K796"/>
      <c r="L796"/>
      <c r="M796"/>
      <c r="N796"/>
      <c r="O796"/>
      <c r="P796"/>
      <c r="R796"/>
      <c r="S796"/>
      <c r="T796"/>
      <c r="U796"/>
      <c r="V796"/>
      <c r="W796"/>
      <c r="X796"/>
      <c r="Y796"/>
    </row>
    <row r="797" spans="2:25">
      <c r="B797"/>
      <c r="D797"/>
      <c r="E797"/>
      <c r="F797"/>
      <c r="G797"/>
      <c r="H797"/>
      <c r="I797"/>
      <c r="J797"/>
      <c r="K797"/>
      <c r="L797"/>
      <c r="M797"/>
      <c r="N797"/>
      <c r="O797"/>
      <c r="P797"/>
      <c r="R797"/>
      <c r="S797"/>
      <c r="T797"/>
      <c r="U797"/>
      <c r="V797"/>
      <c r="W797"/>
      <c r="X797"/>
      <c r="Y797"/>
    </row>
    <row r="798" spans="2:25">
      <c r="B798"/>
      <c r="D798"/>
      <c r="E798"/>
      <c r="F798"/>
      <c r="G798"/>
      <c r="H798"/>
      <c r="I798"/>
      <c r="J798"/>
      <c r="K798"/>
      <c r="L798"/>
      <c r="M798"/>
      <c r="N798"/>
      <c r="O798"/>
      <c r="P798"/>
      <c r="R798"/>
      <c r="S798"/>
      <c r="T798"/>
      <c r="U798"/>
      <c r="V798"/>
      <c r="W798"/>
      <c r="X798"/>
      <c r="Y798"/>
    </row>
    <row r="799" spans="2:25">
      <c r="B799"/>
      <c r="D799"/>
      <c r="E799"/>
      <c r="F799"/>
      <c r="G799"/>
      <c r="H799"/>
      <c r="I799"/>
      <c r="J799"/>
      <c r="K799"/>
      <c r="L799"/>
      <c r="M799"/>
      <c r="N799"/>
      <c r="O799"/>
      <c r="P799"/>
      <c r="R799"/>
      <c r="S799"/>
      <c r="T799"/>
      <c r="U799"/>
      <c r="V799"/>
      <c r="W799"/>
      <c r="X799"/>
      <c r="Y799"/>
    </row>
    <row r="800" spans="2:25">
      <c r="B800"/>
      <c r="D800"/>
      <c r="E800"/>
      <c r="F800"/>
      <c r="G800"/>
      <c r="H800"/>
      <c r="I800"/>
      <c r="J800"/>
      <c r="K800"/>
      <c r="L800"/>
      <c r="M800"/>
      <c r="N800"/>
      <c r="O800"/>
      <c r="P800"/>
      <c r="R800"/>
      <c r="S800"/>
      <c r="T800"/>
      <c r="U800"/>
      <c r="V800"/>
      <c r="W800"/>
      <c r="X800"/>
      <c r="Y800"/>
    </row>
    <row r="801" spans="2:25">
      <c r="B801"/>
      <c r="D801"/>
      <c r="E801"/>
      <c r="F801"/>
      <c r="G801"/>
      <c r="H801"/>
      <c r="I801"/>
      <c r="J801"/>
      <c r="K801"/>
      <c r="L801"/>
      <c r="M801"/>
      <c r="N801"/>
      <c r="O801"/>
      <c r="P801"/>
      <c r="R801"/>
      <c r="S801"/>
      <c r="T801"/>
      <c r="U801"/>
      <c r="V801"/>
      <c r="W801"/>
      <c r="X801"/>
      <c r="Y801"/>
    </row>
    <row r="802" spans="2:25">
      <c r="B802"/>
      <c r="D802"/>
      <c r="E802"/>
      <c r="F802"/>
      <c r="G802"/>
      <c r="H802"/>
      <c r="I802"/>
      <c r="J802"/>
      <c r="K802"/>
      <c r="L802"/>
      <c r="M802"/>
      <c r="N802"/>
      <c r="O802"/>
      <c r="P802"/>
      <c r="R802"/>
      <c r="S802"/>
      <c r="T802"/>
      <c r="U802"/>
      <c r="V802"/>
      <c r="W802"/>
      <c r="X802"/>
      <c r="Y802"/>
    </row>
    <row r="803" spans="2:25">
      <c r="B803"/>
      <c r="D803"/>
      <c r="E803"/>
      <c r="F803"/>
      <c r="G803"/>
      <c r="H803"/>
      <c r="I803"/>
      <c r="J803"/>
      <c r="K803"/>
      <c r="L803"/>
      <c r="M803"/>
      <c r="N803"/>
      <c r="O803"/>
      <c r="P803"/>
      <c r="R803"/>
      <c r="S803"/>
      <c r="T803"/>
      <c r="U803"/>
      <c r="V803"/>
      <c r="W803"/>
      <c r="X803"/>
      <c r="Y803"/>
    </row>
    <row r="804" spans="2:25">
      <c r="B804"/>
      <c r="D804"/>
      <c r="E804"/>
      <c r="F804"/>
      <c r="G804"/>
      <c r="H804"/>
      <c r="I804"/>
      <c r="J804"/>
      <c r="K804"/>
      <c r="L804"/>
      <c r="M804"/>
      <c r="N804"/>
      <c r="O804"/>
      <c r="P804"/>
      <c r="R804"/>
      <c r="S804"/>
      <c r="T804"/>
      <c r="U804"/>
      <c r="V804"/>
      <c r="W804"/>
      <c r="X804"/>
      <c r="Y804"/>
    </row>
    <row r="805" spans="2:25">
      <c r="B805"/>
      <c r="D805"/>
      <c r="E805"/>
      <c r="F805"/>
      <c r="G805"/>
      <c r="H805"/>
      <c r="I805"/>
      <c r="J805"/>
      <c r="K805"/>
      <c r="L805"/>
      <c r="M805"/>
      <c r="N805"/>
      <c r="O805"/>
      <c r="P805"/>
      <c r="R805"/>
      <c r="S805"/>
      <c r="T805"/>
      <c r="U805"/>
      <c r="V805"/>
      <c r="W805"/>
      <c r="X805"/>
      <c r="Y805"/>
    </row>
    <row r="806" spans="2:25">
      <c r="B806"/>
      <c r="D806"/>
      <c r="E806"/>
      <c r="F806"/>
      <c r="G806"/>
      <c r="H806"/>
      <c r="I806"/>
      <c r="J806"/>
      <c r="K806"/>
      <c r="L806"/>
      <c r="M806"/>
      <c r="N806"/>
      <c r="O806"/>
      <c r="P806"/>
      <c r="R806"/>
      <c r="S806"/>
      <c r="T806"/>
      <c r="U806"/>
      <c r="V806"/>
      <c r="W806"/>
      <c r="X806"/>
      <c r="Y806"/>
    </row>
    <row r="807" spans="2:25">
      <c r="B807"/>
      <c r="D807"/>
      <c r="E807"/>
      <c r="F807"/>
      <c r="G807"/>
      <c r="H807"/>
      <c r="I807"/>
      <c r="J807"/>
      <c r="K807"/>
      <c r="L807"/>
      <c r="M807"/>
      <c r="N807"/>
      <c r="O807"/>
      <c r="P807"/>
      <c r="R807"/>
      <c r="S807"/>
      <c r="T807"/>
      <c r="U807"/>
      <c r="V807"/>
      <c r="W807"/>
      <c r="X807"/>
      <c r="Y807"/>
    </row>
    <row r="808" spans="2:25">
      <c r="B808"/>
      <c r="D808"/>
      <c r="E808"/>
      <c r="F808"/>
      <c r="G808"/>
      <c r="H808"/>
      <c r="I808"/>
      <c r="J808"/>
      <c r="K808"/>
      <c r="L808"/>
      <c r="M808"/>
      <c r="N808"/>
      <c r="O808"/>
      <c r="P808"/>
      <c r="R808"/>
      <c r="S808"/>
      <c r="T808"/>
      <c r="U808"/>
      <c r="V808"/>
      <c r="W808"/>
      <c r="X808"/>
      <c r="Y808"/>
    </row>
    <row r="809" spans="2:25">
      <c r="B809"/>
      <c r="D809"/>
      <c r="E809"/>
      <c r="F809"/>
      <c r="G809"/>
      <c r="H809"/>
      <c r="I809"/>
      <c r="J809"/>
      <c r="K809"/>
      <c r="L809"/>
      <c r="M809"/>
      <c r="N809"/>
      <c r="O809"/>
      <c r="P809"/>
      <c r="R809"/>
      <c r="S809"/>
      <c r="T809"/>
      <c r="U809"/>
      <c r="V809"/>
      <c r="W809"/>
      <c r="X809"/>
      <c r="Y809"/>
    </row>
    <row r="810" spans="2:25">
      <c r="B810"/>
      <c r="D810"/>
      <c r="E810"/>
      <c r="F810"/>
      <c r="G810"/>
      <c r="H810"/>
      <c r="I810"/>
      <c r="J810"/>
      <c r="K810"/>
      <c r="L810"/>
      <c r="M810"/>
      <c r="N810"/>
      <c r="O810"/>
      <c r="P810"/>
      <c r="R810"/>
      <c r="S810"/>
      <c r="T810"/>
      <c r="U810"/>
      <c r="V810"/>
      <c r="W810"/>
      <c r="X810"/>
      <c r="Y810"/>
    </row>
    <row r="811" spans="2:25">
      <c r="B811"/>
      <c r="D811"/>
      <c r="E811"/>
      <c r="F811"/>
      <c r="G811"/>
      <c r="H811"/>
      <c r="I811"/>
      <c r="J811"/>
      <c r="K811"/>
      <c r="L811"/>
      <c r="M811"/>
      <c r="N811"/>
      <c r="O811"/>
      <c r="P811"/>
      <c r="R811"/>
      <c r="S811"/>
      <c r="T811"/>
      <c r="U811"/>
      <c r="V811"/>
      <c r="W811"/>
      <c r="X811"/>
      <c r="Y811"/>
    </row>
    <row r="812" spans="2:25">
      <c r="B812"/>
      <c r="D812"/>
      <c r="E812"/>
      <c r="F812"/>
      <c r="G812"/>
      <c r="H812"/>
      <c r="I812"/>
      <c r="J812"/>
      <c r="K812"/>
      <c r="L812"/>
      <c r="M812"/>
      <c r="N812"/>
      <c r="O812"/>
      <c r="P812"/>
      <c r="R812"/>
      <c r="S812"/>
      <c r="T812"/>
      <c r="U812"/>
      <c r="V812"/>
      <c r="W812"/>
      <c r="X812"/>
      <c r="Y812"/>
    </row>
    <row r="813" spans="2:25">
      <c r="B813"/>
      <c r="D813"/>
      <c r="E813"/>
      <c r="F813"/>
      <c r="G813"/>
      <c r="H813"/>
      <c r="I813"/>
      <c r="J813"/>
      <c r="K813"/>
      <c r="L813"/>
      <c r="M813"/>
      <c r="N813"/>
      <c r="O813"/>
      <c r="P813"/>
      <c r="R813"/>
      <c r="S813"/>
      <c r="T813"/>
      <c r="U813"/>
      <c r="V813"/>
      <c r="W813"/>
      <c r="X813"/>
      <c r="Y813"/>
    </row>
    <row r="814" spans="2:25">
      <c r="B814"/>
      <c r="D814"/>
      <c r="E814"/>
      <c r="F814"/>
      <c r="G814"/>
      <c r="H814"/>
      <c r="I814"/>
      <c r="J814"/>
      <c r="K814"/>
      <c r="L814"/>
      <c r="M814"/>
      <c r="N814"/>
      <c r="O814"/>
      <c r="P814"/>
      <c r="R814"/>
      <c r="S814"/>
      <c r="T814"/>
      <c r="U814"/>
      <c r="V814"/>
      <c r="W814"/>
      <c r="X814"/>
      <c r="Y814"/>
    </row>
    <row r="815" spans="2:25">
      <c r="B815"/>
      <c r="D815"/>
      <c r="E815"/>
      <c r="F815"/>
      <c r="G815"/>
      <c r="H815"/>
      <c r="I815"/>
      <c r="J815"/>
      <c r="K815"/>
      <c r="L815"/>
      <c r="M815"/>
      <c r="N815"/>
      <c r="O815"/>
      <c r="P815"/>
      <c r="R815"/>
      <c r="S815"/>
      <c r="T815"/>
      <c r="U815"/>
      <c r="V815"/>
      <c r="W815"/>
      <c r="X815"/>
      <c r="Y815"/>
    </row>
    <row r="816" spans="2:25">
      <c r="B816"/>
      <c r="D816"/>
      <c r="E816"/>
      <c r="F816"/>
      <c r="G816"/>
      <c r="H816"/>
      <c r="I816"/>
      <c r="J816"/>
      <c r="K816"/>
      <c r="L816"/>
      <c r="M816"/>
      <c r="N816"/>
      <c r="O816"/>
      <c r="P816"/>
      <c r="R816"/>
      <c r="S816"/>
      <c r="T816"/>
      <c r="U816"/>
      <c r="V816"/>
      <c r="W816"/>
      <c r="X816"/>
      <c r="Y816"/>
    </row>
    <row r="817" spans="2:25">
      <c r="B817"/>
      <c r="D817"/>
      <c r="E817"/>
      <c r="F817"/>
      <c r="G817"/>
      <c r="H817"/>
      <c r="I817"/>
      <c r="J817"/>
      <c r="K817"/>
      <c r="L817"/>
      <c r="M817"/>
      <c r="N817"/>
      <c r="O817"/>
      <c r="P817"/>
      <c r="R817"/>
      <c r="S817"/>
      <c r="T817"/>
      <c r="U817"/>
      <c r="V817"/>
      <c r="W817"/>
      <c r="X817"/>
      <c r="Y817"/>
    </row>
    <row r="818" spans="2:25">
      <c r="B818"/>
      <c r="D818"/>
      <c r="E818"/>
      <c r="F818"/>
      <c r="G818"/>
      <c r="H818"/>
      <c r="I818"/>
      <c r="J818"/>
      <c r="K818"/>
      <c r="L818"/>
      <c r="M818"/>
      <c r="N818"/>
      <c r="O818"/>
      <c r="P818"/>
      <c r="R818"/>
      <c r="S818"/>
      <c r="T818"/>
      <c r="U818"/>
      <c r="V818"/>
      <c r="W818"/>
      <c r="X818"/>
      <c r="Y818"/>
    </row>
    <row r="819" spans="2:25">
      <c r="B819"/>
      <c r="D819"/>
      <c r="E819"/>
      <c r="F819"/>
      <c r="G819"/>
      <c r="H819"/>
      <c r="I819"/>
      <c r="J819"/>
      <c r="K819"/>
      <c r="L819"/>
      <c r="M819"/>
      <c r="N819"/>
      <c r="O819"/>
      <c r="P819"/>
      <c r="R819"/>
      <c r="S819"/>
      <c r="T819"/>
      <c r="U819"/>
      <c r="V819"/>
      <c r="W819"/>
      <c r="X819"/>
      <c r="Y819"/>
    </row>
    <row r="820" spans="2:25">
      <c r="B820"/>
      <c r="D820"/>
      <c r="E820"/>
      <c r="F820"/>
      <c r="G820"/>
      <c r="H820"/>
      <c r="I820"/>
      <c r="J820"/>
      <c r="K820"/>
      <c r="L820"/>
      <c r="M820"/>
      <c r="N820"/>
      <c r="O820"/>
      <c r="P820"/>
      <c r="R820"/>
      <c r="S820"/>
      <c r="T820"/>
      <c r="U820"/>
      <c r="V820"/>
      <c r="W820"/>
      <c r="X820"/>
      <c r="Y820"/>
    </row>
    <row r="821" spans="2:25">
      <c r="B821"/>
      <c r="D821"/>
      <c r="E821"/>
      <c r="F821"/>
      <c r="G821"/>
      <c r="H821"/>
      <c r="I821"/>
      <c r="J821"/>
      <c r="K821"/>
      <c r="L821"/>
      <c r="M821"/>
      <c r="N821"/>
      <c r="O821"/>
      <c r="P821"/>
      <c r="R821"/>
      <c r="S821"/>
      <c r="T821"/>
      <c r="U821"/>
      <c r="V821"/>
      <c r="W821"/>
      <c r="X821"/>
      <c r="Y821"/>
    </row>
    <row r="822" spans="2:25">
      <c r="B822"/>
      <c r="D822"/>
      <c r="E822"/>
      <c r="F822"/>
      <c r="G822"/>
      <c r="H822"/>
      <c r="I822"/>
      <c r="J822"/>
      <c r="K822"/>
      <c r="L822"/>
      <c r="M822"/>
      <c r="N822"/>
      <c r="O822"/>
      <c r="P822"/>
      <c r="R822"/>
      <c r="S822"/>
      <c r="T822"/>
      <c r="U822"/>
      <c r="V822"/>
      <c r="W822"/>
      <c r="X822"/>
      <c r="Y822"/>
    </row>
    <row r="823" spans="2:25">
      <c r="B823"/>
      <c r="D823"/>
      <c r="E823"/>
      <c r="F823"/>
      <c r="G823"/>
      <c r="H823"/>
      <c r="I823"/>
      <c r="J823"/>
      <c r="K823"/>
      <c r="L823"/>
      <c r="M823"/>
      <c r="N823"/>
      <c r="O823"/>
      <c r="P823"/>
      <c r="R823"/>
      <c r="S823"/>
      <c r="T823"/>
      <c r="U823"/>
      <c r="V823"/>
      <c r="W823"/>
      <c r="X823"/>
      <c r="Y823"/>
    </row>
    <row r="824" spans="2:25">
      <c r="B824"/>
      <c r="D824"/>
      <c r="E824"/>
      <c r="F824"/>
      <c r="G824"/>
      <c r="H824"/>
      <c r="I824"/>
      <c r="J824"/>
      <c r="K824"/>
      <c r="L824"/>
      <c r="M824"/>
      <c r="N824"/>
      <c r="O824"/>
      <c r="P824"/>
      <c r="R824"/>
      <c r="S824"/>
      <c r="T824"/>
      <c r="U824"/>
      <c r="V824"/>
      <c r="W824"/>
      <c r="X824"/>
      <c r="Y824"/>
    </row>
    <row r="825" spans="2:25">
      <c r="B825"/>
      <c r="D825"/>
      <c r="E825"/>
      <c r="F825"/>
      <c r="G825"/>
      <c r="H825"/>
      <c r="I825"/>
      <c r="J825"/>
      <c r="K825"/>
      <c r="L825"/>
      <c r="M825"/>
      <c r="N825"/>
      <c r="O825"/>
      <c r="P825"/>
      <c r="R825"/>
      <c r="S825"/>
      <c r="T825"/>
      <c r="U825"/>
      <c r="V825"/>
      <c r="W825"/>
      <c r="X825"/>
      <c r="Y825"/>
    </row>
    <row r="826" spans="2:25">
      <c r="B826"/>
      <c r="D826"/>
      <c r="E826"/>
      <c r="F826"/>
      <c r="G826"/>
      <c r="H826"/>
      <c r="I826"/>
      <c r="J826"/>
      <c r="K826"/>
      <c r="L826"/>
      <c r="M826"/>
      <c r="N826"/>
      <c r="O826"/>
      <c r="P826"/>
      <c r="R826"/>
      <c r="S826"/>
      <c r="T826"/>
      <c r="U826"/>
      <c r="V826"/>
      <c r="W826"/>
      <c r="X826"/>
      <c r="Y826"/>
    </row>
    <row r="827" spans="2:25">
      <c r="B827"/>
      <c r="D827"/>
      <c r="E827"/>
      <c r="F827"/>
      <c r="G827"/>
      <c r="H827"/>
      <c r="I827"/>
      <c r="J827"/>
      <c r="K827"/>
      <c r="L827"/>
      <c r="M827"/>
      <c r="N827"/>
      <c r="O827"/>
      <c r="P827"/>
      <c r="R827"/>
      <c r="S827"/>
      <c r="T827"/>
      <c r="U827"/>
      <c r="V827"/>
      <c r="W827"/>
      <c r="X827"/>
      <c r="Y827"/>
    </row>
    <row r="828" spans="2:25">
      <c r="B828"/>
      <c r="D828"/>
      <c r="E828"/>
      <c r="F828"/>
      <c r="G828"/>
      <c r="H828"/>
      <c r="I828"/>
      <c r="J828"/>
      <c r="K828"/>
      <c r="L828"/>
      <c r="M828"/>
      <c r="N828"/>
      <c r="O828"/>
      <c r="P828"/>
      <c r="R828"/>
      <c r="S828"/>
      <c r="T828"/>
      <c r="U828"/>
      <c r="V828"/>
      <c r="W828"/>
      <c r="X828"/>
      <c r="Y828"/>
    </row>
    <row r="829" spans="2:25">
      <c r="B829"/>
      <c r="D829"/>
      <c r="E829"/>
      <c r="F829"/>
      <c r="G829"/>
      <c r="H829"/>
      <c r="I829"/>
      <c r="J829"/>
      <c r="K829"/>
      <c r="L829"/>
      <c r="M829"/>
      <c r="N829"/>
      <c r="O829"/>
      <c r="P829"/>
      <c r="R829"/>
      <c r="S829"/>
      <c r="T829"/>
      <c r="U829"/>
      <c r="V829"/>
      <c r="W829"/>
      <c r="X829"/>
      <c r="Y829"/>
    </row>
    <row r="830" spans="2:25">
      <c r="B830"/>
      <c r="D830"/>
      <c r="E830"/>
      <c r="F830"/>
      <c r="G830"/>
      <c r="H830"/>
      <c r="I830"/>
      <c r="J830"/>
      <c r="K830"/>
      <c r="L830"/>
      <c r="M830"/>
      <c r="N830"/>
      <c r="O830"/>
      <c r="P830"/>
      <c r="R830"/>
      <c r="S830"/>
      <c r="T830"/>
      <c r="U830"/>
      <c r="V830"/>
      <c r="W830"/>
      <c r="X830"/>
      <c r="Y830"/>
    </row>
    <row r="831" spans="2:25">
      <c r="B831"/>
      <c r="D831"/>
      <c r="E831"/>
      <c r="F831"/>
      <c r="G831"/>
      <c r="H831"/>
      <c r="I831"/>
      <c r="J831"/>
      <c r="K831"/>
      <c r="L831"/>
      <c r="M831"/>
      <c r="N831"/>
      <c r="O831"/>
      <c r="P831"/>
      <c r="R831"/>
      <c r="S831"/>
      <c r="T831"/>
      <c r="U831"/>
      <c r="V831"/>
      <c r="W831"/>
      <c r="X831"/>
      <c r="Y831"/>
    </row>
    <row r="832" spans="2:25">
      <c r="B832"/>
      <c r="D832"/>
      <c r="E832"/>
      <c r="F832"/>
      <c r="G832"/>
      <c r="H832"/>
      <c r="I832"/>
      <c r="J832"/>
      <c r="K832"/>
      <c r="L832"/>
      <c r="M832"/>
      <c r="N832"/>
      <c r="O832"/>
      <c r="P832"/>
      <c r="R832"/>
      <c r="S832"/>
      <c r="T832"/>
      <c r="U832"/>
      <c r="V832"/>
      <c r="W832"/>
      <c r="X832"/>
      <c r="Y832"/>
    </row>
    <row r="833" spans="2:25">
      <c r="B833"/>
      <c r="D833"/>
      <c r="E833"/>
      <c r="F833"/>
      <c r="G833"/>
      <c r="H833"/>
      <c r="I833"/>
      <c r="J833"/>
      <c r="K833"/>
      <c r="L833"/>
      <c r="M833"/>
      <c r="N833"/>
      <c r="O833"/>
      <c r="P833"/>
      <c r="R833"/>
      <c r="S833"/>
      <c r="T833"/>
      <c r="U833"/>
      <c r="V833"/>
      <c r="W833"/>
      <c r="X833"/>
      <c r="Y833"/>
    </row>
    <row r="834" spans="2:25">
      <c r="B834"/>
      <c r="D834"/>
      <c r="E834"/>
      <c r="F834"/>
      <c r="G834"/>
      <c r="H834"/>
      <c r="I834"/>
      <c r="J834"/>
      <c r="K834"/>
      <c r="L834"/>
      <c r="M834"/>
      <c r="N834"/>
      <c r="O834"/>
      <c r="P834"/>
      <c r="R834"/>
      <c r="S834"/>
      <c r="T834"/>
      <c r="U834"/>
      <c r="V834"/>
      <c r="W834"/>
      <c r="X834"/>
      <c r="Y834"/>
    </row>
    <row r="835" spans="2:25">
      <c r="B835"/>
      <c r="D835"/>
      <c r="E835"/>
      <c r="F835"/>
      <c r="G835"/>
      <c r="H835"/>
      <c r="I835"/>
      <c r="J835"/>
      <c r="K835"/>
      <c r="L835"/>
      <c r="M835"/>
      <c r="N835"/>
      <c r="O835"/>
      <c r="P835"/>
      <c r="R835"/>
      <c r="S835"/>
      <c r="T835"/>
      <c r="U835"/>
      <c r="V835"/>
      <c r="W835"/>
      <c r="X835"/>
      <c r="Y835"/>
    </row>
    <row r="836" spans="2:25">
      <c r="B836"/>
      <c r="D836"/>
      <c r="E836"/>
      <c r="F836"/>
      <c r="G836"/>
      <c r="H836"/>
      <c r="I836"/>
      <c r="J836"/>
      <c r="K836"/>
      <c r="L836"/>
      <c r="M836"/>
      <c r="N836"/>
      <c r="O836"/>
      <c r="P836"/>
      <c r="R836"/>
      <c r="S836"/>
      <c r="T836"/>
      <c r="U836"/>
      <c r="V836"/>
      <c r="W836"/>
      <c r="X836"/>
      <c r="Y836"/>
    </row>
    <row r="837" spans="2:25">
      <c r="B837"/>
      <c r="D837"/>
      <c r="E837"/>
      <c r="F837"/>
      <c r="G837"/>
      <c r="H837"/>
      <c r="I837"/>
      <c r="J837"/>
      <c r="K837"/>
      <c r="L837"/>
      <c r="M837"/>
      <c r="N837"/>
      <c r="O837"/>
      <c r="P837"/>
      <c r="R837"/>
      <c r="S837"/>
      <c r="T837"/>
      <c r="U837"/>
      <c r="V837"/>
      <c r="W837"/>
      <c r="X837"/>
      <c r="Y837"/>
    </row>
    <row r="838" spans="2:25">
      <c r="B838"/>
      <c r="D838"/>
      <c r="E838"/>
      <c r="F838"/>
      <c r="G838"/>
      <c r="H838"/>
      <c r="I838"/>
      <c r="J838"/>
      <c r="K838"/>
      <c r="L838"/>
      <c r="M838"/>
      <c r="N838"/>
      <c r="O838"/>
      <c r="P838"/>
      <c r="R838"/>
      <c r="S838"/>
      <c r="T838"/>
      <c r="U838"/>
      <c r="V838"/>
      <c r="W838"/>
      <c r="X838"/>
      <c r="Y838"/>
    </row>
    <row r="839" spans="2:25">
      <c r="B839"/>
      <c r="D839"/>
      <c r="E839"/>
      <c r="F839"/>
      <c r="G839"/>
      <c r="H839"/>
      <c r="I839"/>
      <c r="J839"/>
      <c r="K839"/>
      <c r="L839"/>
      <c r="M839"/>
      <c r="N839"/>
      <c r="O839"/>
      <c r="P839"/>
      <c r="R839"/>
      <c r="S839"/>
      <c r="T839"/>
      <c r="U839"/>
      <c r="V839"/>
      <c r="W839"/>
      <c r="X839"/>
      <c r="Y839"/>
    </row>
    <row r="840" spans="2:25">
      <c r="B840"/>
      <c r="D840"/>
      <c r="E840"/>
      <c r="F840"/>
      <c r="G840"/>
      <c r="H840"/>
      <c r="I840"/>
      <c r="J840"/>
      <c r="K840"/>
      <c r="L840"/>
      <c r="M840"/>
      <c r="N840"/>
      <c r="O840"/>
      <c r="P840"/>
      <c r="R840"/>
      <c r="S840"/>
      <c r="T840"/>
      <c r="U840"/>
      <c r="V840"/>
      <c r="W840"/>
      <c r="X840"/>
      <c r="Y840"/>
    </row>
    <row r="841" spans="2:25">
      <c r="B841"/>
      <c r="D841"/>
      <c r="E841"/>
      <c r="F841"/>
      <c r="G841"/>
      <c r="H841"/>
      <c r="I841"/>
      <c r="J841"/>
      <c r="K841"/>
      <c r="L841"/>
      <c r="M841"/>
      <c r="N841"/>
      <c r="O841"/>
      <c r="P841"/>
      <c r="R841"/>
      <c r="S841"/>
      <c r="T841"/>
      <c r="U841"/>
      <c r="V841"/>
      <c r="W841"/>
      <c r="X841"/>
      <c r="Y841"/>
    </row>
    <row r="842" spans="2:25">
      <c r="B842"/>
      <c r="D842"/>
      <c r="E842"/>
      <c r="F842"/>
      <c r="G842"/>
      <c r="H842"/>
      <c r="I842"/>
      <c r="J842"/>
      <c r="K842"/>
      <c r="L842"/>
      <c r="M842"/>
      <c r="N842"/>
      <c r="O842"/>
      <c r="P842"/>
      <c r="R842"/>
      <c r="S842"/>
      <c r="T842"/>
      <c r="U842"/>
      <c r="V842"/>
      <c r="W842"/>
      <c r="X842"/>
      <c r="Y842"/>
    </row>
    <row r="843" spans="2:25">
      <c r="B843"/>
      <c r="D843"/>
      <c r="E843"/>
      <c r="F843"/>
      <c r="G843"/>
      <c r="H843"/>
      <c r="I843"/>
      <c r="J843"/>
      <c r="K843"/>
      <c r="L843"/>
      <c r="M843"/>
      <c r="N843"/>
      <c r="O843"/>
      <c r="P843"/>
      <c r="R843"/>
      <c r="S843"/>
      <c r="T843"/>
      <c r="U843"/>
      <c r="V843"/>
      <c r="W843"/>
      <c r="X843"/>
      <c r="Y843"/>
    </row>
    <row r="844" spans="2:25">
      <c r="B844"/>
      <c r="D844"/>
      <c r="E844"/>
      <c r="F844"/>
      <c r="G844"/>
      <c r="H844"/>
      <c r="I844"/>
      <c r="J844"/>
      <c r="K844"/>
      <c r="L844"/>
      <c r="M844"/>
      <c r="N844"/>
      <c r="O844"/>
      <c r="P844"/>
      <c r="R844"/>
      <c r="S844"/>
      <c r="T844"/>
      <c r="U844"/>
      <c r="V844"/>
      <c r="W844"/>
      <c r="X844"/>
      <c r="Y844"/>
    </row>
    <row r="845" spans="2:25">
      <c r="B845"/>
      <c r="D845"/>
      <c r="E845"/>
      <c r="F845"/>
      <c r="G845"/>
      <c r="H845"/>
      <c r="I845"/>
      <c r="J845"/>
      <c r="K845"/>
      <c r="L845"/>
      <c r="M845"/>
      <c r="N845"/>
      <c r="O845"/>
      <c r="P845"/>
      <c r="R845"/>
      <c r="S845"/>
      <c r="T845"/>
      <c r="U845"/>
      <c r="V845"/>
      <c r="W845"/>
      <c r="X845"/>
      <c r="Y845"/>
    </row>
    <row r="846" spans="2:25">
      <c r="B846"/>
      <c r="D846"/>
      <c r="E846"/>
      <c r="F846"/>
      <c r="G846"/>
      <c r="H846"/>
      <c r="I846"/>
      <c r="J846"/>
      <c r="K846"/>
      <c r="L846"/>
      <c r="M846"/>
      <c r="N846"/>
      <c r="O846"/>
      <c r="P846"/>
      <c r="R846"/>
      <c r="S846"/>
      <c r="T846"/>
      <c r="U846"/>
      <c r="V846"/>
      <c r="W846"/>
      <c r="X846"/>
      <c r="Y846"/>
    </row>
    <row r="847" spans="2:25">
      <c r="B847"/>
      <c r="D847"/>
      <c r="E847"/>
      <c r="F847"/>
      <c r="G847"/>
      <c r="H847"/>
      <c r="I847"/>
      <c r="J847"/>
      <c r="K847"/>
      <c r="L847"/>
      <c r="M847"/>
      <c r="N847"/>
      <c r="O847"/>
      <c r="P847"/>
      <c r="R847"/>
      <c r="S847"/>
      <c r="T847"/>
      <c r="U847"/>
      <c r="V847"/>
      <c r="W847"/>
      <c r="X847"/>
      <c r="Y847"/>
    </row>
    <row r="848" spans="2:25">
      <c r="B848"/>
      <c r="D848"/>
      <c r="E848"/>
      <c r="F848"/>
      <c r="G848"/>
      <c r="H848"/>
      <c r="I848"/>
      <c r="J848"/>
      <c r="K848"/>
      <c r="L848"/>
      <c r="M848"/>
      <c r="N848"/>
      <c r="O848"/>
      <c r="P848"/>
      <c r="R848"/>
      <c r="S848"/>
      <c r="T848"/>
      <c r="U848"/>
      <c r="V848"/>
      <c r="W848"/>
      <c r="X848"/>
      <c r="Y848"/>
    </row>
    <row r="849" spans="2:25">
      <c r="B849"/>
      <c r="D849"/>
      <c r="E849"/>
      <c r="F849"/>
      <c r="G849"/>
      <c r="H849"/>
      <c r="I849"/>
      <c r="J849"/>
      <c r="K849"/>
      <c r="L849"/>
      <c r="M849"/>
      <c r="N849"/>
      <c r="O849"/>
      <c r="P849"/>
      <c r="R849"/>
      <c r="S849"/>
      <c r="T849"/>
      <c r="U849"/>
      <c r="V849"/>
      <c r="W849"/>
      <c r="X849"/>
      <c r="Y849"/>
    </row>
    <row r="850" spans="2:25">
      <c r="B850"/>
      <c r="D850"/>
      <c r="E850"/>
      <c r="F850"/>
      <c r="G850"/>
      <c r="H850"/>
      <c r="I850"/>
      <c r="J850"/>
      <c r="K850"/>
      <c r="L850"/>
      <c r="M850"/>
      <c r="N850"/>
      <c r="O850"/>
      <c r="P850"/>
      <c r="R850"/>
      <c r="S850"/>
      <c r="T850"/>
      <c r="U850"/>
      <c r="V850"/>
      <c r="W850"/>
      <c r="X850"/>
      <c r="Y850"/>
    </row>
    <row r="851" spans="2:25">
      <c r="B851"/>
      <c r="D851"/>
      <c r="E851"/>
      <c r="F851"/>
      <c r="G851"/>
      <c r="H851"/>
      <c r="I851"/>
      <c r="J851"/>
      <c r="K851"/>
      <c r="L851"/>
      <c r="M851"/>
      <c r="N851"/>
      <c r="O851"/>
      <c r="P851"/>
      <c r="R851"/>
      <c r="S851"/>
      <c r="T851"/>
      <c r="U851"/>
      <c r="V851"/>
      <c r="W851"/>
      <c r="X851"/>
      <c r="Y851"/>
    </row>
    <row r="852" spans="2:25">
      <c r="B852"/>
      <c r="D852"/>
      <c r="E852"/>
      <c r="F852"/>
      <c r="G852"/>
      <c r="H852"/>
      <c r="I852"/>
      <c r="J852"/>
      <c r="K852"/>
      <c r="L852"/>
      <c r="M852"/>
      <c r="N852"/>
      <c r="O852"/>
      <c r="P852"/>
      <c r="R852"/>
      <c r="S852"/>
      <c r="T852"/>
      <c r="U852"/>
      <c r="V852"/>
      <c r="W852"/>
      <c r="X852"/>
      <c r="Y852"/>
    </row>
    <row r="853" spans="2:25">
      <c r="B853"/>
      <c r="D853"/>
      <c r="E853"/>
      <c r="F853"/>
      <c r="G853"/>
      <c r="H853"/>
      <c r="I853"/>
      <c r="J853"/>
      <c r="K853"/>
      <c r="L853"/>
      <c r="M853"/>
      <c r="N853"/>
      <c r="O853"/>
      <c r="P853"/>
      <c r="R853"/>
      <c r="S853"/>
      <c r="T853"/>
      <c r="U853"/>
      <c r="V853"/>
      <c r="W853"/>
      <c r="X853"/>
      <c r="Y853"/>
    </row>
    <row r="854" spans="2:25">
      <c r="B854"/>
      <c r="D854"/>
      <c r="E854"/>
      <c r="F854"/>
      <c r="G854"/>
      <c r="H854"/>
      <c r="I854"/>
      <c r="J854"/>
      <c r="K854"/>
      <c r="L854"/>
      <c r="M854"/>
      <c r="N854"/>
      <c r="O854"/>
      <c r="P854"/>
      <c r="R854"/>
      <c r="S854"/>
      <c r="T854"/>
      <c r="U854"/>
      <c r="V854"/>
      <c r="W854"/>
      <c r="X854"/>
      <c r="Y854"/>
    </row>
    <row r="855" spans="2:25">
      <c r="B855"/>
      <c r="D855"/>
      <c r="E855"/>
      <c r="F855"/>
      <c r="G855"/>
      <c r="H855"/>
      <c r="I855"/>
      <c r="J855"/>
      <c r="K855"/>
      <c r="L855"/>
      <c r="M855"/>
      <c r="N855"/>
      <c r="O855"/>
      <c r="P855"/>
      <c r="R855"/>
      <c r="S855"/>
      <c r="T855"/>
      <c r="U855"/>
      <c r="V855"/>
      <c r="W855"/>
      <c r="X855"/>
      <c r="Y855"/>
    </row>
    <row r="856" spans="2:25">
      <c r="B856"/>
      <c r="D856"/>
      <c r="E856"/>
      <c r="F856"/>
      <c r="G856"/>
      <c r="H856"/>
      <c r="I856"/>
      <c r="J856"/>
      <c r="K856"/>
      <c r="L856"/>
      <c r="M856"/>
      <c r="N856"/>
      <c r="O856"/>
      <c r="P856"/>
      <c r="R856"/>
      <c r="S856"/>
      <c r="T856"/>
      <c r="U856"/>
      <c r="V856"/>
      <c r="W856"/>
      <c r="X856"/>
      <c r="Y856"/>
    </row>
    <row r="857" spans="2:25">
      <c r="B857"/>
      <c r="D857"/>
      <c r="E857"/>
      <c r="F857"/>
      <c r="G857"/>
      <c r="H857"/>
      <c r="I857"/>
      <c r="J857"/>
      <c r="K857"/>
      <c r="L857"/>
      <c r="M857"/>
      <c r="N857"/>
      <c r="O857"/>
      <c r="P857"/>
      <c r="R857"/>
      <c r="S857"/>
      <c r="T857"/>
      <c r="U857"/>
      <c r="V857"/>
      <c r="W857"/>
      <c r="X857"/>
      <c r="Y857"/>
    </row>
    <row r="858" spans="2:25">
      <c r="B858"/>
      <c r="D858"/>
      <c r="E858"/>
      <c r="F858"/>
      <c r="G858"/>
      <c r="H858"/>
      <c r="I858"/>
      <c r="J858"/>
      <c r="K858"/>
      <c r="L858"/>
      <c r="M858"/>
      <c r="N858"/>
      <c r="O858"/>
      <c r="P858"/>
      <c r="R858"/>
      <c r="S858"/>
      <c r="T858"/>
      <c r="U858"/>
      <c r="V858"/>
      <c r="W858"/>
      <c r="X858"/>
      <c r="Y858"/>
    </row>
    <row r="859" spans="2:25">
      <c r="B859"/>
      <c r="D859"/>
      <c r="E859"/>
      <c r="F859"/>
      <c r="G859"/>
      <c r="H859"/>
      <c r="I859"/>
      <c r="J859"/>
      <c r="K859"/>
      <c r="L859"/>
      <c r="M859"/>
      <c r="N859"/>
      <c r="O859"/>
      <c r="P859"/>
      <c r="R859"/>
      <c r="S859"/>
      <c r="T859"/>
      <c r="U859"/>
      <c r="V859"/>
      <c r="W859"/>
      <c r="X859"/>
      <c r="Y859"/>
    </row>
    <row r="860" spans="2:25">
      <c r="B860"/>
      <c r="D860"/>
      <c r="E860"/>
      <c r="F860"/>
      <c r="G860"/>
      <c r="H860"/>
      <c r="I860"/>
      <c r="J860"/>
      <c r="K860"/>
      <c r="L860"/>
      <c r="M860"/>
      <c r="N860"/>
      <c r="O860"/>
      <c r="P860"/>
      <c r="R860"/>
      <c r="S860"/>
      <c r="T860"/>
      <c r="U860"/>
      <c r="V860"/>
      <c r="W860"/>
      <c r="X860"/>
      <c r="Y860"/>
    </row>
    <row r="861" spans="2:25">
      <c r="B861"/>
      <c r="D861"/>
      <c r="E861"/>
      <c r="F861"/>
      <c r="G861"/>
      <c r="H861"/>
      <c r="I861"/>
      <c r="J861"/>
      <c r="K861"/>
      <c r="L861"/>
      <c r="M861"/>
      <c r="N861"/>
      <c r="O861"/>
      <c r="P861"/>
      <c r="R861"/>
      <c r="S861"/>
      <c r="T861"/>
      <c r="U861"/>
      <c r="V861"/>
      <c r="W861"/>
      <c r="X861"/>
      <c r="Y861"/>
    </row>
    <row r="862" spans="2:25">
      <c r="B862"/>
      <c r="D862"/>
      <c r="E862"/>
      <c r="F862"/>
      <c r="G862"/>
      <c r="H862"/>
      <c r="I862"/>
      <c r="J862"/>
      <c r="K862"/>
      <c r="L862"/>
      <c r="M862"/>
      <c r="N862"/>
      <c r="O862"/>
      <c r="P862"/>
      <c r="R862"/>
      <c r="S862"/>
      <c r="T862"/>
      <c r="U862"/>
      <c r="V862"/>
      <c r="W862"/>
      <c r="X862"/>
      <c r="Y862"/>
    </row>
    <row r="863" spans="2:25">
      <c r="B863"/>
      <c r="D863"/>
      <c r="E863"/>
      <c r="F863"/>
      <c r="G863"/>
      <c r="H863"/>
      <c r="I863"/>
      <c r="J863"/>
      <c r="K863"/>
      <c r="L863"/>
      <c r="M863"/>
      <c r="N863"/>
      <c r="O863"/>
      <c r="P863"/>
      <c r="R863"/>
      <c r="S863"/>
      <c r="T863"/>
      <c r="U863"/>
      <c r="V863"/>
      <c r="W863"/>
      <c r="X863"/>
      <c r="Y863"/>
    </row>
    <row r="864" spans="2:25">
      <c r="B864"/>
      <c r="D864"/>
      <c r="E864"/>
      <c r="F864"/>
      <c r="G864"/>
      <c r="H864"/>
      <c r="I864"/>
      <c r="J864"/>
      <c r="K864"/>
      <c r="L864"/>
      <c r="M864"/>
      <c r="N864"/>
      <c r="O864"/>
      <c r="P864"/>
      <c r="R864"/>
      <c r="S864"/>
      <c r="T864"/>
      <c r="U864"/>
      <c r="V864"/>
      <c r="W864"/>
      <c r="X864"/>
      <c r="Y864"/>
    </row>
    <row r="865" spans="2:25">
      <c r="B865"/>
      <c r="D865"/>
      <c r="E865"/>
      <c r="F865"/>
      <c r="G865"/>
      <c r="H865"/>
      <c r="I865"/>
      <c r="J865"/>
      <c r="K865"/>
      <c r="L865"/>
      <c r="M865"/>
      <c r="N865"/>
      <c r="O865"/>
      <c r="P865"/>
      <c r="R865"/>
      <c r="S865"/>
      <c r="T865"/>
      <c r="U865"/>
      <c r="V865"/>
      <c r="W865"/>
      <c r="X865"/>
      <c r="Y865"/>
    </row>
    <row r="866" spans="2:25">
      <c r="B866"/>
      <c r="D866"/>
      <c r="E866"/>
      <c r="F866"/>
      <c r="G866"/>
      <c r="H866"/>
      <c r="I866"/>
      <c r="J866"/>
      <c r="K866"/>
      <c r="L866"/>
      <c r="M866"/>
      <c r="N866"/>
      <c r="O866"/>
      <c r="P866"/>
      <c r="R866"/>
      <c r="S866"/>
      <c r="T866"/>
      <c r="U866"/>
      <c r="V866"/>
      <c r="W866"/>
      <c r="X866"/>
      <c r="Y866"/>
    </row>
    <row r="867" spans="2:25">
      <c r="B867"/>
      <c r="D867"/>
      <c r="E867"/>
      <c r="F867"/>
      <c r="G867"/>
      <c r="H867"/>
      <c r="I867"/>
      <c r="J867"/>
      <c r="K867"/>
      <c r="L867"/>
      <c r="M867"/>
      <c r="N867"/>
      <c r="O867"/>
      <c r="P867"/>
      <c r="R867"/>
      <c r="S867"/>
      <c r="T867"/>
      <c r="U867"/>
      <c r="V867"/>
      <c r="W867"/>
      <c r="X867"/>
      <c r="Y867"/>
    </row>
    <row r="868" spans="2:25">
      <c r="B868"/>
      <c r="D868"/>
      <c r="E868"/>
      <c r="F868"/>
      <c r="G868"/>
      <c r="H868"/>
      <c r="I868"/>
      <c r="J868"/>
      <c r="K868"/>
      <c r="L868"/>
      <c r="M868"/>
      <c r="N868"/>
      <c r="O868"/>
      <c r="P868"/>
      <c r="R868"/>
      <c r="S868"/>
      <c r="T868"/>
      <c r="U868"/>
      <c r="V868"/>
      <c r="W868"/>
      <c r="X868"/>
      <c r="Y868"/>
    </row>
    <row r="869" spans="2:25">
      <c r="B869"/>
      <c r="D869"/>
      <c r="E869"/>
      <c r="F869"/>
      <c r="G869"/>
      <c r="H869"/>
      <c r="I869"/>
      <c r="J869"/>
      <c r="K869"/>
      <c r="L869"/>
      <c r="M869"/>
      <c r="N869"/>
      <c r="O869"/>
      <c r="P869"/>
      <c r="R869"/>
      <c r="S869"/>
      <c r="T869"/>
      <c r="U869"/>
      <c r="V869"/>
      <c r="W869"/>
      <c r="X869"/>
      <c r="Y869"/>
    </row>
    <row r="870" spans="2:25">
      <c r="B870"/>
      <c r="D870"/>
      <c r="E870"/>
      <c r="F870"/>
      <c r="G870"/>
      <c r="H870"/>
      <c r="I870"/>
      <c r="J870"/>
      <c r="K870"/>
      <c r="L870"/>
      <c r="M870"/>
      <c r="N870"/>
      <c r="O870"/>
      <c r="P870"/>
      <c r="R870"/>
      <c r="S870"/>
      <c r="T870"/>
      <c r="U870"/>
      <c r="V870"/>
      <c r="W870"/>
      <c r="X870"/>
      <c r="Y870"/>
    </row>
    <row r="871" spans="2:25">
      <c r="B871"/>
      <c r="D871"/>
      <c r="E871"/>
      <c r="F871"/>
      <c r="G871"/>
      <c r="H871"/>
      <c r="I871"/>
      <c r="J871"/>
      <c r="K871"/>
      <c r="L871"/>
      <c r="M871"/>
      <c r="N871"/>
      <c r="O871"/>
      <c r="P871"/>
      <c r="R871"/>
      <c r="S871"/>
      <c r="T871"/>
      <c r="U871"/>
      <c r="V871"/>
      <c r="W871"/>
      <c r="X871"/>
      <c r="Y871"/>
    </row>
    <row r="872" spans="2:25">
      <c r="B872"/>
      <c r="D872"/>
      <c r="E872"/>
      <c r="F872"/>
      <c r="G872"/>
      <c r="H872"/>
      <c r="I872"/>
      <c r="J872"/>
      <c r="K872"/>
      <c r="L872"/>
      <c r="M872"/>
      <c r="N872"/>
      <c r="O872"/>
      <c r="P872"/>
      <c r="R872"/>
      <c r="S872"/>
      <c r="T872"/>
      <c r="U872"/>
      <c r="V872"/>
      <c r="W872"/>
      <c r="X872"/>
      <c r="Y872"/>
    </row>
    <row r="873" spans="2:25">
      <c r="B873"/>
      <c r="D873"/>
      <c r="E873"/>
      <c r="F873"/>
      <c r="G873"/>
      <c r="H873"/>
      <c r="I873"/>
      <c r="J873"/>
      <c r="K873"/>
      <c r="L873"/>
      <c r="M873"/>
      <c r="N873"/>
      <c r="O873"/>
      <c r="P873"/>
      <c r="R873"/>
      <c r="S873"/>
      <c r="T873"/>
      <c r="U873"/>
      <c r="V873"/>
      <c r="W873"/>
      <c r="X873"/>
      <c r="Y873"/>
    </row>
    <row r="874" spans="2:25">
      <c r="B874"/>
      <c r="D874"/>
      <c r="E874"/>
      <c r="F874"/>
      <c r="G874"/>
      <c r="H874"/>
      <c r="I874"/>
      <c r="J874"/>
      <c r="K874"/>
      <c r="L874"/>
      <c r="M874"/>
      <c r="N874"/>
      <c r="O874"/>
      <c r="P874"/>
      <c r="R874"/>
      <c r="S874"/>
      <c r="T874"/>
      <c r="U874"/>
      <c r="V874"/>
      <c r="W874"/>
      <c r="X874"/>
      <c r="Y874"/>
    </row>
    <row r="875" spans="2:25">
      <c r="B875"/>
      <c r="D875"/>
      <c r="E875"/>
      <c r="F875"/>
      <c r="G875"/>
      <c r="H875"/>
      <c r="I875"/>
      <c r="J875"/>
      <c r="K875"/>
      <c r="L875"/>
      <c r="M875"/>
      <c r="N875"/>
      <c r="O875"/>
      <c r="P875"/>
      <c r="R875"/>
      <c r="S875"/>
      <c r="T875"/>
      <c r="U875"/>
      <c r="V875"/>
      <c r="W875"/>
      <c r="X875"/>
      <c r="Y875"/>
    </row>
    <row r="876" spans="2:25">
      <c r="B876"/>
      <c r="D876"/>
      <c r="E876"/>
      <c r="F876"/>
      <c r="G876"/>
      <c r="H876"/>
      <c r="I876"/>
      <c r="J876"/>
      <c r="K876"/>
      <c r="L876"/>
      <c r="M876"/>
      <c r="N876"/>
      <c r="O876"/>
      <c r="P876"/>
      <c r="R876"/>
      <c r="S876"/>
      <c r="T876"/>
      <c r="U876"/>
      <c r="V876"/>
      <c r="W876"/>
      <c r="X876"/>
      <c r="Y876"/>
    </row>
    <row r="877" spans="2:25">
      <c r="B877"/>
      <c r="D877"/>
      <c r="E877"/>
      <c r="F877"/>
      <c r="G877"/>
      <c r="H877"/>
      <c r="I877"/>
      <c r="J877"/>
      <c r="K877"/>
      <c r="L877"/>
      <c r="M877"/>
      <c r="N877"/>
      <c r="O877"/>
      <c r="P877"/>
      <c r="R877"/>
      <c r="S877"/>
      <c r="T877"/>
      <c r="U877"/>
      <c r="V877"/>
      <c r="W877"/>
      <c r="X877"/>
      <c r="Y877"/>
    </row>
    <row r="878" spans="2:25">
      <c r="B878"/>
      <c r="D878"/>
      <c r="E878"/>
      <c r="F878"/>
      <c r="G878"/>
      <c r="H878"/>
      <c r="I878"/>
      <c r="J878"/>
      <c r="K878"/>
      <c r="L878"/>
      <c r="M878"/>
      <c r="N878"/>
      <c r="O878"/>
      <c r="P878"/>
      <c r="R878"/>
      <c r="S878"/>
      <c r="T878"/>
      <c r="U878"/>
      <c r="V878"/>
      <c r="W878"/>
      <c r="X878"/>
      <c r="Y878"/>
    </row>
    <row r="879" spans="2:25">
      <c r="B879"/>
      <c r="D879"/>
      <c r="E879"/>
      <c r="F879"/>
      <c r="G879"/>
      <c r="H879"/>
      <c r="I879"/>
      <c r="J879"/>
      <c r="K879"/>
      <c r="L879"/>
      <c r="M879"/>
      <c r="N879"/>
      <c r="O879"/>
      <c r="P879"/>
      <c r="R879"/>
      <c r="S879"/>
      <c r="T879"/>
      <c r="U879"/>
      <c r="V879"/>
      <c r="W879"/>
      <c r="X879"/>
      <c r="Y879"/>
    </row>
    <row r="880" spans="2:25">
      <c r="B880"/>
      <c r="D880"/>
      <c r="E880"/>
      <c r="F880"/>
      <c r="G880"/>
      <c r="H880"/>
      <c r="I880"/>
      <c r="J880"/>
      <c r="K880"/>
      <c r="L880"/>
      <c r="M880"/>
      <c r="N880"/>
      <c r="O880"/>
      <c r="P880"/>
      <c r="R880"/>
      <c r="S880"/>
      <c r="T880"/>
      <c r="U880"/>
      <c r="V880"/>
      <c r="W880"/>
      <c r="X880"/>
      <c r="Y880"/>
    </row>
    <row r="881" spans="2:25">
      <c r="B881"/>
      <c r="D881"/>
      <c r="E881"/>
      <c r="F881"/>
      <c r="G881"/>
      <c r="H881"/>
      <c r="I881"/>
      <c r="J881"/>
      <c r="K881"/>
      <c r="L881"/>
      <c r="M881"/>
      <c r="N881"/>
      <c r="O881"/>
      <c r="P881"/>
      <c r="R881"/>
      <c r="S881"/>
      <c r="T881"/>
      <c r="U881"/>
      <c r="V881"/>
      <c r="W881"/>
      <c r="X881"/>
      <c r="Y881"/>
    </row>
    <row r="882" spans="2:25">
      <c r="B882"/>
      <c r="D882"/>
      <c r="E882"/>
      <c r="F882"/>
      <c r="G882"/>
      <c r="H882"/>
      <c r="I882"/>
      <c r="J882"/>
      <c r="K882"/>
      <c r="L882"/>
      <c r="M882"/>
      <c r="N882"/>
      <c r="O882"/>
      <c r="P882"/>
      <c r="R882"/>
      <c r="S882"/>
      <c r="T882"/>
      <c r="U882"/>
      <c r="V882"/>
      <c r="W882"/>
      <c r="X882"/>
      <c r="Y882"/>
    </row>
    <row r="883" spans="2:25">
      <c r="B883"/>
      <c r="D883"/>
      <c r="E883"/>
      <c r="F883"/>
      <c r="G883"/>
      <c r="H883"/>
      <c r="I883"/>
      <c r="J883"/>
      <c r="K883"/>
      <c r="L883"/>
      <c r="M883"/>
      <c r="N883"/>
      <c r="O883"/>
      <c r="P883"/>
      <c r="R883"/>
      <c r="S883"/>
      <c r="T883"/>
      <c r="U883"/>
      <c r="V883"/>
      <c r="W883"/>
      <c r="X883"/>
      <c r="Y883"/>
    </row>
    <row r="884" spans="2:25">
      <c r="B884"/>
      <c r="D884"/>
      <c r="E884"/>
      <c r="F884"/>
      <c r="G884"/>
      <c r="H884"/>
      <c r="I884"/>
      <c r="J884"/>
      <c r="K884"/>
      <c r="L884"/>
      <c r="M884"/>
      <c r="N884"/>
      <c r="O884"/>
      <c r="P884"/>
      <c r="R884"/>
      <c r="S884"/>
      <c r="T884"/>
      <c r="U884"/>
      <c r="V884"/>
      <c r="W884"/>
      <c r="X884"/>
      <c r="Y884"/>
    </row>
    <row r="885" spans="2:25">
      <c r="B885"/>
      <c r="D885"/>
      <c r="E885"/>
      <c r="F885"/>
      <c r="G885"/>
      <c r="H885"/>
      <c r="I885"/>
      <c r="J885"/>
      <c r="K885"/>
      <c r="L885"/>
      <c r="M885"/>
      <c r="N885"/>
      <c r="O885"/>
      <c r="P885"/>
      <c r="R885"/>
      <c r="S885"/>
      <c r="T885"/>
      <c r="U885"/>
      <c r="V885"/>
      <c r="W885"/>
      <c r="X885"/>
      <c r="Y885"/>
    </row>
    <row r="886" spans="2:25">
      <c r="B886"/>
      <c r="D886"/>
      <c r="E886"/>
      <c r="F886"/>
      <c r="G886"/>
      <c r="H886"/>
      <c r="I886"/>
      <c r="J886"/>
      <c r="K886"/>
      <c r="L886"/>
      <c r="M886"/>
      <c r="N886"/>
      <c r="O886"/>
      <c r="P886"/>
      <c r="R886"/>
      <c r="S886"/>
      <c r="T886"/>
      <c r="U886"/>
      <c r="V886"/>
      <c r="W886"/>
      <c r="X886"/>
      <c r="Y886"/>
    </row>
    <row r="887" spans="2:25">
      <c r="B887"/>
      <c r="D887"/>
      <c r="E887"/>
      <c r="F887"/>
      <c r="G887"/>
      <c r="H887"/>
      <c r="I887"/>
      <c r="J887"/>
      <c r="K887"/>
      <c r="L887"/>
      <c r="M887"/>
      <c r="N887"/>
      <c r="O887"/>
      <c r="P887"/>
      <c r="R887"/>
      <c r="S887"/>
      <c r="T887"/>
      <c r="U887"/>
      <c r="V887"/>
      <c r="W887"/>
      <c r="X887"/>
      <c r="Y887"/>
    </row>
    <row r="888" spans="2:25">
      <c r="B888"/>
      <c r="D888"/>
      <c r="E888"/>
      <c r="F888"/>
      <c r="G888"/>
      <c r="H888"/>
      <c r="I888"/>
      <c r="J888"/>
      <c r="K888"/>
      <c r="L888"/>
      <c r="M888"/>
      <c r="N888"/>
      <c r="O888"/>
      <c r="P888"/>
      <c r="R888"/>
      <c r="S888"/>
      <c r="T888"/>
      <c r="U888"/>
      <c r="V888"/>
      <c r="W888"/>
      <c r="X888"/>
      <c r="Y888"/>
    </row>
    <row r="889" spans="2:25">
      <c r="B889"/>
      <c r="D889"/>
      <c r="E889"/>
      <c r="F889"/>
      <c r="G889"/>
      <c r="H889"/>
      <c r="I889"/>
      <c r="J889"/>
      <c r="K889"/>
      <c r="L889"/>
      <c r="M889"/>
      <c r="N889"/>
      <c r="O889"/>
      <c r="P889"/>
      <c r="R889"/>
      <c r="S889"/>
      <c r="T889"/>
      <c r="U889"/>
      <c r="V889"/>
      <c r="W889"/>
      <c r="X889"/>
      <c r="Y889"/>
    </row>
    <row r="890" spans="2:25">
      <c r="B890"/>
      <c r="D890"/>
      <c r="E890"/>
      <c r="F890"/>
      <c r="G890"/>
      <c r="H890"/>
      <c r="I890"/>
      <c r="J890"/>
      <c r="K890"/>
      <c r="L890"/>
      <c r="M890"/>
      <c r="N890"/>
      <c r="O890"/>
      <c r="P890"/>
      <c r="R890"/>
      <c r="S890"/>
      <c r="T890"/>
      <c r="U890"/>
      <c r="V890"/>
      <c r="W890"/>
      <c r="X890"/>
      <c r="Y890"/>
    </row>
    <row r="891" spans="2:25">
      <c r="B891"/>
      <c r="D891"/>
      <c r="E891"/>
      <c r="F891"/>
      <c r="G891"/>
      <c r="H891"/>
      <c r="I891"/>
      <c r="J891"/>
      <c r="K891"/>
      <c r="L891"/>
      <c r="M891"/>
      <c r="N891"/>
      <c r="O891"/>
      <c r="P891"/>
      <c r="R891"/>
      <c r="S891"/>
      <c r="T891"/>
      <c r="U891"/>
      <c r="V891"/>
      <c r="W891"/>
      <c r="X891"/>
      <c r="Y891"/>
    </row>
    <row r="892" spans="2:25">
      <c r="B892"/>
      <c r="D892"/>
      <c r="E892"/>
      <c r="F892"/>
      <c r="G892"/>
      <c r="H892"/>
      <c r="I892"/>
      <c r="J892"/>
      <c r="K892"/>
      <c r="L892"/>
      <c r="M892"/>
      <c r="N892"/>
      <c r="O892"/>
      <c r="P892"/>
      <c r="R892"/>
      <c r="S892"/>
      <c r="T892"/>
      <c r="U892"/>
      <c r="V892"/>
      <c r="W892"/>
      <c r="X892"/>
      <c r="Y892"/>
    </row>
    <row r="893" spans="2:25">
      <c r="B893"/>
      <c r="D893"/>
      <c r="E893"/>
      <c r="F893"/>
      <c r="G893"/>
      <c r="H893"/>
      <c r="I893"/>
      <c r="J893"/>
      <c r="K893"/>
      <c r="L893"/>
      <c r="M893"/>
      <c r="N893"/>
      <c r="O893"/>
      <c r="P893"/>
      <c r="R893"/>
      <c r="S893"/>
      <c r="T893"/>
      <c r="U893"/>
      <c r="V893"/>
      <c r="W893"/>
      <c r="X893"/>
      <c r="Y893"/>
    </row>
    <row r="894" spans="2:25">
      <c r="B894"/>
      <c r="D894"/>
      <c r="E894"/>
      <c r="F894"/>
      <c r="G894"/>
      <c r="H894"/>
      <c r="I894"/>
      <c r="J894"/>
      <c r="K894"/>
      <c r="L894"/>
      <c r="M894"/>
      <c r="N894"/>
      <c r="O894"/>
      <c r="P894"/>
      <c r="R894"/>
      <c r="S894"/>
      <c r="T894"/>
      <c r="U894"/>
      <c r="V894"/>
      <c r="W894"/>
      <c r="X894"/>
      <c r="Y894"/>
    </row>
    <row r="895" spans="2:25">
      <c r="B895"/>
      <c r="D895"/>
      <c r="E895"/>
      <c r="F895"/>
      <c r="G895"/>
      <c r="H895"/>
      <c r="I895"/>
      <c r="J895"/>
      <c r="K895"/>
      <c r="L895"/>
      <c r="M895"/>
      <c r="N895"/>
      <c r="O895"/>
      <c r="P895"/>
      <c r="R895"/>
      <c r="S895"/>
      <c r="T895"/>
      <c r="U895"/>
      <c r="V895"/>
      <c r="W895"/>
      <c r="X895"/>
      <c r="Y895"/>
    </row>
    <row r="896" spans="2:25">
      <c r="B896"/>
      <c r="D896"/>
      <c r="E896"/>
      <c r="F896"/>
      <c r="G896"/>
      <c r="H896"/>
      <c r="I896"/>
      <c r="J896"/>
      <c r="K896"/>
      <c r="L896"/>
      <c r="M896"/>
      <c r="N896"/>
      <c r="O896"/>
      <c r="P896"/>
      <c r="R896"/>
      <c r="S896"/>
      <c r="T896"/>
      <c r="U896"/>
      <c r="V896"/>
      <c r="W896"/>
      <c r="X896"/>
      <c r="Y896"/>
    </row>
    <row r="897" spans="2:25">
      <c r="B897"/>
      <c r="D897"/>
      <c r="E897"/>
      <c r="F897"/>
      <c r="G897"/>
      <c r="H897"/>
      <c r="I897"/>
      <c r="J897"/>
      <c r="K897"/>
      <c r="L897"/>
      <c r="M897"/>
      <c r="N897"/>
      <c r="O897"/>
      <c r="P897"/>
      <c r="R897"/>
      <c r="S897"/>
      <c r="T897"/>
      <c r="U897"/>
      <c r="V897"/>
      <c r="W897"/>
      <c r="X897"/>
      <c r="Y897"/>
    </row>
    <row r="898" spans="2:25">
      <c r="B898"/>
      <c r="D898"/>
      <c r="E898"/>
      <c r="F898"/>
      <c r="G898"/>
      <c r="H898"/>
      <c r="I898"/>
      <c r="J898"/>
      <c r="K898"/>
      <c r="L898"/>
      <c r="M898"/>
      <c r="N898"/>
      <c r="O898"/>
      <c r="P898"/>
      <c r="R898"/>
      <c r="S898"/>
      <c r="T898"/>
      <c r="U898"/>
      <c r="V898"/>
      <c r="W898"/>
      <c r="X898"/>
      <c r="Y898"/>
    </row>
    <row r="899" spans="2:25">
      <c r="B899"/>
      <c r="D899"/>
      <c r="E899"/>
      <c r="F899"/>
      <c r="G899"/>
      <c r="H899"/>
      <c r="I899"/>
      <c r="J899"/>
      <c r="K899"/>
      <c r="L899"/>
      <c r="M899"/>
      <c r="N899"/>
      <c r="O899"/>
      <c r="P899"/>
      <c r="R899"/>
      <c r="S899"/>
      <c r="T899"/>
      <c r="U899"/>
      <c r="V899"/>
      <c r="W899"/>
      <c r="X899"/>
      <c r="Y899"/>
    </row>
    <row r="900" spans="2:25">
      <c r="B900"/>
      <c r="D900"/>
      <c r="E900"/>
      <c r="F900"/>
      <c r="G900"/>
      <c r="H900"/>
      <c r="I900"/>
      <c r="J900"/>
      <c r="K900"/>
      <c r="L900"/>
      <c r="M900"/>
      <c r="N900"/>
      <c r="O900"/>
      <c r="P900"/>
      <c r="R900"/>
      <c r="S900"/>
      <c r="T900"/>
      <c r="U900"/>
      <c r="V900"/>
      <c r="W900"/>
      <c r="X900"/>
      <c r="Y900"/>
    </row>
    <row r="901" spans="2:25">
      <c r="B901"/>
      <c r="D901"/>
      <c r="E901"/>
      <c r="F901"/>
      <c r="G901"/>
      <c r="H901"/>
      <c r="I901"/>
      <c r="J901"/>
      <c r="K901"/>
      <c r="L901"/>
      <c r="M901"/>
      <c r="N901"/>
      <c r="O901"/>
      <c r="P901"/>
      <c r="R901"/>
      <c r="S901"/>
      <c r="T901"/>
      <c r="U901"/>
      <c r="V901"/>
      <c r="W901"/>
      <c r="X901"/>
      <c r="Y901"/>
    </row>
    <row r="902" spans="2:25">
      <c r="B902"/>
      <c r="D902"/>
      <c r="E902"/>
      <c r="F902"/>
      <c r="G902"/>
      <c r="H902"/>
      <c r="I902"/>
      <c r="J902"/>
      <c r="K902"/>
      <c r="L902"/>
      <c r="M902"/>
      <c r="N902"/>
      <c r="O902"/>
      <c r="P902"/>
      <c r="R902"/>
      <c r="S902"/>
      <c r="T902"/>
      <c r="U902"/>
      <c r="V902"/>
      <c r="W902"/>
      <c r="X902"/>
      <c r="Y902"/>
    </row>
    <row r="903" spans="2:25">
      <c r="B903"/>
      <c r="D903"/>
      <c r="E903"/>
      <c r="F903"/>
      <c r="G903"/>
      <c r="H903"/>
      <c r="I903"/>
      <c r="J903"/>
      <c r="K903"/>
      <c r="L903"/>
      <c r="M903"/>
      <c r="N903"/>
      <c r="O903"/>
      <c r="P903"/>
      <c r="R903"/>
      <c r="S903"/>
      <c r="T903"/>
      <c r="U903"/>
      <c r="V903"/>
      <c r="W903"/>
      <c r="X903"/>
      <c r="Y903"/>
    </row>
    <row r="904" spans="2:25">
      <c r="B904"/>
      <c r="D904"/>
      <c r="E904"/>
      <c r="F904"/>
      <c r="G904"/>
      <c r="H904"/>
      <c r="I904"/>
      <c r="J904"/>
      <c r="K904"/>
      <c r="L904"/>
      <c r="M904"/>
      <c r="N904"/>
      <c r="O904"/>
      <c r="P904"/>
      <c r="R904"/>
      <c r="S904"/>
      <c r="T904"/>
      <c r="U904"/>
      <c r="V904"/>
      <c r="W904"/>
      <c r="X904"/>
      <c r="Y904"/>
    </row>
    <row r="905" spans="2:25">
      <c r="B905"/>
      <c r="D905"/>
      <c r="E905"/>
      <c r="F905"/>
      <c r="G905"/>
      <c r="H905"/>
      <c r="I905"/>
      <c r="J905"/>
      <c r="K905"/>
      <c r="L905"/>
      <c r="M905"/>
      <c r="N905"/>
      <c r="O905"/>
      <c r="P905"/>
      <c r="R905"/>
      <c r="S905"/>
      <c r="T905"/>
      <c r="U905"/>
      <c r="V905"/>
      <c r="W905"/>
      <c r="X905"/>
      <c r="Y905"/>
    </row>
    <row r="906" spans="2:25">
      <c r="B906"/>
      <c r="D906"/>
      <c r="E906"/>
      <c r="F906"/>
      <c r="G906"/>
      <c r="H906"/>
      <c r="I906"/>
      <c r="J906"/>
      <c r="K906"/>
      <c r="L906"/>
      <c r="M906"/>
      <c r="N906"/>
      <c r="O906"/>
      <c r="P906"/>
      <c r="R906"/>
      <c r="S906"/>
      <c r="T906"/>
      <c r="U906"/>
      <c r="V906"/>
      <c r="W906"/>
      <c r="X906"/>
      <c r="Y906"/>
    </row>
    <row r="907" spans="2:25">
      <c r="B907"/>
      <c r="D907"/>
      <c r="E907"/>
      <c r="F907"/>
      <c r="G907"/>
      <c r="H907"/>
      <c r="I907"/>
      <c r="J907"/>
      <c r="K907"/>
      <c r="L907"/>
      <c r="M907"/>
      <c r="N907"/>
      <c r="O907"/>
      <c r="P907"/>
      <c r="R907"/>
      <c r="S907"/>
      <c r="T907"/>
      <c r="U907"/>
      <c r="V907"/>
      <c r="W907"/>
      <c r="X907"/>
      <c r="Y907"/>
    </row>
    <row r="908" spans="2:25">
      <c r="B908"/>
      <c r="D908"/>
      <c r="E908"/>
      <c r="F908"/>
      <c r="G908"/>
      <c r="H908"/>
      <c r="I908"/>
      <c r="J908"/>
      <c r="K908"/>
      <c r="L908"/>
      <c r="M908"/>
      <c r="N908"/>
      <c r="O908"/>
      <c r="P908"/>
      <c r="R908"/>
      <c r="S908"/>
      <c r="T908"/>
      <c r="U908"/>
      <c r="V908"/>
      <c r="W908"/>
      <c r="X908"/>
      <c r="Y908"/>
    </row>
    <row r="909" spans="2:25">
      <c r="B909"/>
      <c r="D909"/>
      <c r="E909"/>
      <c r="F909"/>
      <c r="G909"/>
      <c r="H909"/>
      <c r="I909"/>
      <c r="J909"/>
      <c r="K909"/>
      <c r="L909"/>
      <c r="M909"/>
      <c r="N909"/>
      <c r="O909"/>
      <c r="P909"/>
      <c r="R909"/>
      <c r="S909"/>
      <c r="T909"/>
      <c r="U909"/>
      <c r="V909"/>
      <c r="W909"/>
      <c r="X909"/>
      <c r="Y909"/>
    </row>
    <row r="910" spans="2:25">
      <c r="B910"/>
      <c r="D910"/>
      <c r="E910"/>
      <c r="F910"/>
      <c r="G910"/>
      <c r="H910"/>
      <c r="I910"/>
      <c r="J910"/>
      <c r="K910"/>
      <c r="L910"/>
      <c r="M910"/>
      <c r="N910"/>
      <c r="O910"/>
      <c r="P910"/>
      <c r="R910"/>
      <c r="S910"/>
      <c r="T910"/>
      <c r="U910"/>
      <c r="V910"/>
      <c r="W910"/>
      <c r="X910"/>
      <c r="Y910"/>
    </row>
    <row r="911" spans="2:25">
      <c r="B911"/>
      <c r="D911"/>
      <c r="E911"/>
      <c r="F911"/>
      <c r="G911"/>
      <c r="H911"/>
      <c r="I911"/>
      <c r="J911"/>
      <c r="K911"/>
      <c r="L911"/>
      <c r="M911"/>
      <c r="N911"/>
      <c r="O911"/>
      <c r="P911"/>
      <c r="R911"/>
      <c r="S911"/>
      <c r="T911"/>
      <c r="U911"/>
      <c r="V911"/>
      <c r="W911"/>
      <c r="X911"/>
      <c r="Y911"/>
    </row>
    <row r="912" spans="2:25">
      <c r="B912"/>
      <c r="D912"/>
      <c r="E912"/>
      <c r="F912"/>
      <c r="G912"/>
      <c r="H912"/>
      <c r="I912"/>
      <c r="J912"/>
      <c r="K912"/>
      <c r="L912"/>
      <c r="M912"/>
      <c r="N912"/>
      <c r="O912"/>
      <c r="P912"/>
      <c r="R912"/>
      <c r="S912"/>
      <c r="T912"/>
      <c r="U912"/>
      <c r="V912"/>
      <c r="W912"/>
      <c r="X912"/>
      <c r="Y912"/>
    </row>
    <row r="913" spans="2:25">
      <c r="B913"/>
      <c r="D913"/>
      <c r="E913"/>
      <c r="F913"/>
      <c r="G913"/>
      <c r="H913"/>
      <c r="I913"/>
      <c r="J913"/>
      <c r="K913"/>
      <c r="L913"/>
      <c r="M913"/>
      <c r="N913"/>
      <c r="O913"/>
      <c r="P913"/>
      <c r="R913"/>
      <c r="S913"/>
      <c r="T913"/>
      <c r="U913"/>
      <c r="V913"/>
      <c r="W913"/>
      <c r="X913"/>
      <c r="Y913"/>
    </row>
    <row r="914" spans="2:25">
      <c r="B914"/>
      <c r="D914"/>
      <c r="E914"/>
      <c r="F914"/>
      <c r="G914"/>
      <c r="H914"/>
      <c r="I914"/>
      <c r="J914"/>
      <c r="K914"/>
      <c r="L914"/>
      <c r="M914"/>
      <c r="N914"/>
      <c r="O914"/>
      <c r="P914"/>
      <c r="R914"/>
      <c r="S914"/>
      <c r="T914"/>
      <c r="U914"/>
      <c r="V914"/>
      <c r="W914"/>
      <c r="X914"/>
      <c r="Y914"/>
    </row>
    <row r="915" spans="2:25">
      <c r="B915"/>
      <c r="D915"/>
      <c r="E915"/>
      <c r="F915"/>
      <c r="G915"/>
      <c r="H915"/>
      <c r="I915"/>
      <c r="J915"/>
      <c r="K915"/>
      <c r="L915"/>
      <c r="M915"/>
      <c r="N915"/>
      <c r="O915"/>
      <c r="P915"/>
      <c r="R915"/>
      <c r="S915"/>
      <c r="T915"/>
      <c r="U915"/>
      <c r="V915"/>
      <c r="W915"/>
      <c r="X915"/>
      <c r="Y915"/>
    </row>
    <row r="916" spans="2:25">
      <c r="B916"/>
      <c r="D916"/>
      <c r="E916"/>
      <c r="F916"/>
      <c r="G916"/>
      <c r="H916"/>
      <c r="I916"/>
      <c r="J916"/>
      <c r="K916"/>
      <c r="L916"/>
      <c r="M916"/>
      <c r="N916"/>
      <c r="O916"/>
      <c r="P916"/>
      <c r="R916"/>
      <c r="S916"/>
      <c r="T916"/>
      <c r="U916"/>
      <c r="V916"/>
      <c r="W916"/>
      <c r="X916"/>
      <c r="Y916"/>
    </row>
    <row r="917" spans="2:25">
      <c r="B917"/>
      <c r="D917"/>
      <c r="E917"/>
      <c r="F917"/>
      <c r="G917"/>
      <c r="H917"/>
      <c r="I917"/>
      <c r="J917"/>
      <c r="K917"/>
      <c r="L917"/>
      <c r="M917"/>
      <c r="N917"/>
      <c r="O917"/>
      <c r="P917"/>
      <c r="R917"/>
      <c r="S917"/>
      <c r="T917"/>
      <c r="U917"/>
      <c r="V917"/>
      <c r="W917"/>
      <c r="X917"/>
      <c r="Y917"/>
    </row>
    <row r="918" spans="2:25">
      <c r="B918"/>
      <c r="D918"/>
      <c r="E918"/>
      <c r="F918"/>
      <c r="G918"/>
      <c r="H918"/>
      <c r="I918"/>
      <c r="J918"/>
      <c r="K918"/>
      <c r="L918"/>
      <c r="M918"/>
      <c r="N918"/>
      <c r="O918"/>
      <c r="P918"/>
      <c r="R918"/>
      <c r="S918"/>
      <c r="T918"/>
      <c r="U918"/>
      <c r="V918"/>
      <c r="W918"/>
      <c r="X918"/>
      <c r="Y918"/>
    </row>
    <row r="919" spans="2:25">
      <c r="B919"/>
      <c r="D919"/>
      <c r="E919"/>
      <c r="F919"/>
      <c r="G919"/>
      <c r="H919"/>
      <c r="I919"/>
      <c r="J919"/>
      <c r="K919"/>
      <c r="L919"/>
      <c r="M919"/>
      <c r="N919"/>
      <c r="O919"/>
      <c r="P919"/>
      <c r="R919"/>
      <c r="S919"/>
      <c r="T919"/>
      <c r="U919"/>
      <c r="V919"/>
      <c r="W919"/>
      <c r="X919"/>
      <c r="Y919"/>
    </row>
    <row r="920" spans="2:25">
      <c r="B920"/>
      <c r="D920"/>
      <c r="E920"/>
      <c r="F920"/>
      <c r="G920"/>
      <c r="H920"/>
      <c r="I920"/>
      <c r="J920"/>
      <c r="K920"/>
      <c r="L920"/>
      <c r="M920"/>
      <c r="N920"/>
      <c r="O920"/>
      <c r="P920"/>
      <c r="R920"/>
      <c r="S920"/>
      <c r="T920"/>
      <c r="U920"/>
      <c r="V920"/>
      <c r="W920"/>
      <c r="X920"/>
      <c r="Y920"/>
    </row>
    <row r="921" spans="2:25">
      <c r="B921"/>
      <c r="D921"/>
      <c r="E921"/>
      <c r="F921"/>
      <c r="G921"/>
      <c r="H921"/>
      <c r="I921"/>
      <c r="J921"/>
      <c r="K921"/>
      <c r="L921"/>
      <c r="M921"/>
      <c r="N921"/>
      <c r="O921"/>
      <c r="P921"/>
      <c r="R921"/>
      <c r="S921"/>
      <c r="T921"/>
      <c r="U921"/>
      <c r="V921"/>
      <c r="W921"/>
      <c r="X921"/>
      <c r="Y921"/>
    </row>
    <row r="922" spans="2:25">
      <c r="B922"/>
      <c r="D922"/>
      <c r="E922"/>
      <c r="F922"/>
      <c r="G922"/>
      <c r="H922"/>
      <c r="I922"/>
      <c r="J922"/>
      <c r="K922"/>
      <c r="L922"/>
      <c r="M922"/>
      <c r="N922"/>
      <c r="O922"/>
      <c r="P922"/>
      <c r="R922"/>
      <c r="S922"/>
      <c r="T922"/>
      <c r="U922"/>
      <c r="V922"/>
      <c r="W922"/>
      <c r="X922"/>
      <c r="Y922"/>
    </row>
    <row r="923" spans="2:25">
      <c r="B923"/>
      <c r="D923"/>
      <c r="E923"/>
      <c r="F923"/>
      <c r="G923"/>
      <c r="H923"/>
      <c r="I923"/>
      <c r="J923"/>
      <c r="K923"/>
      <c r="L923"/>
      <c r="M923"/>
      <c r="N923"/>
      <c r="O923"/>
      <c r="P923"/>
      <c r="R923"/>
      <c r="S923"/>
      <c r="T923"/>
      <c r="U923"/>
      <c r="V923"/>
      <c r="W923"/>
      <c r="X923"/>
      <c r="Y923"/>
    </row>
    <row r="924" spans="2:25">
      <c r="B924"/>
      <c r="D924"/>
      <c r="E924"/>
      <c r="F924"/>
      <c r="G924"/>
      <c r="H924"/>
      <c r="I924"/>
      <c r="J924"/>
      <c r="K924"/>
      <c r="L924"/>
      <c r="M924"/>
      <c r="N924"/>
      <c r="O924"/>
      <c r="P924"/>
      <c r="R924"/>
      <c r="S924"/>
      <c r="T924"/>
      <c r="U924"/>
      <c r="V924"/>
      <c r="W924"/>
      <c r="X924"/>
      <c r="Y924"/>
    </row>
    <row r="925" spans="2:25">
      <c r="B925"/>
      <c r="D925"/>
      <c r="E925"/>
      <c r="F925"/>
      <c r="G925"/>
      <c r="H925"/>
      <c r="I925"/>
      <c r="J925"/>
      <c r="K925"/>
      <c r="L925"/>
      <c r="M925"/>
      <c r="N925"/>
      <c r="O925"/>
      <c r="P925"/>
      <c r="R925"/>
      <c r="S925"/>
      <c r="T925"/>
      <c r="U925"/>
      <c r="V925"/>
      <c r="W925"/>
      <c r="X925"/>
      <c r="Y925"/>
    </row>
    <row r="926" spans="2:25">
      <c r="B926"/>
      <c r="D926"/>
      <c r="E926"/>
      <c r="F926"/>
      <c r="G926"/>
      <c r="H926"/>
      <c r="I926"/>
      <c r="J926"/>
      <c r="K926"/>
      <c r="L926"/>
      <c r="M926"/>
      <c r="N926"/>
      <c r="O926"/>
      <c r="P926"/>
      <c r="R926"/>
      <c r="S926"/>
      <c r="T926"/>
      <c r="U926"/>
      <c r="V926"/>
      <c r="W926"/>
      <c r="X926"/>
      <c r="Y926"/>
    </row>
    <row r="927" spans="2:25">
      <c r="B927"/>
      <c r="D927"/>
      <c r="E927"/>
      <c r="F927"/>
      <c r="G927"/>
      <c r="H927"/>
      <c r="I927"/>
      <c r="J927"/>
      <c r="K927"/>
      <c r="L927"/>
      <c r="M927"/>
      <c r="N927"/>
      <c r="O927"/>
      <c r="P927"/>
      <c r="R927"/>
      <c r="S927"/>
      <c r="T927"/>
      <c r="U927"/>
      <c r="V927"/>
      <c r="W927"/>
      <c r="X927"/>
      <c r="Y927"/>
    </row>
    <row r="928" spans="2:25">
      <c r="B928"/>
      <c r="D928"/>
      <c r="E928"/>
      <c r="F928"/>
      <c r="G928"/>
      <c r="H928"/>
      <c r="I928"/>
      <c r="J928"/>
      <c r="K928"/>
      <c r="L928"/>
      <c r="M928"/>
      <c r="N928"/>
      <c r="O928"/>
      <c r="P928"/>
      <c r="R928"/>
      <c r="S928"/>
      <c r="T928"/>
      <c r="U928"/>
      <c r="V928"/>
      <c r="W928"/>
      <c r="X928"/>
      <c r="Y928"/>
    </row>
    <row r="929" spans="2:25">
      <c r="B929"/>
      <c r="D929"/>
      <c r="E929"/>
      <c r="F929"/>
      <c r="G929"/>
      <c r="H929"/>
      <c r="I929"/>
      <c r="J929"/>
      <c r="K929"/>
      <c r="L929"/>
      <c r="M929"/>
      <c r="N929"/>
      <c r="O929"/>
      <c r="P929"/>
      <c r="R929"/>
      <c r="S929"/>
      <c r="T929"/>
      <c r="U929"/>
      <c r="V929"/>
      <c r="W929"/>
      <c r="X929"/>
      <c r="Y929"/>
    </row>
    <row r="930" spans="2:25">
      <c r="B930"/>
      <c r="D930"/>
      <c r="E930"/>
      <c r="F930"/>
      <c r="G930"/>
      <c r="H930"/>
      <c r="I930"/>
      <c r="J930"/>
      <c r="K930"/>
      <c r="L930"/>
      <c r="M930"/>
      <c r="N930"/>
      <c r="O930"/>
      <c r="P930"/>
      <c r="R930"/>
      <c r="S930"/>
      <c r="T930"/>
      <c r="U930"/>
      <c r="V930"/>
      <c r="W930"/>
      <c r="X930"/>
      <c r="Y930"/>
    </row>
    <row r="931" spans="2:25">
      <c r="B931"/>
      <c r="D931"/>
      <c r="E931"/>
      <c r="F931"/>
      <c r="G931"/>
      <c r="H931"/>
      <c r="I931"/>
      <c r="J931"/>
      <c r="K931"/>
      <c r="L931"/>
      <c r="M931"/>
      <c r="N931"/>
      <c r="O931"/>
      <c r="P931"/>
      <c r="R931"/>
      <c r="S931"/>
      <c r="T931"/>
      <c r="U931"/>
      <c r="V931"/>
      <c r="W931"/>
      <c r="X931"/>
      <c r="Y931"/>
    </row>
    <row r="932" spans="2:25">
      <c r="B932"/>
      <c r="D932"/>
      <c r="E932"/>
      <c r="F932"/>
      <c r="G932"/>
      <c r="H932"/>
      <c r="I932"/>
      <c r="J932"/>
      <c r="K932"/>
      <c r="L932"/>
      <c r="M932"/>
      <c r="N932"/>
      <c r="O932"/>
      <c r="P932"/>
      <c r="R932"/>
      <c r="S932"/>
      <c r="T932"/>
      <c r="U932"/>
      <c r="V932"/>
      <c r="W932"/>
      <c r="X932"/>
      <c r="Y932"/>
    </row>
    <row r="933" spans="2:25">
      <c r="B933"/>
      <c r="D933"/>
      <c r="E933"/>
      <c r="F933"/>
      <c r="G933"/>
      <c r="H933"/>
      <c r="I933"/>
      <c r="J933"/>
      <c r="K933"/>
      <c r="L933"/>
      <c r="M933"/>
      <c r="N933"/>
      <c r="O933"/>
      <c r="P933"/>
      <c r="R933"/>
      <c r="S933"/>
      <c r="T933"/>
      <c r="U933"/>
      <c r="V933"/>
      <c r="W933"/>
      <c r="X933"/>
      <c r="Y933"/>
    </row>
    <row r="934" spans="2:25">
      <c r="B934"/>
      <c r="D934"/>
      <c r="E934"/>
      <c r="F934"/>
      <c r="G934"/>
      <c r="H934"/>
      <c r="I934"/>
      <c r="J934"/>
      <c r="K934"/>
      <c r="L934"/>
      <c r="M934"/>
      <c r="N934"/>
      <c r="O934"/>
      <c r="P934"/>
      <c r="R934"/>
      <c r="S934"/>
      <c r="T934"/>
      <c r="U934"/>
      <c r="V934"/>
      <c r="W934"/>
      <c r="X934"/>
      <c r="Y934"/>
    </row>
    <row r="935" spans="2:25">
      <c r="B935"/>
      <c r="D935"/>
      <c r="E935"/>
      <c r="F935"/>
      <c r="G935"/>
      <c r="H935"/>
      <c r="I935"/>
      <c r="J935"/>
      <c r="K935"/>
      <c r="L935"/>
      <c r="M935"/>
      <c r="N935"/>
      <c r="O935"/>
      <c r="P935"/>
      <c r="R935"/>
      <c r="S935"/>
      <c r="T935"/>
      <c r="U935"/>
      <c r="V935"/>
      <c r="W935"/>
      <c r="X935"/>
      <c r="Y935"/>
    </row>
    <row r="936" spans="2:25">
      <c r="B936"/>
      <c r="D936"/>
      <c r="E936"/>
      <c r="F936"/>
      <c r="G936"/>
      <c r="H936"/>
      <c r="I936"/>
      <c r="J936"/>
      <c r="K936"/>
      <c r="L936"/>
      <c r="M936"/>
      <c r="N936"/>
      <c r="O936"/>
      <c r="P936"/>
      <c r="R936"/>
      <c r="S936"/>
      <c r="T936"/>
      <c r="U936"/>
      <c r="V936"/>
      <c r="W936"/>
      <c r="X936"/>
      <c r="Y936"/>
    </row>
    <row r="937" spans="2:25">
      <c r="B937"/>
      <c r="D937"/>
      <c r="E937"/>
      <c r="F937"/>
      <c r="G937"/>
      <c r="H937"/>
      <c r="I937"/>
      <c r="J937"/>
      <c r="K937"/>
      <c r="L937"/>
      <c r="M937"/>
      <c r="N937"/>
      <c r="O937"/>
      <c r="P937"/>
      <c r="R937"/>
      <c r="S937"/>
      <c r="T937"/>
      <c r="U937"/>
      <c r="V937"/>
      <c r="W937"/>
      <c r="X937"/>
      <c r="Y937"/>
    </row>
    <row r="938" spans="2:25">
      <c r="B938"/>
      <c r="D938"/>
      <c r="E938"/>
      <c r="F938"/>
      <c r="G938"/>
      <c r="H938"/>
      <c r="I938"/>
      <c r="J938"/>
      <c r="K938"/>
      <c r="L938"/>
      <c r="M938"/>
      <c r="N938"/>
      <c r="O938"/>
      <c r="P938"/>
      <c r="R938"/>
      <c r="S938"/>
      <c r="T938"/>
      <c r="U938"/>
      <c r="V938"/>
      <c r="W938"/>
      <c r="X938"/>
      <c r="Y938"/>
    </row>
    <row r="939" spans="2:25">
      <c r="B939"/>
      <c r="D939"/>
      <c r="E939"/>
      <c r="F939"/>
      <c r="G939"/>
      <c r="H939"/>
      <c r="I939"/>
      <c r="J939"/>
      <c r="K939"/>
      <c r="L939"/>
      <c r="M939"/>
      <c r="N939"/>
      <c r="O939"/>
      <c r="P939"/>
      <c r="R939"/>
      <c r="S939"/>
      <c r="T939"/>
      <c r="U939"/>
      <c r="V939"/>
      <c r="W939"/>
      <c r="X939"/>
      <c r="Y939"/>
    </row>
    <row r="940" spans="2:25">
      <c r="B940"/>
      <c r="D940"/>
      <c r="E940"/>
      <c r="F940"/>
      <c r="G940"/>
      <c r="H940"/>
      <c r="I940"/>
      <c r="J940"/>
      <c r="K940"/>
      <c r="L940"/>
      <c r="M940"/>
      <c r="N940"/>
      <c r="O940"/>
      <c r="P940"/>
      <c r="R940"/>
      <c r="S940"/>
      <c r="T940"/>
      <c r="U940"/>
      <c r="V940"/>
      <c r="W940"/>
      <c r="X940"/>
      <c r="Y940"/>
    </row>
    <row r="941" spans="2:25">
      <c r="B941"/>
      <c r="D941"/>
      <c r="E941"/>
      <c r="F941"/>
      <c r="G941"/>
      <c r="H941"/>
      <c r="I941"/>
      <c r="J941"/>
      <c r="K941"/>
      <c r="L941"/>
      <c r="M941"/>
      <c r="N941"/>
      <c r="O941"/>
      <c r="P941"/>
      <c r="R941"/>
      <c r="S941"/>
      <c r="T941"/>
      <c r="U941"/>
      <c r="V941"/>
      <c r="W941"/>
      <c r="X941"/>
      <c r="Y941"/>
    </row>
    <row r="942" spans="2:25">
      <c r="B942"/>
      <c r="D942"/>
      <c r="E942"/>
      <c r="F942"/>
      <c r="G942"/>
      <c r="H942"/>
      <c r="I942"/>
      <c r="J942"/>
      <c r="K942"/>
      <c r="L942"/>
      <c r="M942"/>
      <c r="N942"/>
      <c r="O942"/>
      <c r="P942"/>
      <c r="R942"/>
      <c r="S942"/>
      <c r="T942"/>
      <c r="U942"/>
      <c r="V942"/>
      <c r="W942"/>
      <c r="X942"/>
      <c r="Y942"/>
    </row>
    <row r="943" spans="2:25">
      <c r="B943"/>
      <c r="D943"/>
      <c r="E943"/>
      <c r="F943"/>
      <c r="G943"/>
      <c r="H943"/>
      <c r="I943"/>
      <c r="J943"/>
      <c r="K943"/>
      <c r="L943"/>
      <c r="M943"/>
      <c r="N943"/>
      <c r="O943"/>
      <c r="P943"/>
      <c r="R943"/>
      <c r="S943"/>
      <c r="T943"/>
      <c r="U943"/>
      <c r="V943"/>
      <c r="W943"/>
      <c r="X943"/>
      <c r="Y943"/>
    </row>
    <row r="944" spans="2:25">
      <c r="B944"/>
      <c r="D944"/>
      <c r="E944"/>
      <c r="F944"/>
      <c r="G944"/>
      <c r="H944"/>
      <c r="I944"/>
      <c r="J944"/>
      <c r="K944"/>
      <c r="L944"/>
      <c r="M944"/>
      <c r="N944"/>
      <c r="O944"/>
      <c r="P944"/>
      <c r="R944"/>
      <c r="S944"/>
      <c r="T944"/>
      <c r="U944"/>
      <c r="V944"/>
      <c r="W944"/>
      <c r="X944"/>
      <c r="Y944"/>
    </row>
    <row r="945" spans="2:25">
      <c r="B945"/>
      <c r="D945"/>
      <c r="E945"/>
      <c r="F945"/>
      <c r="G945"/>
      <c r="H945"/>
      <c r="I945"/>
      <c r="J945"/>
      <c r="K945"/>
      <c r="L945"/>
      <c r="M945"/>
      <c r="N945"/>
      <c r="O945"/>
      <c r="P945"/>
      <c r="R945"/>
      <c r="S945"/>
      <c r="T945"/>
      <c r="U945"/>
      <c r="V945"/>
      <c r="W945"/>
      <c r="X945"/>
      <c r="Y945"/>
    </row>
    <row r="946" spans="2:25">
      <c r="B946"/>
      <c r="D946"/>
      <c r="E946"/>
      <c r="F946"/>
      <c r="G946"/>
      <c r="H946"/>
      <c r="I946"/>
      <c r="J946"/>
      <c r="K946"/>
      <c r="L946"/>
      <c r="M946"/>
      <c r="N946"/>
      <c r="O946"/>
      <c r="P946"/>
      <c r="R946"/>
      <c r="S946"/>
      <c r="T946"/>
      <c r="U946"/>
      <c r="V946"/>
      <c r="W946"/>
      <c r="X946"/>
      <c r="Y946"/>
    </row>
    <row r="947" spans="2:25">
      <c r="B947"/>
      <c r="D947"/>
      <c r="E947"/>
      <c r="F947"/>
      <c r="G947"/>
      <c r="H947"/>
      <c r="I947"/>
      <c r="J947"/>
      <c r="K947"/>
      <c r="L947"/>
      <c r="M947"/>
      <c r="N947"/>
      <c r="O947"/>
      <c r="P947"/>
      <c r="R947"/>
      <c r="S947"/>
      <c r="T947"/>
      <c r="U947"/>
      <c r="V947"/>
      <c r="W947"/>
      <c r="X947"/>
      <c r="Y947"/>
    </row>
    <row r="948" spans="2:25">
      <c r="B948"/>
      <c r="D948"/>
      <c r="E948"/>
      <c r="F948"/>
      <c r="G948"/>
      <c r="H948"/>
      <c r="I948"/>
      <c r="J948"/>
      <c r="K948"/>
      <c r="L948"/>
      <c r="M948"/>
      <c r="N948"/>
      <c r="O948"/>
      <c r="P948"/>
      <c r="R948"/>
      <c r="S948"/>
      <c r="T948"/>
      <c r="U948"/>
      <c r="V948"/>
      <c r="W948"/>
      <c r="X948"/>
      <c r="Y948"/>
    </row>
    <row r="949" spans="2:25">
      <c r="B949"/>
      <c r="D949"/>
      <c r="E949"/>
      <c r="F949"/>
      <c r="G949"/>
      <c r="H949"/>
      <c r="I949"/>
      <c r="J949"/>
      <c r="K949"/>
      <c r="L949"/>
      <c r="M949"/>
      <c r="N949"/>
      <c r="O949"/>
      <c r="P949"/>
      <c r="R949"/>
      <c r="S949"/>
      <c r="T949"/>
      <c r="U949"/>
      <c r="V949"/>
      <c r="W949"/>
      <c r="X949"/>
      <c r="Y949"/>
    </row>
    <row r="950" spans="2:25">
      <c r="B950"/>
      <c r="D950"/>
      <c r="E950"/>
      <c r="F950"/>
      <c r="G950"/>
      <c r="H950"/>
      <c r="I950"/>
      <c r="J950"/>
      <c r="K950"/>
      <c r="L950"/>
      <c r="M950"/>
      <c r="N950"/>
      <c r="O950"/>
      <c r="P950"/>
      <c r="R950"/>
      <c r="S950"/>
      <c r="T950"/>
      <c r="U950"/>
      <c r="V950"/>
      <c r="W950"/>
      <c r="X950"/>
      <c r="Y950"/>
    </row>
    <row r="951" spans="2:25">
      <c r="B951"/>
      <c r="D951"/>
      <c r="E951"/>
      <c r="F951"/>
      <c r="G951"/>
      <c r="H951"/>
      <c r="I951"/>
      <c r="J951"/>
      <c r="K951"/>
      <c r="L951"/>
      <c r="M951"/>
      <c r="N951"/>
      <c r="O951"/>
      <c r="P951"/>
      <c r="R951"/>
      <c r="S951"/>
      <c r="T951"/>
      <c r="U951"/>
      <c r="V951"/>
      <c r="W951"/>
      <c r="X951"/>
      <c r="Y951"/>
    </row>
    <row r="952" spans="2:25">
      <c r="B952"/>
      <c r="D952"/>
      <c r="E952"/>
      <c r="F952"/>
      <c r="G952"/>
      <c r="H952"/>
      <c r="I952"/>
      <c r="J952"/>
      <c r="K952"/>
      <c r="L952"/>
      <c r="M952"/>
      <c r="N952"/>
      <c r="O952"/>
      <c r="P952"/>
      <c r="R952"/>
      <c r="S952"/>
      <c r="T952"/>
      <c r="U952"/>
      <c r="V952"/>
      <c r="W952"/>
      <c r="X952"/>
      <c r="Y952"/>
    </row>
    <row r="953" spans="2:25">
      <c r="B953"/>
      <c r="D953"/>
      <c r="E953"/>
      <c r="F953"/>
      <c r="G953"/>
      <c r="H953"/>
      <c r="I953"/>
      <c r="J953"/>
      <c r="K953"/>
      <c r="L953"/>
      <c r="M953"/>
      <c r="N953"/>
      <c r="O953"/>
      <c r="P953"/>
      <c r="R953"/>
      <c r="S953"/>
      <c r="T953"/>
      <c r="U953"/>
      <c r="V953"/>
      <c r="W953"/>
      <c r="X953"/>
      <c r="Y953"/>
    </row>
    <row r="954" spans="2:25">
      <c r="B954"/>
      <c r="D954"/>
      <c r="E954"/>
      <c r="F954"/>
      <c r="G954"/>
      <c r="H954"/>
      <c r="I954"/>
      <c r="J954"/>
      <c r="K954"/>
      <c r="L954"/>
      <c r="M954"/>
      <c r="N954"/>
      <c r="O954"/>
      <c r="P954"/>
      <c r="R954"/>
      <c r="S954"/>
      <c r="T954"/>
      <c r="U954"/>
      <c r="V954"/>
      <c r="W954"/>
      <c r="X954"/>
      <c r="Y954"/>
    </row>
    <row r="955" spans="2:25">
      <c r="B955"/>
      <c r="D955"/>
      <c r="E955"/>
      <c r="F955"/>
      <c r="G955"/>
      <c r="H955"/>
      <c r="I955"/>
      <c r="J955"/>
      <c r="K955"/>
      <c r="L955"/>
      <c r="M955"/>
      <c r="N955"/>
      <c r="O955"/>
      <c r="P955"/>
      <c r="R955"/>
      <c r="S955"/>
      <c r="T955"/>
      <c r="U955"/>
      <c r="V955"/>
      <c r="W955"/>
      <c r="X955"/>
      <c r="Y955"/>
    </row>
    <row r="956" spans="2:25">
      <c r="B956"/>
      <c r="D956"/>
      <c r="E956"/>
      <c r="F956"/>
      <c r="G956"/>
      <c r="H956"/>
      <c r="I956"/>
      <c r="J956"/>
      <c r="K956"/>
      <c r="L956"/>
      <c r="M956"/>
      <c r="N956"/>
      <c r="O956"/>
      <c r="P956"/>
      <c r="R956"/>
      <c r="S956"/>
      <c r="T956"/>
      <c r="U956"/>
      <c r="V956"/>
      <c r="W956"/>
      <c r="X956"/>
      <c r="Y956"/>
    </row>
    <row r="957" spans="2:25">
      <c r="B957"/>
      <c r="D957"/>
      <c r="E957"/>
      <c r="F957"/>
      <c r="G957"/>
      <c r="H957"/>
      <c r="I957"/>
      <c r="J957"/>
      <c r="K957"/>
      <c r="L957"/>
      <c r="M957"/>
      <c r="N957"/>
      <c r="O957"/>
      <c r="P957"/>
      <c r="R957"/>
      <c r="S957"/>
      <c r="T957"/>
      <c r="U957"/>
      <c r="V957"/>
      <c r="W957"/>
      <c r="X957"/>
      <c r="Y957"/>
    </row>
    <row r="958" spans="2:25">
      <c r="B958"/>
      <c r="D958"/>
      <c r="E958"/>
      <c r="F958"/>
      <c r="G958"/>
      <c r="H958"/>
      <c r="I958"/>
      <c r="J958"/>
      <c r="K958"/>
      <c r="L958"/>
      <c r="M958"/>
      <c r="N958"/>
      <c r="O958"/>
      <c r="P958"/>
      <c r="R958"/>
      <c r="S958"/>
      <c r="T958"/>
      <c r="U958"/>
      <c r="V958"/>
      <c r="W958"/>
      <c r="X958"/>
      <c r="Y958"/>
    </row>
    <row r="959" spans="2:25">
      <c r="B959"/>
      <c r="D959"/>
      <c r="E959"/>
      <c r="F959"/>
      <c r="G959"/>
      <c r="H959"/>
      <c r="I959"/>
      <c r="J959"/>
      <c r="K959"/>
      <c r="L959"/>
      <c r="M959"/>
      <c r="N959"/>
      <c r="O959"/>
      <c r="P959"/>
      <c r="R959"/>
      <c r="S959"/>
      <c r="T959"/>
      <c r="U959"/>
      <c r="V959"/>
      <c r="W959"/>
      <c r="X959"/>
      <c r="Y959"/>
    </row>
    <row r="960" spans="2:25">
      <c r="B960"/>
      <c r="D960"/>
      <c r="E960"/>
      <c r="F960"/>
      <c r="G960"/>
      <c r="H960"/>
      <c r="I960"/>
      <c r="J960"/>
      <c r="K960"/>
      <c r="L960"/>
      <c r="M960"/>
      <c r="N960"/>
      <c r="O960"/>
      <c r="P960"/>
      <c r="R960"/>
      <c r="S960"/>
      <c r="T960"/>
      <c r="U960"/>
      <c r="V960"/>
      <c r="W960"/>
      <c r="X960"/>
      <c r="Y960"/>
    </row>
    <row r="961" spans="2:25">
      <c r="B961"/>
      <c r="D961"/>
      <c r="E961"/>
      <c r="F961"/>
      <c r="G961"/>
      <c r="H961"/>
      <c r="I961"/>
      <c r="J961"/>
      <c r="K961"/>
      <c r="L961"/>
      <c r="M961"/>
      <c r="N961"/>
      <c r="O961"/>
      <c r="P961"/>
      <c r="R961"/>
      <c r="S961"/>
      <c r="T961"/>
      <c r="U961"/>
      <c r="V961"/>
      <c r="W961"/>
      <c r="X961"/>
      <c r="Y961"/>
    </row>
    <row r="962" spans="2:25">
      <c r="B962"/>
      <c r="D962"/>
      <c r="E962"/>
      <c r="F962"/>
      <c r="G962"/>
      <c r="H962"/>
      <c r="I962"/>
      <c r="J962"/>
      <c r="K962"/>
      <c r="L962"/>
      <c r="M962"/>
      <c r="N962"/>
      <c r="O962"/>
      <c r="P962"/>
      <c r="R962"/>
      <c r="S962"/>
      <c r="T962"/>
      <c r="U962"/>
      <c r="V962"/>
      <c r="W962"/>
      <c r="X962"/>
      <c r="Y962"/>
    </row>
    <row r="963" spans="2:25">
      <c r="B963"/>
      <c r="D963"/>
      <c r="E963"/>
      <c r="F963"/>
      <c r="G963"/>
      <c r="H963"/>
      <c r="I963"/>
      <c r="J963"/>
      <c r="K963"/>
      <c r="L963"/>
      <c r="M963"/>
      <c r="N963"/>
      <c r="O963"/>
      <c r="P963"/>
      <c r="R963"/>
      <c r="S963"/>
      <c r="T963"/>
      <c r="U963"/>
      <c r="V963"/>
      <c r="W963"/>
      <c r="X963"/>
      <c r="Y963"/>
    </row>
    <row r="964" spans="2:25">
      <c r="B964"/>
      <c r="D964"/>
      <c r="E964"/>
      <c r="F964"/>
      <c r="G964"/>
      <c r="H964"/>
      <c r="I964"/>
      <c r="J964"/>
      <c r="K964"/>
      <c r="L964"/>
      <c r="M964"/>
      <c r="N964"/>
      <c r="O964"/>
      <c r="P964"/>
      <c r="R964"/>
      <c r="S964"/>
      <c r="T964"/>
      <c r="U964"/>
      <c r="V964"/>
      <c r="W964"/>
      <c r="X964"/>
      <c r="Y964"/>
    </row>
    <row r="965" spans="2:25">
      <c r="B965"/>
      <c r="D965"/>
      <c r="E965"/>
      <c r="F965"/>
      <c r="G965"/>
      <c r="H965"/>
      <c r="I965"/>
      <c r="J965"/>
      <c r="K965"/>
      <c r="L965"/>
      <c r="M965"/>
      <c r="N965"/>
      <c r="O965"/>
      <c r="P965"/>
      <c r="R965"/>
      <c r="S965"/>
      <c r="T965"/>
      <c r="U965"/>
      <c r="V965"/>
      <c r="W965"/>
      <c r="X965"/>
      <c r="Y965"/>
    </row>
    <row r="966" spans="2:25">
      <c r="B966"/>
      <c r="D966"/>
      <c r="E966"/>
      <c r="F966"/>
      <c r="G966"/>
      <c r="H966"/>
      <c r="I966"/>
      <c r="J966"/>
      <c r="K966"/>
      <c r="L966"/>
      <c r="M966"/>
      <c r="N966"/>
      <c r="O966"/>
      <c r="P966"/>
      <c r="R966"/>
      <c r="S966"/>
      <c r="T966"/>
      <c r="U966"/>
      <c r="V966"/>
      <c r="W966"/>
      <c r="X966"/>
      <c r="Y966"/>
    </row>
    <row r="967" spans="2:25">
      <c r="B967"/>
      <c r="D967"/>
      <c r="E967"/>
      <c r="F967"/>
      <c r="G967"/>
      <c r="H967"/>
      <c r="I967"/>
      <c r="J967"/>
      <c r="K967"/>
      <c r="L967"/>
      <c r="M967"/>
      <c r="N967"/>
      <c r="O967"/>
      <c r="P967"/>
      <c r="R967"/>
      <c r="S967"/>
      <c r="T967"/>
      <c r="U967"/>
      <c r="V967"/>
      <c r="W967"/>
      <c r="X967"/>
      <c r="Y967"/>
    </row>
    <row r="968" spans="2:25">
      <c r="B968"/>
      <c r="D968"/>
      <c r="E968"/>
      <c r="F968"/>
      <c r="G968"/>
      <c r="H968"/>
      <c r="I968"/>
      <c r="J968"/>
      <c r="K968"/>
      <c r="L968"/>
      <c r="M968"/>
      <c r="N968"/>
      <c r="O968"/>
      <c r="P968"/>
      <c r="R968"/>
      <c r="S968"/>
      <c r="T968"/>
      <c r="U968"/>
      <c r="V968"/>
      <c r="W968"/>
      <c r="X968"/>
      <c r="Y968"/>
    </row>
    <row r="969" spans="2:25">
      <c r="B969"/>
      <c r="D969"/>
      <c r="E969"/>
      <c r="F969"/>
      <c r="G969"/>
      <c r="H969"/>
      <c r="I969"/>
      <c r="J969"/>
      <c r="K969"/>
      <c r="L969"/>
      <c r="M969"/>
      <c r="N969"/>
      <c r="O969"/>
      <c r="P969"/>
      <c r="R969"/>
      <c r="S969"/>
      <c r="T969"/>
      <c r="U969"/>
      <c r="V969"/>
      <c r="W969"/>
      <c r="X969"/>
      <c r="Y969"/>
    </row>
    <row r="970" spans="2:25">
      <c r="B970"/>
      <c r="D970"/>
      <c r="E970"/>
      <c r="F970"/>
      <c r="G970"/>
      <c r="H970"/>
      <c r="I970"/>
      <c r="J970"/>
      <c r="K970"/>
      <c r="L970"/>
      <c r="M970"/>
      <c r="N970"/>
      <c r="O970"/>
      <c r="P970"/>
      <c r="R970"/>
      <c r="S970"/>
      <c r="T970"/>
      <c r="U970"/>
      <c r="V970"/>
      <c r="W970"/>
      <c r="X970"/>
      <c r="Y970"/>
    </row>
    <row r="971" spans="2:25">
      <c r="B971"/>
      <c r="D971"/>
      <c r="E971"/>
      <c r="F971"/>
      <c r="G971"/>
      <c r="H971"/>
      <c r="I971"/>
      <c r="J971"/>
      <c r="K971"/>
      <c r="L971"/>
      <c r="M971"/>
      <c r="N971"/>
      <c r="O971"/>
      <c r="P971"/>
      <c r="R971"/>
      <c r="S971"/>
      <c r="T971"/>
      <c r="U971"/>
      <c r="V971"/>
      <c r="W971"/>
      <c r="X971"/>
      <c r="Y971"/>
    </row>
    <row r="972" spans="2:25">
      <c r="B972"/>
      <c r="D972"/>
      <c r="E972"/>
      <c r="F972"/>
      <c r="G972"/>
      <c r="H972"/>
      <c r="I972"/>
      <c r="J972"/>
      <c r="K972"/>
      <c r="L972"/>
      <c r="M972"/>
      <c r="N972"/>
      <c r="O972"/>
      <c r="P972"/>
      <c r="R972"/>
      <c r="S972"/>
      <c r="T972"/>
      <c r="U972"/>
      <c r="V972"/>
      <c r="W972"/>
      <c r="X972"/>
      <c r="Y972"/>
    </row>
    <row r="973" spans="2:25">
      <c r="B973"/>
      <c r="D973"/>
      <c r="E973"/>
      <c r="F973"/>
      <c r="G973"/>
      <c r="H973"/>
      <c r="I973"/>
      <c r="J973"/>
      <c r="K973"/>
      <c r="L973"/>
      <c r="M973"/>
      <c r="N973"/>
      <c r="O973"/>
      <c r="P973"/>
      <c r="R973"/>
      <c r="S973"/>
      <c r="T973"/>
      <c r="U973"/>
      <c r="V973"/>
      <c r="W973"/>
      <c r="X973"/>
      <c r="Y973"/>
    </row>
    <row r="974" spans="2:25">
      <c r="B974"/>
      <c r="D974"/>
      <c r="E974"/>
      <c r="F974"/>
      <c r="G974"/>
      <c r="H974"/>
      <c r="I974"/>
      <c r="J974"/>
      <c r="K974"/>
      <c r="L974"/>
      <c r="M974"/>
      <c r="N974"/>
      <c r="O974"/>
      <c r="P974"/>
      <c r="R974"/>
      <c r="S974"/>
      <c r="T974"/>
      <c r="U974"/>
      <c r="V974"/>
      <c r="W974"/>
      <c r="X974"/>
      <c r="Y974"/>
    </row>
    <row r="975" spans="2:25">
      <c r="B975"/>
      <c r="D975"/>
      <c r="E975"/>
      <c r="F975"/>
      <c r="G975"/>
      <c r="H975"/>
      <c r="I975"/>
      <c r="J975"/>
      <c r="K975"/>
      <c r="L975"/>
      <c r="M975"/>
      <c r="N975"/>
      <c r="O975"/>
      <c r="P975"/>
      <c r="R975"/>
      <c r="S975"/>
      <c r="T975"/>
      <c r="U975"/>
      <c r="V975"/>
      <c r="W975"/>
      <c r="X975"/>
      <c r="Y975"/>
    </row>
    <row r="976" spans="2:25">
      <c r="B976"/>
      <c r="D976"/>
      <c r="E976"/>
      <c r="F976"/>
      <c r="G976"/>
      <c r="H976"/>
      <c r="I976"/>
      <c r="J976"/>
      <c r="K976"/>
      <c r="L976"/>
      <c r="M976"/>
      <c r="N976"/>
      <c r="O976"/>
      <c r="P976"/>
      <c r="R976"/>
      <c r="S976"/>
      <c r="T976"/>
      <c r="U976"/>
      <c r="V976"/>
      <c r="W976"/>
      <c r="X976"/>
      <c r="Y976"/>
    </row>
    <row r="977" spans="2:25">
      <c r="B977"/>
      <c r="D977"/>
      <c r="E977"/>
      <c r="F977"/>
      <c r="G977"/>
      <c r="H977"/>
      <c r="I977"/>
      <c r="J977"/>
      <c r="K977"/>
      <c r="L977"/>
      <c r="M977"/>
      <c r="N977"/>
      <c r="O977"/>
      <c r="P977"/>
      <c r="R977"/>
      <c r="S977"/>
      <c r="T977"/>
      <c r="U977"/>
      <c r="V977"/>
      <c r="W977"/>
      <c r="X977"/>
      <c r="Y977"/>
    </row>
    <row r="978" spans="2:25">
      <c r="B978"/>
      <c r="D978"/>
      <c r="E978"/>
      <c r="F978"/>
      <c r="G978"/>
      <c r="H978"/>
      <c r="I978"/>
      <c r="J978"/>
      <c r="K978"/>
      <c r="L978"/>
      <c r="M978"/>
      <c r="N978"/>
      <c r="O978"/>
      <c r="P978"/>
      <c r="R978"/>
      <c r="S978"/>
      <c r="T978"/>
      <c r="U978"/>
      <c r="V978"/>
      <c r="W978"/>
      <c r="X978"/>
      <c r="Y978"/>
    </row>
    <row r="979" spans="2:25">
      <c r="B979"/>
      <c r="D979"/>
      <c r="E979"/>
      <c r="F979"/>
      <c r="G979"/>
      <c r="H979"/>
      <c r="I979"/>
      <c r="J979"/>
      <c r="K979"/>
      <c r="L979"/>
      <c r="M979"/>
      <c r="N979"/>
      <c r="O979"/>
      <c r="P979"/>
      <c r="R979"/>
      <c r="S979"/>
      <c r="T979"/>
      <c r="U979"/>
      <c r="V979"/>
      <c r="W979"/>
      <c r="X979"/>
      <c r="Y979"/>
    </row>
    <row r="980" spans="2:25">
      <c r="B980"/>
      <c r="D980"/>
      <c r="E980"/>
      <c r="F980"/>
      <c r="G980"/>
      <c r="H980"/>
      <c r="I980"/>
      <c r="J980"/>
      <c r="K980"/>
      <c r="L980"/>
      <c r="M980"/>
      <c r="N980"/>
      <c r="O980"/>
      <c r="P980"/>
      <c r="R980"/>
      <c r="S980"/>
      <c r="T980"/>
      <c r="U980"/>
      <c r="V980"/>
      <c r="W980"/>
      <c r="X980"/>
      <c r="Y980"/>
    </row>
    <row r="981" spans="2:25">
      <c r="B981"/>
      <c r="D981"/>
      <c r="E981"/>
      <c r="F981"/>
      <c r="G981"/>
      <c r="H981"/>
      <c r="I981"/>
      <c r="J981"/>
      <c r="K981"/>
      <c r="L981"/>
      <c r="M981"/>
      <c r="N981"/>
      <c r="O981"/>
      <c r="P981"/>
      <c r="R981"/>
      <c r="S981"/>
      <c r="T981"/>
      <c r="U981"/>
      <c r="V981"/>
      <c r="W981"/>
      <c r="X981"/>
      <c r="Y981"/>
    </row>
    <row r="982" spans="2:25">
      <c r="B982"/>
      <c r="D982"/>
      <c r="E982"/>
      <c r="F982"/>
      <c r="G982"/>
      <c r="H982"/>
      <c r="I982"/>
      <c r="J982"/>
      <c r="K982"/>
      <c r="L982"/>
      <c r="M982"/>
      <c r="N982"/>
      <c r="O982"/>
      <c r="P982"/>
      <c r="R982"/>
      <c r="S982"/>
      <c r="T982"/>
      <c r="U982"/>
      <c r="V982"/>
      <c r="W982"/>
      <c r="X982"/>
      <c r="Y982"/>
    </row>
    <row r="983" spans="2:25">
      <c r="B983"/>
      <c r="D983"/>
      <c r="E983"/>
      <c r="F983"/>
      <c r="G983"/>
      <c r="H983"/>
      <c r="I983"/>
      <c r="J983"/>
      <c r="K983"/>
      <c r="L983"/>
      <c r="M983"/>
      <c r="N983"/>
      <c r="O983"/>
      <c r="P983"/>
      <c r="R983"/>
      <c r="S983"/>
      <c r="T983"/>
      <c r="U983"/>
      <c r="V983"/>
      <c r="W983"/>
      <c r="X983"/>
      <c r="Y983"/>
    </row>
    <row r="984" spans="2:25">
      <c r="B984"/>
      <c r="D984"/>
      <c r="E984"/>
      <c r="F984"/>
      <c r="G984"/>
      <c r="H984"/>
      <c r="I984"/>
      <c r="J984"/>
      <c r="K984"/>
      <c r="L984"/>
      <c r="M984"/>
      <c r="N984"/>
      <c r="O984"/>
      <c r="P984"/>
      <c r="R984"/>
      <c r="S984"/>
      <c r="T984"/>
      <c r="U984"/>
      <c r="V984"/>
      <c r="W984"/>
      <c r="X984"/>
      <c r="Y984"/>
    </row>
    <row r="985" spans="2:25">
      <c r="B985"/>
      <c r="D985"/>
      <c r="E985"/>
      <c r="F985"/>
      <c r="G985"/>
      <c r="H985"/>
      <c r="I985"/>
      <c r="J985"/>
      <c r="K985"/>
      <c r="L985"/>
      <c r="M985"/>
      <c r="N985"/>
      <c r="O985"/>
      <c r="P985"/>
      <c r="R985"/>
      <c r="S985"/>
      <c r="T985"/>
      <c r="U985"/>
      <c r="V985"/>
      <c r="W985"/>
      <c r="X985"/>
      <c r="Y985"/>
    </row>
    <row r="986" spans="2:25">
      <c r="B986"/>
      <c r="D986"/>
      <c r="E986"/>
      <c r="F986"/>
      <c r="G986"/>
      <c r="H986"/>
      <c r="I986"/>
      <c r="J986"/>
      <c r="K986"/>
      <c r="L986"/>
      <c r="M986"/>
      <c r="N986"/>
      <c r="O986"/>
      <c r="P986"/>
      <c r="R986"/>
      <c r="S986"/>
      <c r="T986"/>
      <c r="U986"/>
      <c r="V986"/>
      <c r="W986"/>
      <c r="X986"/>
      <c r="Y986"/>
    </row>
    <row r="987" spans="2:25">
      <c r="B987"/>
      <c r="D987"/>
      <c r="E987"/>
      <c r="F987"/>
      <c r="G987"/>
      <c r="H987"/>
      <c r="I987"/>
      <c r="J987"/>
      <c r="K987"/>
      <c r="L987"/>
      <c r="M987"/>
      <c r="N987"/>
      <c r="O987"/>
      <c r="P987"/>
      <c r="R987"/>
      <c r="S987"/>
      <c r="T987"/>
      <c r="U987"/>
      <c r="V987"/>
      <c r="W987"/>
      <c r="X987"/>
      <c r="Y987"/>
    </row>
    <row r="988" spans="2:25">
      <c r="B988"/>
      <c r="D988"/>
      <c r="E988"/>
      <c r="F988"/>
      <c r="G988"/>
      <c r="H988"/>
      <c r="I988"/>
      <c r="J988"/>
      <c r="K988"/>
      <c r="L988"/>
      <c r="M988"/>
      <c r="N988"/>
      <c r="O988"/>
      <c r="P988"/>
      <c r="R988"/>
      <c r="S988"/>
      <c r="T988"/>
      <c r="U988"/>
      <c r="V988"/>
      <c r="W988"/>
      <c r="X988"/>
      <c r="Y988"/>
    </row>
    <row r="989" spans="2:25">
      <c r="B989"/>
      <c r="D989"/>
      <c r="E989"/>
      <c r="F989"/>
      <c r="G989"/>
      <c r="H989"/>
      <c r="I989"/>
      <c r="J989"/>
      <c r="K989"/>
      <c r="L989"/>
      <c r="M989"/>
      <c r="N989"/>
      <c r="O989"/>
      <c r="P989"/>
      <c r="R989"/>
      <c r="S989"/>
      <c r="T989"/>
      <c r="U989"/>
      <c r="V989"/>
      <c r="W989"/>
      <c r="X989"/>
      <c r="Y989"/>
    </row>
    <row r="990" spans="2:25">
      <c r="B990"/>
      <c r="D990"/>
      <c r="E990"/>
      <c r="F990"/>
      <c r="G990"/>
      <c r="H990"/>
      <c r="I990"/>
      <c r="J990"/>
      <c r="K990"/>
      <c r="L990"/>
      <c r="M990"/>
      <c r="N990"/>
      <c r="O990"/>
      <c r="P990"/>
      <c r="R990"/>
      <c r="S990"/>
      <c r="T990"/>
      <c r="U990"/>
      <c r="V990"/>
      <c r="W990"/>
      <c r="X990"/>
      <c r="Y990"/>
    </row>
    <row r="991" spans="2:25">
      <c r="B991"/>
      <c r="D991"/>
      <c r="E991"/>
      <c r="F991"/>
      <c r="G991"/>
      <c r="H991"/>
      <c r="I991"/>
      <c r="J991"/>
      <c r="K991"/>
      <c r="L991"/>
      <c r="M991"/>
      <c r="N991"/>
      <c r="O991"/>
      <c r="P991"/>
      <c r="R991"/>
      <c r="S991"/>
      <c r="T991"/>
      <c r="U991"/>
      <c r="V991"/>
      <c r="W991"/>
      <c r="X991"/>
      <c r="Y991"/>
    </row>
    <row r="992" spans="2:25">
      <c r="B992"/>
      <c r="D992"/>
      <c r="E992"/>
      <c r="F992"/>
      <c r="G992"/>
      <c r="H992"/>
      <c r="I992"/>
      <c r="J992"/>
      <c r="K992"/>
      <c r="L992"/>
      <c r="M992"/>
      <c r="N992"/>
      <c r="O992"/>
      <c r="P992"/>
      <c r="R992"/>
      <c r="S992"/>
      <c r="T992"/>
      <c r="U992"/>
      <c r="V992"/>
      <c r="W992"/>
      <c r="X992"/>
      <c r="Y992"/>
    </row>
    <row r="993" spans="2:25">
      <c r="B993"/>
      <c r="D993"/>
      <c r="E993"/>
      <c r="F993"/>
      <c r="G993"/>
      <c r="H993"/>
      <c r="I993"/>
      <c r="J993"/>
      <c r="K993"/>
      <c r="L993"/>
      <c r="M993"/>
      <c r="N993"/>
      <c r="O993"/>
      <c r="P993"/>
      <c r="R993"/>
      <c r="S993"/>
      <c r="T993"/>
      <c r="U993"/>
      <c r="V993"/>
      <c r="W993"/>
      <c r="X993"/>
      <c r="Y993"/>
    </row>
    <row r="994" spans="2:25">
      <c r="B994"/>
      <c r="D994"/>
      <c r="E994"/>
      <c r="F994"/>
      <c r="G994"/>
      <c r="H994"/>
      <c r="I994"/>
      <c r="J994"/>
      <c r="K994"/>
      <c r="L994"/>
      <c r="M994"/>
      <c r="N994"/>
      <c r="O994"/>
      <c r="P994"/>
      <c r="R994"/>
      <c r="S994"/>
      <c r="T994"/>
      <c r="U994"/>
      <c r="V994"/>
      <c r="W994"/>
      <c r="X994"/>
      <c r="Y994"/>
    </row>
    <row r="995" spans="2:25">
      <c r="B995"/>
      <c r="D995"/>
      <c r="E995"/>
      <c r="F995"/>
      <c r="G995"/>
      <c r="H995"/>
      <c r="I995"/>
      <c r="J995"/>
      <c r="K995"/>
      <c r="L995"/>
      <c r="M995"/>
      <c r="N995"/>
      <c r="O995"/>
      <c r="P995"/>
      <c r="R995"/>
      <c r="S995"/>
      <c r="T995"/>
      <c r="U995"/>
      <c r="V995"/>
      <c r="W995"/>
      <c r="X995"/>
      <c r="Y995"/>
    </row>
    <row r="996" spans="2:25">
      <c r="B996"/>
      <c r="D996"/>
      <c r="E996"/>
      <c r="F996"/>
      <c r="G996"/>
      <c r="H996"/>
      <c r="I996"/>
      <c r="J996"/>
      <c r="K996"/>
      <c r="L996"/>
      <c r="M996"/>
      <c r="N996"/>
      <c r="O996"/>
      <c r="P996"/>
      <c r="R996"/>
      <c r="S996"/>
      <c r="T996"/>
      <c r="U996"/>
      <c r="V996"/>
      <c r="W996"/>
      <c r="X996"/>
      <c r="Y996"/>
    </row>
    <row r="997" spans="2:25">
      <c r="B997"/>
      <c r="D997"/>
      <c r="E997"/>
      <c r="F997"/>
      <c r="G997"/>
      <c r="H997"/>
      <c r="I997"/>
      <c r="J997"/>
      <c r="K997"/>
      <c r="L997"/>
      <c r="M997"/>
      <c r="N997"/>
      <c r="O997"/>
      <c r="P997"/>
      <c r="R997"/>
      <c r="S997"/>
      <c r="T997"/>
      <c r="U997"/>
      <c r="V997"/>
      <c r="W997"/>
      <c r="X997"/>
      <c r="Y997"/>
    </row>
    <row r="998" spans="2:25">
      <c r="B998"/>
      <c r="D998"/>
      <c r="E998"/>
      <c r="F998"/>
      <c r="G998"/>
      <c r="H998"/>
      <c r="I998"/>
      <c r="J998"/>
      <c r="K998"/>
      <c r="L998"/>
      <c r="M998"/>
      <c r="N998"/>
      <c r="O998"/>
      <c r="P998"/>
      <c r="R998"/>
      <c r="S998"/>
      <c r="T998"/>
      <c r="U998"/>
      <c r="V998"/>
      <c r="W998"/>
      <c r="X998"/>
      <c r="Y998"/>
    </row>
    <row r="999" spans="2:25">
      <c r="B999"/>
      <c r="D999"/>
      <c r="E999"/>
      <c r="F999"/>
      <c r="G999"/>
      <c r="H999"/>
      <c r="I999"/>
      <c r="J999"/>
      <c r="K999"/>
      <c r="L999"/>
      <c r="M999"/>
      <c r="N999"/>
      <c r="O999"/>
      <c r="P999"/>
      <c r="R999"/>
      <c r="S999"/>
      <c r="T999"/>
      <c r="U999"/>
      <c r="V999"/>
      <c r="W999"/>
      <c r="X999"/>
      <c r="Y999"/>
    </row>
    <row r="1000" spans="2:25">
      <c r="B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R1000"/>
      <c r="S1000"/>
      <c r="T1000"/>
      <c r="U1000"/>
      <c r="V1000"/>
      <c r="W1000"/>
      <c r="X1000"/>
      <c r="Y1000"/>
    </row>
    <row r="1001" spans="2:25">
      <c r="B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R1001"/>
      <c r="S1001"/>
      <c r="T1001"/>
      <c r="U1001"/>
      <c r="V1001"/>
      <c r="W1001"/>
      <c r="X1001"/>
      <c r="Y1001"/>
    </row>
    <row r="1002" spans="2:25">
      <c r="B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R1002"/>
      <c r="S1002"/>
      <c r="T1002"/>
      <c r="U1002"/>
      <c r="V1002"/>
      <c r="W1002"/>
      <c r="X1002"/>
      <c r="Y1002"/>
    </row>
    <row r="1003" spans="2:25">
      <c r="B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R1003"/>
      <c r="S1003"/>
      <c r="T1003"/>
      <c r="U1003"/>
      <c r="V1003"/>
      <c r="W1003"/>
      <c r="X1003"/>
      <c r="Y1003"/>
    </row>
    <row r="1004" spans="2:25">
      <c r="B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R1004"/>
      <c r="S1004"/>
      <c r="T1004"/>
      <c r="U1004"/>
      <c r="V1004"/>
      <c r="W1004"/>
      <c r="X1004"/>
      <c r="Y1004"/>
    </row>
    <row r="1005" spans="2:25">
      <c r="B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R1005"/>
      <c r="S1005"/>
      <c r="T1005"/>
      <c r="U1005"/>
      <c r="V1005"/>
      <c r="W1005"/>
      <c r="X1005"/>
      <c r="Y1005"/>
    </row>
    <row r="1006" spans="2:25">
      <c r="B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R1006"/>
      <c r="S1006"/>
      <c r="T1006"/>
      <c r="U1006"/>
      <c r="V1006"/>
      <c r="W1006"/>
      <c r="X1006"/>
      <c r="Y1006"/>
    </row>
    <row r="1007" spans="2:25">
      <c r="B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R1007"/>
      <c r="S1007"/>
      <c r="T1007"/>
      <c r="U1007"/>
      <c r="V1007"/>
      <c r="W1007"/>
      <c r="X1007"/>
      <c r="Y1007"/>
    </row>
    <row r="1008" spans="2:25">
      <c r="B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R1008"/>
      <c r="S1008"/>
      <c r="T1008"/>
      <c r="U1008"/>
      <c r="V1008"/>
      <c r="W1008"/>
      <c r="X1008"/>
      <c r="Y1008"/>
    </row>
    <row r="1009" spans="2:25">
      <c r="B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R1009"/>
      <c r="S1009"/>
      <c r="T1009"/>
      <c r="U1009"/>
      <c r="V1009"/>
      <c r="W1009"/>
      <c r="X1009"/>
      <c r="Y1009"/>
    </row>
    <row r="1010" spans="2:25">
      <c r="B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R1010"/>
      <c r="S1010"/>
      <c r="T1010"/>
      <c r="U1010"/>
      <c r="V1010"/>
      <c r="W1010"/>
      <c r="X1010"/>
      <c r="Y1010"/>
    </row>
    <row r="1011" spans="2:25">
      <c r="B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R1011"/>
      <c r="S1011"/>
      <c r="T1011"/>
      <c r="U1011"/>
      <c r="V1011"/>
      <c r="W1011"/>
      <c r="X1011"/>
      <c r="Y1011"/>
    </row>
    <row r="1012" spans="2:25">
      <c r="B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R1012"/>
      <c r="S1012"/>
      <c r="T1012"/>
      <c r="U1012"/>
      <c r="V1012"/>
      <c r="W1012"/>
      <c r="X1012"/>
      <c r="Y1012"/>
    </row>
    <row r="1013" spans="2:25">
      <c r="B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R1013"/>
      <c r="S1013"/>
      <c r="T1013"/>
      <c r="U1013"/>
      <c r="V1013"/>
      <c r="W1013"/>
      <c r="X1013"/>
      <c r="Y1013"/>
    </row>
    <row r="1014" spans="2:25">
      <c r="B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R1014"/>
      <c r="S1014"/>
      <c r="T1014"/>
      <c r="U1014"/>
      <c r="V1014"/>
      <c r="W1014"/>
      <c r="X1014"/>
      <c r="Y1014"/>
    </row>
    <row r="1015" spans="2:25">
      <c r="B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R1015"/>
      <c r="S1015"/>
      <c r="T1015"/>
      <c r="U1015"/>
      <c r="V1015"/>
      <c r="W1015"/>
      <c r="X1015"/>
      <c r="Y1015"/>
    </row>
    <row r="1016" spans="2:25">
      <c r="B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R1016"/>
      <c r="S1016"/>
      <c r="T1016"/>
      <c r="U1016"/>
      <c r="V1016"/>
      <c r="W1016"/>
      <c r="X1016"/>
      <c r="Y1016"/>
    </row>
    <row r="1017" spans="2:25">
      <c r="B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R1017"/>
      <c r="S1017"/>
      <c r="T1017"/>
      <c r="U1017"/>
      <c r="V1017"/>
      <c r="W1017"/>
      <c r="X1017"/>
      <c r="Y1017"/>
    </row>
    <row r="1018" spans="2:25">
      <c r="B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R1018"/>
      <c r="S1018"/>
      <c r="T1018"/>
      <c r="U1018"/>
      <c r="V1018"/>
      <c r="W1018"/>
      <c r="X1018"/>
      <c r="Y1018"/>
    </row>
    <row r="1019" spans="2:25">
      <c r="B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R1019"/>
      <c r="S1019"/>
      <c r="T1019"/>
      <c r="U1019"/>
      <c r="V1019"/>
      <c r="W1019"/>
      <c r="X1019"/>
      <c r="Y1019"/>
    </row>
    <row r="1020" spans="2:25">
      <c r="B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R1020"/>
      <c r="S1020"/>
      <c r="T1020"/>
      <c r="U1020"/>
      <c r="V1020"/>
      <c r="W1020"/>
      <c r="X1020"/>
      <c r="Y1020"/>
    </row>
    <row r="1021" spans="2:25">
      <c r="B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R1021"/>
      <c r="S1021"/>
      <c r="T1021"/>
      <c r="U1021"/>
      <c r="V1021"/>
      <c r="W1021"/>
      <c r="X1021"/>
      <c r="Y1021"/>
    </row>
    <row r="1022" spans="2:25">
      <c r="B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R1022"/>
      <c r="S1022"/>
      <c r="T1022"/>
      <c r="U1022"/>
      <c r="V1022"/>
      <c r="W1022"/>
      <c r="X1022"/>
      <c r="Y1022"/>
    </row>
    <row r="1023" spans="2:25">
      <c r="B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R1023"/>
      <c r="S1023"/>
      <c r="T1023"/>
      <c r="U1023"/>
      <c r="V1023"/>
      <c r="W1023"/>
      <c r="X1023"/>
      <c r="Y1023"/>
    </row>
    <row r="1024" spans="2:25">
      <c r="B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R1024"/>
      <c r="S1024"/>
      <c r="T1024"/>
      <c r="U1024"/>
      <c r="V1024"/>
      <c r="W1024"/>
      <c r="X1024"/>
      <c r="Y1024"/>
    </row>
    <row r="1025" spans="2:25">
      <c r="B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R1025"/>
      <c r="S1025"/>
      <c r="T1025"/>
      <c r="U1025"/>
      <c r="V1025"/>
      <c r="W1025"/>
      <c r="X1025"/>
      <c r="Y1025"/>
    </row>
    <row r="1026" spans="2:25">
      <c r="B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R1026"/>
      <c r="S1026"/>
      <c r="T1026"/>
      <c r="U1026"/>
      <c r="V1026"/>
      <c r="W1026"/>
      <c r="X1026"/>
      <c r="Y1026"/>
    </row>
    <row r="1027" spans="2:25">
      <c r="B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R1027"/>
      <c r="S1027"/>
      <c r="T1027"/>
      <c r="U1027"/>
      <c r="V1027"/>
      <c r="W1027"/>
      <c r="X1027"/>
      <c r="Y1027"/>
    </row>
    <row r="1028" spans="2:25">
      <c r="B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R1028"/>
      <c r="S1028"/>
      <c r="T1028"/>
      <c r="U1028"/>
      <c r="V1028"/>
      <c r="W1028"/>
      <c r="X1028"/>
      <c r="Y1028"/>
    </row>
    <row r="1029" spans="2:25">
      <c r="B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R1029"/>
      <c r="S1029"/>
      <c r="T1029"/>
      <c r="U1029"/>
      <c r="V1029"/>
      <c r="W1029"/>
      <c r="X1029"/>
      <c r="Y1029"/>
    </row>
    <row r="1030" spans="2:25">
      <c r="B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R1030"/>
      <c r="S1030"/>
      <c r="T1030"/>
      <c r="U1030"/>
      <c r="V1030"/>
      <c r="W1030"/>
      <c r="X1030"/>
      <c r="Y1030"/>
    </row>
    <row r="1031" spans="2:25">
      <c r="B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R1031"/>
      <c r="S1031"/>
      <c r="T1031"/>
      <c r="U1031"/>
      <c r="V1031"/>
      <c r="W1031"/>
      <c r="X1031"/>
      <c r="Y1031"/>
    </row>
    <row r="1032" spans="2:25">
      <c r="B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R1032"/>
      <c r="S1032"/>
      <c r="T1032"/>
      <c r="U1032"/>
      <c r="V1032"/>
      <c r="W1032"/>
      <c r="X1032"/>
      <c r="Y1032"/>
    </row>
    <row r="1033" spans="2:25">
      <c r="B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R1033"/>
      <c r="S1033"/>
      <c r="T1033"/>
      <c r="U1033"/>
      <c r="V1033"/>
      <c r="W1033"/>
      <c r="X1033"/>
      <c r="Y1033"/>
    </row>
    <row r="1034" spans="2:25">
      <c r="B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R1034"/>
      <c r="S1034"/>
      <c r="T1034"/>
      <c r="U1034"/>
      <c r="V1034"/>
      <c r="W1034"/>
      <c r="X1034"/>
      <c r="Y1034"/>
    </row>
    <row r="1035" spans="2:25">
      <c r="B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R1035"/>
      <c r="S1035"/>
      <c r="T1035"/>
      <c r="U1035"/>
      <c r="V1035"/>
      <c r="W1035"/>
      <c r="X1035"/>
      <c r="Y1035"/>
    </row>
    <row r="1036" spans="2:25">
      <c r="B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R1036"/>
      <c r="S1036"/>
      <c r="T1036"/>
      <c r="U1036"/>
      <c r="V1036"/>
      <c r="W1036"/>
      <c r="X1036"/>
      <c r="Y1036"/>
    </row>
    <row r="1037" spans="2:25">
      <c r="B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R1037"/>
      <c r="S1037"/>
      <c r="T1037"/>
      <c r="U1037"/>
      <c r="V1037"/>
      <c r="W1037"/>
      <c r="X1037"/>
      <c r="Y1037"/>
    </row>
    <row r="1038" spans="2:25">
      <c r="B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R1038"/>
      <c r="S1038"/>
      <c r="T1038"/>
      <c r="U1038"/>
      <c r="V1038"/>
      <c r="W1038"/>
      <c r="X1038"/>
      <c r="Y1038"/>
    </row>
    <row r="1039" spans="2:25">
      <c r="B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R1039"/>
      <c r="S1039"/>
      <c r="T1039"/>
      <c r="U1039"/>
      <c r="V1039"/>
      <c r="W1039"/>
      <c r="X1039"/>
      <c r="Y1039"/>
    </row>
    <row r="1040" spans="2:25">
      <c r="B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R1040"/>
      <c r="S1040"/>
      <c r="T1040"/>
      <c r="U1040"/>
      <c r="V1040"/>
      <c r="W1040"/>
      <c r="X1040"/>
      <c r="Y1040"/>
    </row>
    <row r="1041" spans="2:25">
      <c r="B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R1041"/>
      <c r="S1041"/>
      <c r="T1041"/>
      <c r="U1041"/>
      <c r="V1041"/>
      <c r="W1041"/>
      <c r="X1041"/>
      <c r="Y1041"/>
    </row>
    <row r="1042" spans="2:25">
      <c r="B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R1042"/>
      <c r="S1042"/>
      <c r="T1042"/>
      <c r="U1042"/>
      <c r="V1042"/>
      <c r="W1042"/>
      <c r="X1042"/>
      <c r="Y1042"/>
    </row>
    <row r="1043" spans="2:25">
      <c r="B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R1043"/>
      <c r="S1043"/>
      <c r="T1043"/>
      <c r="U1043"/>
      <c r="V1043"/>
      <c r="W1043"/>
      <c r="X1043"/>
      <c r="Y1043"/>
    </row>
    <row r="1044" spans="2:25">
      <c r="B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R1044"/>
      <c r="S1044"/>
      <c r="T1044"/>
      <c r="U1044"/>
      <c r="V1044"/>
      <c r="W1044"/>
      <c r="X1044"/>
      <c r="Y1044"/>
    </row>
    <row r="1045" spans="2:25">
      <c r="B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R1045"/>
      <c r="S1045"/>
      <c r="T1045"/>
      <c r="U1045"/>
      <c r="V1045"/>
      <c r="W1045"/>
      <c r="X1045"/>
      <c r="Y1045"/>
    </row>
    <row r="1046" spans="2:25">
      <c r="B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R1046"/>
      <c r="S1046"/>
      <c r="T1046"/>
      <c r="U1046"/>
      <c r="V1046"/>
      <c r="W1046"/>
      <c r="X1046"/>
      <c r="Y1046"/>
    </row>
    <row r="1047" spans="2:25">
      <c r="B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R1047"/>
      <c r="S1047"/>
      <c r="T1047"/>
      <c r="U1047"/>
      <c r="V1047"/>
      <c r="W1047"/>
      <c r="X1047"/>
      <c r="Y1047"/>
    </row>
    <row r="1048" spans="2:25">
      <c r="B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R1048"/>
      <c r="S1048"/>
      <c r="T1048"/>
      <c r="U1048"/>
      <c r="V1048"/>
      <c r="W1048"/>
      <c r="X1048"/>
      <c r="Y1048"/>
    </row>
    <row r="1049" spans="2:25">
      <c r="B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R1049"/>
      <c r="S1049"/>
      <c r="T1049"/>
      <c r="U1049"/>
      <c r="V1049"/>
      <c r="W1049"/>
      <c r="X1049"/>
      <c r="Y1049"/>
    </row>
    <row r="1050" spans="2:25">
      <c r="B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R1050"/>
      <c r="S1050"/>
      <c r="T1050"/>
      <c r="U1050"/>
      <c r="V1050"/>
      <c r="W1050"/>
      <c r="X1050"/>
      <c r="Y1050"/>
    </row>
    <row r="1051" spans="2:25">
      <c r="B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R1051"/>
      <c r="S1051"/>
      <c r="T1051"/>
      <c r="U1051"/>
      <c r="V1051"/>
      <c r="W1051"/>
      <c r="X1051"/>
      <c r="Y1051"/>
    </row>
    <row r="1052" spans="2:25">
      <c r="B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R1052"/>
      <c r="S1052"/>
      <c r="T1052"/>
      <c r="U1052"/>
      <c r="V1052"/>
      <c r="W1052"/>
      <c r="X1052"/>
      <c r="Y1052"/>
    </row>
    <row r="1053" spans="2:25">
      <c r="B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R1053"/>
      <c r="S1053"/>
      <c r="T1053"/>
      <c r="U1053"/>
      <c r="V1053"/>
      <c r="W1053"/>
      <c r="X1053"/>
      <c r="Y1053"/>
    </row>
    <row r="1054" spans="2:25">
      <c r="B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R1054"/>
      <c r="S1054"/>
      <c r="T1054"/>
      <c r="U1054"/>
      <c r="V1054"/>
      <c r="W1054"/>
      <c r="X1054"/>
      <c r="Y1054"/>
    </row>
    <row r="1055" spans="2:25">
      <c r="B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R1055"/>
      <c r="S1055"/>
      <c r="T1055"/>
      <c r="U1055"/>
      <c r="V1055"/>
      <c r="W1055"/>
      <c r="X1055"/>
      <c r="Y1055"/>
    </row>
    <row r="1056" spans="2:25">
      <c r="B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R1056"/>
      <c r="S1056"/>
      <c r="T1056"/>
      <c r="U1056"/>
      <c r="V1056"/>
      <c r="W1056"/>
      <c r="X1056"/>
      <c r="Y1056"/>
    </row>
    <row r="1057" spans="2:25">
      <c r="B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R1057"/>
      <c r="S1057"/>
      <c r="T1057"/>
      <c r="U1057"/>
      <c r="V1057"/>
      <c r="W1057"/>
      <c r="X1057"/>
      <c r="Y1057"/>
    </row>
    <row r="1058" spans="2:25">
      <c r="B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R1058"/>
      <c r="S1058"/>
      <c r="T1058"/>
      <c r="U1058"/>
      <c r="V1058"/>
      <c r="W1058"/>
      <c r="X1058"/>
      <c r="Y1058"/>
    </row>
    <row r="1059" spans="2:25">
      <c r="B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R1059"/>
      <c r="S1059"/>
      <c r="T1059"/>
      <c r="U1059"/>
      <c r="V1059"/>
      <c r="W1059"/>
      <c r="X1059"/>
      <c r="Y1059"/>
    </row>
    <row r="1060" spans="2:25">
      <c r="B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R1060"/>
      <c r="S1060"/>
      <c r="T1060"/>
      <c r="U1060"/>
      <c r="V1060"/>
      <c r="W1060"/>
      <c r="X1060"/>
      <c r="Y1060"/>
    </row>
    <row r="1061" spans="2:25">
      <c r="B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R1061"/>
      <c r="S1061"/>
      <c r="T1061"/>
      <c r="U1061"/>
      <c r="V1061"/>
      <c r="W1061"/>
      <c r="X1061"/>
      <c r="Y1061"/>
    </row>
    <row r="1062" spans="2:25">
      <c r="B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R1062"/>
      <c r="S1062"/>
      <c r="T1062"/>
      <c r="U1062"/>
      <c r="V1062"/>
      <c r="W1062"/>
      <c r="X1062"/>
      <c r="Y1062"/>
    </row>
    <row r="1063" spans="2:25">
      <c r="B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R1063"/>
      <c r="S1063"/>
      <c r="T1063"/>
      <c r="U1063"/>
      <c r="V1063"/>
      <c r="W1063"/>
      <c r="X1063"/>
      <c r="Y1063"/>
    </row>
    <row r="1064" spans="2:25">
      <c r="B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R1064"/>
      <c r="S1064"/>
      <c r="T1064"/>
      <c r="U1064"/>
      <c r="V1064"/>
      <c r="W1064"/>
      <c r="X1064"/>
      <c r="Y1064"/>
    </row>
    <row r="1065" spans="2:25">
      <c r="B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R1065"/>
      <c r="S1065"/>
      <c r="T1065"/>
      <c r="U1065"/>
      <c r="V1065"/>
      <c r="W1065"/>
      <c r="X1065"/>
      <c r="Y1065"/>
    </row>
    <row r="1066" spans="2:25">
      <c r="B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R1066"/>
      <c r="S1066"/>
      <c r="T1066"/>
      <c r="U1066"/>
      <c r="V1066"/>
      <c r="W1066"/>
      <c r="X1066"/>
      <c r="Y1066"/>
    </row>
    <row r="1067" spans="2:25">
      <c r="B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R1067"/>
      <c r="S1067"/>
      <c r="T1067"/>
      <c r="U1067"/>
      <c r="V1067"/>
      <c r="W1067"/>
      <c r="X1067"/>
      <c r="Y1067"/>
    </row>
    <row r="1068" spans="2:25">
      <c r="B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R1068"/>
      <c r="S1068"/>
      <c r="T1068"/>
      <c r="U1068"/>
      <c r="V1068"/>
      <c r="W1068"/>
      <c r="X1068"/>
      <c r="Y1068"/>
    </row>
    <row r="1069" spans="2:25">
      <c r="B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R1069"/>
      <c r="S1069"/>
      <c r="T1069"/>
      <c r="U1069"/>
      <c r="V1069"/>
      <c r="W1069"/>
      <c r="X1069"/>
      <c r="Y1069"/>
    </row>
    <row r="1070" spans="2:25">
      <c r="B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R1070"/>
      <c r="S1070"/>
      <c r="T1070"/>
      <c r="U1070"/>
      <c r="V1070"/>
      <c r="W1070"/>
      <c r="X1070"/>
      <c r="Y1070"/>
    </row>
    <row r="1071" spans="2:25">
      <c r="B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R1071"/>
      <c r="S1071"/>
      <c r="T1071"/>
      <c r="U1071"/>
      <c r="V1071"/>
      <c r="W1071"/>
      <c r="X1071"/>
      <c r="Y1071"/>
    </row>
    <row r="1072" spans="2:25">
      <c r="B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R1072"/>
      <c r="S1072"/>
      <c r="T1072"/>
      <c r="U1072"/>
      <c r="V1072"/>
      <c r="W1072"/>
      <c r="X1072"/>
      <c r="Y1072"/>
    </row>
    <row r="1073" spans="2:25">
      <c r="B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R1073"/>
      <c r="S1073"/>
      <c r="T1073"/>
      <c r="U1073"/>
      <c r="V1073"/>
      <c r="W1073"/>
      <c r="X1073"/>
      <c r="Y1073"/>
    </row>
    <row r="1074" spans="2:25">
      <c r="B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R1074"/>
      <c r="S1074"/>
      <c r="T1074"/>
      <c r="U1074"/>
      <c r="V1074"/>
      <c r="W1074"/>
      <c r="X1074"/>
      <c r="Y1074"/>
    </row>
    <row r="1075" spans="2:25">
      <c r="B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R1075"/>
      <c r="S1075"/>
      <c r="T1075"/>
      <c r="U1075"/>
      <c r="V1075"/>
      <c r="W1075"/>
      <c r="X1075"/>
      <c r="Y1075"/>
    </row>
    <row r="1076" spans="2:25">
      <c r="B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R1076"/>
      <c r="S1076"/>
      <c r="T1076"/>
      <c r="U1076"/>
      <c r="V1076"/>
      <c r="W1076"/>
      <c r="X1076"/>
      <c r="Y1076"/>
    </row>
    <row r="1077" spans="2:25">
      <c r="B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R1077"/>
      <c r="S1077"/>
      <c r="T1077"/>
      <c r="U1077"/>
      <c r="V1077"/>
      <c r="W1077"/>
      <c r="X1077"/>
      <c r="Y1077"/>
    </row>
    <row r="1078" spans="2:25">
      <c r="B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R1078"/>
      <c r="S1078"/>
      <c r="T1078"/>
      <c r="U1078"/>
      <c r="V1078"/>
      <c r="W1078"/>
      <c r="X1078"/>
      <c r="Y1078"/>
    </row>
    <row r="1079" spans="2:25">
      <c r="B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R1079"/>
      <c r="S1079"/>
      <c r="T1079"/>
      <c r="U1079"/>
      <c r="V1079"/>
      <c r="W1079"/>
      <c r="X1079"/>
      <c r="Y1079"/>
    </row>
    <row r="1080" spans="2:25">
      <c r="B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R1080"/>
      <c r="S1080"/>
      <c r="T1080"/>
      <c r="U1080"/>
      <c r="V1080"/>
      <c r="W1080"/>
      <c r="X1080"/>
      <c r="Y1080"/>
    </row>
    <row r="1081" spans="2:25">
      <c r="B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R1081"/>
      <c r="S1081"/>
      <c r="T1081"/>
      <c r="U1081"/>
      <c r="V1081"/>
      <c r="W1081"/>
      <c r="X1081"/>
      <c r="Y1081"/>
    </row>
    <row r="1082" spans="2:25">
      <c r="B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R1082"/>
      <c r="S1082"/>
      <c r="T1082"/>
      <c r="U1082"/>
      <c r="V1082"/>
      <c r="W1082"/>
      <c r="X1082"/>
      <c r="Y1082"/>
    </row>
    <row r="1083" spans="2:25">
      <c r="B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R1083"/>
      <c r="S1083"/>
      <c r="T1083"/>
      <c r="U1083"/>
      <c r="V1083"/>
      <c r="W1083"/>
      <c r="X1083"/>
      <c r="Y1083"/>
    </row>
    <row r="1084" spans="2:25">
      <c r="B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R1084"/>
      <c r="S1084"/>
      <c r="T1084"/>
      <c r="U1084"/>
      <c r="V1084"/>
      <c r="W1084"/>
      <c r="X1084"/>
      <c r="Y1084"/>
    </row>
    <row r="1085" spans="2:25">
      <c r="B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R1085"/>
      <c r="S1085"/>
      <c r="T1085"/>
      <c r="U1085"/>
      <c r="V1085"/>
      <c r="W1085"/>
      <c r="X1085"/>
      <c r="Y1085"/>
    </row>
    <row r="1086" spans="2:25">
      <c r="B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R1086"/>
      <c r="S1086"/>
      <c r="T1086"/>
      <c r="U1086"/>
      <c r="V1086"/>
      <c r="W1086"/>
      <c r="X1086"/>
      <c r="Y1086"/>
    </row>
    <row r="1087" spans="2:25">
      <c r="B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R1087"/>
      <c r="S1087"/>
      <c r="T1087"/>
      <c r="U1087"/>
      <c r="V1087"/>
      <c r="W1087"/>
      <c r="X1087"/>
      <c r="Y1087"/>
    </row>
    <row r="1088" spans="2:25">
      <c r="B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R1088"/>
      <c r="S1088"/>
      <c r="T1088"/>
      <c r="U1088"/>
      <c r="V1088"/>
      <c r="W1088"/>
      <c r="X1088"/>
      <c r="Y1088"/>
    </row>
    <row r="1089" spans="2:25">
      <c r="B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R1089"/>
      <c r="S1089"/>
      <c r="T1089"/>
      <c r="U1089"/>
      <c r="V1089"/>
      <c r="W1089"/>
      <c r="X1089"/>
      <c r="Y1089"/>
    </row>
    <row r="1090" spans="2:25">
      <c r="B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R1090"/>
      <c r="S1090"/>
      <c r="T1090"/>
      <c r="U1090"/>
      <c r="V1090"/>
      <c r="W1090"/>
      <c r="X1090"/>
      <c r="Y1090"/>
    </row>
    <row r="1091" spans="2:25">
      <c r="B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R1091"/>
      <c r="S1091"/>
      <c r="T1091"/>
      <c r="U1091"/>
      <c r="V1091"/>
      <c r="W1091"/>
      <c r="X1091"/>
      <c r="Y1091"/>
    </row>
    <row r="1092" spans="2:25">
      <c r="B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R1092"/>
      <c r="S1092"/>
      <c r="T1092"/>
      <c r="U1092"/>
      <c r="V1092"/>
      <c r="W1092"/>
      <c r="X1092"/>
      <c r="Y1092"/>
    </row>
    <row r="1093" spans="2:25">
      <c r="B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R1093"/>
      <c r="S1093"/>
      <c r="T1093"/>
      <c r="U1093"/>
      <c r="V1093"/>
      <c r="W1093"/>
      <c r="X1093"/>
      <c r="Y1093"/>
    </row>
    <row r="1094" spans="2:25">
      <c r="B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R1094"/>
      <c r="S1094"/>
      <c r="T1094"/>
      <c r="U1094"/>
      <c r="V1094"/>
      <c r="W1094"/>
      <c r="X1094"/>
      <c r="Y1094"/>
    </row>
    <row r="1095" spans="2:25">
      <c r="B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R1095"/>
      <c r="S1095"/>
      <c r="T1095"/>
      <c r="U1095"/>
      <c r="V1095"/>
      <c r="W1095"/>
      <c r="X1095"/>
      <c r="Y1095"/>
    </row>
    <row r="1096" spans="2:25">
      <c r="B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R1096"/>
      <c r="S1096"/>
      <c r="T1096"/>
      <c r="U1096"/>
      <c r="V1096"/>
      <c r="W1096"/>
      <c r="X1096"/>
      <c r="Y1096"/>
    </row>
    <row r="1097" spans="2:25">
      <c r="B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R1097"/>
      <c r="S1097"/>
      <c r="T1097"/>
      <c r="U1097"/>
      <c r="V1097"/>
      <c r="W1097"/>
      <c r="X1097"/>
      <c r="Y1097"/>
    </row>
    <row r="1098" spans="2:25">
      <c r="B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R1098"/>
      <c r="S1098"/>
      <c r="T1098"/>
      <c r="U1098"/>
      <c r="V1098"/>
      <c r="W1098"/>
      <c r="X1098"/>
      <c r="Y1098"/>
    </row>
    <row r="1099" spans="2:25">
      <c r="B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R1099"/>
      <c r="S1099"/>
      <c r="T1099"/>
      <c r="U1099"/>
      <c r="V1099"/>
      <c r="W1099"/>
      <c r="X1099"/>
      <c r="Y1099"/>
    </row>
    <row r="1100" spans="2:25">
      <c r="B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R1100"/>
      <c r="S1100"/>
      <c r="T1100"/>
      <c r="U1100"/>
      <c r="V1100"/>
      <c r="W1100"/>
      <c r="X1100"/>
      <c r="Y1100"/>
    </row>
    <row r="1101" spans="2:25">
      <c r="B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R1101"/>
      <c r="S1101"/>
      <c r="T1101"/>
      <c r="U1101"/>
      <c r="V1101"/>
      <c r="W1101"/>
      <c r="X1101"/>
      <c r="Y1101"/>
    </row>
    <row r="1102" spans="2:25">
      <c r="B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R1102"/>
      <c r="S1102"/>
      <c r="T1102"/>
      <c r="U1102"/>
      <c r="V1102"/>
      <c r="W1102"/>
      <c r="X1102"/>
      <c r="Y1102"/>
    </row>
    <row r="1103" spans="2:25">
      <c r="B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R1103"/>
      <c r="S1103"/>
      <c r="T1103"/>
      <c r="U1103"/>
      <c r="V1103"/>
      <c r="W1103"/>
      <c r="X1103"/>
      <c r="Y1103"/>
    </row>
    <row r="1104" spans="2:25">
      <c r="B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R1104"/>
      <c r="S1104"/>
      <c r="T1104"/>
      <c r="U1104"/>
      <c r="V1104"/>
      <c r="W1104"/>
      <c r="X1104"/>
      <c r="Y1104"/>
    </row>
    <row r="1105" spans="2:25">
      <c r="B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R1105"/>
      <c r="S1105"/>
      <c r="T1105"/>
      <c r="U1105"/>
      <c r="V1105"/>
      <c r="W1105"/>
      <c r="X1105"/>
      <c r="Y1105"/>
    </row>
    <row r="1106" spans="2:25">
      <c r="B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R1106"/>
      <c r="S1106"/>
      <c r="T1106"/>
      <c r="U1106"/>
      <c r="V1106"/>
      <c r="W1106"/>
      <c r="X1106"/>
      <c r="Y1106"/>
    </row>
    <row r="1107" spans="2:25">
      <c r="B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R1107"/>
      <c r="S1107"/>
      <c r="T1107"/>
      <c r="U1107"/>
      <c r="V1107"/>
      <c r="W1107"/>
      <c r="X1107"/>
      <c r="Y1107"/>
    </row>
    <row r="1108" spans="2:25">
      <c r="B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R1108"/>
      <c r="S1108"/>
      <c r="T1108"/>
      <c r="U1108"/>
      <c r="V1108"/>
      <c r="W1108"/>
      <c r="X1108"/>
      <c r="Y1108"/>
    </row>
    <row r="1109" spans="2:25">
      <c r="B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R1109"/>
      <c r="S1109"/>
      <c r="T1109"/>
      <c r="U1109"/>
      <c r="V1109"/>
      <c r="W1109"/>
      <c r="X1109"/>
      <c r="Y1109"/>
    </row>
    <row r="1110" spans="2:25">
      <c r="B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R1110"/>
      <c r="S1110"/>
      <c r="T1110"/>
      <c r="U1110"/>
      <c r="V1110"/>
      <c r="W1110"/>
      <c r="X1110"/>
      <c r="Y1110"/>
    </row>
    <row r="1111" spans="2:25">
      <c r="B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R1111"/>
      <c r="S1111"/>
      <c r="T1111"/>
      <c r="U1111"/>
      <c r="V1111"/>
      <c r="W1111"/>
      <c r="X1111"/>
      <c r="Y1111"/>
    </row>
    <row r="1112" spans="2:25">
      <c r="B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R1112"/>
      <c r="S1112"/>
      <c r="T1112"/>
      <c r="U1112"/>
      <c r="V1112"/>
      <c r="W1112"/>
      <c r="X1112"/>
      <c r="Y1112"/>
    </row>
    <row r="1113" spans="2:25">
      <c r="B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R1113"/>
      <c r="S1113"/>
      <c r="T1113"/>
      <c r="U1113"/>
      <c r="V1113"/>
      <c r="W1113"/>
      <c r="X1113"/>
      <c r="Y1113"/>
    </row>
    <row r="1114" spans="2:25">
      <c r="B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R1114"/>
      <c r="S1114"/>
      <c r="T1114"/>
      <c r="U1114"/>
      <c r="V1114"/>
      <c r="W1114"/>
      <c r="X1114"/>
      <c r="Y1114"/>
    </row>
    <row r="1115" spans="2:25">
      <c r="B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R1115"/>
      <c r="S1115"/>
      <c r="T1115"/>
      <c r="U1115"/>
      <c r="V1115"/>
      <c r="W1115"/>
      <c r="X1115"/>
      <c r="Y1115"/>
    </row>
    <row r="1116" spans="2:25">
      <c r="B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R1116"/>
      <c r="S1116"/>
      <c r="T1116"/>
      <c r="U1116"/>
      <c r="V1116"/>
      <c r="W1116"/>
      <c r="X1116"/>
      <c r="Y1116"/>
    </row>
    <row r="1117" spans="2:25">
      <c r="B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R1117"/>
      <c r="S1117"/>
      <c r="T1117"/>
      <c r="U1117"/>
      <c r="V1117"/>
      <c r="W1117"/>
      <c r="X1117"/>
      <c r="Y1117"/>
    </row>
    <row r="1118" spans="2:25">
      <c r="B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R1118"/>
      <c r="S1118"/>
      <c r="T1118"/>
      <c r="U1118"/>
      <c r="V1118"/>
      <c r="W1118"/>
      <c r="X1118"/>
      <c r="Y1118"/>
    </row>
    <row r="1119" spans="2:25">
      <c r="B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R1119"/>
      <c r="S1119"/>
      <c r="T1119"/>
      <c r="U1119"/>
      <c r="V1119"/>
      <c r="W1119"/>
      <c r="X1119"/>
      <c r="Y1119"/>
    </row>
    <row r="1120" spans="2:25">
      <c r="B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R1120"/>
      <c r="S1120"/>
      <c r="T1120"/>
      <c r="U1120"/>
      <c r="V1120"/>
      <c r="W1120"/>
      <c r="X1120"/>
      <c r="Y1120"/>
    </row>
    <row r="1121" spans="2:25">
      <c r="B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R1121"/>
      <c r="S1121"/>
      <c r="T1121"/>
      <c r="U1121"/>
      <c r="V1121"/>
      <c r="W1121"/>
      <c r="X1121"/>
      <c r="Y1121"/>
    </row>
    <row r="1122" spans="2:25">
      <c r="B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R1122"/>
      <c r="S1122"/>
      <c r="T1122"/>
      <c r="U1122"/>
      <c r="V1122"/>
      <c r="W1122"/>
      <c r="X1122"/>
      <c r="Y1122"/>
    </row>
    <row r="1123" spans="2:25">
      <c r="B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R1123"/>
      <c r="S1123"/>
      <c r="T1123"/>
      <c r="U1123"/>
      <c r="V1123"/>
      <c r="W1123"/>
      <c r="X1123"/>
      <c r="Y1123"/>
    </row>
    <row r="1124" spans="2:25">
      <c r="B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R1124"/>
      <c r="S1124"/>
      <c r="T1124"/>
      <c r="U1124"/>
      <c r="V1124"/>
      <c r="W1124"/>
      <c r="X1124"/>
      <c r="Y1124"/>
    </row>
    <row r="1125" spans="2:25">
      <c r="B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R1125"/>
      <c r="S1125"/>
      <c r="T1125"/>
      <c r="U1125"/>
      <c r="V1125"/>
      <c r="W1125"/>
      <c r="X1125"/>
      <c r="Y1125"/>
    </row>
    <row r="1126" spans="2:25">
      <c r="B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R1126"/>
      <c r="S1126"/>
      <c r="T1126"/>
      <c r="U1126"/>
      <c r="V1126"/>
      <c r="W1126"/>
      <c r="X1126"/>
      <c r="Y1126"/>
    </row>
    <row r="1127" spans="2:25">
      <c r="B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R1127"/>
      <c r="S1127"/>
      <c r="T1127"/>
      <c r="U1127"/>
      <c r="V1127"/>
      <c r="W1127"/>
      <c r="X1127"/>
      <c r="Y1127"/>
    </row>
    <row r="1128" spans="2:25">
      <c r="B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R1128"/>
      <c r="S1128"/>
      <c r="T1128"/>
      <c r="U1128"/>
      <c r="V1128"/>
      <c r="W1128"/>
      <c r="X1128"/>
      <c r="Y1128"/>
    </row>
    <row r="1129" spans="2:25">
      <c r="B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R1129"/>
      <c r="S1129"/>
      <c r="T1129"/>
      <c r="U1129"/>
      <c r="V1129"/>
      <c r="W1129"/>
      <c r="X1129"/>
      <c r="Y1129"/>
    </row>
    <row r="1130" spans="2:25">
      <c r="B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R1130"/>
      <c r="S1130"/>
      <c r="T1130"/>
      <c r="U1130"/>
      <c r="V1130"/>
      <c r="W1130"/>
      <c r="X1130"/>
      <c r="Y1130"/>
    </row>
    <row r="1131" spans="2:25">
      <c r="B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R1131"/>
      <c r="S1131"/>
      <c r="T1131"/>
      <c r="U1131"/>
      <c r="V1131"/>
      <c r="W1131"/>
      <c r="X1131"/>
      <c r="Y1131"/>
    </row>
    <row r="1132" spans="2:25">
      <c r="B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R1132"/>
      <c r="S1132"/>
      <c r="T1132"/>
      <c r="U1132"/>
      <c r="V1132"/>
      <c r="W1132"/>
      <c r="X1132"/>
      <c r="Y1132"/>
    </row>
    <row r="1133" spans="2:25">
      <c r="B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R1133"/>
      <c r="S1133"/>
      <c r="T1133"/>
      <c r="U1133"/>
      <c r="V1133"/>
      <c r="W1133"/>
      <c r="X1133"/>
      <c r="Y1133"/>
    </row>
    <row r="1134" spans="2:25">
      <c r="B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R1134"/>
      <c r="S1134"/>
      <c r="T1134"/>
      <c r="U1134"/>
      <c r="V1134"/>
      <c r="W1134"/>
      <c r="X1134"/>
      <c r="Y1134"/>
    </row>
    <row r="1135" spans="2:25">
      <c r="B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R1135"/>
      <c r="S1135"/>
      <c r="T1135"/>
      <c r="U1135"/>
      <c r="V1135"/>
      <c r="W1135"/>
      <c r="X1135"/>
      <c r="Y1135"/>
    </row>
    <row r="1136" spans="2:25">
      <c r="B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R1136"/>
      <c r="S1136"/>
      <c r="T1136"/>
      <c r="U1136"/>
      <c r="V1136"/>
      <c r="W1136"/>
      <c r="X1136"/>
      <c r="Y1136"/>
    </row>
    <row r="1137" spans="2:25">
      <c r="B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R1137"/>
      <c r="S1137"/>
      <c r="T1137"/>
      <c r="U1137"/>
      <c r="V1137"/>
      <c r="W1137"/>
      <c r="X1137"/>
      <c r="Y1137"/>
    </row>
    <row r="1138" spans="2:25">
      <c r="B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R1138"/>
      <c r="S1138"/>
      <c r="T1138"/>
      <c r="U1138"/>
      <c r="V1138"/>
      <c r="W1138"/>
      <c r="X1138"/>
      <c r="Y1138"/>
    </row>
    <row r="1139" spans="2:25">
      <c r="B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R1139"/>
      <c r="S1139"/>
      <c r="T1139"/>
      <c r="U1139"/>
      <c r="V1139"/>
      <c r="W1139"/>
      <c r="X1139"/>
      <c r="Y1139"/>
    </row>
    <row r="1140" spans="2:25">
      <c r="B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R1140"/>
      <c r="S1140"/>
      <c r="T1140"/>
      <c r="U1140"/>
      <c r="V1140"/>
      <c r="W1140"/>
      <c r="X1140"/>
      <c r="Y1140"/>
    </row>
    <row r="1141" spans="2:25">
      <c r="B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R1141"/>
      <c r="S1141"/>
      <c r="T1141"/>
      <c r="U1141"/>
      <c r="V1141"/>
      <c r="W1141"/>
      <c r="X1141"/>
      <c r="Y1141"/>
    </row>
    <row r="1142" spans="2:25">
      <c r="B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R1142"/>
      <c r="S1142"/>
      <c r="T1142"/>
      <c r="U1142"/>
      <c r="V1142"/>
      <c r="W1142"/>
      <c r="X1142"/>
      <c r="Y1142"/>
    </row>
    <row r="1143" spans="2:25">
      <c r="B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R1143"/>
      <c r="S1143"/>
      <c r="T1143"/>
      <c r="U1143"/>
      <c r="V1143"/>
      <c r="W1143"/>
      <c r="X1143"/>
      <c r="Y1143"/>
    </row>
    <row r="1144" spans="2:25">
      <c r="B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R1144"/>
      <c r="S1144"/>
      <c r="T1144"/>
      <c r="U1144"/>
      <c r="V1144"/>
      <c r="W1144"/>
      <c r="X1144"/>
      <c r="Y1144"/>
    </row>
    <row r="1145" spans="2:25">
      <c r="B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R1145"/>
      <c r="S1145"/>
      <c r="T1145"/>
      <c r="U1145"/>
      <c r="V1145"/>
      <c r="W1145"/>
      <c r="X1145"/>
      <c r="Y1145"/>
    </row>
    <row r="1146" spans="2:25">
      <c r="B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R1146"/>
      <c r="S1146"/>
      <c r="T1146"/>
      <c r="U1146"/>
      <c r="V1146"/>
      <c r="W1146"/>
      <c r="X1146"/>
      <c r="Y1146"/>
    </row>
    <row r="1147" spans="2:25">
      <c r="B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R1147"/>
      <c r="S1147"/>
      <c r="T1147"/>
      <c r="U1147"/>
      <c r="V1147"/>
      <c r="W1147"/>
      <c r="X1147"/>
      <c r="Y1147"/>
    </row>
    <row r="1148" spans="2:25">
      <c r="B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R1148"/>
      <c r="S1148"/>
      <c r="T1148"/>
      <c r="U1148"/>
      <c r="V1148"/>
      <c r="W1148"/>
      <c r="X1148"/>
      <c r="Y1148"/>
    </row>
    <row r="1149" spans="2:25">
      <c r="B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R1149"/>
      <c r="S1149"/>
      <c r="T1149"/>
      <c r="U1149"/>
      <c r="V1149"/>
      <c r="W1149"/>
      <c r="X1149"/>
      <c r="Y1149"/>
    </row>
    <row r="1150" spans="2:25">
      <c r="B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R1150"/>
      <c r="S1150"/>
      <c r="T1150"/>
      <c r="U1150"/>
      <c r="V1150"/>
      <c r="W1150"/>
      <c r="X1150"/>
      <c r="Y1150"/>
    </row>
    <row r="1151" spans="2:25">
      <c r="B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R1151"/>
      <c r="S1151"/>
      <c r="T1151"/>
      <c r="U1151"/>
      <c r="V1151"/>
      <c r="W1151"/>
      <c r="X1151"/>
      <c r="Y1151"/>
    </row>
    <row r="1152" spans="2:25">
      <c r="B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R1152"/>
      <c r="S1152"/>
      <c r="T1152"/>
      <c r="U1152"/>
      <c r="V1152"/>
      <c r="W1152"/>
      <c r="X1152"/>
      <c r="Y1152"/>
    </row>
    <row r="1153" spans="2:25">
      <c r="B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R1153"/>
      <c r="S1153"/>
      <c r="T1153"/>
      <c r="U1153"/>
      <c r="V1153"/>
      <c r="W1153"/>
      <c r="X1153"/>
      <c r="Y1153"/>
    </row>
    <row r="1154" spans="2:25">
      <c r="B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R1154"/>
      <c r="S1154"/>
      <c r="T1154"/>
      <c r="U1154"/>
      <c r="V1154"/>
      <c r="W1154"/>
      <c r="X1154"/>
      <c r="Y1154"/>
    </row>
    <row r="1155" spans="2:25">
      <c r="B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R1155"/>
      <c r="S1155"/>
      <c r="T1155"/>
      <c r="U1155"/>
      <c r="V1155"/>
      <c r="W1155"/>
      <c r="X1155"/>
      <c r="Y1155"/>
    </row>
    <row r="1156" spans="2:25">
      <c r="B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R1156"/>
      <c r="S1156"/>
      <c r="T1156"/>
      <c r="U1156"/>
      <c r="V1156"/>
      <c r="W1156"/>
      <c r="X1156"/>
      <c r="Y1156"/>
    </row>
    <row r="1157" spans="2:25">
      <c r="B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R1157"/>
      <c r="S1157"/>
      <c r="T1157"/>
      <c r="U1157"/>
      <c r="V1157"/>
      <c r="W1157"/>
      <c r="X1157"/>
      <c r="Y1157"/>
    </row>
    <row r="1158" spans="2:25">
      <c r="B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R1158"/>
      <c r="S1158"/>
      <c r="T1158"/>
      <c r="U1158"/>
      <c r="V1158"/>
      <c r="W1158"/>
      <c r="X1158"/>
      <c r="Y1158"/>
    </row>
    <row r="1159" spans="2:25">
      <c r="B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R1159"/>
      <c r="S1159"/>
      <c r="T1159"/>
      <c r="U1159"/>
      <c r="V1159"/>
      <c r="W1159"/>
      <c r="X1159"/>
      <c r="Y1159"/>
    </row>
    <row r="1160" spans="2:25">
      <c r="B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R1160"/>
      <c r="S1160"/>
      <c r="T1160"/>
      <c r="U1160"/>
      <c r="V1160"/>
      <c r="W1160"/>
      <c r="X1160"/>
      <c r="Y1160"/>
    </row>
    <row r="1161" spans="2:25">
      <c r="B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R1161"/>
      <c r="S1161"/>
      <c r="T1161"/>
      <c r="U1161"/>
      <c r="V1161"/>
      <c r="W1161"/>
      <c r="X1161"/>
      <c r="Y1161"/>
    </row>
    <row r="1162" spans="2:25">
      <c r="B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R1162"/>
      <c r="S1162"/>
      <c r="T1162"/>
      <c r="U1162"/>
      <c r="V1162"/>
      <c r="W1162"/>
      <c r="X1162"/>
      <c r="Y1162"/>
    </row>
    <row r="1163" spans="2:25">
      <c r="B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R1163"/>
      <c r="S1163"/>
      <c r="T1163"/>
      <c r="U1163"/>
      <c r="V1163"/>
      <c r="W1163"/>
      <c r="X1163"/>
      <c r="Y1163"/>
    </row>
    <row r="1164" spans="2:25">
      <c r="B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R1164"/>
      <c r="S1164"/>
      <c r="T1164"/>
      <c r="U1164"/>
      <c r="V1164"/>
      <c r="W1164"/>
      <c r="X1164"/>
      <c r="Y1164"/>
    </row>
    <row r="1165" spans="2:25">
      <c r="B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R1165"/>
      <c r="S1165"/>
      <c r="T1165"/>
      <c r="U1165"/>
      <c r="V1165"/>
      <c r="W1165"/>
      <c r="X1165"/>
      <c r="Y1165"/>
    </row>
    <row r="1166" spans="2:25">
      <c r="B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R1166"/>
      <c r="S1166"/>
      <c r="T1166"/>
      <c r="U1166"/>
      <c r="V1166"/>
      <c r="W1166"/>
      <c r="X1166"/>
      <c r="Y1166"/>
    </row>
    <row r="1167" spans="2:25">
      <c r="B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R1167"/>
      <c r="S1167"/>
      <c r="T1167"/>
      <c r="U1167"/>
      <c r="V1167"/>
      <c r="W1167"/>
      <c r="X1167"/>
      <c r="Y1167"/>
    </row>
    <row r="1168" spans="2:25">
      <c r="B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R1168"/>
      <c r="S1168"/>
      <c r="T1168"/>
      <c r="U1168"/>
      <c r="V1168"/>
      <c r="W1168"/>
      <c r="X1168"/>
      <c r="Y1168"/>
    </row>
    <row r="1169" spans="2:25">
      <c r="B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R1169"/>
      <c r="S1169"/>
      <c r="T1169"/>
      <c r="U1169"/>
      <c r="V1169"/>
      <c r="W1169"/>
      <c r="X1169"/>
      <c r="Y1169"/>
    </row>
    <row r="1170" spans="2:25">
      <c r="B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R1170"/>
      <c r="S1170"/>
      <c r="T1170"/>
      <c r="U1170"/>
      <c r="V1170"/>
      <c r="W1170"/>
      <c r="X1170"/>
      <c r="Y1170"/>
    </row>
    <row r="1171" spans="2:25">
      <c r="B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R1171"/>
      <c r="S1171"/>
      <c r="T1171"/>
      <c r="U1171"/>
      <c r="V1171"/>
      <c r="W1171"/>
      <c r="X1171"/>
      <c r="Y1171"/>
    </row>
    <row r="1172" spans="2:25">
      <c r="B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R1172"/>
      <c r="S1172"/>
      <c r="T1172"/>
      <c r="U1172"/>
      <c r="V1172"/>
      <c r="W1172"/>
      <c r="X1172"/>
      <c r="Y1172"/>
    </row>
    <row r="1173" spans="2:25">
      <c r="B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R1173"/>
      <c r="S1173"/>
      <c r="T1173"/>
      <c r="U1173"/>
      <c r="V1173"/>
      <c r="W1173"/>
      <c r="X1173"/>
      <c r="Y1173"/>
    </row>
    <row r="1174" spans="2:25">
      <c r="B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R1174"/>
      <c r="S1174"/>
      <c r="T1174"/>
      <c r="U1174"/>
      <c r="V1174"/>
      <c r="W1174"/>
      <c r="X1174"/>
      <c r="Y1174"/>
    </row>
    <row r="1175" spans="2:25">
      <c r="B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R1175"/>
      <c r="S1175"/>
      <c r="T1175"/>
      <c r="U1175"/>
      <c r="V1175"/>
      <c r="W1175"/>
      <c r="X1175"/>
      <c r="Y1175"/>
    </row>
    <row r="1176" spans="2:25">
      <c r="B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R1176"/>
      <c r="S1176"/>
      <c r="T1176"/>
      <c r="U1176"/>
      <c r="V1176"/>
      <c r="W1176"/>
      <c r="X1176"/>
      <c r="Y1176"/>
    </row>
    <row r="1177" spans="2:25">
      <c r="B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R1177"/>
      <c r="S1177"/>
      <c r="T1177"/>
      <c r="U1177"/>
      <c r="V1177"/>
      <c r="W1177"/>
      <c r="X1177"/>
      <c r="Y1177"/>
    </row>
    <row r="1178" spans="2:25">
      <c r="B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R1178"/>
      <c r="S1178"/>
      <c r="T1178"/>
      <c r="U1178"/>
      <c r="V1178"/>
      <c r="W1178"/>
      <c r="X1178"/>
      <c r="Y1178"/>
    </row>
    <row r="1179" spans="2:25">
      <c r="B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R1179"/>
      <c r="S1179"/>
      <c r="T1179"/>
      <c r="U1179"/>
      <c r="V1179"/>
      <c r="W1179"/>
      <c r="X1179"/>
      <c r="Y1179"/>
    </row>
    <row r="1180" spans="2:25">
      <c r="B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R1180"/>
      <c r="S1180"/>
      <c r="T1180"/>
      <c r="U1180"/>
      <c r="V1180"/>
      <c r="W1180"/>
      <c r="X1180"/>
      <c r="Y1180"/>
    </row>
    <row r="1181" spans="2:25">
      <c r="B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R1181"/>
      <c r="S1181"/>
      <c r="T1181"/>
      <c r="U1181"/>
      <c r="V1181"/>
      <c r="W1181"/>
      <c r="X1181"/>
      <c r="Y1181"/>
    </row>
    <row r="1182" spans="2:25">
      <c r="B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R1182"/>
      <c r="S1182"/>
      <c r="T1182"/>
      <c r="U1182"/>
      <c r="V1182"/>
      <c r="W1182"/>
      <c r="X1182"/>
      <c r="Y1182"/>
    </row>
    <row r="1183" spans="2:25">
      <c r="B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R1183"/>
      <c r="S1183"/>
      <c r="T1183"/>
      <c r="U1183"/>
      <c r="V1183"/>
      <c r="W1183"/>
      <c r="X1183"/>
      <c r="Y1183"/>
    </row>
    <row r="1184" spans="2:25">
      <c r="B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R1184"/>
      <c r="S1184"/>
      <c r="T1184"/>
      <c r="U1184"/>
      <c r="V1184"/>
      <c r="W1184"/>
      <c r="X1184"/>
      <c r="Y1184"/>
    </row>
    <row r="1185" spans="2:25">
      <c r="B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R1185"/>
      <c r="S1185"/>
      <c r="T1185"/>
      <c r="U1185"/>
      <c r="V1185"/>
      <c r="W1185"/>
      <c r="X1185"/>
      <c r="Y1185"/>
    </row>
    <row r="1186" spans="2:25">
      <c r="B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R1186"/>
      <c r="S1186"/>
      <c r="T1186"/>
      <c r="U1186"/>
      <c r="V1186"/>
      <c r="W1186"/>
      <c r="X1186"/>
      <c r="Y1186"/>
    </row>
    <row r="1187" spans="2:25">
      <c r="B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R1187"/>
      <c r="S1187"/>
      <c r="T1187"/>
      <c r="U1187"/>
      <c r="V1187"/>
      <c r="W1187"/>
      <c r="X1187"/>
      <c r="Y1187"/>
    </row>
    <row r="1188" spans="2:25">
      <c r="B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R1188"/>
      <c r="S1188"/>
      <c r="T1188"/>
      <c r="U1188"/>
      <c r="V1188"/>
      <c r="W1188"/>
      <c r="X1188"/>
      <c r="Y1188"/>
    </row>
    <row r="1189" spans="2:25">
      <c r="B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R1189"/>
      <c r="S1189"/>
      <c r="T1189"/>
      <c r="U1189"/>
      <c r="V1189"/>
      <c r="W1189"/>
      <c r="X1189"/>
      <c r="Y1189"/>
    </row>
    <row r="1190" spans="2:25">
      <c r="B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R1190"/>
      <c r="S1190"/>
      <c r="T1190"/>
      <c r="U1190"/>
      <c r="V1190"/>
      <c r="W1190"/>
      <c r="X1190"/>
      <c r="Y1190"/>
    </row>
    <row r="1191" spans="2:25">
      <c r="B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R1191"/>
      <c r="S1191"/>
      <c r="T1191"/>
      <c r="U1191"/>
      <c r="V1191"/>
      <c r="W1191"/>
      <c r="X1191"/>
      <c r="Y1191"/>
    </row>
    <row r="1192" spans="2:25">
      <c r="B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R1192"/>
      <c r="S1192"/>
      <c r="T1192"/>
      <c r="U1192"/>
      <c r="V1192"/>
      <c r="W1192"/>
      <c r="X1192"/>
      <c r="Y1192"/>
    </row>
    <row r="1193" spans="2:25">
      <c r="B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R1193"/>
      <c r="S1193"/>
      <c r="T1193"/>
      <c r="U1193"/>
      <c r="V1193"/>
      <c r="W1193"/>
      <c r="X1193"/>
      <c r="Y1193"/>
    </row>
    <row r="1194" spans="2:25">
      <c r="B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R1194"/>
      <c r="S1194"/>
      <c r="T1194"/>
      <c r="U1194"/>
      <c r="V1194"/>
      <c r="W1194"/>
      <c r="X1194"/>
      <c r="Y1194"/>
    </row>
    <row r="1195" spans="2:25">
      <c r="B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R1195"/>
      <c r="S1195"/>
      <c r="T1195"/>
      <c r="U1195"/>
      <c r="V1195"/>
      <c r="W1195"/>
      <c r="X1195"/>
      <c r="Y1195"/>
    </row>
    <row r="1196" spans="2:25">
      <c r="B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R1196"/>
      <c r="S1196"/>
      <c r="T1196"/>
      <c r="U1196"/>
      <c r="V1196"/>
      <c r="W1196"/>
      <c r="X1196"/>
      <c r="Y1196"/>
    </row>
    <row r="1197" spans="2:25">
      <c r="B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R1197"/>
      <c r="S1197"/>
      <c r="T1197"/>
      <c r="U1197"/>
      <c r="V1197"/>
      <c r="W1197"/>
      <c r="X1197"/>
      <c r="Y1197"/>
    </row>
    <row r="1198" spans="2:25">
      <c r="B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R1198"/>
      <c r="S1198"/>
      <c r="T1198"/>
      <c r="U1198"/>
      <c r="V1198"/>
      <c r="W1198"/>
      <c r="X1198"/>
      <c r="Y1198"/>
    </row>
    <row r="1199" spans="2:25">
      <c r="B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R1199"/>
      <c r="S1199"/>
      <c r="T1199"/>
      <c r="U1199"/>
      <c r="V1199"/>
      <c r="W1199"/>
      <c r="X1199"/>
      <c r="Y1199"/>
    </row>
    <row r="1200" spans="2:25">
      <c r="B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R1200"/>
      <c r="S1200"/>
      <c r="T1200"/>
      <c r="U1200"/>
      <c r="V1200"/>
      <c r="W1200"/>
      <c r="X1200"/>
      <c r="Y1200"/>
    </row>
    <row r="1201" spans="2:25">
      <c r="B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R1201"/>
      <c r="S1201"/>
      <c r="T1201"/>
      <c r="U1201"/>
      <c r="V1201"/>
      <c r="W1201"/>
      <c r="X1201"/>
      <c r="Y1201"/>
    </row>
    <row r="1202" spans="2:25">
      <c r="B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R1202"/>
      <c r="S1202"/>
      <c r="T1202"/>
      <c r="U1202"/>
      <c r="V1202"/>
      <c r="W1202"/>
      <c r="X1202"/>
      <c r="Y1202"/>
    </row>
    <row r="1203" spans="2:25">
      <c r="B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R1203"/>
      <c r="S1203"/>
      <c r="T1203"/>
      <c r="U1203"/>
      <c r="V1203"/>
      <c r="W1203"/>
      <c r="X1203"/>
      <c r="Y1203"/>
    </row>
    <row r="1204" spans="2:25">
      <c r="B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R1204"/>
      <c r="S1204"/>
      <c r="T1204"/>
      <c r="U1204"/>
      <c r="V1204"/>
      <c r="W1204"/>
      <c r="X1204"/>
      <c r="Y1204"/>
    </row>
    <row r="1205" spans="2:25">
      <c r="B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R1205"/>
      <c r="S1205"/>
      <c r="T1205"/>
      <c r="U1205"/>
      <c r="V1205"/>
      <c r="W1205"/>
      <c r="X1205"/>
      <c r="Y1205"/>
    </row>
    <row r="1206" spans="2:25">
      <c r="B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R1206"/>
      <c r="S1206"/>
      <c r="T1206"/>
      <c r="U1206"/>
      <c r="V1206"/>
      <c r="W1206"/>
      <c r="X1206"/>
      <c r="Y1206"/>
    </row>
    <row r="1207" spans="2:25">
      <c r="B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R1207"/>
      <c r="S1207"/>
      <c r="T1207"/>
      <c r="U1207"/>
      <c r="V1207"/>
      <c r="W1207"/>
      <c r="X1207"/>
      <c r="Y1207"/>
    </row>
    <row r="1208" spans="2:25">
      <c r="B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R1208"/>
      <c r="S1208"/>
      <c r="T1208"/>
      <c r="U1208"/>
      <c r="V1208"/>
      <c r="W1208"/>
      <c r="X1208"/>
      <c r="Y1208"/>
    </row>
    <row r="1209" spans="2:25">
      <c r="B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R1209"/>
      <c r="S1209"/>
      <c r="T1209"/>
      <c r="U1209"/>
      <c r="V1209"/>
      <c r="W1209"/>
      <c r="X1209"/>
      <c r="Y1209"/>
    </row>
    <row r="1210" spans="2:25">
      <c r="B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R1210"/>
      <c r="S1210"/>
      <c r="T1210"/>
      <c r="U1210"/>
      <c r="V1210"/>
      <c r="W1210"/>
      <c r="X1210"/>
      <c r="Y1210"/>
    </row>
    <row r="1211" spans="2:25">
      <c r="B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R1211"/>
      <c r="S1211"/>
      <c r="T1211"/>
      <c r="U1211"/>
      <c r="V1211"/>
      <c r="W1211"/>
      <c r="X1211"/>
      <c r="Y1211"/>
    </row>
    <row r="1212" spans="2:25">
      <c r="B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R1212"/>
      <c r="S1212"/>
      <c r="T1212"/>
      <c r="U1212"/>
      <c r="V1212"/>
      <c r="W1212"/>
      <c r="X1212"/>
      <c r="Y1212"/>
    </row>
    <row r="1213" spans="2:25">
      <c r="B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R1213"/>
      <c r="S1213"/>
      <c r="T1213"/>
      <c r="U1213"/>
      <c r="V1213"/>
      <c r="W1213"/>
      <c r="X1213"/>
      <c r="Y1213"/>
    </row>
    <row r="1214" spans="2:25">
      <c r="B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R1214"/>
      <c r="S1214"/>
      <c r="T1214"/>
      <c r="U1214"/>
      <c r="V1214"/>
      <c r="W1214"/>
      <c r="X1214"/>
      <c r="Y1214"/>
    </row>
    <row r="1215" spans="2:25">
      <c r="B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R1215"/>
      <c r="S1215"/>
      <c r="T1215"/>
      <c r="U1215"/>
      <c r="V1215"/>
      <c r="W1215"/>
      <c r="X1215"/>
      <c r="Y1215"/>
    </row>
    <row r="1216" spans="2:25">
      <c r="B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R1216"/>
      <c r="S1216"/>
      <c r="T1216"/>
      <c r="U1216"/>
      <c r="V1216"/>
      <c r="W1216"/>
      <c r="X1216"/>
      <c r="Y1216"/>
    </row>
    <row r="1217" spans="2:25">
      <c r="B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R1217"/>
      <c r="S1217"/>
      <c r="T1217"/>
      <c r="U1217"/>
      <c r="V1217"/>
      <c r="W1217"/>
      <c r="X1217"/>
      <c r="Y1217"/>
    </row>
    <row r="1218" spans="2:25">
      <c r="B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R1218"/>
      <c r="S1218"/>
      <c r="T1218"/>
      <c r="U1218"/>
      <c r="V1218"/>
      <c r="W1218"/>
      <c r="X1218"/>
      <c r="Y1218"/>
    </row>
    <row r="1219" spans="2:25">
      <c r="B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R1219"/>
      <c r="S1219"/>
      <c r="T1219"/>
      <c r="U1219"/>
      <c r="V1219"/>
      <c r="W1219"/>
      <c r="X1219"/>
      <c r="Y1219"/>
    </row>
    <row r="1220" spans="2:25">
      <c r="B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R1220"/>
      <c r="S1220"/>
      <c r="T1220"/>
      <c r="U1220"/>
      <c r="V1220"/>
      <c r="W1220"/>
      <c r="X1220"/>
      <c r="Y1220"/>
    </row>
    <row r="1221" spans="2:25">
      <c r="B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R1221"/>
      <c r="S1221"/>
      <c r="T1221"/>
      <c r="U1221"/>
      <c r="V1221"/>
      <c r="W1221"/>
      <c r="X1221"/>
      <c r="Y1221"/>
    </row>
    <row r="1222" spans="2:25">
      <c r="B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R1222"/>
      <c r="S1222"/>
      <c r="T1222"/>
      <c r="U1222"/>
      <c r="V1222"/>
      <c r="W1222"/>
      <c r="X1222"/>
      <c r="Y1222"/>
    </row>
    <row r="1223" spans="2:25">
      <c r="B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R1223"/>
      <c r="S1223"/>
      <c r="T1223"/>
      <c r="U1223"/>
      <c r="V1223"/>
      <c r="W1223"/>
      <c r="X1223"/>
      <c r="Y1223"/>
    </row>
    <row r="1224" spans="2:25">
      <c r="B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R1224"/>
      <c r="S1224"/>
      <c r="T1224"/>
      <c r="U1224"/>
      <c r="V1224"/>
      <c r="W1224"/>
      <c r="X1224"/>
      <c r="Y1224"/>
    </row>
    <row r="1225" spans="2:25">
      <c r="B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R1225"/>
      <c r="S1225"/>
      <c r="T1225"/>
      <c r="U1225"/>
      <c r="V1225"/>
      <c r="W1225"/>
      <c r="X1225"/>
      <c r="Y1225"/>
    </row>
    <row r="1226" spans="2:25">
      <c r="B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R1226"/>
      <c r="S1226"/>
      <c r="T1226"/>
      <c r="U1226"/>
      <c r="V1226"/>
      <c r="W1226"/>
      <c r="X1226"/>
      <c r="Y1226"/>
    </row>
    <row r="1227" spans="2:25">
      <c r="B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R1227"/>
      <c r="S1227"/>
      <c r="T1227"/>
      <c r="U1227"/>
      <c r="V1227"/>
      <c r="W1227"/>
      <c r="X1227"/>
      <c r="Y1227"/>
    </row>
    <row r="1228" spans="2:25">
      <c r="B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R1228"/>
      <c r="S1228"/>
      <c r="T1228"/>
      <c r="U1228"/>
      <c r="V1228"/>
      <c r="W1228"/>
      <c r="X1228"/>
      <c r="Y1228"/>
    </row>
    <row r="1229" spans="2:25">
      <c r="B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R1229"/>
      <c r="S1229"/>
      <c r="T1229"/>
      <c r="U1229"/>
      <c r="V1229"/>
      <c r="W1229"/>
      <c r="X1229"/>
      <c r="Y1229"/>
    </row>
    <row r="1230" spans="2:25">
      <c r="B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R1230"/>
      <c r="S1230"/>
      <c r="T1230"/>
      <c r="U1230"/>
      <c r="V1230"/>
      <c r="W1230"/>
      <c r="X1230"/>
      <c r="Y1230"/>
    </row>
    <row r="1231" spans="2:25">
      <c r="B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R1231"/>
      <c r="S1231"/>
      <c r="T1231"/>
      <c r="U1231"/>
      <c r="V1231"/>
      <c r="W1231"/>
      <c r="X1231"/>
      <c r="Y1231"/>
    </row>
    <row r="1232" spans="2:25">
      <c r="B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R1232"/>
      <c r="S1232"/>
      <c r="T1232"/>
      <c r="U1232"/>
      <c r="V1232"/>
      <c r="W1232"/>
      <c r="X1232"/>
      <c r="Y1232"/>
    </row>
    <row r="1233" spans="2:25">
      <c r="B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R1233"/>
      <c r="S1233"/>
      <c r="T1233"/>
      <c r="U1233"/>
      <c r="V1233"/>
      <c r="W1233"/>
      <c r="X1233"/>
      <c r="Y1233"/>
    </row>
    <row r="1234" spans="2:25">
      <c r="B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R1234"/>
      <c r="S1234"/>
      <c r="T1234"/>
      <c r="U1234"/>
      <c r="V1234"/>
      <c r="W1234"/>
      <c r="X1234"/>
      <c r="Y1234"/>
    </row>
    <row r="1235" spans="2:25">
      <c r="B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R1235"/>
      <c r="S1235"/>
      <c r="T1235"/>
      <c r="U1235"/>
      <c r="V1235"/>
      <c r="W1235"/>
      <c r="X1235"/>
      <c r="Y1235"/>
    </row>
    <row r="1236" spans="2:25">
      <c r="B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R1236"/>
      <c r="S1236"/>
      <c r="T1236"/>
      <c r="U1236"/>
      <c r="V1236"/>
      <c r="W1236"/>
      <c r="X1236"/>
      <c r="Y1236"/>
    </row>
    <row r="1237" spans="2:25">
      <c r="B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R1237"/>
      <c r="S1237"/>
      <c r="T1237"/>
      <c r="U1237"/>
      <c r="V1237"/>
      <c r="W1237"/>
      <c r="X1237"/>
      <c r="Y1237"/>
    </row>
    <row r="1238" spans="2:25">
      <c r="B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R1238"/>
      <c r="S1238"/>
      <c r="T1238"/>
      <c r="U1238"/>
      <c r="V1238"/>
      <c r="W1238"/>
      <c r="X1238"/>
      <c r="Y1238"/>
    </row>
    <row r="1239" spans="2:25">
      <c r="B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R1239"/>
      <c r="S1239"/>
      <c r="T1239"/>
      <c r="U1239"/>
      <c r="V1239"/>
      <c r="W1239"/>
      <c r="X1239"/>
      <c r="Y1239"/>
    </row>
    <row r="1240" spans="2:25">
      <c r="B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R1240"/>
      <c r="S1240"/>
      <c r="T1240"/>
      <c r="U1240"/>
      <c r="V1240"/>
      <c r="W1240"/>
      <c r="X1240"/>
      <c r="Y1240"/>
    </row>
    <row r="1241" spans="2:25">
      <c r="B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R1241"/>
      <c r="S1241"/>
      <c r="T1241"/>
      <c r="U1241"/>
      <c r="V1241"/>
      <c r="W1241"/>
      <c r="X1241"/>
      <c r="Y1241"/>
    </row>
    <row r="1242" spans="2:25">
      <c r="B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R1242"/>
      <c r="S1242"/>
      <c r="T1242"/>
      <c r="U1242"/>
      <c r="V1242"/>
      <c r="W1242"/>
      <c r="X1242"/>
      <c r="Y1242"/>
    </row>
    <row r="1243" spans="2:25">
      <c r="B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R1243"/>
      <c r="S1243"/>
      <c r="T1243"/>
      <c r="U1243"/>
      <c r="V1243"/>
      <c r="W1243"/>
      <c r="X1243"/>
      <c r="Y1243"/>
    </row>
    <row r="1244" spans="2:25">
      <c r="B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R1244"/>
      <c r="S1244"/>
      <c r="T1244"/>
      <c r="U1244"/>
      <c r="V1244"/>
      <c r="W1244"/>
      <c r="X1244"/>
      <c r="Y1244"/>
    </row>
    <row r="1245" spans="2:25">
      <c r="B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R1245"/>
      <c r="S1245"/>
      <c r="T1245"/>
      <c r="U1245"/>
      <c r="V1245"/>
      <c r="W1245"/>
      <c r="X1245"/>
      <c r="Y1245"/>
    </row>
    <row r="1246" spans="2:25">
      <c r="B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R1246"/>
      <c r="S1246"/>
      <c r="T1246"/>
      <c r="U1246"/>
      <c r="V1246"/>
      <c r="W1246"/>
      <c r="X1246"/>
      <c r="Y1246"/>
    </row>
    <row r="1247" spans="2:25">
      <c r="B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R1247"/>
      <c r="S1247"/>
      <c r="T1247"/>
      <c r="U1247"/>
      <c r="V1247"/>
      <c r="W1247"/>
      <c r="X1247"/>
      <c r="Y1247"/>
    </row>
    <row r="1248" spans="2:25">
      <c r="B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R1248"/>
      <c r="S1248"/>
      <c r="T1248"/>
      <c r="U1248"/>
      <c r="V1248"/>
      <c r="W1248"/>
      <c r="X1248"/>
      <c r="Y1248"/>
    </row>
    <row r="1249" spans="2:25">
      <c r="B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R1249"/>
      <c r="S1249"/>
      <c r="T1249"/>
      <c r="U1249"/>
      <c r="V1249"/>
      <c r="W1249"/>
      <c r="X1249"/>
      <c r="Y1249"/>
    </row>
    <row r="1250" spans="2:25">
      <c r="B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R1250"/>
      <c r="S1250"/>
      <c r="T1250"/>
      <c r="U1250"/>
      <c r="V1250"/>
      <c r="W1250"/>
      <c r="X1250"/>
      <c r="Y1250"/>
    </row>
    <row r="1251" spans="2:25">
      <c r="B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R1251"/>
      <c r="S1251"/>
      <c r="T1251"/>
      <c r="U1251"/>
      <c r="V1251"/>
      <c r="W1251"/>
      <c r="X1251"/>
      <c r="Y1251"/>
    </row>
    <row r="1252" spans="2:25">
      <c r="B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R1252"/>
      <c r="S1252"/>
      <c r="T1252"/>
      <c r="U1252"/>
      <c r="V1252"/>
      <c r="W1252"/>
      <c r="X1252"/>
      <c r="Y1252"/>
    </row>
    <row r="1253" spans="2:25">
      <c r="B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R1253"/>
      <c r="S1253"/>
      <c r="T1253"/>
      <c r="U1253"/>
      <c r="V1253"/>
      <c r="W1253"/>
      <c r="X1253"/>
      <c r="Y1253"/>
    </row>
    <row r="1254" spans="2:25">
      <c r="B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R1254"/>
      <c r="S1254"/>
      <c r="T1254"/>
      <c r="U1254"/>
      <c r="V1254"/>
      <c r="W1254"/>
      <c r="X1254"/>
      <c r="Y1254"/>
    </row>
    <row r="1255" spans="2:25">
      <c r="B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R1255"/>
      <c r="S1255"/>
      <c r="T1255"/>
      <c r="U1255"/>
      <c r="V1255"/>
      <c r="W1255"/>
      <c r="X1255"/>
      <c r="Y1255"/>
    </row>
    <row r="1256" spans="2:25">
      <c r="B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R1256"/>
      <c r="S1256"/>
      <c r="T1256"/>
      <c r="U1256"/>
      <c r="V1256"/>
      <c r="W1256"/>
      <c r="X1256"/>
      <c r="Y1256"/>
    </row>
    <row r="1257" spans="2:25">
      <c r="B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R1257"/>
      <c r="S1257"/>
      <c r="T1257"/>
      <c r="U1257"/>
      <c r="V1257"/>
      <c r="W1257"/>
      <c r="X1257"/>
      <c r="Y1257"/>
    </row>
    <row r="1258" spans="2:25">
      <c r="B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R1258"/>
      <c r="S1258"/>
      <c r="T1258"/>
      <c r="U1258"/>
      <c r="V1258"/>
      <c r="W1258"/>
      <c r="X1258"/>
      <c r="Y1258"/>
    </row>
    <row r="1259" spans="2:25">
      <c r="B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R1259"/>
      <c r="S1259"/>
      <c r="T1259"/>
      <c r="U1259"/>
      <c r="V1259"/>
      <c r="W1259"/>
      <c r="X1259"/>
      <c r="Y1259"/>
    </row>
    <row r="1260" spans="2:25">
      <c r="B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R1260"/>
      <c r="S1260"/>
      <c r="T1260"/>
      <c r="U1260"/>
      <c r="V1260"/>
      <c r="W1260"/>
      <c r="X1260"/>
      <c r="Y1260"/>
    </row>
    <row r="1261" spans="2:25">
      <c r="B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R1261"/>
      <c r="S1261"/>
      <c r="T1261"/>
      <c r="U1261"/>
      <c r="V1261"/>
      <c r="W1261"/>
      <c r="X1261"/>
      <c r="Y1261"/>
    </row>
    <row r="1262" spans="2:25">
      <c r="B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R1262"/>
      <c r="S1262"/>
      <c r="T1262"/>
      <c r="U1262"/>
      <c r="V1262"/>
      <c r="W1262"/>
      <c r="X1262"/>
      <c r="Y1262"/>
    </row>
    <row r="1263" spans="2:25">
      <c r="B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R1263"/>
      <c r="S1263"/>
      <c r="T1263"/>
      <c r="U1263"/>
      <c r="V1263"/>
      <c r="W1263"/>
      <c r="X1263"/>
      <c r="Y1263"/>
    </row>
    <row r="1264" spans="2:25">
      <c r="B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R1264"/>
      <c r="S1264"/>
      <c r="T1264"/>
      <c r="U1264"/>
      <c r="V1264"/>
      <c r="W1264"/>
      <c r="X1264"/>
      <c r="Y1264"/>
    </row>
    <row r="1265" spans="2:25">
      <c r="B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R1265"/>
      <c r="S1265"/>
      <c r="T1265"/>
      <c r="U1265"/>
      <c r="V1265"/>
      <c r="W1265"/>
      <c r="X1265"/>
      <c r="Y1265"/>
    </row>
    <row r="1266" spans="2:25">
      <c r="B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R1266"/>
      <c r="S1266"/>
      <c r="T1266"/>
      <c r="U1266"/>
      <c r="V1266"/>
      <c r="W1266"/>
      <c r="X1266"/>
      <c r="Y1266"/>
    </row>
    <row r="1267" spans="2:25">
      <c r="B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R1267"/>
      <c r="S1267"/>
      <c r="T1267"/>
      <c r="U1267"/>
      <c r="V1267"/>
      <c r="W1267"/>
      <c r="X1267"/>
      <c r="Y1267"/>
    </row>
    <row r="1268" spans="2:25">
      <c r="B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R1268"/>
      <c r="S1268"/>
      <c r="T1268"/>
      <c r="U1268"/>
      <c r="V1268"/>
      <c r="W1268"/>
      <c r="X1268"/>
      <c r="Y1268"/>
    </row>
    <row r="1269" spans="2:25">
      <c r="B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R1269"/>
      <c r="S1269"/>
      <c r="T1269"/>
      <c r="U1269"/>
      <c r="V1269"/>
      <c r="W1269"/>
      <c r="X1269"/>
      <c r="Y1269"/>
    </row>
    <row r="1270" spans="2:25">
      <c r="B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R1270"/>
      <c r="S1270"/>
      <c r="T1270"/>
      <c r="U1270"/>
      <c r="V1270"/>
      <c r="W1270"/>
      <c r="X1270"/>
      <c r="Y1270"/>
    </row>
    <row r="1271" spans="2:25">
      <c r="B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R1271"/>
      <c r="S1271"/>
      <c r="T1271"/>
      <c r="U1271"/>
      <c r="V1271"/>
      <c r="W1271"/>
      <c r="X1271"/>
      <c r="Y1271"/>
    </row>
    <row r="1272" spans="2:25">
      <c r="B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R1272"/>
      <c r="S1272"/>
      <c r="T1272"/>
      <c r="U1272"/>
      <c r="V1272"/>
      <c r="W1272"/>
      <c r="X1272"/>
      <c r="Y1272"/>
    </row>
    <row r="1273" spans="2:25">
      <c r="B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R1273"/>
      <c r="S1273"/>
      <c r="T1273"/>
      <c r="U1273"/>
      <c r="V1273"/>
      <c r="W1273"/>
      <c r="X1273"/>
      <c r="Y1273"/>
    </row>
    <row r="1274" spans="2:25">
      <c r="B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R1274"/>
      <c r="S1274"/>
      <c r="T1274"/>
      <c r="U1274"/>
      <c r="V1274"/>
      <c r="W1274"/>
      <c r="X1274"/>
      <c r="Y1274"/>
    </row>
    <row r="1275" spans="2:25">
      <c r="B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R1275"/>
      <c r="S1275"/>
      <c r="T1275"/>
      <c r="U1275"/>
      <c r="V1275"/>
      <c r="W1275"/>
      <c r="X1275"/>
      <c r="Y1275"/>
    </row>
    <row r="1276" spans="2:25">
      <c r="B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R1276"/>
      <c r="S1276"/>
      <c r="T1276"/>
      <c r="U1276"/>
      <c r="V1276"/>
      <c r="W1276"/>
      <c r="X1276"/>
      <c r="Y1276"/>
    </row>
    <row r="1277" spans="2:25">
      <c r="B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R1277"/>
      <c r="S1277"/>
      <c r="T1277"/>
      <c r="U1277"/>
      <c r="V1277"/>
      <c r="W1277"/>
      <c r="X1277"/>
      <c r="Y1277"/>
    </row>
    <row r="1278" spans="2:25">
      <c r="B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R1278"/>
      <c r="S1278"/>
      <c r="T1278"/>
      <c r="U1278"/>
      <c r="V1278"/>
      <c r="W1278"/>
      <c r="X1278"/>
      <c r="Y1278"/>
    </row>
    <row r="1279" spans="2:25">
      <c r="B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R1279"/>
      <c r="S1279"/>
      <c r="T1279"/>
      <c r="U1279"/>
      <c r="V1279"/>
      <c r="W1279"/>
      <c r="X1279"/>
      <c r="Y1279"/>
    </row>
    <row r="1280" spans="2:25">
      <c r="B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R1280"/>
      <c r="S1280"/>
      <c r="T1280"/>
      <c r="U1280"/>
      <c r="V1280"/>
      <c r="W1280"/>
      <c r="X1280"/>
      <c r="Y1280"/>
    </row>
    <row r="1281" spans="2:25">
      <c r="B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R1281"/>
      <c r="S1281"/>
      <c r="T1281"/>
      <c r="U1281"/>
      <c r="V1281"/>
      <c r="W1281"/>
      <c r="X1281"/>
      <c r="Y1281"/>
    </row>
    <row r="1282" spans="2:25">
      <c r="B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R1282"/>
      <c r="S1282"/>
      <c r="T1282"/>
      <c r="U1282"/>
      <c r="V1282"/>
      <c r="W1282"/>
      <c r="X1282"/>
      <c r="Y1282"/>
    </row>
    <row r="1283" spans="2:25">
      <c r="B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R1283"/>
      <c r="S1283"/>
      <c r="T1283"/>
      <c r="U1283"/>
      <c r="V1283"/>
      <c r="W1283"/>
      <c r="X1283"/>
      <c r="Y1283"/>
    </row>
    <row r="1284" spans="2:25">
      <c r="B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R1284"/>
      <c r="S1284"/>
      <c r="T1284"/>
      <c r="U1284"/>
      <c r="V1284"/>
      <c r="W1284"/>
      <c r="X1284"/>
      <c r="Y1284"/>
    </row>
    <row r="1285" spans="2:25">
      <c r="B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R1285"/>
      <c r="S1285"/>
      <c r="T1285"/>
      <c r="U1285"/>
      <c r="V1285"/>
      <c r="W1285"/>
      <c r="X1285"/>
      <c r="Y1285"/>
    </row>
    <row r="1286" spans="2:25">
      <c r="B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R1286"/>
      <c r="S1286"/>
      <c r="T1286"/>
      <c r="U1286"/>
      <c r="V1286"/>
      <c r="W1286"/>
      <c r="X1286"/>
      <c r="Y1286"/>
    </row>
    <row r="1287" spans="2:25">
      <c r="B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R1287"/>
      <c r="S1287"/>
      <c r="T1287"/>
      <c r="U1287"/>
      <c r="V1287"/>
      <c r="W1287"/>
      <c r="X1287"/>
      <c r="Y1287"/>
    </row>
    <row r="1288" spans="2:25">
      <c r="B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R1288"/>
      <c r="S1288"/>
      <c r="T1288"/>
      <c r="U1288"/>
      <c r="V1288"/>
      <c r="W1288"/>
      <c r="X1288"/>
      <c r="Y1288"/>
    </row>
    <row r="1289" spans="2:25">
      <c r="B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R1289"/>
      <c r="S1289"/>
      <c r="T1289"/>
      <c r="U1289"/>
      <c r="V1289"/>
      <c r="W1289"/>
      <c r="X1289"/>
      <c r="Y1289"/>
    </row>
    <row r="1290" spans="2:25">
      <c r="B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R1290"/>
      <c r="S1290"/>
      <c r="T1290"/>
      <c r="U1290"/>
      <c r="V1290"/>
      <c r="W1290"/>
      <c r="X1290"/>
      <c r="Y1290"/>
    </row>
    <row r="1291" spans="2:25">
      <c r="B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R1291"/>
      <c r="S1291"/>
      <c r="T1291"/>
      <c r="U1291"/>
      <c r="V1291"/>
      <c r="W1291"/>
      <c r="X1291"/>
      <c r="Y1291"/>
    </row>
    <row r="1292" spans="2:25">
      <c r="B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R1292"/>
      <c r="S1292"/>
      <c r="T1292"/>
      <c r="U1292"/>
      <c r="V1292"/>
      <c r="W1292"/>
      <c r="X1292"/>
      <c r="Y1292"/>
    </row>
    <row r="1293" spans="2:25">
      <c r="B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R1293"/>
      <c r="S1293"/>
      <c r="T1293"/>
      <c r="U1293"/>
      <c r="V1293"/>
      <c r="W1293"/>
      <c r="X1293"/>
      <c r="Y1293"/>
    </row>
    <row r="1294" spans="2:25">
      <c r="B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R1294"/>
      <c r="S1294"/>
      <c r="T1294"/>
      <c r="U1294"/>
      <c r="V1294"/>
      <c r="W1294"/>
      <c r="X1294"/>
      <c r="Y1294"/>
    </row>
    <row r="1295" spans="2:25">
      <c r="B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R1295"/>
      <c r="S1295"/>
      <c r="T1295"/>
      <c r="U1295"/>
      <c r="V1295"/>
      <c r="W1295"/>
      <c r="X1295"/>
      <c r="Y1295"/>
    </row>
    <row r="1296" spans="2:25">
      <c r="B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R1296"/>
      <c r="S1296"/>
      <c r="T1296"/>
      <c r="U1296"/>
      <c r="V1296"/>
      <c r="W1296"/>
      <c r="X1296"/>
      <c r="Y1296"/>
    </row>
    <row r="1297" spans="2:25">
      <c r="B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R1297"/>
      <c r="S1297"/>
      <c r="T1297"/>
      <c r="U1297"/>
      <c r="V1297"/>
      <c r="W1297"/>
      <c r="X1297"/>
      <c r="Y1297"/>
    </row>
    <row r="1298" spans="2:25">
      <c r="B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R1298"/>
      <c r="S1298"/>
      <c r="T1298"/>
      <c r="U1298"/>
      <c r="V1298"/>
      <c r="W1298"/>
      <c r="X1298"/>
      <c r="Y1298"/>
    </row>
    <row r="1299" spans="2:25">
      <c r="B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R1299"/>
      <c r="S1299"/>
      <c r="T1299"/>
      <c r="U1299"/>
      <c r="V1299"/>
      <c r="W1299"/>
      <c r="X1299"/>
      <c r="Y1299"/>
    </row>
    <row r="1300" spans="2:25">
      <c r="B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R1300"/>
      <c r="S1300"/>
      <c r="T1300"/>
      <c r="U1300"/>
      <c r="V1300"/>
      <c r="W1300"/>
      <c r="X1300"/>
      <c r="Y1300"/>
    </row>
    <row r="1301" spans="2:25">
      <c r="B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R1301"/>
      <c r="S1301"/>
      <c r="T1301"/>
      <c r="U1301"/>
      <c r="V1301"/>
      <c r="W1301"/>
      <c r="X1301"/>
      <c r="Y1301"/>
    </row>
    <row r="1302" spans="2:25">
      <c r="B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R1302"/>
      <c r="S1302"/>
      <c r="T1302"/>
      <c r="U1302"/>
      <c r="V1302"/>
      <c r="W1302"/>
      <c r="X1302"/>
      <c r="Y1302"/>
    </row>
    <row r="1303" spans="2:25">
      <c r="B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R1303"/>
      <c r="S1303"/>
      <c r="T1303"/>
      <c r="U1303"/>
      <c r="V1303"/>
      <c r="W1303"/>
      <c r="X1303"/>
      <c r="Y1303"/>
    </row>
    <row r="1304" spans="2:25">
      <c r="B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R1304"/>
      <c r="S1304"/>
      <c r="T1304"/>
      <c r="U1304"/>
      <c r="V1304"/>
      <c r="W1304"/>
      <c r="X1304"/>
      <c r="Y1304"/>
    </row>
    <row r="1305" spans="2:25">
      <c r="B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R1305"/>
      <c r="S1305"/>
      <c r="T1305"/>
      <c r="U1305"/>
      <c r="V1305"/>
      <c r="W1305"/>
      <c r="X1305"/>
      <c r="Y1305"/>
    </row>
    <row r="1306" spans="2:25">
      <c r="B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R1306"/>
      <c r="S1306"/>
      <c r="T1306"/>
      <c r="U1306"/>
      <c r="V1306"/>
      <c r="W1306"/>
      <c r="X1306"/>
      <c r="Y1306"/>
    </row>
    <row r="1307" spans="2:25">
      <c r="B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R1307"/>
      <c r="S1307"/>
      <c r="T1307"/>
      <c r="U1307"/>
      <c r="V1307"/>
      <c r="W1307"/>
      <c r="X1307"/>
      <c r="Y1307"/>
    </row>
    <row r="1308" spans="2:25">
      <c r="B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R1308"/>
      <c r="S1308"/>
      <c r="T1308"/>
      <c r="U1308"/>
      <c r="V1308"/>
      <c r="W1308"/>
      <c r="X1308"/>
      <c r="Y1308"/>
    </row>
    <row r="1309" spans="2:25">
      <c r="B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R1309"/>
      <c r="S1309"/>
      <c r="T1309"/>
      <c r="U1309"/>
      <c r="V1309"/>
      <c r="W1309"/>
      <c r="X1309"/>
      <c r="Y1309"/>
    </row>
    <row r="1310" spans="2:25">
      <c r="B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R1310"/>
      <c r="S1310"/>
      <c r="T1310"/>
      <c r="U1310"/>
      <c r="V1310"/>
      <c r="W1310"/>
      <c r="X1310"/>
      <c r="Y1310"/>
    </row>
    <row r="1311" spans="2:25">
      <c r="B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R1311"/>
      <c r="S1311"/>
      <c r="T1311"/>
      <c r="U1311"/>
      <c r="V1311"/>
      <c r="W1311"/>
      <c r="X1311"/>
      <c r="Y1311"/>
    </row>
    <row r="1312" spans="2:25">
      <c r="B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R1312"/>
      <c r="S1312"/>
      <c r="T1312"/>
      <c r="U1312"/>
      <c r="V1312"/>
      <c r="W1312"/>
      <c r="X1312"/>
      <c r="Y1312"/>
    </row>
    <row r="1313" spans="2:25">
      <c r="B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R1313"/>
      <c r="S1313"/>
      <c r="T1313"/>
      <c r="U1313"/>
      <c r="V1313"/>
      <c r="W1313"/>
      <c r="X1313"/>
      <c r="Y1313"/>
    </row>
    <row r="1314" spans="2:25">
      <c r="B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R1314"/>
      <c r="S1314"/>
      <c r="T1314"/>
      <c r="U1314"/>
      <c r="V1314"/>
      <c r="W1314"/>
      <c r="X1314"/>
      <c r="Y1314"/>
    </row>
    <row r="1315" spans="2:25">
      <c r="B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R1315"/>
      <c r="S1315"/>
      <c r="T1315"/>
      <c r="U1315"/>
      <c r="V1315"/>
      <c r="W1315"/>
      <c r="X1315"/>
      <c r="Y1315"/>
    </row>
    <row r="1316" spans="2:25">
      <c r="B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R1316"/>
      <c r="S1316"/>
      <c r="T1316"/>
      <c r="U1316"/>
      <c r="V1316"/>
      <c r="W1316"/>
      <c r="X1316"/>
      <c r="Y1316"/>
    </row>
    <row r="1317" spans="2:25">
      <c r="B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R1317"/>
      <c r="S1317"/>
      <c r="T1317"/>
      <c r="U1317"/>
      <c r="V1317"/>
      <c r="W1317"/>
      <c r="X1317"/>
      <c r="Y1317"/>
    </row>
    <row r="1318" spans="2:25">
      <c r="B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R1318"/>
      <c r="S1318"/>
      <c r="T1318"/>
      <c r="U1318"/>
      <c r="V1318"/>
      <c r="W1318"/>
      <c r="X1318"/>
      <c r="Y1318"/>
    </row>
    <row r="1319" spans="2:25">
      <c r="B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R1319"/>
      <c r="S1319"/>
      <c r="T1319"/>
      <c r="U1319"/>
      <c r="V1319"/>
      <c r="W1319"/>
      <c r="X1319"/>
      <c r="Y1319"/>
    </row>
    <row r="1320" spans="2:25">
      <c r="B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R1320"/>
      <c r="S1320"/>
      <c r="T1320"/>
      <c r="U1320"/>
      <c r="V1320"/>
      <c r="W1320"/>
      <c r="X1320"/>
      <c r="Y1320"/>
    </row>
    <row r="1321" spans="2:25">
      <c r="B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R1321"/>
      <c r="S1321"/>
      <c r="T1321"/>
      <c r="U1321"/>
      <c r="V1321"/>
      <c r="W1321"/>
      <c r="X1321"/>
      <c r="Y1321"/>
    </row>
    <row r="1322" spans="2:25">
      <c r="B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R1322"/>
      <c r="S1322"/>
      <c r="T1322"/>
      <c r="U1322"/>
      <c r="V1322"/>
      <c r="W1322"/>
      <c r="X1322"/>
      <c r="Y1322"/>
    </row>
    <row r="1323" spans="2:25">
      <c r="B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R1323"/>
      <c r="S1323"/>
      <c r="T1323"/>
      <c r="U1323"/>
      <c r="V1323"/>
      <c r="W1323"/>
      <c r="X1323"/>
      <c r="Y1323"/>
    </row>
    <row r="1324" spans="2:25">
      <c r="B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R1324"/>
      <c r="S1324"/>
      <c r="T1324"/>
      <c r="U1324"/>
      <c r="V1324"/>
      <c r="W1324"/>
      <c r="X1324"/>
      <c r="Y1324"/>
    </row>
    <row r="1325" spans="2:25">
      <c r="B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R1325"/>
      <c r="S1325"/>
      <c r="T1325"/>
      <c r="U1325"/>
      <c r="V1325"/>
      <c r="W1325"/>
      <c r="X1325"/>
      <c r="Y1325"/>
    </row>
    <row r="1326" spans="2:25">
      <c r="B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R1326"/>
      <c r="S1326"/>
      <c r="T1326"/>
      <c r="U1326"/>
      <c r="V1326"/>
      <c r="W1326"/>
      <c r="X1326"/>
      <c r="Y1326"/>
    </row>
    <row r="1327" spans="2:25">
      <c r="B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R1327"/>
      <c r="S1327"/>
      <c r="T1327"/>
      <c r="U1327"/>
      <c r="V1327"/>
      <c r="W1327"/>
      <c r="X1327"/>
      <c r="Y1327"/>
    </row>
    <row r="1328" spans="2:25">
      <c r="B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R1328"/>
      <c r="S1328"/>
      <c r="T1328"/>
      <c r="U1328"/>
      <c r="V1328"/>
      <c r="W1328"/>
      <c r="X1328"/>
      <c r="Y1328"/>
    </row>
    <row r="1329" spans="2:25">
      <c r="B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R1329"/>
      <c r="S1329"/>
      <c r="T1329"/>
      <c r="U1329"/>
      <c r="V1329"/>
      <c r="W1329"/>
      <c r="X1329"/>
      <c r="Y1329"/>
    </row>
    <row r="1330" spans="2:25">
      <c r="B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R1330"/>
      <c r="S1330"/>
      <c r="T1330"/>
      <c r="U1330"/>
      <c r="V1330"/>
      <c r="W1330"/>
      <c r="X1330"/>
      <c r="Y1330"/>
    </row>
    <row r="1331" spans="2:25">
      <c r="B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R1331"/>
      <c r="S1331"/>
      <c r="T1331"/>
      <c r="U1331"/>
      <c r="V1331"/>
      <c r="W1331"/>
      <c r="X1331"/>
      <c r="Y1331"/>
    </row>
    <row r="1332" spans="2:25">
      <c r="B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R1332"/>
      <c r="S1332"/>
      <c r="T1332"/>
      <c r="U1332"/>
      <c r="V1332"/>
      <c r="W1332"/>
      <c r="X1332"/>
      <c r="Y1332"/>
    </row>
    <row r="1333" spans="2:25">
      <c r="B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R1333"/>
      <c r="S1333"/>
      <c r="T1333"/>
      <c r="U1333"/>
      <c r="V1333"/>
      <c r="W1333"/>
      <c r="X1333"/>
      <c r="Y1333"/>
    </row>
    <row r="1334" spans="2:25">
      <c r="B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R1334"/>
      <c r="S1334"/>
      <c r="T1334"/>
      <c r="U1334"/>
      <c r="V1334"/>
      <c r="W1334"/>
      <c r="X1334"/>
      <c r="Y1334"/>
    </row>
    <row r="1335" spans="2:25">
      <c r="B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R1335"/>
      <c r="S1335"/>
      <c r="T1335"/>
      <c r="U1335"/>
      <c r="V1335"/>
      <c r="W1335"/>
      <c r="X1335"/>
      <c r="Y1335"/>
    </row>
    <row r="1336" spans="2:25">
      <c r="B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R1336"/>
      <c r="S1336"/>
      <c r="T1336"/>
      <c r="U1336"/>
      <c r="V1336"/>
      <c r="W1336"/>
      <c r="X1336"/>
      <c r="Y1336"/>
    </row>
    <row r="1337" spans="2:25">
      <c r="B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R1337"/>
      <c r="S1337"/>
      <c r="T1337"/>
      <c r="U1337"/>
      <c r="V1337"/>
      <c r="W1337"/>
      <c r="X1337"/>
      <c r="Y1337"/>
    </row>
    <row r="1338" spans="2:25">
      <c r="B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R1338"/>
      <c r="S1338"/>
      <c r="T1338"/>
      <c r="U1338"/>
      <c r="V1338"/>
      <c r="W1338"/>
      <c r="X1338"/>
      <c r="Y1338"/>
    </row>
    <row r="1339" spans="2:25">
      <c r="B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R1339"/>
      <c r="S1339"/>
      <c r="T1339"/>
      <c r="U1339"/>
      <c r="V1339"/>
      <c r="W1339"/>
      <c r="X1339"/>
      <c r="Y1339"/>
    </row>
    <row r="1340" spans="2:25">
      <c r="B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R1340"/>
      <c r="S1340"/>
      <c r="T1340"/>
      <c r="U1340"/>
      <c r="V1340"/>
      <c r="W1340"/>
      <c r="X1340"/>
      <c r="Y1340"/>
    </row>
    <row r="1341" spans="2:25">
      <c r="B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R1341"/>
      <c r="S1341"/>
      <c r="T1341"/>
      <c r="U1341"/>
      <c r="V1341"/>
      <c r="W1341"/>
      <c r="X1341"/>
      <c r="Y1341"/>
    </row>
    <row r="1342" spans="2:25">
      <c r="B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R1342"/>
      <c r="S1342"/>
      <c r="T1342"/>
      <c r="U1342"/>
      <c r="V1342"/>
      <c r="W1342"/>
      <c r="X1342"/>
      <c r="Y1342"/>
    </row>
    <row r="1343" spans="2:25">
      <c r="B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R1343"/>
      <c r="S1343"/>
      <c r="T1343"/>
      <c r="U1343"/>
      <c r="V1343"/>
      <c r="W1343"/>
      <c r="X1343"/>
      <c r="Y1343"/>
    </row>
    <row r="1344" spans="2:25">
      <c r="B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R1344"/>
      <c r="S1344"/>
      <c r="T1344"/>
      <c r="U1344"/>
      <c r="V1344"/>
      <c r="W1344"/>
      <c r="X1344"/>
      <c r="Y1344"/>
    </row>
    <row r="1345" spans="2:25">
      <c r="B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R1345"/>
      <c r="S1345"/>
      <c r="T1345"/>
      <c r="U1345"/>
      <c r="V1345"/>
      <c r="W1345"/>
      <c r="X1345"/>
      <c r="Y1345"/>
    </row>
    <row r="1346" spans="2:25">
      <c r="B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R1346"/>
      <c r="S1346"/>
      <c r="T1346"/>
      <c r="U1346"/>
      <c r="V1346"/>
      <c r="W1346"/>
      <c r="X1346"/>
      <c r="Y1346"/>
    </row>
    <row r="1347" spans="2:25">
      <c r="B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R1347"/>
      <c r="S1347"/>
      <c r="T1347"/>
      <c r="U1347"/>
      <c r="V1347"/>
      <c r="W1347"/>
      <c r="X1347"/>
      <c r="Y1347"/>
    </row>
    <row r="1348" spans="2:25">
      <c r="B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R1348"/>
      <c r="S1348"/>
      <c r="T1348"/>
      <c r="U1348"/>
      <c r="V1348"/>
      <c r="W1348"/>
      <c r="X1348"/>
      <c r="Y1348"/>
    </row>
    <row r="1349" spans="2:25">
      <c r="B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R1349"/>
      <c r="S1349"/>
      <c r="T1349"/>
      <c r="U1349"/>
      <c r="V1349"/>
      <c r="W1349"/>
      <c r="X1349"/>
      <c r="Y1349"/>
    </row>
    <row r="1350" spans="2:25">
      <c r="B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R1350"/>
      <c r="S1350"/>
      <c r="T1350"/>
      <c r="U1350"/>
      <c r="V1350"/>
      <c r="W1350"/>
      <c r="X1350"/>
      <c r="Y1350"/>
    </row>
    <row r="1351" spans="2:25">
      <c r="B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R1351"/>
      <c r="S1351"/>
      <c r="T1351"/>
      <c r="U1351"/>
      <c r="V1351"/>
      <c r="W1351"/>
      <c r="X1351"/>
      <c r="Y1351"/>
    </row>
    <row r="1352" spans="2:25">
      <c r="B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R1352"/>
      <c r="S1352"/>
      <c r="T1352"/>
      <c r="U1352"/>
      <c r="V1352"/>
      <c r="W1352"/>
      <c r="X1352"/>
      <c r="Y1352"/>
    </row>
    <row r="1353" spans="2:25">
      <c r="B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R1353"/>
      <c r="S1353"/>
      <c r="T1353"/>
      <c r="U1353"/>
      <c r="V1353"/>
      <c r="W1353"/>
      <c r="X1353"/>
      <c r="Y1353"/>
    </row>
    <row r="1354" spans="2:25">
      <c r="B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R1354"/>
      <c r="S1354"/>
      <c r="T1354"/>
      <c r="U1354"/>
      <c r="V1354"/>
      <c r="W1354"/>
      <c r="X1354"/>
      <c r="Y1354"/>
    </row>
    <row r="1355" spans="2:25">
      <c r="B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R1355"/>
      <c r="S1355"/>
      <c r="T1355"/>
      <c r="U1355"/>
      <c r="V1355"/>
      <c r="W1355"/>
      <c r="X1355"/>
      <c r="Y1355"/>
    </row>
    <row r="1356" spans="2:25">
      <c r="B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R1356"/>
      <c r="S1356"/>
      <c r="T1356"/>
      <c r="U1356"/>
      <c r="V1356"/>
      <c r="W1356"/>
      <c r="X1356"/>
      <c r="Y1356"/>
    </row>
    <row r="1357" spans="2:25">
      <c r="B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R1357"/>
      <c r="S1357"/>
      <c r="T1357"/>
      <c r="U1357"/>
      <c r="V1357"/>
      <c r="W1357"/>
      <c r="X1357"/>
      <c r="Y1357"/>
    </row>
    <row r="1358" spans="2:25">
      <c r="B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R1358"/>
      <c r="S1358"/>
      <c r="T1358"/>
      <c r="U1358"/>
      <c r="V1358"/>
      <c r="W1358"/>
      <c r="X1358"/>
      <c r="Y1358"/>
    </row>
    <row r="1359" spans="2:25">
      <c r="B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R1359"/>
      <c r="S1359"/>
      <c r="T1359"/>
      <c r="U1359"/>
      <c r="V1359"/>
      <c r="W1359"/>
      <c r="X1359"/>
      <c r="Y1359"/>
    </row>
    <row r="1360" spans="2:25">
      <c r="B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R1360"/>
      <c r="S1360"/>
      <c r="T1360"/>
      <c r="U1360"/>
      <c r="V1360"/>
      <c r="W1360"/>
      <c r="X1360"/>
      <c r="Y1360"/>
    </row>
    <row r="1361" spans="2:25">
      <c r="B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R1361"/>
      <c r="S1361"/>
      <c r="T1361"/>
      <c r="U1361"/>
      <c r="V1361"/>
      <c r="W1361"/>
      <c r="X1361"/>
      <c r="Y1361"/>
    </row>
    <row r="1362" spans="2:25">
      <c r="B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R1362"/>
      <c r="S1362"/>
      <c r="T1362"/>
      <c r="U1362"/>
      <c r="V1362"/>
      <c r="W1362"/>
      <c r="X1362"/>
      <c r="Y1362"/>
    </row>
    <row r="1363" spans="2:25">
      <c r="B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R1363"/>
      <c r="S1363"/>
      <c r="T1363"/>
      <c r="U1363"/>
      <c r="V1363"/>
      <c r="W1363"/>
      <c r="X1363"/>
      <c r="Y1363"/>
    </row>
    <row r="1364" spans="2:25">
      <c r="B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R1364"/>
      <c r="S1364"/>
      <c r="T1364"/>
      <c r="U1364"/>
      <c r="V1364"/>
      <c r="W1364"/>
      <c r="X1364"/>
      <c r="Y1364"/>
    </row>
    <row r="1365" spans="2:25">
      <c r="B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R1365"/>
      <c r="S1365"/>
      <c r="T1365"/>
      <c r="U1365"/>
      <c r="V1365"/>
      <c r="W1365"/>
      <c r="X1365"/>
      <c r="Y1365"/>
    </row>
    <row r="1366" spans="2:25">
      <c r="B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R1366"/>
      <c r="S1366"/>
      <c r="T1366"/>
      <c r="U1366"/>
      <c r="V1366"/>
      <c r="W1366"/>
      <c r="X1366"/>
      <c r="Y1366"/>
    </row>
    <row r="1367" spans="2:25">
      <c r="B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R1367"/>
      <c r="S1367"/>
      <c r="T1367"/>
      <c r="U1367"/>
      <c r="V1367"/>
      <c r="W1367"/>
      <c r="X1367"/>
      <c r="Y1367"/>
    </row>
    <row r="1368" spans="2:25">
      <c r="B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R1368"/>
      <c r="S1368"/>
      <c r="T1368"/>
      <c r="U1368"/>
      <c r="V1368"/>
      <c r="W1368"/>
      <c r="X1368"/>
      <c r="Y1368"/>
    </row>
    <row r="1369" spans="2:25">
      <c r="B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R1369"/>
      <c r="S1369"/>
      <c r="T1369"/>
      <c r="U1369"/>
      <c r="V1369"/>
      <c r="W1369"/>
      <c r="X1369"/>
      <c r="Y1369"/>
    </row>
    <row r="1370" spans="2:25">
      <c r="B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R1370"/>
      <c r="S1370"/>
      <c r="T1370"/>
      <c r="U1370"/>
      <c r="V1370"/>
      <c r="W1370"/>
      <c r="X1370"/>
      <c r="Y1370"/>
    </row>
    <row r="1371" spans="2:25">
      <c r="B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R1371"/>
      <c r="S1371"/>
      <c r="T1371"/>
      <c r="U1371"/>
      <c r="V1371"/>
      <c r="W1371"/>
      <c r="X1371"/>
      <c r="Y1371"/>
    </row>
    <row r="1372" spans="2:25">
      <c r="B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R1372"/>
      <c r="S1372"/>
      <c r="T1372"/>
      <c r="U1372"/>
      <c r="V1372"/>
      <c r="W1372"/>
      <c r="X1372"/>
      <c r="Y1372"/>
    </row>
    <row r="1373" spans="2:25">
      <c r="B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R1373"/>
      <c r="S1373"/>
      <c r="T1373"/>
      <c r="U1373"/>
      <c r="V1373"/>
      <c r="W1373"/>
      <c r="X1373"/>
      <c r="Y1373"/>
    </row>
    <row r="1374" spans="2:25">
      <c r="B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R1374"/>
      <c r="S1374"/>
      <c r="T1374"/>
      <c r="U1374"/>
      <c r="V1374"/>
      <c r="W1374"/>
      <c r="X1374"/>
      <c r="Y1374"/>
    </row>
    <row r="1375" spans="2:25">
      <c r="B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R1375"/>
      <c r="S1375"/>
      <c r="T1375"/>
      <c r="U1375"/>
      <c r="V1375"/>
      <c r="W1375"/>
      <c r="X1375"/>
      <c r="Y1375"/>
    </row>
    <row r="1376" spans="2:25">
      <c r="B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R1376"/>
      <c r="S1376"/>
      <c r="T1376"/>
      <c r="U1376"/>
      <c r="V1376"/>
      <c r="W1376"/>
      <c r="X1376"/>
      <c r="Y1376"/>
    </row>
    <row r="1377" spans="2:25">
      <c r="B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R1377"/>
      <c r="S1377"/>
      <c r="T1377"/>
      <c r="U1377"/>
      <c r="V1377"/>
      <c r="W1377"/>
      <c r="X1377"/>
      <c r="Y1377"/>
    </row>
    <row r="1378" spans="2:25">
      <c r="B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R1378"/>
      <c r="S1378"/>
      <c r="T1378"/>
      <c r="U1378"/>
      <c r="V1378"/>
      <c r="W1378"/>
      <c r="X1378"/>
      <c r="Y1378"/>
    </row>
    <row r="1379" spans="2:25">
      <c r="B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R1379"/>
      <c r="S1379"/>
      <c r="T1379"/>
      <c r="U1379"/>
      <c r="V1379"/>
      <c r="W1379"/>
      <c r="X1379"/>
      <c r="Y1379"/>
    </row>
    <row r="1380" spans="2:25">
      <c r="B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R1380"/>
      <c r="S1380"/>
      <c r="T1380"/>
      <c r="U1380"/>
      <c r="V1380"/>
      <c r="W1380"/>
      <c r="X1380"/>
      <c r="Y1380"/>
    </row>
    <row r="1381" spans="2:25">
      <c r="B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R1381"/>
      <c r="S1381"/>
      <c r="T1381"/>
      <c r="U1381"/>
      <c r="V1381"/>
      <c r="W1381"/>
      <c r="X1381"/>
      <c r="Y1381"/>
    </row>
    <row r="1382" spans="2:25">
      <c r="B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R1382"/>
      <c r="S1382"/>
      <c r="T1382"/>
      <c r="U1382"/>
      <c r="V1382"/>
      <c r="W1382"/>
      <c r="X1382"/>
      <c r="Y1382"/>
    </row>
    <row r="1383" spans="2:25">
      <c r="B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R1383"/>
      <c r="S1383"/>
      <c r="T1383"/>
      <c r="U1383"/>
      <c r="V1383"/>
      <c r="W1383"/>
      <c r="X1383"/>
      <c r="Y1383"/>
    </row>
    <row r="1384" spans="2:25">
      <c r="B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R1384"/>
      <c r="S1384"/>
      <c r="T1384"/>
      <c r="U1384"/>
      <c r="V1384"/>
      <c r="W1384"/>
      <c r="X1384"/>
      <c r="Y1384"/>
    </row>
    <row r="1385" spans="2:25">
      <c r="B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R1385"/>
      <c r="S1385"/>
      <c r="T1385"/>
      <c r="U1385"/>
      <c r="V1385"/>
      <c r="W1385"/>
      <c r="X1385"/>
      <c r="Y1385"/>
    </row>
    <row r="1386" spans="2:25">
      <c r="B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R1386"/>
      <c r="S1386"/>
      <c r="T1386"/>
      <c r="U1386"/>
      <c r="V1386"/>
      <c r="W1386"/>
      <c r="X1386"/>
      <c r="Y1386"/>
    </row>
    <row r="1387" spans="2:25">
      <c r="B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R1387"/>
      <c r="S1387"/>
      <c r="T1387"/>
      <c r="U1387"/>
      <c r="V1387"/>
      <c r="W1387"/>
      <c r="X1387"/>
      <c r="Y1387"/>
    </row>
    <row r="1388" spans="2:25">
      <c r="B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R1388"/>
      <c r="S1388"/>
      <c r="T1388"/>
      <c r="U1388"/>
      <c r="V1388"/>
      <c r="W1388"/>
      <c r="X1388"/>
      <c r="Y1388"/>
    </row>
    <row r="1389" spans="2:25">
      <c r="B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R1389"/>
      <c r="S1389"/>
      <c r="T1389"/>
      <c r="U1389"/>
      <c r="V1389"/>
      <c r="W1389"/>
      <c r="X1389"/>
      <c r="Y1389"/>
    </row>
    <row r="1390" spans="2:25">
      <c r="B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R1390"/>
      <c r="S1390"/>
      <c r="T1390"/>
      <c r="U1390"/>
      <c r="V1390"/>
      <c r="W1390"/>
      <c r="X1390"/>
      <c r="Y1390"/>
    </row>
    <row r="1391" spans="2:25">
      <c r="B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R1391"/>
      <c r="S1391"/>
      <c r="T1391"/>
      <c r="U1391"/>
      <c r="V1391"/>
      <c r="W1391"/>
      <c r="X1391"/>
      <c r="Y1391"/>
    </row>
    <row r="1392" spans="2:25">
      <c r="B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R1392"/>
      <c r="S1392"/>
      <c r="T1392"/>
      <c r="U1392"/>
      <c r="V1392"/>
      <c r="W1392"/>
      <c r="X1392"/>
      <c r="Y1392"/>
    </row>
    <row r="1393" spans="2:25">
      <c r="B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R1393"/>
      <c r="S1393"/>
      <c r="T1393"/>
      <c r="U1393"/>
      <c r="V1393"/>
      <c r="W1393"/>
      <c r="X1393"/>
      <c r="Y1393"/>
    </row>
    <row r="1394" spans="2:25">
      <c r="B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R1394"/>
      <c r="S1394"/>
      <c r="T1394"/>
      <c r="U1394"/>
      <c r="V1394"/>
      <c r="W1394"/>
      <c r="X1394"/>
      <c r="Y1394"/>
    </row>
    <row r="1395" spans="2:25">
      <c r="B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R1395"/>
      <c r="S1395"/>
      <c r="T1395"/>
      <c r="U1395"/>
      <c r="V1395"/>
      <c r="W1395"/>
      <c r="X1395"/>
      <c r="Y1395"/>
    </row>
    <row r="1396" spans="2:25">
      <c r="B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R1396"/>
      <c r="S1396"/>
      <c r="T1396"/>
      <c r="U1396"/>
      <c r="V1396"/>
      <c r="W1396"/>
      <c r="X1396"/>
      <c r="Y1396"/>
    </row>
    <row r="1397" spans="2:25">
      <c r="B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R1397"/>
      <c r="S1397"/>
      <c r="T1397"/>
      <c r="U1397"/>
      <c r="V1397"/>
      <c r="W1397"/>
      <c r="X1397"/>
      <c r="Y1397"/>
    </row>
    <row r="1398" spans="2:25">
      <c r="B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R1398"/>
      <c r="S1398"/>
      <c r="T1398"/>
      <c r="U1398"/>
      <c r="V1398"/>
      <c r="W1398"/>
      <c r="X1398"/>
      <c r="Y1398"/>
    </row>
    <row r="1399" spans="2:25">
      <c r="B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R1399"/>
      <c r="S1399"/>
      <c r="T1399"/>
      <c r="U1399"/>
      <c r="V1399"/>
      <c r="W1399"/>
      <c r="X1399"/>
      <c r="Y1399"/>
    </row>
    <row r="1400" spans="2:25">
      <c r="B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R1400"/>
      <c r="S1400"/>
      <c r="T1400"/>
      <c r="U1400"/>
      <c r="V1400"/>
      <c r="W1400"/>
      <c r="X1400"/>
      <c r="Y1400"/>
    </row>
    <row r="1401" spans="2:25">
      <c r="B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R1401"/>
      <c r="S1401"/>
      <c r="T1401"/>
      <c r="U1401"/>
      <c r="V1401"/>
      <c r="W1401"/>
      <c r="X1401"/>
      <c r="Y1401"/>
    </row>
    <row r="1402" spans="2:25">
      <c r="B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R1402"/>
      <c r="S1402"/>
      <c r="T1402"/>
      <c r="U1402"/>
      <c r="V1402"/>
      <c r="W1402"/>
      <c r="X1402"/>
      <c r="Y1402"/>
    </row>
    <row r="1403" spans="2:25">
      <c r="B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R1403"/>
      <c r="S1403"/>
      <c r="T1403"/>
      <c r="U1403"/>
      <c r="V1403"/>
      <c r="W1403"/>
      <c r="X1403"/>
      <c r="Y1403"/>
    </row>
    <row r="1404" spans="2:25">
      <c r="B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R1404"/>
      <c r="S1404"/>
      <c r="T1404"/>
      <c r="U1404"/>
      <c r="V1404"/>
      <c r="W1404"/>
      <c r="X1404"/>
      <c r="Y1404"/>
    </row>
    <row r="1405" spans="2:25">
      <c r="B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R1405"/>
      <c r="S1405"/>
      <c r="T1405"/>
      <c r="U1405"/>
      <c r="V1405"/>
      <c r="W1405"/>
      <c r="X1405"/>
      <c r="Y1405"/>
    </row>
    <row r="1406" spans="2:25">
      <c r="B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R1406"/>
      <c r="S1406"/>
      <c r="T1406"/>
      <c r="U1406"/>
      <c r="V1406"/>
      <c r="W1406"/>
      <c r="X1406"/>
      <c r="Y1406"/>
    </row>
    <row r="1407" spans="2:25">
      <c r="B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R1407"/>
      <c r="S1407"/>
      <c r="T1407"/>
      <c r="U1407"/>
      <c r="V1407"/>
      <c r="W1407"/>
      <c r="X1407"/>
      <c r="Y1407"/>
    </row>
    <row r="1408" spans="2:25">
      <c r="B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R1408"/>
      <c r="S1408"/>
      <c r="T1408"/>
      <c r="U1408"/>
      <c r="V1408"/>
      <c r="W1408"/>
      <c r="X1408"/>
      <c r="Y1408"/>
    </row>
    <row r="1409" spans="2:25">
      <c r="B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R1409"/>
      <c r="S1409"/>
      <c r="T1409"/>
      <c r="U1409"/>
      <c r="V1409"/>
      <c r="W1409"/>
      <c r="X1409"/>
      <c r="Y1409"/>
    </row>
    <row r="1410" spans="2:25">
      <c r="B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R1410"/>
      <c r="S1410"/>
      <c r="T1410"/>
      <c r="U1410"/>
      <c r="V1410"/>
      <c r="W1410"/>
      <c r="X1410"/>
      <c r="Y1410"/>
    </row>
    <row r="1411" spans="2:25">
      <c r="B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R1411"/>
      <c r="S1411"/>
      <c r="T1411"/>
      <c r="U1411"/>
      <c r="V1411"/>
      <c r="W1411"/>
      <c r="X1411"/>
      <c r="Y1411"/>
    </row>
    <row r="1412" spans="2:25">
      <c r="B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R1412"/>
      <c r="S1412"/>
      <c r="T1412"/>
      <c r="U1412"/>
      <c r="V1412"/>
      <c r="W1412"/>
      <c r="X1412"/>
      <c r="Y1412"/>
    </row>
    <row r="1413" spans="2:25">
      <c r="B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R1413"/>
      <c r="S1413"/>
      <c r="T1413"/>
      <c r="U1413"/>
      <c r="V1413"/>
      <c r="W1413"/>
      <c r="X1413"/>
      <c r="Y1413"/>
    </row>
    <row r="1414" spans="2:25">
      <c r="B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R1414"/>
      <c r="S1414"/>
      <c r="T1414"/>
      <c r="U1414"/>
      <c r="V1414"/>
      <c r="W1414"/>
      <c r="X1414"/>
      <c r="Y1414"/>
    </row>
    <row r="1415" spans="2:25">
      <c r="B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R1415"/>
      <c r="S1415"/>
      <c r="T1415"/>
      <c r="U1415"/>
      <c r="V1415"/>
      <c r="W1415"/>
      <c r="X1415"/>
      <c r="Y1415"/>
    </row>
    <row r="1416" spans="2:25">
      <c r="B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R1416"/>
      <c r="S1416"/>
      <c r="T1416"/>
      <c r="U1416"/>
      <c r="V1416"/>
      <c r="W1416"/>
      <c r="X1416"/>
      <c r="Y1416"/>
    </row>
    <row r="1417" spans="2:25">
      <c r="B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R1417"/>
      <c r="S1417"/>
      <c r="T1417"/>
      <c r="U1417"/>
      <c r="V1417"/>
      <c r="W1417"/>
      <c r="X1417"/>
      <c r="Y1417"/>
    </row>
    <row r="1418" spans="2:25">
      <c r="B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R1418"/>
      <c r="S1418"/>
      <c r="T1418"/>
      <c r="U1418"/>
      <c r="V1418"/>
      <c r="W1418"/>
      <c r="X1418"/>
      <c r="Y1418"/>
    </row>
    <row r="1419" spans="2:25">
      <c r="B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R1419"/>
      <c r="S1419"/>
      <c r="T1419"/>
      <c r="U1419"/>
      <c r="V1419"/>
      <c r="W1419"/>
      <c r="X1419"/>
      <c r="Y1419"/>
    </row>
    <row r="1420" spans="2:25">
      <c r="B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R1420"/>
      <c r="S1420"/>
      <c r="T1420"/>
      <c r="U1420"/>
      <c r="V1420"/>
      <c r="W1420"/>
      <c r="X1420"/>
      <c r="Y1420"/>
    </row>
    <row r="1421" spans="2:25">
      <c r="B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R1421"/>
      <c r="S1421"/>
      <c r="T1421"/>
      <c r="U1421"/>
      <c r="V1421"/>
      <c r="W1421"/>
      <c r="X1421"/>
      <c r="Y1421"/>
    </row>
    <row r="1422" spans="2:25">
      <c r="B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R1422"/>
      <c r="S1422"/>
      <c r="T1422"/>
      <c r="U1422"/>
      <c r="V1422"/>
      <c r="W1422"/>
      <c r="X1422"/>
      <c r="Y1422"/>
    </row>
    <row r="1423" spans="2:25">
      <c r="B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R1423"/>
      <c r="S1423"/>
      <c r="T1423"/>
      <c r="U1423"/>
      <c r="V1423"/>
      <c r="W1423"/>
      <c r="X1423"/>
      <c r="Y1423"/>
    </row>
    <row r="1424" spans="2:25">
      <c r="B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R1424"/>
      <c r="S1424"/>
      <c r="T1424"/>
      <c r="U1424"/>
      <c r="V1424"/>
      <c r="W1424"/>
      <c r="X1424"/>
      <c r="Y1424"/>
    </row>
    <row r="1425" spans="2:25">
      <c r="B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R1425"/>
      <c r="S1425"/>
      <c r="T1425"/>
      <c r="U1425"/>
      <c r="V1425"/>
      <c r="W1425"/>
      <c r="X1425"/>
      <c r="Y1425"/>
    </row>
    <row r="1426" spans="2:25">
      <c r="B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R1426"/>
      <c r="S1426"/>
      <c r="T1426"/>
      <c r="U1426"/>
      <c r="V1426"/>
      <c r="W1426"/>
      <c r="X1426"/>
      <c r="Y1426"/>
    </row>
    <row r="1427" spans="2:25">
      <c r="B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R1427"/>
      <c r="S1427"/>
      <c r="T1427"/>
      <c r="U1427"/>
      <c r="V1427"/>
      <c r="W1427"/>
      <c r="X1427"/>
      <c r="Y1427"/>
    </row>
    <row r="1428" spans="2:25">
      <c r="B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R1428"/>
      <c r="S1428"/>
      <c r="T1428"/>
      <c r="U1428"/>
      <c r="V1428"/>
      <c r="W1428"/>
      <c r="X1428"/>
      <c r="Y1428"/>
    </row>
    <row r="1429" spans="2:25">
      <c r="B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R1429"/>
      <c r="S1429"/>
      <c r="T1429"/>
      <c r="U1429"/>
      <c r="V1429"/>
      <c r="W1429"/>
      <c r="X1429"/>
      <c r="Y1429"/>
    </row>
    <row r="1430" spans="2:25">
      <c r="B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R1430"/>
      <c r="S1430"/>
      <c r="T1430"/>
      <c r="U1430"/>
      <c r="V1430"/>
      <c r="W1430"/>
      <c r="X1430"/>
      <c r="Y1430"/>
    </row>
    <row r="1431" spans="2:25">
      <c r="B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R1431"/>
      <c r="S1431"/>
      <c r="T1431"/>
      <c r="U1431"/>
      <c r="V1431"/>
      <c r="W1431"/>
      <c r="X1431"/>
      <c r="Y1431"/>
    </row>
    <row r="1432" spans="2:25">
      <c r="B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R1432"/>
      <c r="S1432"/>
      <c r="T1432"/>
      <c r="U1432"/>
      <c r="V1432"/>
      <c r="W1432"/>
      <c r="X1432"/>
      <c r="Y1432"/>
    </row>
    <row r="1433" spans="2:25">
      <c r="B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R1433"/>
      <c r="S1433"/>
      <c r="T1433"/>
      <c r="U1433"/>
      <c r="V1433"/>
      <c r="W1433"/>
      <c r="X1433"/>
      <c r="Y1433"/>
    </row>
    <row r="1434" spans="2:25">
      <c r="B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R1434"/>
      <c r="S1434"/>
      <c r="T1434"/>
      <c r="U1434"/>
      <c r="V1434"/>
      <c r="W1434"/>
      <c r="X1434"/>
      <c r="Y1434"/>
    </row>
    <row r="1435" spans="2:25">
      <c r="B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R1435"/>
      <c r="S1435"/>
      <c r="T1435"/>
      <c r="U1435"/>
      <c r="V1435"/>
      <c r="W1435"/>
      <c r="X1435"/>
      <c r="Y1435"/>
    </row>
    <row r="1436" spans="2:25">
      <c r="B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R1436"/>
      <c r="S1436"/>
      <c r="T1436"/>
      <c r="U1436"/>
      <c r="V1436"/>
      <c r="W1436"/>
      <c r="X1436"/>
      <c r="Y1436"/>
    </row>
    <row r="1437" spans="2:25">
      <c r="B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R1437"/>
      <c r="S1437"/>
      <c r="T1437"/>
      <c r="U1437"/>
      <c r="V1437"/>
      <c r="W1437"/>
      <c r="X1437"/>
      <c r="Y1437"/>
    </row>
    <row r="1438" spans="2:25">
      <c r="B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R1438"/>
      <c r="S1438"/>
      <c r="T1438"/>
      <c r="U1438"/>
      <c r="V1438"/>
      <c r="W1438"/>
      <c r="X1438"/>
      <c r="Y1438"/>
    </row>
    <row r="1439" spans="2:25">
      <c r="B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R1439"/>
      <c r="S1439"/>
      <c r="T1439"/>
      <c r="U1439"/>
      <c r="V1439"/>
      <c r="W1439"/>
      <c r="X1439"/>
      <c r="Y1439"/>
    </row>
    <row r="1440" spans="2:25">
      <c r="B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R1440"/>
      <c r="S1440"/>
      <c r="T1440"/>
      <c r="U1440"/>
      <c r="V1440"/>
      <c r="W1440"/>
      <c r="X1440"/>
      <c r="Y1440"/>
    </row>
    <row r="1441" spans="2:25">
      <c r="B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R1441"/>
      <c r="S1441"/>
      <c r="T1441"/>
      <c r="U1441"/>
      <c r="V1441"/>
      <c r="W1441"/>
      <c r="X1441"/>
      <c r="Y1441"/>
    </row>
    <row r="1442" spans="2:25">
      <c r="B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R1442"/>
      <c r="S1442"/>
      <c r="T1442"/>
      <c r="U1442"/>
      <c r="V1442"/>
      <c r="W1442"/>
      <c r="X1442"/>
      <c r="Y1442"/>
    </row>
    <row r="1443" spans="2:25">
      <c r="B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R1443"/>
      <c r="S1443"/>
      <c r="T1443"/>
      <c r="U1443"/>
      <c r="V1443"/>
      <c r="W1443"/>
      <c r="X1443"/>
      <c r="Y1443"/>
    </row>
    <row r="1444" spans="2:25">
      <c r="B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R1444"/>
      <c r="S1444"/>
      <c r="T1444"/>
      <c r="U1444"/>
      <c r="V1444"/>
      <c r="W1444"/>
      <c r="X1444"/>
      <c r="Y1444"/>
    </row>
    <row r="1445" spans="2:25">
      <c r="B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R1445"/>
      <c r="S1445"/>
      <c r="T1445"/>
      <c r="U1445"/>
      <c r="V1445"/>
      <c r="W1445"/>
      <c r="X1445"/>
      <c r="Y1445"/>
    </row>
    <row r="1446" spans="2:25">
      <c r="B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R1446"/>
      <c r="S1446"/>
      <c r="T1446"/>
      <c r="U1446"/>
      <c r="V1446"/>
      <c r="W1446"/>
      <c r="X1446"/>
      <c r="Y1446"/>
    </row>
    <row r="1447" spans="2:25">
      <c r="B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R1447"/>
      <c r="S1447"/>
      <c r="T1447"/>
      <c r="U1447"/>
      <c r="V1447"/>
      <c r="W1447"/>
      <c r="X1447"/>
      <c r="Y1447"/>
    </row>
    <row r="1448" spans="2:25">
      <c r="B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R1448"/>
      <c r="S1448"/>
      <c r="T1448"/>
      <c r="U1448"/>
      <c r="V1448"/>
      <c r="W1448"/>
      <c r="X1448"/>
      <c r="Y1448"/>
    </row>
    <row r="1449" spans="2:25">
      <c r="B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R1449"/>
      <c r="S1449"/>
      <c r="T1449"/>
      <c r="U1449"/>
      <c r="V1449"/>
      <c r="W1449"/>
      <c r="X1449"/>
      <c r="Y1449"/>
    </row>
    <row r="1450" spans="2:25">
      <c r="B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R1450"/>
      <c r="S1450"/>
      <c r="T1450"/>
      <c r="U1450"/>
      <c r="V1450"/>
      <c r="W1450"/>
      <c r="X1450"/>
      <c r="Y1450"/>
    </row>
    <row r="1451" spans="2:25">
      <c r="B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R1451"/>
      <c r="S1451"/>
      <c r="T1451"/>
      <c r="U1451"/>
      <c r="V1451"/>
      <c r="W1451"/>
      <c r="X1451"/>
      <c r="Y1451"/>
    </row>
    <row r="1452" spans="2:25">
      <c r="B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R1452"/>
      <c r="S1452"/>
      <c r="T1452"/>
      <c r="U1452"/>
      <c r="V1452"/>
      <c r="W1452"/>
      <c r="X1452"/>
      <c r="Y1452"/>
    </row>
    <row r="1453" spans="2:25">
      <c r="B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R1453"/>
      <c r="S1453"/>
      <c r="T1453"/>
      <c r="U1453"/>
      <c r="V1453"/>
      <c r="W1453"/>
      <c r="X1453"/>
      <c r="Y1453"/>
    </row>
    <row r="1454" spans="2:25">
      <c r="B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R1454"/>
      <c r="S1454"/>
      <c r="T1454"/>
      <c r="U1454"/>
      <c r="V1454"/>
      <c r="W1454"/>
      <c r="X1454"/>
      <c r="Y1454"/>
    </row>
    <row r="1455" spans="2:25">
      <c r="B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R1455"/>
      <c r="S1455"/>
      <c r="T1455"/>
      <c r="U1455"/>
      <c r="V1455"/>
      <c r="W1455"/>
      <c r="X1455"/>
      <c r="Y1455"/>
    </row>
    <row r="1456" spans="2:25">
      <c r="B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R1456"/>
      <c r="S1456"/>
      <c r="T1456"/>
      <c r="U1456"/>
      <c r="V1456"/>
      <c r="W1456"/>
      <c r="X1456"/>
      <c r="Y1456"/>
    </row>
    <row r="1457" spans="2:25">
      <c r="B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R1457"/>
      <c r="S1457"/>
      <c r="T1457"/>
      <c r="U1457"/>
      <c r="V1457"/>
      <c r="W1457"/>
      <c r="X1457"/>
      <c r="Y1457"/>
    </row>
    <row r="1458" spans="2:25">
      <c r="B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R1458"/>
      <c r="S1458"/>
      <c r="T1458"/>
      <c r="U1458"/>
      <c r="V1458"/>
      <c r="W1458"/>
      <c r="X1458"/>
      <c r="Y1458"/>
    </row>
    <row r="1459" spans="2:25">
      <c r="B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R1459"/>
      <c r="S1459"/>
      <c r="T1459"/>
      <c r="U1459"/>
      <c r="V1459"/>
      <c r="W1459"/>
      <c r="X1459"/>
      <c r="Y1459"/>
    </row>
    <row r="1460" spans="2:25">
      <c r="B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R1460"/>
      <c r="S1460"/>
      <c r="T1460"/>
      <c r="U1460"/>
      <c r="V1460"/>
      <c r="W1460"/>
      <c r="X1460"/>
      <c r="Y1460"/>
    </row>
    <row r="1461" spans="2:25">
      <c r="B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R1461"/>
      <c r="S1461"/>
      <c r="T1461"/>
      <c r="U1461"/>
      <c r="V1461"/>
      <c r="W1461"/>
      <c r="X1461"/>
      <c r="Y1461"/>
    </row>
    <row r="1462" spans="2:25">
      <c r="B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R1462"/>
      <c r="S1462"/>
      <c r="T1462"/>
      <c r="U1462"/>
      <c r="V1462"/>
      <c r="W1462"/>
      <c r="X1462"/>
      <c r="Y1462"/>
    </row>
    <row r="1463" spans="2:25">
      <c r="B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R1463"/>
      <c r="S1463"/>
      <c r="T1463"/>
      <c r="U1463"/>
      <c r="V1463"/>
      <c r="W1463"/>
      <c r="X1463"/>
      <c r="Y1463"/>
    </row>
    <row r="1464" spans="2:25">
      <c r="B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R1464"/>
      <c r="S1464"/>
      <c r="T1464"/>
      <c r="U1464"/>
      <c r="V1464"/>
      <c r="W1464"/>
      <c r="X1464"/>
      <c r="Y1464"/>
    </row>
    <row r="1465" spans="2:25">
      <c r="B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R1465"/>
      <c r="S1465"/>
      <c r="T1465"/>
      <c r="U1465"/>
      <c r="V1465"/>
      <c r="W1465"/>
      <c r="X1465"/>
      <c r="Y1465"/>
    </row>
    <row r="1466" spans="2:25">
      <c r="B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R1466"/>
      <c r="S1466"/>
      <c r="T1466"/>
      <c r="U1466"/>
      <c r="V1466"/>
      <c r="W1466"/>
      <c r="X1466"/>
      <c r="Y1466"/>
    </row>
    <row r="1467" spans="2:25">
      <c r="B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R1467"/>
      <c r="S1467"/>
      <c r="T1467"/>
      <c r="U1467"/>
      <c r="V1467"/>
      <c r="W1467"/>
      <c r="X1467"/>
      <c r="Y1467"/>
    </row>
    <row r="1468" spans="2:25">
      <c r="B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R1468"/>
      <c r="S1468"/>
      <c r="T1468"/>
      <c r="U1468"/>
      <c r="V1468"/>
      <c r="W1468"/>
      <c r="X1468"/>
      <c r="Y1468"/>
    </row>
    <row r="1469" spans="2:25">
      <c r="B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R1469"/>
      <c r="S1469"/>
      <c r="T1469"/>
      <c r="U1469"/>
      <c r="V1469"/>
      <c r="W1469"/>
      <c r="X1469"/>
      <c r="Y1469"/>
    </row>
    <row r="1470" spans="2:25">
      <c r="B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R1470"/>
      <c r="S1470"/>
      <c r="T1470"/>
      <c r="U1470"/>
      <c r="V1470"/>
      <c r="W1470"/>
      <c r="X1470"/>
      <c r="Y1470"/>
    </row>
    <row r="1471" spans="2:25">
      <c r="B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R1471"/>
      <c r="S1471"/>
      <c r="T1471"/>
      <c r="U1471"/>
      <c r="V1471"/>
      <c r="W1471"/>
      <c r="X1471"/>
      <c r="Y1471"/>
    </row>
    <row r="1472" spans="2:25">
      <c r="B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R1472"/>
      <c r="S1472"/>
      <c r="T1472"/>
      <c r="U1472"/>
      <c r="V1472"/>
      <c r="W1472"/>
      <c r="X1472"/>
      <c r="Y1472"/>
    </row>
    <row r="1473" spans="2:25">
      <c r="B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R1473"/>
      <c r="S1473"/>
      <c r="T1473"/>
      <c r="U1473"/>
      <c r="V1473"/>
      <c r="W1473"/>
      <c r="X1473"/>
      <c r="Y1473"/>
    </row>
    <row r="1474" spans="2:25">
      <c r="B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R1474"/>
      <c r="S1474"/>
      <c r="T1474"/>
      <c r="U1474"/>
      <c r="V1474"/>
      <c r="W1474"/>
      <c r="X1474"/>
      <c r="Y1474"/>
    </row>
    <row r="1475" spans="2:25">
      <c r="B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R1475"/>
      <c r="S1475"/>
      <c r="T1475"/>
      <c r="U1475"/>
      <c r="V1475"/>
      <c r="W1475"/>
      <c r="X1475"/>
      <c r="Y1475"/>
    </row>
    <row r="1476" spans="2:25">
      <c r="B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R1476"/>
      <c r="S1476"/>
      <c r="T1476"/>
      <c r="U1476"/>
      <c r="V1476"/>
      <c r="W1476"/>
      <c r="X1476"/>
      <c r="Y1476"/>
    </row>
    <row r="1477" spans="2:25">
      <c r="B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R1477"/>
      <c r="S1477"/>
      <c r="T1477"/>
      <c r="U1477"/>
      <c r="V1477"/>
      <c r="W1477"/>
      <c r="X1477"/>
      <c r="Y1477"/>
    </row>
    <row r="1478" spans="2:25">
      <c r="B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R1478"/>
      <c r="S1478"/>
      <c r="T1478"/>
      <c r="U1478"/>
      <c r="V1478"/>
      <c r="W1478"/>
      <c r="X1478"/>
      <c r="Y1478"/>
    </row>
    <row r="1479" spans="2:25">
      <c r="B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R1479"/>
      <c r="S1479"/>
      <c r="T1479"/>
      <c r="U1479"/>
      <c r="V1479"/>
      <c r="W1479"/>
      <c r="X1479"/>
      <c r="Y1479"/>
    </row>
    <row r="1480" spans="2:25">
      <c r="B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R1480"/>
      <c r="S1480"/>
      <c r="T1480"/>
      <c r="U1480"/>
      <c r="V1480"/>
      <c r="W1480"/>
      <c r="X1480"/>
      <c r="Y1480"/>
    </row>
    <row r="1481" spans="2:25">
      <c r="B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R1481"/>
      <c r="S1481"/>
      <c r="T1481"/>
      <c r="U1481"/>
      <c r="V1481"/>
      <c r="W1481"/>
      <c r="X1481"/>
      <c r="Y1481"/>
    </row>
    <row r="1482" spans="2:25">
      <c r="B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R1482"/>
      <c r="S1482"/>
      <c r="T1482"/>
      <c r="U1482"/>
      <c r="V1482"/>
      <c r="W1482"/>
      <c r="X1482"/>
      <c r="Y1482"/>
    </row>
    <row r="1483" spans="2:25">
      <c r="B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R1483"/>
      <c r="S1483"/>
      <c r="T1483"/>
      <c r="U1483"/>
      <c r="V1483"/>
      <c r="W1483"/>
      <c r="X1483"/>
      <c r="Y1483"/>
    </row>
    <row r="1484" spans="2:25">
      <c r="B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R1484"/>
      <c r="S1484"/>
      <c r="T1484"/>
      <c r="U1484"/>
      <c r="V1484"/>
      <c r="W1484"/>
      <c r="X1484"/>
      <c r="Y1484"/>
    </row>
    <row r="1485" spans="2:25">
      <c r="B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R1485"/>
      <c r="S1485"/>
      <c r="T1485"/>
      <c r="U1485"/>
      <c r="V1485"/>
      <c r="W1485"/>
      <c r="X1485"/>
      <c r="Y1485"/>
    </row>
    <row r="1486" spans="2:25">
      <c r="B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R1486"/>
      <c r="S1486"/>
      <c r="T1486"/>
      <c r="U1486"/>
      <c r="V1486"/>
      <c r="W1486"/>
      <c r="X1486"/>
      <c r="Y1486"/>
    </row>
    <row r="1487" spans="2:25">
      <c r="B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R1487"/>
      <c r="S1487"/>
      <c r="T1487"/>
      <c r="U1487"/>
      <c r="V1487"/>
      <c r="W1487"/>
      <c r="X1487"/>
      <c r="Y1487"/>
    </row>
    <row r="1488" spans="2:25">
      <c r="B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R1488"/>
      <c r="S1488"/>
      <c r="T1488"/>
      <c r="U1488"/>
      <c r="V1488"/>
      <c r="W1488"/>
      <c r="X1488"/>
      <c r="Y1488"/>
    </row>
    <row r="1489" spans="2:25">
      <c r="B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R1489"/>
      <c r="S1489"/>
      <c r="T1489"/>
      <c r="U1489"/>
      <c r="V1489"/>
      <c r="W1489"/>
      <c r="X1489"/>
      <c r="Y1489"/>
    </row>
    <row r="1490" spans="2:25">
      <c r="B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R1490"/>
      <c r="S1490"/>
      <c r="T1490"/>
      <c r="U1490"/>
      <c r="V1490"/>
      <c r="W1490"/>
      <c r="X1490"/>
      <c r="Y1490"/>
    </row>
    <row r="1491" spans="2:25">
      <c r="B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R1491"/>
      <c r="S1491"/>
      <c r="T1491"/>
      <c r="U1491"/>
      <c r="V1491"/>
      <c r="W1491"/>
      <c r="X1491"/>
      <c r="Y1491"/>
    </row>
    <row r="1492" spans="2:25">
      <c r="B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R1492"/>
      <c r="S1492"/>
      <c r="T1492"/>
      <c r="U1492"/>
      <c r="V1492"/>
      <c r="W1492"/>
      <c r="X1492"/>
      <c r="Y1492"/>
    </row>
    <row r="1493" spans="2:25">
      <c r="B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R1493"/>
      <c r="S1493"/>
      <c r="T1493"/>
      <c r="U1493"/>
      <c r="V1493"/>
      <c r="W1493"/>
      <c r="X1493"/>
      <c r="Y1493"/>
    </row>
    <row r="1494" spans="2:25">
      <c r="B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R1494"/>
      <c r="S1494"/>
      <c r="T1494"/>
      <c r="U1494"/>
      <c r="V1494"/>
      <c r="W1494"/>
      <c r="X1494"/>
      <c r="Y1494"/>
    </row>
    <row r="1495" spans="2:25">
      <c r="B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R1495"/>
      <c r="S1495"/>
      <c r="T1495"/>
      <c r="U1495"/>
      <c r="V1495"/>
      <c r="W1495"/>
      <c r="X1495"/>
      <c r="Y1495"/>
    </row>
    <row r="1496" spans="2:25">
      <c r="B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R1496"/>
      <c r="S1496"/>
      <c r="T1496"/>
      <c r="U1496"/>
      <c r="V1496"/>
      <c r="W1496"/>
      <c r="X1496"/>
      <c r="Y1496"/>
    </row>
    <row r="1497" spans="2:25">
      <c r="B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R1497"/>
      <c r="S1497"/>
      <c r="T1497"/>
      <c r="U1497"/>
      <c r="V1497"/>
      <c r="W1497"/>
      <c r="X1497"/>
      <c r="Y1497"/>
    </row>
    <row r="1498" spans="2:25">
      <c r="B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R1498"/>
      <c r="S1498"/>
      <c r="T1498"/>
      <c r="U1498"/>
      <c r="V1498"/>
      <c r="W1498"/>
      <c r="X1498"/>
      <c r="Y1498"/>
    </row>
    <row r="1499" spans="2:25">
      <c r="B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R1499"/>
      <c r="S1499"/>
      <c r="T1499"/>
      <c r="U1499"/>
      <c r="V1499"/>
      <c r="W1499"/>
      <c r="X1499"/>
      <c r="Y1499"/>
    </row>
    <row r="1500" spans="2:25">
      <c r="B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R1500"/>
      <c r="S1500"/>
      <c r="T1500"/>
      <c r="U1500"/>
      <c r="V1500"/>
      <c r="W1500"/>
      <c r="X1500"/>
      <c r="Y1500"/>
    </row>
    <row r="1501" spans="2:25">
      <c r="B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R1501"/>
      <c r="S1501"/>
      <c r="T1501"/>
      <c r="U1501"/>
      <c r="V1501"/>
      <c r="W1501"/>
      <c r="X1501"/>
      <c r="Y1501"/>
    </row>
    <row r="1502" spans="2:25">
      <c r="B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R1502"/>
      <c r="S1502"/>
      <c r="T1502"/>
      <c r="U1502"/>
      <c r="V1502"/>
      <c r="W1502"/>
      <c r="X1502"/>
      <c r="Y1502"/>
    </row>
    <row r="1503" spans="2:25">
      <c r="B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R1503"/>
      <c r="S1503"/>
      <c r="T1503"/>
      <c r="U1503"/>
      <c r="V1503"/>
      <c r="W1503"/>
      <c r="X1503"/>
      <c r="Y1503"/>
    </row>
    <row r="1504" spans="2:25">
      <c r="B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R1504"/>
      <c r="S1504"/>
      <c r="T1504"/>
      <c r="U1504"/>
      <c r="V1504"/>
      <c r="W1504"/>
      <c r="X1504"/>
      <c r="Y1504"/>
    </row>
    <row r="1505" spans="2:25">
      <c r="B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R1505"/>
      <c r="S1505"/>
      <c r="T1505"/>
      <c r="U1505"/>
      <c r="V1505"/>
      <c r="W1505"/>
      <c r="X1505"/>
      <c r="Y1505"/>
    </row>
    <row r="1506" spans="2:25">
      <c r="B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R1506"/>
      <c r="S1506"/>
      <c r="T1506"/>
      <c r="U1506"/>
      <c r="V1506"/>
      <c r="W1506"/>
      <c r="X1506"/>
      <c r="Y1506"/>
    </row>
    <row r="1507" spans="2:25">
      <c r="B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R1507"/>
      <c r="S1507"/>
      <c r="T1507"/>
      <c r="U1507"/>
      <c r="V1507"/>
      <c r="W1507"/>
      <c r="X1507"/>
      <c r="Y1507"/>
    </row>
    <row r="1508" spans="2:25">
      <c r="B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R1508"/>
      <c r="S1508"/>
      <c r="T1508"/>
      <c r="U1508"/>
      <c r="V1508"/>
      <c r="W1508"/>
      <c r="X1508"/>
      <c r="Y1508"/>
    </row>
    <row r="1509" spans="2:25">
      <c r="B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R1509"/>
      <c r="S1509"/>
      <c r="T1509"/>
      <c r="U1509"/>
      <c r="V1509"/>
      <c r="W1509"/>
      <c r="X1509"/>
      <c r="Y1509"/>
    </row>
    <row r="1510" spans="2:25">
      <c r="B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R1510"/>
      <c r="S1510"/>
      <c r="T1510"/>
      <c r="U1510"/>
      <c r="V1510"/>
      <c r="W1510"/>
      <c r="X1510"/>
      <c r="Y1510"/>
    </row>
    <row r="1511" spans="2:25">
      <c r="B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R1511"/>
      <c r="S1511"/>
      <c r="T1511"/>
      <c r="U1511"/>
      <c r="V1511"/>
      <c r="W1511"/>
      <c r="X1511"/>
      <c r="Y1511"/>
    </row>
    <row r="1512" spans="2:25">
      <c r="B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R1512"/>
      <c r="S1512"/>
      <c r="T1512"/>
      <c r="U1512"/>
      <c r="V1512"/>
      <c r="W1512"/>
      <c r="X1512"/>
      <c r="Y1512"/>
    </row>
    <row r="1513" spans="2:25">
      <c r="B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R1513"/>
      <c r="S1513"/>
      <c r="T1513"/>
      <c r="U1513"/>
      <c r="V1513"/>
      <c r="W1513"/>
      <c r="X1513"/>
      <c r="Y1513"/>
    </row>
    <row r="1514" spans="2:25">
      <c r="B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R1514"/>
      <c r="S1514"/>
      <c r="T1514"/>
      <c r="U1514"/>
      <c r="V1514"/>
      <c r="W1514"/>
      <c r="X1514"/>
      <c r="Y1514"/>
    </row>
    <row r="1515" spans="2:25">
      <c r="B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R1515"/>
      <c r="S1515"/>
      <c r="T1515"/>
      <c r="U1515"/>
      <c r="V1515"/>
      <c r="W1515"/>
      <c r="X1515"/>
      <c r="Y1515"/>
    </row>
    <row r="1516" spans="2:25">
      <c r="B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R1516"/>
      <c r="S1516"/>
      <c r="T1516"/>
      <c r="U1516"/>
      <c r="V1516"/>
      <c r="W1516"/>
      <c r="X1516"/>
      <c r="Y1516"/>
    </row>
    <row r="1517" spans="2:25">
      <c r="B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R1517"/>
      <c r="S1517"/>
      <c r="T1517"/>
      <c r="U1517"/>
      <c r="V1517"/>
      <c r="W1517"/>
      <c r="X1517"/>
      <c r="Y1517"/>
    </row>
    <row r="1518" spans="2:25">
      <c r="B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R1518"/>
      <c r="S1518"/>
      <c r="T1518"/>
      <c r="U1518"/>
      <c r="V1518"/>
      <c r="W1518"/>
      <c r="X1518"/>
      <c r="Y1518"/>
    </row>
    <row r="1519" spans="2:25">
      <c r="B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R1519"/>
      <c r="S1519"/>
      <c r="T1519"/>
      <c r="U1519"/>
      <c r="V1519"/>
      <c r="W1519"/>
      <c r="X1519"/>
      <c r="Y1519"/>
    </row>
    <row r="1520" spans="2:25">
      <c r="B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R1520"/>
      <c r="S1520"/>
      <c r="T1520"/>
      <c r="U1520"/>
      <c r="V1520"/>
      <c r="W1520"/>
      <c r="X1520"/>
      <c r="Y1520"/>
    </row>
    <row r="1521" spans="2:25">
      <c r="B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R1521"/>
      <c r="S1521"/>
      <c r="T1521"/>
      <c r="U1521"/>
      <c r="V1521"/>
      <c r="W1521"/>
      <c r="X1521"/>
      <c r="Y1521"/>
    </row>
    <row r="1522" spans="2:25">
      <c r="B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R1522"/>
      <c r="S1522"/>
      <c r="T1522"/>
      <c r="U1522"/>
      <c r="V1522"/>
      <c r="W1522"/>
      <c r="X1522"/>
      <c r="Y1522"/>
    </row>
    <row r="1523" spans="2:25">
      <c r="B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R1523"/>
      <c r="S1523"/>
      <c r="T1523"/>
      <c r="U1523"/>
      <c r="V1523"/>
      <c r="W1523"/>
      <c r="X1523"/>
      <c r="Y1523"/>
    </row>
    <row r="1524" spans="2:25">
      <c r="B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R1524"/>
      <c r="S1524"/>
      <c r="T1524"/>
      <c r="U1524"/>
      <c r="V1524"/>
      <c r="W1524"/>
      <c r="X1524"/>
      <c r="Y1524"/>
    </row>
    <row r="1525" spans="2:25">
      <c r="B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R1525"/>
      <c r="S1525"/>
      <c r="T1525"/>
      <c r="U1525"/>
      <c r="V1525"/>
      <c r="W1525"/>
      <c r="X1525"/>
      <c r="Y1525"/>
    </row>
    <row r="1526" spans="2:25">
      <c r="B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R1526"/>
      <c r="S1526"/>
      <c r="T1526"/>
      <c r="U1526"/>
      <c r="V1526"/>
      <c r="W1526"/>
      <c r="X1526"/>
      <c r="Y1526"/>
    </row>
    <row r="1527" spans="2:25">
      <c r="B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R1527"/>
      <c r="S1527"/>
      <c r="T1527"/>
      <c r="U1527"/>
      <c r="V1527"/>
      <c r="W1527"/>
      <c r="X1527"/>
      <c r="Y1527"/>
    </row>
    <row r="1528" spans="2:25">
      <c r="B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R1528"/>
      <c r="S1528"/>
      <c r="T1528"/>
      <c r="U1528"/>
      <c r="V1528"/>
      <c r="W1528"/>
      <c r="X1528"/>
      <c r="Y1528"/>
    </row>
    <row r="1529" spans="2:25">
      <c r="B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R1529"/>
      <c r="S1529"/>
      <c r="T1529"/>
      <c r="U1529"/>
      <c r="V1529"/>
      <c r="W1529"/>
      <c r="X1529"/>
      <c r="Y1529"/>
    </row>
    <row r="1530" spans="2:25">
      <c r="B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R1530"/>
      <c r="S1530"/>
      <c r="T1530"/>
      <c r="U1530"/>
      <c r="V1530"/>
      <c r="W1530"/>
      <c r="X1530"/>
      <c r="Y1530"/>
    </row>
    <row r="1531" spans="2:25">
      <c r="B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R1531"/>
      <c r="S1531"/>
      <c r="T1531"/>
      <c r="U1531"/>
      <c r="V1531"/>
      <c r="W1531"/>
      <c r="X1531"/>
      <c r="Y1531"/>
    </row>
    <row r="1532" spans="2:25">
      <c r="B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R1532"/>
      <c r="S1532"/>
      <c r="T1532"/>
      <c r="U1532"/>
      <c r="V1532"/>
      <c r="W1532"/>
      <c r="X1532"/>
      <c r="Y1532"/>
    </row>
    <row r="1533" spans="2:25">
      <c r="B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R1533"/>
      <c r="S1533"/>
      <c r="T1533"/>
      <c r="U1533"/>
      <c r="V1533"/>
      <c r="W1533"/>
      <c r="X1533"/>
      <c r="Y1533"/>
    </row>
    <row r="1534" spans="2:25">
      <c r="B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R1534"/>
      <c r="S1534"/>
      <c r="T1534"/>
      <c r="U1534"/>
      <c r="V1534"/>
      <c r="W1534"/>
      <c r="X1534"/>
      <c r="Y1534"/>
    </row>
    <row r="1535" spans="2:25">
      <c r="B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R1535"/>
      <c r="S1535"/>
      <c r="T1535"/>
      <c r="U1535"/>
      <c r="V1535"/>
      <c r="W1535"/>
      <c r="X1535"/>
      <c r="Y1535"/>
    </row>
    <row r="1536" spans="2:25">
      <c r="B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R1536"/>
      <c r="S1536"/>
      <c r="T1536"/>
      <c r="U1536"/>
      <c r="V1536"/>
      <c r="W1536"/>
      <c r="X1536"/>
      <c r="Y1536"/>
    </row>
    <row r="1537" spans="2:25">
      <c r="B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R1537"/>
      <c r="S1537"/>
      <c r="T1537"/>
      <c r="U1537"/>
      <c r="V1537"/>
      <c r="W1537"/>
      <c r="X1537"/>
      <c r="Y1537"/>
    </row>
    <row r="1538" spans="2:25">
      <c r="B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R1538"/>
      <c r="S1538"/>
      <c r="T1538"/>
      <c r="U1538"/>
      <c r="V1538"/>
      <c r="W1538"/>
      <c r="X1538"/>
      <c r="Y1538"/>
    </row>
    <row r="1539" spans="2:25">
      <c r="B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R1539"/>
      <c r="S1539"/>
      <c r="T1539"/>
      <c r="U1539"/>
      <c r="V1539"/>
      <c r="W1539"/>
      <c r="X1539"/>
      <c r="Y1539"/>
    </row>
    <row r="1540" spans="2:25">
      <c r="B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R1540"/>
      <c r="S1540"/>
      <c r="T1540"/>
      <c r="U1540"/>
      <c r="V1540"/>
      <c r="W1540"/>
      <c r="X1540"/>
      <c r="Y1540"/>
    </row>
    <row r="1541" spans="2:25">
      <c r="B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R1541"/>
      <c r="S1541"/>
      <c r="T1541"/>
      <c r="U1541"/>
      <c r="V1541"/>
      <c r="W1541"/>
      <c r="X1541"/>
      <c r="Y1541"/>
    </row>
    <row r="1542" spans="2:25">
      <c r="B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R1542"/>
      <c r="S1542"/>
      <c r="T1542"/>
      <c r="U1542"/>
      <c r="V1542"/>
      <c r="W1542"/>
      <c r="X1542"/>
      <c r="Y1542"/>
    </row>
    <row r="1543" spans="2:25">
      <c r="B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R1543"/>
      <c r="S1543"/>
      <c r="T1543"/>
      <c r="U1543"/>
      <c r="V1543"/>
      <c r="W1543"/>
      <c r="X1543"/>
      <c r="Y1543"/>
    </row>
    <row r="1544" spans="2:25">
      <c r="B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R1544"/>
      <c r="S1544"/>
      <c r="T1544"/>
      <c r="U1544"/>
      <c r="V1544"/>
      <c r="W1544"/>
      <c r="X1544"/>
      <c r="Y1544"/>
    </row>
    <row r="1545" spans="2:25">
      <c r="B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R1545"/>
      <c r="S1545"/>
      <c r="T1545"/>
      <c r="U1545"/>
      <c r="V1545"/>
      <c r="W1545"/>
      <c r="X1545"/>
      <c r="Y1545"/>
    </row>
    <row r="1546" spans="2:25">
      <c r="B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R1546"/>
      <c r="S1546"/>
      <c r="T1546"/>
      <c r="U1546"/>
      <c r="V1546"/>
      <c r="W1546"/>
      <c r="X1546"/>
      <c r="Y1546"/>
    </row>
    <row r="1547" spans="2:25">
      <c r="B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R1547"/>
      <c r="S1547"/>
      <c r="T1547"/>
      <c r="U1547"/>
      <c r="V1547"/>
      <c r="W1547"/>
      <c r="X1547"/>
      <c r="Y1547"/>
    </row>
    <row r="1548" spans="2:25">
      <c r="B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R1548"/>
      <c r="S1548"/>
      <c r="T1548"/>
      <c r="U1548"/>
      <c r="V1548"/>
      <c r="W1548"/>
      <c r="X1548"/>
      <c r="Y1548"/>
    </row>
    <row r="1549" spans="2:25">
      <c r="B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R1549"/>
      <c r="S1549"/>
      <c r="T1549"/>
      <c r="U1549"/>
      <c r="V1549"/>
      <c r="W1549"/>
      <c r="X1549"/>
      <c r="Y1549"/>
    </row>
    <row r="1550" spans="2:25">
      <c r="B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R1550"/>
      <c r="S1550"/>
      <c r="T1550"/>
      <c r="U1550"/>
      <c r="V1550"/>
      <c r="W1550"/>
      <c r="X1550"/>
      <c r="Y1550"/>
    </row>
    <row r="1551" spans="2:25">
      <c r="B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R1551"/>
      <c r="S1551"/>
      <c r="T1551"/>
      <c r="U1551"/>
      <c r="V1551"/>
      <c r="W1551"/>
      <c r="X1551"/>
      <c r="Y1551"/>
    </row>
    <row r="1552" spans="2:25">
      <c r="B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R1552"/>
      <c r="S1552"/>
      <c r="T1552"/>
      <c r="U1552"/>
      <c r="V1552"/>
      <c r="W1552"/>
      <c r="X1552"/>
      <c r="Y1552"/>
    </row>
    <row r="1553" spans="2:25">
      <c r="B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R1553"/>
      <c r="S1553"/>
      <c r="T1553"/>
      <c r="U1553"/>
      <c r="V1553"/>
      <c r="W1553"/>
      <c r="X1553"/>
      <c r="Y1553"/>
    </row>
    <row r="1554" spans="2:25">
      <c r="B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R1554"/>
      <c r="S1554"/>
      <c r="T1554"/>
      <c r="U1554"/>
      <c r="V1554"/>
      <c r="W1554"/>
      <c r="X1554"/>
      <c r="Y1554"/>
    </row>
    <row r="1555" spans="2:25">
      <c r="B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R1555"/>
      <c r="S1555"/>
      <c r="T1555"/>
      <c r="U1555"/>
      <c r="V1555"/>
      <c r="W1555"/>
      <c r="X1555"/>
      <c r="Y1555"/>
    </row>
    <row r="1556" spans="2:25">
      <c r="B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R1556"/>
      <c r="S1556"/>
      <c r="T1556"/>
      <c r="U1556"/>
      <c r="V1556"/>
      <c r="W1556"/>
      <c r="X1556"/>
      <c r="Y1556"/>
    </row>
    <row r="1557" spans="2:25">
      <c r="B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R1557"/>
      <c r="S1557"/>
      <c r="T1557"/>
      <c r="U1557"/>
      <c r="V1557"/>
      <c r="W1557"/>
      <c r="X1557"/>
      <c r="Y1557"/>
    </row>
    <row r="1558" spans="2:25">
      <c r="B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R1558"/>
      <c r="S1558"/>
      <c r="T1558"/>
      <c r="U1558"/>
      <c r="V1558"/>
      <c r="W1558"/>
      <c r="X1558"/>
      <c r="Y1558"/>
    </row>
    <row r="1559" spans="2:25">
      <c r="B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R1559"/>
      <c r="S1559"/>
      <c r="T1559"/>
      <c r="U1559"/>
      <c r="V1559"/>
      <c r="W1559"/>
      <c r="X1559"/>
      <c r="Y1559"/>
    </row>
    <row r="1560" spans="2:25">
      <c r="B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R1560"/>
      <c r="S1560"/>
      <c r="T1560"/>
      <c r="U1560"/>
      <c r="V1560"/>
      <c r="W1560"/>
      <c r="X1560"/>
      <c r="Y1560"/>
    </row>
    <row r="1561" spans="2:25">
      <c r="B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R1561"/>
      <c r="S1561"/>
      <c r="T1561"/>
      <c r="U1561"/>
      <c r="V1561"/>
      <c r="W1561"/>
      <c r="X1561"/>
      <c r="Y1561"/>
    </row>
    <row r="1562" spans="2:25">
      <c r="B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R1562"/>
      <c r="S1562"/>
      <c r="T1562"/>
      <c r="U1562"/>
      <c r="V1562"/>
      <c r="W1562"/>
      <c r="X1562"/>
      <c r="Y1562"/>
    </row>
    <row r="1563" spans="2:25">
      <c r="B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R1563"/>
      <c r="S1563"/>
      <c r="T1563"/>
      <c r="U1563"/>
      <c r="V1563"/>
      <c r="W1563"/>
      <c r="X1563"/>
      <c r="Y1563"/>
    </row>
    <row r="1564" spans="2:25">
      <c r="B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R1564"/>
      <c r="S1564"/>
      <c r="T1564"/>
      <c r="U1564"/>
      <c r="V1564"/>
      <c r="W1564"/>
      <c r="X1564"/>
      <c r="Y1564"/>
    </row>
    <row r="1565" spans="2:25">
      <c r="B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R1565"/>
      <c r="S1565"/>
      <c r="T1565"/>
      <c r="U1565"/>
      <c r="V1565"/>
      <c r="W1565"/>
      <c r="X1565"/>
      <c r="Y1565"/>
    </row>
    <row r="1566" spans="2:25">
      <c r="B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R1566"/>
      <c r="S1566"/>
      <c r="T1566"/>
      <c r="U1566"/>
      <c r="V1566"/>
      <c r="W1566"/>
      <c r="X1566"/>
      <c r="Y1566"/>
    </row>
    <row r="1567" spans="2:25">
      <c r="B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R1567"/>
      <c r="S1567"/>
      <c r="T1567"/>
      <c r="U1567"/>
      <c r="V1567"/>
      <c r="W1567"/>
      <c r="X1567"/>
      <c r="Y1567"/>
    </row>
    <row r="1568" spans="2:25">
      <c r="B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R1568"/>
      <c r="S1568"/>
      <c r="T1568"/>
      <c r="U1568"/>
      <c r="V1568"/>
      <c r="W1568"/>
      <c r="X1568"/>
      <c r="Y1568"/>
    </row>
    <row r="1569" spans="2:25">
      <c r="B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R1569"/>
      <c r="S1569"/>
      <c r="T1569"/>
      <c r="U1569"/>
      <c r="V1569"/>
      <c r="W1569"/>
      <c r="X1569"/>
      <c r="Y1569"/>
    </row>
    <row r="1570" spans="2:25">
      <c r="B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R1570"/>
      <c r="S1570"/>
      <c r="T1570"/>
      <c r="U1570"/>
      <c r="V1570"/>
      <c r="W1570"/>
      <c r="X1570"/>
      <c r="Y1570"/>
    </row>
    <row r="1571" spans="2:25">
      <c r="B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R1571"/>
      <c r="S1571"/>
      <c r="T1571"/>
      <c r="U1571"/>
      <c r="V1571"/>
      <c r="W1571"/>
      <c r="X1571"/>
      <c r="Y1571"/>
    </row>
    <row r="1572" spans="2:25">
      <c r="B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R1572"/>
      <c r="S1572"/>
      <c r="T1572"/>
      <c r="U1572"/>
      <c r="V1572"/>
      <c r="W1572"/>
      <c r="X1572"/>
      <c r="Y1572"/>
    </row>
    <row r="1573" spans="2:25">
      <c r="B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R1573"/>
      <c r="S1573"/>
      <c r="T1573"/>
      <c r="U1573"/>
      <c r="V1573"/>
      <c r="W1573"/>
      <c r="X1573"/>
      <c r="Y1573"/>
    </row>
    <row r="1574" spans="2:25">
      <c r="B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R1574"/>
      <c r="S1574"/>
      <c r="T1574"/>
      <c r="U1574"/>
      <c r="V1574"/>
      <c r="W1574"/>
      <c r="X1574"/>
      <c r="Y1574"/>
    </row>
    <row r="1575" spans="2:25">
      <c r="B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R1575"/>
      <c r="S1575"/>
      <c r="T1575"/>
      <c r="U1575"/>
      <c r="V1575"/>
      <c r="W1575"/>
      <c r="X1575"/>
      <c r="Y1575"/>
    </row>
    <row r="1576" spans="2:25">
      <c r="B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R1576"/>
      <c r="S1576"/>
      <c r="T1576"/>
      <c r="U1576"/>
      <c r="V1576"/>
      <c r="W1576"/>
      <c r="X1576"/>
      <c r="Y1576"/>
    </row>
    <row r="1577" spans="2:25">
      <c r="B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R1577"/>
      <c r="S1577"/>
      <c r="T1577"/>
      <c r="U1577"/>
      <c r="V1577"/>
      <c r="W1577"/>
      <c r="X1577"/>
      <c r="Y1577"/>
    </row>
    <row r="1578" spans="2:25">
      <c r="B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R1578"/>
      <c r="S1578"/>
      <c r="T1578"/>
      <c r="U1578"/>
      <c r="V1578"/>
      <c r="W1578"/>
      <c r="X1578"/>
      <c r="Y1578"/>
    </row>
    <row r="1579" spans="2:25">
      <c r="B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R1579"/>
      <c r="S1579"/>
      <c r="T1579"/>
      <c r="U1579"/>
      <c r="V1579"/>
      <c r="W1579"/>
      <c r="X1579"/>
      <c r="Y1579"/>
    </row>
    <row r="1580" spans="2:25">
      <c r="B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R1580"/>
      <c r="S1580"/>
      <c r="T1580"/>
      <c r="U1580"/>
      <c r="V1580"/>
      <c r="W1580"/>
      <c r="X1580"/>
      <c r="Y1580"/>
    </row>
    <row r="1581" spans="2:25">
      <c r="B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R1581"/>
      <c r="S1581"/>
      <c r="T1581"/>
      <c r="U1581"/>
      <c r="V1581"/>
      <c r="W1581"/>
      <c r="X1581"/>
      <c r="Y1581"/>
    </row>
    <row r="1582" spans="2:25">
      <c r="B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R1582"/>
      <c r="S1582"/>
      <c r="T1582"/>
      <c r="U1582"/>
      <c r="V1582"/>
      <c r="W1582"/>
      <c r="X1582"/>
      <c r="Y1582"/>
    </row>
    <row r="1583" spans="2:25">
      <c r="B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R1583"/>
      <c r="S1583"/>
      <c r="T1583"/>
      <c r="U1583"/>
      <c r="V1583"/>
      <c r="W1583"/>
      <c r="X1583"/>
      <c r="Y1583"/>
    </row>
    <row r="1584" spans="2:25">
      <c r="B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R1584"/>
      <c r="S1584"/>
      <c r="T1584"/>
      <c r="U1584"/>
      <c r="V1584"/>
      <c r="W1584"/>
      <c r="X1584"/>
      <c r="Y1584"/>
    </row>
    <row r="1585" spans="2:25">
      <c r="B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R1585"/>
      <c r="S1585"/>
      <c r="T1585"/>
      <c r="U1585"/>
      <c r="V1585"/>
      <c r="W1585"/>
      <c r="X1585"/>
      <c r="Y1585"/>
    </row>
    <row r="1586" spans="2:25">
      <c r="B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R1586"/>
      <c r="S1586"/>
      <c r="T1586"/>
      <c r="U1586"/>
      <c r="V1586"/>
      <c r="W1586"/>
      <c r="X1586"/>
      <c r="Y1586"/>
    </row>
    <row r="1587" spans="2:25">
      <c r="B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R1587"/>
      <c r="S1587"/>
      <c r="T1587"/>
      <c r="U1587"/>
      <c r="V1587"/>
      <c r="W1587"/>
      <c r="X1587"/>
      <c r="Y1587"/>
    </row>
    <row r="1588" spans="2:25">
      <c r="B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R1588"/>
      <c r="S1588"/>
      <c r="T1588"/>
      <c r="U1588"/>
      <c r="V1588"/>
      <c r="W1588"/>
      <c r="X1588"/>
      <c r="Y1588"/>
    </row>
    <row r="1589" spans="2:25">
      <c r="B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R1589"/>
      <c r="S1589"/>
      <c r="T1589"/>
      <c r="U1589"/>
      <c r="V1589"/>
      <c r="W1589"/>
      <c r="X1589"/>
      <c r="Y1589"/>
    </row>
    <row r="1590" spans="2:25">
      <c r="B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R1590"/>
      <c r="S1590"/>
      <c r="T1590"/>
      <c r="U1590"/>
      <c r="V1590"/>
      <c r="W1590"/>
      <c r="X1590"/>
      <c r="Y1590"/>
    </row>
    <row r="1591" spans="2:25">
      <c r="B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R1591"/>
      <c r="S1591"/>
      <c r="T1591"/>
      <c r="U1591"/>
      <c r="V1591"/>
      <c r="W1591"/>
      <c r="X1591"/>
      <c r="Y1591"/>
    </row>
    <row r="1592" spans="2:25">
      <c r="B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R1592"/>
      <c r="S1592"/>
      <c r="T1592"/>
      <c r="U1592"/>
      <c r="V1592"/>
      <c r="W1592"/>
      <c r="X1592"/>
      <c r="Y1592"/>
    </row>
    <row r="1593" spans="2:25">
      <c r="B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R1593"/>
      <c r="S1593"/>
      <c r="T1593"/>
      <c r="U1593"/>
      <c r="V1593"/>
      <c r="W1593"/>
      <c r="X1593"/>
      <c r="Y1593"/>
    </row>
    <row r="1594" spans="2:25">
      <c r="B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R1594"/>
      <c r="S1594"/>
      <c r="T1594"/>
      <c r="U1594"/>
      <c r="V1594"/>
      <c r="W1594"/>
      <c r="X1594"/>
      <c r="Y1594"/>
    </row>
    <row r="1595" spans="2:25">
      <c r="B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R1595"/>
      <c r="S1595"/>
      <c r="T1595"/>
      <c r="U1595"/>
      <c r="V1595"/>
      <c r="W1595"/>
      <c r="X1595"/>
      <c r="Y1595"/>
    </row>
    <row r="1596" spans="2:25">
      <c r="B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R1596"/>
      <c r="S1596"/>
      <c r="T1596"/>
      <c r="U1596"/>
      <c r="V1596"/>
      <c r="W1596"/>
      <c r="X1596"/>
      <c r="Y1596"/>
    </row>
    <row r="1597" spans="2:25">
      <c r="B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R1597"/>
      <c r="S1597"/>
      <c r="T1597"/>
      <c r="U1597"/>
      <c r="V1597"/>
      <c r="W1597"/>
      <c r="X1597"/>
      <c r="Y1597"/>
    </row>
    <row r="1598" spans="2:25">
      <c r="B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R1598"/>
      <c r="S1598"/>
      <c r="T1598"/>
      <c r="U1598"/>
      <c r="V1598"/>
      <c r="W1598"/>
      <c r="X1598"/>
      <c r="Y1598"/>
    </row>
    <row r="1599" spans="2:25">
      <c r="B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R1599"/>
      <c r="S1599"/>
      <c r="T1599"/>
      <c r="U1599"/>
      <c r="V1599"/>
      <c r="W1599"/>
      <c r="X1599"/>
      <c r="Y1599"/>
    </row>
    <row r="1600" spans="2:25">
      <c r="B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R1600"/>
      <c r="S1600"/>
      <c r="T1600"/>
      <c r="U1600"/>
      <c r="V1600"/>
      <c r="W1600"/>
      <c r="X1600"/>
      <c r="Y1600"/>
    </row>
    <row r="1601" spans="2:25">
      <c r="B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R1601"/>
      <c r="S1601"/>
      <c r="T1601"/>
      <c r="U1601"/>
      <c r="V1601"/>
      <c r="W1601"/>
      <c r="X1601"/>
      <c r="Y1601"/>
    </row>
    <row r="1602" spans="2:25">
      <c r="B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R1602"/>
      <c r="S1602"/>
      <c r="T1602"/>
      <c r="U1602"/>
      <c r="V1602"/>
      <c r="W1602"/>
      <c r="X1602"/>
      <c r="Y1602"/>
    </row>
    <row r="1603" spans="2:25">
      <c r="B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R1603"/>
      <c r="S1603"/>
      <c r="T1603"/>
      <c r="U1603"/>
      <c r="V1603"/>
      <c r="W1603"/>
      <c r="X1603"/>
      <c r="Y1603"/>
    </row>
    <row r="1604" spans="2:25"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R1604"/>
      <c r="S1604"/>
      <c r="T1604"/>
      <c r="U1604"/>
      <c r="V1604"/>
      <c r="W1604"/>
      <c r="X1604"/>
      <c r="Y1604"/>
    </row>
    <row r="1605" spans="2:25">
      <c r="B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R1605"/>
      <c r="S1605"/>
      <c r="T1605"/>
      <c r="U1605"/>
      <c r="V1605"/>
      <c r="W1605"/>
      <c r="X1605"/>
      <c r="Y1605"/>
    </row>
    <row r="1606" spans="2:25">
      <c r="B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R1606"/>
      <c r="S1606"/>
      <c r="T1606"/>
      <c r="U1606"/>
      <c r="V1606"/>
      <c r="W1606"/>
      <c r="X1606"/>
      <c r="Y1606"/>
    </row>
    <row r="1607" spans="2:25">
      <c r="B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R1607"/>
      <c r="S1607"/>
      <c r="T1607"/>
      <c r="U1607"/>
      <c r="V1607"/>
      <c r="W1607"/>
      <c r="X1607"/>
      <c r="Y1607"/>
    </row>
    <row r="1608" spans="2:25">
      <c r="B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R1608"/>
      <c r="S1608"/>
      <c r="T1608"/>
      <c r="U1608"/>
      <c r="V1608"/>
      <c r="W1608"/>
      <c r="X1608"/>
      <c r="Y1608"/>
    </row>
    <row r="1609" spans="2:25">
      <c r="B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R1609"/>
      <c r="S1609"/>
      <c r="T1609"/>
      <c r="U1609"/>
      <c r="V1609"/>
      <c r="W1609"/>
      <c r="X1609"/>
      <c r="Y1609"/>
    </row>
    <row r="1610" spans="2:25">
      <c r="B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R1610"/>
      <c r="S1610"/>
      <c r="T1610"/>
      <c r="U1610"/>
      <c r="V1610"/>
      <c r="W1610"/>
      <c r="X1610"/>
      <c r="Y1610"/>
    </row>
    <row r="1611" spans="2:25">
      <c r="B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R1611"/>
      <c r="S1611"/>
      <c r="T1611"/>
      <c r="U1611"/>
      <c r="V1611"/>
      <c r="W1611"/>
      <c r="X1611"/>
      <c r="Y1611"/>
    </row>
    <row r="1612" spans="2:25">
      <c r="B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R1612"/>
      <c r="S1612"/>
      <c r="T1612"/>
      <c r="U1612"/>
      <c r="V1612"/>
      <c r="W1612"/>
      <c r="X1612"/>
      <c r="Y1612"/>
    </row>
    <row r="1613" spans="2:25">
      <c r="B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R1613"/>
      <c r="S1613"/>
      <c r="T1613"/>
      <c r="U1613"/>
      <c r="V1613"/>
      <c r="W1613"/>
      <c r="X1613"/>
      <c r="Y1613"/>
    </row>
    <row r="1614" spans="2:25">
      <c r="B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R1614"/>
      <c r="S1614"/>
      <c r="T1614"/>
      <c r="U1614"/>
      <c r="V1614"/>
      <c r="W1614"/>
      <c r="X1614"/>
      <c r="Y1614"/>
    </row>
    <row r="1615" spans="2:25">
      <c r="B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R1615"/>
      <c r="S1615"/>
      <c r="T1615"/>
      <c r="U1615"/>
      <c r="V1615"/>
      <c r="W1615"/>
      <c r="X1615"/>
      <c r="Y1615"/>
    </row>
    <row r="1616" spans="2:25">
      <c r="B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R1616"/>
      <c r="S1616"/>
      <c r="T1616"/>
      <c r="U1616"/>
      <c r="V1616"/>
      <c r="W1616"/>
      <c r="X1616"/>
      <c r="Y1616"/>
    </row>
    <row r="1617" spans="2:25">
      <c r="B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R1617"/>
      <c r="S1617"/>
      <c r="T1617"/>
      <c r="U1617"/>
      <c r="V1617"/>
      <c r="W1617"/>
      <c r="X1617"/>
      <c r="Y1617"/>
    </row>
    <row r="1618" spans="2:25">
      <c r="B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R1618"/>
      <c r="S1618"/>
      <c r="T1618"/>
      <c r="U1618"/>
      <c r="V1618"/>
      <c r="W1618"/>
      <c r="X1618"/>
      <c r="Y1618"/>
    </row>
    <row r="1619" spans="2:25">
      <c r="B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R1619"/>
      <c r="S1619"/>
      <c r="T1619"/>
      <c r="U1619"/>
      <c r="V1619"/>
      <c r="W1619"/>
      <c r="X1619"/>
      <c r="Y1619"/>
    </row>
    <row r="1620" spans="2:25">
      <c r="B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R1620"/>
      <c r="S1620"/>
      <c r="T1620"/>
      <c r="U1620"/>
      <c r="V1620"/>
      <c r="W1620"/>
      <c r="X1620"/>
      <c r="Y1620"/>
    </row>
    <row r="1621" spans="2:25">
      <c r="B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R1621"/>
      <c r="S1621"/>
      <c r="T1621"/>
      <c r="U1621"/>
      <c r="V1621"/>
      <c r="W1621"/>
      <c r="X1621"/>
      <c r="Y1621"/>
    </row>
    <row r="1622" spans="2:25">
      <c r="B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R1622"/>
      <c r="S1622"/>
      <c r="T1622"/>
      <c r="U1622"/>
      <c r="V1622"/>
      <c r="W1622"/>
      <c r="X1622"/>
      <c r="Y1622"/>
    </row>
    <row r="1623" spans="2:25">
      <c r="B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R1623"/>
      <c r="S1623"/>
      <c r="T1623"/>
      <c r="U1623"/>
      <c r="V1623"/>
      <c r="W1623"/>
      <c r="X1623"/>
      <c r="Y1623"/>
    </row>
    <row r="1624" spans="2:25">
      <c r="B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R1624"/>
      <c r="S1624"/>
      <c r="T1624"/>
      <c r="U1624"/>
      <c r="V1624"/>
      <c r="W1624"/>
      <c r="X1624"/>
      <c r="Y1624"/>
    </row>
    <row r="1625" spans="2:25">
      <c r="B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R1625"/>
      <c r="S1625"/>
      <c r="T1625"/>
      <c r="U1625"/>
      <c r="V1625"/>
      <c r="W1625"/>
      <c r="X1625"/>
      <c r="Y1625"/>
    </row>
    <row r="1626" spans="2:25">
      <c r="B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R1626"/>
      <c r="S1626"/>
      <c r="T1626"/>
      <c r="U1626"/>
      <c r="V1626"/>
      <c r="W1626"/>
      <c r="X1626"/>
      <c r="Y1626"/>
    </row>
    <row r="1627" spans="2:25">
      <c r="B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R1627"/>
      <c r="S1627"/>
      <c r="T1627"/>
      <c r="U1627"/>
      <c r="V1627"/>
      <c r="W1627"/>
      <c r="X1627"/>
      <c r="Y1627"/>
    </row>
    <row r="1628" spans="2:25">
      <c r="B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R1628"/>
      <c r="S1628"/>
      <c r="T1628"/>
      <c r="U1628"/>
      <c r="V1628"/>
      <c r="W1628"/>
      <c r="X1628"/>
      <c r="Y1628"/>
    </row>
    <row r="1629" spans="2:25">
      <c r="B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R1629"/>
      <c r="S1629"/>
      <c r="T1629"/>
      <c r="U1629"/>
      <c r="V1629"/>
      <c r="W1629"/>
      <c r="X1629"/>
      <c r="Y1629"/>
    </row>
    <row r="1630" spans="2:25">
      <c r="B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R1630"/>
      <c r="S1630"/>
      <c r="T1630"/>
      <c r="U1630"/>
      <c r="V1630"/>
      <c r="W1630"/>
      <c r="X1630"/>
      <c r="Y1630"/>
    </row>
    <row r="1631" spans="2:25">
      <c r="B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R1631"/>
      <c r="S1631"/>
      <c r="T1631"/>
      <c r="U1631"/>
      <c r="V1631"/>
      <c r="W1631"/>
      <c r="X1631"/>
      <c r="Y1631"/>
    </row>
    <row r="1632" spans="2:25">
      <c r="B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R1632"/>
      <c r="S1632"/>
      <c r="T1632"/>
      <c r="U1632"/>
      <c r="V1632"/>
      <c r="W1632"/>
      <c r="X1632"/>
      <c r="Y1632"/>
    </row>
    <row r="1633" spans="2:25">
      <c r="B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R1633"/>
      <c r="S1633"/>
      <c r="T1633"/>
      <c r="U1633"/>
      <c r="V1633"/>
      <c r="W1633"/>
      <c r="X1633"/>
      <c r="Y1633"/>
    </row>
    <row r="1634" spans="2:25">
      <c r="B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R1634"/>
      <c r="S1634"/>
      <c r="T1634"/>
      <c r="U1634"/>
      <c r="V1634"/>
      <c r="W1634"/>
      <c r="X1634"/>
      <c r="Y1634"/>
    </row>
    <row r="1635" spans="2:25">
      <c r="B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R1635"/>
      <c r="S1635"/>
      <c r="T1635"/>
      <c r="U1635"/>
      <c r="V1635"/>
      <c r="W1635"/>
      <c r="X1635"/>
      <c r="Y1635"/>
    </row>
    <row r="1636" spans="2:25">
      <c r="B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R1636"/>
      <c r="S1636"/>
      <c r="T1636"/>
      <c r="U1636"/>
      <c r="V1636"/>
      <c r="W1636"/>
      <c r="X1636"/>
      <c r="Y1636"/>
    </row>
    <row r="1637" spans="2:25">
      <c r="B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R1637"/>
      <c r="S1637"/>
      <c r="T1637"/>
      <c r="U1637"/>
      <c r="V1637"/>
      <c r="W1637"/>
      <c r="X1637"/>
      <c r="Y1637"/>
    </row>
    <row r="1638" spans="2:25">
      <c r="B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R1638"/>
      <c r="S1638"/>
      <c r="T1638"/>
      <c r="U1638"/>
      <c r="V1638"/>
      <c r="W1638"/>
      <c r="X1638"/>
      <c r="Y1638"/>
    </row>
    <row r="1639" spans="2:25">
      <c r="B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R1639"/>
      <c r="S1639"/>
      <c r="T1639"/>
      <c r="U1639"/>
      <c r="V1639"/>
      <c r="W1639"/>
      <c r="X1639"/>
      <c r="Y1639"/>
    </row>
    <row r="1640" spans="2:25">
      <c r="B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R1640"/>
      <c r="S1640"/>
      <c r="T1640"/>
      <c r="U1640"/>
      <c r="V1640"/>
      <c r="W1640"/>
      <c r="X1640"/>
      <c r="Y1640"/>
    </row>
    <row r="1641" spans="2:25">
      <c r="B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R1641"/>
      <c r="S1641"/>
      <c r="T1641"/>
      <c r="U1641"/>
      <c r="V1641"/>
      <c r="W1641"/>
      <c r="X1641"/>
      <c r="Y1641"/>
    </row>
    <row r="1642" spans="2:25">
      <c r="B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R1642"/>
      <c r="S1642"/>
      <c r="T1642"/>
      <c r="U1642"/>
      <c r="V1642"/>
      <c r="W1642"/>
      <c r="X1642"/>
      <c r="Y1642"/>
    </row>
    <row r="1643" spans="2:25">
      <c r="B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R1643"/>
      <c r="S1643"/>
      <c r="T1643"/>
      <c r="U1643"/>
      <c r="V1643"/>
      <c r="W1643"/>
      <c r="X1643"/>
      <c r="Y1643"/>
    </row>
    <row r="1644" spans="2:25">
      <c r="B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R1644"/>
      <c r="S1644"/>
      <c r="T1644"/>
      <c r="U1644"/>
      <c r="V1644"/>
      <c r="W1644"/>
      <c r="X1644"/>
      <c r="Y1644"/>
    </row>
    <row r="1645" spans="2:25">
      <c r="B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R1645"/>
      <c r="S1645"/>
      <c r="T1645"/>
      <c r="U1645"/>
      <c r="V1645"/>
      <c r="W1645"/>
      <c r="X1645"/>
      <c r="Y1645"/>
    </row>
    <row r="1646" spans="2:25">
      <c r="B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R1646"/>
      <c r="S1646"/>
      <c r="T1646"/>
      <c r="U1646"/>
      <c r="V1646"/>
      <c r="W1646"/>
      <c r="X1646"/>
      <c r="Y1646"/>
    </row>
    <row r="1647" spans="2:25">
      <c r="B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R1647"/>
      <c r="S1647"/>
      <c r="T1647"/>
      <c r="U1647"/>
      <c r="V1647"/>
      <c r="W1647"/>
      <c r="X1647"/>
      <c r="Y1647"/>
    </row>
    <row r="1648" spans="2:25">
      <c r="B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R1648"/>
      <c r="S1648"/>
      <c r="T1648"/>
      <c r="U1648"/>
      <c r="V1648"/>
      <c r="W1648"/>
      <c r="X1648"/>
      <c r="Y1648"/>
    </row>
    <row r="1649" spans="2:25">
      <c r="B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R1649"/>
      <c r="S1649"/>
      <c r="T1649"/>
      <c r="U1649"/>
      <c r="V1649"/>
      <c r="W1649"/>
      <c r="X1649"/>
      <c r="Y1649"/>
    </row>
    <row r="1650" spans="2:25">
      <c r="B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R1650"/>
      <c r="S1650"/>
      <c r="T1650"/>
      <c r="U1650"/>
      <c r="V1650"/>
      <c r="W1650"/>
      <c r="X1650"/>
      <c r="Y1650"/>
    </row>
    <row r="1651" spans="2:25">
      <c r="B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R1651"/>
      <c r="S1651"/>
      <c r="T1651"/>
      <c r="U1651"/>
      <c r="V1651"/>
      <c r="W1651"/>
      <c r="X1651"/>
      <c r="Y1651"/>
    </row>
    <row r="1652" spans="2:25">
      <c r="B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R1652"/>
      <c r="S1652"/>
      <c r="T1652"/>
      <c r="U1652"/>
      <c r="V1652"/>
      <c r="W1652"/>
      <c r="X1652"/>
      <c r="Y1652"/>
    </row>
    <row r="1653" spans="2:25">
      <c r="B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R1653"/>
      <c r="S1653"/>
      <c r="T1653"/>
      <c r="U1653"/>
      <c r="V1653"/>
      <c r="W1653"/>
      <c r="X1653"/>
      <c r="Y1653"/>
    </row>
    <row r="1654" spans="2:25">
      <c r="B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R1654"/>
      <c r="S1654"/>
      <c r="T1654"/>
      <c r="U1654"/>
      <c r="V1654"/>
      <c r="W1654"/>
      <c r="X1654"/>
      <c r="Y1654"/>
    </row>
    <row r="1655" spans="2:25">
      <c r="B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R1655"/>
      <c r="S1655"/>
      <c r="T1655"/>
      <c r="U1655"/>
      <c r="V1655"/>
      <c r="W1655"/>
      <c r="X1655"/>
      <c r="Y1655"/>
    </row>
    <row r="1656" spans="2:25">
      <c r="B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R1656"/>
      <c r="S1656"/>
      <c r="T1656"/>
      <c r="U1656"/>
      <c r="V1656"/>
      <c r="W1656"/>
      <c r="X1656"/>
      <c r="Y1656"/>
    </row>
    <row r="1657" spans="2:25">
      <c r="B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R1657"/>
      <c r="S1657"/>
      <c r="T1657"/>
      <c r="U1657"/>
      <c r="V1657"/>
      <c r="W1657"/>
      <c r="X1657"/>
      <c r="Y1657"/>
    </row>
    <row r="1658" spans="2:25">
      <c r="B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R1658"/>
      <c r="S1658"/>
      <c r="T1658"/>
      <c r="U1658"/>
      <c r="V1658"/>
      <c r="W1658"/>
      <c r="X1658"/>
      <c r="Y1658"/>
    </row>
    <row r="1659" spans="2:25">
      <c r="B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R1659"/>
      <c r="S1659"/>
      <c r="T1659"/>
      <c r="U1659"/>
      <c r="V1659"/>
      <c r="W1659"/>
      <c r="X1659"/>
      <c r="Y1659"/>
    </row>
    <row r="1660" spans="2:25">
      <c r="B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R1660"/>
      <c r="S1660"/>
      <c r="T1660"/>
      <c r="U1660"/>
      <c r="V1660"/>
      <c r="W1660"/>
      <c r="X1660"/>
      <c r="Y1660"/>
    </row>
    <row r="1661" spans="2:25">
      <c r="B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R1661"/>
      <c r="S1661"/>
      <c r="T1661"/>
      <c r="U1661"/>
      <c r="V1661"/>
      <c r="W1661"/>
      <c r="X1661"/>
      <c r="Y1661"/>
    </row>
    <row r="1662" spans="2:25">
      <c r="B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R1662"/>
      <c r="S1662"/>
      <c r="T1662"/>
      <c r="U1662"/>
      <c r="V1662"/>
      <c r="W1662"/>
      <c r="X1662"/>
      <c r="Y1662"/>
    </row>
    <row r="1663" spans="2:25">
      <c r="B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R1663"/>
      <c r="S1663"/>
      <c r="T1663"/>
      <c r="U1663"/>
      <c r="V1663"/>
      <c r="W1663"/>
      <c r="X1663"/>
      <c r="Y1663"/>
    </row>
    <row r="1664" spans="2:25">
      <c r="B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R1664"/>
      <c r="S1664"/>
      <c r="T1664"/>
      <c r="U1664"/>
      <c r="V1664"/>
      <c r="W1664"/>
      <c r="X1664"/>
      <c r="Y1664"/>
    </row>
    <row r="1665" spans="2:25">
      <c r="B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R1665"/>
      <c r="S1665"/>
      <c r="T1665"/>
      <c r="U1665"/>
      <c r="V1665"/>
      <c r="W1665"/>
      <c r="X1665"/>
      <c r="Y1665"/>
    </row>
    <row r="1666" spans="2:25">
      <c r="B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R1666"/>
      <c r="S1666"/>
      <c r="T1666"/>
      <c r="U1666"/>
      <c r="V1666"/>
      <c r="W1666"/>
      <c r="X1666"/>
      <c r="Y1666"/>
    </row>
    <row r="1667" spans="2:25">
      <c r="B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R1667"/>
      <c r="S1667"/>
      <c r="T1667"/>
      <c r="U1667"/>
      <c r="V1667"/>
      <c r="W1667"/>
      <c r="X1667"/>
      <c r="Y1667"/>
    </row>
    <row r="1668" spans="2:25">
      <c r="B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R1668"/>
      <c r="S1668"/>
      <c r="T1668"/>
      <c r="U1668"/>
      <c r="V1668"/>
      <c r="W1668"/>
      <c r="X1668"/>
      <c r="Y1668"/>
    </row>
    <row r="1669" spans="2:25">
      <c r="B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R1669"/>
      <c r="S1669"/>
      <c r="T1669"/>
      <c r="U1669"/>
      <c r="V1669"/>
      <c r="W1669"/>
      <c r="X1669"/>
      <c r="Y1669"/>
    </row>
    <row r="1670" spans="2:25">
      <c r="B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R1670"/>
      <c r="S1670"/>
      <c r="T1670"/>
      <c r="U1670"/>
      <c r="V1670"/>
      <c r="W1670"/>
      <c r="X1670"/>
      <c r="Y1670"/>
    </row>
    <row r="1671" spans="2:25">
      <c r="B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R1671"/>
      <c r="S1671"/>
      <c r="T1671"/>
      <c r="U1671"/>
      <c r="V1671"/>
      <c r="W1671"/>
      <c r="X1671"/>
      <c r="Y1671"/>
    </row>
    <row r="1672" spans="2:25">
      <c r="B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R1672"/>
      <c r="S1672"/>
      <c r="T1672"/>
      <c r="U1672"/>
      <c r="V1672"/>
      <c r="W1672"/>
      <c r="X1672"/>
      <c r="Y1672"/>
    </row>
    <row r="1673" spans="2:25">
      <c r="B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R1673"/>
      <c r="S1673"/>
      <c r="T1673"/>
      <c r="U1673"/>
      <c r="V1673"/>
      <c r="W1673"/>
      <c r="X1673"/>
      <c r="Y1673"/>
    </row>
    <row r="1674" spans="2:25">
      <c r="B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R1674"/>
      <c r="S1674"/>
      <c r="T1674"/>
      <c r="U1674"/>
      <c r="V1674"/>
      <c r="W1674"/>
      <c r="X1674"/>
      <c r="Y1674"/>
    </row>
    <row r="1675" spans="2:25">
      <c r="B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R1675"/>
      <c r="S1675"/>
      <c r="T1675"/>
      <c r="U1675"/>
      <c r="V1675"/>
      <c r="W1675"/>
      <c r="X1675"/>
      <c r="Y1675"/>
    </row>
    <row r="1676" spans="2:25">
      <c r="B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R1676"/>
      <c r="S1676"/>
      <c r="T1676"/>
      <c r="U1676"/>
      <c r="V1676"/>
      <c r="W1676"/>
      <c r="X1676"/>
      <c r="Y1676"/>
    </row>
    <row r="1677" spans="2:25">
      <c r="B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R1677"/>
      <c r="S1677"/>
      <c r="T1677"/>
      <c r="U1677"/>
      <c r="V1677"/>
      <c r="W1677"/>
      <c r="X1677"/>
      <c r="Y1677"/>
    </row>
    <row r="1678" spans="2:25">
      <c r="B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R1678"/>
      <c r="S1678"/>
      <c r="T1678"/>
      <c r="U1678"/>
      <c r="V1678"/>
      <c r="W1678"/>
      <c r="X1678"/>
      <c r="Y1678"/>
    </row>
    <row r="1679" spans="2:25">
      <c r="B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R1679"/>
      <c r="S1679"/>
      <c r="T1679"/>
      <c r="U1679"/>
      <c r="V1679"/>
      <c r="W1679"/>
      <c r="X1679"/>
      <c r="Y1679"/>
    </row>
    <row r="1680" spans="2:25">
      <c r="B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R1680"/>
      <c r="S1680"/>
      <c r="T1680"/>
      <c r="U1680"/>
      <c r="V1680"/>
      <c r="W1680"/>
      <c r="X1680"/>
      <c r="Y1680"/>
    </row>
    <row r="1681" spans="2:25">
      <c r="B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R1681"/>
      <c r="S1681"/>
      <c r="T1681"/>
      <c r="U1681"/>
      <c r="V1681"/>
      <c r="W1681"/>
      <c r="X1681"/>
      <c r="Y1681"/>
    </row>
    <row r="1682" spans="2:25">
      <c r="B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R1682"/>
      <c r="S1682"/>
      <c r="T1682"/>
      <c r="U1682"/>
      <c r="V1682"/>
      <c r="W1682"/>
      <c r="X1682"/>
      <c r="Y1682"/>
    </row>
    <row r="1683" spans="2:25">
      <c r="B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R1683"/>
      <c r="S1683"/>
      <c r="T1683"/>
      <c r="U1683"/>
      <c r="V1683"/>
      <c r="W1683"/>
      <c r="X1683"/>
      <c r="Y1683"/>
    </row>
    <row r="1684" spans="2:25">
      <c r="B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R1684"/>
      <c r="S1684"/>
      <c r="T1684"/>
      <c r="U1684"/>
      <c r="V1684"/>
      <c r="W1684"/>
      <c r="X1684"/>
      <c r="Y1684"/>
    </row>
    <row r="1685" spans="2:25">
      <c r="B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R1685"/>
      <c r="S1685"/>
      <c r="T1685"/>
      <c r="U1685"/>
      <c r="V1685"/>
      <c r="W1685"/>
      <c r="X1685"/>
      <c r="Y1685"/>
    </row>
    <row r="1686" spans="2:25">
      <c r="B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R1686"/>
      <c r="S1686"/>
      <c r="T1686"/>
      <c r="U1686"/>
      <c r="V1686"/>
      <c r="W1686"/>
      <c r="X1686"/>
      <c r="Y1686"/>
    </row>
    <row r="1687" spans="2:25">
      <c r="B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R1687"/>
      <c r="S1687"/>
      <c r="T1687"/>
      <c r="U1687"/>
      <c r="V1687"/>
      <c r="W1687"/>
      <c r="X1687"/>
      <c r="Y1687"/>
    </row>
    <row r="1688" spans="2:25">
      <c r="B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R1688"/>
      <c r="S1688"/>
      <c r="T1688"/>
      <c r="U1688"/>
      <c r="V1688"/>
      <c r="W1688"/>
      <c r="X1688"/>
      <c r="Y1688"/>
    </row>
    <row r="1689" spans="2:25">
      <c r="B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R1689"/>
      <c r="S1689"/>
      <c r="T1689"/>
      <c r="U1689"/>
      <c r="V1689"/>
      <c r="W1689"/>
      <c r="X1689"/>
      <c r="Y1689"/>
    </row>
    <row r="1690" spans="2:25">
      <c r="B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R1690"/>
      <c r="S1690"/>
      <c r="T1690"/>
      <c r="U1690"/>
      <c r="V1690"/>
      <c r="W1690"/>
      <c r="X1690"/>
      <c r="Y1690"/>
    </row>
    <row r="1691" spans="2:25">
      <c r="B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R1691"/>
      <c r="S1691"/>
      <c r="T1691"/>
      <c r="U1691"/>
      <c r="V1691"/>
      <c r="W1691"/>
      <c r="X1691"/>
      <c r="Y1691"/>
    </row>
    <row r="1692" spans="2:25">
      <c r="B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R1692"/>
      <c r="S1692"/>
      <c r="T1692"/>
      <c r="U1692"/>
      <c r="V1692"/>
      <c r="W1692"/>
      <c r="X1692"/>
      <c r="Y1692"/>
    </row>
    <row r="1693" spans="2:25">
      <c r="B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R1693"/>
      <c r="S1693"/>
      <c r="T1693"/>
      <c r="U1693"/>
      <c r="V1693"/>
      <c r="W1693"/>
      <c r="X1693"/>
      <c r="Y1693"/>
    </row>
    <row r="1694" spans="2:25">
      <c r="B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R1694"/>
      <c r="S1694"/>
      <c r="T1694"/>
      <c r="U1694"/>
      <c r="V1694"/>
      <c r="W1694"/>
      <c r="X1694"/>
      <c r="Y1694"/>
    </row>
    <row r="1695" spans="2:25">
      <c r="B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R1695"/>
      <c r="S1695"/>
      <c r="T1695"/>
      <c r="U1695"/>
      <c r="V1695"/>
      <c r="W1695"/>
      <c r="X1695"/>
      <c r="Y1695"/>
    </row>
    <row r="1696" spans="2:25">
      <c r="B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R1696"/>
      <c r="S1696"/>
      <c r="T1696"/>
      <c r="U1696"/>
      <c r="V1696"/>
      <c r="W1696"/>
      <c r="X1696"/>
      <c r="Y1696"/>
    </row>
    <row r="1697" spans="2:25">
      <c r="B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R1697"/>
      <c r="S1697"/>
      <c r="T1697"/>
      <c r="U1697"/>
      <c r="V1697"/>
      <c r="W1697"/>
      <c r="X1697"/>
      <c r="Y1697"/>
    </row>
    <row r="1698" spans="2:25">
      <c r="B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R1698"/>
      <c r="S1698"/>
      <c r="T1698"/>
      <c r="U1698"/>
      <c r="V1698"/>
      <c r="W1698"/>
      <c r="X1698"/>
      <c r="Y1698"/>
    </row>
    <row r="1699" spans="2:25">
      <c r="B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R1699"/>
      <c r="S1699"/>
      <c r="T1699"/>
      <c r="U1699"/>
      <c r="V1699"/>
      <c r="W1699"/>
      <c r="X1699"/>
      <c r="Y1699"/>
    </row>
    <row r="1700" spans="2:25">
      <c r="B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R1700"/>
      <c r="S1700"/>
      <c r="T1700"/>
      <c r="U1700"/>
      <c r="V1700"/>
      <c r="W1700"/>
      <c r="X1700"/>
      <c r="Y1700"/>
    </row>
    <row r="1701" spans="2:25">
      <c r="B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R1701"/>
      <c r="S1701"/>
      <c r="T1701"/>
      <c r="U1701"/>
      <c r="V1701"/>
      <c r="W1701"/>
      <c r="X1701"/>
      <c r="Y1701"/>
    </row>
    <row r="1702" spans="2:25">
      <c r="B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R1702"/>
      <c r="S1702"/>
      <c r="T1702"/>
      <c r="U1702"/>
      <c r="V1702"/>
      <c r="W1702"/>
      <c r="X1702"/>
      <c r="Y1702"/>
    </row>
    <row r="1703" spans="2:25">
      <c r="B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R1703"/>
      <c r="S1703"/>
      <c r="T1703"/>
      <c r="U1703"/>
      <c r="V1703"/>
      <c r="W1703"/>
      <c r="X1703"/>
      <c r="Y1703"/>
    </row>
    <row r="1704" spans="2:25">
      <c r="B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R1704"/>
      <c r="S1704"/>
      <c r="T1704"/>
      <c r="U1704"/>
      <c r="V1704"/>
      <c r="W1704"/>
      <c r="X1704"/>
      <c r="Y1704"/>
    </row>
    <row r="1705" spans="2:25">
      <c r="B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R1705"/>
      <c r="S1705"/>
      <c r="T1705"/>
      <c r="U1705"/>
      <c r="V1705"/>
      <c r="W1705"/>
      <c r="X1705"/>
      <c r="Y1705"/>
    </row>
    <row r="1706" spans="2:25">
      <c r="B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R1706"/>
      <c r="S1706"/>
      <c r="T1706"/>
      <c r="U1706"/>
      <c r="V1706"/>
      <c r="W1706"/>
      <c r="X1706"/>
      <c r="Y1706"/>
    </row>
    <row r="1707" spans="2:25">
      <c r="B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R1707"/>
      <c r="S1707"/>
      <c r="T1707"/>
      <c r="U1707"/>
      <c r="V1707"/>
      <c r="W1707"/>
      <c r="X1707"/>
      <c r="Y1707"/>
    </row>
    <row r="1708" spans="2:25">
      <c r="B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R1708"/>
      <c r="S1708"/>
      <c r="T1708"/>
      <c r="U1708"/>
      <c r="V1708"/>
      <c r="W1708"/>
      <c r="X1708"/>
      <c r="Y1708"/>
    </row>
    <row r="1709" spans="2:25">
      <c r="B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R1709"/>
      <c r="S1709"/>
      <c r="T1709"/>
      <c r="U1709"/>
      <c r="V1709"/>
      <c r="W1709"/>
      <c r="X1709"/>
      <c r="Y1709"/>
    </row>
    <row r="1710" spans="2:25">
      <c r="B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R1710"/>
      <c r="S1710"/>
      <c r="T1710"/>
      <c r="U1710"/>
      <c r="V1710"/>
      <c r="W1710"/>
      <c r="X1710"/>
      <c r="Y1710"/>
    </row>
    <row r="1711" spans="2:25">
      <c r="B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R1711"/>
      <c r="S1711"/>
      <c r="T1711"/>
      <c r="U1711"/>
      <c r="V1711"/>
      <c r="W1711"/>
      <c r="X1711"/>
      <c r="Y1711"/>
    </row>
    <row r="1712" spans="2:25">
      <c r="B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R1712"/>
      <c r="S1712"/>
      <c r="T1712"/>
      <c r="U1712"/>
      <c r="V1712"/>
      <c r="W1712"/>
      <c r="X1712"/>
      <c r="Y1712"/>
    </row>
    <row r="1713" spans="2:25">
      <c r="B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R1713"/>
      <c r="S1713"/>
      <c r="T1713"/>
      <c r="U1713"/>
      <c r="V1713"/>
      <c r="W1713"/>
      <c r="X1713"/>
      <c r="Y1713"/>
    </row>
    <row r="1714" spans="2:25">
      <c r="B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R1714"/>
      <c r="S1714"/>
      <c r="T1714"/>
      <c r="U1714"/>
      <c r="V1714"/>
      <c r="W1714"/>
      <c r="X1714"/>
      <c r="Y1714"/>
    </row>
    <row r="1715" spans="2:25">
      <c r="B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R1715"/>
      <c r="S1715"/>
      <c r="T1715"/>
      <c r="U1715"/>
      <c r="V1715"/>
      <c r="W1715"/>
      <c r="X1715"/>
      <c r="Y1715"/>
    </row>
    <row r="1716" spans="2:25">
      <c r="B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R1716"/>
      <c r="S1716"/>
      <c r="T1716"/>
      <c r="U1716"/>
      <c r="V1716"/>
      <c r="W1716"/>
      <c r="X1716"/>
      <c r="Y1716"/>
    </row>
    <row r="1717" spans="2:25">
      <c r="B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R1717"/>
      <c r="S1717"/>
      <c r="T1717"/>
      <c r="U1717"/>
      <c r="V1717"/>
      <c r="W1717"/>
      <c r="X1717"/>
      <c r="Y1717"/>
    </row>
    <row r="1718" spans="2:25">
      <c r="B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R1718"/>
      <c r="S1718"/>
      <c r="T1718"/>
      <c r="U1718"/>
      <c r="V1718"/>
      <c r="W1718"/>
      <c r="X1718"/>
      <c r="Y1718"/>
    </row>
    <row r="1719" spans="2:25">
      <c r="B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R1719"/>
      <c r="S1719"/>
      <c r="T1719"/>
      <c r="U1719"/>
      <c r="V1719"/>
      <c r="W1719"/>
      <c r="X1719"/>
      <c r="Y1719"/>
    </row>
    <row r="1720" spans="2:25">
      <c r="B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R1720"/>
      <c r="S1720"/>
      <c r="T1720"/>
      <c r="U1720"/>
      <c r="V1720"/>
      <c r="W1720"/>
      <c r="X1720"/>
      <c r="Y1720"/>
    </row>
    <row r="1721" spans="2:25">
      <c r="B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R1721"/>
      <c r="S1721"/>
      <c r="T1721"/>
      <c r="U1721"/>
      <c r="V1721"/>
      <c r="W1721"/>
      <c r="X1721"/>
      <c r="Y1721"/>
    </row>
    <row r="1722" spans="2:25">
      <c r="B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R1722"/>
      <c r="S1722"/>
      <c r="T1722"/>
      <c r="U1722"/>
      <c r="V1722"/>
      <c r="W1722"/>
      <c r="X1722"/>
      <c r="Y1722"/>
    </row>
    <row r="1723" spans="2:25">
      <c r="B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R1723"/>
      <c r="S1723"/>
      <c r="T1723"/>
      <c r="U1723"/>
      <c r="V1723"/>
      <c r="W1723"/>
      <c r="X1723"/>
      <c r="Y1723"/>
    </row>
    <row r="1724" spans="2:25">
      <c r="B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R1724"/>
      <c r="S1724"/>
      <c r="T1724"/>
      <c r="U1724"/>
      <c r="V1724"/>
      <c r="W1724"/>
      <c r="X1724"/>
      <c r="Y1724"/>
    </row>
    <row r="1725" spans="2:25">
      <c r="B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R1725"/>
      <c r="S1725"/>
      <c r="T1725"/>
      <c r="U1725"/>
      <c r="V1725"/>
      <c r="W1725"/>
      <c r="X1725"/>
      <c r="Y1725"/>
    </row>
    <row r="1726" spans="2:25">
      <c r="B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R1726"/>
      <c r="S1726"/>
      <c r="T1726"/>
      <c r="U1726"/>
      <c r="V1726"/>
      <c r="W1726"/>
      <c r="X1726"/>
      <c r="Y1726"/>
    </row>
    <row r="1727" spans="2:25">
      <c r="B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R1727"/>
      <c r="S1727"/>
      <c r="T1727"/>
      <c r="U1727"/>
      <c r="V1727"/>
      <c r="W1727"/>
      <c r="X1727"/>
      <c r="Y1727"/>
    </row>
    <row r="1728" spans="2:25">
      <c r="B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R1728"/>
      <c r="S1728"/>
      <c r="T1728"/>
      <c r="U1728"/>
      <c r="V1728"/>
      <c r="W1728"/>
      <c r="X1728"/>
      <c r="Y1728"/>
    </row>
    <row r="1729" spans="2:25">
      <c r="B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R1729"/>
      <c r="S1729"/>
      <c r="T1729"/>
      <c r="U1729"/>
      <c r="V1729"/>
      <c r="W1729"/>
      <c r="X1729"/>
      <c r="Y1729"/>
    </row>
    <row r="1730" spans="2:25">
      <c r="B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R1730"/>
      <c r="S1730"/>
      <c r="T1730"/>
      <c r="U1730"/>
      <c r="V1730"/>
      <c r="W1730"/>
      <c r="X1730"/>
      <c r="Y1730"/>
    </row>
    <row r="1731" spans="2:25">
      <c r="B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R1731"/>
      <c r="S1731"/>
      <c r="T1731"/>
      <c r="U1731"/>
      <c r="V1731"/>
      <c r="W1731"/>
      <c r="X1731"/>
      <c r="Y1731"/>
    </row>
    <row r="1732" spans="2:25">
      <c r="B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R1732"/>
      <c r="S1732"/>
      <c r="T1732"/>
      <c r="U1732"/>
      <c r="V1732"/>
      <c r="W1732"/>
      <c r="X1732"/>
      <c r="Y1732"/>
    </row>
    <row r="1733" spans="2:25">
      <c r="B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R1733"/>
      <c r="S1733"/>
      <c r="T1733"/>
      <c r="U1733"/>
      <c r="V1733"/>
      <c r="W1733"/>
      <c r="X1733"/>
      <c r="Y1733"/>
    </row>
    <row r="1734" spans="2:25">
      <c r="B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R1734"/>
      <c r="S1734"/>
      <c r="T1734"/>
      <c r="U1734"/>
      <c r="V1734"/>
      <c r="W1734"/>
      <c r="X1734"/>
      <c r="Y1734"/>
    </row>
    <row r="1735" spans="2:25">
      <c r="B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R1735"/>
      <c r="S1735"/>
      <c r="T1735"/>
      <c r="U1735"/>
      <c r="V1735"/>
      <c r="W1735"/>
      <c r="X1735"/>
      <c r="Y1735"/>
    </row>
    <row r="1736" spans="2:25">
      <c r="B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R1736"/>
      <c r="S1736"/>
      <c r="T1736"/>
      <c r="U1736"/>
      <c r="V1736"/>
      <c r="W1736"/>
      <c r="X1736"/>
      <c r="Y1736"/>
    </row>
    <row r="1737" spans="2:25">
      <c r="B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R1737"/>
      <c r="S1737"/>
      <c r="T1737"/>
      <c r="U1737"/>
      <c r="V1737"/>
      <c r="W1737"/>
      <c r="X1737"/>
      <c r="Y1737"/>
    </row>
    <row r="1738" spans="2:25">
      <c r="B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R1738"/>
      <c r="S1738"/>
      <c r="T1738"/>
      <c r="U1738"/>
      <c r="V1738"/>
      <c r="W1738"/>
      <c r="X1738"/>
      <c r="Y1738"/>
    </row>
    <row r="1739" spans="2:25">
      <c r="B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R1739"/>
      <c r="S1739"/>
      <c r="T1739"/>
      <c r="U1739"/>
      <c r="V1739"/>
      <c r="W1739"/>
      <c r="X1739"/>
      <c r="Y1739"/>
    </row>
    <row r="1740" spans="2:25">
      <c r="B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R1740"/>
      <c r="S1740"/>
      <c r="T1740"/>
      <c r="U1740"/>
      <c r="V1740"/>
      <c r="W1740"/>
      <c r="X1740"/>
      <c r="Y1740"/>
    </row>
    <row r="1741" spans="2:25">
      <c r="B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R1741"/>
      <c r="S1741"/>
      <c r="T1741"/>
      <c r="U1741"/>
      <c r="V1741"/>
      <c r="W1741"/>
      <c r="X1741"/>
      <c r="Y1741"/>
    </row>
    <row r="1742" spans="2:25">
      <c r="B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R1742"/>
      <c r="S1742"/>
      <c r="T1742"/>
      <c r="U1742"/>
      <c r="V1742"/>
      <c r="W1742"/>
      <c r="X1742"/>
      <c r="Y1742"/>
    </row>
    <row r="1743" spans="2:25">
      <c r="B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R1743"/>
      <c r="S1743"/>
      <c r="T1743"/>
      <c r="U1743"/>
      <c r="V1743"/>
      <c r="W1743"/>
      <c r="X1743"/>
      <c r="Y1743"/>
    </row>
    <row r="1744" spans="2:25">
      <c r="B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R1744"/>
      <c r="S1744"/>
      <c r="T1744"/>
      <c r="U1744"/>
      <c r="V1744"/>
      <c r="W1744"/>
      <c r="X1744"/>
      <c r="Y1744"/>
    </row>
    <row r="1745" spans="2:25">
      <c r="B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R1745"/>
      <c r="S1745"/>
      <c r="T1745"/>
      <c r="U1745"/>
      <c r="V1745"/>
      <c r="W1745"/>
      <c r="X1745"/>
      <c r="Y1745"/>
    </row>
    <row r="1746" spans="2:25">
      <c r="B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R1746"/>
      <c r="S1746"/>
      <c r="T1746"/>
      <c r="U1746"/>
      <c r="V1746"/>
      <c r="W1746"/>
      <c r="X1746"/>
      <c r="Y1746"/>
    </row>
    <row r="1747" spans="2:25">
      <c r="B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R1747"/>
      <c r="S1747"/>
      <c r="T1747"/>
      <c r="U1747"/>
      <c r="V1747"/>
      <c r="W1747"/>
      <c r="X1747"/>
      <c r="Y1747"/>
    </row>
    <row r="1748" spans="2:25">
      <c r="B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R1748"/>
      <c r="S1748"/>
      <c r="T1748"/>
      <c r="U1748"/>
      <c r="V1748"/>
      <c r="W1748"/>
      <c r="X1748"/>
      <c r="Y1748"/>
    </row>
    <row r="1749" spans="2:25">
      <c r="B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R1749"/>
      <c r="S1749"/>
      <c r="T1749"/>
      <c r="U1749"/>
      <c r="V1749"/>
      <c r="W1749"/>
      <c r="X1749"/>
      <c r="Y1749"/>
    </row>
    <row r="1750" spans="2:25">
      <c r="B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R1750"/>
      <c r="S1750"/>
      <c r="T1750"/>
      <c r="U1750"/>
      <c r="V1750"/>
      <c r="W1750"/>
      <c r="X1750"/>
      <c r="Y1750"/>
    </row>
    <row r="1751" spans="2:25">
      <c r="B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R1751"/>
      <c r="S1751"/>
      <c r="T1751"/>
      <c r="U1751"/>
      <c r="V1751"/>
      <c r="W1751"/>
      <c r="X1751"/>
      <c r="Y1751"/>
    </row>
    <row r="1752" spans="2:25">
      <c r="B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R1752"/>
      <c r="S1752"/>
      <c r="T1752"/>
      <c r="U1752"/>
      <c r="V1752"/>
      <c r="W1752"/>
      <c r="X1752"/>
      <c r="Y1752"/>
    </row>
    <row r="1753" spans="2:25">
      <c r="B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R1753"/>
      <c r="S1753"/>
      <c r="T1753"/>
      <c r="U1753"/>
      <c r="V1753"/>
      <c r="W1753"/>
      <c r="X1753"/>
      <c r="Y1753"/>
    </row>
    <row r="1754" spans="2:25">
      <c r="B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R1754"/>
      <c r="S1754"/>
      <c r="T1754"/>
      <c r="U1754"/>
      <c r="V1754"/>
      <c r="W1754"/>
      <c r="X1754"/>
      <c r="Y1754"/>
    </row>
    <row r="1755" spans="2:25">
      <c r="B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R1755"/>
      <c r="S1755"/>
      <c r="T1755"/>
      <c r="U1755"/>
      <c r="V1755"/>
      <c r="W1755"/>
      <c r="X1755"/>
      <c r="Y1755"/>
    </row>
    <row r="1756" spans="2:25">
      <c r="B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R1756"/>
      <c r="S1756"/>
      <c r="T1756"/>
      <c r="U1756"/>
      <c r="V1756"/>
      <c r="W1756"/>
      <c r="X1756"/>
      <c r="Y1756"/>
    </row>
    <row r="1757" spans="2:25">
      <c r="B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R1757"/>
      <c r="S1757"/>
      <c r="T1757"/>
      <c r="U1757"/>
      <c r="V1757"/>
      <c r="W1757"/>
      <c r="X1757"/>
      <c r="Y1757"/>
    </row>
    <row r="1758" spans="2:25">
      <c r="B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R1758"/>
      <c r="S1758"/>
      <c r="T1758"/>
      <c r="U1758"/>
      <c r="V1758"/>
      <c r="W1758"/>
      <c r="X1758"/>
      <c r="Y1758"/>
    </row>
    <row r="1759" spans="2:25">
      <c r="B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R1759"/>
      <c r="S1759"/>
      <c r="T1759"/>
      <c r="U1759"/>
      <c r="V1759"/>
      <c r="W1759"/>
      <c r="X1759"/>
      <c r="Y1759"/>
    </row>
    <row r="1760" spans="2:25">
      <c r="B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R1760"/>
      <c r="S1760"/>
      <c r="T1760"/>
      <c r="U1760"/>
      <c r="V1760"/>
      <c r="W1760"/>
      <c r="X1760"/>
      <c r="Y1760"/>
    </row>
    <row r="1761" spans="2:25">
      <c r="B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R1761"/>
      <c r="S1761"/>
      <c r="T1761"/>
      <c r="U1761"/>
      <c r="V1761"/>
      <c r="W1761"/>
      <c r="X1761"/>
      <c r="Y1761"/>
    </row>
    <row r="1762" spans="2:25">
      <c r="B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R1762"/>
      <c r="S1762"/>
      <c r="T1762"/>
      <c r="U1762"/>
      <c r="V1762"/>
      <c r="W1762"/>
      <c r="X1762"/>
      <c r="Y1762"/>
    </row>
    <row r="1763" spans="2:25">
      <c r="B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R1763"/>
      <c r="S1763"/>
      <c r="T1763"/>
      <c r="U1763"/>
      <c r="V1763"/>
      <c r="W1763"/>
      <c r="X1763"/>
      <c r="Y1763"/>
    </row>
    <row r="1764" spans="2:25">
      <c r="B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R1764"/>
      <c r="S1764"/>
      <c r="T1764"/>
      <c r="U1764"/>
      <c r="V1764"/>
      <c r="W1764"/>
      <c r="X1764"/>
      <c r="Y1764"/>
    </row>
    <row r="1765" spans="2:25">
      <c r="B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R1765"/>
      <c r="S1765"/>
      <c r="T1765"/>
      <c r="U1765"/>
      <c r="V1765"/>
      <c r="W1765"/>
      <c r="X1765"/>
      <c r="Y1765"/>
    </row>
    <row r="1766" spans="2:25">
      <c r="B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R1766"/>
      <c r="S1766"/>
      <c r="T1766"/>
      <c r="U1766"/>
      <c r="V1766"/>
      <c r="W1766"/>
      <c r="X1766"/>
      <c r="Y1766"/>
    </row>
    <row r="1767" spans="2:25">
      <c r="B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R1767"/>
      <c r="S1767"/>
      <c r="T1767"/>
      <c r="U1767"/>
      <c r="V1767"/>
      <c r="W1767"/>
      <c r="X1767"/>
      <c r="Y1767"/>
    </row>
    <row r="1768" spans="2:25">
      <c r="B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R1768"/>
      <c r="S1768"/>
      <c r="T1768"/>
      <c r="U1768"/>
      <c r="V1768"/>
      <c r="W1768"/>
      <c r="X1768"/>
      <c r="Y1768"/>
    </row>
    <row r="1769" spans="2:25">
      <c r="B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R1769"/>
      <c r="S1769"/>
      <c r="T1769"/>
      <c r="U1769"/>
      <c r="V1769"/>
      <c r="W1769"/>
      <c r="X1769"/>
      <c r="Y1769"/>
    </row>
    <row r="1770" spans="2:25">
      <c r="B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R1770"/>
      <c r="S1770"/>
      <c r="T1770"/>
      <c r="U1770"/>
      <c r="V1770"/>
      <c r="W1770"/>
      <c r="X1770"/>
      <c r="Y1770"/>
    </row>
    <row r="1771" spans="2:25">
      <c r="B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R1771"/>
      <c r="S1771"/>
      <c r="T1771"/>
      <c r="U1771"/>
      <c r="V1771"/>
      <c r="W1771"/>
      <c r="X1771"/>
      <c r="Y1771"/>
    </row>
    <row r="1772" spans="2:25">
      <c r="B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R1772"/>
      <c r="S1772"/>
      <c r="T1772"/>
      <c r="U1772"/>
      <c r="V1772"/>
      <c r="W1772"/>
      <c r="X1772"/>
      <c r="Y1772"/>
    </row>
    <row r="1773" spans="2:25">
      <c r="B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R1773"/>
      <c r="S1773"/>
      <c r="T1773"/>
      <c r="U1773"/>
      <c r="V1773"/>
      <c r="W1773"/>
      <c r="X1773"/>
      <c r="Y1773"/>
    </row>
    <row r="1774" spans="2:25">
      <c r="B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R1774"/>
      <c r="S1774"/>
      <c r="T1774"/>
      <c r="U1774"/>
      <c r="V1774"/>
      <c r="W1774"/>
      <c r="X1774"/>
      <c r="Y1774"/>
    </row>
    <row r="1775" spans="2:25">
      <c r="B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R1775"/>
      <c r="S1775"/>
      <c r="T1775"/>
      <c r="U1775"/>
      <c r="V1775"/>
      <c r="W1775"/>
      <c r="X1775"/>
      <c r="Y1775"/>
    </row>
    <row r="1776" spans="2:25">
      <c r="B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R1776"/>
      <c r="S1776"/>
      <c r="T1776"/>
      <c r="U1776"/>
      <c r="V1776"/>
      <c r="W1776"/>
      <c r="X1776"/>
      <c r="Y1776"/>
    </row>
    <row r="1777" spans="2:25">
      <c r="B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R1777"/>
      <c r="S1777"/>
      <c r="T1777"/>
      <c r="U1777"/>
      <c r="V1777"/>
      <c r="W1777"/>
      <c r="X1777"/>
      <c r="Y1777"/>
    </row>
    <row r="1778" spans="2:25">
      <c r="B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R1778"/>
      <c r="S1778"/>
      <c r="T1778"/>
      <c r="U1778"/>
      <c r="V1778"/>
      <c r="W1778"/>
      <c r="X1778"/>
      <c r="Y1778"/>
    </row>
    <row r="1779" spans="2:25">
      <c r="B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R1779"/>
      <c r="S1779"/>
      <c r="T1779"/>
      <c r="U1779"/>
      <c r="V1779"/>
      <c r="W1779"/>
      <c r="X1779"/>
      <c r="Y1779"/>
    </row>
    <row r="1780" spans="2:25">
      <c r="B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R1780"/>
      <c r="S1780"/>
      <c r="T1780"/>
      <c r="U1780"/>
      <c r="V1780"/>
      <c r="W1780"/>
      <c r="X1780"/>
      <c r="Y1780"/>
    </row>
    <row r="1781" spans="2:25">
      <c r="B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R1781"/>
      <c r="S1781"/>
      <c r="T1781"/>
      <c r="U1781"/>
      <c r="V1781"/>
      <c r="W1781"/>
      <c r="X1781"/>
      <c r="Y1781"/>
    </row>
    <row r="1782" spans="2:25">
      <c r="B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R1782"/>
      <c r="S1782"/>
      <c r="T1782"/>
      <c r="U1782"/>
      <c r="V1782"/>
      <c r="W1782"/>
      <c r="X1782"/>
      <c r="Y1782"/>
    </row>
    <row r="1783" spans="2:25">
      <c r="B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R1783"/>
      <c r="S1783"/>
      <c r="T1783"/>
      <c r="U1783"/>
      <c r="V1783"/>
      <c r="W1783"/>
      <c r="X1783"/>
      <c r="Y1783"/>
    </row>
    <row r="1784" spans="2:25">
      <c r="B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R1784"/>
      <c r="S1784"/>
      <c r="T1784"/>
      <c r="U1784"/>
      <c r="V1784"/>
      <c r="W1784"/>
      <c r="X1784"/>
      <c r="Y1784"/>
    </row>
    <row r="1785" spans="2:25">
      <c r="B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R1785"/>
      <c r="S1785"/>
      <c r="T1785"/>
      <c r="U1785"/>
      <c r="V1785"/>
      <c r="W1785"/>
      <c r="X1785"/>
      <c r="Y1785"/>
    </row>
    <row r="1786" spans="2:25">
      <c r="B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R1786"/>
      <c r="S1786"/>
      <c r="T1786"/>
      <c r="U1786"/>
      <c r="V1786"/>
      <c r="W1786"/>
      <c r="X1786"/>
      <c r="Y1786"/>
    </row>
    <row r="1787" spans="2:25">
      <c r="B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R1787"/>
      <c r="S1787"/>
      <c r="T1787"/>
      <c r="U1787"/>
      <c r="V1787"/>
      <c r="W1787"/>
      <c r="X1787"/>
      <c r="Y1787"/>
    </row>
    <row r="1788" spans="2:25">
      <c r="B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R1788"/>
      <c r="S1788"/>
      <c r="T1788"/>
      <c r="U1788"/>
      <c r="V1788"/>
      <c r="W1788"/>
      <c r="X1788"/>
      <c r="Y1788"/>
    </row>
    <row r="1789" spans="2:25">
      <c r="B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R1789"/>
      <c r="S1789"/>
      <c r="T1789"/>
      <c r="U1789"/>
      <c r="V1789"/>
      <c r="W1789"/>
      <c r="X1789"/>
      <c r="Y1789"/>
    </row>
    <row r="1790" spans="2:25">
      <c r="B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R1790"/>
      <c r="S1790"/>
      <c r="T1790"/>
      <c r="U1790"/>
      <c r="V1790"/>
      <c r="W1790"/>
      <c r="X1790"/>
      <c r="Y1790"/>
    </row>
    <row r="1791" spans="2:25">
      <c r="B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R1791"/>
      <c r="S1791"/>
      <c r="T1791"/>
      <c r="U1791"/>
      <c r="V1791"/>
      <c r="W1791"/>
      <c r="X1791"/>
      <c r="Y1791"/>
    </row>
    <row r="1792" spans="2:25">
      <c r="B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R1792"/>
      <c r="S1792"/>
      <c r="T1792"/>
      <c r="U1792"/>
      <c r="V1792"/>
      <c r="W1792"/>
      <c r="X1792"/>
      <c r="Y1792"/>
    </row>
    <row r="1793" spans="2:25">
      <c r="B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R1793"/>
      <c r="S1793"/>
      <c r="T1793"/>
      <c r="U1793"/>
      <c r="V1793"/>
      <c r="W1793"/>
      <c r="X1793"/>
      <c r="Y1793"/>
    </row>
    <row r="1794" spans="2:25">
      <c r="B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R1794"/>
      <c r="S1794"/>
      <c r="T1794"/>
      <c r="U1794"/>
      <c r="V1794"/>
      <c r="W1794"/>
      <c r="X1794"/>
      <c r="Y1794"/>
    </row>
    <row r="1795" spans="2:25">
      <c r="B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R1795"/>
      <c r="S1795"/>
      <c r="T1795"/>
      <c r="U1795"/>
      <c r="V1795"/>
      <c r="W1795"/>
      <c r="X1795"/>
      <c r="Y1795"/>
    </row>
    <row r="1796" spans="2:25">
      <c r="B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R1796"/>
      <c r="S1796"/>
      <c r="T1796"/>
      <c r="U1796"/>
      <c r="V1796"/>
      <c r="W1796"/>
      <c r="X1796"/>
      <c r="Y1796"/>
    </row>
    <row r="1797" spans="2:25">
      <c r="B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R1797"/>
      <c r="S1797"/>
      <c r="T1797"/>
      <c r="U1797"/>
      <c r="V1797"/>
      <c r="W1797"/>
      <c r="X1797"/>
      <c r="Y1797"/>
    </row>
    <row r="1798" spans="2:25">
      <c r="B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R1798"/>
      <c r="S1798"/>
      <c r="T1798"/>
      <c r="U1798"/>
      <c r="V1798"/>
      <c r="W1798"/>
      <c r="X1798"/>
      <c r="Y1798"/>
    </row>
    <row r="1799" spans="2:25">
      <c r="B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R1799"/>
      <c r="S1799"/>
      <c r="T1799"/>
      <c r="U1799"/>
      <c r="V1799"/>
      <c r="W1799"/>
      <c r="X1799"/>
      <c r="Y1799"/>
    </row>
    <row r="1800" spans="2:25">
      <c r="B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R1800"/>
      <c r="S1800"/>
      <c r="T1800"/>
      <c r="U1800"/>
      <c r="V1800"/>
      <c r="W1800"/>
      <c r="X1800"/>
      <c r="Y1800"/>
    </row>
    <row r="1801" spans="2:25">
      <c r="B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R1801"/>
      <c r="S1801"/>
      <c r="T1801"/>
      <c r="U1801"/>
      <c r="V1801"/>
      <c r="W1801"/>
      <c r="X1801"/>
      <c r="Y1801"/>
    </row>
    <row r="1802" spans="2:25">
      <c r="B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R1802"/>
      <c r="S1802"/>
      <c r="T1802"/>
      <c r="U1802"/>
      <c r="V1802"/>
      <c r="W1802"/>
      <c r="X1802"/>
      <c r="Y1802"/>
    </row>
    <row r="1803" spans="2:25">
      <c r="B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R1803"/>
      <c r="S1803"/>
      <c r="T1803"/>
      <c r="U1803"/>
      <c r="V1803"/>
      <c r="W1803"/>
      <c r="X1803"/>
      <c r="Y1803"/>
    </row>
    <row r="1804" spans="2:25">
      <c r="B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R1804"/>
      <c r="S1804"/>
      <c r="T1804"/>
      <c r="U1804"/>
      <c r="V1804"/>
      <c r="W1804"/>
      <c r="X1804"/>
      <c r="Y1804"/>
    </row>
    <row r="1805" spans="2:25">
      <c r="B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R1805"/>
      <c r="S1805"/>
      <c r="T1805"/>
      <c r="U1805"/>
      <c r="V1805"/>
      <c r="W1805"/>
      <c r="X1805"/>
      <c r="Y1805"/>
    </row>
    <row r="1806" spans="2:25">
      <c r="B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R1806"/>
      <c r="S1806"/>
      <c r="T1806"/>
      <c r="U1806"/>
      <c r="V1806"/>
      <c r="W1806"/>
      <c r="X1806"/>
      <c r="Y1806"/>
    </row>
    <row r="1807" spans="2:25">
      <c r="B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R1807"/>
      <c r="S1807"/>
      <c r="T1807"/>
      <c r="U1807"/>
      <c r="V1807"/>
      <c r="W1807"/>
      <c r="X1807"/>
      <c r="Y1807"/>
    </row>
    <row r="1808" spans="2:25">
      <c r="B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R1808"/>
      <c r="S1808"/>
      <c r="T1808"/>
      <c r="U1808"/>
      <c r="V1808"/>
      <c r="W1808"/>
      <c r="X1808"/>
      <c r="Y1808"/>
    </row>
    <row r="1809" spans="2:25">
      <c r="B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R1809"/>
      <c r="S1809"/>
      <c r="T1809"/>
      <c r="U1809"/>
      <c r="V1809"/>
      <c r="W1809"/>
      <c r="X1809"/>
      <c r="Y1809"/>
    </row>
    <row r="1810" spans="2:25">
      <c r="B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R1810"/>
      <c r="S1810"/>
      <c r="T1810"/>
      <c r="U1810"/>
      <c r="V1810"/>
      <c r="W1810"/>
      <c r="X1810"/>
      <c r="Y1810"/>
    </row>
    <row r="1811" spans="2:25">
      <c r="B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R1811"/>
      <c r="S1811"/>
      <c r="T1811"/>
      <c r="U1811"/>
      <c r="V1811"/>
      <c r="W1811"/>
      <c r="X1811"/>
      <c r="Y1811"/>
    </row>
    <row r="1812" spans="2:25">
      <c r="B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R1812"/>
      <c r="S1812"/>
      <c r="T1812"/>
      <c r="U1812"/>
      <c r="V1812"/>
      <c r="W1812"/>
      <c r="X1812"/>
      <c r="Y1812"/>
    </row>
    <row r="1813" spans="2:25">
      <c r="B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R1813"/>
      <c r="S1813"/>
      <c r="T1813"/>
      <c r="U1813"/>
      <c r="V1813"/>
      <c r="W1813"/>
      <c r="X1813"/>
      <c r="Y1813"/>
    </row>
    <row r="1814" spans="2:25">
      <c r="B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R1814"/>
      <c r="S1814"/>
      <c r="T1814"/>
      <c r="U1814"/>
      <c r="V1814"/>
      <c r="W1814"/>
      <c r="X1814"/>
      <c r="Y1814"/>
    </row>
    <row r="1815" spans="2:25">
      <c r="B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R1815"/>
      <c r="S1815"/>
      <c r="T1815"/>
      <c r="U1815"/>
      <c r="V1815"/>
      <c r="W1815"/>
      <c r="X1815"/>
      <c r="Y1815"/>
    </row>
    <row r="1816" spans="2:25">
      <c r="B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R1816"/>
      <c r="S1816"/>
      <c r="T1816"/>
      <c r="U1816"/>
      <c r="V1816"/>
      <c r="W1816"/>
      <c r="X1816"/>
      <c r="Y1816"/>
    </row>
    <row r="1817" spans="2:25">
      <c r="B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R1817"/>
      <c r="S1817"/>
      <c r="T1817"/>
      <c r="U1817"/>
      <c r="V1817"/>
      <c r="W1817"/>
      <c r="X1817"/>
      <c r="Y1817"/>
    </row>
    <row r="1818" spans="2:25">
      <c r="B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R1818"/>
      <c r="S1818"/>
      <c r="T1818"/>
      <c r="U1818"/>
      <c r="V1818"/>
      <c r="W1818"/>
      <c r="X1818"/>
      <c r="Y1818"/>
    </row>
    <row r="1819" spans="2:25">
      <c r="B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R1819"/>
      <c r="S1819"/>
      <c r="T1819"/>
      <c r="U1819"/>
      <c r="V1819"/>
      <c r="W1819"/>
      <c r="X1819"/>
      <c r="Y1819"/>
    </row>
    <row r="1820" spans="2:25">
      <c r="B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R1820"/>
      <c r="S1820"/>
      <c r="T1820"/>
      <c r="U1820"/>
      <c r="V1820"/>
      <c r="W1820"/>
      <c r="X1820"/>
      <c r="Y1820"/>
    </row>
    <row r="1821" spans="2:25">
      <c r="B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R1821"/>
      <c r="S1821"/>
      <c r="T1821"/>
      <c r="U1821"/>
      <c r="V1821"/>
      <c r="W1821"/>
      <c r="X1821"/>
      <c r="Y1821"/>
    </row>
    <row r="1822" spans="2:25">
      <c r="B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R1822"/>
      <c r="S1822"/>
      <c r="T1822"/>
      <c r="U1822"/>
      <c r="V1822"/>
      <c r="W1822"/>
      <c r="X1822"/>
      <c r="Y1822"/>
    </row>
    <row r="1823" spans="2:25">
      <c r="B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R1823"/>
      <c r="S1823"/>
      <c r="T1823"/>
      <c r="U1823"/>
      <c r="V1823"/>
      <c r="W1823"/>
      <c r="X1823"/>
      <c r="Y1823"/>
    </row>
    <row r="1824" spans="2:25">
      <c r="B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R1824"/>
      <c r="S1824"/>
      <c r="T1824"/>
      <c r="U1824"/>
      <c r="V1824"/>
      <c r="W1824"/>
      <c r="X1824"/>
      <c r="Y1824"/>
    </row>
    <row r="1825" spans="2:25">
      <c r="B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R1825"/>
      <c r="S1825"/>
      <c r="T1825"/>
      <c r="U1825"/>
      <c r="V1825"/>
      <c r="W1825"/>
      <c r="X1825"/>
      <c r="Y1825"/>
    </row>
    <row r="1826" spans="2:25">
      <c r="B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R1826"/>
      <c r="S1826"/>
      <c r="T1826"/>
      <c r="U1826"/>
      <c r="V1826"/>
      <c r="W1826"/>
      <c r="X1826"/>
      <c r="Y1826"/>
    </row>
    <row r="1827" spans="2:25">
      <c r="B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R1827"/>
      <c r="S1827"/>
      <c r="T1827"/>
      <c r="U1827"/>
      <c r="V1827"/>
      <c r="W1827"/>
      <c r="X1827"/>
      <c r="Y1827"/>
    </row>
    <row r="1828" spans="2:25">
      <c r="B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R1828"/>
      <c r="S1828"/>
      <c r="T1828"/>
      <c r="U1828"/>
      <c r="V1828"/>
      <c r="W1828"/>
      <c r="X1828"/>
      <c r="Y1828"/>
    </row>
    <row r="1829" spans="2:25">
      <c r="B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R1829"/>
      <c r="S1829"/>
      <c r="T1829"/>
      <c r="U1829"/>
      <c r="V1829"/>
      <c r="W1829"/>
      <c r="X1829"/>
      <c r="Y1829"/>
    </row>
    <row r="1830" spans="2:25">
      <c r="B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R1830"/>
      <c r="S1830"/>
      <c r="T1830"/>
      <c r="U1830"/>
      <c r="V1830"/>
      <c r="W1830"/>
      <c r="X1830"/>
      <c r="Y1830"/>
    </row>
    <row r="1831" spans="2:25">
      <c r="B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R1831"/>
      <c r="S1831"/>
      <c r="T1831"/>
      <c r="U1831"/>
      <c r="V1831"/>
      <c r="W1831"/>
      <c r="X1831"/>
      <c r="Y1831"/>
    </row>
    <row r="1832" spans="2:25">
      <c r="B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R1832"/>
      <c r="S1832"/>
      <c r="T1832"/>
      <c r="U1832"/>
      <c r="V1832"/>
      <c r="W1832"/>
      <c r="X1832"/>
      <c r="Y1832"/>
    </row>
    <row r="1833" spans="2:25">
      <c r="B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R1833"/>
      <c r="S1833"/>
      <c r="T1833"/>
      <c r="U1833"/>
      <c r="V1833"/>
      <c r="W1833"/>
      <c r="X1833"/>
      <c r="Y1833"/>
    </row>
    <row r="1834" spans="2:25">
      <c r="B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R1834"/>
      <c r="S1834"/>
      <c r="T1834"/>
      <c r="U1834"/>
      <c r="V1834"/>
      <c r="W1834"/>
      <c r="X1834"/>
      <c r="Y1834"/>
    </row>
    <row r="1835" spans="2:25">
      <c r="B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R1835"/>
      <c r="S1835"/>
      <c r="T1835"/>
      <c r="U1835"/>
      <c r="V1835"/>
      <c r="W1835"/>
      <c r="X1835"/>
      <c r="Y1835"/>
    </row>
    <row r="1836" spans="2:25">
      <c r="B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R1836"/>
      <c r="S1836"/>
      <c r="T1836"/>
      <c r="U1836"/>
      <c r="V1836"/>
      <c r="W1836"/>
      <c r="X1836"/>
      <c r="Y1836"/>
    </row>
    <row r="1837" spans="2:25">
      <c r="B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R1837"/>
      <c r="S1837"/>
      <c r="T1837"/>
      <c r="U1837"/>
      <c r="V1837"/>
      <c r="W1837"/>
      <c r="X1837"/>
      <c r="Y1837"/>
    </row>
    <row r="1838" spans="2:25">
      <c r="B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R1838"/>
      <c r="S1838"/>
      <c r="T1838"/>
      <c r="U1838"/>
      <c r="V1838"/>
      <c r="W1838"/>
      <c r="X1838"/>
      <c r="Y1838"/>
    </row>
    <row r="1839" spans="2:25">
      <c r="B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R1839"/>
      <c r="S1839"/>
      <c r="T1839"/>
      <c r="U1839"/>
      <c r="V1839"/>
      <c r="W1839"/>
      <c r="X1839"/>
      <c r="Y1839"/>
    </row>
    <row r="1840" spans="2:25">
      <c r="B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R1840"/>
      <c r="S1840"/>
      <c r="T1840"/>
      <c r="U1840"/>
      <c r="V1840"/>
      <c r="W1840"/>
      <c r="X1840"/>
      <c r="Y1840"/>
    </row>
    <row r="1841" spans="2:25">
      <c r="B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R1841"/>
      <c r="S1841"/>
      <c r="T1841"/>
      <c r="U1841"/>
      <c r="V1841"/>
      <c r="W1841"/>
      <c r="X1841"/>
      <c r="Y1841"/>
    </row>
    <row r="1842" spans="2:25">
      <c r="B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R1842"/>
      <c r="S1842"/>
      <c r="T1842"/>
      <c r="U1842"/>
      <c r="V1842"/>
      <c r="W1842"/>
      <c r="X1842"/>
      <c r="Y1842"/>
    </row>
    <row r="1843" spans="2:25">
      <c r="B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R1843"/>
      <c r="S1843"/>
      <c r="T1843"/>
      <c r="U1843"/>
      <c r="V1843"/>
      <c r="W1843"/>
      <c r="X1843"/>
      <c r="Y1843"/>
    </row>
    <row r="1844" spans="2:25">
      <c r="B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R1844"/>
      <c r="S1844"/>
      <c r="T1844"/>
      <c r="U1844"/>
      <c r="V1844"/>
      <c r="W1844"/>
      <c r="X1844"/>
      <c r="Y1844"/>
    </row>
    <row r="1845" spans="2:25">
      <c r="B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R1845"/>
      <c r="S1845"/>
      <c r="T1845"/>
      <c r="U1845"/>
      <c r="V1845"/>
      <c r="W1845"/>
      <c r="X1845"/>
      <c r="Y1845"/>
    </row>
    <row r="1846" spans="2:25">
      <c r="B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R1846"/>
      <c r="S1846"/>
      <c r="T1846"/>
      <c r="U1846"/>
      <c r="V1846"/>
      <c r="W1846"/>
      <c r="X1846"/>
      <c r="Y1846"/>
    </row>
    <row r="1847" spans="2:25">
      <c r="B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R1847"/>
      <c r="S1847"/>
      <c r="T1847"/>
      <c r="U1847"/>
      <c r="V1847"/>
      <c r="W1847"/>
      <c r="X1847"/>
      <c r="Y1847"/>
    </row>
    <row r="1848" spans="2:25">
      <c r="B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R1848"/>
      <c r="S1848"/>
      <c r="T1848"/>
      <c r="U1848"/>
      <c r="V1848"/>
      <c r="W1848"/>
      <c r="X1848"/>
      <c r="Y1848"/>
    </row>
    <row r="1849" spans="2:25">
      <c r="B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R1849"/>
      <c r="S1849"/>
      <c r="T1849"/>
      <c r="U1849"/>
      <c r="V1849"/>
      <c r="W1849"/>
      <c r="X1849"/>
      <c r="Y1849"/>
    </row>
    <row r="1850" spans="2:25">
      <c r="B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R1850"/>
      <c r="S1850"/>
      <c r="T1850"/>
      <c r="U1850"/>
      <c r="V1850"/>
      <c r="W1850"/>
      <c r="X1850"/>
      <c r="Y1850"/>
    </row>
    <row r="1851" spans="2:25">
      <c r="B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R1851"/>
      <c r="S1851"/>
      <c r="T1851"/>
      <c r="U1851"/>
      <c r="V1851"/>
      <c r="W1851"/>
      <c r="X1851"/>
      <c r="Y1851"/>
    </row>
    <row r="1852" spans="2:25">
      <c r="B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R1852"/>
      <c r="S1852"/>
      <c r="T1852"/>
      <c r="U1852"/>
      <c r="V1852"/>
      <c r="W1852"/>
      <c r="X1852"/>
      <c r="Y1852"/>
    </row>
    <row r="1853" spans="2:25">
      <c r="B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R1853"/>
      <c r="S1853"/>
      <c r="T1853"/>
      <c r="U1853"/>
      <c r="V1853"/>
      <c r="W1853"/>
      <c r="X1853"/>
      <c r="Y1853"/>
    </row>
    <row r="1854" spans="2:25">
      <c r="B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R1854"/>
      <c r="S1854"/>
      <c r="T1854"/>
      <c r="U1854"/>
      <c r="V1854"/>
      <c r="W1854"/>
      <c r="X1854"/>
      <c r="Y1854"/>
    </row>
    <row r="1855" spans="2:25">
      <c r="B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R1855"/>
      <c r="S1855"/>
      <c r="T1855"/>
      <c r="U1855"/>
      <c r="V1855"/>
      <c r="W1855"/>
      <c r="X1855"/>
      <c r="Y1855"/>
    </row>
    <row r="1856" spans="2:25">
      <c r="B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R1856"/>
      <c r="S1856"/>
      <c r="T1856"/>
      <c r="U1856"/>
      <c r="V1856"/>
      <c r="W1856"/>
      <c r="X1856"/>
      <c r="Y1856"/>
    </row>
    <row r="1857" spans="2:25">
      <c r="B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R1857"/>
      <c r="S1857"/>
      <c r="T1857"/>
      <c r="U1857"/>
      <c r="V1857"/>
      <c r="W1857"/>
      <c r="X1857"/>
      <c r="Y1857"/>
    </row>
    <row r="1858" spans="2:25">
      <c r="B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R1858"/>
      <c r="S1858"/>
      <c r="T1858"/>
      <c r="U1858"/>
      <c r="V1858"/>
      <c r="W1858"/>
      <c r="X1858"/>
      <c r="Y1858"/>
    </row>
    <row r="1859" spans="2:25">
      <c r="B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R1859"/>
      <c r="S1859"/>
      <c r="T1859"/>
      <c r="U1859"/>
      <c r="V1859"/>
      <c r="W1859"/>
      <c r="X1859"/>
      <c r="Y1859"/>
    </row>
    <row r="1860" spans="2:25">
      <c r="B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R1860"/>
      <c r="S1860"/>
      <c r="T1860"/>
      <c r="U1860"/>
      <c r="V1860"/>
      <c r="W1860"/>
      <c r="X1860"/>
      <c r="Y1860"/>
    </row>
    <row r="1861" spans="2:25">
      <c r="B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R1861"/>
      <c r="S1861"/>
      <c r="T1861"/>
      <c r="U1861"/>
      <c r="V1861"/>
      <c r="W1861"/>
      <c r="X1861"/>
      <c r="Y1861"/>
    </row>
    <row r="1862" spans="2:25">
      <c r="B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R1862"/>
      <c r="S1862"/>
      <c r="T1862"/>
      <c r="U1862"/>
      <c r="V1862"/>
      <c r="W1862"/>
      <c r="X1862"/>
      <c r="Y1862"/>
    </row>
    <row r="1863" spans="2:25">
      <c r="B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R1863"/>
      <c r="S1863"/>
      <c r="T1863"/>
      <c r="U1863"/>
      <c r="V1863"/>
      <c r="W1863"/>
      <c r="X1863"/>
      <c r="Y1863"/>
    </row>
    <row r="1864" spans="2:25">
      <c r="B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R1864"/>
      <c r="S1864"/>
      <c r="T1864"/>
      <c r="U1864"/>
      <c r="V1864"/>
      <c r="W1864"/>
      <c r="X1864"/>
      <c r="Y1864"/>
    </row>
    <row r="1865" spans="2:25">
      <c r="B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R1865"/>
      <c r="S1865"/>
      <c r="T1865"/>
      <c r="U1865"/>
      <c r="V1865"/>
      <c r="W1865"/>
      <c r="X1865"/>
      <c r="Y1865"/>
    </row>
    <row r="1866" spans="2:25">
      <c r="B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R1866"/>
      <c r="S1866"/>
      <c r="T1866"/>
      <c r="U1866"/>
      <c r="V1866"/>
      <c r="W1866"/>
      <c r="X1866"/>
      <c r="Y1866"/>
    </row>
    <row r="1867" spans="2:25">
      <c r="B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R1867"/>
      <c r="S1867"/>
      <c r="T1867"/>
      <c r="U1867"/>
      <c r="V1867"/>
      <c r="W1867"/>
      <c r="X1867"/>
      <c r="Y1867"/>
    </row>
    <row r="1868" spans="2:25">
      <c r="B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R1868"/>
      <c r="S1868"/>
      <c r="T1868"/>
      <c r="U1868"/>
      <c r="V1868"/>
      <c r="W1868"/>
      <c r="X1868"/>
      <c r="Y1868"/>
    </row>
    <row r="1869" spans="2:25">
      <c r="B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R1869"/>
      <c r="S1869"/>
      <c r="T1869"/>
      <c r="U1869"/>
      <c r="V1869"/>
      <c r="W1869"/>
      <c r="X1869"/>
      <c r="Y1869"/>
    </row>
    <row r="1870" spans="2:25">
      <c r="B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R1870"/>
      <c r="S1870"/>
      <c r="T1870"/>
      <c r="U1870"/>
      <c r="V1870"/>
      <c r="W1870"/>
      <c r="X1870"/>
      <c r="Y1870"/>
    </row>
    <row r="1871" spans="2:25">
      <c r="B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R1871"/>
      <c r="S1871"/>
      <c r="T1871"/>
      <c r="U1871"/>
      <c r="V1871"/>
      <c r="W1871"/>
      <c r="X1871"/>
      <c r="Y1871"/>
    </row>
    <row r="1872" spans="2:25">
      <c r="B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R1872"/>
      <c r="S1872"/>
      <c r="T1872"/>
      <c r="U1872"/>
      <c r="V1872"/>
      <c r="W1872"/>
      <c r="X1872"/>
      <c r="Y1872"/>
    </row>
    <row r="1873" spans="2:25">
      <c r="B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R1873"/>
      <c r="S1873"/>
      <c r="T1873"/>
      <c r="U1873"/>
      <c r="V1873"/>
      <c r="W1873"/>
      <c r="X1873"/>
      <c r="Y1873"/>
    </row>
    <row r="1874" spans="2:25">
      <c r="B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R1874"/>
      <c r="S1874"/>
      <c r="T1874"/>
      <c r="U1874"/>
      <c r="V1874"/>
      <c r="W1874"/>
      <c r="X1874"/>
      <c r="Y1874"/>
    </row>
    <row r="1875" spans="2:25">
      <c r="B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R1875"/>
      <c r="S1875"/>
      <c r="T1875"/>
      <c r="U1875"/>
      <c r="V1875"/>
      <c r="W1875"/>
      <c r="X1875"/>
      <c r="Y1875"/>
    </row>
    <row r="1876" spans="2:25">
      <c r="B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R1876"/>
      <c r="S1876"/>
      <c r="T1876"/>
      <c r="U1876"/>
      <c r="V1876"/>
      <c r="W1876"/>
      <c r="X1876"/>
      <c r="Y1876"/>
    </row>
    <row r="1877" spans="2:25">
      <c r="B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R1877"/>
      <c r="S1877"/>
      <c r="T1877"/>
      <c r="U1877"/>
      <c r="V1877"/>
      <c r="W1877"/>
      <c r="X1877"/>
      <c r="Y1877"/>
    </row>
    <row r="1878" spans="2:25">
      <c r="B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R1878"/>
      <c r="S1878"/>
      <c r="T1878"/>
      <c r="U1878"/>
      <c r="V1878"/>
      <c r="W1878"/>
      <c r="X1878"/>
      <c r="Y1878"/>
    </row>
    <row r="1879" spans="2:25">
      <c r="B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R1879"/>
      <c r="S1879"/>
      <c r="T1879"/>
      <c r="U1879"/>
      <c r="V1879"/>
      <c r="W1879"/>
      <c r="X1879"/>
      <c r="Y1879"/>
    </row>
    <row r="1880" spans="2:25">
      <c r="B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R1880"/>
      <c r="S1880"/>
      <c r="T1880"/>
      <c r="U1880"/>
      <c r="V1880"/>
      <c r="W1880"/>
      <c r="X1880"/>
      <c r="Y1880"/>
    </row>
    <row r="1881" spans="2:25">
      <c r="B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R1881"/>
      <c r="S1881"/>
      <c r="T1881"/>
      <c r="U1881"/>
      <c r="V1881"/>
      <c r="W1881"/>
      <c r="X1881"/>
      <c r="Y1881"/>
    </row>
    <row r="1882" spans="2:25">
      <c r="B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R1882"/>
      <c r="S1882"/>
      <c r="T1882"/>
      <c r="U1882"/>
      <c r="V1882"/>
      <c r="W1882"/>
      <c r="X1882"/>
      <c r="Y1882"/>
    </row>
    <row r="1883" spans="2:25">
      <c r="B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R1883"/>
      <c r="S1883"/>
      <c r="T1883"/>
      <c r="U1883"/>
      <c r="V1883"/>
      <c r="W1883"/>
      <c r="X1883"/>
      <c r="Y1883"/>
    </row>
    <row r="1884" spans="2:25">
      <c r="B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R1884"/>
      <c r="S1884"/>
      <c r="T1884"/>
      <c r="U1884"/>
      <c r="V1884"/>
      <c r="W1884"/>
      <c r="X1884"/>
      <c r="Y1884"/>
    </row>
    <row r="1885" spans="2:25">
      <c r="B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R1885"/>
      <c r="S1885"/>
      <c r="T1885"/>
      <c r="U1885"/>
      <c r="V1885"/>
      <c r="W1885"/>
      <c r="X1885"/>
      <c r="Y1885"/>
    </row>
    <row r="1886" spans="2:25">
      <c r="B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R1886"/>
      <c r="S1886"/>
      <c r="T1886"/>
      <c r="U1886"/>
      <c r="V1886"/>
      <c r="W1886"/>
      <c r="X1886"/>
      <c r="Y1886"/>
    </row>
    <row r="1887" spans="2:25">
      <c r="B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R1887"/>
      <c r="S1887"/>
      <c r="T1887"/>
      <c r="U1887"/>
      <c r="V1887"/>
      <c r="W1887"/>
      <c r="X1887"/>
      <c r="Y1887"/>
    </row>
    <row r="1888" spans="2:25">
      <c r="B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R1888"/>
      <c r="S1888"/>
      <c r="T1888"/>
      <c r="U1888"/>
      <c r="V1888"/>
      <c r="W1888"/>
      <c r="X1888"/>
      <c r="Y1888"/>
    </row>
    <row r="1889" spans="2:25">
      <c r="B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R1889"/>
      <c r="S1889"/>
      <c r="T1889"/>
      <c r="U1889"/>
      <c r="V1889"/>
      <c r="W1889"/>
      <c r="X1889"/>
      <c r="Y1889"/>
    </row>
    <row r="1890" spans="2:25">
      <c r="B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R1890"/>
      <c r="S1890"/>
      <c r="T1890"/>
      <c r="U1890"/>
      <c r="V1890"/>
      <c r="W1890"/>
      <c r="X1890"/>
      <c r="Y1890"/>
    </row>
    <row r="1891" spans="2:25">
      <c r="B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R1891"/>
      <c r="S1891"/>
      <c r="T1891"/>
      <c r="U1891"/>
      <c r="V1891"/>
      <c r="W1891"/>
      <c r="X1891"/>
      <c r="Y1891"/>
    </row>
    <row r="1892" spans="2:25">
      <c r="B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R1892"/>
      <c r="S1892"/>
      <c r="T1892"/>
      <c r="U1892"/>
      <c r="V1892"/>
      <c r="W1892"/>
      <c r="X1892"/>
      <c r="Y1892"/>
    </row>
    <row r="1893" spans="2:25">
      <c r="B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R1893"/>
      <c r="S1893"/>
      <c r="T1893"/>
      <c r="U1893"/>
      <c r="V1893"/>
      <c r="W1893"/>
      <c r="X1893"/>
      <c r="Y1893"/>
    </row>
    <row r="1894" spans="2:25">
      <c r="B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R1894"/>
      <c r="S1894"/>
      <c r="T1894"/>
      <c r="U1894"/>
      <c r="V1894"/>
      <c r="W1894"/>
      <c r="X1894"/>
      <c r="Y1894"/>
    </row>
    <row r="1895" spans="2:25">
      <c r="B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R1895"/>
      <c r="S1895"/>
      <c r="T1895"/>
      <c r="U1895"/>
      <c r="V1895"/>
      <c r="W1895"/>
      <c r="X1895"/>
      <c r="Y1895"/>
    </row>
    <row r="1896" spans="2:25">
      <c r="B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R1896"/>
      <c r="S1896"/>
      <c r="T1896"/>
      <c r="U1896"/>
      <c r="V1896"/>
      <c r="W1896"/>
      <c r="X1896"/>
      <c r="Y1896"/>
    </row>
    <row r="1897" spans="2:25">
      <c r="B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R1897"/>
      <c r="S1897"/>
      <c r="T1897"/>
      <c r="U1897"/>
      <c r="V1897"/>
      <c r="W1897"/>
      <c r="X1897"/>
      <c r="Y1897"/>
    </row>
    <row r="1898" spans="2:25">
      <c r="B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R1898"/>
      <c r="S1898"/>
      <c r="T1898"/>
      <c r="U1898"/>
      <c r="V1898"/>
      <c r="W1898"/>
      <c r="X1898"/>
      <c r="Y1898"/>
    </row>
    <row r="1899" spans="2:25">
      <c r="B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R1899"/>
      <c r="S1899"/>
      <c r="T1899"/>
      <c r="U1899"/>
      <c r="V1899"/>
      <c r="W1899"/>
      <c r="X1899"/>
      <c r="Y1899"/>
    </row>
    <row r="1900" spans="2:25">
      <c r="B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R1900"/>
      <c r="S1900"/>
      <c r="T1900"/>
      <c r="U1900"/>
      <c r="V1900"/>
      <c r="W1900"/>
      <c r="X1900"/>
      <c r="Y1900"/>
    </row>
    <row r="1901" spans="2:25">
      <c r="B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R1901"/>
      <c r="S1901"/>
      <c r="T1901"/>
      <c r="U1901"/>
      <c r="V1901"/>
      <c r="W1901"/>
      <c r="X1901"/>
      <c r="Y1901"/>
    </row>
    <row r="1902" spans="2:25">
      <c r="B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R1902"/>
      <c r="S1902"/>
      <c r="T1902"/>
      <c r="U1902"/>
      <c r="V1902"/>
      <c r="W1902"/>
      <c r="X1902"/>
      <c r="Y1902"/>
    </row>
    <row r="1903" spans="2:25">
      <c r="B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R1903"/>
      <c r="S1903"/>
      <c r="T1903"/>
      <c r="U1903"/>
      <c r="V1903"/>
      <c r="W1903"/>
      <c r="X1903"/>
      <c r="Y1903"/>
    </row>
    <row r="1904" spans="2:25">
      <c r="B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R1904"/>
      <c r="S1904"/>
      <c r="T1904"/>
      <c r="U1904"/>
      <c r="V1904"/>
      <c r="W1904"/>
      <c r="X1904"/>
      <c r="Y1904"/>
    </row>
    <row r="1905" spans="2:25">
      <c r="B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R1905"/>
      <c r="S1905"/>
      <c r="T1905"/>
      <c r="U1905"/>
      <c r="V1905"/>
      <c r="W1905"/>
      <c r="X1905"/>
      <c r="Y1905"/>
    </row>
    <row r="1906" spans="2:25">
      <c r="B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R1906"/>
      <c r="S1906"/>
      <c r="T1906"/>
      <c r="U1906"/>
      <c r="V1906"/>
      <c r="W1906"/>
      <c r="X1906"/>
      <c r="Y1906"/>
    </row>
    <row r="1907" spans="2:25">
      <c r="B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R1907"/>
      <c r="S1907"/>
      <c r="T1907"/>
      <c r="U1907"/>
      <c r="V1907"/>
      <c r="W1907"/>
      <c r="X1907"/>
      <c r="Y1907"/>
    </row>
    <row r="1908" spans="2:25">
      <c r="B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R1908"/>
      <c r="S1908"/>
      <c r="T1908"/>
      <c r="U1908"/>
      <c r="V1908"/>
      <c r="W1908"/>
      <c r="X1908"/>
      <c r="Y1908"/>
    </row>
    <row r="1909" spans="2:25">
      <c r="B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R1909"/>
      <c r="S1909"/>
      <c r="T1909"/>
      <c r="U1909"/>
      <c r="V1909"/>
      <c r="W1909"/>
      <c r="X1909"/>
      <c r="Y1909"/>
    </row>
    <row r="1910" spans="2:25">
      <c r="B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R1910"/>
      <c r="S1910"/>
      <c r="T1910"/>
      <c r="U1910"/>
      <c r="V1910"/>
      <c r="W1910"/>
      <c r="X1910"/>
      <c r="Y1910"/>
    </row>
    <row r="1911" spans="2:25">
      <c r="B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R1911"/>
      <c r="S1911"/>
      <c r="T1911"/>
      <c r="U1911"/>
      <c r="V1911"/>
      <c r="W1911"/>
      <c r="X1911"/>
      <c r="Y1911"/>
    </row>
    <row r="1912" spans="2:25">
      <c r="B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R1912"/>
      <c r="S1912"/>
      <c r="T1912"/>
      <c r="U1912"/>
      <c r="V1912"/>
      <c r="W1912"/>
      <c r="X1912"/>
      <c r="Y1912"/>
    </row>
    <row r="1913" spans="2:25">
      <c r="B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R1913"/>
      <c r="S1913"/>
      <c r="T1913"/>
      <c r="U1913"/>
      <c r="V1913"/>
      <c r="W1913"/>
      <c r="X1913"/>
      <c r="Y1913"/>
    </row>
    <row r="1914" spans="2:25">
      <c r="B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R1914"/>
      <c r="S1914"/>
      <c r="T1914"/>
      <c r="U1914"/>
      <c r="V1914"/>
      <c r="W1914"/>
      <c r="X1914"/>
      <c r="Y1914"/>
    </row>
    <row r="1915" spans="2:25">
      <c r="B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R1915"/>
      <c r="S1915"/>
      <c r="T1915"/>
      <c r="U1915"/>
      <c r="V1915"/>
      <c r="W1915"/>
      <c r="X1915"/>
      <c r="Y1915"/>
    </row>
    <row r="1916" spans="2:25">
      <c r="B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R1916"/>
      <c r="S1916"/>
      <c r="T1916"/>
      <c r="U1916"/>
      <c r="V1916"/>
      <c r="W1916"/>
      <c r="X1916"/>
      <c r="Y1916"/>
    </row>
    <row r="1917" spans="2:25">
      <c r="B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R1917"/>
      <c r="S1917"/>
      <c r="T1917"/>
      <c r="U1917"/>
      <c r="V1917"/>
      <c r="W1917"/>
      <c r="X1917"/>
      <c r="Y1917"/>
    </row>
    <row r="1918" spans="2:25">
      <c r="B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R1918"/>
      <c r="S1918"/>
      <c r="T1918"/>
      <c r="U1918"/>
      <c r="V1918"/>
      <c r="W1918"/>
      <c r="X1918"/>
      <c r="Y1918"/>
    </row>
    <row r="1919" spans="2:25">
      <c r="B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R1919"/>
      <c r="S1919"/>
      <c r="T1919"/>
      <c r="U1919"/>
      <c r="V1919"/>
      <c r="W1919"/>
      <c r="X1919"/>
      <c r="Y1919"/>
    </row>
    <row r="1920" spans="2:25">
      <c r="B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R1920"/>
      <c r="S1920"/>
      <c r="T1920"/>
      <c r="U1920"/>
      <c r="V1920"/>
      <c r="W1920"/>
      <c r="X1920"/>
      <c r="Y1920"/>
    </row>
    <row r="1921" spans="2:25">
      <c r="B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R1921"/>
      <c r="S1921"/>
      <c r="T1921"/>
      <c r="U1921"/>
      <c r="V1921"/>
      <c r="W1921"/>
      <c r="X1921"/>
      <c r="Y1921"/>
    </row>
    <row r="1922" spans="2:25">
      <c r="B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R1922"/>
      <c r="S1922"/>
      <c r="T1922"/>
      <c r="U1922"/>
      <c r="V1922"/>
      <c r="W1922"/>
      <c r="X1922"/>
      <c r="Y1922"/>
    </row>
    <row r="1923" spans="2:25">
      <c r="B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R1923"/>
      <c r="S1923"/>
      <c r="T1923"/>
      <c r="U1923"/>
      <c r="V1923"/>
      <c r="W1923"/>
      <c r="X1923"/>
      <c r="Y1923"/>
    </row>
    <row r="1924" spans="2:25">
      <c r="B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R1924"/>
      <c r="S1924"/>
      <c r="T1924"/>
      <c r="U1924"/>
      <c r="V1924"/>
      <c r="W1924"/>
      <c r="X1924"/>
      <c r="Y1924"/>
    </row>
    <row r="1925" spans="2:25">
      <c r="B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R1925"/>
      <c r="S1925"/>
      <c r="T1925"/>
      <c r="U1925"/>
      <c r="V1925"/>
      <c r="W1925"/>
      <c r="X1925"/>
      <c r="Y1925"/>
    </row>
    <row r="1926" spans="2:25">
      <c r="B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R1926"/>
      <c r="S1926"/>
      <c r="T1926"/>
      <c r="U1926"/>
      <c r="V1926"/>
      <c r="W1926"/>
      <c r="X1926"/>
      <c r="Y1926"/>
    </row>
    <row r="1927" spans="2:25">
      <c r="B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R1927"/>
      <c r="S1927"/>
      <c r="T1927"/>
      <c r="U1927"/>
      <c r="V1927"/>
      <c r="W1927"/>
      <c r="X1927"/>
      <c r="Y1927"/>
    </row>
    <row r="1928" spans="2:25">
      <c r="B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R1928"/>
      <c r="S1928"/>
      <c r="T1928"/>
      <c r="U1928"/>
      <c r="V1928"/>
      <c r="W1928"/>
      <c r="X1928"/>
      <c r="Y1928"/>
    </row>
    <row r="1929" spans="2:25">
      <c r="B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R1929"/>
      <c r="S1929"/>
      <c r="T1929"/>
      <c r="U1929"/>
      <c r="V1929"/>
      <c r="W1929"/>
      <c r="X1929"/>
      <c r="Y1929"/>
    </row>
    <row r="1930" spans="2:25">
      <c r="B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R1930"/>
      <c r="S1930"/>
      <c r="T1930"/>
      <c r="U1930"/>
      <c r="V1930"/>
      <c r="W1930"/>
      <c r="X1930"/>
      <c r="Y1930"/>
    </row>
    <row r="1931" spans="2:25">
      <c r="B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R1931"/>
      <c r="S1931"/>
      <c r="T1931"/>
      <c r="U1931"/>
      <c r="V1931"/>
      <c r="W1931"/>
      <c r="X1931"/>
      <c r="Y1931"/>
    </row>
    <row r="1932" spans="2:25">
      <c r="B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R1932"/>
      <c r="S1932"/>
      <c r="T1932"/>
      <c r="U1932"/>
      <c r="V1932"/>
      <c r="W1932"/>
      <c r="X1932"/>
      <c r="Y1932"/>
    </row>
    <row r="1933" spans="2:25">
      <c r="B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R1933"/>
      <c r="S1933"/>
      <c r="T1933"/>
      <c r="U1933"/>
      <c r="V1933"/>
      <c r="W1933"/>
      <c r="X1933"/>
      <c r="Y1933"/>
    </row>
    <row r="1934" spans="2:25">
      <c r="B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R1934"/>
      <c r="S1934"/>
      <c r="T1934"/>
      <c r="U1934"/>
      <c r="V1934"/>
      <c r="W1934"/>
      <c r="X1934"/>
      <c r="Y1934"/>
    </row>
    <row r="1935" spans="2:25">
      <c r="B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R1935"/>
      <c r="S1935"/>
      <c r="T1935"/>
      <c r="U1935"/>
      <c r="V1935"/>
      <c r="W1935"/>
      <c r="X1935"/>
      <c r="Y1935"/>
    </row>
    <row r="1936" spans="2:25">
      <c r="B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R1936"/>
      <c r="S1936"/>
      <c r="T1936"/>
      <c r="U1936"/>
      <c r="V1936"/>
      <c r="W1936"/>
      <c r="X1936"/>
      <c r="Y1936"/>
    </row>
    <row r="1937" spans="2:25">
      <c r="B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R1937"/>
      <c r="S1937"/>
      <c r="T1937"/>
      <c r="U1937"/>
      <c r="V1937"/>
      <c r="W1937"/>
      <c r="X1937"/>
      <c r="Y1937"/>
    </row>
    <row r="1938" spans="2:25">
      <c r="B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R1938"/>
      <c r="S1938"/>
      <c r="T1938"/>
      <c r="U1938"/>
      <c r="V1938"/>
      <c r="W1938"/>
      <c r="X1938"/>
      <c r="Y1938"/>
    </row>
    <row r="1939" spans="2:25">
      <c r="B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R1939"/>
      <c r="S1939"/>
      <c r="T1939"/>
      <c r="U1939"/>
      <c r="V1939"/>
      <c r="W1939"/>
      <c r="X1939"/>
      <c r="Y1939"/>
    </row>
    <row r="1940" spans="2:25">
      <c r="B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R1940"/>
      <c r="S1940"/>
      <c r="T1940"/>
      <c r="U1940"/>
      <c r="V1940"/>
      <c r="W1940"/>
      <c r="X1940"/>
      <c r="Y1940"/>
    </row>
    <row r="1941" spans="2:25">
      <c r="B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R1941"/>
      <c r="S1941"/>
      <c r="T1941"/>
      <c r="U1941"/>
      <c r="V1941"/>
      <c r="W1941"/>
      <c r="X1941"/>
      <c r="Y1941"/>
    </row>
    <row r="1942" spans="2:25">
      <c r="B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R1942"/>
      <c r="S1942"/>
      <c r="T1942"/>
      <c r="U1942"/>
      <c r="V1942"/>
      <c r="W1942"/>
      <c r="X1942"/>
      <c r="Y1942"/>
    </row>
    <row r="1943" spans="2:25">
      <c r="B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R1943"/>
      <c r="S1943"/>
      <c r="T1943"/>
      <c r="U1943"/>
      <c r="V1943"/>
      <c r="W1943"/>
      <c r="X1943"/>
      <c r="Y1943"/>
    </row>
    <row r="1944" spans="2:25">
      <c r="B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R1944"/>
      <c r="S1944"/>
      <c r="T1944"/>
      <c r="U1944"/>
      <c r="V1944"/>
      <c r="W1944"/>
      <c r="X1944"/>
      <c r="Y1944"/>
    </row>
    <row r="1945" spans="2:25">
      <c r="B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R1945"/>
      <c r="S1945"/>
      <c r="T1945"/>
      <c r="U1945"/>
      <c r="V1945"/>
      <c r="W1945"/>
      <c r="X1945"/>
      <c r="Y1945"/>
    </row>
    <row r="1946" spans="2:25">
      <c r="B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R1946"/>
      <c r="S1946"/>
      <c r="T1946"/>
      <c r="U1946"/>
      <c r="V1946"/>
      <c r="W1946"/>
      <c r="X1946"/>
      <c r="Y1946"/>
    </row>
    <row r="1947" spans="2:25">
      <c r="B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R1947"/>
      <c r="S1947"/>
      <c r="T1947"/>
      <c r="U1947"/>
      <c r="V1947"/>
      <c r="W1947"/>
      <c r="X1947"/>
      <c r="Y1947"/>
    </row>
    <row r="1948" spans="2:25">
      <c r="B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R1948"/>
      <c r="S1948"/>
      <c r="T1948"/>
      <c r="U1948"/>
      <c r="V1948"/>
      <c r="W1948"/>
      <c r="X1948"/>
      <c r="Y1948"/>
    </row>
    <row r="1949" spans="2:25">
      <c r="B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R1949"/>
      <c r="S1949"/>
      <c r="T1949"/>
      <c r="U1949"/>
      <c r="V1949"/>
      <c r="W1949"/>
      <c r="X1949"/>
      <c r="Y1949"/>
    </row>
    <row r="1950" spans="2:25">
      <c r="B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R1950"/>
      <c r="S1950"/>
      <c r="T1950"/>
      <c r="U1950"/>
      <c r="V1950"/>
      <c r="W1950"/>
      <c r="X1950"/>
      <c r="Y1950"/>
    </row>
    <row r="1951" spans="2:25">
      <c r="B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R1951"/>
      <c r="S1951"/>
      <c r="T1951"/>
      <c r="U1951"/>
      <c r="V1951"/>
      <c r="W1951"/>
      <c r="X1951"/>
      <c r="Y1951"/>
    </row>
    <row r="1952" spans="2:25">
      <c r="B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R1952"/>
      <c r="S1952"/>
      <c r="T1952"/>
      <c r="U1952"/>
      <c r="V1952"/>
      <c r="W1952"/>
      <c r="X1952"/>
      <c r="Y1952"/>
    </row>
    <row r="1953" spans="2:25">
      <c r="B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R1953"/>
      <c r="S1953"/>
      <c r="T1953"/>
      <c r="U1953"/>
      <c r="V1953"/>
      <c r="W1953"/>
      <c r="X1953"/>
      <c r="Y1953"/>
    </row>
    <row r="1954" spans="2:25">
      <c r="B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R1954"/>
      <c r="S1954"/>
      <c r="T1954"/>
      <c r="U1954"/>
      <c r="V1954"/>
      <c r="W1954"/>
      <c r="X1954"/>
      <c r="Y1954"/>
    </row>
    <row r="1955" spans="2:25">
      <c r="B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R1955"/>
      <c r="S1955"/>
      <c r="T1955"/>
      <c r="U1955"/>
      <c r="V1955"/>
      <c r="W1955"/>
      <c r="X1955"/>
      <c r="Y1955"/>
    </row>
    <row r="1956" spans="2:25">
      <c r="B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R1956"/>
      <c r="S1956"/>
      <c r="T1956"/>
      <c r="U1956"/>
      <c r="V1956"/>
      <c r="W1956"/>
      <c r="X1956"/>
      <c r="Y1956"/>
    </row>
    <row r="1957" spans="2:25">
      <c r="B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R1957"/>
      <c r="S1957"/>
      <c r="T1957"/>
      <c r="U1957"/>
      <c r="V1957"/>
      <c r="W1957"/>
      <c r="X1957"/>
      <c r="Y1957"/>
    </row>
    <row r="1958" spans="2:25">
      <c r="B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R1958"/>
      <c r="S1958"/>
      <c r="T1958"/>
      <c r="U1958"/>
      <c r="V1958"/>
      <c r="W1958"/>
      <c r="X1958"/>
      <c r="Y1958"/>
    </row>
    <row r="1959" spans="2:25">
      <c r="B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R1959"/>
      <c r="S1959"/>
      <c r="T1959"/>
      <c r="U1959"/>
      <c r="V1959"/>
      <c r="W1959"/>
      <c r="X1959"/>
      <c r="Y1959"/>
    </row>
    <row r="1960" spans="2:25">
      <c r="B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R1960"/>
      <c r="S1960"/>
      <c r="T1960"/>
      <c r="U1960"/>
      <c r="V1960"/>
      <c r="W1960"/>
      <c r="X1960"/>
      <c r="Y1960"/>
    </row>
    <row r="1961" spans="2:25">
      <c r="B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R1961"/>
      <c r="S1961"/>
      <c r="T1961"/>
      <c r="U1961"/>
      <c r="V1961"/>
      <c r="W1961"/>
      <c r="X1961"/>
      <c r="Y1961"/>
    </row>
    <row r="1962" spans="2:25">
      <c r="B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R1962"/>
      <c r="S1962"/>
      <c r="T1962"/>
      <c r="U1962"/>
      <c r="V1962"/>
      <c r="W1962"/>
      <c r="X1962"/>
      <c r="Y1962"/>
    </row>
    <row r="1963" spans="2:25">
      <c r="B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R1963"/>
      <c r="S1963"/>
      <c r="T1963"/>
      <c r="U1963"/>
      <c r="V1963"/>
      <c r="W1963"/>
      <c r="X1963"/>
      <c r="Y1963"/>
    </row>
    <row r="1964" spans="2:25">
      <c r="B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R1964"/>
      <c r="S1964"/>
      <c r="T1964"/>
      <c r="U1964"/>
      <c r="V1964"/>
      <c r="W1964"/>
      <c r="X1964"/>
      <c r="Y1964"/>
    </row>
    <row r="1965" spans="2:25">
      <c r="B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R1965"/>
      <c r="S1965"/>
      <c r="T1965"/>
      <c r="U1965"/>
      <c r="V1965"/>
      <c r="W1965"/>
      <c r="X1965"/>
      <c r="Y1965"/>
    </row>
    <row r="1966" spans="2:25">
      <c r="B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R1966"/>
      <c r="S1966"/>
      <c r="T1966"/>
      <c r="U1966"/>
      <c r="V1966"/>
      <c r="W1966"/>
      <c r="X1966"/>
      <c r="Y1966"/>
    </row>
    <row r="1967" spans="2:25">
      <c r="B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R1967"/>
      <c r="S1967"/>
      <c r="T1967"/>
      <c r="U1967"/>
      <c r="V1967"/>
      <c r="W1967"/>
      <c r="X1967"/>
      <c r="Y1967"/>
    </row>
    <row r="1968" spans="2:25">
      <c r="B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R1968"/>
      <c r="S1968"/>
      <c r="T1968"/>
      <c r="U1968"/>
      <c r="V1968"/>
      <c r="W1968"/>
      <c r="X1968"/>
      <c r="Y1968"/>
    </row>
    <row r="1969" spans="2:25">
      <c r="B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R1969"/>
      <c r="S1969"/>
      <c r="T1969"/>
      <c r="U1969"/>
      <c r="V1969"/>
      <c r="W1969"/>
      <c r="X1969"/>
      <c r="Y1969"/>
    </row>
    <row r="1970" spans="2:25">
      <c r="B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R1970"/>
      <c r="S1970"/>
      <c r="T1970"/>
      <c r="U1970"/>
      <c r="V1970"/>
      <c r="W1970"/>
      <c r="X1970"/>
      <c r="Y1970"/>
    </row>
    <row r="1971" spans="2:25">
      <c r="B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R1971"/>
      <c r="S1971"/>
      <c r="T1971"/>
      <c r="U1971"/>
      <c r="V1971"/>
      <c r="W1971"/>
      <c r="X1971"/>
      <c r="Y1971"/>
    </row>
    <row r="1972" spans="2:25">
      <c r="B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R1972"/>
      <c r="S1972"/>
      <c r="T1972"/>
      <c r="U1972"/>
      <c r="V1972"/>
      <c r="W1972"/>
      <c r="X1972"/>
      <c r="Y1972"/>
    </row>
    <row r="1973" spans="2:25">
      <c r="B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R1973"/>
      <c r="S1973"/>
      <c r="T1973"/>
      <c r="U1973"/>
      <c r="V1973"/>
      <c r="W1973"/>
      <c r="X1973"/>
      <c r="Y1973"/>
    </row>
    <row r="1974" spans="2:25">
      <c r="B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R1974"/>
      <c r="S1974"/>
      <c r="T1974"/>
      <c r="U1974"/>
      <c r="V1974"/>
      <c r="W1974"/>
      <c r="X1974"/>
      <c r="Y1974"/>
    </row>
    <row r="1975" spans="2:25">
      <c r="B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R1975"/>
      <c r="S1975"/>
      <c r="T1975"/>
      <c r="U1975"/>
      <c r="V1975"/>
      <c r="W1975"/>
      <c r="X1975"/>
      <c r="Y1975"/>
    </row>
    <row r="1976" spans="2:25">
      <c r="B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R1976"/>
      <c r="S1976"/>
      <c r="T1976"/>
      <c r="U1976"/>
      <c r="V1976"/>
      <c r="W1976"/>
      <c r="X1976"/>
      <c r="Y1976"/>
    </row>
    <row r="1977" spans="2:25">
      <c r="B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R1977"/>
      <c r="S1977"/>
      <c r="T1977"/>
      <c r="U1977"/>
      <c r="V1977"/>
      <c r="W1977"/>
      <c r="X1977"/>
      <c r="Y1977"/>
    </row>
    <row r="1978" spans="2:25">
      <c r="B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R1978"/>
      <c r="S1978"/>
      <c r="T1978"/>
      <c r="U1978"/>
      <c r="V1978"/>
      <c r="W1978"/>
      <c r="X1978"/>
      <c r="Y1978"/>
    </row>
    <row r="1979" spans="2:25">
      <c r="B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R1979"/>
      <c r="S1979"/>
      <c r="T1979"/>
      <c r="U1979"/>
      <c r="V1979"/>
      <c r="W1979"/>
      <c r="X1979"/>
      <c r="Y1979"/>
    </row>
    <row r="1980" spans="2:25">
      <c r="B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R1980"/>
      <c r="S1980"/>
      <c r="T1980"/>
      <c r="U1980"/>
      <c r="V1980"/>
      <c r="W1980"/>
      <c r="X1980"/>
      <c r="Y1980"/>
    </row>
    <row r="1981" spans="2:25">
      <c r="B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R1981"/>
      <c r="S1981"/>
      <c r="T1981"/>
      <c r="U1981"/>
      <c r="V1981"/>
      <c r="W1981"/>
      <c r="X1981"/>
      <c r="Y1981"/>
    </row>
    <row r="1982" spans="2:25">
      <c r="B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R1982"/>
      <c r="S1982"/>
      <c r="T1982"/>
      <c r="U1982"/>
      <c r="V1982"/>
      <c r="W1982"/>
      <c r="X1982"/>
      <c r="Y1982"/>
    </row>
    <row r="1983" spans="2:25">
      <c r="B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R1983"/>
      <c r="S1983"/>
      <c r="T1983"/>
      <c r="U1983"/>
      <c r="V1983"/>
      <c r="W1983"/>
      <c r="X1983"/>
      <c r="Y1983"/>
    </row>
    <row r="1984" spans="2:25">
      <c r="B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R1984"/>
      <c r="S1984"/>
      <c r="T1984"/>
      <c r="U1984"/>
      <c r="V1984"/>
      <c r="W1984"/>
      <c r="X1984"/>
      <c r="Y1984"/>
    </row>
    <row r="1985" spans="2:25">
      <c r="B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R1985"/>
      <c r="S1985"/>
      <c r="T1985"/>
      <c r="U1985"/>
      <c r="V1985"/>
      <c r="W1985"/>
      <c r="X1985"/>
      <c r="Y1985"/>
    </row>
    <row r="1986" spans="2:25">
      <c r="B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R1986"/>
      <c r="S1986"/>
      <c r="T1986"/>
      <c r="U1986"/>
      <c r="V1986"/>
      <c r="W1986"/>
      <c r="X1986"/>
      <c r="Y1986"/>
    </row>
    <row r="1987" spans="2:25">
      <c r="B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R1987"/>
      <c r="S1987"/>
      <c r="T1987"/>
      <c r="U1987"/>
      <c r="V1987"/>
      <c r="W1987"/>
      <c r="X1987"/>
      <c r="Y1987"/>
    </row>
    <row r="1988" spans="2:25">
      <c r="B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R1988"/>
      <c r="S1988"/>
      <c r="T1988"/>
      <c r="U1988"/>
      <c r="V1988"/>
      <c r="W1988"/>
      <c r="X1988"/>
      <c r="Y1988"/>
    </row>
    <row r="1989" spans="2:25">
      <c r="B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R1989"/>
      <c r="S1989"/>
      <c r="T1989"/>
      <c r="U1989"/>
      <c r="V1989"/>
      <c r="W1989"/>
      <c r="X1989"/>
      <c r="Y1989"/>
    </row>
    <row r="1990" spans="2:25">
      <c r="B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R1990"/>
      <c r="S1990"/>
      <c r="T1990"/>
      <c r="U1990"/>
      <c r="V1990"/>
      <c r="W1990"/>
      <c r="X1990"/>
      <c r="Y1990"/>
    </row>
    <row r="1991" spans="2:25">
      <c r="B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R1991"/>
      <c r="S1991"/>
      <c r="T1991"/>
      <c r="U1991"/>
      <c r="V1991"/>
      <c r="W1991"/>
      <c r="X1991"/>
      <c r="Y1991"/>
    </row>
    <row r="1992" spans="2:25">
      <c r="B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R1992"/>
      <c r="S1992"/>
      <c r="T1992"/>
      <c r="U1992"/>
      <c r="V1992"/>
      <c r="W1992"/>
      <c r="X1992"/>
      <c r="Y1992"/>
    </row>
    <row r="1993" spans="2:25">
      <c r="B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R1993"/>
      <c r="S1993"/>
      <c r="T1993"/>
      <c r="U1993"/>
      <c r="V1993"/>
      <c r="W1993"/>
      <c r="X1993"/>
      <c r="Y1993"/>
    </row>
    <row r="1994" spans="2:25">
      <c r="B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R1994"/>
      <c r="S1994"/>
      <c r="T1994"/>
      <c r="U1994"/>
      <c r="V1994"/>
      <c r="W1994"/>
      <c r="X1994"/>
      <c r="Y1994"/>
    </row>
    <row r="1995" spans="2:25">
      <c r="B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R1995"/>
      <c r="S1995"/>
      <c r="T1995"/>
      <c r="U1995"/>
      <c r="V1995"/>
      <c r="W1995"/>
      <c r="X1995"/>
      <c r="Y1995"/>
    </row>
    <row r="1996" spans="2:25">
      <c r="B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R1996"/>
      <c r="S1996"/>
      <c r="T1996"/>
      <c r="U1996"/>
      <c r="V1996"/>
      <c r="W1996"/>
      <c r="X1996"/>
      <c r="Y1996"/>
    </row>
    <row r="1997" spans="2:25">
      <c r="B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R1997"/>
      <c r="S1997"/>
      <c r="T1997"/>
      <c r="U1997"/>
      <c r="V1997"/>
      <c r="W1997"/>
      <c r="X1997"/>
      <c r="Y1997"/>
    </row>
  </sheetData>
  <mergeCells count="9">
    <mergeCell ref="R3:Y3"/>
    <mergeCell ref="B3:B4"/>
    <mergeCell ref="D3:D4"/>
    <mergeCell ref="G3:G4"/>
    <mergeCell ref="C3:C4"/>
    <mergeCell ref="H3:H4"/>
    <mergeCell ref="I3:P3"/>
    <mergeCell ref="F3:F4"/>
    <mergeCell ref="E3:E4"/>
  </mergeCells>
  <phoneticPr fontId="1" type="noConversion"/>
  <conditionalFormatting sqref="I5:P45">
    <cfRule type="expression" dxfId="7" priority="4">
      <formula>AND($G5&gt;0, VALUE($G5)-1=VALUE(I$4))</formula>
    </cfRule>
    <cfRule type="expression" dxfId="6" priority="5">
      <formula>AND($G5&gt;0, VALUE(I$4)&lt;VALUE($G5))</formula>
    </cfRule>
    <cfRule type="expression" dxfId="5" priority="6">
      <formula>AND($G5&gt;0, VALUE($G5)=VALUE(I$4))</formula>
    </cfRule>
  </conditionalFormatting>
  <conditionalFormatting sqref="R5:Y45">
    <cfRule type="expression" dxfId="2" priority="1">
      <formula>AND($G5&gt;0, VALUE($G5)-1=VALUE(R$4))</formula>
    </cfRule>
    <cfRule type="expression" dxfId="1" priority="2">
      <formula>AND($G5&gt;0, VALUE(R$4)&lt;VALUE($G5))</formula>
    </cfRule>
    <cfRule type="expression" dxfId="0" priority="3">
      <formula>AND($G5&gt;0, VALUE($G5)=VALUE(R$4))</formula>
    </cfRule>
  </conditionalFormatting>
  <hyperlinks>
    <hyperlink ref="Y1" r:id="rId1" xr:uid="{80EA733C-54F6-4B93-A436-71E716E7AD98}"/>
    <hyperlink ref="S1" r:id="rId2" xr:uid="{72BAB515-8CC2-4F3E-B0D4-7B6AE4598EF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382C-5E26-4CB2-81F5-28635135F570}">
  <dimension ref="B1:AD1996"/>
  <sheetViews>
    <sheetView showGridLines="0" zoomScale="90" zoomScaleNormal="90" workbookViewId="0">
      <selection activeCell="T5" sqref="T5"/>
    </sheetView>
  </sheetViews>
  <sheetFormatPr defaultRowHeight="114" outlineLevelCol="1"/>
  <cols>
    <col min="1" max="1" width="2.75" style="1" customWidth="1"/>
    <col min="2" max="2" width="10.625" style="1" customWidth="1"/>
    <col min="3" max="3" width="17" style="85" customWidth="1"/>
    <col min="4" max="4" width="20" style="1" bestFit="1" customWidth="1"/>
    <col min="5" max="5" width="20" style="1" hidden="1" customWidth="1" outlineLevel="1"/>
    <col min="6" max="7" width="10.625" style="1" hidden="1" customWidth="1" outlineLevel="1"/>
    <col min="8" max="8" width="10.625" style="1" customWidth="1" collapsed="1"/>
    <col min="9" max="16" width="10.625" style="1" customWidth="1"/>
    <col min="17" max="17" width="9" style="1"/>
    <col min="18" max="26" width="10.625" style="1" customWidth="1"/>
    <col min="27" max="28" width="9" style="1"/>
    <col min="29" max="29" width="15.75" style="1" bestFit="1" customWidth="1"/>
    <col min="30" max="30" width="14.25" style="1" bestFit="1" customWidth="1"/>
    <col min="31" max="34" width="9" style="1"/>
    <col min="35" max="39" width="11.5" style="1" customWidth="1"/>
    <col min="40" max="16384" width="9" style="1"/>
  </cols>
  <sheetData>
    <row r="1" spans="2:30" ht="39">
      <c r="C1" s="84"/>
    </row>
    <row r="2" spans="2:30" ht="39">
      <c r="B2" s="120" t="s">
        <v>4</v>
      </c>
      <c r="C2" s="120" t="s">
        <v>393</v>
      </c>
      <c r="D2" s="121" t="s">
        <v>427</v>
      </c>
      <c r="E2" s="121" t="s">
        <v>427</v>
      </c>
      <c r="F2" s="120" t="s">
        <v>8</v>
      </c>
      <c r="G2" s="120" t="s">
        <v>428</v>
      </c>
      <c r="H2" s="120" t="s">
        <v>36</v>
      </c>
      <c r="I2" s="120"/>
      <c r="J2" s="120"/>
      <c r="K2" s="120"/>
      <c r="L2" s="120"/>
      <c r="M2" s="120"/>
      <c r="N2" s="120"/>
      <c r="O2" s="120"/>
      <c r="P2" s="120"/>
      <c r="R2" s="120" t="s">
        <v>36</v>
      </c>
      <c r="S2" s="120"/>
      <c r="T2" s="120"/>
      <c r="U2" s="120"/>
      <c r="V2" s="120"/>
      <c r="W2" s="120"/>
      <c r="X2" s="120"/>
      <c r="Y2" s="120"/>
      <c r="Z2" s="120"/>
      <c r="AD2" s="81" t="s">
        <v>432</v>
      </c>
    </row>
    <row r="3" spans="2:30" s="2" customFormat="1" ht="30">
      <c r="B3" s="120"/>
      <c r="C3" s="120"/>
      <c r="D3" s="120"/>
      <c r="E3" s="120"/>
      <c r="F3" s="120"/>
      <c r="G3" s="120"/>
      <c r="H3" s="86">
        <v>1</v>
      </c>
      <c r="I3" s="86">
        <v>2</v>
      </c>
      <c r="J3" s="86">
        <v>3</v>
      </c>
      <c r="K3" s="86">
        <v>4</v>
      </c>
      <c r="L3" s="86">
        <v>5</v>
      </c>
      <c r="M3" s="86">
        <v>6</v>
      </c>
      <c r="N3" s="86">
        <v>7</v>
      </c>
      <c r="O3" s="86">
        <v>8</v>
      </c>
      <c r="P3" s="86">
        <v>9</v>
      </c>
      <c r="R3" s="86">
        <v>1</v>
      </c>
      <c r="S3" s="86">
        <v>2</v>
      </c>
      <c r="T3" s="86">
        <v>3</v>
      </c>
      <c r="U3" s="86">
        <v>4</v>
      </c>
      <c r="V3" s="86">
        <v>5</v>
      </c>
      <c r="W3" s="86">
        <v>6</v>
      </c>
      <c r="X3" s="86">
        <v>7</v>
      </c>
      <c r="Y3" s="86">
        <v>8</v>
      </c>
      <c r="Z3" s="86">
        <v>9</v>
      </c>
    </row>
    <row r="4" spans="2:30" ht="39">
      <c r="B4" s="87" t="s">
        <v>125</v>
      </c>
      <c r="C4" s="88"/>
      <c r="D4" s="88"/>
      <c r="E4" s="93" t="str">
        <f>IF(RIGHT(C4,1)="英",_xlfn.CONCAT("零", $D4),IF(MID($C4,2,1)="一",_xlfn.CONCAT($D4,"1"),IF($D4="","",$D4)))</f>
        <v/>
      </c>
      <c r="F4" s="94" t="str">
        <f xml:space="preserve"> IF(LEN($E4)=0, "", LEN($E4))</f>
        <v/>
      </c>
      <c r="G4" s="94" t="str">
        <f xml:space="preserve"> IFERROR( IF($R4="", "", SEARCH(LEFT($E4), $AD$2)), 0)</f>
        <v/>
      </c>
      <c r="H4" s="89" t="str">
        <f xml:space="preserve"> IF(AND($G4&gt;0, H$3&lt;$F4), IF(MID($E4,H$3+1,1)="1", """", MID($E4,H$3+1,1)), IF(H$3&lt;=$F4, IF(LEFT($E4,1)="零", "=", LEFT($E4,1)), ""))</f>
        <v/>
      </c>
      <c r="I4" s="89" t="str">
        <f t="shared" ref="I4:P19" si="0" xml:space="preserve"> IF(AND($G4&gt;0, I$3&lt;$F4), IF(MID($E4,I$3+1,1)="1", """", MID($E4,I$3+1,1)), IF(I$3&lt;=$F4, IF(LEFT($E4,1)="零", "=", LEFT($E4,1)), ""))</f>
        <v/>
      </c>
      <c r="J4" s="89" t="str">
        <f t="shared" si="0"/>
        <v/>
      </c>
      <c r="K4" s="89" t="str">
        <f t="shared" si="0"/>
        <v/>
      </c>
      <c r="L4" s="89" t="str">
        <f t="shared" si="0"/>
        <v/>
      </c>
      <c r="M4" s="89" t="str">
        <f t="shared" si="0"/>
        <v/>
      </c>
      <c r="N4" s="89" t="str">
        <f t="shared" si="0"/>
        <v/>
      </c>
      <c r="O4" s="89" t="str">
        <f t="shared" si="0"/>
        <v/>
      </c>
      <c r="P4" s="89" t="str">
        <f t="shared" si="0"/>
        <v/>
      </c>
      <c r="R4" s="89"/>
      <c r="S4" s="89"/>
      <c r="T4" s="89"/>
      <c r="U4" s="89"/>
      <c r="V4" s="89"/>
      <c r="W4" s="89"/>
      <c r="X4" s="89"/>
      <c r="Y4" s="89"/>
      <c r="Z4" s="89"/>
      <c r="AB4" s="2"/>
      <c r="AC4" s="2"/>
    </row>
    <row r="5" spans="2:30" ht="45.75">
      <c r="B5" s="87" t="s">
        <v>126</v>
      </c>
      <c r="C5" s="90" t="s">
        <v>394</v>
      </c>
      <c r="D5" s="88" t="s">
        <v>196</v>
      </c>
      <c r="E5" s="93" t="str">
        <f>IF(RIGHT(C5,1)="英",_xlfn.CONCAT("零", $D5),IF(MID($C5,2,1)="一",_xlfn.CONCAT($D5,"1"),IF($D5="","",$D5)))</f>
        <v>ㄌㄧㄤˊ</v>
      </c>
      <c r="F5" s="94">
        <f xml:space="preserve"> IF(LEN($E5)=0, "", LEN($E5))</f>
        <v>4</v>
      </c>
      <c r="G5" s="94">
        <f t="shared" ref="G5:G44" si="1" xml:space="preserve"> IFERROR( IF($R5="", "", SEARCH(LEFT($E5), $AD$2)), 0)</f>
        <v>9</v>
      </c>
      <c r="H5" s="89" t="str">
        <f xml:space="preserve"> IF(AND($G5&gt;0, H$3&lt;$F5), IF(MID($E5,H$3+1,1)="1", """", MID($E5,H$3+1,1)), IF(H$3&lt;=$F5, IF(LEFT($E5,1)="零", "=", LEFT($E5,1)), ""))</f>
        <v>ㄧ</v>
      </c>
      <c r="I5" s="89" t="str">
        <f t="shared" si="0"/>
        <v>ㄤ</v>
      </c>
      <c r="J5" s="89" t="str">
        <f t="shared" si="0"/>
        <v>ˊ</v>
      </c>
      <c r="K5" s="89" t="str">
        <f t="shared" si="0"/>
        <v>ㄌ</v>
      </c>
      <c r="L5" s="89" t="str">
        <f t="shared" si="0"/>
        <v/>
      </c>
      <c r="M5" s="89" t="str">
        <f t="shared" si="0"/>
        <v/>
      </c>
      <c r="N5" s="89" t="str">
        <f t="shared" si="0"/>
        <v/>
      </c>
      <c r="O5" s="89" t="str">
        <f t="shared" si="0"/>
        <v/>
      </c>
      <c r="P5" s="89" t="str">
        <f t="shared" si="0"/>
        <v/>
      </c>
      <c r="R5" s="89" t="s">
        <v>197</v>
      </c>
      <c r="S5" s="89" t="s">
        <v>198</v>
      </c>
      <c r="T5" s="89" t="s">
        <v>199</v>
      </c>
      <c r="U5" s="91">
        <v>6</v>
      </c>
      <c r="V5" s="89"/>
      <c r="W5" s="89"/>
      <c r="X5" s="89"/>
      <c r="Y5" s="89"/>
      <c r="Z5" s="89"/>
      <c r="AB5" s="2"/>
      <c r="AC5" s="2"/>
    </row>
    <row r="6" spans="2:30" ht="39">
      <c r="B6" s="87" t="s">
        <v>1</v>
      </c>
      <c r="C6" s="92" t="s">
        <v>395</v>
      </c>
      <c r="D6" s="88" t="s">
        <v>200</v>
      </c>
      <c r="E6" s="93" t="str">
        <f t="shared" ref="E6:E12" si="2">IF(RIGHT(C6,1)="英",_xlfn.CONCAT("零", $D6),IF(MID($C6,2,1)="一",_xlfn.CONCAT($D6,"1"),IF($D6="","",$D6)))</f>
        <v>ㄐㄧㄨ1</v>
      </c>
      <c r="F6" s="94">
        <f t="shared" ref="F6:F12" si="3" xml:space="preserve"> IF(LEN($E6)=0, "", LEN($E6))</f>
        <v>4</v>
      </c>
      <c r="G6" s="94">
        <f t="shared" si="1"/>
        <v>18</v>
      </c>
      <c r="H6" s="89" t="str">
        <f t="shared" ref="H6:P21" si="4" xml:space="preserve"> IF(AND($G6&gt;0, H$3&lt;$F6), IF(MID($E6,H$3+1,1)="1", """", MID($E6,H$3+1,1)), IF(H$3&lt;=$F6, IF(LEFT($E6,1)="零", "=", LEFT($E6,1)), ""))</f>
        <v>ㄧ</v>
      </c>
      <c r="I6" s="89" t="str">
        <f t="shared" si="0"/>
        <v>ㄨ</v>
      </c>
      <c r="J6" s="89" t="str">
        <f t="shared" si="0"/>
        <v>"</v>
      </c>
      <c r="K6" s="89" t="str">
        <f t="shared" si="0"/>
        <v>ㄐ</v>
      </c>
      <c r="L6" s="89" t="str">
        <f t="shared" si="0"/>
        <v/>
      </c>
      <c r="M6" s="89" t="str">
        <f t="shared" si="0"/>
        <v/>
      </c>
      <c r="N6" s="89" t="str">
        <f t="shared" si="0"/>
        <v/>
      </c>
      <c r="O6" s="89" t="str">
        <f t="shared" si="0"/>
        <v/>
      </c>
      <c r="P6" s="89" t="str">
        <f t="shared" si="0"/>
        <v/>
      </c>
      <c r="R6" s="89" t="s">
        <v>201</v>
      </c>
      <c r="S6" s="89" t="s">
        <v>198</v>
      </c>
      <c r="T6" s="89" t="s">
        <v>202</v>
      </c>
      <c r="U6" s="91" t="s">
        <v>389</v>
      </c>
      <c r="V6" s="89"/>
      <c r="W6" s="89"/>
      <c r="X6" s="89"/>
      <c r="Y6" s="89"/>
      <c r="Z6" s="89"/>
      <c r="AB6" s="2"/>
      <c r="AC6" s="2"/>
    </row>
    <row r="7" spans="2:30" ht="39">
      <c r="B7" s="87" t="s">
        <v>2</v>
      </c>
      <c r="C7" s="92" t="s">
        <v>396</v>
      </c>
      <c r="D7" s="88" t="s">
        <v>204</v>
      </c>
      <c r="E7" s="93" t="str">
        <f t="shared" si="2"/>
        <v>ㄙㄨˊ</v>
      </c>
      <c r="F7" s="94">
        <f t="shared" si="3"/>
        <v>3</v>
      </c>
      <c r="G7" s="94">
        <f t="shared" si="1"/>
        <v>17</v>
      </c>
      <c r="H7" s="89" t="str">
        <f t="shared" si="4"/>
        <v>ㄨ</v>
      </c>
      <c r="I7" s="89" t="str">
        <f t="shared" si="0"/>
        <v>ˊ</v>
      </c>
      <c r="J7" s="89" t="str">
        <f t="shared" si="0"/>
        <v>ㄙ</v>
      </c>
      <c r="K7" s="89" t="str">
        <f t="shared" si="0"/>
        <v/>
      </c>
      <c r="L7" s="89" t="str">
        <f t="shared" si="0"/>
        <v/>
      </c>
      <c r="M7" s="89" t="str">
        <f t="shared" si="0"/>
        <v/>
      </c>
      <c r="N7" s="89" t="str">
        <f t="shared" si="0"/>
        <v/>
      </c>
      <c r="O7" s="89" t="str">
        <f t="shared" si="0"/>
        <v/>
      </c>
      <c r="P7" s="89" t="str">
        <f t="shared" si="0"/>
        <v/>
      </c>
      <c r="R7" s="89" t="s">
        <v>205</v>
      </c>
      <c r="S7" s="89" t="s">
        <v>202</v>
      </c>
      <c r="T7" s="91">
        <v>6</v>
      </c>
      <c r="U7" s="89"/>
      <c r="V7" s="89"/>
      <c r="W7" s="89"/>
      <c r="X7" s="89"/>
      <c r="Y7" s="89"/>
      <c r="Z7" s="89"/>
      <c r="AB7" s="2"/>
      <c r="AC7" s="2"/>
    </row>
    <row r="8" spans="2:30" ht="45.75">
      <c r="B8" s="87" t="s">
        <v>127</v>
      </c>
      <c r="C8" s="90"/>
      <c r="D8" s="88"/>
      <c r="E8" s="93" t="str">
        <f t="shared" si="2"/>
        <v/>
      </c>
      <c r="F8" s="94" t="str">
        <f t="shared" si="3"/>
        <v/>
      </c>
      <c r="G8" s="94" t="str">
        <f t="shared" si="1"/>
        <v/>
      </c>
      <c r="H8" s="89" t="str">
        <f t="shared" si="4"/>
        <v/>
      </c>
      <c r="I8" s="89" t="str">
        <f t="shared" si="0"/>
        <v/>
      </c>
      <c r="J8" s="89" t="str">
        <f t="shared" si="0"/>
        <v/>
      </c>
      <c r="K8" s="89" t="str">
        <f t="shared" si="0"/>
        <v/>
      </c>
      <c r="L8" s="89" t="str">
        <f t="shared" si="0"/>
        <v/>
      </c>
      <c r="M8" s="89" t="str">
        <f t="shared" si="0"/>
        <v/>
      </c>
      <c r="N8" s="89" t="str">
        <f t="shared" si="0"/>
        <v/>
      </c>
      <c r="O8" s="89" t="str">
        <f t="shared" si="0"/>
        <v/>
      </c>
      <c r="P8" s="89" t="str">
        <f t="shared" si="0"/>
        <v/>
      </c>
      <c r="R8" s="89"/>
      <c r="S8" s="89"/>
      <c r="T8" s="89"/>
      <c r="U8" s="89"/>
      <c r="V8" s="89"/>
      <c r="W8" s="89"/>
      <c r="X8" s="89"/>
      <c r="Y8" s="89"/>
      <c r="Z8" s="89"/>
      <c r="AB8" s="2"/>
      <c r="AC8" s="2"/>
    </row>
    <row r="9" spans="2:30" ht="45.75">
      <c r="B9" s="87" t="s">
        <v>128</v>
      </c>
      <c r="C9" s="90" t="s">
        <v>397</v>
      </c>
      <c r="D9" s="88" t="s">
        <v>206</v>
      </c>
      <c r="E9" s="93" t="str">
        <f t="shared" si="2"/>
        <v>零ㆲˊ</v>
      </c>
      <c r="F9" s="94">
        <f t="shared" si="3"/>
        <v>3</v>
      </c>
      <c r="G9" s="94">
        <f t="shared" si="1"/>
        <v>1</v>
      </c>
      <c r="H9" s="89" t="str">
        <f t="shared" si="4"/>
        <v>ㆲ</v>
      </c>
      <c r="I9" s="89" t="str">
        <f t="shared" si="0"/>
        <v>ˊ</v>
      </c>
      <c r="J9" s="89" t="str">
        <f t="shared" si="0"/>
        <v>=</v>
      </c>
      <c r="K9" s="89" t="str">
        <f t="shared" si="0"/>
        <v/>
      </c>
      <c r="L9" s="89" t="str">
        <f t="shared" si="0"/>
        <v/>
      </c>
      <c r="M9" s="89" t="str">
        <f t="shared" si="0"/>
        <v/>
      </c>
      <c r="N9" s="89" t="str">
        <f t="shared" si="0"/>
        <v/>
      </c>
      <c r="O9" s="89" t="str">
        <f t="shared" si="0"/>
        <v/>
      </c>
      <c r="P9" s="89" t="str">
        <f t="shared" si="0"/>
        <v/>
      </c>
      <c r="R9" s="89" t="s">
        <v>207</v>
      </c>
      <c r="S9" s="91">
        <v>6</v>
      </c>
      <c r="T9" s="89"/>
      <c r="U9" s="89"/>
      <c r="V9" s="89"/>
      <c r="W9" s="89"/>
      <c r="X9" s="89"/>
      <c r="Y9" s="89"/>
      <c r="Z9" s="89"/>
      <c r="AB9" s="2"/>
      <c r="AC9" s="2"/>
    </row>
    <row r="10" spans="2:30" ht="45.75">
      <c r="B10" s="87" t="s">
        <v>129</v>
      </c>
      <c r="C10" s="90" t="s">
        <v>398</v>
      </c>
      <c r="D10" s="88" t="s">
        <v>208</v>
      </c>
      <c r="E10" s="93" t="str">
        <f t="shared" si="2"/>
        <v>ㄐㄧ1</v>
      </c>
      <c r="F10" s="94">
        <f t="shared" si="3"/>
        <v>3</v>
      </c>
      <c r="G10" s="94">
        <f t="shared" si="1"/>
        <v>18</v>
      </c>
      <c r="H10" s="89" t="str">
        <f t="shared" si="4"/>
        <v>ㄧ</v>
      </c>
      <c r="I10" s="89" t="str">
        <f t="shared" si="0"/>
        <v>"</v>
      </c>
      <c r="J10" s="89" t="str">
        <f t="shared" si="0"/>
        <v>ㄐ</v>
      </c>
      <c r="K10" s="89" t="str">
        <f t="shared" si="0"/>
        <v/>
      </c>
      <c r="L10" s="89" t="str">
        <f t="shared" si="0"/>
        <v/>
      </c>
      <c r="M10" s="89" t="str">
        <f t="shared" si="0"/>
        <v/>
      </c>
      <c r="N10" s="89" t="str">
        <f t="shared" si="0"/>
        <v/>
      </c>
      <c r="O10" s="89" t="str">
        <f t="shared" si="0"/>
        <v/>
      </c>
      <c r="P10" s="89" t="str">
        <f t="shared" si="0"/>
        <v/>
      </c>
      <c r="R10" s="89" t="s">
        <v>201</v>
      </c>
      <c r="S10" s="89" t="s">
        <v>198</v>
      </c>
      <c r="T10" s="91" t="s">
        <v>389</v>
      </c>
      <c r="U10" s="89"/>
      <c r="V10" s="89"/>
      <c r="W10" s="89"/>
      <c r="X10" s="89"/>
      <c r="Y10" s="89"/>
      <c r="Z10" s="89"/>
      <c r="AB10" s="2"/>
      <c r="AC10" s="2"/>
    </row>
    <row r="11" spans="2:30" ht="45.75">
      <c r="B11" s="87" t="s">
        <v>130</v>
      </c>
      <c r="C11" s="90" t="s">
        <v>399</v>
      </c>
      <c r="D11" s="88" t="s">
        <v>209</v>
      </c>
      <c r="E11" s="93" t="str">
        <f t="shared" si="2"/>
        <v>ㄏㄨㄢ˪</v>
      </c>
      <c r="F11" s="94">
        <f t="shared" si="3"/>
        <v>4</v>
      </c>
      <c r="G11" s="94">
        <f t="shared" si="1"/>
        <v>13</v>
      </c>
      <c r="H11" s="89" t="str">
        <f t="shared" si="4"/>
        <v>ㄨ</v>
      </c>
      <c r="I11" s="89" t="str">
        <f t="shared" si="0"/>
        <v>ㄢ</v>
      </c>
      <c r="J11" s="89" t="str">
        <f t="shared" si="0"/>
        <v>˪</v>
      </c>
      <c r="K11" s="89" t="str">
        <f t="shared" si="0"/>
        <v>ㄏ</v>
      </c>
      <c r="L11" s="89" t="str">
        <f t="shared" si="0"/>
        <v/>
      </c>
      <c r="M11" s="89" t="str">
        <f t="shared" si="0"/>
        <v/>
      </c>
      <c r="N11" s="89" t="str">
        <f t="shared" si="0"/>
        <v/>
      </c>
      <c r="O11" s="89" t="str">
        <f t="shared" si="0"/>
        <v/>
      </c>
      <c r="P11" s="89" t="str">
        <f t="shared" si="0"/>
        <v/>
      </c>
      <c r="R11" s="89" t="s">
        <v>210</v>
      </c>
      <c r="S11" s="89" t="s">
        <v>202</v>
      </c>
      <c r="T11" s="89" t="s">
        <v>211</v>
      </c>
      <c r="U11" s="91">
        <v>3</v>
      </c>
      <c r="V11" s="89" t="s">
        <v>203</v>
      </c>
      <c r="W11" s="89"/>
      <c r="X11" s="89"/>
      <c r="Y11" s="89"/>
      <c r="Z11" s="89"/>
      <c r="AB11" s="2"/>
      <c r="AC11" s="2"/>
    </row>
    <row r="12" spans="2:30" ht="45.75">
      <c r="B12" s="87"/>
      <c r="C12" s="90"/>
      <c r="D12" s="88"/>
      <c r="E12" s="93" t="str">
        <f t="shared" si="2"/>
        <v/>
      </c>
      <c r="F12" s="94" t="str">
        <f t="shared" si="3"/>
        <v/>
      </c>
      <c r="G12" s="94" t="str">
        <f t="shared" si="1"/>
        <v/>
      </c>
      <c r="H12" s="89" t="str">
        <f t="shared" si="4"/>
        <v/>
      </c>
      <c r="I12" s="89" t="str">
        <f t="shared" si="0"/>
        <v/>
      </c>
      <c r="J12" s="89" t="str">
        <f t="shared" si="0"/>
        <v/>
      </c>
      <c r="K12" s="89" t="str">
        <f t="shared" si="0"/>
        <v/>
      </c>
      <c r="L12" s="89" t="str">
        <f t="shared" si="0"/>
        <v/>
      </c>
      <c r="M12" s="89" t="str">
        <f t="shared" si="0"/>
        <v/>
      </c>
      <c r="N12" s="89" t="str">
        <f t="shared" si="0"/>
        <v/>
      </c>
      <c r="O12" s="89" t="str">
        <f t="shared" si="0"/>
        <v/>
      </c>
      <c r="P12" s="89" t="str">
        <f t="shared" si="0"/>
        <v/>
      </c>
      <c r="R12" s="89"/>
      <c r="S12" s="89"/>
      <c r="T12" s="89"/>
      <c r="U12" s="89"/>
      <c r="V12" s="89"/>
      <c r="W12" s="89"/>
      <c r="X12" s="89"/>
      <c r="Y12" s="89"/>
      <c r="Z12" s="89"/>
    </row>
    <row r="13" spans="2:30" ht="45.75">
      <c r="B13" s="87" t="s">
        <v>137</v>
      </c>
      <c r="C13" s="90" t="s">
        <v>400</v>
      </c>
      <c r="D13" s="88" t="s">
        <v>212</v>
      </c>
      <c r="E13" s="93" t="str">
        <f t="shared" ref="E13:E15" si="5">IF(AND($D13&lt;&gt;"",RIGHT(C13,1)="英"),_xlfn.CONCAT("q", $D13),IF(MID($D13,2,1)="一",_xlfn.CONCAT($D13,"1"),IF($D13="","",$D13)))</f>
        <v>ㄏㆲˊ</v>
      </c>
      <c r="F13" s="94">
        <f t="shared" ref="F13:F44" si="6" xml:space="preserve"> IF(LEN($D13)=0, "", LEN($D13))</f>
        <v>3</v>
      </c>
      <c r="G13" s="94">
        <f t="shared" si="1"/>
        <v>13</v>
      </c>
      <c r="H13" s="89" t="str">
        <f t="shared" si="4"/>
        <v>ㆲ</v>
      </c>
      <c r="I13" s="89" t="str">
        <f t="shared" si="0"/>
        <v>ˊ</v>
      </c>
      <c r="J13" s="89" t="str">
        <f t="shared" si="0"/>
        <v>ㄏ</v>
      </c>
      <c r="K13" s="89" t="str">
        <f t="shared" si="0"/>
        <v/>
      </c>
      <c r="L13" s="89" t="str">
        <f t="shared" si="0"/>
        <v/>
      </c>
      <c r="M13" s="89" t="str">
        <f t="shared" si="0"/>
        <v/>
      </c>
      <c r="N13" s="89" t="str">
        <f t="shared" si="0"/>
        <v/>
      </c>
      <c r="O13" s="89" t="str">
        <f t="shared" si="0"/>
        <v/>
      </c>
      <c r="P13" s="89" t="str">
        <f t="shared" si="0"/>
        <v/>
      </c>
      <c r="R13" s="89" t="s">
        <v>210</v>
      </c>
      <c r="S13" s="89" t="s">
        <v>207</v>
      </c>
      <c r="T13" s="91">
        <v>6</v>
      </c>
      <c r="U13" s="89"/>
      <c r="V13" s="89"/>
      <c r="W13" s="89"/>
      <c r="X13" s="89"/>
      <c r="Y13" s="89"/>
      <c r="Z13" s="89"/>
    </row>
    <row r="14" spans="2:30" ht="45.75">
      <c r="B14" s="87" t="s">
        <v>138</v>
      </c>
      <c r="C14" s="90" t="s">
        <v>401</v>
      </c>
      <c r="D14" s="88" t="s">
        <v>213</v>
      </c>
      <c r="E14" s="93" t="str">
        <f t="shared" si="5"/>
        <v>ㄏㄜˊ</v>
      </c>
      <c r="F14" s="94">
        <f t="shared" si="6"/>
        <v>3</v>
      </c>
      <c r="G14" s="94">
        <f t="shared" si="1"/>
        <v>13</v>
      </c>
      <c r="H14" s="89" t="str">
        <f t="shared" si="4"/>
        <v>ㄜ</v>
      </c>
      <c r="I14" s="89" t="str">
        <f t="shared" si="0"/>
        <v>ˊ</v>
      </c>
      <c r="J14" s="89" t="str">
        <f t="shared" si="0"/>
        <v>ㄏ</v>
      </c>
      <c r="K14" s="89" t="str">
        <f t="shared" si="0"/>
        <v/>
      </c>
      <c r="L14" s="89" t="str">
        <f t="shared" si="0"/>
        <v/>
      </c>
      <c r="M14" s="89" t="str">
        <f t="shared" si="0"/>
        <v/>
      </c>
      <c r="N14" s="89" t="str">
        <f t="shared" si="0"/>
        <v/>
      </c>
      <c r="O14" s="89" t="str">
        <f t="shared" si="0"/>
        <v/>
      </c>
      <c r="P14" s="89" t="str">
        <f t="shared" si="0"/>
        <v/>
      </c>
      <c r="R14" s="89" t="s">
        <v>210</v>
      </c>
      <c r="S14" s="89" t="s">
        <v>214</v>
      </c>
      <c r="T14" s="91">
        <v>6</v>
      </c>
      <c r="U14" s="89"/>
      <c r="V14" s="89"/>
      <c r="W14" s="89"/>
      <c r="X14" s="89"/>
      <c r="Y14" s="89"/>
      <c r="Z14" s="89"/>
    </row>
    <row r="15" spans="2:30" ht="45.75">
      <c r="B15" s="87" t="s">
        <v>139</v>
      </c>
      <c r="C15" s="90" t="s">
        <v>402</v>
      </c>
      <c r="D15" s="88" t="s">
        <v>215</v>
      </c>
      <c r="E15" s="93" t="str">
        <f t="shared" si="5"/>
        <v>qㄨㄢˋ</v>
      </c>
      <c r="F15" s="94">
        <f t="shared" si="6"/>
        <v>3</v>
      </c>
      <c r="G15" s="94">
        <f t="shared" si="1"/>
        <v>0</v>
      </c>
      <c r="H15" s="89" t="str">
        <f t="shared" si="4"/>
        <v>q</v>
      </c>
      <c r="I15" s="89" t="str">
        <f t="shared" si="0"/>
        <v>q</v>
      </c>
      <c r="J15" s="89" t="str">
        <f t="shared" si="0"/>
        <v>q</v>
      </c>
      <c r="K15" s="89" t="str">
        <f t="shared" si="0"/>
        <v/>
      </c>
      <c r="L15" s="89" t="str">
        <f t="shared" si="0"/>
        <v/>
      </c>
      <c r="M15" s="89" t="str">
        <f t="shared" si="0"/>
        <v/>
      </c>
      <c r="N15" s="89" t="str">
        <f t="shared" si="0"/>
        <v/>
      </c>
      <c r="O15" s="89" t="str">
        <f t="shared" si="0"/>
        <v/>
      </c>
      <c r="P15" s="89" t="str">
        <f t="shared" si="0"/>
        <v/>
      </c>
      <c r="R15" s="89" t="s">
        <v>202</v>
      </c>
      <c r="S15" s="89" t="s">
        <v>211</v>
      </c>
      <c r="T15" s="91">
        <v>4</v>
      </c>
      <c r="U15" s="89"/>
      <c r="V15" s="89"/>
      <c r="W15" s="89"/>
      <c r="X15" s="89"/>
      <c r="Y15" s="89"/>
      <c r="Z15" s="89"/>
    </row>
    <row r="16" spans="2:30" ht="45.75">
      <c r="B16" s="87" t="s">
        <v>140</v>
      </c>
      <c r="C16" s="90" t="s">
        <v>403</v>
      </c>
      <c r="D16" s="88" t="s">
        <v>216</v>
      </c>
      <c r="E16" s="93" t="str">
        <f t="shared" ref="E16:E44" si="7">IF(AND($D16&lt;&gt;"",RIGHT(C16,1)="英"),_xlfn.CONCAT($D16,"q"),IF(MID($D16,2,1)="一",_xlfn.CONCAT($D16,"1"),IF($D16="","",$D16)))</f>
        <v>ㄒㄧㆲˋ</v>
      </c>
      <c r="F16" s="94">
        <f t="shared" si="6"/>
        <v>4</v>
      </c>
      <c r="G16" s="94">
        <f t="shared" si="1"/>
        <v>21</v>
      </c>
      <c r="H16" s="89" t="str">
        <f t="shared" si="4"/>
        <v>ㄧ</v>
      </c>
      <c r="I16" s="89" t="str">
        <f t="shared" si="0"/>
        <v>ㆲ</v>
      </c>
      <c r="J16" s="89" t="str">
        <f t="shared" si="0"/>
        <v>ˋ</v>
      </c>
      <c r="K16" s="89" t="str">
        <f t="shared" si="0"/>
        <v>ㄒ</v>
      </c>
      <c r="L16" s="89" t="str">
        <f t="shared" si="0"/>
        <v/>
      </c>
      <c r="M16" s="89" t="str">
        <f t="shared" si="0"/>
        <v/>
      </c>
      <c r="N16" s="89" t="str">
        <f t="shared" si="0"/>
        <v/>
      </c>
      <c r="O16" s="89" t="str">
        <f t="shared" si="0"/>
        <v/>
      </c>
      <c r="P16" s="89" t="str">
        <f t="shared" si="0"/>
        <v/>
      </c>
      <c r="R16" s="89" t="s">
        <v>217</v>
      </c>
      <c r="S16" s="89" t="s">
        <v>198</v>
      </c>
      <c r="T16" s="89" t="s">
        <v>207</v>
      </c>
      <c r="U16" s="91">
        <v>4</v>
      </c>
      <c r="V16" s="89"/>
      <c r="W16" s="89"/>
      <c r="X16" s="89"/>
      <c r="Y16" s="89"/>
      <c r="Z16" s="89"/>
    </row>
    <row r="17" spans="2:26" ht="45.75">
      <c r="B17" s="87" t="s">
        <v>141</v>
      </c>
      <c r="C17" s="90" t="s">
        <v>404</v>
      </c>
      <c r="D17" s="88" t="s">
        <v>218</v>
      </c>
      <c r="E17" s="93" t="str">
        <f t="shared" si="7"/>
        <v>ㄅㄧㆻ˙</v>
      </c>
      <c r="F17" s="94">
        <f t="shared" si="6"/>
        <v>4</v>
      </c>
      <c r="G17" s="94">
        <f t="shared" si="1"/>
        <v>2</v>
      </c>
      <c r="H17" s="89" t="str">
        <f t="shared" si="4"/>
        <v>ㄧ</v>
      </c>
      <c r="I17" s="89" t="str">
        <f t="shared" si="0"/>
        <v>ㆻ</v>
      </c>
      <c r="J17" s="89" t="str">
        <f t="shared" si="0"/>
        <v>˙</v>
      </c>
      <c r="K17" s="89" t="str">
        <f t="shared" si="0"/>
        <v>ㄅ</v>
      </c>
      <c r="L17" s="89" t="str">
        <f t="shared" si="0"/>
        <v/>
      </c>
      <c r="M17" s="89" t="str">
        <f t="shared" si="0"/>
        <v/>
      </c>
      <c r="N17" s="89" t="str">
        <f t="shared" si="0"/>
        <v/>
      </c>
      <c r="O17" s="89" t="str">
        <f t="shared" si="0"/>
        <v/>
      </c>
      <c r="P17" s="89" t="str">
        <f t="shared" si="0"/>
        <v/>
      </c>
      <c r="R17" s="89" t="s">
        <v>219</v>
      </c>
      <c r="S17" s="89" t="s">
        <v>198</v>
      </c>
      <c r="T17" s="89" t="s">
        <v>220</v>
      </c>
      <c r="U17" s="91">
        <v>7</v>
      </c>
      <c r="V17" s="89"/>
      <c r="W17" s="89"/>
      <c r="X17" s="89"/>
      <c r="Y17" s="89"/>
      <c r="Z17" s="89"/>
    </row>
    <row r="18" spans="2:26" ht="45.75">
      <c r="B18" s="87" t="s">
        <v>142</v>
      </c>
      <c r="C18" s="90" t="s">
        <v>405</v>
      </c>
      <c r="D18" s="88" t="s">
        <v>221</v>
      </c>
      <c r="E18" s="93" t="str">
        <f t="shared" si="7"/>
        <v>ㄏㄨㄣˊ</v>
      </c>
      <c r="F18" s="94">
        <f t="shared" si="6"/>
        <v>4</v>
      </c>
      <c r="G18" s="94">
        <f t="shared" si="1"/>
        <v>13</v>
      </c>
      <c r="H18" s="89" t="str">
        <f t="shared" si="4"/>
        <v>ㄨ</v>
      </c>
      <c r="I18" s="89" t="str">
        <f t="shared" si="0"/>
        <v>ㄣ</v>
      </c>
      <c r="J18" s="89" t="str">
        <f t="shared" si="0"/>
        <v>ˊ</v>
      </c>
      <c r="K18" s="89" t="str">
        <f t="shared" si="0"/>
        <v>ㄏ</v>
      </c>
      <c r="L18" s="89" t="str">
        <f t="shared" si="0"/>
        <v/>
      </c>
      <c r="M18" s="89" t="str">
        <f t="shared" si="0"/>
        <v/>
      </c>
      <c r="N18" s="89" t="str">
        <f t="shared" si="0"/>
        <v/>
      </c>
      <c r="O18" s="89" t="str">
        <f t="shared" si="0"/>
        <v/>
      </c>
      <c r="P18" s="89" t="str">
        <f t="shared" si="0"/>
        <v/>
      </c>
      <c r="R18" s="89" t="s">
        <v>210</v>
      </c>
      <c r="S18" s="89" t="s">
        <v>202</v>
      </c>
      <c r="T18" s="89" t="s">
        <v>222</v>
      </c>
      <c r="U18" s="91">
        <v>6</v>
      </c>
      <c r="V18" s="89"/>
      <c r="W18" s="89"/>
      <c r="X18" s="89"/>
      <c r="Y18" s="89"/>
      <c r="Z18" s="89"/>
    </row>
    <row r="19" spans="2:26" ht="45.75">
      <c r="B19" s="87" t="s">
        <v>143</v>
      </c>
      <c r="C19" s="90" t="s">
        <v>406</v>
      </c>
      <c r="D19" s="88" t="s">
        <v>223</v>
      </c>
      <c r="E19" s="93" t="str">
        <f t="shared" si="7"/>
        <v>ㄍㄢ</v>
      </c>
      <c r="F19" s="94">
        <f t="shared" si="6"/>
        <v>2</v>
      </c>
      <c r="G19" s="94">
        <f t="shared" si="1"/>
        <v>10</v>
      </c>
      <c r="H19" s="89" t="str">
        <f t="shared" si="4"/>
        <v>ㄢ</v>
      </c>
      <c r="I19" s="89" t="str">
        <f t="shared" si="0"/>
        <v>ㄍ</v>
      </c>
      <c r="J19" s="89" t="str">
        <f t="shared" si="0"/>
        <v/>
      </c>
      <c r="K19" s="89" t="str">
        <f t="shared" si="0"/>
        <v/>
      </c>
      <c r="L19" s="89" t="str">
        <f t="shared" si="0"/>
        <v/>
      </c>
      <c r="M19" s="89" t="str">
        <f t="shared" si="0"/>
        <v/>
      </c>
      <c r="N19" s="89" t="str">
        <f t="shared" si="0"/>
        <v/>
      </c>
      <c r="O19" s="89" t="str">
        <f t="shared" si="0"/>
        <v/>
      </c>
      <c r="P19" s="89" t="str">
        <f t="shared" si="0"/>
        <v/>
      </c>
      <c r="R19" s="89" t="s">
        <v>224</v>
      </c>
      <c r="S19" s="89" t="s">
        <v>211</v>
      </c>
      <c r="T19" s="91" t="s">
        <v>389</v>
      </c>
      <c r="U19" s="89"/>
      <c r="V19" s="89"/>
      <c r="W19" s="89"/>
      <c r="X19" s="89"/>
      <c r="Y19" s="89"/>
      <c r="Z19" s="89"/>
    </row>
    <row r="20" spans="2:26" ht="45.75">
      <c r="B20" s="87" t="s">
        <v>144</v>
      </c>
      <c r="C20" s="90"/>
      <c r="D20" s="88"/>
      <c r="E20" s="93" t="str">
        <f t="shared" si="7"/>
        <v/>
      </c>
      <c r="F20" s="94" t="str">
        <f t="shared" si="6"/>
        <v/>
      </c>
      <c r="G20" s="94" t="str">
        <f t="shared" si="1"/>
        <v/>
      </c>
      <c r="H20" s="89" t="str">
        <f t="shared" si="4"/>
        <v/>
      </c>
      <c r="I20" s="89" t="str">
        <f t="shared" si="4"/>
        <v/>
      </c>
      <c r="J20" s="89" t="str">
        <f t="shared" si="4"/>
        <v/>
      </c>
      <c r="K20" s="89" t="str">
        <f t="shared" si="4"/>
        <v/>
      </c>
      <c r="L20" s="89" t="str">
        <f t="shared" si="4"/>
        <v/>
      </c>
      <c r="M20" s="89" t="str">
        <f t="shared" si="4"/>
        <v/>
      </c>
      <c r="N20" s="89" t="str">
        <f t="shared" si="4"/>
        <v/>
      </c>
      <c r="O20" s="89" t="str">
        <f t="shared" si="4"/>
        <v/>
      </c>
      <c r="P20" s="89" t="str">
        <f t="shared" si="4"/>
        <v/>
      </c>
      <c r="R20" s="89"/>
      <c r="S20" s="89"/>
      <c r="T20" s="89"/>
      <c r="U20" s="89"/>
      <c r="V20" s="89"/>
      <c r="W20" s="89"/>
      <c r="X20" s="89"/>
      <c r="Y20" s="89"/>
      <c r="Z20" s="89"/>
    </row>
    <row r="21" spans="2:26" ht="45.75">
      <c r="B21" s="87" t="s">
        <v>152</v>
      </c>
      <c r="C21" s="90" t="s">
        <v>407</v>
      </c>
      <c r="D21" s="88" t="s">
        <v>225</v>
      </c>
      <c r="E21" s="93" t="str">
        <f t="shared" si="7"/>
        <v>ㄧㆵq</v>
      </c>
      <c r="F21" s="94">
        <f t="shared" si="6"/>
        <v>2</v>
      </c>
      <c r="G21" s="94">
        <f t="shared" si="1"/>
        <v>0</v>
      </c>
      <c r="H21" s="89" t="str">
        <f t="shared" si="4"/>
        <v>ㄧ</v>
      </c>
      <c r="I21" s="89" t="str">
        <f t="shared" si="4"/>
        <v>ㄧ</v>
      </c>
      <c r="J21" s="89" t="str">
        <f t="shared" si="4"/>
        <v/>
      </c>
      <c r="K21" s="89" t="str">
        <f t="shared" si="4"/>
        <v/>
      </c>
      <c r="L21" s="89" t="str">
        <f t="shared" si="4"/>
        <v/>
      </c>
      <c r="M21" s="89" t="str">
        <f t="shared" si="4"/>
        <v/>
      </c>
      <c r="N21" s="89" t="str">
        <f t="shared" si="4"/>
        <v/>
      </c>
      <c r="O21" s="89" t="str">
        <f t="shared" si="4"/>
        <v/>
      </c>
      <c r="P21" s="89" t="str">
        <f t="shared" si="4"/>
        <v/>
      </c>
      <c r="R21" s="89" t="s">
        <v>198</v>
      </c>
      <c r="S21" s="89" t="s">
        <v>226</v>
      </c>
      <c r="T21" s="91" t="s">
        <v>389</v>
      </c>
      <c r="U21" s="89"/>
      <c r="V21" s="89"/>
      <c r="W21" s="89"/>
      <c r="X21" s="89"/>
      <c r="Y21" s="89"/>
      <c r="Z21" s="89"/>
    </row>
    <row r="22" spans="2:26" ht="45.75">
      <c r="B22" s="87" t="s">
        <v>153</v>
      </c>
      <c r="C22" s="90" t="s">
        <v>408</v>
      </c>
      <c r="D22" s="88" t="s">
        <v>227</v>
      </c>
      <c r="E22" s="93" t="str">
        <f t="shared" si="7"/>
        <v>ㄆㄧㄢ˪</v>
      </c>
      <c r="F22" s="94">
        <f t="shared" si="6"/>
        <v>4</v>
      </c>
      <c r="G22" s="94">
        <f t="shared" si="1"/>
        <v>3</v>
      </c>
      <c r="H22" s="89" t="str">
        <f t="shared" ref="H22:P44" si="8" xml:space="preserve"> IF(AND($G22&gt;0, H$3&lt;$F22), IF(MID($E22,H$3+1,1)="1", """", MID($E22,H$3+1,1)), IF(H$3&lt;=$F22, IF(LEFT($E22,1)="零", "=", LEFT($E22,1)), ""))</f>
        <v>ㄧ</v>
      </c>
      <c r="I22" s="89" t="str">
        <f t="shared" si="8"/>
        <v>ㄢ</v>
      </c>
      <c r="J22" s="89" t="str">
        <f t="shared" si="8"/>
        <v>˪</v>
      </c>
      <c r="K22" s="89" t="str">
        <f t="shared" si="8"/>
        <v>ㄆ</v>
      </c>
      <c r="L22" s="89" t="str">
        <f t="shared" si="8"/>
        <v/>
      </c>
      <c r="M22" s="89" t="str">
        <f t="shared" si="8"/>
        <v/>
      </c>
      <c r="N22" s="89" t="str">
        <f t="shared" si="8"/>
        <v/>
      </c>
      <c r="O22" s="89" t="str">
        <f t="shared" si="8"/>
        <v/>
      </c>
      <c r="P22" s="89" t="str">
        <f t="shared" si="8"/>
        <v/>
      </c>
      <c r="R22" s="89" t="s">
        <v>228</v>
      </c>
      <c r="S22" s="89" t="s">
        <v>198</v>
      </c>
      <c r="T22" s="89" t="s">
        <v>211</v>
      </c>
      <c r="U22" s="91">
        <v>3</v>
      </c>
      <c r="V22" s="89" t="s">
        <v>203</v>
      </c>
      <c r="W22" s="89"/>
      <c r="X22" s="89"/>
      <c r="Y22" s="89"/>
      <c r="Z22" s="89"/>
    </row>
    <row r="23" spans="2:26" ht="45.75">
      <c r="B23" s="87" t="s">
        <v>154</v>
      </c>
      <c r="C23" s="90" t="s">
        <v>409</v>
      </c>
      <c r="D23" s="88" t="s">
        <v>229</v>
      </c>
      <c r="E23" s="93" t="str">
        <f t="shared" si="7"/>
        <v>ㄍㆦ</v>
      </c>
      <c r="F23" s="94">
        <f t="shared" si="6"/>
        <v>2</v>
      </c>
      <c r="G23" s="94">
        <f t="shared" si="1"/>
        <v>10</v>
      </c>
      <c r="H23" s="89" t="str">
        <f t="shared" si="8"/>
        <v>ㆦ</v>
      </c>
      <c r="I23" s="89" t="str">
        <f t="shared" si="8"/>
        <v>ㄍ</v>
      </c>
      <c r="J23" s="89" t="str">
        <f t="shared" si="8"/>
        <v/>
      </c>
      <c r="K23" s="89" t="str">
        <f t="shared" si="8"/>
        <v/>
      </c>
      <c r="L23" s="89" t="str">
        <f t="shared" si="8"/>
        <v/>
      </c>
      <c r="M23" s="89" t="str">
        <f t="shared" si="8"/>
        <v/>
      </c>
      <c r="N23" s="89" t="str">
        <f t="shared" si="8"/>
        <v/>
      </c>
      <c r="O23" s="89" t="str">
        <f t="shared" si="8"/>
        <v/>
      </c>
      <c r="P23" s="89" t="str">
        <f t="shared" si="8"/>
        <v/>
      </c>
      <c r="R23" s="89" t="s">
        <v>224</v>
      </c>
      <c r="S23" s="89" t="s">
        <v>230</v>
      </c>
      <c r="T23" s="91" t="s">
        <v>389</v>
      </c>
      <c r="U23" s="89"/>
      <c r="V23" s="89"/>
      <c r="W23" s="89"/>
      <c r="X23" s="89"/>
      <c r="Y23" s="89"/>
      <c r="Z23" s="89"/>
    </row>
    <row r="24" spans="2:26" ht="45.75">
      <c r="B24" s="87" t="s">
        <v>155</v>
      </c>
      <c r="C24" s="90" t="s">
        <v>410</v>
      </c>
      <c r="D24" s="88" t="s">
        <v>231</v>
      </c>
      <c r="E24" s="93" t="str">
        <f t="shared" si="7"/>
        <v>ㄒㄧㄥˊ</v>
      </c>
      <c r="F24" s="94">
        <f t="shared" si="6"/>
        <v>4</v>
      </c>
      <c r="G24" s="94">
        <f t="shared" si="1"/>
        <v>21</v>
      </c>
      <c r="H24" s="89" t="str">
        <f t="shared" si="8"/>
        <v>ㄧ</v>
      </c>
      <c r="I24" s="89" t="str">
        <f t="shared" si="8"/>
        <v>ㄥ</v>
      </c>
      <c r="J24" s="89" t="str">
        <f t="shared" si="8"/>
        <v>ˊ</v>
      </c>
      <c r="K24" s="89" t="str">
        <f t="shared" si="8"/>
        <v>ㄒ</v>
      </c>
      <c r="L24" s="89" t="str">
        <f t="shared" si="8"/>
        <v/>
      </c>
      <c r="M24" s="89" t="str">
        <f t="shared" si="8"/>
        <v/>
      </c>
      <c r="N24" s="89" t="str">
        <f t="shared" si="8"/>
        <v/>
      </c>
      <c r="O24" s="89" t="str">
        <f t="shared" si="8"/>
        <v/>
      </c>
      <c r="P24" s="89" t="str">
        <f t="shared" si="8"/>
        <v/>
      </c>
      <c r="R24" s="89" t="s">
        <v>217</v>
      </c>
      <c r="S24" s="89" t="s">
        <v>198</v>
      </c>
      <c r="T24" s="89" t="s">
        <v>232</v>
      </c>
      <c r="U24" s="91">
        <v>6</v>
      </c>
      <c r="V24" s="89"/>
      <c r="W24" s="89"/>
      <c r="X24" s="89"/>
      <c r="Y24" s="89"/>
      <c r="Z24" s="89"/>
    </row>
    <row r="25" spans="2:26" ht="45.75">
      <c r="B25" s="87" t="s">
        <v>156</v>
      </c>
      <c r="C25" s="90" t="s">
        <v>411</v>
      </c>
      <c r="D25" s="88" t="s">
        <v>233</v>
      </c>
      <c r="E25" s="93" t="str">
        <f t="shared" si="7"/>
        <v>ㆠㄢ˫</v>
      </c>
      <c r="F25" s="94">
        <f t="shared" si="6"/>
        <v>3</v>
      </c>
      <c r="G25" s="94">
        <f t="shared" si="1"/>
        <v>5</v>
      </c>
      <c r="H25" s="89" t="str">
        <f t="shared" si="8"/>
        <v>ㄢ</v>
      </c>
      <c r="I25" s="89" t="str">
        <f t="shared" si="8"/>
        <v>˫</v>
      </c>
      <c r="J25" s="89" t="str">
        <f t="shared" si="8"/>
        <v>ㆠ</v>
      </c>
      <c r="K25" s="89" t="str">
        <f t="shared" si="8"/>
        <v/>
      </c>
      <c r="L25" s="89" t="str">
        <f t="shared" si="8"/>
        <v/>
      </c>
      <c r="M25" s="89" t="str">
        <f t="shared" si="8"/>
        <v/>
      </c>
      <c r="N25" s="89" t="str">
        <f t="shared" si="8"/>
        <v/>
      </c>
      <c r="O25" s="89" t="str">
        <f t="shared" si="8"/>
        <v/>
      </c>
      <c r="P25" s="89" t="str">
        <f t="shared" si="8"/>
        <v/>
      </c>
      <c r="R25" s="89" t="s">
        <v>234</v>
      </c>
      <c r="S25" s="89" t="s">
        <v>211</v>
      </c>
      <c r="T25" s="91">
        <v>5</v>
      </c>
      <c r="U25" s="89"/>
      <c r="V25" s="89"/>
      <c r="W25" s="89"/>
      <c r="X25" s="89"/>
      <c r="Y25" s="89"/>
      <c r="Z25" s="89"/>
    </row>
    <row r="26" spans="2:26" ht="45.75">
      <c r="B26" s="87" t="s">
        <v>157</v>
      </c>
      <c r="C26" s="90" t="s">
        <v>412</v>
      </c>
      <c r="D26" s="88" t="s">
        <v>235</v>
      </c>
      <c r="E26" s="93" t="str">
        <f t="shared" si="7"/>
        <v>ㆢㄧㄣ˫</v>
      </c>
      <c r="F26" s="94">
        <f t="shared" si="6"/>
        <v>4</v>
      </c>
      <c r="G26" s="94">
        <f t="shared" si="1"/>
        <v>20</v>
      </c>
      <c r="H26" s="89" t="str">
        <f t="shared" si="8"/>
        <v>ㄧ</v>
      </c>
      <c r="I26" s="89" t="str">
        <f t="shared" si="8"/>
        <v>ㄣ</v>
      </c>
      <c r="J26" s="89" t="str">
        <f t="shared" si="8"/>
        <v>˫</v>
      </c>
      <c r="K26" s="89" t="str">
        <f t="shared" si="8"/>
        <v>ㆢ</v>
      </c>
      <c r="L26" s="89" t="str">
        <f t="shared" si="8"/>
        <v/>
      </c>
      <c r="M26" s="89" t="str">
        <f t="shared" si="8"/>
        <v/>
      </c>
      <c r="N26" s="89" t="str">
        <f t="shared" si="8"/>
        <v/>
      </c>
      <c r="O26" s="89" t="str">
        <f t="shared" si="8"/>
        <v/>
      </c>
      <c r="P26" s="89" t="str">
        <f t="shared" si="8"/>
        <v/>
      </c>
      <c r="R26" s="89" t="s">
        <v>236</v>
      </c>
      <c r="S26" s="89" t="s">
        <v>198</v>
      </c>
      <c r="T26" s="89" t="s">
        <v>222</v>
      </c>
      <c r="U26" s="91">
        <v>5</v>
      </c>
      <c r="V26" s="89"/>
      <c r="W26" s="89"/>
      <c r="X26" s="89"/>
      <c r="Y26" s="89"/>
      <c r="Z26" s="89"/>
    </row>
    <row r="27" spans="2:26" ht="45.75">
      <c r="B27" s="87" t="s">
        <v>158</v>
      </c>
      <c r="C27" s="90" t="s">
        <v>413</v>
      </c>
      <c r="D27" s="88" t="s">
        <v>237</v>
      </c>
      <c r="E27" s="93" t="str">
        <f t="shared" si="7"/>
        <v>ㄙㄢ</v>
      </c>
      <c r="F27" s="94">
        <f t="shared" si="6"/>
        <v>2</v>
      </c>
      <c r="G27" s="94">
        <f t="shared" si="1"/>
        <v>17</v>
      </c>
      <c r="H27" s="89" t="str">
        <f t="shared" si="8"/>
        <v>ㄢ</v>
      </c>
      <c r="I27" s="89" t="str">
        <f t="shared" si="8"/>
        <v>ㄙ</v>
      </c>
      <c r="J27" s="89" t="str">
        <f t="shared" si="8"/>
        <v/>
      </c>
      <c r="K27" s="89" t="str">
        <f t="shared" si="8"/>
        <v/>
      </c>
      <c r="L27" s="89" t="str">
        <f t="shared" si="8"/>
        <v/>
      </c>
      <c r="M27" s="89" t="str">
        <f t="shared" si="8"/>
        <v/>
      </c>
      <c r="N27" s="89" t="str">
        <f t="shared" si="8"/>
        <v/>
      </c>
      <c r="O27" s="89" t="str">
        <f t="shared" si="8"/>
        <v/>
      </c>
      <c r="P27" s="89" t="str">
        <f t="shared" si="8"/>
        <v/>
      </c>
      <c r="R27" s="89" t="s">
        <v>205</v>
      </c>
      <c r="S27" s="89" t="s">
        <v>211</v>
      </c>
      <c r="T27" s="91" t="s">
        <v>389</v>
      </c>
      <c r="U27" s="89"/>
      <c r="V27" s="89"/>
      <c r="W27" s="89"/>
      <c r="X27" s="89"/>
      <c r="Y27" s="89"/>
      <c r="Z27" s="89"/>
    </row>
    <row r="28" spans="2:26" ht="45.75">
      <c r="B28" s="87" t="s">
        <v>159</v>
      </c>
      <c r="C28" s="90"/>
      <c r="D28" s="88"/>
      <c r="E28" s="93" t="str">
        <f t="shared" si="7"/>
        <v/>
      </c>
      <c r="F28" s="94" t="str">
        <f t="shared" si="6"/>
        <v/>
      </c>
      <c r="G28" s="94" t="str">
        <f t="shared" si="1"/>
        <v/>
      </c>
      <c r="H28" s="89" t="str">
        <f t="shared" si="8"/>
        <v/>
      </c>
      <c r="I28" s="89" t="str">
        <f t="shared" si="8"/>
        <v/>
      </c>
      <c r="J28" s="89" t="str">
        <f t="shared" si="8"/>
        <v/>
      </c>
      <c r="K28" s="89" t="str">
        <f t="shared" si="8"/>
        <v/>
      </c>
      <c r="L28" s="89" t="str">
        <f t="shared" si="8"/>
        <v/>
      </c>
      <c r="M28" s="89" t="str">
        <f t="shared" si="8"/>
        <v/>
      </c>
      <c r="N28" s="89" t="str">
        <f t="shared" si="8"/>
        <v/>
      </c>
      <c r="O28" s="89" t="str">
        <f t="shared" si="8"/>
        <v/>
      </c>
      <c r="P28" s="89" t="str">
        <f t="shared" si="8"/>
        <v/>
      </c>
      <c r="R28" s="89"/>
      <c r="S28" s="89"/>
      <c r="T28" s="89"/>
      <c r="U28" s="89"/>
      <c r="V28" s="89"/>
      <c r="W28" s="89"/>
      <c r="X28" s="89"/>
      <c r="Y28" s="89"/>
      <c r="Z28" s="89"/>
    </row>
    <row r="29" spans="2:26" ht="45.75">
      <c r="B29" s="87" t="s">
        <v>167</v>
      </c>
      <c r="C29" s="90" t="s">
        <v>414</v>
      </c>
      <c r="D29" s="88" t="s">
        <v>238</v>
      </c>
      <c r="E29" s="93" t="str">
        <f t="shared" si="7"/>
        <v>ㄎㄧㄤ</v>
      </c>
      <c r="F29" s="94">
        <f t="shared" si="6"/>
        <v>3</v>
      </c>
      <c r="G29" s="94">
        <f t="shared" si="1"/>
        <v>11</v>
      </c>
      <c r="H29" s="89" t="str">
        <f t="shared" si="8"/>
        <v>ㄧ</v>
      </c>
      <c r="I29" s="89" t="str">
        <f t="shared" si="8"/>
        <v>ㄤ</v>
      </c>
      <c r="J29" s="89" t="str">
        <f t="shared" si="8"/>
        <v>ㄎ</v>
      </c>
      <c r="K29" s="89" t="str">
        <f t="shared" si="8"/>
        <v/>
      </c>
      <c r="L29" s="89" t="str">
        <f t="shared" si="8"/>
        <v/>
      </c>
      <c r="M29" s="89" t="str">
        <f t="shared" si="8"/>
        <v/>
      </c>
      <c r="N29" s="89" t="str">
        <f t="shared" si="8"/>
        <v/>
      </c>
      <c r="O29" s="89" t="str">
        <f t="shared" si="8"/>
        <v/>
      </c>
      <c r="P29" s="89" t="str">
        <f t="shared" si="8"/>
        <v/>
      </c>
      <c r="R29" s="89" t="s">
        <v>239</v>
      </c>
      <c r="S29" s="89" t="s">
        <v>198</v>
      </c>
      <c r="T29" s="89" t="s">
        <v>199</v>
      </c>
      <c r="U29" s="91" t="s">
        <v>389</v>
      </c>
      <c r="V29" s="89"/>
      <c r="W29" s="89"/>
      <c r="X29" s="89"/>
      <c r="Y29" s="89"/>
      <c r="Z29" s="89"/>
    </row>
    <row r="30" spans="2:26" ht="45.75">
      <c r="B30" s="87" t="s">
        <v>168</v>
      </c>
      <c r="C30" s="90" t="s">
        <v>415</v>
      </c>
      <c r="D30" s="88" t="s">
        <v>240</v>
      </c>
      <c r="E30" s="93" t="str">
        <f t="shared" si="7"/>
        <v>ㄉㄧㆻ˙</v>
      </c>
      <c r="F30" s="94">
        <f t="shared" si="6"/>
        <v>4</v>
      </c>
      <c r="G30" s="94">
        <f t="shared" si="1"/>
        <v>6</v>
      </c>
      <c r="H30" s="89" t="str">
        <f t="shared" si="8"/>
        <v>ㄧ</v>
      </c>
      <c r="I30" s="89" t="str">
        <f t="shared" si="8"/>
        <v>ㆻ</v>
      </c>
      <c r="J30" s="89" t="str">
        <f t="shared" si="8"/>
        <v>˙</v>
      </c>
      <c r="K30" s="89" t="str">
        <f t="shared" si="8"/>
        <v>ㄉ</v>
      </c>
      <c r="L30" s="89" t="str">
        <f t="shared" si="8"/>
        <v/>
      </c>
      <c r="M30" s="89" t="str">
        <f t="shared" si="8"/>
        <v/>
      </c>
      <c r="N30" s="89" t="str">
        <f t="shared" si="8"/>
        <v/>
      </c>
      <c r="O30" s="89" t="str">
        <f t="shared" si="8"/>
        <v/>
      </c>
      <c r="P30" s="89" t="str">
        <f t="shared" si="8"/>
        <v/>
      </c>
      <c r="R30" s="89" t="s">
        <v>241</v>
      </c>
      <c r="S30" s="89" t="s">
        <v>198</v>
      </c>
      <c r="T30" s="89" t="s">
        <v>220</v>
      </c>
      <c r="U30" s="91">
        <v>7</v>
      </c>
      <c r="V30" s="89"/>
      <c r="W30" s="89"/>
      <c r="X30" s="89"/>
      <c r="Y30" s="89"/>
      <c r="Z30" s="89"/>
    </row>
    <row r="31" spans="2:26" ht="45.75">
      <c r="B31" s="87" t="s">
        <v>169</v>
      </c>
      <c r="C31" s="90" t="s">
        <v>401</v>
      </c>
      <c r="D31" s="88" t="s">
        <v>213</v>
      </c>
      <c r="E31" s="93" t="str">
        <f t="shared" si="7"/>
        <v>ㄏㄜˊ</v>
      </c>
      <c r="F31" s="94">
        <f t="shared" si="6"/>
        <v>3</v>
      </c>
      <c r="G31" s="94">
        <f t="shared" si="1"/>
        <v>13</v>
      </c>
      <c r="H31" s="89" t="str">
        <f t="shared" si="8"/>
        <v>ㄜ</v>
      </c>
      <c r="I31" s="89" t="str">
        <f t="shared" si="8"/>
        <v>ˊ</v>
      </c>
      <c r="J31" s="89" t="str">
        <f t="shared" si="8"/>
        <v>ㄏ</v>
      </c>
      <c r="K31" s="89" t="str">
        <f t="shared" si="8"/>
        <v/>
      </c>
      <c r="L31" s="89" t="str">
        <f t="shared" si="8"/>
        <v/>
      </c>
      <c r="M31" s="89" t="str">
        <f t="shared" si="8"/>
        <v/>
      </c>
      <c r="N31" s="89" t="str">
        <f t="shared" si="8"/>
        <v/>
      </c>
      <c r="O31" s="89" t="str">
        <f t="shared" si="8"/>
        <v/>
      </c>
      <c r="P31" s="89" t="str">
        <f t="shared" si="8"/>
        <v/>
      </c>
      <c r="R31" s="89" t="s">
        <v>210</v>
      </c>
      <c r="S31" s="89" t="s">
        <v>214</v>
      </c>
      <c r="T31" s="91">
        <v>6</v>
      </c>
      <c r="U31" s="89"/>
      <c r="V31" s="89"/>
      <c r="W31" s="89"/>
      <c r="X31" s="89"/>
      <c r="Y31" s="89"/>
      <c r="Z31" s="89"/>
    </row>
    <row r="32" spans="2:26" ht="39">
      <c r="B32" s="87" t="s">
        <v>170</v>
      </c>
      <c r="C32" s="92" t="s">
        <v>416</v>
      </c>
      <c r="D32" s="88" t="s">
        <v>242</v>
      </c>
      <c r="E32" s="93" t="str">
        <f t="shared" si="7"/>
        <v>ㄙㄨ</v>
      </c>
      <c r="F32" s="94">
        <f t="shared" si="6"/>
        <v>2</v>
      </c>
      <c r="G32" s="94">
        <f t="shared" si="1"/>
        <v>17</v>
      </c>
      <c r="H32" s="89" t="str">
        <f t="shared" si="8"/>
        <v>ㄨ</v>
      </c>
      <c r="I32" s="89" t="str">
        <f t="shared" si="8"/>
        <v>ㄙ</v>
      </c>
      <c r="J32" s="89" t="str">
        <f t="shared" si="8"/>
        <v/>
      </c>
      <c r="K32" s="89" t="str">
        <f t="shared" si="8"/>
        <v/>
      </c>
      <c r="L32" s="89" t="str">
        <f t="shared" si="8"/>
        <v/>
      </c>
      <c r="M32" s="89" t="str">
        <f t="shared" si="8"/>
        <v/>
      </c>
      <c r="N32" s="89" t="str">
        <f t="shared" si="8"/>
        <v/>
      </c>
      <c r="O32" s="89" t="str">
        <f t="shared" si="8"/>
        <v/>
      </c>
      <c r="P32" s="89" t="str">
        <f t="shared" si="8"/>
        <v/>
      </c>
      <c r="R32" s="89" t="s">
        <v>205</v>
      </c>
      <c r="S32" s="89" t="s">
        <v>202</v>
      </c>
      <c r="T32" s="91" t="s">
        <v>389</v>
      </c>
      <c r="U32" s="89"/>
      <c r="V32" s="89"/>
      <c r="W32" s="89"/>
      <c r="X32" s="89"/>
      <c r="Y32" s="89"/>
      <c r="Z32" s="89"/>
    </row>
    <row r="33" spans="2:26" ht="45.75">
      <c r="B33" s="87" t="s">
        <v>171</v>
      </c>
      <c r="C33" s="90" t="s">
        <v>417</v>
      </c>
      <c r="D33" s="88" t="s">
        <v>243</v>
      </c>
      <c r="E33" s="93" t="str">
        <f t="shared" si="7"/>
        <v>ㄨㄢ˪q</v>
      </c>
      <c r="F33" s="94">
        <f t="shared" si="6"/>
        <v>3</v>
      </c>
      <c r="G33" s="94">
        <f t="shared" si="1"/>
        <v>0</v>
      </c>
      <c r="H33" s="89" t="str">
        <f t="shared" si="8"/>
        <v>ㄨ</v>
      </c>
      <c r="I33" s="89" t="str">
        <f t="shared" si="8"/>
        <v>ㄨ</v>
      </c>
      <c r="J33" s="89" t="str">
        <f t="shared" si="8"/>
        <v>ㄨ</v>
      </c>
      <c r="K33" s="89" t="str">
        <f t="shared" si="8"/>
        <v/>
      </c>
      <c r="L33" s="89" t="str">
        <f t="shared" si="8"/>
        <v/>
      </c>
      <c r="M33" s="89" t="str">
        <f t="shared" si="8"/>
        <v/>
      </c>
      <c r="N33" s="89" t="str">
        <f t="shared" si="8"/>
        <v/>
      </c>
      <c r="O33" s="89" t="str">
        <f t="shared" si="8"/>
        <v/>
      </c>
      <c r="P33" s="89" t="str">
        <f t="shared" si="8"/>
        <v/>
      </c>
      <c r="R33" s="89" t="s">
        <v>202</v>
      </c>
      <c r="S33" s="89" t="s">
        <v>211</v>
      </c>
      <c r="T33" s="91">
        <v>3</v>
      </c>
      <c r="U33" s="89" t="s">
        <v>203</v>
      </c>
      <c r="V33" s="89"/>
      <c r="W33" s="89"/>
      <c r="X33" s="89"/>
      <c r="Y33" s="89"/>
      <c r="Z33" s="89"/>
    </row>
    <row r="34" spans="2:26" ht="45.75">
      <c r="B34" s="87" t="s">
        <v>172</v>
      </c>
      <c r="C34" s="90" t="s">
        <v>418</v>
      </c>
      <c r="D34" s="88" t="s">
        <v>244</v>
      </c>
      <c r="E34" s="93" t="str">
        <f t="shared" si="7"/>
        <v>ㄧㆲˊq</v>
      </c>
      <c r="F34" s="94">
        <f t="shared" si="6"/>
        <v>3</v>
      </c>
      <c r="G34" s="94">
        <f t="shared" si="1"/>
        <v>0</v>
      </c>
      <c r="H34" s="89" t="str">
        <f t="shared" si="8"/>
        <v>ㄧ</v>
      </c>
      <c r="I34" s="89" t="str">
        <f t="shared" si="8"/>
        <v>ㄧ</v>
      </c>
      <c r="J34" s="89" t="str">
        <f t="shared" si="8"/>
        <v>ㄧ</v>
      </c>
      <c r="K34" s="89" t="str">
        <f t="shared" si="8"/>
        <v/>
      </c>
      <c r="L34" s="89" t="str">
        <f t="shared" si="8"/>
        <v/>
      </c>
      <c r="M34" s="89" t="str">
        <f t="shared" si="8"/>
        <v/>
      </c>
      <c r="N34" s="89" t="str">
        <f t="shared" si="8"/>
        <v/>
      </c>
      <c r="O34" s="89" t="str">
        <f t="shared" si="8"/>
        <v/>
      </c>
      <c r="P34" s="89" t="str">
        <f t="shared" si="8"/>
        <v/>
      </c>
      <c r="R34" s="89" t="s">
        <v>198</v>
      </c>
      <c r="S34" s="89" t="s">
        <v>207</v>
      </c>
      <c r="T34" s="91">
        <v>6</v>
      </c>
      <c r="U34" s="89"/>
      <c r="V34" s="89"/>
      <c r="W34" s="89"/>
      <c r="X34" s="89"/>
      <c r="Y34" s="89"/>
      <c r="Z34" s="89"/>
    </row>
    <row r="35" spans="2:26" ht="39">
      <c r="B35" s="87" t="s">
        <v>173</v>
      </c>
      <c r="C35" s="92" t="s">
        <v>419</v>
      </c>
      <c r="D35" s="88" t="s">
        <v>245</v>
      </c>
      <c r="E35" s="93" t="str">
        <f t="shared" si="7"/>
        <v>ㄌㄧㄨˋ</v>
      </c>
      <c r="F35" s="94">
        <f t="shared" si="6"/>
        <v>4</v>
      </c>
      <c r="G35" s="94">
        <f t="shared" si="1"/>
        <v>9</v>
      </c>
      <c r="H35" s="89" t="str">
        <f t="shared" si="8"/>
        <v>ㄧ</v>
      </c>
      <c r="I35" s="89" t="str">
        <f t="shared" si="8"/>
        <v>ㄨ</v>
      </c>
      <c r="J35" s="89" t="str">
        <f t="shared" si="8"/>
        <v>ˋ</v>
      </c>
      <c r="K35" s="89" t="str">
        <f t="shared" si="8"/>
        <v>ㄌ</v>
      </c>
      <c r="L35" s="89" t="str">
        <f t="shared" si="8"/>
        <v/>
      </c>
      <c r="M35" s="89" t="str">
        <f t="shared" si="8"/>
        <v/>
      </c>
      <c r="N35" s="89" t="str">
        <f t="shared" si="8"/>
        <v/>
      </c>
      <c r="O35" s="89" t="str">
        <f t="shared" si="8"/>
        <v/>
      </c>
      <c r="P35" s="89" t="str">
        <f t="shared" si="8"/>
        <v/>
      </c>
      <c r="R35" s="89" t="s">
        <v>197</v>
      </c>
      <c r="S35" s="89" t="s">
        <v>198</v>
      </c>
      <c r="T35" s="89" t="s">
        <v>202</v>
      </c>
      <c r="U35" s="91">
        <v>4</v>
      </c>
      <c r="V35" s="89"/>
      <c r="W35" s="89"/>
      <c r="X35" s="89"/>
      <c r="Y35" s="89"/>
      <c r="Z35" s="89"/>
    </row>
    <row r="36" spans="2:26" ht="45.75">
      <c r="B36" s="87" t="s">
        <v>144</v>
      </c>
      <c r="C36" s="90"/>
      <c r="D36" s="88"/>
      <c r="E36" s="93" t="str">
        <f t="shared" si="7"/>
        <v/>
      </c>
      <c r="F36" s="94" t="str">
        <f t="shared" si="6"/>
        <v/>
      </c>
      <c r="G36" s="94" t="str">
        <f t="shared" si="1"/>
        <v/>
      </c>
      <c r="H36" s="89" t="str">
        <f t="shared" si="8"/>
        <v/>
      </c>
      <c r="I36" s="89" t="str">
        <f t="shared" si="8"/>
        <v/>
      </c>
      <c r="J36" s="89" t="str">
        <f t="shared" si="8"/>
        <v/>
      </c>
      <c r="K36" s="89" t="str">
        <f t="shared" si="8"/>
        <v/>
      </c>
      <c r="L36" s="89" t="str">
        <f t="shared" si="8"/>
        <v/>
      </c>
      <c r="M36" s="89" t="str">
        <f t="shared" si="8"/>
        <v/>
      </c>
      <c r="N36" s="89" t="str">
        <f t="shared" si="8"/>
        <v/>
      </c>
      <c r="O36" s="89" t="str">
        <f t="shared" si="8"/>
        <v/>
      </c>
      <c r="P36" s="89" t="str">
        <f t="shared" si="8"/>
        <v/>
      </c>
      <c r="R36" s="89"/>
      <c r="S36" s="89"/>
      <c r="T36" s="89"/>
      <c r="U36" s="89"/>
      <c r="V36" s="89"/>
      <c r="W36" s="89"/>
      <c r="X36" s="89"/>
      <c r="Y36" s="89"/>
      <c r="Z36" s="89"/>
    </row>
    <row r="37" spans="2:26" ht="45.75">
      <c r="B37" s="87" t="s">
        <v>180</v>
      </c>
      <c r="C37" s="90" t="s">
        <v>420</v>
      </c>
      <c r="D37" s="88" t="s">
        <v>246</v>
      </c>
      <c r="E37" s="93" t="str">
        <f t="shared" si="7"/>
        <v>ㄘㄨㄣ</v>
      </c>
      <c r="F37" s="94">
        <f t="shared" si="6"/>
        <v>3</v>
      </c>
      <c r="G37" s="94">
        <f t="shared" si="1"/>
        <v>15</v>
      </c>
      <c r="H37" s="89" t="str">
        <f t="shared" si="8"/>
        <v>ㄨ</v>
      </c>
      <c r="I37" s="89" t="str">
        <f t="shared" si="8"/>
        <v>ㄣ</v>
      </c>
      <c r="J37" s="89" t="str">
        <f t="shared" si="8"/>
        <v>ㄘ</v>
      </c>
      <c r="K37" s="89" t="str">
        <f t="shared" si="8"/>
        <v/>
      </c>
      <c r="L37" s="89" t="str">
        <f t="shared" si="8"/>
        <v/>
      </c>
      <c r="M37" s="89" t="str">
        <f t="shared" si="8"/>
        <v/>
      </c>
      <c r="N37" s="89" t="str">
        <f t="shared" si="8"/>
        <v/>
      </c>
      <c r="O37" s="89" t="str">
        <f t="shared" si="8"/>
        <v/>
      </c>
      <c r="P37" s="89" t="str">
        <f t="shared" si="8"/>
        <v/>
      </c>
      <c r="R37" s="89" t="s">
        <v>247</v>
      </c>
      <c r="S37" s="89" t="s">
        <v>202</v>
      </c>
      <c r="T37" s="89" t="s">
        <v>222</v>
      </c>
      <c r="U37" s="91" t="s">
        <v>389</v>
      </c>
      <c r="V37" s="89"/>
      <c r="W37" s="89"/>
      <c r="X37" s="89"/>
      <c r="Y37" s="89"/>
      <c r="Z37" s="89"/>
    </row>
    <row r="38" spans="2:26" ht="45.75">
      <c r="B38" s="87" t="s">
        <v>181</v>
      </c>
      <c r="C38" s="90" t="s">
        <v>421</v>
      </c>
      <c r="D38" s="88" t="s">
        <v>248</v>
      </c>
      <c r="E38" s="93" t="str">
        <f t="shared" si="7"/>
        <v>ㄏㆲ</v>
      </c>
      <c r="F38" s="94">
        <f t="shared" si="6"/>
        <v>2</v>
      </c>
      <c r="G38" s="94">
        <f t="shared" si="1"/>
        <v>13</v>
      </c>
      <c r="H38" s="89" t="str">
        <f t="shared" si="8"/>
        <v>ㆲ</v>
      </c>
      <c r="I38" s="89" t="str">
        <f t="shared" si="8"/>
        <v>ㄏ</v>
      </c>
      <c r="J38" s="89" t="str">
        <f t="shared" si="8"/>
        <v/>
      </c>
      <c r="K38" s="89" t="str">
        <f t="shared" si="8"/>
        <v/>
      </c>
      <c r="L38" s="89" t="str">
        <f t="shared" si="8"/>
        <v/>
      </c>
      <c r="M38" s="89" t="str">
        <f t="shared" si="8"/>
        <v/>
      </c>
      <c r="N38" s="89" t="str">
        <f t="shared" si="8"/>
        <v/>
      </c>
      <c r="O38" s="89" t="str">
        <f t="shared" si="8"/>
        <v/>
      </c>
      <c r="P38" s="89" t="str">
        <f t="shared" si="8"/>
        <v/>
      </c>
      <c r="R38" s="89" t="s">
        <v>210</v>
      </c>
      <c r="S38" s="89" t="s">
        <v>207</v>
      </c>
      <c r="T38" s="91" t="s">
        <v>389</v>
      </c>
      <c r="U38" s="89"/>
      <c r="V38" s="89"/>
      <c r="W38" s="89"/>
      <c r="X38" s="89"/>
      <c r="Y38" s="89"/>
      <c r="Z38" s="89"/>
    </row>
    <row r="39" spans="2:26" ht="45.75">
      <c r="B39" s="87" t="s">
        <v>182</v>
      </c>
      <c r="C39" s="90" t="s">
        <v>422</v>
      </c>
      <c r="D39" s="88" t="s">
        <v>249</v>
      </c>
      <c r="E39" s="93" t="str">
        <f t="shared" si="7"/>
        <v>ㄅㄨㆵ</v>
      </c>
      <c r="F39" s="94">
        <f t="shared" si="6"/>
        <v>3</v>
      </c>
      <c r="G39" s="94">
        <f t="shared" si="1"/>
        <v>2</v>
      </c>
      <c r="H39" s="89" t="str">
        <f t="shared" si="8"/>
        <v>ㄨ</v>
      </c>
      <c r="I39" s="89" t="str">
        <f t="shared" si="8"/>
        <v>ㆵ</v>
      </c>
      <c r="J39" s="89" t="str">
        <f t="shared" si="8"/>
        <v>ㄅ</v>
      </c>
      <c r="K39" s="89" t="str">
        <f t="shared" si="8"/>
        <v/>
      </c>
      <c r="L39" s="89" t="str">
        <f t="shared" si="8"/>
        <v/>
      </c>
      <c r="M39" s="89" t="str">
        <f t="shared" si="8"/>
        <v/>
      </c>
      <c r="N39" s="89" t="str">
        <f t="shared" si="8"/>
        <v/>
      </c>
      <c r="O39" s="89" t="str">
        <f t="shared" si="8"/>
        <v/>
      </c>
      <c r="P39" s="89" t="str">
        <f t="shared" si="8"/>
        <v/>
      </c>
      <c r="R39" s="89" t="s">
        <v>219</v>
      </c>
      <c r="S39" s="89" t="s">
        <v>202</v>
      </c>
      <c r="T39" s="89" t="s">
        <v>226</v>
      </c>
      <c r="U39" s="91" t="s">
        <v>389</v>
      </c>
      <c r="V39" s="89"/>
      <c r="W39" s="89"/>
      <c r="X39" s="89"/>
      <c r="Y39" s="89"/>
      <c r="Z39" s="89"/>
    </row>
    <row r="40" spans="2:26" ht="45.75">
      <c r="B40" s="87" t="s">
        <v>183</v>
      </c>
      <c r="C40" s="90" t="s">
        <v>423</v>
      </c>
      <c r="D40" s="88" t="s">
        <v>250</v>
      </c>
      <c r="E40" s="93" t="str">
        <f t="shared" si="7"/>
        <v>ㄉㆦ˫</v>
      </c>
      <c r="F40" s="94">
        <f t="shared" si="6"/>
        <v>3</v>
      </c>
      <c r="G40" s="94">
        <f t="shared" si="1"/>
        <v>6</v>
      </c>
      <c r="H40" s="89" t="str">
        <f t="shared" si="8"/>
        <v>ㆦ</v>
      </c>
      <c r="I40" s="89" t="str">
        <f t="shared" si="8"/>
        <v>˫</v>
      </c>
      <c r="J40" s="89" t="str">
        <f t="shared" si="8"/>
        <v>ㄉ</v>
      </c>
      <c r="K40" s="89" t="str">
        <f t="shared" si="8"/>
        <v/>
      </c>
      <c r="L40" s="89" t="str">
        <f t="shared" si="8"/>
        <v/>
      </c>
      <c r="M40" s="89" t="str">
        <f t="shared" si="8"/>
        <v/>
      </c>
      <c r="N40" s="89" t="str">
        <f t="shared" si="8"/>
        <v/>
      </c>
      <c r="O40" s="89" t="str">
        <f t="shared" si="8"/>
        <v/>
      </c>
      <c r="P40" s="89" t="str">
        <f t="shared" si="8"/>
        <v/>
      </c>
      <c r="R40" s="89" t="s">
        <v>241</v>
      </c>
      <c r="S40" s="89" t="s">
        <v>230</v>
      </c>
      <c r="T40" s="91">
        <v>5</v>
      </c>
      <c r="U40" s="89"/>
      <c r="V40" s="89"/>
      <c r="W40" s="89"/>
      <c r="X40" s="89"/>
      <c r="Y40" s="89"/>
      <c r="Z40" s="89"/>
    </row>
    <row r="41" spans="2:26" ht="45.75">
      <c r="B41" s="87" t="s">
        <v>184</v>
      </c>
      <c r="C41" s="90" t="s">
        <v>424</v>
      </c>
      <c r="D41" s="88" t="s">
        <v>251</v>
      </c>
      <c r="E41" s="93" t="str">
        <f t="shared" si="7"/>
        <v>ㆣㄧㆦㆻ˙</v>
      </c>
      <c r="F41" s="94">
        <f t="shared" si="6"/>
        <v>5</v>
      </c>
      <c r="G41" s="94">
        <f t="shared" si="1"/>
        <v>12</v>
      </c>
      <c r="H41" s="89" t="str">
        <f t="shared" si="8"/>
        <v>ㄧ</v>
      </c>
      <c r="I41" s="89" t="str">
        <f t="shared" si="8"/>
        <v>ㆦ</v>
      </c>
      <c r="J41" s="89" t="str">
        <f t="shared" si="8"/>
        <v>ㆻ</v>
      </c>
      <c r="K41" s="89" t="str">
        <f t="shared" si="8"/>
        <v>˙</v>
      </c>
      <c r="L41" s="89" t="str">
        <f t="shared" si="8"/>
        <v>ㆣ</v>
      </c>
      <c r="M41" s="89" t="str">
        <f t="shared" si="8"/>
        <v/>
      </c>
      <c r="N41" s="89" t="str">
        <f t="shared" si="8"/>
        <v/>
      </c>
      <c r="O41" s="89" t="str">
        <f t="shared" si="8"/>
        <v/>
      </c>
      <c r="P41" s="89" t="str">
        <f t="shared" si="8"/>
        <v/>
      </c>
      <c r="R41" s="89" t="s">
        <v>252</v>
      </c>
      <c r="S41" s="89" t="s">
        <v>198</v>
      </c>
      <c r="T41" s="89" t="s">
        <v>230</v>
      </c>
      <c r="U41" s="89" t="s">
        <v>220</v>
      </c>
      <c r="V41" s="91">
        <v>7</v>
      </c>
      <c r="W41" s="89"/>
      <c r="X41" s="89"/>
      <c r="Y41" s="89"/>
      <c r="Z41" s="89"/>
    </row>
    <row r="42" spans="2:26" ht="45.75">
      <c r="B42" s="87" t="s">
        <v>185</v>
      </c>
      <c r="C42" s="90" t="s">
        <v>425</v>
      </c>
      <c r="D42" s="88" t="s">
        <v>253</v>
      </c>
      <c r="E42" s="93" t="str">
        <f t="shared" si="7"/>
        <v>ㆠㄨㄣˊ</v>
      </c>
      <c r="F42" s="94">
        <f t="shared" si="6"/>
        <v>4</v>
      </c>
      <c r="G42" s="94">
        <f t="shared" si="1"/>
        <v>5</v>
      </c>
      <c r="H42" s="89" t="str">
        <f t="shared" si="8"/>
        <v>ㄨ</v>
      </c>
      <c r="I42" s="89" t="str">
        <f t="shared" si="8"/>
        <v>ㄣ</v>
      </c>
      <c r="J42" s="89" t="str">
        <f t="shared" si="8"/>
        <v>ˊ</v>
      </c>
      <c r="K42" s="89" t="str">
        <f t="shared" si="8"/>
        <v>ㆠ</v>
      </c>
      <c r="L42" s="89" t="str">
        <f t="shared" si="8"/>
        <v/>
      </c>
      <c r="M42" s="89" t="str">
        <f t="shared" si="8"/>
        <v/>
      </c>
      <c r="N42" s="89" t="str">
        <f t="shared" si="8"/>
        <v/>
      </c>
      <c r="O42" s="89" t="str">
        <f t="shared" si="8"/>
        <v/>
      </c>
      <c r="P42" s="89" t="str">
        <f t="shared" si="8"/>
        <v/>
      </c>
      <c r="R42" s="89" t="s">
        <v>234</v>
      </c>
      <c r="S42" s="89" t="s">
        <v>202</v>
      </c>
      <c r="T42" s="89" t="s">
        <v>222</v>
      </c>
      <c r="U42" s="91">
        <v>6</v>
      </c>
      <c r="V42" s="89"/>
      <c r="W42" s="89"/>
      <c r="X42" s="89"/>
      <c r="Y42" s="89"/>
      <c r="Z42" s="89"/>
    </row>
    <row r="43" spans="2:26" ht="45.75">
      <c r="B43" s="87" t="s">
        <v>186</v>
      </c>
      <c r="C43" s="90" t="s">
        <v>426</v>
      </c>
      <c r="D43" s="88" t="s">
        <v>254</v>
      </c>
      <c r="E43" s="93" t="str">
        <f t="shared" si="7"/>
        <v>ㄍㄨㄢ</v>
      </c>
      <c r="F43" s="94">
        <f t="shared" si="6"/>
        <v>3</v>
      </c>
      <c r="G43" s="94">
        <f t="shared" si="1"/>
        <v>10</v>
      </c>
      <c r="H43" s="89" t="str">
        <f t="shared" si="8"/>
        <v>ㄨ</v>
      </c>
      <c r="I43" s="89" t="str">
        <f t="shared" si="8"/>
        <v>ㄢ</v>
      </c>
      <c r="J43" s="89" t="str">
        <f t="shared" si="8"/>
        <v>ㄍ</v>
      </c>
      <c r="K43" s="89" t="str">
        <f t="shared" si="8"/>
        <v/>
      </c>
      <c r="L43" s="89" t="str">
        <f t="shared" si="8"/>
        <v/>
      </c>
      <c r="M43" s="89" t="str">
        <f t="shared" si="8"/>
        <v/>
      </c>
      <c r="N43" s="89" t="str">
        <f t="shared" si="8"/>
        <v/>
      </c>
      <c r="O43" s="89" t="str">
        <f t="shared" si="8"/>
        <v/>
      </c>
      <c r="P43" s="89" t="str">
        <f t="shared" si="8"/>
        <v/>
      </c>
      <c r="R43" s="89" t="s">
        <v>224</v>
      </c>
      <c r="S43" s="89" t="s">
        <v>202</v>
      </c>
      <c r="T43" s="89" t="s">
        <v>211</v>
      </c>
      <c r="U43" s="91" t="s">
        <v>389</v>
      </c>
      <c r="V43" s="89"/>
      <c r="W43" s="89"/>
      <c r="X43" s="89"/>
      <c r="Y43" s="89"/>
      <c r="Z43" s="89"/>
    </row>
    <row r="44" spans="2:26" ht="45.75">
      <c r="B44" s="87" t="s">
        <v>159</v>
      </c>
      <c r="C44" s="90"/>
      <c r="D44" s="88"/>
      <c r="E44" s="93" t="str">
        <f t="shared" si="7"/>
        <v/>
      </c>
      <c r="F44" s="94" t="str">
        <f t="shared" si="6"/>
        <v/>
      </c>
      <c r="G44" s="94" t="str">
        <f t="shared" si="1"/>
        <v/>
      </c>
      <c r="H44" s="89" t="str">
        <f t="shared" si="8"/>
        <v/>
      </c>
      <c r="I44" s="89" t="str">
        <f t="shared" si="8"/>
        <v/>
      </c>
      <c r="J44" s="89" t="str">
        <f t="shared" si="8"/>
        <v/>
      </c>
      <c r="K44" s="89" t="str">
        <f t="shared" si="8"/>
        <v/>
      </c>
      <c r="L44" s="89" t="str">
        <f t="shared" si="8"/>
        <v/>
      </c>
      <c r="M44" s="89" t="str">
        <f t="shared" si="8"/>
        <v/>
      </c>
      <c r="N44" s="89" t="str">
        <f t="shared" si="8"/>
        <v/>
      </c>
      <c r="O44" s="89" t="str">
        <f t="shared" si="8"/>
        <v/>
      </c>
      <c r="P44" s="89" t="str">
        <f t="shared" si="8"/>
        <v/>
      </c>
      <c r="R44" s="89"/>
      <c r="S44" s="89"/>
      <c r="T44" s="89"/>
      <c r="U44" s="91"/>
      <c r="V44" s="89"/>
      <c r="W44" s="89"/>
      <c r="X44" s="89"/>
      <c r="Y44" s="89"/>
      <c r="Z44" s="89"/>
    </row>
    <row r="45" spans="2:26">
      <c r="B45"/>
      <c r="D45"/>
      <c r="E45"/>
      <c r="F45"/>
      <c r="G45"/>
      <c r="H45"/>
      <c r="I45"/>
      <c r="J45"/>
      <c r="K45"/>
      <c r="L45"/>
      <c r="M45"/>
      <c r="N45"/>
      <c r="O45"/>
      <c r="P45"/>
      <c r="R45"/>
      <c r="S45"/>
      <c r="T45"/>
      <c r="U45"/>
      <c r="V45"/>
      <c r="W45"/>
      <c r="X45"/>
      <c r="Y45"/>
      <c r="Z45"/>
    </row>
    <row r="46" spans="2:26">
      <c r="B46"/>
      <c r="D46"/>
      <c r="E46"/>
      <c r="F46"/>
      <c r="G46"/>
      <c r="H46"/>
      <c r="I46"/>
      <c r="J46"/>
      <c r="K46"/>
      <c r="L46"/>
      <c r="M46"/>
      <c r="N46"/>
      <c r="O46"/>
      <c r="P46"/>
      <c r="R46"/>
      <c r="S46"/>
      <c r="T46"/>
      <c r="U46"/>
      <c r="V46"/>
      <c r="W46"/>
      <c r="X46"/>
      <c r="Y46"/>
      <c r="Z46"/>
    </row>
    <row r="47" spans="2:26">
      <c r="B47"/>
      <c r="D47"/>
      <c r="E47"/>
      <c r="F47"/>
      <c r="G47"/>
      <c r="H47"/>
      <c r="I47"/>
      <c r="J47"/>
      <c r="K47"/>
      <c r="L47"/>
      <c r="M47"/>
      <c r="N47"/>
      <c r="O47"/>
      <c r="P47"/>
      <c r="R47"/>
      <c r="S47"/>
      <c r="T47"/>
      <c r="U47"/>
      <c r="V47"/>
      <c r="W47"/>
      <c r="X47"/>
      <c r="Y47"/>
      <c r="Z47"/>
    </row>
    <row r="48" spans="2:26">
      <c r="B48"/>
      <c r="D48"/>
      <c r="E48"/>
      <c r="F48"/>
      <c r="G48"/>
      <c r="H48"/>
      <c r="I48"/>
      <c r="J48"/>
      <c r="K48"/>
      <c r="L48"/>
      <c r="M48"/>
      <c r="N48"/>
      <c r="O48"/>
      <c r="P48"/>
      <c r="R48"/>
      <c r="S48"/>
      <c r="T48"/>
      <c r="U48"/>
      <c r="V48"/>
      <c r="W48"/>
      <c r="X48"/>
      <c r="Y48"/>
      <c r="Z48"/>
    </row>
    <row r="49" spans="2:26">
      <c r="B49"/>
      <c r="D49"/>
      <c r="E49"/>
      <c r="F49"/>
      <c r="G49"/>
      <c r="H49"/>
      <c r="I49"/>
      <c r="J49"/>
      <c r="K49"/>
      <c r="L49"/>
      <c r="M49"/>
      <c r="N49"/>
      <c r="O49"/>
      <c r="P49"/>
      <c r="R49"/>
      <c r="S49"/>
      <c r="T49"/>
      <c r="U49"/>
      <c r="V49"/>
      <c r="W49"/>
      <c r="X49"/>
      <c r="Y49"/>
      <c r="Z49"/>
    </row>
    <row r="50" spans="2:26">
      <c r="B50"/>
      <c r="D50"/>
      <c r="E50"/>
      <c r="F50"/>
      <c r="G50"/>
      <c r="H50"/>
      <c r="I50"/>
      <c r="J50"/>
      <c r="K50"/>
      <c r="L50"/>
      <c r="M50"/>
      <c r="N50"/>
      <c r="O50"/>
      <c r="P50"/>
      <c r="R50"/>
      <c r="S50"/>
      <c r="T50"/>
      <c r="U50"/>
      <c r="V50"/>
      <c r="W50"/>
      <c r="X50"/>
      <c r="Y50"/>
      <c r="Z50"/>
    </row>
    <row r="51" spans="2:26">
      <c r="B51"/>
      <c r="D51"/>
      <c r="E51"/>
      <c r="F51"/>
      <c r="G51"/>
      <c r="H51"/>
      <c r="I51"/>
      <c r="J51"/>
      <c r="K51"/>
      <c r="L51"/>
      <c r="M51"/>
      <c r="N51"/>
      <c r="O51"/>
      <c r="P51"/>
      <c r="R51"/>
      <c r="S51"/>
      <c r="T51"/>
      <c r="U51"/>
      <c r="V51"/>
      <c r="W51"/>
      <c r="X51"/>
      <c r="Y51"/>
      <c r="Z51"/>
    </row>
    <row r="52" spans="2:26">
      <c r="B52"/>
      <c r="D52"/>
      <c r="E52"/>
      <c r="F52"/>
      <c r="G52"/>
      <c r="H52"/>
      <c r="I52"/>
      <c r="J52"/>
      <c r="K52"/>
      <c r="L52"/>
      <c r="M52"/>
      <c r="N52"/>
      <c r="O52"/>
      <c r="P52"/>
      <c r="R52"/>
      <c r="S52"/>
      <c r="T52"/>
      <c r="U52"/>
      <c r="V52"/>
      <c r="W52"/>
      <c r="X52"/>
      <c r="Y52"/>
      <c r="Z52"/>
    </row>
    <row r="53" spans="2:26">
      <c r="B53"/>
      <c r="D53"/>
      <c r="E53"/>
      <c r="F53"/>
      <c r="G53"/>
      <c r="H53"/>
      <c r="I53"/>
      <c r="J53"/>
      <c r="K53"/>
      <c r="L53"/>
      <c r="M53"/>
      <c r="N53"/>
      <c r="O53"/>
      <c r="P53"/>
      <c r="R53"/>
      <c r="S53"/>
      <c r="T53"/>
      <c r="U53"/>
      <c r="V53"/>
      <c r="W53"/>
      <c r="X53"/>
      <c r="Y53"/>
      <c r="Z53"/>
    </row>
    <row r="54" spans="2:26">
      <c r="B54"/>
      <c r="D54"/>
      <c r="E54"/>
      <c r="F54"/>
      <c r="G54"/>
      <c r="H54"/>
      <c r="I54"/>
      <c r="J54"/>
      <c r="K54"/>
      <c r="L54"/>
      <c r="M54"/>
      <c r="N54"/>
      <c r="O54"/>
      <c r="P54"/>
      <c r="R54"/>
      <c r="S54"/>
      <c r="T54"/>
      <c r="U54"/>
      <c r="V54"/>
      <c r="W54"/>
      <c r="X54"/>
      <c r="Y54"/>
      <c r="Z54"/>
    </row>
    <row r="55" spans="2:26">
      <c r="B55"/>
      <c r="D55"/>
      <c r="E55"/>
      <c r="F55"/>
      <c r="G55"/>
      <c r="H55"/>
      <c r="I55"/>
      <c r="J55"/>
      <c r="K55"/>
      <c r="L55"/>
      <c r="M55"/>
      <c r="N55"/>
      <c r="O55"/>
      <c r="P55"/>
      <c r="R55"/>
      <c r="S55"/>
      <c r="T55"/>
      <c r="U55"/>
      <c r="V55"/>
      <c r="W55"/>
      <c r="X55"/>
      <c r="Y55"/>
      <c r="Z55"/>
    </row>
    <row r="56" spans="2:26">
      <c r="B56"/>
      <c r="D56"/>
      <c r="E56"/>
      <c r="F56"/>
      <c r="G56"/>
      <c r="H56"/>
      <c r="I56"/>
      <c r="J56"/>
      <c r="K56"/>
      <c r="L56"/>
      <c r="M56"/>
      <c r="N56"/>
      <c r="O56"/>
      <c r="P56"/>
      <c r="R56"/>
      <c r="S56"/>
      <c r="T56"/>
      <c r="U56"/>
      <c r="V56"/>
      <c r="W56"/>
      <c r="X56"/>
      <c r="Y56"/>
      <c r="Z56"/>
    </row>
    <row r="57" spans="2:26">
      <c r="B57"/>
      <c r="D57"/>
      <c r="E57"/>
      <c r="F57"/>
      <c r="G57"/>
      <c r="H57"/>
      <c r="I57"/>
      <c r="J57"/>
      <c r="K57"/>
      <c r="L57"/>
      <c r="M57"/>
      <c r="N57"/>
      <c r="O57"/>
      <c r="P57"/>
      <c r="R57"/>
      <c r="S57"/>
      <c r="T57"/>
      <c r="U57"/>
      <c r="V57"/>
      <c r="W57"/>
      <c r="X57"/>
      <c r="Y57"/>
      <c r="Z57"/>
    </row>
    <row r="58" spans="2:26">
      <c r="B58"/>
      <c r="D58"/>
      <c r="E58"/>
      <c r="F58"/>
      <c r="G58"/>
      <c r="H58"/>
      <c r="I58"/>
      <c r="J58"/>
      <c r="K58"/>
      <c r="L58"/>
      <c r="M58"/>
      <c r="N58"/>
      <c r="O58"/>
      <c r="P58"/>
      <c r="R58"/>
      <c r="S58"/>
      <c r="T58"/>
      <c r="U58"/>
      <c r="V58"/>
      <c r="W58"/>
      <c r="X58"/>
      <c r="Y58"/>
      <c r="Z58"/>
    </row>
    <row r="59" spans="2:26">
      <c r="B59"/>
      <c r="D59"/>
      <c r="E59"/>
      <c r="F59"/>
      <c r="G59"/>
      <c r="H59"/>
      <c r="I59"/>
      <c r="J59"/>
      <c r="K59"/>
      <c r="L59"/>
      <c r="M59"/>
      <c r="N59"/>
      <c r="O59"/>
      <c r="P59"/>
      <c r="R59"/>
      <c r="S59"/>
      <c r="T59"/>
      <c r="U59"/>
      <c r="V59"/>
      <c r="W59"/>
      <c r="X59"/>
      <c r="Y59"/>
      <c r="Z59"/>
    </row>
    <row r="60" spans="2:26">
      <c r="B60"/>
      <c r="D60"/>
      <c r="E60"/>
      <c r="F60"/>
      <c r="G60"/>
      <c r="H60"/>
      <c r="I60"/>
      <c r="J60"/>
      <c r="K60"/>
      <c r="L60"/>
      <c r="M60"/>
      <c r="N60"/>
      <c r="O60"/>
      <c r="P60"/>
      <c r="R60"/>
      <c r="S60"/>
      <c r="T60"/>
      <c r="U60"/>
      <c r="V60"/>
      <c r="W60"/>
      <c r="X60"/>
      <c r="Y60"/>
      <c r="Z60"/>
    </row>
    <row r="61" spans="2:26">
      <c r="B61"/>
      <c r="D61"/>
      <c r="E61"/>
      <c r="F61"/>
      <c r="G61"/>
      <c r="H61"/>
      <c r="I61"/>
      <c r="J61"/>
      <c r="K61"/>
      <c r="L61"/>
      <c r="M61"/>
      <c r="N61"/>
      <c r="O61"/>
      <c r="P61"/>
      <c r="R61"/>
      <c r="S61"/>
      <c r="T61"/>
      <c r="U61"/>
      <c r="V61"/>
      <c r="W61"/>
      <c r="X61"/>
      <c r="Y61"/>
      <c r="Z61"/>
    </row>
    <row r="62" spans="2:26">
      <c r="B62"/>
      <c r="D62"/>
      <c r="E62"/>
      <c r="F62"/>
      <c r="G62"/>
      <c r="H62"/>
      <c r="I62"/>
      <c r="J62"/>
      <c r="K62"/>
      <c r="L62"/>
      <c r="M62"/>
      <c r="N62"/>
      <c r="O62"/>
      <c r="P62"/>
      <c r="R62"/>
      <c r="S62"/>
      <c r="T62"/>
      <c r="U62"/>
      <c r="V62"/>
      <c r="W62"/>
      <c r="X62"/>
      <c r="Y62"/>
      <c r="Z62"/>
    </row>
    <row r="63" spans="2:26">
      <c r="B63"/>
      <c r="D63"/>
      <c r="E63"/>
      <c r="F63"/>
      <c r="G63"/>
      <c r="H63"/>
      <c r="I63"/>
      <c r="J63"/>
      <c r="K63"/>
      <c r="L63"/>
      <c r="M63"/>
      <c r="N63"/>
      <c r="O63"/>
      <c r="P63"/>
      <c r="R63"/>
      <c r="S63"/>
      <c r="T63"/>
      <c r="U63"/>
      <c r="V63"/>
      <c r="W63"/>
      <c r="X63"/>
      <c r="Y63"/>
      <c r="Z63"/>
    </row>
    <row r="64" spans="2:26">
      <c r="B64"/>
      <c r="D64"/>
      <c r="E64"/>
      <c r="F64"/>
      <c r="G64"/>
      <c r="H64"/>
      <c r="I64"/>
      <c r="J64"/>
      <c r="K64"/>
      <c r="L64"/>
      <c r="M64"/>
      <c r="N64"/>
      <c r="O64"/>
      <c r="P64"/>
      <c r="R64"/>
      <c r="S64"/>
      <c r="T64"/>
      <c r="U64"/>
      <c r="V64"/>
      <c r="W64"/>
      <c r="X64"/>
      <c r="Y64"/>
      <c r="Z64"/>
    </row>
    <row r="65" spans="2:26">
      <c r="B65"/>
      <c r="D65"/>
      <c r="E65"/>
      <c r="F65"/>
      <c r="G65"/>
      <c r="H65"/>
      <c r="I65"/>
      <c r="J65"/>
      <c r="K65"/>
      <c r="L65"/>
      <c r="M65"/>
      <c r="N65"/>
      <c r="O65"/>
      <c r="P65"/>
      <c r="R65"/>
      <c r="S65"/>
      <c r="T65"/>
      <c r="U65"/>
      <c r="V65"/>
      <c r="W65"/>
      <c r="X65"/>
      <c r="Y65"/>
      <c r="Z65"/>
    </row>
    <row r="66" spans="2:26">
      <c r="B66"/>
      <c r="D66"/>
      <c r="E66"/>
      <c r="F66"/>
      <c r="G66"/>
      <c r="H66"/>
      <c r="I66"/>
      <c r="J66"/>
      <c r="K66"/>
      <c r="L66"/>
      <c r="M66"/>
      <c r="N66"/>
      <c r="O66"/>
      <c r="P66"/>
      <c r="R66"/>
      <c r="S66"/>
      <c r="T66"/>
      <c r="U66"/>
      <c r="V66"/>
      <c r="W66"/>
      <c r="X66"/>
      <c r="Y66"/>
      <c r="Z66"/>
    </row>
    <row r="67" spans="2:26">
      <c r="B67"/>
      <c r="D67"/>
      <c r="E67"/>
      <c r="F67"/>
      <c r="G67"/>
      <c r="H67"/>
      <c r="I67"/>
      <c r="J67"/>
      <c r="K67"/>
      <c r="L67"/>
      <c r="M67"/>
      <c r="N67"/>
      <c r="O67"/>
      <c r="P67"/>
      <c r="R67"/>
      <c r="S67"/>
      <c r="T67"/>
      <c r="U67"/>
      <c r="V67"/>
      <c r="W67"/>
      <c r="X67"/>
      <c r="Y67"/>
      <c r="Z67"/>
    </row>
    <row r="68" spans="2:26">
      <c r="B68"/>
      <c r="D68"/>
      <c r="E68"/>
      <c r="F68"/>
      <c r="G68"/>
      <c r="H68"/>
      <c r="I68"/>
      <c r="J68"/>
      <c r="K68"/>
      <c r="L68"/>
      <c r="M68"/>
      <c r="N68"/>
      <c r="O68"/>
      <c r="P68"/>
      <c r="R68"/>
      <c r="S68"/>
      <c r="T68"/>
      <c r="U68"/>
      <c r="V68"/>
      <c r="W68"/>
      <c r="X68"/>
      <c r="Y68"/>
      <c r="Z68"/>
    </row>
    <row r="69" spans="2:26">
      <c r="B69"/>
      <c r="D69"/>
      <c r="E69"/>
      <c r="F69"/>
      <c r="G69"/>
      <c r="H69"/>
      <c r="I69"/>
      <c r="J69"/>
      <c r="K69"/>
      <c r="L69"/>
      <c r="M69"/>
      <c r="N69"/>
      <c r="O69"/>
      <c r="P69"/>
      <c r="R69"/>
      <c r="S69"/>
      <c r="T69"/>
      <c r="U69"/>
      <c r="V69"/>
      <c r="W69"/>
      <c r="X69"/>
      <c r="Y69"/>
      <c r="Z69"/>
    </row>
    <row r="70" spans="2:26">
      <c r="B70"/>
      <c r="D70"/>
      <c r="E70"/>
      <c r="F70"/>
      <c r="G70"/>
      <c r="H70"/>
      <c r="I70"/>
      <c r="J70"/>
      <c r="K70"/>
      <c r="L70"/>
      <c r="M70"/>
      <c r="N70"/>
      <c r="O70"/>
      <c r="P70"/>
      <c r="R70"/>
      <c r="S70"/>
      <c r="T70"/>
      <c r="U70"/>
      <c r="V70"/>
      <c r="W70"/>
      <c r="X70"/>
      <c r="Y70"/>
      <c r="Z70"/>
    </row>
    <row r="71" spans="2:26">
      <c r="B71"/>
      <c r="D71"/>
      <c r="E71"/>
      <c r="F71"/>
      <c r="G71"/>
      <c r="H71"/>
      <c r="I71"/>
      <c r="J71"/>
      <c r="K71"/>
      <c r="L71"/>
      <c r="M71"/>
      <c r="N71"/>
      <c r="O71"/>
      <c r="P71"/>
      <c r="R71"/>
      <c r="S71"/>
      <c r="T71"/>
      <c r="U71"/>
      <c r="V71"/>
      <c r="W71"/>
      <c r="X71"/>
      <c r="Y71"/>
      <c r="Z71"/>
    </row>
    <row r="72" spans="2:26">
      <c r="B72"/>
      <c r="D72"/>
      <c r="E72"/>
      <c r="F72"/>
      <c r="G72"/>
      <c r="H72"/>
      <c r="I72"/>
      <c r="J72"/>
      <c r="K72"/>
      <c r="L72"/>
      <c r="M72"/>
      <c r="N72"/>
      <c r="O72"/>
      <c r="P72"/>
      <c r="R72"/>
      <c r="S72"/>
      <c r="T72"/>
      <c r="U72"/>
      <c r="V72"/>
      <c r="W72"/>
      <c r="X72"/>
      <c r="Y72"/>
      <c r="Z72"/>
    </row>
    <row r="73" spans="2:26">
      <c r="B73"/>
      <c r="D73"/>
      <c r="E73"/>
      <c r="F73"/>
      <c r="G73"/>
      <c r="H73"/>
      <c r="I73"/>
      <c r="J73"/>
      <c r="K73"/>
      <c r="L73"/>
      <c r="M73"/>
      <c r="N73"/>
      <c r="O73"/>
      <c r="P73"/>
      <c r="R73"/>
      <c r="S73"/>
      <c r="T73"/>
      <c r="U73"/>
      <c r="V73"/>
      <c r="W73"/>
      <c r="X73"/>
      <c r="Y73"/>
      <c r="Z73"/>
    </row>
    <row r="74" spans="2:26">
      <c r="B74"/>
      <c r="D74"/>
      <c r="E74"/>
      <c r="F74"/>
      <c r="G74"/>
      <c r="H74"/>
      <c r="I74"/>
      <c r="J74"/>
      <c r="K74"/>
      <c r="L74"/>
      <c r="M74"/>
      <c r="N74"/>
      <c r="O74"/>
      <c r="P74"/>
      <c r="R74"/>
      <c r="S74"/>
      <c r="T74"/>
      <c r="U74"/>
      <c r="V74"/>
      <c r="W74"/>
      <c r="X74"/>
      <c r="Y74"/>
      <c r="Z74"/>
    </row>
    <row r="75" spans="2:26">
      <c r="B75"/>
      <c r="D75"/>
      <c r="E75"/>
      <c r="F75"/>
      <c r="G75"/>
      <c r="H75"/>
      <c r="I75"/>
      <c r="J75"/>
      <c r="K75"/>
      <c r="L75"/>
      <c r="M75"/>
      <c r="N75"/>
      <c r="O75"/>
      <c r="P75"/>
      <c r="R75"/>
      <c r="S75"/>
      <c r="T75"/>
      <c r="U75"/>
      <c r="V75"/>
      <c r="W75"/>
      <c r="X75"/>
      <c r="Y75"/>
      <c r="Z75"/>
    </row>
    <row r="76" spans="2:26">
      <c r="B76"/>
      <c r="D76"/>
      <c r="E76"/>
      <c r="F76"/>
      <c r="G76"/>
      <c r="H76"/>
      <c r="I76"/>
      <c r="J76"/>
      <c r="K76"/>
      <c r="L76"/>
      <c r="M76"/>
      <c r="N76"/>
      <c r="O76"/>
      <c r="P76"/>
      <c r="R76"/>
      <c r="S76"/>
      <c r="T76"/>
      <c r="U76"/>
      <c r="V76"/>
      <c r="W76"/>
      <c r="X76"/>
      <c r="Y76"/>
      <c r="Z76"/>
    </row>
    <row r="77" spans="2:26">
      <c r="B77"/>
      <c r="D77"/>
      <c r="E77"/>
      <c r="F77"/>
      <c r="G77"/>
      <c r="H77"/>
      <c r="I77"/>
      <c r="J77"/>
      <c r="K77"/>
      <c r="L77"/>
      <c r="M77"/>
      <c r="N77"/>
      <c r="O77"/>
      <c r="P77"/>
      <c r="R77"/>
      <c r="S77"/>
      <c r="T77"/>
      <c r="U77"/>
      <c r="V77"/>
      <c r="W77"/>
      <c r="X77"/>
      <c r="Y77"/>
      <c r="Z77"/>
    </row>
    <row r="78" spans="2:26">
      <c r="B78"/>
      <c r="D78"/>
      <c r="E78"/>
      <c r="F78"/>
      <c r="G78"/>
      <c r="H78"/>
      <c r="I78"/>
      <c r="J78"/>
      <c r="K78"/>
      <c r="L78"/>
      <c r="M78"/>
      <c r="N78"/>
      <c r="O78"/>
      <c r="P78"/>
      <c r="R78"/>
      <c r="S78"/>
      <c r="T78"/>
      <c r="U78"/>
      <c r="V78"/>
      <c r="W78"/>
      <c r="X78"/>
      <c r="Y78"/>
      <c r="Z78"/>
    </row>
    <row r="79" spans="2:26">
      <c r="B79"/>
      <c r="D79"/>
      <c r="E79"/>
      <c r="F79"/>
      <c r="G79"/>
      <c r="H79"/>
      <c r="I79"/>
      <c r="J79"/>
      <c r="K79"/>
      <c r="L79"/>
      <c r="M79"/>
      <c r="N79"/>
      <c r="O79"/>
      <c r="P79"/>
      <c r="R79"/>
      <c r="S79"/>
      <c r="T79"/>
      <c r="U79"/>
      <c r="V79"/>
      <c r="W79"/>
      <c r="X79"/>
      <c r="Y79"/>
      <c r="Z79"/>
    </row>
    <row r="80" spans="2:26">
      <c r="B80"/>
      <c r="D80"/>
      <c r="E80"/>
      <c r="F80"/>
      <c r="G80"/>
      <c r="H80"/>
      <c r="I80"/>
      <c r="J80"/>
      <c r="K80"/>
      <c r="L80"/>
      <c r="M80"/>
      <c r="N80"/>
      <c r="O80"/>
      <c r="P80"/>
      <c r="R80"/>
      <c r="S80"/>
      <c r="T80"/>
      <c r="U80"/>
      <c r="V80"/>
      <c r="W80"/>
      <c r="X80"/>
      <c r="Y80"/>
      <c r="Z80"/>
    </row>
    <row r="81" spans="2:26">
      <c r="B81"/>
      <c r="D81"/>
      <c r="E81"/>
      <c r="F81"/>
      <c r="G81"/>
      <c r="H81"/>
      <c r="I81"/>
      <c r="J81"/>
      <c r="K81"/>
      <c r="L81"/>
      <c r="M81"/>
      <c r="N81"/>
      <c r="O81"/>
      <c r="P81"/>
      <c r="R81"/>
      <c r="S81"/>
      <c r="T81"/>
      <c r="U81"/>
      <c r="V81"/>
      <c r="W81"/>
      <c r="X81"/>
      <c r="Y81"/>
      <c r="Z81"/>
    </row>
    <row r="82" spans="2:26">
      <c r="B82"/>
      <c r="D82"/>
      <c r="E82"/>
      <c r="F82"/>
      <c r="G82"/>
      <c r="H82"/>
      <c r="I82"/>
      <c r="J82"/>
      <c r="K82"/>
      <c r="L82"/>
      <c r="M82"/>
      <c r="N82"/>
      <c r="O82"/>
      <c r="P82"/>
      <c r="R82"/>
      <c r="S82"/>
      <c r="T82"/>
      <c r="U82"/>
      <c r="V82"/>
      <c r="W82"/>
      <c r="X82"/>
      <c r="Y82"/>
      <c r="Z82"/>
    </row>
    <row r="83" spans="2:26">
      <c r="B83"/>
      <c r="D83"/>
      <c r="E83"/>
      <c r="F83"/>
      <c r="G83"/>
      <c r="H83"/>
      <c r="I83"/>
      <c r="J83"/>
      <c r="K83"/>
      <c r="L83"/>
      <c r="M83"/>
      <c r="N83"/>
      <c r="O83"/>
      <c r="P83"/>
      <c r="R83"/>
      <c r="S83"/>
      <c r="T83"/>
      <c r="U83"/>
      <c r="V83"/>
      <c r="W83"/>
      <c r="X83"/>
      <c r="Y83"/>
      <c r="Z83"/>
    </row>
    <row r="84" spans="2:26">
      <c r="B84"/>
      <c r="D84"/>
      <c r="E84"/>
      <c r="F84"/>
      <c r="G84"/>
      <c r="H84"/>
      <c r="I84"/>
      <c r="J84"/>
      <c r="K84"/>
      <c r="L84"/>
      <c r="M84"/>
      <c r="N84"/>
      <c r="O84"/>
      <c r="P84"/>
      <c r="R84"/>
      <c r="S84"/>
      <c r="T84"/>
      <c r="U84"/>
      <c r="V84"/>
      <c r="W84"/>
      <c r="X84"/>
      <c r="Y84"/>
      <c r="Z84"/>
    </row>
    <row r="85" spans="2:26">
      <c r="B85"/>
      <c r="D85"/>
      <c r="E85"/>
      <c r="F85"/>
      <c r="G85"/>
      <c r="H85"/>
      <c r="I85"/>
      <c r="J85"/>
      <c r="K85"/>
      <c r="L85"/>
      <c r="M85"/>
      <c r="N85"/>
      <c r="O85"/>
      <c r="P85"/>
      <c r="R85"/>
      <c r="S85"/>
      <c r="T85"/>
      <c r="U85"/>
      <c r="V85"/>
      <c r="W85"/>
      <c r="X85"/>
      <c r="Y85"/>
      <c r="Z85"/>
    </row>
    <row r="86" spans="2:26">
      <c r="B86"/>
      <c r="D86"/>
      <c r="E86"/>
      <c r="F86"/>
      <c r="G86"/>
      <c r="H86"/>
      <c r="I86"/>
      <c r="J86"/>
      <c r="K86"/>
      <c r="L86"/>
      <c r="M86"/>
      <c r="N86"/>
      <c r="O86"/>
      <c r="P86"/>
      <c r="R86"/>
      <c r="S86"/>
      <c r="T86"/>
      <c r="U86"/>
      <c r="V86"/>
      <c r="W86"/>
      <c r="X86"/>
      <c r="Y86"/>
      <c r="Z86"/>
    </row>
    <row r="87" spans="2:26">
      <c r="B87"/>
      <c r="D87"/>
      <c r="E87"/>
      <c r="F87"/>
      <c r="G87"/>
      <c r="H87"/>
      <c r="I87"/>
      <c r="J87"/>
      <c r="K87"/>
      <c r="L87"/>
      <c r="M87"/>
      <c r="N87"/>
      <c r="O87"/>
      <c r="P87"/>
      <c r="R87"/>
      <c r="S87"/>
      <c r="T87"/>
      <c r="U87"/>
      <c r="V87"/>
      <c r="W87"/>
      <c r="X87"/>
      <c r="Y87"/>
      <c r="Z87"/>
    </row>
    <row r="88" spans="2:26">
      <c r="B88"/>
      <c r="D88"/>
      <c r="E88"/>
      <c r="F88"/>
      <c r="G88"/>
      <c r="H88"/>
      <c r="I88"/>
      <c r="J88"/>
      <c r="K88"/>
      <c r="L88"/>
      <c r="M88"/>
      <c r="N88"/>
      <c r="O88"/>
      <c r="P88"/>
      <c r="R88"/>
      <c r="S88"/>
      <c r="T88"/>
      <c r="U88"/>
      <c r="V88"/>
      <c r="W88"/>
      <c r="X88"/>
      <c r="Y88"/>
      <c r="Z88"/>
    </row>
    <row r="89" spans="2:26">
      <c r="B89"/>
      <c r="D89"/>
      <c r="E89"/>
      <c r="F89"/>
      <c r="G89"/>
      <c r="H89"/>
      <c r="I89"/>
      <c r="J89"/>
      <c r="K89"/>
      <c r="L89"/>
      <c r="M89"/>
      <c r="N89"/>
      <c r="O89"/>
      <c r="P89"/>
      <c r="R89"/>
      <c r="S89"/>
      <c r="T89"/>
      <c r="U89"/>
      <c r="V89"/>
      <c r="W89"/>
      <c r="X89"/>
      <c r="Y89"/>
      <c r="Z89"/>
    </row>
    <row r="90" spans="2:26">
      <c r="B90"/>
      <c r="D90"/>
      <c r="E90"/>
      <c r="F90"/>
      <c r="G90"/>
      <c r="H90"/>
      <c r="I90"/>
      <c r="J90"/>
      <c r="K90"/>
      <c r="L90"/>
      <c r="M90"/>
      <c r="N90"/>
      <c r="O90"/>
      <c r="P90"/>
      <c r="R90"/>
      <c r="S90"/>
      <c r="T90"/>
      <c r="U90"/>
      <c r="V90"/>
      <c r="W90"/>
      <c r="X90"/>
      <c r="Y90"/>
      <c r="Z90"/>
    </row>
    <row r="91" spans="2:26">
      <c r="B91"/>
      <c r="D91"/>
      <c r="E91"/>
      <c r="F91"/>
      <c r="G91"/>
      <c r="H91"/>
      <c r="I91"/>
      <c r="J91"/>
      <c r="K91"/>
      <c r="L91"/>
      <c r="M91"/>
      <c r="N91"/>
      <c r="O91"/>
      <c r="P91"/>
      <c r="R91"/>
      <c r="S91"/>
      <c r="T91"/>
      <c r="U91"/>
      <c r="V91"/>
      <c r="W91"/>
      <c r="X91"/>
      <c r="Y91"/>
      <c r="Z91"/>
    </row>
    <row r="92" spans="2:26">
      <c r="B92"/>
      <c r="D92"/>
      <c r="E92"/>
      <c r="F92"/>
      <c r="G92"/>
      <c r="H92"/>
      <c r="I92"/>
      <c r="J92"/>
      <c r="K92"/>
      <c r="L92"/>
      <c r="M92"/>
      <c r="N92"/>
      <c r="O92"/>
      <c r="P92"/>
      <c r="R92"/>
      <c r="S92"/>
      <c r="T92"/>
      <c r="U92"/>
      <c r="V92"/>
      <c r="W92"/>
      <c r="X92"/>
      <c r="Y92"/>
      <c r="Z92"/>
    </row>
    <row r="93" spans="2:26">
      <c r="B93"/>
      <c r="D93"/>
      <c r="E93"/>
      <c r="F93"/>
      <c r="G93"/>
      <c r="H93"/>
      <c r="I93"/>
      <c r="J93"/>
      <c r="K93"/>
      <c r="L93"/>
      <c r="M93"/>
      <c r="N93"/>
      <c r="O93"/>
      <c r="P93"/>
      <c r="R93"/>
      <c r="S93"/>
      <c r="T93"/>
      <c r="U93"/>
      <c r="V93"/>
      <c r="W93"/>
      <c r="X93"/>
      <c r="Y93"/>
      <c r="Z93"/>
    </row>
    <row r="94" spans="2:26">
      <c r="B94"/>
      <c r="D94"/>
      <c r="E94"/>
      <c r="F94"/>
      <c r="G94"/>
      <c r="H94"/>
      <c r="I94"/>
      <c r="J94"/>
      <c r="K94"/>
      <c r="L94"/>
      <c r="M94"/>
      <c r="N94"/>
      <c r="O94"/>
      <c r="P94"/>
      <c r="R94"/>
      <c r="S94"/>
      <c r="T94"/>
      <c r="U94"/>
      <c r="V94"/>
      <c r="W94"/>
      <c r="X94"/>
      <c r="Y94"/>
      <c r="Z94"/>
    </row>
    <row r="95" spans="2:26">
      <c r="B95"/>
      <c r="D95"/>
      <c r="E95"/>
      <c r="F95"/>
      <c r="G95"/>
      <c r="H95"/>
      <c r="I95"/>
      <c r="J95"/>
      <c r="K95"/>
      <c r="L95"/>
      <c r="M95"/>
      <c r="N95"/>
      <c r="O95"/>
      <c r="P95"/>
      <c r="R95"/>
      <c r="S95"/>
      <c r="T95"/>
      <c r="U95"/>
      <c r="V95"/>
      <c r="W95"/>
      <c r="X95"/>
      <c r="Y95"/>
      <c r="Z95"/>
    </row>
    <row r="96" spans="2:26">
      <c r="B96"/>
      <c r="D96"/>
      <c r="E96"/>
      <c r="F96"/>
      <c r="G96"/>
      <c r="H96"/>
      <c r="I96"/>
      <c r="J96"/>
      <c r="K96"/>
      <c r="L96"/>
      <c r="M96"/>
      <c r="N96"/>
      <c r="O96"/>
      <c r="P96"/>
      <c r="R96"/>
      <c r="S96"/>
      <c r="T96"/>
      <c r="U96"/>
      <c r="V96"/>
      <c r="W96"/>
      <c r="X96"/>
      <c r="Y96"/>
      <c r="Z96"/>
    </row>
    <row r="97" spans="2:26">
      <c r="B97"/>
      <c r="D97"/>
      <c r="E97"/>
      <c r="F97"/>
      <c r="G97"/>
      <c r="H97"/>
      <c r="I97"/>
      <c r="J97"/>
      <c r="K97"/>
      <c r="L97"/>
      <c r="M97"/>
      <c r="N97"/>
      <c r="O97"/>
      <c r="P97"/>
      <c r="R97"/>
      <c r="S97"/>
      <c r="T97"/>
      <c r="U97"/>
      <c r="V97"/>
      <c r="W97"/>
      <c r="X97"/>
      <c r="Y97"/>
      <c r="Z97"/>
    </row>
    <row r="98" spans="2:26">
      <c r="B98"/>
      <c r="D98"/>
      <c r="E98"/>
      <c r="F98"/>
      <c r="G98"/>
      <c r="H98"/>
      <c r="I98"/>
      <c r="J98"/>
      <c r="K98"/>
      <c r="L98"/>
      <c r="M98"/>
      <c r="N98"/>
      <c r="O98"/>
      <c r="P98"/>
      <c r="R98"/>
      <c r="S98"/>
      <c r="T98"/>
      <c r="U98"/>
      <c r="V98"/>
      <c r="W98"/>
      <c r="X98"/>
      <c r="Y98"/>
      <c r="Z98"/>
    </row>
    <row r="99" spans="2:26">
      <c r="B99"/>
      <c r="D99"/>
      <c r="E99"/>
      <c r="F99"/>
      <c r="G99"/>
      <c r="H99"/>
      <c r="I99"/>
      <c r="J99"/>
      <c r="K99"/>
      <c r="L99"/>
      <c r="M99"/>
      <c r="N99"/>
      <c r="O99"/>
      <c r="P99"/>
      <c r="R99"/>
      <c r="S99"/>
      <c r="T99"/>
      <c r="U99"/>
      <c r="V99"/>
      <c r="W99"/>
      <c r="X99"/>
      <c r="Y99"/>
      <c r="Z99"/>
    </row>
    <row r="100" spans="2:26">
      <c r="B100"/>
      <c r="D100"/>
      <c r="E100"/>
      <c r="F100"/>
      <c r="G100"/>
      <c r="H100"/>
      <c r="I100"/>
      <c r="J100"/>
      <c r="K100"/>
      <c r="L100"/>
      <c r="M100"/>
      <c r="N100"/>
      <c r="O100"/>
      <c r="P100"/>
      <c r="R100"/>
      <c r="S100"/>
      <c r="T100"/>
      <c r="U100"/>
      <c r="V100"/>
      <c r="W100"/>
      <c r="X100"/>
      <c r="Y100"/>
      <c r="Z100"/>
    </row>
    <row r="101" spans="2:26">
      <c r="B101"/>
      <c r="D101"/>
      <c r="E101"/>
      <c r="F101"/>
      <c r="G101"/>
      <c r="H101"/>
      <c r="I101"/>
      <c r="J101"/>
      <c r="K101"/>
      <c r="L101"/>
      <c r="M101"/>
      <c r="N101"/>
      <c r="O101"/>
      <c r="P101"/>
      <c r="R101"/>
      <c r="S101"/>
      <c r="T101"/>
      <c r="U101"/>
      <c r="V101"/>
      <c r="W101"/>
      <c r="X101"/>
      <c r="Y101"/>
      <c r="Z101"/>
    </row>
    <row r="102" spans="2:26">
      <c r="B102"/>
      <c r="D102"/>
      <c r="E102"/>
      <c r="F102"/>
      <c r="G102"/>
      <c r="H102"/>
      <c r="I102"/>
      <c r="J102"/>
      <c r="K102"/>
      <c r="L102"/>
      <c r="M102"/>
      <c r="N102"/>
      <c r="O102"/>
      <c r="P102"/>
      <c r="R102"/>
      <c r="S102"/>
      <c r="T102"/>
      <c r="U102"/>
      <c r="V102"/>
      <c r="W102"/>
      <c r="X102"/>
      <c r="Y102"/>
      <c r="Z102"/>
    </row>
    <row r="103" spans="2:26">
      <c r="B103"/>
      <c r="D103"/>
      <c r="E103"/>
      <c r="F103"/>
      <c r="G103"/>
      <c r="H103"/>
      <c r="I103"/>
      <c r="J103"/>
      <c r="K103"/>
      <c r="L103"/>
      <c r="M103"/>
      <c r="N103"/>
      <c r="O103"/>
      <c r="P103"/>
      <c r="R103"/>
      <c r="S103"/>
      <c r="T103"/>
      <c r="U103"/>
      <c r="V103"/>
      <c r="W103"/>
      <c r="X103"/>
      <c r="Y103"/>
      <c r="Z103"/>
    </row>
    <row r="104" spans="2:26">
      <c r="B104"/>
      <c r="D104"/>
      <c r="E104"/>
      <c r="F104"/>
      <c r="G104"/>
      <c r="H104"/>
      <c r="I104"/>
      <c r="J104"/>
      <c r="K104"/>
      <c r="L104"/>
      <c r="M104"/>
      <c r="N104"/>
      <c r="O104"/>
      <c r="P104"/>
      <c r="R104"/>
      <c r="S104"/>
      <c r="T104"/>
      <c r="U104"/>
      <c r="V104"/>
      <c r="W104"/>
      <c r="X104"/>
      <c r="Y104"/>
      <c r="Z104"/>
    </row>
    <row r="105" spans="2:26">
      <c r="B105"/>
      <c r="D105"/>
      <c r="E105"/>
      <c r="F105"/>
      <c r="G105"/>
      <c r="H105"/>
      <c r="I105"/>
      <c r="J105"/>
      <c r="K105"/>
      <c r="L105"/>
      <c r="M105"/>
      <c r="N105"/>
      <c r="O105"/>
      <c r="P105"/>
      <c r="R105"/>
      <c r="S105"/>
      <c r="T105"/>
      <c r="U105"/>
      <c r="V105"/>
      <c r="W105"/>
      <c r="X105"/>
      <c r="Y105"/>
      <c r="Z105"/>
    </row>
    <row r="106" spans="2:26">
      <c r="B106"/>
      <c r="D106"/>
      <c r="E106"/>
      <c r="F106"/>
      <c r="G106"/>
      <c r="H106"/>
      <c r="I106"/>
      <c r="J106"/>
      <c r="K106"/>
      <c r="L106"/>
      <c r="M106"/>
      <c r="N106"/>
      <c r="O106"/>
      <c r="P106"/>
      <c r="R106"/>
      <c r="S106"/>
      <c r="T106"/>
      <c r="U106"/>
      <c r="V106"/>
      <c r="W106"/>
      <c r="X106"/>
      <c r="Y106"/>
      <c r="Z106"/>
    </row>
    <row r="107" spans="2:26">
      <c r="B107"/>
      <c r="D107"/>
      <c r="E107"/>
      <c r="F107"/>
      <c r="G107"/>
      <c r="H107"/>
      <c r="I107"/>
      <c r="J107"/>
      <c r="K107"/>
      <c r="L107"/>
      <c r="M107"/>
      <c r="N107"/>
      <c r="O107"/>
      <c r="P107"/>
      <c r="R107"/>
      <c r="S107"/>
      <c r="T107"/>
      <c r="U107"/>
      <c r="V107"/>
      <c r="W107"/>
      <c r="X107"/>
      <c r="Y107"/>
      <c r="Z107"/>
    </row>
    <row r="108" spans="2:26">
      <c r="B108"/>
      <c r="D108"/>
      <c r="E108"/>
      <c r="F108"/>
      <c r="G108"/>
      <c r="H108"/>
      <c r="I108"/>
      <c r="J108"/>
      <c r="K108"/>
      <c r="L108"/>
      <c r="M108"/>
      <c r="N108"/>
      <c r="O108"/>
      <c r="P108"/>
      <c r="R108"/>
      <c r="S108"/>
      <c r="T108"/>
      <c r="U108"/>
      <c r="V108"/>
      <c r="W108"/>
      <c r="X108"/>
      <c r="Y108"/>
      <c r="Z108"/>
    </row>
    <row r="109" spans="2:26">
      <c r="B109"/>
      <c r="D109"/>
      <c r="E109"/>
      <c r="F109"/>
      <c r="G109"/>
      <c r="H109"/>
      <c r="I109"/>
      <c r="J109"/>
      <c r="K109"/>
      <c r="L109"/>
      <c r="M109"/>
      <c r="N109"/>
      <c r="O109"/>
      <c r="P109"/>
      <c r="R109"/>
      <c r="S109"/>
      <c r="T109"/>
      <c r="U109"/>
      <c r="V109"/>
      <c r="W109"/>
      <c r="X109"/>
      <c r="Y109"/>
      <c r="Z109"/>
    </row>
    <row r="110" spans="2:26">
      <c r="B110"/>
      <c r="D110"/>
      <c r="E110"/>
      <c r="F110"/>
      <c r="G110"/>
      <c r="H110"/>
      <c r="I110"/>
      <c r="J110"/>
      <c r="K110"/>
      <c r="L110"/>
      <c r="M110"/>
      <c r="N110"/>
      <c r="O110"/>
      <c r="P110"/>
      <c r="R110"/>
      <c r="S110"/>
      <c r="T110"/>
      <c r="U110"/>
      <c r="V110"/>
      <c r="W110"/>
      <c r="X110"/>
      <c r="Y110"/>
      <c r="Z110"/>
    </row>
    <row r="111" spans="2:26">
      <c r="B111"/>
      <c r="D111"/>
      <c r="E111"/>
      <c r="F111"/>
      <c r="G111"/>
      <c r="H111"/>
      <c r="I111"/>
      <c r="J111"/>
      <c r="K111"/>
      <c r="L111"/>
      <c r="M111"/>
      <c r="N111"/>
      <c r="O111"/>
      <c r="P111"/>
      <c r="R111"/>
      <c r="S111"/>
      <c r="T111"/>
      <c r="U111"/>
      <c r="V111"/>
      <c r="W111"/>
      <c r="X111"/>
      <c r="Y111"/>
      <c r="Z111"/>
    </row>
    <row r="112" spans="2:26">
      <c r="B112"/>
      <c r="D112"/>
      <c r="E112"/>
      <c r="F112"/>
      <c r="G112"/>
      <c r="H112"/>
      <c r="I112"/>
      <c r="J112"/>
      <c r="K112"/>
      <c r="L112"/>
      <c r="M112"/>
      <c r="N112"/>
      <c r="O112"/>
      <c r="P112"/>
      <c r="R112"/>
      <c r="S112"/>
      <c r="T112"/>
      <c r="U112"/>
      <c r="V112"/>
      <c r="W112"/>
      <c r="X112"/>
      <c r="Y112"/>
      <c r="Z112"/>
    </row>
    <row r="113" spans="2:26">
      <c r="B113"/>
      <c r="D113"/>
      <c r="E113"/>
      <c r="F113"/>
      <c r="G113"/>
      <c r="H113"/>
      <c r="I113"/>
      <c r="J113"/>
      <c r="K113"/>
      <c r="L113"/>
      <c r="M113"/>
      <c r="N113"/>
      <c r="O113"/>
      <c r="P113"/>
      <c r="R113"/>
      <c r="S113"/>
      <c r="T113"/>
      <c r="U113"/>
      <c r="V113"/>
      <c r="W113"/>
      <c r="X113"/>
      <c r="Y113"/>
      <c r="Z113"/>
    </row>
    <row r="114" spans="2:26">
      <c r="B114"/>
      <c r="D114"/>
      <c r="E114"/>
      <c r="F114"/>
      <c r="G114"/>
      <c r="H114"/>
      <c r="I114"/>
      <c r="J114"/>
      <c r="K114"/>
      <c r="L114"/>
      <c r="M114"/>
      <c r="N114"/>
      <c r="O114"/>
      <c r="P114"/>
      <c r="R114"/>
      <c r="S114"/>
      <c r="T114"/>
      <c r="U114"/>
      <c r="V114"/>
      <c r="W114"/>
      <c r="X114"/>
      <c r="Y114"/>
      <c r="Z114"/>
    </row>
    <row r="115" spans="2:26">
      <c r="B115"/>
      <c r="D115"/>
      <c r="E115"/>
      <c r="F115"/>
      <c r="G115"/>
      <c r="H115"/>
      <c r="I115"/>
      <c r="J115"/>
      <c r="K115"/>
      <c r="L115"/>
      <c r="M115"/>
      <c r="N115"/>
      <c r="O115"/>
      <c r="P115"/>
      <c r="R115"/>
      <c r="S115"/>
      <c r="T115"/>
      <c r="U115"/>
      <c r="V115"/>
      <c r="W115"/>
      <c r="X115"/>
      <c r="Y115"/>
      <c r="Z115"/>
    </row>
    <row r="116" spans="2:26">
      <c r="B116"/>
      <c r="D116"/>
      <c r="E116"/>
      <c r="F116"/>
      <c r="G116"/>
      <c r="H116"/>
      <c r="I116"/>
      <c r="J116"/>
      <c r="K116"/>
      <c r="L116"/>
      <c r="M116"/>
      <c r="N116"/>
      <c r="O116"/>
      <c r="P116"/>
      <c r="R116"/>
      <c r="S116"/>
      <c r="T116"/>
      <c r="U116"/>
      <c r="V116"/>
      <c r="W116"/>
      <c r="X116"/>
      <c r="Y116"/>
      <c r="Z116"/>
    </row>
    <row r="117" spans="2:26">
      <c r="B117"/>
      <c r="D117"/>
      <c r="E117"/>
      <c r="F117"/>
      <c r="G117"/>
      <c r="H117"/>
      <c r="I117"/>
      <c r="J117"/>
      <c r="K117"/>
      <c r="L117"/>
      <c r="M117"/>
      <c r="N117"/>
      <c r="O117"/>
      <c r="P117"/>
      <c r="R117"/>
      <c r="S117"/>
      <c r="T117"/>
      <c r="U117"/>
      <c r="V117"/>
      <c r="W117"/>
      <c r="X117"/>
      <c r="Y117"/>
      <c r="Z117"/>
    </row>
    <row r="118" spans="2:26">
      <c r="B118"/>
      <c r="D118"/>
      <c r="E118"/>
      <c r="F118"/>
      <c r="G118"/>
      <c r="H118"/>
      <c r="I118"/>
      <c r="J118"/>
      <c r="K118"/>
      <c r="L118"/>
      <c r="M118"/>
      <c r="N118"/>
      <c r="O118"/>
      <c r="P118"/>
      <c r="R118"/>
      <c r="S118"/>
      <c r="T118"/>
      <c r="U118"/>
      <c r="V118"/>
      <c r="W118"/>
      <c r="X118"/>
      <c r="Y118"/>
      <c r="Z118"/>
    </row>
    <row r="119" spans="2:26">
      <c r="B119"/>
      <c r="D119"/>
      <c r="E119"/>
      <c r="F119"/>
      <c r="G119"/>
      <c r="H119"/>
      <c r="I119"/>
      <c r="J119"/>
      <c r="K119"/>
      <c r="L119"/>
      <c r="M119"/>
      <c r="N119"/>
      <c r="O119"/>
      <c r="P119"/>
      <c r="R119"/>
      <c r="S119"/>
      <c r="T119"/>
      <c r="U119"/>
      <c r="V119"/>
      <c r="W119"/>
      <c r="X119"/>
      <c r="Y119"/>
      <c r="Z119"/>
    </row>
    <row r="120" spans="2:26">
      <c r="B120"/>
      <c r="D120"/>
      <c r="E120"/>
      <c r="F120"/>
      <c r="G120"/>
      <c r="H120"/>
      <c r="I120"/>
      <c r="J120"/>
      <c r="K120"/>
      <c r="L120"/>
      <c r="M120"/>
      <c r="N120"/>
      <c r="O120"/>
      <c r="P120"/>
      <c r="R120"/>
      <c r="S120"/>
      <c r="T120"/>
      <c r="U120"/>
      <c r="V120"/>
      <c r="W120"/>
      <c r="X120"/>
      <c r="Y120"/>
      <c r="Z120"/>
    </row>
    <row r="121" spans="2:26">
      <c r="B121"/>
      <c r="D121"/>
      <c r="E121"/>
      <c r="F121"/>
      <c r="G121"/>
      <c r="H121"/>
      <c r="I121"/>
      <c r="J121"/>
      <c r="K121"/>
      <c r="L121"/>
      <c r="M121"/>
      <c r="N121"/>
      <c r="O121"/>
      <c r="P121"/>
      <c r="R121"/>
      <c r="S121"/>
      <c r="T121"/>
      <c r="U121"/>
      <c r="V121"/>
      <c r="W121"/>
      <c r="X121"/>
      <c r="Y121"/>
      <c r="Z121"/>
    </row>
    <row r="122" spans="2:26">
      <c r="B122"/>
      <c r="D122"/>
      <c r="E122"/>
      <c r="F122"/>
      <c r="G122"/>
      <c r="H122"/>
      <c r="I122"/>
      <c r="J122"/>
      <c r="K122"/>
      <c r="L122"/>
      <c r="M122"/>
      <c r="N122"/>
      <c r="O122"/>
      <c r="P122"/>
      <c r="R122"/>
      <c r="S122"/>
      <c r="T122"/>
      <c r="U122"/>
      <c r="V122"/>
      <c r="W122"/>
      <c r="X122"/>
      <c r="Y122"/>
      <c r="Z122"/>
    </row>
    <row r="123" spans="2:26">
      <c r="B123"/>
      <c r="D123"/>
      <c r="E123"/>
      <c r="F123"/>
      <c r="G123"/>
      <c r="H123"/>
      <c r="I123"/>
      <c r="J123"/>
      <c r="K123"/>
      <c r="L123"/>
      <c r="M123"/>
      <c r="N123"/>
      <c r="O123"/>
      <c r="P123"/>
      <c r="R123"/>
      <c r="S123"/>
      <c r="T123"/>
      <c r="U123"/>
      <c r="V123"/>
      <c r="W123"/>
      <c r="X123"/>
      <c r="Y123"/>
      <c r="Z123"/>
    </row>
    <row r="124" spans="2:26">
      <c r="B124"/>
      <c r="D124"/>
      <c r="E124"/>
      <c r="F124"/>
      <c r="G124"/>
      <c r="H124"/>
      <c r="I124"/>
      <c r="J124"/>
      <c r="K124"/>
      <c r="L124"/>
      <c r="M124"/>
      <c r="N124"/>
      <c r="O124"/>
      <c r="P124"/>
      <c r="R124"/>
      <c r="S124"/>
      <c r="T124"/>
      <c r="U124"/>
      <c r="V124"/>
      <c r="W124"/>
      <c r="X124"/>
      <c r="Y124"/>
      <c r="Z124"/>
    </row>
    <row r="125" spans="2:26">
      <c r="B125"/>
      <c r="D125"/>
      <c r="E125"/>
      <c r="F125"/>
      <c r="G125"/>
      <c r="H125"/>
      <c r="I125"/>
      <c r="J125"/>
      <c r="K125"/>
      <c r="L125"/>
      <c r="M125"/>
      <c r="N125"/>
      <c r="O125"/>
      <c r="P125"/>
      <c r="R125"/>
      <c r="S125"/>
      <c r="T125"/>
      <c r="U125"/>
      <c r="V125"/>
      <c r="W125"/>
      <c r="X125"/>
      <c r="Y125"/>
      <c r="Z125"/>
    </row>
    <row r="126" spans="2:26">
      <c r="B126"/>
      <c r="D126"/>
      <c r="E126"/>
      <c r="F126"/>
      <c r="G126"/>
      <c r="H126"/>
      <c r="I126"/>
      <c r="J126"/>
      <c r="K126"/>
      <c r="L126"/>
      <c r="M126"/>
      <c r="N126"/>
      <c r="O126"/>
      <c r="P126"/>
      <c r="R126"/>
      <c r="S126"/>
      <c r="T126"/>
      <c r="U126"/>
      <c r="V126"/>
      <c r="W126"/>
      <c r="X126"/>
      <c r="Y126"/>
      <c r="Z126"/>
    </row>
    <row r="127" spans="2:26">
      <c r="B127"/>
      <c r="D127"/>
      <c r="E127"/>
      <c r="F127"/>
      <c r="G127"/>
      <c r="H127"/>
      <c r="I127"/>
      <c r="J127"/>
      <c r="K127"/>
      <c r="L127"/>
      <c r="M127"/>
      <c r="N127"/>
      <c r="O127"/>
      <c r="P127"/>
      <c r="R127"/>
      <c r="S127"/>
      <c r="T127"/>
      <c r="U127"/>
      <c r="V127"/>
      <c r="W127"/>
      <c r="X127"/>
      <c r="Y127"/>
      <c r="Z127"/>
    </row>
    <row r="128" spans="2:26">
      <c r="B128"/>
      <c r="D128"/>
      <c r="E128"/>
      <c r="F128"/>
      <c r="G128"/>
      <c r="H128"/>
      <c r="I128"/>
      <c r="J128"/>
      <c r="K128"/>
      <c r="L128"/>
      <c r="M128"/>
      <c r="N128"/>
      <c r="O128"/>
      <c r="P128"/>
      <c r="R128"/>
      <c r="S128"/>
      <c r="T128"/>
      <c r="U128"/>
      <c r="V128"/>
      <c r="W128"/>
      <c r="X128"/>
      <c r="Y128"/>
      <c r="Z128"/>
    </row>
    <row r="129" spans="2:26">
      <c r="B129"/>
      <c r="D129"/>
      <c r="E129"/>
      <c r="F129"/>
      <c r="G129"/>
      <c r="H129"/>
      <c r="I129"/>
      <c r="J129"/>
      <c r="K129"/>
      <c r="L129"/>
      <c r="M129"/>
      <c r="N129"/>
      <c r="O129"/>
      <c r="P129"/>
      <c r="R129"/>
      <c r="S129"/>
      <c r="T129"/>
      <c r="U129"/>
      <c r="V129"/>
      <c r="W129"/>
      <c r="X129"/>
      <c r="Y129"/>
      <c r="Z129"/>
    </row>
    <row r="130" spans="2:26">
      <c r="B130"/>
      <c r="D130"/>
      <c r="E130"/>
      <c r="F130"/>
      <c r="G130"/>
      <c r="H130"/>
      <c r="I130"/>
      <c r="J130"/>
      <c r="K130"/>
      <c r="L130"/>
      <c r="M130"/>
      <c r="N130"/>
      <c r="O130"/>
      <c r="P130"/>
      <c r="R130"/>
      <c r="S130"/>
      <c r="T130"/>
      <c r="U130"/>
      <c r="V130"/>
      <c r="W130"/>
      <c r="X130"/>
      <c r="Y130"/>
      <c r="Z130"/>
    </row>
    <row r="131" spans="2:26">
      <c r="B131"/>
      <c r="D131"/>
      <c r="E131"/>
      <c r="F131"/>
      <c r="G131"/>
      <c r="H131"/>
      <c r="I131"/>
      <c r="J131"/>
      <c r="K131"/>
      <c r="L131"/>
      <c r="M131"/>
      <c r="N131"/>
      <c r="O131"/>
      <c r="P131"/>
      <c r="R131"/>
      <c r="S131"/>
      <c r="T131"/>
      <c r="U131"/>
      <c r="V131"/>
      <c r="W131"/>
      <c r="X131"/>
      <c r="Y131"/>
      <c r="Z131"/>
    </row>
    <row r="132" spans="2:26">
      <c r="B132"/>
      <c r="D132"/>
      <c r="E132"/>
      <c r="F132"/>
      <c r="G132"/>
      <c r="H132"/>
      <c r="I132"/>
      <c r="J132"/>
      <c r="K132"/>
      <c r="L132"/>
      <c r="M132"/>
      <c r="N132"/>
      <c r="O132"/>
      <c r="P132"/>
      <c r="R132"/>
      <c r="S132"/>
      <c r="T132"/>
      <c r="U132"/>
      <c r="V132"/>
      <c r="W132"/>
      <c r="X132"/>
      <c r="Y132"/>
      <c r="Z132"/>
    </row>
    <row r="133" spans="2:26">
      <c r="B133"/>
      <c r="D133"/>
      <c r="E133"/>
      <c r="F133"/>
      <c r="G133"/>
      <c r="H133"/>
      <c r="I133"/>
      <c r="J133"/>
      <c r="K133"/>
      <c r="L133"/>
      <c r="M133"/>
      <c r="N133"/>
      <c r="O133"/>
      <c r="P133"/>
      <c r="R133"/>
      <c r="S133"/>
      <c r="T133"/>
      <c r="U133"/>
      <c r="V133"/>
      <c r="W133"/>
      <c r="X133"/>
      <c r="Y133"/>
      <c r="Z133"/>
    </row>
    <row r="134" spans="2:26">
      <c r="B134"/>
      <c r="D134"/>
      <c r="E134"/>
      <c r="F134"/>
      <c r="G134"/>
      <c r="H134"/>
      <c r="I134"/>
      <c r="J134"/>
      <c r="K134"/>
      <c r="L134"/>
      <c r="M134"/>
      <c r="N134"/>
      <c r="O134"/>
      <c r="P134"/>
      <c r="R134"/>
      <c r="S134"/>
      <c r="T134"/>
      <c r="U134"/>
      <c r="V134"/>
      <c r="W134"/>
      <c r="X134"/>
      <c r="Y134"/>
      <c r="Z134"/>
    </row>
    <row r="135" spans="2:26">
      <c r="B135"/>
      <c r="D135"/>
      <c r="E135"/>
      <c r="F135"/>
      <c r="G135"/>
      <c r="H135"/>
      <c r="I135"/>
      <c r="J135"/>
      <c r="K135"/>
      <c r="L135"/>
      <c r="M135"/>
      <c r="N135"/>
      <c r="O135"/>
      <c r="P135"/>
      <c r="R135"/>
      <c r="S135"/>
      <c r="T135"/>
      <c r="U135"/>
      <c r="V135"/>
      <c r="W135"/>
      <c r="X135"/>
      <c r="Y135"/>
      <c r="Z135"/>
    </row>
    <row r="136" spans="2:26">
      <c r="B136"/>
      <c r="D136"/>
      <c r="E136"/>
      <c r="F136"/>
      <c r="G136"/>
      <c r="H136"/>
      <c r="I136"/>
      <c r="J136"/>
      <c r="K136"/>
      <c r="L136"/>
      <c r="M136"/>
      <c r="N136"/>
      <c r="O136"/>
      <c r="P136"/>
      <c r="R136"/>
      <c r="S136"/>
      <c r="T136"/>
      <c r="U136"/>
      <c r="V136"/>
      <c r="W136"/>
      <c r="X136"/>
      <c r="Y136"/>
      <c r="Z136"/>
    </row>
    <row r="137" spans="2:26">
      <c r="B137"/>
      <c r="D137"/>
      <c r="E137"/>
      <c r="F137"/>
      <c r="G137"/>
      <c r="H137"/>
      <c r="I137"/>
      <c r="J137"/>
      <c r="K137"/>
      <c r="L137"/>
      <c r="M137"/>
      <c r="N137"/>
      <c r="O137"/>
      <c r="P137"/>
      <c r="R137"/>
      <c r="S137"/>
      <c r="T137"/>
      <c r="U137"/>
      <c r="V137"/>
      <c r="W137"/>
      <c r="X137"/>
      <c r="Y137"/>
      <c r="Z137"/>
    </row>
    <row r="138" spans="2:26">
      <c r="B138"/>
      <c r="D138"/>
      <c r="E138"/>
      <c r="F138"/>
      <c r="G138"/>
      <c r="H138"/>
      <c r="I138"/>
      <c r="J138"/>
      <c r="K138"/>
      <c r="L138"/>
      <c r="M138"/>
      <c r="N138"/>
      <c r="O138"/>
      <c r="P138"/>
      <c r="R138"/>
      <c r="S138"/>
      <c r="T138"/>
      <c r="U138"/>
      <c r="V138"/>
      <c r="W138"/>
      <c r="X138"/>
      <c r="Y138"/>
      <c r="Z138"/>
    </row>
    <row r="139" spans="2:26">
      <c r="B139"/>
      <c r="D139"/>
      <c r="E139"/>
      <c r="F139"/>
      <c r="G139"/>
      <c r="H139"/>
      <c r="I139"/>
      <c r="J139"/>
      <c r="K139"/>
      <c r="L139"/>
      <c r="M139"/>
      <c r="N139"/>
      <c r="O139"/>
      <c r="P139"/>
      <c r="R139"/>
      <c r="S139"/>
      <c r="T139"/>
      <c r="U139"/>
      <c r="V139"/>
      <c r="W139"/>
      <c r="X139"/>
      <c r="Y139"/>
      <c r="Z139"/>
    </row>
    <row r="140" spans="2:26">
      <c r="B140"/>
      <c r="D140"/>
      <c r="E140"/>
      <c r="F140"/>
      <c r="G140"/>
      <c r="H140"/>
      <c r="I140"/>
      <c r="J140"/>
      <c r="K140"/>
      <c r="L140"/>
      <c r="M140"/>
      <c r="N140"/>
      <c r="O140"/>
      <c r="P140"/>
      <c r="R140"/>
      <c r="S140"/>
      <c r="T140"/>
      <c r="U140"/>
      <c r="V140"/>
      <c r="W140"/>
      <c r="X140"/>
      <c r="Y140"/>
      <c r="Z140"/>
    </row>
    <row r="141" spans="2:26">
      <c r="B141"/>
      <c r="D141"/>
      <c r="E141"/>
      <c r="F141"/>
      <c r="G141"/>
      <c r="H141"/>
      <c r="I141"/>
      <c r="J141"/>
      <c r="K141"/>
      <c r="L141"/>
      <c r="M141"/>
      <c r="N141"/>
      <c r="O141"/>
      <c r="P141"/>
      <c r="R141"/>
      <c r="S141"/>
      <c r="T141"/>
      <c r="U141"/>
      <c r="V141"/>
      <c r="W141"/>
      <c r="X141"/>
      <c r="Y141"/>
      <c r="Z141"/>
    </row>
    <row r="142" spans="2:26">
      <c r="B142"/>
      <c r="D142"/>
      <c r="E142"/>
      <c r="F142"/>
      <c r="G142"/>
      <c r="H142"/>
      <c r="I142"/>
      <c r="J142"/>
      <c r="K142"/>
      <c r="L142"/>
      <c r="M142"/>
      <c r="N142"/>
      <c r="O142"/>
      <c r="P142"/>
      <c r="R142"/>
      <c r="S142"/>
      <c r="T142"/>
      <c r="U142"/>
      <c r="V142"/>
      <c r="W142"/>
      <c r="X142"/>
      <c r="Y142"/>
      <c r="Z142"/>
    </row>
    <row r="143" spans="2:26">
      <c r="B143"/>
      <c r="D143"/>
      <c r="E143"/>
      <c r="F143"/>
      <c r="G143"/>
      <c r="H143"/>
      <c r="I143"/>
      <c r="J143"/>
      <c r="K143"/>
      <c r="L143"/>
      <c r="M143"/>
      <c r="N143"/>
      <c r="O143"/>
      <c r="P143"/>
      <c r="R143"/>
      <c r="S143"/>
      <c r="T143"/>
      <c r="U143"/>
      <c r="V143"/>
      <c r="W143"/>
      <c r="X143"/>
      <c r="Y143"/>
      <c r="Z143"/>
    </row>
    <row r="144" spans="2:26">
      <c r="B144"/>
      <c r="D144"/>
      <c r="E144"/>
      <c r="F144"/>
      <c r="G144"/>
      <c r="H144"/>
      <c r="I144"/>
      <c r="J144"/>
      <c r="K144"/>
      <c r="L144"/>
      <c r="M144"/>
      <c r="N144"/>
      <c r="O144"/>
      <c r="P144"/>
      <c r="R144"/>
      <c r="S144"/>
      <c r="T144"/>
      <c r="U144"/>
      <c r="V144"/>
      <c r="W144"/>
      <c r="X144"/>
      <c r="Y144"/>
      <c r="Z144"/>
    </row>
    <row r="145" spans="2:26">
      <c r="B145"/>
      <c r="D145"/>
      <c r="E145"/>
      <c r="F145"/>
      <c r="G145"/>
      <c r="H145"/>
      <c r="I145"/>
      <c r="J145"/>
      <c r="K145"/>
      <c r="L145"/>
      <c r="M145"/>
      <c r="N145"/>
      <c r="O145"/>
      <c r="P145"/>
      <c r="R145"/>
      <c r="S145"/>
      <c r="T145"/>
      <c r="U145"/>
      <c r="V145"/>
      <c r="W145"/>
      <c r="X145"/>
      <c r="Y145"/>
      <c r="Z145"/>
    </row>
    <row r="146" spans="2:26">
      <c r="B146"/>
      <c r="D146"/>
      <c r="E146"/>
      <c r="F146"/>
      <c r="G146"/>
      <c r="H146"/>
      <c r="I146"/>
      <c r="J146"/>
      <c r="K146"/>
      <c r="L146"/>
      <c r="M146"/>
      <c r="N146"/>
      <c r="O146"/>
      <c r="P146"/>
      <c r="R146"/>
      <c r="S146"/>
      <c r="T146"/>
      <c r="U146"/>
      <c r="V146"/>
      <c r="W146"/>
      <c r="X146"/>
      <c r="Y146"/>
      <c r="Z146"/>
    </row>
    <row r="147" spans="2:26">
      <c r="B147"/>
      <c r="D147"/>
      <c r="E147"/>
      <c r="F147"/>
      <c r="G147"/>
      <c r="H147"/>
      <c r="I147"/>
      <c r="J147"/>
      <c r="K147"/>
      <c r="L147"/>
      <c r="M147"/>
      <c r="N147"/>
      <c r="O147"/>
      <c r="P147"/>
      <c r="R147"/>
      <c r="S147"/>
      <c r="T147"/>
      <c r="U147"/>
      <c r="V147"/>
      <c r="W147"/>
      <c r="X147"/>
      <c r="Y147"/>
      <c r="Z147"/>
    </row>
    <row r="148" spans="2:26">
      <c r="B148"/>
      <c r="D148"/>
      <c r="E148"/>
      <c r="F148"/>
      <c r="G148"/>
      <c r="H148"/>
      <c r="I148"/>
      <c r="J148"/>
      <c r="K148"/>
      <c r="L148"/>
      <c r="M148"/>
      <c r="N148"/>
      <c r="O148"/>
      <c r="P148"/>
      <c r="R148"/>
      <c r="S148"/>
      <c r="T148"/>
      <c r="U148"/>
      <c r="V148"/>
      <c r="W148"/>
      <c r="X148"/>
      <c r="Y148"/>
      <c r="Z148"/>
    </row>
    <row r="149" spans="2:26">
      <c r="B149"/>
      <c r="D149"/>
      <c r="E149"/>
      <c r="F149"/>
      <c r="G149"/>
      <c r="H149"/>
      <c r="I149"/>
      <c r="J149"/>
      <c r="K149"/>
      <c r="L149"/>
      <c r="M149"/>
      <c r="N149"/>
      <c r="O149"/>
      <c r="P149"/>
      <c r="R149"/>
      <c r="S149"/>
      <c r="T149"/>
      <c r="U149"/>
      <c r="V149"/>
      <c r="W149"/>
      <c r="X149"/>
      <c r="Y149"/>
      <c r="Z149"/>
    </row>
    <row r="150" spans="2:26">
      <c r="B150"/>
      <c r="D150"/>
      <c r="E150"/>
      <c r="F150"/>
      <c r="G150"/>
      <c r="H150"/>
      <c r="I150"/>
      <c r="J150"/>
      <c r="K150"/>
      <c r="L150"/>
      <c r="M150"/>
      <c r="N150"/>
      <c r="O150"/>
      <c r="P150"/>
      <c r="R150"/>
      <c r="S150"/>
      <c r="T150"/>
      <c r="U150"/>
      <c r="V150"/>
      <c r="W150"/>
      <c r="X150"/>
      <c r="Y150"/>
      <c r="Z150"/>
    </row>
    <row r="151" spans="2:26">
      <c r="B151"/>
      <c r="D151"/>
      <c r="E151"/>
      <c r="F151"/>
      <c r="G151"/>
      <c r="H151"/>
      <c r="I151"/>
      <c r="J151"/>
      <c r="K151"/>
      <c r="L151"/>
      <c r="M151"/>
      <c r="N151"/>
      <c r="O151"/>
      <c r="P151"/>
      <c r="R151"/>
      <c r="S151"/>
      <c r="T151"/>
      <c r="U151"/>
      <c r="V151"/>
      <c r="W151"/>
      <c r="X151"/>
      <c r="Y151"/>
      <c r="Z151"/>
    </row>
    <row r="152" spans="2:26">
      <c r="B152"/>
      <c r="D152"/>
      <c r="E152"/>
      <c r="F152"/>
      <c r="G152"/>
      <c r="H152"/>
      <c r="I152"/>
      <c r="J152"/>
      <c r="K152"/>
      <c r="L152"/>
      <c r="M152"/>
      <c r="N152"/>
      <c r="O152"/>
      <c r="P152"/>
      <c r="R152"/>
      <c r="S152"/>
      <c r="T152"/>
      <c r="U152"/>
      <c r="V152"/>
      <c r="W152"/>
      <c r="X152"/>
      <c r="Y152"/>
      <c r="Z152"/>
    </row>
    <row r="153" spans="2:26">
      <c r="B153"/>
      <c r="D153"/>
      <c r="E153"/>
      <c r="F153"/>
      <c r="G153"/>
      <c r="H153"/>
      <c r="I153"/>
      <c r="J153"/>
      <c r="K153"/>
      <c r="L153"/>
      <c r="M153"/>
      <c r="N153"/>
      <c r="O153"/>
      <c r="P153"/>
      <c r="R153"/>
      <c r="S153"/>
      <c r="T153"/>
      <c r="U153"/>
      <c r="V153"/>
      <c r="W153"/>
      <c r="X153"/>
      <c r="Y153"/>
      <c r="Z153"/>
    </row>
    <row r="154" spans="2:26">
      <c r="B154"/>
      <c r="D154"/>
      <c r="E154"/>
      <c r="F154"/>
      <c r="G154"/>
      <c r="H154"/>
      <c r="I154"/>
      <c r="J154"/>
      <c r="K154"/>
      <c r="L154"/>
      <c r="M154"/>
      <c r="N154"/>
      <c r="O154"/>
      <c r="P154"/>
      <c r="R154"/>
      <c r="S154"/>
      <c r="T154"/>
      <c r="U154"/>
      <c r="V154"/>
      <c r="W154"/>
      <c r="X154"/>
      <c r="Y154"/>
      <c r="Z154"/>
    </row>
    <row r="155" spans="2:26">
      <c r="B155"/>
      <c r="D155"/>
      <c r="E155"/>
      <c r="F155"/>
      <c r="G155"/>
      <c r="H155"/>
      <c r="I155"/>
      <c r="J155"/>
      <c r="K155"/>
      <c r="L155"/>
      <c r="M155"/>
      <c r="N155"/>
      <c r="O155"/>
      <c r="P155"/>
      <c r="R155"/>
      <c r="S155"/>
      <c r="T155"/>
      <c r="U155"/>
      <c r="V155"/>
      <c r="W155"/>
      <c r="X155"/>
      <c r="Y155"/>
      <c r="Z155"/>
    </row>
    <row r="156" spans="2:26">
      <c r="B156"/>
      <c r="D156"/>
      <c r="E156"/>
      <c r="F156"/>
      <c r="G156"/>
      <c r="H156"/>
      <c r="I156"/>
      <c r="J156"/>
      <c r="K156"/>
      <c r="L156"/>
      <c r="M156"/>
      <c r="N156"/>
      <c r="O156"/>
      <c r="P156"/>
      <c r="R156"/>
      <c r="S156"/>
      <c r="T156"/>
      <c r="U156"/>
      <c r="V156"/>
      <c r="W156"/>
      <c r="X156"/>
      <c r="Y156"/>
      <c r="Z156"/>
    </row>
    <row r="157" spans="2:26">
      <c r="B157"/>
      <c r="D157"/>
      <c r="E157"/>
      <c r="F157"/>
      <c r="G157"/>
      <c r="H157"/>
      <c r="I157"/>
      <c r="J157"/>
      <c r="K157"/>
      <c r="L157"/>
      <c r="M157"/>
      <c r="N157"/>
      <c r="O157"/>
      <c r="P157"/>
      <c r="R157"/>
      <c r="S157"/>
      <c r="T157"/>
      <c r="U157"/>
      <c r="V157"/>
      <c r="W157"/>
      <c r="X157"/>
      <c r="Y157"/>
      <c r="Z157"/>
    </row>
    <row r="158" spans="2:26">
      <c r="B158"/>
      <c r="D158"/>
      <c r="E158"/>
      <c r="F158"/>
      <c r="G158"/>
      <c r="H158"/>
      <c r="I158"/>
      <c r="J158"/>
      <c r="K158"/>
      <c r="L158"/>
      <c r="M158"/>
      <c r="N158"/>
      <c r="O158"/>
      <c r="P158"/>
      <c r="R158"/>
      <c r="S158"/>
      <c r="T158"/>
      <c r="U158"/>
      <c r="V158"/>
      <c r="W158"/>
      <c r="X158"/>
      <c r="Y158"/>
      <c r="Z158"/>
    </row>
    <row r="159" spans="2:26">
      <c r="B159"/>
      <c r="D159"/>
      <c r="E159"/>
      <c r="F159"/>
      <c r="G159"/>
      <c r="H159"/>
      <c r="I159"/>
      <c r="J159"/>
      <c r="K159"/>
      <c r="L159"/>
      <c r="M159"/>
      <c r="N159"/>
      <c r="O159"/>
      <c r="P159"/>
      <c r="R159"/>
      <c r="S159"/>
      <c r="T159"/>
      <c r="U159"/>
      <c r="V159"/>
      <c r="W159"/>
      <c r="X159"/>
      <c r="Y159"/>
      <c r="Z159"/>
    </row>
    <row r="160" spans="2:26">
      <c r="B160"/>
      <c r="D160"/>
      <c r="E160"/>
      <c r="F160"/>
      <c r="G160"/>
      <c r="H160"/>
      <c r="I160"/>
      <c r="J160"/>
      <c r="K160"/>
      <c r="L160"/>
      <c r="M160"/>
      <c r="N160"/>
      <c r="O160"/>
      <c r="P160"/>
      <c r="R160"/>
      <c r="S160"/>
      <c r="T160"/>
      <c r="U160"/>
      <c r="V160"/>
      <c r="W160"/>
      <c r="X160"/>
      <c r="Y160"/>
      <c r="Z160"/>
    </row>
    <row r="161" spans="2:26">
      <c r="B161"/>
      <c r="D161"/>
      <c r="E161"/>
      <c r="F161"/>
      <c r="G161"/>
      <c r="H161"/>
      <c r="I161"/>
      <c r="J161"/>
      <c r="K161"/>
      <c r="L161"/>
      <c r="M161"/>
      <c r="N161"/>
      <c r="O161"/>
      <c r="P161"/>
      <c r="R161"/>
      <c r="S161"/>
      <c r="T161"/>
      <c r="U161"/>
      <c r="V161"/>
      <c r="W161"/>
      <c r="X161"/>
      <c r="Y161"/>
      <c r="Z161"/>
    </row>
    <row r="162" spans="2:26">
      <c r="B162"/>
      <c r="D162"/>
      <c r="E162"/>
      <c r="F162"/>
      <c r="G162"/>
      <c r="H162"/>
      <c r="I162"/>
      <c r="J162"/>
      <c r="K162"/>
      <c r="L162"/>
      <c r="M162"/>
      <c r="N162"/>
      <c r="O162"/>
      <c r="P162"/>
      <c r="R162"/>
      <c r="S162"/>
      <c r="T162"/>
      <c r="U162"/>
      <c r="V162"/>
      <c r="W162"/>
      <c r="X162"/>
      <c r="Y162"/>
      <c r="Z162"/>
    </row>
    <row r="163" spans="2:26">
      <c r="B163"/>
      <c r="D163"/>
      <c r="E163"/>
      <c r="F163"/>
      <c r="G163"/>
      <c r="H163"/>
      <c r="I163"/>
      <c r="J163"/>
      <c r="K163"/>
      <c r="L163"/>
      <c r="M163"/>
      <c r="N163"/>
      <c r="O163"/>
      <c r="P163"/>
      <c r="R163"/>
      <c r="S163"/>
      <c r="T163"/>
      <c r="U163"/>
      <c r="V163"/>
      <c r="W163"/>
      <c r="X163"/>
      <c r="Y163"/>
      <c r="Z163"/>
    </row>
    <row r="164" spans="2:26">
      <c r="B164"/>
      <c r="D164"/>
      <c r="E164"/>
      <c r="F164"/>
      <c r="G164"/>
      <c r="H164"/>
      <c r="I164"/>
      <c r="J164"/>
      <c r="K164"/>
      <c r="L164"/>
      <c r="M164"/>
      <c r="N164"/>
      <c r="O164"/>
      <c r="P164"/>
      <c r="R164"/>
      <c r="S164"/>
      <c r="T164"/>
      <c r="U164"/>
      <c r="V164"/>
      <c r="W164"/>
      <c r="X164"/>
      <c r="Y164"/>
      <c r="Z164"/>
    </row>
    <row r="165" spans="2:26">
      <c r="B165"/>
      <c r="D165"/>
      <c r="E165"/>
      <c r="F165"/>
      <c r="G165"/>
      <c r="H165"/>
      <c r="I165"/>
      <c r="J165"/>
      <c r="K165"/>
      <c r="L165"/>
      <c r="M165"/>
      <c r="N165"/>
      <c r="O165"/>
      <c r="P165"/>
      <c r="R165"/>
      <c r="S165"/>
      <c r="T165"/>
      <c r="U165"/>
      <c r="V165"/>
      <c r="W165"/>
      <c r="X165"/>
      <c r="Y165"/>
      <c r="Z165"/>
    </row>
    <row r="166" spans="2:26">
      <c r="B166"/>
      <c r="D166"/>
      <c r="E166"/>
      <c r="F166"/>
      <c r="G166"/>
      <c r="H166"/>
      <c r="I166"/>
      <c r="J166"/>
      <c r="K166"/>
      <c r="L166"/>
      <c r="M166"/>
      <c r="N166"/>
      <c r="O166"/>
      <c r="P166"/>
      <c r="R166"/>
      <c r="S166"/>
      <c r="T166"/>
      <c r="U166"/>
      <c r="V166"/>
      <c r="W166"/>
      <c r="X166"/>
      <c r="Y166"/>
      <c r="Z166"/>
    </row>
    <row r="167" spans="2:26">
      <c r="B167"/>
      <c r="D167"/>
      <c r="E167"/>
      <c r="F167"/>
      <c r="G167"/>
      <c r="H167"/>
      <c r="I167"/>
      <c r="J167"/>
      <c r="K167"/>
      <c r="L167"/>
      <c r="M167"/>
      <c r="N167"/>
      <c r="O167"/>
      <c r="P167"/>
      <c r="R167"/>
      <c r="S167"/>
      <c r="T167"/>
      <c r="U167"/>
      <c r="V167"/>
      <c r="W167"/>
      <c r="X167"/>
      <c r="Y167"/>
      <c r="Z167"/>
    </row>
    <row r="168" spans="2:26">
      <c r="B168"/>
      <c r="D168"/>
      <c r="E168"/>
      <c r="F168"/>
      <c r="G168"/>
      <c r="H168"/>
      <c r="I168"/>
      <c r="J168"/>
      <c r="K168"/>
      <c r="L168"/>
      <c r="M168"/>
      <c r="N168"/>
      <c r="O168"/>
      <c r="P168"/>
      <c r="R168"/>
      <c r="S168"/>
      <c r="T168"/>
      <c r="U168"/>
      <c r="V168"/>
      <c r="W168"/>
      <c r="X168"/>
      <c r="Y168"/>
      <c r="Z168"/>
    </row>
    <row r="169" spans="2:26">
      <c r="B169"/>
      <c r="D169"/>
      <c r="E169"/>
      <c r="F169"/>
      <c r="G169"/>
      <c r="H169"/>
      <c r="I169"/>
      <c r="J169"/>
      <c r="K169"/>
      <c r="L169"/>
      <c r="M169"/>
      <c r="N169"/>
      <c r="O169"/>
      <c r="P169"/>
      <c r="R169"/>
      <c r="S169"/>
      <c r="T169"/>
      <c r="U169"/>
      <c r="V169"/>
      <c r="W169"/>
      <c r="X169"/>
      <c r="Y169"/>
      <c r="Z169"/>
    </row>
    <row r="170" spans="2:26">
      <c r="B170"/>
      <c r="D170"/>
      <c r="E170"/>
      <c r="F170"/>
      <c r="G170"/>
      <c r="H170"/>
      <c r="I170"/>
      <c r="J170"/>
      <c r="K170"/>
      <c r="L170"/>
      <c r="M170"/>
      <c r="N170"/>
      <c r="O170"/>
      <c r="P170"/>
      <c r="R170"/>
      <c r="S170"/>
      <c r="T170"/>
      <c r="U170"/>
      <c r="V170"/>
      <c r="W170"/>
      <c r="X170"/>
      <c r="Y170"/>
      <c r="Z170"/>
    </row>
    <row r="171" spans="2:26">
      <c r="B171"/>
      <c r="D171"/>
      <c r="E171"/>
      <c r="F171"/>
      <c r="G171"/>
      <c r="H171"/>
      <c r="I171"/>
      <c r="J171"/>
      <c r="K171"/>
      <c r="L171"/>
      <c r="M171"/>
      <c r="N171"/>
      <c r="O171"/>
      <c r="P171"/>
      <c r="R171"/>
      <c r="S171"/>
      <c r="T171"/>
      <c r="U171"/>
      <c r="V171"/>
      <c r="W171"/>
      <c r="X171"/>
      <c r="Y171"/>
      <c r="Z171"/>
    </row>
    <row r="172" spans="2:26">
      <c r="B172"/>
      <c r="D172"/>
      <c r="E172"/>
      <c r="F172"/>
      <c r="G172"/>
      <c r="H172"/>
      <c r="I172"/>
      <c r="J172"/>
      <c r="K172"/>
      <c r="L172"/>
      <c r="M172"/>
      <c r="N172"/>
      <c r="O172"/>
      <c r="P172"/>
      <c r="R172"/>
      <c r="S172"/>
      <c r="T172"/>
      <c r="U172"/>
      <c r="V172"/>
      <c r="W172"/>
      <c r="X172"/>
      <c r="Y172"/>
      <c r="Z172"/>
    </row>
    <row r="173" spans="2:26">
      <c r="B173"/>
      <c r="D173"/>
      <c r="E173"/>
      <c r="F173"/>
      <c r="G173"/>
      <c r="H173"/>
      <c r="I173"/>
      <c r="J173"/>
      <c r="K173"/>
      <c r="L173"/>
      <c r="M173"/>
      <c r="N173"/>
      <c r="O173"/>
      <c r="P173"/>
      <c r="R173"/>
      <c r="S173"/>
      <c r="T173"/>
      <c r="U173"/>
      <c r="V173"/>
      <c r="W173"/>
      <c r="X173"/>
      <c r="Y173"/>
      <c r="Z173"/>
    </row>
    <row r="174" spans="2:26">
      <c r="B174"/>
      <c r="D174"/>
      <c r="E174"/>
      <c r="F174"/>
      <c r="G174"/>
      <c r="H174"/>
      <c r="I174"/>
      <c r="J174"/>
      <c r="K174"/>
      <c r="L174"/>
      <c r="M174"/>
      <c r="N174"/>
      <c r="O174"/>
      <c r="P174"/>
      <c r="R174"/>
      <c r="S174"/>
      <c r="T174"/>
      <c r="U174"/>
      <c r="V174"/>
      <c r="W174"/>
      <c r="X174"/>
      <c r="Y174"/>
      <c r="Z174"/>
    </row>
    <row r="175" spans="2:26">
      <c r="B175"/>
      <c r="D175"/>
      <c r="E175"/>
      <c r="F175"/>
      <c r="G175"/>
      <c r="H175"/>
      <c r="I175"/>
      <c r="J175"/>
      <c r="K175"/>
      <c r="L175"/>
      <c r="M175"/>
      <c r="N175"/>
      <c r="O175"/>
      <c r="P175"/>
      <c r="R175"/>
      <c r="S175"/>
      <c r="T175"/>
      <c r="U175"/>
      <c r="V175"/>
      <c r="W175"/>
      <c r="X175"/>
      <c r="Y175"/>
      <c r="Z175"/>
    </row>
    <row r="176" spans="2:26">
      <c r="B176"/>
      <c r="D176"/>
      <c r="E176"/>
      <c r="F176"/>
      <c r="G176"/>
      <c r="H176"/>
      <c r="I176"/>
      <c r="J176"/>
      <c r="K176"/>
      <c r="L176"/>
      <c r="M176"/>
      <c r="N176"/>
      <c r="O176"/>
      <c r="P176"/>
      <c r="R176"/>
      <c r="S176"/>
      <c r="T176"/>
      <c r="U176"/>
      <c r="V176"/>
      <c r="W176"/>
      <c r="X176"/>
      <c r="Y176"/>
      <c r="Z176"/>
    </row>
    <row r="177" spans="2:26">
      <c r="B177"/>
      <c r="D177"/>
      <c r="E177"/>
      <c r="F177"/>
      <c r="G177"/>
      <c r="H177"/>
      <c r="I177"/>
      <c r="J177"/>
      <c r="K177"/>
      <c r="L177"/>
      <c r="M177"/>
      <c r="N177"/>
      <c r="O177"/>
      <c r="P177"/>
      <c r="R177"/>
      <c r="S177"/>
      <c r="T177"/>
      <c r="U177"/>
      <c r="V177"/>
      <c r="W177"/>
      <c r="X177"/>
      <c r="Y177"/>
      <c r="Z177"/>
    </row>
    <row r="178" spans="2:26">
      <c r="B178"/>
      <c r="D178"/>
      <c r="E178"/>
      <c r="F178"/>
      <c r="G178"/>
      <c r="H178"/>
      <c r="I178"/>
      <c r="J178"/>
      <c r="K178"/>
      <c r="L178"/>
      <c r="M178"/>
      <c r="N178"/>
      <c r="O178"/>
      <c r="P178"/>
      <c r="R178"/>
      <c r="S178"/>
      <c r="T178"/>
      <c r="U178"/>
      <c r="V178"/>
      <c r="W178"/>
      <c r="X178"/>
      <c r="Y178"/>
      <c r="Z178"/>
    </row>
    <row r="179" spans="2:26">
      <c r="B179"/>
      <c r="D179"/>
      <c r="E179"/>
      <c r="F179"/>
      <c r="G179"/>
      <c r="H179"/>
      <c r="I179"/>
      <c r="J179"/>
      <c r="K179"/>
      <c r="L179"/>
      <c r="M179"/>
      <c r="N179"/>
      <c r="O179"/>
      <c r="P179"/>
      <c r="R179"/>
      <c r="S179"/>
      <c r="T179"/>
      <c r="U179"/>
      <c r="V179"/>
      <c r="W179"/>
      <c r="X179"/>
      <c r="Y179"/>
      <c r="Z179"/>
    </row>
    <row r="180" spans="2:26">
      <c r="B180"/>
      <c r="D180"/>
      <c r="E180"/>
      <c r="F180"/>
      <c r="G180"/>
      <c r="H180"/>
      <c r="I180"/>
      <c r="J180"/>
      <c r="K180"/>
      <c r="L180"/>
      <c r="M180"/>
      <c r="N180"/>
      <c r="O180"/>
      <c r="P180"/>
      <c r="R180"/>
      <c r="S180"/>
      <c r="T180"/>
      <c r="U180"/>
      <c r="V180"/>
      <c r="W180"/>
      <c r="X180"/>
      <c r="Y180"/>
      <c r="Z180"/>
    </row>
    <row r="181" spans="2:26">
      <c r="B181"/>
      <c r="D181"/>
      <c r="E181"/>
      <c r="F181"/>
      <c r="G181"/>
      <c r="H181"/>
      <c r="I181"/>
      <c r="J181"/>
      <c r="K181"/>
      <c r="L181"/>
      <c r="M181"/>
      <c r="N181"/>
      <c r="O181"/>
      <c r="P181"/>
      <c r="R181"/>
      <c r="S181"/>
      <c r="T181"/>
      <c r="U181"/>
      <c r="V181"/>
      <c r="W181"/>
      <c r="X181"/>
      <c r="Y181"/>
      <c r="Z181"/>
    </row>
    <row r="182" spans="2:26">
      <c r="B182"/>
      <c r="D182"/>
      <c r="E182"/>
      <c r="F182"/>
      <c r="G182"/>
      <c r="H182"/>
      <c r="I182"/>
      <c r="J182"/>
      <c r="K182"/>
      <c r="L182"/>
      <c r="M182"/>
      <c r="N182"/>
      <c r="O182"/>
      <c r="P182"/>
      <c r="R182"/>
      <c r="S182"/>
      <c r="T182"/>
      <c r="U182"/>
      <c r="V182"/>
      <c r="W182"/>
      <c r="X182"/>
      <c r="Y182"/>
      <c r="Z182"/>
    </row>
    <row r="183" spans="2:26">
      <c r="B183"/>
      <c r="D183"/>
      <c r="E183"/>
      <c r="F183"/>
      <c r="G183"/>
      <c r="H183"/>
      <c r="I183"/>
      <c r="J183"/>
      <c r="K183"/>
      <c r="L183"/>
      <c r="M183"/>
      <c r="N183"/>
      <c r="O183"/>
      <c r="P183"/>
      <c r="R183"/>
      <c r="S183"/>
      <c r="T183"/>
      <c r="U183"/>
      <c r="V183"/>
      <c r="W183"/>
      <c r="X183"/>
      <c r="Y183"/>
      <c r="Z183"/>
    </row>
    <row r="184" spans="2:26">
      <c r="B184"/>
      <c r="D184"/>
      <c r="E184"/>
      <c r="F184"/>
      <c r="G184"/>
      <c r="H184"/>
      <c r="I184"/>
      <c r="J184"/>
      <c r="K184"/>
      <c r="L184"/>
      <c r="M184"/>
      <c r="N184"/>
      <c r="O184"/>
      <c r="P184"/>
      <c r="R184"/>
      <c r="S184"/>
      <c r="T184"/>
      <c r="U184"/>
      <c r="V184"/>
      <c r="W184"/>
      <c r="X184"/>
      <c r="Y184"/>
      <c r="Z184"/>
    </row>
    <row r="185" spans="2:26">
      <c r="B185"/>
      <c r="D185"/>
      <c r="E185"/>
      <c r="F185"/>
      <c r="G185"/>
      <c r="H185"/>
      <c r="I185"/>
      <c r="J185"/>
      <c r="K185"/>
      <c r="L185"/>
      <c r="M185"/>
      <c r="N185"/>
      <c r="O185"/>
      <c r="P185"/>
      <c r="R185"/>
      <c r="S185"/>
      <c r="T185"/>
      <c r="U185"/>
      <c r="V185"/>
      <c r="W185"/>
      <c r="X185"/>
      <c r="Y185"/>
      <c r="Z185"/>
    </row>
    <row r="186" spans="2:26">
      <c r="B186"/>
      <c r="D186"/>
      <c r="E186"/>
      <c r="F186"/>
      <c r="G186"/>
      <c r="H186"/>
      <c r="I186"/>
      <c r="J186"/>
      <c r="K186"/>
      <c r="L186"/>
      <c r="M186"/>
      <c r="N186"/>
      <c r="O186"/>
      <c r="P186"/>
      <c r="R186"/>
      <c r="S186"/>
      <c r="T186"/>
      <c r="U186"/>
      <c r="V186"/>
      <c r="W186"/>
      <c r="X186"/>
      <c r="Y186"/>
      <c r="Z186"/>
    </row>
    <row r="187" spans="2:26">
      <c r="B187"/>
      <c r="D187"/>
      <c r="E187"/>
      <c r="F187"/>
      <c r="G187"/>
      <c r="H187"/>
      <c r="I187"/>
      <c r="J187"/>
      <c r="K187"/>
      <c r="L187"/>
      <c r="M187"/>
      <c r="N187"/>
      <c r="O187"/>
      <c r="P187"/>
      <c r="R187"/>
      <c r="S187"/>
      <c r="T187"/>
      <c r="U187"/>
      <c r="V187"/>
      <c r="W187"/>
      <c r="X187"/>
      <c r="Y187"/>
      <c r="Z187"/>
    </row>
    <row r="188" spans="2:26">
      <c r="B188"/>
      <c r="D188"/>
      <c r="E188"/>
      <c r="F188"/>
      <c r="G188"/>
      <c r="H188"/>
      <c r="I188"/>
      <c r="J188"/>
      <c r="K188"/>
      <c r="L188"/>
      <c r="M188"/>
      <c r="N188"/>
      <c r="O188"/>
      <c r="P188"/>
      <c r="R188"/>
      <c r="S188"/>
      <c r="T188"/>
      <c r="U188"/>
      <c r="V188"/>
      <c r="W188"/>
      <c r="X188"/>
      <c r="Y188"/>
      <c r="Z188"/>
    </row>
    <row r="189" spans="2:26">
      <c r="B189"/>
      <c r="D189"/>
      <c r="E189"/>
      <c r="F189"/>
      <c r="G189"/>
      <c r="H189"/>
      <c r="I189"/>
      <c r="J189"/>
      <c r="K189"/>
      <c r="L189"/>
      <c r="M189"/>
      <c r="N189"/>
      <c r="O189"/>
      <c r="P189"/>
      <c r="R189"/>
      <c r="S189"/>
      <c r="T189"/>
      <c r="U189"/>
      <c r="V189"/>
      <c r="W189"/>
      <c r="X189"/>
      <c r="Y189"/>
      <c r="Z189"/>
    </row>
    <row r="190" spans="2:26">
      <c r="B190"/>
      <c r="D190"/>
      <c r="E190"/>
      <c r="F190"/>
      <c r="G190"/>
      <c r="H190"/>
      <c r="I190"/>
      <c r="J190"/>
      <c r="K190"/>
      <c r="L190"/>
      <c r="M190"/>
      <c r="N190"/>
      <c r="O190"/>
      <c r="P190"/>
      <c r="R190"/>
      <c r="S190"/>
      <c r="T190"/>
      <c r="U190"/>
      <c r="V190"/>
      <c r="W190"/>
      <c r="X190"/>
      <c r="Y190"/>
      <c r="Z190"/>
    </row>
    <row r="191" spans="2:26">
      <c r="B191"/>
      <c r="D191"/>
      <c r="E191"/>
      <c r="F191"/>
      <c r="G191"/>
      <c r="H191"/>
      <c r="I191"/>
      <c r="J191"/>
      <c r="K191"/>
      <c r="L191"/>
      <c r="M191"/>
      <c r="N191"/>
      <c r="O191"/>
      <c r="P191"/>
      <c r="R191"/>
      <c r="S191"/>
      <c r="T191"/>
      <c r="U191"/>
      <c r="V191"/>
      <c r="W191"/>
      <c r="X191"/>
      <c r="Y191"/>
      <c r="Z191"/>
    </row>
    <row r="192" spans="2:26">
      <c r="B192"/>
      <c r="D192"/>
      <c r="E192"/>
      <c r="F192"/>
      <c r="G192"/>
      <c r="H192"/>
      <c r="I192"/>
      <c r="J192"/>
      <c r="K192"/>
      <c r="L192"/>
      <c r="M192"/>
      <c r="N192"/>
      <c r="O192"/>
      <c r="P192"/>
      <c r="R192"/>
      <c r="S192"/>
      <c r="T192"/>
      <c r="U192"/>
      <c r="V192"/>
      <c r="W192"/>
      <c r="X192"/>
      <c r="Y192"/>
      <c r="Z192"/>
    </row>
    <row r="193" spans="2:26">
      <c r="B193"/>
      <c r="D193"/>
      <c r="E193"/>
      <c r="F193"/>
      <c r="G193"/>
      <c r="H193"/>
      <c r="I193"/>
      <c r="J193"/>
      <c r="K193"/>
      <c r="L193"/>
      <c r="M193"/>
      <c r="N193"/>
      <c r="O193"/>
      <c r="P193"/>
      <c r="R193"/>
      <c r="S193"/>
      <c r="T193"/>
      <c r="U193"/>
      <c r="V193"/>
      <c r="W193"/>
      <c r="X193"/>
      <c r="Y193"/>
      <c r="Z193"/>
    </row>
    <row r="194" spans="2:26">
      <c r="B194"/>
      <c r="D194"/>
      <c r="E194"/>
      <c r="F194"/>
      <c r="G194"/>
      <c r="H194"/>
      <c r="I194"/>
      <c r="J194"/>
      <c r="K194"/>
      <c r="L194"/>
      <c r="M194"/>
      <c r="N194"/>
      <c r="O194"/>
      <c r="P194"/>
      <c r="R194"/>
      <c r="S194"/>
      <c r="T194"/>
      <c r="U194"/>
      <c r="V194"/>
      <c r="W194"/>
      <c r="X194"/>
      <c r="Y194"/>
      <c r="Z194"/>
    </row>
    <row r="195" spans="2:26">
      <c r="B195"/>
      <c r="D195"/>
      <c r="E195"/>
      <c r="F195"/>
      <c r="G195"/>
      <c r="H195"/>
      <c r="I195"/>
      <c r="J195"/>
      <c r="K195"/>
      <c r="L195"/>
      <c r="M195"/>
      <c r="N195"/>
      <c r="O195"/>
      <c r="P195"/>
      <c r="R195"/>
      <c r="S195"/>
      <c r="T195"/>
      <c r="U195"/>
      <c r="V195"/>
      <c r="W195"/>
      <c r="X195"/>
      <c r="Y195"/>
      <c r="Z195"/>
    </row>
    <row r="196" spans="2:26">
      <c r="B196"/>
      <c r="D196"/>
      <c r="E196"/>
      <c r="F196"/>
      <c r="G196"/>
      <c r="H196"/>
      <c r="I196"/>
      <c r="J196"/>
      <c r="K196"/>
      <c r="L196"/>
      <c r="M196"/>
      <c r="N196"/>
      <c r="O196"/>
      <c r="P196"/>
      <c r="R196"/>
      <c r="S196"/>
      <c r="T196"/>
      <c r="U196"/>
      <c r="V196"/>
      <c r="W196"/>
      <c r="X196"/>
      <c r="Y196"/>
      <c r="Z196"/>
    </row>
    <row r="197" spans="2:26">
      <c r="B197"/>
      <c r="D197"/>
      <c r="E197"/>
      <c r="F197"/>
      <c r="G197"/>
      <c r="H197"/>
      <c r="I197"/>
      <c r="J197"/>
      <c r="K197"/>
      <c r="L197"/>
      <c r="M197"/>
      <c r="N197"/>
      <c r="O197"/>
      <c r="P197"/>
      <c r="R197"/>
      <c r="S197"/>
      <c r="T197"/>
      <c r="U197"/>
      <c r="V197"/>
      <c r="W197"/>
      <c r="X197"/>
      <c r="Y197"/>
      <c r="Z197"/>
    </row>
    <row r="198" spans="2:26">
      <c r="B198"/>
      <c r="D198"/>
      <c r="E198"/>
      <c r="F198"/>
      <c r="G198"/>
      <c r="H198"/>
      <c r="I198"/>
      <c r="J198"/>
      <c r="K198"/>
      <c r="L198"/>
      <c r="M198"/>
      <c r="N198"/>
      <c r="O198"/>
      <c r="P198"/>
      <c r="R198"/>
      <c r="S198"/>
      <c r="T198"/>
      <c r="U198"/>
      <c r="V198"/>
      <c r="W198"/>
      <c r="X198"/>
      <c r="Y198"/>
      <c r="Z198"/>
    </row>
    <row r="199" spans="2:26">
      <c r="B199"/>
      <c r="D199"/>
      <c r="E199"/>
      <c r="F199"/>
      <c r="G199"/>
      <c r="H199"/>
      <c r="I199"/>
      <c r="J199"/>
      <c r="K199"/>
      <c r="L199"/>
      <c r="M199"/>
      <c r="N199"/>
      <c r="O199"/>
      <c r="P199"/>
      <c r="R199"/>
      <c r="S199"/>
      <c r="T199"/>
      <c r="U199"/>
      <c r="V199"/>
      <c r="W199"/>
      <c r="X199"/>
      <c r="Y199"/>
      <c r="Z199"/>
    </row>
    <row r="200" spans="2:26">
      <c r="B200"/>
      <c r="D200"/>
      <c r="E200"/>
      <c r="F200"/>
      <c r="G200"/>
      <c r="H200"/>
      <c r="I200"/>
      <c r="J200"/>
      <c r="K200"/>
      <c r="L200"/>
      <c r="M200"/>
      <c r="N200"/>
      <c r="O200"/>
      <c r="P200"/>
      <c r="R200"/>
      <c r="S200"/>
      <c r="T200"/>
      <c r="U200"/>
      <c r="V200"/>
      <c r="W200"/>
      <c r="X200"/>
      <c r="Y200"/>
      <c r="Z200"/>
    </row>
    <row r="201" spans="2:26">
      <c r="B201"/>
      <c r="D201"/>
      <c r="E201"/>
      <c r="F201"/>
      <c r="G201"/>
      <c r="H201"/>
      <c r="I201"/>
      <c r="J201"/>
      <c r="K201"/>
      <c r="L201"/>
      <c r="M201"/>
      <c r="N201"/>
      <c r="O201"/>
      <c r="P201"/>
      <c r="R201"/>
      <c r="S201"/>
      <c r="T201"/>
      <c r="U201"/>
      <c r="V201"/>
      <c r="W201"/>
      <c r="X201"/>
      <c r="Y201"/>
      <c r="Z201"/>
    </row>
    <row r="202" spans="2:26">
      <c r="B202"/>
      <c r="D202"/>
      <c r="E202"/>
      <c r="F202"/>
      <c r="G202"/>
      <c r="H202"/>
      <c r="I202"/>
      <c r="J202"/>
      <c r="K202"/>
      <c r="L202"/>
      <c r="M202"/>
      <c r="N202"/>
      <c r="O202"/>
      <c r="P202"/>
      <c r="R202"/>
      <c r="S202"/>
      <c r="T202"/>
      <c r="U202"/>
      <c r="V202"/>
      <c r="W202"/>
      <c r="X202"/>
      <c r="Y202"/>
      <c r="Z202"/>
    </row>
    <row r="203" spans="2:26">
      <c r="B203"/>
      <c r="D203"/>
      <c r="E203"/>
      <c r="F203"/>
      <c r="G203"/>
      <c r="H203"/>
      <c r="I203"/>
      <c r="J203"/>
      <c r="K203"/>
      <c r="L203"/>
      <c r="M203"/>
      <c r="N203"/>
      <c r="O203"/>
      <c r="P203"/>
      <c r="R203"/>
      <c r="S203"/>
      <c r="T203"/>
      <c r="U203"/>
      <c r="V203"/>
      <c r="W203"/>
      <c r="X203"/>
      <c r="Y203"/>
      <c r="Z203"/>
    </row>
    <row r="204" spans="2:26">
      <c r="B204"/>
      <c r="D204"/>
      <c r="E204"/>
      <c r="F204"/>
      <c r="G204"/>
      <c r="H204"/>
      <c r="I204"/>
      <c r="J204"/>
      <c r="K204"/>
      <c r="L204"/>
      <c r="M204"/>
      <c r="N204"/>
      <c r="O204"/>
      <c r="P204"/>
      <c r="R204"/>
      <c r="S204"/>
      <c r="T204"/>
      <c r="U204"/>
      <c r="V204"/>
      <c r="W204"/>
      <c r="X204"/>
      <c r="Y204"/>
      <c r="Z204"/>
    </row>
    <row r="205" spans="2:26">
      <c r="B205"/>
      <c r="D205"/>
      <c r="E205"/>
      <c r="F205"/>
      <c r="G205"/>
      <c r="H205"/>
      <c r="I205"/>
      <c r="J205"/>
      <c r="K205"/>
      <c r="L205"/>
      <c r="M205"/>
      <c r="N205"/>
      <c r="O205"/>
      <c r="P205"/>
      <c r="R205"/>
      <c r="S205"/>
      <c r="T205"/>
      <c r="U205"/>
      <c r="V205"/>
      <c r="W205"/>
      <c r="X205"/>
      <c r="Y205"/>
      <c r="Z205"/>
    </row>
    <row r="206" spans="2:26">
      <c r="B206"/>
      <c r="D206"/>
      <c r="E206"/>
      <c r="F206"/>
      <c r="G206"/>
      <c r="H206"/>
      <c r="I206"/>
      <c r="J206"/>
      <c r="K206"/>
      <c r="L206"/>
      <c r="M206"/>
      <c r="N206"/>
      <c r="O206"/>
      <c r="P206"/>
      <c r="R206"/>
      <c r="S206"/>
      <c r="T206"/>
      <c r="U206"/>
      <c r="V206"/>
      <c r="W206"/>
      <c r="X206"/>
      <c r="Y206"/>
      <c r="Z206"/>
    </row>
    <row r="207" spans="2:26">
      <c r="B207"/>
      <c r="D207"/>
      <c r="E207"/>
      <c r="F207"/>
      <c r="G207"/>
      <c r="H207"/>
      <c r="I207"/>
      <c r="J207"/>
      <c r="K207"/>
      <c r="L207"/>
      <c r="M207"/>
      <c r="N207"/>
      <c r="O207"/>
      <c r="P207"/>
      <c r="R207"/>
      <c r="S207"/>
      <c r="T207"/>
      <c r="U207"/>
      <c r="V207"/>
      <c r="W207"/>
      <c r="X207"/>
      <c r="Y207"/>
      <c r="Z207"/>
    </row>
    <row r="208" spans="2:26">
      <c r="B208"/>
      <c r="D208"/>
      <c r="E208"/>
      <c r="F208"/>
      <c r="G208"/>
      <c r="H208"/>
      <c r="I208"/>
      <c r="J208"/>
      <c r="K208"/>
      <c r="L208"/>
      <c r="M208"/>
      <c r="N208"/>
      <c r="O208"/>
      <c r="P208"/>
      <c r="R208"/>
      <c r="S208"/>
      <c r="T208"/>
      <c r="U208"/>
      <c r="V208"/>
      <c r="W208"/>
      <c r="X208"/>
      <c r="Y208"/>
      <c r="Z208"/>
    </row>
    <row r="209" spans="2:26">
      <c r="B209"/>
      <c r="D209"/>
      <c r="E209"/>
      <c r="F209"/>
      <c r="G209"/>
      <c r="H209"/>
      <c r="I209"/>
      <c r="J209"/>
      <c r="K209"/>
      <c r="L209"/>
      <c r="M209"/>
      <c r="N209"/>
      <c r="O209"/>
      <c r="P209"/>
      <c r="R209"/>
      <c r="S209"/>
      <c r="T209"/>
      <c r="U209"/>
      <c r="V209"/>
      <c r="W209"/>
      <c r="X209"/>
      <c r="Y209"/>
      <c r="Z209"/>
    </row>
    <row r="210" spans="2:26">
      <c r="B210"/>
      <c r="D210"/>
      <c r="E210"/>
      <c r="F210"/>
      <c r="G210"/>
      <c r="H210"/>
      <c r="I210"/>
      <c r="J210"/>
      <c r="K210"/>
      <c r="L210"/>
      <c r="M210"/>
      <c r="N210"/>
      <c r="O210"/>
      <c r="P210"/>
      <c r="R210"/>
      <c r="S210"/>
      <c r="T210"/>
      <c r="U210"/>
      <c r="V210"/>
      <c r="W210"/>
      <c r="X210"/>
      <c r="Y210"/>
      <c r="Z210"/>
    </row>
    <row r="211" spans="2:26">
      <c r="B211"/>
      <c r="D211"/>
      <c r="E211"/>
      <c r="F211"/>
      <c r="G211"/>
      <c r="H211"/>
      <c r="I211"/>
      <c r="J211"/>
      <c r="K211"/>
      <c r="L211"/>
      <c r="M211"/>
      <c r="N211"/>
      <c r="O211"/>
      <c r="P211"/>
      <c r="R211"/>
      <c r="S211"/>
      <c r="T211"/>
      <c r="U211"/>
      <c r="V211"/>
      <c r="W211"/>
      <c r="X211"/>
      <c r="Y211"/>
      <c r="Z211"/>
    </row>
    <row r="212" spans="2:26">
      <c r="B212"/>
      <c r="D212"/>
      <c r="E212"/>
      <c r="F212"/>
      <c r="G212"/>
      <c r="H212"/>
      <c r="I212"/>
      <c r="J212"/>
      <c r="K212"/>
      <c r="L212"/>
      <c r="M212"/>
      <c r="N212"/>
      <c r="O212"/>
      <c r="P212"/>
      <c r="R212"/>
      <c r="S212"/>
      <c r="T212"/>
      <c r="U212"/>
      <c r="V212"/>
      <c r="W212"/>
      <c r="X212"/>
      <c r="Y212"/>
      <c r="Z212"/>
    </row>
    <row r="213" spans="2:26">
      <c r="B213"/>
      <c r="D213"/>
      <c r="E213"/>
      <c r="F213"/>
      <c r="G213"/>
      <c r="H213"/>
      <c r="I213"/>
      <c r="J213"/>
      <c r="K213"/>
      <c r="L213"/>
      <c r="M213"/>
      <c r="N213"/>
      <c r="O213"/>
      <c r="P213"/>
      <c r="R213"/>
      <c r="S213"/>
      <c r="T213"/>
      <c r="U213"/>
      <c r="V213"/>
      <c r="W213"/>
      <c r="X213"/>
      <c r="Y213"/>
      <c r="Z213"/>
    </row>
    <row r="214" spans="2:26">
      <c r="B214"/>
      <c r="D214"/>
      <c r="E214"/>
      <c r="F214"/>
      <c r="G214"/>
      <c r="H214"/>
      <c r="I214"/>
      <c r="J214"/>
      <c r="K214"/>
      <c r="L214"/>
      <c r="M214"/>
      <c r="N214"/>
      <c r="O214"/>
      <c r="P214"/>
      <c r="R214"/>
      <c r="S214"/>
      <c r="T214"/>
      <c r="U214"/>
      <c r="V214"/>
      <c r="W214"/>
      <c r="X214"/>
      <c r="Y214"/>
      <c r="Z214"/>
    </row>
    <row r="215" spans="2:26">
      <c r="B215"/>
      <c r="D215"/>
      <c r="E215"/>
      <c r="F215"/>
      <c r="G215"/>
      <c r="H215"/>
      <c r="I215"/>
      <c r="J215"/>
      <c r="K215"/>
      <c r="L215"/>
      <c r="M215"/>
      <c r="N215"/>
      <c r="O215"/>
      <c r="P215"/>
      <c r="R215"/>
      <c r="S215"/>
      <c r="T215"/>
      <c r="U215"/>
      <c r="V215"/>
      <c r="W215"/>
      <c r="X215"/>
      <c r="Y215"/>
      <c r="Z215"/>
    </row>
    <row r="216" spans="2:26">
      <c r="B216"/>
      <c r="D216"/>
      <c r="E216"/>
      <c r="F216"/>
      <c r="G216"/>
      <c r="H216"/>
      <c r="I216"/>
      <c r="J216"/>
      <c r="K216"/>
      <c r="L216"/>
      <c r="M216"/>
      <c r="N216"/>
      <c r="O216"/>
      <c r="P216"/>
      <c r="R216"/>
      <c r="S216"/>
      <c r="T216"/>
      <c r="U216"/>
      <c r="V216"/>
      <c r="W216"/>
      <c r="X216"/>
      <c r="Y216"/>
      <c r="Z216"/>
    </row>
    <row r="217" spans="2:26">
      <c r="B217"/>
      <c r="D217"/>
      <c r="E217"/>
      <c r="F217"/>
      <c r="G217"/>
      <c r="H217"/>
      <c r="I217"/>
      <c r="J217"/>
      <c r="K217"/>
      <c r="L217"/>
      <c r="M217"/>
      <c r="N217"/>
      <c r="O217"/>
      <c r="P217"/>
      <c r="R217"/>
      <c r="S217"/>
      <c r="T217"/>
      <c r="U217"/>
      <c r="V217"/>
      <c r="W217"/>
      <c r="X217"/>
      <c r="Y217"/>
      <c r="Z217"/>
    </row>
    <row r="218" spans="2:26">
      <c r="B218"/>
      <c r="D218"/>
      <c r="E218"/>
      <c r="F218"/>
      <c r="G218"/>
      <c r="H218"/>
      <c r="I218"/>
      <c r="J218"/>
      <c r="K218"/>
      <c r="L218"/>
      <c r="M218"/>
      <c r="N218"/>
      <c r="O218"/>
      <c r="P218"/>
      <c r="R218"/>
      <c r="S218"/>
      <c r="T218"/>
      <c r="U218"/>
      <c r="V218"/>
      <c r="W218"/>
      <c r="X218"/>
      <c r="Y218"/>
      <c r="Z218"/>
    </row>
    <row r="219" spans="2:26">
      <c r="B219"/>
      <c r="D219"/>
      <c r="E219"/>
      <c r="F219"/>
      <c r="G219"/>
      <c r="H219"/>
      <c r="I219"/>
      <c r="J219"/>
      <c r="K219"/>
      <c r="L219"/>
      <c r="M219"/>
      <c r="N219"/>
      <c r="O219"/>
      <c r="P219"/>
      <c r="R219"/>
      <c r="S219"/>
      <c r="T219"/>
      <c r="U219"/>
      <c r="V219"/>
      <c r="W219"/>
      <c r="X219"/>
      <c r="Y219"/>
      <c r="Z219"/>
    </row>
    <row r="220" spans="2:26">
      <c r="B220"/>
      <c r="D220"/>
      <c r="E220"/>
      <c r="F220"/>
      <c r="G220"/>
      <c r="H220"/>
      <c r="I220"/>
      <c r="J220"/>
      <c r="K220"/>
      <c r="L220"/>
      <c r="M220"/>
      <c r="N220"/>
      <c r="O220"/>
      <c r="P220"/>
      <c r="R220"/>
      <c r="S220"/>
      <c r="T220"/>
      <c r="U220"/>
      <c r="V220"/>
      <c r="W220"/>
      <c r="X220"/>
      <c r="Y220"/>
      <c r="Z220"/>
    </row>
    <row r="221" spans="2:26">
      <c r="B221"/>
      <c r="D221"/>
      <c r="E221"/>
      <c r="F221"/>
      <c r="G221"/>
      <c r="H221"/>
      <c r="I221"/>
      <c r="J221"/>
      <c r="K221"/>
      <c r="L221"/>
      <c r="M221"/>
      <c r="N221"/>
      <c r="O221"/>
      <c r="P221"/>
      <c r="R221"/>
      <c r="S221"/>
      <c r="T221"/>
      <c r="U221"/>
      <c r="V221"/>
      <c r="W221"/>
      <c r="X221"/>
      <c r="Y221"/>
      <c r="Z221"/>
    </row>
    <row r="222" spans="2:26">
      <c r="B222"/>
      <c r="D222"/>
      <c r="E222"/>
      <c r="F222"/>
      <c r="G222"/>
      <c r="H222"/>
      <c r="I222"/>
      <c r="J222"/>
      <c r="K222"/>
      <c r="L222"/>
      <c r="M222"/>
      <c r="N222"/>
      <c r="O222"/>
      <c r="P222"/>
      <c r="R222"/>
      <c r="S222"/>
      <c r="T222"/>
      <c r="U222"/>
      <c r="V222"/>
      <c r="W222"/>
      <c r="X222"/>
      <c r="Y222"/>
      <c r="Z222"/>
    </row>
    <row r="223" spans="2:26">
      <c r="B223"/>
      <c r="D223"/>
      <c r="E223"/>
      <c r="F223"/>
      <c r="G223"/>
      <c r="H223"/>
      <c r="I223"/>
      <c r="J223"/>
      <c r="K223"/>
      <c r="L223"/>
      <c r="M223"/>
      <c r="N223"/>
      <c r="O223"/>
      <c r="P223"/>
      <c r="R223"/>
      <c r="S223"/>
      <c r="T223"/>
      <c r="U223"/>
      <c r="V223"/>
      <c r="W223"/>
      <c r="X223"/>
      <c r="Y223"/>
      <c r="Z223"/>
    </row>
    <row r="224" spans="2:26">
      <c r="B224"/>
      <c r="D224"/>
      <c r="E224"/>
      <c r="F224"/>
      <c r="G224"/>
      <c r="H224"/>
      <c r="I224"/>
      <c r="J224"/>
      <c r="K224"/>
      <c r="L224"/>
      <c r="M224"/>
      <c r="N224"/>
      <c r="O224"/>
      <c r="P224"/>
      <c r="R224"/>
      <c r="S224"/>
      <c r="T224"/>
      <c r="U224"/>
      <c r="V224"/>
      <c r="W224"/>
      <c r="X224"/>
      <c r="Y224"/>
      <c r="Z224"/>
    </row>
    <row r="225" spans="2:26">
      <c r="B225"/>
      <c r="D225"/>
      <c r="E225"/>
      <c r="F225"/>
      <c r="G225"/>
      <c r="H225"/>
      <c r="I225"/>
      <c r="J225"/>
      <c r="K225"/>
      <c r="L225"/>
      <c r="M225"/>
      <c r="N225"/>
      <c r="O225"/>
      <c r="P225"/>
      <c r="R225"/>
      <c r="S225"/>
      <c r="T225"/>
      <c r="U225"/>
      <c r="V225"/>
      <c r="W225"/>
      <c r="X225"/>
      <c r="Y225"/>
      <c r="Z225"/>
    </row>
    <row r="226" spans="2:26">
      <c r="B226"/>
      <c r="D226"/>
      <c r="E226"/>
      <c r="F226"/>
      <c r="G226"/>
      <c r="H226"/>
      <c r="I226"/>
      <c r="J226"/>
      <c r="K226"/>
      <c r="L226"/>
      <c r="M226"/>
      <c r="N226"/>
      <c r="O226"/>
      <c r="P226"/>
      <c r="R226"/>
      <c r="S226"/>
      <c r="T226"/>
      <c r="U226"/>
      <c r="V226"/>
      <c r="W226"/>
      <c r="X226"/>
      <c r="Y226"/>
      <c r="Z226"/>
    </row>
    <row r="227" spans="2:26">
      <c r="B227"/>
      <c r="D227"/>
      <c r="E227"/>
      <c r="F227"/>
      <c r="G227"/>
      <c r="H227"/>
      <c r="I227"/>
      <c r="J227"/>
      <c r="K227"/>
      <c r="L227"/>
      <c r="M227"/>
      <c r="N227"/>
      <c r="O227"/>
      <c r="P227"/>
      <c r="R227"/>
      <c r="S227"/>
      <c r="T227"/>
      <c r="U227"/>
      <c r="V227"/>
      <c r="W227"/>
      <c r="X227"/>
      <c r="Y227"/>
      <c r="Z227"/>
    </row>
    <row r="228" spans="2:26">
      <c r="B228"/>
      <c r="D228"/>
      <c r="E228"/>
      <c r="F228"/>
      <c r="G228"/>
      <c r="H228"/>
      <c r="I228"/>
      <c r="J228"/>
      <c r="K228"/>
      <c r="L228"/>
      <c r="M228"/>
      <c r="N228"/>
      <c r="O228"/>
      <c r="P228"/>
      <c r="R228"/>
      <c r="S228"/>
      <c r="T228"/>
      <c r="U228"/>
      <c r="V228"/>
      <c r="W228"/>
      <c r="X228"/>
      <c r="Y228"/>
      <c r="Z228"/>
    </row>
    <row r="229" spans="2:26">
      <c r="B229"/>
      <c r="D229"/>
      <c r="E229"/>
      <c r="F229"/>
      <c r="G229"/>
      <c r="H229"/>
      <c r="I229"/>
      <c r="J229"/>
      <c r="K229"/>
      <c r="L229"/>
      <c r="M229"/>
      <c r="N229"/>
      <c r="O229"/>
      <c r="P229"/>
      <c r="R229"/>
      <c r="S229"/>
      <c r="T229"/>
      <c r="U229"/>
      <c r="V229"/>
      <c r="W229"/>
      <c r="X229"/>
      <c r="Y229"/>
      <c r="Z229"/>
    </row>
    <row r="230" spans="2:26">
      <c r="B230"/>
      <c r="D230"/>
      <c r="E230"/>
      <c r="F230"/>
      <c r="G230"/>
      <c r="H230"/>
      <c r="I230"/>
      <c r="J230"/>
      <c r="K230"/>
      <c r="L230"/>
      <c r="M230"/>
      <c r="N230"/>
      <c r="O230"/>
      <c r="P230"/>
      <c r="R230"/>
      <c r="S230"/>
      <c r="T230"/>
      <c r="U230"/>
      <c r="V230"/>
      <c r="W230"/>
      <c r="X230"/>
      <c r="Y230"/>
      <c r="Z230"/>
    </row>
    <row r="231" spans="2:26">
      <c r="B231"/>
      <c r="D231"/>
      <c r="E231"/>
      <c r="F231"/>
      <c r="G231"/>
      <c r="H231"/>
      <c r="I231"/>
      <c r="J231"/>
      <c r="K231"/>
      <c r="L231"/>
      <c r="M231"/>
      <c r="N231"/>
      <c r="O231"/>
      <c r="P231"/>
      <c r="R231"/>
      <c r="S231"/>
      <c r="T231"/>
      <c r="U231"/>
      <c r="V231"/>
      <c r="W231"/>
      <c r="X231"/>
      <c r="Y231"/>
      <c r="Z231"/>
    </row>
    <row r="232" spans="2:26">
      <c r="B232"/>
      <c r="D232"/>
      <c r="E232"/>
      <c r="F232"/>
      <c r="G232"/>
      <c r="H232"/>
      <c r="I232"/>
      <c r="J232"/>
      <c r="K232"/>
      <c r="L232"/>
      <c r="M232"/>
      <c r="N232"/>
      <c r="O232"/>
      <c r="P232"/>
      <c r="R232"/>
      <c r="S232"/>
      <c r="T232"/>
      <c r="U232"/>
      <c r="V232"/>
      <c r="W232"/>
      <c r="X232"/>
      <c r="Y232"/>
      <c r="Z232"/>
    </row>
    <row r="233" spans="2:26">
      <c r="B233"/>
      <c r="D233"/>
      <c r="E233"/>
      <c r="F233"/>
      <c r="G233"/>
      <c r="H233"/>
      <c r="I233"/>
      <c r="J233"/>
      <c r="K233"/>
      <c r="L233"/>
      <c r="M233"/>
      <c r="N233"/>
      <c r="O233"/>
      <c r="P233"/>
      <c r="R233"/>
      <c r="S233"/>
      <c r="T233"/>
      <c r="U233"/>
      <c r="V233"/>
      <c r="W233"/>
      <c r="X233"/>
      <c r="Y233"/>
      <c r="Z233"/>
    </row>
    <row r="234" spans="2:26">
      <c r="B234"/>
      <c r="D234"/>
      <c r="E234"/>
      <c r="F234"/>
      <c r="G234"/>
      <c r="H234"/>
      <c r="I234"/>
      <c r="J234"/>
      <c r="K234"/>
      <c r="L234"/>
      <c r="M234"/>
      <c r="N234"/>
      <c r="O234"/>
      <c r="P234"/>
      <c r="R234"/>
      <c r="S234"/>
      <c r="T234"/>
      <c r="U234"/>
      <c r="V234"/>
      <c r="W234"/>
      <c r="X234"/>
      <c r="Y234"/>
      <c r="Z234"/>
    </row>
    <row r="235" spans="2:26">
      <c r="B235"/>
      <c r="D235"/>
      <c r="E235"/>
      <c r="F235"/>
      <c r="G235"/>
      <c r="H235"/>
      <c r="I235"/>
      <c r="J235"/>
      <c r="K235"/>
      <c r="L235"/>
      <c r="M235"/>
      <c r="N235"/>
      <c r="O235"/>
      <c r="P235"/>
      <c r="R235"/>
      <c r="S235"/>
      <c r="T235"/>
      <c r="U235"/>
      <c r="V235"/>
      <c r="W235"/>
      <c r="X235"/>
      <c r="Y235"/>
      <c r="Z235"/>
    </row>
    <row r="236" spans="2:26">
      <c r="B236"/>
      <c r="D236"/>
      <c r="E236"/>
      <c r="F236"/>
      <c r="G236"/>
      <c r="H236"/>
      <c r="I236"/>
      <c r="J236"/>
      <c r="K236"/>
      <c r="L236"/>
      <c r="M236"/>
      <c r="N236"/>
      <c r="O236"/>
      <c r="P236"/>
      <c r="R236"/>
      <c r="S236"/>
      <c r="T236"/>
      <c r="U236"/>
      <c r="V236"/>
      <c r="W236"/>
      <c r="X236"/>
      <c r="Y236"/>
      <c r="Z236"/>
    </row>
    <row r="237" spans="2:26">
      <c r="B237"/>
      <c r="D237"/>
      <c r="E237"/>
      <c r="F237"/>
      <c r="G237"/>
      <c r="H237"/>
      <c r="I237"/>
      <c r="J237"/>
      <c r="K237"/>
      <c r="L237"/>
      <c r="M237"/>
      <c r="N237"/>
      <c r="O237"/>
      <c r="P237"/>
      <c r="R237"/>
      <c r="S237"/>
      <c r="T237"/>
      <c r="U237"/>
      <c r="V237"/>
      <c r="W237"/>
      <c r="X237"/>
      <c r="Y237"/>
      <c r="Z237"/>
    </row>
    <row r="238" spans="2:26">
      <c r="B238"/>
      <c r="D238"/>
      <c r="E238"/>
      <c r="F238"/>
      <c r="G238"/>
      <c r="H238"/>
      <c r="I238"/>
      <c r="J238"/>
      <c r="K238"/>
      <c r="L238"/>
      <c r="M238"/>
      <c r="N238"/>
      <c r="O238"/>
      <c r="P238"/>
      <c r="R238"/>
      <c r="S238"/>
      <c r="T238"/>
      <c r="U238"/>
      <c r="V238"/>
      <c r="W238"/>
      <c r="X238"/>
      <c r="Y238"/>
      <c r="Z238"/>
    </row>
    <row r="239" spans="2:26">
      <c r="B239"/>
      <c r="D239"/>
      <c r="E239"/>
      <c r="F239"/>
      <c r="G239"/>
      <c r="H239"/>
      <c r="I239"/>
      <c r="J239"/>
      <c r="K239"/>
      <c r="L239"/>
      <c r="M239"/>
      <c r="N239"/>
      <c r="O239"/>
      <c r="P239"/>
      <c r="R239"/>
      <c r="S239"/>
      <c r="T239"/>
      <c r="U239"/>
      <c r="V239"/>
      <c r="W239"/>
      <c r="X239"/>
      <c r="Y239"/>
      <c r="Z239"/>
    </row>
    <row r="240" spans="2:26">
      <c r="B240"/>
      <c r="D240"/>
      <c r="E240"/>
      <c r="F240"/>
      <c r="G240"/>
      <c r="H240"/>
      <c r="I240"/>
      <c r="J240"/>
      <c r="K240"/>
      <c r="L240"/>
      <c r="M240"/>
      <c r="N240"/>
      <c r="O240"/>
      <c r="P240"/>
      <c r="R240"/>
      <c r="S240"/>
      <c r="T240"/>
      <c r="U240"/>
      <c r="V240"/>
      <c r="W240"/>
      <c r="X240"/>
      <c r="Y240"/>
      <c r="Z240"/>
    </row>
    <row r="241" spans="2:26">
      <c r="B241"/>
      <c r="D241"/>
      <c r="E241"/>
      <c r="F241"/>
      <c r="G241"/>
      <c r="H241"/>
      <c r="I241"/>
      <c r="J241"/>
      <c r="K241"/>
      <c r="L241"/>
      <c r="M241"/>
      <c r="N241"/>
      <c r="O241"/>
      <c r="P241"/>
      <c r="R241"/>
      <c r="S241"/>
      <c r="T241"/>
      <c r="U241"/>
      <c r="V241"/>
      <c r="W241"/>
      <c r="X241"/>
      <c r="Y241"/>
      <c r="Z241"/>
    </row>
    <row r="242" spans="2:26">
      <c r="B242"/>
      <c r="D242"/>
      <c r="E242"/>
      <c r="F242"/>
      <c r="G242"/>
      <c r="H242"/>
      <c r="I242"/>
      <c r="J242"/>
      <c r="K242"/>
      <c r="L242"/>
      <c r="M242"/>
      <c r="N242"/>
      <c r="O242"/>
      <c r="P242"/>
      <c r="R242"/>
      <c r="S242"/>
      <c r="T242"/>
      <c r="U242"/>
      <c r="V242"/>
      <c r="W242"/>
      <c r="X242"/>
      <c r="Y242"/>
      <c r="Z242"/>
    </row>
    <row r="243" spans="2:26">
      <c r="B243"/>
      <c r="D243"/>
      <c r="E243"/>
      <c r="F243"/>
      <c r="G243"/>
      <c r="H243"/>
      <c r="I243"/>
      <c r="J243"/>
      <c r="K243"/>
      <c r="L243"/>
      <c r="M243"/>
      <c r="N243"/>
      <c r="O243"/>
      <c r="P243"/>
      <c r="R243"/>
      <c r="S243"/>
      <c r="T243"/>
      <c r="U243"/>
      <c r="V243"/>
      <c r="W243"/>
      <c r="X243"/>
      <c r="Y243"/>
      <c r="Z243"/>
    </row>
    <row r="244" spans="2:26">
      <c r="B244"/>
      <c r="D244"/>
      <c r="E244"/>
      <c r="F244"/>
      <c r="G244"/>
      <c r="H244"/>
      <c r="I244"/>
      <c r="J244"/>
      <c r="K244"/>
      <c r="L244"/>
      <c r="M244"/>
      <c r="N244"/>
      <c r="O244"/>
      <c r="P244"/>
      <c r="R244"/>
      <c r="S244"/>
      <c r="T244"/>
      <c r="U244"/>
      <c r="V244"/>
      <c r="W244"/>
      <c r="X244"/>
      <c r="Y244"/>
      <c r="Z244"/>
    </row>
    <row r="245" spans="2:26">
      <c r="B245"/>
      <c r="D245"/>
      <c r="E245"/>
      <c r="F245"/>
      <c r="G245"/>
      <c r="H245"/>
      <c r="I245"/>
      <c r="J245"/>
      <c r="K245"/>
      <c r="L245"/>
      <c r="M245"/>
      <c r="N245"/>
      <c r="O245"/>
      <c r="P245"/>
      <c r="R245"/>
      <c r="S245"/>
      <c r="T245"/>
      <c r="U245"/>
      <c r="V245"/>
      <c r="W245"/>
      <c r="X245"/>
      <c r="Y245"/>
      <c r="Z245"/>
    </row>
    <row r="246" spans="2:26">
      <c r="B246"/>
      <c r="D246"/>
      <c r="E246"/>
      <c r="F246"/>
      <c r="G246"/>
      <c r="H246"/>
      <c r="I246"/>
      <c r="J246"/>
      <c r="K246"/>
      <c r="L246"/>
      <c r="M246"/>
      <c r="N246"/>
      <c r="O246"/>
      <c r="P246"/>
      <c r="R246"/>
      <c r="S246"/>
      <c r="T246"/>
      <c r="U246"/>
      <c r="V246"/>
      <c r="W246"/>
      <c r="X246"/>
      <c r="Y246"/>
      <c r="Z246"/>
    </row>
    <row r="247" spans="2:26">
      <c r="B247"/>
      <c r="D247"/>
      <c r="E247"/>
      <c r="F247"/>
      <c r="G247"/>
      <c r="H247"/>
      <c r="I247"/>
      <c r="J247"/>
      <c r="K247"/>
      <c r="L247"/>
      <c r="M247"/>
      <c r="N247"/>
      <c r="O247"/>
      <c r="P247"/>
      <c r="R247"/>
      <c r="S247"/>
      <c r="T247"/>
      <c r="U247"/>
      <c r="V247"/>
      <c r="W247"/>
      <c r="X247"/>
      <c r="Y247"/>
      <c r="Z247"/>
    </row>
    <row r="248" spans="2:26">
      <c r="B248"/>
      <c r="D248"/>
      <c r="E248"/>
      <c r="F248"/>
      <c r="G248"/>
      <c r="H248"/>
      <c r="I248"/>
      <c r="J248"/>
      <c r="K248"/>
      <c r="L248"/>
      <c r="M248"/>
      <c r="N248"/>
      <c r="O248"/>
      <c r="P248"/>
      <c r="R248"/>
      <c r="S248"/>
      <c r="T248"/>
      <c r="U248"/>
      <c r="V248"/>
      <c r="W248"/>
      <c r="X248"/>
      <c r="Y248"/>
      <c r="Z248"/>
    </row>
    <row r="249" spans="2:26">
      <c r="B249"/>
      <c r="D249"/>
      <c r="E249"/>
      <c r="F249"/>
      <c r="G249"/>
      <c r="H249"/>
      <c r="I249"/>
      <c r="J249"/>
      <c r="K249"/>
      <c r="L249"/>
      <c r="M249"/>
      <c r="N249"/>
      <c r="O249"/>
      <c r="P249"/>
      <c r="R249"/>
      <c r="S249"/>
      <c r="T249"/>
      <c r="U249"/>
      <c r="V249"/>
      <c r="W249"/>
      <c r="X249"/>
      <c r="Y249"/>
      <c r="Z249"/>
    </row>
    <row r="250" spans="2:26">
      <c r="B250"/>
      <c r="D250"/>
      <c r="E250"/>
      <c r="F250"/>
      <c r="G250"/>
      <c r="H250"/>
      <c r="I250"/>
      <c r="J250"/>
      <c r="K250"/>
      <c r="L250"/>
      <c r="M250"/>
      <c r="N250"/>
      <c r="O250"/>
      <c r="P250"/>
      <c r="R250"/>
      <c r="S250"/>
      <c r="T250"/>
      <c r="U250"/>
      <c r="V250"/>
      <c r="W250"/>
      <c r="X250"/>
      <c r="Y250"/>
      <c r="Z250"/>
    </row>
    <row r="251" spans="2:26">
      <c r="B251"/>
      <c r="D251"/>
      <c r="E251"/>
      <c r="F251"/>
      <c r="G251"/>
      <c r="H251"/>
      <c r="I251"/>
      <c r="J251"/>
      <c r="K251"/>
      <c r="L251"/>
      <c r="M251"/>
      <c r="N251"/>
      <c r="O251"/>
      <c r="P251"/>
      <c r="R251"/>
      <c r="S251"/>
      <c r="T251"/>
      <c r="U251"/>
      <c r="V251"/>
      <c r="W251"/>
      <c r="X251"/>
      <c r="Y251"/>
      <c r="Z251"/>
    </row>
    <row r="252" spans="2:26">
      <c r="B252"/>
      <c r="D252"/>
      <c r="E252"/>
      <c r="F252"/>
      <c r="G252"/>
      <c r="H252"/>
      <c r="I252"/>
      <c r="J252"/>
      <c r="K252"/>
      <c r="L252"/>
      <c r="M252"/>
      <c r="N252"/>
      <c r="O252"/>
      <c r="P252"/>
      <c r="R252"/>
      <c r="S252"/>
      <c r="T252"/>
      <c r="U252"/>
      <c r="V252"/>
      <c r="W252"/>
      <c r="X252"/>
      <c r="Y252"/>
      <c r="Z252"/>
    </row>
    <row r="253" spans="2:26">
      <c r="B253"/>
      <c r="D253"/>
      <c r="E253"/>
      <c r="F253"/>
      <c r="G253"/>
      <c r="H253"/>
      <c r="I253"/>
      <c r="J253"/>
      <c r="K253"/>
      <c r="L253"/>
      <c r="M253"/>
      <c r="N253"/>
      <c r="O253"/>
      <c r="P253"/>
      <c r="R253"/>
      <c r="S253"/>
      <c r="T253"/>
      <c r="U253"/>
      <c r="V253"/>
      <c r="W253"/>
      <c r="X253"/>
      <c r="Y253"/>
      <c r="Z253"/>
    </row>
    <row r="254" spans="2:26">
      <c r="B254"/>
      <c r="D254"/>
      <c r="E254"/>
      <c r="F254"/>
      <c r="G254"/>
      <c r="H254"/>
      <c r="I254"/>
      <c r="J254"/>
      <c r="K254"/>
      <c r="L254"/>
      <c r="M254"/>
      <c r="N254"/>
      <c r="O254"/>
      <c r="P254"/>
      <c r="R254"/>
      <c r="S254"/>
      <c r="T254"/>
      <c r="U254"/>
      <c r="V254"/>
      <c r="W254"/>
      <c r="X254"/>
      <c r="Y254"/>
      <c r="Z254"/>
    </row>
    <row r="255" spans="2:26">
      <c r="B255"/>
      <c r="D255"/>
      <c r="E255"/>
      <c r="F255"/>
      <c r="G255"/>
      <c r="H255"/>
      <c r="I255"/>
      <c r="J255"/>
      <c r="K255"/>
      <c r="L255"/>
      <c r="M255"/>
      <c r="N255"/>
      <c r="O255"/>
      <c r="P255"/>
      <c r="R255"/>
      <c r="S255"/>
      <c r="T255"/>
      <c r="U255"/>
      <c r="V255"/>
      <c r="W255"/>
      <c r="X255"/>
      <c r="Y255"/>
      <c r="Z255"/>
    </row>
    <row r="256" spans="2:26">
      <c r="B256"/>
      <c r="D256"/>
      <c r="E256"/>
      <c r="F256"/>
      <c r="G256"/>
      <c r="H256"/>
      <c r="I256"/>
      <c r="J256"/>
      <c r="K256"/>
      <c r="L256"/>
      <c r="M256"/>
      <c r="N256"/>
      <c r="O256"/>
      <c r="P256"/>
      <c r="R256"/>
      <c r="S256"/>
      <c r="T256"/>
      <c r="U256"/>
      <c r="V256"/>
      <c r="W256"/>
      <c r="X256"/>
      <c r="Y256"/>
      <c r="Z256"/>
    </row>
    <row r="257" spans="2:26">
      <c r="B257"/>
      <c r="D257"/>
      <c r="E257"/>
      <c r="F257"/>
      <c r="G257"/>
      <c r="H257"/>
      <c r="I257"/>
      <c r="J257"/>
      <c r="K257"/>
      <c r="L257"/>
      <c r="M257"/>
      <c r="N257"/>
      <c r="O257"/>
      <c r="P257"/>
      <c r="R257"/>
      <c r="S257"/>
      <c r="T257"/>
      <c r="U257"/>
      <c r="V257"/>
      <c r="W257"/>
      <c r="X257"/>
      <c r="Y257"/>
      <c r="Z257"/>
    </row>
    <row r="258" spans="2:26">
      <c r="B258"/>
      <c r="D258"/>
      <c r="E258"/>
      <c r="F258"/>
      <c r="G258"/>
      <c r="H258"/>
      <c r="I258"/>
      <c r="J258"/>
      <c r="K258"/>
      <c r="L258"/>
      <c r="M258"/>
      <c r="N258"/>
      <c r="O258"/>
      <c r="P258"/>
      <c r="R258"/>
      <c r="S258"/>
      <c r="T258"/>
      <c r="U258"/>
      <c r="V258"/>
      <c r="W258"/>
      <c r="X258"/>
      <c r="Y258"/>
      <c r="Z258"/>
    </row>
    <row r="259" spans="2:26">
      <c r="B259"/>
      <c r="D259"/>
      <c r="E259"/>
      <c r="F259"/>
      <c r="G259"/>
      <c r="H259"/>
      <c r="I259"/>
      <c r="J259"/>
      <c r="K259"/>
      <c r="L259"/>
      <c r="M259"/>
      <c r="N259"/>
      <c r="O259"/>
      <c r="P259"/>
      <c r="R259"/>
      <c r="S259"/>
      <c r="T259"/>
      <c r="U259"/>
      <c r="V259"/>
      <c r="W259"/>
      <c r="X259"/>
      <c r="Y259"/>
      <c r="Z259"/>
    </row>
    <row r="260" spans="2:26">
      <c r="B260"/>
      <c r="D260"/>
      <c r="E260"/>
      <c r="F260"/>
      <c r="G260"/>
      <c r="H260"/>
      <c r="I260"/>
      <c r="J260"/>
      <c r="K260"/>
      <c r="L260"/>
      <c r="M260"/>
      <c r="N260"/>
      <c r="O260"/>
      <c r="P260"/>
      <c r="R260"/>
      <c r="S260"/>
      <c r="T260"/>
      <c r="U260"/>
      <c r="V260"/>
      <c r="W260"/>
      <c r="X260"/>
      <c r="Y260"/>
      <c r="Z260"/>
    </row>
    <row r="261" spans="2:26">
      <c r="B261"/>
      <c r="D261"/>
      <c r="E261"/>
      <c r="F261"/>
      <c r="G261"/>
      <c r="H261"/>
      <c r="I261"/>
      <c r="J261"/>
      <c r="K261"/>
      <c r="L261"/>
      <c r="M261"/>
      <c r="N261"/>
      <c r="O261"/>
      <c r="P261"/>
      <c r="R261"/>
      <c r="S261"/>
      <c r="T261"/>
      <c r="U261"/>
      <c r="V261"/>
      <c r="W261"/>
      <c r="X261"/>
      <c r="Y261"/>
      <c r="Z261"/>
    </row>
    <row r="262" spans="2:26">
      <c r="B262"/>
      <c r="D262"/>
      <c r="E262"/>
      <c r="F262"/>
      <c r="G262"/>
      <c r="H262"/>
      <c r="I262"/>
      <c r="J262"/>
      <c r="K262"/>
      <c r="L262"/>
      <c r="M262"/>
      <c r="N262"/>
      <c r="O262"/>
      <c r="P262"/>
      <c r="R262"/>
      <c r="S262"/>
      <c r="T262"/>
      <c r="U262"/>
      <c r="V262"/>
      <c r="W262"/>
      <c r="X262"/>
      <c r="Y262"/>
      <c r="Z262"/>
    </row>
    <row r="263" spans="2:26">
      <c r="B263"/>
      <c r="D263"/>
      <c r="E263"/>
      <c r="F263"/>
      <c r="G263"/>
      <c r="H263"/>
      <c r="I263"/>
      <c r="J263"/>
      <c r="K263"/>
      <c r="L263"/>
      <c r="M263"/>
      <c r="N263"/>
      <c r="O263"/>
      <c r="P263"/>
      <c r="R263"/>
      <c r="S263"/>
      <c r="T263"/>
      <c r="U263"/>
      <c r="V263"/>
      <c r="W263"/>
      <c r="X263"/>
      <c r="Y263"/>
      <c r="Z263"/>
    </row>
    <row r="264" spans="2:26">
      <c r="B264"/>
      <c r="D264"/>
      <c r="E264"/>
      <c r="F264"/>
      <c r="G264"/>
      <c r="H264"/>
      <c r="I264"/>
      <c r="J264"/>
      <c r="K264"/>
      <c r="L264"/>
      <c r="M264"/>
      <c r="N264"/>
      <c r="O264"/>
      <c r="P264"/>
      <c r="R264"/>
      <c r="S264"/>
      <c r="T264"/>
      <c r="U264"/>
      <c r="V264"/>
      <c r="W264"/>
      <c r="X264"/>
      <c r="Y264"/>
      <c r="Z264"/>
    </row>
    <row r="265" spans="2:26">
      <c r="B265"/>
      <c r="D265"/>
      <c r="E265"/>
      <c r="F265"/>
      <c r="G265"/>
      <c r="H265"/>
      <c r="I265"/>
      <c r="J265"/>
      <c r="K265"/>
      <c r="L265"/>
      <c r="M265"/>
      <c r="N265"/>
      <c r="O265"/>
      <c r="P265"/>
      <c r="R265"/>
      <c r="S265"/>
      <c r="T265"/>
      <c r="U265"/>
      <c r="V265"/>
      <c r="W265"/>
      <c r="X265"/>
      <c r="Y265"/>
      <c r="Z265"/>
    </row>
    <row r="266" spans="2:26">
      <c r="B266"/>
      <c r="D266"/>
      <c r="E266"/>
      <c r="F266"/>
      <c r="G266"/>
      <c r="H266"/>
      <c r="I266"/>
      <c r="J266"/>
      <c r="K266"/>
      <c r="L266"/>
      <c r="M266"/>
      <c r="N266"/>
      <c r="O266"/>
      <c r="P266"/>
      <c r="R266"/>
      <c r="S266"/>
      <c r="T266"/>
      <c r="U266"/>
      <c r="V266"/>
      <c r="W266"/>
      <c r="X266"/>
      <c r="Y266"/>
      <c r="Z266"/>
    </row>
    <row r="267" spans="2:26">
      <c r="B267"/>
      <c r="D267"/>
      <c r="E267"/>
      <c r="F267"/>
      <c r="G267"/>
      <c r="H267"/>
      <c r="I267"/>
      <c r="J267"/>
      <c r="K267"/>
      <c r="L267"/>
      <c r="M267"/>
      <c r="N267"/>
      <c r="O267"/>
      <c r="P267"/>
      <c r="R267"/>
      <c r="S267"/>
      <c r="T267"/>
      <c r="U267"/>
      <c r="V267"/>
      <c r="W267"/>
      <c r="X267"/>
      <c r="Y267"/>
      <c r="Z267"/>
    </row>
    <row r="268" spans="2:26">
      <c r="B268"/>
      <c r="D268"/>
      <c r="E268"/>
      <c r="F268"/>
      <c r="G268"/>
      <c r="H268"/>
      <c r="I268"/>
      <c r="J268"/>
      <c r="K268"/>
      <c r="L268"/>
      <c r="M268"/>
      <c r="N268"/>
      <c r="O268"/>
      <c r="P268"/>
      <c r="R268"/>
      <c r="S268"/>
      <c r="T268"/>
      <c r="U268"/>
      <c r="V268"/>
      <c r="W268"/>
      <c r="X268"/>
      <c r="Y268"/>
      <c r="Z268"/>
    </row>
    <row r="269" spans="2:26">
      <c r="B269"/>
      <c r="D269"/>
      <c r="E269"/>
      <c r="F269"/>
      <c r="G269"/>
      <c r="H269"/>
      <c r="I269"/>
      <c r="J269"/>
      <c r="K269"/>
      <c r="L269"/>
      <c r="M269"/>
      <c r="N269"/>
      <c r="O269"/>
      <c r="P269"/>
      <c r="R269"/>
      <c r="S269"/>
      <c r="T269"/>
      <c r="U269"/>
      <c r="V269"/>
      <c r="W269"/>
      <c r="X269"/>
      <c r="Y269"/>
      <c r="Z269"/>
    </row>
    <row r="270" spans="2:26">
      <c r="B270"/>
      <c r="D270"/>
      <c r="E270"/>
      <c r="F270"/>
      <c r="G270"/>
      <c r="H270"/>
      <c r="I270"/>
      <c r="J270"/>
      <c r="K270"/>
      <c r="L270"/>
      <c r="M270"/>
      <c r="N270"/>
      <c r="O270"/>
      <c r="P270"/>
      <c r="R270"/>
      <c r="S270"/>
      <c r="T270"/>
      <c r="U270"/>
      <c r="V270"/>
      <c r="W270"/>
      <c r="X270"/>
      <c r="Y270"/>
      <c r="Z270"/>
    </row>
    <row r="271" spans="2:26">
      <c r="B271"/>
      <c r="D271"/>
      <c r="E271"/>
      <c r="F271"/>
      <c r="G271"/>
      <c r="H271"/>
      <c r="I271"/>
      <c r="J271"/>
      <c r="K271"/>
      <c r="L271"/>
      <c r="M271"/>
      <c r="N271"/>
      <c r="O271"/>
      <c r="P271"/>
      <c r="R271"/>
      <c r="S271"/>
      <c r="T271"/>
      <c r="U271"/>
      <c r="V271"/>
      <c r="W271"/>
      <c r="X271"/>
      <c r="Y271"/>
      <c r="Z271"/>
    </row>
    <row r="272" spans="2:26">
      <c r="B272"/>
      <c r="D272"/>
      <c r="E272"/>
      <c r="F272"/>
      <c r="G272"/>
      <c r="H272"/>
      <c r="I272"/>
      <c r="J272"/>
      <c r="K272"/>
      <c r="L272"/>
      <c r="M272"/>
      <c r="N272"/>
      <c r="O272"/>
      <c r="P272"/>
      <c r="R272"/>
      <c r="S272"/>
      <c r="T272"/>
      <c r="U272"/>
      <c r="V272"/>
      <c r="W272"/>
      <c r="X272"/>
      <c r="Y272"/>
      <c r="Z272"/>
    </row>
    <row r="273" spans="2:26">
      <c r="B273"/>
      <c r="D273"/>
      <c r="E273"/>
      <c r="F273"/>
      <c r="G273"/>
      <c r="H273"/>
      <c r="I273"/>
      <c r="J273"/>
      <c r="K273"/>
      <c r="L273"/>
      <c r="M273"/>
      <c r="N273"/>
      <c r="O273"/>
      <c r="P273"/>
      <c r="R273"/>
      <c r="S273"/>
      <c r="T273"/>
      <c r="U273"/>
      <c r="V273"/>
      <c r="W273"/>
      <c r="X273"/>
      <c r="Y273"/>
      <c r="Z273"/>
    </row>
    <row r="274" spans="2:26">
      <c r="B274"/>
      <c r="D274"/>
      <c r="E274"/>
      <c r="F274"/>
      <c r="G274"/>
      <c r="H274"/>
      <c r="I274"/>
      <c r="J274"/>
      <c r="K274"/>
      <c r="L274"/>
      <c r="M274"/>
      <c r="N274"/>
      <c r="O274"/>
      <c r="P274"/>
      <c r="R274"/>
      <c r="S274"/>
      <c r="T274"/>
      <c r="U274"/>
      <c r="V274"/>
      <c r="W274"/>
      <c r="X274"/>
      <c r="Y274"/>
      <c r="Z274"/>
    </row>
    <row r="275" spans="2:26">
      <c r="B275"/>
      <c r="D275"/>
      <c r="E275"/>
      <c r="F275"/>
      <c r="G275"/>
      <c r="H275"/>
      <c r="I275"/>
      <c r="J275"/>
      <c r="K275"/>
      <c r="L275"/>
      <c r="M275"/>
      <c r="N275"/>
      <c r="O275"/>
      <c r="P275"/>
      <c r="R275"/>
      <c r="S275"/>
      <c r="T275"/>
      <c r="U275"/>
      <c r="V275"/>
      <c r="W275"/>
      <c r="X275"/>
      <c r="Y275"/>
      <c r="Z275"/>
    </row>
    <row r="276" spans="2:26">
      <c r="B276"/>
      <c r="D276"/>
      <c r="E276"/>
      <c r="F276"/>
      <c r="G276"/>
      <c r="H276"/>
      <c r="I276"/>
      <c r="J276"/>
      <c r="K276"/>
      <c r="L276"/>
      <c r="M276"/>
      <c r="N276"/>
      <c r="O276"/>
      <c r="P276"/>
      <c r="R276"/>
      <c r="S276"/>
      <c r="T276"/>
      <c r="U276"/>
      <c r="V276"/>
      <c r="W276"/>
      <c r="X276"/>
      <c r="Y276"/>
      <c r="Z276"/>
    </row>
    <row r="277" spans="2:26">
      <c r="B277"/>
      <c r="D277"/>
      <c r="E277"/>
      <c r="F277"/>
      <c r="G277"/>
      <c r="H277"/>
      <c r="I277"/>
      <c r="J277"/>
      <c r="K277"/>
      <c r="L277"/>
      <c r="M277"/>
      <c r="N277"/>
      <c r="O277"/>
      <c r="P277"/>
      <c r="R277"/>
      <c r="S277"/>
      <c r="T277"/>
      <c r="U277"/>
      <c r="V277"/>
      <c r="W277"/>
      <c r="X277"/>
      <c r="Y277"/>
      <c r="Z277"/>
    </row>
    <row r="278" spans="2:26">
      <c r="B278"/>
      <c r="D278"/>
      <c r="E278"/>
      <c r="F278"/>
      <c r="G278"/>
      <c r="H278"/>
      <c r="I278"/>
      <c r="J278"/>
      <c r="K278"/>
      <c r="L278"/>
      <c r="M278"/>
      <c r="N278"/>
      <c r="O278"/>
      <c r="P278"/>
      <c r="R278"/>
      <c r="S278"/>
      <c r="T278"/>
      <c r="U278"/>
      <c r="V278"/>
      <c r="W278"/>
      <c r="X278"/>
      <c r="Y278"/>
      <c r="Z278"/>
    </row>
    <row r="279" spans="2:26">
      <c r="B279"/>
      <c r="D279"/>
      <c r="E279"/>
      <c r="F279"/>
      <c r="G279"/>
      <c r="H279"/>
      <c r="I279"/>
      <c r="J279"/>
      <c r="K279"/>
      <c r="L279"/>
      <c r="M279"/>
      <c r="N279"/>
      <c r="O279"/>
      <c r="P279"/>
      <c r="R279"/>
      <c r="S279"/>
      <c r="T279"/>
      <c r="U279"/>
      <c r="V279"/>
      <c r="W279"/>
      <c r="X279"/>
      <c r="Y279"/>
      <c r="Z279"/>
    </row>
    <row r="280" spans="2:26">
      <c r="B280"/>
      <c r="D280"/>
      <c r="E280"/>
      <c r="F280"/>
      <c r="G280"/>
      <c r="H280"/>
      <c r="I280"/>
      <c r="J280"/>
      <c r="K280"/>
      <c r="L280"/>
      <c r="M280"/>
      <c r="N280"/>
      <c r="O280"/>
      <c r="P280"/>
      <c r="R280"/>
      <c r="S280"/>
      <c r="T280"/>
      <c r="U280"/>
      <c r="V280"/>
      <c r="W280"/>
      <c r="X280"/>
      <c r="Y280"/>
      <c r="Z280"/>
    </row>
    <row r="281" spans="2:26">
      <c r="B281"/>
      <c r="D281"/>
      <c r="E281"/>
      <c r="F281"/>
      <c r="G281"/>
      <c r="H281"/>
      <c r="I281"/>
      <c r="J281"/>
      <c r="K281"/>
      <c r="L281"/>
      <c r="M281"/>
      <c r="N281"/>
      <c r="O281"/>
      <c r="P281"/>
      <c r="R281"/>
      <c r="S281"/>
      <c r="T281"/>
      <c r="U281"/>
      <c r="V281"/>
      <c r="W281"/>
      <c r="X281"/>
      <c r="Y281"/>
      <c r="Z281"/>
    </row>
    <row r="282" spans="2:26">
      <c r="B282"/>
      <c r="D282"/>
      <c r="E282"/>
      <c r="F282"/>
      <c r="G282"/>
      <c r="H282"/>
      <c r="I282"/>
      <c r="J282"/>
      <c r="K282"/>
      <c r="L282"/>
      <c r="M282"/>
      <c r="N282"/>
      <c r="O282"/>
      <c r="P282"/>
      <c r="R282"/>
      <c r="S282"/>
      <c r="T282"/>
      <c r="U282"/>
      <c r="V282"/>
      <c r="W282"/>
      <c r="X282"/>
      <c r="Y282"/>
      <c r="Z282"/>
    </row>
    <row r="283" spans="2:26">
      <c r="B283"/>
      <c r="D283"/>
      <c r="E283"/>
      <c r="F283"/>
      <c r="G283"/>
      <c r="H283"/>
      <c r="I283"/>
      <c r="J283"/>
      <c r="K283"/>
      <c r="L283"/>
      <c r="M283"/>
      <c r="N283"/>
      <c r="O283"/>
      <c r="P283"/>
      <c r="R283"/>
      <c r="S283"/>
      <c r="T283"/>
      <c r="U283"/>
      <c r="V283"/>
      <c r="W283"/>
      <c r="X283"/>
      <c r="Y283"/>
      <c r="Z283"/>
    </row>
    <row r="284" spans="2:26">
      <c r="B284"/>
      <c r="D284"/>
      <c r="E284"/>
      <c r="F284"/>
      <c r="G284"/>
      <c r="H284"/>
      <c r="I284"/>
      <c r="J284"/>
      <c r="K284"/>
      <c r="L284"/>
      <c r="M284"/>
      <c r="N284"/>
      <c r="O284"/>
      <c r="P284"/>
      <c r="R284"/>
      <c r="S284"/>
      <c r="T284"/>
      <c r="U284"/>
      <c r="V284"/>
      <c r="W284"/>
      <c r="X284"/>
      <c r="Y284"/>
      <c r="Z284"/>
    </row>
    <row r="285" spans="2:26">
      <c r="B285"/>
      <c r="D285"/>
      <c r="E285"/>
      <c r="F285"/>
      <c r="G285"/>
      <c r="H285"/>
      <c r="I285"/>
      <c r="J285"/>
      <c r="K285"/>
      <c r="L285"/>
      <c r="M285"/>
      <c r="N285"/>
      <c r="O285"/>
      <c r="P285"/>
      <c r="R285"/>
      <c r="S285"/>
      <c r="T285"/>
      <c r="U285"/>
      <c r="V285"/>
      <c r="W285"/>
      <c r="X285"/>
      <c r="Y285"/>
      <c r="Z285"/>
    </row>
    <row r="286" spans="2:26">
      <c r="B286"/>
      <c r="D286"/>
      <c r="E286"/>
      <c r="F286"/>
      <c r="G286"/>
      <c r="H286"/>
      <c r="I286"/>
      <c r="J286"/>
      <c r="K286"/>
      <c r="L286"/>
      <c r="M286"/>
      <c r="N286"/>
      <c r="O286"/>
      <c r="P286"/>
      <c r="R286"/>
      <c r="S286"/>
      <c r="T286"/>
      <c r="U286"/>
      <c r="V286"/>
      <c r="W286"/>
      <c r="X286"/>
      <c r="Y286"/>
      <c r="Z286"/>
    </row>
    <row r="287" spans="2:26">
      <c r="B287"/>
      <c r="D287"/>
      <c r="E287"/>
      <c r="F287"/>
      <c r="G287"/>
      <c r="H287"/>
      <c r="I287"/>
      <c r="J287"/>
      <c r="K287"/>
      <c r="L287"/>
      <c r="M287"/>
      <c r="N287"/>
      <c r="O287"/>
      <c r="P287"/>
      <c r="R287"/>
      <c r="S287"/>
      <c r="T287"/>
      <c r="U287"/>
      <c r="V287"/>
      <c r="W287"/>
      <c r="X287"/>
      <c r="Y287"/>
      <c r="Z287"/>
    </row>
    <row r="288" spans="2:26">
      <c r="B288"/>
      <c r="D288"/>
      <c r="E288"/>
      <c r="F288"/>
      <c r="G288"/>
      <c r="H288"/>
      <c r="I288"/>
      <c r="J288"/>
      <c r="K288"/>
      <c r="L288"/>
      <c r="M288"/>
      <c r="N288"/>
      <c r="O288"/>
      <c r="P288"/>
      <c r="R288"/>
      <c r="S288"/>
      <c r="T288"/>
      <c r="U288"/>
      <c r="V288"/>
      <c r="W288"/>
      <c r="X288"/>
      <c r="Y288"/>
      <c r="Z288"/>
    </row>
    <row r="289" spans="2:26">
      <c r="B289"/>
      <c r="D289"/>
      <c r="E289"/>
      <c r="F289"/>
      <c r="G289"/>
      <c r="H289"/>
      <c r="I289"/>
      <c r="J289"/>
      <c r="K289"/>
      <c r="L289"/>
      <c r="M289"/>
      <c r="N289"/>
      <c r="O289"/>
      <c r="P289"/>
      <c r="R289"/>
      <c r="S289"/>
      <c r="T289"/>
      <c r="U289"/>
      <c r="V289"/>
      <c r="W289"/>
      <c r="X289"/>
      <c r="Y289"/>
      <c r="Z289"/>
    </row>
    <row r="290" spans="2:26">
      <c r="B290"/>
      <c r="D290"/>
      <c r="E290"/>
      <c r="F290"/>
      <c r="G290"/>
      <c r="H290"/>
      <c r="I290"/>
      <c r="J290"/>
      <c r="K290"/>
      <c r="L290"/>
      <c r="M290"/>
      <c r="N290"/>
      <c r="O290"/>
      <c r="P290"/>
      <c r="R290"/>
      <c r="S290"/>
      <c r="T290"/>
      <c r="U290"/>
      <c r="V290"/>
      <c r="W290"/>
      <c r="X290"/>
      <c r="Y290"/>
      <c r="Z290"/>
    </row>
    <row r="291" spans="2:26">
      <c r="B291"/>
      <c r="D291"/>
      <c r="E291"/>
      <c r="F291"/>
      <c r="G291"/>
      <c r="H291"/>
      <c r="I291"/>
      <c r="J291"/>
      <c r="K291"/>
      <c r="L291"/>
      <c r="M291"/>
      <c r="N291"/>
      <c r="O291"/>
      <c r="P291"/>
      <c r="R291"/>
      <c r="S291"/>
      <c r="T291"/>
      <c r="U291"/>
      <c r="V291"/>
      <c r="W291"/>
      <c r="X291"/>
      <c r="Y291"/>
      <c r="Z291"/>
    </row>
    <row r="292" spans="2:26">
      <c r="B292"/>
      <c r="D292"/>
      <c r="E292"/>
      <c r="F292"/>
      <c r="G292"/>
      <c r="H292"/>
      <c r="I292"/>
      <c r="J292"/>
      <c r="K292"/>
      <c r="L292"/>
      <c r="M292"/>
      <c r="N292"/>
      <c r="O292"/>
      <c r="P292"/>
      <c r="R292"/>
      <c r="S292"/>
      <c r="T292"/>
      <c r="U292"/>
      <c r="V292"/>
      <c r="W292"/>
      <c r="X292"/>
      <c r="Y292"/>
      <c r="Z292"/>
    </row>
    <row r="293" spans="2:26">
      <c r="B293"/>
      <c r="D293"/>
      <c r="E293"/>
      <c r="F293"/>
      <c r="G293"/>
      <c r="H293"/>
      <c r="I293"/>
      <c r="J293"/>
      <c r="K293"/>
      <c r="L293"/>
      <c r="M293"/>
      <c r="N293"/>
      <c r="O293"/>
      <c r="P293"/>
      <c r="R293"/>
      <c r="S293"/>
      <c r="T293"/>
      <c r="U293"/>
      <c r="V293"/>
      <c r="W293"/>
      <c r="X293"/>
      <c r="Y293"/>
      <c r="Z293"/>
    </row>
    <row r="294" spans="2:26">
      <c r="B294"/>
      <c r="D294"/>
      <c r="E294"/>
      <c r="F294"/>
      <c r="G294"/>
      <c r="H294"/>
      <c r="I294"/>
      <c r="J294"/>
      <c r="K294"/>
      <c r="L294"/>
      <c r="M294"/>
      <c r="N294"/>
      <c r="O294"/>
      <c r="P294"/>
      <c r="R294"/>
      <c r="S294"/>
      <c r="T294"/>
      <c r="U294"/>
      <c r="V294"/>
      <c r="W294"/>
      <c r="X294"/>
      <c r="Y294"/>
      <c r="Z294"/>
    </row>
    <row r="295" spans="2:26">
      <c r="B295"/>
      <c r="D295"/>
      <c r="E295"/>
      <c r="F295"/>
      <c r="G295"/>
      <c r="H295"/>
      <c r="I295"/>
      <c r="J295"/>
      <c r="K295"/>
      <c r="L295"/>
      <c r="M295"/>
      <c r="N295"/>
      <c r="O295"/>
      <c r="P295"/>
      <c r="R295"/>
      <c r="S295"/>
      <c r="T295"/>
      <c r="U295"/>
      <c r="V295"/>
      <c r="W295"/>
      <c r="X295"/>
      <c r="Y295"/>
      <c r="Z295"/>
    </row>
    <row r="296" spans="2:26">
      <c r="B296"/>
      <c r="D296"/>
      <c r="E296"/>
      <c r="F296"/>
      <c r="G296"/>
      <c r="H296"/>
      <c r="I296"/>
      <c r="J296"/>
      <c r="K296"/>
      <c r="L296"/>
      <c r="M296"/>
      <c r="N296"/>
      <c r="O296"/>
      <c r="P296"/>
      <c r="R296"/>
      <c r="S296"/>
      <c r="T296"/>
      <c r="U296"/>
      <c r="V296"/>
      <c r="W296"/>
      <c r="X296"/>
      <c r="Y296"/>
      <c r="Z296"/>
    </row>
    <row r="297" spans="2:26">
      <c r="B297"/>
      <c r="D297"/>
      <c r="E297"/>
      <c r="F297"/>
      <c r="G297"/>
      <c r="H297"/>
      <c r="I297"/>
      <c r="J297"/>
      <c r="K297"/>
      <c r="L297"/>
      <c r="M297"/>
      <c r="N297"/>
      <c r="O297"/>
      <c r="P297"/>
      <c r="R297"/>
      <c r="S297"/>
      <c r="T297"/>
      <c r="U297"/>
      <c r="V297"/>
      <c r="W297"/>
      <c r="X297"/>
      <c r="Y297"/>
      <c r="Z297"/>
    </row>
    <row r="298" spans="2:26">
      <c r="B298"/>
      <c r="D298"/>
      <c r="E298"/>
      <c r="F298"/>
      <c r="G298"/>
      <c r="H298"/>
      <c r="I298"/>
      <c r="J298"/>
      <c r="K298"/>
      <c r="L298"/>
      <c r="M298"/>
      <c r="N298"/>
      <c r="O298"/>
      <c r="P298"/>
      <c r="R298"/>
      <c r="S298"/>
      <c r="T298"/>
      <c r="U298"/>
      <c r="V298"/>
      <c r="W298"/>
      <c r="X298"/>
      <c r="Y298"/>
      <c r="Z298"/>
    </row>
    <row r="299" spans="2:26">
      <c r="B299"/>
      <c r="D299"/>
      <c r="E299"/>
      <c r="F299"/>
      <c r="G299"/>
      <c r="H299"/>
      <c r="I299"/>
      <c r="J299"/>
      <c r="K299"/>
      <c r="L299"/>
      <c r="M299"/>
      <c r="N299"/>
      <c r="O299"/>
      <c r="P299"/>
      <c r="R299"/>
      <c r="S299"/>
      <c r="T299"/>
      <c r="U299"/>
      <c r="V299"/>
      <c r="W299"/>
      <c r="X299"/>
      <c r="Y299"/>
      <c r="Z299"/>
    </row>
    <row r="300" spans="2:26">
      <c r="B300"/>
      <c r="D300"/>
      <c r="E300"/>
      <c r="F300"/>
      <c r="G300"/>
      <c r="H300"/>
      <c r="I300"/>
      <c r="J300"/>
      <c r="K300"/>
      <c r="L300"/>
      <c r="M300"/>
      <c r="N300"/>
      <c r="O300"/>
      <c r="P300"/>
      <c r="R300"/>
      <c r="S300"/>
      <c r="T300"/>
      <c r="U300"/>
      <c r="V300"/>
      <c r="W300"/>
      <c r="X300"/>
      <c r="Y300"/>
      <c r="Z300"/>
    </row>
    <row r="301" spans="2:26">
      <c r="B301"/>
      <c r="D301"/>
      <c r="E301"/>
      <c r="F301"/>
      <c r="G301"/>
      <c r="H301"/>
      <c r="I301"/>
      <c r="J301"/>
      <c r="K301"/>
      <c r="L301"/>
      <c r="M301"/>
      <c r="N301"/>
      <c r="O301"/>
      <c r="P301"/>
      <c r="R301"/>
      <c r="S301"/>
      <c r="T301"/>
      <c r="U301"/>
      <c r="V301"/>
      <c r="W301"/>
      <c r="X301"/>
      <c r="Y301"/>
      <c r="Z301"/>
    </row>
    <row r="302" spans="2:26">
      <c r="B302"/>
      <c r="D302"/>
      <c r="E302"/>
      <c r="F302"/>
      <c r="G302"/>
      <c r="H302"/>
      <c r="I302"/>
      <c r="J302"/>
      <c r="K302"/>
      <c r="L302"/>
      <c r="M302"/>
      <c r="N302"/>
      <c r="O302"/>
      <c r="P302"/>
      <c r="R302"/>
      <c r="S302"/>
      <c r="T302"/>
      <c r="U302"/>
      <c r="V302"/>
      <c r="W302"/>
      <c r="X302"/>
      <c r="Y302"/>
      <c r="Z302"/>
    </row>
    <row r="303" spans="2:26">
      <c r="B303"/>
      <c r="D303"/>
      <c r="E303"/>
      <c r="F303"/>
      <c r="G303"/>
      <c r="H303"/>
      <c r="I303"/>
      <c r="J303"/>
      <c r="K303"/>
      <c r="L303"/>
      <c r="M303"/>
      <c r="N303"/>
      <c r="O303"/>
      <c r="P303"/>
      <c r="R303"/>
      <c r="S303"/>
      <c r="T303"/>
      <c r="U303"/>
      <c r="V303"/>
      <c r="W303"/>
      <c r="X303"/>
      <c r="Y303"/>
      <c r="Z303"/>
    </row>
    <row r="304" spans="2:26">
      <c r="B304"/>
      <c r="D304"/>
      <c r="E304"/>
      <c r="F304"/>
      <c r="G304"/>
      <c r="H304"/>
      <c r="I304"/>
      <c r="J304"/>
      <c r="K304"/>
      <c r="L304"/>
      <c r="M304"/>
      <c r="N304"/>
      <c r="O304"/>
      <c r="P304"/>
      <c r="R304"/>
      <c r="S304"/>
      <c r="T304"/>
      <c r="U304"/>
      <c r="V304"/>
      <c r="W304"/>
      <c r="X304"/>
      <c r="Y304"/>
      <c r="Z304"/>
    </row>
    <row r="305" spans="2:26">
      <c r="B305"/>
      <c r="D305"/>
      <c r="E305"/>
      <c r="F305"/>
      <c r="G305"/>
      <c r="H305"/>
      <c r="I305"/>
      <c r="J305"/>
      <c r="K305"/>
      <c r="L305"/>
      <c r="M305"/>
      <c r="N305"/>
      <c r="O305"/>
      <c r="P305"/>
      <c r="R305"/>
      <c r="S305"/>
      <c r="T305"/>
      <c r="U305"/>
      <c r="V305"/>
      <c r="W305"/>
      <c r="X305"/>
      <c r="Y305"/>
      <c r="Z305"/>
    </row>
    <row r="306" spans="2:26">
      <c r="B306"/>
      <c r="D306"/>
      <c r="E306"/>
      <c r="F306"/>
      <c r="G306"/>
      <c r="H306"/>
      <c r="I306"/>
      <c r="J306"/>
      <c r="K306"/>
      <c r="L306"/>
      <c r="M306"/>
      <c r="N306"/>
      <c r="O306"/>
      <c r="P306"/>
      <c r="R306"/>
      <c r="S306"/>
      <c r="T306"/>
      <c r="U306"/>
      <c r="V306"/>
      <c r="W306"/>
      <c r="X306"/>
      <c r="Y306"/>
      <c r="Z306"/>
    </row>
    <row r="307" spans="2:26">
      <c r="B307"/>
      <c r="D307"/>
      <c r="E307"/>
      <c r="F307"/>
      <c r="G307"/>
      <c r="H307"/>
      <c r="I307"/>
      <c r="J307"/>
      <c r="K307"/>
      <c r="L307"/>
      <c r="M307"/>
      <c r="N307"/>
      <c r="O307"/>
      <c r="P307"/>
      <c r="R307"/>
      <c r="S307"/>
      <c r="T307"/>
      <c r="U307"/>
      <c r="V307"/>
      <c r="W307"/>
      <c r="X307"/>
      <c r="Y307"/>
      <c r="Z307"/>
    </row>
    <row r="308" spans="2:26">
      <c r="B308"/>
      <c r="D308"/>
      <c r="E308"/>
      <c r="F308"/>
      <c r="G308"/>
      <c r="H308"/>
      <c r="I308"/>
      <c r="J308"/>
      <c r="K308"/>
      <c r="L308"/>
      <c r="M308"/>
      <c r="N308"/>
      <c r="O308"/>
      <c r="P308"/>
      <c r="R308"/>
      <c r="S308"/>
      <c r="T308"/>
      <c r="U308"/>
      <c r="V308"/>
      <c r="W308"/>
      <c r="X308"/>
      <c r="Y308"/>
      <c r="Z308"/>
    </row>
    <row r="309" spans="2:26">
      <c r="B309"/>
      <c r="D309"/>
      <c r="E309"/>
      <c r="F309"/>
      <c r="G309"/>
      <c r="H309"/>
      <c r="I309"/>
      <c r="J309"/>
      <c r="K309"/>
      <c r="L309"/>
      <c r="M309"/>
      <c r="N309"/>
      <c r="O309"/>
      <c r="P309"/>
      <c r="R309"/>
      <c r="S309"/>
      <c r="T309"/>
      <c r="U309"/>
      <c r="V309"/>
      <c r="W309"/>
      <c r="X309"/>
      <c r="Y309"/>
      <c r="Z309"/>
    </row>
    <row r="310" spans="2:26">
      <c r="B310"/>
      <c r="D310"/>
      <c r="E310"/>
      <c r="F310"/>
      <c r="G310"/>
      <c r="H310"/>
      <c r="I310"/>
      <c r="J310"/>
      <c r="K310"/>
      <c r="L310"/>
      <c r="M310"/>
      <c r="N310"/>
      <c r="O310"/>
      <c r="P310"/>
      <c r="R310"/>
      <c r="S310"/>
      <c r="T310"/>
      <c r="U310"/>
      <c r="V310"/>
      <c r="W310"/>
      <c r="X310"/>
      <c r="Y310"/>
      <c r="Z310"/>
    </row>
    <row r="311" spans="2:26">
      <c r="B311"/>
      <c r="D311"/>
      <c r="E311"/>
      <c r="F311"/>
      <c r="G311"/>
      <c r="H311"/>
      <c r="I311"/>
      <c r="J311"/>
      <c r="K311"/>
      <c r="L311"/>
      <c r="M311"/>
      <c r="N311"/>
      <c r="O311"/>
      <c r="P311"/>
      <c r="R311"/>
      <c r="S311"/>
      <c r="T311"/>
      <c r="U311"/>
      <c r="V311"/>
      <c r="W311"/>
      <c r="X311"/>
      <c r="Y311"/>
      <c r="Z311"/>
    </row>
    <row r="312" spans="2:26">
      <c r="B312"/>
      <c r="D312"/>
      <c r="E312"/>
      <c r="F312"/>
      <c r="G312"/>
      <c r="H312"/>
      <c r="I312"/>
      <c r="J312"/>
      <c r="K312"/>
      <c r="L312"/>
      <c r="M312"/>
      <c r="N312"/>
      <c r="O312"/>
      <c r="P312"/>
      <c r="R312"/>
      <c r="S312"/>
      <c r="T312"/>
      <c r="U312"/>
      <c r="V312"/>
      <c r="W312"/>
      <c r="X312"/>
      <c r="Y312"/>
      <c r="Z312"/>
    </row>
    <row r="313" spans="2:26">
      <c r="B313"/>
      <c r="D313"/>
      <c r="E313"/>
      <c r="F313"/>
      <c r="G313"/>
      <c r="H313"/>
      <c r="I313"/>
      <c r="J313"/>
      <c r="K313"/>
      <c r="L313"/>
      <c r="M313"/>
      <c r="N313"/>
      <c r="O313"/>
      <c r="P313"/>
      <c r="R313"/>
      <c r="S313"/>
      <c r="T313"/>
      <c r="U313"/>
      <c r="V313"/>
      <c r="W313"/>
      <c r="X313"/>
      <c r="Y313"/>
      <c r="Z313"/>
    </row>
    <row r="314" spans="2:26">
      <c r="B314"/>
      <c r="D314"/>
      <c r="E314"/>
      <c r="F314"/>
      <c r="G314"/>
      <c r="H314"/>
      <c r="I314"/>
      <c r="J314"/>
      <c r="K314"/>
      <c r="L314"/>
      <c r="M314"/>
      <c r="N314"/>
      <c r="O314"/>
      <c r="P314"/>
      <c r="R314"/>
      <c r="S314"/>
      <c r="T314"/>
      <c r="U314"/>
      <c r="V314"/>
      <c r="W314"/>
      <c r="X314"/>
      <c r="Y314"/>
      <c r="Z314"/>
    </row>
    <row r="315" spans="2:26">
      <c r="B315"/>
      <c r="D315"/>
      <c r="E315"/>
      <c r="F315"/>
      <c r="G315"/>
      <c r="H315"/>
      <c r="I315"/>
      <c r="J315"/>
      <c r="K315"/>
      <c r="L315"/>
      <c r="M315"/>
      <c r="N315"/>
      <c r="O315"/>
      <c r="P315"/>
      <c r="R315"/>
      <c r="S315"/>
      <c r="T315"/>
      <c r="U315"/>
      <c r="V315"/>
      <c r="W315"/>
      <c r="X315"/>
      <c r="Y315"/>
      <c r="Z315"/>
    </row>
    <row r="316" spans="2:26">
      <c r="B316"/>
      <c r="D316"/>
      <c r="E316"/>
      <c r="F316"/>
      <c r="G316"/>
      <c r="H316"/>
      <c r="I316"/>
      <c r="J316"/>
      <c r="K316"/>
      <c r="L316"/>
      <c r="M316"/>
      <c r="N316"/>
      <c r="O316"/>
      <c r="P316"/>
      <c r="R316"/>
      <c r="S316"/>
      <c r="T316"/>
      <c r="U316"/>
      <c r="V316"/>
      <c r="W316"/>
      <c r="X316"/>
      <c r="Y316"/>
      <c r="Z316"/>
    </row>
    <row r="317" spans="2:26">
      <c r="B317"/>
      <c r="D317"/>
      <c r="E317"/>
      <c r="F317"/>
      <c r="G317"/>
      <c r="H317"/>
      <c r="I317"/>
      <c r="J317"/>
      <c r="K317"/>
      <c r="L317"/>
      <c r="M317"/>
      <c r="N317"/>
      <c r="O317"/>
      <c r="P317"/>
      <c r="R317"/>
      <c r="S317"/>
      <c r="T317"/>
      <c r="U317"/>
      <c r="V317"/>
      <c r="W317"/>
      <c r="X317"/>
      <c r="Y317"/>
      <c r="Z317"/>
    </row>
    <row r="318" spans="2:26">
      <c r="B318"/>
      <c r="D318"/>
      <c r="E318"/>
      <c r="F318"/>
      <c r="G318"/>
      <c r="H318"/>
      <c r="I318"/>
      <c r="J318"/>
      <c r="K318"/>
      <c r="L318"/>
      <c r="M318"/>
      <c r="N318"/>
      <c r="O318"/>
      <c r="P318"/>
      <c r="R318"/>
      <c r="S318"/>
      <c r="T318"/>
      <c r="U318"/>
      <c r="V318"/>
      <c r="W318"/>
      <c r="X318"/>
      <c r="Y318"/>
      <c r="Z318"/>
    </row>
    <row r="319" spans="2:26">
      <c r="B319"/>
      <c r="D319"/>
      <c r="E319"/>
      <c r="F319"/>
      <c r="G319"/>
      <c r="H319"/>
      <c r="I319"/>
      <c r="J319"/>
      <c r="K319"/>
      <c r="L319"/>
      <c r="M319"/>
      <c r="N319"/>
      <c r="O319"/>
      <c r="P319"/>
      <c r="R319"/>
      <c r="S319"/>
      <c r="T319"/>
      <c r="U319"/>
      <c r="V319"/>
      <c r="W319"/>
      <c r="X319"/>
      <c r="Y319"/>
      <c r="Z319"/>
    </row>
    <row r="320" spans="2:26">
      <c r="B320"/>
      <c r="D320"/>
      <c r="E320"/>
      <c r="F320"/>
      <c r="G320"/>
      <c r="H320"/>
      <c r="I320"/>
      <c r="J320"/>
      <c r="K320"/>
      <c r="L320"/>
      <c r="M320"/>
      <c r="N320"/>
      <c r="O320"/>
      <c r="P320"/>
      <c r="R320"/>
      <c r="S320"/>
      <c r="T320"/>
      <c r="U320"/>
      <c r="V320"/>
      <c r="W320"/>
      <c r="X320"/>
      <c r="Y320"/>
      <c r="Z320"/>
    </row>
    <row r="321" spans="2:26">
      <c r="B321"/>
      <c r="D321"/>
      <c r="E321"/>
      <c r="F321"/>
      <c r="G321"/>
      <c r="H321"/>
      <c r="I321"/>
      <c r="J321"/>
      <c r="K321"/>
      <c r="L321"/>
      <c r="M321"/>
      <c r="N321"/>
      <c r="O321"/>
      <c r="P321"/>
      <c r="R321"/>
      <c r="S321"/>
      <c r="T321"/>
      <c r="U321"/>
      <c r="V321"/>
      <c r="W321"/>
      <c r="X321"/>
      <c r="Y321"/>
      <c r="Z321"/>
    </row>
    <row r="322" spans="2:26">
      <c r="B322"/>
      <c r="D322"/>
      <c r="E322"/>
      <c r="F322"/>
      <c r="G322"/>
      <c r="H322"/>
      <c r="I322"/>
      <c r="J322"/>
      <c r="K322"/>
      <c r="L322"/>
      <c r="M322"/>
      <c r="N322"/>
      <c r="O322"/>
      <c r="P322"/>
      <c r="R322"/>
      <c r="S322"/>
      <c r="T322"/>
      <c r="U322"/>
      <c r="V322"/>
      <c r="W322"/>
      <c r="X322"/>
      <c r="Y322"/>
      <c r="Z322"/>
    </row>
    <row r="323" spans="2:26">
      <c r="B323"/>
      <c r="D323"/>
      <c r="E323"/>
      <c r="F323"/>
      <c r="G323"/>
      <c r="H323"/>
      <c r="I323"/>
      <c r="J323"/>
      <c r="K323"/>
      <c r="L323"/>
      <c r="M323"/>
      <c r="N323"/>
      <c r="O323"/>
      <c r="P323"/>
      <c r="R323"/>
      <c r="S323"/>
      <c r="T323"/>
      <c r="U323"/>
      <c r="V323"/>
      <c r="W323"/>
      <c r="X323"/>
      <c r="Y323"/>
      <c r="Z323"/>
    </row>
    <row r="324" spans="2:26">
      <c r="B324"/>
      <c r="D324"/>
      <c r="E324"/>
      <c r="F324"/>
      <c r="G324"/>
      <c r="H324"/>
      <c r="I324"/>
      <c r="J324"/>
      <c r="K324"/>
      <c r="L324"/>
      <c r="M324"/>
      <c r="N324"/>
      <c r="O324"/>
      <c r="P324"/>
      <c r="R324"/>
      <c r="S324"/>
      <c r="T324"/>
      <c r="U324"/>
      <c r="V324"/>
      <c r="W324"/>
      <c r="X324"/>
      <c r="Y324"/>
      <c r="Z324"/>
    </row>
    <row r="325" spans="2:26">
      <c r="B325"/>
      <c r="D325"/>
      <c r="E325"/>
      <c r="F325"/>
      <c r="G325"/>
      <c r="H325"/>
      <c r="I325"/>
      <c r="J325"/>
      <c r="K325"/>
      <c r="L325"/>
      <c r="M325"/>
      <c r="N325"/>
      <c r="O325"/>
      <c r="P325"/>
      <c r="R325"/>
      <c r="S325"/>
      <c r="T325"/>
      <c r="U325"/>
      <c r="V325"/>
      <c r="W325"/>
      <c r="X325"/>
      <c r="Y325"/>
      <c r="Z325"/>
    </row>
    <row r="326" spans="2:26">
      <c r="B326"/>
      <c r="D326"/>
      <c r="E326"/>
      <c r="F326"/>
      <c r="G326"/>
      <c r="H326"/>
      <c r="I326"/>
      <c r="J326"/>
      <c r="K326"/>
      <c r="L326"/>
      <c r="M326"/>
      <c r="N326"/>
      <c r="O326"/>
      <c r="P326"/>
      <c r="R326"/>
      <c r="S326"/>
      <c r="T326"/>
      <c r="U326"/>
      <c r="V326"/>
      <c r="W326"/>
      <c r="X326"/>
      <c r="Y326"/>
      <c r="Z326"/>
    </row>
    <row r="327" spans="2:26">
      <c r="B327"/>
      <c r="D327"/>
      <c r="E327"/>
      <c r="F327"/>
      <c r="G327"/>
      <c r="H327"/>
      <c r="I327"/>
      <c r="J327"/>
      <c r="K327"/>
      <c r="L327"/>
      <c r="M327"/>
      <c r="N327"/>
      <c r="O327"/>
      <c r="P327"/>
      <c r="R327"/>
      <c r="S327"/>
      <c r="T327"/>
      <c r="U327"/>
      <c r="V327"/>
      <c r="W327"/>
      <c r="X327"/>
      <c r="Y327"/>
      <c r="Z327"/>
    </row>
    <row r="328" spans="2:26">
      <c r="B328"/>
      <c r="D328"/>
      <c r="E328"/>
      <c r="F328"/>
      <c r="G328"/>
      <c r="H328"/>
      <c r="I328"/>
      <c r="J328"/>
      <c r="K328"/>
      <c r="L328"/>
      <c r="M328"/>
      <c r="N328"/>
      <c r="O328"/>
      <c r="P328"/>
      <c r="R328"/>
      <c r="S328"/>
      <c r="T328"/>
      <c r="U328"/>
      <c r="V328"/>
      <c r="W328"/>
      <c r="X328"/>
      <c r="Y328"/>
      <c r="Z328"/>
    </row>
    <row r="329" spans="2:26">
      <c r="B329"/>
      <c r="D329"/>
      <c r="E329"/>
      <c r="F329"/>
      <c r="G329"/>
      <c r="H329"/>
      <c r="I329"/>
      <c r="J329"/>
      <c r="K329"/>
      <c r="L329"/>
      <c r="M329"/>
      <c r="N329"/>
      <c r="O329"/>
      <c r="P329"/>
      <c r="R329"/>
      <c r="S329"/>
      <c r="T329"/>
      <c r="U329"/>
      <c r="V329"/>
      <c r="W329"/>
      <c r="X329"/>
      <c r="Y329"/>
      <c r="Z329"/>
    </row>
    <row r="330" spans="2:26">
      <c r="B330"/>
      <c r="D330"/>
      <c r="E330"/>
      <c r="F330"/>
      <c r="G330"/>
      <c r="H330"/>
      <c r="I330"/>
      <c r="J330"/>
      <c r="K330"/>
      <c r="L330"/>
      <c r="M330"/>
      <c r="N330"/>
      <c r="O330"/>
      <c r="P330"/>
      <c r="R330"/>
      <c r="S330"/>
      <c r="T330"/>
      <c r="U330"/>
      <c r="V330"/>
      <c r="W330"/>
      <c r="X330"/>
      <c r="Y330"/>
      <c r="Z330"/>
    </row>
    <row r="331" spans="2:26">
      <c r="B331"/>
      <c r="D331"/>
      <c r="E331"/>
      <c r="F331"/>
      <c r="G331"/>
      <c r="H331"/>
      <c r="I331"/>
      <c r="J331"/>
      <c r="K331"/>
      <c r="L331"/>
      <c r="M331"/>
      <c r="N331"/>
      <c r="O331"/>
      <c r="P331"/>
      <c r="R331"/>
      <c r="S331"/>
      <c r="T331"/>
      <c r="U331"/>
      <c r="V331"/>
      <c r="W331"/>
      <c r="X331"/>
      <c r="Y331"/>
      <c r="Z331"/>
    </row>
    <row r="332" spans="2:26">
      <c r="B332"/>
      <c r="D332"/>
      <c r="E332"/>
      <c r="F332"/>
      <c r="G332"/>
      <c r="H332"/>
      <c r="I332"/>
      <c r="J332"/>
      <c r="K332"/>
      <c r="L332"/>
      <c r="M332"/>
      <c r="N332"/>
      <c r="O332"/>
      <c r="P332"/>
      <c r="R332"/>
      <c r="S332"/>
      <c r="T332"/>
      <c r="U332"/>
      <c r="V332"/>
      <c r="W332"/>
      <c r="X332"/>
      <c r="Y332"/>
      <c r="Z332"/>
    </row>
    <row r="333" spans="2:26">
      <c r="B333"/>
      <c r="D333"/>
      <c r="E333"/>
      <c r="F333"/>
      <c r="G333"/>
      <c r="H333"/>
      <c r="I333"/>
      <c r="J333"/>
      <c r="K333"/>
      <c r="L333"/>
      <c r="M333"/>
      <c r="N333"/>
      <c r="O333"/>
      <c r="P333"/>
      <c r="R333"/>
      <c r="S333"/>
      <c r="T333"/>
      <c r="U333"/>
      <c r="V333"/>
      <c r="W333"/>
      <c r="X333"/>
      <c r="Y333"/>
      <c r="Z333"/>
    </row>
    <row r="334" spans="2:26">
      <c r="B334"/>
      <c r="D334"/>
      <c r="E334"/>
      <c r="F334"/>
      <c r="G334"/>
      <c r="H334"/>
      <c r="I334"/>
      <c r="J334"/>
      <c r="K334"/>
      <c r="L334"/>
      <c r="M334"/>
      <c r="N334"/>
      <c r="O334"/>
      <c r="P334"/>
      <c r="R334"/>
      <c r="S334"/>
      <c r="T334"/>
      <c r="U334"/>
      <c r="V334"/>
      <c r="W334"/>
      <c r="X334"/>
      <c r="Y334"/>
      <c r="Z334"/>
    </row>
    <row r="335" spans="2:26">
      <c r="B335"/>
      <c r="D335"/>
      <c r="E335"/>
      <c r="F335"/>
      <c r="G335"/>
      <c r="H335"/>
      <c r="I335"/>
      <c r="J335"/>
      <c r="K335"/>
      <c r="L335"/>
      <c r="M335"/>
      <c r="N335"/>
      <c r="O335"/>
      <c r="P335"/>
      <c r="R335"/>
      <c r="S335"/>
      <c r="T335"/>
      <c r="U335"/>
      <c r="V335"/>
      <c r="W335"/>
      <c r="X335"/>
      <c r="Y335"/>
      <c r="Z335"/>
    </row>
    <row r="336" spans="2:26">
      <c r="B336"/>
      <c r="D336"/>
      <c r="E336"/>
      <c r="F336"/>
      <c r="G336"/>
      <c r="H336"/>
      <c r="I336"/>
      <c r="J336"/>
      <c r="K336"/>
      <c r="L336"/>
      <c r="M336"/>
      <c r="N336"/>
      <c r="O336"/>
      <c r="P336"/>
      <c r="R336"/>
      <c r="S336"/>
      <c r="T336"/>
      <c r="U336"/>
      <c r="V336"/>
      <c r="W336"/>
      <c r="X336"/>
      <c r="Y336"/>
      <c r="Z336"/>
    </row>
    <row r="337" spans="2:26">
      <c r="B337"/>
      <c r="D337"/>
      <c r="E337"/>
      <c r="F337"/>
      <c r="G337"/>
      <c r="H337"/>
      <c r="I337"/>
      <c r="J337"/>
      <c r="K337"/>
      <c r="L337"/>
      <c r="M337"/>
      <c r="N337"/>
      <c r="O337"/>
      <c r="P337"/>
      <c r="R337"/>
      <c r="S337"/>
      <c r="T337"/>
      <c r="U337"/>
      <c r="V337"/>
      <c r="W337"/>
      <c r="X337"/>
      <c r="Y337"/>
      <c r="Z337"/>
    </row>
    <row r="338" spans="2:26">
      <c r="B338"/>
      <c r="D338"/>
      <c r="E338"/>
      <c r="F338"/>
      <c r="G338"/>
      <c r="H338"/>
      <c r="I338"/>
      <c r="J338"/>
      <c r="K338"/>
      <c r="L338"/>
      <c r="M338"/>
      <c r="N338"/>
      <c r="O338"/>
      <c r="P338"/>
      <c r="R338"/>
      <c r="S338"/>
      <c r="T338"/>
      <c r="U338"/>
      <c r="V338"/>
      <c r="W338"/>
      <c r="X338"/>
      <c r="Y338"/>
      <c r="Z338"/>
    </row>
    <row r="339" spans="2:26">
      <c r="B339"/>
      <c r="D339"/>
      <c r="E339"/>
      <c r="F339"/>
      <c r="G339"/>
      <c r="H339"/>
      <c r="I339"/>
      <c r="J339"/>
      <c r="K339"/>
      <c r="L339"/>
      <c r="M339"/>
      <c r="N339"/>
      <c r="O339"/>
      <c r="P339"/>
      <c r="R339"/>
      <c r="S339"/>
      <c r="T339"/>
      <c r="U339"/>
      <c r="V339"/>
      <c r="W339"/>
      <c r="X339"/>
      <c r="Y339"/>
      <c r="Z339"/>
    </row>
    <row r="340" spans="2:26">
      <c r="B340"/>
      <c r="D340"/>
      <c r="E340"/>
      <c r="F340"/>
      <c r="G340"/>
      <c r="H340"/>
      <c r="I340"/>
      <c r="J340"/>
      <c r="K340"/>
      <c r="L340"/>
      <c r="M340"/>
      <c r="N340"/>
      <c r="O340"/>
      <c r="P340"/>
      <c r="R340"/>
      <c r="S340"/>
      <c r="T340"/>
      <c r="U340"/>
      <c r="V340"/>
      <c r="W340"/>
      <c r="X340"/>
      <c r="Y340"/>
      <c r="Z340"/>
    </row>
    <row r="341" spans="2:26">
      <c r="B341"/>
      <c r="D341"/>
      <c r="E341"/>
      <c r="F341"/>
      <c r="G341"/>
      <c r="H341"/>
      <c r="I341"/>
      <c r="J341"/>
      <c r="K341"/>
      <c r="L341"/>
      <c r="M341"/>
      <c r="N341"/>
      <c r="O341"/>
      <c r="P341"/>
      <c r="R341"/>
      <c r="S341"/>
      <c r="T341"/>
      <c r="U341"/>
      <c r="V341"/>
      <c r="W341"/>
      <c r="X341"/>
      <c r="Y341"/>
      <c r="Z341"/>
    </row>
    <row r="342" spans="2:26">
      <c r="B342"/>
      <c r="D342"/>
      <c r="E342"/>
      <c r="F342"/>
      <c r="G342"/>
      <c r="H342"/>
      <c r="I342"/>
      <c r="J342"/>
      <c r="K342"/>
      <c r="L342"/>
      <c r="M342"/>
      <c r="N342"/>
      <c r="O342"/>
      <c r="P342"/>
      <c r="R342"/>
      <c r="S342"/>
      <c r="T342"/>
      <c r="U342"/>
      <c r="V342"/>
      <c r="W342"/>
      <c r="X342"/>
      <c r="Y342"/>
      <c r="Z342"/>
    </row>
    <row r="343" spans="2:26">
      <c r="B343"/>
      <c r="D343"/>
      <c r="E343"/>
      <c r="F343"/>
      <c r="G343"/>
      <c r="H343"/>
      <c r="I343"/>
      <c r="J343"/>
      <c r="K343"/>
      <c r="L343"/>
      <c r="M343"/>
      <c r="N343"/>
      <c r="O343"/>
      <c r="P343"/>
      <c r="R343"/>
      <c r="S343"/>
      <c r="T343"/>
      <c r="U343"/>
      <c r="V343"/>
      <c r="W343"/>
      <c r="X343"/>
      <c r="Y343"/>
      <c r="Z343"/>
    </row>
    <row r="344" spans="2:26">
      <c r="B344"/>
      <c r="D344"/>
      <c r="E344"/>
      <c r="F344"/>
      <c r="G344"/>
      <c r="H344"/>
      <c r="I344"/>
      <c r="J344"/>
      <c r="K344"/>
      <c r="L344"/>
      <c r="M344"/>
      <c r="N344"/>
      <c r="O344"/>
      <c r="P344"/>
      <c r="R344"/>
      <c r="S344"/>
      <c r="T344"/>
      <c r="U344"/>
      <c r="V344"/>
      <c r="W344"/>
      <c r="X344"/>
      <c r="Y344"/>
      <c r="Z344"/>
    </row>
    <row r="345" spans="2:26">
      <c r="B345"/>
      <c r="D345"/>
      <c r="E345"/>
      <c r="F345"/>
      <c r="G345"/>
      <c r="H345"/>
      <c r="I345"/>
      <c r="J345"/>
      <c r="K345"/>
      <c r="L345"/>
      <c r="M345"/>
      <c r="N345"/>
      <c r="O345"/>
      <c r="P345"/>
      <c r="R345"/>
      <c r="S345"/>
      <c r="T345"/>
      <c r="U345"/>
      <c r="V345"/>
      <c r="W345"/>
      <c r="X345"/>
      <c r="Y345"/>
      <c r="Z345"/>
    </row>
    <row r="346" spans="2:26">
      <c r="B346"/>
      <c r="D346"/>
      <c r="E346"/>
      <c r="F346"/>
      <c r="G346"/>
      <c r="H346"/>
      <c r="I346"/>
      <c r="J346"/>
      <c r="K346"/>
      <c r="L346"/>
      <c r="M346"/>
      <c r="N346"/>
      <c r="O346"/>
      <c r="P346"/>
      <c r="R346"/>
      <c r="S346"/>
      <c r="T346"/>
      <c r="U346"/>
      <c r="V346"/>
      <c r="W346"/>
      <c r="X346"/>
      <c r="Y346"/>
      <c r="Z346"/>
    </row>
    <row r="347" spans="2:26">
      <c r="B347"/>
      <c r="D347"/>
      <c r="E347"/>
      <c r="F347"/>
      <c r="G347"/>
      <c r="H347"/>
      <c r="I347"/>
      <c r="J347"/>
      <c r="K347"/>
      <c r="L347"/>
      <c r="M347"/>
      <c r="N347"/>
      <c r="O347"/>
      <c r="P347"/>
      <c r="R347"/>
      <c r="S347"/>
      <c r="T347"/>
      <c r="U347"/>
      <c r="V347"/>
      <c r="W347"/>
      <c r="X347"/>
      <c r="Y347"/>
      <c r="Z347"/>
    </row>
    <row r="348" spans="2:26">
      <c r="B348"/>
      <c r="D348"/>
      <c r="E348"/>
      <c r="F348"/>
      <c r="G348"/>
      <c r="H348"/>
      <c r="I348"/>
      <c r="J348"/>
      <c r="K348"/>
      <c r="L348"/>
      <c r="M348"/>
      <c r="N348"/>
      <c r="O348"/>
      <c r="P348"/>
      <c r="R348"/>
      <c r="S348"/>
      <c r="T348"/>
      <c r="U348"/>
      <c r="V348"/>
      <c r="W348"/>
      <c r="X348"/>
      <c r="Y348"/>
      <c r="Z348"/>
    </row>
    <row r="349" spans="2:26">
      <c r="B349"/>
      <c r="D349"/>
      <c r="E349"/>
      <c r="F349"/>
      <c r="G349"/>
      <c r="H349"/>
      <c r="I349"/>
      <c r="J349"/>
      <c r="K349"/>
      <c r="L349"/>
      <c r="M349"/>
      <c r="N349"/>
      <c r="O349"/>
      <c r="P349"/>
      <c r="R349"/>
      <c r="S349"/>
      <c r="T349"/>
      <c r="U349"/>
      <c r="V349"/>
      <c r="W349"/>
      <c r="X349"/>
      <c r="Y349"/>
      <c r="Z349"/>
    </row>
    <row r="350" spans="2:26">
      <c r="B350"/>
      <c r="D350"/>
      <c r="E350"/>
      <c r="F350"/>
      <c r="G350"/>
      <c r="H350"/>
      <c r="I350"/>
      <c r="J350"/>
      <c r="K350"/>
      <c r="L350"/>
      <c r="M350"/>
      <c r="N350"/>
      <c r="O350"/>
      <c r="P350"/>
      <c r="R350"/>
      <c r="S350"/>
      <c r="T350"/>
      <c r="U350"/>
      <c r="V350"/>
      <c r="W350"/>
      <c r="X350"/>
      <c r="Y350"/>
      <c r="Z350"/>
    </row>
    <row r="351" spans="2:26">
      <c r="B351"/>
      <c r="D351"/>
      <c r="E351"/>
      <c r="F351"/>
      <c r="G351"/>
      <c r="H351"/>
      <c r="I351"/>
      <c r="J351"/>
      <c r="K351"/>
      <c r="L351"/>
      <c r="M351"/>
      <c r="N351"/>
      <c r="O351"/>
      <c r="P351"/>
      <c r="R351"/>
      <c r="S351"/>
      <c r="T351"/>
      <c r="U351"/>
      <c r="V351"/>
      <c r="W351"/>
      <c r="X351"/>
      <c r="Y351"/>
      <c r="Z351"/>
    </row>
    <row r="352" spans="2:26">
      <c r="B352"/>
      <c r="D352"/>
      <c r="E352"/>
      <c r="F352"/>
      <c r="G352"/>
      <c r="H352"/>
      <c r="I352"/>
      <c r="J352"/>
      <c r="K352"/>
      <c r="L352"/>
      <c r="M352"/>
      <c r="N352"/>
      <c r="O352"/>
      <c r="P352"/>
      <c r="R352"/>
      <c r="S352"/>
      <c r="T352"/>
      <c r="U352"/>
      <c r="V352"/>
      <c r="W352"/>
      <c r="X352"/>
      <c r="Y352"/>
      <c r="Z352"/>
    </row>
    <row r="353" spans="2:26">
      <c r="B353"/>
      <c r="D353"/>
      <c r="E353"/>
      <c r="F353"/>
      <c r="G353"/>
      <c r="H353"/>
      <c r="I353"/>
      <c r="J353"/>
      <c r="K353"/>
      <c r="L353"/>
      <c r="M353"/>
      <c r="N353"/>
      <c r="O353"/>
      <c r="P353"/>
      <c r="R353"/>
      <c r="S353"/>
      <c r="T353"/>
      <c r="U353"/>
      <c r="V353"/>
      <c r="W353"/>
      <c r="X353"/>
      <c r="Y353"/>
      <c r="Z353"/>
    </row>
    <row r="354" spans="2:26">
      <c r="B354"/>
      <c r="D354"/>
      <c r="E354"/>
      <c r="F354"/>
      <c r="G354"/>
      <c r="H354"/>
      <c r="I354"/>
      <c r="J354"/>
      <c r="K354"/>
      <c r="L354"/>
      <c r="M354"/>
      <c r="N354"/>
      <c r="O354"/>
      <c r="P354"/>
      <c r="R354"/>
      <c r="S354"/>
      <c r="T354"/>
      <c r="U354"/>
      <c r="V354"/>
      <c r="W354"/>
      <c r="X354"/>
      <c r="Y354"/>
      <c r="Z354"/>
    </row>
    <row r="355" spans="2:26">
      <c r="B355"/>
      <c r="D355"/>
      <c r="E355"/>
      <c r="F355"/>
      <c r="G355"/>
      <c r="H355"/>
      <c r="I355"/>
      <c r="J355"/>
      <c r="K355"/>
      <c r="L355"/>
      <c r="M355"/>
      <c r="N355"/>
      <c r="O355"/>
      <c r="P355"/>
      <c r="R355"/>
      <c r="S355"/>
      <c r="T355"/>
      <c r="U355"/>
      <c r="V355"/>
      <c r="W355"/>
      <c r="X355"/>
      <c r="Y355"/>
      <c r="Z355"/>
    </row>
    <row r="356" spans="2:26">
      <c r="B356"/>
      <c r="D356"/>
      <c r="E356"/>
      <c r="F356"/>
      <c r="G356"/>
      <c r="H356"/>
      <c r="I356"/>
      <c r="J356"/>
      <c r="K356"/>
      <c r="L356"/>
      <c r="M356"/>
      <c r="N356"/>
      <c r="O356"/>
      <c r="P356"/>
      <c r="R356"/>
      <c r="S356"/>
      <c r="T356"/>
      <c r="U356"/>
      <c r="V356"/>
      <c r="W356"/>
      <c r="X356"/>
      <c r="Y356"/>
      <c r="Z356"/>
    </row>
    <row r="357" spans="2:26">
      <c r="B357"/>
      <c r="D357"/>
      <c r="E357"/>
      <c r="F357"/>
      <c r="G357"/>
      <c r="H357"/>
      <c r="I357"/>
      <c r="J357"/>
      <c r="K357"/>
      <c r="L357"/>
      <c r="M357"/>
      <c r="N357"/>
      <c r="O357"/>
      <c r="P357"/>
      <c r="R357"/>
      <c r="S357"/>
      <c r="T357"/>
      <c r="U357"/>
      <c r="V357"/>
      <c r="W357"/>
      <c r="X357"/>
      <c r="Y357"/>
      <c r="Z357"/>
    </row>
    <row r="358" spans="2:26">
      <c r="B358"/>
      <c r="D358"/>
      <c r="E358"/>
      <c r="F358"/>
      <c r="G358"/>
      <c r="H358"/>
      <c r="I358"/>
      <c r="J358"/>
      <c r="K358"/>
      <c r="L358"/>
      <c r="M358"/>
      <c r="N358"/>
      <c r="O358"/>
      <c r="P358"/>
      <c r="R358"/>
      <c r="S358"/>
      <c r="T358"/>
      <c r="U358"/>
      <c r="V358"/>
      <c r="W358"/>
      <c r="X358"/>
      <c r="Y358"/>
      <c r="Z358"/>
    </row>
    <row r="359" spans="2:26">
      <c r="B359"/>
      <c r="D359"/>
      <c r="E359"/>
      <c r="F359"/>
      <c r="G359"/>
      <c r="H359"/>
      <c r="I359"/>
      <c r="J359"/>
      <c r="K359"/>
      <c r="L359"/>
      <c r="M359"/>
      <c r="N359"/>
      <c r="O359"/>
      <c r="P359"/>
      <c r="R359"/>
      <c r="S359"/>
      <c r="T359"/>
      <c r="U359"/>
      <c r="V359"/>
      <c r="W359"/>
      <c r="X359"/>
      <c r="Y359"/>
      <c r="Z359"/>
    </row>
    <row r="360" spans="2:26">
      <c r="B360"/>
      <c r="D360"/>
      <c r="E360"/>
      <c r="F360"/>
      <c r="G360"/>
      <c r="H360"/>
      <c r="I360"/>
      <c r="J360"/>
      <c r="K360"/>
      <c r="L360"/>
      <c r="M360"/>
      <c r="N360"/>
      <c r="O360"/>
      <c r="P360"/>
      <c r="R360"/>
      <c r="S360"/>
      <c r="T360"/>
      <c r="U360"/>
      <c r="V360"/>
      <c r="W360"/>
      <c r="X360"/>
      <c r="Y360"/>
      <c r="Z360"/>
    </row>
    <row r="361" spans="2:26">
      <c r="B361"/>
      <c r="D361"/>
      <c r="E361"/>
      <c r="F361"/>
      <c r="G361"/>
      <c r="H361"/>
      <c r="I361"/>
      <c r="J361"/>
      <c r="K361"/>
      <c r="L361"/>
      <c r="M361"/>
      <c r="N361"/>
      <c r="O361"/>
      <c r="P361"/>
      <c r="R361"/>
      <c r="S361"/>
      <c r="T361"/>
      <c r="U361"/>
      <c r="V361"/>
      <c r="W361"/>
      <c r="X361"/>
      <c r="Y361"/>
      <c r="Z361"/>
    </row>
    <row r="362" spans="2:26">
      <c r="B362"/>
      <c r="D362"/>
      <c r="E362"/>
      <c r="F362"/>
      <c r="G362"/>
      <c r="H362"/>
      <c r="I362"/>
      <c r="J362"/>
      <c r="K362"/>
      <c r="L362"/>
      <c r="M362"/>
      <c r="N362"/>
      <c r="O362"/>
      <c r="P362"/>
      <c r="R362"/>
      <c r="S362"/>
      <c r="T362"/>
      <c r="U362"/>
      <c r="V362"/>
      <c r="W362"/>
      <c r="X362"/>
      <c r="Y362"/>
      <c r="Z362"/>
    </row>
    <row r="363" spans="2:26">
      <c r="B363"/>
      <c r="D363"/>
      <c r="E363"/>
      <c r="F363"/>
      <c r="G363"/>
      <c r="H363"/>
      <c r="I363"/>
      <c r="J363"/>
      <c r="K363"/>
      <c r="L363"/>
      <c r="M363"/>
      <c r="N363"/>
      <c r="O363"/>
      <c r="P363"/>
      <c r="R363"/>
      <c r="S363"/>
      <c r="T363"/>
      <c r="U363"/>
      <c r="V363"/>
      <c r="W363"/>
      <c r="X363"/>
      <c r="Y363"/>
      <c r="Z363"/>
    </row>
    <row r="364" spans="2:26">
      <c r="B364"/>
      <c r="D364"/>
      <c r="E364"/>
      <c r="F364"/>
      <c r="G364"/>
      <c r="H364"/>
      <c r="I364"/>
      <c r="J364"/>
      <c r="K364"/>
      <c r="L364"/>
      <c r="M364"/>
      <c r="N364"/>
      <c r="O364"/>
      <c r="P364"/>
      <c r="R364"/>
      <c r="S364"/>
      <c r="T364"/>
      <c r="U364"/>
      <c r="V364"/>
      <c r="W364"/>
      <c r="X364"/>
      <c r="Y364"/>
      <c r="Z364"/>
    </row>
    <row r="365" spans="2:26">
      <c r="B365"/>
      <c r="D365"/>
      <c r="E365"/>
      <c r="F365"/>
      <c r="G365"/>
      <c r="H365"/>
      <c r="I365"/>
      <c r="J365"/>
      <c r="K365"/>
      <c r="L365"/>
      <c r="M365"/>
      <c r="N365"/>
      <c r="O365"/>
      <c r="P365"/>
      <c r="R365"/>
      <c r="S365"/>
      <c r="T365"/>
      <c r="U365"/>
      <c r="V365"/>
      <c r="W365"/>
      <c r="X365"/>
      <c r="Y365"/>
      <c r="Z365"/>
    </row>
    <row r="366" spans="2:26">
      <c r="B366"/>
      <c r="D366"/>
      <c r="E366"/>
      <c r="F366"/>
      <c r="G366"/>
      <c r="H366"/>
      <c r="I366"/>
      <c r="J366"/>
      <c r="K366"/>
      <c r="L366"/>
      <c r="M366"/>
      <c r="N366"/>
      <c r="O366"/>
      <c r="P366"/>
      <c r="R366"/>
      <c r="S366"/>
      <c r="T366"/>
      <c r="U366"/>
      <c r="V366"/>
      <c r="W366"/>
      <c r="X366"/>
      <c r="Y366"/>
      <c r="Z366"/>
    </row>
    <row r="367" spans="2:26">
      <c r="B367"/>
      <c r="D367"/>
      <c r="E367"/>
      <c r="F367"/>
      <c r="G367"/>
      <c r="H367"/>
      <c r="I367"/>
      <c r="J367"/>
      <c r="K367"/>
      <c r="L367"/>
      <c r="M367"/>
      <c r="N367"/>
      <c r="O367"/>
      <c r="P367"/>
      <c r="R367"/>
      <c r="S367"/>
      <c r="T367"/>
      <c r="U367"/>
      <c r="V367"/>
      <c r="W367"/>
      <c r="X367"/>
      <c r="Y367"/>
      <c r="Z367"/>
    </row>
    <row r="368" spans="2:26">
      <c r="B368"/>
      <c r="D368"/>
      <c r="E368"/>
      <c r="F368"/>
      <c r="G368"/>
      <c r="H368"/>
      <c r="I368"/>
      <c r="J368"/>
      <c r="K368"/>
      <c r="L368"/>
      <c r="M368"/>
      <c r="N368"/>
      <c r="O368"/>
      <c r="P368"/>
      <c r="R368"/>
      <c r="S368"/>
      <c r="T368"/>
      <c r="U368"/>
      <c r="V368"/>
      <c r="W368"/>
      <c r="X368"/>
      <c r="Y368"/>
      <c r="Z368"/>
    </row>
    <row r="369" spans="2:26">
      <c r="B369"/>
      <c r="D369"/>
      <c r="E369"/>
      <c r="F369"/>
      <c r="G369"/>
      <c r="H369"/>
      <c r="I369"/>
      <c r="J369"/>
      <c r="K369"/>
      <c r="L369"/>
      <c r="M369"/>
      <c r="N369"/>
      <c r="O369"/>
      <c r="P369"/>
      <c r="R369"/>
      <c r="S369"/>
      <c r="T369"/>
      <c r="U369"/>
      <c r="V369"/>
      <c r="W369"/>
      <c r="X369"/>
      <c r="Y369"/>
      <c r="Z369"/>
    </row>
    <row r="370" spans="2:26">
      <c r="B370"/>
      <c r="D370"/>
      <c r="E370"/>
      <c r="F370"/>
      <c r="G370"/>
      <c r="H370"/>
      <c r="I370"/>
      <c r="J370"/>
      <c r="K370"/>
      <c r="L370"/>
      <c r="M370"/>
      <c r="N370"/>
      <c r="O370"/>
      <c r="P370"/>
      <c r="R370"/>
      <c r="S370"/>
      <c r="T370"/>
      <c r="U370"/>
      <c r="V370"/>
      <c r="W370"/>
      <c r="X370"/>
      <c r="Y370"/>
      <c r="Z370"/>
    </row>
    <row r="371" spans="2:26">
      <c r="B371"/>
      <c r="D371"/>
      <c r="E371"/>
      <c r="F371"/>
      <c r="G371"/>
      <c r="H371"/>
      <c r="I371"/>
      <c r="J371"/>
      <c r="K371"/>
      <c r="L371"/>
      <c r="M371"/>
      <c r="N371"/>
      <c r="O371"/>
      <c r="P371"/>
      <c r="R371"/>
      <c r="S371"/>
      <c r="T371"/>
      <c r="U371"/>
      <c r="V371"/>
      <c r="W371"/>
      <c r="X371"/>
      <c r="Y371"/>
      <c r="Z371"/>
    </row>
    <row r="372" spans="2:26">
      <c r="B372"/>
      <c r="D372"/>
      <c r="E372"/>
      <c r="F372"/>
      <c r="G372"/>
      <c r="H372"/>
      <c r="I372"/>
      <c r="J372"/>
      <c r="K372"/>
      <c r="L372"/>
      <c r="M372"/>
      <c r="N372"/>
      <c r="O372"/>
      <c r="P372"/>
      <c r="R372"/>
      <c r="S372"/>
      <c r="T372"/>
      <c r="U372"/>
      <c r="V372"/>
      <c r="W372"/>
      <c r="X372"/>
      <c r="Y372"/>
      <c r="Z372"/>
    </row>
    <row r="373" spans="2:26">
      <c r="B373"/>
      <c r="D373"/>
      <c r="E373"/>
      <c r="F373"/>
      <c r="G373"/>
      <c r="H373"/>
      <c r="I373"/>
      <c r="J373"/>
      <c r="K373"/>
      <c r="L373"/>
      <c r="M373"/>
      <c r="N373"/>
      <c r="O373"/>
      <c r="P373"/>
      <c r="R373"/>
      <c r="S373"/>
      <c r="T373"/>
      <c r="U373"/>
      <c r="V373"/>
      <c r="W373"/>
      <c r="X373"/>
      <c r="Y373"/>
      <c r="Z373"/>
    </row>
    <row r="374" spans="2:26">
      <c r="B374"/>
      <c r="D374"/>
      <c r="E374"/>
      <c r="F374"/>
      <c r="G374"/>
      <c r="H374"/>
      <c r="I374"/>
      <c r="J374"/>
      <c r="K374"/>
      <c r="L374"/>
      <c r="M374"/>
      <c r="N374"/>
      <c r="O374"/>
      <c r="P374"/>
      <c r="R374"/>
      <c r="S374"/>
      <c r="T374"/>
      <c r="U374"/>
      <c r="V374"/>
      <c r="W374"/>
      <c r="X374"/>
      <c r="Y374"/>
      <c r="Z374"/>
    </row>
    <row r="375" spans="2:26">
      <c r="B375"/>
      <c r="D375"/>
      <c r="E375"/>
      <c r="F375"/>
      <c r="G375"/>
      <c r="H375"/>
      <c r="I375"/>
      <c r="J375"/>
      <c r="K375"/>
      <c r="L375"/>
      <c r="M375"/>
      <c r="N375"/>
      <c r="O375"/>
      <c r="P375"/>
      <c r="R375"/>
      <c r="S375"/>
      <c r="T375"/>
      <c r="U375"/>
      <c r="V375"/>
      <c r="W375"/>
      <c r="X375"/>
      <c r="Y375"/>
      <c r="Z375"/>
    </row>
    <row r="376" spans="2:26">
      <c r="B376"/>
      <c r="D376"/>
      <c r="E376"/>
      <c r="F376"/>
      <c r="G376"/>
      <c r="H376"/>
      <c r="I376"/>
      <c r="J376"/>
      <c r="K376"/>
      <c r="L376"/>
      <c r="M376"/>
      <c r="N376"/>
      <c r="O376"/>
      <c r="P376"/>
      <c r="R376"/>
      <c r="S376"/>
      <c r="T376"/>
      <c r="U376"/>
      <c r="V376"/>
      <c r="W376"/>
      <c r="X376"/>
      <c r="Y376"/>
      <c r="Z376"/>
    </row>
    <row r="377" spans="2:26">
      <c r="B377"/>
      <c r="D377"/>
      <c r="E377"/>
      <c r="F377"/>
      <c r="G377"/>
      <c r="H377"/>
      <c r="I377"/>
      <c r="J377"/>
      <c r="K377"/>
      <c r="L377"/>
      <c r="M377"/>
      <c r="N377"/>
      <c r="O377"/>
      <c r="P377"/>
      <c r="R377"/>
      <c r="S377"/>
      <c r="T377"/>
      <c r="U377"/>
      <c r="V377"/>
      <c r="W377"/>
      <c r="X377"/>
      <c r="Y377"/>
      <c r="Z377"/>
    </row>
    <row r="378" spans="2:26">
      <c r="B378"/>
      <c r="D378"/>
      <c r="E378"/>
      <c r="F378"/>
      <c r="G378"/>
      <c r="H378"/>
      <c r="I378"/>
      <c r="J378"/>
      <c r="K378"/>
      <c r="L378"/>
      <c r="M378"/>
      <c r="N378"/>
      <c r="O378"/>
      <c r="P378"/>
      <c r="R378"/>
      <c r="S378"/>
      <c r="T378"/>
      <c r="U378"/>
      <c r="V378"/>
      <c r="W378"/>
      <c r="X378"/>
      <c r="Y378"/>
      <c r="Z378"/>
    </row>
    <row r="379" spans="2:26">
      <c r="B379"/>
      <c r="D379"/>
      <c r="E379"/>
      <c r="F379"/>
      <c r="G379"/>
      <c r="H379"/>
      <c r="I379"/>
      <c r="J379"/>
      <c r="K379"/>
      <c r="L379"/>
      <c r="M379"/>
      <c r="N379"/>
      <c r="O379"/>
      <c r="P379"/>
      <c r="R379"/>
      <c r="S379"/>
      <c r="T379"/>
      <c r="U379"/>
      <c r="V379"/>
      <c r="W379"/>
      <c r="X379"/>
      <c r="Y379"/>
      <c r="Z379"/>
    </row>
    <row r="380" spans="2:26">
      <c r="B380"/>
      <c r="D380"/>
      <c r="E380"/>
      <c r="F380"/>
      <c r="G380"/>
      <c r="H380"/>
      <c r="I380"/>
      <c r="J380"/>
      <c r="K380"/>
      <c r="L380"/>
      <c r="M380"/>
      <c r="N380"/>
      <c r="O380"/>
      <c r="P380"/>
      <c r="R380"/>
      <c r="S380"/>
      <c r="T380"/>
      <c r="U380"/>
      <c r="V380"/>
      <c r="W380"/>
      <c r="X380"/>
      <c r="Y380"/>
      <c r="Z380"/>
    </row>
    <row r="381" spans="2:26">
      <c r="B381"/>
      <c r="D381"/>
      <c r="E381"/>
      <c r="F381"/>
      <c r="G381"/>
      <c r="H381"/>
      <c r="I381"/>
      <c r="J381"/>
      <c r="K381"/>
      <c r="L381"/>
      <c r="M381"/>
      <c r="N381"/>
      <c r="O381"/>
      <c r="P381"/>
      <c r="R381"/>
      <c r="S381"/>
      <c r="T381"/>
      <c r="U381"/>
      <c r="V381"/>
      <c r="W381"/>
      <c r="X381"/>
      <c r="Y381"/>
      <c r="Z381"/>
    </row>
    <row r="382" spans="2:26">
      <c r="B382"/>
      <c r="D382"/>
      <c r="E382"/>
      <c r="F382"/>
      <c r="G382"/>
      <c r="H382"/>
      <c r="I382"/>
      <c r="J382"/>
      <c r="K382"/>
      <c r="L382"/>
      <c r="M382"/>
      <c r="N382"/>
      <c r="O382"/>
      <c r="P382"/>
      <c r="R382"/>
      <c r="S382"/>
      <c r="T382"/>
      <c r="U382"/>
      <c r="V382"/>
      <c r="W382"/>
      <c r="X382"/>
      <c r="Y382"/>
      <c r="Z382"/>
    </row>
    <row r="383" spans="2:26">
      <c r="B383"/>
      <c r="D383"/>
      <c r="E383"/>
      <c r="F383"/>
      <c r="G383"/>
      <c r="H383"/>
      <c r="I383"/>
      <c r="J383"/>
      <c r="K383"/>
      <c r="L383"/>
      <c r="M383"/>
      <c r="N383"/>
      <c r="O383"/>
      <c r="P383"/>
      <c r="R383"/>
      <c r="S383"/>
      <c r="T383"/>
      <c r="U383"/>
      <c r="V383"/>
      <c r="W383"/>
      <c r="X383"/>
      <c r="Y383"/>
      <c r="Z383"/>
    </row>
    <row r="384" spans="2:26">
      <c r="B384"/>
      <c r="D384"/>
      <c r="E384"/>
      <c r="F384"/>
      <c r="G384"/>
      <c r="H384"/>
      <c r="I384"/>
      <c r="J384"/>
      <c r="K384"/>
      <c r="L384"/>
      <c r="M384"/>
      <c r="N384"/>
      <c r="O384"/>
      <c r="P384"/>
      <c r="R384"/>
      <c r="S384"/>
      <c r="T384"/>
      <c r="U384"/>
      <c r="V384"/>
      <c r="W384"/>
      <c r="X384"/>
      <c r="Y384"/>
      <c r="Z384"/>
    </row>
    <row r="385" spans="2:26">
      <c r="B385"/>
      <c r="D385"/>
      <c r="E385"/>
      <c r="F385"/>
      <c r="G385"/>
      <c r="H385"/>
      <c r="I385"/>
      <c r="J385"/>
      <c r="K385"/>
      <c r="L385"/>
      <c r="M385"/>
      <c r="N385"/>
      <c r="O385"/>
      <c r="P385"/>
      <c r="R385"/>
      <c r="S385"/>
      <c r="T385"/>
      <c r="U385"/>
      <c r="V385"/>
      <c r="W385"/>
      <c r="X385"/>
      <c r="Y385"/>
      <c r="Z385"/>
    </row>
    <row r="386" spans="2:26">
      <c r="B386"/>
      <c r="D386"/>
      <c r="E386"/>
      <c r="F386"/>
      <c r="G386"/>
      <c r="H386"/>
      <c r="I386"/>
      <c r="J386"/>
      <c r="K386"/>
      <c r="L386"/>
      <c r="M386"/>
      <c r="N386"/>
      <c r="O386"/>
      <c r="P386"/>
      <c r="R386"/>
      <c r="S386"/>
      <c r="T386"/>
      <c r="U386"/>
      <c r="V386"/>
      <c r="W386"/>
      <c r="X386"/>
      <c r="Y386"/>
      <c r="Z386"/>
    </row>
    <row r="387" spans="2:26">
      <c r="B387"/>
      <c r="D387"/>
      <c r="E387"/>
      <c r="F387"/>
      <c r="G387"/>
      <c r="H387"/>
      <c r="I387"/>
      <c r="J387"/>
      <c r="K387"/>
      <c r="L387"/>
      <c r="M387"/>
      <c r="N387"/>
      <c r="O387"/>
      <c r="P387"/>
      <c r="R387"/>
      <c r="S387"/>
      <c r="T387"/>
      <c r="U387"/>
      <c r="V387"/>
      <c r="W387"/>
      <c r="X387"/>
      <c r="Y387"/>
      <c r="Z387"/>
    </row>
    <row r="388" spans="2:26">
      <c r="B388"/>
      <c r="D388"/>
      <c r="E388"/>
      <c r="F388"/>
      <c r="G388"/>
      <c r="H388"/>
      <c r="I388"/>
      <c r="J388"/>
      <c r="K388"/>
      <c r="L388"/>
      <c r="M388"/>
      <c r="N388"/>
      <c r="O388"/>
      <c r="P388"/>
      <c r="R388"/>
      <c r="S388"/>
      <c r="T388"/>
      <c r="U388"/>
      <c r="V388"/>
      <c r="W388"/>
      <c r="X388"/>
      <c r="Y388"/>
      <c r="Z388"/>
    </row>
    <row r="389" spans="2:26">
      <c r="B389"/>
      <c r="D389"/>
      <c r="E389"/>
      <c r="F389"/>
      <c r="G389"/>
      <c r="H389"/>
      <c r="I389"/>
      <c r="J389"/>
      <c r="K389"/>
      <c r="L389"/>
      <c r="M389"/>
      <c r="N389"/>
      <c r="O389"/>
      <c r="P389"/>
      <c r="R389"/>
      <c r="S389"/>
      <c r="T389"/>
      <c r="U389"/>
      <c r="V389"/>
      <c r="W389"/>
      <c r="X389"/>
      <c r="Y389"/>
      <c r="Z389"/>
    </row>
    <row r="390" spans="2:26">
      <c r="B390"/>
      <c r="D390"/>
      <c r="E390"/>
      <c r="F390"/>
      <c r="G390"/>
      <c r="H390"/>
      <c r="I390"/>
      <c r="J390"/>
      <c r="K390"/>
      <c r="L390"/>
      <c r="M390"/>
      <c r="N390"/>
      <c r="O390"/>
      <c r="P390"/>
      <c r="R390"/>
      <c r="S390"/>
      <c r="T390"/>
      <c r="U390"/>
      <c r="V390"/>
      <c r="W390"/>
      <c r="X390"/>
      <c r="Y390"/>
      <c r="Z390"/>
    </row>
    <row r="391" spans="2:26">
      <c r="B391"/>
      <c r="D391"/>
      <c r="E391"/>
      <c r="F391"/>
      <c r="G391"/>
      <c r="H391"/>
      <c r="I391"/>
      <c r="J391"/>
      <c r="K391"/>
      <c r="L391"/>
      <c r="M391"/>
      <c r="N391"/>
      <c r="O391"/>
      <c r="P391"/>
      <c r="R391"/>
      <c r="S391"/>
      <c r="T391"/>
      <c r="U391"/>
      <c r="V391"/>
      <c r="W391"/>
      <c r="X391"/>
      <c r="Y391"/>
      <c r="Z391"/>
    </row>
    <row r="392" spans="2:26">
      <c r="B392"/>
      <c r="D392"/>
      <c r="E392"/>
      <c r="F392"/>
      <c r="G392"/>
      <c r="H392"/>
      <c r="I392"/>
      <c r="J392"/>
      <c r="K392"/>
      <c r="L392"/>
      <c r="M392"/>
      <c r="N392"/>
      <c r="O392"/>
      <c r="P392"/>
      <c r="R392"/>
      <c r="S392"/>
      <c r="T392"/>
      <c r="U392"/>
      <c r="V392"/>
      <c r="W392"/>
      <c r="X392"/>
      <c r="Y392"/>
      <c r="Z392"/>
    </row>
    <row r="393" spans="2:26">
      <c r="B393"/>
      <c r="D393"/>
      <c r="E393"/>
      <c r="F393"/>
      <c r="G393"/>
      <c r="H393"/>
      <c r="I393"/>
      <c r="J393"/>
      <c r="K393"/>
      <c r="L393"/>
      <c r="M393"/>
      <c r="N393"/>
      <c r="O393"/>
      <c r="P393"/>
      <c r="R393"/>
      <c r="S393"/>
      <c r="T393"/>
      <c r="U393"/>
      <c r="V393"/>
      <c r="W393"/>
      <c r="X393"/>
      <c r="Y393"/>
      <c r="Z393"/>
    </row>
    <row r="394" spans="2:26">
      <c r="B394"/>
      <c r="D394"/>
      <c r="E394"/>
      <c r="F394"/>
      <c r="G394"/>
      <c r="H394"/>
      <c r="I394"/>
      <c r="J394"/>
      <c r="K394"/>
      <c r="L394"/>
      <c r="M394"/>
      <c r="N394"/>
      <c r="O394"/>
      <c r="P394"/>
      <c r="R394"/>
      <c r="S394"/>
      <c r="T394"/>
      <c r="U394"/>
      <c r="V394"/>
      <c r="W394"/>
      <c r="X394"/>
      <c r="Y394"/>
      <c r="Z394"/>
    </row>
    <row r="395" spans="2:26">
      <c r="B395"/>
      <c r="D395"/>
      <c r="E395"/>
      <c r="F395"/>
      <c r="G395"/>
      <c r="H395"/>
      <c r="I395"/>
      <c r="J395"/>
      <c r="K395"/>
      <c r="L395"/>
      <c r="M395"/>
      <c r="N395"/>
      <c r="O395"/>
      <c r="P395"/>
      <c r="R395"/>
      <c r="S395"/>
      <c r="T395"/>
      <c r="U395"/>
      <c r="V395"/>
      <c r="W395"/>
      <c r="X395"/>
      <c r="Y395"/>
      <c r="Z395"/>
    </row>
    <row r="396" spans="2:26">
      <c r="B396"/>
      <c r="D396"/>
      <c r="E396"/>
      <c r="F396"/>
      <c r="G396"/>
      <c r="H396"/>
      <c r="I396"/>
      <c r="J396"/>
      <c r="K396"/>
      <c r="L396"/>
      <c r="M396"/>
      <c r="N396"/>
      <c r="O396"/>
      <c r="P396"/>
      <c r="R396"/>
      <c r="S396"/>
      <c r="T396"/>
      <c r="U396"/>
      <c r="V396"/>
      <c r="W396"/>
      <c r="X396"/>
      <c r="Y396"/>
      <c r="Z396"/>
    </row>
    <row r="397" spans="2:26">
      <c r="B397"/>
      <c r="D397"/>
      <c r="E397"/>
      <c r="F397"/>
      <c r="G397"/>
      <c r="H397"/>
      <c r="I397"/>
      <c r="J397"/>
      <c r="K397"/>
      <c r="L397"/>
      <c r="M397"/>
      <c r="N397"/>
      <c r="O397"/>
      <c r="P397"/>
      <c r="R397"/>
      <c r="S397"/>
      <c r="T397"/>
      <c r="U397"/>
      <c r="V397"/>
      <c r="W397"/>
      <c r="X397"/>
      <c r="Y397"/>
      <c r="Z397"/>
    </row>
    <row r="398" spans="2:26">
      <c r="B398"/>
      <c r="D398"/>
      <c r="E398"/>
      <c r="F398"/>
      <c r="G398"/>
      <c r="H398"/>
      <c r="I398"/>
      <c r="J398"/>
      <c r="K398"/>
      <c r="L398"/>
      <c r="M398"/>
      <c r="N398"/>
      <c r="O398"/>
      <c r="P398"/>
      <c r="R398"/>
      <c r="S398"/>
      <c r="T398"/>
      <c r="U398"/>
      <c r="V398"/>
      <c r="W398"/>
      <c r="X398"/>
      <c r="Y398"/>
      <c r="Z398"/>
    </row>
    <row r="399" spans="2:26">
      <c r="B399"/>
      <c r="D399"/>
      <c r="E399"/>
      <c r="F399"/>
      <c r="G399"/>
      <c r="H399"/>
      <c r="I399"/>
      <c r="J399"/>
      <c r="K399"/>
      <c r="L399"/>
      <c r="M399"/>
      <c r="N399"/>
      <c r="O399"/>
      <c r="P399"/>
      <c r="R399"/>
      <c r="S399"/>
      <c r="T399"/>
      <c r="U399"/>
      <c r="V399"/>
      <c r="W399"/>
      <c r="X399"/>
      <c r="Y399"/>
      <c r="Z399"/>
    </row>
    <row r="400" spans="2:26">
      <c r="B400"/>
      <c r="D400"/>
      <c r="E400"/>
      <c r="F400"/>
      <c r="G400"/>
      <c r="H400"/>
      <c r="I400"/>
      <c r="J400"/>
      <c r="K400"/>
      <c r="L400"/>
      <c r="M400"/>
      <c r="N400"/>
      <c r="O400"/>
      <c r="P400"/>
      <c r="R400"/>
      <c r="S400"/>
      <c r="T400"/>
      <c r="U400"/>
      <c r="V400"/>
      <c r="W400"/>
      <c r="X400"/>
      <c r="Y400"/>
      <c r="Z400"/>
    </row>
    <row r="401" spans="2:26">
      <c r="B401"/>
      <c r="D401"/>
      <c r="E401"/>
      <c r="F401"/>
      <c r="G401"/>
      <c r="H401"/>
      <c r="I401"/>
      <c r="J401"/>
      <c r="K401"/>
      <c r="L401"/>
      <c r="M401"/>
      <c r="N401"/>
      <c r="O401"/>
      <c r="P401"/>
      <c r="R401"/>
      <c r="S401"/>
      <c r="T401"/>
      <c r="U401"/>
      <c r="V401"/>
      <c r="W401"/>
      <c r="X401"/>
      <c r="Y401"/>
      <c r="Z401"/>
    </row>
    <row r="402" spans="2:26">
      <c r="B402"/>
      <c r="D402"/>
      <c r="E402"/>
      <c r="F402"/>
      <c r="G402"/>
      <c r="H402"/>
      <c r="I402"/>
      <c r="J402"/>
      <c r="K402"/>
      <c r="L402"/>
      <c r="M402"/>
      <c r="N402"/>
      <c r="O402"/>
      <c r="P402"/>
      <c r="R402"/>
      <c r="S402"/>
      <c r="T402"/>
      <c r="U402"/>
      <c r="V402"/>
      <c r="W402"/>
      <c r="X402"/>
      <c r="Y402"/>
      <c r="Z402"/>
    </row>
    <row r="403" spans="2:26">
      <c r="B403"/>
      <c r="D403"/>
      <c r="E403"/>
      <c r="F403"/>
      <c r="G403"/>
      <c r="H403"/>
      <c r="I403"/>
      <c r="J403"/>
      <c r="K403"/>
      <c r="L403"/>
      <c r="M403"/>
      <c r="N403"/>
      <c r="O403"/>
      <c r="P403"/>
      <c r="R403"/>
      <c r="S403"/>
      <c r="T403"/>
      <c r="U403"/>
      <c r="V403"/>
      <c r="W403"/>
      <c r="X403"/>
      <c r="Y403"/>
      <c r="Z403"/>
    </row>
    <row r="404" spans="2:26">
      <c r="B404"/>
      <c r="D404"/>
      <c r="E404"/>
      <c r="F404"/>
      <c r="G404"/>
      <c r="H404"/>
      <c r="I404"/>
      <c r="J404"/>
      <c r="K404"/>
      <c r="L404"/>
      <c r="M404"/>
      <c r="N404"/>
      <c r="O404"/>
      <c r="P404"/>
      <c r="R404"/>
      <c r="S404"/>
      <c r="T404"/>
      <c r="U404"/>
      <c r="V404"/>
      <c r="W404"/>
      <c r="X404"/>
      <c r="Y404"/>
      <c r="Z404"/>
    </row>
    <row r="405" spans="2:26">
      <c r="B405"/>
      <c r="D405"/>
      <c r="E405"/>
      <c r="F405"/>
      <c r="G405"/>
      <c r="H405"/>
      <c r="I405"/>
      <c r="J405"/>
      <c r="K405"/>
      <c r="L405"/>
      <c r="M405"/>
      <c r="N405"/>
      <c r="O405"/>
      <c r="P405"/>
      <c r="R405"/>
      <c r="S405"/>
      <c r="T405"/>
      <c r="U405"/>
      <c r="V405"/>
      <c r="W405"/>
      <c r="X405"/>
      <c r="Y405"/>
      <c r="Z405"/>
    </row>
    <row r="406" spans="2:26">
      <c r="B406"/>
      <c r="D406"/>
      <c r="E406"/>
      <c r="F406"/>
      <c r="G406"/>
      <c r="H406"/>
      <c r="I406"/>
      <c r="J406"/>
      <c r="K406"/>
      <c r="L406"/>
      <c r="M406"/>
      <c r="N406"/>
      <c r="O406"/>
      <c r="P406"/>
      <c r="R406"/>
      <c r="S406"/>
      <c r="T406"/>
      <c r="U406"/>
      <c r="V406"/>
      <c r="W406"/>
      <c r="X406"/>
      <c r="Y406"/>
      <c r="Z406"/>
    </row>
    <row r="407" spans="2:26">
      <c r="B407"/>
      <c r="D407"/>
      <c r="E407"/>
      <c r="F407"/>
      <c r="G407"/>
      <c r="H407"/>
      <c r="I407"/>
      <c r="J407"/>
      <c r="K407"/>
      <c r="L407"/>
      <c r="M407"/>
      <c r="N407"/>
      <c r="O407"/>
      <c r="P407"/>
      <c r="R407"/>
      <c r="S407"/>
      <c r="T407"/>
      <c r="U407"/>
      <c r="V407"/>
      <c r="W407"/>
      <c r="X407"/>
      <c r="Y407"/>
      <c r="Z407"/>
    </row>
    <row r="408" spans="2:26">
      <c r="B408"/>
      <c r="D408"/>
      <c r="E408"/>
      <c r="F408"/>
      <c r="G408"/>
      <c r="H408"/>
      <c r="I408"/>
      <c r="J408"/>
      <c r="K408"/>
      <c r="L408"/>
      <c r="M408"/>
      <c r="N408"/>
      <c r="O408"/>
      <c r="P408"/>
      <c r="R408"/>
      <c r="S408"/>
      <c r="T408"/>
      <c r="U408"/>
      <c r="V408"/>
      <c r="W408"/>
      <c r="X408"/>
      <c r="Y408"/>
      <c r="Z408"/>
    </row>
    <row r="409" spans="2:26">
      <c r="B409"/>
      <c r="D409"/>
      <c r="E409"/>
      <c r="F409"/>
      <c r="G409"/>
      <c r="H409"/>
      <c r="I409"/>
      <c r="J409"/>
      <c r="K409"/>
      <c r="L409"/>
      <c r="M409"/>
      <c r="N409"/>
      <c r="O409"/>
      <c r="P409"/>
      <c r="R409"/>
      <c r="S409"/>
      <c r="T409"/>
      <c r="U409"/>
      <c r="V409"/>
      <c r="W409"/>
      <c r="X409"/>
      <c r="Y409"/>
      <c r="Z409"/>
    </row>
    <row r="410" spans="2:26">
      <c r="B410"/>
      <c r="D410"/>
      <c r="E410"/>
      <c r="F410"/>
      <c r="G410"/>
      <c r="H410"/>
      <c r="I410"/>
      <c r="J410"/>
      <c r="K410"/>
      <c r="L410"/>
      <c r="M410"/>
      <c r="N410"/>
      <c r="O410"/>
      <c r="P410"/>
      <c r="R410"/>
      <c r="S410"/>
      <c r="T410"/>
      <c r="U410"/>
      <c r="V410"/>
      <c r="W410"/>
      <c r="X410"/>
      <c r="Y410"/>
      <c r="Z410"/>
    </row>
    <row r="411" spans="2:26">
      <c r="B411"/>
      <c r="D411"/>
      <c r="E411"/>
      <c r="F411"/>
      <c r="G411"/>
      <c r="H411"/>
      <c r="I411"/>
      <c r="J411"/>
      <c r="K411"/>
      <c r="L411"/>
      <c r="M411"/>
      <c r="N411"/>
      <c r="O411"/>
      <c r="P411"/>
      <c r="R411"/>
      <c r="S411"/>
      <c r="T411"/>
      <c r="U411"/>
      <c r="V411"/>
      <c r="W411"/>
      <c r="X411"/>
      <c r="Y411"/>
      <c r="Z411"/>
    </row>
    <row r="412" spans="2:26">
      <c r="B412"/>
      <c r="D412"/>
      <c r="E412"/>
      <c r="F412"/>
      <c r="G412"/>
      <c r="H412"/>
      <c r="I412"/>
      <c r="J412"/>
      <c r="K412"/>
      <c r="L412"/>
      <c r="M412"/>
      <c r="N412"/>
      <c r="O412"/>
      <c r="P412"/>
      <c r="R412"/>
      <c r="S412"/>
      <c r="T412"/>
      <c r="U412"/>
      <c r="V412"/>
      <c r="W412"/>
      <c r="X412"/>
      <c r="Y412"/>
      <c r="Z412"/>
    </row>
    <row r="413" spans="2:26">
      <c r="B413"/>
      <c r="D413"/>
      <c r="E413"/>
      <c r="F413"/>
      <c r="G413"/>
      <c r="H413"/>
      <c r="I413"/>
      <c r="J413"/>
      <c r="K413"/>
      <c r="L413"/>
      <c r="M413"/>
      <c r="N413"/>
      <c r="O413"/>
      <c r="P413"/>
      <c r="R413"/>
      <c r="S413"/>
      <c r="T413"/>
      <c r="U413"/>
      <c r="V413"/>
      <c r="W413"/>
      <c r="X413"/>
      <c r="Y413"/>
      <c r="Z413"/>
    </row>
    <row r="414" spans="2:26">
      <c r="B414"/>
      <c r="D414"/>
      <c r="E414"/>
      <c r="F414"/>
      <c r="G414"/>
      <c r="H414"/>
      <c r="I414"/>
      <c r="J414"/>
      <c r="K414"/>
      <c r="L414"/>
      <c r="M414"/>
      <c r="N414"/>
      <c r="O414"/>
      <c r="P414"/>
      <c r="R414"/>
      <c r="S414"/>
      <c r="T414"/>
      <c r="U414"/>
      <c r="V414"/>
      <c r="W414"/>
      <c r="X414"/>
      <c r="Y414"/>
      <c r="Z414"/>
    </row>
    <row r="415" spans="2:26">
      <c r="B415"/>
      <c r="D415"/>
      <c r="E415"/>
      <c r="F415"/>
      <c r="G415"/>
      <c r="H415"/>
      <c r="I415"/>
      <c r="J415"/>
      <c r="K415"/>
      <c r="L415"/>
      <c r="M415"/>
      <c r="N415"/>
      <c r="O415"/>
      <c r="P415"/>
      <c r="R415"/>
      <c r="S415"/>
      <c r="T415"/>
      <c r="U415"/>
      <c r="V415"/>
      <c r="W415"/>
      <c r="X415"/>
      <c r="Y415"/>
      <c r="Z415"/>
    </row>
    <row r="416" spans="2:26">
      <c r="B416"/>
      <c r="D416"/>
      <c r="E416"/>
      <c r="F416"/>
      <c r="G416"/>
      <c r="H416"/>
      <c r="I416"/>
      <c r="J416"/>
      <c r="K416"/>
      <c r="L416"/>
      <c r="M416"/>
      <c r="N416"/>
      <c r="O416"/>
      <c r="P416"/>
      <c r="R416"/>
      <c r="S416"/>
      <c r="T416"/>
      <c r="U416"/>
      <c r="V416"/>
      <c r="W416"/>
      <c r="X416"/>
      <c r="Y416"/>
      <c r="Z416"/>
    </row>
    <row r="417" spans="2:26">
      <c r="B417"/>
      <c r="D417"/>
      <c r="E417"/>
      <c r="F417"/>
      <c r="G417"/>
      <c r="H417"/>
      <c r="I417"/>
      <c r="J417"/>
      <c r="K417"/>
      <c r="L417"/>
      <c r="M417"/>
      <c r="N417"/>
      <c r="O417"/>
      <c r="P417"/>
      <c r="R417"/>
      <c r="S417"/>
      <c r="T417"/>
      <c r="U417"/>
      <c r="V417"/>
      <c r="W417"/>
      <c r="X417"/>
      <c r="Y417"/>
      <c r="Z417"/>
    </row>
    <row r="418" spans="2:26">
      <c r="B418"/>
      <c r="D418"/>
      <c r="E418"/>
      <c r="F418"/>
      <c r="G418"/>
      <c r="H418"/>
      <c r="I418"/>
      <c r="J418"/>
      <c r="K418"/>
      <c r="L418"/>
      <c r="M418"/>
      <c r="N418"/>
      <c r="O418"/>
      <c r="P418"/>
      <c r="R418"/>
      <c r="S418"/>
      <c r="T418"/>
      <c r="U418"/>
      <c r="V418"/>
      <c r="W418"/>
      <c r="X418"/>
      <c r="Y418"/>
      <c r="Z418"/>
    </row>
    <row r="419" spans="2:26">
      <c r="B419"/>
      <c r="D419"/>
      <c r="E419"/>
      <c r="F419"/>
      <c r="G419"/>
      <c r="H419"/>
      <c r="I419"/>
      <c r="J419"/>
      <c r="K419"/>
      <c r="L419"/>
      <c r="M419"/>
      <c r="N419"/>
      <c r="O419"/>
      <c r="P419"/>
      <c r="R419"/>
      <c r="S419"/>
      <c r="T419"/>
      <c r="U419"/>
      <c r="V419"/>
      <c r="W419"/>
      <c r="X419"/>
      <c r="Y419"/>
      <c r="Z419"/>
    </row>
    <row r="420" spans="2:26">
      <c r="B420"/>
      <c r="D420"/>
      <c r="E420"/>
      <c r="F420"/>
      <c r="G420"/>
      <c r="H420"/>
      <c r="I420"/>
      <c r="J420"/>
      <c r="K420"/>
      <c r="L420"/>
      <c r="M420"/>
      <c r="N420"/>
      <c r="O420"/>
      <c r="P420"/>
      <c r="R420"/>
      <c r="S420"/>
      <c r="T420"/>
      <c r="U420"/>
      <c r="V420"/>
      <c r="W420"/>
      <c r="X420"/>
      <c r="Y420"/>
      <c r="Z420"/>
    </row>
    <row r="421" spans="2:26">
      <c r="B421"/>
      <c r="D421"/>
      <c r="E421"/>
      <c r="F421"/>
      <c r="G421"/>
      <c r="H421"/>
      <c r="I421"/>
      <c r="J421"/>
      <c r="K421"/>
      <c r="L421"/>
      <c r="M421"/>
      <c r="N421"/>
      <c r="O421"/>
      <c r="P421"/>
      <c r="R421"/>
      <c r="S421"/>
      <c r="T421"/>
      <c r="U421"/>
      <c r="V421"/>
      <c r="W421"/>
      <c r="X421"/>
      <c r="Y421"/>
      <c r="Z421"/>
    </row>
    <row r="422" spans="2:26">
      <c r="B422"/>
      <c r="D422"/>
      <c r="E422"/>
      <c r="F422"/>
      <c r="G422"/>
      <c r="H422"/>
      <c r="I422"/>
      <c r="J422"/>
      <c r="K422"/>
      <c r="L422"/>
      <c r="M422"/>
      <c r="N422"/>
      <c r="O422"/>
      <c r="P422"/>
      <c r="R422"/>
      <c r="S422"/>
      <c r="T422"/>
      <c r="U422"/>
      <c r="V422"/>
      <c r="W422"/>
      <c r="X422"/>
      <c r="Y422"/>
      <c r="Z422"/>
    </row>
    <row r="423" spans="2:26">
      <c r="B423"/>
      <c r="D423"/>
      <c r="E423"/>
      <c r="F423"/>
      <c r="G423"/>
      <c r="H423"/>
      <c r="I423"/>
      <c r="J423"/>
      <c r="K423"/>
      <c r="L423"/>
      <c r="M423"/>
      <c r="N423"/>
      <c r="O423"/>
      <c r="P423"/>
      <c r="R423"/>
      <c r="S423"/>
      <c r="T423"/>
      <c r="U423"/>
      <c r="V423"/>
      <c r="W423"/>
      <c r="X423"/>
      <c r="Y423"/>
      <c r="Z423"/>
    </row>
    <row r="424" spans="2:26">
      <c r="B424"/>
      <c r="D424"/>
      <c r="E424"/>
      <c r="F424"/>
      <c r="G424"/>
      <c r="H424"/>
      <c r="I424"/>
      <c r="J424"/>
      <c r="K424"/>
      <c r="L424"/>
      <c r="M424"/>
      <c r="N424"/>
      <c r="O424"/>
      <c r="P424"/>
      <c r="R424"/>
      <c r="S424"/>
      <c r="T424"/>
      <c r="U424"/>
      <c r="V424"/>
      <c r="W424"/>
      <c r="X424"/>
      <c r="Y424"/>
      <c r="Z424"/>
    </row>
    <row r="425" spans="2:26">
      <c r="B425"/>
      <c r="D425"/>
      <c r="E425"/>
      <c r="F425"/>
      <c r="G425"/>
      <c r="H425"/>
      <c r="I425"/>
      <c r="J425"/>
      <c r="K425"/>
      <c r="L425"/>
      <c r="M425"/>
      <c r="N425"/>
      <c r="O425"/>
      <c r="P425"/>
      <c r="R425"/>
      <c r="S425"/>
      <c r="T425"/>
      <c r="U425"/>
      <c r="V425"/>
      <c r="W425"/>
      <c r="X425"/>
      <c r="Y425"/>
      <c r="Z425"/>
    </row>
    <row r="426" spans="2:26">
      <c r="B426"/>
      <c r="D426"/>
      <c r="E426"/>
      <c r="F426"/>
      <c r="G426"/>
      <c r="H426"/>
      <c r="I426"/>
      <c r="J426"/>
      <c r="K426"/>
      <c r="L426"/>
      <c r="M426"/>
      <c r="N426"/>
      <c r="O426"/>
      <c r="P426"/>
      <c r="R426"/>
      <c r="S426"/>
      <c r="T426"/>
      <c r="U426"/>
      <c r="V426"/>
      <c r="W426"/>
      <c r="X426"/>
      <c r="Y426"/>
      <c r="Z426"/>
    </row>
    <row r="427" spans="2:26">
      <c r="B427"/>
      <c r="D427"/>
      <c r="E427"/>
      <c r="F427"/>
      <c r="G427"/>
      <c r="H427"/>
      <c r="I427"/>
      <c r="J427"/>
      <c r="K427"/>
      <c r="L427"/>
      <c r="M427"/>
      <c r="N427"/>
      <c r="O427"/>
      <c r="P427"/>
      <c r="R427"/>
      <c r="S427"/>
      <c r="T427"/>
      <c r="U427"/>
      <c r="V427"/>
      <c r="W427"/>
      <c r="X427"/>
      <c r="Y427"/>
      <c r="Z427"/>
    </row>
    <row r="428" spans="2:26">
      <c r="B428"/>
      <c r="D428"/>
      <c r="E428"/>
      <c r="F428"/>
      <c r="G428"/>
      <c r="H428"/>
      <c r="I428"/>
      <c r="J428"/>
      <c r="K428"/>
      <c r="L428"/>
      <c r="M428"/>
      <c r="N428"/>
      <c r="O428"/>
      <c r="P428"/>
      <c r="R428"/>
      <c r="S428"/>
      <c r="T428"/>
      <c r="U428"/>
      <c r="V428"/>
      <c r="W428"/>
      <c r="X428"/>
      <c r="Y428"/>
      <c r="Z428"/>
    </row>
    <row r="429" spans="2:26">
      <c r="B429"/>
      <c r="D429"/>
      <c r="E429"/>
      <c r="F429"/>
      <c r="G429"/>
      <c r="H429"/>
      <c r="I429"/>
      <c r="J429"/>
      <c r="K429"/>
      <c r="L429"/>
      <c r="M429"/>
      <c r="N429"/>
      <c r="O429"/>
      <c r="P429"/>
      <c r="R429"/>
      <c r="S429"/>
      <c r="T429"/>
      <c r="U429"/>
      <c r="V429"/>
      <c r="W429"/>
      <c r="X429"/>
      <c r="Y429"/>
      <c r="Z429"/>
    </row>
    <row r="430" spans="2:26">
      <c r="B430"/>
      <c r="D430"/>
      <c r="E430"/>
      <c r="F430"/>
      <c r="G430"/>
      <c r="H430"/>
      <c r="I430"/>
      <c r="J430"/>
      <c r="K430"/>
      <c r="L430"/>
      <c r="M430"/>
      <c r="N430"/>
      <c r="O430"/>
      <c r="P430"/>
      <c r="R430"/>
      <c r="S430"/>
      <c r="T430"/>
      <c r="U430"/>
      <c r="V430"/>
      <c r="W430"/>
      <c r="X430"/>
      <c r="Y430"/>
      <c r="Z430"/>
    </row>
    <row r="431" spans="2:26">
      <c r="B431"/>
      <c r="D431"/>
      <c r="E431"/>
      <c r="F431"/>
      <c r="G431"/>
      <c r="H431"/>
      <c r="I431"/>
      <c r="J431"/>
      <c r="K431"/>
      <c r="L431"/>
      <c r="M431"/>
      <c r="N431"/>
      <c r="O431"/>
      <c r="P431"/>
      <c r="R431"/>
      <c r="S431"/>
      <c r="T431"/>
      <c r="U431"/>
      <c r="V431"/>
      <c r="W431"/>
      <c r="X431"/>
      <c r="Y431"/>
      <c r="Z431"/>
    </row>
    <row r="432" spans="2:26">
      <c r="B432"/>
      <c r="D432"/>
      <c r="E432"/>
      <c r="F432"/>
      <c r="G432"/>
      <c r="H432"/>
      <c r="I432"/>
      <c r="J432"/>
      <c r="K432"/>
      <c r="L432"/>
      <c r="M432"/>
      <c r="N432"/>
      <c r="O432"/>
      <c r="P432"/>
      <c r="R432"/>
      <c r="S432"/>
      <c r="T432"/>
      <c r="U432"/>
      <c r="V432"/>
      <c r="W432"/>
      <c r="X432"/>
      <c r="Y432"/>
      <c r="Z432"/>
    </row>
    <row r="433" spans="2:26">
      <c r="B433"/>
      <c r="D433"/>
      <c r="E433"/>
      <c r="F433"/>
      <c r="G433"/>
      <c r="H433"/>
      <c r="I433"/>
      <c r="J433"/>
      <c r="K433"/>
      <c r="L433"/>
      <c r="M433"/>
      <c r="N433"/>
      <c r="O433"/>
      <c r="P433"/>
      <c r="R433"/>
      <c r="S433"/>
      <c r="T433"/>
      <c r="U433"/>
      <c r="V433"/>
      <c r="W433"/>
      <c r="X433"/>
      <c r="Y433"/>
      <c r="Z433"/>
    </row>
    <row r="434" spans="2:26">
      <c r="B434"/>
      <c r="D434"/>
      <c r="E434"/>
      <c r="F434"/>
      <c r="G434"/>
      <c r="H434"/>
      <c r="I434"/>
      <c r="J434"/>
      <c r="K434"/>
      <c r="L434"/>
      <c r="M434"/>
      <c r="N434"/>
      <c r="O434"/>
      <c r="P434"/>
      <c r="R434"/>
      <c r="S434"/>
      <c r="T434"/>
      <c r="U434"/>
      <c r="V434"/>
      <c r="W434"/>
      <c r="X434"/>
      <c r="Y434"/>
      <c r="Z434"/>
    </row>
    <row r="435" spans="2:26">
      <c r="B435"/>
      <c r="D435"/>
      <c r="E435"/>
      <c r="F435"/>
      <c r="G435"/>
      <c r="H435"/>
      <c r="I435"/>
      <c r="J435"/>
      <c r="K435"/>
      <c r="L435"/>
      <c r="M435"/>
      <c r="N435"/>
      <c r="O435"/>
      <c r="P435"/>
      <c r="R435"/>
      <c r="S435"/>
      <c r="T435"/>
      <c r="U435"/>
      <c r="V435"/>
      <c r="W435"/>
      <c r="X435"/>
      <c r="Y435"/>
      <c r="Z435"/>
    </row>
    <row r="436" spans="2:26">
      <c r="B436"/>
      <c r="D436"/>
      <c r="E436"/>
      <c r="F436"/>
      <c r="G436"/>
      <c r="H436"/>
      <c r="I436"/>
      <c r="J436"/>
      <c r="K436"/>
      <c r="L436"/>
      <c r="M436"/>
      <c r="N436"/>
      <c r="O436"/>
      <c r="P436"/>
      <c r="R436"/>
      <c r="S436"/>
      <c r="T436"/>
      <c r="U436"/>
      <c r="V436"/>
      <c r="W436"/>
      <c r="X436"/>
      <c r="Y436"/>
      <c r="Z436"/>
    </row>
    <row r="437" spans="2:26">
      <c r="B437"/>
      <c r="D437"/>
      <c r="E437"/>
      <c r="F437"/>
      <c r="G437"/>
      <c r="H437"/>
      <c r="I437"/>
      <c r="J437"/>
      <c r="K437"/>
      <c r="L437"/>
      <c r="M437"/>
      <c r="N437"/>
      <c r="O437"/>
      <c r="P437"/>
      <c r="R437"/>
      <c r="S437"/>
      <c r="T437"/>
      <c r="U437"/>
      <c r="V437"/>
      <c r="W437"/>
      <c r="X437"/>
      <c r="Y437"/>
      <c r="Z437"/>
    </row>
    <row r="438" spans="2:26">
      <c r="B438"/>
      <c r="D438"/>
      <c r="E438"/>
      <c r="F438"/>
      <c r="G438"/>
      <c r="H438"/>
      <c r="I438"/>
      <c r="J438"/>
      <c r="K438"/>
      <c r="L438"/>
      <c r="M438"/>
      <c r="N438"/>
      <c r="O438"/>
      <c r="P438"/>
      <c r="R438"/>
      <c r="S438"/>
      <c r="T438"/>
      <c r="U438"/>
      <c r="V438"/>
      <c r="W438"/>
      <c r="X438"/>
      <c r="Y438"/>
      <c r="Z438"/>
    </row>
    <row r="439" spans="2:26">
      <c r="B439"/>
      <c r="D439"/>
      <c r="E439"/>
      <c r="F439"/>
      <c r="G439"/>
      <c r="H439"/>
      <c r="I439"/>
      <c r="J439"/>
      <c r="K439"/>
      <c r="L439"/>
      <c r="M439"/>
      <c r="N439"/>
      <c r="O439"/>
      <c r="P439"/>
      <c r="R439"/>
      <c r="S439"/>
      <c r="T439"/>
      <c r="U439"/>
      <c r="V439"/>
      <c r="W439"/>
      <c r="X439"/>
      <c r="Y439"/>
      <c r="Z439"/>
    </row>
    <row r="440" spans="2:26">
      <c r="B440"/>
      <c r="D440"/>
      <c r="E440"/>
      <c r="F440"/>
      <c r="G440"/>
      <c r="H440"/>
      <c r="I440"/>
      <c r="J440"/>
      <c r="K440"/>
      <c r="L440"/>
      <c r="M440"/>
      <c r="N440"/>
      <c r="O440"/>
      <c r="P440"/>
      <c r="R440"/>
      <c r="S440"/>
      <c r="T440"/>
      <c r="U440"/>
      <c r="V440"/>
      <c r="W440"/>
      <c r="X440"/>
      <c r="Y440"/>
      <c r="Z440"/>
    </row>
    <row r="441" spans="2:26">
      <c r="B441"/>
      <c r="D441"/>
      <c r="E441"/>
      <c r="F441"/>
      <c r="G441"/>
      <c r="H441"/>
      <c r="I441"/>
      <c r="J441"/>
      <c r="K441"/>
      <c r="L441"/>
      <c r="M441"/>
      <c r="N441"/>
      <c r="O441"/>
      <c r="P441"/>
      <c r="R441"/>
      <c r="S441"/>
      <c r="T441"/>
      <c r="U441"/>
      <c r="V441"/>
      <c r="W441"/>
      <c r="X441"/>
      <c r="Y441"/>
      <c r="Z441"/>
    </row>
    <row r="442" spans="2:26">
      <c r="B442"/>
      <c r="D442"/>
      <c r="E442"/>
      <c r="F442"/>
      <c r="G442"/>
      <c r="H442"/>
      <c r="I442"/>
      <c r="J442"/>
      <c r="K442"/>
      <c r="L442"/>
      <c r="M442"/>
      <c r="N442"/>
      <c r="O442"/>
      <c r="P442"/>
      <c r="R442"/>
      <c r="S442"/>
      <c r="T442"/>
      <c r="U442"/>
      <c r="V442"/>
      <c r="W442"/>
      <c r="X442"/>
      <c r="Y442"/>
      <c r="Z442"/>
    </row>
    <row r="443" spans="2:26">
      <c r="B443"/>
      <c r="D443"/>
      <c r="E443"/>
      <c r="F443"/>
      <c r="G443"/>
      <c r="H443"/>
      <c r="I443"/>
      <c r="J443"/>
      <c r="K443"/>
      <c r="L443"/>
      <c r="M443"/>
      <c r="N443"/>
      <c r="O443"/>
      <c r="P443"/>
      <c r="R443"/>
      <c r="S443"/>
      <c r="T443"/>
      <c r="U443"/>
      <c r="V443"/>
      <c r="W443"/>
      <c r="X443"/>
      <c r="Y443"/>
      <c r="Z443"/>
    </row>
    <row r="444" spans="2:26">
      <c r="B444"/>
      <c r="D444"/>
      <c r="E444"/>
      <c r="F444"/>
      <c r="G444"/>
      <c r="H444"/>
      <c r="I444"/>
      <c r="J444"/>
      <c r="K444"/>
      <c r="L444"/>
      <c r="M444"/>
      <c r="N444"/>
      <c r="O444"/>
      <c r="P444"/>
      <c r="R444"/>
      <c r="S444"/>
      <c r="T444"/>
      <c r="U444"/>
      <c r="V444"/>
      <c r="W444"/>
      <c r="X444"/>
      <c r="Y444"/>
      <c r="Z444"/>
    </row>
    <row r="445" spans="2:26">
      <c r="B445"/>
      <c r="D445"/>
      <c r="E445"/>
      <c r="F445"/>
      <c r="G445"/>
      <c r="H445"/>
      <c r="I445"/>
      <c r="J445"/>
      <c r="K445"/>
      <c r="L445"/>
      <c r="M445"/>
      <c r="N445"/>
      <c r="O445"/>
      <c r="P445"/>
      <c r="R445"/>
      <c r="S445"/>
      <c r="T445"/>
      <c r="U445"/>
      <c r="V445"/>
      <c r="W445"/>
      <c r="X445"/>
      <c r="Y445"/>
      <c r="Z445"/>
    </row>
    <row r="446" spans="2:26">
      <c r="B446"/>
      <c r="D446"/>
      <c r="E446"/>
      <c r="F446"/>
      <c r="G446"/>
      <c r="H446"/>
      <c r="I446"/>
      <c r="J446"/>
      <c r="K446"/>
      <c r="L446"/>
      <c r="M446"/>
      <c r="N446"/>
      <c r="O446"/>
      <c r="P446"/>
      <c r="R446"/>
      <c r="S446"/>
      <c r="T446"/>
      <c r="U446"/>
      <c r="V446"/>
      <c r="W446"/>
      <c r="X446"/>
      <c r="Y446"/>
      <c r="Z446"/>
    </row>
    <row r="447" spans="2:26">
      <c r="B447"/>
      <c r="D447"/>
      <c r="E447"/>
      <c r="F447"/>
      <c r="G447"/>
      <c r="H447"/>
      <c r="I447"/>
      <c r="J447"/>
      <c r="K447"/>
      <c r="L447"/>
      <c r="M447"/>
      <c r="N447"/>
      <c r="O447"/>
      <c r="P447"/>
      <c r="R447"/>
      <c r="S447"/>
      <c r="T447"/>
      <c r="U447"/>
      <c r="V447"/>
      <c r="W447"/>
      <c r="X447"/>
      <c r="Y447"/>
      <c r="Z447"/>
    </row>
    <row r="448" spans="2:26">
      <c r="B448"/>
      <c r="D448"/>
      <c r="E448"/>
      <c r="F448"/>
      <c r="G448"/>
      <c r="H448"/>
      <c r="I448"/>
      <c r="J448"/>
      <c r="K448"/>
      <c r="L448"/>
      <c r="M448"/>
      <c r="N448"/>
      <c r="O448"/>
      <c r="P448"/>
      <c r="R448"/>
      <c r="S448"/>
      <c r="T448"/>
      <c r="U448"/>
      <c r="V448"/>
      <c r="W448"/>
      <c r="X448"/>
      <c r="Y448"/>
      <c r="Z448"/>
    </row>
    <row r="449" spans="2:26">
      <c r="B449"/>
      <c r="D449"/>
      <c r="E449"/>
      <c r="F449"/>
      <c r="G449"/>
      <c r="H449"/>
      <c r="I449"/>
      <c r="J449"/>
      <c r="K449"/>
      <c r="L449"/>
      <c r="M449"/>
      <c r="N449"/>
      <c r="O449"/>
      <c r="P449"/>
      <c r="R449"/>
      <c r="S449"/>
      <c r="T449"/>
      <c r="U449"/>
      <c r="V449"/>
      <c r="W449"/>
      <c r="X449"/>
      <c r="Y449"/>
      <c r="Z449"/>
    </row>
    <row r="450" spans="2:26">
      <c r="B450"/>
      <c r="D450"/>
      <c r="E450"/>
      <c r="F450"/>
      <c r="G450"/>
      <c r="H450"/>
      <c r="I450"/>
      <c r="J450"/>
      <c r="K450"/>
      <c r="L450"/>
      <c r="M450"/>
      <c r="N450"/>
      <c r="O450"/>
      <c r="P450"/>
      <c r="R450"/>
      <c r="S450"/>
      <c r="T450"/>
      <c r="U450"/>
      <c r="V450"/>
      <c r="W450"/>
      <c r="X450"/>
      <c r="Y450"/>
      <c r="Z450"/>
    </row>
    <row r="451" spans="2:26">
      <c r="B451"/>
      <c r="D451"/>
      <c r="E451"/>
      <c r="F451"/>
      <c r="G451"/>
      <c r="H451"/>
      <c r="I451"/>
      <c r="J451"/>
      <c r="K451"/>
      <c r="L451"/>
      <c r="M451"/>
      <c r="N451"/>
      <c r="O451"/>
      <c r="P451"/>
      <c r="R451"/>
      <c r="S451"/>
      <c r="T451"/>
      <c r="U451"/>
      <c r="V451"/>
      <c r="W451"/>
      <c r="X451"/>
      <c r="Y451"/>
      <c r="Z451"/>
    </row>
    <row r="452" spans="2:26">
      <c r="B452"/>
      <c r="D452"/>
      <c r="E452"/>
      <c r="F452"/>
      <c r="G452"/>
      <c r="H452"/>
      <c r="I452"/>
      <c r="J452"/>
      <c r="K452"/>
      <c r="L452"/>
      <c r="M452"/>
      <c r="N452"/>
      <c r="O452"/>
      <c r="P452"/>
      <c r="R452"/>
      <c r="S452"/>
      <c r="T452"/>
      <c r="U452"/>
      <c r="V452"/>
      <c r="W452"/>
      <c r="X452"/>
      <c r="Y452"/>
      <c r="Z452"/>
    </row>
    <row r="453" spans="2:26">
      <c r="B453"/>
      <c r="D453"/>
      <c r="E453"/>
      <c r="F453"/>
      <c r="G453"/>
      <c r="H453"/>
      <c r="I453"/>
      <c r="J453"/>
      <c r="K453"/>
      <c r="L453"/>
      <c r="M453"/>
      <c r="N453"/>
      <c r="O453"/>
      <c r="P453"/>
      <c r="R453"/>
      <c r="S453"/>
      <c r="T453"/>
      <c r="U453"/>
      <c r="V453"/>
      <c r="W453"/>
      <c r="X453"/>
      <c r="Y453"/>
      <c r="Z453"/>
    </row>
    <row r="454" spans="2:26">
      <c r="B454"/>
      <c r="D454"/>
      <c r="E454"/>
      <c r="F454"/>
      <c r="G454"/>
      <c r="H454"/>
      <c r="I454"/>
      <c r="J454"/>
      <c r="K454"/>
      <c r="L454"/>
      <c r="M454"/>
      <c r="N454"/>
      <c r="O454"/>
      <c r="P454"/>
      <c r="R454"/>
      <c r="S454"/>
      <c r="T454"/>
      <c r="U454"/>
      <c r="V454"/>
      <c r="W454"/>
      <c r="X454"/>
      <c r="Y454"/>
      <c r="Z454"/>
    </row>
    <row r="455" spans="2:26">
      <c r="B455"/>
      <c r="D455"/>
      <c r="E455"/>
      <c r="F455"/>
      <c r="G455"/>
      <c r="H455"/>
      <c r="I455"/>
      <c r="J455"/>
      <c r="K455"/>
      <c r="L455"/>
      <c r="M455"/>
      <c r="N455"/>
      <c r="O455"/>
      <c r="P455"/>
      <c r="R455"/>
      <c r="S455"/>
      <c r="T455"/>
      <c r="U455"/>
      <c r="V455"/>
      <c r="W455"/>
      <c r="X455"/>
      <c r="Y455"/>
      <c r="Z455"/>
    </row>
    <row r="456" spans="2:26">
      <c r="B456"/>
      <c r="D456"/>
      <c r="E456"/>
      <c r="F456"/>
      <c r="G456"/>
      <c r="H456"/>
      <c r="I456"/>
      <c r="J456"/>
      <c r="K456"/>
      <c r="L456"/>
      <c r="M456"/>
      <c r="N456"/>
      <c r="O456"/>
      <c r="P456"/>
      <c r="R456"/>
      <c r="S456"/>
      <c r="T456"/>
      <c r="U456"/>
      <c r="V456"/>
      <c r="W456"/>
      <c r="X456"/>
      <c r="Y456"/>
      <c r="Z456"/>
    </row>
    <row r="457" spans="2:26">
      <c r="B457"/>
      <c r="D457"/>
      <c r="E457"/>
      <c r="F457"/>
      <c r="G457"/>
      <c r="H457"/>
      <c r="I457"/>
      <c r="J457"/>
      <c r="K457"/>
      <c r="L457"/>
      <c r="M457"/>
      <c r="N457"/>
      <c r="O457"/>
      <c r="P457"/>
      <c r="R457"/>
      <c r="S457"/>
      <c r="T457"/>
      <c r="U457"/>
      <c r="V457"/>
      <c r="W457"/>
      <c r="X457"/>
      <c r="Y457"/>
      <c r="Z457"/>
    </row>
    <row r="458" spans="2:26">
      <c r="B458"/>
      <c r="D458"/>
      <c r="E458"/>
      <c r="F458"/>
      <c r="G458"/>
      <c r="H458"/>
      <c r="I458"/>
      <c r="J458"/>
      <c r="K458"/>
      <c r="L458"/>
      <c r="M458"/>
      <c r="N458"/>
      <c r="O458"/>
      <c r="P458"/>
      <c r="R458"/>
      <c r="S458"/>
      <c r="T458"/>
      <c r="U458"/>
      <c r="V458"/>
      <c r="W458"/>
      <c r="X458"/>
      <c r="Y458"/>
      <c r="Z458"/>
    </row>
    <row r="459" spans="2:26">
      <c r="B459"/>
      <c r="D459"/>
      <c r="E459"/>
      <c r="F459"/>
      <c r="G459"/>
      <c r="H459"/>
      <c r="I459"/>
      <c r="J459"/>
      <c r="K459"/>
      <c r="L459"/>
      <c r="M459"/>
      <c r="N459"/>
      <c r="O459"/>
      <c r="P459"/>
      <c r="R459"/>
      <c r="S459"/>
      <c r="T459"/>
      <c r="U459"/>
      <c r="V459"/>
      <c r="W459"/>
      <c r="X459"/>
      <c r="Y459"/>
      <c r="Z459"/>
    </row>
    <row r="460" spans="2:26">
      <c r="B460"/>
      <c r="D460"/>
      <c r="E460"/>
      <c r="F460"/>
      <c r="G460"/>
      <c r="H460"/>
      <c r="I460"/>
      <c r="J460"/>
      <c r="K460"/>
      <c r="L460"/>
      <c r="M460"/>
      <c r="N460"/>
      <c r="O460"/>
      <c r="P460"/>
      <c r="R460"/>
      <c r="S460"/>
      <c r="T460"/>
      <c r="U460"/>
      <c r="V460"/>
      <c r="W460"/>
      <c r="X460"/>
      <c r="Y460"/>
      <c r="Z460"/>
    </row>
    <row r="461" spans="2:26">
      <c r="B461"/>
      <c r="D461"/>
      <c r="E461"/>
      <c r="F461"/>
      <c r="G461"/>
      <c r="H461"/>
      <c r="I461"/>
      <c r="J461"/>
      <c r="K461"/>
      <c r="L461"/>
      <c r="M461"/>
      <c r="N461"/>
      <c r="O461"/>
      <c r="P461"/>
      <c r="R461"/>
      <c r="S461"/>
      <c r="T461"/>
      <c r="U461"/>
      <c r="V461"/>
      <c r="W461"/>
      <c r="X461"/>
      <c r="Y461"/>
      <c r="Z461"/>
    </row>
    <row r="462" spans="2:26">
      <c r="B462"/>
      <c r="D462"/>
      <c r="E462"/>
      <c r="F462"/>
      <c r="G462"/>
      <c r="H462"/>
      <c r="I462"/>
      <c r="J462"/>
      <c r="K462"/>
      <c r="L462"/>
      <c r="M462"/>
      <c r="N462"/>
      <c r="O462"/>
      <c r="P462"/>
      <c r="R462"/>
      <c r="S462"/>
      <c r="T462"/>
      <c r="U462"/>
      <c r="V462"/>
      <c r="W462"/>
      <c r="X462"/>
      <c r="Y462"/>
      <c r="Z462"/>
    </row>
    <row r="463" spans="2:26">
      <c r="B463"/>
      <c r="D463"/>
      <c r="E463"/>
      <c r="F463"/>
      <c r="G463"/>
      <c r="H463"/>
      <c r="I463"/>
      <c r="J463"/>
      <c r="K463"/>
      <c r="L463"/>
      <c r="M463"/>
      <c r="N463"/>
      <c r="O463"/>
      <c r="P463"/>
      <c r="R463"/>
      <c r="S463"/>
      <c r="T463"/>
      <c r="U463"/>
      <c r="V463"/>
      <c r="W463"/>
      <c r="X463"/>
      <c r="Y463"/>
      <c r="Z463"/>
    </row>
    <row r="464" spans="2:26">
      <c r="B464"/>
      <c r="D464"/>
      <c r="E464"/>
      <c r="F464"/>
      <c r="G464"/>
      <c r="H464"/>
      <c r="I464"/>
      <c r="J464"/>
      <c r="K464"/>
      <c r="L464"/>
      <c r="M464"/>
      <c r="N464"/>
      <c r="O464"/>
      <c r="P464"/>
      <c r="R464"/>
      <c r="S464"/>
      <c r="T464"/>
      <c r="U464"/>
      <c r="V464"/>
      <c r="W464"/>
      <c r="X464"/>
      <c r="Y464"/>
      <c r="Z464"/>
    </row>
    <row r="465" spans="2:26">
      <c r="B465"/>
      <c r="D465"/>
      <c r="E465"/>
      <c r="F465"/>
      <c r="G465"/>
      <c r="H465"/>
      <c r="I465"/>
      <c r="J465"/>
      <c r="K465"/>
      <c r="L465"/>
      <c r="M465"/>
      <c r="N465"/>
      <c r="O465"/>
      <c r="P465"/>
      <c r="R465"/>
      <c r="S465"/>
      <c r="T465"/>
      <c r="U465"/>
      <c r="V465"/>
      <c r="W465"/>
      <c r="X465"/>
      <c r="Y465"/>
      <c r="Z465"/>
    </row>
    <row r="466" spans="2:26">
      <c r="B466"/>
      <c r="D466"/>
      <c r="E466"/>
      <c r="F466"/>
      <c r="G466"/>
      <c r="H466"/>
      <c r="I466"/>
      <c r="J466"/>
      <c r="K466"/>
      <c r="L466"/>
      <c r="M466"/>
      <c r="N466"/>
      <c r="O466"/>
      <c r="P466"/>
      <c r="R466"/>
      <c r="S466"/>
      <c r="T466"/>
      <c r="U466"/>
      <c r="V466"/>
      <c r="W466"/>
      <c r="X466"/>
      <c r="Y466"/>
      <c r="Z466"/>
    </row>
    <row r="467" spans="2:26">
      <c r="B467"/>
      <c r="D467"/>
      <c r="E467"/>
      <c r="F467"/>
      <c r="G467"/>
      <c r="H467"/>
      <c r="I467"/>
      <c r="J467"/>
      <c r="K467"/>
      <c r="L467"/>
      <c r="M467"/>
      <c r="N467"/>
      <c r="O467"/>
      <c r="P467"/>
      <c r="R467"/>
      <c r="S467"/>
      <c r="T467"/>
      <c r="U467"/>
      <c r="V467"/>
      <c r="W467"/>
      <c r="X467"/>
      <c r="Y467"/>
      <c r="Z467"/>
    </row>
    <row r="468" spans="2:26">
      <c r="B468"/>
      <c r="D468"/>
      <c r="E468"/>
      <c r="F468"/>
      <c r="G468"/>
      <c r="H468"/>
      <c r="I468"/>
      <c r="J468"/>
      <c r="K468"/>
      <c r="L468"/>
      <c r="M468"/>
      <c r="N468"/>
      <c r="O468"/>
      <c r="P468"/>
      <c r="R468"/>
      <c r="S468"/>
      <c r="T468"/>
      <c r="U468"/>
      <c r="V468"/>
      <c r="W468"/>
      <c r="X468"/>
      <c r="Y468"/>
      <c r="Z468"/>
    </row>
    <row r="469" spans="2:26">
      <c r="B469"/>
      <c r="D469"/>
      <c r="E469"/>
      <c r="F469"/>
      <c r="G469"/>
      <c r="H469"/>
      <c r="I469"/>
      <c r="J469"/>
      <c r="K469"/>
      <c r="L469"/>
      <c r="M469"/>
      <c r="N469"/>
      <c r="O469"/>
      <c r="P469"/>
      <c r="R469"/>
      <c r="S469"/>
      <c r="T469"/>
      <c r="U469"/>
      <c r="V469"/>
      <c r="W469"/>
      <c r="X469"/>
      <c r="Y469"/>
      <c r="Z469"/>
    </row>
    <row r="470" spans="2:26">
      <c r="B470"/>
      <c r="D470"/>
      <c r="E470"/>
      <c r="F470"/>
      <c r="G470"/>
      <c r="H470"/>
      <c r="I470"/>
      <c r="J470"/>
      <c r="K470"/>
      <c r="L470"/>
      <c r="M470"/>
      <c r="N470"/>
      <c r="O470"/>
      <c r="P470"/>
      <c r="R470"/>
      <c r="S470"/>
      <c r="T470"/>
      <c r="U470"/>
      <c r="V470"/>
      <c r="W470"/>
      <c r="X470"/>
      <c r="Y470"/>
      <c r="Z470"/>
    </row>
    <row r="471" spans="2:26">
      <c r="B471"/>
      <c r="D471"/>
      <c r="E471"/>
      <c r="F471"/>
      <c r="G471"/>
      <c r="H471"/>
      <c r="I471"/>
      <c r="J471"/>
      <c r="K471"/>
      <c r="L471"/>
      <c r="M471"/>
      <c r="N471"/>
      <c r="O471"/>
      <c r="P471"/>
      <c r="R471"/>
      <c r="S471"/>
      <c r="T471"/>
      <c r="U471"/>
      <c r="V471"/>
      <c r="W471"/>
      <c r="X471"/>
      <c r="Y471"/>
      <c r="Z471"/>
    </row>
    <row r="472" spans="2:26">
      <c r="B472"/>
      <c r="D472"/>
      <c r="E472"/>
      <c r="F472"/>
      <c r="G472"/>
      <c r="H472"/>
      <c r="I472"/>
      <c r="J472"/>
      <c r="K472"/>
      <c r="L472"/>
      <c r="M472"/>
      <c r="N472"/>
      <c r="O472"/>
      <c r="P472"/>
      <c r="R472"/>
      <c r="S472"/>
      <c r="T472"/>
      <c r="U472"/>
      <c r="V472"/>
      <c r="W472"/>
      <c r="X472"/>
      <c r="Y472"/>
      <c r="Z472"/>
    </row>
    <row r="473" spans="2:26">
      <c r="B473"/>
      <c r="D473"/>
      <c r="E473"/>
      <c r="F473"/>
      <c r="G473"/>
      <c r="H473"/>
      <c r="I473"/>
      <c r="J473"/>
      <c r="K473"/>
      <c r="L473"/>
      <c r="M473"/>
      <c r="N473"/>
      <c r="O473"/>
      <c r="P473"/>
      <c r="R473"/>
      <c r="S473"/>
      <c r="T473"/>
      <c r="U473"/>
      <c r="V473"/>
      <c r="W473"/>
      <c r="X473"/>
      <c r="Y473"/>
      <c r="Z473"/>
    </row>
    <row r="474" spans="2:26">
      <c r="B474"/>
      <c r="D474"/>
      <c r="E474"/>
      <c r="F474"/>
      <c r="G474"/>
      <c r="H474"/>
      <c r="I474"/>
      <c r="J474"/>
      <c r="K474"/>
      <c r="L474"/>
      <c r="M474"/>
      <c r="N474"/>
      <c r="O474"/>
      <c r="P474"/>
      <c r="R474"/>
      <c r="S474"/>
      <c r="T474"/>
      <c r="U474"/>
      <c r="V474"/>
      <c r="W474"/>
      <c r="X474"/>
      <c r="Y474"/>
      <c r="Z474"/>
    </row>
    <row r="475" spans="2:26">
      <c r="B475"/>
      <c r="D475"/>
      <c r="E475"/>
      <c r="F475"/>
      <c r="G475"/>
      <c r="H475"/>
      <c r="I475"/>
      <c r="J475"/>
      <c r="K475"/>
      <c r="L475"/>
      <c r="M475"/>
      <c r="N475"/>
      <c r="O475"/>
      <c r="P475"/>
      <c r="R475"/>
      <c r="S475"/>
      <c r="T475"/>
      <c r="U475"/>
      <c r="V475"/>
      <c r="W475"/>
      <c r="X475"/>
      <c r="Y475"/>
      <c r="Z475"/>
    </row>
    <row r="476" spans="2:26">
      <c r="B476"/>
      <c r="D476"/>
      <c r="E476"/>
      <c r="F476"/>
      <c r="G476"/>
      <c r="H476"/>
      <c r="I476"/>
      <c r="J476"/>
      <c r="K476"/>
      <c r="L476"/>
      <c r="M476"/>
      <c r="N476"/>
      <c r="O476"/>
      <c r="P476"/>
      <c r="R476"/>
      <c r="S476"/>
      <c r="T476"/>
      <c r="U476"/>
      <c r="V476"/>
      <c r="W476"/>
      <c r="X476"/>
      <c r="Y476"/>
      <c r="Z476"/>
    </row>
    <row r="477" spans="2:26">
      <c r="B477"/>
      <c r="D477"/>
      <c r="E477"/>
      <c r="F477"/>
      <c r="G477"/>
      <c r="H477"/>
      <c r="I477"/>
      <c r="J477"/>
      <c r="K477"/>
      <c r="L477"/>
      <c r="M477"/>
      <c r="N477"/>
      <c r="O477"/>
      <c r="P477"/>
      <c r="R477"/>
      <c r="S477"/>
      <c r="T477"/>
      <c r="U477"/>
      <c r="V477"/>
      <c r="W477"/>
      <c r="X477"/>
      <c r="Y477"/>
      <c r="Z477"/>
    </row>
    <row r="478" spans="2:26">
      <c r="B478"/>
      <c r="D478"/>
      <c r="E478"/>
      <c r="F478"/>
      <c r="G478"/>
      <c r="H478"/>
      <c r="I478"/>
      <c r="J478"/>
      <c r="K478"/>
      <c r="L478"/>
      <c r="M478"/>
      <c r="N478"/>
      <c r="O478"/>
      <c r="P478"/>
      <c r="R478"/>
      <c r="S478"/>
      <c r="T478"/>
      <c r="U478"/>
      <c r="V478"/>
      <c r="W478"/>
      <c r="X478"/>
      <c r="Y478"/>
      <c r="Z478"/>
    </row>
    <row r="479" spans="2:26">
      <c r="B479"/>
      <c r="D479"/>
      <c r="E479"/>
      <c r="F479"/>
      <c r="G479"/>
      <c r="H479"/>
      <c r="I479"/>
      <c r="J479"/>
      <c r="K479"/>
      <c r="L479"/>
      <c r="M479"/>
      <c r="N479"/>
      <c r="O479"/>
      <c r="P479"/>
      <c r="R479"/>
      <c r="S479"/>
      <c r="T479"/>
      <c r="U479"/>
      <c r="V479"/>
      <c r="W479"/>
      <c r="X479"/>
      <c r="Y479"/>
      <c r="Z479"/>
    </row>
    <row r="480" spans="2:26">
      <c r="B480"/>
      <c r="D480"/>
      <c r="E480"/>
      <c r="F480"/>
      <c r="G480"/>
      <c r="H480"/>
      <c r="I480"/>
      <c r="J480"/>
      <c r="K480"/>
      <c r="L480"/>
      <c r="M480"/>
      <c r="N480"/>
      <c r="O480"/>
      <c r="P480"/>
      <c r="R480"/>
      <c r="S480"/>
      <c r="T480"/>
      <c r="U480"/>
      <c r="V480"/>
      <c r="W480"/>
      <c r="X480"/>
      <c r="Y480"/>
      <c r="Z480"/>
    </row>
    <row r="481" spans="2:26">
      <c r="B481"/>
      <c r="D481"/>
      <c r="E481"/>
      <c r="F481"/>
      <c r="G481"/>
      <c r="H481"/>
      <c r="I481"/>
      <c r="J481"/>
      <c r="K481"/>
      <c r="L481"/>
      <c r="M481"/>
      <c r="N481"/>
      <c r="O481"/>
      <c r="P481"/>
      <c r="R481"/>
      <c r="S481"/>
      <c r="T481"/>
      <c r="U481"/>
      <c r="V481"/>
      <c r="W481"/>
      <c r="X481"/>
      <c r="Y481"/>
      <c r="Z481"/>
    </row>
    <row r="482" spans="2:26">
      <c r="B482"/>
      <c r="D482"/>
      <c r="E482"/>
      <c r="F482"/>
      <c r="G482"/>
      <c r="H482"/>
      <c r="I482"/>
      <c r="J482"/>
      <c r="K482"/>
      <c r="L482"/>
      <c r="M482"/>
      <c r="N482"/>
      <c r="O482"/>
      <c r="P482"/>
      <c r="R482"/>
      <c r="S482"/>
      <c r="T482"/>
      <c r="U482"/>
      <c r="V482"/>
      <c r="W482"/>
      <c r="X482"/>
      <c r="Y482"/>
      <c r="Z482"/>
    </row>
    <row r="483" spans="2:26">
      <c r="B483"/>
      <c r="D483"/>
      <c r="E483"/>
      <c r="F483"/>
      <c r="G483"/>
      <c r="H483"/>
      <c r="I483"/>
      <c r="J483"/>
      <c r="K483"/>
      <c r="L483"/>
      <c r="M483"/>
      <c r="N483"/>
      <c r="O483"/>
      <c r="P483"/>
      <c r="R483"/>
      <c r="S483"/>
      <c r="T483"/>
      <c r="U483"/>
      <c r="V483"/>
      <c r="W483"/>
      <c r="X483"/>
      <c r="Y483"/>
      <c r="Z483"/>
    </row>
    <row r="484" spans="2:26">
      <c r="B484"/>
      <c r="D484"/>
      <c r="E484"/>
      <c r="F484"/>
      <c r="G484"/>
      <c r="H484"/>
      <c r="I484"/>
      <c r="J484"/>
      <c r="K484"/>
      <c r="L484"/>
      <c r="M484"/>
      <c r="N484"/>
      <c r="O484"/>
      <c r="P484"/>
      <c r="R484"/>
      <c r="S484"/>
      <c r="T484"/>
      <c r="U484"/>
      <c r="V484"/>
      <c r="W484"/>
      <c r="X484"/>
      <c r="Y484"/>
      <c r="Z484"/>
    </row>
    <row r="485" spans="2:26">
      <c r="B485"/>
      <c r="D485"/>
      <c r="E485"/>
      <c r="F485"/>
      <c r="G485"/>
      <c r="H485"/>
      <c r="I485"/>
      <c r="J485"/>
      <c r="K485"/>
      <c r="L485"/>
      <c r="M485"/>
      <c r="N485"/>
      <c r="O485"/>
      <c r="P485"/>
      <c r="R485"/>
      <c r="S485"/>
      <c r="T485"/>
      <c r="U485"/>
      <c r="V485"/>
      <c r="W485"/>
      <c r="X485"/>
      <c r="Y485"/>
      <c r="Z485"/>
    </row>
    <row r="486" spans="2:26">
      <c r="B486"/>
      <c r="D486"/>
      <c r="E486"/>
      <c r="F486"/>
      <c r="G486"/>
      <c r="H486"/>
      <c r="I486"/>
      <c r="J486"/>
      <c r="K486"/>
      <c r="L486"/>
      <c r="M486"/>
      <c r="N486"/>
      <c r="O486"/>
      <c r="P486"/>
      <c r="R486"/>
      <c r="S486"/>
      <c r="T486"/>
      <c r="U486"/>
      <c r="V486"/>
      <c r="W486"/>
      <c r="X486"/>
      <c r="Y486"/>
      <c r="Z486"/>
    </row>
    <row r="487" spans="2:26">
      <c r="B487"/>
      <c r="D487"/>
      <c r="E487"/>
      <c r="F487"/>
      <c r="G487"/>
      <c r="H487"/>
      <c r="I487"/>
      <c r="J487"/>
      <c r="K487"/>
      <c r="L487"/>
      <c r="M487"/>
      <c r="N487"/>
      <c r="O487"/>
      <c r="P487"/>
      <c r="R487"/>
      <c r="S487"/>
      <c r="T487"/>
      <c r="U487"/>
      <c r="V487"/>
      <c r="W487"/>
      <c r="X487"/>
      <c r="Y487"/>
      <c r="Z487"/>
    </row>
    <row r="488" spans="2:26">
      <c r="B488"/>
      <c r="D488"/>
      <c r="E488"/>
      <c r="F488"/>
      <c r="G488"/>
      <c r="H488"/>
      <c r="I488"/>
      <c r="J488"/>
      <c r="K488"/>
      <c r="L488"/>
      <c r="M488"/>
      <c r="N488"/>
      <c r="O488"/>
      <c r="P488"/>
      <c r="R488"/>
      <c r="S488"/>
      <c r="T488"/>
      <c r="U488"/>
      <c r="V488"/>
      <c r="W488"/>
      <c r="X488"/>
      <c r="Y488"/>
      <c r="Z488"/>
    </row>
    <row r="489" spans="2:26">
      <c r="B489"/>
      <c r="D489"/>
      <c r="E489"/>
      <c r="F489"/>
      <c r="G489"/>
      <c r="H489"/>
      <c r="I489"/>
      <c r="J489"/>
      <c r="K489"/>
      <c r="L489"/>
      <c r="M489"/>
      <c r="N489"/>
      <c r="O489"/>
      <c r="P489"/>
      <c r="R489"/>
      <c r="S489"/>
      <c r="T489"/>
      <c r="U489"/>
      <c r="V489"/>
      <c r="W489"/>
      <c r="X489"/>
      <c r="Y489"/>
      <c r="Z489"/>
    </row>
    <row r="490" spans="2:26">
      <c r="B490"/>
      <c r="D490"/>
      <c r="E490"/>
      <c r="F490"/>
      <c r="G490"/>
      <c r="H490"/>
      <c r="I490"/>
      <c r="J490"/>
      <c r="K490"/>
      <c r="L490"/>
      <c r="M490"/>
      <c r="N490"/>
      <c r="O490"/>
      <c r="P490"/>
      <c r="R490"/>
      <c r="S490"/>
      <c r="T490"/>
      <c r="U490"/>
      <c r="V490"/>
      <c r="W490"/>
      <c r="X490"/>
      <c r="Y490"/>
      <c r="Z490"/>
    </row>
    <row r="491" spans="2:26">
      <c r="B491"/>
      <c r="D491"/>
      <c r="E491"/>
      <c r="F491"/>
      <c r="G491"/>
      <c r="H491"/>
      <c r="I491"/>
      <c r="J491"/>
      <c r="K491"/>
      <c r="L491"/>
      <c r="M491"/>
      <c r="N491"/>
      <c r="O491"/>
      <c r="P491"/>
      <c r="R491"/>
      <c r="S491"/>
      <c r="T491"/>
      <c r="U491"/>
      <c r="V491"/>
      <c r="W491"/>
      <c r="X491"/>
      <c r="Y491"/>
      <c r="Z491"/>
    </row>
    <row r="492" spans="2:26">
      <c r="B492"/>
      <c r="D492"/>
      <c r="E492"/>
      <c r="F492"/>
      <c r="G492"/>
      <c r="H492"/>
      <c r="I492"/>
      <c r="J492"/>
      <c r="K492"/>
      <c r="L492"/>
      <c r="M492"/>
      <c r="N492"/>
      <c r="O492"/>
      <c r="P492"/>
      <c r="R492"/>
      <c r="S492"/>
      <c r="T492"/>
      <c r="U492"/>
      <c r="V492"/>
      <c r="W492"/>
      <c r="X492"/>
      <c r="Y492"/>
      <c r="Z492"/>
    </row>
    <row r="493" spans="2:26">
      <c r="B493"/>
      <c r="D493"/>
      <c r="E493"/>
      <c r="F493"/>
      <c r="G493"/>
      <c r="H493"/>
      <c r="I493"/>
      <c r="J493"/>
      <c r="K493"/>
      <c r="L493"/>
      <c r="M493"/>
      <c r="N493"/>
      <c r="O493"/>
      <c r="P493"/>
      <c r="R493"/>
      <c r="S493"/>
      <c r="T493"/>
      <c r="U493"/>
      <c r="V493"/>
      <c r="W493"/>
      <c r="X493"/>
      <c r="Y493"/>
      <c r="Z493"/>
    </row>
    <row r="494" spans="2:26">
      <c r="B494"/>
      <c r="D494"/>
      <c r="E494"/>
      <c r="F494"/>
      <c r="G494"/>
      <c r="H494"/>
      <c r="I494"/>
      <c r="J494"/>
      <c r="K494"/>
      <c r="L494"/>
      <c r="M494"/>
      <c r="N494"/>
      <c r="O494"/>
      <c r="P494"/>
      <c r="R494"/>
      <c r="S494"/>
      <c r="T494"/>
      <c r="U494"/>
      <c r="V494"/>
      <c r="W494"/>
      <c r="X494"/>
      <c r="Y494"/>
      <c r="Z494"/>
    </row>
    <row r="495" spans="2:26">
      <c r="B495"/>
      <c r="D495"/>
      <c r="E495"/>
      <c r="F495"/>
      <c r="G495"/>
      <c r="H495"/>
      <c r="I495"/>
      <c r="J495"/>
      <c r="K495"/>
      <c r="L495"/>
      <c r="M495"/>
      <c r="N495"/>
      <c r="O495"/>
      <c r="P495"/>
      <c r="R495"/>
      <c r="S495"/>
      <c r="T495"/>
      <c r="U495"/>
      <c r="V495"/>
      <c r="W495"/>
      <c r="X495"/>
      <c r="Y495"/>
      <c r="Z495"/>
    </row>
    <row r="496" spans="2:26">
      <c r="B496"/>
      <c r="D496"/>
      <c r="E496"/>
      <c r="F496"/>
      <c r="G496"/>
      <c r="H496"/>
      <c r="I496"/>
      <c r="J496"/>
      <c r="K496"/>
      <c r="L496"/>
      <c r="M496"/>
      <c r="N496"/>
      <c r="O496"/>
      <c r="P496"/>
      <c r="R496"/>
      <c r="S496"/>
      <c r="T496"/>
      <c r="U496"/>
      <c r="V496"/>
      <c r="W496"/>
      <c r="X496"/>
      <c r="Y496"/>
      <c r="Z496"/>
    </row>
    <row r="497" spans="2:26">
      <c r="B497"/>
      <c r="D497"/>
      <c r="E497"/>
      <c r="F497"/>
      <c r="G497"/>
      <c r="H497"/>
      <c r="I497"/>
      <c r="J497"/>
      <c r="K497"/>
      <c r="L497"/>
      <c r="M497"/>
      <c r="N497"/>
      <c r="O497"/>
      <c r="P497"/>
      <c r="R497"/>
      <c r="S497"/>
      <c r="T497"/>
      <c r="U497"/>
      <c r="V497"/>
      <c r="W497"/>
      <c r="X497"/>
      <c r="Y497"/>
      <c r="Z497"/>
    </row>
    <row r="498" spans="2:26">
      <c r="B498"/>
      <c r="D498"/>
      <c r="E498"/>
      <c r="F498"/>
      <c r="G498"/>
      <c r="H498"/>
      <c r="I498"/>
      <c r="J498"/>
      <c r="K498"/>
      <c r="L498"/>
      <c r="M498"/>
      <c r="N498"/>
      <c r="O498"/>
      <c r="P498"/>
      <c r="R498"/>
      <c r="S498"/>
      <c r="T498"/>
      <c r="U498"/>
      <c r="V498"/>
      <c r="W498"/>
      <c r="X498"/>
      <c r="Y498"/>
      <c r="Z498"/>
    </row>
    <row r="499" spans="2:26">
      <c r="B499"/>
      <c r="D499"/>
      <c r="E499"/>
      <c r="F499"/>
      <c r="G499"/>
      <c r="H499"/>
      <c r="I499"/>
      <c r="J499"/>
      <c r="K499"/>
      <c r="L499"/>
      <c r="M499"/>
      <c r="N499"/>
      <c r="O499"/>
      <c r="P499"/>
      <c r="R499"/>
      <c r="S499"/>
      <c r="T499"/>
      <c r="U499"/>
      <c r="V499"/>
      <c r="W499"/>
      <c r="X499"/>
      <c r="Y499"/>
      <c r="Z499"/>
    </row>
    <row r="500" spans="2:26">
      <c r="B500"/>
      <c r="D500"/>
      <c r="E500"/>
      <c r="F500"/>
      <c r="G500"/>
      <c r="H500"/>
      <c r="I500"/>
      <c r="J500"/>
      <c r="K500"/>
      <c r="L500"/>
      <c r="M500"/>
      <c r="N500"/>
      <c r="O500"/>
      <c r="P500"/>
      <c r="R500"/>
      <c r="S500"/>
      <c r="T500"/>
      <c r="U500"/>
      <c r="V500"/>
      <c r="W500"/>
      <c r="X500"/>
      <c r="Y500"/>
      <c r="Z500"/>
    </row>
    <row r="501" spans="2:26">
      <c r="B501"/>
      <c r="D501"/>
      <c r="E501"/>
      <c r="F501"/>
      <c r="G501"/>
      <c r="H501"/>
      <c r="I501"/>
      <c r="J501"/>
      <c r="K501"/>
      <c r="L501"/>
      <c r="M501"/>
      <c r="N501"/>
      <c r="O501"/>
      <c r="P501"/>
      <c r="R501"/>
      <c r="S501"/>
      <c r="T501"/>
      <c r="U501"/>
      <c r="V501"/>
      <c r="W501"/>
      <c r="X501"/>
      <c r="Y501"/>
      <c r="Z501"/>
    </row>
    <row r="502" spans="2:26">
      <c r="B502"/>
      <c r="D502"/>
      <c r="E502"/>
      <c r="F502"/>
      <c r="G502"/>
      <c r="H502"/>
      <c r="I502"/>
      <c r="J502"/>
      <c r="K502"/>
      <c r="L502"/>
      <c r="M502"/>
      <c r="N502"/>
      <c r="O502"/>
      <c r="P502"/>
      <c r="R502"/>
      <c r="S502"/>
      <c r="T502"/>
      <c r="U502"/>
      <c r="V502"/>
      <c r="W502"/>
      <c r="X502"/>
      <c r="Y502"/>
      <c r="Z502"/>
    </row>
    <row r="503" spans="2:26">
      <c r="B503"/>
      <c r="D503"/>
      <c r="E503"/>
      <c r="F503"/>
      <c r="G503"/>
      <c r="H503"/>
      <c r="I503"/>
      <c r="J503"/>
      <c r="K503"/>
      <c r="L503"/>
      <c r="M503"/>
      <c r="N503"/>
      <c r="O503"/>
      <c r="P503"/>
      <c r="R503"/>
      <c r="S503"/>
      <c r="T503"/>
      <c r="U503"/>
      <c r="V503"/>
      <c r="W503"/>
      <c r="X503"/>
      <c r="Y503"/>
      <c r="Z503"/>
    </row>
    <row r="504" spans="2:26">
      <c r="B504"/>
      <c r="D504"/>
      <c r="E504"/>
      <c r="F504"/>
      <c r="G504"/>
      <c r="H504"/>
      <c r="I504"/>
      <c r="J504"/>
      <c r="K504"/>
      <c r="L504"/>
      <c r="M504"/>
      <c r="N504"/>
      <c r="O504"/>
      <c r="P504"/>
      <c r="R504"/>
      <c r="S504"/>
      <c r="T504"/>
      <c r="U504"/>
      <c r="V504"/>
      <c r="W504"/>
      <c r="X504"/>
      <c r="Y504"/>
      <c r="Z504"/>
    </row>
    <row r="505" spans="2:26">
      <c r="B505"/>
      <c r="D505"/>
      <c r="E505"/>
      <c r="F505"/>
      <c r="G505"/>
      <c r="H505"/>
      <c r="I505"/>
      <c r="J505"/>
      <c r="K505"/>
      <c r="L505"/>
      <c r="M505"/>
      <c r="N505"/>
      <c r="O505"/>
      <c r="P505"/>
      <c r="R505"/>
      <c r="S505"/>
      <c r="T505"/>
      <c r="U505"/>
      <c r="V505"/>
      <c r="W505"/>
      <c r="X505"/>
      <c r="Y505"/>
      <c r="Z505"/>
    </row>
    <row r="506" spans="2:26">
      <c r="B506"/>
      <c r="D506"/>
      <c r="E506"/>
      <c r="F506"/>
      <c r="G506"/>
      <c r="H506"/>
      <c r="I506"/>
      <c r="J506"/>
      <c r="K506"/>
      <c r="L506"/>
      <c r="M506"/>
      <c r="N506"/>
      <c r="O506"/>
      <c r="P506"/>
      <c r="R506"/>
      <c r="S506"/>
      <c r="T506"/>
      <c r="U506"/>
      <c r="V506"/>
      <c r="W506"/>
      <c r="X506"/>
      <c r="Y506"/>
      <c r="Z506"/>
    </row>
    <row r="507" spans="2:26">
      <c r="B507"/>
      <c r="D507"/>
      <c r="E507"/>
      <c r="F507"/>
      <c r="G507"/>
      <c r="H507"/>
      <c r="I507"/>
      <c r="J507"/>
      <c r="K507"/>
      <c r="L507"/>
      <c r="M507"/>
      <c r="N507"/>
      <c r="O507"/>
      <c r="P507"/>
      <c r="R507"/>
      <c r="S507"/>
      <c r="T507"/>
      <c r="U507"/>
      <c r="V507"/>
      <c r="W507"/>
      <c r="X507"/>
      <c r="Y507"/>
      <c r="Z507"/>
    </row>
    <row r="508" spans="2:26">
      <c r="B508"/>
      <c r="D508"/>
      <c r="E508"/>
      <c r="F508"/>
      <c r="G508"/>
      <c r="H508"/>
      <c r="I508"/>
      <c r="J508"/>
      <c r="K508"/>
      <c r="L508"/>
      <c r="M508"/>
      <c r="N508"/>
      <c r="O508"/>
      <c r="P508"/>
      <c r="R508"/>
      <c r="S508"/>
      <c r="T508"/>
      <c r="U508"/>
      <c r="V508"/>
      <c r="W508"/>
      <c r="X508"/>
      <c r="Y508"/>
      <c r="Z508"/>
    </row>
    <row r="509" spans="2:26">
      <c r="B509"/>
      <c r="D509"/>
      <c r="E509"/>
      <c r="F509"/>
      <c r="G509"/>
      <c r="H509"/>
      <c r="I509"/>
      <c r="J509"/>
      <c r="K509"/>
      <c r="L509"/>
      <c r="M509"/>
      <c r="N509"/>
      <c r="O509"/>
      <c r="P509"/>
      <c r="R509"/>
      <c r="S509"/>
      <c r="T509"/>
      <c r="U509"/>
      <c r="V509"/>
      <c r="W509"/>
      <c r="X509"/>
      <c r="Y509"/>
      <c r="Z509"/>
    </row>
    <row r="510" spans="2:26">
      <c r="B510"/>
      <c r="D510"/>
      <c r="E510"/>
      <c r="F510"/>
      <c r="G510"/>
      <c r="H510"/>
      <c r="I510"/>
      <c r="J510"/>
      <c r="K510"/>
      <c r="L510"/>
      <c r="M510"/>
      <c r="N510"/>
      <c r="O510"/>
      <c r="P510"/>
      <c r="R510"/>
      <c r="S510"/>
      <c r="T510"/>
      <c r="U510"/>
      <c r="V510"/>
      <c r="W510"/>
      <c r="X510"/>
      <c r="Y510"/>
      <c r="Z510"/>
    </row>
    <row r="511" spans="2:26">
      <c r="B511"/>
      <c r="D511"/>
      <c r="E511"/>
      <c r="F511"/>
      <c r="G511"/>
      <c r="H511"/>
      <c r="I511"/>
      <c r="J511"/>
      <c r="K511"/>
      <c r="L511"/>
      <c r="M511"/>
      <c r="N511"/>
      <c r="O511"/>
      <c r="P511"/>
      <c r="R511"/>
      <c r="S511"/>
      <c r="T511"/>
      <c r="U511"/>
      <c r="V511"/>
      <c r="W511"/>
      <c r="X511"/>
      <c r="Y511"/>
      <c r="Z511"/>
    </row>
    <row r="512" spans="2:26">
      <c r="B512"/>
      <c r="D512"/>
      <c r="E512"/>
      <c r="F512"/>
      <c r="G512"/>
      <c r="H512"/>
      <c r="I512"/>
      <c r="J512"/>
      <c r="K512"/>
      <c r="L512"/>
      <c r="M512"/>
      <c r="N512"/>
      <c r="O512"/>
      <c r="P512"/>
      <c r="R512"/>
      <c r="S512"/>
      <c r="T512"/>
      <c r="U512"/>
      <c r="V512"/>
      <c r="W512"/>
      <c r="X512"/>
      <c r="Y512"/>
      <c r="Z512"/>
    </row>
    <row r="513" spans="2:26">
      <c r="B513"/>
      <c r="D513"/>
      <c r="E513"/>
      <c r="F513"/>
      <c r="G513"/>
      <c r="H513"/>
      <c r="I513"/>
      <c r="J513"/>
      <c r="K513"/>
      <c r="L513"/>
      <c r="M513"/>
      <c r="N513"/>
      <c r="O513"/>
      <c r="P513"/>
      <c r="R513"/>
      <c r="S513"/>
      <c r="T513"/>
      <c r="U513"/>
      <c r="V513"/>
      <c r="W513"/>
      <c r="X513"/>
      <c r="Y513"/>
      <c r="Z513"/>
    </row>
    <row r="514" spans="2:26">
      <c r="B514"/>
      <c r="D514"/>
      <c r="E514"/>
      <c r="F514"/>
      <c r="G514"/>
      <c r="H514"/>
      <c r="I514"/>
      <c r="J514"/>
      <c r="K514"/>
      <c r="L514"/>
      <c r="M514"/>
      <c r="N514"/>
      <c r="O514"/>
      <c r="P514"/>
      <c r="R514"/>
      <c r="S514"/>
      <c r="T514"/>
      <c r="U514"/>
      <c r="V514"/>
      <c r="W514"/>
      <c r="X514"/>
      <c r="Y514"/>
      <c r="Z514"/>
    </row>
    <row r="515" spans="2:26">
      <c r="B515"/>
      <c r="D515"/>
      <c r="E515"/>
      <c r="F515"/>
      <c r="G515"/>
      <c r="H515"/>
      <c r="I515"/>
      <c r="J515"/>
      <c r="K515"/>
      <c r="L515"/>
      <c r="M515"/>
      <c r="N515"/>
      <c r="O515"/>
      <c r="P515"/>
      <c r="R515"/>
      <c r="S515"/>
      <c r="T515"/>
      <c r="U515"/>
      <c r="V515"/>
      <c r="W515"/>
      <c r="X515"/>
      <c r="Y515"/>
      <c r="Z515"/>
    </row>
    <row r="516" spans="2:26">
      <c r="B516"/>
      <c r="D516"/>
      <c r="E516"/>
      <c r="F516"/>
      <c r="G516"/>
      <c r="H516"/>
      <c r="I516"/>
      <c r="J516"/>
      <c r="K516"/>
      <c r="L516"/>
      <c r="M516"/>
      <c r="N516"/>
      <c r="O516"/>
      <c r="P516"/>
      <c r="R516"/>
      <c r="S516"/>
      <c r="T516"/>
      <c r="U516"/>
      <c r="V516"/>
      <c r="W516"/>
      <c r="X516"/>
      <c r="Y516"/>
      <c r="Z516"/>
    </row>
    <row r="517" spans="2:26">
      <c r="B517"/>
      <c r="D517"/>
      <c r="E517"/>
      <c r="F517"/>
      <c r="G517"/>
      <c r="H517"/>
      <c r="I517"/>
      <c r="J517"/>
      <c r="K517"/>
      <c r="L517"/>
      <c r="M517"/>
      <c r="N517"/>
      <c r="O517"/>
      <c r="P517"/>
      <c r="R517"/>
      <c r="S517"/>
      <c r="T517"/>
      <c r="U517"/>
      <c r="V517"/>
      <c r="W517"/>
      <c r="X517"/>
      <c r="Y517"/>
      <c r="Z517"/>
    </row>
    <row r="518" spans="2:26">
      <c r="B518"/>
      <c r="D518"/>
      <c r="E518"/>
      <c r="F518"/>
      <c r="G518"/>
      <c r="H518"/>
      <c r="I518"/>
      <c r="J518"/>
      <c r="K518"/>
      <c r="L518"/>
      <c r="M518"/>
      <c r="N518"/>
      <c r="O518"/>
      <c r="P518"/>
      <c r="R518"/>
      <c r="S518"/>
      <c r="T518"/>
      <c r="U518"/>
      <c r="V518"/>
      <c r="W518"/>
      <c r="X518"/>
      <c r="Y518"/>
      <c r="Z518"/>
    </row>
    <row r="519" spans="2:26">
      <c r="B519"/>
      <c r="D519"/>
      <c r="E519"/>
      <c r="F519"/>
      <c r="G519"/>
      <c r="H519"/>
      <c r="I519"/>
      <c r="J519"/>
      <c r="K519"/>
      <c r="L519"/>
      <c r="M519"/>
      <c r="N519"/>
      <c r="O519"/>
      <c r="P519"/>
      <c r="R519"/>
      <c r="S519"/>
      <c r="T519"/>
      <c r="U519"/>
      <c r="V519"/>
      <c r="W519"/>
      <c r="X519"/>
      <c r="Y519"/>
      <c r="Z519"/>
    </row>
    <row r="520" spans="2:26">
      <c r="B520"/>
      <c r="D520"/>
      <c r="E520"/>
      <c r="F520"/>
      <c r="G520"/>
      <c r="H520"/>
      <c r="I520"/>
      <c r="J520"/>
      <c r="K520"/>
      <c r="L520"/>
      <c r="M520"/>
      <c r="N520"/>
      <c r="O520"/>
      <c r="P520"/>
      <c r="R520"/>
      <c r="S520"/>
      <c r="T520"/>
      <c r="U520"/>
      <c r="V520"/>
      <c r="W520"/>
      <c r="X520"/>
      <c r="Y520"/>
      <c r="Z520"/>
    </row>
    <row r="521" spans="2:26">
      <c r="B521"/>
      <c r="D521"/>
      <c r="E521"/>
      <c r="F521"/>
      <c r="G521"/>
      <c r="H521"/>
      <c r="I521"/>
      <c r="J521"/>
      <c r="K521"/>
      <c r="L521"/>
      <c r="M521"/>
      <c r="N521"/>
      <c r="O521"/>
      <c r="P521"/>
      <c r="R521"/>
      <c r="S521"/>
      <c r="T521"/>
      <c r="U521"/>
      <c r="V521"/>
      <c r="W521"/>
      <c r="X521"/>
      <c r="Y521"/>
      <c r="Z521"/>
    </row>
    <row r="522" spans="2:26">
      <c r="B522"/>
      <c r="D522"/>
      <c r="E522"/>
      <c r="F522"/>
      <c r="G522"/>
      <c r="H522"/>
      <c r="I522"/>
      <c r="J522"/>
      <c r="K522"/>
      <c r="L522"/>
      <c r="M522"/>
      <c r="N522"/>
      <c r="O522"/>
      <c r="P522"/>
      <c r="R522"/>
      <c r="S522"/>
      <c r="T522"/>
      <c r="U522"/>
      <c r="V522"/>
      <c r="W522"/>
      <c r="X522"/>
      <c r="Y522"/>
      <c r="Z522"/>
    </row>
    <row r="523" spans="2:26">
      <c r="B523"/>
      <c r="D523"/>
      <c r="E523"/>
      <c r="F523"/>
      <c r="G523"/>
      <c r="H523"/>
      <c r="I523"/>
      <c r="J523"/>
      <c r="K523"/>
      <c r="L523"/>
      <c r="M523"/>
      <c r="N523"/>
      <c r="O523"/>
      <c r="P523"/>
      <c r="R523"/>
      <c r="S523"/>
      <c r="T523"/>
      <c r="U523"/>
      <c r="V523"/>
      <c r="W523"/>
      <c r="X523"/>
      <c r="Y523"/>
      <c r="Z523"/>
    </row>
    <row r="524" spans="2:26">
      <c r="B524"/>
      <c r="D524"/>
      <c r="E524"/>
      <c r="F524"/>
      <c r="G524"/>
      <c r="H524"/>
      <c r="I524"/>
      <c r="J524"/>
      <c r="K524"/>
      <c r="L524"/>
      <c r="M524"/>
      <c r="N524"/>
      <c r="O524"/>
      <c r="P524"/>
      <c r="R524"/>
      <c r="S524"/>
      <c r="T524"/>
      <c r="U524"/>
      <c r="V524"/>
      <c r="W524"/>
      <c r="X524"/>
      <c r="Y524"/>
      <c r="Z524"/>
    </row>
    <row r="525" spans="2:26">
      <c r="B525"/>
      <c r="D525"/>
      <c r="E525"/>
      <c r="F525"/>
      <c r="G525"/>
      <c r="H525"/>
      <c r="I525"/>
      <c r="J525"/>
      <c r="K525"/>
      <c r="L525"/>
      <c r="M525"/>
      <c r="N525"/>
      <c r="O525"/>
      <c r="P525"/>
      <c r="R525"/>
      <c r="S525"/>
      <c r="T525"/>
      <c r="U525"/>
      <c r="V525"/>
      <c r="W525"/>
      <c r="X525"/>
      <c r="Y525"/>
      <c r="Z525"/>
    </row>
    <row r="526" spans="2:26">
      <c r="B526"/>
      <c r="D526"/>
      <c r="E526"/>
      <c r="F526"/>
      <c r="G526"/>
      <c r="H526"/>
      <c r="I526"/>
      <c r="J526"/>
      <c r="K526"/>
      <c r="L526"/>
      <c r="M526"/>
      <c r="N526"/>
      <c r="O526"/>
      <c r="P526"/>
      <c r="R526"/>
      <c r="S526"/>
      <c r="T526"/>
      <c r="U526"/>
      <c r="V526"/>
      <c r="W526"/>
      <c r="X526"/>
      <c r="Y526"/>
      <c r="Z526"/>
    </row>
    <row r="527" spans="2:26">
      <c r="B527"/>
      <c r="D527"/>
      <c r="E527"/>
      <c r="F527"/>
      <c r="G527"/>
      <c r="H527"/>
      <c r="I527"/>
      <c r="J527"/>
      <c r="K527"/>
      <c r="L527"/>
      <c r="M527"/>
      <c r="N527"/>
      <c r="O527"/>
      <c r="P527"/>
      <c r="R527"/>
      <c r="S527"/>
      <c r="T527"/>
      <c r="U527"/>
      <c r="V527"/>
      <c r="W527"/>
      <c r="X527"/>
      <c r="Y527"/>
      <c r="Z527"/>
    </row>
    <row r="528" spans="2:26">
      <c r="B528"/>
      <c r="D528"/>
      <c r="E528"/>
      <c r="F528"/>
      <c r="G528"/>
      <c r="H528"/>
      <c r="I528"/>
      <c r="J528"/>
      <c r="K528"/>
      <c r="L528"/>
      <c r="M528"/>
      <c r="N528"/>
      <c r="O528"/>
      <c r="P528"/>
      <c r="R528"/>
      <c r="S528"/>
      <c r="T528"/>
      <c r="U528"/>
      <c r="V528"/>
      <c r="W528"/>
      <c r="X528"/>
      <c r="Y528"/>
      <c r="Z528"/>
    </row>
    <row r="529" spans="2:26">
      <c r="B529"/>
      <c r="D529"/>
      <c r="E529"/>
      <c r="F529"/>
      <c r="G529"/>
      <c r="H529"/>
      <c r="I529"/>
      <c r="J529"/>
      <c r="K529"/>
      <c r="L529"/>
      <c r="M529"/>
      <c r="N529"/>
      <c r="O529"/>
      <c r="P529"/>
      <c r="R529"/>
      <c r="S529"/>
      <c r="T529"/>
      <c r="U529"/>
      <c r="V529"/>
      <c r="W529"/>
      <c r="X529"/>
      <c r="Y529"/>
      <c r="Z529"/>
    </row>
    <row r="530" spans="2:26">
      <c r="B530"/>
      <c r="D530"/>
      <c r="E530"/>
      <c r="F530"/>
      <c r="G530"/>
      <c r="H530"/>
      <c r="I530"/>
      <c r="J530"/>
      <c r="K530"/>
      <c r="L530"/>
      <c r="M530"/>
      <c r="N530"/>
      <c r="O530"/>
      <c r="P530"/>
      <c r="R530"/>
      <c r="S530"/>
      <c r="T530"/>
      <c r="U530"/>
      <c r="V530"/>
      <c r="W530"/>
      <c r="X530"/>
      <c r="Y530"/>
      <c r="Z530"/>
    </row>
    <row r="531" spans="2:26">
      <c r="B531"/>
      <c r="D531"/>
      <c r="E531"/>
      <c r="F531"/>
      <c r="G531"/>
      <c r="H531"/>
      <c r="I531"/>
      <c r="J531"/>
      <c r="K531"/>
      <c r="L531"/>
      <c r="M531"/>
      <c r="N531"/>
      <c r="O531"/>
      <c r="P531"/>
      <c r="R531"/>
      <c r="S531"/>
      <c r="T531"/>
      <c r="U531"/>
      <c r="V531"/>
      <c r="W531"/>
      <c r="X531"/>
      <c r="Y531"/>
      <c r="Z531"/>
    </row>
    <row r="532" spans="2:26">
      <c r="B532"/>
      <c r="D532"/>
      <c r="E532"/>
      <c r="F532"/>
      <c r="G532"/>
      <c r="H532"/>
      <c r="I532"/>
      <c r="J532"/>
      <c r="K532"/>
      <c r="L532"/>
      <c r="M532"/>
      <c r="N532"/>
      <c r="O532"/>
      <c r="P532"/>
      <c r="R532"/>
      <c r="S532"/>
      <c r="T532"/>
      <c r="U532"/>
      <c r="V532"/>
      <c r="W532"/>
      <c r="X532"/>
      <c r="Y532"/>
      <c r="Z532"/>
    </row>
    <row r="533" spans="2:26">
      <c r="B533"/>
      <c r="D533"/>
      <c r="E533"/>
      <c r="F533"/>
      <c r="G533"/>
      <c r="H533"/>
      <c r="I533"/>
      <c r="J533"/>
      <c r="K533"/>
      <c r="L533"/>
      <c r="M533"/>
      <c r="N533"/>
      <c r="O533"/>
      <c r="P533"/>
      <c r="R533"/>
      <c r="S533"/>
      <c r="T533"/>
      <c r="U533"/>
      <c r="V533"/>
      <c r="W533"/>
      <c r="X533"/>
      <c r="Y533"/>
      <c r="Z533"/>
    </row>
    <row r="534" spans="2:26">
      <c r="B534"/>
      <c r="D534"/>
      <c r="E534"/>
      <c r="F534"/>
      <c r="G534"/>
      <c r="H534"/>
      <c r="I534"/>
      <c r="J534"/>
      <c r="K534"/>
      <c r="L534"/>
      <c r="M534"/>
      <c r="N534"/>
      <c r="O534"/>
      <c r="P534"/>
      <c r="R534"/>
      <c r="S534"/>
      <c r="T534"/>
      <c r="U534"/>
      <c r="V534"/>
      <c r="W534"/>
      <c r="X534"/>
      <c r="Y534"/>
      <c r="Z534"/>
    </row>
    <row r="535" spans="2:26">
      <c r="B535"/>
      <c r="D535"/>
      <c r="E535"/>
      <c r="F535"/>
      <c r="G535"/>
      <c r="H535"/>
      <c r="I535"/>
      <c r="J535"/>
      <c r="K535"/>
      <c r="L535"/>
      <c r="M535"/>
      <c r="N535"/>
      <c r="O535"/>
      <c r="P535"/>
      <c r="R535"/>
      <c r="S535"/>
      <c r="T535"/>
      <c r="U535"/>
      <c r="V535"/>
      <c r="W535"/>
      <c r="X535"/>
      <c r="Y535"/>
      <c r="Z535"/>
    </row>
    <row r="536" spans="2:26">
      <c r="B536"/>
      <c r="D536"/>
      <c r="E536"/>
      <c r="F536"/>
      <c r="G536"/>
      <c r="H536"/>
      <c r="I536"/>
      <c r="J536"/>
      <c r="K536"/>
      <c r="L536"/>
      <c r="M536"/>
      <c r="N536"/>
      <c r="O536"/>
      <c r="P536"/>
      <c r="R536"/>
      <c r="S536"/>
      <c r="T536"/>
      <c r="U536"/>
      <c r="V536"/>
      <c r="W536"/>
      <c r="X536"/>
      <c r="Y536"/>
      <c r="Z536"/>
    </row>
    <row r="537" spans="2:26">
      <c r="B537"/>
      <c r="D537"/>
      <c r="E537"/>
      <c r="F537"/>
      <c r="G537"/>
      <c r="H537"/>
      <c r="I537"/>
      <c r="J537"/>
      <c r="K537"/>
      <c r="L537"/>
      <c r="M537"/>
      <c r="N537"/>
      <c r="O537"/>
      <c r="P537"/>
      <c r="R537"/>
      <c r="S537"/>
      <c r="T537"/>
      <c r="U537"/>
      <c r="V537"/>
      <c r="W537"/>
      <c r="X537"/>
      <c r="Y537"/>
      <c r="Z537"/>
    </row>
    <row r="538" spans="2:26">
      <c r="B538"/>
      <c r="D538"/>
      <c r="E538"/>
      <c r="F538"/>
      <c r="G538"/>
      <c r="H538"/>
      <c r="I538"/>
      <c r="J538"/>
      <c r="K538"/>
      <c r="L538"/>
      <c r="M538"/>
      <c r="N538"/>
      <c r="O538"/>
      <c r="P538"/>
      <c r="R538"/>
      <c r="S538"/>
      <c r="T538"/>
      <c r="U538"/>
      <c r="V538"/>
      <c r="W538"/>
      <c r="X538"/>
      <c r="Y538"/>
      <c r="Z538"/>
    </row>
    <row r="539" spans="2:26">
      <c r="B539"/>
      <c r="D539"/>
      <c r="E539"/>
      <c r="F539"/>
      <c r="G539"/>
      <c r="H539"/>
      <c r="I539"/>
      <c r="J539"/>
      <c r="K539"/>
      <c r="L539"/>
      <c r="M539"/>
      <c r="N539"/>
      <c r="O539"/>
      <c r="P539"/>
      <c r="R539"/>
      <c r="S539"/>
      <c r="T539"/>
      <c r="U539"/>
      <c r="V539"/>
      <c r="W539"/>
      <c r="X539"/>
      <c r="Y539"/>
      <c r="Z539"/>
    </row>
    <row r="540" spans="2:26">
      <c r="B540"/>
      <c r="D540"/>
      <c r="E540"/>
      <c r="F540"/>
      <c r="G540"/>
      <c r="H540"/>
      <c r="I540"/>
      <c r="J540"/>
      <c r="K540"/>
      <c r="L540"/>
      <c r="M540"/>
      <c r="N540"/>
      <c r="O540"/>
      <c r="P540"/>
      <c r="R540"/>
      <c r="S540"/>
      <c r="T540"/>
      <c r="U540"/>
      <c r="V540"/>
      <c r="W540"/>
      <c r="X540"/>
      <c r="Y540"/>
      <c r="Z540"/>
    </row>
    <row r="541" spans="2:26">
      <c r="B541"/>
      <c r="D541"/>
      <c r="E541"/>
      <c r="F541"/>
      <c r="G541"/>
      <c r="H541"/>
      <c r="I541"/>
      <c r="J541"/>
      <c r="K541"/>
      <c r="L541"/>
      <c r="M541"/>
      <c r="N541"/>
      <c r="O541"/>
      <c r="P541"/>
      <c r="R541"/>
      <c r="S541"/>
      <c r="T541"/>
      <c r="U541"/>
      <c r="V541"/>
      <c r="W541"/>
      <c r="X541"/>
      <c r="Y541"/>
      <c r="Z541"/>
    </row>
    <row r="542" spans="2:26">
      <c r="B542"/>
      <c r="D542"/>
      <c r="E542"/>
      <c r="F542"/>
      <c r="G542"/>
      <c r="H542"/>
      <c r="I542"/>
      <c r="J542"/>
      <c r="K542"/>
      <c r="L542"/>
      <c r="M542"/>
      <c r="N542"/>
      <c r="O542"/>
      <c r="P542"/>
      <c r="R542"/>
      <c r="S542"/>
      <c r="T542"/>
      <c r="U542"/>
      <c r="V542"/>
      <c r="W542"/>
      <c r="X542"/>
      <c r="Y542"/>
      <c r="Z542"/>
    </row>
    <row r="543" spans="2:26">
      <c r="B543"/>
      <c r="D543"/>
      <c r="E543"/>
      <c r="F543"/>
      <c r="G543"/>
      <c r="H543"/>
      <c r="I543"/>
      <c r="J543"/>
      <c r="K543"/>
      <c r="L543"/>
      <c r="M543"/>
      <c r="N543"/>
      <c r="O543"/>
      <c r="P543"/>
      <c r="R543"/>
      <c r="S543"/>
      <c r="T543"/>
      <c r="U543"/>
      <c r="V543"/>
      <c r="W543"/>
      <c r="X543"/>
      <c r="Y543"/>
      <c r="Z543"/>
    </row>
    <row r="544" spans="2:26">
      <c r="B544"/>
      <c r="D544"/>
      <c r="E544"/>
      <c r="F544"/>
      <c r="G544"/>
      <c r="H544"/>
      <c r="I544"/>
      <c r="J544"/>
      <c r="K544"/>
      <c r="L544"/>
      <c r="M544"/>
      <c r="N544"/>
      <c r="O544"/>
      <c r="P544"/>
      <c r="R544"/>
      <c r="S544"/>
      <c r="T544"/>
      <c r="U544"/>
      <c r="V544"/>
      <c r="W544"/>
      <c r="X544"/>
      <c r="Y544"/>
      <c r="Z544"/>
    </row>
    <row r="545" spans="2:26">
      <c r="B545"/>
      <c r="D545"/>
      <c r="E545"/>
      <c r="F545"/>
      <c r="G545"/>
      <c r="H545"/>
      <c r="I545"/>
      <c r="J545"/>
      <c r="K545"/>
      <c r="L545"/>
      <c r="M545"/>
      <c r="N545"/>
      <c r="O545"/>
      <c r="P545"/>
      <c r="R545"/>
      <c r="S545"/>
      <c r="T545"/>
      <c r="U545"/>
      <c r="V545"/>
      <c r="W545"/>
      <c r="X545"/>
      <c r="Y545"/>
      <c r="Z545"/>
    </row>
    <row r="546" spans="2:26">
      <c r="B546"/>
      <c r="D546"/>
      <c r="E546"/>
      <c r="F546"/>
      <c r="G546"/>
      <c r="H546"/>
      <c r="I546"/>
      <c r="J546"/>
      <c r="K546"/>
      <c r="L546"/>
      <c r="M546"/>
      <c r="N546"/>
      <c r="O546"/>
      <c r="P546"/>
      <c r="R546"/>
      <c r="S546"/>
      <c r="T546"/>
      <c r="U546"/>
      <c r="V546"/>
      <c r="W546"/>
      <c r="X546"/>
      <c r="Y546"/>
      <c r="Z546"/>
    </row>
    <row r="547" spans="2:26">
      <c r="B547"/>
      <c r="D547"/>
      <c r="E547"/>
      <c r="F547"/>
      <c r="G547"/>
      <c r="H547"/>
      <c r="I547"/>
      <c r="J547"/>
      <c r="K547"/>
      <c r="L547"/>
      <c r="M547"/>
      <c r="N547"/>
      <c r="O547"/>
      <c r="P547"/>
      <c r="R547"/>
      <c r="S547"/>
      <c r="T547"/>
      <c r="U547"/>
      <c r="V547"/>
      <c r="W547"/>
      <c r="X547"/>
      <c r="Y547"/>
      <c r="Z547"/>
    </row>
    <row r="548" spans="2:26">
      <c r="B548"/>
      <c r="D548"/>
      <c r="E548"/>
      <c r="F548"/>
      <c r="G548"/>
      <c r="H548"/>
      <c r="I548"/>
      <c r="J548"/>
      <c r="K548"/>
      <c r="L548"/>
      <c r="M548"/>
      <c r="N548"/>
      <c r="O548"/>
      <c r="P548"/>
      <c r="R548"/>
      <c r="S548"/>
      <c r="T548"/>
      <c r="U548"/>
      <c r="V548"/>
      <c r="W548"/>
      <c r="X548"/>
      <c r="Y548"/>
      <c r="Z548"/>
    </row>
    <row r="549" spans="2:26">
      <c r="B549"/>
      <c r="D549"/>
      <c r="E549"/>
      <c r="F549"/>
      <c r="G549"/>
      <c r="H549"/>
      <c r="I549"/>
      <c r="J549"/>
      <c r="K549"/>
      <c r="L549"/>
      <c r="M549"/>
      <c r="N549"/>
      <c r="O549"/>
      <c r="P549"/>
      <c r="R549"/>
      <c r="S549"/>
      <c r="T549"/>
      <c r="U549"/>
      <c r="V549"/>
      <c r="W549"/>
      <c r="X549"/>
      <c r="Y549"/>
      <c r="Z549"/>
    </row>
    <row r="550" spans="2:26">
      <c r="B550"/>
      <c r="D550"/>
      <c r="E550"/>
      <c r="F550"/>
      <c r="G550"/>
      <c r="H550"/>
      <c r="I550"/>
      <c r="J550"/>
      <c r="K550"/>
      <c r="L550"/>
      <c r="M550"/>
      <c r="N550"/>
      <c r="O550"/>
      <c r="P550"/>
      <c r="R550"/>
      <c r="S550"/>
      <c r="T550"/>
      <c r="U550"/>
      <c r="V550"/>
      <c r="W550"/>
      <c r="X550"/>
      <c r="Y550"/>
      <c r="Z550"/>
    </row>
    <row r="551" spans="2:26">
      <c r="B551"/>
      <c r="D551"/>
      <c r="E551"/>
      <c r="F551"/>
      <c r="G551"/>
      <c r="H551"/>
      <c r="I551"/>
      <c r="J551"/>
      <c r="K551"/>
      <c r="L551"/>
      <c r="M551"/>
      <c r="N551"/>
      <c r="O551"/>
      <c r="P551"/>
      <c r="R551"/>
      <c r="S551"/>
      <c r="T551"/>
      <c r="U551"/>
      <c r="V551"/>
      <c r="W551"/>
      <c r="X551"/>
      <c r="Y551"/>
      <c r="Z551"/>
    </row>
    <row r="552" spans="2:26">
      <c r="B552"/>
      <c r="D552"/>
      <c r="E552"/>
      <c r="F552"/>
      <c r="G552"/>
      <c r="H552"/>
      <c r="I552"/>
      <c r="J552"/>
      <c r="K552"/>
      <c r="L552"/>
      <c r="M552"/>
      <c r="N552"/>
      <c r="O552"/>
      <c r="P552"/>
      <c r="R552"/>
      <c r="S552"/>
      <c r="T552"/>
      <c r="U552"/>
      <c r="V552"/>
      <c r="W552"/>
      <c r="X552"/>
      <c r="Y552"/>
      <c r="Z552"/>
    </row>
    <row r="553" spans="2:26">
      <c r="B553"/>
      <c r="D553"/>
      <c r="E553"/>
      <c r="F553"/>
      <c r="G553"/>
      <c r="H553"/>
      <c r="I553"/>
      <c r="J553"/>
      <c r="K553"/>
      <c r="L553"/>
      <c r="M553"/>
      <c r="N553"/>
      <c r="O553"/>
      <c r="P553"/>
      <c r="R553"/>
      <c r="S553"/>
      <c r="T553"/>
      <c r="U553"/>
      <c r="V553"/>
      <c r="W553"/>
      <c r="X553"/>
      <c r="Y553"/>
      <c r="Z553"/>
    </row>
    <row r="554" spans="2:26">
      <c r="B554"/>
      <c r="D554"/>
      <c r="E554"/>
      <c r="F554"/>
      <c r="G554"/>
      <c r="H554"/>
      <c r="I554"/>
      <c r="J554"/>
      <c r="K554"/>
      <c r="L554"/>
      <c r="M554"/>
      <c r="N554"/>
      <c r="O554"/>
      <c r="P554"/>
      <c r="R554"/>
      <c r="S554"/>
      <c r="T554"/>
      <c r="U554"/>
      <c r="V554"/>
      <c r="W554"/>
      <c r="X554"/>
      <c r="Y554"/>
      <c r="Z554"/>
    </row>
    <row r="555" spans="2:26">
      <c r="B555"/>
      <c r="D555"/>
      <c r="E555"/>
      <c r="F555"/>
      <c r="G555"/>
      <c r="H555"/>
      <c r="I555"/>
      <c r="J555"/>
      <c r="K555"/>
      <c r="L555"/>
      <c r="M555"/>
      <c r="N555"/>
      <c r="O555"/>
      <c r="P555"/>
      <c r="R555"/>
      <c r="S555"/>
      <c r="T555"/>
      <c r="U555"/>
      <c r="V555"/>
      <c r="W555"/>
      <c r="X555"/>
      <c r="Y555"/>
      <c r="Z555"/>
    </row>
    <row r="556" spans="2:26">
      <c r="B556"/>
      <c r="D556"/>
      <c r="E556"/>
      <c r="F556"/>
      <c r="G556"/>
      <c r="H556"/>
      <c r="I556"/>
      <c r="J556"/>
      <c r="K556"/>
      <c r="L556"/>
      <c r="M556"/>
      <c r="N556"/>
      <c r="O556"/>
      <c r="P556"/>
      <c r="R556"/>
      <c r="S556"/>
      <c r="T556"/>
      <c r="U556"/>
      <c r="V556"/>
      <c r="W556"/>
      <c r="X556"/>
      <c r="Y556"/>
      <c r="Z556"/>
    </row>
    <row r="557" spans="2:26">
      <c r="B557"/>
      <c r="D557"/>
      <c r="E557"/>
      <c r="F557"/>
      <c r="G557"/>
      <c r="H557"/>
      <c r="I557"/>
      <c r="J557"/>
      <c r="K557"/>
      <c r="L557"/>
      <c r="M557"/>
      <c r="N557"/>
      <c r="O557"/>
      <c r="P557"/>
      <c r="R557"/>
      <c r="S557"/>
      <c r="T557"/>
      <c r="U557"/>
      <c r="V557"/>
      <c r="W557"/>
      <c r="X557"/>
      <c r="Y557"/>
      <c r="Z557"/>
    </row>
    <row r="558" spans="2:26">
      <c r="B558"/>
      <c r="D558"/>
      <c r="E558"/>
      <c r="F558"/>
      <c r="G558"/>
      <c r="H558"/>
      <c r="I558"/>
      <c r="J558"/>
      <c r="K558"/>
      <c r="L558"/>
      <c r="M558"/>
      <c r="N558"/>
      <c r="O558"/>
      <c r="P558"/>
      <c r="R558"/>
      <c r="S558"/>
      <c r="T558"/>
      <c r="U558"/>
      <c r="V558"/>
      <c r="W558"/>
      <c r="X558"/>
      <c r="Y558"/>
      <c r="Z558"/>
    </row>
    <row r="559" spans="2:26">
      <c r="B559"/>
      <c r="D559"/>
      <c r="E559"/>
      <c r="F559"/>
      <c r="G559"/>
      <c r="H559"/>
      <c r="I559"/>
      <c r="J559"/>
      <c r="K559"/>
      <c r="L559"/>
      <c r="M559"/>
      <c r="N559"/>
      <c r="O559"/>
      <c r="P559"/>
      <c r="R559"/>
      <c r="S559"/>
      <c r="T559"/>
      <c r="U559"/>
      <c r="V559"/>
      <c r="W559"/>
      <c r="X559"/>
      <c r="Y559"/>
      <c r="Z559"/>
    </row>
    <row r="560" spans="2:26">
      <c r="B560"/>
      <c r="D560"/>
      <c r="E560"/>
      <c r="F560"/>
      <c r="G560"/>
      <c r="H560"/>
      <c r="I560"/>
      <c r="J560"/>
      <c r="K560"/>
      <c r="L560"/>
      <c r="M560"/>
      <c r="N560"/>
      <c r="O560"/>
      <c r="P560"/>
      <c r="R560"/>
      <c r="S560"/>
      <c r="T560"/>
      <c r="U560"/>
      <c r="V560"/>
      <c r="W560"/>
      <c r="X560"/>
      <c r="Y560"/>
      <c r="Z560"/>
    </row>
    <row r="561" spans="2:26">
      <c r="B561"/>
      <c r="D561"/>
      <c r="E561"/>
      <c r="F561"/>
      <c r="G561"/>
      <c r="H561"/>
      <c r="I561"/>
      <c r="J561"/>
      <c r="K561"/>
      <c r="L561"/>
      <c r="M561"/>
      <c r="N561"/>
      <c r="O561"/>
      <c r="P561"/>
      <c r="R561"/>
      <c r="S561"/>
      <c r="T561"/>
      <c r="U561"/>
      <c r="V561"/>
      <c r="W561"/>
      <c r="X561"/>
      <c r="Y561"/>
      <c r="Z561"/>
    </row>
    <row r="562" spans="2:26">
      <c r="B562"/>
      <c r="D562"/>
      <c r="E562"/>
      <c r="F562"/>
      <c r="G562"/>
      <c r="H562"/>
      <c r="I562"/>
      <c r="J562"/>
      <c r="K562"/>
      <c r="L562"/>
      <c r="M562"/>
      <c r="N562"/>
      <c r="O562"/>
      <c r="P562"/>
      <c r="R562"/>
      <c r="S562"/>
      <c r="T562"/>
      <c r="U562"/>
      <c r="V562"/>
      <c r="W562"/>
      <c r="X562"/>
      <c r="Y562"/>
      <c r="Z562"/>
    </row>
    <row r="563" spans="2:26">
      <c r="B563"/>
      <c r="D563"/>
      <c r="E563"/>
      <c r="F563"/>
      <c r="G563"/>
      <c r="H563"/>
      <c r="I563"/>
      <c r="J563"/>
      <c r="K563"/>
      <c r="L563"/>
      <c r="M563"/>
      <c r="N563"/>
      <c r="O563"/>
      <c r="P563"/>
      <c r="R563"/>
      <c r="S563"/>
      <c r="T563"/>
      <c r="U563"/>
      <c r="V563"/>
      <c r="W563"/>
      <c r="X563"/>
      <c r="Y563"/>
      <c r="Z563"/>
    </row>
    <row r="564" spans="2:26">
      <c r="B564"/>
      <c r="D564"/>
      <c r="E564"/>
      <c r="F564"/>
      <c r="G564"/>
      <c r="H564"/>
      <c r="I564"/>
      <c r="J564"/>
      <c r="K564"/>
      <c r="L564"/>
      <c r="M564"/>
      <c r="N564"/>
      <c r="O564"/>
      <c r="P564"/>
      <c r="R564"/>
      <c r="S564"/>
      <c r="T564"/>
      <c r="U564"/>
      <c r="V564"/>
      <c r="W564"/>
      <c r="X564"/>
      <c r="Y564"/>
      <c r="Z564"/>
    </row>
    <row r="565" spans="2:26">
      <c r="B565"/>
      <c r="D565"/>
      <c r="E565"/>
      <c r="F565"/>
      <c r="G565"/>
      <c r="H565"/>
      <c r="I565"/>
      <c r="J565"/>
      <c r="K565"/>
      <c r="L565"/>
      <c r="M565"/>
      <c r="N565"/>
      <c r="O565"/>
      <c r="P565"/>
      <c r="R565"/>
      <c r="S565"/>
      <c r="T565"/>
      <c r="U565"/>
      <c r="V565"/>
      <c r="W565"/>
      <c r="X565"/>
      <c r="Y565"/>
      <c r="Z565"/>
    </row>
    <row r="566" spans="2:26">
      <c r="B566"/>
      <c r="D566"/>
      <c r="E566"/>
      <c r="F566"/>
      <c r="G566"/>
      <c r="H566"/>
      <c r="I566"/>
      <c r="J566"/>
      <c r="K566"/>
      <c r="L566"/>
      <c r="M566"/>
      <c r="N566"/>
      <c r="O566"/>
      <c r="P566"/>
      <c r="R566"/>
      <c r="S566"/>
      <c r="T566"/>
      <c r="U566"/>
      <c r="V566"/>
      <c r="W566"/>
      <c r="X566"/>
      <c r="Y566"/>
      <c r="Z566"/>
    </row>
    <row r="567" spans="2:26">
      <c r="B567"/>
      <c r="D567"/>
      <c r="E567"/>
      <c r="F567"/>
      <c r="G567"/>
      <c r="H567"/>
      <c r="I567"/>
      <c r="J567"/>
      <c r="K567"/>
      <c r="L567"/>
      <c r="M567"/>
      <c r="N567"/>
      <c r="O567"/>
      <c r="P567"/>
      <c r="R567"/>
      <c r="S567"/>
      <c r="T567"/>
      <c r="U567"/>
      <c r="V567"/>
      <c r="W567"/>
      <c r="X567"/>
      <c r="Y567"/>
      <c r="Z567"/>
    </row>
    <row r="568" spans="2:26">
      <c r="B568"/>
      <c r="D568"/>
      <c r="E568"/>
      <c r="F568"/>
      <c r="G568"/>
      <c r="H568"/>
      <c r="I568"/>
      <c r="J568"/>
      <c r="K568"/>
      <c r="L568"/>
      <c r="M568"/>
      <c r="N568"/>
      <c r="O568"/>
      <c r="P568"/>
      <c r="R568"/>
      <c r="S568"/>
      <c r="T568"/>
      <c r="U568"/>
      <c r="V568"/>
      <c r="W568"/>
      <c r="X568"/>
      <c r="Y568"/>
      <c r="Z568"/>
    </row>
    <row r="569" spans="2:26">
      <c r="B569"/>
      <c r="D569"/>
      <c r="E569"/>
      <c r="F569"/>
      <c r="G569"/>
      <c r="H569"/>
      <c r="I569"/>
      <c r="J569"/>
      <c r="K569"/>
      <c r="L569"/>
      <c r="M569"/>
      <c r="N569"/>
      <c r="O569"/>
      <c r="P569"/>
      <c r="R569"/>
      <c r="S569"/>
      <c r="T569"/>
      <c r="U569"/>
      <c r="V569"/>
      <c r="W569"/>
      <c r="X569"/>
      <c r="Y569"/>
      <c r="Z569"/>
    </row>
    <row r="570" spans="2:26">
      <c r="B570"/>
      <c r="D570"/>
      <c r="E570"/>
      <c r="F570"/>
      <c r="G570"/>
      <c r="H570"/>
      <c r="I570"/>
      <c r="J570"/>
      <c r="K570"/>
      <c r="L570"/>
      <c r="M570"/>
      <c r="N570"/>
      <c r="O570"/>
      <c r="P570"/>
      <c r="R570"/>
      <c r="S570"/>
      <c r="T570"/>
      <c r="U570"/>
      <c r="V570"/>
      <c r="W570"/>
      <c r="X570"/>
      <c r="Y570"/>
      <c r="Z570"/>
    </row>
    <row r="571" spans="2:26">
      <c r="B571"/>
      <c r="D571"/>
      <c r="E571"/>
      <c r="F571"/>
      <c r="G571"/>
      <c r="H571"/>
      <c r="I571"/>
      <c r="J571"/>
      <c r="K571"/>
      <c r="L571"/>
      <c r="M571"/>
      <c r="N571"/>
      <c r="O571"/>
      <c r="P571"/>
      <c r="R571"/>
      <c r="S571"/>
      <c r="T571"/>
      <c r="U571"/>
      <c r="V571"/>
      <c r="W571"/>
      <c r="X571"/>
      <c r="Y571"/>
      <c r="Z571"/>
    </row>
    <row r="572" spans="2:26">
      <c r="B572"/>
      <c r="D572"/>
      <c r="E572"/>
      <c r="F572"/>
      <c r="G572"/>
      <c r="H572"/>
      <c r="I572"/>
      <c r="J572"/>
      <c r="K572"/>
      <c r="L572"/>
      <c r="M572"/>
      <c r="N572"/>
      <c r="O572"/>
      <c r="P572"/>
      <c r="R572"/>
      <c r="S572"/>
      <c r="T572"/>
      <c r="U572"/>
      <c r="V572"/>
      <c r="W572"/>
      <c r="X572"/>
      <c r="Y572"/>
      <c r="Z572"/>
    </row>
    <row r="573" spans="2:26">
      <c r="B573"/>
      <c r="D573"/>
      <c r="E573"/>
      <c r="F573"/>
      <c r="G573"/>
      <c r="H573"/>
      <c r="I573"/>
      <c r="J573"/>
      <c r="K573"/>
      <c r="L573"/>
      <c r="M573"/>
      <c r="N573"/>
      <c r="O573"/>
      <c r="P573"/>
      <c r="R573"/>
      <c r="S573"/>
      <c r="T573"/>
      <c r="U573"/>
      <c r="V573"/>
      <c r="W573"/>
      <c r="X573"/>
      <c r="Y573"/>
      <c r="Z573"/>
    </row>
    <row r="574" spans="2:26">
      <c r="B574"/>
      <c r="D574"/>
      <c r="E574"/>
      <c r="F574"/>
      <c r="G574"/>
      <c r="H574"/>
      <c r="I574"/>
      <c r="J574"/>
      <c r="K574"/>
      <c r="L574"/>
      <c r="M574"/>
      <c r="N574"/>
      <c r="O574"/>
      <c r="P574"/>
      <c r="R574"/>
      <c r="S574"/>
      <c r="T574"/>
      <c r="U574"/>
      <c r="V574"/>
      <c r="W574"/>
      <c r="X574"/>
      <c r="Y574"/>
      <c r="Z574"/>
    </row>
    <row r="575" spans="2:26">
      <c r="B575"/>
      <c r="D575"/>
      <c r="E575"/>
      <c r="F575"/>
      <c r="G575"/>
      <c r="H575"/>
      <c r="I575"/>
      <c r="J575"/>
      <c r="K575"/>
      <c r="L575"/>
      <c r="M575"/>
      <c r="N575"/>
      <c r="O575"/>
      <c r="P575"/>
      <c r="R575"/>
      <c r="S575"/>
      <c r="T575"/>
      <c r="U575"/>
      <c r="V575"/>
      <c r="W575"/>
      <c r="X575"/>
      <c r="Y575"/>
      <c r="Z575"/>
    </row>
    <row r="576" spans="2:26">
      <c r="B576"/>
      <c r="D576"/>
      <c r="E576"/>
      <c r="F576"/>
      <c r="G576"/>
      <c r="H576"/>
      <c r="I576"/>
      <c r="J576"/>
      <c r="K576"/>
      <c r="L576"/>
      <c r="M576"/>
      <c r="N576"/>
      <c r="O576"/>
      <c r="P576"/>
      <c r="R576"/>
      <c r="S576"/>
      <c r="T576"/>
      <c r="U576"/>
      <c r="V576"/>
      <c r="W576"/>
      <c r="X576"/>
      <c r="Y576"/>
      <c r="Z576"/>
    </row>
    <row r="577" spans="2:26">
      <c r="B577"/>
      <c r="D577"/>
      <c r="E577"/>
      <c r="F577"/>
      <c r="G577"/>
      <c r="H577"/>
      <c r="I577"/>
      <c r="J577"/>
      <c r="K577"/>
      <c r="L577"/>
      <c r="M577"/>
      <c r="N577"/>
      <c r="O577"/>
      <c r="P577"/>
      <c r="R577"/>
      <c r="S577"/>
      <c r="T577"/>
      <c r="U577"/>
      <c r="V577"/>
      <c r="W577"/>
      <c r="X577"/>
      <c r="Y577"/>
      <c r="Z577"/>
    </row>
    <row r="578" spans="2:26">
      <c r="B578"/>
      <c r="D578"/>
      <c r="E578"/>
      <c r="F578"/>
      <c r="G578"/>
      <c r="H578"/>
      <c r="I578"/>
      <c r="J578"/>
      <c r="K578"/>
      <c r="L578"/>
      <c r="M578"/>
      <c r="N578"/>
      <c r="O578"/>
      <c r="P578"/>
      <c r="R578"/>
      <c r="S578"/>
      <c r="T578"/>
      <c r="U578"/>
      <c r="V578"/>
      <c r="W578"/>
      <c r="X578"/>
      <c r="Y578"/>
      <c r="Z578"/>
    </row>
    <row r="579" spans="2:26">
      <c r="B579"/>
      <c r="D579"/>
      <c r="E579"/>
      <c r="F579"/>
      <c r="G579"/>
      <c r="H579"/>
      <c r="I579"/>
      <c r="J579"/>
      <c r="K579"/>
      <c r="L579"/>
      <c r="M579"/>
      <c r="N579"/>
      <c r="O579"/>
      <c r="P579"/>
      <c r="R579"/>
      <c r="S579"/>
      <c r="T579"/>
      <c r="U579"/>
      <c r="V579"/>
      <c r="W579"/>
      <c r="X579"/>
      <c r="Y579"/>
      <c r="Z579"/>
    </row>
    <row r="580" spans="2:26">
      <c r="B580"/>
      <c r="D580"/>
      <c r="E580"/>
      <c r="F580"/>
      <c r="G580"/>
      <c r="H580"/>
      <c r="I580"/>
      <c r="J580"/>
      <c r="K580"/>
      <c r="L580"/>
      <c r="M580"/>
      <c r="N580"/>
      <c r="O580"/>
      <c r="P580"/>
      <c r="R580"/>
      <c r="S580"/>
      <c r="T580"/>
      <c r="U580"/>
      <c r="V580"/>
      <c r="W580"/>
      <c r="X580"/>
      <c r="Y580"/>
      <c r="Z580"/>
    </row>
    <row r="581" spans="2:26">
      <c r="B581"/>
      <c r="D581"/>
      <c r="E581"/>
      <c r="F581"/>
      <c r="G581"/>
      <c r="H581"/>
      <c r="I581"/>
      <c r="J581"/>
      <c r="K581"/>
      <c r="L581"/>
      <c r="M581"/>
      <c r="N581"/>
      <c r="O581"/>
      <c r="P581"/>
      <c r="R581"/>
      <c r="S581"/>
      <c r="T581"/>
      <c r="U581"/>
      <c r="V581"/>
      <c r="W581"/>
      <c r="X581"/>
      <c r="Y581"/>
      <c r="Z581"/>
    </row>
    <row r="582" spans="2:26">
      <c r="B582"/>
      <c r="D582"/>
      <c r="E582"/>
      <c r="F582"/>
      <c r="G582"/>
      <c r="H582"/>
      <c r="I582"/>
      <c r="J582"/>
      <c r="K582"/>
      <c r="L582"/>
      <c r="M582"/>
      <c r="N582"/>
      <c r="O582"/>
      <c r="P582"/>
      <c r="R582"/>
      <c r="S582"/>
      <c r="T582"/>
      <c r="U582"/>
      <c r="V582"/>
      <c r="W582"/>
      <c r="X582"/>
      <c r="Y582"/>
      <c r="Z582"/>
    </row>
    <row r="583" spans="2:26">
      <c r="B583"/>
      <c r="D583"/>
      <c r="E583"/>
      <c r="F583"/>
      <c r="G583"/>
      <c r="H583"/>
      <c r="I583"/>
      <c r="J583"/>
      <c r="K583"/>
      <c r="L583"/>
      <c r="M583"/>
      <c r="N583"/>
      <c r="O583"/>
      <c r="P583"/>
      <c r="R583"/>
      <c r="S583"/>
      <c r="T583"/>
      <c r="U583"/>
      <c r="V583"/>
      <c r="W583"/>
      <c r="X583"/>
      <c r="Y583"/>
      <c r="Z583"/>
    </row>
    <row r="584" spans="2:26">
      <c r="B584"/>
      <c r="D584"/>
      <c r="E584"/>
      <c r="F584"/>
      <c r="G584"/>
      <c r="H584"/>
      <c r="I584"/>
      <c r="J584"/>
      <c r="K584"/>
      <c r="L584"/>
      <c r="M584"/>
      <c r="N584"/>
      <c r="O584"/>
      <c r="P584"/>
      <c r="R584"/>
      <c r="S584"/>
      <c r="T584"/>
      <c r="U584"/>
      <c r="V584"/>
      <c r="W584"/>
      <c r="X584"/>
      <c r="Y584"/>
      <c r="Z584"/>
    </row>
    <row r="585" spans="2:26">
      <c r="B585"/>
      <c r="D585"/>
      <c r="E585"/>
      <c r="F585"/>
      <c r="G585"/>
      <c r="H585"/>
      <c r="I585"/>
      <c r="J585"/>
      <c r="K585"/>
      <c r="L585"/>
      <c r="M585"/>
      <c r="N585"/>
      <c r="O585"/>
      <c r="P585"/>
      <c r="R585"/>
      <c r="S585"/>
      <c r="T585"/>
      <c r="U585"/>
      <c r="V585"/>
      <c r="W585"/>
      <c r="X585"/>
      <c r="Y585"/>
      <c r="Z585"/>
    </row>
    <row r="586" spans="2:26">
      <c r="B586"/>
      <c r="D586"/>
      <c r="E586"/>
      <c r="F586"/>
      <c r="G586"/>
      <c r="H586"/>
      <c r="I586"/>
      <c r="J586"/>
      <c r="K586"/>
      <c r="L586"/>
      <c r="M586"/>
      <c r="N586"/>
      <c r="O586"/>
      <c r="P586"/>
      <c r="R586"/>
      <c r="S586"/>
      <c r="T586"/>
      <c r="U586"/>
      <c r="V586"/>
      <c r="W586"/>
      <c r="X586"/>
      <c r="Y586"/>
      <c r="Z586"/>
    </row>
    <row r="587" spans="2:26">
      <c r="B587"/>
      <c r="D587"/>
      <c r="E587"/>
      <c r="F587"/>
      <c r="G587"/>
      <c r="H587"/>
      <c r="I587"/>
      <c r="J587"/>
      <c r="K587"/>
      <c r="L587"/>
      <c r="M587"/>
      <c r="N587"/>
      <c r="O587"/>
      <c r="P587"/>
      <c r="R587"/>
      <c r="S587"/>
      <c r="T587"/>
      <c r="U587"/>
      <c r="V587"/>
      <c r="W587"/>
      <c r="X587"/>
      <c r="Y587"/>
      <c r="Z587"/>
    </row>
    <row r="588" spans="2:26">
      <c r="B588"/>
      <c r="D588"/>
      <c r="E588"/>
      <c r="F588"/>
      <c r="G588"/>
      <c r="H588"/>
      <c r="I588"/>
      <c r="J588"/>
      <c r="K588"/>
      <c r="L588"/>
      <c r="M588"/>
      <c r="N588"/>
      <c r="O588"/>
      <c r="P588"/>
      <c r="R588"/>
      <c r="S588"/>
      <c r="T588"/>
      <c r="U588"/>
      <c r="V588"/>
      <c r="W588"/>
      <c r="X588"/>
      <c r="Y588"/>
      <c r="Z588"/>
    </row>
    <row r="589" spans="2:26">
      <c r="B589"/>
      <c r="D589"/>
      <c r="E589"/>
      <c r="F589"/>
      <c r="G589"/>
      <c r="H589"/>
      <c r="I589"/>
      <c r="J589"/>
      <c r="K589"/>
      <c r="L589"/>
      <c r="M589"/>
      <c r="N589"/>
      <c r="O589"/>
      <c r="P589"/>
      <c r="R589"/>
      <c r="S589"/>
      <c r="T589"/>
      <c r="U589"/>
      <c r="V589"/>
      <c r="W589"/>
      <c r="X589"/>
      <c r="Y589"/>
      <c r="Z589"/>
    </row>
    <row r="590" spans="2:26">
      <c r="B590"/>
      <c r="D590"/>
      <c r="E590"/>
      <c r="F590"/>
      <c r="G590"/>
      <c r="H590"/>
      <c r="I590"/>
      <c r="J590"/>
      <c r="K590"/>
      <c r="L590"/>
      <c r="M590"/>
      <c r="N590"/>
      <c r="O590"/>
      <c r="P590"/>
      <c r="R590"/>
      <c r="S590"/>
      <c r="T590"/>
      <c r="U590"/>
      <c r="V590"/>
      <c r="W590"/>
      <c r="X590"/>
      <c r="Y590"/>
      <c r="Z590"/>
    </row>
    <row r="591" spans="2:26">
      <c r="B591"/>
      <c r="D591"/>
      <c r="E591"/>
      <c r="F591"/>
      <c r="G591"/>
      <c r="H591"/>
      <c r="I591"/>
      <c r="J591"/>
      <c r="K591"/>
      <c r="L591"/>
      <c r="M591"/>
      <c r="N591"/>
      <c r="O591"/>
      <c r="P591"/>
      <c r="R591"/>
      <c r="S591"/>
      <c r="T591"/>
      <c r="U591"/>
      <c r="V591"/>
      <c r="W591"/>
      <c r="X591"/>
      <c r="Y591"/>
      <c r="Z591"/>
    </row>
    <row r="592" spans="2:26">
      <c r="B592"/>
      <c r="D592"/>
      <c r="E592"/>
      <c r="F592"/>
      <c r="G592"/>
      <c r="H592"/>
      <c r="I592"/>
      <c r="J592"/>
      <c r="K592"/>
      <c r="L592"/>
      <c r="M592"/>
      <c r="N592"/>
      <c r="O592"/>
      <c r="P592"/>
      <c r="R592"/>
      <c r="S592"/>
      <c r="T592"/>
      <c r="U592"/>
      <c r="V592"/>
      <c r="W592"/>
      <c r="X592"/>
      <c r="Y592"/>
      <c r="Z592"/>
    </row>
    <row r="593" spans="2:26">
      <c r="B593"/>
      <c r="D593"/>
      <c r="E593"/>
      <c r="F593"/>
      <c r="G593"/>
      <c r="H593"/>
      <c r="I593"/>
      <c r="J593"/>
      <c r="K593"/>
      <c r="L593"/>
      <c r="M593"/>
      <c r="N593"/>
      <c r="O593"/>
      <c r="P593"/>
      <c r="R593"/>
      <c r="S593"/>
      <c r="T593"/>
      <c r="U593"/>
      <c r="V593"/>
      <c r="W593"/>
      <c r="X593"/>
      <c r="Y593"/>
      <c r="Z593"/>
    </row>
    <row r="594" spans="2:26">
      <c r="B594"/>
      <c r="D594"/>
      <c r="E594"/>
      <c r="F594"/>
      <c r="G594"/>
      <c r="H594"/>
      <c r="I594"/>
      <c r="J594"/>
      <c r="K594"/>
      <c r="L594"/>
      <c r="M594"/>
      <c r="N594"/>
      <c r="O594"/>
      <c r="P594"/>
      <c r="R594"/>
      <c r="S594"/>
      <c r="T594"/>
      <c r="U594"/>
      <c r="V594"/>
      <c r="W594"/>
      <c r="X594"/>
      <c r="Y594"/>
      <c r="Z594"/>
    </row>
    <row r="595" spans="2:26">
      <c r="B595"/>
      <c r="D595"/>
      <c r="E595"/>
      <c r="F595"/>
      <c r="G595"/>
      <c r="H595"/>
      <c r="I595"/>
      <c r="J595"/>
      <c r="K595"/>
      <c r="L595"/>
      <c r="M595"/>
      <c r="N595"/>
      <c r="O595"/>
      <c r="P595"/>
      <c r="R595"/>
      <c r="S595"/>
      <c r="T595"/>
      <c r="U595"/>
      <c r="V595"/>
      <c r="W595"/>
      <c r="X595"/>
      <c r="Y595"/>
      <c r="Z595"/>
    </row>
    <row r="596" spans="2:26">
      <c r="B596"/>
      <c r="D596"/>
      <c r="E596"/>
      <c r="F596"/>
      <c r="G596"/>
      <c r="H596"/>
      <c r="I596"/>
      <c r="J596"/>
      <c r="K596"/>
      <c r="L596"/>
      <c r="M596"/>
      <c r="N596"/>
      <c r="O596"/>
      <c r="P596"/>
      <c r="R596"/>
      <c r="S596"/>
      <c r="T596"/>
      <c r="U596"/>
      <c r="V596"/>
      <c r="W596"/>
      <c r="X596"/>
      <c r="Y596"/>
      <c r="Z596"/>
    </row>
    <row r="597" spans="2:26">
      <c r="B597"/>
      <c r="D597"/>
      <c r="E597"/>
      <c r="F597"/>
      <c r="G597"/>
      <c r="H597"/>
      <c r="I597"/>
      <c r="J597"/>
      <c r="K597"/>
      <c r="L597"/>
      <c r="M597"/>
      <c r="N597"/>
      <c r="O597"/>
      <c r="P597"/>
      <c r="R597"/>
      <c r="S597"/>
      <c r="T597"/>
      <c r="U597"/>
      <c r="V597"/>
      <c r="W597"/>
      <c r="X597"/>
      <c r="Y597"/>
      <c r="Z597"/>
    </row>
    <row r="598" spans="2:26">
      <c r="B598"/>
      <c r="D598"/>
      <c r="E598"/>
      <c r="F598"/>
      <c r="G598"/>
      <c r="H598"/>
      <c r="I598"/>
      <c r="J598"/>
      <c r="K598"/>
      <c r="L598"/>
      <c r="M598"/>
      <c r="N598"/>
      <c r="O598"/>
      <c r="P598"/>
      <c r="R598"/>
      <c r="S598"/>
      <c r="T598"/>
      <c r="U598"/>
      <c r="V598"/>
      <c r="W598"/>
      <c r="X598"/>
      <c r="Y598"/>
      <c r="Z598"/>
    </row>
    <row r="599" spans="2:26">
      <c r="B599"/>
      <c r="D599"/>
      <c r="E599"/>
      <c r="F599"/>
      <c r="G599"/>
      <c r="H599"/>
      <c r="I599"/>
      <c r="J599"/>
      <c r="K599"/>
      <c r="L599"/>
      <c r="M599"/>
      <c r="N599"/>
      <c r="O599"/>
      <c r="P599"/>
      <c r="R599"/>
      <c r="S599"/>
      <c r="T599"/>
      <c r="U599"/>
      <c r="V599"/>
      <c r="W599"/>
      <c r="X599"/>
      <c r="Y599"/>
      <c r="Z599"/>
    </row>
    <row r="600" spans="2:26">
      <c r="B600"/>
      <c r="D600"/>
      <c r="E600"/>
      <c r="F600"/>
      <c r="G600"/>
      <c r="H600"/>
      <c r="I600"/>
      <c r="J600"/>
      <c r="K600"/>
      <c r="L600"/>
      <c r="M600"/>
      <c r="N600"/>
      <c r="O600"/>
      <c r="P600"/>
      <c r="R600"/>
      <c r="S600"/>
      <c r="T600"/>
      <c r="U600"/>
      <c r="V600"/>
      <c r="W600"/>
      <c r="X600"/>
      <c r="Y600"/>
      <c r="Z600"/>
    </row>
    <row r="601" spans="2:26">
      <c r="B601"/>
      <c r="D601"/>
      <c r="E601"/>
      <c r="F601"/>
      <c r="G601"/>
      <c r="H601"/>
      <c r="I601"/>
      <c r="J601"/>
      <c r="K601"/>
      <c r="L601"/>
      <c r="M601"/>
      <c r="N601"/>
      <c r="O601"/>
      <c r="P601"/>
      <c r="R601"/>
      <c r="S601"/>
      <c r="T601"/>
      <c r="U601"/>
      <c r="V601"/>
      <c r="W601"/>
      <c r="X601"/>
      <c r="Y601"/>
      <c r="Z601"/>
    </row>
    <row r="602" spans="2:26">
      <c r="B602"/>
      <c r="D602"/>
      <c r="E602"/>
      <c r="F602"/>
      <c r="G602"/>
      <c r="H602"/>
      <c r="I602"/>
      <c r="J602"/>
      <c r="K602"/>
      <c r="L602"/>
      <c r="M602"/>
      <c r="N602"/>
      <c r="O602"/>
      <c r="P602"/>
      <c r="R602"/>
      <c r="S602"/>
      <c r="T602"/>
      <c r="U602"/>
      <c r="V602"/>
      <c r="W602"/>
      <c r="X602"/>
      <c r="Y602"/>
      <c r="Z602"/>
    </row>
    <row r="603" spans="2:26">
      <c r="B603"/>
      <c r="D603"/>
      <c r="E603"/>
      <c r="F603"/>
      <c r="G603"/>
      <c r="H603"/>
      <c r="I603"/>
      <c r="J603"/>
      <c r="K603"/>
      <c r="L603"/>
      <c r="M603"/>
      <c r="N603"/>
      <c r="O603"/>
      <c r="P603"/>
      <c r="R603"/>
      <c r="S603"/>
      <c r="T603"/>
      <c r="U603"/>
      <c r="V603"/>
      <c r="W603"/>
      <c r="X603"/>
      <c r="Y603"/>
      <c r="Z603"/>
    </row>
    <row r="604" spans="2:26">
      <c r="B604"/>
      <c r="D604"/>
      <c r="E604"/>
      <c r="F604"/>
      <c r="G604"/>
      <c r="H604"/>
      <c r="I604"/>
      <c r="J604"/>
      <c r="K604"/>
      <c r="L604"/>
      <c r="M604"/>
      <c r="N604"/>
      <c r="O604"/>
      <c r="P604"/>
      <c r="R604"/>
      <c r="S604"/>
      <c r="T604"/>
      <c r="U604"/>
      <c r="V604"/>
      <c r="W604"/>
      <c r="X604"/>
      <c r="Y604"/>
      <c r="Z604"/>
    </row>
    <row r="605" spans="2:26">
      <c r="B605"/>
      <c r="D605"/>
      <c r="E605"/>
      <c r="F605"/>
      <c r="G605"/>
      <c r="H605"/>
      <c r="I605"/>
      <c r="J605"/>
      <c r="K605"/>
      <c r="L605"/>
      <c r="M605"/>
      <c r="N605"/>
      <c r="O605"/>
      <c r="P605"/>
      <c r="R605"/>
      <c r="S605"/>
      <c r="T605"/>
      <c r="U605"/>
      <c r="V605"/>
      <c r="W605"/>
      <c r="X605"/>
      <c r="Y605"/>
      <c r="Z605"/>
    </row>
    <row r="606" spans="2:26">
      <c r="B606"/>
      <c r="D606"/>
      <c r="E606"/>
      <c r="F606"/>
      <c r="G606"/>
      <c r="H606"/>
      <c r="I606"/>
      <c r="J606"/>
      <c r="K606"/>
      <c r="L606"/>
      <c r="M606"/>
      <c r="N606"/>
      <c r="O606"/>
      <c r="P606"/>
      <c r="R606"/>
      <c r="S606"/>
      <c r="T606"/>
      <c r="U606"/>
      <c r="V606"/>
      <c r="W606"/>
      <c r="X606"/>
      <c r="Y606"/>
      <c r="Z606"/>
    </row>
    <row r="607" spans="2:26">
      <c r="B607"/>
      <c r="D607"/>
      <c r="E607"/>
      <c r="F607"/>
      <c r="G607"/>
      <c r="H607"/>
      <c r="I607"/>
      <c r="J607"/>
      <c r="K607"/>
      <c r="L607"/>
      <c r="M607"/>
      <c r="N607"/>
      <c r="O607"/>
      <c r="P607"/>
      <c r="R607"/>
      <c r="S607"/>
      <c r="T607"/>
      <c r="U607"/>
      <c r="V607"/>
      <c r="W607"/>
      <c r="X607"/>
      <c r="Y607"/>
      <c r="Z607"/>
    </row>
    <row r="608" spans="2:26">
      <c r="B608"/>
      <c r="D608"/>
      <c r="E608"/>
      <c r="F608"/>
      <c r="G608"/>
      <c r="H608"/>
      <c r="I608"/>
      <c r="J608"/>
      <c r="K608"/>
      <c r="L608"/>
      <c r="M608"/>
      <c r="N608"/>
      <c r="O608"/>
      <c r="P608"/>
      <c r="R608"/>
      <c r="S608"/>
      <c r="T608"/>
      <c r="U608"/>
      <c r="V608"/>
      <c r="W608"/>
      <c r="X608"/>
      <c r="Y608"/>
      <c r="Z608"/>
    </row>
    <row r="609" spans="2:26">
      <c r="B609"/>
      <c r="D609"/>
      <c r="E609"/>
      <c r="F609"/>
      <c r="G609"/>
      <c r="H609"/>
      <c r="I609"/>
      <c r="J609"/>
      <c r="K609"/>
      <c r="L609"/>
      <c r="M609"/>
      <c r="N609"/>
      <c r="O609"/>
      <c r="P609"/>
      <c r="R609"/>
      <c r="S609"/>
      <c r="T609"/>
      <c r="U609"/>
      <c r="V609"/>
      <c r="W609"/>
      <c r="X609"/>
      <c r="Y609"/>
      <c r="Z609"/>
    </row>
    <row r="610" spans="2:26">
      <c r="B610"/>
      <c r="D610"/>
      <c r="E610"/>
      <c r="F610"/>
      <c r="G610"/>
      <c r="H610"/>
      <c r="I610"/>
      <c r="J610"/>
      <c r="K610"/>
      <c r="L610"/>
      <c r="M610"/>
      <c r="N610"/>
      <c r="O610"/>
      <c r="P610"/>
      <c r="R610"/>
      <c r="S610"/>
      <c r="T610"/>
      <c r="U610"/>
      <c r="V610"/>
      <c r="W610"/>
      <c r="X610"/>
      <c r="Y610"/>
      <c r="Z610"/>
    </row>
    <row r="611" spans="2:26">
      <c r="B611"/>
      <c r="D611"/>
      <c r="E611"/>
      <c r="F611"/>
      <c r="G611"/>
      <c r="H611"/>
      <c r="I611"/>
      <c r="J611"/>
      <c r="K611"/>
      <c r="L611"/>
      <c r="M611"/>
      <c r="N611"/>
      <c r="O611"/>
      <c r="P611"/>
      <c r="R611"/>
      <c r="S611"/>
      <c r="T611"/>
      <c r="U611"/>
      <c r="V611"/>
      <c r="W611"/>
      <c r="X611"/>
      <c r="Y611"/>
      <c r="Z611"/>
    </row>
    <row r="612" spans="2:26">
      <c r="B612"/>
      <c r="D612"/>
      <c r="E612"/>
      <c r="F612"/>
      <c r="G612"/>
      <c r="H612"/>
      <c r="I612"/>
      <c r="J612"/>
      <c r="K612"/>
      <c r="L612"/>
      <c r="M612"/>
      <c r="N612"/>
      <c r="O612"/>
      <c r="P612"/>
      <c r="R612"/>
      <c r="S612"/>
      <c r="T612"/>
      <c r="U612"/>
      <c r="V612"/>
      <c r="W612"/>
      <c r="X612"/>
      <c r="Y612"/>
      <c r="Z612"/>
    </row>
    <row r="613" spans="2:26">
      <c r="B613"/>
      <c r="D613"/>
      <c r="E613"/>
      <c r="F613"/>
      <c r="G613"/>
      <c r="H613"/>
      <c r="I613"/>
      <c r="J613"/>
      <c r="K613"/>
      <c r="L613"/>
      <c r="M613"/>
      <c r="N613"/>
      <c r="O613"/>
      <c r="P613"/>
      <c r="R613"/>
      <c r="S613"/>
      <c r="T613"/>
      <c r="U613"/>
      <c r="V613"/>
      <c r="W613"/>
      <c r="X613"/>
      <c r="Y613"/>
      <c r="Z613"/>
    </row>
    <row r="614" spans="2:26">
      <c r="B614"/>
      <c r="D614"/>
      <c r="E614"/>
      <c r="F614"/>
      <c r="G614"/>
      <c r="H614"/>
      <c r="I614"/>
      <c r="J614"/>
      <c r="K614"/>
      <c r="L614"/>
      <c r="M614"/>
      <c r="N614"/>
      <c r="O614"/>
      <c r="P614"/>
      <c r="R614"/>
      <c r="S614"/>
      <c r="T614"/>
      <c r="U614"/>
      <c r="V614"/>
      <c r="W614"/>
      <c r="X614"/>
      <c r="Y614"/>
      <c r="Z614"/>
    </row>
    <row r="615" spans="2:26">
      <c r="B615"/>
      <c r="D615"/>
      <c r="E615"/>
      <c r="F615"/>
      <c r="G615"/>
      <c r="H615"/>
      <c r="I615"/>
      <c r="J615"/>
      <c r="K615"/>
      <c r="L615"/>
      <c r="M615"/>
      <c r="N615"/>
      <c r="O615"/>
      <c r="P615"/>
      <c r="R615"/>
      <c r="S615"/>
      <c r="T615"/>
      <c r="U615"/>
      <c r="V615"/>
      <c r="W615"/>
      <c r="X615"/>
      <c r="Y615"/>
      <c r="Z615"/>
    </row>
    <row r="616" spans="2:26">
      <c r="B616"/>
      <c r="D616"/>
      <c r="E616"/>
      <c r="F616"/>
      <c r="G616"/>
      <c r="H616"/>
      <c r="I616"/>
      <c r="J616"/>
      <c r="K616"/>
      <c r="L616"/>
      <c r="M616"/>
      <c r="N616"/>
      <c r="O616"/>
      <c r="P616"/>
      <c r="R616"/>
      <c r="S616"/>
      <c r="T616"/>
      <c r="U616"/>
      <c r="V616"/>
      <c r="W616"/>
      <c r="X616"/>
      <c r="Y616"/>
      <c r="Z616"/>
    </row>
    <row r="617" spans="2:26">
      <c r="B617"/>
      <c r="D617"/>
      <c r="E617"/>
      <c r="F617"/>
      <c r="G617"/>
      <c r="H617"/>
      <c r="I617"/>
      <c r="J617"/>
      <c r="K617"/>
      <c r="L617"/>
      <c r="M617"/>
      <c r="N617"/>
      <c r="O617"/>
      <c r="P617"/>
      <c r="R617"/>
      <c r="S617"/>
      <c r="T617"/>
      <c r="U617"/>
      <c r="V617"/>
      <c r="W617"/>
      <c r="X617"/>
      <c r="Y617"/>
      <c r="Z617"/>
    </row>
    <row r="618" spans="2:26">
      <c r="B618"/>
      <c r="D618"/>
      <c r="E618"/>
      <c r="F618"/>
      <c r="G618"/>
      <c r="H618"/>
      <c r="I618"/>
      <c r="J618"/>
      <c r="K618"/>
      <c r="L618"/>
      <c r="M618"/>
      <c r="N618"/>
      <c r="O618"/>
      <c r="P618"/>
      <c r="R618"/>
      <c r="S618"/>
      <c r="T618"/>
      <c r="U618"/>
      <c r="V618"/>
      <c r="W618"/>
      <c r="X618"/>
      <c r="Y618"/>
      <c r="Z618"/>
    </row>
    <row r="619" spans="2:26">
      <c r="B619"/>
      <c r="D619"/>
      <c r="E619"/>
      <c r="F619"/>
      <c r="G619"/>
      <c r="H619"/>
      <c r="I619"/>
      <c r="J619"/>
      <c r="K619"/>
      <c r="L619"/>
      <c r="M619"/>
      <c r="N619"/>
      <c r="O619"/>
      <c r="P619"/>
      <c r="R619"/>
      <c r="S619"/>
      <c r="T619"/>
      <c r="U619"/>
      <c r="V619"/>
      <c r="W619"/>
      <c r="X619"/>
      <c r="Y619"/>
      <c r="Z619"/>
    </row>
    <row r="620" spans="2:26">
      <c r="B620"/>
      <c r="D620"/>
      <c r="E620"/>
      <c r="F620"/>
      <c r="G620"/>
      <c r="H620"/>
      <c r="I620"/>
      <c r="J620"/>
      <c r="K620"/>
      <c r="L620"/>
      <c r="M620"/>
      <c r="N620"/>
      <c r="O620"/>
      <c r="P620"/>
      <c r="R620"/>
      <c r="S620"/>
      <c r="T620"/>
      <c r="U620"/>
      <c r="V620"/>
      <c r="W620"/>
      <c r="X620"/>
      <c r="Y620"/>
      <c r="Z620"/>
    </row>
    <row r="621" spans="2:26">
      <c r="B621"/>
      <c r="D621"/>
      <c r="E621"/>
      <c r="F621"/>
      <c r="G621"/>
      <c r="H621"/>
      <c r="I621"/>
      <c r="J621"/>
      <c r="K621"/>
      <c r="L621"/>
      <c r="M621"/>
      <c r="N621"/>
      <c r="O621"/>
      <c r="P621"/>
      <c r="R621"/>
      <c r="S621"/>
      <c r="T621"/>
      <c r="U621"/>
      <c r="V621"/>
      <c r="W621"/>
      <c r="X621"/>
      <c r="Y621"/>
      <c r="Z621"/>
    </row>
    <row r="622" spans="2:26">
      <c r="B622"/>
      <c r="D622"/>
      <c r="E622"/>
      <c r="F622"/>
      <c r="G622"/>
      <c r="H622"/>
      <c r="I622"/>
      <c r="J622"/>
      <c r="K622"/>
      <c r="L622"/>
      <c r="M622"/>
      <c r="N622"/>
      <c r="O622"/>
      <c r="P622"/>
      <c r="R622"/>
      <c r="S622"/>
      <c r="T622"/>
      <c r="U622"/>
      <c r="V622"/>
      <c r="W622"/>
      <c r="X622"/>
      <c r="Y622"/>
      <c r="Z622"/>
    </row>
    <row r="623" spans="2:26">
      <c r="B623"/>
      <c r="D623"/>
      <c r="E623"/>
      <c r="F623"/>
      <c r="G623"/>
      <c r="H623"/>
      <c r="I623"/>
      <c r="J623"/>
      <c r="K623"/>
      <c r="L623"/>
      <c r="M623"/>
      <c r="N623"/>
      <c r="O623"/>
      <c r="P623"/>
      <c r="R623"/>
      <c r="S623"/>
      <c r="T623"/>
      <c r="U623"/>
      <c r="V623"/>
      <c r="W623"/>
      <c r="X623"/>
      <c r="Y623"/>
      <c r="Z623"/>
    </row>
    <row r="624" spans="2:26">
      <c r="B624"/>
      <c r="D624"/>
      <c r="E624"/>
      <c r="F624"/>
      <c r="G624"/>
      <c r="H624"/>
      <c r="I624"/>
      <c r="J624"/>
      <c r="K624"/>
      <c r="L624"/>
      <c r="M624"/>
      <c r="N624"/>
      <c r="O624"/>
      <c r="P624"/>
      <c r="R624"/>
      <c r="S624"/>
      <c r="T624"/>
      <c r="U624"/>
      <c r="V624"/>
      <c r="W624"/>
      <c r="X624"/>
      <c r="Y624"/>
      <c r="Z624"/>
    </row>
    <row r="625" spans="2:26">
      <c r="B625"/>
      <c r="D625"/>
      <c r="E625"/>
      <c r="F625"/>
      <c r="G625"/>
      <c r="H625"/>
      <c r="I625"/>
      <c r="J625"/>
      <c r="K625"/>
      <c r="L625"/>
      <c r="M625"/>
      <c r="N625"/>
      <c r="O625"/>
      <c r="P625"/>
      <c r="R625"/>
      <c r="S625"/>
      <c r="T625"/>
      <c r="U625"/>
      <c r="V625"/>
      <c r="W625"/>
      <c r="X625"/>
      <c r="Y625"/>
      <c r="Z625"/>
    </row>
    <row r="626" spans="2:26">
      <c r="B626"/>
      <c r="D626"/>
      <c r="E626"/>
      <c r="F626"/>
      <c r="G626"/>
      <c r="H626"/>
      <c r="I626"/>
      <c r="J626"/>
      <c r="K626"/>
      <c r="L626"/>
      <c r="M626"/>
      <c r="N626"/>
      <c r="O626"/>
      <c r="P626"/>
      <c r="R626"/>
      <c r="S626"/>
      <c r="T626"/>
      <c r="U626"/>
      <c r="V626"/>
      <c r="W626"/>
      <c r="X626"/>
      <c r="Y626"/>
      <c r="Z626"/>
    </row>
    <row r="627" spans="2:26">
      <c r="B627"/>
      <c r="D627"/>
      <c r="E627"/>
      <c r="F627"/>
      <c r="G627"/>
      <c r="H627"/>
      <c r="I627"/>
      <c r="J627"/>
      <c r="K627"/>
      <c r="L627"/>
      <c r="M627"/>
      <c r="N627"/>
      <c r="O627"/>
      <c r="P627"/>
      <c r="R627"/>
      <c r="S627"/>
      <c r="T627"/>
      <c r="U627"/>
      <c r="V627"/>
      <c r="W627"/>
      <c r="X627"/>
      <c r="Y627"/>
      <c r="Z627"/>
    </row>
    <row r="628" spans="2:26">
      <c r="B628"/>
      <c r="D628"/>
      <c r="E628"/>
      <c r="F628"/>
      <c r="G628"/>
      <c r="H628"/>
      <c r="I628"/>
      <c r="J628"/>
      <c r="K628"/>
      <c r="L628"/>
      <c r="M628"/>
      <c r="N628"/>
      <c r="O628"/>
      <c r="P628"/>
      <c r="R628"/>
      <c r="S628"/>
      <c r="T628"/>
      <c r="U628"/>
      <c r="V628"/>
      <c r="W628"/>
      <c r="X628"/>
      <c r="Y628"/>
      <c r="Z628"/>
    </row>
    <row r="629" spans="2:26">
      <c r="B629"/>
      <c r="D629"/>
      <c r="E629"/>
      <c r="F629"/>
      <c r="G629"/>
      <c r="H629"/>
      <c r="I629"/>
      <c r="J629"/>
      <c r="K629"/>
      <c r="L629"/>
      <c r="M629"/>
      <c r="N629"/>
      <c r="O629"/>
      <c r="P629"/>
      <c r="R629"/>
      <c r="S629"/>
      <c r="T629"/>
      <c r="U629"/>
      <c r="V629"/>
      <c r="W629"/>
      <c r="X629"/>
      <c r="Y629"/>
      <c r="Z629"/>
    </row>
    <row r="630" spans="2:26">
      <c r="B630"/>
      <c r="D630"/>
      <c r="E630"/>
      <c r="F630"/>
      <c r="G630"/>
      <c r="H630"/>
      <c r="I630"/>
      <c r="J630"/>
      <c r="K630"/>
      <c r="L630"/>
      <c r="M630"/>
      <c r="N630"/>
      <c r="O630"/>
      <c r="P630"/>
      <c r="R630"/>
      <c r="S630"/>
      <c r="T630"/>
      <c r="U630"/>
      <c r="V630"/>
      <c r="W630"/>
      <c r="X630"/>
      <c r="Y630"/>
      <c r="Z630"/>
    </row>
    <row r="631" spans="2:26">
      <c r="B631"/>
      <c r="D631"/>
      <c r="E631"/>
      <c r="F631"/>
      <c r="G631"/>
      <c r="H631"/>
      <c r="I631"/>
      <c r="J631"/>
      <c r="K631"/>
      <c r="L631"/>
      <c r="M631"/>
      <c r="N631"/>
      <c r="O631"/>
      <c r="P631"/>
      <c r="R631"/>
      <c r="S631"/>
      <c r="T631"/>
      <c r="U631"/>
      <c r="V631"/>
      <c r="W631"/>
      <c r="X631"/>
      <c r="Y631"/>
      <c r="Z631"/>
    </row>
    <row r="632" spans="2:26">
      <c r="B632"/>
      <c r="D632"/>
      <c r="E632"/>
      <c r="F632"/>
      <c r="G632"/>
      <c r="H632"/>
      <c r="I632"/>
      <c r="J632"/>
      <c r="K632"/>
      <c r="L632"/>
      <c r="M632"/>
      <c r="N632"/>
      <c r="O632"/>
      <c r="P632"/>
      <c r="R632"/>
      <c r="S632"/>
      <c r="T632"/>
      <c r="U632"/>
      <c r="V632"/>
      <c r="W632"/>
      <c r="X632"/>
      <c r="Y632"/>
      <c r="Z632"/>
    </row>
    <row r="633" spans="2:26">
      <c r="B633"/>
      <c r="D633"/>
      <c r="E633"/>
      <c r="F633"/>
      <c r="G633"/>
      <c r="H633"/>
      <c r="I633"/>
      <c r="J633"/>
      <c r="K633"/>
      <c r="L633"/>
      <c r="M633"/>
      <c r="N633"/>
      <c r="O633"/>
      <c r="P633"/>
      <c r="R633"/>
      <c r="S633"/>
      <c r="T633"/>
      <c r="U633"/>
      <c r="V633"/>
      <c r="W633"/>
      <c r="X633"/>
      <c r="Y633"/>
      <c r="Z633"/>
    </row>
    <row r="634" spans="2:26">
      <c r="B634"/>
      <c r="D634"/>
      <c r="E634"/>
      <c r="F634"/>
      <c r="G634"/>
      <c r="H634"/>
      <c r="I634"/>
      <c r="J634"/>
      <c r="K634"/>
      <c r="L634"/>
      <c r="M634"/>
      <c r="N634"/>
      <c r="O634"/>
      <c r="P634"/>
      <c r="R634"/>
      <c r="S634"/>
      <c r="T634"/>
      <c r="U634"/>
      <c r="V634"/>
      <c r="W634"/>
      <c r="X634"/>
      <c r="Y634"/>
      <c r="Z634"/>
    </row>
    <row r="635" spans="2:26">
      <c r="B635"/>
      <c r="D635"/>
      <c r="E635"/>
      <c r="F635"/>
      <c r="G635"/>
      <c r="H635"/>
      <c r="I635"/>
      <c r="J635"/>
      <c r="K635"/>
      <c r="L635"/>
      <c r="M635"/>
      <c r="N635"/>
      <c r="O635"/>
      <c r="P635"/>
      <c r="R635"/>
      <c r="S635"/>
      <c r="T635"/>
      <c r="U635"/>
      <c r="V635"/>
      <c r="W635"/>
      <c r="X635"/>
      <c r="Y635"/>
      <c r="Z635"/>
    </row>
    <row r="636" spans="2:26">
      <c r="B636"/>
      <c r="D636"/>
      <c r="E636"/>
      <c r="F636"/>
      <c r="G636"/>
      <c r="H636"/>
      <c r="I636"/>
      <c r="J636"/>
      <c r="K636"/>
      <c r="L636"/>
      <c r="M636"/>
      <c r="N636"/>
      <c r="O636"/>
      <c r="P636"/>
      <c r="R636"/>
      <c r="S636"/>
      <c r="T636"/>
      <c r="U636"/>
      <c r="V636"/>
      <c r="W636"/>
      <c r="X636"/>
      <c r="Y636"/>
      <c r="Z636"/>
    </row>
    <row r="637" spans="2:26">
      <c r="B637"/>
      <c r="D637"/>
      <c r="E637"/>
      <c r="F637"/>
      <c r="G637"/>
      <c r="H637"/>
      <c r="I637"/>
      <c r="J637"/>
      <c r="K637"/>
      <c r="L637"/>
      <c r="M637"/>
      <c r="N637"/>
      <c r="O637"/>
      <c r="P637"/>
      <c r="R637"/>
      <c r="S637"/>
      <c r="T637"/>
      <c r="U637"/>
      <c r="V637"/>
      <c r="W637"/>
      <c r="X637"/>
      <c r="Y637"/>
      <c r="Z637"/>
    </row>
    <row r="638" spans="2:26">
      <c r="B638"/>
      <c r="D638"/>
      <c r="E638"/>
      <c r="F638"/>
      <c r="G638"/>
      <c r="H638"/>
      <c r="I638"/>
      <c r="J638"/>
      <c r="K638"/>
      <c r="L638"/>
      <c r="M638"/>
      <c r="N638"/>
      <c r="O638"/>
      <c r="P638"/>
      <c r="R638"/>
      <c r="S638"/>
      <c r="T638"/>
      <c r="U638"/>
      <c r="V638"/>
      <c r="W638"/>
      <c r="X638"/>
      <c r="Y638"/>
      <c r="Z638"/>
    </row>
    <row r="639" spans="2:26">
      <c r="B639"/>
      <c r="D639"/>
      <c r="E639"/>
      <c r="F639"/>
      <c r="G639"/>
      <c r="H639"/>
      <c r="I639"/>
      <c r="J639"/>
      <c r="K639"/>
      <c r="L639"/>
      <c r="M639"/>
      <c r="N639"/>
      <c r="O639"/>
      <c r="P639"/>
      <c r="R639"/>
      <c r="S639"/>
      <c r="T639"/>
      <c r="U639"/>
      <c r="V639"/>
      <c r="W639"/>
      <c r="X639"/>
      <c r="Y639"/>
      <c r="Z639"/>
    </row>
    <row r="640" spans="2:26">
      <c r="B640"/>
      <c r="D640"/>
      <c r="E640"/>
      <c r="F640"/>
      <c r="G640"/>
      <c r="H640"/>
      <c r="I640"/>
      <c r="J640"/>
      <c r="K640"/>
      <c r="L640"/>
      <c r="M640"/>
      <c r="N640"/>
      <c r="O640"/>
      <c r="P640"/>
      <c r="R640"/>
      <c r="S640"/>
      <c r="T640"/>
      <c r="U640"/>
      <c r="V640"/>
      <c r="W640"/>
      <c r="X640"/>
      <c r="Y640"/>
      <c r="Z640"/>
    </row>
    <row r="641" spans="2:26">
      <c r="B641"/>
      <c r="D641"/>
      <c r="E641"/>
      <c r="F641"/>
      <c r="G641"/>
      <c r="H641"/>
      <c r="I641"/>
      <c r="J641"/>
      <c r="K641"/>
      <c r="L641"/>
      <c r="M641"/>
      <c r="N641"/>
      <c r="O641"/>
      <c r="P641"/>
      <c r="R641"/>
      <c r="S641"/>
      <c r="T641"/>
      <c r="U641"/>
      <c r="V641"/>
      <c r="W641"/>
      <c r="X641"/>
      <c r="Y641"/>
      <c r="Z641"/>
    </row>
    <row r="642" spans="2:26">
      <c r="B642"/>
      <c r="D642"/>
      <c r="E642"/>
      <c r="F642"/>
      <c r="G642"/>
      <c r="H642"/>
      <c r="I642"/>
      <c r="J642"/>
      <c r="K642"/>
      <c r="L642"/>
      <c r="M642"/>
      <c r="N642"/>
      <c r="O642"/>
      <c r="P642"/>
      <c r="R642"/>
      <c r="S642"/>
      <c r="T642"/>
      <c r="U642"/>
      <c r="V642"/>
      <c r="W642"/>
      <c r="X642"/>
      <c r="Y642"/>
      <c r="Z642"/>
    </row>
    <row r="643" spans="2:26">
      <c r="B643"/>
      <c r="D643"/>
      <c r="E643"/>
      <c r="F643"/>
      <c r="G643"/>
      <c r="H643"/>
      <c r="I643"/>
      <c r="J643"/>
      <c r="K643"/>
      <c r="L643"/>
      <c r="M643"/>
      <c r="N643"/>
      <c r="O643"/>
      <c r="P643"/>
      <c r="R643"/>
      <c r="S643"/>
      <c r="T643"/>
      <c r="U643"/>
      <c r="V643"/>
      <c r="W643"/>
      <c r="X643"/>
      <c r="Y643"/>
      <c r="Z643"/>
    </row>
    <row r="644" spans="2:26">
      <c r="B644"/>
      <c r="D644"/>
      <c r="E644"/>
      <c r="F644"/>
      <c r="G644"/>
      <c r="H644"/>
      <c r="I644"/>
      <c r="J644"/>
      <c r="K644"/>
      <c r="L644"/>
      <c r="M644"/>
      <c r="N644"/>
      <c r="O644"/>
      <c r="P644"/>
      <c r="R644"/>
      <c r="S644"/>
      <c r="T644"/>
      <c r="U644"/>
      <c r="V644"/>
      <c r="W644"/>
      <c r="X644"/>
      <c r="Y644"/>
      <c r="Z644"/>
    </row>
    <row r="645" spans="2:26">
      <c r="B645"/>
      <c r="D645"/>
      <c r="E645"/>
      <c r="F645"/>
      <c r="G645"/>
      <c r="H645"/>
      <c r="I645"/>
      <c r="J645"/>
      <c r="K645"/>
      <c r="L645"/>
      <c r="M645"/>
      <c r="N645"/>
      <c r="O645"/>
      <c r="P645"/>
      <c r="R645"/>
      <c r="S645"/>
      <c r="T645"/>
      <c r="U645"/>
      <c r="V645"/>
      <c r="W645"/>
      <c r="X645"/>
      <c r="Y645"/>
      <c r="Z645"/>
    </row>
    <row r="646" spans="2:26">
      <c r="B646"/>
      <c r="D646"/>
      <c r="E646"/>
      <c r="F646"/>
      <c r="G646"/>
      <c r="H646"/>
      <c r="I646"/>
      <c r="J646"/>
      <c r="K646"/>
      <c r="L646"/>
      <c r="M646"/>
      <c r="N646"/>
      <c r="O646"/>
      <c r="P646"/>
      <c r="R646"/>
      <c r="S646"/>
      <c r="T646"/>
      <c r="U646"/>
      <c r="V646"/>
      <c r="W646"/>
      <c r="X646"/>
      <c r="Y646"/>
      <c r="Z646"/>
    </row>
    <row r="647" spans="2:26">
      <c r="B647"/>
      <c r="D647"/>
      <c r="E647"/>
      <c r="F647"/>
      <c r="G647"/>
      <c r="H647"/>
      <c r="I647"/>
      <c r="J647"/>
      <c r="K647"/>
      <c r="L647"/>
      <c r="M647"/>
      <c r="N647"/>
      <c r="O647"/>
      <c r="P647"/>
      <c r="R647"/>
      <c r="S647"/>
      <c r="T647"/>
      <c r="U647"/>
      <c r="V647"/>
      <c r="W647"/>
      <c r="X647"/>
      <c r="Y647"/>
      <c r="Z647"/>
    </row>
    <row r="648" spans="2:26">
      <c r="B648"/>
      <c r="D648"/>
      <c r="E648"/>
      <c r="F648"/>
      <c r="G648"/>
      <c r="H648"/>
      <c r="I648"/>
      <c r="J648"/>
      <c r="K648"/>
      <c r="L648"/>
      <c r="M648"/>
      <c r="N648"/>
      <c r="O648"/>
      <c r="P648"/>
      <c r="R648"/>
      <c r="S648"/>
      <c r="T648"/>
      <c r="U648"/>
      <c r="V648"/>
      <c r="W648"/>
      <c r="X648"/>
      <c r="Y648"/>
      <c r="Z648"/>
    </row>
    <row r="649" spans="2:26">
      <c r="B649"/>
      <c r="D649"/>
      <c r="E649"/>
      <c r="F649"/>
      <c r="G649"/>
      <c r="H649"/>
      <c r="I649"/>
      <c r="J649"/>
      <c r="K649"/>
      <c r="L649"/>
      <c r="M649"/>
      <c r="N649"/>
      <c r="O649"/>
      <c r="P649"/>
      <c r="R649"/>
      <c r="S649"/>
      <c r="T649"/>
      <c r="U649"/>
      <c r="V649"/>
      <c r="W649"/>
      <c r="X649"/>
      <c r="Y649"/>
      <c r="Z649"/>
    </row>
    <row r="650" spans="2:26">
      <c r="B650"/>
      <c r="D650"/>
      <c r="E650"/>
      <c r="F650"/>
      <c r="G650"/>
      <c r="H650"/>
      <c r="I650"/>
      <c r="J650"/>
      <c r="K650"/>
      <c r="L650"/>
      <c r="M650"/>
      <c r="N650"/>
      <c r="O650"/>
      <c r="P650"/>
      <c r="R650"/>
      <c r="S650"/>
      <c r="T650"/>
      <c r="U650"/>
      <c r="V650"/>
      <c r="W650"/>
      <c r="X650"/>
      <c r="Y650"/>
      <c r="Z650"/>
    </row>
    <row r="651" spans="2:26">
      <c r="B651"/>
      <c r="D651"/>
      <c r="E651"/>
      <c r="F651"/>
      <c r="G651"/>
      <c r="H651"/>
      <c r="I651"/>
      <c r="J651"/>
      <c r="K651"/>
      <c r="L651"/>
      <c r="M651"/>
      <c r="N651"/>
      <c r="O651"/>
      <c r="P651"/>
      <c r="R651"/>
      <c r="S651"/>
      <c r="T651"/>
      <c r="U651"/>
      <c r="V651"/>
      <c r="W651"/>
      <c r="X651"/>
      <c r="Y651"/>
      <c r="Z651"/>
    </row>
    <row r="652" spans="2:26">
      <c r="B652"/>
      <c r="D652"/>
      <c r="E652"/>
      <c r="F652"/>
      <c r="G652"/>
      <c r="H652"/>
      <c r="I652"/>
      <c r="J652"/>
      <c r="K652"/>
      <c r="L652"/>
      <c r="M652"/>
      <c r="N652"/>
      <c r="O652"/>
      <c r="P652"/>
      <c r="R652"/>
      <c r="S652"/>
      <c r="T652"/>
      <c r="U652"/>
      <c r="V652"/>
      <c r="W652"/>
      <c r="X652"/>
      <c r="Y652"/>
      <c r="Z652"/>
    </row>
    <row r="653" spans="2:26">
      <c r="B653"/>
      <c r="D653"/>
      <c r="E653"/>
      <c r="F653"/>
      <c r="G653"/>
      <c r="H653"/>
      <c r="I653"/>
      <c r="J653"/>
      <c r="K653"/>
      <c r="L653"/>
      <c r="M653"/>
      <c r="N653"/>
      <c r="O653"/>
      <c r="P653"/>
      <c r="R653"/>
      <c r="S653"/>
      <c r="T653"/>
      <c r="U653"/>
      <c r="V653"/>
      <c r="W653"/>
      <c r="X653"/>
      <c r="Y653"/>
      <c r="Z653"/>
    </row>
    <row r="654" spans="2:26">
      <c r="B654"/>
      <c r="D654"/>
      <c r="E654"/>
      <c r="F654"/>
      <c r="G654"/>
      <c r="H654"/>
      <c r="I654"/>
      <c r="J654"/>
      <c r="K654"/>
      <c r="L654"/>
      <c r="M654"/>
      <c r="N654"/>
      <c r="O654"/>
      <c r="P654"/>
      <c r="R654"/>
      <c r="S654"/>
      <c r="T654"/>
      <c r="U654"/>
      <c r="V654"/>
      <c r="W654"/>
      <c r="X654"/>
      <c r="Y654"/>
      <c r="Z654"/>
    </row>
    <row r="655" spans="2:26">
      <c r="B655"/>
      <c r="D655"/>
      <c r="E655"/>
      <c r="F655"/>
      <c r="G655"/>
      <c r="H655"/>
      <c r="I655"/>
      <c r="J655"/>
      <c r="K655"/>
      <c r="L655"/>
      <c r="M655"/>
      <c r="N655"/>
      <c r="O655"/>
      <c r="P655"/>
      <c r="R655"/>
      <c r="S655"/>
      <c r="T655"/>
      <c r="U655"/>
      <c r="V655"/>
      <c r="W655"/>
      <c r="X655"/>
      <c r="Y655"/>
      <c r="Z655"/>
    </row>
    <row r="656" spans="2:26">
      <c r="B656"/>
      <c r="D656"/>
      <c r="E656"/>
      <c r="F656"/>
      <c r="G656"/>
      <c r="H656"/>
      <c r="I656"/>
      <c r="J656"/>
      <c r="K656"/>
      <c r="L656"/>
      <c r="M656"/>
      <c r="N656"/>
      <c r="O656"/>
      <c r="P656"/>
      <c r="R656"/>
      <c r="S656"/>
      <c r="T656"/>
      <c r="U656"/>
      <c r="V656"/>
      <c r="W656"/>
      <c r="X656"/>
      <c r="Y656"/>
      <c r="Z656"/>
    </row>
    <row r="657" spans="2:26">
      <c r="B657"/>
      <c r="D657"/>
      <c r="E657"/>
      <c r="F657"/>
      <c r="G657"/>
      <c r="H657"/>
      <c r="I657"/>
      <c r="J657"/>
      <c r="K657"/>
      <c r="L657"/>
      <c r="M657"/>
      <c r="N657"/>
      <c r="O657"/>
      <c r="P657"/>
      <c r="R657"/>
      <c r="S657"/>
      <c r="T657"/>
      <c r="U657"/>
      <c r="V657"/>
      <c r="W657"/>
      <c r="X657"/>
      <c r="Y657"/>
      <c r="Z657"/>
    </row>
    <row r="658" spans="2:26">
      <c r="B658"/>
      <c r="D658"/>
      <c r="E658"/>
      <c r="F658"/>
      <c r="G658"/>
      <c r="H658"/>
      <c r="I658"/>
      <c r="J658"/>
      <c r="K658"/>
      <c r="L658"/>
      <c r="M658"/>
      <c r="N658"/>
      <c r="O658"/>
      <c r="P658"/>
      <c r="R658"/>
      <c r="S658"/>
      <c r="T658"/>
      <c r="U658"/>
      <c r="V658"/>
      <c r="W658"/>
      <c r="X658"/>
      <c r="Y658"/>
      <c r="Z658"/>
    </row>
    <row r="659" spans="2:26">
      <c r="B659"/>
      <c r="D659"/>
      <c r="E659"/>
      <c r="F659"/>
      <c r="G659"/>
      <c r="H659"/>
      <c r="I659"/>
      <c r="J659"/>
      <c r="K659"/>
      <c r="L659"/>
      <c r="M659"/>
      <c r="N659"/>
      <c r="O659"/>
      <c r="P659"/>
      <c r="R659"/>
      <c r="S659"/>
      <c r="T659"/>
      <c r="U659"/>
      <c r="V659"/>
      <c r="W659"/>
      <c r="X659"/>
      <c r="Y659"/>
      <c r="Z659"/>
    </row>
    <row r="660" spans="2:26">
      <c r="B660"/>
      <c r="D660"/>
      <c r="E660"/>
      <c r="F660"/>
      <c r="G660"/>
      <c r="H660"/>
      <c r="I660"/>
      <c r="J660"/>
      <c r="K660"/>
      <c r="L660"/>
      <c r="M660"/>
      <c r="N660"/>
      <c r="O660"/>
      <c r="P660"/>
      <c r="R660"/>
      <c r="S660"/>
      <c r="T660"/>
      <c r="U660"/>
      <c r="V660"/>
      <c r="W660"/>
      <c r="X660"/>
      <c r="Y660"/>
      <c r="Z660"/>
    </row>
    <row r="661" spans="2:26">
      <c r="B661"/>
      <c r="D661"/>
      <c r="E661"/>
      <c r="F661"/>
      <c r="G661"/>
      <c r="H661"/>
      <c r="I661"/>
      <c r="J661"/>
      <c r="K661"/>
      <c r="L661"/>
      <c r="M661"/>
      <c r="N661"/>
      <c r="O661"/>
      <c r="P661"/>
      <c r="R661"/>
      <c r="S661"/>
      <c r="T661"/>
      <c r="U661"/>
      <c r="V661"/>
      <c r="W661"/>
      <c r="X661"/>
      <c r="Y661"/>
      <c r="Z661"/>
    </row>
    <row r="662" spans="2:26">
      <c r="B662"/>
      <c r="D662"/>
      <c r="E662"/>
      <c r="F662"/>
      <c r="G662"/>
      <c r="H662"/>
      <c r="I662"/>
      <c r="J662"/>
      <c r="K662"/>
      <c r="L662"/>
      <c r="M662"/>
      <c r="N662"/>
      <c r="O662"/>
      <c r="P662"/>
      <c r="R662"/>
      <c r="S662"/>
      <c r="T662"/>
      <c r="U662"/>
      <c r="V662"/>
      <c r="W662"/>
      <c r="X662"/>
      <c r="Y662"/>
      <c r="Z662"/>
    </row>
    <row r="663" spans="2:26">
      <c r="B663"/>
      <c r="D663"/>
      <c r="E663"/>
      <c r="F663"/>
      <c r="G663"/>
      <c r="H663"/>
      <c r="I663"/>
      <c r="J663"/>
      <c r="K663"/>
      <c r="L663"/>
      <c r="M663"/>
      <c r="N663"/>
      <c r="O663"/>
      <c r="P663"/>
      <c r="R663"/>
      <c r="S663"/>
      <c r="T663"/>
      <c r="U663"/>
      <c r="V663"/>
      <c r="W663"/>
      <c r="X663"/>
      <c r="Y663"/>
      <c r="Z663"/>
    </row>
    <row r="664" spans="2:26">
      <c r="B664"/>
      <c r="D664"/>
      <c r="E664"/>
      <c r="F664"/>
      <c r="G664"/>
      <c r="H664"/>
      <c r="I664"/>
      <c r="J664"/>
      <c r="K664"/>
      <c r="L664"/>
      <c r="M664"/>
      <c r="N664"/>
      <c r="O664"/>
      <c r="P664"/>
      <c r="R664"/>
      <c r="S664"/>
      <c r="T664"/>
      <c r="U664"/>
      <c r="V664"/>
      <c r="W664"/>
      <c r="X664"/>
      <c r="Y664"/>
      <c r="Z664"/>
    </row>
    <row r="665" spans="2:26">
      <c r="B665"/>
      <c r="D665"/>
      <c r="E665"/>
      <c r="F665"/>
      <c r="G665"/>
      <c r="H665"/>
      <c r="I665"/>
      <c r="J665"/>
      <c r="K665"/>
      <c r="L665"/>
      <c r="M665"/>
      <c r="N665"/>
      <c r="O665"/>
      <c r="P665"/>
      <c r="R665"/>
      <c r="S665"/>
      <c r="T665"/>
      <c r="U665"/>
      <c r="V665"/>
      <c r="W665"/>
      <c r="X665"/>
      <c r="Y665"/>
      <c r="Z665"/>
    </row>
    <row r="666" spans="2:26">
      <c r="B666"/>
      <c r="D666"/>
      <c r="E666"/>
      <c r="F666"/>
      <c r="G666"/>
      <c r="H666"/>
      <c r="I666"/>
      <c r="J666"/>
      <c r="K666"/>
      <c r="L666"/>
      <c r="M666"/>
      <c r="N666"/>
      <c r="O666"/>
      <c r="P666"/>
      <c r="R666"/>
      <c r="S666"/>
      <c r="T666"/>
      <c r="U666"/>
      <c r="V666"/>
      <c r="W666"/>
      <c r="X666"/>
      <c r="Y666"/>
      <c r="Z666"/>
    </row>
    <row r="667" spans="2:26">
      <c r="B667"/>
      <c r="D667"/>
      <c r="E667"/>
      <c r="F667"/>
      <c r="G667"/>
      <c r="H667"/>
      <c r="I667"/>
      <c r="J667"/>
      <c r="K667"/>
      <c r="L667"/>
      <c r="M667"/>
      <c r="N667"/>
      <c r="O667"/>
      <c r="P667"/>
      <c r="R667"/>
      <c r="S667"/>
      <c r="T667"/>
      <c r="U667"/>
      <c r="V667"/>
      <c r="W667"/>
      <c r="X667"/>
      <c r="Y667"/>
      <c r="Z667"/>
    </row>
    <row r="668" spans="2:26">
      <c r="B668"/>
      <c r="D668"/>
      <c r="E668"/>
      <c r="F668"/>
      <c r="G668"/>
      <c r="H668"/>
      <c r="I668"/>
      <c r="J668"/>
      <c r="K668"/>
      <c r="L668"/>
      <c r="M668"/>
      <c r="N668"/>
      <c r="O668"/>
      <c r="P668"/>
      <c r="R668"/>
      <c r="S668"/>
      <c r="T668"/>
      <c r="U668"/>
      <c r="V668"/>
      <c r="W668"/>
      <c r="X668"/>
      <c r="Y668"/>
      <c r="Z668"/>
    </row>
    <row r="669" spans="2:26">
      <c r="B669"/>
      <c r="D669"/>
      <c r="E669"/>
      <c r="F669"/>
      <c r="G669"/>
      <c r="H669"/>
      <c r="I669"/>
      <c r="J669"/>
      <c r="K669"/>
      <c r="L669"/>
      <c r="M669"/>
      <c r="N669"/>
      <c r="O669"/>
      <c r="P669"/>
      <c r="R669"/>
      <c r="S669"/>
      <c r="T669"/>
      <c r="U669"/>
      <c r="V669"/>
      <c r="W669"/>
      <c r="X669"/>
      <c r="Y669"/>
      <c r="Z669"/>
    </row>
    <row r="670" spans="2:26">
      <c r="B670"/>
      <c r="D670"/>
      <c r="E670"/>
      <c r="F670"/>
      <c r="G670"/>
      <c r="H670"/>
      <c r="I670"/>
      <c r="J670"/>
      <c r="K670"/>
      <c r="L670"/>
      <c r="M670"/>
      <c r="N670"/>
      <c r="O670"/>
      <c r="P670"/>
      <c r="R670"/>
      <c r="S670"/>
      <c r="T670"/>
      <c r="U670"/>
      <c r="V670"/>
      <c r="W670"/>
      <c r="X670"/>
      <c r="Y670"/>
      <c r="Z670"/>
    </row>
    <row r="671" spans="2:26">
      <c r="B671"/>
      <c r="D671"/>
      <c r="E671"/>
      <c r="F671"/>
      <c r="G671"/>
      <c r="H671"/>
      <c r="I671"/>
      <c r="J671"/>
      <c r="K671"/>
      <c r="L671"/>
      <c r="M671"/>
      <c r="N671"/>
      <c r="O671"/>
      <c r="P671"/>
      <c r="R671"/>
      <c r="S671"/>
      <c r="T671"/>
      <c r="U671"/>
      <c r="V671"/>
      <c r="W671"/>
      <c r="X671"/>
      <c r="Y671"/>
      <c r="Z671"/>
    </row>
    <row r="672" spans="2:26">
      <c r="B672"/>
      <c r="D672"/>
      <c r="E672"/>
      <c r="F672"/>
      <c r="G672"/>
      <c r="H672"/>
      <c r="I672"/>
      <c r="J672"/>
      <c r="K672"/>
      <c r="L672"/>
      <c r="M672"/>
      <c r="N672"/>
      <c r="O672"/>
      <c r="P672"/>
      <c r="R672"/>
      <c r="S672"/>
      <c r="T672"/>
      <c r="U672"/>
      <c r="V672"/>
      <c r="W672"/>
      <c r="X672"/>
      <c r="Y672"/>
      <c r="Z672"/>
    </row>
    <row r="673" spans="2:26">
      <c r="B673"/>
      <c r="D673"/>
      <c r="E673"/>
      <c r="F673"/>
      <c r="G673"/>
      <c r="H673"/>
      <c r="I673"/>
      <c r="J673"/>
      <c r="K673"/>
      <c r="L673"/>
      <c r="M673"/>
      <c r="N673"/>
      <c r="O673"/>
      <c r="P673"/>
      <c r="R673"/>
      <c r="S673"/>
      <c r="T673"/>
      <c r="U673"/>
      <c r="V673"/>
      <c r="W673"/>
      <c r="X673"/>
      <c r="Y673"/>
      <c r="Z673"/>
    </row>
    <row r="674" spans="2:26">
      <c r="B674"/>
      <c r="D674"/>
      <c r="E674"/>
      <c r="F674"/>
      <c r="G674"/>
      <c r="H674"/>
      <c r="I674"/>
      <c r="J674"/>
      <c r="K674"/>
      <c r="L674"/>
      <c r="M674"/>
      <c r="N674"/>
      <c r="O674"/>
      <c r="P674"/>
      <c r="R674"/>
      <c r="S674"/>
      <c r="T674"/>
      <c r="U674"/>
      <c r="V674"/>
      <c r="W674"/>
      <c r="X674"/>
      <c r="Y674"/>
      <c r="Z674"/>
    </row>
    <row r="675" spans="2:26">
      <c r="B675"/>
      <c r="D675"/>
      <c r="E675"/>
      <c r="F675"/>
      <c r="G675"/>
      <c r="H675"/>
      <c r="I675"/>
      <c r="J675"/>
      <c r="K675"/>
      <c r="L675"/>
      <c r="M675"/>
      <c r="N675"/>
      <c r="O675"/>
      <c r="P675"/>
      <c r="R675"/>
      <c r="S675"/>
      <c r="T675"/>
      <c r="U675"/>
      <c r="V675"/>
      <c r="W675"/>
      <c r="X675"/>
      <c r="Y675"/>
      <c r="Z675"/>
    </row>
    <row r="676" spans="2:26">
      <c r="B676"/>
      <c r="D676"/>
      <c r="E676"/>
      <c r="F676"/>
      <c r="G676"/>
      <c r="H676"/>
      <c r="I676"/>
      <c r="J676"/>
      <c r="K676"/>
      <c r="L676"/>
      <c r="M676"/>
      <c r="N676"/>
      <c r="O676"/>
      <c r="P676"/>
      <c r="R676"/>
      <c r="S676"/>
      <c r="T676"/>
      <c r="U676"/>
      <c r="V676"/>
      <c r="W676"/>
      <c r="X676"/>
      <c r="Y676"/>
      <c r="Z676"/>
    </row>
    <row r="677" spans="2:26">
      <c r="B677"/>
      <c r="D677"/>
      <c r="E677"/>
      <c r="F677"/>
      <c r="G677"/>
      <c r="H677"/>
      <c r="I677"/>
      <c r="J677"/>
      <c r="K677"/>
      <c r="L677"/>
      <c r="M677"/>
      <c r="N677"/>
      <c r="O677"/>
      <c r="P677"/>
      <c r="R677"/>
      <c r="S677"/>
      <c r="T677"/>
      <c r="U677"/>
      <c r="V677"/>
      <c r="W677"/>
      <c r="X677"/>
      <c r="Y677"/>
      <c r="Z677"/>
    </row>
    <row r="678" spans="2:26">
      <c r="B678"/>
      <c r="D678"/>
      <c r="E678"/>
      <c r="F678"/>
      <c r="G678"/>
      <c r="H678"/>
      <c r="I678"/>
      <c r="J678"/>
      <c r="K678"/>
      <c r="L678"/>
      <c r="M678"/>
      <c r="N678"/>
      <c r="O678"/>
      <c r="P678"/>
      <c r="R678"/>
      <c r="S678"/>
      <c r="T678"/>
      <c r="U678"/>
      <c r="V678"/>
      <c r="W678"/>
      <c r="X678"/>
      <c r="Y678"/>
      <c r="Z678"/>
    </row>
    <row r="679" spans="2:26">
      <c r="B679"/>
      <c r="D679"/>
      <c r="E679"/>
      <c r="F679"/>
      <c r="G679"/>
      <c r="H679"/>
      <c r="I679"/>
      <c r="J679"/>
      <c r="K679"/>
      <c r="L679"/>
      <c r="M679"/>
      <c r="N679"/>
      <c r="O679"/>
      <c r="P679"/>
      <c r="R679"/>
      <c r="S679"/>
      <c r="T679"/>
      <c r="U679"/>
      <c r="V679"/>
      <c r="W679"/>
      <c r="X679"/>
      <c r="Y679"/>
      <c r="Z679"/>
    </row>
    <row r="680" spans="2:26">
      <c r="B680"/>
      <c r="D680"/>
      <c r="E680"/>
      <c r="F680"/>
      <c r="G680"/>
      <c r="H680"/>
      <c r="I680"/>
      <c r="J680"/>
      <c r="K680"/>
      <c r="L680"/>
      <c r="M680"/>
      <c r="N680"/>
      <c r="O680"/>
      <c r="P680"/>
      <c r="R680"/>
      <c r="S680"/>
      <c r="T680"/>
      <c r="U680"/>
      <c r="V680"/>
      <c r="W680"/>
      <c r="X680"/>
      <c r="Y680"/>
      <c r="Z680"/>
    </row>
    <row r="681" spans="2:26">
      <c r="B681"/>
      <c r="D681"/>
      <c r="E681"/>
      <c r="F681"/>
      <c r="G681"/>
      <c r="H681"/>
      <c r="I681"/>
      <c r="J681"/>
      <c r="K681"/>
      <c r="L681"/>
      <c r="M681"/>
      <c r="N681"/>
      <c r="O681"/>
      <c r="P681"/>
      <c r="R681"/>
      <c r="S681"/>
      <c r="T681"/>
      <c r="U681"/>
      <c r="V681"/>
      <c r="W681"/>
      <c r="X681"/>
      <c r="Y681"/>
      <c r="Z681"/>
    </row>
    <row r="682" spans="2:26">
      <c r="B682"/>
      <c r="D682"/>
      <c r="E682"/>
      <c r="F682"/>
      <c r="G682"/>
      <c r="H682"/>
      <c r="I682"/>
      <c r="J682"/>
      <c r="K682"/>
      <c r="L682"/>
      <c r="M682"/>
      <c r="N682"/>
      <c r="O682"/>
      <c r="P682"/>
      <c r="R682"/>
      <c r="S682"/>
      <c r="T682"/>
      <c r="U682"/>
      <c r="V682"/>
      <c r="W682"/>
      <c r="X682"/>
      <c r="Y682"/>
      <c r="Z682"/>
    </row>
    <row r="683" spans="2:26">
      <c r="B683"/>
      <c r="D683"/>
      <c r="E683"/>
      <c r="F683"/>
      <c r="G683"/>
      <c r="H683"/>
      <c r="I683"/>
      <c r="J683"/>
      <c r="K683"/>
      <c r="L683"/>
      <c r="M683"/>
      <c r="N683"/>
      <c r="O683"/>
      <c r="P683"/>
      <c r="R683"/>
      <c r="S683"/>
      <c r="T683"/>
      <c r="U683"/>
      <c r="V683"/>
      <c r="W683"/>
      <c r="X683"/>
      <c r="Y683"/>
      <c r="Z683"/>
    </row>
    <row r="684" spans="2:26">
      <c r="B684"/>
      <c r="D684"/>
      <c r="E684"/>
      <c r="F684"/>
      <c r="G684"/>
      <c r="H684"/>
      <c r="I684"/>
      <c r="J684"/>
      <c r="K684"/>
      <c r="L684"/>
      <c r="M684"/>
      <c r="N684"/>
      <c r="O684"/>
      <c r="P684"/>
      <c r="R684"/>
      <c r="S684"/>
      <c r="T684"/>
      <c r="U684"/>
      <c r="V684"/>
      <c r="W684"/>
      <c r="X684"/>
      <c r="Y684"/>
      <c r="Z684"/>
    </row>
    <row r="685" spans="2:26">
      <c r="B685"/>
      <c r="D685"/>
      <c r="E685"/>
      <c r="F685"/>
      <c r="G685"/>
      <c r="H685"/>
      <c r="I685"/>
      <c r="J685"/>
      <c r="K685"/>
      <c r="L685"/>
      <c r="M685"/>
      <c r="N685"/>
      <c r="O685"/>
      <c r="P685"/>
      <c r="R685"/>
      <c r="S685"/>
      <c r="T685"/>
      <c r="U685"/>
      <c r="V685"/>
      <c r="W685"/>
      <c r="X685"/>
      <c r="Y685"/>
      <c r="Z685"/>
    </row>
    <row r="686" spans="2:26">
      <c r="B686"/>
      <c r="D686"/>
      <c r="E686"/>
      <c r="F686"/>
      <c r="G686"/>
      <c r="H686"/>
      <c r="I686"/>
      <c r="J686"/>
      <c r="K686"/>
      <c r="L686"/>
      <c r="M686"/>
      <c r="N686"/>
      <c r="O686"/>
      <c r="P686"/>
      <c r="R686"/>
      <c r="S686"/>
      <c r="T686"/>
      <c r="U686"/>
      <c r="V686"/>
      <c r="W686"/>
      <c r="X686"/>
      <c r="Y686"/>
      <c r="Z686"/>
    </row>
    <row r="687" spans="2:26">
      <c r="B687"/>
      <c r="D687"/>
      <c r="E687"/>
      <c r="F687"/>
      <c r="G687"/>
      <c r="H687"/>
      <c r="I687"/>
      <c r="J687"/>
      <c r="K687"/>
      <c r="L687"/>
      <c r="M687"/>
      <c r="N687"/>
      <c r="O687"/>
      <c r="P687"/>
      <c r="R687"/>
      <c r="S687"/>
      <c r="T687"/>
      <c r="U687"/>
      <c r="V687"/>
      <c r="W687"/>
      <c r="X687"/>
      <c r="Y687"/>
      <c r="Z687"/>
    </row>
    <row r="688" spans="2:26">
      <c r="B688"/>
      <c r="D688"/>
      <c r="E688"/>
      <c r="F688"/>
      <c r="G688"/>
      <c r="H688"/>
      <c r="I688"/>
      <c r="J688"/>
      <c r="K688"/>
      <c r="L688"/>
      <c r="M688"/>
      <c r="N688"/>
      <c r="O688"/>
      <c r="P688"/>
      <c r="R688"/>
      <c r="S688"/>
      <c r="T688"/>
      <c r="U688"/>
      <c r="V688"/>
      <c r="W688"/>
      <c r="X688"/>
      <c r="Y688"/>
      <c r="Z688"/>
    </row>
    <row r="689" spans="2:26">
      <c r="B689"/>
      <c r="D689"/>
      <c r="E689"/>
      <c r="F689"/>
      <c r="G689"/>
      <c r="H689"/>
      <c r="I689"/>
      <c r="J689"/>
      <c r="K689"/>
      <c r="L689"/>
      <c r="M689"/>
      <c r="N689"/>
      <c r="O689"/>
      <c r="P689"/>
      <c r="R689"/>
      <c r="S689"/>
      <c r="T689"/>
      <c r="U689"/>
      <c r="V689"/>
      <c r="W689"/>
      <c r="X689"/>
      <c r="Y689"/>
      <c r="Z689"/>
    </row>
    <row r="690" spans="2:26">
      <c r="B690"/>
      <c r="D690"/>
      <c r="E690"/>
      <c r="F690"/>
      <c r="G690"/>
      <c r="H690"/>
      <c r="I690"/>
      <c r="J690"/>
      <c r="K690"/>
      <c r="L690"/>
      <c r="M690"/>
      <c r="N690"/>
      <c r="O690"/>
      <c r="P690"/>
      <c r="R690"/>
      <c r="S690"/>
      <c r="T690"/>
      <c r="U690"/>
      <c r="V690"/>
      <c r="W690"/>
      <c r="X690"/>
      <c r="Y690"/>
      <c r="Z690"/>
    </row>
    <row r="691" spans="2:26">
      <c r="B691"/>
      <c r="D691"/>
      <c r="E691"/>
      <c r="F691"/>
      <c r="G691"/>
      <c r="H691"/>
      <c r="I691"/>
      <c r="J691"/>
      <c r="K691"/>
      <c r="L691"/>
      <c r="M691"/>
      <c r="N691"/>
      <c r="O691"/>
      <c r="P691"/>
      <c r="R691"/>
      <c r="S691"/>
      <c r="T691"/>
      <c r="U691"/>
      <c r="V691"/>
      <c r="W691"/>
      <c r="X691"/>
      <c r="Y691"/>
      <c r="Z691"/>
    </row>
    <row r="692" spans="2:26">
      <c r="B692"/>
      <c r="D692"/>
      <c r="E692"/>
      <c r="F692"/>
      <c r="G692"/>
      <c r="H692"/>
      <c r="I692"/>
      <c r="J692"/>
      <c r="K692"/>
      <c r="L692"/>
      <c r="M692"/>
      <c r="N692"/>
      <c r="O692"/>
      <c r="P692"/>
      <c r="R692"/>
      <c r="S692"/>
      <c r="T692"/>
      <c r="U692"/>
      <c r="V692"/>
      <c r="W692"/>
      <c r="X692"/>
      <c r="Y692"/>
      <c r="Z692"/>
    </row>
    <row r="693" spans="2:26">
      <c r="B693"/>
      <c r="D693"/>
      <c r="E693"/>
      <c r="F693"/>
      <c r="G693"/>
      <c r="H693"/>
      <c r="I693"/>
      <c r="J693"/>
      <c r="K693"/>
      <c r="L693"/>
      <c r="M693"/>
      <c r="N693"/>
      <c r="O693"/>
      <c r="P693"/>
      <c r="R693"/>
      <c r="S693"/>
      <c r="T693"/>
      <c r="U693"/>
      <c r="V693"/>
      <c r="W693"/>
      <c r="X693"/>
      <c r="Y693"/>
      <c r="Z693"/>
    </row>
    <row r="694" spans="2:26">
      <c r="B694"/>
      <c r="D694"/>
      <c r="E694"/>
      <c r="F694"/>
      <c r="G694"/>
      <c r="H694"/>
      <c r="I694"/>
      <c r="J694"/>
      <c r="K694"/>
      <c r="L694"/>
      <c r="M694"/>
      <c r="N694"/>
      <c r="O694"/>
      <c r="P694"/>
      <c r="R694"/>
      <c r="S694"/>
      <c r="T694"/>
      <c r="U694"/>
      <c r="V694"/>
      <c r="W694"/>
      <c r="X694"/>
      <c r="Y694"/>
      <c r="Z694"/>
    </row>
    <row r="695" spans="2:26">
      <c r="B695"/>
      <c r="D695"/>
      <c r="E695"/>
      <c r="F695"/>
      <c r="G695"/>
      <c r="H695"/>
      <c r="I695"/>
      <c r="J695"/>
      <c r="K695"/>
      <c r="L695"/>
      <c r="M695"/>
      <c r="N695"/>
      <c r="O695"/>
      <c r="P695"/>
      <c r="R695"/>
      <c r="S695"/>
      <c r="T695"/>
      <c r="U695"/>
      <c r="V695"/>
      <c r="W695"/>
      <c r="X695"/>
      <c r="Y695"/>
      <c r="Z695"/>
    </row>
    <row r="696" spans="2:26">
      <c r="B696"/>
      <c r="D696"/>
      <c r="E696"/>
      <c r="F696"/>
      <c r="G696"/>
      <c r="H696"/>
      <c r="I696"/>
      <c r="J696"/>
      <c r="K696"/>
      <c r="L696"/>
      <c r="M696"/>
      <c r="N696"/>
      <c r="O696"/>
      <c r="P696"/>
      <c r="R696"/>
      <c r="S696"/>
      <c r="T696"/>
      <c r="U696"/>
      <c r="V696"/>
      <c r="W696"/>
      <c r="X696"/>
      <c r="Y696"/>
      <c r="Z696"/>
    </row>
    <row r="697" spans="2:26">
      <c r="B697"/>
      <c r="D697"/>
      <c r="E697"/>
      <c r="F697"/>
      <c r="G697"/>
      <c r="H697"/>
      <c r="I697"/>
      <c r="J697"/>
      <c r="K697"/>
      <c r="L697"/>
      <c r="M697"/>
      <c r="N697"/>
      <c r="O697"/>
      <c r="P697"/>
      <c r="R697"/>
      <c r="S697"/>
      <c r="T697"/>
      <c r="U697"/>
      <c r="V697"/>
      <c r="W697"/>
      <c r="X697"/>
      <c r="Y697"/>
      <c r="Z697"/>
    </row>
    <row r="698" spans="2:26">
      <c r="B698"/>
      <c r="D698"/>
      <c r="E698"/>
      <c r="F698"/>
      <c r="G698"/>
      <c r="H698"/>
      <c r="I698"/>
      <c r="J698"/>
      <c r="K698"/>
      <c r="L698"/>
      <c r="M698"/>
      <c r="N698"/>
      <c r="O698"/>
      <c r="P698"/>
      <c r="R698"/>
      <c r="S698"/>
      <c r="T698"/>
      <c r="U698"/>
      <c r="V698"/>
      <c r="W698"/>
      <c r="X698"/>
      <c r="Y698"/>
      <c r="Z698"/>
    </row>
    <row r="699" spans="2:26">
      <c r="B699"/>
      <c r="D699"/>
      <c r="E699"/>
      <c r="F699"/>
      <c r="G699"/>
      <c r="H699"/>
      <c r="I699"/>
      <c r="J699"/>
      <c r="K699"/>
      <c r="L699"/>
      <c r="M699"/>
      <c r="N699"/>
      <c r="O699"/>
      <c r="P699"/>
      <c r="R699"/>
      <c r="S699"/>
      <c r="T699"/>
      <c r="U699"/>
      <c r="V699"/>
      <c r="W699"/>
      <c r="X699"/>
      <c r="Y699"/>
      <c r="Z699"/>
    </row>
    <row r="700" spans="2:26">
      <c r="B700"/>
      <c r="D700"/>
      <c r="E700"/>
      <c r="F700"/>
      <c r="G700"/>
      <c r="H700"/>
      <c r="I700"/>
      <c r="J700"/>
      <c r="K700"/>
      <c r="L700"/>
      <c r="M700"/>
      <c r="N700"/>
      <c r="O700"/>
      <c r="P700"/>
      <c r="R700"/>
      <c r="S700"/>
      <c r="T700"/>
      <c r="U700"/>
      <c r="V700"/>
      <c r="W700"/>
      <c r="X700"/>
      <c r="Y700"/>
      <c r="Z700"/>
    </row>
    <row r="701" spans="2:26">
      <c r="B701"/>
      <c r="D701"/>
      <c r="E701"/>
      <c r="F701"/>
      <c r="G701"/>
      <c r="H701"/>
      <c r="I701"/>
      <c r="J701"/>
      <c r="K701"/>
      <c r="L701"/>
      <c r="M701"/>
      <c r="N701"/>
      <c r="O701"/>
      <c r="P701"/>
      <c r="R701"/>
      <c r="S701"/>
      <c r="T701"/>
      <c r="U701"/>
      <c r="V701"/>
      <c r="W701"/>
      <c r="X701"/>
      <c r="Y701"/>
      <c r="Z701"/>
    </row>
    <row r="702" spans="2:26">
      <c r="B702"/>
      <c r="D702"/>
      <c r="E702"/>
      <c r="F702"/>
      <c r="G702"/>
      <c r="H702"/>
      <c r="I702"/>
      <c r="J702"/>
      <c r="K702"/>
      <c r="L702"/>
      <c r="M702"/>
      <c r="N702"/>
      <c r="O702"/>
      <c r="P702"/>
      <c r="R702"/>
      <c r="S702"/>
      <c r="T702"/>
      <c r="U702"/>
      <c r="V702"/>
      <c r="W702"/>
      <c r="X702"/>
      <c r="Y702"/>
      <c r="Z702"/>
    </row>
    <row r="703" spans="2:26">
      <c r="B703"/>
      <c r="D703"/>
      <c r="E703"/>
      <c r="F703"/>
      <c r="G703"/>
      <c r="H703"/>
      <c r="I703"/>
      <c r="J703"/>
      <c r="K703"/>
      <c r="L703"/>
      <c r="M703"/>
      <c r="N703"/>
      <c r="O703"/>
      <c r="P703"/>
      <c r="R703"/>
      <c r="S703"/>
      <c r="T703"/>
      <c r="U703"/>
      <c r="V703"/>
      <c r="W703"/>
      <c r="X703"/>
      <c r="Y703"/>
      <c r="Z703"/>
    </row>
    <row r="704" spans="2:26">
      <c r="B704"/>
      <c r="D704"/>
      <c r="E704"/>
      <c r="F704"/>
      <c r="G704"/>
      <c r="H704"/>
      <c r="I704"/>
      <c r="J704"/>
      <c r="K704"/>
      <c r="L704"/>
      <c r="M704"/>
      <c r="N704"/>
      <c r="O704"/>
      <c r="P704"/>
      <c r="R704"/>
      <c r="S704"/>
      <c r="T704"/>
      <c r="U704"/>
      <c r="V704"/>
      <c r="W704"/>
      <c r="X704"/>
      <c r="Y704"/>
      <c r="Z704"/>
    </row>
    <row r="705" spans="2:26">
      <c r="B705"/>
      <c r="D705"/>
      <c r="E705"/>
      <c r="F705"/>
      <c r="G705"/>
      <c r="H705"/>
      <c r="I705"/>
      <c r="J705"/>
      <c r="K705"/>
      <c r="L705"/>
      <c r="M705"/>
      <c r="N705"/>
      <c r="O705"/>
      <c r="P705"/>
      <c r="R705"/>
      <c r="S705"/>
      <c r="T705"/>
      <c r="U705"/>
      <c r="V705"/>
      <c r="W705"/>
      <c r="X705"/>
      <c r="Y705"/>
      <c r="Z705"/>
    </row>
    <row r="706" spans="2:26">
      <c r="B706"/>
      <c r="D706"/>
      <c r="E706"/>
      <c r="F706"/>
      <c r="G706"/>
      <c r="H706"/>
      <c r="I706"/>
      <c r="J706"/>
      <c r="K706"/>
      <c r="L706"/>
      <c r="M706"/>
      <c r="N706"/>
      <c r="O706"/>
      <c r="P706"/>
      <c r="R706"/>
      <c r="S706"/>
      <c r="T706"/>
      <c r="U706"/>
      <c r="V706"/>
      <c r="W706"/>
      <c r="X706"/>
      <c r="Y706"/>
      <c r="Z706"/>
    </row>
    <row r="707" spans="2:26">
      <c r="B707"/>
      <c r="D707"/>
      <c r="E707"/>
      <c r="F707"/>
      <c r="G707"/>
      <c r="H707"/>
      <c r="I707"/>
      <c r="J707"/>
      <c r="K707"/>
      <c r="L707"/>
      <c r="M707"/>
      <c r="N707"/>
      <c r="O707"/>
      <c r="P707"/>
      <c r="R707"/>
      <c r="S707"/>
      <c r="T707"/>
      <c r="U707"/>
      <c r="V707"/>
      <c r="W707"/>
      <c r="X707"/>
      <c r="Y707"/>
      <c r="Z707"/>
    </row>
    <row r="708" spans="2:26">
      <c r="B708"/>
      <c r="D708"/>
      <c r="E708"/>
      <c r="F708"/>
      <c r="G708"/>
      <c r="H708"/>
      <c r="I708"/>
      <c r="J708"/>
      <c r="K708"/>
      <c r="L708"/>
      <c r="M708"/>
      <c r="N708"/>
      <c r="O708"/>
      <c r="P708"/>
      <c r="R708"/>
      <c r="S708"/>
      <c r="T708"/>
      <c r="U708"/>
      <c r="V708"/>
      <c r="W708"/>
      <c r="X708"/>
      <c r="Y708"/>
      <c r="Z708"/>
    </row>
    <row r="709" spans="2:26">
      <c r="B709"/>
      <c r="D709"/>
      <c r="E709"/>
      <c r="F709"/>
      <c r="G709"/>
      <c r="H709"/>
      <c r="I709"/>
      <c r="J709"/>
      <c r="K709"/>
      <c r="L709"/>
      <c r="M709"/>
      <c r="N709"/>
      <c r="O709"/>
      <c r="P709"/>
      <c r="R709"/>
      <c r="S709"/>
      <c r="T709"/>
      <c r="U709"/>
      <c r="V709"/>
      <c r="W709"/>
      <c r="X709"/>
      <c r="Y709"/>
      <c r="Z709"/>
    </row>
    <row r="710" spans="2:26">
      <c r="B710"/>
      <c r="D710"/>
      <c r="E710"/>
      <c r="F710"/>
      <c r="G710"/>
      <c r="H710"/>
      <c r="I710"/>
      <c r="J710"/>
      <c r="K710"/>
      <c r="L710"/>
      <c r="M710"/>
      <c r="N710"/>
      <c r="O710"/>
      <c r="P710"/>
      <c r="R710"/>
      <c r="S710"/>
      <c r="T710"/>
      <c r="U710"/>
      <c r="V710"/>
      <c r="W710"/>
      <c r="X710"/>
      <c r="Y710"/>
      <c r="Z710"/>
    </row>
    <row r="711" spans="2:26">
      <c r="B711"/>
      <c r="D711"/>
      <c r="E711"/>
      <c r="F711"/>
      <c r="G711"/>
      <c r="H711"/>
      <c r="I711"/>
      <c r="J711"/>
      <c r="K711"/>
      <c r="L711"/>
      <c r="M711"/>
      <c r="N711"/>
      <c r="O711"/>
      <c r="P711"/>
      <c r="R711"/>
      <c r="S711"/>
      <c r="T711"/>
      <c r="U711"/>
      <c r="V711"/>
      <c r="W711"/>
      <c r="X711"/>
      <c r="Y711"/>
      <c r="Z711"/>
    </row>
    <row r="712" spans="2:26">
      <c r="B712"/>
      <c r="D712"/>
      <c r="E712"/>
      <c r="F712"/>
      <c r="G712"/>
      <c r="H712"/>
      <c r="I712"/>
      <c r="J712"/>
      <c r="K712"/>
      <c r="L712"/>
      <c r="M712"/>
      <c r="N712"/>
      <c r="O712"/>
      <c r="P712"/>
      <c r="R712"/>
      <c r="S712"/>
      <c r="T712"/>
      <c r="U712"/>
      <c r="V712"/>
      <c r="W712"/>
      <c r="X712"/>
      <c r="Y712"/>
      <c r="Z712"/>
    </row>
    <row r="713" spans="2:26">
      <c r="B713"/>
      <c r="D713"/>
      <c r="E713"/>
      <c r="F713"/>
      <c r="G713"/>
      <c r="H713"/>
      <c r="I713"/>
      <c r="J713"/>
      <c r="K713"/>
      <c r="L713"/>
      <c r="M713"/>
      <c r="N713"/>
      <c r="O713"/>
      <c r="P713"/>
      <c r="R713"/>
      <c r="S713"/>
      <c r="T713"/>
      <c r="U713"/>
      <c r="V713"/>
      <c r="W713"/>
      <c r="X713"/>
      <c r="Y713"/>
      <c r="Z713"/>
    </row>
    <row r="714" spans="2:26">
      <c r="B714"/>
      <c r="D714"/>
      <c r="E714"/>
      <c r="F714"/>
      <c r="G714"/>
      <c r="H714"/>
      <c r="I714"/>
      <c r="J714"/>
      <c r="K714"/>
      <c r="L714"/>
      <c r="M714"/>
      <c r="N714"/>
      <c r="O714"/>
      <c r="P714"/>
      <c r="R714"/>
      <c r="S714"/>
      <c r="T714"/>
      <c r="U714"/>
      <c r="V714"/>
      <c r="W714"/>
      <c r="X714"/>
      <c r="Y714"/>
      <c r="Z714"/>
    </row>
    <row r="715" spans="2:26">
      <c r="B715"/>
      <c r="D715"/>
      <c r="E715"/>
      <c r="F715"/>
      <c r="G715"/>
      <c r="H715"/>
      <c r="I715"/>
      <c r="J715"/>
      <c r="K715"/>
      <c r="L715"/>
      <c r="M715"/>
      <c r="N715"/>
      <c r="O715"/>
      <c r="P715"/>
      <c r="R715"/>
      <c r="S715"/>
      <c r="T715"/>
      <c r="U715"/>
      <c r="V715"/>
      <c r="W715"/>
      <c r="X715"/>
      <c r="Y715"/>
      <c r="Z715"/>
    </row>
    <row r="716" spans="2:26">
      <c r="B716"/>
      <c r="D716"/>
      <c r="E716"/>
      <c r="F716"/>
      <c r="G716"/>
      <c r="H716"/>
      <c r="I716"/>
      <c r="J716"/>
      <c r="K716"/>
      <c r="L716"/>
      <c r="M716"/>
      <c r="N716"/>
      <c r="O716"/>
      <c r="P716"/>
      <c r="R716"/>
      <c r="S716"/>
      <c r="T716"/>
      <c r="U716"/>
      <c r="V716"/>
      <c r="W716"/>
      <c r="X716"/>
      <c r="Y716"/>
      <c r="Z716"/>
    </row>
    <row r="717" spans="2:26">
      <c r="B717"/>
      <c r="D717"/>
      <c r="E717"/>
      <c r="F717"/>
      <c r="G717"/>
      <c r="H717"/>
      <c r="I717"/>
      <c r="J717"/>
      <c r="K717"/>
      <c r="L717"/>
      <c r="M717"/>
      <c r="N717"/>
      <c r="O717"/>
      <c r="P717"/>
      <c r="R717"/>
      <c r="S717"/>
      <c r="T717"/>
      <c r="U717"/>
      <c r="V717"/>
      <c r="W717"/>
      <c r="X717"/>
      <c r="Y717"/>
      <c r="Z717"/>
    </row>
    <row r="718" spans="2:26">
      <c r="B718"/>
      <c r="D718"/>
      <c r="E718"/>
      <c r="F718"/>
      <c r="G718"/>
      <c r="H718"/>
      <c r="I718"/>
      <c r="J718"/>
      <c r="K718"/>
      <c r="L718"/>
      <c r="M718"/>
      <c r="N718"/>
      <c r="O718"/>
      <c r="P718"/>
      <c r="R718"/>
      <c r="S718"/>
      <c r="T718"/>
      <c r="U718"/>
      <c r="V718"/>
      <c r="W718"/>
      <c r="X718"/>
      <c r="Y718"/>
      <c r="Z718"/>
    </row>
    <row r="719" spans="2:26">
      <c r="B719"/>
      <c r="D719"/>
      <c r="E719"/>
      <c r="F719"/>
      <c r="G719"/>
      <c r="H719"/>
      <c r="I719"/>
      <c r="J719"/>
      <c r="K719"/>
      <c r="L719"/>
      <c r="M719"/>
      <c r="N719"/>
      <c r="O719"/>
      <c r="P719"/>
      <c r="R719"/>
      <c r="S719"/>
      <c r="T719"/>
      <c r="U719"/>
      <c r="V719"/>
      <c r="W719"/>
      <c r="X719"/>
      <c r="Y719"/>
      <c r="Z719"/>
    </row>
    <row r="720" spans="2:26">
      <c r="B720"/>
      <c r="D720"/>
      <c r="E720"/>
      <c r="F720"/>
      <c r="G720"/>
      <c r="H720"/>
      <c r="I720"/>
      <c r="J720"/>
      <c r="K720"/>
      <c r="L720"/>
      <c r="M720"/>
      <c r="N720"/>
      <c r="O720"/>
      <c r="P720"/>
      <c r="R720"/>
      <c r="S720"/>
      <c r="T720"/>
      <c r="U720"/>
      <c r="V720"/>
      <c r="W720"/>
      <c r="X720"/>
      <c r="Y720"/>
      <c r="Z720"/>
    </row>
    <row r="721" spans="2:26">
      <c r="B721"/>
      <c r="D721"/>
      <c r="E721"/>
      <c r="F721"/>
      <c r="G721"/>
      <c r="H721"/>
      <c r="I721"/>
      <c r="J721"/>
      <c r="K721"/>
      <c r="L721"/>
      <c r="M721"/>
      <c r="N721"/>
      <c r="O721"/>
      <c r="P721"/>
      <c r="R721"/>
      <c r="S721"/>
      <c r="T721"/>
      <c r="U721"/>
      <c r="V721"/>
      <c r="W721"/>
      <c r="X721"/>
      <c r="Y721"/>
      <c r="Z721"/>
    </row>
    <row r="722" spans="2:26">
      <c r="B722"/>
      <c r="D722"/>
      <c r="E722"/>
      <c r="F722"/>
      <c r="G722"/>
      <c r="H722"/>
      <c r="I722"/>
      <c r="J722"/>
      <c r="K722"/>
      <c r="L722"/>
      <c r="M722"/>
      <c r="N722"/>
      <c r="O722"/>
      <c r="P722"/>
      <c r="R722"/>
      <c r="S722"/>
      <c r="T722"/>
      <c r="U722"/>
      <c r="V722"/>
      <c r="W722"/>
      <c r="X722"/>
      <c r="Y722"/>
      <c r="Z722"/>
    </row>
    <row r="723" spans="2:26">
      <c r="B723"/>
      <c r="D723"/>
      <c r="E723"/>
      <c r="F723"/>
      <c r="G723"/>
      <c r="H723"/>
      <c r="I723"/>
      <c r="J723"/>
      <c r="K723"/>
      <c r="L723"/>
      <c r="M723"/>
      <c r="N723"/>
      <c r="O723"/>
      <c r="P723"/>
      <c r="R723"/>
      <c r="S723"/>
      <c r="T723"/>
      <c r="U723"/>
      <c r="V723"/>
      <c r="W723"/>
      <c r="X723"/>
      <c r="Y723"/>
      <c r="Z723"/>
    </row>
    <row r="724" spans="2:26">
      <c r="B724"/>
      <c r="D724"/>
      <c r="E724"/>
      <c r="F724"/>
      <c r="G724"/>
      <c r="H724"/>
      <c r="I724"/>
      <c r="J724"/>
      <c r="K724"/>
      <c r="L724"/>
      <c r="M724"/>
      <c r="N724"/>
      <c r="O724"/>
      <c r="P724"/>
      <c r="R724"/>
      <c r="S724"/>
      <c r="T724"/>
      <c r="U724"/>
      <c r="V724"/>
      <c r="W724"/>
      <c r="X724"/>
      <c r="Y724"/>
      <c r="Z724"/>
    </row>
    <row r="725" spans="2:26">
      <c r="B725"/>
      <c r="D725"/>
      <c r="E725"/>
      <c r="F725"/>
      <c r="G725"/>
      <c r="H725"/>
      <c r="I725"/>
      <c r="J725"/>
      <c r="K725"/>
      <c r="L725"/>
      <c r="M725"/>
      <c r="N725"/>
      <c r="O725"/>
      <c r="P725"/>
      <c r="R725"/>
      <c r="S725"/>
      <c r="T725"/>
      <c r="U725"/>
      <c r="V725"/>
      <c r="W725"/>
      <c r="X725"/>
      <c r="Y725"/>
      <c r="Z725"/>
    </row>
    <row r="726" spans="2:26">
      <c r="B726"/>
      <c r="D726"/>
      <c r="E726"/>
      <c r="F726"/>
      <c r="G726"/>
      <c r="H726"/>
      <c r="I726"/>
      <c r="J726"/>
      <c r="K726"/>
      <c r="L726"/>
      <c r="M726"/>
      <c r="N726"/>
      <c r="O726"/>
      <c r="P726"/>
      <c r="R726"/>
      <c r="S726"/>
      <c r="T726"/>
      <c r="U726"/>
      <c r="V726"/>
      <c r="W726"/>
      <c r="X726"/>
      <c r="Y726"/>
      <c r="Z726"/>
    </row>
    <row r="727" spans="2:26">
      <c r="B727"/>
      <c r="D727"/>
      <c r="E727"/>
      <c r="F727"/>
      <c r="G727"/>
      <c r="H727"/>
      <c r="I727"/>
      <c r="J727"/>
      <c r="K727"/>
      <c r="L727"/>
      <c r="M727"/>
      <c r="N727"/>
      <c r="O727"/>
      <c r="P727"/>
      <c r="R727"/>
      <c r="S727"/>
      <c r="T727"/>
      <c r="U727"/>
      <c r="V727"/>
      <c r="W727"/>
      <c r="X727"/>
      <c r="Y727"/>
      <c r="Z727"/>
    </row>
    <row r="728" spans="2:26">
      <c r="B728"/>
      <c r="D728"/>
      <c r="E728"/>
      <c r="F728"/>
      <c r="G728"/>
      <c r="H728"/>
      <c r="I728"/>
      <c r="J728"/>
      <c r="K728"/>
      <c r="L728"/>
      <c r="M728"/>
      <c r="N728"/>
      <c r="O728"/>
      <c r="P728"/>
      <c r="R728"/>
      <c r="S728"/>
      <c r="T728"/>
      <c r="U728"/>
      <c r="V728"/>
      <c r="W728"/>
      <c r="X728"/>
      <c r="Y728"/>
      <c r="Z728"/>
    </row>
    <row r="729" spans="2:26">
      <c r="B729"/>
      <c r="D729"/>
      <c r="E729"/>
      <c r="F729"/>
      <c r="G729"/>
      <c r="H729"/>
      <c r="I729"/>
      <c r="J729"/>
      <c r="K729"/>
      <c r="L729"/>
      <c r="M729"/>
      <c r="N729"/>
      <c r="O729"/>
      <c r="P729"/>
      <c r="R729"/>
      <c r="S729"/>
      <c r="T729"/>
      <c r="U729"/>
      <c r="V729"/>
      <c r="W729"/>
      <c r="X729"/>
      <c r="Y729"/>
      <c r="Z729"/>
    </row>
    <row r="730" spans="2:26">
      <c r="B730"/>
      <c r="D730"/>
      <c r="E730"/>
      <c r="F730"/>
      <c r="G730"/>
      <c r="H730"/>
      <c r="I730"/>
      <c r="J730"/>
      <c r="K730"/>
      <c r="L730"/>
      <c r="M730"/>
      <c r="N730"/>
      <c r="O730"/>
      <c r="P730"/>
      <c r="R730"/>
      <c r="S730"/>
      <c r="T730"/>
      <c r="U730"/>
      <c r="V730"/>
      <c r="W730"/>
      <c r="X730"/>
      <c r="Y730"/>
      <c r="Z730"/>
    </row>
    <row r="731" spans="2:26">
      <c r="B731"/>
      <c r="D731"/>
      <c r="E731"/>
      <c r="F731"/>
      <c r="G731"/>
      <c r="H731"/>
      <c r="I731"/>
      <c r="J731"/>
      <c r="K731"/>
      <c r="L731"/>
      <c r="M731"/>
      <c r="N731"/>
      <c r="O731"/>
      <c r="P731"/>
      <c r="R731"/>
      <c r="S731"/>
      <c r="T731"/>
      <c r="U731"/>
      <c r="V731"/>
      <c r="W731"/>
      <c r="X731"/>
      <c r="Y731"/>
      <c r="Z731"/>
    </row>
    <row r="732" spans="2:26">
      <c r="B732"/>
      <c r="D732"/>
      <c r="E732"/>
      <c r="F732"/>
      <c r="G732"/>
      <c r="H732"/>
      <c r="I732"/>
      <c r="J732"/>
      <c r="K732"/>
      <c r="L732"/>
      <c r="M732"/>
      <c r="N732"/>
      <c r="O732"/>
      <c r="P732"/>
      <c r="R732"/>
      <c r="S732"/>
      <c r="T732"/>
      <c r="U732"/>
      <c r="V732"/>
      <c r="W732"/>
      <c r="X732"/>
      <c r="Y732"/>
      <c r="Z732"/>
    </row>
    <row r="733" spans="2:26">
      <c r="B733"/>
      <c r="D733"/>
      <c r="E733"/>
      <c r="F733"/>
      <c r="G733"/>
      <c r="H733"/>
      <c r="I733"/>
      <c r="J733"/>
      <c r="K733"/>
      <c r="L733"/>
      <c r="M733"/>
      <c r="N733"/>
      <c r="O733"/>
      <c r="P733"/>
      <c r="R733"/>
      <c r="S733"/>
      <c r="T733"/>
      <c r="U733"/>
      <c r="V733"/>
      <c r="W733"/>
      <c r="X733"/>
      <c r="Y733"/>
      <c r="Z733"/>
    </row>
    <row r="734" spans="2:26">
      <c r="B734"/>
      <c r="D734"/>
      <c r="E734"/>
      <c r="F734"/>
      <c r="G734"/>
      <c r="H734"/>
      <c r="I734"/>
      <c r="J734"/>
      <c r="K734"/>
      <c r="L734"/>
      <c r="M734"/>
      <c r="N734"/>
      <c r="O734"/>
      <c r="P734"/>
      <c r="R734"/>
      <c r="S734"/>
      <c r="T734"/>
      <c r="U734"/>
      <c r="V734"/>
      <c r="W734"/>
      <c r="X734"/>
      <c r="Y734"/>
      <c r="Z734"/>
    </row>
    <row r="735" spans="2:26">
      <c r="B735"/>
      <c r="D735"/>
      <c r="E735"/>
      <c r="F735"/>
      <c r="G735"/>
      <c r="H735"/>
      <c r="I735"/>
      <c r="J735"/>
      <c r="K735"/>
      <c r="L735"/>
      <c r="M735"/>
      <c r="N735"/>
      <c r="O735"/>
      <c r="P735"/>
      <c r="R735"/>
      <c r="S735"/>
      <c r="T735"/>
      <c r="U735"/>
      <c r="V735"/>
      <c r="W735"/>
      <c r="X735"/>
      <c r="Y735"/>
      <c r="Z735"/>
    </row>
    <row r="736" spans="2:26">
      <c r="B736"/>
      <c r="D736"/>
      <c r="E736"/>
      <c r="F736"/>
      <c r="G736"/>
      <c r="H736"/>
      <c r="I736"/>
      <c r="J736"/>
      <c r="K736"/>
      <c r="L736"/>
      <c r="M736"/>
      <c r="N736"/>
      <c r="O736"/>
      <c r="P736"/>
      <c r="R736"/>
      <c r="S736"/>
      <c r="T736"/>
      <c r="U736"/>
      <c r="V736"/>
      <c r="W736"/>
      <c r="X736"/>
      <c r="Y736"/>
      <c r="Z736"/>
    </row>
    <row r="737" spans="2:26">
      <c r="B737"/>
      <c r="D737"/>
      <c r="E737"/>
      <c r="F737"/>
      <c r="G737"/>
      <c r="H737"/>
      <c r="I737"/>
      <c r="J737"/>
      <c r="K737"/>
      <c r="L737"/>
      <c r="M737"/>
      <c r="N737"/>
      <c r="O737"/>
      <c r="P737"/>
      <c r="R737"/>
      <c r="S737"/>
      <c r="T737"/>
      <c r="U737"/>
      <c r="V737"/>
      <c r="W737"/>
      <c r="X737"/>
      <c r="Y737"/>
      <c r="Z737"/>
    </row>
    <row r="738" spans="2:26">
      <c r="B738"/>
      <c r="D738"/>
      <c r="E738"/>
      <c r="F738"/>
      <c r="G738"/>
      <c r="H738"/>
      <c r="I738"/>
      <c r="J738"/>
      <c r="K738"/>
      <c r="L738"/>
      <c r="M738"/>
      <c r="N738"/>
      <c r="O738"/>
      <c r="P738"/>
      <c r="R738"/>
      <c r="S738"/>
      <c r="T738"/>
      <c r="U738"/>
      <c r="V738"/>
      <c r="W738"/>
      <c r="X738"/>
      <c r="Y738"/>
      <c r="Z738"/>
    </row>
    <row r="739" spans="2:26">
      <c r="B739"/>
      <c r="D739"/>
      <c r="E739"/>
      <c r="F739"/>
      <c r="G739"/>
      <c r="H739"/>
      <c r="I739"/>
      <c r="J739"/>
      <c r="K739"/>
      <c r="L739"/>
      <c r="M739"/>
      <c r="N739"/>
      <c r="O739"/>
      <c r="P739"/>
      <c r="R739"/>
      <c r="S739"/>
      <c r="T739"/>
      <c r="U739"/>
      <c r="V739"/>
      <c r="W739"/>
      <c r="X739"/>
      <c r="Y739"/>
      <c r="Z739"/>
    </row>
    <row r="740" spans="2:26">
      <c r="B740"/>
      <c r="D740"/>
      <c r="E740"/>
      <c r="F740"/>
      <c r="G740"/>
      <c r="H740"/>
      <c r="I740"/>
      <c r="J740"/>
      <c r="K740"/>
      <c r="L740"/>
      <c r="M740"/>
      <c r="N740"/>
      <c r="O740"/>
      <c r="P740"/>
      <c r="R740"/>
      <c r="S740"/>
      <c r="T740"/>
      <c r="U740"/>
      <c r="V740"/>
      <c r="W740"/>
      <c r="X740"/>
      <c r="Y740"/>
      <c r="Z740"/>
    </row>
    <row r="741" spans="2:26">
      <c r="B741"/>
      <c r="D741"/>
      <c r="E741"/>
      <c r="F741"/>
      <c r="G741"/>
      <c r="H741"/>
      <c r="I741"/>
      <c r="J741"/>
      <c r="K741"/>
      <c r="L741"/>
      <c r="M741"/>
      <c r="N741"/>
      <c r="O741"/>
      <c r="P741"/>
      <c r="R741"/>
      <c r="S741"/>
      <c r="T741"/>
      <c r="U741"/>
      <c r="V741"/>
      <c r="W741"/>
      <c r="X741"/>
      <c r="Y741"/>
      <c r="Z741"/>
    </row>
    <row r="742" spans="2:26">
      <c r="B742"/>
      <c r="D742"/>
      <c r="E742"/>
      <c r="F742"/>
      <c r="G742"/>
      <c r="H742"/>
      <c r="I742"/>
      <c r="J742"/>
      <c r="K742"/>
      <c r="L742"/>
      <c r="M742"/>
      <c r="N742"/>
      <c r="O742"/>
      <c r="P742"/>
      <c r="R742"/>
      <c r="S742"/>
      <c r="T742"/>
      <c r="U742"/>
      <c r="V742"/>
      <c r="W742"/>
      <c r="X742"/>
      <c r="Y742"/>
      <c r="Z742"/>
    </row>
    <row r="743" spans="2:26">
      <c r="B743"/>
      <c r="D743"/>
      <c r="E743"/>
      <c r="F743"/>
      <c r="G743"/>
      <c r="H743"/>
      <c r="I743"/>
      <c r="J743"/>
      <c r="K743"/>
      <c r="L743"/>
      <c r="M743"/>
      <c r="N743"/>
      <c r="O743"/>
      <c r="P743"/>
      <c r="R743"/>
      <c r="S743"/>
      <c r="T743"/>
      <c r="U743"/>
      <c r="V743"/>
      <c r="W743"/>
      <c r="X743"/>
      <c r="Y743"/>
      <c r="Z743"/>
    </row>
    <row r="744" spans="2:26">
      <c r="B744"/>
      <c r="D744"/>
      <c r="E744"/>
      <c r="F744"/>
      <c r="G744"/>
      <c r="H744"/>
      <c r="I744"/>
      <c r="J744"/>
      <c r="K744"/>
      <c r="L744"/>
      <c r="M744"/>
      <c r="N744"/>
      <c r="O744"/>
      <c r="P744"/>
      <c r="R744"/>
      <c r="S744"/>
      <c r="T744"/>
      <c r="U744"/>
      <c r="V744"/>
      <c r="W744"/>
      <c r="X744"/>
      <c r="Y744"/>
      <c r="Z744"/>
    </row>
    <row r="745" spans="2:26">
      <c r="B745"/>
      <c r="D745"/>
      <c r="E745"/>
      <c r="F745"/>
      <c r="G745"/>
      <c r="H745"/>
      <c r="I745"/>
      <c r="J745"/>
      <c r="K745"/>
      <c r="L745"/>
      <c r="M745"/>
      <c r="N745"/>
      <c r="O745"/>
      <c r="P745"/>
      <c r="R745"/>
      <c r="S745"/>
      <c r="T745"/>
      <c r="U745"/>
      <c r="V745"/>
      <c r="W745"/>
      <c r="X745"/>
      <c r="Y745"/>
      <c r="Z745"/>
    </row>
    <row r="746" spans="2:26">
      <c r="B746"/>
      <c r="D746"/>
      <c r="E746"/>
      <c r="F746"/>
      <c r="G746"/>
      <c r="H746"/>
      <c r="I746"/>
      <c r="J746"/>
      <c r="K746"/>
      <c r="L746"/>
      <c r="M746"/>
      <c r="N746"/>
      <c r="O746"/>
      <c r="P746"/>
      <c r="R746"/>
      <c r="S746"/>
      <c r="T746"/>
      <c r="U746"/>
      <c r="V746"/>
      <c r="W746"/>
      <c r="X746"/>
      <c r="Y746"/>
      <c r="Z746"/>
    </row>
    <row r="747" spans="2:26">
      <c r="B747"/>
      <c r="D747"/>
      <c r="E747"/>
      <c r="F747"/>
      <c r="G747"/>
      <c r="H747"/>
      <c r="I747"/>
      <c r="J747"/>
      <c r="K747"/>
      <c r="L747"/>
      <c r="M747"/>
      <c r="N747"/>
      <c r="O747"/>
      <c r="P747"/>
      <c r="R747"/>
      <c r="S747"/>
      <c r="T747"/>
      <c r="U747"/>
      <c r="V747"/>
      <c r="W747"/>
      <c r="X747"/>
      <c r="Y747"/>
      <c r="Z747"/>
    </row>
    <row r="748" spans="2:26">
      <c r="B748"/>
      <c r="D748"/>
      <c r="E748"/>
      <c r="F748"/>
      <c r="G748"/>
      <c r="H748"/>
      <c r="I748"/>
      <c r="J748"/>
      <c r="K748"/>
      <c r="L748"/>
      <c r="M748"/>
      <c r="N748"/>
      <c r="O748"/>
      <c r="P748"/>
      <c r="R748"/>
      <c r="S748"/>
      <c r="T748"/>
      <c r="U748"/>
      <c r="V748"/>
      <c r="W748"/>
      <c r="X748"/>
      <c r="Y748"/>
      <c r="Z748"/>
    </row>
    <row r="749" spans="2:26">
      <c r="B749"/>
      <c r="D749"/>
      <c r="E749"/>
      <c r="F749"/>
      <c r="G749"/>
      <c r="H749"/>
      <c r="I749"/>
      <c r="J749"/>
      <c r="K749"/>
      <c r="L749"/>
      <c r="M749"/>
      <c r="N749"/>
      <c r="O749"/>
      <c r="P749"/>
      <c r="R749"/>
      <c r="S749"/>
      <c r="T749"/>
      <c r="U749"/>
      <c r="V749"/>
      <c r="W749"/>
      <c r="X749"/>
      <c r="Y749"/>
      <c r="Z749"/>
    </row>
    <row r="750" spans="2:26">
      <c r="B750"/>
      <c r="D750"/>
      <c r="E750"/>
      <c r="F750"/>
      <c r="G750"/>
      <c r="H750"/>
      <c r="I750"/>
      <c r="J750"/>
      <c r="K750"/>
      <c r="L750"/>
      <c r="M750"/>
      <c r="N750"/>
      <c r="O750"/>
      <c r="P750"/>
      <c r="R750"/>
      <c r="S750"/>
      <c r="T750"/>
      <c r="U750"/>
      <c r="V750"/>
      <c r="W750"/>
      <c r="X750"/>
      <c r="Y750"/>
      <c r="Z750"/>
    </row>
    <row r="751" spans="2:26">
      <c r="B751"/>
      <c r="D751"/>
      <c r="E751"/>
      <c r="F751"/>
      <c r="G751"/>
      <c r="H751"/>
      <c r="I751"/>
      <c r="J751"/>
      <c r="K751"/>
      <c r="L751"/>
      <c r="M751"/>
      <c r="N751"/>
      <c r="O751"/>
      <c r="P751"/>
      <c r="R751"/>
      <c r="S751"/>
      <c r="T751"/>
      <c r="U751"/>
      <c r="V751"/>
      <c r="W751"/>
      <c r="X751"/>
      <c r="Y751"/>
      <c r="Z751"/>
    </row>
    <row r="752" spans="2:26">
      <c r="B752"/>
      <c r="D752"/>
      <c r="E752"/>
      <c r="F752"/>
      <c r="G752"/>
      <c r="H752"/>
      <c r="I752"/>
      <c r="J752"/>
      <c r="K752"/>
      <c r="L752"/>
      <c r="M752"/>
      <c r="N752"/>
      <c r="O752"/>
      <c r="P752"/>
      <c r="R752"/>
      <c r="S752"/>
      <c r="T752"/>
      <c r="U752"/>
      <c r="V752"/>
      <c r="W752"/>
      <c r="X752"/>
      <c r="Y752"/>
      <c r="Z752"/>
    </row>
    <row r="753" spans="2:26">
      <c r="B753"/>
      <c r="D753"/>
      <c r="E753"/>
      <c r="F753"/>
      <c r="G753"/>
      <c r="H753"/>
      <c r="I753"/>
      <c r="J753"/>
      <c r="K753"/>
      <c r="L753"/>
      <c r="M753"/>
      <c r="N753"/>
      <c r="O753"/>
      <c r="P753"/>
      <c r="R753"/>
      <c r="S753"/>
      <c r="T753"/>
      <c r="U753"/>
      <c r="V753"/>
      <c r="W753"/>
      <c r="X753"/>
      <c r="Y753"/>
      <c r="Z753"/>
    </row>
    <row r="754" spans="2:26">
      <c r="B754"/>
      <c r="D754"/>
      <c r="E754"/>
      <c r="F754"/>
      <c r="G754"/>
      <c r="H754"/>
      <c r="I754"/>
      <c r="J754"/>
      <c r="K754"/>
      <c r="L754"/>
      <c r="M754"/>
      <c r="N754"/>
      <c r="O754"/>
      <c r="P754"/>
      <c r="R754"/>
      <c r="S754"/>
      <c r="T754"/>
      <c r="U754"/>
      <c r="V754"/>
      <c r="W754"/>
      <c r="X754"/>
      <c r="Y754"/>
      <c r="Z754"/>
    </row>
    <row r="755" spans="2:26">
      <c r="B755"/>
      <c r="D755"/>
      <c r="E755"/>
      <c r="F755"/>
      <c r="G755"/>
      <c r="H755"/>
      <c r="I755"/>
      <c r="J755"/>
      <c r="K755"/>
      <c r="L755"/>
      <c r="M755"/>
      <c r="N755"/>
      <c r="O755"/>
      <c r="P755"/>
      <c r="R755"/>
      <c r="S755"/>
      <c r="T755"/>
      <c r="U755"/>
      <c r="V755"/>
      <c r="W755"/>
      <c r="X755"/>
      <c r="Y755"/>
      <c r="Z755"/>
    </row>
    <row r="756" spans="2:26">
      <c r="B756"/>
      <c r="D756"/>
      <c r="E756"/>
      <c r="F756"/>
      <c r="G756"/>
      <c r="H756"/>
      <c r="I756"/>
      <c r="J756"/>
      <c r="K756"/>
      <c r="L756"/>
      <c r="M756"/>
      <c r="N756"/>
      <c r="O756"/>
      <c r="P756"/>
      <c r="R756"/>
      <c r="S756"/>
      <c r="T756"/>
      <c r="U756"/>
      <c r="V756"/>
      <c r="W756"/>
      <c r="X756"/>
      <c r="Y756"/>
      <c r="Z756"/>
    </row>
    <row r="757" spans="2:26">
      <c r="B757"/>
      <c r="D757"/>
      <c r="E757"/>
      <c r="F757"/>
      <c r="G757"/>
      <c r="H757"/>
      <c r="I757"/>
      <c r="J757"/>
      <c r="K757"/>
      <c r="L757"/>
      <c r="M757"/>
      <c r="N757"/>
      <c r="O757"/>
      <c r="P757"/>
      <c r="R757"/>
      <c r="S757"/>
      <c r="T757"/>
      <c r="U757"/>
      <c r="V757"/>
      <c r="W757"/>
      <c r="X757"/>
      <c r="Y757"/>
      <c r="Z757"/>
    </row>
    <row r="758" spans="2:26">
      <c r="B758"/>
      <c r="D758"/>
      <c r="E758"/>
      <c r="F758"/>
      <c r="G758"/>
      <c r="H758"/>
      <c r="I758"/>
      <c r="J758"/>
      <c r="K758"/>
      <c r="L758"/>
      <c r="M758"/>
      <c r="N758"/>
      <c r="O758"/>
      <c r="P758"/>
      <c r="R758"/>
      <c r="S758"/>
      <c r="T758"/>
      <c r="U758"/>
      <c r="V758"/>
      <c r="W758"/>
      <c r="X758"/>
      <c r="Y758"/>
      <c r="Z758"/>
    </row>
    <row r="759" spans="2:26">
      <c r="B759"/>
      <c r="D759"/>
      <c r="E759"/>
      <c r="F759"/>
      <c r="G759"/>
      <c r="H759"/>
      <c r="I759"/>
      <c r="J759"/>
      <c r="K759"/>
      <c r="L759"/>
      <c r="M759"/>
      <c r="N759"/>
      <c r="O759"/>
      <c r="P759"/>
      <c r="R759"/>
      <c r="S759"/>
      <c r="T759"/>
      <c r="U759"/>
      <c r="V759"/>
      <c r="W759"/>
      <c r="X759"/>
      <c r="Y759"/>
      <c r="Z759"/>
    </row>
    <row r="760" spans="2:26">
      <c r="B760"/>
      <c r="D760"/>
      <c r="E760"/>
      <c r="F760"/>
      <c r="G760"/>
      <c r="H760"/>
      <c r="I760"/>
      <c r="J760"/>
      <c r="K760"/>
      <c r="L760"/>
      <c r="M760"/>
      <c r="N760"/>
      <c r="O760"/>
      <c r="P760"/>
      <c r="R760"/>
      <c r="S760"/>
      <c r="T760"/>
      <c r="U760"/>
      <c r="V760"/>
      <c r="W760"/>
      <c r="X760"/>
      <c r="Y760"/>
      <c r="Z760"/>
    </row>
    <row r="761" spans="2:26">
      <c r="B761"/>
      <c r="D761"/>
      <c r="E761"/>
      <c r="F761"/>
      <c r="G761"/>
      <c r="H761"/>
      <c r="I761"/>
      <c r="J761"/>
      <c r="K761"/>
      <c r="L761"/>
      <c r="M761"/>
      <c r="N761"/>
      <c r="O761"/>
      <c r="P761"/>
      <c r="R761"/>
      <c r="S761"/>
      <c r="T761"/>
      <c r="U761"/>
      <c r="V761"/>
      <c r="W761"/>
      <c r="X761"/>
      <c r="Y761"/>
      <c r="Z761"/>
    </row>
    <row r="762" spans="2:26">
      <c r="B762"/>
      <c r="D762"/>
      <c r="E762"/>
      <c r="F762"/>
      <c r="G762"/>
      <c r="H762"/>
      <c r="I762"/>
      <c r="J762"/>
      <c r="K762"/>
      <c r="L762"/>
      <c r="M762"/>
      <c r="N762"/>
      <c r="O762"/>
      <c r="P762"/>
      <c r="R762"/>
      <c r="S762"/>
      <c r="T762"/>
      <c r="U762"/>
      <c r="V762"/>
      <c r="W762"/>
      <c r="X762"/>
      <c r="Y762"/>
      <c r="Z762"/>
    </row>
    <row r="763" spans="2:26">
      <c r="B763"/>
      <c r="D763"/>
      <c r="E763"/>
      <c r="F763"/>
      <c r="G763"/>
      <c r="H763"/>
      <c r="I763"/>
      <c r="J763"/>
      <c r="K763"/>
      <c r="L763"/>
      <c r="M763"/>
      <c r="N763"/>
      <c r="O763"/>
      <c r="P763"/>
      <c r="R763"/>
      <c r="S763"/>
      <c r="T763"/>
      <c r="U763"/>
      <c r="V763"/>
      <c r="W763"/>
      <c r="X763"/>
      <c r="Y763"/>
      <c r="Z763"/>
    </row>
    <row r="764" spans="2:26">
      <c r="B764"/>
      <c r="D764"/>
      <c r="E764"/>
      <c r="F764"/>
      <c r="G764"/>
      <c r="H764"/>
      <c r="I764"/>
      <c r="J764"/>
      <c r="K764"/>
      <c r="L764"/>
      <c r="M764"/>
      <c r="N764"/>
      <c r="O764"/>
      <c r="P764"/>
      <c r="R764"/>
      <c r="S764"/>
      <c r="T764"/>
      <c r="U764"/>
      <c r="V764"/>
      <c r="W764"/>
      <c r="X764"/>
      <c r="Y764"/>
      <c r="Z764"/>
    </row>
    <row r="765" spans="2:26">
      <c r="B765"/>
      <c r="D765"/>
      <c r="E765"/>
      <c r="F765"/>
      <c r="G765"/>
      <c r="H765"/>
      <c r="I765"/>
      <c r="J765"/>
      <c r="K765"/>
      <c r="L765"/>
      <c r="M765"/>
      <c r="N765"/>
      <c r="O765"/>
      <c r="P765"/>
      <c r="R765"/>
      <c r="S765"/>
      <c r="T765"/>
      <c r="U765"/>
      <c r="V765"/>
      <c r="W765"/>
      <c r="X765"/>
      <c r="Y765"/>
      <c r="Z765"/>
    </row>
    <row r="766" spans="2:26">
      <c r="B766"/>
      <c r="D766"/>
      <c r="E766"/>
      <c r="F766"/>
      <c r="G766"/>
      <c r="H766"/>
      <c r="I766"/>
      <c r="J766"/>
      <c r="K766"/>
      <c r="L766"/>
      <c r="M766"/>
      <c r="N766"/>
      <c r="O766"/>
      <c r="P766"/>
      <c r="R766"/>
      <c r="S766"/>
      <c r="T766"/>
      <c r="U766"/>
      <c r="V766"/>
      <c r="W766"/>
      <c r="X766"/>
      <c r="Y766"/>
      <c r="Z766"/>
    </row>
    <row r="767" spans="2:26">
      <c r="B767"/>
      <c r="D767"/>
      <c r="E767"/>
      <c r="F767"/>
      <c r="G767"/>
      <c r="H767"/>
      <c r="I767"/>
      <c r="J767"/>
      <c r="K767"/>
      <c r="L767"/>
      <c r="M767"/>
      <c r="N767"/>
      <c r="O767"/>
      <c r="P767"/>
      <c r="R767"/>
      <c r="S767"/>
      <c r="T767"/>
      <c r="U767"/>
      <c r="V767"/>
      <c r="W767"/>
      <c r="X767"/>
      <c r="Y767"/>
      <c r="Z767"/>
    </row>
    <row r="768" spans="2:26">
      <c r="B768"/>
      <c r="D768"/>
      <c r="E768"/>
      <c r="F768"/>
      <c r="G768"/>
      <c r="H768"/>
      <c r="I768"/>
      <c r="J768"/>
      <c r="K768"/>
      <c r="L768"/>
      <c r="M768"/>
      <c r="N768"/>
      <c r="O768"/>
      <c r="P768"/>
      <c r="R768"/>
      <c r="S768"/>
      <c r="T768"/>
      <c r="U768"/>
      <c r="V768"/>
      <c r="W768"/>
      <c r="X768"/>
      <c r="Y768"/>
      <c r="Z768"/>
    </row>
    <row r="769" spans="2:26">
      <c r="B769"/>
      <c r="D769"/>
      <c r="E769"/>
      <c r="F769"/>
      <c r="G769"/>
      <c r="H769"/>
      <c r="I769"/>
      <c r="J769"/>
      <c r="K769"/>
      <c r="L769"/>
      <c r="M769"/>
      <c r="N769"/>
      <c r="O769"/>
      <c r="P769"/>
      <c r="R769"/>
      <c r="S769"/>
      <c r="T769"/>
      <c r="U769"/>
      <c r="V769"/>
      <c r="W769"/>
      <c r="X769"/>
      <c r="Y769"/>
      <c r="Z769"/>
    </row>
    <row r="770" spans="2:26">
      <c r="B770"/>
      <c r="D770"/>
      <c r="E770"/>
      <c r="F770"/>
      <c r="G770"/>
      <c r="H770"/>
      <c r="I770"/>
      <c r="J770"/>
      <c r="K770"/>
      <c r="L770"/>
      <c r="M770"/>
      <c r="N770"/>
      <c r="O770"/>
      <c r="P770"/>
      <c r="R770"/>
      <c r="S770"/>
      <c r="T770"/>
      <c r="U770"/>
      <c r="V770"/>
      <c r="W770"/>
      <c r="X770"/>
      <c r="Y770"/>
      <c r="Z770"/>
    </row>
    <row r="771" spans="2:26">
      <c r="B771"/>
      <c r="D771"/>
      <c r="E771"/>
      <c r="F771"/>
      <c r="G771"/>
      <c r="H771"/>
      <c r="I771"/>
      <c r="J771"/>
      <c r="K771"/>
      <c r="L771"/>
      <c r="M771"/>
      <c r="N771"/>
      <c r="O771"/>
      <c r="P771"/>
      <c r="R771"/>
      <c r="S771"/>
      <c r="T771"/>
      <c r="U771"/>
      <c r="V771"/>
      <c r="W771"/>
      <c r="X771"/>
      <c r="Y771"/>
      <c r="Z771"/>
    </row>
    <row r="772" spans="2:26">
      <c r="B772"/>
      <c r="D772"/>
      <c r="E772"/>
      <c r="F772"/>
      <c r="G772"/>
      <c r="H772"/>
      <c r="I772"/>
      <c r="J772"/>
      <c r="K772"/>
      <c r="L772"/>
      <c r="M772"/>
      <c r="N772"/>
      <c r="O772"/>
      <c r="P772"/>
      <c r="R772"/>
      <c r="S772"/>
      <c r="T772"/>
      <c r="U772"/>
      <c r="V772"/>
      <c r="W772"/>
      <c r="X772"/>
      <c r="Y772"/>
      <c r="Z772"/>
    </row>
    <row r="773" spans="2:26">
      <c r="B773"/>
      <c r="D773"/>
      <c r="E773"/>
      <c r="F773"/>
      <c r="G773"/>
      <c r="H773"/>
      <c r="I773"/>
      <c r="J773"/>
      <c r="K773"/>
      <c r="L773"/>
      <c r="M773"/>
      <c r="N773"/>
      <c r="O773"/>
      <c r="P773"/>
      <c r="R773"/>
      <c r="S773"/>
      <c r="T773"/>
      <c r="U773"/>
      <c r="V773"/>
      <c r="W773"/>
      <c r="X773"/>
      <c r="Y773"/>
      <c r="Z773"/>
    </row>
    <row r="774" spans="2:26">
      <c r="B774"/>
      <c r="D774"/>
      <c r="E774"/>
      <c r="F774"/>
      <c r="G774"/>
      <c r="H774"/>
      <c r="I774"/>
      <c r="J774"/>
      <c r="K774"/>
      <c r="L774"/>
      <c r="M774"/>
      <c r="N774"/>
      <c r="O774"/>
      <c r="P774"/>
      <c r="R774"/>
      <c r="S774"/>
      <c r="T774"/>
      <c r="U774"/>
      <c r="V774"/>
      <c r="W774"/>
      <c r="X774"/>
      <c r="Y774"/>
      <c r="Z774"/>
    </row>
    <row r="775" spans="2:26">
      <c r="B775"/>
      <c r="D775"/>
      <c r="E775"/>
      <c r="F775"/>
      <c r="G775"/>
      <c r="H775"/>
      <c r="I775"/>
      <c r="J775"/>
      <c r="K775"/>
      <c r="L775"/>
      <c r="M775"/>
      <c r="N775"/>
      <c r="O775"/>
      <c r="P775"/>
      <c r="R775"/>
      <c r="S775"/>
      <c r="T775"/>
      <c r="U775"/>
      <c r="V775"/>
      <c r="W775"/>
      <c r="X775"/>
      <c r="Y775"/>
      <c r="Z775"/>
    </row>
    <row r="776" spans="2:26">
      <c r="B776"/>
      <c r="D776"/>
      <c r="E776"/>
      <c r="F776"/>
      <c r="G776"/>
      <c r="H776"/>
      <c r="I776"/>
      <c r="J776"/>
      <c r="K776"/>
      <c r="L776"/>
      <c r="M776"/>
      <c r="N776"/>
      <c r="O776"/>
      <c r="P776"/>
      <c r="R776"/>
      <c r="S776"/>
      <c r="T776"/>
      <c r="U776"/>
      <c r="V776"/>
      <c r="W776"/>
      <c r="X776"/>
      <c r="Y776"/>
      <c r="Z776"/>
    </row>
    <row r="777" spans="2:26">
      <c r="B777"/>
      <c r="D777"/>
      <c r="E777"/>
      <c r="F777"/>
      <c r="G777"/>
      <c r="H777"/>
      <c r="I777"/>
      <c r="J777"/>
      <c r="K777"/>
      <c r="L777"/>
      <c r="M777"/>
      <c r="N777"/>
      <c r="O777"/>
      <c r="P777"/>
      <c r="R777"/>
      <c r="S777"/>
      <c r="T777"/>
      <c r="U777"/>
      <c r="V777"/>
      <c r="W777"/>
      <c r="X777"/>
      <c r="Y777"/>
      <c r="Z777"/>
    </row>
    <row r="778" spans="2:26">
      <c r="B778"/>
      <c r="D778"/>
      <c r="E778"/>
      <c r="F778"/>
      <c r="G778"/>
      <c r="H778"/>
      <c r="I778"/>
      <c r="J778"/>
      <c r="K778"/>
      <c r="L778"/>
      <c r="M778"/>
      <c r="N778"/>
      <c r="O778"/>
      <c r="P778"/>
      <c r="R778"/>
      <c r="S778"/>
      <c r="T778"/>
      <c r="U778"/>
      <c r="V778"/>
      <c r="W778"/>
      <c r="X778"/>
      <c r="Y778"/>
      <c r="Z778"/>
    </row>
    <row r="779" spans="2:26">
      <c r="B779"/>
      <c r="D779"/>
      <c r="E779"/>
      <c r="F779"/>
      <c r="G779"/>
      <c r="H779"/>
      <c r="I779"/>
      <c r="J779"/>
      <c r="K779"/>
      <c r="L779"/>
      <c r="M779"/>
      <c r="N779"/>
      <c r="O779"/>
      <c r="P779"/>
      <c r="R779"/>
      <c r="S779"/>
      <c r="T779"/>
      <c r="U779"/>
      <c r="V779"/>
      <c r="W779"/>
      <c r="X779"/>
      <c r="Y779"/>
      <c r="Z779"/>
    </row>
    <row r="780" spans="2:26">
      <c r="B780"/>
      <c r="D780"/>
      <c r="E780"/>
      <c r="F780"/>
      <c r="G780"/>
      <c r="H780"/>
      <c r="I780"/>
      <c r="J780"/>
      <c r="K780"/>
      <c r="L780"/>
      <c r="M780"/>
      <c r="N780"/>
      <c r="O780"/>
      <c r="P780"/>
      <c r="R780"/>
      <c r="S780"/>
      <c r="T780"/>
      <c r="U780"/>
      <c r="V780"/>
      <c r="W780"/>
      <c r="X780"/>
      <c r="Y780"/>
      <c r="Z780"/>
    </row>
    <row r="781" spans="2:26">
      <c r="B781"/>
      <c r="D781"/>
      <c r="E781"/>
      <c r="F781"/>
      <c r="G781"/>
      <c r="H781"/>
      <c r="I781"/>
      <c r="J781"/>
      <c r="K781"/>
      <c r="L781"/>
      <c r="M781"/>
      <c r="N781"/>
      <c r="O781"/>
      <c r="P781"/>
      <c r="R781"/>
      <c r="S781"/>
      <c r="T781"/>
      <c r="U781"/>
      <c r="V781"/>
      <c r="W781"/>
      <c r="X781"/>
      <c r="Y781"/>
      <c r="Z781"/>
    </row>
    <row r="782" spans="2:26">
      <c r="B782"/>
      <c r="D782"/>
      <c r="E782"/>
      <c r="F782"/>
      <c r="G782"/>
      <c r="H782"/>
      <c r="I782"/>
      <c r="J782"/>
      <c r="K782"/>
      <c r="L782"/>
      <c r="M782"/>
      <c r="N782"/>
      <c r="O782"/>
      <c r="P782"/>
      <c r="R782"/>
      <c r="S782"/>
      <c r="T782"/>
      <c r="U782"/>
      <c r="V782"/>
      <c r="W782"/>
      <c r="X782"/>
      <c r="Y782"/>
      <c r="Z782"/>
    </row>
    <row r="783" spans="2:26">
      <c r="B783"/>
      <c r="D783"/>
      <c r="E783"/>
      <c r="F783"/>
      <c r="G783"/>
      <c r="H783"/>
      <c r="I783"/>
      <c r="J783"/>
      <c r="K783"/>
      <c r="L783"/>
      <c r="M783"/>
      <c r="N783"/>
      <c r="O783"/>
      <c r="P783"/>
      <c r="R783"/>
      <c r="S783"/>
      <c r="T783"/>
      <c r="U783"/>
      <c r="V783"/>
      <c r="W783"/>
      <c r="X783"/>
      <c r="Y783"/>
      <c r="Z783"/>
    </row>
    <row r="784" spans="2:26">
      <c r="B784"/>
      <c r="D784"/>
      <c r="E784"/>
      <c r="F784"/>
      <c r="G784"/>
      <c r="H784"/>
      <c r="I784"/>
      <c r="J784"/>
      <c r="K784"/>
      <c r="L784"/>
      <c r="M784"/>
      <c r="N784"/>
      <c r="O784"/>
      <c r="P784"/>
      <c r="R784"/>
      <c r="S784"/>
      <c r="T784"/>
      <c r="U784"/>
      <c r="V784"/>
      <c r="W784"/>
      <c r="X784"/>
      <c r="Y784"/>
      <c r="Z784"/>
    </row>
    <row r="785" spans="2:26">
      <c r="B785"/>
      <c r="D785"/>
      <c r="E785"/>
      <c r="F785"/>
      <c r="G785"/>
      <c r="H785"/>
      <c r="I785"/>
      <c r="J785"/>
      <c r="K785"/>
      <c r="L785"/>
      <c r="M785"/>
      <c r="N785"/>
      <c r="O785"/>
      <c r="P785"/>
      <c r="R785"/>
      <c r="S785"/>
      <c r="T785"/>
      <c r="U785"/>
      <c r="V785"/>
      <c r="W785"/>
      <c r="X785"/>
      <c r="Y785"/>
      <c r="Z785"/>
    </row>
    <row r="786" spans="2:26">
      <c r="B786"/>
      <c r="D786"/>
      <c r="E786"/>
      <c r="F786"/>
      <c r="G786"/>
      <c r="H786"/>
      <c r="I786"/>
      <c r="J786"/>
      <c r="K786"/>
      <c r="L786"/>
      <c r="M786"/>
      <c r="N786"/>
      <c r="O786"/>
      <c r="P786"/>
      <c r="R786"/>
      <c r="S786"/>
      <c r="T786"/>
      <c r="U786"/>
      <c r="V786"/>
      <c r="W786"/>
      <c r="X786"/>
      <c r="Y786"/>
      <c r="Z786"/>
    </row>
    <row r="787" spans="2:26">
      <c r="B787"/>
      <c r="D787"/>
      <c r="E787"/>
      <c r="F787"/>
      <c r="G787"/>
      <c r="H787"/>
      <c r="I787"/>
      <c r="J787"/>
      <c r="K787"/>
      <c r="L787"/>
      <c r="M787"/>
      <c r="N787"/>
      <c r="O787"/>
      <c r="P787"/>
      <c r="R787"/>
      <c r="S787"/>
      <c r="T787"/>
      <c r="U787"/>
      <c r="V787"/>
      <c r="W787"/>
      <c r="X787"/>
      <c r="Y787"/>
      <c r="Z787"/>
    </row>
    <row r="788" spans="2:26">
      <c r="B788"/>
      <c r="D788"/>
      <c r="E788"/>
      <c r="F788"/>
      <c r="G788"/>
      <c r="H788"/>
      <c r="I788"/>
      <c r="J788"/>
      <c r="K788"/>
      <c r="L788"/>
      <c r="M788"/>
      <c r="N788"/>
      <c r="O788"/>
      <c r="P788"/>
      <c r="R788"/>
      <c r="S788"/>
      <c r="T788"/>
      <c r="U788"/>
      <c r="V788"/>
      <c r="W788"/>
      <c r="X788"/>
      <c r="Y788"/>
      <c r="Z788"/>
    </row>
    <row r="789" spans="2:26">
      <c r="B789"/>
      <c r="D789"/>
      <c r="E789"/>
      <c r="F789"/>
      <c r="G789"/>
      <c r="H789"/>
      <c r="I789"/>
      <c r="J789"/>
      <c r="K789"/>
      <c r="L789"/>
      <c r="M789"/>
      <c r="N789"/>
      <c r="O789"/>
      <c r="P789"/>
      <c r="R789"/>
      <c r="S789"/>
      <c r="T789"/>
      <c r="U789"/>
      <c r="V789"/>
      <c r="W789"/>
      <c r="X789"/>
      <c r="Y789"/>
      <c r="Z789"/>
    </row>
    <row r="790" spans="2:26">
      <c r="B790"/>
      <c r="D790"/>
      <c r="E790"/>
      <c r="F790"/>
      <c r="G790"/>
      <c r="H790"/>
      <c r="I790"/>
      <c r="J790"/>
      <c r="K790"/>
      <c r="L790"/>
      <c r="M790"/>
      <c r="N790"/>
      <c r="O790"/>
      <c r="P790"/>
      <c r="R790"/>
      <c r="S790"/>
      <c r="T790"/>
      <c r="U790"/>
      <c r="V790"/>
      <c r="W790"/>
      <c r="X790"/>
      <c r="Y790"/>
      <c r="Z790"/>
    </row>
    <row r="791" spans="2:26">
      <c r="B791"/>
      <c r="D791"/>
      <c r="E791"/>
      <c r="F791"/>
      <c r="G791"/>
      <c r="H791"/>
      <c r="I791"/>
      <c r="J791"/>
      <c r="K791"/>
      <c r="L791"/>
      <c r="M791"/>
      <c r="N791"/>
      <c r="O791"/>
      <c r="P791"/>
      <c r="R791"/>
      <c r="S791"/>
      <c r="T791"/>
      <c r="U791"/>
      <c r="V791"/>
      <c r="W791"/>
      <c r="X791"/>
      <c r="Y791"/>
      <c r="Z791"/>
    </row>
    <row r="792" spans="2:26">
      <c r="B792"/>
      <c r="D792"/>
      <c r="E792"/>
      <c r="F792"/>
      <c r="G792"/>
      <c r="H792"/>
      <c r="I792"/>
      <c r="J792"/>
      <c r="K792"/>
      <c r="L792"/>
      <c r="M792"/>
      <c r="N792"/>
      <c r="O792"/>
      <c r="P792"/>
      <c r="R792"/>
      <c r="S792"/>
      <c r="T792"/>
      <c r="U792"/>
      <c r="V792"/>
      <c r="W792"/>
      <c r="X792"/>
      <c r="Y792"/>
      <c r="Z792"/>
    </row>
    <row r="793" spans="2:26">
      <c r="B793"/>
      <c r="D793"/>
      <c r="E793"/>
      <c r="F793"/>
      <c r="G793"/>
      <c r="H793"/>
      <c r="I793"/>
      <c r="J793"/>
      <c r="K793"/>
      <c r="L793"/>
      <c r="M793"/>
      <c r="N793"/>
      <c r="O793"/>
      <c r="P793"/>
      <c r="R793"/>
      <c r="S793"/>
      <c r="T793"/>
      <c r="U793"/>
      <c r="V793"/>
      <c r="W793"/>
      <c r="X793"/>
      <c r="Y793"/>
      <c r="Z793"/>
    </row>
    <row r="794" spans="2:26">
      <c r="B794"/>
      <c r="D794"/>
      <c r="E794"/>
      <c r="F794"/>
      <c r="G794"/>
      <c r="H794"/>
      <c r="I794"/>
      <c r="J794"/>
      <c r="K794"/>
      <c r="L794"/>
      <c r="M794"/>
      <c r="N794"/>
      <c r="O794"/>
      <c r="P794"/>
      <c r="R794"/>
      <c r="S794"/>
      <c r="T794"/>
      <c r="U794"/>
      <c r="V794"/>
      <c r="W794"/>
      <c r="X794"/>
      <c r="Y794"/>
      <c r="Z794"/>
    </row>
    <row r="795" spans="2:26">
      <c r="B795"/>
      <c r="D795"/>
      <c r="E795"/>
      <c r="F795"/>
      <c r="G795"/>
      <c r="H795"/>
      <c r="I795"/>
      <c r="J795"/>
      <c r="K795"/>
      <c r="L795"/>
      <c r="M795"/>
      <c r="N795"/>
      <c r="O795"/>
      <c r="P795"/>
      <c r="R795"/>
      <c r="S795"/>
      <c r="T795"/>
      <c r="U795"/>
      <c r="V795"/>
      <c r="W795"/>
      <c r="X795"/>
      <c r="Y795"/>
      <c r="Z795"/>
    </row>
    <row r="796" spans="2:26">
      <c r="B796"/>
      <c r="D796"/>
      <c r="E796"/>
      <c r="F796"/>
      <c r="G796"/>
      <c r="H796"/>
      <c r="I796"/>
      <c r="J796"/>
      <c r="K796"/>
      <c r="L796"/>
      <c r="M796"/>
      <c r="N796"/>
      <c r="O796"/>
      <c r="P796"/>
      <c r="R796"/>
      <c r="S796"/>
      <c r="T796"/>
      <c r="U796"/>
      <c r="V796"/>
      <c r="W796"/>
      <c r="X796"/>
      <c r="Y796"/>
      <c r="Z796"/>
    </row>
    <row r="797" spans="2:26">
      <c r="B797"/>
      <c r="D797"/>
      <c r="E797"/>
      <c r="F797"/>
      <c r="G797"/>
      <c r="H797"/>
      <c r="I797"/>
      <c r="J797"/>
      <c r="K797"/>
      <c r="L797"/>
      <c r="M797"/>
      <c r="N797"/>
      <c r="O797"/>
      <c r="P797"/>
      <c r="R797"/>
      <c r="S797"/>
      <c r="T797"/>
      <c r="U797"/>
      <c r="V797"/>
      <c r="W797"/>
      <c r="X797"/>
      <c r="Y797"/>
      <c r="Z797"/>
    </row>
    <row r="798" spans="2:26">
      <c r="B798"/>
      <c r="D798"/>
      <c r="E798"/>
      <c r="F798"/>
      <c r="G798"/>
      <c r="H798"/>
      <c r="I798"/>
      <c r="J798"/>
      <c r="K798"/>
      <c r="L798"/>
      <c r="M798"/>
      <c r="N798"/>
      <c r="O798"/>
      <c r="P798"/>
      <c r="R798"/>
      <c r="S798"/>
      <c r="T798"/>
      <c r="U798"/>
      <c r="V798"/>
      <c r="W798"/>
      <c r="X798"/>
      <c r="Y798"/>
      <c r="Z798"/>
    </row>
    <row r="799" spans="2:26">
      <c r="B799"/>
      <c r="D799"/>
      <c r="E799"/>
      <c r="F799"/>
      <c r="G799"/>
      <c r="H799"/>
      <c r="I799"/>
      <c r="J799"/>
      <c r="K799"/>
      <c r="L799"/>
      <c r="M799"/>
      <c r="N799"/>
      <c r="O799"/>
      <c r="P799"/>
      <c r="R799"/>
      <c r="S799"/>
      <c r="T799"/>
      <c r="U799"/>
      <c r="V799"/>
      <c r="W799"/>
      <c r="X799"/>
      <c r="Y799"/>
      <c r="Z799"/>
    </row>
    <row r="800" spans="2:26">
      <c r="B800"/>
      <c r="D800"/>
      <c r="E800"/>
      <c r="F800"/>
      <c r="G800"/>
      <c r="H800"/>
      <c r="I800"/>
      <c r="J800"/>
      <c r="K800"/>
      <c r="L800"/>
      <c r="M800"/>
      <c r="N800"/>
      <c r="O800"/>
      <c r="P800"/>
      <c r="R800"/>
      <c r="S800"/>
      <c r="T800"/>
      <c r="U800"/>
      <c r="V800"/>
      <c r="W800"/>
      <c r="X800"/>
      <c r="Y800"/>
      <c r="Z800"/>
    </row>
    <row r="801" spans="2:26">
      <c r="B801"/>
      <c r="D801"/>
      <c r="E801"/>
      <c r="F801"/>
      <c r="G801"/>
      <c r="H801"/>
      <c r="I801"/>
      <c r="J801"/>
      <c r="K801"/>
      <c r="L801"/>
      <c r="M801"/>
      <c r="N801"/>
      <c r="O801"/>
      <c r="P801"/>
      <c r="R801"/>
      <c r="S801"/>
      <c r="T801"/>
      <c r="U801"/>
      <c r="V801"/>
      <c r="W801"/>
      <c r="X801"/>
      <c r="Y801"/>
      <c r="Z801"/>
    </row>
    <row r="802" spans="2:26">
      <c r="B802"/>
      <c r="D802"/>
      <c r="E802"/>
      <c r="F802"/>
      <c r="G802"/>
      <c r="H802"/>
      <c r="I802"/>
      <c r="J802"/>
      <c r="K802"/>
      <c r="L802"/>
      <c r="M802"/>
      <c r="N802"/>
      <c r="O802"/>
      <c r="P802"/>
      <c r="R802"/>
      <c r="S802"/>
      <c r="T802"/>
      <c r="U802"/>
      <c r="V802"/>
      <c r="W802"/>
      <c r="X802"/>
      <c r="Y802"/>
      <c r="Z802"/>
    </row>
    <row r="803" spans="2:26">
      <c r="B803"/>
      <c r="D803"/>
      <c r="E803"/>
      <c r="F803"/>
      <c r="G803"/>
      <c r="H803"/>
      <c r="I803"/>
      <c r="J803"/>
      <c r="K803"/>
      <c r="L803"/>
      <c r="M803"/>
      <c r="N803"/>
      <c r="O803"/>
      <c r="P803"/>
      <c r="R803"/>
      <c r="S803"/>
      <c r="T803"/>
      <c r="U803"/>
      <c r="V803"/>
      <c r="W803"/>
      <c r="X803"/>
      <c r="Y803"/>
      <c r="Z803"/>
    </row>
    <row r="804" spans="2:26">
      <c r="B804"/>
      <c r="D804"/>
      <c r="E804"/>
      <c r="F804"/>
      <c r="G804"/>
      <c r="H804"/>
      <c r="I804"/>
      <c r="J804"/>
      <c r="K804"/>
      <c r="L804"/>
      <c r="M804"/>
      <c r="N804"/>
      <c r="O804"/>
      <c r="P804"/>
      <c r="R804"/>
      <c r="S804"/>
      <c r="T804"/>
      <c r="U804"/>
      <c r="V804"/>
      <c r="W804"/>
      <c r="X804"/>
      <c r="Y804"/>
      <c r="Z804"/>
    </row>
    <row r="805" spans="2:26">
      <c r="B805"/>
      <c r="D805"/>
      <c r="E805"/>
      <c r="F805"/>
      <c r="G805"/>
      <c r="H805"/>
      <c r="I805"/>
      <c r="J805"/>
      <c r="K805"/>
      <c r="L805"/>
      <c r="M805"/>
      <c r="N805"/>
      <c r="O805"/>
      <c r="P805"/>
      <c r="R805"/>
      <c r="S805"/>
      <c r="T805"/>
      <c r="U805"/>
      <c r="V805"/>
      <c r="W805"/>
      <c r="X805"/>
      <c r="Y805"/>
      <c r="Z805"/>
    </row>
    <row r="806" spans="2:26">
      <c r="B806"/>
      <c r="D806"/>
      <c r="E806"/>
      <c r="F806"/>
      <c r="G806"/>
      <c r="H806"/>
      <c r="I806"/>
      <c r="J806"/>
      <c r="K806"/>
      <c r="L806"/>
      <c r="M806"/>
      <c r="N806"/>
      <c r="O806"/>
      <c r="P806"/>
      <c r="R806"/>
      <c r="S806"/>
      <c r="T806"/>
      <c r="U806"/>
      <c r="V806"/>
      <c r="W806"/>
      <c r="X806"/>
      <c r="Y806"/>
      <c r="Z806"/>
    </row>
    <row r="807" spans="2:26">
      <c r="B807"/>
      <c r="D807"/>
      <c r="E807"/>
      <c r="F807"/>
      <c r="G807"/>
      <c r="H807"/>
      <c r="I807"/>
      <c r="J807"/>
      <c r="K807"/>
      <c r="L807"/>
      <c r="M807"/>
      <c r="N807"/>
      <c r="O807"/>
      <c r="P807"/>
      <c r="R807"/>
      <c r="S807"/>
      <c r="T807"/>
      <c r="U807"/>
      <c r="V807"/>
      <c r="W807"/>
      <c r="X807"/>
      <c r="Y807"/>
      <c r="Z807"/>
    </row>
    <row r="808" spans="2:26">
      <c r="B808"/>
      <c r="D808"/>
      <c r="E808"/>
      <c r="F808"/>
      <c r="G808"/>
      <c r="H808"/>
      <c r="I808"/>
      <c r="J808"/>
      <c r="K808"/>
      <c r="L808"/>
      <c r="M808"/>
      <c r="N808"/>
      <c r="O808"/>
      <c r="P808"/>
      <c r="R808"/>
      <c r="S808"/>
      <c r="T808"/>
      <c r="U808"/>
      <c r="V808"/>
      <c r="W808"/>
      <c r="X808"/>
      <c r="Y808"/>
      <c r="Z808"/>
    </row>
    <row r="809" spans="2:26">
      <c r="B809"/>
      <c r="D809"/>
      <c r="E809"/>
      <c r="F809"/>
      <c r="G809"/>
      <c r="H809"/>
      <c r="I809"/>
      <c r="J809"/>
      <c r="K809"/>
      <c r="L809"/>
      <c r="M809"/>
      <c r="N809"/>
      <c r="O809"/>
      <c r="P809"/>
      <c r="R809"/>
      <c r="S809"/>
      <c r="T809"/>
      <c r="U809"/>
      <c r="V809"/>
      <c r="W809"/>
      <c r="X809"/>
      <c r="Y809"/>
      <c r="Z809"/>
    </row>
    <row r="810" spans="2:26">
      <c r="B810"/>
      <c r="D810"/>
      <c r="E810"/>
      <c r="F810"/>
      <c r="G810"/>
      <c r="H810"/>
      <c r="I810"/>
      <c r="J810"/>
      <c r="K810"/>
      <c r="L810"/>
      <c r="M810"/>
      <c r="N810"/>
      <c r="O810"/>
      <c r="P810"/>
      <c r="R810"/>
      <c r="S810"/>
      <c r="T810"/>
      <c r="U810"/>
      <c r="V810"/>
      <c r="W810"/>
      <c r="X810"/>
      <c r="Y810"/>
      <c r="Z810"/>
    </row>
    <row r="811" spans="2:26">
      <c r="B811"/>
      <c r="D811"/>
      <c r="E811"/>
      <c r="F811"/>
      <c r="G811"/>
      <c r="H811"/>
      <c r="I811"/>
      <c r="J811"/>
      <c r="K811"/>
      <c r="L811"/>
      <c r="M811"/>
      <c r="N811"/>
      <c r="O811"/>
      <c r="P811"/>
      <c r="R811"/>
      <c r="S811"/>
      <c r="T811"/>
      <c r="U811"/>
      <c r="V811"/>
      <c r="W811"/>
      <c r="X811"/>
      <c r="Y811"/>
      <c r="Z811"/>
    </row>
    <row r="812" spans="2:26">
      <c r="B812"/>
      <c r="D812"/>
      <c r="E812"/>
      <c r="F812"/>
      <c r="G812"/>
      <c r="H812"/>
      <c r="I812"/>
      <c r="J812"/>
      <c r="K812"/>
      <c r="L812"/>
      <c r="M812"/>
      <c r="N812"/>
      <c r="O812"/>
      <c r="P812"/>
      <c r="R812"/>
      <c r="S812"/>
      <c r="T812"/>
      <c r="U812"/>
      <c r="V812"/>
      <c r="W812"/>
      <c r="X812"/>
      <c r="Y812"/>
      <c r="Z812"/>
    </row>
    <row r="813" spans="2:26">
      <c r="B813"/>
      <c r="D813"/>
      <c r="E813"/>
      <c r="F813"/>
      <c r="G813"/>
      <c r="H813"/>
      <c r="I813"/>
      <c r="J813"/>
      <c r="K813"/>
      <c r="L813"/>
      <c r="M813"/>
      <c r="N813"/>
      <c r="O813"/>
      <c r="P813"/>
      <c r="R813"/>
      <c r="S813"/>
      <c r="T813"/>
      <c r="U813"/>
      <c r="V813"/>
      <c r="W813"/>
      <c r="X813"/>
      <c r="Y813"/>
      <c r="Z813"/>
    </row>
    <row r="814" spans="2:26">
      <c r="B814"/>
      <c r="D814"/>
      <c r="E814"/>
      <c r="F814"/>
      <c r="G814"/>
      <c r="H814"/>
      <c r="I814"/>
      <c r="J814"/>
      <c r="K814"/>
      <c r="L814"/>
      <c r="M814"/>
      <c r="N814"/>
      <c r="O814"/>
      <c r="P814"/>
      <c r="R814"/>
      <c r="S814"/>
      <c r="T814"/>
      <c r="U814"/>
      <c r="V814"/>
      <c r="W814"/>
      <c r="X814"/>
      <c r="Y814"/>
      <c r="Z814"/>
    </row>
    <row r="815" spans="2:26">
      <c r="B815"/>
      <c r="D815"/>
      <c r="E815"/>
      <c r="F815"/>
      <c r="G815"/>
      <c r="H815"/>
      <c r="I815"/>
      <c r="J815"/>
      <c r="K815"/>
      <c r="L815"/>
      <c r="M815"/>
      <c r="N815"/>
      <c r="O815"/>
      <c r="P815"/>
      <c r="R815"/>
      <c r="S815"/>
      <c r="T815"/>
      <c r="U815"/>
      <c r="V815"/>
      <c r="W815"/>
      <c r="X815"/>
      <c r="Y815"/>
      <c r="Z815"/>
    </row>
    <row r="816" spans="2:26">
      <c r="B816"/>
      <c r="D816"/>
      <c r="E816"/>
      <c r="F816"/>
      <c r="G816"/>
      <c r="H816"/>
      <c r="I816"/>
      <c r="J816"/>
      <c r="K816"/>
      <c r="L816"/>
      <c r="M816"/>
      <c r="N816"/>
      <c r="O816"/>
      <c r="P816"/>
      <c r="R816"/>
      <c r="S816"/>
      <c r="T816"/>
      <c r="U816"/>
      <c r="V816"/>
      <c r="W816"/>
      <c r="X816"/>
      <c r="Y816"/>
      <c r="Z816"/>
    </row>
    <row r="817" spans="2:26">
      <c r="B817"/>
      <c r="D817"/>
      <c r="E817"/>
      <c r="F817"/>
      <c r="G817"/>
      <c r="H817"/>
      <c r="I817"/>
      <c r="J817"/>
      <c r="K817"/>
      <c r="L817"/>
      <c r="M817"/>
      <c r="N817"/>
      <c r="O817"/>
      <c r="P817"/>
      <c r="R817"/>
      <c r="S817"/>
      <c r="T817"/>
      <c r="U817"/>
      <c r="V817"/>
      <c r="W817"/>
      <c r="X817"/>
      <c r="Y817"/>
      <c r="Z817"/>
    </row>
    <row r="818" spans="2:26">
      <c r="B818"/>
      <c r="D818"/>
      <c r="E818"/>
      <c r="F818"/>
      <c r="G818"/>
      <c r="H818"/>
      <c r="I818"/>
      <c r="J818"/>
      <c r="K818"/>
      <c r="L818"/>
      <c r="M818"/>
      <c r="N818"/>
      <c r="O818"/>
      <c r="P818"/>
      <c r="R818"/>
      <c r="S818"/>
      <c r="T818"/>
      <c r="U818"/>
      <c r="V818"/>
      <c r="W818"/>
      <c r="X818"/>
      <c r="Y818"/>
      <c r="Z818"/>
    </row>
    <row r="819" spans="2:26">
      <c r="B819"/>
      <c r="D819"/>
      <c r="E819"/>
      <c r="F819"/>
      <c r="G819"/>
      <c r="H819"/>
      <c r="I819"/>
      <c r="J819"/>
      <c r="K819"/>
      <c r="L819"/>
      <c r="M819"/>
      <c r="N819"/>
      <c r="O819"/>
      <c r="P819"/>
      <c r="R819"/>
      <c r="S819"/>
      <c r="T819"/>
      <c r="U819"/>
      <c r="V819"/>
      <c r="W819"/>
      <c r="X819"/>
      <c r="Y819"/>
      <c r="Z819"/>
    </row>
    <row r="820" spans="2:26">
      <c r="B820"/>
      <c r="D820"/>
      <c r="E820"/>
      <c r="F820"/>
      <c r="G820"/>
      <c r="H820"/>
      <c r="I820"/>
      <c r="J820"/>
      <c r="K820"/>
      <c r="L820"/>
      <c r="M820"/>
      <c r="N820"/>
      <c r="O820"/>
      <c r="P820"/>
      <c r="R820"/>
      <c r="S820"/>
      <c r="T820"/>
      <c r="U820"/>
      <c r="V820"/>
      <c r="W820"/>
      <c r="X820"/>
      <c r="Y820"/>
      <c r="Z820"/>
    </row>
    <row r="821" spans="2:26">
      <c r="B821"/>
      <c r="D821"/>
      <c r="E821"/>
      <c r="F821"/>
      <c r="G821"/>
      <c r="H821"/>
      <c r="I821"/>
      <c r="J821"/>
      <c r="K821"/>
      <c r="L821"/>
      <c r="M821"/>
      <c r="N821"/>
      <c r="O821"/>
      <c r="P821"/>
      <c r="R821"/>
      <c r="S821"/>
      <c r="T821"/>
      <c r="U821"/>
      <c r="V821"/>
      <c r="W821"/>
      <c r="X821"/>
      <c r="Y821"/>
      <c r="Z821"/>
    </row>
    <row r="822" spans="2:26">
      <c r="B822"/>
      <c r="D822"/>
      <c r="E822"/>
      <c r="F822"/>
      <c r="G822"/>
      <c r="H822"/>
      <c r="I822"/>
      <c r="J822"/>
      <c r="K822"/>
      <c r="L822"/>
      <c r="M822"/>
      <c r="N822"/>
      <c r="O822"/>
      <c r="P822"/>
      <c r="R822"/>
      <c r="S822"/>
      <c r="T822"/>
      <c r="U822"/>
      <c r="V822"/>
      <c r="W822"/>
      <c r="X822"/>
      <c r="Y822"/>
      <c r="Z822"/>
    </row>
    <row r="823" spans="2:26">
      <c r="B823"/>
      <c r="D823"/>
      <c r="E823"/>
      <c r="F823"/>
      <c r="G823"/>
      <c r="H823"/>
      <c r="I823"/>
      <c r="J823"/>
      <c r="K823"/>
      <c r="L823"/>
      <c r="M823"/>
      <c r="N823"/>
      <c r="O823"/>
      <c r="P823"/>
      <c r="R823"/>
      <c r="S823"/>
      <c r="T823"/>
      <c r="U823"/>
      <c r="V823"/>
      <c r="W823"/>
      <c r="X823"/>
      <c r="Y823"/>
      <c r="Z823"/>
    </row>
    <row r="824" spans="2:26">
      <c r="B824"/>
      <c r="D824"/>
      <c r="E824"/>
      <c r="F824"/>
      <c r="G824"/>
      <c r="H824"/>
      <c r="I824"/>
      <c r="J824"/>
      <c r="K824"/>
      <c r="L824"/>
      <c r="M824"/>
      <c r="N824"/>
      <c r="O824"/>
      <c r="P824"/>
      <c r="R824"/>
      <c r="S824"/>
      <c r="T824"/>
      <c r="U824"/>
      <c r="V824"/>
      <c r="W824"/>
      <c r="X824"/>
      <c r="Y824"/>
      <c r="Z824"/>
    </row>
    <row r="825" spans="2:26">
      <c r="B825"/>
      <c r="D825"/>
      <c r="E825"/>
      <c r="F825"/>
      <c r="G825"/>
      <c r="H825"/>
      <c r="I825"/>
      <c r="J825"/>
      <c r="K825"/>
      <c r="L825"/>
      <c r="M825"/>
      <c r="N825"/>
      <c r="O825"/>
      <c r="P825"/>
      <c r="R825"/>
      <c r="S825"/>
      <c r="T825"/>
      <c r="U825"/>
      <c r="V825"/>
      <c r="W825"/>
      <c r="X825"/>
      <c r="Y825"/>
      <c r="Z825"/>
    </row>
    <row r="826" spans="2:26">
      <c r="B826"/>
      <c r="D826"/>
      <c r="E826"/>
      <c r="F826"/>
      <c r="G826"/>
      <c r="H826"/>
      <c r="I826"/>
      <c r="J826"/>
      <c r="K826"/>
      <c r="L826"/>
      <c r="M826"/>
      <c r="N826"/>
      <c r="O826"/>
      <c r="P826"/>
      <c r="R826"/>
      <c r="S826"/>
      <c r="T826"/>
      <c r="U826"/>
      <c r="V826"/>
      <c r="W826"/>
      <c r="X826"/>
      <c r="Y826"/>
      <c r="Z826"/>
    </row>
    <row r="827" spans="2:26">
      <c r="B827"/>
      <c r="D827"/>
      <c r="E827"/>
      <c r="F827"/>
      <c r="G827"/>
      <c r="H827"/>
      <c r="I827"/>
      <c r="J827"/>
      <c r="K827"/>
      <c r="L827"/>
      <c r="M827"/>
      <c r="N827"/>
      <c r="O827"/>
      <c r="P827"/>
      <c r="R827"/>
      <c r="S827"/>
      <c r="T827"/>
      <c r="U827"/>
      <c r="V827"/>
      <c r="W827"/>
      <c r="X827"/>
      <c r="Y827"/>
      <c r="Z827"/>
    </row>
    <row r="828" spans="2:26">
      <c r="B828"/>
      <c r="D828"/>
      <c r="E828"/>
      <c r="F828"/>
      <c r="G828"/>
      <c r="H828"/>
      <c r="I828"/>
      <c r="J828"/>
      <c r="K828"/>
      <c r="L828"/>
      <c r="M828"/>
      <c r="N828"/>
      <c r="O828"/>
      <c r="P828"/>
      <c r="R828"/>
      <c r="S828"/>
      <c r="T828"/>
      <c r="U828"/>
      <c r="V828"/>
      <c r="W828"/>
      <c r="X828"/>
      <c r="Y828"/>
      <c r="Z828"/>
    </row>
    <row r="829" spans="2:26">
      <c r="B829"/>
      <c r="D829"/>
      <c r="E829"/>
      <c r="F829"/>
      <c r="G829"/>
      <c r="H829"/>
      <c r="I829"/>
      <c r="J829"/>
      <c r="K829"/>
      <c r="L829"/>
      <c r="M829"/>
      <c r="N829"/>
      <c r="O829"/>
      <c r="P829"/>
      <c r="R829"/>
      <c r="S829"/>
      <c r="T829"/>
      <c r="U829"/>
      <c r="V829"/>
      <c r="W829"/>
      <c r="X829"/>
      <c r="Y829"/>
      <c r="Z829"/>
    </row>
    <row r="830" spans="2:26">
      <c r="B830"/>
      <c r="D830"/>
      <c r="E830"/>
      <c r="F830"/>
      <c r="G830"/>
      <c r="H830"/>
      <c r="I830"/>
      <c r="J830"/>
      <c r="K830"/>
      <c r="L830"/>
      <c r="M830"/>
      <c r="N830"/>
      <c r="O830"/>
      <c r="P830"/>
      <c r="R830"/>
      <c r="S830"/>
      <c r="T830"/>
      <c r="U830"/>
      <c r="V830"/>
      <c r="W830"/>
      <c r="X830"/>
      <c r="Y830"/>
      <c r="Z830"/>
    </row>
    <row r="831" spans="2:26">
      <c r="B831"/>
      <c r="D831"/>
      <c r="E831"/>
      <c r="F831"/>
      <c r="G831"/>
      <c r="H831"/>
      <c r="I831"/>
      <c r="J831"/>
      <c r="K831"/>
      <c r="L831"/>
      <c r="M831"/>
      <c r="N831"/>
      <c r="O831"/>
      <c r="P831"/>
      <c r="R831"/>
      <c r="S831"/>
      <c r="T831"/>
      <c r="U831"/>
      <c r="V831"/>
      <c r="W831"/>
      <c r="X831"/>
      <c r="Y831"/>
      <c r="Z831"/>
    </row>
    <row r="832" spans="2:26">
      <c r="B832"/>
      <c r="D832"/>
      <c r="E832"/>
      <c r="F832"/>
      <c r="G832"/>
      <c r="H832"/>
      <c r="I832"/>
      <c r="J832"/>
      <c r="K832"/>
      <c r="L832"/>
      <c r="M832"/>
      <c r="N832"/>
      <c r="O832"/>
      <c r="P832"/>
      <c r="R832"/>
      <c r="S832"/>
      <c r="T832"/>
      <c r="U832"/>
      <c r="V832"/>
      <c r="W832"/>
      <c r="X832"/>
      <c r="Y832"/>
      <c r="Z832"/>
    </row>
    <row r="833" spans="2:26">
      <c r="B833"/>
      <c r="D833"/>
      <c r="E833"/>
      <c r="F833"/>
      <c r="G833"/>
      <c r="H833"/>
      <c r="I833"/>
      <c r="J833"/>
      <c r="K833"/>
      <c r="L833"/>
      <c r="M833"/>
      <c r="N833"/>
      <c r="O833"/>
      <c r="P833"/>
      <c r="R833"/>
      <c r="S833"/>
      <c r="T833"/>
      <c r="U833"/>
      <c r="V833"/>
      <c r="W833"/>
      <c r="X833"/>
      <c r="Y833"/>
      <c r="Z833"/>
    </row>
    <row r="834" spans="2:26">
      <c r="B834"/>
      <c r="D834"/>
      <c r="E834"/>
      <c r="F834"/>
      <c r="G834"/>
      <c r="H834"/>
      <c r="I834"/>
      <c r="J834"/>
      <c r="K834"/>
      <c r="L834"/>
      <c r="M834"/>
      <c r="N834"/>
      <c r="O834"/>
      <c r="P834"/>
      <c r="R834"/>
      <c r="S834"/>
      <c r="T834"/>
      <c r="U834"/>
      <c r="V834"/>
      <c r="W834"/>
      <c r="X834"/>
      <c r="Y834"/>
      <c r="Z834"/>
    </row>
    <row r="835" spans="2:26">
      <c r="B835"/>
      <c r="D835"/>
      <c r="E835"/>
      <c r="F835"/>
      <c r="G835"/>
      <c r="H835"/>
      <c r="I835"/>
      <c r="J835"/>
      <c r="K835"/>
      <c r="L835"/>
      <c r="M835"/>
      <c r="N835"/>
      <c r="O835"/>
      <c r="P835"/>
      <c r="R835"/>
      <c r="S835"/>
      <c r="T835"/>
      <c r="U835"/>
      <c r="V835"/>
      <c r="W835"/>
      <c r="X835"/>
      <c r="Y835"/>
      <c r="Z835"/>
    </row>
    <row r="836" spans="2:26">
      <c r="B836"/>
      <c r="D836"/>
      <c r="E836"/>
      <c r="F836"/>
      <c r="G836"/>
      <c r="H836"/>
      <c r="I836"/>
      <c r="J836"/>
      <c r="K836"/>
      <c r="L836"/>
      <c r="M836"/>
      <c r="N836"/>
      <c r="O836"/>
      <c r="P836"/>
      <c r="R836"/>
      <c r="S836"/>
      <c r="T836"/>
      <c r="U836"/>
      <c r="V836"/>
      <c r="W836"/>
      <c r="X836"/>
      <c r="Y836"/>
      <c r="Z836"/>
    </row>
    <row r="837" spans="2:26">
      <c r="B837"/>
      <c r="D837"/>
      <c r="E837"/>
      <c r="F837"/>
      <c r="G837"/>
      <c r="H837"/>
      <c r="I837"/>
      <c r="J837"/>
      <c r="K837"/>
      <c r="L837"/>
      <c r="M837"/>
      <c r="N837"/>
      <c r="O837"/>
      <c r="P837"/>
      <c r="R837"/>
      <c r="S837"/>
      <c r="T837"/>
      <c r="U837"/>
      <c r="V837"/>
      <c r="W837"/>
      <c r="X837"/>
      <c r="Y837"/>
      <c r="Z837"/>
    </row>
    <row r="838" spans="2:26">
      <c r="B838"/>
      <c r="D838"/>
      <c r="E838"/>
      <c r="F838"/>
      <c r="G838"/>
      <c r="H838"/>
      <c r="I838"/>
      <c r="J838"/>
      <c r="K838"/>
      <c r="L838"/>
      <c r="M838"/>
      <c r="N838"/>
      <c r="O838"/>
      <c r="P838"/>
      <c r="R838"/>
      <c r="S838"/>
      <c r="T838"/>
      <c r="U838"/>
      <c r="V838"/>
      <c r="W838"/>
      <c r="X838"/>
      <c r="Y838"/>
      <c r="Z838"/>
    </row>
    <row r="839" spans="2:26">
      <c r="B839"/>
      <c r="D839"/>
      <c r="E839"/>
      <c r="F839"/>
      <c r="G839"/>
      <c r="H839"/>
      <c r="I839"/>
      <c r="J839"/>
      <c r="K839"/>
      <c r="L839"/>
      <c r="M839"/>
      <c r="N839"/>
      <c r="O839"/>
      <c r="P839"/>
      <c r="R839"/>
      <c r="S839"/>
      <c r="T839"/>
      <c r="U839"/>
      <c r="V839"/>
      <c r="W839"/>
      <c r="X839"/>
      <c r="Y839"/>
      <c r="Z839"/>
    </row>
    <row r="840" spans="2:26">
      <c r="B840"/>
      <c r="D840"/>
      <c r="E840"/>
      <c r="F840"/>
      <c r="G840"/>
      <c r="H840"/>
      <c r="I840"/>
      <c r="J840"/>
      <c r="K840"/>
      <c r="L840"/>
      <c r="M840"/>
      <c r="N840"/>
      <c r="O840"/>
      <c r="P840"/>
      <c r="R840"/>
      <c r="S840"/>
      <c r="T840"/>
      <c r="U840"/>
      <c r="V840"/>
      <c r="W840"/>
      <c r="X840"/>
      <c r="Y840"/>
      <c r="Z840"/>
    </row>
    <row r="841" spans="2:26">
      <c r="B841"/>
      <c r="D841"/>
      <c r="E841"/>
      <c r="F841"/>
      <c r="G841"/>
      <c r="H841"/>
      <c r="I841"/>
      <c r="J841"/>
      <c r="K841"/>
      <c r="L841"/>
      <c r="M841"/>
      <c r="N841"/>
      <c r="O841"/>
      <c r="P841"/>
      <c r="R841"/>
      <c r="S841"/>
      <c r="T841"/>
      <c r="U841"/>
      <c r="V841"/>
      <c r="W841"/>
      <c r="X841"/>
      <c r="Y841"/>
      <c r="Z841"/>
    </row>
    <row r="842" spans="2:26">
      <c r="B842"/>
      <c r="D842"/>
      <c r="E842"/>
      <c r="F842"/>
      <c r="G842"/>
      <c r="H842"/>
      <c r="I842"/>
      <c r="J842"/>
      <c r="K842"/>
      <c r="L842"/>
      <c r="M842"/>
      <c r="N842"/>
      <c r="O842"/>
      <c r="P842"/>
      <c r="R842"/>
      <c r="S842"/>
      <c r="T842"/>
      <c r="U842"/>
      <c r="V842"/>
      <c r="W842"/>
      <c r="X842"/>
      <c r="Y842"/>
      <c r="Z842"/>
    </row>
    <row r="843" spans="2:26">
      <c r="B843"/>
      <c r="D843"/>
      <c r="E843"/>
      <c r="F843"/>
      <c r="G843"/>
      <c r="H843"/>
      <c r="I843"/>
      <c r="J843"/>
      <c r="K843"/>
      <c r="L843"/>
      <c r="M843"/>
      <c r="N843"/>
      <c r="O843"/>
      <c r="P843"/>
      <c r="R843"/>
      <c r="S843"/>
      <c r="T843"/>
      <c r="U843"/>
      <c r="V843"/>
      <c r="W843"/>
      <c r="X843"/>
      <c r="Y843"/>
      <c r="Z843"/>
    </row>
    <row r="844" spans="2:26">
      <c r="B844"/>
      <c r="D844"/>
      <c r="E844"/>
      <c r="F844"/>
      <c r="G844"/>
      <c r="H844"/>
      <c r="I844"/>
      <c r="J844"/>
      <c r="K844"/>
      <c r="L844"/>
      <c r="M844"/>
      <c r="N844"/>
      <c r="O844"/>
      <c r="P844"/>
      <c r="R844"/>
      <c r="S844"/>
      <c r="T844"/>
      <c r="U844"/>
      <c r="V844"/>
      <c r="W844"/>
      <c r="X844"/>
      <c r="Y844"/>
      <c r="Z844"/>
    </row>
    <row r="845" spans="2:26">
      <c r="B845"/>
      <c r="D845"/>
      <c r="E845"/>
      <c r="F845"/>
      <c r="G845"/>
      <c r="H845"/>
      <c r="I845"/>
      <c r="J845"/>
      <c r="K845"/>
      <c r="L845"/>
      <c r="M845"/>
      <c r="N845"/>
      <c r="O845"/>
      <c r="P845"/>
      <c r="R845"/>
      <c r="S845"/>
      <c r="T845"/>
      <c r="U845"/>
      <c r="V845"/>
      <c r="W845"/>
      <c r="X845"/>
      <c r="Y845"/>
      <c r="Z845"/>
    </row>
    <row r="846" spans="2:26">
      <c r="B846"/>
      <c r="D846"/>
      <c r="E846"/>
      <c r="F846"/>
      <c r="G846"/>
      <c r="H846"/>
      <c r="I846"/>
      <c r="J846"/>
      <c r="K846"/>
      <c r="L846"/>
      <c r="M846"/>
      <c r="N846"/>
      <c r="O846"/>
      <c r="P846"/>
      <c r="R846"/>
      <c r="S846"/>
      <c r="T846"/>
      <c r="U846"/>
      <c r="V846"/>
      <c r="W846"/>
      <c r="X846"/>
      <c r="Y846"/>
      <c r="Z846"/>
    </row>
    <row r="847" spans="2:26">
      <c r="B847"/>
      <c r="D847"/>
      <c r="E847"/>
      <c r="F847"/>
      <c r="G847"/>
      <c r="H847"/>
      <c r="I847"/>
      <c r="J847"/>
      <c r="K847"/>
      <c r="L847"/>
      <c r="M847"/>
      <c r="N847"/>
      <c r="O847"/>
      <c r="P847"/>
      <c r="R847"/>
      <c r="S847"/>
      <c r="T847"/>
      <c r="U847"/>
      <c r="V847"/>
      <c r="W847"/>
      <c r="X847"/>
      <c r="Y847"/>
      <c r="Z847"/>
    </row>
    <row r="848" spans="2:26">
      <c r="B848"/>
      <c r="D848"/>
      <c r="E848"/>
      <c r="F848"/>
      <c r="G848"/>
      <c r="H848"/>
      <c r="I848"/>
      <c r="J848"/>
      <c r="K848"/>
      <c r="L848"/>
      <c r="M848"/>
      <c r="N848"/>
      <c r="O848"/>
      <c r="P848"/>
      <c r="R848"/>
      <c r="S848"/>
      <c r="T848"/>
      <c r="U848"/>
      <c r="V848"/>
      <c r="W848"/>
      <c r="X848"/>
      <c r="Y848"/>
      <c r="Z848"/>
    </row>
    <row r="849" spans="2:26">
      <c r="B849"/>
      <c r="D849"/>
      <c r="E849"/>
      <c r="F849"/>
      <c r="G849"/>
      <c r="H849"/>
      <c r="I849"/>
      <c r="J849"/>
      <c r="K849"/>
      <c r="L849"/>
      <c r="M849"/>
      <c r="N849"/>
      <c r="O849"/>
      <c r="P849"/>
      <c r="R849"/>
      <c r="S849"/>
      <c r="T849"/>
      <c r="U849"/>
      <c r="V849"/>
      <c r="W849"/>
      <c r="X849"/>
      <c r="Y849"/>
      <c r="Z849"/>
    </row>
    <row r="850" spans="2:26">
      <c r="B850"/>
      <c r="D850"/>
      <c r="E850"/>
      <c r="F850"/>
      <c r="G850"/>
      <c r="H850"/>
      <c r="I850"/>
      <c r="J850"/>
      <c r="K850"/>
      <c r="L850"/>
      <c r="M850"/>
      <c r="N850"/>
      <c r="O850"/>
      <c r="P850"/>
      <c r="R850"/>
      <c r="S850"/>
      <c r="T850"/>
      <c r="U850"/>
      <c r="V850"/>
      <c r="W850"/>
      <c r="X850"/>
      <c r="Y850"/>
      <c r="Z850"/>
    </row>
    <row r="851" spans="2:26">
      <c r="B851"/>
      <c r="D851"/>
      <c r="E851"/>
      <c r="F851"/>
      <c r="G851"/>
      <c r="H851"/>
      <c r="I851"/>
      <c r="J851"/>
      <c r="K851"/>
      <c r="L851"/>
      <c r="M851"/>
      <c r="N851"/>
      <c r="O851"/>
      <c r="P851"/>
      <c r="R851"/>
      <c r="S851"/>
      <c r="T851"/>
      <c r="U851"/>
      <c r="V851"/>
      <c r="W851"/>
      <c r="X851"/>
      <c r="Y851"/>
      <c r="Z851"/>
    </row>
    <row r="852" spans="2:26">
      <c r="B852"/>
      <c r="D852"/>
      <c r="E852"/>
      <c r="F852"/>
      <c r="G852"/>
      <c r="H852"/>
      <c r="I852"/>
      <c r="J852"/>
      <c r="K852"/>
      <c r="L852"/>
      <c r="M852"/>
      <c r="N852"/>
      <c r="O852"/>
      <c r="P852"/>
      <c r="R852"/>
      <c r="S852"/>
      <c r="T852"/>
      <c r="U852"/>
      <c r="V852"/>
      <c r="W852"/>
      <c r="X852"/>
      <c r="Y852"/>
      <c r="Z852"/>
    </row>
    <row r="853" spans="2:26">
      <c r="B853"/>
      <c r="D853"/>
      <c r="E853"/>
      <c r="F853"/>
      <c r="G853"/>
      <c r="H853"/>
      <c r="I853"/>
      <c r="J853"/>
      <c r="K853"/>
      <c r="L853"/>
      <c r="M853"/>
      <c r="N853"/>
      <c r="O853"/>
      <c r="P853"/>
      <c r="R853"/>
      <c r="S853"/>
      <c r="T853"/>
      <c r="U853"/>
      <c r="V853"/>
      <c r="W853"/>
      <c r="X853"/>
      <c r="Y853"/>
      <c r="Z853"/>
    </row>
    <row r="854" spans="2:26">
      <c r="B854"/>
      <c r="D854"/>
      <c r="E854"/>
      <c r="F854"/>
      <c r="G854"/>
      <c r="H854"/>
      <c r="I854"/>
      <c r="J854"/>
      <c r="K854"/>
      <c r="L854"/>
      <c r="M854"/>
      <c r="N854"/>
      <c r="O854"/>
      <c r="P854"/>
      <c r="R854"/>
      <c r="S854"/>
      <c r="T854"/>
      <c r="U854"/>
      <c r="V854"/>
      <c r="W854"/>
      <c r="X854"/>
      <c r="Y854"/>
      <c r="Z854"/>
    </row>
    <row r="855" spans="2:26">
      <c r="B855"/>
      <c r="D855"/>
      <c r="E855"/>
      <c r="F855"/>
      <c r="G855"/>
      <c r="H855"/>
      <c r="I855"/>
      <c r="J855"/>
      <c r="K855"/>
      <c r="L855"/>
      <c r="M855"/>
      <c r="N855"/>
      <c r="O855"/>
      <c r="P855"/>
      <c r="R855"/>
      <c r="S855"/>
      <c r="T855"/>
      <c r="U855"/>
      <c r="V855"/>
      <c r="W855"/>
      <c r="X855"/>
      <c r="Y855"/>
      <c r="Z855"/>
    </row>
    <row r="856" spans="2:26">
      <c r="B856"/>
      <c r="D856"/>
      <c r="E856"/>
      <c r="F856"/>
      <c r="G856"/>
      <c r="H856"/>
      <c r="I856"/>
      <c r="J856"/>
      <c r="K856"/>
      <c r="L856"/>
      <c r="M856"/>
      <c r="N856"/>
      <c r="O856"/>
      <c r="P856"/>
      <c r="R856"/>
      <c r="S856"/>
      <c r="T856"/>
      <c r="U856"/>
      <c r="V856"/>
      <c r="W856"/>
      <c r="X856"/>
      <c r="Y856"/>
      <c r="Z856"/>
    </row>
    <row r="857" spans="2:26">
      <c r="B857"/>
      <c r="D857"/>
      <c r="E857"/>
      <c r="F857"/>
      <c r="G857"/>
      <c r="H857"/>
      <c r="I857"/>
      <c r="J857"/>
      <c r="K857"/>
      <c r="L857"/>
      <c r="M857"/>
      <c r="N857"/>
      <c r="O857"/>
      <c r="P857"/>
      <c r="R857"/>
      <c r="S857"/>
      <c r="T857"/>
      <c r="U857"/>
      <c r="V857"/>
      <c r="W857"/>
      <c r="X857"/>
      <c r="Y857"/>
      <c r="Z857"/>
    </row>
    <row r="858" spans="2:26">
      <c r="B858"/>
      <c r="D858"/>
      <c r="E858"/>
      <c r="F858"/>
      <c r="G858"/>
      <c r="H858"/>
      <c r="I858"/>
      <c r="J858"/>
      <c r="K858"/>
      <c r="L858"/>
      <c r="M858"/>
      <c r="N858"/>
      <c r="O858"/>
      <c r="P858"/>
      <c r="R858"/>
      <c r="S858"/>
      <c r="T858"/>
      <c r="U858"/>
      <c r="V858"/>
      <c r="W858"/>
      <c r="X858"/>
      <c r="Y858"/>
      <c r="Z858"/>
    </row>
    <row r="859" spans="2:26">
      <c r="B859"/>
      <c r="D859"/>
      <c r="E859"/>
      <c r="F859"/>
      <c r="G859"/>
      <c r="H859"/>
      <c r="I859"/>
      <c r="J859"/>
      <c r="K859"/>
      <c r="L859"/>
      <c r="M859"/>
      <c r="N859"/>
      <c r="O859"/>
      <c r="P859"/>
      <c r="R859"/>
      <c r="S859"/>
      <c r="T859"/>
      <c r="U859"/>
      <c r="V859"/>
      <c r="W859"/>
      <c r="X859"/>
      <c r="Y859"/>
      <c r="Z859"/>
    </row>
    <row r="860" spans="2:26">
      <c r="B860"/>
      <c r="D860"/>
      <c r="E860"/>
      <c r="F860"/>
      <c r="G860"/>
      <c r="H860"/>
      <c r="I860"/>
      <c r="J860"/>
      <c r="K860"/>
      <c r="L860"/>
      <c r="M860"/>
      <c r="N860"/>
      <c r="O860"/>
      <c r="P860"/>
      <c r="R860"/>
      <c r="S860"/>
      <c r="T860"/>
      <c r="U860"/>
      <c r="V860"/>
      <c r="W860"/>
      <c r="X860"/>
      <c r="Y860"/>
      <c r="Z860"/>
    </row>
    <row r="861" spans="2:26">
      <c r="B861"/>
      <c r="D861"/>
      <c r="E861"/>
      <c r="F861"/>
      <c r="G861"/>
      <c r="H861"/>
      <c r="I861"/>
      <c r="J861"/>
      <c r="K861"/>
      <c r="L861"/>
      <c r="M861"/>
      <c r="N861"/>
      <c r="O861"/>
      <c r="P861"/>
      <c r="R861"/>
      <c r="S861"/>
      <c r="T861"/>
      <c r="U861"/>
      <c r="V861"/>
      <c r="W861"/>
      <c r="X861"/>
      <c r="Y861"/>
      <c r="Z861"/>
    </row>
    <row r="862" spans="2:26">
      <c r="B862"/>
      <c r="D862"/>
      <c r="E862"/>
      <c r="F862"/>
      <c r="G862"/>
      <c r="H862"/>
      <c r="I862"/>
      <c r="J862"/>
      <c r="K862"/>
      <c r="L862"/>
      <c r="M862"/>
      <c r="N862"/>
      <c r="O862"/>
      <c r="P862"/>
      <c r="R862"/>
      <c r="S862"/>
      <c r="T862"/>
      <c r="U862"/>
      <c r="V862"/>
      <c r="W862"/>
      <c r="X862"/>
      <c r="Y862"/>
      <c r="Z862"/>
    </row>
    <row r="863" spans="2:26">
      <c r="B863"/>
      <c r="D863"/>
      <c r="E863"/>
      <c r="F863"/>
      <c r="G863"/>
      <c r="H863"/>
      <c r="I863"/>
      <c r="J863"/>
      <c r="K863"/>
      <c r="L863"/>
      <c r="M863"/>
      <c r="N863"/>
      <c r="O863"/>
      <c r="P863"/>
      <c r="R863"/>
      <c r="S863"/>
      <c r="T863"/>
      <c r="U863"/>
      <c r="V863"/>
      <c r="W863"/>
      <c r="X863"/>
      <c r="Y863"/>
      <c r="Z863"/>
    </row>
    <row r="864" spans="2:26">
      <c r="B864"/>
      <c r="D864"/>
      <c r="E864"/>
      <c r="F864"/>
      <c r="G864"/>
      <c r="H864"/>
      <c r="I864"/>
      <c r="J864"/>
      <c r="K864"/>
      <c r="L864"/>
      <c r="M864"/>
      <c r="N864"/>
      <c r="O864"/>
      <c r="P864"/>
      <c r="R864"/>
      <c r="S864"/>
      <c r="T864"/>
      <c r="U864"/>
      <c r="V864"/>
      <c r="W864"/>
      <c r="X864"/>
      <c r="Y864"/>
      <c r="Z864"/>
    </row>
    <row r="865" spans="2:26">
      <c r="B865"/>
      <c r="D865"/>
      <c r="E865"/>
      <c r="F865"/>
      <c r="G865"/>
      <c r="H865"/>
      <c r="I865"/>
      <c r="J865"/>
      <c r="K865"/>
      <c r="L865"/>
      <c r="M865"/>
      <c r="N865"/>
      <c r="O865"/>
      <c r="P865"/>
      <c r="R865"/>
      <c r="S865"/>
      <c r="T865"/>
      <c r="U865"/>
      <c r="V865"/>
      <c r="W865"/>
      <c r="X865"/>
      <c r="Y865"/>
      <c r="Z865"/>
    </row>
    <row r="866" spans="2:26">
      <c r="B866"/>
      <c r="D866"/>
      <c r="E866"/>
      <c r="F866"/>
      <c r="G866"/>
      <c r="H866"/>
      <c r="I866"/>
      <c r="J866"/>
      <c r="K866"/>
      <c r="L866"/>
      <c r="M866"/>
      <c r="N866"/>
      <c r="O866"/>
      <c r="P866"/>
      <c r="R866"/>
      <c r="S866"/>
      <c r="T866"/>
      <c r="U866"/>
      <c r="V866"/>
      <c r="W866"/>
      <c r="X866"/>
      <c r="Y866"/>
      <c r="Z866"/>
    </row>
    <row r="867" spans="2:26">
      <c r="B867"/>
      <c r="D867"/>
      <c r="E867"/>
      <c r="F867"/>
      <c r="G867"/>
      <c r="H867"/>
      <c r="I867"/>
      <c r="J867"/>
      <c r="K867"/>
      <c r="L867"/>
      <c r="M867"/>
      <c r="N867"/>
      <c r="O867"/>
      <c r="P867"/>
      <c r="R867"/>
      <c r="S867"/>
      <c r="T867"/>
      <c r="U867"/>
      <c r="V867"/>
      <c r="W867"/>
      <c r="X867"/>
      <c r="Y867"/>
      <c r="Z867"/>
    </row>
    <row r="868" spans="2:26">
      <c r="B868"/>
      <c r="D868"/>
      <c r="E868"/>
      <c r="F868"/>
      <c r="G868"/>
      <c r="H868"/>
      <c r="I868"/>
      <c r="J868"/>
      <c r="K868"/>
      <c r="L868"/>
      <c r="M868"/>
      <c r="N868"/>
      <c r="O868"/>
      <c r="P868"/>
      <c r="R868"/>
      <c r="S868"/>
      <c r="T868"/>
      <c r="U868"/>
      <c r="V868"/>
      <c r="W868"/>
      <c r="X868"/>
      <c r="Y868"/>
      <c r="Z868"/>
    </row>
    <row r="869" spans="2:26">
      <c r="B869"/>
      <c r="D869"/>
      <c r="E869"/>
      <c r="F869"/>
      <c r="G869"/>
      <c r="H869"/>
      <c r="I869"/>
      <c r="J869"/>
      <c r="K869"/>
      <c r="L869"/>
      <c r="M869"/>
      <c r="N869"/>
      <c r="O869"/>
      <c r="P869"/>
      <c r="R869"/>
      <c r="S869"/>
      <c r="T869"/>
      <c r="U869"/>
      <c r="V869"/>
      <c r="W869"/>
      <c r="X869"/>
      <c r="Y869"/>
      <c r="Z869"/>
    </row>
    <row r="870" spans="2:26">
      <c r="B870"/>
      <c r="D870"/>
      <c r="E870"/>
      <c r="F870"/>
      <c r="G870"/>
      <c r="H870"/>
      <c r="I870"/>
      <c r="J870"/>
      <c r="K870"/>
      <c r="L870"/>
      <c r="M870"/>
      <c r="N870"/>
      <c r="O870"/>
      <c r="P870"/>
      <c r="R870"/>
      <c r="S870"/>
      <c r="T870"/>
      <c r="U870"/>
      <c r="V870"/>
      <c r="W870"/>
      <c r="X870"/>
      <c r="Y870"/>
      <c r="Z870"/>
    </row>
    <row r="871" spans="2:26">
      <c r="B871"/>
      <c r="D871"/>
      <c r="E871"/>
      <c r="F871"/>
      <c r="G871"/>
      <c r="H871"/>
      <c r="I871"/>
      <c r="J871"/>
      <c r="K871"/>
      <c r="L871"/>
      <c r="M871"/>
      <c r="N871"/>
      <c r="O871"/>
      <c r="P871"/>
      <c r="R871"/>
      <c r="S871"/>
      <c r="T871"/>
      <c r="U871"/>
      <c r="V871"/>
      <c r="W871"/>
      <c r="X871"/>
      <c r="Y871"/>
      <c r="Z871"/>
    </row>
    <row r="872" spans="2:26">
      <c r="B872"/>
      <c r="D872"/>
      <c r="E872"/>
      <c r="F872"/>
      <c r="G872"/>
      <c r="H872"/>
      <c r="I872"/>
      <c r="J872"/>
      <c r="K872"/>
      <c r="L872"/>
      <c r="M872"/>
      <c r="N872"/>
      <c r="O872"/>
      <c r="P872"/>
      <c r="R872"/>
      <c r="S872"/>
      <c r="T872"/>
      <c r="U872"/>
      <c r="V872"/>
      <c r="W872"/>
      <c r="X872"/>
      <c r="Y872"/>
      <c r="Z872"/>
    </row>
    <row r="873" spans="2:26">
      <c r="B873"/>
      <c r="D873"/>
      <c r="E873"/>
      <c r="F873"/>
      <c r="G873"/>
      <c r="H873"/>
      <c r="I873"/>
      <c r="J873"/>
      <c r="K873"/>
      <c r="L873"/>
      <c r="M873"/>
      <c r="N873"/>
      <c r="O873"/>
      <c r="P873"/>
      <c r="R873"/>
      <c r="S873"/>
      <c r="T873"/>
      <c r="U873"/>
      <c r="V873"/>
      <c r="W873"/>
      <c r="X873"/>
      <c r="Y873"/>
      <c r="Z873"/>
    </row>
    <row r="874" spans="2:26">
      <c r="B874"/>
      <c r="D874"/>
      <c r="E874"/>
      <c r="F874"/>
      <c r="G874"/>
      <c r="H874"/>
      <c r="I874"/>
      <c r="J874"/>
      <c r="K874"/>
      <c r="L874"/>
      <c r="M874"/>
      <c r="N874"/>
      <c r="O874"/>
      <c r="P874"/>
      <c r="R874"/>
      <c r="S874"/>
      <c r="T874"/>
      <c r="U874"/>
      <c r="V874"/>
      <c r="W874"/>
      <c r="X874"/>
      <c r="Y874"/>
      <c r="Z874"/>
    </row>
    <row r="875" spans="2:26">
      <c r="B875"/>
      <c r="D875"/>
      <c r="E875"/>
      <c r="F875"/>
      <c r="G875"/>
      <c r="H875"/>
      <c r="I875"/>
      <c r="J875"/>
      <c r="K875"/>
      <c r="L875"/>
      <c r="M875"/>
      <c r="N875"/>
      <c r="O875"/>
      <c r="P875"/>
      <c r="R875"/>
      <c r="S875"/>
      <c r="T875"/>
      <c r="U875"/>
      <c r="V875"/>
      <c r="W875"/>
      <c r="X875"/>
      <c r="Y875"/>
      <c r="Z875"/>
    </row>
    <row r="876" spans="2:26">
      <c r="B876"/>
      <c r="D876"/>
      <c r="E876"/>
      <c r="F876"/>
      <c r="G876"/>
      <c r="H876"/>
      <c r="I876"/>
      <c r="J876"/>
      <c r="K876"/>
      <c r="L876"/>
      <c r="M876"/>
      <c r="N876"/>
      <c r="O876"/>
      <c r="P876"/>
      <c r="R876"/>
      <c r="S876"/>
      <c r="T876"/>
      <c r="U876"/>
      <c r="V876"/>
      <c r="W876"/>
      <c r="X876"/>
      <c r="Y876"/>
      <c r="Z876"/>
    </row>
    <row r="877" spans="2:26">
      <c r="B877"/>
      <c r="D877"/>
      <c r="E877"/>
      <c r="F877"/>
      <c r="G877"/>
      <c r="H877"/>
      <c r="I877"/>
      <c r="J877"/>
      <c r="K877"/>
      <c r="L877"/>
      <c r="M877"/>
      <c r="N877"/>
      <c r="O877"/>
      <c r="P877"/>
      <c r="R877"/>
      <c r="S877"/>
      <c r="T877"/>
      <c r="U877"/>
      <c r="V877"/>
      <c r="W877"/>
      <c r="X877"/>
      <c r="Y877"/>
      <c r="Z877"/>
    </row>
    <row r="878" spans="2:26">
      <c r="B878"/>
      <c r="D878"/>
      <c r="E878"/>
      <c r="F878"/>
      <c r="G878"/>
      <c r="H878"/>
      <c r="I878"/>
      <c r="J878"/>
      <c r="K878"/>
      <c r="L878"/>
      <c r="M878"/>
      <c r="N878"/>
      <c r="O878"/>
      <c r="P878"/>
      <c r="R878"/>
      <c r="S878"/>
      <c r="T878"/>
      <c r="U878"/>
      <c r="V878"/>
      <c r="W878"/>
      <c r="X878"/>
      <c r="Y878"/>
      <c r="Z878"/>
    </row>
    <row r="879" spans="2:26">
      <c r="B879"/>
      <c r="D879"/>
      <c r="E879"/>
      <c r="F879"/>
      <c r="G879"/>
      <c r="H879"/>
      <c r="I879"/>
      <c r="J879"/>
      <c r="K879"/>
      <c r="L879"/>
      <c r="M879"/>
      <c r="N879"/>
      <c r="O879"/>
      <c r="P879"/>
      <c r="R879"/>
      <c r="S879"/>
      <c r="T879"/>
      <c r="U879"/>
      <c r="V879"/>
      <c r="W879"/>
      <c r="X879"/>
      <c r="Y879"/>
      <c r="Z879"/>
    </row>
    <row r="880" spans="2:26">
      <c r="B880"/>
      <c r="D880"/>
      <c r="E880"/>
      <c r="F880"/>
      <c r="G880"/>
      <c r="H880"/>
      <c r="I880"/>
      <c r="J880"/>
      <c r="K880"/>
      <c r="L880"/>
      <c r="M880"/>
      <c r="N880"/>
      <c r="O880"/>
      <c r="P880"/>
      <c r="R880"/>
      <c r="S880"/>
      <c r="T880"/>
      <c r="U880"/>
      <c r="V880"/>
      <c r="W880"/>
      <c r="X880"/>
      <c r="Y880"/>
      <c r="Z880"/>
    </row>
    <row r="881" spans="2:26">
      <c r="B881"/>
      <c r="D881"/>
      <c r="E881"/>
      <c r="F881"/>
      <c r="G881"/>
      <c r="H881"/>
      <c r="I881"/>
      <c r="J881"/>
      <c r="K881"/>
      <c r="L881"/>
      <c r="M881"/>
      <c r="N881"/>
      <c r="O881"/>
      <c r="P881"/>
      <c r="R881"/>
      <c r="S881"/>
      <c r="T881"/>
      <c r="U881"/>
      <c r="V881"/>
      <c r="W881"/>
      <c r="X881"/>
      <c r="Y881"/>
      <c r="Z881"/>
    </row>
    <row r="882" spans="2:26">
      <c r="B882"/>
      <c r="D882"/>
      <c r="E882"/>
      <c r="F882"/>
      <c r="G882"/>
      <c r="H882"/>
      <c r="I882"/>
      <c r="J882"/>
      <c r="K882"/>
      <c r="L882"/>
      <c r="M882"/>
      <c r="N882"/>
      <c r="O882"/>
      <c r="P882"/>
      <c r="R882"/>
      <c r="S882"/>
      <c r="T882"/>
      <c r="U882"/>
      <c r="V882"/>
      <c r="W882"/>
      <c r="X882"/>
      <c r="Y882"/>
      <c r="Z882"/>
    </row>
    <row r="883" spans="2:26">
      <c r="B883"/>
      <c r="D883"/>
      <c r="E883"/>
      <c r="F883"/>
      <c r="G883"/>
      <c r="H883"/>
      <c r="I883"/>
      <c r="J883"/>
      <c r="K883"/>
      <c r="L883"/>
      <c r="M883"/>
      <c r="N883"/>
      <c r="O883"/>
      <c r="P883"/>
      <c r="R883"/>
      <c r="S883"/>
      <c r="T883"/>
      <c r="U883"/>
      <c r="V883"/>
      <c r="W883"/>
      <c r="X883"/>
      <c r="Y883"/>
      <c r="Z883"/>
    </row>
    <row r="884" spans="2:26">
      <c r="B884"/>
      <c r="D884"/>
      <c r="E884"/>
      <c r="F884"/>
      <c r="G884"/>
      <c r="H884"/>
      <c r="I884"/>
      <c r="J884"/>
      <c r="K884"/>
      <c r="L884"/>
      <c r="M884"/>
      <c r="N884"/>
      <c r="O884"/>
      <c r="P884"/>
      <c r="R884"/>
      <c r="S884"/>
      <c r="T884"/>
      <c r="U884"/>
      <c r="V884"/>
      <c r="W884"/>
      <c r="X884"/>
      <c r="Y884"/>
      <c r="Z884"/>
    </row>
    <row r="885" spans="2:26">
      <c r="B885"/>
      <c r="D885"/>
      <c r="E885"/>
      <c r="F885"/>
      <c r="G885"/>
      <c r="H885"/>
      <c r="I885"/>
      <c r="J885"/>
      <c r="K885"/>
      <c r="L885"/>
      <c r="M885"/>
      <c r="N885"/>
      <c r="O885"/>
      <c r="P885"/>
      <c r="R885"/>
      <c r="S885"/>
      <c r="T885"/>
      <c r="U885"/>
      <c r="V885"/>
      <c r="W885"/>
      <c r="X885"/>
      <c r="Y885"/>
      <c r="Z885"/>
    </row>
    <row r="886" spans="2:26">
      <c r="B886"/>
      <c r="D886"/>
      <c r="E886"/>
      <c r="F886"/>
      <c r="G886"/>
      <c r="H886"/>
      <c r="I886"/>
      <c r="J886"/>
      <c r="K886"/>
      <c r="L886"/>
      <c r="M886"/>
      <c r="N886"/>
      <c r="O886"/>
      <c r="P886"/>
      <c r="R886"/>
      <c r="S886"/>
      <c r="T886"/>
      <c r="U886"/>
      <c r="V886"/>
      <c r="W886"/>
      <c r="X886"/>
      <c r="Y886"/>
      <c r="Z886"/>
    </row>
    <row r="887" spans="2:26">
      <c r="B887"/>
      <c r="D887"/>
      <c r="E887"/>
      <c r="F887"/>
      <c r="G887"/>
      <c r="H887"/>
      <c r="I887"/>
      <c r="J887"/>
      <c r="K887"/>
      <c r="L887"/>
      <c r="M887"/>
      <c r="N887"/>
      <c r="O887"/>
      <c r="P887"/>
      <c r="R887"/>
      <c r="S887"/>
      <c r="T887"/>
      <c r="U887"/>
      <c r="V887"/>
      <c r="W887"/>
      <c r="X887"/>
      <c r="Y887"/>
      <c r="Z887"/>
    </row>
    <row r="888" spans="2:26">
      <c r="B888"/>
      <c r="D888"/>
      <c r="E888"/>
      <c r="F888"/>
      <c r="G888"/>
      <c r="H888"/>
      <c r="I888"/>
      <c r="J888"/>
      <c r="K888"/>
      <c r="L888"/>
      <c r="M888"/>
      <c r="N888"/>
      <c r="O888"/>
      <c r="P888"/>
      <c r="R888"/>
      <c r="S888"/>
      <c r="T888"/>
      <c r="U888"/>
      <c r="V888"/>
      <c r="W888"/>
      <c r="X888"/>
      <c r="Y888"/>
      <c r="Z888"/>
    </row>
    <row r="889" spans="2:26">
      <c r="B889"/>
      <c r="D889"/>
      <c r="E889"/>
      <c r="F889"/>
      <c r="G889"/>
      <c r="H889"/>
      <c r="I889"/>
      <c r="J889"/>
      <c r="K889"/>
      <c r="L889"/>
      <c r="M889"/>
      <c r="N889"/>
      <c r="O889"/>
      <c r="P889"/>
      <c r="R889"/>
      <c r="S889"/>
      <c r="T889"/>
      <c r="U889"/>
      <c r="V889"/>
      <c r="W889"/>
      <c r="X889"/>
      <c r="Y889"/>
      <c r="Z889"/>
    </row>
    <row r="890" spans="2:26">
      <c r="B890"/>
      <c r="D890"/>
      <c r="E890"/>
      <c r="F890"/>
      <c r="G890"/>
      <c r="H890"/>
      <c r="I890"/>
      <c r="J890"/>
      <c r="K890"/>
      <c r="L890"/>
      <c r="M890"/>
      <c r="N890"/>
      <c r="O890"/>
      <c r="P890"/>
      <c r="R890"/>
      <c r="S890"/>
      <c r="T890"/>
      <c r="U890"/>
      <c r="V890"/>
      <c r="W890"/>
      <c r="X890"/>
      <c r="Y890"/>
      <c r="Z890"/>
    </row>
    <row r="891" spans="2:26">
      <c r="B891"/>
      <c r="D891"/>
      <c r="E891"/>
      <c r="F891"/>
      <c r="G891"/>
      <c r="H891"/>
      <c r="I891"/>
      <c r="J891"/>
      <c r="K891"/>
      <c r="L891"/>
      <c r="M891"/>
      <c r="N891"/>
      <c r="O891"/>
      <c r="P891"/>
      <c r="R891"/>
      <c r="S891"/>
      <c r="T891"/>
      <c r="U891"/>
      <c r="V891"/>
      <c r="W891"/>
      <c r="X891"/>
      <c r="Y891"/>
      <c r="Z891"/>
    </row>
    <row r="892" spans="2:26">
      <c r="B892"/>
      <c r="D892"/>
      <c r="E892"/>
      <c r="F892"/>
      <c r="G892"/>
      <c r="H892"/>
      <c r="I892"/>
      <c r="J892"/>
      <c r="K892"/>
      <c r="L892"/>
      <c r="M892"/>
      <c r="N892"/>
      <c r="O892"/>
      <c r="P892"/>
      <c r="R892"/>
      <c r="S892"/>
      <c r="T892"/>
      <c r="U892"/>
      <c r="V892"/>
      <c r="W892"/>
      <c r="X892"/>
      <c r="Y892"/>
      <c r="Z892"/>
    </row>
    <row r="893" spans="2:26">
      <c r="B893"/>
      <c r="D893"/>
      <c r="E893"/>
      <c r="F893"/>
      <c r="G893"/>
      <c r="H893"/>
      <c r="I893"/>
      <c r="J893"/>
      <c r="K893"/>
      <c r="L893"/>
      <c r="M893"/>
      <c r="N893"/>
      <c r="O893"/>
      <c r="P893"/>
      <c r="R893"/>
      <c r="S893"/>
      <c r="T893"/>
      <c r="U893"/>
      <c r="V893"/>
      <c r="W893"/>
      <c r="X893"/>
      <c r="Y893"/>
      <c r="Z893"/>
    </row>
    <row r="894" spans="2:26">
      <c r="B894"/>
      <c r="D894"/>
      <c r="E894"/>
      <c r="F894"/>
      <c r="G894"/>
      <c r="H894"/>
      <c r="I894"/>
      <c r="J894"/>
      <c r="K894"/>
      <c r="L894"/>
      <c r="M894"/>
      <c r="N894"/>
      <c r="O894"/>
      <c r="P894"/>
      <c r="R894"/>
      <c r="S894"/>
      <c r="T894"/>
      <c r="U894"/>
      <c r="V894"/>
      <c r="W894"/>
      <c r="X894"/>
      <c r="Y894"/>
      <c r="Z894"/>
    </row>
    <row r="895" spans="2:26">
      <c r="B895"/>
      <c r="D895"/>
      <c r="E895"/>
      <c r="F895"/>
      <c r="G895"/>
      <c r="H895"/>
      <c r="I895"/>
      <c r="J895"/>
      <c r="K895"/>
      <c r="L895"/>
      <c r="M895"/>
      <c r="N895"/>
      <c r="O895"/>
      <c r="P895"/>
      <c r="R895"/>
      <c r="S895"/>
      <c r="T895"/>
      <c r="U895"/>
      <c r="V895"/>
      <c r="W895"/>
      <c r="X895"/>
      <c r="Y895"/>
      <c r="Z895"/>
    </row>
    <row r="896" spans="2:26">
      <c r="B896"/>
      <c r="D896"/>
      <c r="E896"/>
      <c r="F896"/>
      <c r="G896"/>
      <c r="H896"/>
      <c r="I896"/>
      <c r="J896"/>
      <c r="K896"/>
      <c r="L896"/>
      <c r="M896"/>
      <c r="N896"/>
      <c r="O896"/>
      <c r="P896"/>
      <c r="R896"/>
      <c r="S896"/>
      <c r="T896"/>
      <c r="U896"/>
      <c r="V896"/>
      <c r="W896"/>
      <c r="X896"/>
      <c r="Y896"/>
      <c r="Z896"/>
    </row>
    <row r="897" spans="2:26">
      <c r="B897"/>
      <c r="D897"/>
      <c r="E897"/>
      <c r="F897"/>
      <c r="G897"/>
      <c r="H897"/>
      <c r="I897"/>
      <c r="J897"/>
      <c r="K897"/>
      <c r="L897"/>
      <c r="M897"/>
      <c r="N897"/>
      <c r="O897"/>
      <c r="P897"/>
      <c r="R897"/>
      <c r="S897"/>
      <c r="T897"/>
      <c r="U897"/>
      <c r="V897"/>
      <c r="W897"/>
      <c r="X897"/>
      <c r="Y897"/>
      <c r="Z897"/>
    </row>
    <row r="898" spans="2:26">
      <c r="B898"/>
      <c r="D898"/>
      <c r="E898"/>
      <c r="F898"/>
      <c r="G898"/>
      <c r="H898"/>
      <c r="I898"/>
      <c r="J898"/>
      <c r="K898"/>
      <c r="L898"/>
      <c r="M898"/>
      <c r="N898"/>
      <c r="O898"/>
      <c r="P898"/>
      <c r="R898"/>
      <c r="S898"/>
      <c r="T898"/>
      <c r="U898"/>
      <c r="V898"/>
      <c r="W898"/>
      <c r="X898"/>
      <c r="Y898"/>
      <c r="Z898"/>
    </row>
    <row r="899" spans="2:26">
      <c r="B899"/>
      <c r="D899"/>
      <c r="E899"/>
      <c r="F899"/>
      <c r="G899"/>
      <c r="H899"/>
      <c r="I899"/>
      <c r="J899"/>
      <c r="K899"/>
      <c r="L899"/>
      <c r="M899"/>
      <c r="N899"/>
      <c r="O899"/>
      <c r="P899"/>
      <c r="R899"/>
      <c r="S899"/>
      <c r="T899"/>
      <c r="U899"/>
      <c r="V899"/>
      <c r="W899"/>
      <c r="X899"/>
      <c r="Y899"/>
      <c r="Z899"/>
    </row>
    <row r="900" spans="2:26">
      <c r="B900"/>
      <c r="D900"/>
      <c r="E900"/>
      <c r="F900"/>
      <c r="G900"/>
      <c r="H900"/>
      <c r="I900"/>
      <c r="J900"/>
      <c r="K900"/>
      <c r="L900"/>
      <c r="M900"/>
      <c r="N900"/>
      <c r="O900"/>
      <c r="P900"/>
      <c r="R900"/>
      <c r="S900"/>
      <c r="T900"/>
      <c r="U900"/>
      <c r="V900"/>
      <c r="W900"/>
      <c r="X900"/>
      <c r="Y900"/>
      <c r="Z900"/>
    </row>
    <row r="901" spans="2:26">
      <c r="B901"/>
      <c r="D901"/>
      <c r="E901"/>
      <c r="F901"/>
      <c r="G901"/>
      <c r="H901"/>
      <c r="I901"/>
      <c r="J901"/>
      <c r="K901"/>
      <c r="L901"/>
      <c r="M901"/>
      <c r="N901"/>
      <c r="O901"/>
      <c r="P901"/>
      <c r="R901"/>
      <c r="S901"/>
      <c r="T901"/>
      <c r="U901"/>
      <c r="V901"/>
      <c r="W901"/>
      <c r="X901"/>
      <c r="Y901"/>
      <c r="Z901"/>
    </row>
    <row r="902" spans="2:26">
      <c r="B902"/>
      <c r="D902"/>
      <c r="E902"/>
      <c r="F902"/>
      <c r="G902"/>
      <c r="H902"/>
      <c r="I902"/>
      <c r="J902"/>
      <c r="K902"/>
      <c r="L902"/>
      <c r="M902"/>
      <c r="N902"/>
      <c r="O902"/>
      <c r="P902"/>
      <c r="R902"/>
      <c r="S902"/>
      <c r="T902"/>
      <c r="U902"/>
      <c r="V902"/>
      <c r="W902"/>
      <c r="X902"/>
      <c r="Y902"/>
      <c r="Z902"/>
    </row>
    <row r="903" spans="2:26">
      <c r="B903"/>
      <c r="D903"/>
      <c r="E903"/>
      <c r="F903"/>
      <c r="G903"/>
      <c r="H903"/>
      <c r="I903"/>
      <c r="J903"/>
      <c r="K903"/>
      <c r="L903"/>
      <c r="M903"/>
      <c r="N903"/>
      <c r="O903"/>
      <c r="P903"/>
      <c r="R903"/>
      <c r="S903"/>
      <c r="T903"/>
      <c r="U903"/>
      <c r="V903"/>
      <c r="W903"/>
      <c r="X903"/>
      <c r="Y903"/>
      <c r="Z903"/>
    </row>
    <row r="904" spans="2:26">
      <c r="B904"/>
      <c r="D904"/>
      <c r="E904"/>
      <c r="F904"/>
      <c r="G904"/>
      <c r="H904"/>
      <c r="I904"/>
      <c r="J904"/>
      <c r="K904"/>
      <c r="L904"/>
      <c r="M904"/>
      <c r="N904"/>
      <c r="O904"/>
      <c r="P904"/>
      <c r="R904"/>
      <c r="S904"/>
      <c r="T904"/>
      <c r="U904"/>
      <c r="V904"/>
      <c r="W904"/>
      <c r="X904"/>
      <c r="Y904"/>
      <c r="Z904"/>
    </row>
    <row r="905" spans="2:26">
      <c r="B905"/>
      <c r="D905"/>
      <c r="E905"/>
      <c r="F905"/>
      <c r="G905"/>
      <c r="H905"/>
      <c r="I905"/>
      <c r="J905"/>
      <c r="K905"/>
      <c r="L905"/>
      <c r="M905"/>
      <c r="N905"/>
      <c r="O905"/>
      <c r="P905"/>
      <c r="R905"/>
      <c r="S905"/>
      <c r="T905"/>
      <c r="U905"/>
      <c r="V905"/>
      <c r="W905"/>
      <c r="X905"/>
      <c r="Y905"/>
      <c r="Z905"/>
    </row>
    <row r="906" spans="2:26">
      <c r="B906"/>
      <c r="D906"/>
      <c r="E906"/>
      <c r="F906"/>
      <c r="G906"/>
      <c r="H906"/>
      <c r="I906"/>
      <c r="J906"/>
      <c r="K906"/>
      <c r="L906"/>
      <c r="M906"/>
      <c r="N906"/>
      <c r="O906"/>
      <c r="P906"/>
      <c r="R906"/>
      <c r="S906"/>
      <c r="T906"/>
      <c r="U906"/>
      <c r="V906"/>
      <c r="W906"/>
      <c r="X906"/>
      <c r="Y906"/>
      <c r="Z906"/>
    </row>
    <row r="907" spans="2:26">
      <c r="B907"/>
      <c r="D907"/>
      <c r="E907"/>
      <c r="F907"/>
      <c r="G907"/>
      <c r="H907"/>
      <c r="I907"/>
      <c r="J907"/>
      <c r="K907"/>
      <c r="L907"/>
      <c r="M907"/>
      <c r="N907"/>
      <c r="O907"/>
      <c r="P907"/>
      <c r="R907"/>
      <c r="S907"/>
      <c r="T907"/>
      <c r="U907"/>
      <c r="V907"/>
      <c r="W907"/>
      <c r="X907"/>
      <c r="Y907"/>
      <c r="Z907"/>
    </row>
    <row r="908" spans="2:26">
      <c r="B908"/>
      <c r="D908"/>
      <c r="E908"/>
      <c r="F908"/>
      <c r="G908"/>
      <c r="H908"/>
      <c r="I908"/>
      <c r="J908"/>
      <c r="K908"/>
      <c r="L908"/>
      <c r="M908"/>
      <c r="N908"/>
      <c r="O908"/>
      <c r="P908"/>
      <c r="R908"/>
      <c r="S908"/>
      <c r="T908"/>
      <c r="U908"/>
      <c r="V908"/>
      <c r="W908"/>
      <c r="X908"/>
      <c r="Y908"/>
      <c r="Z908"/>
    </row>
    <row r="909" spans="2:26">
      <c r="B909"/>
      <c r="D909"/>
      <c r="E909"/>
      <c r="F909"/>
      <c r="G909"/>
      <c r="H909"/>
      <c r="I909"/>
      <c r="J909"/>
      <c r="K909"/>
      <c r="L909"/>
      <c r="M909"/>
      <c r="N909"/>
      <c r="O909"/>
      <c r="P909"/>
      <c r="R909"/>
      <c r="S909"/>
      <c r="T909"/>
      <c r="U909"/>
      <c r="V909"/>
      <c r="W909"/>
      <c r="X909"/>
      <c r="Y909"/>
      <c r="Z909"/>
    </row>
    <row r="910" spans="2:26">
      <c r="B910"/>
      <c r="D910"/>
      <c r="E910"/>
      <c r="F910"/>
      <c r="G910"/>
      <c r="H910"/>
      <c r="I910"/>
      <c r="J910"/>
      <c r="K910"/>
      <c r="L910"/>
      <c r="M910"/>
      <c r="N910"/>
      <c r="O910"/>
      <c r="P910"/>
      <c r="R910"/>
      <c r="S910"/>
      <c r="T910"/>
      <c r="U910"/>
      <c r="V910"/>
      <c r="W910"/>
      <c r="X910"/>
      <c r="Y910"/>
      <c r="Z910"/>
    </row>
    <row r="911" spans="2:26">
      <c r="B911"/>
      <c r="D911"/>
      <c r="E911"/>
      <c r="F911"/>
      <c r="G911"/>
      <c r="H911"/>
      <c r="I911"/>
      <c r="J911"/>
      <c r="K911"/>
      <c r="L911"/>
      <c r="M911"/>
      <c r="N911"/>
      <c r="O911"/>
      <c r="P911"/>
      <c r="R911"/>
      <c r="S911"/>
      <c r="T911"/>
      <c r="U911"/>
      <c r="V911"/>
      <c r="W911"/>
      <c r="X911"/>
      <c r="Y911"/>
      <c r="Z911"/>
    </row>
    <row r="912" spans="2:26">
      <c r="B912"/>
      <c r="D912"/>
      <c r="E912"/>
      <c r="F912"/>
      <c r="G912"/>
      <c r="H912"/>
      <c r="I912"/>
      <c r="J912"/>
      <c r="K912"/>
      <c r="L912"/>
      <c r="M912"/>
      <c r="N912"/>
      <c r="O912"/>
      <c r="P912"/>
      <c r="R912"/>
      <c r="S912"/>
      <c r="T912"/>
      <c r="U912"/>
      <c r="V912"/>
      <c r="W912"/>
      <c r="X912"/>
      <c r="Y912"/>
      <c r="Z912"/>
    </row>
    <row r="913" spans="2:26">
      <c r="B913"/>
      <c r="D913"/>
      <c r="E913"/>
      <c r="F913"/>
      <c r="G913"/>
      <c r="H913"/>
      <c r="I913"/>
      <c r="J913"/>
      <c r="K913"/>
      <c r="L913"/>
      <c r="M913"/>
      <c r="N913"/>
      <c r="O913"/>
      <c r="P913"/>
      <c r="R913"/>
      <c r="S913"/>
      <c r="T913"/>
      <c r="U913"/>
      <c r="V913"/>
      <c r="W913"/>
      <c r="X913"/>
      <c r="Y913"/>
      <c r="Z913"/>
    </row>
    <row r="914" spans="2:26">
      <c r="B914"/>
      <c r="D914"/>
      <c r="E914"/>
      <c r="F914"/>
      <c r="G914"/>
      <c r="H914"/>
      <c r="I914"/>
      <c r="J914"/>
      <c r="K914"/>
      <c r="L914"/>
      <c r="M914"/>
      <c r="N914"/>
      <c r="O914"/>
      <c r="P914"/>
      <c r="R914"/>
      <c r="S914"/>
      <c r="T914"/>
      <c r="U914"/>
      <c r="V914"/>
      <c r="W914"/>
      <c r="X914"/>
      <c r="Y914"/>
      <c r="Z914"/>
    </row>
    <row r="915" spans="2:26">
      <c r="B915"/>
      <c r="D915"/>
      <c r="E915"/>
      <c r="F915"/>
      <c r="G915"/>
      <c r="H915"/>
      <c r="I915"/>
      <c r="J915"/>
      <c r="K915"/>
      <c r="L915"/>
      <c r="M915"/>
      <c r="N915"/>
      <c r="O915"/>
      <c r="P915"/>
      <c r="R915"/>
      <c r="S915"/>
      <c r="T915"/>
      <c r="U915"/>
      <c r="V915"/>
      <c r="W915"/>
      <c r="X915"/>
      <c r="Y915"/>
      <c r="Z915"/>
    </row>
    <row r="916" spans="2:26">
      <c r="B916"/>
      <c r="D916"/>
      <c r="E916"/>
      <c r="F916"/>
      <c r="G916"/>
      <c r="H916"/>
      <c r="I916"/>
      <c r="J916"/>
      <c r="K916"/>
      <c r="L916"/>
      <c r="M916"/>
      <c r="N916"/>
      <c r="O916"/>
      <c r="P916"/>
      <c r="R916"/>
      <c r="S916"/>
      <c r="T916"/>
      <c r="U916"/>
      <c r="V916"/>
      <c r="W916"/>
      <c r="X916"/>
      <c r="Y916"/>
      <c r="Z916"/>
    </row>
    <row r="917" spans="2:26">
      <c r="B917"/>
      <c r="D917"/>
      <c r="E917"/>
      <c r="F917"/>
      <c r="G917"/>
      <c r="H917"/>
      <c r="I917"/>
      <c r="J917"/>
      <c r="K917"/>
      <c r="L917"/>
      <c r="M917"/>
      <c r="N917"/>
      <c r="O917"/>
      <c r="P917"/>
      <c r="R917"/>
      <c r="S917"/>
      <c r="T917"/>
      <c r="U917"/>
      <c r="V917"/>
      <c r="W917"/>
      <c r="X917"/>
      <c r="Y917"/>
      <c r="Z917"/>
    </row>
    <row r="918" spans="2:26">
      <c r="B918"/>
      <c r="D918"/>
      <c r="E918"/>
      <c r="F918"/>
      <c r="G918"/>
      <c r="H918"/>
      <c r="I918"/>
      <c r="J918"/>
      <c r="K918"/>
      <c r="L918"/>
      <c r="M918"/>
      <c r="N918"/>
      <c r="O918"/>
      <c r="P918"/>
      <c r="R918"/>
      <c r="S918"/>
      <c r="T918"/>
      <c r="U918"/>
      <c r="V918"/>
      <c r="W918"/>
      <c r="X918"/>
      <c r="Y918"/>
      <c r="Z918"/>
    </row>
    <row r="919" spans="2:26">
      <c r="B919"/>
      <c r="D919"/>
      <c r="E919"/>
      <c r="F919"/>
      <c r="G919"/>
      <c r="H919"/>
      <c r="I919"/>
      <c r="J919"/>
      <c r="K919"/>
      <c r="L919"/>
      <c r="M919"/>
      <c r="N919"/>
      <c r="O919"/>
      <c r="P919"/>
      <c r="R919"/>
      <c r="S919"/>
      <c r="T919"/>
      <c r="U919"/>
      <c r="V919"/>
      <c r="W919"/>
      <c r="X919"/>
      <c r="Y919"/>
      <c r="Z919"/>
    </row>
    <row r="920" spans="2:26">
      <c r="B920"/>
      <c r="D920"/>
      <c r="E920"/>
      <c r="F920"/>
      <c r="G920"/>
      <c r="H920"/>
      <c r="I920"/>
      <c r="J920"/>
      <c r="K920"/>
      <c r="L920"/>
      <c r="M920"/>
      <c r="N920"/>
      <c r="O920"/>
      <c r="P920"/>
      <c r="R920"/>
      <c r="S920"/>
      <c r="T920"/>
      <c r="U920"/>
      <c r="V920"/>
      <c r="W920"/>
      <c r="X920"/>
      <c r="Y920"/>
      <c r="Z920"/>
    </row>
    <row r="921" spans="2:26">
      <c r="B921"/>
      <c r="D921"/>
      <c r="E921"/>
      <c r="F921"/>
      <c r="G921"/>
      <c r="H921"/>
      <c r="I921"/>
      <c r="J921"/>
      <c r="K921"/>
      <c r="L921"/>
      <c r="M921"/>
      <c r="N921"/>
      <c r="O921"/>
      <c r="P921"/>
      <c r="R921"/>
      <c r="S921"/>
      <c r="T921"/>
      <c r="U921"/>
      <c r="V921"/>
      <c r="W921"/>
      <c r="X921"/>
      <c r="Y921"/>
      <c r="Z921"/>
    </row>
    <row r="922" spans="2:26">
      <c r="B922"/>
      <c r="D922"/>
      <c r="E922"/>
      <c r="F922"/>
      <c r="G922"/>
      <c r="H922"/>
      <c r="I922"/>
      <c r="J922"/>
      <c r="K922"/>
      <c r="L922"/>
      <c r="M922"/>
      <c r="N922"/>
      <c r="O922"/>
      <c r="P922"/>
      <c r="R922"/>
      <c r="S922"/>
      <c r="T922"/>
      <c r="U922"/>
      <c r="V922"/>
      <c r="W922"/>
      <c r="X922"/>
      <c r="Y922"/>
      <c r="Z922"/>
    </row>
    <row r="923" spans="2:26">
      <c r="B923"/>
      <c r="D923"/>
      <c r="E923"/>
      <c r="F923"/>
      <c r="G923"/>
      <c r="H923"/>
      <c r="I923"/>
      <c r="J923"/>
      <c r="K923"/>
      <c r="L923"/>
      <c r="M923"/>
      <c r="N923"/>
      <c r="O923"/>
      <c r="P923"/>
      <c r="R923"/>
      <c r="S923"/>
      <c r="T923"/>
      <c r="U923"/>
      <c r="V923"/>
      <c r="W923"/>
      <c r="X923"/>
      <c r="Y923"/>
      <c r="Z923"/>
    </row>
    <row r="924" spans="2:26">
      <c r="B924"/>
      <c r="D924"/>
      <c r="E924"/>
      <c r="F924"/>
      <c r="G924"/>
      <c r="H924"/>
      <c r="I924"/>
      <c r="J924"/>
      <c r="K924"/>
      <c r="L924"/>
      <c r="M924"/>
      <c r="N924"/>
      <c r="O924"/>
      <c r="P924"/>
      <c r="R924"/>
      <c r="S924"/>
      <c r="T924"/>
      <c r="U924"/>
      <c r="V924"/>
      <c r="W924"/>
      <c r="X924"/>
      <c r="Y924"/>
      <c r="Z924"/>
    </row>
    <row r="925" spans="2:26">
      <c r="B925"/>
      <c r="D925"/>
      <c r="E925"/>
      <c r="F925"/>
      <c r="G925"/>
      <c r="H925"/>
      <c r="I925"/>
      <c r="J925"/>
      <c r="K925"/>
      <c r="L925"/>
      <c r="M925"/>
      <c r="N925"/>
      <c r="O925"/>
      <c r="P925"/>
      <c r="R925"/>
      <c r="S925"/>
      <c r="T925"/>
      <c r="U925"/>
      <c r="V925"/>
      <c r="W925"/>
      <c r="X925"/>
      <c r="Y925"/>
      <c r="Z925"/>
    </row>
    <row r="926" spans="2:26">
      <c r="B926"/>
      <c r="D926"/>
      <c r="E926"/>
      <c r="F926"/>
      <c r="G926"/>
      <c r="H926"/>
      <c r="I926"/>
      <c r="J926"/>
      <c r="K926"/>
      <c r="L926"/>
      <c r="M926"/>
      <c r="N926"/>
      <c r="O926"/>
      <c r="P926"/>
      <c r="R926"/>
      <c r="S926"/>
      <c r="T926"/>
      <c r="U926"/>
      <c r="V926"/>
      <c r="W926"/>
      <c r="X926"/>
      <c r="Y926"/>
      <c r="Z926"/>
    </row>
    <row r="927" spans="2:26">
      <c r="B927"/>
      <c r="D927"/>
      <c r="E927"/>
      <c r="F927"/>
      <c r="G927"/>
      <c r="H927"/>
      <c r="I927"/>
      <c r="J927"/>
      <c r="K927"/>
      <c r="L927"/>
      <c r="M927"/>
      <c r="N927"/>
      <c r="O927"/>
      <c r="P927"/>
      <c r="R927"/>
      <c r="S927"/>
      <c r="T927"/>
      <c r="U927"/>
      <c r="V927"/>
      <c r="W927"/>
      <c r="X927"/>
      <c r="Y927"/>
      <c r="Z927"/>
    </row>
    <row r="928" spans="2:26">
      <c r="B928"/>
      <c r="D928"/>
      <c r="E928"/>
      <c r="F928"/>
      <c r="G928"/>
      <c r="H928"/>
      <c r="I928"/>
      <c r="J928"/>
      <c r="K928"/>
      <c r="L928"/>
      <c r="M928"/>
      <c r="N928"/>
      <c r="O928"/>
      <c r="P928"/>
      <c r="R928"/>
      <c r="S928"/>
      <c r="T928"/>
      <c r="U928"/>
      <c r="V928"/>
      <c r="W928"/>
      <c r="X928"/>
      <c r="Y928"/>
      <c r="Z928"/>
    </row>
    <row r="929" spans="2:26">
      <c r="B929"/>
      <c r="D929"/>
      <c r="E929"/>
      <c r="F929"/>
      <c r="G929"/>
      <c r="H929"/>
      <c r="I929"/>
      <c r="J929"/>
      <c r="K929"/>
      <c r="L929"/>
      <c r="M929"/>
      <c r="N929"/>
      <c r="O929"/>
      <c r="P929"/>
      <c r="R929"/>
      <c r="S929"/>
      <c r="T929"/>
      <c r="U929"/>
      <c r="V929"/>
      <c r="W929"/>
      <c r="X929"/>
      <c r="Y929"/>
      <c r="Z929"/>
    </row>
    <row r="930" spans="2:26">
      <c r="B930"/>
      <c r="D930"/>
      <c r="E930"/>
      <c r="F930"/>
      <c r="G930"/>
      <c r="H930"/>
      <c r="I930"/>
      <c r="J930"/>
      <c r="K930"/>
      <c r="L930"/>
      <c r="M930"/>
      <c r="N930"/>
      <c r="O930"/>
      <c r="P930"/>
      <c r="R930"/>
      <c r="S930"/>
      <c r="T930"/>
      <c r="U930"/>
      <c r="V930"/>
      <c r="W930"/>
      <c r="X930"/>
      <c r="Y930"/>
      <c r="Z930"/>
    </row>
    <row r="931" spans="2:26">
      <c r="B931"/>
      <c r="D931"/>
      <c r="E931"/>
      <c r="F931"/>
      <c r="G931"/>
      <c r="H931"/>
      <c r="I931"/>
      <c r="J931"/>
      <c r="K931"/>
      <c r="L931"/>
      <c r="M931"/>
      <c r="N931"/>
      <c r="O931"/>
      <c r="P931"/>
      <c r="R931"/>
      <c r="S931"/>
      <c r="T931"/>
      <c r="U931"/>
      <c r="V931"/>
      <c r="W931"/>
      <c r="X931"/>
      <c r="Y931"/>
      <c r="Z931"/>
    </row>
    <row r="932" spans="2:26">
      <c r="B932"/>
      <c r="D932"/>
      <c r="E932"/>
      <c r="F932"/>
      <c r="G932"/>
      <c r="H932"/>
      <c r="I932"/>
      <c r="J932"/>
      <c r="K932"/>
      <c r="L932"/>
      <c r="M932"/>
      <c r="N932"/>
      <c r="O932"/>
      <c r="P932"/>
      <c r="R932"/>
      <c r="S932"/>
      <c r="T932"/>
      <c r="U932"/>
      <c r="V932"/>
      <c r="W932"/>
      <c r="X932"/>
      <c r="Y932"/>
      <c r="Z932"/>
    </row>
    <row r="933" spans="2:26">
      <c r="B933"/>
      <c r="D933"/>
      <c r="E933"/>
      <c r="F933"/>
      <c r="G933"/>
      <c r="H933"/>
      <c r="I933"/>
      <c r="J933"/>
      <c r="K933"/>
      <c r="L933"/>
      <c r="M933"/>
      <c r="N933"/>
      <c r="O933"/>
      <c r="P933"/>
      <c r="R933"/>
      <c r="S933"/>
      <c r="T933"/>
      <c r="U933"/>
      <c r="V933"/>
      <c r="W933"/>
      <c r="X933"/>
      <c r="Y933"/>
      <c r="Z933"/>
    </row>
    <row r="934" spans="2:26">
      <c r="B934"/>
      <c r="D934"/>
      <c r="E934"/>
      <c r="F934"/>
      <c r="G934"/>
      <c r="H934"/>
      <c r="I934"/>
      <c r="J934"/>
      <c r="K934"/>
      <c r="L934"/>
      <c r="M934"/>
      <c r="N934"/>
      <c r="O934"/>
      <c r="P934"/>
      <c r="R934"/>
      <c r="S934"/>
      <c r="T934"/>
      <c r="U934"/>
      <c r="V934"/>
      <c r="W934"/>
      <c r="X934"/>
      <c r="Y934"/>
      <c r="Z934"/>
    </row>
    <row r="935" spans="2:26">
      <c r="B935"/>
      <c r="D935"/>
      <c r="E935"/>
      <c r="F935"/>
      <c r="G935"/>
      <c r="H935"/>
      <c r="I935"/>
      <c r="J935"/>
      <c r="K935"/>
      <c r="L935"/>
      <c r="M935"/>
      <c r="N935"/>
      <c r="O935"/>
      <c r="P935"/>
      <c r="R935"/>
      <c r="S935"/>
      <c r="T935"/>
      <c r="U935"/>
      <c r="V935"/>
      <c r="W935"/>
      <c r="X935"/>
      <c r="Y935"/>
      <c r="Z935"/>
    </row>
    <row r="936" spans="2:26">
      <c r="B936"/>
      <c r="D936"/>
      <c r="E936"/>
      <c r="F936"/>
      <c r="G936"/>
      <c r="H936"/>
      <c r="I936"/>
      <c r="J936"/>
      <c r="K936"/>
      <c r="L936"/>
      <c r="M936"/>
      <c r="N936"/>
      <c r="O936"/>
      <c r="P936"/>
      <c r="R936"/>
      <c r="S936"/>
      <c r="T936"/>
      <c r="U936"/>
      <c r="V936"/>
      <c r="W936"/>
      <c r="X936"/>
      <c r="Y936"/>
      <c r="Z936"/>
    </row>
    <row r="937" spans="2:26">
      <c r="B937"/>
      <c r="D937"/>
      <c r="E937"/>
      <c r="F937"/>
      <c r="G937"/>
      <c r="H937"/>
      <c r="I937"/>
      <c r="J937"/>
      <c r="K937"/>
      <c r="L937"/>
      <c r="M937"/>
      <c r="N937"/>
      <c r="O937"/>
      <c r="P937"/>
      <c r="R937"/>
      <c r="S937"/>
      <c r="T937"/>
      <c r="U937"/>
      <c r="V937"/>
      <c r="W937"/>
      <c r="X937"/>
      <c r="Y937"/>
      <c r="Z937"/>
    </row>
    <row r="938" spans="2:26">
      <c r="B938"/>
      <c r="D938"/>
      <c r="E938"/>
      <c r="F938"/>
      <c r="G938"/>
      <c r="H938"/>
      <c r="I938"/>
      <c r="J938"/>
      <c r="K938"/>
      <c r="L938"/>
      <c r="M938"/>
      <c r="N938"/>
      <c r="O938"/>
      <c r="P938"/>
      <c r="R938"/>
      <c r="S938"/>
      <c r="T938"/>
      <c r="U938"/>
      <c r="V938"/>
      <c r="W938"/>
      <c r="X938"/>
      <c r="Y938"/>
      <c r="Z938"/>
    </row>
    <row r="939" spans="2:26">
      <c r="B939"/>
      <c r="D939"/>
      <c r="E939"/>
      <c r="F939"/>
      <c r="G939"/>
      <c r="H939"/>
      <c r="I939"/>
      <c r="J939"/>
      <c r="K939"/>
      <c r="L939"/>
      <c r="M939"/>
      <c r="N939"/>
      <c r="O939"/>
      <c r="P939"/>
      <c r="R939"/>
      <c r="S939"/>
      <c r="T939"/>
      <c r="U939"/>
      <c r="V939"/>
      <c r="W939"/>
      <c r="X939"/>
      <c r="Y939"/>
      <c r="Z939"/>
    </row>
    <row r="940" spans="2:26">
      <c r="B940"/>
      <c r="D940"/>
      <c r="E940"/>
      <c r="F940"/>
      <c r="G940"/>
      <c r="H940"/>
      <c r="I940"/>
      <c r="J940"/>
      <c r="K940"/>
      <c r="L940"/>
      <c r="M940"/>
      <c r="N940"/>
      <c r="O940"/>
      <c r="P940"/>
      <c r="R940"/>
      <c r="S940"/>
      <c r="T940"/>
      <c r="U940"/>
      <c r="V940"/>
      <c r="W940"/>
      <c r="X940"/>
      <c r="Y940"/>
      <c r="Z940"/>
    </row>
    <row r="941" spans="2:26">
      <c r="B941"/>
      <c r="D941"/>
      <c r="E941"/>
      <c r="F941"/>
      <c r="G941"/>
      <c r="H941"/>
      <c r="I941"/>
      <c r="J941"/>
      <c r="K941"/>
      <c r="L941"/>
      <c r="M941"/>
      <c r="N941"/>
      <c r="O941"/>
      <c r="P941"/>
      <c r="R941"/>
      <c r="S941"/>
      <c r="T941"/>
      <c r="U941"/>
      <c r="V941"/>
      <c r="W941"/>
      <c r="X941"/>
      <c r="Y941"/>
      <c r="Z941"/>
    </row>
    <row r="942" spans="2:26">
      <c r="B942"/>
      <c r="D942"/>
      <c r="E942"/>
      <c r="F942"/>
      <c r="G942"/>
      <c r="H942"/>
      <c r="I942"/>
      <c r="J942"/>
      <c r="K942"/>
      <c r="L942"/>
      <c r="M942"/>
      <c r="N942"/>
      <c r="O942"/>
      <c r="P942"/>
      <c r="R942"/>
      <c r="S942"/>
      <c r="T942"/>
      <c r="U942"/>
      <c r="V942"/>
      <c r="W942"/>
      <c r="X942"/>
      <c r="Y942"/>
      <c r="Z942"/>
    </row>
    <row r="943" spans="2:26">
      <c r="B943"/>
      <c r="D943"/>
      <c r="E943"/>
      <c r="F943"/>
      <c r="G943"/>
      <c r="H943"/>
      <c r="I943"/>
      <c r="J943"/>
      <c r="K943"/>
      <c r="L943"/>
      <c r="M943"/>
      <c r="N943"/>
      <c r="O943"/>
      <c r="P943"/>
      <c r="R943"/>
      <c r="S943"/>
      <c r="T943"/>
      <c r="U943"/>
      <c r="V943"/>
      <c r="W943"/>
      <c r="X943"/>
      <c r="Y943"/>
      <c r="Z943"/>
    </row>
    <row r="944" spans="2:26">
      <c r="B944"/>
      <c r="D944"/>
      <c r="E944"/>
      <c r="F944"/>
      <c r="G944"/>
      <c r="H944"/>
      <c r="I944"/>
      <c r="J944"/>
      <c r="K944"/>
      <c r="L944"/>
      <c r="M944"/>
      <c r="N944"/>
      <c r="O944"/>
      <c r="P944"/>
      <c r="R944"/>
      <c r="S944"/>
      <c r="T944"/>
      <c r="U944"/>
      <c r="V944"/>
      <c r="W944"/>
      <c r="X944"/>
      <c r="Y944"/>
      <c r="Z944"/>
    </row>
    <row r="945" spans="2:26">
      <c r="B945"/>
      <c r="D945"/>
      <c r="E945"/>
      <c r="F945"/>
      <c r="G945"/>
      <c r="H945"/>
      <c r="I945"/>
      <c r="J945"/>
      <c r="K945"/>
      <c r="L945"/>
      <c r="M945"/>
      <c r="N945"/>
      <c r="O945"/>
      <c r="P945"/>
      <c r="R945"/>
      <c r="S945"/>
      <c r="T945"/>
      <c r="U945"/>
      <c r="V945"/>
      <c r="W945"/>
      <c r="X945"/>
      <c r="Y945"/>
      <c r="Z945"/>
    </row>
    <row r="946" spans="2:26">
      <c r="B946"/>
      <c r="D946"/>
      <c r="E946"/>
      <c r="F946"/>
      <c r="G946"/>
      <c r="H946"/>
      <c r="I946"/>
      <c r="J946"/>
      <c r="K946"/>
      <c r="L946"/>
      <c r="M946"/>
      <c r="N946"/>
      <c r="O946"/>
      <c r="P946"/>
      <c r="R946"/>
      <c r="S946"/>
      <c r="T946"/>
      <c r="U946"/>
      <c r="V946"/>
      <c r="W946"/>
      <c r="X946"/>
      <c r="Y946"/>
      <c r="Z946"/>
    </row>
    <row r="947" spans="2:26">
      <c r="B947"/>
      <c r="D947"/>
      <c r="E947"/>
      <c r="F947"/>
      <c r="G947"/>
      <c r="H947"/>
      <c r="I947"/>
      <c r="J947"/>
      <c r="K947"/>
      <c r="L947"/>
      <c r="M947"/>
      <c r="N947"/>
      <c r="O947"/>
      <c r="P947"/>
      <c r="R947"/>
      <c r="S947"/>
      <c r="T947"/>
      <c r="U947"/>
      <c r="V947"/>
      <c r="W947"/>
      <c r="X947"/>
      <c r="Y947"/>
      <c r="Z947"/>
    </row>
    <row r="948" spans="2:26">
      <c r="B948"/>
      <c r="D948"/>
      <c r="E948"/>
      <c r="F948"/>
      <c r="G948"/>
      <c r="H948"/>
      <c r="I948"/>
      <c r="J948"/>
      <c r="K948"/>
      <c r="L948"/>
      <c r="M948"/>
      <c r="N948"/>
      <c r="O948"/>
      <c r="P948"/>
      <c r="R948"/>
      <c r="S948"/>
      <c r="T948"/>
      <c r="U948"/>
      <c r="V948"/>
      <c r="W948"/>
      <c r="X948"/>
      <c r="Y948"/>
      <c r="Z948"/>
    </row>
    <row r="949" spans="2:26">
      <c r="B949"/>
      <c r="D949"/>
      <c r="E949"/>
      <c r="F949"/>
      <c r="G949"/>
      <c r="H949"/>
      <c r="I949"/>
      <c r="J949"/>
      <c r="K949"/>
      <c r="L949"/>
      <c r="M949"/>
      <c r="N949"/>
      <c r="O949"/>
      <c r="P949"/>
      <c r="R949"/>
      <c r="S949"/>
      <c r="T949"/>
      <c r="U949"/>
      <c r="V949"/>
      <c r="W949"/>
      <c r="X949"/>
      <c r="Y949"/>
      <c r="Z949"/>
    </row>
    <row r="950" spans="2:26">
      <c r="B950"/>
      <c r="D950"/>
      <c r="E950"/>
      <c r="F950"/>
      <c r="G950"/>
      <c r="H950"/>
      <c r="I950"/>
      <c r="J950"/>
      <c r="K950"/>
      <c r="L950"/>
      <c r="M950"/>
      <c r="N950"/>
      <c r="O950"/>
      <c r="P950"/>
      <c r="R950"/>
      <c r="S950"/>
      <c r="T950"/>
      <c r="U950"/>
      <c r="V950"/>
      <c r="W950"/>
      <c r="X950"/>
      <c r="Y950"/>
      <c r="Z950"/>
    </row>
    <row r="951" spans="2:26">
      <c r="B951"/>
      <c r="D951"/>
      <c r="E951"/>
      <c r="F951"/>
      <c r="G951"/>
      <c r="H951"/>
      <c r="I951"/>
      <c r="J951"/>
      <c r="K951"/>
      <c r="L951"/>
      <c r="M951"/>
      <c r="N951"/>
      <c r="O951"/>
      <c r="P951"/>
      <c r="R951"/>
      <c r="S951"/>
      <c r="T951"/>
      <c r="U951"/>
      <c r="V951"/>
      <c r="W951"/>
      <c r="X951"/>
      <c r="Y951"/>
      <c r="Z951"/>
    </row>
    <row r="952" spans="2:26">
      <c r="B952"/>
      <c r="D952"/>
      <c r="E952"/>
      <c r="F952"/>
      <c r="G952"/>
      <c r="H952"/>
      <c r="I952"/>
      <c r="J952"/>
      <c r="K952"/>
      <c r="L952"/>
      <c r="M952"/>
      <c r="N952"/>
      <c r="O952"/>
      <c r="P952"/>
      <c r="R952"/>
      <c r="S952"/>
      <c r="T952"/>
      <c r="U952"/>
      <c r="V952"/>
      <c r="W952"/>
      <c r="X952"/>
      <c r="Y952"/>
      <c r="Z952"/>
    </row>
    <row r="953" spans="2:26">
      <c r="B953"/>
      <c r="D953"/>
      <c r="E953"/>
      <c r="F953"/>
      <c r="G953"/>
      <c r="H953"/>
      <c r="I953"/>
      <c r="J953"/>
      <c r="K953"/>
      <c r="L953"/>
      <c r="M953"/>
      <c r="N953"/>
      <c r="O953"/>
      <c r="P953"/>
      <c r="R953"/>
      <c r="S953"/>
      <c r="T953"/>
      <c r="U953"/>
      <c r="V953"/>
      <c r="W953"/>
      <c r="X953"/>
      <c r="Y953"/>
      <c r="Z953"/>
    </row>
    <row r="954" spans="2:26">
      <c r="B954"/>
      <c r="D954"/>
      <c r="E954"/>
      <c r="F954"/>
      <c r="G954"/>
      <c r="H954"/>
      <c r="I954"/>
      <c r="J954"/>
      <c r="K954"/>
      <c r="L954"/>
      <c r="M954"/>
      <c r="N954"/>
      <c r="O954"/>
      <c r="P954"/>
      <c r="R954"/>
      <c r="S954"/>
      <c r="T954"/>
      <c r="U954"/>
      <c r="V954"/>
      <c r="W954"/>
      <c r="X954"/>
      <c r="Y954"/>
      <c r="Z954"/>
    </row>
    <row r="955" spans="2:26">
      <c r="B955"/>
      <c r="D955"/>
      <c r="E955"/>
      <c r="F955"/>
      <c r="G955"/>
      <c r="H955"/>
      <c r="I955"/>
      <c r="J955"/>
      <c r="K955"/>
      <c r="L955"/>
      <c r="M955"/>
      <c r="N955"/>
      <c r="O955"/>
      <c r="P955"/>
      <c r="R955"/>
      <c r="S955"/>
      <c r="T955"/>
      <c r="U955"/>
      <c r="V955"/>
      <c r="W955"/>
      <c r="X955"/>
      <c r="Y955"/>
      <c r="Z955"/>
    </row>
    <row r="956" spans="2:26">
      <c r="B956"/>
      <c r="D956"/>
      <c r="E956"/>
      <c r="F956"/>
      <c r="G956"/>
      <c r="H956"/>
      <c r="I956"/>
      <c r="J956"/>
      <c r="K956"/>
      <c r="L956"/>
      <c r="M956"/>
      <c r="N956"/>
      <c r="O956"/>
      <c r="P956"/>
      <c r="R956"/>
      <c r="S956"/>
      <c r="T956"/>
      <c r="U956"/>
      <c r="V956"/>
      <c r="W956"/>
      <c r="X956"/>
      <c r="Y956"/>
      <c r="Z956"/>
    </row>
    <row r="957" spans="2:26">
      <c r="B957"/>
      <c r="D957"/>
      <c r="E957"/>
      <c r="F957"/>
      <c r="G957"/>
      <c r="H957"/>
      <c r="I957"/>
      <c r="J957"/>
      <c r="K957"/>
      <c r="L957"/>
      <c r="M957"/>
      <c r="N957"/>
      <c r="O957"/>
      <c r="P957"/>
      <c r="R957"/>
      <c r="S957"/>
      <c r="T957"/>
      <c r="U957"/>
      <c r="V957"/>
      <c r="W957"/>
      <c r="X957"/>
      <c r="Y957"/>
      <c r="Z957"/>
    </row>
    <row r="958" spans="2:26">
      <c r="B958"/>
      <c r="D958"/>
      <c r="E958"/>
      <c r="F958"/>
      <c r="G958"/>
      <c r="H958"/>
      <c r="I958"/>
      <c r="J958"/>
      <c r="K958"/>
      <c r="L958"/>
      <c r="M958"/>
      <c r="N958"/>
      <c r="O958"/>
      <c r="P958"/>
      <c r="R958"/>
      <c r="S958"/>
      <c r="T958"/>
      <c r="U958"/>
      <c r="V958"/>
      <c r="W958"/>
      <c r="X958"/>
      <c r="Y958"/>
      <c r="Z958"/>
    </row>
    <row r="959" spans="2:26">
      <c r="B959"/>
      <c r="D959"/>
      <c r="E959"/>
      <c r="F959"/>
      <c r="G959"/>
      <c r="H959"/>
      <c r="I959"/>
      <c r="J959"/>
      <c r="K959"/>
      <c r="L959"/>
      <c r="M959"/>
      <c r="N959"/>
      <c r="O959"/>
      <c r="P959"/>
      <c r="R959"/>
      <c r="S959"/>
      <c r="T959"/>
      <c r="U959"/>
      <c r="V959"/>
      <c r="W959"/>
      <c r="X959"/>
      <c r="Y959"/>
      <c r="Z959"/>
    </row>
    <row r="960" spans="2:26">
      <c r="B960"/>
      <c r="D960"/>
      <c r="E960"/>
      <c r="F960"/>
      <c r="G960"/>
      <c r="H960"/>
      <c r="I960"/>
      <c r="J960"/>
      <c r="K960"/>
      <c r="L960"/>
      <c r="M960"/>
      <c r="N960"/>
      <c r="O960"/>
      <c r="P960"/>
      <c r="R960"/>
      <c r="S960"/>
      <c r="T960"/>
      <c r="U960"/>
      <c r="V960"/>
      <c r="W960"/>
      <c r="X960"/>
      <c r="Y960"/>
      <c r="Z960"/>
    </row>
    <row r="961" spans="2:26">
      <c r="B961"/>
      <c r="D961"/>
      <c r="E961"/>
      <c r="F961"/>
      <c r="G961"/>
      <c r="H961"/>
      <c r="I961"/>
      <c r="J961"/>
      <c r="K961"/>
      <c r="L961"/>
      <c r="M961"/>
      <c r="N961"/>
      <c r="O961"/>
      <c r="P961"/>
      <c r="R961"/>
      <c r="S961"/>
      <c r="T961"/>
      <c r="U961"/>
      <c r="V961"/>
      <c r="W961"/>
      <c r="X961"/>
      <c r="Y961"/>
      <c r="Z961"/>
    </row>
    <row r="962" spans="2:26">
      <c r="B962"/>
      <c r="D962"/>
      <c r="E962"/>
      <c r="F962"/>
      <c r="G962"/>
      <c r="H962"/>
      <c r="I962"/>
      <c r="J962"/>
      <c r="K962"/>
      <c r="L962"/>
      <c r="M962"/>
      <c r="N962"/>
      <c r="O962"/>
      <c r="P962"/>
      <c r="R962"/>
      <c r="S962"/>
      <c r="T962"/>
      <c r="U962"/>
      <c r="V962"/>
      <c r="W962"/>
      <c r="X962"/>
      <c r="Y962"/>
      <c r="Z962"/>
    </row>
    <row r="963" spans="2:26">
      <c r="B963"/>
      <c r="D963"/>
      <c r="E963"/>
      <c r="F963"/>
      <c r="G963"/>
      <c r="H963"/>
      <c r="I963"/>
      <c r="J963"/>
      <c r="K963"/>
      <c r="L963"/>
      <c r="M963"/>
      <c r="N963"/>
      <c r="O963"/>
      <c r="P963"/>
      <c r="R963"/>
      <c r="S963"/>
      <c r="T963"/>
      <c r="U963"/>
      <c r="V963"/>
      <c r="W963"/>
      <c r="X963"/>
      <c r="Y963"/>
      <c r="Z963"/>
    </row>
    <row r="964" spans="2:26">
      <c r="B964"/>
      <c r="D964"/>
      <c r="E964"/>
      <c r="F964"/>
      <c r="G964"/>
      <c r="H964"/>
      <c r="I964"/>
      <c r="J964"/>
      <c r="K964"/>
      <c r="L964"/>
      <c r="M964"/>
      <c r="N964"/>
      <c r="O964"/>
      <c r="P964"/>
      <c r="R964"/>
      <c r="S964"/>
      <c r="T964"/>
      <c r="U964"/>
      <c r="V964"/>
      <c r="W964"/>
      <c r="X964"/>
      <c r="Y964"/>
      <c r="Z964"/>
    </row>
    <row r="965" spans="2:26">
      <c r="B965"/>
      <c r="D965"/>
      <c r="E965"/>
      <c r="F965"/>
      <c r="G965"/>
      <c r="H965"/>
      <c r="I965"/>
      <c r="J965"/>
      <c r="K965"/>
      <c r="L965"/>
      <c r="M965"/>
      <c r="N965"/>
      <c r="O965"/>
      <c r="P965"/>
      <c r="R965"/>
      <c r="S965"/>
      <c r="T965"/>
      <c r="U965"/>
      <c r="V965"/>
      <c r="W965"/>
      <c r="X965"/>
      <c r="Y965"/>
      <c r="Z965"/>
    </row>
    <row r="966" spans="2:26">
      <c r="B966"/>
      <c r="D966"/>
      <c r="E966"/>
      <c r="F966"/>
      <c r="G966"/>
      <c r="H966"/>
      <c r="I966"/>
      <c r="J966"/>
      <c r="K966"/>
      <c r="L966"/>
      <c r="M966"/>
      <c r="N966"/>
      <c r="O966"/>
      <c r="P966"/>
      <c r="R966"/>
      <c r="S966"/>
      <c r="T966"/>
      <c r="U966"/>
      <c r="V966"/>
      <c r="W966"/>
      <c r="X966"/>
      <c r="Y966"/>
      <c r="Z966"/>
    </row>
    <row r="967" spans="2:26">
      <c r="B967"/>
      <c r="D967"/>
      <c r="E967"/>
      <c r="F967"/>
      <c r="G967"/>
      <c r="H967"/>
      <c r="I967"/>
      <c r="J967"/>
      <c r="K967"/>
      <c r="L967"/>
      <c r="M967"/>
      <c r="N967"/>
      <c r="O967"/>
      <c r="P967"/>
      <c r="R967"/>
      <c r="S967"/>
      <c r="T967"/>
      <c r="U967"/>
      <c r="V967"/>
      <c r="W967"/>
      <c r="X967"/>
      <c r="Y967"/>
      <c r="Z967"/>
    </row>
    <row r="968" spans="2:26">
      <c r="B968"/>
      <c r="D968"/>
      <c r="E968"/>
      <c r="F968"/>
      <c r="G968"/>
      <c r="H968"/>
      <c r="I968"/>
      <c r="J968"/>
      <c r="K968"/>
      <c r="L968"/>
      <c r="M968"/>
      <c r="N968"/>
      <c r="O968"/>
      <c r="P968"/>
      <c r="R968"/>
      <c r="S968"/>
      <c r="T968"/>
      <c r="U968"/>
      <c r="V968"/>
      <c r="W968"/>
      <c r="X968"/>
      <c r="Y968"/>
      <c r="Z968"/>
    </row>
    <row r="969" spans="2:26">
      <c r="B969"/>
      <c r="D969"/>
      <c r="E969"/>
      <c r="F969"/>
      <c r="G969"/>
      <c r="H969"/>
      <c r="I969"/>
      <c r="J969"/>
      <c r="K969"/>
      <c r="L969"/>
      <c r="M969"/>
      <c r="N969"/>
      <c r="O969"/>
      <c r="P969"/>
      <c r="R969"/>
      <c r="S969"/>
      <c r="T969"/>
      <c r="U969"/>
      <c r="V969"/>
      <c r="W969"/>
      <c r="X969"/>
      <c r="Y969"/>
      <c r="Z969"/>
    </row>
    <row r="970" spans="2:26">
      <c r="B970"/>
      <c r="D970"/>
      <c r="E970"/>
      <c r="F970"/>
      <c r="G970"/>
      <c r="H970"/>
      <c r="I970"/>
      <c r="J970"/>
      <c r="K970"/>
      <c r="L970"/>
      <c r="M970"/>
      <c r="N970"/>
      <c r="O970"/>
      <c r="P970"/>
      <c r="R970"/>
      <c r="S970"/>
      <c r="T970"/>
      <c r="U970"/>
      <c r="V970"/>
      <c r="W970"/>
      <c r="X970"/>
      <c r="Y970"/>
      <c r="Z970"/>
    </row>
    <row r="971" spans="2:26">
      <c r="B971"/>
      <c r="D971"/>
      <c r="E971"/>
      <c r="F971"/>
      <c r="G971"/>
      <c r="H971"/>
      <c r="I971"/>
      <c r="J971"/>
      <c r="K971"/>
      <c r="L971"/>
      <c r="M971"/>
      <c r="N971"/>
      <c r="O971"/>
      <c r="P971"/>
      <c r="R971"/>
      <c r="S971"/>
      <c r="T971"/>
      <c r="U971"/>
      <c r="V971"/>
      <c r="W971"/>
      <c r="X971"/>
      <c r="Y971"/>
      <c r="Z971"/>
    </row>
    <row r="972" spans="2:26">
      <c r="B972"/>
      <c r="D972"/>
      <c r="E972"/>
      <c r="F972"/>
      <c r="G972"/>
      <c r="H972"/>
      <c r="I972"/>
      <c r="J972"/>
      <c r="K972"/>
      <c r="L972"/>
      <c r="M972"/>
      <c r="N972"/>
      <c r="O972"/>
      <c r="P972"/>
      <c r="R972"/>
      <c r="S972"/>
      <c r="T972"/>
      <c r="U972"/>
      <c r="V972"/>
      <c r="W972"/>
      <c r="X972"/>
      <c r="Y972"/>
      <c r="Z972"/>
    </row>
    <row r="973" spans="2:26">
      <c r="B973"/>
      <c r="D973"/>
      <c r="E973"/>
      <c r="F973"/>
      <c r="G973"/>
      <c r="H973"/>
      <c r="I973"/>
      <c r="J973"/>
      <c r="K973"/>
      <c r="L973"/>
      <c r="M973"/>
      <c r="N973"/>
      <c r="O973"/>
      <c r="P973"/>
      <c r="R973"/>
      <c r="S973"/>
      <c r="T973"/>
      <c r="U973"/>
      <c r="V973"/>
      <c r="W973"/>
      <c r="X973"/>
      <c r="Y973"/>
      <c r="Z973"/>
    </row>
    <row r="974" spans="2:26">
      <c r="B974"/>
      <c r="D974"/>
      <c r="E974"/>
      <c r="F974"/>
      <c r="G974"/>
      <c r="H974"/>
      <c r="I974"/>
      <c r="J974"/>
      <c r="K974"/>
      <c r="L974"/>
      <c r="M974"/>
      <c r="N974"/>
      <c r="O974"/>
      <c r="P974"/>
      <c r="R974"/>
      <c r="S974"/>
      <c r="T974"/>
      <c r="U974"/>
      <c r="V974"/>
      <c r="W974"/>
      <c r="X974"/>
      <c r="Y974"/>
      <c r="Z974"/>
    </row>
    <row r="975" spans="2:26">
      <c r="B975"/>
      <c r="D975"/>
      <c r="E975"/>
      <c r="F975"/>
      <c r="G975"/>
      <c r="H975"/>
      <c r="I975"/>
      <c r="J975"/>
      <c r="K975"/>
      <c r="L975"/>
      <c r="M975"/>
      <c r="N975"/>
      <c r="O975"/>
      <c r="P975"/>
      <c r="R975"/>
      <c r="S975"/>
      <c r="T975"/>
      <c r="U975"/>
      <c r="V975"/>
      <c r="W975"/>
      <c r="X975"/>
      <c r="Y975"/>
      <c r="Z975"/>
    </row>
    <row r="976" spans="2:26">
      <c r="B976"/>
      <c r="D976"/>
      <c r="E976"/>
      <c r="F976"/>
      <c r="G976"/>
      <c r="H976"/>
      <c r="I976"/>
      <c r="J976"/>
      <c r="K976"/>
      <c r="L976"/>
      <c r="M976"/>
      <c r="N976"/>
      <c r="O976"/>
      <c r="P976"/>
      <c r="R976"/>
      <c r="S976"/>
      <c r="T976"/>
      <c r="U976"/>
      <c r="V976"/>
      <c r="W976"/>
      <c r="X976"/>
      <c r="Y976"/>
      <c r="Z976"/>
    </row>
    <row r="977" spans="2:26">
      <c r="B977"/>
      <c r="D977"/>
      <c r="E977"/>
      <c r="F977"/>
      <c r="G977"/>
      <c r="H977"/>
      <c r="I977"/>
      <c r="J977"/>
      <c r="K977"/>
      <c r="L977"/>
      <c r="M977"/>
      <c r="N977"/>
      <c r="O977"/>
      <c r="P977"/>
      <c r="R977"/>
      <c r="S977"/>
      <c r="T977"/>
      <c r="U977"/>
      <c r="V977"/>
      <c r="W977"/>
      <c r="X977"/>
      <c r="Y977"/>
      <c r="Z977"/>
    </row>
    <row r="978" spans="2:26">
      <c r="B978"/>
      <c r="D978"/>
      <c r="E978"/>
      <c r="F978"/>
      <c r="G978"/>
      <c r="H978"/>
      <c r="I978"/>
      <c r="J978"/>
      <c r="K978"/>
      <c r="L978"/>
      <c r="M978"/>
      <c r="N978"/>
      <c r="O978"/>
      <c r="P978"/>
      <c r="R978"/>
      <c r="S978"/>
      <c r="T978"/>
      <c r="U978"/>
      <c r="V978"/>
      <c r="W978"/>
      <c r="X978"/>
      <c r="Y978"/>
      <c r="Z978"/>
    </row>
    <row r="979" spans="2:26">
      <c r="B979"/>
      <c r="D979"/>
      <c r="E979"/>
      <c r="F979"/>
      <c r="G979"/>
      <c r="H979"/>
      <c r="I979"/>
      <c r="J979"/>
      <c r="K979"/>
      <c r="L979"/>
      <c r="M979"/>
      <c r="N979"/>
      <c r="O979"/>
      <c r="P979"/>
      <c r="R979"/>
      <c r="S979"/>
      <c r="T979"/>
      <c r="U979"/>
      <c r="V979"/>
      <c r="W979"/>
      <c r="X979"/>
      <c r="Y979"/>
      <c r="Z979"/>
    </row>
    <row r="980" spans="2:26">
      <c r="B980"/>
      <c r="D980"/>
      <c r="E980"/>
      <c r="F980"/>
      <c r="G980"/>
      <c r="H980"/>
      <c r="I980"/>
      <c r="J980"/>
      <c r="K980"/>
      <c r="L980"/>
      <c r="M980"/>
      <c r="N980"/>
      <c r="O980"/>
      <c r="P980"/>
      <c r="R980"/>
      <c r="S980"/>
      <c r="T980"/>
      <c r="U980"/>
      <c r="V980"/>
      <c r="W980"/>
      <c r="X980"/>
      <c r="Y980"/>
      <c r="Z980"/>
    </row>
    <row r="981" spans="2:26">
      <c r="B981"/>
      <c r="D981"/>
      <c r="E981"/>
      <c r="F981"/>
      <c r="G981"/>
      <c r="H981"/>
      <c r="I981"/>
      <c r="J981"/>
      <c r="K981"/>
      <c r="L981"/>
      <c r="M981"/>
      <c r="N981"/>
      <c r="O981"/>
      <c r="P981"/>
      <c r="R981"/>
      <c r="S981"/>
      <c r="T981"/>
      <c r="U981"/>
      <c r="V981"/>
      <c r="W981"/>
      <c r="X981"/>
      <c r="Y981"/>
      <c r="Z981"/>
    </row>
    <row r="982" spans="2:26">
      <c r="B982"/>
      <c r="D982"/>
      <c r="E982"/>
      <c r="F982"/>
      <c r="G982"/>
      <c r="H982"/>
      <c r="I982"/>
      <c r="J982"/>
      <c r="K982"/>
      <c r="L982"/>
      <c r="M982"/>
      <c r="N982"/>
      <c r="O982"/>
      <c r="P982"/>
      <c r="R982"/>
      <c r="S982"/>
      <c r="T982"/>
      <c r="U982"/>
      <c r="V982"/>
      <c r="W982"/>
      <c r="X982"/>
      <c r="Y982"/>
      <c r="Z982"/>
    </row>
    <row r="983" spans="2:26">
      <c r="B983"/>
      <c r="D983"/>
      <c r="E983"/>
      <c r="F983"/>
      <c r="G983"/>
      <c r="H983"/>
      <c r="I983"/>
      <c r="J983"/>
      <c r="K983"/>
      <c r="L983"/>
      <c r="M983"/>
      <c r="N983"/>
      <c r="O983"/>
      <c r="P983"/>
      <c r="R983"/>
      <c r="S983"/>
      <c r="T983"/>
      <c r="U983"/>
      <c r="V983"/>
      <c r="W983"/>
      <c r="X983"/>
      <c r="Y983"/>
      <c r="Z983"/>
    </row>
    <row r="984" spans="2:26">
      <c r="B984"/>
      <c r="D984"/>
      <c r="E984"/>
      <c r="F984"/>
      <c r="G984"/>
      <c r="H984"/>
      <c r="I984"/>
      <c r="J984"/>
      <c r="K984"/>
      <c r="L984"/>
      <c r="M984"/>
      <c r="N984"/>
      <c r="O984"/>
      <c r="P984"/>
      <c r="R984"/>
      <c r="S984"/>
      <c r="T984"/>
      <c r="U984"/>
      <c r="V984"/>
      <c r="W984"/>
      <c r="X984"/>
      <c r="Y984"/>
      <c r="Z984"/>
    </row>
    <row r="985" spans="2:26">
      <c r="B985"/>
      <c r="D985"/>
      <c r="E985"/>
      <c r="F985"/>
      <c r="G985"/>
      <c r="H985"/>
      <c r="I985"/>
      <c r="J985"/>
      <c r="K985"/>
      <c r="L985"/>
      <c r="M985"/>
      <c r="N985"/>
      <c r="O985"/>
      <c r="P985"/>
      <c r="R985"/>
      <c r="S985"/>
      <c r="T985"/>
      <c r="U985"/>
      <c r="V985"/>
      <c r="W985"/>
      <c r="X985"/>
      <c r="Y985"/>
      <c r="Z985"/>
    </row>
    <row r="986" spans="2:26">
      <c r="B986"/>
      <c r="D986"/>
      <c r="E986"/>
      <c r="F986"/>
      <c r="G986"/>
      <c r="H986"/>
      <c r="I986"/>
      <c r="J986"/>
      <c r="K986"/>
      <c r="L986"/>
      <c r="M986"/>
      <c r="N986"/>
      <c r="O986"/>
      <c r="P986"/>
      <c r="R986"/>
      <c r="S986"/>
      <c r="T986"/>
      <c r="U986"/>
      <c r="V986"/>
      <c r="W986"/>
      <c r="X986"/>
      <c r="Y986"/>
      <c r="Z986"/>
    </row>
    <row r="987" spans="2:26">
      <c r="B987"/>
      <c r="D987"/>
      <c r="E987"/>
      <c r="F987"/>
      <c r="G987"/>
      <c r="H987"/>
      <c r="I987"/>
      <c r="J987"/>
      <c r="K987"/>
      <c r="L987"/>
      <c r="M987"/>
      <c r="N987"/>
      <c r="O987"/>
      <c r="P987"/>
      <c r="R987"/>
      <c r="S987"/>
      <c r="T987"/>
      <c r="U987"/>
      <c r="V987"/>
      <c r="W987"/>
      <c r="X987"/>
      <c r="Y987"/>
      <c r="Z987"/>
    </row>
    <row r="988" spans="2:26">
      <c r="B988"/>
      <c r="D988"/>
      <c r="E988"/>
      <c r="F988"/>
      <c r="G988"/>
      <c r="H988"/>
      <c r="I988"/>
      <c r="J988"/>
      <c r="K988"/>
      <c r="L988"/>
      <c r="M988"/>
      <c r="N988"/>
      <c r="O988"/>
      <c r="P988"/>
      <c r="R988"/>
      <c r="S988"/>
      <c r="T988"/>
      <c r="U988"/>
      <c r="V988"/>
      <c r="W988"/>
      <c r="X988"/>
      <c r="Y988"/>
      <c r="Z988"/>
    </row>
    <row r="989" spans="2:26">
      <c r="B989"/>
      <c r="D989"/>
      <c r="E989"/>
      <c r="F989"/>
      <c r="G989"/>
      <c r="H989"/>
      <c r="I989"/>
      <c r="J989"/>
      <c r="K989"/>
      <c r="L989"/>
      <c r="M989"/>
      <c r="N989"/>
      <c r="O989"/>
      <c r="P989"/>
      <c r="R989"/>
      <c r="S989"/>
      <c r="T989"/>
      <c r="U989"/>
      <c r="V989"/>
      <c r="W989"/>
      <c r="X989"/>
      <c r="Y989"/>
      <c r="Z989"/>
    </row>
    <row r="990" spans="2:26">
      <c r="B990"/>
      <c r="D990"/>
      <c r="E990"/>
      <c r="F990"/>
      <c r="G990"/>
      <c r="H990"/>
      <c r="I990"/>
      <c r="J990"/>
      <c r="K990"/>
      <c r="L990"/>
      <c r="M990"/>
      <c r="N990"/>
      <c r="O990"/>
      <c r="P990"/>
      <c r="R990"/>
      <c r="S990"/>
      <c r="T990"/>
      <c r="U990"/>
      <c r="V990"/>
      <c r="W990"/>
      <c r="X990"/>
      <c r="Y990"/>
      <c r="Z990"/>
    </row>
    <row r="991" spans="2:26">
      <c r="B991"/>
      <c r="D991"/>
      <c r="E991"/>
      <c r="F991"/>
      <c r="G991"/>
      <c r="H991"/>
      <c r="I991"/>
      <c r="J991"/>
      <c r="K991"/>
      <c r="L991"/>
      <c r="M991"/>
      <c r="N991"/>
      <c r="O991"/>
      <c r="P991"/>
      <c r="R991"/>
      <c r="S991"/>
      <c r="T991"/>
      <c r="U991"/>
      <c r="V991"/>
      <c r="W991"/>
      <c r="X991"/>
      <c r="Y991"/>
      <c r="Z991"/>
    </row>
    <row r="992" spans="2:26">
      <c r="B992"/>
      <c r="D992"/>
      <c r="E992"/>
      <c r="F992"/>
      <c r="G992"/>
      <c r="H992"/>
      <c r="I992"/>
      <c r="J992"/>
      <c r="K992"/>
      <c r="L992"/>
      <c r="M992"/>
      <c r="N992"/>
      <c r="O992"/>
      <c r="P992"/>
      <c r="R992"/>
      <c r="S992"/>
      <c r="T992"/>
      <c r="U992"/>
      <c r="V992"/>
      <c r="W992"/>
      <c r="X992"/>
      <c r="Y992"/>
      <c r="Z992"/>
    </row>
    <row r="993" spans="2:26">
      <c r="B993"/>
      <c r="D993"/>
      <c r="E993"/>
      <c r="F993"/>
      <c r="G993"/>
      <c r="H993"/>
      <c r="I993"/>
      <c r="J993"/>
      <c r="K993"/>
      <c r="L993"/>
      <c r="M993"/>
      <c r="N993"/>
      <c r="O993"/>
      <c r="P993"/>
      <c r="R993"/>
      <c r="S993"/>
      <c r="T993"/>
      <c r="U993"/>
      <c r="V993"/>
      <c r="W993"/>
      <c r="X993"/>
      <c r="Y993"/>
      <c r="Z993"/>
    </row>
    <row r="994" spans="2:26">
      <c r="B994"/>
      <c r="D994"/>
      <c r="E994"/>
      <c r="F994"/>
      <c r="G994"/>
      <c r="H994"/>
      <c r="I994"/>
      <c r="J994"/>
      <c r="K994"/>
      <c r="L994"/>
      <c r="M994"/>
      <c r="N994"/>
      <c r="O994"/>
      <c r="P994"/>
      <c r="R994"/>
      <c r="S994"/>
      <c r="T994"/>
      <c r="U994"/>
      <c r="V994"/>
      <c r="W994"/>
      <c r="X994"/>
      <c r="Y994"/>
      <c r="Z994"/>
    </row>
    <row r="995" spans="2:26">
      <c r="B995"/>
      <c r="D995"/>
      <c r="E995"/>
      <c r="F995"/>
      <c r="G995"/>
      <c r="H995"/>
      <c r="I995"/>
      <c r="J995"/>
      <c r="K995"/>
      <c r="L995"/>
      <c r="M995"/>
      <c r="N995"/>
      <c r="O995"/>
      <c r="P995"/>
      <c r="R995"/>
      <c r="S995"/>
      <c r="T995"/>
      <c r="U995"/>
      <c r="V995"/>
      <c r="W995"/>
      <c r="X995"/>
      <c r="Y995"/>
      <c r="Z995"/>
    </row>
    <row r="996" spans="2:26">
      <c r="B996"/>
      <c r="D996"/>
      <c r="E996"/>
      <c r="F996"/>
      <c r="G996"/>
      <c r="H996"/>
      <c r="I996"/>
      <c r="J996"/>
      <c r="K996"/>
      <c r="L996"/>
      <c r="M996"/>
      <c r="N996"/>
      <c r="O996"/>
      <c r="P996"/>
      <c r="R996"/>
      <c r="S996"/>
      <c r="T996"/>
      <c r="U996"/>
      <c r="V996"/>
      <c r="W996"/>
      <c r="X996"/>
      <c r="Y996"/>
      <c r="Z996"/>
    </row>
    <row r="997" spans="2:26">
      <c r="B997"/>
      <c r="D997"/>
      <c r="E997"/>
      <c r="F997"/>
      <c r="G997"/>
      <c r="H997"/>
      <c r="I997"/>
      <c r="J997"/>
      <c r="K997"/>
      <c r="L997"/>
      <c r="M997"/>
      <c r="N997"/>
      <c r="O997"/>
      <c r="P997"/>
      <c r="R997"/>
      <c r="S997"/>
      <c r="T997"/>
      <c r="U997"/>
      <c r="V997"/>
      <c r="W997"/>
      <c r="X997"/>
      <c r="Y997"/>
      <c r="Z997"/>
    </row>
    <row r="998" spans="2:26">
      <c r="B998"/>
      <c r="D998"/>
      <c r="E998"/>
      <c r="F998"/>
      <c r="G998"/>
      <c r="H998"/>
      <c r="I998"/>
      <c r="J998"/>
      <c r="K998"/>
      <c r="L998"/>
      <c r="M998"/>
      <c r="N998"/>
      <c r="O998"/>
      <c r="P998"/>
      <c r="R998"/>
      <c r="S998"/>
      <c r="T998"/>
      <c r="U998"/>
      <c r="V998"/>
      <c r="W998"/>
      <c r="X998"/>
      <c r="Y998"/>
      <c r="Z998"/>
    </row>
    <row r="999" spans="2:26">
      <c r="B999"/>
      <c r="D999"/>
      <c r="E999"/>
      <c r="F999"/>
      <c r="G999"/>
      <c r="H999"/>
      <c r="I999"/>
      <c r="J999"/>
      <c r="K999"/>
      <c r="L999"/>
      <c r="M999"/>
      <c r="N999"/>
      <c r="O999"/>
      <c r="P999"/>
      <c r="R999"/>
      <c r="S999"/>
      <c r="T999"/>
      <c r="U999"/>
      <c r="V999"/>
      <c r="W999"/>
      <c r="X999"/>
      <c r="Y999"/>
      <c r="Z999"/>
    </row>
    <row r="1000" spans="2:26">
      <c r="B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R1000"/>
      <c r="S1000"/>
      <c r="T1000"/>
      <c r="U1000"/>
      <c r="V1000"/>
      <c r="W1000"/>
      <c r="X1000"/>
      <c r="Y1000"/>
      <c r="Z1000"/>
    </row>
    <row r="1001" spans="2:26">
      <c r="B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R1001"/>
      <c r="S1001"/>
      <c r="T1001"/>
      <c r="U1001"/>
      <c r="V1001"/>
      <c r="W1001"/>
      <c r="X1001"/>
      <c r="Y1001"/>
      <c r="Z1001"/>
    </row>
    <row r="1002" spans="2:26">
      <c r="B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R1002"/>
      <c r="S1002"/>
      <c r="T1002"/>
      <c r="U1002"/>
      <c r="V1002"/>
      <c r="W1002"/>
      <c r="X1002"/>
      <c r="Y1002"/>
      <c r="Z1002"/>
    </row>
    <row r="1003" spans="2:26">
      <c r="B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R1003"/>
      <c r="S1003"/>
      <c r="T1003"/>
      <c r="U1003"/>
      <c r="V1003"/>
      <c r="W1003"/>
      <c r="X1003"/>
      <c r="Y1003"/>
      <c r="Z1003"/>
    </row>
    <row r="1004" spans="2:26">
      <c r="B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R1004"/>
      <c r="S1004"/>
      <c r="T1004"/>
      <c r="U1004"/>
      <c r="V1004"/>
      <c r="W1004"/>
      <c r="X1004"/>
      <c r="Y1004"/>
      <c r="Z1004"/>
    </row>
    <row r="1005" spans="2:26">
      <c r="B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R1005"/>
      <c r="S1005"/>
      <c r="T1005"/>
      <c r="U1005"/>
      <c r="V1005"/>
      <c r="W1005"/>
      <c r="X1005"/>
      <c r="Y1005"/>
      <c r="Z1005"/>
    </row>
    <row r="1006" spans="2:26">
      <c r="B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R1006"/>
      <c r="S1006"/>
      <c r="T1006"/>
      <c r="U1006"/>
      <c r="V1006"/>
      <c r="W1006"/>
      <c r="X1006"/>
      <c r="Y1006"/>
      <c r="Z1006"/>
    </row>
    <row r="1007" spans="2:26">
      <c r="B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R1007"/>
      <c r="S1007"/>
      <c r="T1007"/>
      <c r="U1007"/>
      <c r="V1007"/>
      <c r="W1007"/>
      <c r="X1007"/>
      <c r="Y1007"/>
      <c r="Z1007"/>
    </row>
    <row r="1008" spans="2:26">
      <c r="B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R1008"/>
      <c r="S1008"/>
      <c r="T1008"/>
      <c r="U1008"/>
      <c r="V1008"/>
      <c r="W1008"/>
      <c r="X1008"/>
      <c r="Y1008"/>
      <c r="Z1008"/>
    </row>
    <row r="1009" spans="2:26">
      <c r="B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R1009"/>
      <c r="S1009"/>
      <c r="T1009"/>
      <c r="U1009"/>
      <c r="V1009"/>
      <c r="W1009"/>
      <c r="X1009"/>
      <c r="Y1009"/>
      <c r="Z1009"/>
    </row>
    <row r="1010" spans="2:26">
      <c r="B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R1010"/>
      <c r="S1010"/>
      <c r="T1010"/>
      <c r="U1010"/>
      <c r="V1010"/>
      <c r="W1010"/>
      <c r="X1010"/>
      <c r="Y1010"/>
      <c r="Z1010"/>
    </row>
    <row r="1011" spans="2:26">
      <c r="B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R1011"/>
      <c r="S1011"/>
      <c r="T1011"/>
      <c r="U1011"/>
      <c r="V1011"/>
      <c r="W1011"/>
      <c r="X1011"/>
      <c r="Y1011"/>
      <c r="Z1011"/>
    </row>
    <row r="1012" spans="2:26">
      <c r="B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R1012"/>
      <c r="S1012"/>
      <c r="T1012"/>
      <c r="U1012"/>
      <c r="V1012"/>
      <c r="W1012"/>
      <c r="X1012"/>
      <c r="Y1012"/>
      <c r="Z1012"/>
    </row>
    <row r="1013" spans="2:26">
      <c r="B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R1013"/>
      <c r="S1013"/>
      <c r="T1013"/>
      <c r="U1013"/>
      <c r="V1013"/>
      <c r="W1013"/>
      <c r="X1013"/>
      <c r="Y1013"/>
      <c r="Z1013"/>
    </row>
    <row r="1014" spans="2:26">
      <c r="B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R1014"/>
      <c r="S1014"/>
      <c r="T1014"/>
      <c r="U1014"/>
      <c r="V1014"/>
      <c r="W1014"/>
      <c r="X1014"/>
      <c r="Y1014"/>
      <c r="Z1014"/>
    </row>
    <row r="1015" spans="2:26">
      <c r="B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R1015"/>
      <c r="S1015"/>
      <c r="T1015"/>
      <c r="U1015"/>
      <c r="V1015"/>
      <c r="W1015"/>
      <c r="X1015"/>
      <c r="Y1015"/>
      <c r="Z1015"/>
    </row>
    <row r="1016" spans="2:26">
      <c r="B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R1016"/>
      <c r="S1016"/>
      <c r="T1016"/>
      <c r="U1016"/>
      <c r="V1016"/>
      <c r="W1016"/>
      <c r="X1016"/>
      <c r="Y1016"/>
      <c r="Z1016"/>
    </row>
    <row r="1017" spans="2:26">
      <c r="B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R1017"/>
      <c r="S1017"/>
      <c r="T1017"/>
      <c r="U1017"/>
      <c r="V1017"/>
      <c r="W1017"/>
      <c r="X1017"/>
      <c r="Y1017"/>
      <c r="Z1017"/>
    </row>
    <row r="1018" spans="2:26">
      <c r="B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R1018"/>
      <c r="S1018"/>
      <c r="T1018"/>
      <c r="U1018"/>
      <c r="V1018"/>
      <c r="W1018"/>
      <c r="X1018"/>
      <c r="Y1018"/>
      <c r="Z1018"/>
    </row>
    <row r="1019" spans="2:26">
      <c r="B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R1019"/>
      <c r="S1019"/>
      <c r="T1019"/>
      <c r="U1019"/>
      <c r="V1019"/>
      <c r="W1019"/>
      <c r="X1019"/>
      <c r="Y1019"/>
      <c r="Z1019"/>
    </row>
    <row r="1020" spans="2:26">
      <c r="B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R1020"/>
      <c r="S1020"/>
      <c r="T1020"/>
      <c r="U1020"/>
      <c r="V1020"/>
      <c r="W1020"/>
      <c r="X1020"/>
      <c r="Y1020"/>
      <c r="Z1020"/>
    </row>
    <row r="1021" spans="2:26">
      <c r="B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R1021"/>
      <c r="S1021"/>
      <c r="T1021"/>
      <c r="U1021"/>
      <c r="V1021"/>
      <c r="W1021"/>
      <c r="X1021"/>
      <c r="Y1021"/>
      <c r="Z1021"/>
    </row>
    <row r="1022" spans="2:26">
      <c r="B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R1022"/>
      <c r="S1022"/>
      <c r="T1022"/>
      <c r="U1022"/>
      <c r="V1022"/>
      <c r="W1022"/>
      <c r="X1022"/>
      <c r="Y1022"/>
      <c r="Z1022"/>
    </row>
    <row r="1023" spans="2:26">
      <c r="B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R1023"/>
      <c r="S1023"/>
      <c r="T1023"/>
      <c r="U1023"/>
      <c r="V1023"/>
      <c r="W1023"/>
      <c r="X1023"/>
      <c r="Y1023"/>
      <c r="Z1023"/>
    </row>
    <row r="1024" spans="2:26">
      <c r="B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R1024"/>
      <c r="S1024"/>
      <c r="T1024"/>
      <c r="U1024"/>
      <c r="V1024"/>
      <c r="W1024"/>
      <c r="X1024"/>
      <c r="Y1024"/>
      <c r="Z1024"/>
    </row>
    <row r="1025" spans="2:26">
      <c r="B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R1025"/>
      <c r="S1025"/>
      <c r="T1025"/>
      <c r="U1025"/>
      <c r="V1025"/>
      <c r="W1025"/>
      <c r="X1025"/>
      <c r="Y1025"/>
      <c r="Z1025"/>
    </row>
    <row r="1026" spans="2:26">
      <c r="B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R1026"/>
      <c r="S1026"/>
      <c r="T1026"/>
      <c r="U1026"/>
      <c r="V1026"/>
      <c r="W1026"/>
      <c r="X1026"/>
      <c r="Y1026"/>
      <c r="Z1026"/>
    </row>
    <row r="1027" spans="2:26">
      <c r="B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R1027"/>
      <c r="S1027"/>
      <c r="T1027"/>
      <c r="U1027"/>
      <c r="V1027"/>
      <c r="W1027"/>
      <c r="X1027"/>
      <c r="Y1027"/>
      <c r="Z1027"/>
    </row>
    <row r="1028" spans="2:26">
      <c r="B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R1028"/>
      <c r="S1028"/>
      <c r="T1028"/>
      <c r="U1028"/>
      <c r="V1028"/>
      <c r="W1028"/>
      <c r="X1028"/>
      <c r="Y1028"/>
      <c r="Z1028"/>
    </row>
    <row r="1029" spans="2:26">
      <c r="B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R1029"/>
      <c r="S1029"/>
      <c r="T1029"/>
      <c r="U1029"/>
      <c r="V1029"/>
      <c r="W1029"/>
      <c r="X1029"/>
      <c r="Y1029"/>
      <c r="Z1029"/>
    </row>
    <row r="1030" spans="2:26">
      <c r="B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R1030"/>
      <c r="S1030"/>
      <c r="T1030"/>
      <c r="U1030"/>
      <c r="V1030"/>
      <c r="W1030"/>
      <c r="X1030"/>
      <c r="Y1030"/>
      <c r="Z1030"/>
    </row>
    <row r="1031" spans="2:26">
      <c r="B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R1031"/>
      <c r="S1031"/>
      <c r="T1031"/>
      <c r="U1031"/>
      <c r="V1031"/>
      <c r="W1031"/>
      <c r="X1031"/>
      <c r="Y1031"/>
      <c r="Z1031"/>
    </row>
    <row r="1032" spans="2:26">
      <c r="B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R1032"/>
      <c r="S1032"/>
      <c r="T1032"/>
      <c r="U1032"/>
      <c r="V1032"/>
      <c r="W1032"/>
      <c r="X1032"/>
      <c r="Y1032"/>
      <c r="Z1032"/>
    </row>
    <row r="1033" spans="2:26">
      <c r="B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R1033"/>
      <c r="S1033"/>
      <c r="T1033"/>
      <c r="U1033"/>
      <c r="V1033"/>
      <c r="W1033"/>
      <c r="X1033"/>
      <c r="Y1033"/>
      <c r="Z1033"/>
    </row>
    <row r="1034" spans="2:26">
      <c r="B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R1034"/>
      <c r="S1034"/>
      <c r="T1034"/>
      <c r="U1034"/>
      <c r="V1034"/>
      <c r="W1034"/>
      <c r="X1034"/>
      <c r="Y1034"/>
      <c r="Z1034"/>
    </row>
    <row r="1035" spans="2:26">
      <c r="B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R1035"/>
      <c r="S1035"/>
      <c r="T1035"/>
      <c r="U1035"/>
      <c r="V1035"/>
      <c r="W1035"/>
      <c r="X1035"/>
      <c r="Y1035"/>
      <c r="Z1035"/>
    </row>
    <row r="1036" spans="2:26">
      <c r="B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R1036"/>
      <c r="S1036"/>
      <c r="T1036"/>
      <c r="U1036"/>
      <c r="V1036"/>
      <c r="W1036"/>
      <c r="X1036"/>
      <c r="Y1036"/>
      <c r="Z1036"/>
    </row>
    <row r="1037" spans="2:26">
      <c r="B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R1037"/>
      <c r="S1037"/>
      <c r="T1037"/>
      <c r="U1037"/>
      <c r="V1037"/>
      <c r="W1037"/>
      <c r="X1037"/>
      <c r="Y1037"/>
      <c r="Z1037"/>
    </row>
    <row r="1038" spans="2:26">
      <c r="B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R1038"/>
      <c r="S1038"/>
      <c r="T1038"/>
      <c r="U1038"/>
      <c r="V1038"/>
      <c r="W1038"/>
      <c r="X1038"/>
      <c r="Y1038"/>
      <c r="Z1038"/>
    </row>
    <row r="1039" spans="2:26">
      <c r="B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R1039"/>
      <c r="S1039"/>
      <c r="T1039"/>
      <c r="U1039"/>
      <c r="V1039"/>
      <c r="W1039"/>
      <c r="X1039"/>
      <c r="Y1039"/>
      <c r="Z1039"/>
    </row>
    <row r="1040" spans="2:26">
      <c r="B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R1040"/>
      <c r="S1040"/>
      <c r="T1040"/>
      <c r="U1040"/>
      <c r="V1040"/>
      <c r="W1040"/>
      <c r="X1040"/>
      <c r="Y1040"/>
      <c r="Z1040"/>
    </row>
    <row r="1041" spans="2:26">
      <c r="B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R1041"/>
      <c r="S1041"/>
      <c r="T1041"/>
      <c r="U1041"/>
      <c r="V1041"/>
      <c r="W1041"/>
      <c r="X1041"/>
      <c r="Y1041"/>
      <c r="Z1041"/>
    </row>
    <row r="1042" spans="2:26">
      <c r="B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R1042"/>
      <c r="S1042"/>
      <c r="T1042"/>
      <c r="U1042"/>
      <c r="V1042"/>
      <c r="W1042"/>
      <c r="X1042"/>
      <c r="Y1042"/>
      <c r="Z1042"/>
    </row>
    <row r="1043" spans="2:26">
      <c r="B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R1043"/>
      <c r="S1043"/>
      <c r="T1043"/>
      <c r="U1043"/>
      <c r="V1043"/>
      <c r="W1043"/>
      <c r="X1043"/>
      <c r="Y1043"/>
      <c r="Z1043"/>
    </row>
    <row r="1044" spans="2:26">
      <c r="B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R1044"/>
      <c r="S1044"/>
      <c r="T1044"/>
      <c r="U1044"/>
      <c r="V1044"/>
      <c r="W1044"/>
      <c r="X1044"/>
      <c r="Y1044"/>
      <c r="Z1044"/>
    </row>
    <row r="1045" spans="2:26">
      <c r="B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R1045"/>
      <c r="S1045"/>
      <c r="T1045"/>
      <c r="U1045"/>
      <c r="V1045"/>
      <c r="W1045"/>
      <c r="X1045"/>
      <c r="Y1045"/>
      <c r="Z1045"/>
    </row>
    <row r="1046" spans="2:26">
      <c r="B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R1046"/>
      <c r="S1046"/>
      <c r="T1046"/>
      <c r="U1046"/>
      <c r="V1046"/>
      <c r="W1046"/>
      <c r="X1046"/>
      <c r="Y1046"/>
      <c r="Z1046"/>
    </row>
    <row r="1047" spans="2:26">
      <c r="B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R1047"/>
      <c r="S1047"/>
      <c r="T1047"/>
      <c r="U1047"/>
      <c r="V1047"/>
      <c r="W1047"/>
      <c r="X1047"/>
      <c r="Y1047"/>
      <c r="Z1047"/>
    </row>
    <row r="1048" spans="2:26">
      <c r="B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R1048"/>
      <c r="S1048"/>
      <c r="T1048"/>
      <c r="U1048"/>
      <c r="V1048"/>
      <c r="W1048"/>
      <c r="X1048"/>
      <c r="Y1048"/>
      <c r="Z1048"/>
    </row>
    <row r="1049" spans="2:26">
      <c r="B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R1049"/>
      <c r="S1049"/>
      <c r="T1049"/>
      <c r="U1049"/>
      <c r="V1049"/>
      <c r="W1049"/>
      <c r="X1049"/>
      <c r="Y1049"/>
      <c r="Z1049"/>
    </row>
    <row r="1050" spans="2:26">
      <c r="B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R1050"/>
      <c r="S1050"/>
      <c r="T1050"/>
      <c r="U1050"/>
      <c r="V1050"/>
      <c r="W1050"/>
      <c r="X1050"/>
      <c r="Y1050"/>
      <c r="Z1050"/>
    </row>
    <row r="1051" spans="2:26">
      <c r="B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R1051"/>
      <c r="S1051"/>
      <c r="T1051"/>
      <c r="U1051"/>
      <c r="V1051"/>
      <c r="W1051"/>
      <c r="X1051"/>
      <c r="Y1051"/>
      <c r="Z1051"/>
    </row>
    <row r="1052" spans="2:26">
      <c r="B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R1052"/>
      <c r="S1052"/>
      <c r="T1052"/>
      <c r="U1052"/>
      <c r="V1052"/>
      <c r="W1052"/>
      <c r="X1052"/>
      <c r="Y1052"/>
      <c r="Z1052"/>
    </row>
    <row r="1053" spans="2:26">
      <c r="B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R1053"/>
      <c r="S1053"/>
      <c r="T1053"/>
      <c r="U1053"/>
      <c r="V1053"/>
      <c r="W1053"/>
      <c r="X1053"/>
      <c r="Y1053"/>
      <c r="Z1053"/>
    </row>
    <row r="1054" spans="2:26">
      <c r="B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R1054"/>
      <c r="S1054"/>
      <c r="T1054"/>
      <c r="U1054"/>
      <c r="V1054"/>
      <c r="W1054"/>
      <c r="X1054"/>
      <c r="Y1054"/>
      <c r="Z1054"/>
    </row>
    <row r="1055" spans="2:26">
      <c r="B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R1055"/>
      <c r="S1055"/>
      <c r="T1055"/>
      <c r="U1055"/>
      <c r="V1055"/>
      <c r="W1055"/>
      <c r="X1055"/>
      <c r="Y1055"/>
      <c r="Z1055"/>
    </row>
    <row r="1056" spans="2:26">
      <c r="B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R1056"/>
      <c r="S1056"/>
      <c r="T1056"/>
      <c r="U1056"/>
      <c r="V1056"/>
      <c r="W1056"/>
      <c r="X1056"/>
      <c r="Y1056"/>
      <c r="Z1056"/>
    </row>
    <row r="1057" spans="2:26">
      <c r="B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R1057"/>
      <c r="S1057"/>
      <c r="T1057"/>
      <c r="U1057"/>
      <c r="V1057"/>
      <c r="W1057"/>
      <c r="X1057"/>
      <c r="Y1057"/>
      <c r="Z1057"/>
    </row>
    <row r="1058" spans="2:26">
      <c r="B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R1058"/>
      <c r="S1058"/>
      <c r="T1058"/>
      <c r="U1058"/>
      <c r="V1058"/>
      <c r="W1058"/>
      <c r="X1058"/>
      <c r="Y1058"/>
      <c r="Z1058"/>
    </row>
    <row r="1059" spans="2:26">
      <c r="B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R1059"/>
      <c r="S1059"/>
      <c r="T1059"/>
      <c r="U1059"/>
      <c r="V1059"/>
      <c r="W1059"/>
      <c r="X1059"/>
      <c r="Y1059"/>
      <c r="Z1059"/>
    </row>
    <row r="1060" spans="2:26">
      <c r="B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R1060"/>
      <c r="S1060"/>
      <c r="T1060"/>
      <c r="U1060"/>
      <c r="V1060"/>
      <c r="W1060"/>
      <c r="X1060"/>
      <c r="Y1060"/>
      <c r="Z1060"/>
    </row>
    <row r="1061" spans="2:26">
      <c r="B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R1061"/>
      <c r="S1061"/>
      <c r="T1061"/>
      <c r="U1061"/>
      <c r="V1061"/>
      <c r="W1061"/>
      <c r="X1061"/>
      <c r="Y1061"/>
      <c r="Z1061"/>
    </row>
    <row r="1062" spans="2:26">
      <c r="B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R1062"/>
      <c r="S1062"/>
      <c r="T1062"/>
      <c r="U1062"/>
      <c r="V1062"/>
      <c r="W1062"/>
      <c r="X1062"/>
      <c r="Y1062"/>
      <c r="Z1062"/>
    </row>
    <row r="1063" spans="2:26">
      <c r="B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R1063"/>
      <c r="S1063"/>
      <c r="T1063"/>
      <c r="U1063"/>
      <c r="V1063"/>
      <c r="W1063"/>
      <c r="X1063"/>
      <c r="Y1063"/>
      <c r="Z1063"/>
    </row>
    <row r="1064" spans="2:26">
      <c r="B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R1064"/>
      <c r="S1064"/>
      <c r="T1064"/>
      <c r="U1064"/>
      <c r="V1064"/>
      <c r="W1064"/>
      <c r="X1064"/>
      <c r="Y1064"/>
      <c r="Z1064"/>
    </row>
    <row r="1065" spans="2:26">
      <c r="B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R1065"/>
      <c r="S1065"/>
      <c r="T1065"/>
      <c r="U1065"/>
      <c r="V1065"/>
      <c r="W1065"/>
      <c r="X1065"/>
      <c r="Y1065"/>
      <c r="Z1065"/>
    </row>
    <row r="1066" spans="2:26">
      <c r="B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R1066"/>
      <c r="S1066"/>
      <c r="T1066"/>
      <c r="U1066"/>
      <c r="V1066"/>
      <c r="W1066"/>
      <c r="X1066"/>
      <c r="Y1066"/>
      <c r="Z1066"/>
    </row>
    <row r="1067" spans="2:26">
      <c r="B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R1067"/>
      <c r="S1067"/>
      <c r="T1067"/>
      <c r="U1067"/>
      <c r="V1067"/>
      <c r="W1067"/>
      <c r="X1067"/>
      <c r="Y1067"/>
      <c r="Z1067"/>
    </row>
    <row r="1068" spans="2:26">
      <c r="B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R1068"/>
      <c r="S1068"/>
      <c r="T1068"/>
      <c r="U1068"/>
      <c r="V1068"/>
      <c r="W1068"/>
      <c r="X1068"/>
      <c r="Y1068"/>
      <c r="Z1068"/>
    </row>
    <row r="1069" spans="2:26">
      <c r="B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R1069"/>
      <c r="S1069"/>
      <c r="T1069"/>
      <c r="U1069"/>
      <c r="V1069"/>
      <c r="W1069"/>
      <c r="X1069"/>
      <c r="Y1069"/>
      <c r="Z1069"/>
    </row>
    <row r="1070" spans="2:26">
      <c r="B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R1070"/>
      <c r="S1070"/>
      <c r="T1070"/>
      <c r="U1070"/>
      <c r="V1070"/>
      <c r="W1070"/>
      <c r="X1070"/>
      <c r="Y1070"/>
      <c r="Z1070"/>
    </row>
    <row r="1071" spans="2:26">
      <c r="B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R1071"/>
      <c r="S1071"/>
      <c r="T1071"/>
      <c r="U1071"/>
      <c r="V1071"/>
      <c r="W1071"/>
      <c r="X1071"/>
      <c r="Y1071"/>
      <c r="Z1071"/>
    </row>
    <row r="1072" spans="2:26">
      <c r="B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R1072"/>
      <c r="S1072"/>
      <c r="T1072"/>
      <c r="U1072"/>
      <c r="V1072"/>
      <c r="W1072"/>
      <c r="X1072"/>
      <c r="Y1072"/>
      <c r="Z1072"/>
    </row>
    <row r="1073" spans="2:26">
      <c r="B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R1073"/>
      <c r="S1073"/>
      <c r="T1073"/>
      <c r="U1073"/>
      <c r="V1073"/>
      <c r="W1073"/>
      <c r="X1073"/>
      <c r="Y1073"/>
      <c r="Z1073"/>
    </row>
    <row r="1074" spans="2:26">
      <c r="B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R1074"/>
      <c r="S1074"/>
      <c r="T1074"/>
      <c r="U1074"/>
      <c r="V1074"/>
      <c r="W1074"/>
      <c r="X1074"/>
      <c r="Y1074"/>
      <c r="Z1074"/>
    </row>
    <row r="1075" spans="2:26">
      <c r="B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R1075"/>
      <c r="S1075"/>
      <c r="T1075"/>
      <c r="U1075"/>
      <c r="V1075"/>
      <c r="W1075"/>
      <c r="X1075"/>
      <c r="Y1075"/>
      <c r="Z1075"/>
    </row>
    <row r="1076" spans="2:26">
      <c r="B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R1076"/>
      <c r="S1076"/>
      <c r="T1076"/>
      <c r="U1076"/>
      <c r="V1076"/>
      <c r="W1076"/>
      <c r="X1076"/>
      <c r="Y1076"/>
      <c r="Z1076"/>
    </row>
    <row r="1077" spans="2:26">
      <c r="B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R1077"/>
      <c r="S1077"/>
      <c r="T1077"/>
      <c r="U1077"/>
      <c r="V1077"/>
      <c r="W1077"/>
      <c r="X1077"/>
      <c r="Y1077"/>
      <c r="Z1077"/>
    </row>
    <row r="1078" spans="2:26">
      <c r="B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R1078"/>
      <c r="S1078"/>
      <c r="T1078"/>
      <c r="U1078"/>
      <c r="V1078"/>
      <c r="W1078"/>
      <c r="X1078"/>
      <c r="Y1078"/>
      <c r="Z1078"/>
    </row>
    <row r="1079" spans="2:26">
      <c r="B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R1079"/>
      <c r="S1079"/>
      <c r="T1079"/>
      <c r="U1079"/>
      <c r="V1079"/>
      <c r="W1079"/>
      <c r="X1079"/>
      <c r="Y1079"/>
      <c r="Z1079"/>
    </row>
    <row r="1080" spans="2:26">
      <c r="B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R1080"/>
      <c r="S1080"/>
      <c r="T1080"/>
      <c r="U1080"/>
      <c r="V1080"/>
      <c r="W1080"/>
      <c r="X1080"/>
      <c r="Y1080"/>
      <c r="Z1080"/>
    </row>
    <row r="1081" spans="2:26">
      <c r="B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R1081"/>
      <c r="S1081"/>
      <c r="T1081"/>
      <c r="U1081"/>
      <c r="V1081"/>
      <c r="W1081"/>
      <c r="X1081"/>
      <c r="Y1081"/>
      <c r="Z1081"/>
    </row>
    <row r="1082" spans="2:26">
      <c r="B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R1082"/>
      <c r="S1082"/>
      <c r="T1082"/>
      <c r="U1082"/>
      <c r="V1082"/>
      <c r="W1082"/>
      <c r="X1082"/>
      <c r="Y1082"/>
      <c r="Z1082"/>
    </row>
    <row r="1083" spans="2:26">
      <c r="B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R1083"/>
      <c r="S1083"/>
      <c r="T1083"/>
      <c r="U1083"/>
      <c r="V1083"/>
      <c r="W1083"/>
      <c r="X1083"/>
      <c r="Y1083"/>
      <c r="Z1083"/>
    </row>
    <row r="1084" spans="2:26">
      <c r="B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R1084"/>
      <c r="S1084"/>
      <c r="T1084"/>
      <c r="U1084"/>
      <c r="V1084"/>
      <c r="W1084"/>
      <c r="X1084"/>
      <c r="Y1084"/>
      <c r="Z1084"/>
    </row>
    <row r="1085" spans="2:26">
      <c r="B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R1085"/>
      <c r="S1085"/>
      <c r="T1085"/>
      <c r="U1085"/>
      <c r="V1085"/>
      <c r="W1085"/>
      <c r="X1085"/>
      <c r="Y1085"/>
      <c r="Z1085"/>
    </row>
    <row r="1086" spans="2:26">
      <c r="B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R1086"/>
      <c r="S1086"/>
      <c r="T1086"/>
      <c r="U1086"/>
      <c r="V1086"/>
      <c r="W1086"/>
      <c r="X1086"/>
      <c r="Y1086"/>
      <c r="Z1086"/>
    </row>
    <row r="1087" spans="2:26">
      <c r="B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R1087"/>
      <c r="S1087"/>
      <c r="T1087"/>
      <c r="U1087"/>
      <c r="V1087"/>
      <c r="W1087"/>
      <c r="X1087"/>
      <c r="Y1087"/>
      <c r="Z1087"/>
    </row>
    <row r="1088" spans="2:26">
      <c r="B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R1088"/>
      <c r="S1088"/>
      <c r="T1088"/>
      <c r="U1088"/>
      <c r="V1088"/>
      <c r="W1088"/>
      <c r="X1088"/>
      <c r="Y1088"/>
      <c r="Z1088"/>
    </row>
    <row r="1089" spans="2:26">
      <c r="B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R1089"/>
      <c r="S1089"/>
      <c r="T1089"/>
      <c r="U1089"/>
      <c r="V1089"/>
      <c r="W1089"/>
      <c r="X1089"/>
      <c r="Y1089"/>
      <c r="Z1089"/>
    </row>
    <row r="1090" spans="2:26">
      <c r="B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R1090"/>
      <c r="S1090"/>
      <c r="T1090"/>
      <c r="U1090"/>
      <c r="V1090"/>
      <c r="W1090"/>
      <c r="X1090"/>
      <c r="Y1090"/>
      <c r="Z1090"/>
    </row>
    <row r="1091" spans="2:26">
      <c r="B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R1091"/>
      <c r="S1091"/>
      <c r="T1091"/>
      <c r="U1091"/>
      <c r="V1091"/>
      <c r="W1091"/>
      <c r="X1091"/>
      <c r="Y1091"/>
      <c r="Z1091"/>
    </row>
    <row r="1092" spans="2:26">
      <c r="B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R1092"/>
      <c r="S1092"/>
      <c r="T1092"/>
      <c r="U1092"/>
      <c r="V1092"/>
      <c r="W1092"/>
      <c r="X1092"/>
      <c r="Y1092"/>
      <c r="Z1092"/>
    </row>
    <row r="1093" spans="2:26">
      <c r="B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R1093"/>
      <c r="S1093"/>
      <c r="T1093"/>
      <c r="U1093"/>
      <c r="V1093"/>
      <c r="W1093"/>
      <c r="X1093"/>
      <c r="Y1093"/>
      <c r="Z1093"/>
    </row>
    <row r="1094" spans="2:26">
      <c r="B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R1094"/>
      <c r="S1094"/>
      <c r="T1094"/>
      <c r="U1094"/>
      <c r="V1094"/>
      <c r="W1094"/>
      <c r="X1094"/>
      <c r="Y1094"/>
      <c r="Z1094"/>
    </row>
    <row r="1095" spans="2:26">
      <c r="B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R1095"/>
      <c r="S1095"/>
      <c r="T1095"/>
      <c r="U1095"/>
      <c r="V1095"/>
      <c r="W1095"/>
      <c r="X1095"/>
      <c r="Y1095"/>
      <c r="Z1095"/>
    </row>
    <row r="1096" spans="2:26">
      <c r="B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R1096"/>
      <c r="S1096"/>
      <c r="T1096"/>
      <c r="U1096"/>
      <c r="V1096"/>
      <c r="W1096"/>
      <c r="X1096"/>
      <c r="Y1096"/>
      <c r="Z1096"/>
    </row>
    <row r="1097" spans="2:26">
      <c r="B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R1097"/>
      <c r="S1097"/>
      <c r="T1097"/>
      <c r="U1097"/>
      <c r="V1097"/>
      <c r="W1097"/>
      <c r="X1097"/>
      <c r="Y1097"/>
      <c r="Z1097"/>
    </row>
    <row r="1098" spans="2:26">
      <c r="B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R1098"/>
      <c r="S1098"/>
      <c r="T1098"/>
      <c r="U1098"/>
      <c r="V1098"/>
      <c r="W1098"/>
      <c r="X1098"/>
      <c r="Y1098"/>
      <c r="Z1098"/>
    </row>
    <row r="1099" spans="2:26">
      <c r="B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R1099"/>
      <c r="S1099"/>
      <c r="T1099"/>
      <c r="U1099"/>
      <c r="V1099"/>
      <c r="W1099"/>
      <c r="X1099"/>
      <c r="Y1099"/>
      <c r="Z1099"/>
    </row>
    <row r="1100" spans="2:26">
      <c r="B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R1100"/>
      <c r="S1100"/>
      <c r="T1100"/>
      <c r="U1100"/>
      <c r="V1100"/>
      <c r="W1100"/>
      <c r="X1100"/>
      <c r="Y1100"/>
      <c r="Z1100"/>
    </row>
    <row r="1101" spans="2:26">
      <c r="B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R1101"/>
      <c r="S1101"/>
      <c r="T1101"/>
      <c r="U1101"/>
      <c r="V1101"/>
      <c r="W1101"/>
      <c r="X1101"/>
      <c r="Y1101"/>
      <c r="Z1101"/>
    </row>
    <row r="1102" spans="2:26">
      <c r="B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R1102"/>
      <c r="S1102"/>
      <c r="T1102"/>
      <c r="U1102"/>
      <c r="V1102"/>
      <c r="W1102"/>
      <c r="X1102"/>
      <c r="Y1102"/>
      <c r="Z1102"/>
    </row>
    <row r="1103" spans="2:26">
      <c r="B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R1103"/>
      <c r="S1103"/>
      <c r="T1103"/>
      <c r="U1103"/>
      <c r="V1103"/>
      <c r="W1103"/>
      <c r="X1103"/>
      <c r="Y1103"/>
      <c r="Z1103"/>
    </row>
    <row r="1104" spans="2:26">
      <c r="B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R1104"/>
      <c r="S1104"/>
      <c r="T1104"/>
      <c r="U1104"/>
      <c r="V1104"/>
      <c r="W1104"/>
      <c r="X1104"/>
      <c r="Y1104"/>
      <c r="Z1104"/>
    </row>
    <row r="1105" spans="2:26">
      <c r="B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R1105"/>
      <c r="S1105"/>
      <c r="T1105"/>
      <c r="U1105"/>
      <c r="V1105"/>
      <c r="W1105"/>
      <c r="X1105"/>
      <c r="Y1105"/>
      <c r="Z1105"/>
    </row>
    <row r="1106" spans="2:26">
      <c r="B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R1106"/>
      <c r="S1106"/>
      <c r="T1106"/>
      <c r="U1106"/>
      <c r="V1106"/>
      <c r="W1106"/>
      <c r="X1106"/>
      <c r="Y1106"/>
      <c r="Z1106"/>
    </row>
    <row r="1107" spans="2:26">
      <c r="B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R1107"/>
      <c r="S1107"/>
      <c r="T1107"/>
      <c r="U1107"/>
      <c r="V1107"/>
      <c r="W1107"/>
      <c r="X1107"/>
      <c r="Y1107"/>
      <c r="Z1107"/>
    </row>
    <row r="1108" spans="2:26">
      <c r="B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R1108"/>
      <c r="S1108"/>
      <c r="T1108"/>
      <c r="U1108"/>
      <c r="V1108"/>
      <c r="W1108"/>
      <c r="X1108"/>
      <c r="Y1108"/>
      <c r="Z1108"/>
    </row>
    <row r="1109" spans="2:26">
      <c r="B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R1109"/>
      <c r="S1109"/>
      <c r="T1109"/>
      <c r="U1109"/>
      <c r="V1109"/>
      <c r="W1109"/>
      <c r="X1109"/>
      <c r="Y1109"/>
      <c r="Z1109"/>
    </row>
    <row r="1110" spans="2:26">
      <c r="B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R1110"/>
      <c r="S1110"/>
      <c r="T1110"/>
      <c r="U1110"/>
      <c r="V1110"/>
      <c r="W1110"/>
      <c r="X1110"/>
      <c r="Y1110"/>
      <c r="Z1110"/>
    </row>
    <row r="1111" spans="2:26">
      <c r="B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R1111"/>
      <c r="S1111"/>
      <c r="T1111"/>
      <c r="U1111"/>
      <c r="V1111"/>
      <c r="W1111"/>
      <c r="X1111"/>
      <c r="Y1111"/>
      <c r="Z1111"/>
    </row>
    <row r="1112" spans="2:26">
      <c r="B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R1112"/>
      <c r="S1112"/>
      <c r="T1112"/>
      <c r="U1112"/>
      <c r="V1112"/>
      <c r="W1112"/>
      <c r="X1112"/>
      <c r="Y1112"/>
      <c r="Z1112"/>
    </row>
    <row r="1113" spans="2:26">
      <c r="B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R1113"/>
      <c r="S1113"/>
      <c r="T1113"/>
      <c r="U1113"/>
      <c r="V1113"/>
      <c r="W1113"/>
      <c r="X1113"/>
      <c r="Y1113"/>
      <c r="Z1113"/>
    </row>
    <row r="1114" spans="2:26">
      <c r="B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R1114"/>
      <c r="S1114"/>
      <c r="T1114"/>
      <c r="U1114"/>
      <c r="V1114"/>
      <c r="W1114"/>
      <c r="X1114"/>
      <c r="Y1114"/>
      <c r="Z1114"/>
    </row>
    <row r="1115" spans="2:26">
      <c r="B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R1115"/>
      <c r="S1115"/>
      <c r="T1115"/>
      <c r="U1115"/>
      <c r="V1115"/>
      <c r="W1115"/>
      <c r="X1115"/>
      <c r="Y1115"/>
      <c r="Z1115"/>
    </row>
    <row r="1116" spans="2:26">
      <c r="B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R1116"/>
      <c r="S1116"/>
      <c r="T1116"/>
      <c r="U1116"/>
      <c r="V1116"/>
      <c r="W1116"/>
      <c r="X1116"/>
      <c r="Y1116"/>
      <c r="Z1116"/>
    </row>
    <row r="1117" spans="2:26">
      <c r="B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R1117"/>
      <c r="S1117"/>
      <c r="T1117"/>
      <c r="U1117"/>
      <c r="V1117"/>
      <c r="W1117"/>
      <c r="X1117"/>
      <c r="Y1117"/>
      <c r="Z1117"/>
    </row>
    <row r="1118" spans="2:26">
      <c r="B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R1118"/>
      <c r="S1118"/>
      <c r="T1118"/>
      <c r="U1118"/>
      <c r="V1118"/>
      <c r="W1118"/>
      <c r="X1118"/>
      <c r="Y1118"/>
      <c r="Z1118"/>
    </row>
    <row r="1119" spans="2:26">
      <c r="B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R1119"/>
      <c r="S1119"/>
      <c r="T1119"/>
      <c r="U1119"/>
      <c r="V1119"/>
      <c r="W1119"/>
      <c r="X1119"/>
      <c r="Y1119"/>
      <c r="Z1119"/>
    </row>
    <row r="1120" spans="2:26">
      <c r="B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R1120"/>
      <c r="S1120"/>
      <c r="T1120"/>
      <c r="U1120"/>
      <c r="V1120"/>
      <c r="W1120"/>
      <c r="X1120"/>
      <c r="Y1120"/>
      <c r="Z1120"/>
    </row>
    <row r="1121" spans="2:26">
      <c r="B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R1121"/>
      <c r="S1121"/>
      <c r="T1121"/>
      <c r="U1121"/>
      <c r="V1121"/>
      <c r="W1121"/>
      <c r="X1121"/>
      <c r="Y1121"/>
      <c r="Z1121"/>
    </row>
    <row r="1122" spans="2:26">
      <c r="B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R1122"/>
      <c r="S1122"/>
      <c r="T1122"/>
      <c r="U1122"/>
      <c r="V1122"/>
      <c r="W1122"/>
      <c r="X1122"/>
      <c r="Y1122"/>
      <c r="Z1122"/>
    </row>
    <row r="1123" spans="2:26">
      <c r="B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R1123"/>
      <c r="S1123"/>
      <c r="T1123"/>
      <c r="U1123"/>
      <c r="V1123"/>
      <c r="W1123"/>
      <c r="X1123"/>
      <c r="Y1123"/>
      <c r="Z1123"/>
    </row>
    <row r="1124" spans="2:26">
      <c r="B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R1124"/>
      <c r="S1124"/>
      <c r="T1124"/>
      <c r="U1124"/>
      <c r="V1124"/>
      <c r="W1124"/>
      <c r="X1124"/>
      <c r="Y1124"/>
      <c r="Z1124"/>
    </row>
    <row r="1125" spans="2:26">
      <c r="B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R1125"/>
      <c r="S1125"/>
      <c r="T1125"/>
      <c r="U1125"/>
      <c r="V1125"/>
      <c r="W1125"/>
      <c r="X1125"/>
      <c r="Y1125"/>
      <c r="Z1125"/>
    </row>
    <row r="1126" spans="2:26">
      <c r="B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R1126"/>
      <c r="S1126"/>
      <c r="T1126"/>
      <c r="U1126"/>
      <c r="V1126"/>
      <c r="W1126"/>
      <c r="X1126"/>
      <c r="Y1126"/>
      <c r="Z1126"/>
    </row>
    <row r="1127" spans="2:26">
      <c r="B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R1127"/>
      <c r="S1127"/>
      <c r="T1127"/>
      <c r="U1127"/>
      <c r="V1127"/>
      <c r="W1127"/>
      <c r="X1127"/>
      <c r="Y1127"/>
      <c r="Z1127"/>
    </row>
    <row r="1128" spans="2:26">
      <c r="B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R1128"/>
      <c r="S1128"/>
      <c r="T1128"/>
      <c r="U1128"/>
      <c r="V1128"/>
      <c r="W1128"/>
      <c r="X1128"/>
      <c r="Y1128"/>
      <c r="Z1128"/>
    </row>
    <row r="1129" spans="2:26">
      <c r="B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R1129"/>
      <c r="S1129"/>
      <c r="T1129"/>
      <c r="U1129"/>
      <c r="V1129"/>
      <c r="W1129"/>
      <c r="X1129"/>
      <c r="Y1129"/>
      <c r="Z1129"/>
    </row>
    <row r="1130" spans="2:26">
      <c r="B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R1130"/>
      <c r="S1130"/>
      <c r="T1130"/>
      <c r="U1130"/>
      <c r="V1130"/>
      <c r="W1130"/>
      <c r="X1130"/>
      <c r="Y1130"/>
      <c r="Z1130"/>
    </row>
    <row r="1131" spans="2:26">
      <c r="B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R1131"/>
      <c r="S1131"/>
      <c r="T1131"/>
      <c r="U1131"/>
      <c r="V1131"/>
      <c r="W1131"/>
      <c r="X1131"/>
      <c r="Y1131"/>
      <c r="Z1131"/>
    </row>
    <row r="1132" spans="2:26">
      <c r="B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R1132"/>
      <c r="S1132"/>
      <c r="T1132"/>
      <c r="U1132"/>
      <c r="V1132"/>
      <c r="W1132"/>
      <c r="X1132"/>
      <c r="Y1132"/>
      <c r="Z1132"/>
    </row>
    <row r="1133" spans="2:26">
      <c r="B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R1133"/>
      <c r="S1133"/>
      <c r="T1133"/>
      <c r="U1133"/>
      <c r="V1133"/>
      <c r="W1133"/>
      <c r="X1133"/>
      <c r="Y1133"/>
      <c r="Z1133"/>
    </row>
    <row r="1134" spans="2:26">
      <c r="B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R1134"/>
      <c r="S1134"/>
      <c r="T1134"/>
      <c r="U1134"/>
      <c r="V1134"/>
      <c r="W1134"/>
      <c r="X1134"/>
      <c r="Y1134"/>
      <c r="Z1134"/>
    </row>
    <row r="1135" spans="2:26">
      <c r="B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R1135"/>
      <c r="S1135"/>
      <c r="T1135"/>
      <c r="U1135"/>
      <c r="V1135"/>
      <c r="W1135"/>
      <c r="X1135"/>
      <c r="Y1135"/>
      <c r="Z1135"/>
    </row>
    <row r="1136" spans="2:26">
      <c r="B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R1136"/>
      <c r="S1136"/>
      <c r="T1136"/>
      <c r="U1136"/>
      <c r="V1136"/>
      <c r="W1136"/>
      <c r="X1136"/>
      <c r="Y1136"/>
      <c r="Z1136"/>
    </row>
    <row r="1137" spans="2:26">
      <c r="B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R1137"/>
      <c r="S1137"/>
      <c r="T1137"/>
      <c r="U1137"/>
      <c r="V1137"/>
      <c r="W1137"/>
      <c r="X1137"/>
      <c r="Y1137"/>
      <c r="Z1137"/>
    </row>
    <row r="1138" spans="2:26">
      <c r="B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R1138"/>
      <c r="S1138"/>
      <c r="T1138"/>
      <c r="U1138"/>
      <c r="V1138"/>
      <c r="W1138"/>
      <c r="X1138"/>
      <c r="Y1138"/>
      <c r="Z1138"/>
    </row>
    <row r="1139" spans="2:26">
      <c r="B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R1139"/>
      <c r="S1139"/>
      <c r="T1139"/>
      <c r="U1139"/>
      <c r="V1139"/>
      <c r="W1139"/>
      <c r="X1139"/>
      <c r="Y1139"/>
      <c r="Z1139"/>
    </row>
    <row r="1140" spans="2:26">
      <c r="B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R1140"/>
      <c r="S1140"/>
      <c r="T1140"/>
      <c r="U1140"/>
      <c r="V1140"/>
      <c r="W1140"/>
      <c r="X1140"/>
      <c r="Y1140"/>
      <c r="Z1140"/>
    </row>
    <row r="1141" spans="2:26">
      <c r="B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R1141"/>
      <c r="S1141"/>
      <c r="T1141"/>
      <c r="U1141"/>
      <c r="V1141"/>
      <c r="W1141"/>
      <c r="X1141"/>
      <c r="Y1141"/>
      <c r="Z1141"/>
    </row>
    <row r="1142" spans="2:26">
      <c r="B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R1142"/>
      <c r="S1142"/>
      <c r="T1142"/>
      <c r="U1142"/>
      <c r="V1142"/>
      <c r="W1142"/>
      <c r="X1142"/>
      <c r="Y1142"/>
      <c r="Z1142"/>
    </row>
    <row r="1143" spans="2:26">
      <c r="B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R1143"/>
      <c r="S1143"/>
      <c r="T1143"/>
      <c r="U1143"/>
      <c r="V1143"/>
      <c r="W1143"/>
      <c r="X1143"/>
      <c r="Y1143"/>
      <c r="Z1143"/>
    </row>
    <row r="1144" spans="2:26">
      <c r="B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R1144"/>
      <c r="S1144"/>
      <c r="T1144"/>
      <c r="U1144"/>
      <c r="V1144"/>
      <c r="W1144"/>
      <c r="X1144"/>
      <c r="Y1144"/>
      <c r="Z1144"/>
    </row>
    <row r="1145" spans="2:26">
      <c r="B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R1145"/>
      <c r="S1145"/>
      <c r="T1145"/>
      <c r="U1145"/>
      <c r="V1145"/>
      <c r="W1145"/>
      <c r="X1145"/>
      <c r="Y1145"/>
      <c r="Z1145"/>
    </row>
    <row r="1146" spans="2:26">
      <c r="B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R1146"/>
      <c r="S1146"/>
      <c r="T1146"/>
      <c r="U1146"/>
      <c r="V1146"/>
      <c r="W1146"/>
      <c r="X1146"/>
      <c r="Y1146"/>
      <c r="Z1146"/>
    </row>
    <row r="1147" spans="2:26">
      <c r="B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R1147"/>
      <c r="S1147"/>
      <c r="T1147"/>
      <c r="U1147"/>
      <c r="V1147"/>
      <c r="W1147"/>
      <c r="X1147"/>
      <c r="Y1147"/>
      <c r="Z1147"/>
    </row>
    <row r="1148" spans="2:26">
      <c r="B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R1148"/>
      <c r="S1148"/>
      <c r="T1148"/>
      <c r="U1148"/>
      <c r="V1148"/>
      <c r="W1148"/>
      <c r="X1148"/>
      <c r="Y1148"/>
      <c r="Z1148"/>
    </row>
    <row r="1149" spans="2:26">
      <c r="B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R1149"/>
      <c r="S1149"/>
      <c r="T1149"/>
      <c r="U1149"/>
      <c r="V1149"/>
      <c r="W1149"/>
      <c r="X1149"/>
      <c r="Y1149"/>
      <c r="Z1149"/>
    </row>
    <row r="1150" spans="2:26">
      <c r="B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R1150"/>
      <c r="S1150"/>
      <c r="T1150"/>
      <c r="U1150"/>
      <c r="V1150"/>
      <c r="W1150"/>
      <c r="X1150"/>
      <c r="Y1150"/>
      <c r="Z1150"/>
    </row>
    <row r="1151" spans="2:26">
      <c r="B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R1151"/>
      <c r="S1151"/>
      <c r="T1151"/>
      <c r="U1151"/>
      <c r="V1151"/>
      <c r="W1151"/>
      <c r="X1151"/>
      <c r="Y1151"/>
      <c r="Z1151"/>
    </row>
    <row r="1152" spans="2:26">
      <c r="B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R1152"/>
      <c r="S1152"/>
      <c r="T1152"/>
      <c r="U1152"/>
      <c r="V1152"/>
      <c r="W1152"/>
      <c r="X1152"/>
      <c r="Y1152"/>
      <c r="Z1152"/>
    </row>
    <row r="1153" spans="2:26">
      <c r="B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R1153"/>
      <c r="S1153"/>
      <c r="T1153"/>
      <c r="U1153"/>
      <c r="V1153"/>
      <c r="W1153"/>
      <c r="X1153"/>
      <c r="Y1153"/>
      <c r="Z1153"/>
    </row>
    <row r="1154" spans="2:26">
      <c r="B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R1154"/>
      <c r="S1154"/>
      <c r="T1154"/>
      <c r="U1154"/>
      <c r="V1154"/>
      <c r="W1154"/>
      <c r="X1154"/>
      <c r="Y1154"/>
      <c r="Z1154"/>
    </row>
    <row r="1155" spans="2:26">
      <c r="B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R1155"/>
      <c r="S1155"/>
      <c r="T1155"/>
      <c r="U1155"/>
      <c r="V1155"/>
      <c r="W1155"/>
      <c r="X1155"/>
      <c r="Y1155"/>
      <c r="Z1155"/>
    </row>
    <row r="1156" spans="2:26">
      <c r="B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R1156"/>
      <c r="S1156"/>
      <c r="T1156"/>
      <c r="U1156"/>
      <c r="V1156"/>
      <c r="W1156"/>
      <c r="X1156"/>
      <c r="Y1156"/>
      <c r="Z1156"/>
    </row>
    <row r="1157" spans="2:26">
      <c r="B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R1157"/>
      <c r="S1157"/>
      <c r="T1157"/>
      <c r="U1157"/>
      <c r="V1157"/>
      <c r="W1157"/>
      <c r="X1157"/>
      <c r="Y1157"/>
      <c r="Z1157"/>
    </row>
    <row r="1158" spans="2:26">
      <c r="B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R1158"/>
      <c r="S1158"/>
      <c r="T1158"/>
      <c r="U1158"/>
      <c r="V1158"/>
      <c r="W1158"/>
      <c r="X1158"/>
      <c r="Y1158"/>
      <c r="Z1158"/>
    </row>
    <row r="1159" spans="2:26">
      <c r="B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R1159"/>
      <c r="S1159"/>
      <c r="T1159"/>
      <c r="U1159"/>
      <c r="V1159"/>
      <c r="W1159"/>
      <c r="X1159"/>
      <c r="Y1159"/>
      <c r="Z1159"/>
    </row>
    <row r="1160" spans="2:26">
      <c r="B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R1160"/>
      <c r="S1160"/>
      <c r="T1160"/>
      <c r="U1160"/>
      <c r="V1160"/>
      <c r="W1160"/>
      <c r="X1160"/>
      <c r="Y1160"/>
      <c r="Z1160"/>
    </row>
    <row r="1161" spans="2:26">
      <c r="B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R1161"/>
      <c r="S1161"/>
      <c r="T1161"/>
      <c r="U1161"/>
      <c r="V1161"/>
      <c r="W1161"/>
      <c r="X1161"/>
      <c r="Y1161"/>
      <c r="Z1161"/>
    </row>
    <row r="1162" spans="2:26">
      <c r="B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R1162"/>
      <c r="S1162"/>
      <c r="T1162"/>
      <c r="U1162"/>
      <c r="V1162"/>
      <c r="W1162"/>
      <c r="X1162"/>
      <c r="Y1162"/>
      <c r="Z1162"/>
    </row>
    <row r="1163" spans="2:26">
      <c r="B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R1163"/>
      <c r="S1163"/>
      <c r="T1163"/>
      <c r="U1163"/>
      <c r="V1163"/>
      <c r="W1163"/>
      <c r="X1163"/>
      <c r="Y1163"/>
      <c r="Z1163"/>
    </row>
    <row r="1164" spans="2:26">
      <c r="B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R1164"/>
      <c r="S1164"/>
      <c r="T1164"/>
      <c r="U1164"/>
      <c r="V1164"/>
      <c r="W1164"/>
      <c r="X1164"/>
      <c r="Y1164"/>
      <c r="Z1164"/>
    </row>
    <row r="1165" spans="2:26">
      <c r="B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R1165"/>
      <c r="S1165"/>
      <c r="T1165"/>
      <c r="U1165"/>
      <c r="V1165"/>
      <c r="W1165"/>
      <c r="X1165"/>
      <c r="Y1165"/>
      <c r="Z1165"/>
    </row>
    <row r="1166" spans="2:26">
      <c r="B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R1166"/>
      <c r="S1166"/>
      <c r="T1166"/>
      <c r="U1166"/>
      <c r="V1166"/>
      <c r="W1166"/>
      <c r="X1166"/>
      <c r="Y1166"/>
      <c r="Z1166"/>
    </row>
    <row r="1167" spans="2:26">
      <c r="B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R1167"/>
      <c r="S1167"/>
      <c r="T1167"/>
      <c r="U1167"/>
      <c r="V1167"/>
      <c r="W1167"/>
      <c r="X1167"/>
      <c r="Y1167"/>
      <c r="Z1167"/>
    </row>
    <row r="1168" spans="2:26">
      <c r="B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R1168"/>
      <c r="S1168"/>
      <c r="T1168"/>
      <c r="U1168"/>
      <c r="V1168"/>
      <c r="W1168"/>
      <c r="X1168"/>
      <c r="Y1168"/>
      <c r="Z1168"/>
    </row>
    <row r="1169" spans="2:26">
      <c r="B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R1169"/>
      <c r="S1169"/>
      <c r="T1169"/>
      <c r="U1169"/>
      <c r="V1169"/>
      <c r="W1169"/>
      <c r="X1169"/>
      <c r="Y1169"/>
      <c r="Z1169"/>
    </row>
    <row r="1170" spans="2:26">
      <c r="B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R1170"/>
      <c r="S1170"/>
      <c r="T1170"/>
      <c r="U1170"/>
      <c r="V1170"/>
      <c r="W1170"/>
      <c r="X1170"/>
      <c r="Y1170"/>
      <c r="Z1170"/>
    </row>
    <row r="1171" spans="2:26">
      <c r="B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R1171"/>
      <c r="S1171"/>
      <c r="T1171"/>
      <c r="U1171"/>
      <c r="V1171"/>
      <c r="W1171"/>
      <c r="X1171"/>
      <c r="Y1171"/>
      <c r="Z1171"/>
    </row>
    <row r="1172" spans="2:26">
      <c r="B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R1172"/>
      <c r="S1172"/>
      <c r="T1172"/>
      <c r="U1172"/>
      <c r="V1172"/>
      <c r="W1172"/>
      <c r="X1172"/>
      <c r="Y1172"/>
      <c r="Z1172"/>
    </row>
    <row r="1173" spans="2:26">
      <c r="B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R1173"/>
      <c r="S1173"/>
      <c r="T1173"/>
      <c r="U1173"/>
      <c r="V1173"/>
      <c r="W1173"/>
      <c r="X1173"/>
      <c r="Y1173"/>
      <c r="Z1173"/>
    </row>
    <row r="1174" spans="2:26">
      <c r="B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R1174"/>
      <c r="S1174"/>
      <c r="T1174"/>
      <c r="U1174"/>
      <c r="V1174"/>
      <c r="W1174"/>
      <c r="X1174"/>
      <c r="Y1174"/>
      <c r="Z1174"/>
    </row>
    <row r="1175" spans="2:26">
      <c r="B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R1175"/>
      <c r="S1175"/>
      <c r="T1175"/>
      <c r="U1175"/>
      <c r="V1175"/>
      <c r="W1175"/>
      <c r="X1175"/>
      <c r="Y1175"/>
      <c r="Z1175"/>
    </row>
    <row r="1176" spans="2:26">
      <c r="B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R1176"/>
      <c r="S1176"/>
      <c r="T1176"/>
      <c r="U1176"/>
      <c r="V1176"/>
      <c r="W1176"/>
      <c r="X1176"/>
      <c r="Y1176"/>
      <c r="Z1176"/>
    </row>
    <row r="1177" spans="2:26">
      <c r="B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R1177"/>
      <c r="S1177"/>
      <c r="T1177"/>
      <c r="U1177"/>
      <c r="V1177"/>
      <c r="W1177"/>
      <c r="X1177"/>
      <c r="Y1177"/>
      <c r="Z1177"/>
    </row>
    <row r="1178" spans="2:26">
      <c r="B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R1178"/>
      <c r="S1178"/>
      <c r="T1178"/>
      <c r="U1178"/>
      <c r="V1178"/>
      <c r="W1178"/>
      <c r="X1178"/>
      <c r="Y1178"/>
      <c r="Z1178"/>
    </row>
    <row r="1179" spans="2:26">
      <c r="B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R1179"/>
      <c r="S1179"/>
      <c r="T1179"/>
      <c r="U1179"/>
      <c r="V1179"/>
      <c r="W1179"/>
      <c r="X1179"/>
      <c r="Y1179"/>
      <c r="Z1179"/>
    </row>
    <row r="1180" spans="2:26">
      <c r="B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R1180"/>
      <c r="S1180"/>
      <c r="T1180"/>
      <c r="U1180"/>
      <c r="V1180"/>
      <c r="W1180"/>
      <c r="X1180"/>
      <c r="Y1180"/>
      <c r="Z1180"/>
    </row>
    <row r="1181" spans="2:26">
      <c r="B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R1181"/>
      <c r="S1181"/>
      <c r="T1181"/>
      <c r="U1181"/>
      <c r="V1181"/>
      <c r="W1181"/>
      <c r="X1181"/>
      <c r="Y1181"/>
      <c r="Z1181"/>
    </row>
    <row r="1182" spans="2:26">
      <c r="B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R1182"/>
      <c r="S1182"/>
      <c r="T1182"/>
      <c r="U1182"/>
      <c r="V1182"/>
      <c r="W1182"/>
      <c r="X1182"/>
      <c r="Y1182"/>
      <c r="Z1182"/>
    </row>
    <row r="1183" spans="2:26">
      <c r="B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R1183"/>
      <c r="S1183"/>
      <c r="T1183"/>
      <c r="U1183"/>
      <c r="V1183"/>
      <c r="W1183"/>
      <c r="X1183"/>
      <c r="Y1183"/>
      <c r="Z1183"/>
    </row>
    <row r="1184" spans="2:26">
      <c r="B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R1184"/>
      <c r="S1184"/>
      <c r="T1184"/>
      <c r="U1184"/>
      <c r="V1184"/>
      <c r="W1184"/>
      <c r="X1184"/>
      <c r="Y1184"/>
      <c r="Z1184"/>
    </row>
    <row r="1185" spans="2:26">
      <c r="B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R1185"/>
      <c r="S1185"/>
      <c r="T1185"/>
      <c r="U1185"/>
      <c r="V1185"/>
      <c r="W1185"/>
      <c r="X1185"/>
      <c r="Y1185"/>
      <c r="Z1185"/>
    </row>
    <row r="1186" spans="2:26">
      <c r="B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R1186"/>
      <c r="S1186"/>
      <c r="T1186"/>
      <c r="U1186"/>
      <c r="V1186"/>
      <c r="W1186"/>
      <c r="X1186"/>
      <c r="Y1186"/>
      <c r="Z1186"/>
    </row>
    <row r="1187" spans="2:26">
      <c r="B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R1187"/>
      <c r="S1187"/>
      <c r="T1187"/>
      <c r="U1187"/>
      <c r="V1187"/>
      <c r="W1187"/>
      <c r="X1187"/>
      <c r="Y1187"/>
      <c r="Z1187"/>
    </row>
    <row r="1188" spans="2:26">
      <c r="B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R1188"/>
      <c r="S1188"/>
      <c r="T1188"/>
      <c r="U1188"/>
      <c r="V1188"/>
      <c r="W1188"/>
      <c r="X1188"/>
      <c r="Y1188"/>
      <c r="Z1188"/>
    </row>
    <row r="1189" spans="2:26">
      <c r="B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R1189"/>
      <c r="S1189"/>
      <c r="T1189"/>
      <c r="U1189"/>
      <c r="V1189"/>
      <c r="W1189"/>
      <c r="X1189"/>
      <c r="Y1189"/>
      <c r="Z1189"/>
    </row>
    <row r="1190" spans="2:26">
      <c r="B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R1190"/>
      <c r="S1190"/>
      <c r="T1190"/>
      <c r="U1190"/>
      <c r="V1190"/>
      <c r="W1190"/>
      <c r="X1190"/>
      <c r="Y1190"/>
      <c r="Z1190"/>
    </row>
    <row r="1191" spans="2:26">
      <c r="B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R1191"/>
      <c r="S1191"/>
      <c r="T1191"/>
      <c r="U1191"/>
      <c r="V1191"/>
      <c r="W1191"/>
      <c r="X1191"/>
      <c r="Y1191"/>
      <c r="Z1191"/>
    </row>
    <row r="1192" spans="2:26">
      <c r="B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R1192"/>
      <c r="S1192"/>
      <c r="T1192"/>
      <c r="U1192"/>
      <c r="V1192"/>
      <c r="W1192"/>
      <c r="X1192"/>
      <c r="Y1192"/>
      <c r="Z1192"/>
    </row>
    <row r="1193" spans="2:26">
      <c r="B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R1193"/>
      <c r="S1193"/>
      <c r="T1193"/>
      <c r="U1193"/>
      <c r="V1193"/>
      <c r="W1193"/>
      <c r="X1193"/>
      <c r="Y1193"/>
      <c r="Z1193"/>
    </row>
    <row r="1194" spans="2:26">
      <c r="B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R1194"/>
      <c r="S1194"/>
      <c r="T1194"/>
      <c r="U1194"/>
      <c r="V1194"/>
      <c r="W1194"/>
      <c r="X1194"/>
      <c r="Y1194"/>
      <c r="Z1194"/>
    </row>
    <row r="1195" spans="2:26">
      <c r="B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R1195"/>
      <c r="S1195"/>
      <c r="T1195"/>
      <c r="U1195"/>
      <c r="V1195"/>
      <c r="W1195"/>
      <c r="X1195"/>
      <c r="Y1195"/>
      <c r="Z1195"/>
    </row>
    <row r="1196" spans="2:26">
      <c r="B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R1196"/>
      <c r="S1196"/>
      <c r="T1196"/>
      <c r="U1196"/>
      <c r="V1196"/>
      <c r="W1196"/>
      <c r="X1196"/>
      <c r="Y1196"/>
      <c r="Z1196"/>
    </row>
    <row r="1197" spans="2:26">
      <c r="B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R1197"/>
      <c r="S1197"/>
      <c r="T1197"/>
      <c r="U1197"/>
      <c r="V1197"/>
      <c r="W1197"/>
      <c r="X1197"/>
      <c r="Y1197"/>
      <c r="Z1197"/>
    </row>
    <row r="1198" spans="2:26">
      <c r="B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R1198"/>
      <c r="S1198"/>
      <c r="T1198"/>
      <c r="U1198"/>
      <c r="V1198"/>
      <c r="W1198"/>
      <c r="X1198"/>
      <c r="Y1198"/>
      <c r="Z1198"/>
    </row>
    <row r="1199" spans="2:26">
      <c r="B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R1199"/>
      <c r="S1199"/>
      <c r="T1199"/>
      <c r="U1199"/>
      <c r="V1199"/>
      <c r="W1199"/>
      <c r="X1199"/>
      <c r="Y1199"/>
      <c r="Z1199"/>
    </row>
    <row r="1200" spans="2:26">
      <c r="B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R1200"/>
      <c r="S1200"/>
      <c r="T1200"/>
      <c r="U1200"/>
      <c r="V1200"/>
      <c r="W1200"/>
      <c r="X1200"/>
      <c r="Y1200"/>
      <c r="Z1200"/>
    </row>
    <row r="1201" spans="2:26">
      <c r="B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R1201"/>
      <c r="S1201"/>
      <c r="T1201"/>
      <c r="U1201"/>
      <c r="V1201"/>
      <c r="W1201"/>
      <c r="X1201"/>
      <c r="Y1201"/>
      <c r="Z1201"/>
    </row>
    <row r="1202" spans="2:26">
      <c r="B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R1202"/>
      <c r="S1202"/>
      <c r="T1202"/>
      <c r="U1202"/>
      <c r="V1202"/>
      <c r="W1202"/>
      <c r="X1202"/>
      <c r="Y1202"/>
      <c r="Z1202"/>
    </row>
    <row r="1203" spans="2:26">
      <c r="B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R1203"/>
      <c r="S1203"/>
      <c r="T1203"/>
      <c r="U1203"/>
      <c r="V1203"/>
      <c r="W1203"/>
      <c r="X1203"/>
      <c r="Y1203"/>
      <c r="Z1203"/>
    </row>
    <row r="1204" spans="2:26">
      <c r="B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R1204"/>
      <c r="S1204"/>
      <c r="T1204"/>
      <c r="U1204"/>
      <c r="V1204"/>
      <c r="W1204"/>
      <c r="X1204"/>
      <c r="Y1204"/>
      <c r="Z1204"/>
    </row>
    <row r="1205" spans="2:26">
      <c r="B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R1205"/>
      <c r="S1205"/>
      <c r="T1205"/>
      <c r="U1205"/>
      <c r="V1205"/>
      <c r="W1205"/>
      <c r="X1205"/>
      <c r="Y1205"/>
      <c r="Z1205"/>
    </row>
    <row r="1206" spans="2:26">
      <c r="B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R1206"/>
      <c r="S1206"/>
      <c r="T1206"/>
      <c r="U1206"/>
      <c r="V1206"/>
      <c r="W1206"/>
      <c r="X1206"/>
      <c r="Y1206"/>
      <c r="Z1206"/>
    </row>
    <row r="1207" spans="2:26">
      <c r="B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R1207"/>
      <c r="S1207"/>
      <c r="T1207"/>
      <c r="U1207"/>
      <c r="V1207"/>
      <c r="W1207"/>
      <c r="X1207"/>
      <c r="Y1207"/>
      <c r="Z1207"/>
    </row>
    <row r="1208" spans="2:26">
      <c r="B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R1208"/>
      <c r="S1208"/>
      <c r="T1208"/>
      <c r="U1208"/>
      <c r="V1208"/>
      <c r="W1208"/>
      <c r="X1208"/>
      <c r="Y1208"/>
      <c r="Z1208"/>
    </row>
    <row r="1209" spans="2:26">
      <c r="B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R1209"/>
      <c r="S1209"/>
      <c r="T1209"/>
      <c r="U1209"/>
      <c r="V1209"/>
      <c r="W1209"/>
      <c r="X1209"/>
      <c r="Y1209"/>
      <c r="Z1209"/>
    </row>
    <row r="1210" spans="2:26">
      <c r="B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R1210"/>
      <c r="S1210"/>
      <c r="T1210"/>
      <c r="U1210"/>
      <c r="V1210"/>
      <c r="W1210"/>
      <c r="X1210"/>
      <c r="Y1210"/>
      <c r="Z1210"/>
    </row>
    <row r="1211" spans="2:26">
      <c r="B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R1211"/>
      <c r="S1211"/>
      <c r="T1211"/>
      <c r="U1211"/>
      <c r="V1211"/>
      <c r="W1211"/>
      <c r="X1211"/>
      <c r="Y1211"/>
      <c r="Z1211"/>
    </row>
    <row r="1212" spans="2:26">
      <c r="B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R1212"/>
      <c r="S1212"/>
      <c r="T1212"/>
      <c r="U1212"/>
      <c r="V1212"/>
      <c r="W1212"/>
      <c r="X1212"/>
      <c r="Y1212"/>
      <c r="Z1212"/>
    </row>
    <row r="1213" spans="2:26">
      <c r="B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R1213"/>
      <c r="S1213"/>
      <c r="T1213"/>
      <c r="U1213"/>
      <c r="V1213"/>
      <c r="W1213"/>
      <c r="X1213"/>
      <c r="Y1213"/>
      <c r="Z1213"/>
    </row>
    <row r="1214" spans="2:26">
      <c r="B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R1214"/>
      <c r="S1214"/>
      <c r="T1214"/>
      <c r="U1214"/>
      <c r="V1214"/>
      <c r="W1214"/>
      <c r="X1214"/>
      <c r="Y1214"/>
      <c r="Z1214"/>
    </row>
    <row r="1215" spans="2:26">
      <c r="B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R1215"/>
      <c r="S1215"/>
      <c r="T1215"/>
      <c r="U1215"/>
      <c r="V1215"/>
      <c r="W1215"/>
      <c r="X1215"/>
      <c r="Y1215"/>
      <c r="Z1215"/>
    </row>
    <row r="1216" spans="2:26">
      <c r="B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R1216"/>
      <c r="S1216"/>
      <c r="T1216"/>
      <c r="U1216"/>
      <c r="V1216"/>
      <c r="W1216"/>
      <c r="X1216"/>
      <c r="Y1216"/>
      <c r="Z1216"/>
    </row>
    <row r="1217" spans="2:26">
      <c r="B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R1217"/>
      <c r="S1217"/>
      <c r="T1217"/>
      <c r="U1217"/>
      <c r="V1217"/>
      <c r="W1217"/>
      <c r="X1217"/>
      <c r="Y1217"/>
      <c r="Z1217"/>
    </row>
    <row r="1218" spans="2:26">
      <c r="B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R1218"/>
      <c r="S1218"/>
      <c r="T1218"/>
      <c r="U1218"/>
      <c r="V1218"/>
      <c r="W1218"/>
      <c r="X1218"/>
      <c r="Y1218"/>
      <c r="Z1218"/>
    </row>
    <row r="1219" spans="2:26">
      <c r="B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R1219"/>
      <c r="S1219"/>
      <c r="T1219"/>
      <c r="U1219"/>
      <c r="V1219"/>
      <c r="W1219"/>
      <c r="X1219"/>
      <c r="Y1219"/>
      <c r="Z1219"/>
    </row>
    <row r="1220" spans="2:26">
      <c r="B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R1220"/>
      <c r="S1220"/>
      <c r="T1220"/>
      <c r="U1220"/>
      <c r="V1220"/>
      <c r="W1220"/>
      <c r="X1220"/>
      <c r="Y1220"/>
      <c r="Z1220"/>
    </row>
    <row r="1221" spans="2:26">
      <c r="B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R1221"/>
      <c r="S1221"/>
      <c r="T1221"/>
      <c r="U1221"/>
      <c r="V1221"/>
      <c r="W1221"/>
      <c r="X1221"/>
      <c r="Y1221"/>
      <c r="Z1221"/>
    </row>
    <row r="1222" spans="2:26">
      <c r="B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R1222"/>
      <c r="S1222"/>
      <c r="T1222"/>
      <c r="U1222"/>
      <c r="V1222"/>
      <c r="W1222"/>
      <c r="X1222"/>
      <c r="Y1222"/>
      <c r="Z1222"/>
    </row>
    <row r="1223" spans="2:26">
      <c r="B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R1223"/>
      <c r="S1223"/>
      <c r="T1223"/>
      <c r="U1223"/>
      <c r="V1223"/>
      <c r="W1223"/>
      <c r="X1223"/>
      <c r="Y1223"/>
      <c r="Z1223"/>
    </row>
    <row r="1224" spans="2:26">
      <c r="B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R1224"/>
      <c r="S1224"/>
      <c r="T1224"/>
      <c r="U1224"/>
      <c r="V1224"/>
      <c r="W1224"/>
      <c r="X1224"/>
      <c r="Y1224"/>
      <c r="Z1224"/>
    </row>
    <row r="1225" spans="2:26">
      <c r="B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R1225"/>
      <c r="S1225"/>
      <c r="T1225"/>
      <c r="U1225"/>
      <c r="V1225"/>
      <c r="W1225"/>
      <c r="X1225"/>
      <c r="Y1225"/>
      <c r="Z1225"/>
    </row>
    <row r="1226" spans="2:26">
      <c r="B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R1226"/>
      <c r="S1226"/>
      <c r="T1226"/>
      <c r="U1226"/>
      <c r="V1226"/>
      <c r="W1226"/>
      <c r="X1226"/>
      <c r="Y1226"/>
      <c r="Z1226"/>
    </row>
    <row r="1227" spans="2:26">
      <c r="B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R1227"/>
      <c r="S1227"/>
      <c r="T1227"/>
      <c r="U1227"/>
      <c r="V1227"/>
      <c r="W1227"/>
      <c r="X1227"/>
      <c r="Y1227"/>
      <c r="Z1227"/>
    </row>
    <row r="1228" spans="2:26">
      <c r="B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R1228"/>
      <c r="S1228"/>
      <c r="T1228"/>
      <c r="U1228"/>
      <c r="V1228"/>
      <c r="W1228"/>
      <c r="X1228"/>
      <c r="Y1228"/>
      <c r="Z1228"/>
    </row>
    <row r="1229" spans="2:26">
      <c r="B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R1229"/>
      <c r="S1229"/>
      <c r="T1229"/>
      <c r="U1229"/>
      <c r="V1229"/>
      <c r="W1229"/>
      <c r="X1229"/>
      <c r="Y1229"/>
      <c r="Z1229"/>
    </row>
    <row r="1230" spans="2:26">
      <c r="B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R1230"/>
      <c r="S1230"/>
      <c r="T1230"/>
      <c r="U1230"/>
      <c r="V1230"/>
      <c r="W1230"/>
      <c r="X1230"/>
      <c r="Y1230"/>
      <c r="Z1230"/>
    </row>
    <row r="1231" spans="2:26">
      <c r="B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R1231"/>
      <c r="S1231"/>
      <c r="T1231"/>
      <c r="U1231"/>
      <c r="V1231"/>
      <c r="W1231"/>
      <c r="X1231"/>
      <c r="Y1231"/>
      <c r="Z1231"/>
    </row>
    <row r="1232" spans="2:26">
      <c r="B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R1232"/>
      <c r="S1232"/>
      <c r="T1232"/>
      <c r="U1232"/>
      <c r="V1232"/>
      <c r="W1232"/>
      <c r="X1232"/>
      <c r="Y1232"/>
      <c r="Z1232"/>
    </row>
    <row r="1233" spans="2:26">
      <c r="B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R1233"/>
      <c r="S1233"/>
      <c r="T1233"/>
      <c r="U1233"/>
      <c r="V1233"/>
      <c r="W1233"/>
      <c r="X1233"/>
      <c r="Y1233"/>
      <c r="Z1233"/>
    </row>
    <row r="1234" spans="2:26">
      <c r="B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R1234"/>
      <c r="S1234"/>
      <c r="T1234"/>
      <c r="U1234"/>
      <c r="V1234"/>
      <c r="W1234"/>
      <c r="X1234"/>
      <c r="Y1234"/>
      <c r="Z1234"/>
    </row>
    <row r="1235" spans="2:26">
      <c r="B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R1235"/>
      <c r="S1235"/>
      <c r="T1235"/>
      <c r="U1235"/>
      <c r="V1235"/>
      <c r="W1235"/>
      <c r="X1235"/>
      <c r="Y1235"/>
      <c r="Z1235"/>
    </row>
    <row r="1236" spans="2:26">
      <c r="B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R1236"/>
      <c r="S1236"/>
      <c r="T1236"/>
      <c r="U1236"/>
      <c r="V1236"/>
      <c r="W1236"/>
      <c r="X1236"/>
      <c r="Y1236"/>
      <c r="Z1236"/>
    </row>
    <row r="1237" spans="2:26">
      <c r="B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R1237"/>
      <c r="S1237"/>
      <c r="T1237"/>
      <c r="U1237"/>
      <c r="V1237"/>
      <c r="W1237"/>
      <c r="X1237"/>
      <c r="Y1237"/>
      <c r="Z1237"/>
    </row>
    <row r="1238" spans="2:26">
      <c r="B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R1238"/>
      <c r="S1238"/>
      <c r="T1238"/>
      <c r="U1238"/>
      <c r="V1238"/>
      <c r="W1238"/>
      <c r="X1238"/>
      <c r="Y1238"/>
      <c r="Z1238"/>
    </row>
    <row r="1239" spans="2:26">
      <c r="B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R1239"/>
      <c r="S1239"/>
      <c r="T1239"/>
      <c r="U1239"/>
      <c r="V1239"/>
      <c r="W1239"/>
      <c r="X1239"/>
      <c r="Y1239"/>
      <c r="Z1239"/>
    </row>
    <row r="1240" spans="2:26">
      <c r="B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R1240"/>
      <c r="S1240"/>
      <c r="T1240"/>
      <c r="U1240"/>
      <c r="V1240"/>
      <c r="W1240"/>
      <c r="X1240"/>
      <c r="Y1240"/>
      <c r="Z1240"/>
    </row>
    <row r="1241" spans="2:26">
      <c r="B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R1241"/>
      <c r="S1241"/>
      <c r="T1241"/>
      <c r="U1241"/>
      <c r="V1241"/>
      <c r="W1241"/>
      <c r="X1241"/>
      <c r="Y1241"/>
      <c r="Z1241"/>
    </row>
    <row r="1242" spans="2:26">
      <c r="B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R1242"/>
      <c r="S1242"/>
      <c r="T1242"/>
      <c r="U1242"/>
      <c r="V1242"/>
      <c r="W1242"/>
      <c r="X1242"/>
      <c r="Y1242"/>
      <c r="Z1242"/>
    </row>
    <row r="1243" spans="2:26">
      <c r="B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R1243"/>
      <c r="S1243"/>
      <c r="T1243"/>
      <c r="U1243"/>
      <c r="V1243"/>
      <c r="W1243"/>
      <c r="X1243"/>
      <c r="Y1243"/>
      <c r="Z1243"/>
    </row>
    <row r="1244" spans="2:26">
      <c r="B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R1244"/>
      <c r="S1244"/>
      <c r="T1244"/>
      <c r="U1244"/>
      <c r="V1244"/>
      <c r="W1244"/>
      <c r="X1244"/>
      <c r="Y1244"/>
      <c r="Z1244"/>
    </row>
    <row r="1245" spans="2:26">
      <c r="B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R1245"/>
      <c r="S1245"/>
      <c r="T1245"/>
      <c r="U1245"/>
      <c r="V1245"/>
      <c r="W1245"/>
      <c r="X1245"/>
      <c r="Y1245"/>
      <c r="Z1245"/>
    </row>
    <row r="1246" spans="2:26">
      <c r="B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R1246"/>
      <c r="S1246"/>
      <c r="T1246"/>
      <c r="U1246"/>
      <c r="V1246"/>
      <c r="W1246"/>
      <c r="X1246"/>
      <c r="Y1246"/>
      <c r="Z1246"/>
    </row>
    <row r="1247" spans="2:26">
      <c r="B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R1247"/>
      <c r="S1247"/>
      <c r="T1247"/>
      <c r="U1247"/>
      <c r="V1247"/>
      <c r="W1247"/>
      <c r="X1247"/>
      <c r="Y1247"/>
      <c r="Z1247"/>
    </row>
    <row r="1248" spans="2:26">
      <c r="B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R1248"/>
      <c r="S1248"/>
      <c r="T1248"/>
      <c r="U1248"/>
      <c r="V1248"/>
      <c r="W1248"/>
      <c r="X1248"/>
      <c r="Y1248"/>
      <c r="Z1248"/>
    </row>
    <row r="1249" spans="2:26">
      <c r="B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R1249"/>
      <c r="S1249"/>
      <c r="T1249"/>
      <c r="U1249"/>
      <c r="V1249"/>
      <c r="W1249"/>
      <c r="X1249"/>
      <c r="Y1249"/>
      <c r="Z1249"/>
    </row>
    <row r="1250" spans="2:26">
      <c r="B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R1250"/>
      <c r="S1250"/>
      <c r="T1250"/>
      <c r="U1250"/>
      <c r="V1250"/>
      <c r="W1250"/>
      <c r="X1250"/>
      <c r="Y1250"/>
      <c r="Z1250"/>
    </row>
    <row r="1251" spans="2:26">
      <c r="B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R1251"/>
      <c r="S1251"/>
      <c r="T1251"/>
      <c r="U1251"/>
      <c r="V1251"/>
      <c r="W1251"/>
      <c r="X1251"/>
      <c r="Y1251"/>
      <c r="Z1251"/>
    </row>
    <row r="1252" spans="2:26">
      <c r="B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R1252"/>
      <c r="S1252"/>
      <c r="T1252"/>
      <c r="U1252"/>
      <c r="V1252"/>
      <c r="W1252"/>
      <c r="X1252"/>
      <c r="Y1252"/>
      <c r="Z1252"/>
    </row>
    <row r="1253" spans="2:26">
      <c r="B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R1253"/>
      <c r="S1253"/>
      <c r="T1253"/>
      <c r="U1253"/>
      <c r="V1253"/>
      <c r="W1253"/>
      <c r="X1253"/>
      <c r="Y1253"/>
      <c r="Z1253"/>
    </row>
    <row r="1254" spans="2:26">
      <c r="B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R1254"/>
      <c r="S1254"/>
      <c r="T1254"/>
      <c r="U1254"/>
      <c r="V1254"/>
      <c r="W1254"/>
      <c r="X1254"/>
      <c r="Y1254"/>
      <c r="Z1254"/>
    </row>
    <row r="1255" spans="2:26">
      <c r="B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R1255"/>
      <c r="S1255"/>
      <c r="T1255"/>
      <c r="U1255"/>
      <c r="V1255"/>
      <c r="W1255"/>
      <c r="X1255"/>
      <c r="Y1255"/>
      <c r="Z1255"/>
    </row>
    <row r="1256" spans="2:26">
      <c r="B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R1256"/>
      <c r="S1256"/>
      <c r="T1256"/>
      <c r="U1256"/>
      <c r="V1256"/>
      <c r="W1256"/>
      <c r="X1256"/>
      <c r="Y1256"/>
      <c r="Z1256"/>
    </row>
    <row r="1257" spans="2:26">
      <c r="B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R1257"/>
      <c r="S1257"/>
      <c r="T1257"/>
      <c r="U1257"/>
      <c r="V1257"/>
      <c r="W1257"/>
      <c r="X1257"/>
      <c r="Y1257"/>
      <c r="Z1257"/>
    </row>
    <row r="1258" spans="2:26">
      <c r="B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R1258"/>
      <c r="S1258"/>
      <c r="T1258"/>
      <c r="U1258"/>
      <c r="V1258"/>
      <c r="W1258"/>
      <c r="X1258"/>
      <c r="Y1258"/>
      <c r="Z1258"/>
    </row>
    <row r="1259" spans="2:26">
      <c r="B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R1259"/>
      <c r="S1259"/>
      <c r="T1259"/>
      <c r="U1259"/>
      <c r="V1259"/>
      <c r="W1259"/>
      <c r="X1259"/>
      <c r="Y1259"/>
      <c r="Z1259"/>
    </row>
    <row r="1260" spans="2:26">
      <c r="B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R1260"/>
      <c r="S1260"/>
      <c r="T1260"/>
      <c r="U1260"/>
      <c r="V1260"/>
      <c r="W1260"/>
      <c r="X1260"/>
      <c r="Y1260"/>
      <c r="Z1260"/>
    </row>
    <row r="1261" spans="2:26">
      <c r="B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R1261"/>
      <c r="S1261"/>
      <c r="T1261"/>
      <c r="U1261"/>
      <c r="V1261"/>
      <c r="W1261"/>
      <c r="X1261"/>
      <c r="Y1261"/>
      <c r="Z1261"/>
    </row>
    <row r="1262" spans="2:26">
      <c r="B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R1262"/>
      <c r="S1262"/>
      <c r="T1262"/>
      <c r="U1262"/>
      <c r="V1262"/>
      <c r="W1262"/>
      <c r="X1262"/>
      <c r="Y1262"/>
      <c r="Z1262"/>
    </row>
    <row r="1263" spans="2:26">
      <c r="B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R1263"/>
      <c r="S1263"/>
      <c r="T1263"/>
      <c r="U1263"/>
      <c r="V1263"/>
      <c r="W1263"/>
      <c r="X1263"/>
      <c r="Y1263"/>
      <c r="Z1263"/>
    </row>
    <row r="1264" spans="2:26">
      <c r="B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R1264"/>
      <c r="S1264"/>
      <c r="T1264"/>
      <c r="U1264"/>
      <c r="V1264"/>
      <c r="W1264"/>
      <c r="X1264"/>
      <c r="Y1264"/>
      <c r="Z1264"/>
    </row>
    <row r="1265" spans="2:26">
      <c r="B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R1265"/>
      <c r="S1265"/>
      <c r="T1265"/>
      <c r="U1265"/>
      <c r="V1265"/>
      <c r="W1265"/>
      <c r="X1265"/>
      <c r="Y1265"/>
      <c r="Z1265"/>
    </row>
    <row r="1266" spans="2:26">
      <c r="B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R1266"/>
      <c r="S1266"/>
      <c r="T1266"/>
      <c r="U1266"/>
      <c r="V1266"/>
      <c r="W1266"/>
      <c r="X1266"/>
      <c r="Y1266"/>
      <c r="Z1266"/>
    </row>
    <row r="1267" spans="2:26">
      <c r="B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R1267"/>
      <c r="S1267"/>
      <c r="T1267"/>
      <c r="U1267"/>
      <c r="V1267"/>
      <c r="W1267"/>
      <c r="X1267"/>
      <c r="Y1267"/>
      <c r="Z1267"/>
    </row>
    <row r="1268" spans="2:26">
      <c r="B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R1268"/>
      <c r="S1268"/>
      <c r="T1268"/>
      <c r="U1268"/>
      <c r="V1268"/>
      <c r="W1268"/>
      <c r="X1268"/>
      <c r="Y1268"/>
      <c r="Z1268"/>
    </row>
    <row r="1269" spans="2:26">
      <c r="B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R1269"/>
      <c r="S1269"/>
      <c r="T1269"/>
      <c r="U1269"/>
      <c r="V1269"/>
      <c r="W1269"/>
      <c r="X1269"/>
      <c r="Y1269"/>
      <c r="Z1269"/>
    </row>
    <row r="1270" spans="2:26">
      <c r="B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R1270"/>
      <c r="S1270"/>
      <c r="T1270"/>
      <c r="U1270"/>
      <c r="V1270"/>
      <c r="W1270"/>
      <c r="X1270"/>
      <c r="Y1270"/>
      <c r="Z1270"/>
    </row>
    <row r="1271" spans="2:26">
      <c r="B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R1271"/>
      <c r="S1271"/>
      <c r="T1271"/>
      <c r="U1271"/>
      <c r="V1271"/>
      <c r="W1271"/>
      <c r="X1271"/>
      <c r="Y1271"/>
      <c r="Z1271"/>
    </row>
    <row r="1272" spans="2:26">
      <c r="B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R1272"/>
      <c r="S1272"/>
      <c r="T1272"/>
      <c r="U1272"/>
      <c r="V1272"/>
      <c r="W1272"/>
      <c r="X1272"/>
      <c r="Y1272"/>
      <c r="Z1272"/>
    </row>
    <row r="1273" spans="2:26">
      <c r="B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R1273"/>
      <c r="S1273"/>
      <c r="T1273"/>
      <c r="U1273"/>
      <c r="V1273"/>
      <c r="W1273"/>
      <c r="X1273"/>
      <c r="Y1273"/>
      <c r="Z1273"/>
    </row>
    <row r="1274" spans="2:26">
      <c r="B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R1274"/>
      <c r="S1274"/>
      <c r="T1274"/>
      <c r="U1274"/>
      <c r="V1274"/>
      <c r="W1274"/>
      <c r="X1274"/>
      <c r="Y1274"/>
      <c r="Z1274"/>
    </row>
    <row r="1275" spans="2:26">
      <c r="B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R1275"/>
      <c r="S1275"/>
      <c r="T1275"/>
      <c r="U1275"/>
      <c r="V1275"/>
      <c r="W1275"/>
      <c r="X1275"/>
      <c r="Y1275"/>
      <c r="Z1275"/>
    </row>
    <row r="1276" spans="2:26">
      <c r="B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R1276"/>
      <c r="S1276"/>
      <c r="T1276"/>
      <c r="U1276"/>
      <c r="V1276"/>
      <c r="W1276"/>
      <c r="X1276"/>
      <c r="Y1276"/>
      <c r="Z1276"/>
    </row>
    <row r="1277" spans="2:26">
      <c r="B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R1277"/>
      <c r="S1277"/>
      <c r="T1277"/>
      <c r="U1277"/>
      <c r="V1277"/>
      <c r="W1277"/>
      <c r="X1277"/>
      <c r="Y1277"/>
      <c r="Z1277"/>
    </row>
    <row r="1278" spans="2:26">
      <c r="B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R1278"/>
      <c r="S1278"/>
      <c r="T1278"/>
      <c r="U1278"/>
      <c r="V1278"/>
      <c r="W1278"/>
      <c r="X1278"/>
      <c r="Y1278"/>
      <c r="Z1278"/>
    </row>
    <row r="1279" spans="2:26">
      <c r="B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R1279"/>
      <c r="S1279"/>
      <c r="T1279"/>
      <c r="U1279"/>
      <c r="V1279"/>
      <c r="W1279"/>
      <c r="X1279"/>
      <c r="Y1279"/>
      <c r="Z1279"/>
    </row>
    <row r="1280" spans="2:26">
      <c r="B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R1280"/>
      <c r="S1280"/>
      <c r="T1280"/>
      <c r="U1280"/>
      <c r="V1280"/>
      <c r="W1280"/>
      <c r="X1280"/>
      <c r="Y1280"/>
      <c r="Z1280"/>
    </row>
    <row r="1281" spans="2:26">
      <c r="B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R1281"/>
      <c r="S1281"/>
      <c r="T1281"/>
      <c r="U1281"/>
      <c r="V1281"/>
      <c r="W1281"/>
      <c r="X1281"/>
      <c r="Y1281"/>
      <c r="Z1281"/>
    </row>
    <row r="1282" spans="2:26">
      <c r="B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R1282"/>
      <c r="S1282"/>
      <c r="T1282"/>
      <c r="U1282"/>
      <c r="V1282"/>
      <c r="W1282"/>
      <c r="X1282"/>
      <c r="Y1282"/>
      <c r="Z1282"/>
    </row>
    <row r="1283" spans="2:26">
      <c r="B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R1283"/>
      <c r="S1283"/>
      <c r="T1283"/>
      <c r="U1283"/>
      <c r="V1283"/>
      <c r="W1283"/>
      <c r="X1283"/>
      <c r="Y1283"/>
      <c r="Z1283"/>
    </row>
    <row r="1284" spans="2:26">
      <c r="B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R1284"/>
      <c r="S1284"/>
      <c r="T1284"/>
      <c r="U1284"/>
      <c r="V1284"/>
      <c r="W1284"/>
      <c r="X1284"/>
      <c r="Y1284"/>
      <c r="Z1284"/>
    </row>
    <row r="1285" spans="2:26">
      <c r="B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R1285"/>
      <c r="S1285"/>
      <c r="T1285"/>
      <c r="U1285"/>
      <c r="V1285"/>
      <c r="W1285"/>
      <c r="X1285"/>
      <c r="Y1285"/>
      <c r="Z1285"/>
    </row>
    <row r="1286" spans="2:26">
      <c r="B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R1286"/>
      <c r="S1286"/>
      <c r="T1286"/>
      <c r="U1286"/>
      <c r="V1286"/>
      <c r="W1286"/>
      <c r="X1286"/>
      <c r="Y1286"/>
      <c r="Z1286"/>
    </row>
    <row r="1287" spans="2:26">
      <c r="B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R1287"/>
      <c r="S1287"/>
      <c r="T1287"/>
      <c r="U1287"/>
      <c r="V1287"/>
      <c r="W1287"/>
      <c r="X1287"/>
      <c r="Y1287"/>
      <c r="Z1287"/>
    </row>
    <row r="1288" spans="2:26">
      <c r="B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R1288"/>
      <c r="S1288"/>
      <c r="T1288"/>
      <c r="U1288"/>
      <c r="V1288"/>
      <c r="W1288"/>
      <c r="X1288"/>
      <c r="Y1288"/>
      <c r="Z1288"/>
    </row>
    <row r="1289" spans="2:26">
      <c r="B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R1289"/>
      <c r="S1289"/>
      <c r="T1289"/>
      <c r="U1289"/>
      <c r="V1289"/>
      <c r="W1289"/>
      <c r="X1289"/>
      <c r="Y1289"/>
      <c r="Z1289"/>
    </row>
    <row r="1290" spans="2:26">
      <c r="B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R1290"/>
      <c r="S1290"/>
      <c r="T1290"/>
      <c r="U1290"/>
      <c r="V1290"/>
      <c r="W1290"/>
      <c r="X1290"/>
      <c r="Y1290"/>
      <c r="Z1290"/>
    </row>
    <row r="1291" spans="2:26">
      <c r="B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R1291"/>
      <c r="S1291"/>
      <c r="T1291"/>
      <c r="U1291"/>
      <c r="V1291"/>
      <c r="W1291"/>
      <c r="X1291"/>
      <c r="Y1291"/>
      <c r="Z1291"/>
    </row>
    <row r="1292" spans="2:26">
      <c r="B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R1292"/>
      <c r="S1292"/>
      <c r="T1292"/>
      <c r="U1292"/>
      <c r="V1292"/>
      <c r="W1292"/>
      <c r="X1292"/>
      <c r="Y1292"/>
      <c r="Z1292"/>
    </row>
    <row r="1293" spans="2:26">
      <c r="B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R1293"/>
      <c r="S1293"/>
      <c r="T1293"/>
      <c r="U1293"/>
      <c r="V1293"/>
      <c r="W1293"/>
      <c r="X1293"/>
      <c r="Y1293"/>
      <c r="Z1293"/>
    </row>
    <row r="1294" spans="2:26">
      <c r="B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R1294"/>
      <c r="S1294"/>
      <c r="T1294"/>
      <c r="U1294"/>
      <c r="V1294"/>
      <c r="W1294"/>
      <c r="X1294"/>
      <c r="Y1294"/>
      <c r="Z1294"/>
    </row>
    <row r="1295" spans="2:26">
      <c r="B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R1295"/>
      <c r="S1295"/>
      <c r="T1295"/>
      <c r="U1295"/>
      <c r="V1295"/>
      <c r="W1295"/>
      <c r="X1295"/>
      <c r="Y1295"/>
      <c r="Z1295"/>
    </row>
    <row r="1296" spans="2:26">
      <c r="B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R1296"/>
      <c r="S1296"/>
      <c r="T1296"/>
      <c r="U1296"/>
      <c r="V1296"/>
      <c r="W1296"/>
      <c r="X1296"/>
      <c r="Y1296"/>
      <c r="Z1296"/>
    </row>
    <row r="1297" spans="2:26">
      <c r="B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R1297"/>
      <c r="S1297"/>
      <c r="T1297"/>
      <c r="U1297"/>
      <c r="V1297"/>
      <c r="W1297"/>
      <c r="X1297"/>
      <c r="Y1297"/>
      <c r="Z1297"/>
    </row>
    <row r="1298" spans="2:26">
      <c r="B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R1298"/>
      <c r="S1298"/>
      <c r="T1298"/>
      <c r="U1298"/>
      <c r="V1298"/>
      <c r="W1298"/>
      <c r="X1298"/>
      <c r="Y1298"/>
      <c r="Z1298"/>
    </row>
    <row r="1299" spans="2:26">
      <c r="B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R1299"/>
      <c r="S1299"/>
      <c r="T1299"/>
      <c r="U1299"/>
      <c r="V1299"/>
      <c r="W1299"/>
      <c r="X1299"/>
      <c r="Y1299"/>
      <c r="Z1299"/>
    </row>
    <row r="1300" spans="2:26">
      <c r="B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R1300"/>
      <c r="S1300"/>
      <c r="T1300"/>
      <c r="U1300"/>
      <c r="V1300"/>
      <c r="W1300"/>
      <c r="X1300"/>
      <c r="Y1300"/>
      <c r="Z1300"/>
    </row>
    <row r="1301" spans="2:26">
      <c r="B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R1301"/>
      <c r="S1301"/>
      <c r="T1301"/>
      <c r="U1301"/>
      <c r="V1301"/>
      <c r="W1301"/>
      <c r="X1301"/>
      <c r="Y1301"/>
      <c r="Z1301"/>
    </row>
    <row r="1302" spans="2:26">
      <c r="B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R1302"/>
      <c r="S1302"/>
      <c r="T1302"/>
      <c r="U1302"/>
      <c r="V1302"/>
      <c r="W1302"/>
      <c r="X1302"/>
      <c r="Y1302"/>
      <c r="Z1302"/>
    </row>
    <row r="1303" spans="2:26">
      <c r="B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R1303"/>
      <c r="S1303"/>
      <c r="T1303"/>
      <c r="U1303"/>
      <c r="V1303"/>
      <c r="W1303"/>
      <c r="X1303"/>
      <c r="Y1303"/>
      <c r="Z1303"/>
    </row>
    <row r="1304" spans="2:26">
      <c r="B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R1304"/>
      <c r="S1304"/>
      <c r="T1304"/>
      <c r="U1304"/>
      <c r="V1304"/>
      <c r="W1304"/>
      <c r="X1304"/>
      <c r="Y1304"/>
      <c r="Z1304"/>
    </row>
    <row r="1305" spans="2:26">
      <c r="B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R1305"/>
      <c r="S1305"/>
      <c r="T1305"/>
      <c r="U1305"/>
      <c r="V1305"/>
      <c r="W1305"/>
      <c r="X1305"/>
      <c r="Y1305"/>
      <c r="Z1305"/>
    </row>
    <row r="1306" spans="2:26">
      <c r="B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R1306"/>
      <c r="S1306"/>
      <c r="T1306"/>
      <c r="U1306"/>
      <c r="V1306"/>
      <c r="W1306"/>
      <c r="X1306"/>
      <c r="Y1306"/>
      <c r="Z1306"/>
    </row>
    <row r="1307" spans="2:26">
      <c r="B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R1307"/>
      <c r="S1307"/>
      <c r="T1307"/>
      <c r="U1307"/>
      <c r="V1307"/>
      <c r="W1307"/>
      <c r="X1307"/>
      <c r="Y1307"/>
      <c r="Z1307"/>
    </row>
    <row r="1308" spans="2:26">
      <c r="B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R1308"/>
      <c r="S1308"/>
      <c r="T1308"/>
      <c r="U1308"/>
      <c r="V1308"/>
      <c r="W1308"/>
      <c r="X1308"/>
      <c r="Y1308"/>
      <c r="Z1308"/>
    </row>
    <row r="1309" spans="2:26">
      <c r="B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R1309"/>
      <c r="S1309"/>
      <c r="T1309"/>
      <c r="U1309"/>
      <c r="V1309"/>
      <c r="W1309"/>
      <c r="X1309"/>
      <c r="Y1309"/>
      <c r="Z1309"/>
    </row>
    <row r="1310" spans="2:26">
      <c r="B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R1310"/>
      <c r="S1310"/>
      <c r="T1310"/>
      <c r="U1310"/>
      <c r="V1310"/>
      <c r="W1310"/>
      <c r="X1310"/>
      <c r="Y1310"/>
      <c r="Z1310"/>
    </row>
    <row r="1311" spans="2:26">
      <c r="B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R1311"/>
      <c r="S1311"/>
      <c r="T1311"/>
      <c r="U1311"/>
      <c r="V1311"/>
      <c r="W1311"/>
      <c r="X1311"/>
      <c r="Y1311"/>
      <c r="Z1311"/>
    </row>
    <row r="1312" spans="2:26">
      <c r="B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R1312"/>
      <c r="S1312"/>
      <c r="T1312"/>
      <c r="U1312"/>
      <c r="V1312"/>
      <c r="W1312"/>
      <c r="X1312"/>
      <c r="Y1312"/>
      <c r="Z1312"/>
    </row>
    <row r="1313" spans="2:26">
      <c r="B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R1313"/>
      <c r="S1313"/>
      <c r="T1313"/>
      <c r="U1313"/>
      <c r="V1313"/>
      <c r="W1313"/>
      <c r="X1313"/>
      <c r="Y1313"/>
      <c r="Z1313"/>
    </row>
    <row r="1314" spans="2:26">
      <c r="B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R1314"/>
      <c r="S1314"/>
      <c r="T1314"/>
      <c r="U1314"/>
      <c r="V1314"/>
      <c r="W1314"/>
      <c r="X1314"/>
      <c r="Y1314"/>
      <c r="Z1314"/>
    </row>
    <row r="1315" spans="2:26">
      <c r="B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R1315"/>
      <c r="S1315"/>
      <c r="T1315"/>
      <c r="U1315"/>
      <c r="V1315"/>
      <c r="W1315"/>
      <c r="X1315"/>
      <c r="Y1315"/>
      <c r="Z1315"/>
    </row>
    <row r="1316" spans="2:26">
      <c r="B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R1316"/>
      <c r="S1316"/>
      <c r="T1316"/>
      <c r="U1316"/>
      <c r="V1316"/>
      <c r="W1316"/>
      <c r="X1316"/>
      <c r="Y1316"/>
      <c r="Z1316"/>
    </row>
    <row r="1317" spans="2:26">
      <c r="B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R1317"/>
      <c r="S1317"/>
      <c r="T1317"/>
      <c r="U1317"/>
      <c r="V1317"/>
      <c r="W1317"/>
      <c r="X1317"/>
      <c r="Y1317"/>
      <c r="Z1317"/>
    </row>
    <row r="1318" spans="2:26">
      <c r="B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R1318"/>
      <c r="S1318"/>
      <c r="T1318"/>
      <c r="U1318"/>
      <c r="V1318"/>
      <c r="W1318"/>
      <c r="X1318"/>
      <c r="Y1318"/>
      <c r="Z1318"/>
    </row>
    <row r="1319" spans="2:26">
      <c r="B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R1319"/>
      <c r="S1319"/>
      <c r="T1319"/>
      <c r="U1319"/>
      <c r="V1319"/>
      <c r="W1319"/>
      <c r="X1319"/>
      <c r="Y1319"/>
      <c r="Z1319"/>
    </row>
    <row r="1320" spans="2:26">
      <c r="B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R1320"/>
      <c r="S1320"/>
      <c r="T1320"/>
      <c r="U1320"/>
      <c r="V1320"/>
      <c r="W1320"/>
      <c r="X1320"/>
      <c r="Y1320"/>
      <c r="Z1320"/>
    </row>
    <row r="1321" spans="2:26">
      <c r="B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R1321"/>
      <c r="S1321"/>
      <c r="T1321"/>
      <c r="U1321"/>
      <c r="V1321"/>
      <c r="W1321"/>
      <c r="X1321"/>
      <c r="Y1321"/>
      <c r="Z1321"/>
    </row>
    <row r="1322" spans="2:26">
      <c r="B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R1322"/>
      <c r="S1322"/>
      <c r="T1322"/>
      <c r="U1322"/>
      <c r="V1322"/>
      <c r="W1322"/>
      <c r="X1322"/>
      <c r="Y1322"/>
      <c r="Z1322"/>
    </row>
    <row r="1323" spans="2:26">
      <c r="B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R1323"/>
      <c r="S1323"/>
      <c r="T1323"/>
      <c r="U1323"/>
      <c r="V1323"/>
      <c r="W1323"/>
      <c r="X1323"/>
      <c r="Y1323"/>
      <c r="Z1323"/>
    </row>
    <row r="1324" spans="2:26">
      <c r="B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R1324"/>
      <c r="S1324"/>
      <c r="T1324"/>
      <c r="U1324"/>
      <c r="V1324"/>
      <c r="W1324"/>
      <c r="X1324"/>
      <c r="Y1324"/>
      <c r="Z1324"/>
    </row>
    <row r="1325" spans="2:26">
      <c r="B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R1325"/>
      <c r="S1325"/>
      <c r="T1325"/>
      <c r="U1325"/>
      <c r="V1325"/>
      <c r="W1325"/>
      <c r="X1325"/>
      <c r="Y1325"/>
      <c r="Z1325"/>
    </row>
    <row r="1326" spans="2:26">
      <c r="B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R1326"/>
      <c r="S1326"/>
      <c r="T1326"/>
      <c r="U1326"/>
      <c r="V1326"/>
      <c r="W1326"/>
      <c r="X1326"/>
      <c r="Y1326"/>
      <c r="Z1326"/>
    </row>
    <row r="1327" spans="2:26">
      <c r="B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R1327"/>
      <c r="S1327"/>
      <c r="T1327"/>
      <c r="U1327"/>
      <c r="V1327"/>
      <c r="W1327"/>
      <c r="X1327"/>
      <c r="Y1327"/>
      <c r="Z1327"/>
    </row>
    <row r="1328" spans="2:26">
      <c r="B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R1328"/>
      <c r="S1328"/>
      <c r="T1328"/>
      <c r="U1328"/>
      <c r="V1328"/>
      <c r="W1328"/>
      <c r="X1328"/>
      <c r="Y1328"/>
      <c r="Z1328"/>
    </row>
    <row r="1329" spans="2:26">
      <c r="B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R1329"/>
      <c r="S1329"/>
      <c r="T1329"/>
      <c r="U1329"/>
      <c r="V1329"/>
      <c r="W1329"/>
      <c r="X1329"/>
      <c r="Y1329"/>
      <c r="Z1329"/>
    </row>
    <row r="1330" spans="2:26">
      <c r="B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R1330"/>
      <c r="S1330"/>
      <c r="T1330"/>
      <c r="U1330"/>
      <c r="V1330"/>
      <c r="W1330"/>
      <c r="X1330"/>
      <c r="Y1330"/>
      <c r="Z1330"/>
    </row>
    <row r="1331" spans="2:26">
      <c r="B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R1331"/>
      <c r="S1331"/>
      <c r="T1331"/>
      <c r="U1331"/>
      <c r="V1331"/>
      <c r="W1331"/>
      <c r="X1331"/>
      <c r="Y1331"/>
      <c r="Z1331"/>
    </row>
    <row r="1332" spans="2:26">
      <c r="B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R1332"/>
      <c r="S1332"/>
      <c r="T1332"/>
      <c r="U1332"/>
      <c r="V1332"/>
      <c r="W1332"/>
      <c r="X1332"/>
      <c r="Y1332"/>
      <c r="Z1332"/>
    </row>
    <row r="1333" spans="2:26">
      <c r="B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R1333"/>
      <c r="S1333"/>
      <c r="T1333"/>
      <c r="U1333"/>
      <c r="V1333"/>
      <c r="W1333"/>
      <c r="X1333"/>
      <c r="Y1333"/>
      <c r="Z1333"/>
    </row>
    <row r="1334" spans="2:26">
      <c r="B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R1334"/>
      <c r="S1334"/>
      <c r="T1334"/>
      <c r="U1334"/>
      <c r="V1334"/>
      <c r="W1334"/>
      <c r="X1334"/>
      <c r="Y1334"/>
      <c r="Z1334"/>
    </row>
    <row r="1335" spans="2:26">
      <c r="B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R1335"/>
      <c r="S1335"/>
      <c r="T1335"/>
      <c r="U1335"/>
      <c r="V1335"/>
      <c r="W1335"/>
      <c r="X1335"/>
      <c r="Y1335"/>
      <c r="Z1335"/>
    </row>
    <row r="1336" spans="2:26">
      <c r="B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R1336"/>
      <c r="S1336"/>
      <c r="T1336"/>
      <c r="U1336"/>
      <c r="V1336"/>
      <c r="W1336"/>
      <c r="X1336"/>
      <c r="Y1336"/>
      <c r="Z1336"/>
    </row>
    <row r="1337" spans="2:26">
      <c r="B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R1337"/>
      <c r="S1337"/>
      <c r="T1337"/>
      <c r="U1337"/>
      <c r="V1337"/>
      <c r="W1337"/>
      <c r="X1337"/>
      <c r="Y1337"/>
      <c r="Z1337"/>
    </row>
    <row r="1338" spans="2:26">
      <c r="B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R1338"/>
      <c r="S1338"/>
      <c r="T1338"/>
      <c r="U1338"/>
      <c r="V1338"/>
      <c r="W1338"/>
      <c r="X1338"/>
      <c r="Y1338"/>
      <c r="Z1338"/>
    </row>
    <row r="1339" spans="2:26">
      <c r="B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R1339"/>
      <c r="S1339"/>
      <c r="T1339"/>
      <c r="U1339"/>
      <c r="V1339"/>
      <c r="W1339"/>
      <c r="X1339"/>
      <c r="Y1339"/>
      <c r="Z1339"/>
    </row>
    <row r="1340" spans="2:26">
      <c r="B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R1340"/>
      <c r="S1340"/>
      <c r="T1340"/>
      <c r="U1340"/>
      <c r="V1340"/>
      <c r="W1340"/>
      <c r="X1340"/>
      <c r="Y1340"/>
      <c r="Z1340"/>
    </row>
    <row r="1341" spans="2:26">
      <c r="B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R1341"/>
      <c r="S1341"/>
      <c r="T1341"/>
      <c r="U1341"/>
      <c r="V1341"/>
      <c r="W1341"/>
      <c r="X1341"/>
      <c r="Y1341"/>
      <c r="Z1341"/>
    </row>
    <row r="1342" spans="2:26">
      <c r="B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R1342"/>
      <c r="S1342"/>
      <c r="T1342"/>
      <c r="U1342"/>
      <c r="V1342"/>
      <c r="W1342"/>
      <c r="X1342"/>
      <c r="Y1342"/>
      <c r="Z1342"/>
    </row>
    <row r="1343" spans="2:26">
      <c r="B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R1343"/>
      <c r="S1343"/>
      <c r="T1343"/>
      <c r="U1343"/>
      <c r="V1343"/>
      <c r="W1343"/>
      <c r="X1343"/>
      <c r="Y1343"/>
      <c r="Z1343"/>
    </row>
    <row r="1344" spans="2:26">
      <c r="B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R1344"/>
      <c r="S1344"/>
      <c r="T1344"/>
      <c r="U1344"/>
      <c r="V1344"/>
      <c r="W1344"/>
      <c r="X1344"/>
      <c r="Y1344"/>
      <c r="Z1344"/>
    </row>
    <row r="1345" spans="2:26">
      <c r="B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R1345"/>
      <c r="S1345"/>
      <c r="T1345"/>
      <c r="U1345"/>
      <c r="V1345"/>
      <c r="W1345"/>
      <c r="X1345"/>
      <c r="Y1345"/>
      <c r="Z1345"/>
    </row>
    <row r="1346" spans="2:26">
      <c r="B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R1346"/>
      <c r="S1346"/>
      <c r="T1346"/>
      <c r="U1346"/>
      <c r="V1346"/>
      <c r="W1346"/>
      <c r="X1346"/>
      <c r="Y1346"/>
      <c r="Z1346"/>
    </row>
    <row r="1347" spans="2:26">
      <c r="B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R1347"/>
      <c r="S1347"/>
      <c r="T1347"/>
      <c r="U1347"/>
      <c r="V1347"/>
      <c r="W1347"/>
      <c r="X1347"/>
      <c r="Y1347"/>
      <c r="Z1347"/>
    </row>
    <row r="1348" spans="2:26">
      <c r="B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R1348"/>
      <c r="S1348"/>
      <c r="T1348"/>
      <c r="U1348"/>
      <c r="V1348"/>
      <c r="W1348"/>
      <c r="X1348"/>
      <c r="Y1348"/>
      <c r="Z1348"/>
    </row>
    <row r="1349" spans="2:26">
      <c r="B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R1349"/>
      <c r="S1349"/>
      <c r="T1349"/>
      <c r="U1349"/>
      <c r="V1349"/>
      <c r="W1349"/>
      <c r="X1349"/>
      <c r="Y1349"/>
      <c r="Z1349"/>
    </row>
    <row r="1350" spans="2:26">
      <c r="B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R1350"/>
      <c r="S1350"/>
      <c r="T1350"/>
      <c r="U1350"/>
      <c r="V1350"/>
      <c r="W1350"/>
      <c r="X1350"/>
      <c r="Y1350"/>
      <c r="Z1350"/>
    </row>
    <row r="1351" spans="2:26">
      <c r="B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R1351"/>
      <c r="S1351"/>
      <c r="T1351"/>
      <c r="U1351"/>
      <c r="V1351"/>
      <c r="W1351"/>
      <c r="X1351"/>
      <c r="Y1351"/>
      <c r="Z1351"/>
    </row>
    <row r="1352" spans="2:26">
      <c r="B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R1352"/>
      <c r="S1352"/>
      <c r="T1352"/>
      <c r="U1352"/>
      <c r="V1352"/>
      <c r="W1352"/>
      <c r="X1352"/>
      <c r="Y1352"/>
      <c r="Z1352"/>
    </row>
    <row r="1353" spans="2:26">
      <c r="B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R1353"/>
      <c r="S1353"/>
      <c r="T1353"/>
      <c r="U1353"/>
      <c r="V1353"/>
      <c r="W1353"/>
      <c r="X1353"/>
      <c r="Y1353"/>
      <c r="Z1353"/>
    </row>
    <row r="1354" spans="2:26">
      <c r="B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R1354"/>
      <c r="S1354"/>
      <c r="T1354"/>
      <c r="U1354"/>
      <c r="V1354"/>
      <c r="W1354"/>
      <c r="X1354"/>
      <c r="Y1354"/>
      <c r="Z1354"/>
    </row>
    <row r="1355" spans="2:26">
      <c r="B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R1355"/>
      <c r="S1355"/>
      <c r="T1355"/>
      <c r="U1355"/>
      <c r="V1355"/>
      <c r="W1355"/>
      <c r="X1355"/>
      <c r="Y1355"/>
      <c r="Z1355"/>
    </row>
    <row r="1356" spans="2:26">
      <c r="B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R1356"/>
      <c r="S1356"/>
      <c r="T1356"/>
      <c r="U1356"/>
      <c r="V1356"/>
      <c r="W1356"/>
      <c r="X1356"/>
      <c r="Y1356"/>
      <c r="Z1356"/>
    </row>
    <row r="1357" spans="2:26">
      <c r="B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R1357"/>
      <c r="S1357"/>
      <c r="T1357"/>
      <c r="U1357"/>
      <c r="V1357"/>
      <c r="W1357"/>
      <c r="X1357"/>
      <c r="Y1357"/>
      <c r="Z1357"/>
    </row>
    <row r="1358" spans="2:26">
      <c r="B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R1358"/>
      <c r="S1358"/>
      <c r="T1358"/>
      <c r="U1358"/>
      <c r="V1358"/>
      <c r="W1358"/>
      <c r="X1358"/>
      <c r="Y1358"/>
      <c r="Z1358"/>
    </row>
    <row r="1359" spans="2:26">
      <c r="B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R1359"/>
      <c r="S1359"/>
      <c r="T1359"/>
      <c r="U1359"/>
      <c r="V1359"/>
      <c r="W1359"/>
      <c r="X1359"/>
      <c r="Y1359"/>
      <c r="Z1359"/>
    </row>
    <row r="1360" spans="2:26">
      <c r="B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R1360"/>
      <c r="S1360"/>
      <c r="T1360"/>
      <c r="U1360"/>
      <c r="V1360"/>
      <c r="W1360"/>
      <c r="X1360"/>
      <c r="Y1360"/>
      <c r="Z1360"/>
    </row>
    <row r="1361" spans="2:26">
      <c r="B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R1361"/>
      <c r="S1361"/>
      <c r="T1361"/>
      <c r="U1361"/>
      <c r="V1361"/>
      <c r="W1361"/>
      <c r="X1361"/>
      <c r="Y1361"/>
      <c r="Z1361"/>
    </row>
    <row r="1362" spans="2:26">
      <c r="B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R1362"/>
      <c r="S1362"/>
      <c r="T1362"/>
      <c r="U1362"/>
      <c r="V1362"/>
      <c r="W1362"/>
      <c r="X1362"/>
      <c r="Y1362"/>
      <c r="Z1362"/>
    </row>
    <row r="1363" spans="2:26">
      <c r="B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R1363"/>
      <c r="S1363"/>
      <c r="T1363"/>
      <c r="U1363"/>
      <c r="V1363"/>
      <c r="W1363"/>
      <c r="X1363"/>
      <c r="Y1363"/>
      <c r="Z1363"/>
    </row>
    <row r="1364" spans="2:26">
      <c r="B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R1364"/>
      <c r="S1364"/>
      <c r="T1364"/>
      <c r="U1364"/>
      <c r="V1364"/>
      <c r="W1364"/>
      <c r="X1364"/>
      <c r="Y1364"/>
      <c r="Z1364"/>
    </row>
    <row r="1365" spans="2:26">
      <c r="B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R1365"/>
      <c r="S1365"/>
      <c r="T1365"/>
      <c r="U1365"/>
      <c r="V1365"/>
      <c r="W1365"/>
      <c r="X1365"/>
      <c r="Y1365"/>
      <c r="Z1365"/>
    </row>
    <row r="1366" spans="2:26">
      <c r="B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R1366"/>
      <c r="S1366"/>
      <c r="T1366"/>
      <c r="U1366"/>
      <c r="V1366"/>
      <c r="W1366"/>
      <c r="X1366"/>
      <c r="Y1366"/>
      <c r="Z1366"/>
    </row>
    <row r="1367" spans="2:26">
      <c r="B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R1367"/>
      <c r="S1367"/>
      <c r="T1367"/>
      <c r="U1367"/>
      <c r="V1367"/>
      <c r="W1367"/>
      <c r="X1367"/>
      <c r="Y1367"/>
      <c r="Z1367"/>
    </row>
    <row r="1368" spans="2:26">
      <c r="B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R1368"/>
      <c r="S1368"/>
      <c r="T1368"/>
      <c r="U1368"/>
      <c r="V1368"/>
      <c r="W1368"/>
      <c r="X1368"/>
      <c r="Y1368"/>
      <c r="Z1368"/>
    </row>
    <row r="1369" spans="2:26">
      <c r="B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R1369"/>
      <c r="S1369"/>
      <c r="T1369"/>
      <c r="U1369"/>
      <c r="V1369"/>
      <c r="W1369"/>
      <c r="X1369"/>
      <c r="Y1369"/>
      <c r="Z1369"/>
    </row>
    <row r="1370" spans="2:26">
      <c r="B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R1370"/>
      <c r="S1370"/>
      <c r="T1370"/>
      <c r="U1370"/>
      <c r="V1370"/>
      <c r="W1370"/>
      <c r="X1370"/>
      <c r="Y1370"/>
      <c r="Z1370"/>
    </row>
    <row r="1371" spans="2:26">
      <c r="B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R1371"/>
      <c r="S1371"/>
      <c r="T1371"/>
      <c r="U1371"/>
      <c r="V1371"/>
      <c r="W1371"/>
      <c r="X1371"/>
      <c r="Y1371"/>
      <c r="Z1371"/>
    </row>
    <row r="1372" spans="2:26">
      <c r="B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R1372"/>
      <c r="S1372"/>
      <c r="T1372"/>
      <c r="U1372"/>
      <c r="V1372"/>
      <c r="W1372"/>
      <c r="X1372"/>
      <c r="Y1372"/>
      <c r="Z1372"/>
    </row>
    <row r="1373" spans="2:26">
      <c r="B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R1373"/>
      <c r="S1373"/>
      <c r="T1373"/>
      <c r="U1373"/>
      <c r="V1373"/>
      <c r="W1373"/>
      <c r="X1373"/>
      <c r="Y1373"/>
      <c r="Z1373"/>
    </row>
    <row r="1374" spans="2:26">
      <c r="B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R1374"/>
      <c r="S1374"/>
      <c r="T1374"/>
      <c r="U1374"/>
      <c r="V1374"/>
      <c r="W1374"/>
      <c r="X1374"/>
      <c r="Y1374"/>
      <c r="Z1374"/>
    </row>
    <row r="1375" spans="2:26">
      <c r="B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R1375"/>
      <c r="S1375"/>
      <c r="T1375"/>
      <c r="U1375"/>
      <c r="V1375"/>
      <c r="W1375"/>
      <c r="X1375"/>
      <c r="Y1375"/>
      <c r="Z1375"/>
    </row>
    <row r="1376" spans="2:26">
      <c r="B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R1376"/>
      <c r="S1376"/>
      <c r="T1376"/>
      <c r="U1376"/>
      <c r="V1376"/>
      <c r="W1376"/>
      <c r="X1376"/>
      <c r="Y1376"/>
      <c r="Z1376"/>
    </row>
    <row r="1377" spans="2:26">
      <c r="B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R1377"/>
      <c r="S1377"/>
      <c r="T1377"/>
      <c r="U1377"/>
      <c r="V1377"/>
      <c r="W1377"/>
      <c r="X1377"/>
      <c r="Y1377"/>
      <c r="Z1377"/>
    </row>
    <row r="1378" spans="2:26">
      <c r="B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R1378"/>
      <c r="S1378"/>
      <c r="T1378"/>
      <c r="U1378"/>
      <c r="V1378"/>
      <c r="W1378"/>
      <c r="X1378"/>
      <c r="Y1378"/>
      <c r="Z1378"/>
    </row>
    <row r="1379" spans="2:26">
      <c r="B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R1379"/>
      <c r="S1379"/>
      <c r="T1379"/>
      <c r="U1379"/>
      <c r="V1379"/>
      <c r="W1379"/>
      <c r="X1379"/>
      <c r="Y1379"/>
      <c r="Z1379"/>
    </row>
    <row r="1380" spans="2:26">
      <c r="B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R1380"/>
      <c r="S1380"/>
      <c r="T1380"/>
      <c r="U1380"/>
      <c r="V1380"/>
      <c r="W1380"/>
      <c r="X1380"/>
      <c r="Y1380"/>
      <c r="Z1380"/>
    </row>
    <row r="1381" spans="2:26">
      <c r="B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R1381"/>
      <c r="S1381"/>
      <c r="T1381"/>
      <c r="U1381"/>
      <c r="V1381"/>
      <c r="W1381"/>
      <c r="X1381"/>
      <c r="Y1381"/>
      <c r="Z1381"/>
    </row>
    <row r="1382" spans="2:26">
      <c r="B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R1382"/>
      <c r="S1382"/>
      <c r="T1382"/>
      <c r="U1382"/>
      <c r="V1382"/>
      <c r="W1382"/>
      <c r="X1382"/>
      <c r="Y1382"/>
      <c r="Z1382"/>
    </row>
    <row r="1383" spans="2:26">
      <c r="B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R1383"/>
      <c r="S1383"/>
      <c r="T1383"/>
      <c r="U1383"/>
      <c r="V1383"/>
      <c r="W1383"/>
      <c r="X1383"/>
      <c r="Y1383"/>
      <c r="Z1383"/>
    </row>
    <row r="1384" spans="2:26">
      <c r="B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R1384"/>
      <c r="S1384"/>
      <c r="T1384"/>
      <c r="U1384"/>
      <c r="V1384"/>
      <c r="W1384"/>
      <c r="X1384"/>
      <c r="Y1384"/>
      <c r="Z1384"/>
    </row>
    <row r="1385" spans="2:26">
      <c r="B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R1385"/>
      <c r="S1385"/>
      <c r="T1385"/>
      <c r="U1385"/>
      <c r="V1385"/>
      <c r="W1385"/>
      <c r="X1385"/>
      <c r="Y1385"/>
      <c r="Z1385"/>
    </row>
    <row r="1386" spans="2:26">
      <c r="B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R1386"/>
      <c r="S1386"/>
      <c r="T1386"/>
      <c r="U1386"/>
      <c r="V1386"/>
      <c r="W1386"/>
      <c r="X1386"/>
      <c r="Y1386"/>
      <c r="Z1386"/>
    </row>
    <row r="1387" spans="2:26">
      <c r="B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R1387"/>
      <c r="S1387"/>
      <c r="T1387"/>
      <c r="U1387"/>
      <c r="V1387"/>
      <c r="W1387"/>
      <c r="X1387"/>
      <c r="Y1387"/>
      <c r="Z1387"/>
    </row>
    <row r="1388" spans="2:26">
      <c r="B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R1388"/>
      <c r="S1388"/>
      <c r="T1388"/>
      <c r="U1388"/>
      <c r="V1388"/>
      <c r="W1388"/>
      <c r="X1388"/>
      <c r="Y1388"/>
      <c r="Z1388"/>
    </row>
    <row r="1389" spans="2:26">
      <c r="B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R1389"/>
      <c r="S1389"/>
      <c r="T1389"/>
      <c r="U1389"/>
      <c r="V1389"/>
      <c r="W1389"/>
      <c r="X1389"/>
      <c r="Y1389"/>
      <c r="Z1389"/>
    </row>
    <row r="1390" spans="2:26">
      <c r="B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R1390"/>
      <c r="S1390"/>
      <c r="T1390"/>
      <c r="U1390"/>
      <c r="V1390"/>
      <c r="W1390"/>
      <c r="X1390"/>
      <c r="Y1390"/>
      <c r="Z1390"/>
    </row>
    <row r="1391" spans="2:26">
      <c r="B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R1391"/>
      <c r="S1391"/>
      <c r="T1391"/>
      <c r="U1391"/>
      <c r="V1391"/>
      <c r="W1391"/>
      <c r="X1391"/>
      <c r="Y1391"/>
      <c r="Z1391"/>
    </row>
    <row r="1392" spans="2:26">
      <c r="B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R1392"/>
      <c r="S1392"/>
      <c r="T1392"/>
      <c r="U1392"/>
      <c r="V1392"/>
      <c r="W1392"/>
      <c r="X1392"/>
      <c r="Y1392"/>
      <c r="Z1392"/>
    </row>
    <row r="1393" spans="2:26">
      <c r="B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R1393"/>
      <c r="S1393"/>
      <c r="T1393"/>
      <c r="U1393"/>
      <c r="V1393"/>
      <c r="W1393"/>
      <c r="X1393"/>
      <c r="Y1393"/>
      <c r="Z1393"/>
    </row>
    <row r="1394" spans="2:26">
      <c r="B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R1394"/>
      <c r="S1394"/>
      <c r="T1394"/>
      <c r="U1394"/>
      <c r="V1394"/>
      <c r="W1394"/>
      <c r="X1394"/>
      <c r="Y1394"/>
      <c r="Z1394"/>
    </row>
    <row r="1395" spans="2:26">
      <c r="B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R1395"/>
      <c r="S1395"/>
      <c r="T1395"/>
      <c r="U1395"/>
      <c r="V1395"/>
      <c r="W1395"/>
      <c r="X1395"/>
      <c r="Y1395"/>
      <c r="Z1395"/>
    </row>
    <row r="1396" spans="2:26">
      <c r="B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R1396"/>
      <c r="S1396"/>
      <c r="T1396"/>
      <c r="U1396"/>
      <c r="V1396"/>
      <c r="W1396"/>
      <c r="X1396"/>
      <c r="Y1396"/>
      <c r="Z1396"/>
    </row>
    <row r="1397" spans="2:26">
      <c r="B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R1397"/>
      <c r="S1397"/>
      <c r="T1397"/>
      <c r="U1397"/>
      <c r="V1397"/>
      <c r="W1397"/>
      <c r="X1397"/>
      <c r="Y1397"/>
      <c r="Z1397"/>
    </row>
    <row r="1398" spans="2:26">
      <c r="B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R1398"/>
      <c r="S1398"/>
      <c r="T1398"/>
      <c r="U1398"/>
      <c r="V1398"/>
      <c r="W1398"/>
      <c r="X1398"/>
      <c r="Y1398"/>
      <c r="Z1398"/>
    </row>
    <row r="1399" spans="2:26">
      <c r="B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R1399"/>
      <c r="S1399"/>
      <c r="T1399"/>
      <c r="U1399"/>
      <c r="V1399"/>
      <c r="W1399"/>
      <c r="X1399"/>
      <c r="Y1399"/>
      <c r="Z1399"/>
    </row>
    <row r="1400" spans="2:26">
      <c r="B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R1400"/>
      <c r="S1400"/>
      <c r="T1400"/>
      <c r="U1400"/>
      <c r="V1400"/>
      <c r="W1400"/>
      <c r="X1400"/>
      <c r="Y1400"/>
      <c r="Z1400"/>
    </row>
    <row r="1401" spans="2:26">
      <c r="B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R1401"/>
      <c r="S1401"/>
      <c r="T1401"/>
      <c r="U1401"/>
      <c r="V1401"/>
      <c r="W1401"/>
      <c r="X1401"/>
      <c r="Y1401"/>
      <c r="Z1401"/>
    </row>
    <row r="1402" spans="2:26">
      <c r="B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R1402"/>
      <c r="S1402"/>
      <c r="T1402"/>
      <c r="U1402"/>
      <c r="V1402"/>
      <c r="W1402"/>
      <c r="X1402"/>
      <c r="Y1402"/>
      <c r="Z1402"/>
    </row>
    <row r="1403" spans="2:26">
      <c r="B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R1403"/>
      <c r="S1403"/>
      <c r="T1403"/>
      <c r="U1403"/>
      <c r="V1403"/>
      <c r="W1403"/>
      <c r="X1403"/>
      <c r="Y1403"/>
      <c r="Z1403"/>
    </row>
    <row r="1404" spans="2:26">
      <c r="B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R1404"/>
      <c r="S1404"/>
      <c r="T1404"/>
      <c r="U1404"/>
      <c r="V1404"/>
      <c r="W1404"/>
      <c r="X1404"/>
      <c r="Y1404"/>
      <c r="Z1404"/>
    </row>
    <row r="1405" spans="2:26">
      <c r="B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R1405"/>
      <c r="S1405"/>
      <c r="T1405"/>
      <c r="U1405"/>
      <c r="V1405"/>
      <c r="W1405"/>
      <c r="X1405"/>
      <c r="Y1405"/>
      <c r="Z1405"/>
    </row>
    <row r="1406" spans="2:26">
      <c r="B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R1406"/>
      <c r="S1406"/>
      <c r="T1406"/>
      <c r="U1406"/>
      <c r="V1406"/>
      <c r="W1406"/>
      <c r="X1406"/>
      <c r="Y1406"/>
      <c r="Z1406"/>
    </row>
    <row r="1407" spans="2:26">
      <c r="B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R1407"/>
      <c r="S1407"/>
      <c r="T1407"/>
      <c r="U1407"/>
      <c r="V1407"/>
      <c r="W1407"/>
      <c r="X1407"/>
      <c r="Y1407"/>
      <c r="Z1407"/>
    </row>
    <row r="1408" spans="2:26">
      <c r="B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R1408"/>
      <c r="S1408"/>
      <c r="T1408"/>
      <c r="U1408"/>
      <c r="V1408"/>
      <c r="W1408"/>
      <c r="X1408"/>
      <c r="Y1408"/>
      <c r="Z1408"/>
    </row>
    <row r="1409" spans="2:26">
      <c r="B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R1409"/>
      <c r="S1409"/>
      <c r="T1409"/>
      <c r="U1409"/>
      <c r="V1409"/>
      <c r="W1409"/>
      <c r="X1409"/>
      <c r="Y1409"/>
      <c r="Z1409"/>
    </row>
    <row r="1410" spans="2:26">
      <c r="B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R1410"/>
      <c r="S1410"/>
      <c r="T1410"/>
      <c r="U1410"/>
      <c r="V1410"/>
      <c r="W1410"/>
      <c r="X1410"/>
      <c r="Y1410"/>
      <c r="Z1410"/>
    </row>
    <row r="1411" spans="2:26">
      <c r="B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R1411"/>
      <c r="S1411"/>
      <c r="T1411"/>
      <c r="U1411"/>
      <c r="V1411"/>
      <c r="W1411"/>
      <c r="X1411"/>
      <c r="Y1411"/>
      <c r="Z1411"/>
    </row>
    <row r="1412" spans="2:26">
      <c r="B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R1412"/>
      <c r="S1412"/>
      <c r="T1412"/>
      <c r="U1412"/>
      <c r="V1412"/>
      <c r="W1412"/>
      <c r="X1412"/>
      <c r="Y1412"/>
      <c r="Z1412"/>
    </row>
    <row r="1413" spans="2:26">
      <c r="B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R1413"/>
      <c r="S1413"/>
      <c r="T1413"/>
      <c r="U1413"/>
      <c r="V1413"/>
      <c r="W1413"/>
      <c r="X1413"/>
      <c r="Y1413"/>
      <c r="Z1413"/>
    </row>
    <row r="1414" spans="2:26">
      <c r="B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R1414"/>
      <c r="S1414"/>
      <c r="T1414"/>
      <c r="U1414"/>
      <c r="V1414"/>
      <c r="W1414"/>
      <c r="X1414"/>
      <c r="Y1414"/>
      <c r="Z1414"/>
    </row>
    <row r="1415" spans="2:26">
      <c r="B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R1415"/>
      <c r="S1415"/>
      <c r="T1415"/>
      <c r="U1415"/>
      <c r="V1415"/>
      <c r="W1415"/>
      <c r="X1415"/>
      <c r="Y1415"/>
      <c r="Z1415"/>
    </row>
    <row r="1416" spans="2:26">
      <c r="B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R1416"/>
      <c r="S1416"/>
      <c r="T1416"/>
      <c r="U1416"/>
      <c r="V1416"/>
      <c r="W1416"/>
      <c r="X1416"/>
      <c r="Y1416"/>
      <c r="Z1416"/>
    </row>
    <row r="1417" spans="2:26">
      <c r="B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R1417"/>
      <c r="S1417"/>
      <c r="T1417"/>
      <c r="U1417"/>
      <c r="V1417"/>
      <c r="W1417"/>
      <c r="X1417"/>
      <c r="Y1417"/>
      <c r="Z1417"/>
    </row>
    <row r="1418" spans="2:26">
      <c r="B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R1418"/>
      <c r="S1418"/>
      <c r="T1418"/>
      <c r="U1418"/>
      <c r="V1418"/>
      <c r="W1418"/>
      <c r="X1418"/>
      <c r="Y1418"/>
      <c r="Z1418"/>
    </row>
    <row r="1419" spans="2:26">
      <c r="B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R1419"/>
      <c r="S1419"/>
      <c r="T1419"/>
      <c r="U1419"/>
      <c r="V1419"/>
      <c r="W1419"/>
      <c r="X1419"/>
      <c r="Y1419"/>
      <c r="Z1419"/>
    </row>
    <row r="1420" spans="2:26">
      <c r="B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R1420"/>
      <c r="S1420"/>
      <c r="T1420"/>
      <c r="U1420"/>
      <c r="V1420"/>
      <c r="W1420"/>
      <c r="X1420"/>
      <c r="Y1420"/>
      <c r="Z1420"/>
    </row>
    <row r="1421" spans="2:26">
      <c r="B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R1421"/>
      <c r="S1421"/>
      <c r="T1421"/>
      <c r="U1421"/>
      <c r="V1421"/>
      <c r="W1421"/>
      <c r="X1421"/>
      <c r="Y1421"/>
      <c r="Z1421"/>
    </row>
    <row r="1422" spans="2:26">
      <c r="B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R1422"/>
      <c r="S1422"/>
      <c r="T1422"/>
      <c r="U1422"/>
      <c r="V1422"/>
      <c r="W1422"/>
      <c r="X1422"/>
      <c r="Y1422"/>
      <c r="Z1422"/>
    </row>
    <row r="1423" spans="2:26">
      <c r="B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R1423"/>
      <c r="S1423"/>
      <c r="T1423"/>
      <c r="U1423"/>
      <c r="V1423"/>
      <c r="W1423"/>
      <c r="X1423"/>
      <c r="Y1423"/>
      <c r="Z1423"/>
    </row>
    <row r="1424" spans="2:26">
      <c r="B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R1424"/>
      <c r="S1424"/>
      <c r="T1424"/>
      <c r="U1424"/>
      <c r="V1424"/>
      <c r="W1424"/>
      <c r="X1424"/>
      <c r="Y1424"/>
      <c r="Z1424"/>
    </row>
    <row r="1425" spans="2:26">
      <c r="B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R1425"/>
      <c r="S1425"/>
      <c r="T1425"/>
      <c r="U1425"/>
      <c r="V1425"/>
      <c r="W1425"/>
      <c r="X1425"/>
      <c r="Y1425"/>
      <c r="Z1425"/>
    </row>
    <row r="1426" spans="2:26">
      <c r="B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R1426"/>
      <c r="S1426"/>
      <c r="T1426"/>
      <c r="U1426"/>
      <c r="V1426"/>
      <c r="W1426"/>
      <c r="X1426"/>
      <c r="Y1426"/>
      <c r="Z1426"/>
    </row>
    <row r="1427" spans="2:26">
      <c r="B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R1427"/>
      <c r="S1427"/>
      <c r="T1427"/>
      <c r="U1427"/>
      <c r="V1427"/>
      <c r="W1427"/>
      <c r="X1427"/>
      <c r="Y1427"/>
      <c r="Z1427"/>
    </row>
    <row r="1428" spans="2:26">
      <c r="B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R1428"/>
      <c r="S1428"/>
      <c r="T1428"/>
      <c r="U1428"/>
      <c r="V1428"/>
      <c r="W1428"/>
      <c r="X1428"/>
      <c r="Y1428"/>
      <c r="Z1428"/>
    </row>
    <row r="1429" spans="2:26">
      <c r="B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R1429"/>
      <c r="S1429"/>
      <c r="T1429"/>
      <c r="U1429"/>
      <c r="V1429"/>
      <c r="W1429"/>
      <c r="X1429"/>
      <c r="Y1429"/>
      <c r="Z1429"/>
    </row>
    <row r="1430" spans="2:26">
      <c r="B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R1430"/>
      <c r="S1430"/>
      <c r="T1430"/>
      <c r="U1430"/>
      <c r="V1430"/>
      <c r="W1430"/>
      <c r="X1430"/>
      <c r="Y1430"/>
      <c r="Z1430"/>
    </row>
    <row r="1431" spans="2:26">
      <c r="B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R1431"/>
      <c r="S1431"/>
      <c r="T1431"/>
      <c r="U1431"/>
      <c r="V1431"/>
      <c r="W1431"/>
      <c r="X1431"/>
      <c r="Y1431"/>
      <c r="Z1431"/>
    </row>
    <row r="1432" spans="2:26">
      <c r="B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R1432"/>
      <c r="S1432"/>
      <c r="T1432"/>
      <c r="U1432"/>
      <c r="V1432"/>
      <c r="W1432"/>
      <c r="X1432"/>
      <c r="Y1432"/>
      <c r="Z1432"/>
    </row>
    <row r="1433" spans="2:26">
      <c r="B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R1433"/>
      <c r="S1433"/>
      <c r="T1433"/>
      <c r="U1433"/>
      <c r="V1433"/>
      <c r="W1433"/>
      <c r="X1433"/>
      <c r="Y1433"/>
      <c r="Z1433"/>
    </row>
    <row r="1434" spans="2:26">
      <c r="B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R1434"/>
      <c r="S1434"/>
      <c r="T1434"/>
      <c r="U1434"/>
      <c r="V1434"/>
      <c r="W1434"/>
      <c r="X1434"/>
      <c r="Y1434"/>
      <c r="Z1434"/>
    </row>
    <row r="1435" spans="2:26">
      <c r="B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R1435"/>
      <c r="S1435"/>
      <c r="T1435"/>
      <c r="U1435"/>
      <c r="V1435"/>
      <c r="W1435"/>
      <c r="X1435"/>
      <c r="Y1435"/>
      <c r="Z1435"/>
    </row>
    <row r="1436" spans="2:26">
      <c r="B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R1436"/>
      <c r="S1436"/>
      <c r="T1436"/>
      <c r="U1436"/>
      <c r="V1436"/>
      <c r="W1436"/>
      <c r="X1436"/>
      <c r="Y1436"/>
      <c r="Z1436"/>
    </row>
    <row r="1437" spans="2:26">
      <c r="B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R1437"/>
      <c r="S1437"/>
      <c r="T1437"/>
      <c r="U1437"/>
      <c r="V1437"/>
      <c r="W1437"/>
      <c r="X1437"/>
      <c r="Y1437"/>
      <c r="Z1437"/>
    </row>
    <row r="1438" spans="2:26">
      <c r="B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R1438"/>
      <c r="S1438"/>
      <c r="T1438"/>
      <c r="U1438"/>
      <c r="V1438"/>
      <c r="W1438"/>
      <c r="X1438"/>
      <c r="Y1438"/>
      <c r="Z1438"/>
    </row>
    <row r="1439" spans="2:26">
      <c r="B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R1439"/>
      <c r="S1439"/>
      <c r="T1439"/>
      <c r="U1439"/>
      <c r="V1439"/>
      <c r="W1439"/>
      <c r="X1439"/>
      <c r="Y1439"/>
      <c r="Z1439"/>
    </row>
    <row r="1440" spans="2:26">
      <c r="B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R1440"/>
      <c r="S1440"/>
      <c r="T1440"/>
      <c r="U1440"/>
      <c r="V1440"/>
      <c r="W1440"/>
      <c r="X1440"/>
      <c r="Y1440"/>
      <c r="Z1440"/>
    </row>
    <row r="1441" spans="2:26">
      <c r="B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R1441"/>
      <c r="S1441"/>
      <c r="T1441"/>
      <c r="U1441"/>
      <c r="V1441"/>
      <c r="W1441"/>
      <c r="X1441"/>
      <c r="Y1441"/>
      <c r="Z1441"/>
    </row>
    <row r="1442" spans="2:26">
      <c r="B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R1442"/>
      <c r="S1442"/>
      <c r="T1442"/>
      <c r="U1442"/>
      <c r="V1442"/>
      <c r="W1442"/>
      <c r="X1442"/>
      <c r="Y1442"/>
      <c r="Z1442"/>
    </row>
    <row r="1443" spans="2:26">
      <c r="B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R1443"/>
      <c r="S1443"/>
      <c r="T1443"/>
      <c r="U1443"/>
      <c r="V1443"/>
      <c r="W1443"/>
      <c r="X1443"/>
      <c r="Y1443"/>
      <c r="Z1443"/>
    </row>
    <row r="1444" spans="2:26">
      <c r="B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R1444"/>
      <c r="S1444"/>
      <c r="T1444"/>
      <c r="U1444"/>
      <c r="V1444"/>
      <c r="W1444"/>
      <c r="X1444"/>
      <c r="Y1444"/>
      <c r="Z1444"/>
    </row>
    <row r="1445" spans="2:26">
      <c r="B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R1445"/>
      <c r="S1445"/>
      <c r="T1445"/>
      <c r="U1445"/>
      <c r="V1445"/>
      <c r="W1445"/>
      <c r="X1445"/>
      <c r="Y1445"/>
      <c r="Z1445"/>
    </row>
    <row r="1446" spans="2:26">
      <c r="B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R1446"/>
      <c r="S1446"/>
      <c r="T1446"/>
      <c r="U1446"/>
      <c r="V1446"/>
      <c r="W1446"/>
      <c r="X1446"/>
      <c r="Y1446"/>
      <c r="Z1446"/>
    </row>
    <row r="1447" spans="2:26">
      <c r="B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R1447"/>
      <c r="S1447"/>
      <c r="T1447"/>
      <c r="U1447"/>
      <c r="V1447"/>
      <c r="W1447"/>
      <c r="X1447"/>
      <c r="Y1447"/>
      <c r="Z1447"/>
    </row>
    <row r="1448" spans="2:26">
      <c r="B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R1448"/>
      <c r="S1448"/>
      <c r="T1448"/>
      <c r="U1448"/>
      <c r="V1448"/>
      <c r="W1448"/>
      <c r="X1448"/>
      <c r="Y1448"/>
      <c r="Z1448"/>
    </row>
    <row r="1449" spans="2:26">
      <c r="B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R1449"/>
      <c r="S1449"/>
      <c r="T1449"/>
      <c r="U1449"/>
      <c r="V1449"/>
      <c r="W1449"/>
      <c r="X1449"/>
      <c r="Y1449"/>
      <c r="Z1449"/>
    </row>
    <row r="1450" spans="2:26">
      <c r="B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R1450"/>
      <c r="S1450"/>
      <c r="T1450"/>
      <c r="U1450"/>
      <c r="V1450"/>
      <c r="W1450"/>
      <c r="X1450"/>
      <c r="Y1450"/>
      <c r="Z1450"/>
    </row>
    <row r="1451" spans="2:26">
      <c r="B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R1451"/>
      <c r="S1451"/>
      <c r="T1451"/>
      <c r="U1451"/>
      <c r="V1451"/>
      <c r="W1451"/>
      <c r="X1451"/>
      <c r="Y1451"/>
      <c r="Z1451"/>
    </row>
    <row r="1452" spans="2:26">
      <c r="B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R1452"/>
      <c r="S1452"/>
      <c r="T1452"/>
      <c r="U1452"/>
      <c r="V1452"/>
      <c r="W1452"/>
      <c r="X1452"/>
      <c r="Y1452"/>
      <c r="Z1452"/>
    </row>
    <row r="1453" spans="2:26">
      <c r="B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R1453"/>
      <c r="S1453"/>
      <c r="T1453"/>
      <c r="U1453"/>
      <c r="V1453"/>
      <c r="W1453"/>
      <c r="X1453"/>
      <c r="Y1453"/>
      <c r="Z1453"/>
    </row>
    <row r="1454" spans="2:26">
      <c r="B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R1454"/>
      <c r="S1454"/>
      <c r="T1454"/>
      <c r="U1454"/>
      <c r="V1454"/>
      <c r="W1454"/>
      <c r="X1454"/>
      <c r="Y1454"/>
      <c r="Z1454"/>
    </row>
    <row r="1455" spans="2:26">
      <c r="B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R1455"/>
      <c r="S1455"/>
      <c r="T1455"/>
      <c r="U1455"/>
      <c r="V1455"/>
      <c r="W1455"/>
      <c r="X1455"/>
      <c r="Y1455"/>
      <c r="Z1455"/>
    </row>
    <row r="1456" spans="2:26">
      <c r="B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R1456"/>
      <c r="S1456"/>
      <c r="T1456"/>
      <c r="U1456"/>
      <c r="V1456"/>
      <c r="W1456"/>
      <c r="X1456"/>
      <c r="Y1456"/>
      <c r="Z1456"/>
    </row>
    <row r="1457" spans="2:26">
      <c r="B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R1457"/>
      <c r="S1457"/>
      <c r="T1457"/>
      <c r="U1457"/>
      <c r="V1457"/>
      <c r="W1457"/>
      <c r="X1457"/>
      <c r="Y1457"/>
      <c r="Z1457"/>
    </row>
    <row r="1458" spans="2:26">
      <c r="B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R1458"/>
      <c r="S1458"/>
      <c r="T1458"/>
      <c r="U1458"/>
      <c r="V1458"/>
      <c r="W1458"/>
      <c r="X1458"/>
      <c r="Y1458"/>
      <c r="Z1458"/>
    </row>
    <row r="1459" spans="2:26">
      <c r="B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R1459"/>
      <c r="S1459"/>
      <c r="T1459"/>
      <c r="U1459"/>
      <c r="V1459"/>
      <c r="W1459"/>
      <c r="X1459"/>
      <c r="Y1459"/>
      <c r="Z1459"/>
    </row>
    <row r="1460" spans="2:26">
      <c r="B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R1460"/>
      <c r="S1460"/>
      <c r="T1460"/>
      <c r="U1460"/>
      <c r="V1460"/>
      <c r="W1460"/>
      <c r="X1460"/>
      <c r="Y1460"/>
      <c r="Z1460"/>
    </row>
    <row r="1461" spans="2:26">
      <c r="B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R1461"/>
      <c r="S1461"/>
      <c r="T1461"/>
      <c r="U1461"/>
      <c r="V1461"/>
      <c r="W1461"/>
      <c r="X1461"/>
      <c r="Y1461"/>
      <c r="Z1461"/>
    </row>
    <row r="1462" spans="2:26">
      <c r="B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R1462"/>
      <c r="S1462"/>
      <c r="T1462"/>
      <c r="U1462"/>
      <c r="V1462"/>
      <c r="W1462"/>
      <c r="X1462"/>
      <c r="Y1462"/>
      <c r="Z1462"/>
    </row>
    <row r="1463" spans="2:26">
      <c r="B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R1463"/>
      <c r="S1463"/>
      <c r="T1463"/>
      <c r="U1463"/>
      <c r="V1463"/>
      <c r="W1463"/>
      <c r="X1463"/>
      <c r="Y1463"/>
      <c r="Z1463"/>
    </row>
    <row r="1464" spans="2:26">
      <c r="B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R1464"/>
      <c r="S1464"/>
      <c r="T1464"/>
      <c r="U1464"/>
      <c r="V1464"/>
      <c r="W1464"/>
      <c r="X1464"/>
      <c r="Y1464"/>
      <c r="Z1464"/>
    </row>
    <row r="1465" spans="2:26">
      <c r="B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R1465"/>
      <c r="S1465"/>
      <c r="T1465"/>
      <c r="U1465"/>
      <c r="V1465"/>
      <c r="W1465"/>
      <c r="X1465"/>
      <c r="Y1465"/>
      <c r="Z1465"/>
    </row>
    <row r="1466" spans="2:26">
      <c r="B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R1466"/>
      <c r="S1466"/>
      <c r="T1466"/>
      <c r="U1466"/>
      <c r="V1466"/>
      <c r="W1466"/>
      <c r="X1466"/>
      <c r="Y1466"/>
      <c r="Z1466"/>
    </row>
    <row r="1467" spans="2:26">
      <c r="B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R1467"/>
      <c r="S1467"/>
      <c r="T1467"/>
      <c r="U1467"/>
      <c r="V1467"/>
      <c r="W1467"/>
      <c r="X1467"/>
      <c r="Y1467"/>
      <c r="Z1467"/>
    </row>
    <row r="1468" spans="2:26">
      <c r="B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R1468"/>
      <c r="S1468"/>
      <c r="T1468"/>
      <c r="U1468"/>
      <c r="V1468"/>
      <c r="W1468"/>
      <c r="X1468"/>
      <c r="Y1468"/>
      <c r="Z1468"/>
    </row>
    <row r="1469" spans="2:26">
      <c r="B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R1469"/>
      <c r="S1469"/>
      <c r="T1469"/>
      <c r="U1469"/>
      <c r="V1469"/>
      <c r="W1469"/>
      <c r="X1469"/>
      <c r="Y1469"/>
      <c r="Z1469"/>
    </row>
    <row r="1470" spans="2:26">
      <c r="B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R1470"/>
      <c r="S1470"/>
      <c r="T1470"/>
      <c r="U1470"/>
      <c r="V1470"/>
      <c r="W1470"/>
      <c r="X1470"/>
      <c r="Y1470"/>
      <c r="Z1470"/>
    </row>
    <row r="1471" spans="2:26">
      <c r="B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R1471"/>
      <c r="S1471"/>
      <c r="T1471"/>
      <c r="U1471"/>
      <c r="V1471"/>
      <c r="W1471"/>
      <c r="X1471"/>
      <c r="Y1471"/>
      <c r="Z1471"/>
    </row>
    <row r="1472" spans="2:26">
      <c r="B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R1472"/>
      <c r="S1472"/>
      <c r="T1472"/>
      <c r="U1472"/>
      <c r="V1472"/>
      <c r="W1472"/>
      <c r="X1472"/>
      <c r="Y1472"/>
      <c r="Z1472"/>
    </row>
    <row r="1473" spans="2:26">
      <c r="B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R1473"/>
      <c r="S1473"/>
      <c r="T1473"/>
      <c r="U1473"/>
      <c r="V1473"/>
      <c r="W1473"/>
      <c r="X1473"/>
      <c r="Y1473"/>
      <c r="Z1473"/>
    </row>
    <row r="1474" spans="2:26">
      <c r="B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R1474"/>
      <c r="S1474"/>
      <c r="T1474"/>
      <c r="U1474"/>
      <c r="V1474"/>
      <c r="W1474"/>
      <c r="X1474"/>
      <c r="Y1474"/>
      <c r="Z1474"/>
    </row>
    <row r="1475" spans="2:26">
      <c r="B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R1475"/>
      <c r="S1475"/>
      <c r="T1475"/>
      <c r="U1475"/>
      <c r="V1475"/>
      <c r="W1475"/>
      <c r="X1475"/>
      <c r="Y1475"/>
      <c r="Z1475"/>
    </row>
    <row r="1476" spans="2:26">
      <c r="B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R1476"/>
      <c r="S1476"/>
      <c r="T1476"/>
      <c r="U1476"/>
      <c r="V1476"/>
      <c r="W1476"/>
      <c r="X1476"/>
      <c r="Y1476"/>
      <c r="Z1476"/>
    </row>
    <row r="1477" spans="2:26">
      <c r="B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R1477"/>
      <c r="S1477"/>
      <c r="T1477"/>
      <c r="U1477"/>
      <c r="V1477"/>
      <c r="W1477"/>
      <c r="X1477"/>
      <c r="Y1477"/>
      <c r="Z1477"/>
    </row>
    <row r="1478" spans="2:26">
      <c r="B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R1478"/>
      <c r="S1478"/>
      <c r="T1478"/>
      <c r="U1478"/>
      <c r="V1478"/>
      <c r="W1478"/>
      <c r="X1478"/>
      <c r="Y1478"/>
      <c r="Z1478"/>
    </row>
    <row r="1479" spans="2:26">
      <c r="B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R1479"/>
      <c r="S1479"/>
      <c r="T1479"/>
      <c r="U1479"/>
      <c r="V1479"/>
      <c r="W1479"/>
      <c r="X1479"/>
      <c r="Y1479"/>
      <c r="Z1479"/>
    </row>
    <row r="1480" spans="2:26">
      <c r="B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R1480"/>
      <c r="S1480"/>
      <c r="T1480"/>
      <c r="U1480"/>
      <c r="V1480"/>
      <c r="W1480"/>
      <c r="X1480"/>
      <c r="Y1480"/>
      <c r="Z1480"/>
    </row>
    <row r="1481" spans="2:26">
      <c r="B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R1481"/>
      <c r="S1481"/>
      <c r="T1481"/>
      <c r="U1481"/>
      <c r="V1481"/>
      <c r="W1481"/>
      <c r="X1481"/>
      <c r="Y1481"/>
      <c r="Z1481"/>
    </row>
    <row r="1482" spans="2:26">
      <c r="B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R1482"/>
      <c r="S1482"/>
      <c r="T1482"/>
      <c r="U1482"/>
      <c r="V1482"/>
      <c r="W1482"/>
      <c r="X1482"/>
      <c r="Y1482"/>
      <c r="Z1482"/>
    </row>
    <row r="1483" spans="2:26">
      <c r="B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R1483"/>
      <c r="S1483"/>
      <c r="T1483"/>
      <c r="U1483"/>
      <c r="V1483"/>
      <c r="W1483"/>
      <c r="X1483"/>
      <c r="Y1483"/>
      <c r="Z1483"/>
    </row>
    <row r="1484" spans="2:26">
      <c r="B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R1484"/>
      <c r="S1484"/>
      <c r="T1484"/>
      <c r="U1484"/>
      <c r="V1484"/>
      <c r="W1484"/>
      <c r="X1484"/>
      <c r="Y1484"/>
      <c r="Z1484"/>
    </row>
    <row r="1485" spans="2:26">
      <c r="B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R1485"/>
      <c r="S1485"/>
      <c r="T1485"/>
      <c r="U1485"/>
      <c r="V1485"/>
      <c r="W1485"/>
      <c r="X1485"/>
      <c r="Y1485"/>
      <c r="Z1485"/>
    </row>
    <row r="1486" spans="2:26">
      <c r="B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R1486"/>
      <c r="S1486"/>
      <c r="T1486"/>
      <c r="U1486"/>
      <c r="V1486"/>
      <c r="W1486"/>
      <c r="X1486"/>
      <c r="Y1486"/>
      <c r="Z1486"/>
    </row>
    <row r="1487" spans="2:26">
      <c r="B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R1487"/>
      <c r="S1487"/>
      <c r="T1487"/>
      <c r="U1487"/>
      <c r="V1487"/>
      <c r="W1487"/>
      <c r="X1487"/>
      <c r="Y1487"/>
      <c r="Z1487"/>
    </row>
    <row r="1488" spans="2:26">
      <c r="B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R1488"/>
      <c r="S1488"/>
      <c r="T1488"/>
      <c r="U1488"/>
      <c r="V1488"/>
      <c r="W1488"/>
      <c r="X1488"/>
      <c r="Y1488"/>
      <c r="Z1488"/>
    </row>
    <row r="1489" spans="2:26">
      <c r="B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R1489"/>
      <c r="S1489"/>
      <c r="T1489"/>
      <c r="U1489"/>
      <c r="V1489"/>
      <c r="W1489"/>
      <c r="X1489"/>
      <c r="Y1489"/>
      <c r="Z1489"/>
    </row>
    <row r="1490" spans="2:26">
      <c r="B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R1490"/>
      <c r="S1490"/>
      <c r="T1490"/>
      <c r="U1490"/>
      <c r="V1490"/>
      <c r="W1490"/>
      <c r="X1490"/>
      <c r="Y1490"/>
      <c r="Z1490"/>
    </row>
    <row r="1491" spans="2:26">
      <c r="B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R1491"/>
      <c r="S1491"/>
      <c r="T1491"/>
      <c r="U1491"/>
      <c r="V1491"/>
      <c r="W1491"/>
      <c r="X1491"/>
      <c r="Y1491"/>
      <c r="Z1491"/>
    </row>
    <row r="1492" spans="2:26">
      <c r="B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R1492"/>
      <c r="S1492"/>
      <c r="T1492"/>
      <c r="U1492"/>
      <c r="V1492"/>
      <c r="W1492"/>
      <c r="X1492"/>
      <c r="Y1492"/>
      <c r="Z1492"/>
    </row>
    <row r="1493" spans="2:26">
      <c r="B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R1493"/>
      <c r="S1493"/>
      <c r="T1493"/>
      <c r="U1493"/>
      <c r="V1493"/>
      <c r="W1493"/>
      <c r="X1493"/>
      <c r="Y1493"/>
      <c r="Z1493"/>
    </row>
    <row r="1494" spans="2:26">
      <c r="B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R1494"/>
      <c r="S1494"/>
      <c r="T1494"/>
      <c r="U1494"/>
      <c r="V1494"/>
      <c r="W1494"/>
      <c r="X1494"/>
      <c r="Y1494"/>
      <c r="Z1494"/>
    </row>
    <row r="1495" spans="2:26">
      <c r="B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R1495"/>
      <c r="S1495"/>
      <c r="T1495"/>
      <c r="U1495"/>
      <c r="V1495"/>
      <c r="W1495"/>
      <c r="X1495"/>
      <c r="Y1495"/>
      <c r="Z1495"/>
    </row>
    <row r="1496" spans="2:26">
      <c r="B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R1496"/>
      <c r="S1496"/>
      <c r="T1496"/>
      <c r="U1496"/>
      <c r="V1496"/>
      <c r="W1496"/>
      <c r="X1496"/>
      <c r="Y1496"/>
      <c r="Z1496"/>
    </row>
    <row r="1497" spans="2:26">
      <c r="B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R1497"/>
      <c r="S1497"/>
      <c r="T1497"/>
      <c r="U1497"/>
      <c r="V1497"/>
      <c r="W1497"/>
      <c r="X1497"/>
      <c r="Y1497"/>
      <c r="Z1497"/>
    </row>
    <row r="1498" spans="2:26">
      <c r="B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R1498"/>
      <c r="S1498"/>
      <c r="T1498"/>
      <c r="U1498"/>
      <c r="V1498"/>
      <c r="W1498"/>
      <c r="X1498"/>
      <c r="Y1498"/>
      <c r="Z1498"/>
    </row>
    <row r="1499" spans="2:26">
      <c r="B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R1499"/>
      <c r="S1499"/>
      <c r="T1499"/>
      <c r="U1499"/>
      <c r="V1499"/>
      <c r="W1499"/>
      <c r="X1499"/>
      <c r="Y1499"/>
      <c r="Z1499"/>
    </row>
    <row r="1500" spans="2:26">
      <c r="B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R1500"/>
      <c r="S1500"/>
      <c r="T1500"/>
      <c r="U1500"/>
      <c r="V1500"/>
      <c r="W1500"/>
      <c r="X1500"/>
      <c r="Y1500"/>
      <c r="Z1500"/>
    </row>
    <row r="1501" spans="2:26">
      <c r="B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R1501"/>
      <c r="S1501"/>
      <c r="T1501"/>
      <c r="U1501"/>
      <c r="V1501"/>
      <c r="W1501"/>
      <c r="X1501"/>
      <c r="Y1501"/>
      <c r="Z1501"/>
    </row>
    <row r="1502" spans="2:26">
      <c r="B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R1502"/>
      <c r="S1502"/>
      <c r="T1502"/>
      <c r="U1502"/>
      <c r="V1502"/>
      <c r="W1502"/>
      <c r="X1502"/>
      <c r="Y1502"/>
      <c r="Z1502"/>
    </row>
    <row r="1503" spans="2:26">
      <c r="B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R1503"/>
      <c r="S1503"/>
      <c r="T1503"/>
      <c r="U1503"/>
      <c r="V1503"/>
      <c r="W1503"/>
      <c r="X1503"/>
      <c r="Y1503"/>
      <c r="Z1503"/>
    </row>
    <row r="1504" spans="2:26">
      <c r="B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R1504"/>
      <c r="S1504"/>
      <c r="T1504"/>
      <c r="U1504"/>
      <c r="V1504"/>
      <c r="W1504"/>
      <c r="X1504"/>
      <c r="Y1504"/>
      <c r="Z1504"/>
    </row>
    <row r="1505" spans="2:26">
      <c r="B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R1505"/>
      <c r="S1505"/>
      <c r="T1505"/>
      <c r="U1505"/>
      <c r="V1505"/>
      <c r="W1505"/>
      <c r="X1505"/>
      <c r="Y1505"/>
      <c r="Z1505"/>
    </row>
    <row r="1506" spans="2:26">
      <c r="B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R1506"/>
      <c r="S1506"/>
      <c r="T1506"/>
      <c r="U1506"/>
      <c r="V1506"/>
      <c r="W1506"/>
      <c r="X1506"/>
      <c r="Y1506"/>
      <c r="Z1506"/>
    </row>
    <row r="1507" spans="2:26">
      <c r="B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R1507"/>
      <c r="S1507"/>
      <c r="T1507"/>
      <c r="U1507"/>
      <c r="V1507"/>
      <c r="W1507"/>
      <c r="X1507"/>
      <c r="Y1507"/>
      <c r="Z1507"/>
    </row>
    <row r="1508" spans="2:26">
      <c r="B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R1508"/>
      <c r="S1508"/>
      <c r="T1508"/>
      <c r="U1508"/>
      <c r="V1508"/>
      <c r="W1508"/>
      <c r="X1508"/>
      <c r="Y1508"/>
      <c r="Z1508"/>
    </row>
    <row r="1509" spans="2:26">
      <c r="B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R1509"/>
      <c r="S1509"/>
      <c r="T1509"/>
      <c r="U1509"/>
      <c r="V1509"/>
      <c r="W1509"/>
      <c r="X1509"/>
      <c r="Y1509"/>
      <c r="Z1509"/>
    </row>
    <row r="1510" spans="2:26">
      <c r="B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R1510"/>
      <c r="S1510"/>
      <c r="T1510"/>
      <c r="U1510"/>
      <c r="V1510"/>
      <c r="W1510"/>
      <c r="X1510"/>
      <c r="Y1510"/>
      <c r="Z1510"/>
    </row>
    <row r="1511" spans="2:26">
      <c r="B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R1511"/>
      <c r="S1511"/>
      <c r="T1511"/>
      <c r="U1511"/>
      <c r="V1511"/>
      <c r="W1511"/>
      <c r="X1511"/>
      <c r="Y1511"/>
      <c r="Z1511"/>
    </row>
    <row r="1512" spans="2:26">
      <c r="B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R1512"/>
      <c r="S1512"/>
      <c r="T1512"/>
      <c r="U1512"/>
      <c r="V1512"/>
      <c r="W1512"/>
      <c r="X1512"/>
      <c r="Y1512"/>
      <c r="Z1512"/>
    </row>
    <row r="1513" spans="2:26">
      <c r="B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R1513"/>
      <c r="S1513"/>
      <c r="T1513"/>
      <c r="U1513"/>
      <c r="V1513"/>
      <c r="W1513"/>
      <c r="X1513"/>
      <c r="Y1513"/>
      <c r="Z1513"/>
    </row>
    <row r="1514" spans="2:26">
      <c r="B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R1514"/>
      <c r="S1514"/>
      <c r="T1514"/>
      <c r="U1514"/>
      <c r="V1514"/>
      <c r="W1514"/>
      <c r="X1514"/>
      <c r="Y1514"/>
      <c r="Z1514"/>
    </row>
    <row r="1515" spans="2:26">
      <c r="B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R1515"/>
      <c r="S1515"/>
      <c r="T1515"/>
      <c r="U1515"/>
      <c r="V1515"/>
      <c r="W1515"/>
      <c r="X1515"/>
      <c r="Y1515"/>
      <c r="Z1515"/>
    </row>
    <row r="1516" spans="2:26">
      <c r="B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R1516"/>
      <c r="S1516"/>
      <c r="T1516"/>
      <c r="U1516"/>
      <c r="V1516"/>
      <c r="W1516"/>
      <c r="X1516"/>
      <c r="Y1516"/>
      <c r="Z1516"/>
    </row>
    <row r="1517" spans="2:26">
      <c r="B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R1517"/>
      <c r="S1517"/>
      <c r="T1517"/>
      <c r="U1517"/>
      <c r="V1517"/>
      <c r="W1517"/>
      <c r="X1517"/>
      <c r="Y1517"/>
      <c r="Z1517"/>
    </row>
    <row r="1518" spans="2:26">
      <c r="B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R1518"/>
      <c r="S1518"/>
      <c r="T1518"/>
      <c r="U1518"/>
      <c r="V1518"/>
      <c r="W1518"/>
      <c r="X1518"/>
      <c r="Y1518"/>
      <c r="Z1518"/>
    </row>
    <row r="1519" spans="2:26">
      <c r="B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R1519"/>
      <c r="S1519"/>
      <c r="T1519"/>
      <c r="U1519"/>
      <c r="V1519"/>
      <c r="W1519"/>
      <c r="X1519"/>
      <c r="Y1519"/>
      <c r="Z1519"/>
    </row>
    <row r="1520" spans="2:26">
      <c r="B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R1520"/>
      <c r="S1520"/>
      <c r="T1520"/>
      <c r="U1520"/>
      <c r="V1520"/>
      <c r="W1520"/>
      <c r="X1520"/>
      <c r="Y1520"/>
      <c r="Z1520"/>
    </row>
    <row r="1521" spans="2:26">
      <c r="B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R1521"/>
      <c r="S1521"/>
      <c r="T1521"/>
      <c r="U1521"/>
      <c r="V1521"/>
      <c r="W1521"/>
      <c r="X1521"/>
      <c r="Y1521"/>
      <c r="Z1521"/>
    </row>
    <row r="1522" spans="2:26">
      <c r="B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R1522"/>
      <c r="S1522"/>
      <c r="T1522"/>
      <c r="U1522"/>
      <c r="V1522"/>
      <c r="W1522"/>
      <c r="X1522"/>
      <c r="Y1522"/>
      <c r="Z1522"/>
    </row>
    <row r="1523" spans="2:26">
      <c r="B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R1523"/>
      <c r="S1523"/>
      <c r="T1523"/>
      <c r="U1523"/>
      <c r="V1523"/>
      <c r="W1523"/>
      <c r="X1523"/>
      <c r="Y1523"/>
      <c r="Z1523"/>
    </row>
    <row r="1524" spans="2:26">
      <c r="B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R1524"/>
      <c r="S1524"/>
      <c r="T1524"/>
      <c r="U1524"/>
      <c r="V1524"/>
      <c r="W1524"/>
      <c r="X1524"/>
      <c r="Y1524"/>
      <c r="Z1524"/>
    </row>
    <row r="1525" spans="2:26">
      <c r="B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R1525"/>
      <c r="S1525"/>
      <c r="T1525"/>
      <c r="U1525"/>
      <c r="V1525"/>
      <c r="W1525"/>
      <c r="X1525"/>
      <c r="Y1525"/>
      <c r="Z1525"/>
    </row>
    <row r="1526" spans="2:26">
      <c r="B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R1526"/>
      <c r="S1526"/>
      <c r="T1526"/>
      <c r="U1526"/>
      <c r="V1526"/>
      <c r="W1526"/>
      <c r="X1526"/>
      <c r="Y1526"/>
      <c r="Z1526"/>
    </row>
    <row r="1527" spans="2:26">
      <c r="B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R1527"/>
      <c r="S1527"/>
      <c r="T1527"/>
      <c r="U1527"/>
      <c r="V1527"/>
      <c r="W1527"/>
      <c r="X1527"/>
      <c r="Y1527"/>
      <c r="Z1527"/>
    </row>
    <row r="1528" spans="2:26">
      <c r="B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R1528"/>
      <c r="S1528"/>
      <c r="T1528"/>
      <c r="U1528"/>
      <c r="V1528"/>
      <c r="W1528"/>
      <c r="X1528"/>
      <c r="Y1528"/>
      <c r="Z1528"/>
    </row>
    <row r="1529" spans="2:26">
      <c r="B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R1529"/>
      <c r="S1529"/>
      <c r="T1529"/>
      <c r="U1529"/>
      <c r="V1529"/>
      <c r="W1529"/>
      <c r="X1529"/>
      <c r="Y1529"/>
      <c r="Z1529"/>
    </row>
    <row r="1530" spans="2:26">
      <c r="B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R1530"/>
      <c r="S1530"/>
      <c r="T1530"/>
      <c r="U1530"/>
      <c r="V1530"/>
      <c r="W1530"/>
      <c r="X1530"/>
      <c r="Y1530"/>
      <c r="Z1530"/>
    </row>
    <row r="1531" spans="2:26">
      <c r="B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R1531"/>
      <c r="S1531"/>
      <c r="T1531"/>
      <c r="U1531"/>
      <c r="V1531"/>
      <c r="W1531"/>
      <c r="X1531"/>
      <c r="Y1531"/>
      <c r="Z1531"/>
    </row>
    <row r="1532" spans="2:26">
      <c r="B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R1532"/>
      <c r="S1532"/>
      <c r="T1532"/>
      <c r="U1532"/>
      <c r="V1532"/>
      <c r="W1532"/>
      <c r="X1532"/>
      <c r="Y1532"/>
      <c r="Z1532"/>
    </row>
    <row r="1533" spans="2:26">
      <c r="B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R1533"/>
      <c r="S1533"/>
      <c r="T1533"/>
      <c r="U1533"/>
      <c r="V1533"/>
      <c r="W1533"/>
      <c r="X1533"/>
      <c r="Y1533"/>
      <c r="Z1533"/>
    </row>
    <row r="1534" spans="2:26">
      <c r="B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R1534"/>
      <c r="S1534"/>
      <c r="T1534"/>
      <c r="U1534"/>
      <c r="V1534"/>
      <c r="W1534"/>
      <c r="X1534"/>
      <c r="Y1534"/>
      <c r="Z1534"/>
    </row>
    <row r="1535" spans="2:26">
      <c r="B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R1535"/>
      <c r="S1535"/>
      <c r="T1535"/>
      <c r="U1535"/>
      <c r="V1535"/>
      <c r="W1535"/>
      <c r="X1535"/>
      <c r="Y1535"/>
      <c r="Z1535"/>
    </row>
    <row r="1536" spans="2:26">
      <c r="B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R1536"/>
      <c r="S1536"/>
      <c r="T1536"/>
      <c r="U1536"/>
      <c r="V1536"/>
      <c r="W1536"/>
      <c r="X1536"/>
      <c r="Y1536"/>
      <c r="Z1536"/>
    </row>
    <row r="1537" spans="2:26">
      <c r="B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R1537"/>
      <c r="S1537"/>
      <c r="T1537"/>
      <c r="U1537"/>
      <c r="V1537"/>
      <c r="W1537"/>
      <c r="X1537"/>
      <c r="Y1537"/>
      <c r="Z1537"/>
    </row>
    <row r="1538" spans="2:26">
      <c r="B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R1538"/>
      <c r="S1538"/>
      <c r="T1538"/>
      <c r="U1538"/>
      <c r="V1538"/>
      <c r="W1538"/>
      <c r="X1538"/>
      <c r="Y1538"/>
      <c r="Z1538"/>
    </row>
    <row r="1539" spans="2:26">
      <c r="B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R1539"/>
      <c r="S1539"/>
      <c r="T1539"/>
      <c r="U1539"/>
      <c r="V1539"/>
      <c r="W1539"/>
      <c r="X1539"/>
      <c r="Y1539"/>
      <c r="Z1539"/>
    </row>
    <row r="1540" spans="2:26">
      <c r="B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R1540"/>
      <c r="S1540"/>
      <c r="T1540"/>
      <c r="U1540"/>
      <c r="V1540"/>
      <c r="W1540"/>
      <c r="X1540"/>
      <c r="Y1540"/>
      <c r="Z1540"/>
    </row>
    <row r="1541" spans="2:26">
      <c r="B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R1541"/>
      <c r="S1541"/>
      <c r="T1541"/>
      <c r="U1541"/>
      <c r="V1541"/>
      <c r="W1541"/>
      <c r="X1541"/>
      <c r="Y1541"/>
      <c r="Z1541"/>
    </row>
    <row r="1542" spans="2:26">
      <c r="B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R1542"/>
      <c r="S1542"/>
      <c r="T1542"/>
      <c r="U1542"/>
      <c r="V1542"/>
      <c r="W1542"/>
      <c r="X1542"/>
      <c r="Y1542"/>
      <c r="Z1542"/>
    </row>
    <row r="1543" spans="2:26">
      <c r="B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R1543"/>
      <c r="S1543"/>
      <c r="T1543"/>
      <c r="U1543"/>
      <c r="V1543"/>
      <c r="W1543"/>
      <c r="X1543"/>
      <c r="Y1543"/>
      <c r="Z1543"/>
    </row>
    <row r="1544" spans="2:26">
      <c r="B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R1544"/>
      <c r="S1544"/>
      <c r="T1544"/>
      <c r="U1544"/>
      <c r="V1544"/>
      <c r="W1544"/>
      <c r="X1544"/>
      <c r="Y1544"/>
      <c r="Z1544"/>
    </row>
    <row r="1545" spans="2:26">
      <c r="B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R1545"/>
      <c r="S1545"/>
      <c r="T1545"/>
      <c r="U1545"/>
      <c r="V1545"/>
      <c r="W1545"/>
      <c r="X1545"/>
      <c r="Y1545"/>
      <c r="Z1545"/>
    </row>
    <row r="1546" spans="2:26">
      <c r="B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R1546"/>
      <c r="S1546"/>
      <c r="T1546"/>
      <c r="U1546"/>
      <c r="V1546"/>
      <c r="W1546"/>
      <c r="X1546"/>
      <c r="Y1546"/>
      <c r="Z1546"/>
    </row>
    <row r="1547" spans="2:26">
      <c r="B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R1547"/>
      <c r="S1547"/>
      <c r="T1547"/>
      <c r="U1547"/>
      <c r="V1547"/>
      <c r="W1547"/>
      <c r="X1547"/>
      <c r="Y1547"/>
      <c r="Z1547"/>
    </row>
    <row r="1548" spans="2:26">
      <c r="B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R1548"/>
      <c r="S1548"/>
      <c r="T1548"/>
      <c r="U1548"/>
      <c r="V1548"/>
      <c r="W1548"/>
      <c r="X1548"/>
      <c r="Y1548"/>
      <c r="Z1548"/>
    </row>
    <row r="1549" spans="2:26">
      <c r="B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R1549"/>
      <c r="S1549"/>
      <c r="T1549"/>
      <c r="U1549"/>
      <c r="V1549"/>
      <c r="W1549"/>
      <c r="X1549"/>
      <c r="Y1549"/>
      <c r="Z1549"/>
    </row>
    <row r="1550" spans="2:26">
      <c r="B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R1550"/>
      <c r="S1550"/>
      <c r="T1550"/>
      <c r="U1550"/>
      <c r="V1550"/>
      <c r="W1550"/>
      <c r="X1550"/>
      <c r="Y1550"/>
      <c r="Z1550"/>
    </row>
    <row r="1551" spans="2:26">
      <c r="B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R1551"/>
      <c r="S1551"/>
      <c r="T1551"/>
      <c r="U1551"/>
      <c r="V1551"/>
      <c r="W1551"/>
      <c r="X1551"/>
      <c r="Y1551"/>
      <c r="Z1551"/>
    </row>
    <row r="1552" spans="2:26">
      <c r="B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R1552"/>
      <c r="S1552"/>
      <c r="T1552"/>
      <c r="U1552"/>
      <c r="V1552"/>
      <c r="W1552"/>
      <c r="X1552"/>
      <c r="Y1552"/>
      <c r="Z1552"/>
    </row>
    <row r="1553" spans="2:26">
      <c r="B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R1553"/>
      <c r="S1553"/>
      <c r="T1553"/>
      <c r="U1553"/>
      <c r="V1553"/>
      <c r="W1553"/>
      <c r="X1553"/>
      <c r="Y1553"/>
      <c r="Z1553"/>
    </row>
    <row r="1554" spans="2:26">
      <c r="B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R1554"/>
      <c r="S1554"/>
      <c r="T1554"/>
      <c r="U1554"/>
      <c r="V1554"/>
      <c r="W1554"/>
      <c r="X1554"/>
      <c r="Y1554"/>
      <c r="Z1554"/>
    </row>
    <row r="1555" spans="2:26">
      <c r="B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R1555"/>
      <c r="S1555"/>
      <c r="T1555"/>
      <c r="U1555"/>
      <c r="V1555"/>
      <c r="W1555"/>
      <c r="X1555"/>
      <c r="Y1555"/>
      <c r="Z1555"/>
    </row>
    <row r="1556" spans="2:26">
      <c r="B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R1556"/>
      <c r="S1556"/>
      <c r="T1556"/>
      <c r="U1556"/>
      <c r="V1556"/>
      <c r="W1556"/>
      <c r="X1556"/>
      <c r="Y1556"/>
      <c r="Z1556"/>
    </row>
    <row r="1557" spans="2:26">
      <c r="B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R1557"/>
      <c r="S1557"/>
      <c r="T1557"/>
      <c r="U1557"/>
      <c r="V1557"/>
      <c r="W1557"/>
      <c r="X1557"/>
      <c r="Y1557"/>
      <c r="Z1557"/>
    </row>
    <row r="1558" spans="2:26">
      <c r="B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R1558"/>
      <c r="S1558"/>
      <c r="T1558"/>
      <c r="U1558"/>
      <c r="V1558"/>
      <c r="W1558"/>
      <c r="X1558"/>
      <c r="Y1558"/>
      <c r="Z1558"/>
    </row>
    <row r="1559" spans="2:26">
      <c r="B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R1559"/>
      <c r="S1559"/>
      <c r="T1559"/>
      <c r="U1559"/>
      <c r="V1559"/>
      <c r="W1559"/>
      <c r="X1559"/>
      <c r="Y1559"/>
      <c r="Z1559"/>
    </row>
    <row r="1560" spans="2:26">
      <c r="B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R1560"/>
      <c r="S1560"/>
      <c r="T1560"/>
      <c r="U1560"/>
      <c r="V1560"/>
      <c r="W1560"/>
      <c r="X1560"/>
      <c r="Y1560"/>
      <c r="Z1560"/>
    </row>
    <row r="1561" spans="2:26">
      <c r="B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R1561"/>
      <c r="S1561"/>
      <c r="T1561"/>
      <c r="U1561"/>
      <c r="V1561"/>
      <c r="W1561"/>
      <c r="X1561"/>
      <c r="Y1561"/>
      <c r="Z1561"/>
    </row>
    <row r="1562" spans="2:26">
      <c r="B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R1562"/>
      <c r="S1562"/>
      <c r="T1562"/>
      <c r="U1562"/>
      <c r="V1562"/>
      <c r="W1562"/>
      <c r="X1562"/>
      <c r="Y1562"/>
      <c r="Z1562"/>
    </row>
    <row r="1563" spans="2:26">
      <c r="B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R1563"/>
      <c r="S1563"/>
      <c r="T1563"/>
      <c r="U1563"/>
      <c r="V1563"/>
      <c r="W1563"/>
      <c r="X1563"/>
      <c r="Y1563"/>
      <c r="Z1563"/>
    </row>
    <row r="1564" spans="2:26">
      <c r="B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R1564"/>
      <c r="S1564"/>
      <c r="T1564"/>
      <c r="U1564"/>
      <c r="V1564"/>
      <c r="W1564"/>
      <c r="X1564"/>
      <c r="Y1564"/>
      <c r="Z1564"/>
    </row>
    <row r="1565" spans="2:26">
      <c r="B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R1565"/>
      <c r="S1565"/>
      <c r="T1565"/>
      <c r="U1565"/>
      <c r="V1565"/>
      <c r="W1565"/>
      <c r="X1565"/>
      <c r="Y1565"/>
      <c r="Z1565"/>
    </row>
    <row r="1566" spans="2:26">
      <c r="B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R1566"/>
      <c r="S1566"/>
      <c r="T1566"/>
      <c r="U1566"/>
      <c r="V1566"/>
      <c r="W1566"/>
      <c r="X1566"/>
      <c r="Y1566"/>
      <c r="Z1566"/>
    </row>
    <row r="1567" spans="2:26">
      <c r="B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R1567"/>
      <c r="S1567"/>
      <c r="T1567"/>
      <c r="U1567"/>
      <c r="V1567"/>
      <c r="W1567"/>
      <c r="X1567"/>
      <c r="Y1567"/>
      <c r="Z1567"/>
    </row>
    <row r="1568" spans="2:26">
      <c r="B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R1568"/>
      <c r="S1568"/>
      <c r="T1568"/>
      <c r="U1568"/>
      <c r="V1568"/>
      <c r="W1568"/>
      <c r="X1568"/>
      <c r="Y1568"/>
      <c r="Z1568"/>
    </row>
    <row r="1569" spans="2:26">
      <c r="B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R1569"/>
      <c r="S1569"/>
      <c r="T1569"/>
      <c r="U1569"/>
      <c r="V1569"/>
      <c r="W1569"/>
      <c r="X1569"/>
      <c r="Y1569"/>
      <c r="Z1569"/>
    </row>
    <row r="1570" spans="2:26">
      <c r="B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R1570"/>
      <c r="S1570"/>
      <c r="T1570"/>
      <c r="U1570"/>
      <c r="V1570"/>
      <c r="W1570"/>
      <c r="X1570"/>
      <c r="Y1570"/>
      <c r="Z1570"/>
    </row>
    <row r="1571" spans="2:26">
      <c r="B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R1571"/>
      <c r="S1571"/>
      <c r="T1571"/>
      <c r="U1571"/>
      <c r="V1571"/>
      <c r="W1571"/>
      <c r="X1571"/>
      <c r="Y1571"/>
      <c r="Z1571"/>
    </row>
    <row r="1572" spans="2:26">
      <c r="B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R1572"/>
      <c r="S1572"/>
      <c r="T1572"/>
      <c r="U1572"/>
      <c r="V1572"/>
      <c r="W1572"/>
      <c r="X1572"/>
      <c r="Y1572"/>
      <c r="Z1572"/>
    </row>
    <row r="1573" spans="2:26">
      <c r="B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R1573"/>
      <c r="S1573"/>
      <c r="T1573"/>
      <c r="U1573"/>
      <c r="V1573"/>
      <c r="W1573"/>
      <c r="X1573"/>
      <c r="Y1573"/>
      <c r="Z1573"/>
    </row>
    <row r="1574" spans="2:26">
      <c r="B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R1574"/>
      <c r="S1574"/>
      <c r="T1574"/>
      <c r="U1574"/>
      <c r="V1574"/>
      <c r="W1574"/>
      <c r="X1574"/>
      <c r="Y1574"/>
      <c r="Z1574"/>
    </row>
    <row r="1575" spans="2:26">
      <c r="B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R1575"/>
      <c r="S1575"/>
      <c r="T1575"/>
      <c r="U1575"/>
      <c r="V1575"/>
      <c r="W1575"/>
      <c r="X1575"/>
      <c r="Y1575"/>
      <c r="Z1575"/>
    </row>
    <row r="1576" spans="2:26">
      <c r="B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R1576"/>
      <c r="S1576"/>
      <c r="T1576"/>
      <c r="U1576"/>
      <c r="V1576"/>
      <c r="W1576"/>
      <c r="X1576"/>
      <c r="Y1576"/>
      <c r="Z1576"/>
    </row>
    <row r="1577" spans="2:26">
      <c r="B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R1577"/>
      <c r="S1577"/>
      <c r="T1577"/>
      <c r="U1577"/>
      <c r="V1577"/>
      <c r="W1577"/>
      <c r="X1577"/>
      <c r="Y1577"/>
      <c r="Z1577"/>
    </row>
    <row r="1578" spans="2:26">
      <c r="B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R1578"/>
      <c r="S1578"/>
      <c r="T1578"/>
      <c r="U1578"/>
      <c r="V1578"/>
      <c r="W1578"/>
      <c r="X1578"/>
      <c r="Y1578"/>
      <c r="Z1578"/>
    </row>
    <row r="1579" spans="2:26">
      <c r="B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R1579"/>
      <c r="S1579"/>
      <c r="T1579"/>
      <c r="U1579"/>
      <c r="V1579"/>
      <c r="W1579"/>
      <c r="X1579"/>
      <c r="Y1579"/>
      <c r="Z1579"/>
    </row>
    <row r="1580" spans="2:26">
      <c r="B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R1580"/>
      <c r="S1580"/>
      <c r="T1580"/>
      <c r="U1580"/>
      <c r="V1580"/>
      <c r="W1580"/>
      <c r="X1580"/>
      <c r="Y1580"/>
      <c r="Z1580"/>
    </row>
    <row r="1581" spans="2:26">
      <c r="B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R1581"/>
      <c r="S1581"/>
      <c r="T1581"/>
      <c r="U1581"/>
      <c r="V1581"/>
      <c r="W1581"/>
      <c r="X1581"/>
      <c r="Y1581"/>
      <c r="Z1581"/>
    </row>
    <row r="1582" spans="2:26">
      <c r="B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R1582"/>
      <c r="S1582"/>
      <c r="T1582"/>
      <c r="U1582"/>
      <c r="V1582"/>
      <c r="W1582"/>
      <c r="X1582"/>
      <c r="Y1582"/>
      <c r="Z1582"/>
    </row>
    <row r="1583" spans="2:26">
      <c r="B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R1583"/>
      <c r="S1583"/>
      <c r="T1583"/>
      <c r="U1583"/>
      <c r="V1583"/>
      <c r="W1583"/>
      <c r="X1583"/>
      <c r="Y1583"/>
      <c r="Z1583"/>
    </row>
    <row r="1584" spans="2:26">
      <c r="B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R1584"/>
      <c r="S1584"/>
      <c r="T1584"/>
      <c r="U1584"/>
      <c r="V1584"/>
      <c r="W1584"/>
      <c r="X1584"/>
      <c r="Y1584"/>
      <c r="Z1584"/>
    </row>
    <row r="1585" spans="2:26">
      <c r="B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R1585"/>
      <c r="S1585"/>
      <c r="T1585"/>
      <c r="U1585"/>
      <c r="V1585"/>
      <c r="W1585"/>
      <c r="X1585"/>
      <c r="Y1585"/>
      <c r="Z1585"/>
    </row>
    <row r="1586" spans="2:26">
      <c r="B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R1586"/>
      <c r="S1586"/>
      <c r="T1586"/>
      <c r="U1586"/>
      <c r="V1586"/>
      <c r="W1586"/>
      <c r="X1586"/>
      <c r="Y1586"/>
      <c r="Z1586"/>
    </row>
    <row r="1587" spans="2:26">
      <c r="B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R1587"/>
      <c r="S1587"/>
      <c r="T1587"/>
      <c r="U1587"/>
      <c r="V1587"/>
      <c r="W1587"/>
      <c r="X1587"/>
      <c r="Y1587"/>
      <c r="Z1587"/>
    </row>
    <row r="1588" spans="2:26">
      <c r="B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R1588"/>
      <c r="S1588"/>
      <c r="T1588"/>
      <c r="U1588"/>
      <c r="V1588"/>
      <c r="W1588"/>
      <c r="X1588"/>
      <c r="Y1588"/>
      <c r="Z1588"/>
    </row>
    <row r="1589" spans="2:26">
      <c r="B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R1589"/>
      <c r="S1589"/>
      <c r="T1589"/>
      <c r="U1589"/>
      <c r="V1589"/>
      <c r="W1589"/>
      <c r="X1589"/>
      <c r="Y1589"/>
      <c r="Z1589"/>
    </row>
    <row r="1590" spans="2:26">
      <c r="B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R1590"/>
      <c r="S1590"/>
      <c r="T1590"/>
      <c r="U1590"/>
      <c r="V1590"/>
      <c r="W1590"/>
      <c r="X1590"/>
      <c r="Y1590"/>
      <c r="Z1590"/>
    </row>
    <row r="1591" spans="2:26">
      <c r="B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R1591"/>
      <c r="S1591"/>
      <c r="T1591"/>
      <c r="U1591"/>
      <c r="V1591"/>
      <c r="W1591"/>
      <c r="X1591"/>
      <c r="Y1591"/>
      <c r="Z1591"/>
    </row>
    <row r="1592" spans="2:26">
      <c r="B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R1592"/>
      <c r="S1592"/>
      <c r="T1592"/>
      <c r="U1592"/>
      <c r="V1592"/>
      <c r="W1592"/>
      <c r="X1592"/>
      <c r="Y1592"/>
      <c r="Z1592"/>
    </row>
    <row r="1593" spans="2:26">
      <c r="B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R1593"/>
      <c r="S1593"/>
      <c r="T1593"/>
      <c r="U1593"/>
      <c r="V1593"/>
      <c r="W1593"/>
      <c r="X1593"/>
      <c r="Y1593"/>
      <c r="Z1593"/>
    </row>
    <row r="1594" spans="2:26">
      <c r="B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R1594"/>
      <c r="S1594"/>
      <c r="T1594"/>
      <c r="U1594"/>
      <c r="V1594"/>
      <c r="W1594"/>
      <c r="X1594"/>
      <c r="Y1594"/>
      <c r="Z1594"/>
    </row>
    <row r="1595" spans="2:26">
      <c r="B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R1595"/>
      <c r="S1595"/>
      <c r="T1595"/>
      <c r="U1595"/>
      <c r="V1595"/>
      <c r="W1595"/>
      <c r="X1595"/>
      <c r="Y1595"/>
      <c r="Z1595"/>
    </row>
    <row r="1596" spans="2:26">
      <c r="B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R1596"/>
      <c r="S1596"/>
      <c r="T1596"/>
      <c r="U1596"/>
      <c r="V1596"/>
      <c r="W1596"/>
      <c r="X1596"/>
      <c r="Y1596"/>
      <c r="Z1596"/>
    </row>
    <row r="1597" spans="2:26">
      <c r="B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R1597"/>
      <c r="S1597"/>
      <c r="T1597"/>
      <c r="U1597"/>
      <c r="V1597"/>
      <c r="W1597"/>
      <c r="X1597"/>
      <c r="Y1597"/>
      <c r="Z1597"/>
    </row>
    <row r="1598" spans="2:26">
      <c r="B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R1598"/>
      <c r="S1598"/>
      <c r="T1598"/>
      <c r="U1598"/>
      <c r="V1598"/>
      <c r="W1598"/>
      <c r="X1598"/>
      <c r="Y1598"/>
      <c r="Z1598"/>
    </row>
    <row r="1599" spans="2:26">
      <c r="B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R1599"/>
      <c r="S1599"/>
      <c r="T1599"/>
      <c r="U1599"/>
      <c r="V1599"/>
      <c r="W1599"/>
      <c r="X1599"/>
      <c r="Y1599"/>
      <c r="Z1599"/>
    </row>
    <row r="1600" spans="2:26">
      <c r="B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R1600"/>
      <c r="S1600"/>
      <c r="T1600"/>
      <c r="U1600"/>
      <c r="V1600"/>
      <c r="W1600"/>
      <c r="X1600"/>
      <c r="Y1600"/>
      <c r="Z1600"/>
    </row>
    <row r="1601" spans="2:26">
      <c r="B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R1601"/>
      <c r="S1601"/>
      <c r="T1601"/>
      <c r="U1601"/>
      <c r="V1601"/>
      <c r="W1601"/>
      <c r="X1601"/>
      <c r="Y1601"/>
      <c r="Z1601"/>
    </row>
    <row r="1602" spans="2:26">
      <c r="B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R1602"/>
      <c r="S1602"/>
      <c r="T1602"/>
      <c r="U1602"/>
      <c r="V1602"/>
      <c r="W1602"/>
      <c r="X1602"/>
      <c r="Y1602"/>
      <c r="Z1602"/>
    </row>
    <row r="1603" spans="2:26">
      <c r="B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R1603"/>
      <c r="S1603"/>
      <c r="T1603"/>
      <c r="U1603"/>
      <c r="V1603"/>
      <c r="W1603"/>
      <c r="X1603"/>
      <c r="Y1603"/>
      <c r="Z1603"/>
    </row>
    <row r="1604" spans="2:26">
      <c r="B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R1604"/>
      <c r="S1604"/>
      <c r="T1604"/>
      <c r="U1604"/>
      <c r="V1604"/>
      <c r="W1604"/>
      <c r="X1604"/>
      <c r="Y1604"/>
      <c r="Z1604"/>
    </row>
    <row r="1605" spans="2:26">
      <c r="B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R1605"/>
      <c r="S1605"/>
      <c r="T1605"/>
      <c r="U1605"/>
      <c r="V1605"/>
      <c r="W1605"/>
      <c r="X1605"/>
      <c r="Y1605"/>
      <c r="Z1605"/>
    </row>
    <row r="1606" spans="2:26">
      <c r="B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R1606"/>
      <c r="S1606"/>
      <c r="T1606"/>
      <c r="U1606"/>
      <c r="V1606"/>
      <c r="W1606"/>
      <c r="X1606"/>
      <c r="Y1606"/>
      <c r="Z1606"/>
    </row>
    <row r="1607" spans="2:26">
      <c r="B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R1607"/>
      <c r="S1607"/>
      <c r="T1607"/>
      <c r="U1607"/>
      <c r="V1607"/>
      <c r="W1607"/>
      <c r="X1607"/>
      <c r="Y1607"/>
      <c r="Z1607"/>
    </row>
    <row r="1608" spans="2:26">
      <c r="B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R1608"/>
      <c r="S1608"/>
      <c r="T1608"/>
      <c r="U1608"/>
      <c r="V1608"/>
      <c r="W1608"/>
      <c r="X1608"/>
      <c r="Y1608"/>
      <c r="Z1608"/>
    </row>
    <row r="1609" spans="2:26">
      <c r="B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R1609"/>
      <c r="S1609"/>
      <c r="T1609"/>
      <c r="U1609"/>
      <c r="V1609"/>
      <c r="W1609"/>
      <c r="X1609"/>
      <c r="Y1609"/>
      <c r="Z1609"/>
    </row>
    <row r="1610" spans="2:26">
      <c r="B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R1610"/>
      <c r="S1610"/>
      <c r="T1610"/>
      <c r="U1610"/>
      <c r="V1610"/>
      <c r="W1610"/>
      <c r="X1610"/>
      <c r="Y1610"/>
      <c r="Z1610"/>
    </row>
    <row r="1611" spans="2:26">
      <c r="B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R1611"/>
      <c r="S1611"/>
      <c r="T1611"/>
      <c r="U1611"/>
      <c r="V1611"/>
      <c r="W1611"/>
      <c r="X1611"/>
      <c r="Y1611"/>
      <c r="Z1611"/>
    </row>
    <row r="1612" spans="2:26">
      <c r="B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R1612"/>
      <c r="S1612"/>
      <c r="T1612"/>
      <c r="U1612"/>
      <c r="V1612"/>
      <c r="W1612"/>
      <c r="X1612"/>
      <c r="Y1612"/>
      <c r="Z1612"/>
    </row>
    <row r="1613" spans="2:26">
      <c r="B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R1613"/>
      <c r="S1613"/>
      <c r="T1613"/>
      <c r="U1613"/>
      <c r="V1613"/>
      <c r="W1613"/>
      <c r="X1613"/>
      <c r="Y1613"/>
      <c r="Z1613"/>
    </row>
    <row r="1614" spans="2:26">
      <c r="B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R1614"/>
      <c r="S1614"/>
      <c r="T1614"/>
      <c r="U1614"/>
      <c r="V1614"/>
      <c r="W1614"/>
      <c r="X1614"/>
      <c r="Y1614"/>
      <c r="Z1614"/>
    </row>
    <row r="1615" spans="2:26">
      <c r="B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R1615"/>
      <c r="S1615"/>
      <c r="T1615"/>
      <c r="U1615"/>
      <c r="V1615"/>
      <c r="W1615"/>
      <c r="X1615"/>
      <c r="Y1615"/>
      <c r="Z1615"/>
    </row>
    <row r="1616" spans="2:26">
      <c r="B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R1616"/>
      <c r="S1616"/>
      <c r="T1616"/>
      <c r="U1616"/>
      <c r="V1616"/>
      <c r="W1616"/>
      <c r="X1616"/>
      <c r="Y1616"/>
      <c r="Z1616"/>
    </row>
    <row r="1617" spans="2:26">
      <c r="B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R1617"/>
      <c r="S1617"/>
      <c r="T1617"/>
      <c r="U1617"/>
      <c r="V1617"/>
      <c r="W1617"/>
      <c r="X1617"/>
      <c r="Y1617"/>
      <c r="Z1617"/>
    </row>
    <row r="1618" spans="2:26">
      <c r="B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R1618"/>
      <c r="S1618"/>
      <c r="T1618"/>
      <c r="U1618"/>
      <c r="V1618"/>
      <c r="W1618"/>
      <c r="X1618"/>
      <c r="Y1618"/>
      <c r="Z1618"/>
    </row>
    <row r="1619" spans="2:26">
      <c r="B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R1619"/>
      <c r="S1619"/>
      <c r="T1619"/>
      <c r="U1619"/>
      <c r="V1619"/>
      <c r="W1619"/>
      <c r="X1619"/>
      <c r="Y1619"/>
      <c r="Z1619"/>
    </row>
    <row r="1620" spans="2:26">
      <c r="B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R1620"/>
      <c r="S1620"/>
      <c r="T1620"/>
      <c r="U1620"/>
      <c r="V1620"/>
      <c r="W1620"/>
      <c r="X1620"/>
      <c r="Y1620"/>
      <c r="Z1620"/>
    </row>
    <row r="1621" spans="2:26">
      <c r="B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R1621"/>
      <c r="S1621"/>
      <c r="T1621"/>
      <c r="U1621"/>
      <c r="V1621"/>
      <c r="W1621"/>
      <c r="X1621"/>
      <c r="Y1621"/>
      <c r="Z1621"/>
    </row>
    <row r="1622" spans="2:26">
      <c r="B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R1622"/>
      <c r="S1622"/>
      <c r="T1622"/>
      <c r="U1622"/>
      <c r="V1622"/>
      <c r="W1622"/>
      <c r="X1622"/>
      <c r="Y1622"/>
      <c r="Z1622"/>
    </row>
    <row r="1623" spans="2:26">
      <c r="B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R1623"/>
      <c r="S1623"/>
      <c r="T1623"/>
      <c r="U1623"/>
      <c r="V1623"/>
      <c r="W1623"/>
      <c r="X1623"/>
      <c r="Y1623"/>
      <c r="Z1623"/>
    </row>
    <row r="1624" spans="2:26">
      <c r="B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R1624"/>
      <c r="S1624"/>
      <c r="T1624"/>
      <c r="U1624"/>
      <c r="V1624"/>
      <c r="W1624"/>
      <c r="X1624"/>
      <c r="Y1624"/>
      <c r="Z1624"/>
    </row>
    <row r="1625" spans="2:26">
      <c r="B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R1625"/>
      <c r="S1625"/>
      <c r="T1625"/>
      <c r="U1625"/>
      <c r="V1625"/>
      <c r="W1625"/>
      <c r="X1625"/>
      <c r="Y1625"/>
      <c r="Z1625"/>
    </row>
    <row r="1626" spans="2:26">
      <c r="B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R1626"/>
      <c r="S1626"/>
      <c r="T1626"/>
      <c r="U1626"/>
      <c r="V1626"/>
      <c r="W1626"/>
      <c r="X1626"/>
      <c r="Y1626"/>
      <c r="Z1626"/>
    </row>
    <row r="1627" spans="2:26">
      <c r="B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R1627"/>
      <c r="S1627"/>
      <c r="T1627"/>
      <c r="U1627"/>
      <c r="V1627"/>
      <c r="W1627"/>
      <c r="X1627"/>
      <c r="Y1627"/>
      <c r="Z1627"/>
    </row>
    <row r="1628" spans="2:26">
      <c r="B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R1628"/>
      <c r="S1628"/>
      <c r="T1628"/>
      <c r="U1628"/>
      <c r="V1628"/>
      <c r="W1628"/>
      <c r="X1628"/>
      <c r="Y1628"/>
      <c r="Z1628"/>
    </row>
    <row r="1629" spans="2:26">
      <c r="B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R1629"/>
      <c r="S1629"/>
      <c r="T1629"/>
      <c r="U1629"/>
      <c r="V1629"/>
      <c r="W1629"/>
      <c r="X1629"/>
      <c r="Y1629"/>
      <c r="Z1629"/>
    </row>
    <row r="1630" spans="2:26">
      <c r="B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R1630"/>
      <c r="S1630"/>
      <c r="T1630"/>
      <c r="U1630"/>
      <c r="V1630"/>
      <c r="W1630"/>
      <c r="X1630"/>
      <c r="Y1630"/>
      <c r="Z1630"/>
    </row>
    <row r="1631" spans="2:26">
      <c r="B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R1631"/>
      <c r="S1631"/>
      <c r="T1631"/>
      <c r="U1631"/>
      <c r="V1631"/>
      <c r="W1631"/>
      <c r="X1631"/>
      <c r="Y1631"/>
      <c r="Z1631"/>
    </row>
    <row r="1632" spans="2:26">
      <c r="B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R1632"/>
      <c r="S1632"/>
      <c r="T1632"/>
      <c r="U1632"/>
      <c r="V1632"/>
      <c r="W1632"/>
      <c r="X1632"/>
      <c r="Y1632"/>
      <c r="Z1632"/>
    </row>
    <row r="1633" spans="2:26">
      <c r="B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R1633"/>
      <c r="S1633"/>
      <c r="T1633"/>
      <c r="U1633"/>
      <c r="V1633"/>
      <c r="W1633"/>
      <c r="X1633"/>
      <c r="Y1633"/>
      <c r="Z1633"/>
    </row>
    <row r="1634" spans="2:26">
      <c r="B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R1634"/>
      <c r="S1634"/>
      <c r="T1634"/>
      <c r="U1634"/>
      <c r="V1634"/>
      <c r="W1634"/>
      <c r="X1634"/>
      <c r="Y1634"/>
      <c r="Z1634"/>
    </row>
    <row r="1635" spans="2:26">
      <c r="B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R1635"/>
      <c r="S1635"/>
      <c r="T1635"/>
      <c r="U1635"/>
      <c r="V1635"/>
      <c r="W1635"/>
      <c r="X1635"/>
      <c r="Y1635"/>
      <c r="Z1635"/>
    </row>
    <row r="1636" spans="2:26">
      <c r="B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R1636"/>
      <c r="S1636"/>
      <c r="T1636"/>
      <c r="U1636"/>
      <c r="V1636"/>
      <c r="W1636"/>
      <c r="X1636"/>
      <c r="Y1636"/>
      <c r="Z1636"/>
    </row>
    <row r="1637" spans="2:26">
      <c r="B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R1637"/>
      <c r="S1637"/>
      <c r="T1637"/>
      <c r="U1637"/>
      <c r="V1637"/>
      <c r="W1637"/>
      <c r="X1637"/>
      <c r="Y1637"/>
      <c r="Z1637"/>
    </row>
    <row r="1638" spans="2:26">
      <c r="B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R1638"/>
      <c r="S1638"/>
      <c r="T1638"/>
      <c r="U1638"/>
      <c r="V1638"/>
      <c r="W1638"/>
      <c r="X1638"/>
      <c r="Y1638"/>
      <c r="Z1638"/>
    </row>
    <row r="1639" spans="2:26">
      <c r="B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R1639"/>
      <c r="S1639"/>
      <c r="T1639"/>
      <c r="U1639"/>
      <c r="V1639"/>
      <c r="W1639"/>
      <c r="X1639"/>
      <c r="Y1639"/>
      <c r="Z1639"/>
    </row>
    <row r="1640" spans="2:26">
      <c r="B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R1640"/>
      <c r="S1640"/>
      <c r="T1640"/>
      <c r="U1640"/>
      <c r="V1640"/>
      <c r="W1640"/>
      <c r="X1640"/>
      <c r="Y1640"/>
      <c r="Z1640"/>
    </row>
    <row r="1641" spans="2:26">
      <c r="B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R1641"/>
      <c r="S1641"/>
      <c r="T1641"/>
      <c r="U1641"/>
      <c r="V1641"/>
      <c r="W1641"/>
      <c r="X1641"/>
      <c r="Y1641"/>
      <c r="Z1641"/>
    </row>
    <row r="1642" spans="2:26">
      <c r="B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R1642"/>
      <c r="S1642"/>
      <c r="T1642"/>
      <c r="U1642"/>
      <c r="V1642"/>
      <c r="W1642"/>
      <c r="X1642"/>
      <c r="Y1642"/>
      <c r="Z1642"/>
    </row>
    <row r="1643" spans="2:26">
      <c r="B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R1643"/>
      <c r="S1643"/>
      <c r="T1643"/>
      <c r="U1643"/>
      <c r="V1643"/>
      <c r="W1643"/>
      <c r="X1643"/>
      <c r="Y1643"/>
      <c r="Z1643"/>
    </row>
    <row r="1644" spans="2:26">
      <c r="B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R1644"/>
      <c r="S1644"/>
      <c r="T1644"/>
      <c r="U1644"/>
      <c r="V1644"/>
      <c r="W1644"/>
      <c r="X1644"/>
      <c r="Y1644"/>
      <c r="Z1644"/>
    </row>
    <row r="1645" spans="2:26">
      <c r="B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R1645"/>
      <c r="S1645"/>
      <c r="T1645"/>
      <c r="U1645"/>
      <c r="V1645"/>
      <c r="W1645"/>
      <c r="X1645"/>
      <c r="Y1645"/>
      <c r="Z1645"/>
    </row>
    <row r="1646" spans="2:26">
      <c r="B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R1646"/>
      <c r="S1646"/>
      <c r="T1646"/>
      <c r="U1646"/>
      <c r="V1646"/>
      <c r="W1646"/>
      <c r="X1646"/>
      <c r="Y1646"/>
      <c r="Z1646"/>
    </row>
    <row r="1647" spans="2:26">
      <c r="B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R1647"/>
      <c r="S1647"/>
      <c r="T1647"/>
      <c r="U1647"/>
      <c r="V1647"/>
      <c r="W1647"/>
      <c r="X1647"/>
      <c r="Y1647"/>
      <c r="Z1647"/>
    </row>
    <row r="1648" spans="2:26">
      <c r="B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R1648"/>
      <c r="S1648"/>
      <c r="T1648"/>
      <c r="U1648"/>
      <c r="V1648"/>
      <c r="W1648"/>
      <c r="X1648"/>
      <c r="Y1648"/>
      <c r="Z1648"/>
    </row>
    <row r="1649" spans="2:26">
      <c r="B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R1649"/>
      <c r="S1649"/>
      <c r="T1649"/>
      <c r="U1649"/>
      <c r="V1649"/>
      <c r="W1649"/>
      <c r="X1649"/>
      <c r="Y1649"/>
      <c r="Z1649"/>
    </row>
    <row r="1650" spans="2:26">
      <c r="B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R1650"/>
      <c r="S1650"/>
      <c r="T1650"/>
      <c r="U1650"/>
      <c r="V1650"/>
      <c r="W1650"/>
      <c r="X1650"/>
      <c r="Y1650"/>
      <c r="Z1650"/>
    </row>
    <row r="1651" spans="2:26">
      <c r="B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R1651"/>
      <c r="S1651"/>
      <c r="T1651"/>
      <c r="U1651"/>
      <c r="V1651"/>
      <c r="W1651"/>
      <c r="X1651"/>
      <c r="Y1651"/>
      <c r="Z1651"/>
    </row>
    <row r="1652" spans="2:26">
      <c r="B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R1652"/>
      <c r="S1652"/>
      <c r="T1652"/>
      <c r="U1652"/>
      <c r="V1652"/>
      <c r="W1652"/>
      <c r="X1652"/>
      <c r="Y1652"/>
      <c r="Z1652"/>
    </row>
    <row r="1653" spans="2:26">
      <c r="B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R1653"/>
      <c r="S1653"/>
      <c r="T1653"/>
      <c r="U1653"/>
      <c r="V1653"/>
      <c r="W1653"/>
      <c r="X1653"/>
      <c r="Y1653"/>
      <c r="Z1653"/>
    </row>
    <row r="1654" spans="2:26">
      <c r="B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R1654"/>
      <c r="S1654"/>
      <c r="T1654"/>
      <c r="U1654"/>
      <c r="V1654"/>
      <c r="W1654"/>
      <c r="X1654"/>
      <c r="Y1654"/>
      <c r="Z1654"/>
    </row>
    <row r="1655" spans="2:26">
      <c r="B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R1655"/>
      <c r="S1655"/>
      <c r="T1655"/>
      <c r="U1655"/>
      <c r="V1655"/>
      <c r="W1655"/>
      <c r="X1655"/>
      <c r="Y1655"/>
      <c r="Z1655"/>
    </row>
    <row r="1656" spans="2:26">
      <c r="B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R1656"/>
      <c r="S1656"/>
      <c r="T1656"/>
      <c r="U1656"/>
      <c r="V1656"/>
      <c r="W1656"/>
      <c r="X1656"/>
      <c r="Y1656"/>
      <c r="Z1656"/>
    </row>
    <row r="1657" spans="2:26">
      <c r="B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R1657"/>
      <c r="S1657"/>
      <c r="T1657"/>
      <c r="U1657"/>
      <c r="V1657"/>
      <c r="W1657"/>
      <c r="X1657"/>
      <c r="Y1657"/>
      <c r="Z1657"/>
    </row>
    <row r="1658" spans="2:26">
      <c r="B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R1658"/>
      <c r="S1658"/>
      <c r="T1658"/>
      <c r="U1658"/>
      <c r="V1658"/>
      <c r="W1658"/>
      <c r="X1658"/>
      <c r="Y1658"/>
      <c r="Z1658"/>
    </row>
    <row r="1659" spans="2:26">
      <c r="B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R1659"/>
      <c r="S1659"/>
      <c r="T1659"/>
      <c r="U1659"/>
      <c r="V1659"/>
      <c r="W1659"/>
      <c r="X1659"/>
      <c r="Y1659"/>
      <c r="Z1659"/>
    </row>
    <row r="1660" spans="2:26">
      <c r="B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R1660"/>
      <c r="S1660"/>
      <c r="T1660"/>
      <c r="U1660"/>
      <c r="V1660"/>
      <c r="W1660"/>
      <c r="X1660"/>
      <c r="Y1660"/>
      <c r="Z1660"/>
    </row>
    <row r="1661" spans="2:26">
      <c r="B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R1661"/>
      <c r="S1661"/>
      <c r="T1661"/>
      <c r="U1661"/>
      <c r="V1661"/>
      <c r="W1661"/>
      <c r="X1661"/>
      <c r="Y1661"/>
      <c r="Z1661"/>
    </row>
    <row r="1662" spans="2:26">
      <c r="B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R1662"/>
      <c r="S1662"/>
      <c r="T1662"/>
      <c r="U1662"/>
      <c r="V1662"/>
      <c r="W1662"/>
      <c r="X1662"/>
      <c r="Y1662"/>
      <c r="Z1662"/>
    </row>
    <row r="1663" spans="2:26">
      <c r="B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R1663"/>
      <c r="S1663"/>
      <c r="T1663"/>
      <c r="U1663"/>
      <c r="V1663"/>
      <c r="W1663"/>
      <c r="X1663"/>
      <c r="Y1663"/>
      <c r="Z1663"/>
    </row>
    <row r="1664" spans="2:26">
      <c r="B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R1664"/>
      <c r="S1664"/>
      <c r="T1664"/>
      <c r="U1664"/>
      <c r="V1664"/>
      <c r="W1664"/>
      <c r="X1664"/>
      <c r="Y1664"/>
      <c r="Z1664"/>
    </row>
    <row r="1665" spans="2:26">
      <c r="B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R1665"/>
      <c r="S1665"/>
      <c r="T1665"/>
      <c r="U1665"/>
      <c r="V1665"/>
      <c r="W1665"/>
      <c r="X1665"/>
      <c r="Y1665"/>
      <c r="Z1665"/>
    </row>
    <row r="1666" spans="2:26">
      <c r="B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R1666"/>
      <c r="S1666"/>
      <c r="T1666"/>
      <c r="U1666"/>
      <c r="V1666"/>
      <c r="W1666"/>
      <c r="X1666"/>
      <c r="Y1666"/>
      <c r="Z1666"/>
    </row>
    <row r="1667" spans="2:26">
      <c r="B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R1667"/>
      <c r="S1667"/>
      <c r="T1667"/>
      <c r="U1667"/>
      <c r="V1667"/>
      <c r="W1667"/>
      <c r="X1667"/>
      <c r="Y1667"/>
      <c r="Z1667"/>
    </row>
    <row r="1668" spans="2:26">
      <c r="B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R1668"/>
      <c r="S1668"/>
      <c r="T1668"/>
      <c r="U1668"/>
      <c r="V1668"/>
      <c r="W1668"/>
      <c r="X1668"/>
      <c r="Y1668"/>
      <c r="Z1668"/>
    </row>
    <row r="1669" spans="2:26">
      <c r="B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R1669"/>
      <c r="S1669"/>
      <c r="T1669"/>
      <c r="U1669"/>
      <c r="V1669"/>
      <c r="W1669"/>
      <c r="X1669"/>
      <c r="Y1669"/>
      <c r="Z1669"/>
    </row>
    <row r="1670" spans="2:26">
      <c r="B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R1670"/>
      <c r="S1670"/>
      <c r="T1670"/>
      <c r="U1670"/>
      <c r="V1670"/>
      <c r="W1670"/>
      <c r="X1670"/>
      <c r="Y1670"/>
      <c r="Z1670"/>
    </row>
    <row r="1671" spans="2:26">
      <c r="B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R1671"/>
      <c r="S1671"/>
      <c r="T1671"/>
      <c r="U1671"/>
      <c r="V1671"/>
      <c r="W1671"/>
      <c r="X1671"/>
      <c r="Y1671"/>
      <c r="Z1671"/>
    </row>
    <row r="1672" spans="2:26">
      <c r="B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R1672"/>
      <c r="S1672"/>
      <c r="T1672"/>
      <c r="U1672"/>
      <c r="V1672"/>
      <c r="W1672"/>
      <c r="X1672"/>
      <c r="Y1672"/>
      <c r="Z1672"/>
    </row>
    <row r="1673" spans="2:26">
      <c r="B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R1673"/>
      <c r="S1673"/>
      <c r="T1673"/>
      <c r="U1673"/>
      <c r="V1673"/>
      <c r="W1673"/>
      <c r="X1673"/>
      <c r="Y1673"/>
      <c r="Z1673"/>
    </row>
    <row r="1674" spans="2:26">
      <c r="B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R1674"/>
      <c r="S1674"/>
      <c r="T1674"/>
      <c r="U1674"/>
      <c r="V1674"/>
      <c r="W1674"/>
      <c r="X1674"/>
      <c r="Y1674"/>
      <c r="Z1674"/>
    </row>
    <row r="1675" spans="2:26">
      <c r="B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R1675"/>
      <c r="S1675"/>
      <c r="T1675"/>
      <c r="U1675"/>
      <c r="V1675"/>
      <c r="W1675"/>
      <c r="X1675"/>
      <c r="Y1675"/>
      <c r="Z1675"/>
    </row>
    <row r="1676" spans="2:26">
      <c r="B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R1676"/>
      <c r="S1676"/>
      <c r="T1676"/>
      <c r="U1676"/>
      <c r="V1676"/>
      <c r="W1676"/>
      <c r="X1676"/>
      <c r="Y1676"/>
      <c r="Z1676"/>
    </row>
    <row r="1677" spans="2:26">
      <c r="B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R1677"/>
      <c r="S1677"/>
      <c r="T1677"/>
      <c r="U1677"/>
      <c r="V1677"/>
      <c r="W1677"/>
      <c r="X1677"/>
      <c r="Y1677"/>
      <c r="Z1677"/>
    </row>
    <row r="1678" spans="2:26">
      <c r="B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R1678"/>
      <c r="S1678"/>
      <c r="T1678"/>
      <c r="U1678"/>
      <c r="V1678"/>
      <c r="W1678"/>
      <c r="X1678"/>
      <c r="Y1678"/>
      <c r="Z1678"/>
    </row>
    <row r="1679" spans="2:26">
      <c r="B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R1679"/>
      <c r="S1679"/>
      <c r="T1679"/>
      <c r="U1679"/>
      <c r="V1679"/>
      <c r="W1679"/>
      <c r="X1679"/>
      <c r="Y1679"/>
      <c r="Z1679"/>
    </row>
    <row r="1680" spans="2:26">
      <c r="B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R1680"/>
      <c r="S1680"/>
      <c r="T1680"/>
      <c r="U1680"/>
      <c r="V1680"/>
      <c r="W1680"/>
      <c r="X1680"/>
      <c r="Y1680"/>
      <c r="Z1680"/>
    </row>
    <row r="1681" spans="2:26">
      <c r="B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R1681"/>
      <c r="S1681"/>
      <c r="T1681"/>
      <c r="U1681"/>
      <c r="V1681"/>
      <c r="W1681"/>
      <c r="X1681"/>
      <c r="Y1681"/>
      <c r="Z1681"/>
    </row>
    <row r="1682" spans="2:26">
      <c r="B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R1682"/>
      <c r="S1682"/>
      <c r="T1682"/>
      <c r="U1682"/>
      <c r="V1682"/>
      <c r="W1682"/>
      <c r="X1682"/>
      <c r="Y1682"/>
      <c r="Z1682"/>
    </row>
    <row r="1683" spans="2:26">
      <c r="B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R1683"/>
      <c r="S1683"/>
      <c r="T1683"/>
      <c r="U1683"/>
      <c r="V1683"/>
      <c r="W1683"/>
      <c r="X1683"/>
      <c r="Y1683"/>
      <c r="Z1683"/>
    </row>
    <row r="1684" spans="2:26">
      <c r="B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R1684"/>
      <c r="S1684"/>
      <c r="T1684"/>
      <c r="U1684"/>
      <c r="V1684"/>
      <c r="W1684"/>
      <c r="X1684"/>
      <c r="Y1684"/>
      <c r="Z1684"/>
    </row>
    <row r="1685" spans="2:26">
      <c r="B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R1685"/>
      <c r="S1685"/>
      <c r="T1685"/>
      <c r="U1685"/>
      <c r="V1685"/>
      <c r="W1685"/>
      <c r="X1685"/>
      <c r="Y1685"/>
      <c r="Z1685"/>
    </row>
    <row r="1686" spans="2:26">
      <c r="B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R1686"/>
      <c r="S1686"/>
      <c r="T1686"/>
      <c r="U1686"/>
      <c r="V1686"/>
      <c r="W1686"/>
      <c r="X1686"/>
      <c r="Y1686"/>
      <c r="Z1686"/>
    </row>
    <row r="1687" spans="2:26">
      <c r="B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R1687"/>
      <c r="S1687"/>
      <c r="T1687"/>
      <c r="U1687"/>
      <c r="V1687"/>
      <c r="W1687"/>
      <c r="X1687"/>
      <c r="Y1687"/>
      <c r="Z1687"/>
    </row>
    <row r="1688" spans="2:26">
      <c r="B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R1688"/>
      <c r="S1688"/>
      <c r="T1688"/>
      <c r="U1688"/>
      <c r="V1688"/>
      <c r="W1688"/>
      <c r="X1688"/>
      <c r="Y1688"/>
      <c r="Z1688"/>
    </row>
    <row r="1689" spans="2:26">
      <c r="B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R1689"/>
      <c r="S1689"/>
      <c r="T1689"/>
      <c r="U1689"/>
      <c r="V1689"/>
      <c r="W1689"/>
      <c r="X1689"/>
      <c r="Y1689"/>
      <c r="Z1689"/>
    </row>
    <row r="1690" spans="2:26">
      <c r="B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R1690"/>
      <c r="S1690"/>
      <c r="T1690"/>
      <c r="U1690"/>
      <c r="V1690"/>
      <c r="W1690"/>
      <c r="X1690"/>
      <c r="Y1690"/>
      <c r="Z1690"/>
    </row>
    <row r="1691" spans="2:26">
      <c r="B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R1691"/>
      <c r="S1691"/>
      <c r="T1691"/>
      <c r="U1691"/>
      <c r="V1691"/>
      <c r="W1691"/>
      <c r="X1691"/>
      <c r="Y1691"/>
      <c r="Z1691"/>
    </row>
    <row r="1692" spans="2:26">
      <c r="B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R1692"/>
      <c r="S1692"/>
      <c r="T1692"/>
      <c r="U1692"/>
      <c r="V1692"/>
      <c r="W1692"/>
      <c r="X1692"/>
      <c r="Y1692"/>
      <c r="Z1692"/>
    </row>
    <row r="1693" spans="2:26">
      <c r="B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R1693"/>
      <c r="S1693"/>
      <c r="T1693"/>
      <c r="U1693"/>
      <c r="V1693"/>
      <c r="W1693"/>
      <c r="X1693"/>
      <c r="Y1693"/>
      <c r="Z1693"/>
    </row>
    <row r="1694" spans="2:26">
      <c r="B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R1694"/>
      <c r="S1694"/>
      <c r="T1694"/>
      <c r="U1694"/>
      <c r="V1694"/>
      <c r="W1694"/>
      <c r="X1694"/>
      <c r="Y1694"/>
      <c r="Z1694"/>
    </row>
    <row r="1695" spans="2:26">
      <c r="B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R1695"/>
      <c r="S1695"/>
      <c r="T1695"/>
      <c r="U1695"/>
      <c r="V1695"/>
      <c r="W1695"/>
      <c r="X1695"/>
      <c r="Y1695"/>
      <c r="Z1695"/>
    </row>
    <row r="1696" spans="2:26">
      <c r="B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R1696"/>
      <c r="S1696"/>
      <c r="T1696"/>
      <c r="U1696"/>
      <c r="V1696"/>
      <c r="W1696"/>
      <c r="X1696"/>
      <c r="Y1696"/>
      <c r="Z1696"/>
    </row>
    <row r="1697" spans="2:26">
      <c r="B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R1697"/>
      <c r="S1697"/>
      <c r="T1697"/>
      <c r="U1697"/>
      <c r="V1697"/>
      <c r="W1697"/>
      <c r="X1697"/>
      <c r="Y1697"/>
      <c r="Z1697"/>
    </row>
    <row r="1698" spans="2:26">
      <c r="B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R1698"/>
      <c r="S1698"/>
      <c r="T1698"/>
      <c r="U1698"/>
      <c r="V1698"/>
      <c r="W1698"/>
      <c r="X1698"/>
      <c r="Y1698"/>
      <c r="Z1698"/>
    </row>
    <row r="1699" spans="2:26">
      <c r="B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R1699"/>
      <c r="S1699"/>
      <c r="T1699"/>
      <c r="U1699"/>
      <c r="V1699"/>
      <c r="W1699"/>
      <c r="X1699"/>
      <c r="Y1699"/>
      <c r="Z1699"/>
    </row>
    <row r="1700" spans="2:26">
      <c r="B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R1700"/>
      <c r="S1700"/>
      <c r="T1700"/>
      <c r="U1700"/>
      <c r="V1700"/>
      <c r="W1700"/>
      <c r="X1700"/>
      <c r="Y1700"/>
      <c r="Z1700"/>
    </row>
    <row r="1701" spans="2:26">
      <c r="B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R1701"/>
      <c r="S1701"/>
      <c r="T1701"/>
      <c r="U1701"/>
      <c r="V1701"/>
      <c r="W1701"/>
      <c r="X1701"/>
      <c r="Y1701"/>
      <c r="Z1701"/>
    </row>
    <row r="1702" spans="2:26">
      <c r="B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R1702"/>
      <c r="S1702"/>
      <c r="T1702"/>
      <c r="U1702"/>
      <c r="V1702"/>
      <c r="W1702"/>
      <c r="X1702"/>
      <c r="Y1702"/>
      <c r="Z1702"/>
    </row>
    <row r="1703" spans="2:26">
      <c r="B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R1703"/>
      <c r="S1703"/>
      <c r="T1703"/>
      <c r="U1703"/>
      <c r="V1703"/>
      <c r="W1703"/>
      <c r="X1703"/>
      <c r="Y1703"/>
      <c r="Z1703"/>
    </row>
    <row r="1704" spans="2:26">
      <c r="B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R1704"/>
      <c r="S1704"/>
      <c r="T1704"/>
      <c r="U1704"/>
      <c r="V1704"/>
      <c r="W1704"/>
      <c r="X1704"/>
      <c r="Y1704"/>
      <c r="Z1704"/>
    </row>
    <row r="1705" spans="2:26">
      <c r="B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R1705"/>
      <c r="S1705"/>
      <c r="T1705"/>
      <c r="U1705"/>
      <c r="V1705"/>
      <c r="W1705"/>
      <c r="X1705"/>
      <c r="Y1705"/>
      <c r="Z1705"/>
    </row>
    <row r="1706" spans="2:26">
      <c r="B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R1706"/>
      <c r="S1706"/>
      <c r="T1706"/>
      <c r="U1706"/>
      <c r="V1706"/>
      <c r="W1706"/>
      <c r="X1706"/>
      <c r="Y1706"/>
      <c r="Z1706"/>
    </row>
    <row r="1707" spans="2:26">
      <c r="B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R1707"/>
      <c r="S1707"/>
      <c r="T1707"/>
      <c r="U1707"/>
      <c r="V1707"/>
      <c r="W1707"/>
      <c r="X1707"/>
      <c r="Y1707"/>
      <c r="Z1707"/>
    </row>
    <row r="1708" spans="2:26">
      <c r="B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R1708"/>
      <c r="S1708"/>
      <c r="T1708"/>
      <c r="U1708"/>
      <c r="V1708"/>
      <c r="W1708"/>
      <c r="X1708"/>
      <c r="Y1708"/>
      <c r="Z1708"/>
    </row>
    <row r="1709" spans="2:26">
      <c r="B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R1709"/>
      <c r="S1709"/>
      <c r="T1709"/>
      <c r="U1709"/>
      <c r="V1709"/>
      <c r="W1709"/>
      <c r="X1709"/>
      <c r="Y1709"/>
      <c r="Z1709"/>
    </row>
    <row r="1710" spans="2:26">
      <c r="B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R1710"/>
      <c r="S1710"/>
      <c r="T1710"/>
      <c r="U1710"/>
      <c r="V1710"/>
      <c r="W1710"/>
      <c r="X1710"/>
      <c r="Y1710"/>
      <c r="Z1710"/>
    </row>
    <row r="1711" spans="2:26">
      <c r="B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R1711"/>
      <c r="S1711"/>
      <c r="T1711"/>
      <c r="U1711"/>
      <c r="V1711"/>
      <c r="W1711"/>
      <c r="X1711"/>
      <c r="Y1711"/>
      <c r="Z1711"/>
    </row>
    <row r="1712" spans="2:26">
      <c r="B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R1712"/>
      <c r="S1712"/>
      <c r="T1712"/>
      <c r="U1712"/>
      <c r="V1712"/>
      <c r="W1712"/>
      <c r="X1712"/>
      <c r="Y1712"/>
      <c r="Z1712"/>
    </row>
    <row r="1713" spans="2:26">
      <c r="B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R1713"/>
      <c r="S1713"/>
      <c r="T1713"/>
      <c r="U1713"/>
      <c r="V1713"/>
      <c r="W1713"/>
      <c r="X1713"/>
      <c r="Y1713"/>
      <c r="Z1713"/>
    </row>
    <row r="1714" spans="2:26">
      <c r="B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R1714"/>
      <c r="S1714"/>
      <c r="T1714"/>
      <c r="U1714"/>
      <c r="V1714"/>
      <c r="W1714"/>
      <c r="X1714"/>
      <c r="Y1714"/>
      <c r="Z1714"/>
    </row>
    <row r="1715" spans="2:26">
      <c r="B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R1715"/>
      <c r="S1715"/>
      <c r="T1715"/>
      <c r="U1715"/>
      <c r="V1715"/>
      <c r="W1715"/>
      <c r="X1715"/>
      <c r="Y1715"/>
      <c r="Z1715"/>
    </row>
    <row r="1716" spans="2:26">
      <c r="B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R1716"/>
      <c r="S1716"/>
      <c r="T1716"/>
      <c r="U1716"/>
      <c r="V1716"/>
      <c r="W1716"/>
      <c r="X1716"/>
      <c r="Y1716"/>
      <c r="Z1716"/>
    </row>
    <row r="1717" spans="2:26">
      <c r="B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R1717"/>
      <c r="S1717"/>
      <c r="T1717"/>
      <c r="U1717"/>
      <c r="V1717"/>
      <c r="W1717"/>
      <c r="X1717"/>
      <c r="Y1717"/>
      <c r="Z1717"/>
    </row>
    <row r="1718" spans="2:26">
      <c r="B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R1718"/>
      <c r="S1718"/>
      <c r="T1718"/>
      <c r="U1718"/>
      <c r="V1718"/>
      <c r="W1718"/>
      <c r="X1718"/>
      <c r="Y1718"/>
      <c r="Z1718"/>
    </row>
    <row r="1719" spans="2:26">
      <c r="B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R1719"/>
      <c r="S1719"/>
      <c r="T1719"/>
      <c r="U1719"/>
      <c r="V1719"/>
      <c r="W1719"/>
      <c r="X1719"/>
      <c r="Y1719"/>
      <c r="Z1719"/>
    </row>
    <row r="1720" spans="2:26">
      <c r="B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R1720"/>
      <c r="S1720"/>
      <c r="T1720"/>
      <c r="U1720"/>
      <c r="V1720"/>
      <c r="W1720"/>
      <c r="X1720"/>
      <c r="Y1720"/>
      <c r="Z1720"/>
    </row>
    <row r="1721" spans="2:26">
      <c r="B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R1721"/>
      <c r="S1721"/>
      <c r="T1721"/>
      <c r="U1721"/>
      <c r="V1721"/>
      <c r="W1721"/>
      <c r="X1721"/>
      <c r="Y1721"/>
      <c r="Z1721"/>
    </row>
    <row r="1722" spans="2:26">
      <c r="B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R1722"/>
      <c r="S1722"/>
      <c r="T1722"/>
      <c r="U1722"/>
      <c r="V1722"/>
      <c r="W1722"/>
      <c r="X1722"/>
      <c r="Y1722"/>
      <c r="Z1722"/>
    </row>
    <row r="1723" spans="2:26">
      <c r="B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R1723"/>
      <c r="S1723"/>
      <c r="T1723"/>
      <c r="U1723"/>
      <c r="V1723"/>
      <c r="W1723"/>
      <c r="X1723"/>
      <c r="Y1723"/>
      <c r="Z1723"/>
    </row>
    <row r="1724" spans="2:26">
      <c r="B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R1724"/>
      <c r="S1724"/>
      <c r="T1724"/>
      <c r="U1724"/>
      <c r="V1724"/>
      <c r="W1724"/>
      <c r="X1724"/>
      <c r="Y1724"/>
      <c r="Z1724"/>
    </row>
    <row r="1725" spans="2:26">
      <c r="B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R1725"/>
      <c r="S1725"/>
      <c r="T1725"/>
      <c r="U1725"/>
      <c r="V1725"/>
      <c r="W1725"/>
      <c r="X1725"/>
      <c r="Y1725"/>
      <c r="Z1725"/>
    </row>
    <row r="1726" spans="2:26">
      <c r="B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R1726"/>
      <c r="S1726"/>
      <c r="T1726"/>
      <c r="U1726"/>
      <c r="V1726"/>
      <c r="W1726"/>
      <c r="X1726"/>
      <c r="Y1726"/>
      <c r="Z1726"/>
    </row>
    <row r="1727" spans="2:26">
      <c r="B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R1727"/>
      <c r="S1727"/>
      <c r="T1727"/>
      <c r="U1727"/>
      <c r="V1727"/>
      <c r="W1727"/>
      <c r="X1727"/>
      <c r="Y1727"/>
      <c r="Z1727"/>
    </row>
    <row r="1728" spans="2:26">
      <c r="B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R1728"/>
      <c r="S1728"/>
      <c r="T1728"/>
      <c r="U1728"/>
      <c r="V1728"/>
      <c r="W1728"/>
      <c r="X1728"/>
      <c r="Y1728"/>
      <c r="Z1728"/>
    </row>
    <row r="1729" spans="2:26">
      <c r="B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R1729"/>
      <c r="S1729"/>
      <c r="T1729"/>
      <c r="U1729"/>
      <c r="V1729"/>
      <c r="W1729"/>
      <c r="X1729"/>
      <c r="Y1729"/>
      <c r="Z1729"/>
    </row>
    <row r="1730" spans="2:26">
      <c r="B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R1730"/>
      <c r="S1730"/>
      <c r="T1730"/>
      <c r="U1730"/>
      <c r="V1730"/>
      <c r="W1730"/>
      <c r="X1730"/>
      <c r="Y1730"/>
      <c r="Z1730"/>
    </row>
    <row r="1731" spans="2:26">
      <c r="B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R1731"/>
      <c r="S1731"/>
      <c r="T1731"/>
      <c r="U1731"/>
      <c r="V1731"/>
      <c r="W1731"/>
      <c r="X1731"/>
      <c r="Y1731"/>
      <c r="Z1731"/>
    </row>
    <row r="1732" spans="2:26">
      <c r="B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R1732"/>
      <c r="S1732"/>
      <c r="T1732"/>
      <c r="U1732"/>
      <c r="V1732"/>
      <c r="W1732"/>
      <c r="X1732"/>
      <c r="Y1732"/>
      <c r="Z1732"/>
    </row>
    <row r="1733" spans="2:26">
      <c r="B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R1733"/>
      <c r="S1733"/>
      <c r="T1733"/>
      <c r="U1733"/>
      <c r="V1733"/>
      <c r="W1733"/>
      <c r="X1733"/>
      <c r="Y1733"/>
      <c r="Z1733"/>
    </row>
    <row r="1734" spans="2:26">
      <c r="B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R1734"/>
      <c r="S1734"/>
      <c r="T1734"/>
      <c r="U1734"/>
      <c r="V1734"/>
      <c r="W1734"/>
      <c r="X1734"/>
      <c r="Y1734"/>
      <c r="Z1734"/>
    </row>
    <row r="1735" spans="2:26">
      <c r="B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R1735"/>
      <c r="S1735"/>
      <c r="T1735"/>
      <c r="U1735"/>
      <c r="V1735"/>
      <c r="W1735"/>
      <c r="X1735"/>
      <c r="Y1735"/>
      <c r="Z1735"/>
    </row>
    <row r="1736" spans="2:26">
      <c r="B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R1736"/>
      <c r="S1736"/>
      <c r="T1736"/>
      <c r="U1736"/>
      <c r="V1736"/>
      <c r="W1736"/>
      <c r="X1736"/>
      <c r="Y1736"/>
      <c r="Z1736"/>
    </row>
    <row r="1737" spans="2:26">
      <c r="B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R1737"/>
      <c r="S1737"/>
      <c r="T1737"/>
      <c r="U1737"/>
      <c r="V1737"/>
      <c r="W1737"/>
      <c r="X1737"/>
      <c r="Y1737"/>
      <c r="Z1737"/>
    </row>
    <row r="1738" spans="2:26">
      <c r="B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R1738"/>
      <c r="S1738"/>
      <c r="T1738"/>
      <c r="U1738"/>
      <c r="V1738"/>
      <c r="W1738"/>
      <c r="X1738"/>
      <c r="Y1738"/>
      <c r="Z1738"/>
    </row>
    <row r="1739" spans="2:26">
      <c r="B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R1739"/>
      <c r="S1739"/>
      <c r="T1739"/>
      <c r="U1739"/>
      <c r="V1739"/>
      <c r="W1739"/>
      <c r="X1739"/>
      <c r="Y1739"/>
      <c r="Z1739"/>
    </row>
    <row r="1740" spans="2:26">
      <c r="B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R1740"/>
      <c r="S1740"/>
      <c r="T1740"/>
      <c r="U1740"/>
      <c r="V1740"/>
      <c r="W1740"/>
      <c r="X1740"/>
      <c r="Y1740"/>
      <c r="Z1740"/>
    </row>
    <row r="1741" spans="2:26">
      <c r="B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R1741"/>
      <c r="S1741"/>
      <c r="T1741"/>
      <c r="U1741"/>
      <c r="V1741"/>
      <c r="W1741"/>
      <c r="X1741"/>
      <c r="Y1741"/>
      <c r="Z1741"/>
    </row>
    <row r="1742" spans="2:26">
      <c r="B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R1742"/>
      <c r="S1742"/>
      <c r="T1742"/>
      <c r="U1742"/>
      <c r="V1742"/>
      <c r="W1742"/>
      <c r="X1742"/>
      <c r="Y1742"/>
      <c r="Z1742"/>
    </row>
    <row r="1743" spans="2:26">
      <c r="B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R1743"/>
      <c r="S1743"/>
      <c r="T1743"/>
      <c r="U1743"/>
      <c r="V1743"/>
      <c r="W1743"/>
      <c r="X1743"/>
      <c r="Y1743"/>
      <c r="Z1743"/>
    </row>
    <row r="1744" spans="2:26">
      <c r="B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R1744"/>
      <c r="S1744"/>
      <c r="T1744"/>
      <c r="U1744"/>
      <c r="V1744"/>
      <c r="W1744"/>
      <c r="X1744"/>
      <c r="Y1744"/>
      <c r="Z1744"/>
    </row>
    <row r="1745" spans="2:26">
      <c r="B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R1745"/>
      <c r="S1745"/>
      <c r="T1745"/>
      <c r="U1745"/>
      <c r="V1745"/>
      <c r="W1745"/>
      <c r="X1745"/>
      <c r="Y1745"/>
      <c r="Z1745"/>
    </row>
    <row r="1746" spans="2:26">
      <c r="B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R1746"/>
      <c r="S1746"/>
      <c r="T1746"/>
      <c r="U1746"/>
      <c r="V1746"/>
      <c r="W1746"/>
      <c r="X1746"/>
      <c r="Y1746"/>
      <c r="Z1746"/>
    </row>
    <row r="1747" spans="2:26">
      <c r="B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R1747"/>
      <c r="S1747"/>
      <c r="T1747"/>
      <c r="U1747"/>
      <c r="V1747"/>
      <c r="W1747"/>
      <c r="X1747"/>
      <c r="Y1747"/>
      <c r="Z1747"/>
    </row>
    <row r="1748" spans="2:26">
      <c r="B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R1748"/>
      <c r="S1748"/>
      <c r="T1748"/>
      <c r="U1748"/>
      <c r="V1748"/>
      <c r="W1748"/>
      <c r="X1748"/>
      <c r="Y1748"/>
      <c r="Z1748"/>
    </row>
    <row r="1749" spans="2:26">
      <c r="B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R1749"/>
      <c r="S1749"/>
      <c r="T1749"/>
      <c r="U1749"/>
      <c r="V1749"/>
      <c r="W1749"/>
      <c r="X1749"/>
      <c r="Y1749"/>
      <c r="Z1749"/>
    </row>
    <row r="1750" spans="2:26">
      <c r="B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R1750"/>
      <c r="S1750"/>
      <c r="T1750"/>
      <c r="U1750"/>
      <c r="V1750"/>
      <c r="W1750"/>
      <c r="X1750"/>
      <c r="Y1750"/>
      <c r="Z1750"/>
    </row>
    <row r="1751" spans="2:26">
      <c r="B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R1751"/>
      <c r="S1751"/>
      <c r="T1751"/>
      <c r="U1751"/>
      <c r="V1751"/>
      <c r="W1751"/>
      <c r="X1751"/>
      <c r="Y1751"/>
      <c r="Z1751"/>
    </row>
    <row r="1752" spans="2:26">
      <c r="B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R1752"/>
      <c r="S1752"/>
      <c r="T1752"/>
      <c r="U1752"/>
      <c r="V1752"/>
      <c r="W1752"/>
      <c r="X1752"/>
      <c r="Y1752"/>
      <c r="Z1752"/>
    </row>
    <row r="1753" spans="2:26">
      <c r="B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R1753"/>
      <c r="S1753"/>
      <c r="T1753"/>
      <c r="U1753"/>
      <c r="V1753"/>
      <c r="W1753"/>
      <c r="X1753"/>
      <c r="Y1753"/>
      <c r="Z1753"/>
    </row>
    <row r="1754" spans="2:26">
      <c r="B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R1754"/>
      <c r="S1754"/>
      <c r="T1754"/>
      <c r="U1754"/>
      <c r="V1754"/>
      <c r="W1754"/>
      <c r="X1754"/>
      <c r="Y1754"/>
      <c r="Z1754"/>
    </row>
    <row r="1755" spans="2:26">
      <c r="B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R1755"/>
      <c r="S1755"/>
      <c r="T1755"/>
      <c r="U1755"/>
      <c r="V1755"/>
      <c r="W1755"/>
      <c r="X1755"/>
      <c r="Y1755"/>
      <c r="Z1755"/>
    </row>
    <row r="1756" spans="2:26">
      <c r="B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R1756"/>
      <c r="S1756"/>
      <c r="T1756"/>
      <c r="U1756"/>
      <c r="V1756"/>
      <c r="W1756"/>
      <c r="X1756"/>
      <c r="Y1756"/>
      <c r="Z1756"/>
    </row>
    <row r="1757" spans="2:26">
      <c r="B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R1757"/>
      <c r="S1757"/>
      <c r="T1757"/>
      <c r="U1757"/>
      <c r="V1757"/>
      <c r="W1757"/>
      <c r="X1757"/>
      <c r="Y1757"/>
      <c r="Z1757"/>
    </row>
    <row r="1758" spans="2:26">
      <c r="B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R1758"/>
      <c r="S1758"/>
      <c r="T1758"/>
      <c r="U1758"/>
      <c r="V1758"/>
      <c r="W1758"/>
      <c r="X1758"/>
      <c r="Y1758"/>
      <c r="Z1758"/>
    </row>
    <row r="1759" spans="2:26">
      <c r="B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R1759"/>
      <c r="S1759"/>
      <c r="T1759"/>
      <c r="U1759"/>
      <c r="V1759"/>
      <c r="W1759"/>
      <c r="X1759"/>
      <c r="Y1759"/>
      <c r="Z1759"/>
    </row>
    <row r="1760" spans="2:26">
      <c r="B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R1760"/>
      <c r="S1760"/>
      <c r="T1760"/>
      <c r="U1760"/>
      <c r="V1760"/>
      <c r="W1760"/>
      <c r="X1760"/>
      <c r="Y1760"/>
      <c r="Z1760"/>
    </row>
    <row r="1761" spans="2:26">
      <c r="B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R1761"/>
      <c r="S1761"/>
      <c r="T1761"/>
      <c r="U1761"/>
      <c r="V1761"/>
      <c r="W1761"/>
      <c r="X1761"/>
      <c r="Y1761"/>
      <c r="Z1761"/>
    </row>
    <row r="1762" spans="2:26">
      <c r="B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R1762"/>
      <c r="S1762"/>
      <c r="T1762"/>
      <c r="U1762"/>
      <c r="V1762"/>
      <c r="W1762"/>
      <c r="X1762"/>
      <c r="Y1762"/>
      <c r="Z1762"/>
    </row>
    <row r="1763" spans="2:26">
      <c r="B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R1763"/>
      <c r="S1763"/>
      <c r="T1763"/>
      <c r="U1763"/>
      <c r="V1763"/>
      <c r="W1763"/>
      <c r="X1763"/>
      <c r="Y1763"/>
      <c r="Z1763"/>
    </row>
    <row r="1764" spans="2:26">
      <c r="B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R1764"/>
      <c r="S1764"/>
      <c r="T1764"/>
      <c r="U1764"/>
      <c r="V1764"/>
      <c r="W1764"/>
      <c r="X1764"/>
      <c r="Y1764"/>
      <c r="Z1764"/>
    </row>
    <row r="1765" spans="2:26">
      <c r="B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R1765"/>
      <c r="S1765"/>
      <c r="T1765"/>
      <c r="U1765"/>
      <c r="V1765"/>
      <c r="W1765"/>
      <c r="X1765"/>
      <c r="Y1765"/>
      <c r="Z1765"/>
    </row>
    <row r="1766" spans="2:26">
      <c r="B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R1766"/>
      <c r="S1766"/>
      <c r="T1766"/>
      <c r="U1766"/>
      <c r="V1766"/>
      <c r="W1766"/>
      <c r="X1766"/>
      <c r="Y1766"/>
      <c r="Z1766"/>
    </row>
    <row r="1767" spans="2:26">
      <c r="B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R1767"/>
      <c r="S1767"/>
      <c r="T1767"/>
      <c r="U1767"/>
      <c r="V1767"/>
      <c r="W1767"/>
      <c r="X1767"/>
      <c r="Y1767"/>
      <c r="Z1767"/>
    </row>
    <row r="1768" spans="2:26">
      <c r="B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R1768"/>
      <c r="S1768"/>
      <c r="T1768"/>
      <c r="U1768"/>
      <c r="V1768"/>
      <c r="W1768"/>
      <c r="X1768"/>
      <c r="Y1768"/>
      <c r="Z1768"/>
    </row>
    <row r="1769" spans="2:26">
      <c r="B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R1769"/>
      <c r="S1769"/>
      <c r="T1769"/>
      <c r="U1769"/>
      <c r="V1769"/>
      <c r="W1769"/>
      <c r="X1769"/>
      <c r="Y1769"/>
      <c r="Z1769"/>
    </row>
    <row r="1770" spans="2:26">
      <c r="B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R1770"/>
      <c r="S1770"/>
      <c r="T1770"/>
      <c r="U1770"/>
      <c r="V1770"/>
      <c r="W1770"/>
      <c r="X1770"/>
      <c r="Y1770"/>
      <c r="Z1770"/>
    </row>
    <row r="1771" spans="2:26">
      <c r="B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R1771"/>
      <c r="S1771"/>
      <c r="T1771"/>
      <c r="U1771"/>
      <c r="V1771"/>
      <c r="W1771"/>
      <c r="X1771"/>
      <c r="Y1771"/>
      <c r="Z1771"/>
    </row>
    <row r="1772" spans="2:26">
      <c r="B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R1772"/>
      <c r="S1772"/>
      <c r="T1772"/>
      <c r="U1772"/>
      <c r="V1772"/>
      <c r="W1772"/>
      <c r="X1772"/>
      <c r="Y1772"/>
      <c r="Z1772"/>
    </row>
    <row r="1773" spans="2:26">
      <c r="B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R1773"/>
      <c r="S1773"/>
      <c r="T1773"/>
      <c r="U1773"/>
      <c r="V1773"/>
      <c r="W1773"/>
      <c r="X1773"/>
      <c r="Y1773"/>
      <c r="Z1773"/>
    </row>
    <row r="1774" spans="2:26">
      <c r="B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R1774"/>
      <c r="S1774"/>
      <c r="T1774"/>
      <c r="U1774"/>
      <c r="V1774"/>
      <c r="W1774"/>
      <c r="X1774"/>
      <c r="Y1774"/>
      <c r="Z1774"/>
    </row>
    <row r="1775" spans="2:26">
      <c r="B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R1775"/>
      <c r="S1775"/>
      <c r="T1775"/>
      <c r="U1775"/>
      <c r="V1775"/>
      <c r="W1775"/>
      <c r="X1775"/>
      <c r="Y1775"/>
      <c r="Z1775"/>
    </row>
    <row r="1776" spans="2:26">
      <c r="B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R1776"/>
      <c r="S1776"/>
      <c r="T1776"/>
      <c r="U1776"/>
      <c r="V1776"/>
      <c r="W1776"/>
      <c r="X1776"/>
      <c r="Y1776"/>
      <c r="Z1776"/>
    </row>
    <row r="1777" spans="2:26">
      <c r="B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R1777"/>
      <c r="S1777"/>
      <c r="T1777"/>
      <c r="U1777"/>
      <c r="V1777"/>
      <c r="W1777"/>
      <c r="X1777"/>
      <c r="Y1777"/>
      <c r="Z1777"/>
    </row>
    <row r="1778" spans="2:26">
      <c r="B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R1778"/>
      <c r="S1778"/>
      <c r="T1778"/>
      <c r="U1778"/>
      <c r="V1778"/>
      <c r="W1778"/>
      <c r="X1778"/>
      <c r="Y1778"/>
      <c r="Z1778"/>
    </row>
    <row r="1779" spans="2:26">
      <c r="B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R1779"/>
      <c r="S1779"/>
      <c r="T1779"/>
      <c r="U1779"/>
      <c r="V1779"/>
      <c r="W1779"/>
      <c r="X1779"/>
      <c r="Y1779"/>
      <c r="Z1779"/>
    </row>
    <row r="1780" spans="2:26">
      <c r="B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R1780"/>
      <c r="S1780"/>
      <c r="T1780"/>
      <c r="U1780"/>
      <c r="V1780"/>
      <c r="W1780"/>
      <c r="X1780"/>
      <c r="Y1780"/>
      <c r="Z1780"/>
    </row>
    <row r="1781" spans="2:26">
      <c r="B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R1781"/>
      <c r="S1781"/>
      <c r="T1781"/>
      <c r="U1781"/>
      <c r="V1781"/>
      <c r="W1781"/>
      <c r="X1781"/>
      <c r="Y1781"/>
      <c r="Z1781"/>
    </row>
    <row r="1782" spans="2:26">
      <c r="B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R1782"/>
      <c r="S1782"/>
      <c r="T1782"/>
      <c r="U1782"/>
      <c r="V1782"/>
      <c r="W1782"/>
      <c r="X1782"/>
      <c r="Y1782"/>
      <c r="Z1782"/>
    </row>
    <row r="1783" spans="2:26">
      <c r="B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R1783"/>
      <c r="S1783"/>
      <c r="T1783"/>
      <c r="U1783"/>
      <c r="V1783"/>
      <c r="W1783"/>
      <c r="X1783"/>
      <c r="Y1783"/>
      <c r="Z1783"/>
    </row>
    <row r="1784" spans="2:26">
      <c r="B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R1784"/>
      <c r="S1784"/>
      <c r="T1784"/>
      <c r="U1784"/>
      <c r="V1784"/>
      <c r="W1784"/>
      <c r="X1784"/>
      <c r="Y1784"/>
      <c r="Z1784"/>
    </row>
    <row r="1785" spans="2:26">
      <c r="B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R1785"/>
      <c r="S1785"/>
      <c r="T1785"/>
      <c r="U1785"/>
      <c r="V1785"/>
      <c r="W1785"/>
      <c r="X1785"/>
      <c r="Y1785"/>
      <c r="Z1785"/>
    </row>
    <row r="1786" spans="2:26">
      <c r="B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R1786"/>
      <c r="S1786"/>
      <c r="T1786"/>
      <c r="U1786"/>
      <c r="V1786"/>
      <c r="W1786"/>
      <c r="X1786"/>
      <c r="Y1786"/>
      <c r="Z1786"/>
    </row>
    <row r="1787" spans="2:26">
      <c r="B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R1787"/>
      <c r="S1787"/>
      <c r="T1787"/>
      <c r="U1787"/>
      <c r="V1787"/>
      <c r="W1787"/>
      <c r="X1787"/>
      <c r="Y1787"/>
      <c r="Z1787"/>
    </row>
    <row r="1788" spans="2:26">
      <c r="B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R1788"/>
      <c r="S1788"/>
      <c r="T1788"/>
      <c r="U1788"/>
      <c r="V1788"/>
      <c r="W1788"/>
      <c r="X1788"/>
      <c r="Y1788"/>
      <c r="Z1788"/>
    </row>
    <row r="1789" spans="2:26">
      <c r="B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R1789"/>
      <c r="S1789"/>
      <c r="T1789"/>
      <c r="U1789"/>
      <c r="V1789"/>
      <c r="W1789"/>
      <c r="X1789"/>
      <c r="Y1789"/>
      <c r="Z1789"/>
    </row>
    <row r="1790" spans="2:26">
      <c r="B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R1790"/>
      <c r="S1790"/>
      <c r="T1790"/>
      <c r="U1790"/>
      <c r="V1790"/>
      <c r="W1790"/>
      <c r="X1790"/>
      <c r="Y1790"/>
      <c r="Z1790"/>
    </row>
    <row r="1791" spans="2:26">
      <c r="B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R1791"/>
      <c r="S1791"/>
      <c r="T1791"/>
      <c r="U1791"/>
      <c r="V1791"/>
      <c r="W1791"/>
      <c r="X1791"/>
      <c r="Y1791"/>
      <c r="Z1791"/>
    </row>
    <row r="1792" spans="2:26">
      <c r="B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R1792"/>
      <c r="S1792"/>
      <c r="T1792"/>
      <c r="U1792"/>
      <c r="V1792"/>
      <c r="W1792"/>
      <c r="X1792"/>
      <c r="Y1792"/>
      <c r="Z1792"/>
    </row>
    <row r="1793" spans="2:26">
      <c r="B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R1793"/>
      <c r="S1793"/>
      <c r="T1793"/>
      <c r="U1793"/>
      <c r="V1793"/>
      <c r="W1793"/>
      <c r="X1793"/>
      <c r="Y1793"/>
      <c r="Z1793"/>
    </row>
    <row r="1794" spans="2:26">
      <c r="B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R1794"/>
      <c r="S1794"/>
      <c r="T1794"/>
      <c r="U1794"/>
      <c r="V1794"/>
      <c r="W1794"/>
      <c r="X1794"/>
      <c r="Y1794"/>
      <c r="Z1794"/>
    </row>
    <row r="1795" spans="2:26">
      <c r="B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R1795"/>
      <c r="S1795"/>
      <c r="T1795"/>
      <c r="U1795"/>
      <c r="V1795"/>
      <c r="W1795"/>
      <c r="X1795"/>
      <c r="Y1795"/>
      <c r="Z1795"/>
    </row>
    <row r="1796" spans="2:26">
      <c r="B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R1796"/>
      <c r="S1796"/>
      <c r="T1796"/>
      <c r="U1796"/>
      <c r="V1796"/>
      <c r="W1796"/>
      <c r="X1796"/>
      <c r="Y1796"/>
      <c r="Z1796"/>
    </row>
    <row r="1797" spans="2:26">
      <c r="B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R1797"/>
      <c r="S1797"/>
      <c r="T1797"/>
      <c r="U1797"/>
      <c r="V1797"/>
      <c r="W1797"/>
      <c r="X1797"/>
      <c r="Y1797"/>
      <c r="Z1797"/>
    </row>
    <row r="1798" spans="2:26">
      <c r="B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R1798"/>
      <c r="S1798"/>
      <c r="T1798"/>
      <c r="U1798"/>
      <c r="V1798"/>
      <c r="W1798"/>
      <c r="X1798"/>
      <c r="Y1798"/>
      <c r="Z1798"/>
    </row>
    <row r="1799" spans="2:26">
      <c r="B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R1799"/>
      <c r="S1799"/>
      <c r="T1799"/>
      <c r="U1799"/>
      <c r="V1799"/>
      <c r="W1799"/>
      <c r="X1799"/>
      <c r="Y1799"/>
      <c r="Z1799"/>
    </row>
    <row r="1800" spans="2:26">
      <c r="B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R1800"/>
      <c r="S1800"/>
      <c r="T1800"/>
      <c r="U1800"/>
      <c r="V1800"/>
      <c r="W1800"/>
      <c r="X1800"/>
      <c r="Y1800"/>
      <c r="Z1800"/>
    </row>
    <row r="1801" spans="2:26">
      <c r="B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R1801"/>
      <c r="S1801"/>
      <c r="T1801"/>
      <c r="U1801"/>
      <c r="V1801"/>
      <c r="W1801"/>
      <c r="X1801"/>
      <c r="Y1801"/>
      <c r="Z1801"/>
    </row>
    <row r="1802" spans="2:26">
      <c r="B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R1802"/>
      <c r="S1802"/>
      <c r="T1802"/>
      <c r="U1802"/>
      <c r="V1802"/>
      <c r="W1802"/>
      <c r="X1802"/>
      <c r="Y1802"/>
      <c r="Z1802"/>
    </row>
    <row r="1803" spans="2:26">
      <c r="B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R1803"/>
      <c r="S1803"/>
      <c r="T1803"/>
      <c r="U1803"/>
      <c r="V1803"/>
      <c r="W1803"/>
      <c r="X1803"/>
      <c r="Y1803"/>
      <c r="Z1803"/>
    </row>
    <row r="1804" spans="2:26">
      <c r="B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R1804"/>
      <c r="S1804"/>
      <c r="T1804"/>
      <c r="U1804"/>
      <c r="V1804"/>
      <c r="W1804"/>
      <c r="X1804"/>
      <c r="Y1804"/>
      <c r="Z1804"/>
    </row>
    <row r="1805" spans="2:26">
      <c r="B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R1805"/>
      <c r="S1805"/>
      <c r="T1805"/>
      <c r="U1805"/>
      <c r="V1805"/>
      <c r="W1805"/>
      <c r="X1805"/>
      <c r="Y1805"/>
      <c r="Z1805"/>
    </row>
    <row r="1806" spans="2:26">
      <c r="B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R1806"/>
      <c r="S1806"/>
      <c r="T1806"/>
      <c r="U1806"/>
      <c r="V1806"/>
      <c r="W1806"/>
      <c r="X1806"/>
      <c r="Y1806"/>
      <c r="Z1806"/>
    </row>
    <row r="1807" spans="2:26">
      <c r="B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R1807"/>
      <c r="S1807"/>
      <c r="T1807"/>
      <c r="U1807"/>
      <c r="V1807"/>
      <c r="W1807"/>
      <c r="X1807"/>
      <c r="Y1807"/>
      <c r="Z1807"/>
    </row>
    <row r="1808" spans="2:26">
      <c r="B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R1808"/>
      <c r="S1808"/>
      <c r="T1808"/>
      <c r="U1808"/>
      <c r="V1808"/>
      <c r="W1808"/>
      <c r="X1808"/>
      <c r="Y1808"/>
      <c r="Z1808"/>
    </row>
    <row r="1809" spans="2:26">
      <c r="B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R1809"/>
      <c r="S1809"/>
      <c r="T1809"/>
      <c r="U1809"/>
      <c r="V1809"/>
      <c r="W1809"/>
      <c r="X1809"/>
      <c r="Y1809"/>
      <c r="Z1809"/>
    </row>
    <row r="1810" spans="2:26">
      <c r="B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R1810"/>
      <c r="S1810"/>
      <c r="T1810"/>
      <c r="U1810"/>
      <c r="V1810"/>
      <c r="W1810"/>
      <c r="X1810"/>
      <c r="Y1810"/>
      <c r="Z1810"/>
    </row>
    <row r="1811" spans="2:26">
      <c r="B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R1811"/>
      <c r="S1811"/>
      <c r="T1811"/>
      <c r="U1811"/>
      <c r="V1811"/>
      <c r="W1811"/>
      <c r="X1811"/>
      <c r="Y1811"/>
      <c r="Z1811"/>
    </row>
    <row r="1812" spans="2:26">
      <c r="B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R1812"/>
      <c r="S1812"/>
      <c r="T1812"/>
      <c r="U1812"/>
      <c r="V1812"/>
      <c r="W1812"/>
      <c r="X1812"/>
      <c r="Y1812"/>
      <c r="Z1812"/>
    </row>
    <row r="1813" spans="2:26">
      <c r="B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R1813"/>
      <c r="S1813"/>
      <c r="T1813"/>
      <c r="U1813"/>
      <c r="V1813"/>
      <c r="W1813"/>
      <c r="X1813"/>
      <c r="Y1813"/>
      <c r="Z1813"/>
    </row>
    <row r="1814" spans="2:26">
      <c r="B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R1814"/>
      <c r="S1814"/>
      <c r="T1814"/>
      <c r="U1814"/>
      <c r="V1814"/>
      <c r="W1814"/>
      <c r="X1814"/>
      <c r="Y1814"/>
      <c r="Z1814"/>
    </row>
    <row r="1815" spans="2:26">
      <c r="B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R1815"/>
      <c r="S1815"/>
      <c r="T1815"/>
      <c r="U1815"/>
      <c r="V1815"/>
      <c r="W1815"/>
      <c r="X1815"/>
      <c r="Y1815"/>
      <c r="Z1815"/>
    </row>
    <row r="1816" spans="2:26">
      <c r="B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R1816"/>
      <c r="S1816"/>
      <c r="T1816"/>
      <c r="U1816"/>
      <c r="V1816"/>
      <c r="W1816"/>
      <c r="X1816"/>
      <c r="Y1816"/>
      <c r="Z1816"/>
    </row>
    <row r="1817" spans="2:26">
      <c r="B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R1817"/>
      <c r="S1817"/>
      <c r="T1817"/>
      <c r="U1817"/>
      <c r="V1817"/>
      <c r="W1817"/>
      <c r="X1817"/>
      <c r="Y1817"/>
      <c r="Z1817"/>
    </row>
    <row r="1818" spans="2:26">
      <c r="B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R1818"/>
      <c r="S1818"/>
      <c r="T1818"/>
      <c r="U1818"/>
      <c r="V1818"/>
      <c r="W1818"/>
      <c r="X1818"/>
      <c r="Y1818"/>
      <c r="Z1818"/>
    </row>
    <row r="1819" spans="2:26">
      <c r="B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R1819"/>
      <c r="S1819"/>
      <c r="T1819"/>
      <c r="U1819"/>
      <c r="V1819"/>
      <c r="W1819"/>
      <c r="X1819"/>
      <c r="Y1819"/>
      <c r="Z1819"/>
    </row>
    <row r="1820" spans="2:26">
      <c r="B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R1820"/>
      <c r="S1820"/>
      <c r="T1820"/>
      <c r="U1820"/>
      <c r="V1820"/>
      <c r="W1820"/>
      <c r="X1820"/>
      <c r="Y1820"/>
      <c r="Z1820"/>
    </row>
    <row r="1821" spans="2:26">
      <c r="B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R1821"/>
      <c r="S1821"/>
      <c r="T1821"/>
      <c r="U1821"/>
      <c r="V1821"/>
      <c r="W1821"/>
      <c r="X1821"/>
      <c r="Y1821"/>
      <c r="Z1821"/>
    </row>
    <row r="1822" spans="2:26">
      <c r="B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R1822"/>
      <c r="S1822"/>
      <c r="T1822"/>
      <c r="U1822"/>
      <c r="V1822"/>
      <c r="W1822"/>
      <c r="X1822"/>
      <c r="Y1822"/>
      <c r="Z1822"/>
    </row>
    <row r="1823" spans="2:26">
      <c r="B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R1823"/>
      <c r="S1823"/>
      <c r="T1823"/>
      <c r="U1823"/>
      <c r="V1823"/>
      <c r="W1823"/>
      <c r="X1823"/>
      <c r="Y1823"/>
      <c r="Z1823"/>
    </row>
    <row r="1824" spans="2:26">
      <c r="B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R1824"/>
      <c r="S1824"/>
      <c r="T1824"/>
      <c r="U1824"/>
      <c r="V1824"/>
      <c r="W1824"/>
      <c r="X1824"/>
      <c r="Y1824"/>
      <c r="Z1824"/>
    </row>
    <row r="1825" spans="2:26">
      <c r="B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R1825"/>
      <c r="S1825"/>
      <c r="T1825"/>
      <c r="U1825"/>
      <c r="V1825"/>
      <c r="W1825"/>
      <c r="X1825"/>
      <c r="Y1825"/>
      <c r="Z1825"/>
    </row>
    <row r="1826" spans="2:26">
      <c r="B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R1826"/>
      <c r="S1826"/>
      <c r="T1826"/>
      <c r="U1826"/>
      <c r="V1826"/>
      <c r="W1826"/>
      <c r="X1826"/>
      <c r="Y1826"/>
      <c r="Z1826"/>
    </row>
    <row r="1827" spans="2:26">
      <c r="B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R1827"/>
      <c r="S1827"/>
      <c r="T1827"/>
      <c r="U1827"/>
      <c r="V1827"/>
      <c r="W1827"/>
      <c r="X1827"/>
      <c r="Y1827"/>
      <c r="Z1827"/>
    </row>
    <row r="1828" spans="2:26">
      <c r="B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R1828"/>
      <c r="S1828"/>
      <c r="T1828"/>
      <c r="U1828"/>
      <c r="V1828"/>
      <c r="W1828"/>
      <c r="X1828"/>
      <c r="Y1828"/>
      <c r="Z1828"/>
    </row>
    <row r="1829" spans="2:26">
      <c r="B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R1829"/>
      <c r="S1829"/>
      <c r="T1829"/>
      <c r="U1829"/>
      <c r="V1829"/>
      <c r="W1829"/>
      <c r="X1829"/>
      <c r="Y1829"/>
      <c r="Z1829"/>
    </row>
    <row r="1830" spans="2:26">
      <c r="B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R1830"/>
      <c r="S1830"/>
      <c r="T1830"/>
      <c r="U1830"/>
      <c r="V1830"/>
      <c r="W1830"/>
      <c r="X1830"/>
      <c r="Y1830"/>
      <c r="Z1830"/>
    </row>
    <row r="1831" spans="2:26">
      <c r="B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R1831"/>
      <c r="S1831"/>
      <c r="T1831"/>
      <c r="U1831"/>
      <c r="V1831"/>
      <c r="W1831"/>
      <c r="X1831"/>
      <c r="Y1831"/>
      <c r="Z1831"/>
    </row>
    <row r="1832" spans="2:26">
      <c r="B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R1832"/>
      <c r="S1832"/>
      <c r="T1832"/>
      <c r="U1832"/>
      <c r="V1832"/>
      <c r="W1832"/>
      <c r="X1832"/>
      <c r="Y1832"/>
      <c r="Z1832"/>
    </row>
    <row r="1833" spans="2:26">
      <c r="B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R1833"/>
      <c r="S1833"/>
      <c r="T1833"/>
      <c r="U1833"/>
      <c r="V1833"/>
      <c r="W1833"/>
      <c r="X1833"/>
      <c r="Y1833"/>
      <c r="Z1833"/>
    </row>
    <row r="1834" spans="2:26">
      <c r="B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R1834"/>
      <c r="S1834"/>
      <c r="T1834"/>
      <c r="U1834"/>
      <c r="V1834"/>
      <c r="W1834"/>
      <c r="X1834"/>
      <c r="Y1834"/>
      <c r="Z1834"/>
    </row>
    <row r="1835" spans="2:26">
      <c r="B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R1835"/>
      <c r="S1835"/>
      <c r="T1835"/>
      <c r="U1835"/>
      <c r="V1835"/>
      <c r="W1835"/>
      <c r="X1835"/>
      <c r="Y1835"/>
      <c r="Z1835"/>
    </row>
    <row r="1836" spans="2:26">
      <c r="B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R1836"/>
      <c r="S1836"/>
      <c r="T1836"/>
      <c r="U1836"/>
      <c r="V1836"/>
      <c r="W1836"/>
      <c r="X1836"/>
      <c r="Y1836"/>
      <c r="Z1836"/>
    </row>
    <row r="1837" spans="2:26">
      <c r="B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R1837"/>
      <c r="S1837"/>
      <c r="T1837"/>
      <c r="U1837"/>
      <c r="V1837"/>
      <c r="W1837"/>
      <c r="X1837"/>
      <c r="Y1837"/>
      <c r="Z1837"/>
    </row>
    <row r="1838" spans="2:26">
      <c r="B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R1838"/>
      <c r="S1838"/>
      <c r="T1838"/>
      <c r="U1838"/>
      <c r="V1838"/>
      <c r="W1838"/>
      <c r="X1838"/>
      <c r="Y1838"/>
      <c r="Z1838"/>
    </row>
    <row r="1839" spans="2:26">
      <c r="B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R1839"/>
      <c r="S1839"/>
      <c r="T1839"/>
      <c r="U1839"/>
      <c r="V1839"/>
      <c r="W1839"/>
      <c r="X1839"/>
      <c r="Y1839"/>
      <c r="Z1839"/>
    </row>
    <row r="1840" spans="2:26">
      <c r="B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R1840"/>
      <c r="S1840"/>
      <c r="T1840"/>
      <c r="U1840"/>
      <c r="V1840"/>
      <c r="W1840"/>
      <c r="X1840"/>
      <c r="Y1840"/>
      <c r="Z1840"/>
    </row>
    <row r="1841" spans="2:26">
      <c r="B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R1841"/>
      <c r="S1841"/>
      <c r="T1841"/>
      <c r="U1841"/>
      <c r="V1841"/>
      <c r="W1841"/>
      <c r="X1841"/>
      <c r="Y1841"/>
      <c r="Z1841"/>
    </row>
    <row r="1842" spans="2:26">
      <c r="B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R1842"/>
      <c r="S1842"/>
      <c r="T1842"/>
      <c r="U1842"/>
      <c r="V1842"/>
      <c r="W1842"/>
      <c r="X1842"/>
      <c r="Y1842"/>
      <c r="Z1842"/>
    </row>
    <row r="1843" spans="2:26">
      <c r="B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R1843"/>
      <c r="S1843"/>
      <c r="T1843"/>
      <c r="U1843"/>
      <c r="V1843"/>
      <c r="W1843"/>
      <c r="X1843"/>
      <c r="Y1843"/>
      <c r="Z1843"/>
    </row>
    <row r="1844" spans="2:26">
      <c r="B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R1844"/>
      <c r="S1844"/>
      <c r="T1844"/>
      <c r="U1844"/>
      <c r="V1844"/>
      <c r="W1844"/>
      <c r="X1844"/>
      <c r="Y1844"/>
      <c r="Z1844"/>
    </row>
    <row r="1845" spans="2:26">
      <c r="B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R1845"/>
      <c r="S1845"/>
      <c r="T1845"/>
      <c r="U1845"/>
      <c r="V1845"/>
      <c r="W1845"/>
      <c r="X1845"/>
      <c r="Y1845"/>
      <c r="Z1845"/>
    </row>
    <row r="1846" spans="2:26">
      <c r="B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R1846"/>
      <c r="S1846"/>
      <c r="T1846"/>
      <c r="U1846"/>
      <c r="V1846"/>
      <c r="W1846"/>
      <c r="X1846"/>
      <c r="Y1846"/>
      <c r="Z1846"/>
    </row>
    <row r="1847" spans="2:26">
      <c r="B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R1847"/>
      <c r="S1847"/>
      <c r="T1847"/>
      <c r="U1847"/>
      <c r="V1847"/>
      <c r="W1847"/>
      <c r="X1847"/>
      <c r="Y1847"/>
      <c r="Z1847"/>
    </row>
    <row r="1848" spans="2:26">
      <c r="B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R1848"/>
      <c r="S1848"/>
      <c r="T1848"/>
      <c r="U1848"/>
      <c r="V1848"/>
      <c r="W1848"/>
      <c r="X1848"/>
      <c r="Y1848"/>
      <c r="Z1848"/>
    </row>
    <row r="1849" spans="2:26">
      <c r="B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R1849"/>
      <c r="S1849"/>
      <c r="T1849"/>
      <c r="U1849"/>
      <c r="V1849"/>
      <c r="W1849"/>
      <c r="X1849"/>
      <c r="Y1849"/>
      <c r="Z1849"/>
    </row>
    <row r="1850" spans="2:26">
      <c r="B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R1850"/>
      <c r="S1850"/>
      <c r="T1850"/>
      <c r="U1850"/>
      <c r="V1850"/>
      <c r="W1850"/>
      <c r="X1850"/>
      <c r="Y1850"/>
      <c r="Z1850"/>
    </row>
    <row r="1851" spans="2:26">
      <c r="B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R1851"/>
      <c r="S1851"/>
      <c r="T1851"/>
      <c r="U1851"/>
      <c r="V1851"/>
      <c r="W1851"/>
      <c r="X1851"/>
      <c r="Y1851"/>
      <c r="Z1851"/>
    </row>
    <row r="1852" spans="2:26">
      <c r="B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R1852"/>
      <c r="S1852"/>
      <c r="T1852"/>
      <c r="U1852"/>
      <c r="V1852"/>
      <c r="W1852"/>
      <c r="X1852"/>
      <c r="Y1852"/>
      <c r="Z1852"/>
    </row>
    <row r="1853" spans="2:26">
      <c r="B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R1853"/>
      <c r="S1853"/>
      <c r="T1853"/>
      <c r="U1853"/>
      <c r="V1853"/>
      <c r="W1853"/>
      <c r="X1853"/>
      <c r="Y1853"/>
      <c r="Z1853"/>
    </row>
    <row r="1854" spans="2:26">
      <c r="B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R1854"/>
      <c r="S1854"/>
      <c r="T1854"/>
      <c r="U1854"/>
      <c r="V1854"/>
      <c r="W1854"/>
      <c r="X1854"/>
      <c r="Y1854"/>
      <c r="Z1854"/>
    </row>
    <row r="1855" spans="2:26">
      <c r="B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R1855"/>
      <c r="S1855"/>
      <c r="T1855"/>
      <c r="U1855"/>
      <c r="V1855"/>
      <c r="W1855"/>
      <c r="X1855"/>
      <c r="Y1855"/>
      <c r="Z1855"/>
    </row>
    <row r="1856" spans="2:26">
      <c r="B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R1856"/>
      <c r="S1856"/>
      <c r="T1856"/>
      <c r="U1856"/>
      <c r="V1856"/>
      <c r="W1856"/>
      <c r="X1856"/>
      <c r="Y1856"/>
      <c r="Z1856"/>
    </row>
    <row r="1857" spans="2:26">
      <c r="B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R1857"/>
      <c r="S1857"/>
      <c r="T1857"/>
      <c r="U1857"/>
      <c r="V1857"/>
      <c r="W1857"/>
      <c r="X1857"/>
      <c r="Y1857"/>
      <c r="Z1857"/>
    </row>
    <row r="1858" spans="2:26">
      <c r="B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R1858"/>
      <c r="S1858"/>
      <c r="T1858"/>
      <c r="U1858"/>
      <c r="V1858"/>
      <c r="W1858"/>
      <c r="X1858"/>
      <c r="Y1858"/>
      <c r="Z1858"/>
    </row>
    <row r="1859" spans="2:26">
      <c r="B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R1859"/>
      <c r="S1859"/>
      <c r="T1859"/>
      <c r="U1859"/>
      <c r="V1859"/>
      <c r="W1859"/>
      <c r="X1859"/>
      <c r="Y1859"/>
      <c r="Z1859"/>
    </row>
    <row r="1860" spans="2:26">
      <c r="B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R1860"/>
      <c r="S1860"/>
      <c r="T1860"/>
      <c r="U1860"/>
      <c r="V1860"/>
      <c r="W1860"/>
      <c r="X1860"/>
      <c r="Y1860"/>
      <c r="Z1860"/>
    </row>
    <row r="1861" spans="2:26">
      <c r="B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R1861"/>
      <c r="S1861"/>
      <c r="T1861"/>
      <c r="U1861"/>
      <c r="V1861"/>
      <c r="W1861"/>
      <c r="X1861"/>
      <c r="Y1861"/>
      <c r="Z1861"/>
    </row>
    <row r="1862" spans="2:26">
      <c r="B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R1862"/>
      <c r="S1862"/>
      <c r="T1862"/>
      <c r="U1862"/>
      <c r="V1862"/>
      <c r="W1862"/>
      <c r="X1862"/>
      <c r="Y1862"/>
      <c r="Z1862"/>
    </row>
    <row r="1863" spans="2:26">
      <c r="B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R1863"/>
      <c r="S1863"/>
      <c r="T1863"/>
      <c r="U1863"/>
      <c r="V1863"/>
      <c r="W1863"/>
      <c r="X1863"/>
      <c r="Y1863"/>
      <c r="Z1863"/>
    </row>
    <row r="1864" spans="2:26">
      <c r="B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R1864"/>
      <c r="S1864"/>
      <c r="T1864"/>
      <c r="U1864"/>
      <c r="V1864"/>
      <c r="W1864"/>
      <c r="X1864"/>
      <c r="Y1864"/>
      <c r="Z1864"/>
    </row>
    <row r="1865" spans="2:26">
      <c r="B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R1865"/>
      <c r="S1865"/>
      <c r="T1865"/>
      <c r="U1865"/>
      <c r="V1865"/>
      <c r="W1865"/>
      <c r="X1865"/>
      <c r="Y1865"/>
      <c r="Z1865"/>
    </row>
    <row r="1866" spans="2:26">
      <c r="B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R1866"/>
      <c r="S1866"/>
      <c r="T1866"/>
      <c r="U1866"/>
      <c r="V1866"/>
      <c r="W1866"/>
      <c r="X1866"/>
      <c r="Y1866"/>
      <c r="Z1866"/>
    </row>
    <row r="1867" spans="2:26">
      <c r="B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R1867"/>
      <c r="S1867"/>
      <c r="T1867"/>
      <c r="U1867"/>
      <c r="V1867"/>
      <c r="W1867"/>
      <c r="X1867"/>
      <c r="Y1867"/>
      <c r="Z1867"/>
    </row>
    <row r="1868" spans="2:26">
      <c r="B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R1868"/>
      <c r="S1868"/>
      <c r="T1868"/>
      <c r="U1868"/>
      <c r="V1868"/>
      <c r="W1868"/>
      <c r="X1868"/>
      <c r="Y1868"/>
      <c r="Z1868"/>
    </row>
    <row r="1869" spans="2:26">
      <c r="B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R1869"/>
      <c r="S1869"/>
      <c r="T1869"/>
      <c r="U1869"/>
      <c r="V1869"/>
      <c r="W1869"/>
      <c r="X1869"/>
      <c r="Y1869"/>
      <c r="Z1869"/>
    </row>
    <row r="1870" spans="2:26">
      <c r="B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R1870"/>
      <c r="S1870"/>
      <c r="T1870"/>
      <c r="U1870"/>
      <c r="V1870"/>
      <c r="W1870"/>
      <c r="X1870"/>
      <c r="Y1870"/>
      <c r="Z1870"/>
    </row>
    <row r="1871" spans="2:26">
      <c r="B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R1871"/>
      <c r="S1871"/>
      <c r="T1871"/>
      <c r="U1871"/>
      <c r="V1871"/>
      <c r="W1871"/>
      <c r="X1871"/>
      <c r="Y1871"/>
      <c r="Z1871"/>
    </row>
    <row r="1872" spans="2:26">
      <c r="B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R1872"/>
      <c r="S1872"/>
      <c r="T1872"/>
      <c r="U1872"/>
      <c r="V1872"/>
      <c r="W1872"/>
      <c r="X1872"/>
      <c r="Y1872"/>
      <c r="Z1872"/>
    </row>
    <row r="1873" spans="2:26">
      <c r="B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R1873"/>
      <c r="S1873"/>
      <c r="T1873"/>
      <c r="U1873"/>
      <c r="V1873"/>
      <c r="W1873"/>
      <c r="X1873"/>
      <c r="Y1873"/>
      <c r="Z1873"/>
    </row>
    <row r="1874" spans="2:26">
      <c r="B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R1874"/>
      <c r="S1874"/>
      <c r="T1874"/>
      <c r="U1874"/>
      <c r="V1874"/>
      <c r="W1874"/>
      <c r="X1874"/>
      <c r="Y1874"/>
      <c r="Z1874"/>
    </row>
    <row r="1875" spans="2:26">
      <c r="B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R1875"/>
      <c r="S1875"/>
      <c r="T1875"/>
      <c r="U1875"/>
      <c r="V1875"/>
      <c r="W1875"/>
      <c r="X1875"/>
      <c r="Y1875"/>
      <c r="Z1875"/>
    </row>
    <row r="1876" spans="2:26">
      <c r="B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R1876"/>
      <c r="S1876"/>
      <c r="T1876"/>
      <c r="U1876"/>
      <c r="V1876"/>
      <c r="W1876"/>
      <c r="X1876"/>
      <c r="Y1876"/>
      <c r="Z1876"/>
    </row>
    <row r="1877" spans="2:26">
      <c r="B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R1877"/>
      <c r="S1877"/>
      <c r="T1877"/>
      <c r="U1877"/>
      <c r="V1877"/>
      <c r="W1877"/>
      <c r="X1877"/>
      <c r="Y1877"/>
      <c r="Z1877"/>
    </row>
    <row r="1878" spans="2:26">
      <c r="B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R1878"/>
      <c r="S1878"/>
      <c r="T1878"/>
      <c r="U1878"/>
      <c r="V1878"/>
      <c r="W1878"/>
      <c r="X1878"/>
      <c r="Y1878"/>
      <c r="Z1878"/>
    </row>
    <row r="1879" spans="2:26">
      <c r="B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R1879"/>
      <c r="S1879"/>
      <c r="T1879"/>
      <c r="U1879"/>
      <c r="V1879"/>
      <c r="W1879"/>
      <c r="X1879"/>
      <c r="Y1879"/>
      <c r="Z1879"/>
    </row>
    <row r="1880" spans="2:26">
      <c r="B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R1880"/>
      <c r="S1880"/>
      <c r="T1880"/>
      <c r="U1880"/>
      <c r="V1880"/>
      <c r="W1880"/>
      <c r="X1880"/>
      <c r="Y1880"/>
      <c r="Z1880"/>
    </row>
    <row r="1881" spans="2:26">
      <c r="B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R1881"/>
      <c r="S1881"/>
      <c r="T1881"/>
      <c r="U1881"/>
      <c r="V1881"/>
      <c r="W1881"/>
      <c r="X1881"/>
      <c r="Y1881"/>
      <c r="Z1881"/>
    </row>
    <row r="1882" spans="2:26">
      <c r="B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R1882"/>
      <c r="S1882"/>
      <c r="T1882"/>
      <c r="U1882"/>
      <c r="V1882"/>
      <c r="W1882"/>
      <c r="X1882"/>
      <c r="Y1882"/>
      <c r="Z1882"/>
    </row>
    <row r="1883" spans="2:26">
      <c r="B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R1883"/>
      <c r="S1883"/>
      <c r="T1883"/>
      <c r="U1883"/>
      <c r="V1883"/>
      <c r="W1883"/>
      <c r="X1883"/>
      <c r="Y1883"/>
      <c r="Z1883"/>
    </row>
    <row r="1884" spans="2:26">
      <c r="B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R1884"/>
      <c r="S1884"/>
      <c r="T1884"/>
      <c r="U1884"/>
      <c r="V1884"/>
      <c r="W1884"/>
      <c r="X1884"/>
      <c r="Y1884"/>
      <c r="Z1884"/>
    </row>
    <row r="1885" spans="2:26">
      <c r="B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R1885"/>
      <c r="S1885"/>
      <c r="T1885"/>
      <c r="U1885"/>
      <c r="V1885"/>
      <c r="W1885"/>
      <c r="X1885"/>
      <c r="Y1885"/>
      <c r="Z1885"/>
    </row>
    <row r="1886" spans="2:26">
      <c r="B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R1886"/>
      <c r="S1886"/>
      <c r="T1886"/>
      <c r="U1886"/>
      <c r="V1886"/>
      <c r="W1886"/>
      <c r="X1886"/>
      <c r="Y1886"/>
      <c r="Z1886"/>
    </row>
    <row r="1887" spans="2:26">
      <c r="B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R1887"/>
      <c r="S1887"/>
      <c r="T1887"/>
      <c r="U1887"/>
      <c r="V1887"/>
      <c r="W1887"/>
      <c r="X1887"/>
      <c r="Y1887"/>
      <c r="Z1887"/>
    </row>
    <row r="1888" spans="2:26">
      <c r="B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R1888"/>
      <c r="S1888"/>
      <c r="T1888"/>
      <c r="U1888"/>
      <c r="V1888"/>
      <c r="W1888"/>
      <c r="X1888"/>
      <c r="Y1888"/>
      <c r="Z1888"/>
    </row>
    <row r="1889" spans="2:26">
      <c r="B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R1889"/>
      <c r="S1889"/>
      <c r="T1889"/>
      <c r="U1889"/>
      <c r="V1889"/>
      <c r="W1889"/>
      <c r="X1889"/>
      <c r="Y1889"/>
      <c r="Z1889"/>
    </row>
    <row r="1890" spans="2:26">
      <c r="B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R1890"/>
      <c r="S1890"/>
      <c r="T1890"/>
      <c r="U1890"/>
      <c r="V1890"/>
      <c r="W1890"/>
      <c r="X1890"/>
      <c r="Y1890"/>
      <c r="Z1890"/>
    </row>
    <row r="1891" spans="2:26">
      <c r="B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R1891"/>
      <c r="S1891"/>
      <c r="T1891"/>
      <c r="U1891"/>
      <c r="V1891"/>
      <c r="W1891"/>
      <c r="X1891"/>
      <c r="Y1891"/>
      <c r="Z1891"/>
    </row>
    <row r="1892" spans="2:26">
      <c r="B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R1892"/>
      <c r="S1892"/>
      <c r="T1892"/>
      <c r="U1892"/>
      <c r="V1892"/>
      <c r="W1892"/>
      <c r="X1892"/>
      <c r="Y1892"/>
      <c r="Z1892"/>
    </row>
    <row r="1893" spans="2:26">
      <c r="B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R1893"/>
      <c r="S1893"/>
      <c r="T1893"/>
      <c r="U1893"/>
      <c r="V1893"/>
      <c r="W1893"/>
      <c r="X1893"/>
      <c r="Y1893"/>
      <c r="Z1893"/>
    </row>
    <row r="1894" spans="2:26">
      <c r="B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R1894"/>
      <c r="S1894"/>
      <c r="T1894"/>
      <c r="U1894"/>
      <c r="V1894"/>
      <c r="W1894"/>
      <c r="X1894"/>
      <c r="Y1894"/>
      <c r="Z1894"/>
    </row>
    <row r="1895" spans="2:26">
      <c r="B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R1895"/>
      <c r="S1895"/>
      <c r="T1895"/>
      <c r="U1895"/>
      <c r="V1895"/>
      <c r="W1895"/>
      <c r="X1895"/>
      <c r="Y1895"/>
      <c r="Z1895"/>
    </row>
    <row r="1896" spans="2:26">
      <c r="B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R1896"/>
      <c r="S1896"/>
      <c r="T1896"/>
      <c r="U1896"/>
      <c r="V1896"/>
      <c r="W1896"/>
      <c r="X1896"/>
      <c r="Y1896"/>
      <c r="Z1896"/>
    </row>
    <row r="1897" spans="2:26">
      <c r="B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R1897"/>
      <c r="S1897"/>
      <c r="T1897"/>
      <c r="U1897"/>
      <c r="V1897"/>
      <c r="W1897"/>
      <c r="X1897"/>
      <c r="Y1897"/>
      <c r="Z1897"/>
    </row>
    <row r="1898" spans="2:26">
      <c r="B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R1898"/>
      <c r="S1898"/>
      <c r="T1898"/>
      <c r="U1898"/>
      <c r="V1898"/>
      <c r="W1898"/>
      <c r="X1898"/>
      <c r="Y1898"/>
      <c r="Z1898"/>
    </row>
    <row r="1899" spans="2:26">
      <c r="B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R1899"/>
      <c r="S1899"/>
      <c r="T1899"/>
      <c r="U1899"/>
      <c r="V1899"/>
      <c r="W1899"/>
      <c r="X1899"/>
      <c r="Y1899"/>
      <c r="Z1899"/>
    </row>
    <row r="1900" spans="2:26">
      <c r="B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R1900"/>
      <c r="S1900"/>
      <c r="T1900"/>
      <c r="U1900"/>
      <c r="V1900"/>
      <c r="W1900"/>
      <c r="X1900"/>
      <c r="Y1900"/>
      <c r="Z1900"/>
    </row>
    <row r="1901" spans="2:26">
      <c r="B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R1901"/>
      <c r="S1901"/>
      <c r="T1901"/>
      <c r="U1901"/>
      <c r="V1901"/>
      <c r="W1901"/>
      <c r="X1901"/>
      <c r="Y1901"/>
      <c r="Z1901"/>
    </row>
    <row r="1902" spans="2:26">
      <c r="B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R1902"/>
      <c r="S1902"/>
      <c r="T1902"/>
      <c r="U1902"/>
      <c r="V1902"/>
      <c r="W1902"/>
      <c r="X1902"/>
      <c r="Y1902"/>
      <c r="Z1902"/>
    </row>
    <row r="1903" spans="2:26">
      <c r="B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R1903"/>
      <c r="S1903"/>
      <c r="T1903"/>
      <c r="U1903"/>
      <c r="V1903"/>
      <c r="W1903"/>
      <c r="X1903"/>
      <c r="Y1903"/>
      <c r="Z1903"/>
    </row>
    <row r="1904" spans="2:26">
      <c r="B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R1904"/>
      <c r="S1904"/>
      <c r="T1904"/>
      <c r="U1904"/>
      <c r="V1904"/>
      <c r="W1904"/>
      <c r="X1904"/>
      <c r="Y1904"/>
      <c r="Z1904"/>
    </row>
    <row r="1905" spans="2:26">
      <c r="B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R1905"/>
      <c r="S1905"/>
      <c r="T1905"/>
      <c r="U1905"/>
      <c r="V1905"/>
      <c r="W1905"/>
      <c r="X1905"/>
      <c r="Y1905"/>
      <c r="Z1905"/>
    </row>
    <row r="1906" spans="2:26">
      <c r="B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R1906"/>
      <c r="S1906"/>
      <c r="T1906"/>
      <c r="U1906"/>
      <c r="V1906"/>
      <c r="W1906"/>
      <c r="X1906"/>
      <c r="Y1906"/>
      <c r="Z1906"/>
    </row>
    <row r="1907" spans="2:26">
      <c r="B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R1907"/>
      <c r="S1907"/>
      <c r="T1907"/>
      <c r="U1907"/>
      <c r="V1907"/>
      <c r="W1907"/>
      <c r="X1907"/>
      <c r="Y1907"/>
      <c r="Z1907"/>
    </row>
    <row r="1908" spans="2:26">
      <c r="B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R1908"/>
      <c r="S1908"/>
      <c r="T1908"/>
      <c r="U1908"/>
      <c r="V1908"/>
      <c r="W1908"/>
      <c r="X1908"/>
      <c r="Y1908"/>
      <c r="Z1908"/>
    </row>
    <row r="1909" spans="2:26">
      <c r="B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R1909"/>
      <c r="S1909"/>
      <c r="T1909"/>
      <c r="U1909"/>
      <c r="V1909"/>
      <c r="W1909"/>
      <c r="X1909"/>
      <c r="Y1909"/>
      <c r="Z1909"/>
    </row>
    <row r="1910" spans="2:26">
      <c r="B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R1910"/>
      <c r="S1910"/>
      <c r="T1910"/>
      <c r="U1910"/>
      <c r="V1910"/>
      <c r="W1910"/>
      <c r="X1910"/>
      <c r="Y1910"/>
      <c r="Z1910"/>
    </row>
    <row r="1911" spans="2:26">
      <c r="B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R1911"/>
      <c r="S1911"/>
      <c r="T1911"/>
      <c r="U1911"/>
      <c r="V1911"/>
      <c r="W1911"/>
      <c r="X1911"/>
      <c r="Y1911"/>
      <c r="Z1911"/>
    </row>
    <row r="1912" spans="2:26">
      <c r="B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R1912"/>
      <c r="S1912"/>
      <c r="T1912"/>
      <c r="U1912"/>
      <c r="V1912"/>
      <c r="W1912"/>
      <c r="X1912"/>
      <c r="Y1912"/>
      <c r="Z1912"/>
    </row>
    <row r="1913" spans="2:26">
      <c r="B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R1913"/>
      <c r="S1913"/>
      <c r="T1913"/>
      <c r="U1913"/>
      <c r="V1913"/>
      <c r="W1913"/>
      <c r="X1913"/>
      <c r="Y1913"/>
      <c r="Z1913"/>
    </row>
    <row r="1914" spans="2:26">
      <c r="B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R1914"/>
      <c r="S1914"/>
      <c r="T1914"/>
      <c r="U1914"/>
      <c r="V1914"/>
      <c r="W1914"/>
      <c r="X1914"/>
      <c r="Y1914"/>
      <c r="Z1914"/>
    </row>
    <row r="1915" spans="2:26">
      <c r="B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R1915"/>
      <c r="S1915"/>
      <c r="T1915"/>
      <c r="U1915"/>
      <c r="V1915"/>
      <c r="W1915"/>
      <c r="X1915"/>
      <c r="Y1915"/>
      <c r="Z1915"/>
    </row>
    <row r="1916" spans="2:26">
      <c r="B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R1916"/>
      <c r="S1916"/>
      <c r="T1916"/>
      <c r="U1916"/>
      <c r="V1916"/>
      <c r="W1916"/>
      <c r="X1916"/>
      <c r="Y1916"/>
      <c r="Z1916"/>
    </row>
    <row r="1917" spans="2:26">
      <c r="B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R1917"/>
      <c r="S1917"/>
      <c r="T1917"/>
      <c r="U1917"/>
      <c r="V1917"/>
      <c r="W1917"/>
      <c r="X1917"/>
      <c r="Y1917"/>
      <c r="Z1917"/>
    </row>
    <row r="1918" spans="2:26">
      <c r="B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R1918"/>
      <c r="S1918"/>
      <c r="T1918"/>
      <c r="U1918"/>
      <c r="V1918"/>
      <c r="W1918"/>
      <c r="X1918"/>
      <c r="Y1918"/>
      <c r="Z1918"/>
    </row>
    <row r="1919" spans="2:26">
      <c r="B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R1919"/>
      <c r="S1919"/>
      <c r="T1919"/>
      <c r="U1919"/>
      <c r="V1919"/>
      <c r="W1919"/>
      <c r="X1919"/>
      <c r="Y1919"/>
      <c r="Z1919"/>
    </row>
    <row r="1920" spans="2:26">
      <c r="B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R1920"/>
      <c r="S1920"/>
      <c r="T1920"/>
      <c r="U1920"/>
      <c r="V1920"/>
      <c r="W1920"/>
      <c r="X1920"/>
      <c r="Y1920"/>
      <c r="Z1920"/>
    </row>
    <row r="1921" spans="2:26">
      <c r="B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R1921"/>
      <c r="S1921"/>
      <c r="T1921"/>
      <c r="U1921"/>
      <c r="V1921"/>
      <c r="W1921"/>
      <c r="X1921"/>
      <c r="Y1921"/>
      <c r="Z1921"/>
    </row>
    <row r="1922" spans="2:26">
      <c r="B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R1922"/>
      <c r="S1922"/>
      <c r="T1922"/>
      <c r="U1922"/>
      <c r="V1922"/>
      <c r="W1922"/>
      <c r="X1922"/>
      <c r="Y1922"/>
      <c r="Z1922"/>
    </row>
    <row r="1923" spans="2:26">
      <c r="B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R1923"/>
      <c r="S1923"/>
      <c r="T1923"/>
      <c r="U1923"/>
      <c r="V1923"/>
      <c r="W1923"/>
      <c r="X1923"/>
      <c r="Y1923"/>
      <c r="Z1923"/>
    </row>
    <row r="1924" spans="2:26">
      <c r="B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R1924"/>
      <c r="S1924"/>
      <c r="T1924"/>
      <c r="U1924"/>
      <c r="V1924"/>
      <c r="W1924"/>
      <c r="X1924"/>
      <c r="Y1924"/>
      <c r="Z1924"/>
    </row>
    <row r="1925" spans="2:26">
      <c r="B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R1925"/>
      <c r="S1925"/>
      <c r="T1925"/>
      <c r="U1925"/>
      <c r="V1925"/>
      <c r="W1925"/>
      <c r="X1925"/>
      <c r="Y1925"/>
      <c r="Z1925"/>
    </row>
    <row r="1926" spans="2:26">
      <c r="B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R1926"/>
      <c r="S1926"/>
      <c r="T1926"/>
      <c r="U1926"/>
      <c r="V1926"/>
      <c r="W1926"/>
      <c r="X1926"/>
      <c r="Y1926"/>
      <c r="Z1926"/>
    </row>
    <row r="1927" spans="2:26">
      <c r="B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R1927"/>
      <c r="S1927"/>
      <c r="T1927"/>
      <c r="U1927"/>
      <c r="V1927"/>
      <c r="W1927"/>
      <c r="X1927"/>
      <c r="Y1927"/>
      <c r="Z1927"/>
    </row>
    <row r="1928" spans="2:26">
      <c r="B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R1928"/>
      <c r="S1928"/>
      <c r="T1928"/>
      <c r="U1928"/>
      <c r="V1928"/>
      <c r="W1928"/>
      <c r="X1928"/>
      <c r="Y1928"/>
      <c r="Z1928"/>
    </row>
    <row r="1929" spans="2:26">
      <c r="B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R1929"/>
      <c r="S1929"/>
      <c r="T1929"/>
      <c r="U1929"/>
      <c r="V1929"/>
      <c r="W1929"/>
      <c r="X1929"/>
      <c r="Y1929"/>
      <c r="Z1929"/>
    </row>
    <row r="1930" spans="2:26">
      <c r="B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R1930"/>
      <c r="S1930"/>
      <c r="T1930"/>
      <c r="U1930"/>
      <c r="V1930"/>
      <c r="W1930"/>
      <c r="X1930"/>
      <c r="Y1930"/>
      <c r="Z1930"/>
    </row>
    <row r="1931" spans="2:26">
      <c r="B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R1931"/>
      <c r="S1931"/>
      <c r="T1931"/>
      <c r="U1931"/>
      <c r="V1931"/>
      <c r="W1931"/>
      <c r="X1931"/>
      <c r="Y1931"/>
      <c r="Z1931"/>
    </row>
    <row r="1932" spans="2:26">
      <c r="B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R1932"/>
      <c r="S1932"/>
      <c r="T1932"/>
      <c r="U1932"/>
      <c r="V1932"/>
      <c r="W1932"/>
      <c r="X1932"/>
      <c r="Y1932"/>
      <c r="Z1932"/>
    </row>
    <row r="1933" spans="2:26">
      <c r="B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R1933"/>
      <c r="S1933"/>
      <c r="T1933"/>
      <c r="U1933"/>
      <c r="V1933"/>
      <c r="W1933"/>
      <c r="X1933"/>
      <c r="Y1933"/>
      <c r="Z1933"/>
    </row>
    <row r="1934" spans="2:26">
      <c r="B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R1934"/>
      <c r="S1934"/>
      <c r="T1934"/>
      <c r="U1934"/>
      <c r="V1934"/>
      <c r="W1934"/>
      <c r="X1934"/>
      <c r="Y1934"/>
      <c r="Z1934"/>
    </row>
    <row r="1935" spans="2:26">
      <c r="B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R1935"/>
      <c r="S1935"/>
      <c r="T1935"/>
      <c r="U1935"/>
      <c r="V1935"/>
      <c r="W1935"/>
      <c r="X1935"/>
      <c r="Y1935"/>
      <c r="Z1935"/>
    </row>
    <row r="1936" spans="2:26">
      <c r="B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R1936"/>
      <c r="S1936"/>
      <c r="T1936"/>
      <c r="U1936"/>
      <c r="V1936"/>
      <c r="W1936"/>
      <c r="X1936"/>
      <c r="Y1936"/>
      <c r="Z1936"/>
    </row>
    <row r="1937" spans="2:26">
      <c r="B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R1937"/>
      <c r="S1937"/>
      <c r="T1937"/>
      <c r="U1937"/>
      <c r="V1937"/>
      <c r="W1937"/>
      <c r="X1937"/>
      <c r="Y1937"/>
      <c r="Z1937"/>
    </row>
    <row r="1938" spans="2:26">
      <c r="B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R1938"/>
      <c r="S1938"/>
      <c r="T1938"/>
      <c r="U1938"/>
      <c r="V1938"/>
      <c r="W1938"/>
      <c r="X1938"/>
      <c r="Y1938"/>
      <c r="Z1938"/>
    </row>
    <row r="1939" spans="2:26">
      <c r="B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R1939"/>
      <c r="S1939"/>
      <c r="T1939"/>
      <c r="U1939"/>
      <c r="V1939"/>
      <c r="W1939"/>
      <c r="X1939"/>
      <c r="Y1939"/>
      <c r="Z1939"/>
    </row>
    <row r="1940" spans="2:26">
      <c r="B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R1940"/>
      <c r="S1940"/>
      <c r="T1940"/>
      <c r="U1940"/>
      <c r="V1940"/>
      <c r="W1940"/>
      <c r="X1940"/>
      <c r="Y1940"/>
      <c r="Z1940"/>
    </row>
    <row r="1941" spans="2:26">
      <c r="B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R1941"/>
      <c r="S1941"/>
      <c r="T1941"/>
      <c r="U1941"/>
      <c r="V1941"/>
      <c r="W1941"/>
      <c r="X1941"/>
      <c r="Y1941"/>
      <c r="Z1941"/>
    </row>
    <row r="1942" spans="2:26">
      <c r="B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R1942"/>
      <c r="S1942"/>
      <c r="T1942"/>
      <c r="U1942"/>
      <c r="V1942"/>
      <c r="W1942"/>
      <c r="X1942"/>
      <c r="Y1942"/>
      <c r="Z1942"/>
    </row>
    <row r="1943" spans="2:26">
      <c r="B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R1943"/>
      <c r="S1943"/>
      <c r="T1943"/>
      <c r="U1943"/>
      <c r="V1943"/>
      <c r="W1943"/>
      <c r="X1943"/>
      <c r="Y1943"/>
      <c r="Z1943"/>
    </row>
    <row r="1944" spans="2:26">
      <c r="B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R1944"/>
      <c r="S1944"/>
      <c r="T1944"/>
      <c r="U1944"/>
      <c r="V1944"/>
      <c r="W1944"/>
      <c r="X1944"/>
      <c r="Y1944"/>
      <c r="Z1944"/>
    </row>
    <row r="1945" spans="2:26">
      <c r="B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R1945"/>
      <c r="S1945"/>
      <c r="T1945"/>
      <c r="U1945"/>
      <c r="V1945"/>
      <c r="W1945"/>
      <c r="X1945"/>
      <c r="Y1945"/>
      <c r="Z1945"/>
    </row>
    <row r="1946" spans="2:26">
      <c r="B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R1946"/>
      <c r="S1946"/>
      <c r="T1946"/>
      <c r="U1946"/>
      <c r="V1946"/>
      <c r="W1946"/>
      <c r="X1946"/>
      <c r="Y1946"/>
      <c r="Z1946"/>
    </row>
    <row r="1947" spans="2:26">
      <c r="B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R1947"/>
      <c r="S1947"/>
      <c r="T1947"/>
      <c r="U1947"/>
      <c r="V1947"/>
      <c r="W1947"/>
      <c r="X1947"/>
      <c r="Y1947"/>
      <c r="Z1947"/>
    </row>
    <row r="1948" spans="2:26">
      <c r="B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R1948"/>
      <c r="S1948"/>
      <c r="T1948"/>
      <c r="U1948"/>
      <c r="V1948"/>
      <c r="W1948"/>
      <c r="X1948"/>
      <c r="Y1948"/>
      <c r="Z1948"/>
    </row>
    <row r="1949" spans="2:26">
      <c r="B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R1949"/>
      <c r="S1949"/>
      <c r="T1949"/>
      <c r="U1949"/>
      <c r="V1949"/>
      <c r="W1949"/>
      <c r="X1949"/>
      <c r="Y1949"/>
      <c r="Z1949"/>
    </row>
    <row r="1950" spans="2:26">
      <c r="B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R1950"/>
      <c r="S1950"/>
      <c r="T1950"/>
      <c r="U1950"/>
      <c r="V1950"/>
      <c r="W1950"/>
      <c r="X1950"/>
      <c r="Y1950"/>
      <c r="Z1950"/>
    </row>
    <row r="1951" spans="2:26">
      <c r="B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R1951"/>
      <c r="S1951"/>
      <c r="T1951"/>
      <c r="U1951"/>
      <c r="V1951"/>
      <c r="W1951"/>
      <c r="X1951"/>
      <c r="Y1951"/>
      <c r="Z1951"/>
    </row>
    <row r="1952" spans="2:26">
      <c r="B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R1952"/>
      <c r="S1952"/>
      <c r="T1952"/>
      <c r="U1952"/>
      <c r="V1952"/>
      <c r="W1952"/>
      <c r="X1952"/>
      <c r="Y1952"/>
      <c r="Z1952"/>
    </row>
    <row r="1953" spans="2:26">
      <c r="B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R1953"/>
      <c r="S1953"/>
      <c r="T1953"/>
      <c r="U1953"/>
      <c r="V1953"/>
      <c r="W1953"/>
      <c r="X1953"/>
      <c r="Y1953"/>
      <c r="Z1953"/>
    </row>
    <row r="1954" spans="2:26">
      <c r="B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R1954"/>
      <c r="S1954"/>
      <c r="T1954"/>
      <c r="U1954"/>
      <c r="V1954"/>
      <c r="W1954"/>
      <c r="X1954"/>
      <c r="Y1954"/>
      <c r="Z1954"/>
    </row>
    <row r="1955" spans="2:26">
      <c r="B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R1955"/>
      <c r="S1955"/>
      <c r="T1955"/>
      <c r="U1955"/>
      <c r="V1955"/>
      <c r="W1955"/>
      <c r="X1955"/>
      <c r="Y1955"/>
      <c r="Z1955"/>
    </row>
    <row r="1956" spans="2:26">
      <c r="B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R1956"/>
      <c r="S1956"/>
      <c r="T1956"/>
      <c r="U1956"/>
      <c r="V1956"/>
      <c r="W1956"/>
      <c r="X1956"/>
      <c r="Y1956"/>
      <c r="Z1956"/>
    </row>
    <row r="1957" spans="2:26">
      <c r="B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R1957"/>
      <c r="S1957"/>
      <c r="T1957"/>
      <c r="U1957"/>
      <c r="V1957"/>
      <c r="W1957"/>
      <c r="X1957"/>
      <c r="Y1957"/>
      <c r="Z1957"/>
    </row>
    <row r="1958" spans="2:26">
      <c r="B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R1958"/>
      <c r="S1958"/>
      <c r="T1958"/>
      <c r="U1958"/>
      <c r="V1958"/>
      <c r="W1958"/>
      <c r="X1958"/>
      <c r="Y1958"/>
      <c r="Z1958"/>
    </row>
    <row r="1959" spans="2:26">
      <c r="B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R1959"/>
      <c r="S1959"/>
      <c r="T1959"/>
      <c r="U1959"/>
      <c r="V1959"/>
      <c r="W1959"/>
      <c r="X1959"/>
      <c r="Y1959"/>
      <c r="Z1959"/>
    </row>
    <row r="1960" spans="2:26">
      <c r="B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R1960"/>
      <c r="S1960"/>
      <c r="T1960"/>
      <c r="U1960"/>
      <c r="V1960"/>
      <c r="W1960"/>
      <c r="X1960"/>
      <c r="Y1960"/>
      <c r="Z1960"/>
    </row>
    <row r="1961" spans="2:26">
      <c r="B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R1961"/>
      <c r="S1961"/>
      <c r="T1961"/>
      <c r="U1961"/>
      <c r="V1961"/>
      <c r="W1961"/>
      <c r="X1961"/>
      <c r="Y1961"/>
      <c r="Z1961"/>
    </row>
    <row r="1962" spans="2:26">
      <c r="B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R1962"/>
      <c r="S1962"/>
      <c r="T1962"/>
      <c r="U1962"/>
      <c r="V1962"/>
      <c r="W1962"/>
      <c r="X1962"/>
      <c r="Y1962"/>
      <c r="Z1962"/>
    </row>
    <row r="1963" spans="2:26">
      <c r="B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R1963"/>
      <c r="S1963"/>
      <c r="T1963"/>
      <c r="U1963"/>
      <c r="V1963"/>
      <c r="W1963"/>
      <c r="X1963"/>
      <c r="Y1963"/>
      <c r="Z1963"/>
    </row>
    <row r="1964" spans="2:26">
      <c r="B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R1964"/>
      <c r="S1964"/>
      <c r="T1964"/>
      <c r="U1964"/>
      <c r="V1964"/>
      <c r="W1964"/>
      <c r="X1964"/>
      <c r="Y1964"/>
      <c r="Z1964"/>
    </row>
    <row r="1965" spans="2:26">
      <c r="B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R1965"/>
      <c r="S1965"/>
      <c r="T1965"/>
      <c r="U1965"/>
      <c r="V1965"/>
      <c r="W1965"/>
      <c r="X1965"/>
      <c r="Y1965"/>
      <c r="Z1965"/>
    </row>
    <row r="1966" spans="2:26">
      <c r="B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R1966"/>
      <c r="S1966"/>
      <c r="T1966"/>
      <c r="U1966"/>
      <c r="V1966"/>
      <c r="W1966"/>
      <c r="X1966"/>
      <c r="Y1966"/>
      <c r="Z1966"/>
    </row>
    <row r="1967" spans="2:26">
      <c r="B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R1967"/>
      <c r="S1967"/>
      <c r="T1967"/>
      <c r="U1967"/>
      <c r="V1967"/>
      <c r="W1967"/>
      <c r="X1967"/>
      <c r="Y1967"/>
      <c r="Z1967"/>
    </row>
    <row r="1968" spans="2:26">
      <c r="B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R1968"/>
      <c r="S1968"/>
      <c r="T1968"/>
      <c r="U1968"/>
      <c r="V1968"/>
      <c r="W1968"/>
      <c r="X1968"/>
      <c r="Y1968"/>
      <c r="Z1968"/>
    </row>
    <row r="1969" spans="2:26">
      <c r="B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R1969"/>
      <c r="S1969"/>
      <c r="T1969"/>
      <c r="U1969"/>
      <c r="V1969"/>
      <c r="W1969"/>
      <c r="X1969"/>
      <c r="Y1969"/>
      <c r="Z1969"/>
    </row>
    <row r="1970" spans="2:26">
      <c r="B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R1970"/>
      <c r="S1970"/>
      <c r="T1970"/>
      <c r="U1970"/>
      <c r="V1970"/>
      <c r="W1970"/>
      <c r="X1970"/>
      <c r="Y1970"/>
      <c r="Z1970"/>
    </row>
    <row r="1971" spans="2:26">
      <c r="B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R1971"/>
      <c r="S1971"/>
      <c r="T1971"/>
      <c r="U1971"/>
      <c r="V1971"/>
      <c r="W1971"/>
      <c r="X1971"/>
      <c r="Y1971"/>
      <c r="Z1971"/>
    </row>
    <row r="1972" spans="2:26">
      <c r="B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R1972"/>
      <c r="S1972"/>
      <c r="T1972"/>
      <c r="U1972"/>
      <c r="V1972"/>
      <c r="W1972"/>
      <c r="X1972"/>
      <c r="Y1972"/>
      <c r="Z1972"/>
    </row>
    <row r="1973" spans="2:26">
      <c r="B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R1973"/>
      <c r="S1973"/>
      <c r="T1973"/>
      <c r="U1973"/>
      <c r="V1973"/>
      <c r="W1973"/>
      <c r="X1973"/>
      <c r="Y1973"/>
      <c r="Z1973"/>
    </row>
    <row r="1974" spans="2:26">
      <c r="B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R1974"/>
      <c r="S1974"/>
      <c r="T1974"/>
      <c r="U1974"/>
      <c r="V1974"/>
      <c r="W1974"/>
      <c r="X1974"/>
      <c r="Y1974"/>
      <c r="Z1974"/>
    </row>
    <row r="1975" spans="2:26">
      <c r="B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R1975"/>
      <c r="S1975"/>
      <c r="T1975"/>
      <c r="U1975"/>
      <c r="V1975"/>
      <c r="W1975"/>
      <c r="X1975"/>
      <c r="Y1975"/>
      <c r="Z1975"/>
    </row>
    <row r="1976" spans="2:26">
      <c r="B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R1976"/>
      <c r="S1976"/>
      <c r="T1976"/>
      <c r="U1976"/>
      <c r="V1976"/>
      <c r="W1976"/>
      <c r="X1976"/>
      <c r="Y1976"/>
      <c r="Z1976"/>
    </row>
    <row r="1977" spans="2:26">
      <c r="B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R1977"/>
      <c r="S1977"/>
      <c r="T1977"/>
      <c r="U1977"/>
      <c r="V1977"/>
      <c r="W1977"/>
      <c r="X1977"/>
      <c r="Y1977"/>
      <c r="Z1977"/>
    </row>
    <row r="1978" spans="2:26">
      <c r="B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R1978"/>
      <c r="S1978"/>
      <c r="T1978"/>
      <c r="U1978"/>
      <c r="V1978"/>
      <c r="W1978"/>
      <c r="X1978"/>
      <c r="Y1978"/>
      <c r="Z1978"/>
    </row>
    <row r="1979" spans="2:26">
      <c r="B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R1979"/>
      <c r="S1979"/>
      <c r="T1979"/>
      <c r="U1979"/>
      <c r="V1979"/>
      <c r="W1979"/>
      <c r="X1979"/>
      <c r="Y1979"/>
      <c r="Z1979"/>
    </row>
    <row r="1980" spans="2:26">
      <c r="B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R1980"/>
      <c r="S1980"/>
      <c r="T1980"/>
      <c r="U1980"/>
      <c r="V1980"/>
      <c r="W1980"/>
      <c r="X1980"/>
      <c r="Y1980"/>
      <c r="Z1980"/>
    </row>
    <row r="1981" spans="2:26">
      <c r="B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R1981"/>
      <c r="S1981"/>
      <c r="T1981"/>
      <c r="U1981"/>
      <c r="V1981"/>
      <c r="W1981"/>
      <c r="X1981"/>
      <c r="Y1981"/>
      <c r="Z1981"/>
    </row>
    <row r="1982" spans="2:26">
      <c r="B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R1982"/>
      <c r="S1982"/>
      <c r="T1982"/>
      <c r="U1982"/>
      <c r="V1982"/>
      <c r="W1982"/>
      <c r="X1982"/>
      <c r="Y1982"/>
      <c r="Z1982"/>
    </row>
    <row r="1983" spans="2:26">
      <c r="B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R1983"/>
      <c r="S1983"/>
      <c r="T1983"/>
      <c r="U1983"/>
      <c r="V1983"/>
      <c r="W1983"/>
      <c r="X1983"/>
      <c r="Y1983"/>
      <c r="Z1983"/>
    </row>
    <row r="1984" spans="2:26">
      <c r="B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R1984"/>
      <c r="S1984"/>
      <c r="T1984"/>
      <c r="U1984"/>
      <c r="V1984"/>
      <c r="W1984"/>
      <c r="X1984"/>
      <c r="Y1984"/>
      <c r="Z1984"/>
    </row>
    <row r="1985" spans="2:26">
      <c r="B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R1985"/>
      <c r="S1985"/>
      <c r="T1985"/>
      <c r="U1985"/>
      <c r="V1985"/>
      <c r="W1985"/>
      <c r="X1985"/>
      <c r="Y1985"/>
      <c r="Z1985"/>
    </row>
    <row r="1986" spans="2:26">
      <c r="B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R1986"/>
      <c r="S1986"/>
      <c r="T1986"/>
      <c r="U1986"/>
      <c r="V1986"/>
      <c r="W1986"/>
      <c r="X1986"/>
      <c r="Y1986"/>
      <c r="Z1986"/>
    </row>
    <row r="1987" spans="2:26">
      <c r="B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R1987"/>
      <c r="S1987"/>
      <c r="T1987"/>
      <c r="U1987"/>
      <c r="V1987"/>
      <c r="W1987"/>
      <c r="X1987"/>
      <c r="Y1987"/>
      <c r="Z1987"/>
    </row>
    <row r="1988" spans="2:26">
      <c r="B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R1988"/>
      <c r="S1988"/>
      <c r="T1988"/>
      <c r="U1988"/>
      <c r="V1988"/>
      <c r="W1988"/>
      <c r="X1988"/>
      <c r="Y1988"/>
      <c r="Z1988"/>
    </row>
    <row r="1989" spans="2:26">
      <c r="B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R1989"/>
      <c r="S1989"/>
      <c r="T1989"/>
      <c r="U1989"/>
      <c r="V1989"/>
      <c r="W1989"/>
      <c r="X1989"/>
      <c r="Y1989"/>
      <c r="Z1989"/>
    </row>
    <row r="1990" spans="2:26">
      <c r="B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R1990"/>
      <c r="S1990"/>
      <c r="T1990"/>
      <c r="U1990"/>
      <c r="V1990"/>
      <c r="W1990"/>
      <c r="X1990"/>
      <c r="Y1990"/>
      <c r="Z1990"/>
    </row>
    <row r="1991" spans="2:26">
      <c r="B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R1991"/>
      <c r="S1991"/>
      <c r="T1991"/>
      <c r="U1991"/>
      <c r="V1991"/>
      <c r="W1991"/>
      <c r="X1991"/>
      <c r="Y1991"/>
      <c r="Z1991"/>
    </row>
    <row r="1992" spans="2:26">
      <c r="B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R1992"/>
      <c r="S1992"/>
      <c r="T1992"/>
      <c r="U1992"/>
      <c r="V1992"/>
      <c r="W1992"/>
      <c r="X1992"/>
      <c r="Y1992"/>
      <c r="Z1992"/>
    </row>
    <row r="1993" spans="2:26">
      <c r="B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R1993"/>
      <c r="S1993"/>
      <c r="T1993"/>
      <c r="U1993"/>
      <c r="V1993"/>
      <c r="W1993"/>
      <c r="X1993"/>
      <c r="Y1993"/>
      <c r="Z1993"/>
    </row>
    <row r="1994" spans="2:26">
      <c r="B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R1994"/>
      <c r="S1994"/>
      <c r="T1994"/>
      <c r="U1994"/>
      <c r="V1994"/>
      <c r="W1994"/>
      <c r="X1994"/>
      <c r="Y1994"/>
      <c r="Z1994"/>
    </row>
    <row r="1995" spans="2:26">
      <c r="B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R1995"/>
      <c r="S1995"/>
      <c r="T1995"/>
      <c r="U1995"/>
      <c r="V1995"/>
      <c r="W1995"/>
      <c r="X1995"/>
      <c r="Y1995"/>
      <c r="Z1995"/>
    </row>
    <row r="1996" spans="2:26">
      <c r="B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R1996"/>
      <c r="S1996"/>
      <c r="T1996"/>
      <c r="U1996"/>
      <c r="V1996"/>
      <c r="W1996"/>
      <c r="X1996"/>
      <c r="Y1996"/>
      <c r="Z1996"/>
    </row>
  </sheetData>
  <mergeCells count="8">
    <mergeCell ref="H2:P2"/>
    <mergeCell ref="R2:Z2"/>
    <mergeCell ref="B2:B3"/>
    <mergeCell ref="C2:C3"/>
    <mergeCell ref="D2:D3"/>
    <mergeCell ref="E2:E3"/>
    <mergeCell ref="F2:F3"/>
    <mergeCell ref="G2:G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B462-997A-473C-B47D-73C5C48F8155}">
  <dimension ref="B2:P104"/>
  <sheetViews>
    <sheetView showGridLines="0" zoomScale="90" zoomScaleNormal="90" workbookViewId="0">
      <selection activeCell="O34" sqref="O34"/>
    </sheetView>
  </sheetViews>
  <sheetFormatPr defaultRowHeight="39" outlineLevelRow="2" outlineLevelCol="1"/>
  <cols>
    <col min="1" max="1" width="4.25" style="1" customWidth="1"/>
    <col min="2" max="2" width="9" style="1"/>
    <col min="3" max="3" width="21.125" style="1" customWidth="1"/>
    <col min="4" max="4" width="9" style="1" hidden="1" customWidth="1" outlineLevel="1"/>
    <col min="5" max="5" width="8.5" style="1" customWidth="1" collapsed="1"/>
    <col min="6" max="13" width="8.5" style="1" customWidth="1"/>
    <col min="14" max="15" width="9" style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6" ht="45.75">
      <c r="B2" s="78" t="s">
        <v>360</v>
      </c>
    </row>
    <row r="4" spans="2:16" hidden="1" outlineLevel="1">
      <c r="B4" s="77" t="s">
        <v>369</v>
      </c>
    </row>
    <row r="5" spans="2:16" hidden="1" outlineLevel="2">
      <c r="B5" s="125" t="s">
        <v>4</v>
      </c>
      <c r="C5" s="126" t="s">
        <v>195</v>
      </c>
      <c r="D5" s="125" t="s">
        <v>8</v>
      </c>
      <c r="E5" s="127" t="s">
        <v>36</v>
      </c>
      <c r="F5" s="128"/>
      <c r="G5" s="128"/>
      <c r="H5" s="128"/>
      <c r="I5" s="128"/>
      <c r="J5" s="128"/>
      <c r="K5" s="128"/>
      <c r="L5" s="128"/>
      <c r="M5" s="129"/>
    </row>
    <row r="6" spans="2:16" s="2" customFormat="1" ht="30" hidden="1" outlineLevel="2">
      <c r="B6" s="125"/>
      <c r="C6" s="125"/>
      <c r="D6" s="125"/>
      <c r="E6" s="4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6">
        <v>9</v>
      </c>
    </row>
    <row r="7" spans="2:16" hidden="1" outlineLevel="2">
      <c r="B7" s="7" t="s">
        <v>370</v>
      </c>
      <c r="C7" s="80" t="s">
        <v>374</v>
      </c>
      <c r="D7" s="9">
        <f t="shared" ref="D7:D12" si="0">IF( LEN(C7)&gt;0, LEN(C7), "")</f>
        <v>2</v>
      </c>
      <c r="E7" s="75" t="str" cm="1">
        <f t="array" ref="E7">IF(E$30&gt;($D7+1),"",IF(E$30=($D7+1), _xlfn.IFNA(INDEX(音調表!$J$3:$J$10, MATCH(TRUE, EXACT(MID($C7,E$30,1), 音調表!$I$3:$I$10),0)),""),MID($C7,E$30,1)))</f>
        <v>ㄅ</v>
      </c>
      <c r="F7" s="75" t="str" cm="1">
        <f t="array" ref="F7">IF(F$30&gt;($D7+1),"",IF(F$30=($D7+1), _xlfn.IFNA(INDEX(音調表!$J$3:$J$10, MATCH(TRUE, EXACT(MID($C7,F$30,1), 音調表!$I$3:$I$10),0)),""),MID($C7,F$30,1)))</f>
        <v>ㄤ</v>
      </c>
      <c r="G7" s="75" t="str" cm="1">
        <f t="array" ref="G7">IF(G$30&gt;($D7+1),"",IF(G$30=($D7+1), _xlfn.IFNA(INDEX(音調表!$J$3:$J$10, MATCH(TRUE, EXACT(MID($C7,G$30,1), 音調表!$I$3:$I$10),0)),""),MID($C7,G$30,1)))</f>
        <v>"</v>
      </c>
      <c r="H7" s="75" t="str" cm="1">
        <f t="array" ref="H7">IF(H$30&gt;($D7+1),"",IF(H$30=($D7+1), _xlfn.IFNA(INDEX(音調表!$J$3:$J$10, MATCH(TRUE, EXACT(MID($C7,H$30,1), 音調表!$I$3:$I$10),0)),""),MID($C7,H$30,1)))</f>
        <v/>
      </c>
      <c r="I7" s="75" t="str" cm="1">
        <f t="array" ref="I7">IF(I$30&gt;($D7+1),"",IF(I$30=($D7+1), _xlfn.IFNA(INDEX(音調表!$J$3:$J$10, MATCH(TRUE, EXACT(MID($C7,I$30,1), 音調表!$I$3:$I$10),0)),""),MID($C7,I$30,1)))</f>
        <v/>
      </c>
      <c r="J7" s="75" t="str" cm="1">
        <f t="array" ref="J7">IF(J$30&gt;($D7+1),"",IF(J$30=($D7+1), _xlfn.IFNA(INDEX(音調表!$J$3:$J$10, MATCH(TRUE, EXACT(MID($C7,J$30,1), 音調表!$I$3:$I$10),0)),""),MID($C7,J$30,1)))</f>
        <v/>
      </c>
      <c r="K7" s="75" t="str" cm="1">
        <f t="array" ref="K7">IF(K$30&gt;($D7+1),"",IF(K$30=($D7+1), _xlfn.IFNA(INDEX(音調表!$J$3:$J$10, MATCH(TRUE, EXACT(MID($C7,K$30,1), 音調表!$I$3:$I$10),0)),""),MID($C7,K$30,1)))</f>
        <v/>
      </c>
      <c r="L7" s="75" t="str" cm="1">
        <f t="array" ref="L7">IF(L$30&gt;($D7+1),"",IF(L$30=($D7+1), _xlfn.IFNA(INDEX(音調表!$J$3:$J$10, MATCH(TRUE, EXACT(MID($C7,L$30,1), 音調表!$I$3:$I$10),0)),""),MID($C7,L$30,1)))</f>
        <v/>
      </c>
      <c r="M7" s="76" t="str" cm="1">
        <f t="array" ref="M7">IF(M$30&gt;($D7+1),"",IF(M$30=($D7+1), _xlfn.IFNA(INDEX(音調表!$J$3:$J$10, MATCH(TRUE, EXACT(MID($C7,M$30,1), 音調表!$I$3:$I$10),0)),""),MID($C7,M$30,1)))</f>
        <v/>
      </c>
      <c r="O7" s="2"/>
      <c r="P7" s="2"/>
    </row>
    <row r="8" spans="2:16" hidden="1" outlineLevel="2">
      <c r="B8" s="7" t="s">
        <v>373</v>
      </c>
      <c r="C8" s="80" t="s">
        <v>377</v>
      </c>
      <c r="D8" s="9">
        <f t="shared" si="0"/>
        <v>3</v>
      </c>
      <c r="E8" s="75" t="str" cm="1">
        <f t="array" ref="E8">IF(E$30&gt;($D8+1),"",IF(E$30=($D8+1), _xlfn.IFNA(INDEX(音調表!$J$3:$J$10, MATCH(TRUE, EXACT(MID($C8,E$30,1), 音調表!$I$3:$I$10),0)),""),MID($C8,E$30,1)))</f>
        <v>ㆠ</v>
      </c>
      <c r="F8" s="75" t="str" cm="1">
        <f t="array" ref="F8">IF(F$30&gt;($D8+1),"",IF(F$30=($D8+1), _xlfn.IFNA(INDEX(音調表!$J$3:$J$10, MATCH(TRUE, EXACT(MID($C8,F$30,1), 音調表!$I$3:$I$10),0)),""),MID($C8,F$30,1)))</f>
        <v>ㄧ</v>
      </c>
      <c r="G8" s="75" t="str" cm="1">
        <f t="array" ref="G8">IF(G$30&gt;($D8+1),"",IF(G$30=($D8+1), _xlfn.IFNA(INDEX(音調表!$J$3:$J$10, MATCH(TRUE, EXACT(MID($C8,G$30,1), 音調表!$I$3:$I$10),0)),""),MID($C8,G$30,1)))</f>
        <v>ˋ</v>
      </c>
      <c r="H8" s="75" t="str" cm="1">
        <f t="array" ref="H8">IF(H$30&gt;($D8+1),"",IF(H$30=($D8+1), _xlfn.IFNA(INDEX(音調表!$J$3:$J$10, MATCH(TRUE, EXACT(MID($C8,H$30,1), 音調表!$I$3:$I$10),0)),""),MID($C8,H$30,1)))</f>
        <v>"</v>
      </c>
      <c r="I8" s="75" t="str" cm="1">
        <f t="array" ref="I8">IF(I$30&gt;($D8+1),"",IF(I$30=($D8+1), _xlfn.IFNA(INDEX(音調表!$J$3:$J$10, MATCH(TRUE, EXACT(MID($C8,I$30,1), 音調表!$I$3:$I$10),0)),""),MID($C8,I$30,1)))</f>
        <v/>
      </c>
      <c r="J8" s="75" t="str" cm="1">
        <f t="array" ref="J8">IF(J$30&gt;($D8+1),"",IF(J$30=($D8+1), _xlfn.IFNA(INDEX(音調表!$J$3:$J$10, MATCH(TRUE, EXACT(MID($C8,J$30,1), 音調表!$I$3:$I$10),0)),""),MID($C8,J$30,1)))</f>
        <v/>
      </c>
      <c r="K8" s="75" t="str" cm="1">
        <f t="array" ref="K8">IF(K$30&gt;($D8+1),"",IF(K$30=($D8+1), _xlfn.IFNA(INDEX(音調表!$J$3:$J$10, MATCH(TRUE, EXACT(MID($C8,K$30,1), 音調表!$I$3:$I$10),0)),""),MID($C8,K$30,1)))</f>
        <v/>
      </c>
      <c r="L8" s="75" t="str" cm="1">
        <f t="array" ref="L8">IF(L$30&gt;($D8+1),"",IF(L$30=($D8+1), _xlfn.IFNA(INDEX(音調表!$J$3:$J$10, MATCH(TRUE, EXACT(MID($C8,L$30,1), 音調表!$I$3:$I$10),0)),""),MID($C8,L$30,1)))</f>
        <v/>
      </c>
      <c r="M8" s="76" t="str" cm="1">
        <f t="array" ref="M8">IF(M$30&gt;($D8+1),"",IF(M$30=($D8+1), _xlfn.IFNA(INDEX(音調表!$J$3:$J$10, MATCH(TRUE, EXACT(MID($C8,M$30,1), 音調表!$I$3:$I$10),0)),""),MID($C8,M$30,1)))</f>
        <v/>
      </c>
    </row>
    <row r="9" spans="2:16" hidden="1" outlineLevel="2">
      <c r="B9" s="7" t="s">
        <v>371</v>
      </c>
      <c r="C9" s="80" t="s">
        <v>375</v>
      </c>
      <c r="D9" s="9">
        <f t="shared" si="0"/>
        <v>3</v>
      </c>
      <c r="E9" s="75" t="str" cm="1">
        <f t="array" ref="E9">IF(E$30&gt;($D9+1),"",IF(E$30=($D9+1), _xlfn.IFNA(INDEX(音調表!$J$3:$J$10, MATCH(TRUE, EXACT(MID($C9,E$30,1), 音調表!$I$3:$I$10),0)),""),MID($C9,E$30,1)))</f>
        <v>ㄍ</v>
      </c>
      <c r="F9" s="75" t="str" cm="1">
        <f t="array" ref="F9">IF(F$30&gt;($D9+1),"",IF(F$30=($D9+1), _xlfn.IFNA(INDEX(音調表!$J$3:$J$10, MATCH(TRUE, EXACT(MID($C9,F$30,1), 音調表!$I$3:$I$10),0)),""),MID($C9,F$30,1)))</f>
        <v>ㆪ</v>
      </c>
      <c r="G9" s="75" t="str" cm="1">
        <f t="array" ref="G9">IF(G$30&gt;($D9+1),"",IF(G$30=($D9+1), _xlfn.IFNA(INDEX(音調表!$J$3:$J$10, MATCH(TRUE, EXACT(MID($C9,G$30,1), 音調表!$I$3:$I$10),0)),""),MID($C9,G$30,1)))</f>
        <v>˪</v>
      </c>
      <c r="H9" s="75" t="str" cm="1">
        <f t="array" ref="H9">IF(H$30&gt;($D9+1),"",IF(H$30=($D9+1), _xlfn.IFNA(INDEX(音調表!$J$3:$J$10, MATCH(TRUE, EXACT(MID($C9,H$30,1), 音調表!$I$3:$I$10),0)),""),MID($C9,H$30,1)))</f>
        <v>"</v>
      </c>
      <c r="I9" s="75" t="str" cm="1">
        <f t="array" ref="I9">IF(I$30&gt;($D9+1),"",IF(I$30=($D9+1), _xlfn.IFNA(INDEX(音調表!$J$3:$J$10, MATCH(TRUE, EXACT(MID($C9,I$30,1), 音調表!$I$3:$I$10),0)),""),MID($C9,I$30,1)))</f>
        <v/>
      </c>
      <c r="J9" s="75" t="str" cm="1">
        <f t="array" ref="J9">IF(J$30&gt;($D9+1),"",IF(J$30=($D9+1), _xlfn.IFNA(INDEX(音調表!$J$3:$J$10, MATCH(TRUE, EXACT(MID($C9,J$30,1), 音調表!$I$3:$I$10),0)),""),MID($C9,J$30,1)))</f>
        <v/>
      </c>
      <c r="K9" s="75" t="str" cm="1">
        <f t="array" ref="K9">IF(K$30&gt;($D9+1),"",IF(K$30=($D9+1), _xlfn.IFNA(INDEX(音調表!$J$3:$J$10, MATCH(TRUE, EXACT(MID($C9,K$30,1), 音調表!$I$3:$I$10),0)),""),MID($C9,K$30,1)))</f>
        <v/>
      </c>
      <c r="L9" s="75" t="str" cm="1">
        <f t="array" ref="L9">IF(L$30&gt;($D9+1),"",IF(L$30=($D9+1), _xlfn.IFNA(INDEX(音調表!$J$3:$J$10, MATCH(TRUE, EXACT(MID($C9,L$30,1), 音調表!$I$3:$I$10),0)),""),MID($C9,L$30,1)))</f>
        <v/>
      </c>
      <c r="M9" s="76" t="str" cm="1">
        <f t="array" ref="M9">IF(M$30&gt;($D9+1),"",IF(M$30=($D9+1), _xlfn.IFNA(INDEX(音調表!$J$3:$J$10, MATCH(TRUE, EXACT(MID($C9,M$30,1), 音調表!$I$3:$I$10),0)),""),MID($C9,M$30,1)))</f>
        <v/>
      </c>
      <c r="O9" s="2"/>
      <c r="P9" s="2"/>
    </row>
    <row r="10" spans="2:16" hidden="1" outlineLevel="2">
      <c r="B10" s="7" t="s">
        <v>372</v>
      </c>
      <c r="C10" s="80" t="s">
        <v>378</v>
      </c>
      <c r="D10" s="9">
        <f t="shared" si="0"/>
        <v>3</v>
      </c>
      <c r="E10" s="75" t="str" cm="1">
        <f t="array" ref="E10">IF(E$30&gt;($D10+1),"",IF(E$30=($D10+1), _xlfn.IFNA(INDEX(音調表!$J$3:$J$10, MATCH(TRUE, EXACT(MID($C10,E$30,1), 音調表!$I$3:$I$10),0)),""),MID($C10,E$30,1)))</f>
        <v>ㆣ</v>
      </c>
      <c r="F10" s="75" t="str" cm="1">
        <f t="array" ref="F10">IF(F$30&gt;($D10+1),"",IF(F$30=($D10+1), _xlfn.IFNA(INDEX(音調表!$J$3:$J$10, MATCH(TRUE, EXACT(MID($C10,F$30,1), 音調表!$I$3:$I$10),0)),""),MID($C10,F$30,1)))</f>
        <v>ㄧ</v>
      </c>
      <c r="G10" s="75" t="str" cm="1">
        <f t="array" ref="G10">IF(G$30&gt;($D10+1),"",IF(G$30=($D10+1), _xlfn.IFNA(INDEX(音調表!$J$3:$J$10, MATCH(TRUE, EXACT(MID($C10,G$30,1), 音調表!$I$3:$I$10),0)),""),MID($C10,G$30,1)))</f>
        <v>ˊ</v>
      </c>
      <c r="H10" s="75" t="str" cm="1">
        <f t="array" ref="H10">IF(H$30&gt;($D10+1),"",IF(H$30=($D10+1), _xlfn.IFNA(INDEX(音調表!$J$3:$J$10, MATCH(TRUE, EXACT(MID($C10,H$30,1), 音調表!$I$3:$I$10),0)),""),MID($C10,H$30,1)))</f>
        <v>"</v>
      </c>
      <c r="I10" s="75" t="str" cm="1">
        <f t="array" ref="I10">IF(I$30&gt;($D10+1),"",IF(I$30=($D10+1), _xlfn.IFNA(INDEX(音調表!$J$3:$J$10, MATCH(TRUE, EXACT(MID($C10,I$30,1), 音調表!$I$3:$I$10),0)),""),MID($C10,I$30,1)))</f>
        <v/>
      </c>
      <c r="J10" s="75" t="str" cm="1">
        <f t="array" ref="J10">IF(J$30&gt;($D10+1),"",IF(J$30=($D10+1), _xlfn.IFNA(INDEX(音調表!$J$3:$J$10, MATCH(TRUE, EXACT(MID($C10,J$30,1), 音調表!$I$3:$I$10),0)),""),MID($C10,J$30,1)))</f>
        <v/>
      </c>
      <c r="K10" s="75" t="str" cm="1">
        <f t="array" ref="K10">IF(K$30&gt;($D10+1),"",IF(K$30=($D10+1), _xlfn.IFNA(INDEX(音調表!$J$3:$J$10, MATCH(TRUE, EXACT(MID($C10,K$30,1), 音調表!$I$3:$I$10),0)),""),MID($C10,K$30,1)))</f>
        <v/>
      </c>
      <c r="L10" s="75" t="str" cm="1">
        <f t="array" ref="L10">IF(L$30&gt;($D10+1),"",IF(L$30=($D10+1), _xlfn.IFNA(INDEX(音調表!$J$3:$J$10, MATCH(TRUE, EXACT(MID($C10,L$30,1), 音調表!$I$3:$I$10),0)),""),MID($C10,L$30,1)))</f>
        <v/>
      </c>
      <c r="M10" s="76" t="str" cm="1">
        <f t="array" ref="M10">IF(M$30&gt;($D10+1),"",IF(M$30=($D10+1), _xlfn.IFNA(INDEX(音調表!$J$3:$J$10, MATCH(TRUE, EXACT(MID($C10,M$30,1), 音調表!$I$3:$I$10),0)),""),MID($C10,M$30,1)))</f>
        <v/>
      </c>
    </row>
    <row r="11" spans="2:16" hidden="1" outlineLevel="2">
      <c r="B11" s="7" t="s">
        <v>362</v>
      </c>
      <c r="C11" s="80" t="s">
        <v>376</v>
      </c>
      <c r="D11" s="9">
        <f t="shared" si="0"/>
        <v>2</v>
      </c>
      <c r="E11" s="75" t="str" cm="1">
        <f t="array" ref="E11">IF(E$30&gt;($D11+1),"",IF(E$30=($D11+1), _xlfn.IFNA(INDEX(音調表!$J$3:$J$10, MATCH(TRUE, EXACT(MID($C11,E$30,1), 音調表!$I$3:$I$10),0)),""),MID($C11,E$30,1)))</f>
        <v>ㄗ</v>
      </c>
      <c r="F11" s="75" t="str" cm="1">
        <f t="array" ref="F11">IF(F$30&gt;($D11+1),"",IF(F$30=($D11+1), _xlfn.IFNA(INDEX(音調表!$J$3:$J$10, MATCH(TRUE, EXACT(MID($C11,F$30,1), 音調表!$I$3:$I$10),0)),""),MID($C11,F$30,1)))</f>
        <v>ㆭ</v>
      </c>
      <c r="G11" s="75" t="str" cm="1">
        <f t="array" ref="G11">IF(G$30&gt;($D11+1),"",IF(G$30=($D11+1), _xlfn.IFNA(INDEX(音調表!$J$3:$J$10, MATCH(TRUE, EXACT(MID($C11,G$30,1), 音調表!$I$3:$I$10),0)),""),MID($C11,G$30,1)))</f>
        <v>"</v>
      </c>
      <c r="H11" s="75" t="str" cm="1">
        <f t="array" ref="H11">IF(H$30&gt;($D11+1),"",IF(H$30=($D11+1), _xlfn.IFNA(INDEX(音調表!$J$3:$J$10, MATCH(TRUE, EXACT(MID($C11,H$30,1), 音調表!$I$3:$I$10),0)),""),MID($C11,H$30,1)))</f>
        <v/>
      </c>
      <c r="I11" s="75" t="str" cm="1">
        <f t="array" ref="I11">IF(I$30&gt;($D11+1),"",IF(I$30=($D11+1), _xlfn.IFNA(INDEX(音調表!$J$3:$J$10, MATCH(TRUE, EXACT(MID($C11,I$30,1), 音調表!$I$3:$I$10),0)),""),MID($C11,I$30,1)))</f>
        <v/>
      </c>
      <c r="J11" s="75" t="str" cm="1">
        <f t="array" ref="J11">IF(J$30&gt;($D11+1),"",IF(J$30=($D11+1), _xlfn.IFNA(INDEX(音調表!$J$3:$J$10, MATCH(TRUE, EXACT(MID($C11,J$30,1), 音調表!$I$3:$I$10),0)),""),MID($C11,J$30,1)))</f>
        <v/>
      </c>
      <c r="K11" s="75" t="str" cm="1">
        <f t="array" ref="K11">IF(K$30&gt;($D11+1),"",IF(K$30=($D11+1), _xlfn.IFNA(INDEX(音調表!$J$3:$J$10, MATCH(TRUE, EXACT(MID($C11,K$30,1), 音調表!$I$3:$I$10),0)),""),MID($C11,K$30,1)))</f>
        <v/>
      </c>
      <c r="L11" s="75" t="str" cm="1">
        <f t="array" ref="L11">IF(L$30&gt;($D11+1),"",IF(L$30=($D11+1), _xlfn.IFNA(INDEX(音調表!$J$3:$J$10, MATCH(TRUE, EXACT(MID($C11,L$30,1), 音調表!$I$3:$I$10),0)),""),MID($C11,L$30,1)))</f>
        <v/>
      </c>
      <c r="M11" s="76" t="str" cm="1">
        <f t="array" ref="M11">IF(M$30&gt;($D11+1),"",IF(M$30=($D11+1), _xlfn.IFNA(INDEX(音調表!$J$3:$J$10, MATCH(TRUE, EXACT(MID($C11,M$30,1), 音調表!$I$3:$I$10),0)),""),MID($C11,M$30,1)))</f>
        <v/>
      </c>
    </row>
    <row r="12" spans="2:16" hidden="1" outlineLevel="2">
      <c r="B12" s="7" t="s">
        <v>361</v>
      </c>
      <c r="C12" s="80" t="s">
        <v>379</v>
      </c>
      <c r="D12" s="9">
        <f t="shared" si="0"/>
        <v>5</v>
      </c>
      <c r="E12" s="75" t="str" cm="1">
        <f t="array" ref="E12">IF(E$30&gt;($D12+1),"",IF(E$30=($D12+1), _xlfn.IFNA(INDEX(音調表!$J$3:$J$10, MATCH(TRUE, EXACT(MID($C12,E$30,1), 音調表!$I$3:$I$10),0)),""),MID($C12,E$30,1)))</f>
        <v>ㆡ</v>
      </c>
      <c r="F12" s="75" t="str" cm="1">
        <f t="array" ref="F12">IF(F$30&gt;($D12+1),"",IF(F$30=($D12+1), _xlfn.IFNA(INDEX(音調表!$J$3:$J$10, MATCH(TRUE, EXACT(MID($C12,F$30,1), 音調表!$I$3:$I$10),0)),""),MID($C12,F$30,1)))</f>
        <v>ㄨ</v>
      </c>
      <c r="G12" s="75" t="str" cm="1">
        <f t="array" ref="G12">IF(G$30&gt;($D12+1),"",IF(G$30=($D12+1), _xlfn.IFNA(INDEX(音調表!$J$3:$J$10, MATCH(TRUE, EXACT(MID($C12,G$30,1), 音調表!$I$3:$I$10),0)),""),MID($C12,G$30,1)))</f>
        <v>ㄚ</v>
      </c>
      <c r="H12" s="75" t="str" cm="1">
        <f t="array" ref="H12">IF(H$30&gt;($D12+1),"",IF(H$30=($D12+1), _xlfn.IFNA(INDEX(音調表!$J$3:$J$10, MATCH(TRUE, EXACT(MID($C12,H$30,1), 音調表!$I$3:$I$10),0)),""),MID($C12,H$30,1)))</f>
        <v>ㆷ</v>
      </c>
      <c r="I12" s="75" t="str" cm="1">
        <f t="array" ref="I12">IF(I$30&gt;($D12+1),"",IF(I$30=($D12+1), _xlfn.IFNA(INDEX(音調表!$J$3:$J$10, MATCH(TRUE, EXACT(MID($C12,I$30,1), 音調表!$I$3:$I$10),0)),""),MID($C12,I$30,1)))</f>
        <v>˙</v>
      </c>
      <c r="J12" s="75" t="str" cm="1">
        <f t="array" ref="J12">IF(J$30&gt;($D12+1),"",IF(J$30=($D12+1), _xlfn.IFNA(INDEX(音調表!$J$3:$J$10, MATCH(TRUE, EXACT(MID($C12,J$30,1), 音調表!$I$3:$I$10),0)),""),MID($C12,J$30,1)))</f>
        <v>"</v>
      </c>
      <c r="K12" s="75" t="str" cm="1">
        <f t="array" ref="K12">IF(K$30&gt;($D12+1),"",IF(K$30=($D12+1), _xlfn.IFNA(INDEX(音調表!$J$3:$J$10, MATCH(TRUE, EXACT(MID($C12,K$30,1), 音調表!$I$3:$I$10),0)),""),MID($C12,K$30,1)))</f>
        <v/>
      </c>
      <c r="L12" s="75" t="str" cm="1">
        <f t="array" ref="L12">IF(L$30&gt;($D12+1),"",IF(L$30=($D12+1), _xlfn.IFNA(INDEX(音調表!$J$3:$J$10, MATCH(TRUE, EXACT(MID($C12,L$30,1), 音調表!$I$3:$I$10),0)),""),MID($C12,L$30,1)))</f>
        <v/>
      </c>
      <c r="M12" s="76" t="str" cm="1">
        <f t="array" ref="M12">IF(M$30&gt;($D12+1),"",IF(M$30=($D12+1), _xlfn.IFNA(INDEX(音調表!$J$3:$J$10, MATCH(TRUE, EXACT(MID($C12,M$30,1), 音調表!$I$3:$I$10),0)),""),MID($C12,M$30,1)))</f>
        <v/>
      </c>
    </row>
    <row r="13" spans="2:16" hidden="1" outlineLevel="1" collapsed="1"/>
    <row r="14" spans="2:16" hidden="1" outlineLevel="1">
      <c r="B14" s="77" t="s">
        <v>390</v>
      </c>
    </row>
    <row r="15" spans="2:16" hidden="1" outlineLevel="2">
      <c r="B15" s="125" t="s">
        <v>4</v>
      </c>
      <c r="C15" s="126" t="s">
        <v>195</v>
      </c>
      <c r="D15" s="125" t="s">
        <v>8</v>
      </c>
      <c r="E15" s="127" t="s">
        <v>36</v>
      </c>
      <c r="F15" s="128"/>
      <c r="G15" s="128"/>
      <c r="H15" s="128"/>
      <c r="I15" s="128"/>
      <c r="J15" s="128"/>
      <c r="K15" s="128"/>
      <c r="L15" s="128"/>
      <c r="M15" s="129"/>
    </row>
    <row r="16" spans="2:16" s="2" customFormat="1" ht="30" hidden="1" outlineLevel="2">
      <c r="B16" s="125"/>
      <c r="C16" s="125"/>
      <c r="D16" s="125"/>
      <c r="E16" s="4">
        <v>1</v>
      </c>
      <c r="F16" s="5">
        <v>2</v>
      </c>
      <c r="G16" s="5">
        <v>3</v>
      </c>
      <c r="H16" s="5">
        <v>4</v>
      </c>
      <c r="I16" s="5">
        <v>5</v>
      </c>
      <c r="J16" s="5">
        <v>6</v>
      </c>
      <c r="K16" s="5">
        <v>7</v>
      </c>
      <c r="L16" s="5">
        <v>8</v>
      </c>
      <c r="M16" s="6">
        <v>9</v>
      </c>
    </row>
    <row r="17" spans="2:16" hidden="1" outlineLevel="2">
      <c r="B17" s="7" t="s">
        <v>362</v>
      </c>
      <c r="C17" s="80" t="s">
        <v>381</v>
      </c>
      <c r="D17" s="9">
        <f t="shared" ref="D17:D24" si="1">IF( LEN(C17)&gt;0, LEN(C17), "")</f>
        <v>2</v>
      </c>
      <c r="E17" s="75" t="str" cm="1">
        <f t="array" ref="E17">IF(E$30&gt;($D17+1),"",IF(E$30=($D17+1), _xlfn.IFNA(INDEX(音調表!$J$3:$J$10, MATCH(TRUE, EXACT(MID($C17,E$30,1), 音調表!$I$3:$I$10),0)),""),MID($C17,E$30,1)))</f>
        <v>ㄗ</v>
      </c>
      <c r="F17" s="75" t="str" cm="1">
        <f t="array" ref="F17">IF(F$30&gt;($D17+1),"",IF(F$30=($D17+1), _xlfn.IFNA(INDEX(音調表!$J$3:$J$10, MATCH(TRUE, EXACT(MID($C17,F$30,1), 音調表!$I$3:$I$10),0)),""),MID($C17,F$30,1)))</f>
        <v>ㆭ</v>
      </c>
      <c r="G17" s="75" t="str" cm="1">
        <f t="array" ref="G17">IF(G$30&gt;($D17+1),"",IF(G$30=($D17+1), _xlfn.IFNA(INDEX(音調表!$J$3:$J$10, MATCH(TRUE, EXACT(MID($C17,G$30,1), 音調表!$I$3:$I$10),0)),""),MID($C17,G$30,1)))</f>
        <v>"</v>
      </c>
      <c r="H17" s="75" t="str" cm="1">
        <f t="array" ref="H17">IF(H$30&gt;($D17+1),"",IF(H$30=($D17+1), _xlfn.IFNA(INDEX(音調表!$J$3:$J$10, MATCH(TRUE, EXACT(MID($C17,H$30,1), 音調表!$I$3:$I$10),0)),""),MID($C17,H$30,1)))</f>
        <v/>
      </c>
      <c r="I17" s="75" t="str" cm="1">
        <f t="array" ref="I17">IF(I$30&gt;($D17+1),"",IF(I$30=($D17+1), _xlfn.IFNA(INDEX(音調表!$J$3:$J$10, MATCH(TRUE, EXACT(MID($C17,I$30,1), 音調表!$I$3:$I$10),0)),""),MID($C17,I$30,1)))</f>
        <v/>
      </c>
      <c r="J17" s="75" t="str" cm="1">
        <f t="array" ref="J17">IF(J$30&gt;($D17+1),"",IF(J$30=($D17+1), _xlfn.IFNA(INDEX(音調表!$J$3:$J$10, MATCH(TRUE, EXACT(MID($C17,J$30,1), 音調表!$I$3:$I$10),0)),""),MID($C17,J$30,1)))</f>
        <v/>
      </c>
      <c r="K17" s="75" t="str" cm="1">
        <f t="array" ref="K17">IF(K$30&gt;($D17+1),"",IF(K$30=($D17+1), _xlfn.IFNA(INDEX(音調表!$J$3:$J$10, MATCH(TRUE, EXACT(MID($C17,K$30,1), 音調表!$I$3:$I$10),0)),""),MID($C17,K$30,1)))</f>
        <v/>
      </c>
      <c r="L17" s="75" t="str" cm="1">
        <f t="array" ref="L17">IF(L$30&gt;($D17+1),"",IF(L$30=($D17+1), _xlfn.IFNA(INDEX(音調表!$J$3:$J$10, MATCH(TRUE, EXACT(MID($C17,L$30,1), 音調表!$I$3:$I$10),0)),""),MID($C17,L$30,1)))</f>
        <v/>
      </c>
      <c r="M17" s="76" t="str" cm="1">
        <f t="array" ref="M17">IF(M$30&gt;($D17+1),"",IF(M$30=($D17+1), _xlfn.IFNA(INDEX(音調表!$J$3:$J$10, MATCH(TRUE, EXACT(MID($C17,M$30,1), 音調表!$I$3:$I$10),0)),""),MID($C17,M$30,1)))</f>
        <v/>
      </c>
    </row>
    <row r="18" spans="2:16" hidden="1" outlineLevel="2">
      <c r="B18" s="7" t="s">
        <v>365</v>
      </c>
      <c r="C18" s="80" t="s">
        <v>385</v>
      </c>
      <c r="D18" s="9">
        <f t="shared" si="1"/>
        <v>3</v>
      </c>
      <c r="E18" s="75" t="str" cm="1">
        <f t="array" ref="E18">IF(E$30&gt;($D18+1),"",IF(E$30=($D18+1), _xlfn.IFNA(INDEX(音調表!$J$3:$J$10, MATCH(TRUE, EXACT(MID($C18,E$30,1), 音調表!$I$3:$I$10),0)),""),MID($C18,E$30,1)))</f>
        <v>ㄐ</v>
      </c>
      <c r="F18" s="75" t="str" cm="1">
        <f t="array" ref="F18">IF(F$30&gt;($D18+1),"",IF(F$30=($D18+1), _xlfn.IFNA(INDEX(音調表!$J$3:$J$10, MATCH(TRUE, EXACT(MID($C18,F$30,1), 音調表!$I$3:$I$10),0)),""),MID($C18,F$30,1)))</f>
        <v>ㄧ</v>
      </c>
      <c r="G18" s="75" t="str" cm="1">
        <f t="array" ref="G18">IF(G$30&gt;($D18+1),"",IF(G$30=($D18+1), _xlfn.IFNA(INDEX(音調表!$J$3:$J$10, MATCH(TRUE, EXACT(MID($C18,G$30,1), 音調表!$I$3:$I$10),0)),""),MID($C18,G$30,1)))</f>
        <v>ㄥ</v>
      </c>
      <c r="H18" s="75" t="str" cm="1">
        <f t="array" ref="H18">IF(H$30&gt;($D18+1),"",IF(H$30=($D18+1), _xlfn.IFNA(INDEX(音調表!$J$3:$J$10, MATCH(TRUE, EXACT(MID($C18,H$30,1), 音調表!$I$3:$I$10),0)),""),MID($C18,H$30,1)))</f>
        <v>"</v>
      </c>
      <c r="I18" s="75" t="str" cm="1">
        <f t="array" ref="I18">IF(I$30&gt;($D18+1),"",IF(I$30=($D18+1), _xlfn.IFNA(INDEX(音調表!$J$3:$J$10, MATCH(TRUE, EXACT(MID($C18,I$30,1), 音調表!$I$3:$I$10),0)),""),MID($C18,I$30,1)))</f>
        <v/>
      </c>
      <c r="J18" s="75" t="str" cm="1">
        <f t="array" ref="J18">IF(J$30&gt;($D18+1),"",IF(J$30=($D18+1), _xlfn.IFNA(INDEX(音調表!$J$3:$J$10, MATCH(TRUE, EXACT(MID($C18,J$30,1), 音調表!$I$3:$I$10),0)),""),MID($C18,J$30,1)))</f>
        <v/>
      </c>
      <c r="K18" s="75" t="str" cm="1">
        <f t="array" ref="K18">IF(K$30&gt;($D18+1),"",IF(K$30=($D18+1), _xlfn.IFNA(INDEX(音調表!$J$3:$J$10, MATCH(TRUE, EXACT(MID($C18,K$30,1), 音調表!$I$3:$I$10),0)),""),MID($C18,K$30,1)))</f>
        <v/>
      </c>
      <c r="L18" s="75" t="str" cm="1">
        <f t="array" ref="L18">IF(L$30&gt;($D18+1),"",IF(L$30=($D18+1), _xlfn.IFNA(INDEX(音調表!$J$3:$J$10, MATCH(TRUE, EXACT(MID($C18,L$30,1), 音調表!$I$3:$I$10),0)),""),MID($C18,L$30,1)))</f>
        <v/>
      </c>
      <c r="M18" s="76" t="str" cm="1">
        <f t="array" ref="M18">IF(M$30&gt;($D18+1),"",IF(M$30=($D18+1), _xlfn.IFNA(INDEX(音調表!$J$3:$J$10, MATCH(TRUE, EXACT(MID($C18,M$30,1), 音調表!$I$3:$I$10),0)),""),MID($C18,M$30,1)))</f>
        <v/>
      </c>
    </row>
    <row r="19" spans="2:16" hidden="1" outlineLevel="2">
      <c r="B19" s="7" t="s">
        <v>363</v>
      </c>
      <c r="C19" s="80" t="s">
        <v>382</v>
      </c>
      <c r="D19" s="9">
        <f t="shared" si="1"/>
        <v>2</v>
      </c>
      <c r="E19" s="75" t="str" cm="1">
        <f t="array" ref="E19">IF(E$30&gt;($D19+1),"",IF(E$30=($D19+1), _xlfn.IFNA(INDEX(音調表!$J$3:$J$10, MATCH(TRUE, EXACT(MID($C19,E$30,1), 音調表!$I$3:$I$10),0)),""),MID($C19,E$30,1)))</f>
        <v>ㄘ</v>
      </c>
      <c r="F19" s="75" t="str" cm="1">
        <f t="array" ref="F19">IF(F$30&gt;($D19+1),"",IF(F$30=($D19+1), _xlfn.IFNA(INDEX(音調表!$J$3:$J$10, MATCH(TRUE, EXACT(MID($C19,F$30,1), 音調表!$I$3:$I$10),0)),""),MID($C19,F$30,1)))</f>
        <v>ㆦ</v>
      </c>
      <c r="G19" s="75" t="str" cm="1">
        <f t="array" ref="G19">IF(G$30&gt;($D19+1),"",IF(G$30=($D19+1), _xlfn.IFNA(INDEX(音調表!$J$3:$J$10, MATCH(TRUE, EXACT(MID($C19,G$30,1), 音調表!$I$3:$I$10),0)),""),MID($C19,G$30,1)))</f>
        <v>"</v>
      </c>
      <c r="H19" s="75" t="str" cm="1">
        <f t="array" ref="H19">IF(H$30&gt;($D19+1),"",IF(H$30=($D19+1), _xlfn.IFNA(INDEX(音調表!$J$3:$J$10, MATCH(TRUE, EXACT(MID($C19,H$30,1), 音調表!$I$3:$I$10),0)),""),MID($C19,H$30,1)))</f>
        <v/>
      </c>
      <c r="I19" s="75" t="str" cm="1">
        <f t="array" ref="I19">IF(I$30&gt;($D19+1),"",IF(I$30=($D19+1), _xlfn.IFNA(INDEX(音調表!$J$3:$J$10, MATCH(TRUE, EXACT(MID($C19,I$30,1), 音調表!$I$3:$I$10),0)),""),MID($C19,I$30,1)))</f>
        <v/>
      </c>
      <c r="J19" s="75" t="str" cm="1">
        <f t="array" ref="J19">IF(J$30&gt;($D19+1),"",IF(J$30=($D19+1), _xlfn.IFNA(INDEX(音調表!$J$3:$J$10, MATCH(TRUE, EXACT(MID($C19,J$30,1), 音調表!$I$3:$I$10),0)),""),MID($C19,J$30,1)))</f>
        <v/>
      </c>
      <c r="K19" s="75" t="str" cm="1">
        <f t="array" ref="K19">IF(K$30&gt;($D19+1),"",IF(K$30=($D19+1), _xlfn.IFNA(INDEX(音調表!$J$3:$J$10, MATCH(TRUE, EXACT(MID($C19,K$30,1), 音調表!$I$3:$I$10),0)),""),MID($C19,K$30,1)))</f>
        <v/>
      </c>
      <c r="L19" s="75" t="str" cm="1">
        <f t="array" ref="L19">IF(L$30&gt;($D19+1),"",IF(L$30=($D19+1), _xlfn.IFNA(INDEX(音調表!$J$3:$J$10, MATCH(TRUE, EXACT(MID($C19,L$30,1), 音調表!$I$3:$I$10),0)),""),MID($C19,L$30,1)))</f>
        <v/>
      </c>
      <c r="M19" s="76" t="str" cm="1">
        <f t="array" ref="M19">IF(M$30&gt;($D19+1),"",IF(M$30=($D19+1), _xlfn.IFNA(INDEX(音調表!$J$3:$J$10, MATCH(TRUE, EXACT(MID($C19,M$30,1), 音調表!$I$3:$I$10),0)),""),MID($C19,M$30,1)))</f>
        <v/>
      </c>
      <c r="O19" s="2"/>
      <c r="P19" s="2"/>
    </row>
    <row r="20" spans="2:16" hidden="1" outlineLevel="2">
      <c r="B20" s="7" t="s">
        <v>366</v>
      </c>
      <c r="C20" s="80" t="s">
        <v>386</v>
      </c>
      <c r="D20" s="9">
        <f t="shared" si="1"/>
        <v>3</v>
      </c>
      <c r="E20" s="75" t="str" cm="1">
        <f t="array" ref="E20">IF(E$30&gt;($D20+1),"",IF(E$30=($D20+1), _xlfn.IFNA(INDEX(音調表!$J$3:$J$10, MATCH(TRUE, EXACT(MID($C20,E$30,1), 音調表!$I$3:$I$10),0)),""),MID($C20,E$30,1)))</f>
        <v>ㄑ</v>
      </c>
      <c r="F20" s="75" t="str" cm="1">
        <f t="array" ref="F20">IF(F$30&gt;($D20+1),"",IF(F$30=($D20+1), _xlfn.IFNA(INDEX(音調表!$J$3:$J$10, MATCH(TRUE, EXACT(MID($C20,F$30,1), 音調表!$I$3:$I$10),0)),""),MID($C20,F$30,1)))</f>
        <v>ㄧ</v>
      </c>
      <c r="G20" s="75" t="str" cm="1">
        <f t="array" ref="G20">IF(G$30&gt;($D20+1),"",IF(G$30=($D20+1), _xlfn.IFNA(INDEX(音調表!$J$3:$J$10, MATCH(TRUE, EXACT(MID($C20,G$30,1), 音調表!$I$3:$I$10),0)),""),MID($C20,G$30,1)))</f>
        <v>ㄥ</v>
      </c>
      <c r="H20" s="75" t="str" cm="1">
        <f t="array" ref="H20">IF(H$30&gt;($D20+1),"",IF(H$30=($D20+1), _xlfn.IFNA(INDEX(音調表!$J$3:$J$10, MATCH(TRUE, EXACT(MID($C20,H$30,1), 音調表!$I$3:$I$10),0)),""),MID($C20,H$30,1)))</f>
        <v>"</v>
      </c>
      <c r="I20" s="75" t="str" cm="1">
        <f t="array" ref="I20">IF(I$30&gt;($D20+1),"",IF(I$30=($D20+1), _xlfn.IFNA(INDEX(音調表!$J$3:$J$10, MATCH(TRUE, EXACT(MID($C20,I$30,1), 音調表!$I$3:$I$10),0)),""),MID($C20,I$30,1)))</f>
        <v/>
      </c>
      <c r="J20" s="75" t="str" cm="1">
        <f t="array" ref="J20">IF(J$30&gt;($D20+1),"",IF(J$30=($D20+1), _xlfn.IFNA(INDEX(音調表!$J$3:$J$10, MATCH(TRUE, EXACT(MID($C20,J$30,1), 音調表!$I$3:$I$10),0)),""),MID($C20,J$30,1)))</f>
        <v/>
      </c>
      <c r="K20" s="75" t="str" cm="1">
        <f t="array" ref="K20">IF(K$30&gt;($D20+1),"",IF(K$30=($D20+1), _xlfn.IFNA(INDEX(音調表!$J$3:$J$10, MATCH(TRUE, EXACT(MID($C20,K$30,1), 音調表!$I$3:$I$10),0)),""),MID($C20,K$30,1)))</f>
        <v/>
      </c>
      <c r="L20" s="75" t="str" cm="1">
        <f t="array" ref="L20">IF(L$30&gt;($D20+1),"",IF(L$30=($D20+1), _xlfn.IFNA(INDEX(音調表!$J$3:$J$10, MATCH(TRUE, EXACT(MID($C20,L$30,1), 音調表!$I$3:$I$10),0)),""),MID($C20,L$30,1)))</f>
        <v/>
      </c>
      <c r="M20" s="76" t="str" cm="1">
        <f t="array" ref="M20">IF(M$30&gt;($D20+1),"",IF(M$30=($D20+1), _xlfn.IFNA(INDEX(音調表!$J$3:$J$10, MATCH(TRUE, EXACT(MID($C20,M$30,1), 音調表!$I$3:$I$10),0)),""),MID($C20,M$30,1)))</f>
        <v/>
      </c>
      <c r="O20" s="2"/>
      <c r="P20" s="2"/>
    </row>
    <row r="21" spans="2:16" hidden="1" outlineLevel="2">
      <c r="B21" s="7" t="s">
        <v>368</v>
      </c>
      <c r="C21" s="80" t="s">
        <v>383</v>
      </c>
      <c r="D21" s="9">
        <f t="shared" si="1"/>
        <v>2</v>
      </c>
      <c r="E21" s="75" t="str" cm="1">
        <f t="array" ref="E21">IF(E$30&gt;($D21+1),"",IF(E$30=($D21+1), _xlfn.IFNA(INDEX(音調表!$J$3:$J$10, MATCH(TRUE, EXACT(MID($C21,E$30,1), 音調表!$I$3:$I$10),0)),""),MID($C21,E$30,1)))</f>
        <v>ㄙ</v>
      </c>
      <c r="F21" s="75" t="str" cm="1">
        <f t="array" ref="F21">IF(F$30&gt;($D21+1),"",IF(F$30=($D21+1), _xlfn.IFNA(INDEX(音調表!$J$3:$J$10, MATCH(TRUE, EXACT(MID($C21,F$30,1), 音調表!$I$3:$I$10),0)),""),MID($C21,F$30,1)))</f>
        <v>ㆦ</v>
      </c>
      <c r="G21" s="75" t="str" cm="1">
        <f t="array" ref="G21">IF(G$30&gt;($D21+1),"",IF(G$30=($D21+1), _xlfn.IFNA(INDEX(音調表!$J$3:$J$10, MATCH(TRUE, EXACT(MID($C21,G$30,1), 音調表!$I$3:$I$10),0)),""),MID($C21,G$30,1)))</f>
        <v>"</v>
      </c>
      <c r="H21" s="75" t="str" cm="1">
        <f t="array" ref="H21">IF(H$30&gt;($D21+1),"",IF(H$30=($D21+1), _xlfn.IFNA(INDEX(音調表!$J$3:$J$10, MATCH(TRUE, EXACT(MID($C21,H$30,1), 音調表!$I$3:$I$10),0)),""),MID($C21,H$30,1)))</f>
        <v/>
      </c>
      <c r="I21" s="75" t="str" cm="1">
        <f t="array" ref="I21">IF(I$30&gt;($D21+1),"",IF(I$30=($D21+1), _xlfn.IFNA(INDEX(音調表!$J$3:$J$10, MATCH(TRUE, EXACT(MID($C21,I$30,1), 音調表!$I$3:$I$10),0)),""),MID($C21,I$30,1)))</f>
        <v/>
      </c>
      <c r="J21" s="75" t="str" cm="1">
        <f t="array" ref="J21">IF(J$30&gt;($D21+1),"",IF(J$30=($D21+1), _xlfn.IFNA(INDEX(音調表!$J$3:$J$10, MATCH(TRUE, EXACT(MID($C21,J$30,1), 音調表!$I$3:$I$10),0)),""),MID($C21,J$30,1)))</f>
        <v/>
      </c>
      <c r="K21" s="75" t="str" cm="1">
        <f t="array" ref="K21">IF(K$30&gt;($D21+1),"",IF(K$30=($D21+1), _xlfn.IFNA(INDEX(音調表!$J$3:$J$10, MATCH(TRUE, EXACT(MID($C21,K$30,1), 音調表!$I$3:$I$10),0)),""),MID($C21,K$30,1)))</f>
        <v/>
      </c>
      <c r="L21" s="75" t="str" cm="1">
        <f t="array" ref="L21">IF(L$30&gt;($D21+1),"",IF(L$30=($D21+1), _xlfn.IFNA(INDEX(音調表!$J$3:$J$10, MATCH(TRUE, EXACT(MID($C21,L$30,1), 音調表!$I$3:$I$10),0)),""),MID($C21,L$30,1)))</f>
        <v/>
      </c>
      <c r="M21" s="76" t="str" cm="1">
        <f t="array" ref="M21">IF(M$30&gt;($D21+1),"",IF(M$30=($D21+1), _xlfn.IFNA(INDEX(音調表!$J$3:$J$10, MATCH(TRUE, EXACT(MID($C21,M$30,1), 音調表!$I$3:$I$10),0)),""),MID($C21,M$30,1)))</f>
        <v/>
      </c>
    </row>
    <row r="22" spans="2:16" hidden="1" outlineLevel="2">
      <c r="B22" s="7" t="s">
        <v>367</v>
      </c>
      <c r="C22" s="80" t="s">
        <v>387</v>
      </c>
      <c r="D22" s="9">
        <f t="shared" si="1"/>
        <v>3</v>
      </c>
      <c r="E22" s="75" t="str" cm="1">
        <f t="array" ref="E22">IF(E$30&gt;($D22+1),"",IF(E$30=($D22+1), _xlfn.IFNA(INDEX(音調表!$J$3:$J$10, MATCH(TRUE, EXACT(MID($C22,E$30,1), 音調表!$I$3:$I$10),0)),""),MID($C22,E$30,1)))</f>
        <v>ㄒ</v>
      </c>
      <c r="F22" s="75" t="str" cm="1">
        <f t="array" ref="F22">IF(F$30&gt;($D22+1),"",IF(F$30=($D22+1), _xlfn.IFNA(INDEX(音調表!$J$3:$J$10, MATCH(TRUE, EXACT(MID($C22,F$30,1), 音調表!$I$3:$I$10),0)),""),MID($C22,F$30,1)))</f>
        <v>ㄧ</v>
      </c>
      <c r="G22" s="75" t="str" cm="1">
        <f t="array" ref="G22">IF(G$30&gt;($D22+1),"",IF(G$30=($D22+1), _xlfn.IFNA(INDEX(音調表!$J$3:$J$10, MATCH(TRUE, EXACT(MID($C22,G$30,1), 音調表!$I$3:$I$10),0)),""),MID($C22,G$30,1)))</f>
        <v>ㆬ</v>
      </c>
      <c r="H22" s="75" t="str" cm="1">
        <f t="array" ref="H22">IF(H$30&gt;($D22+1),"",IF(H$30=($D22+1), _xlfn.IFNA(INDEX(音調表!$J$3:$J$10, MATCH(TRUE, EXACT(MID($C22,H$30,1), 音調表!$I$3:$I$10),0)),""),MID($C22,H$30,1)))</f>
        <v>"</v>
      </c>
      <c r="I22" s="75" t="str" cm="1">
        <f t="array" ref="I22">IF(I$30&gt;($D22+1),"",IF(I$30=($D22+1), _xlfn.IFNA(INDEX(音調表!$J$3:$J$10, MATCH(TRUE, EXACT(MID($C22,I$30,1), 音調表!$I$3:$I$10),0)),""),MID($C22,I$30,1)))</f>
        <v/>
      </c>
      <c r="J22" s="75" t="str" cm="1">
        <f t="array" ref="J22">IF(J$30&gt;($D22+1),"",IF(J$30=($D22+1), _xlfn.IFNA(INDEX(音調表!$J$3:$J$10, MATCH(TRUE, EXACT(MID($C22,J$30,1), 音調表!$I$3:$I$10),0)),""),MID($C22,J$30,1)))</f>
        <v/>
      </c>
      <c r="K22" s="75" t="str" cm="1">
        <f t="array" ref="K22">IF(K$30&gt;($D22+1),"",IF(K$30=($D22+1), _xlfn.IFNA(INDEX(音調表!$J$3:$J$10, MATCH(TRUE, EXACT(MID($C22,K$30,1), 音調表!$I$3:$I$10),0)),""),MID($C22,K$30,1)))</f>
        <v/>
      </c>
      <c r="L22" s="75" t="str" cm="1">
        <f t="array" ref="L22">IF(L$30&gt;($D22+1),"",IF(L$30=($D22+1), _xlfn.IFNA(INDEX(音調表!$J$3:$J$10, MATCH(TRUE, EXACT(MID($C22,L$30,1), 音調表!$I$3:$I$10),0)),""),MID($C22,L$30,1)))</f>
        <v/>
      </c>
      <c r="M22" s="76" t="str" cm="1">
        <f t="array" ref="M22">IF(M$30&gt;($D22+1),"",IF(M$30=($D22+1), _xlfn.IFNA(INDEX(音調表!$J$3:$J$10, MATCH(TRUE, EXACT(MID($C22,M$30,1), 音調表!$I$3:$I$10),0)),""),MID($C22,M$30,1)))</f>
        <v/>
      </c>
    </row>
    <row r="23" spans="2:16" hidden="1" outlineLevel="2">
      <c r="B23" s="7" t="s">
        <v>361</v>
      </c>
      <c r="C23" s="80" t="s">
        <v>384</v>
      </c>
      <c r="D23" s="9">
        <f t="shared" si="1"/>
        <v>5</v>
      </c>
      <c r="E23" s="75" t="str" cm="1">
        <f t="array" ref="E23">IF(E$30&gt;($D23+1),"",IF(E$30=($D23+1), _xlfn.IFNA(INDEX(音調表!$J$3:$J$10, MATCH(TRUE, EXACT(MID($C23,E$30,1), 音調表!$I$3:$I$10),0)),""),MID($C23,E$30,1)))</f>
        <v>ㆡ</v>
      </c>
      <c r="F23" s="75" t="str" cm="1">
        <f t="array" ref="F23">IF(F$30&gt;($D23+1),"",IF(F$30=($D23+1), _xlfn.IFNA(INDEX(音調表!$J$3:$J$10, MATCH(TRUE, EXACT(MID($C23,F$30,1), 音調表!$I$3:$I$10),0)),""),MID($C23,F$30,1)))</f>
        <v>ㄨ</v>
      </c>
      <c r="G23" s="75" t="str" cm="1">
        <f t="array" ref="G23">IF(G$30&gt;($D23+1),"",IF(G$30=($D23+1), _xlfn.IFNA(INDEX(音調表!$J$3:$J$10, MATCH(TRUE, EXACT(MID($C23,G$30,1), 音調表!$I$3:$I$10),0)),""),MID($C23,G$30,1)))</f>
        <v>ㄚ</v>
      </c>
      <c r="H23" s="75" t="str" cm="1">
        <f t="array" ref="H23">IF(H$30&gt;($D23+1),"",IF(H$30=($D23+1), _xlfn.IFNA(INDEX(音調表!$J$3:$J$10, MATCH(TRUE, EXACT(MID($C23,H$30,1), 音調表!$I$3:$I$10),0)),""),MID($C23,H$30,1)))</f>
        <v>ㆷ</v>
      </c>
      <c r="I23" s="75" t="str" cm="1">
        <f t="array" ref="I23">IF(I$30&gt;($D23+1),"",IF(I$30=($D23+1), _xlfn.IFNA(INDEX(音調表!$J$3:$J$10, MATCH(TRUE, EXACT(MID($C23,I$30,1), 音調表!$I$3:$I$10),0)),""),MID($C23,I$30,1)))</f>
        <v>˙</v>
      </c>
      <c r="J23" s="75" t="str" cm="1">
        <f t="array" ref="J23">IF(J$30&gt;($D23+1),"",IF(J$30=($D23+1), _xlfn.IFNA(INDEX(音調表!$J$3:$J$10, MATCH(TRUE, EXACT(MID($C23,J$30,1), 音調表!$I$3:$I$10),0)),""),MID($C23,J$30,1)))</f>
        <v>"</v>
      </c>
      <c r="K23" s="75" t="str" cm="1">
        <f t="array" ref="K23">IF(K$30&gt;($D23+1),"",IF(K$30=($D23+1), _xlfn.IFNA(INDEX(音調表!$J$3:$J$10, MATCH(TRUE, EXACT(MID($C23,K$30,1), 音調表!$I$3:$I$10),0)),""),MID($C23,K$30,1)))</f>
        <v/>
      </c>
      <c r="L23" s="75" t="str" cm="1">
        <f t="array" ref="L23">IF(L$30&gt;($D23+1),"",IF(L$30=($D23+1), _xlfn.IFNA(INDEX(音調表!$J$3:$J$10, MATCH(TRUE, EXACT(MID($C23,L$30,1), 音調表!$I$3:$I$10),0)),""),MID($C23,L$30,1)))</f>
        <v/>
      </c>
      <c r="M23" s="76" t="str" cm="1">
        <f t="array" ref="M23">IF(M$30&gt;($D23+1),"",IF(M$30=($D23+1), _xlfn.IFNA(INDEX(音調表!$J$3:$J$10, MATCH(TRUE, EXACT(MID($C23,M$30,1), 音調表!$I$3:$I$10),0)),""),MID($C23,M$30,1)))</f>
        <v/>
      </c>
      <c r="O23" s="2"/>
      <c r="P23" s="2"/>
    </row>
    <row r="24" spans="2:16" hidden="1" outlineLevel="2">
      <c r="B24" s="7" t="s">
        <v>364</v>
      </c>
      <c r="C24" s="80" t="s">
        <v>388</v>
      </c>
      <c r="D24" s="9">
        <f t="shared" si="1"/>
        <v>4</v>
      </c>
      <c r="E24" s="75" t="str" cm="1">
        <f t="array" ref="E24">IF(E$30&gt;($D24+1),"",IF(E$30=($D24+1), _xlfn.IFNA(INDEX(音調表!$J$3:$J$10, MATCH(TRUE, EXACT(MID($C24,E$30,1), 音調表!$I$3:$I$10),0)),""),MID($C24,E$30,1)))</f>
        <v>ㆢ</v>
      </c>
      <c r="F24" s="75" t="str" cm="1">
        <f t="array" ref="F24">IF(F$30&gt;($D24+1),"",IF(F$30=($D24+1), _xlfn.IFNA(INDEX(音調表!$J$3:$J$10, MATCH(TRUE, EXACT(MID($C24,F$30,1), 音調表!$I$3:$I$10),0)),""),MID($C24,F$30,1)))</f>
        <v>ㄧ</v>
      </c>
      <c r="G24" s="75" t="str" cm="1">
        <f t="array" ref="G24">IF(G$30&gt;($D24+1),"",IF(G$30=($D24+1), _xlfn.IFNA(INDEX(音調表!$J$3:$J$10, MATCH(TRUE, EXACT(MID($C24,G$30,1), 音調表!$I$3:$I$10),0)),""),MID($C24,G$30,1)))</f>
        <v>ㆵ</v>
      </c>
      <c r="H24" s="75" t="str" cm="1">
        <f t="array" ref="H24">IF(H$30&gt;($D24+1),"",IF(H$30=($D24+1), _xlfn.IFNA(INDEX(音調表!$J$3:$J$10, MATCH(TRUE, EXACT(MID($C24,H$30,1), 音調表!$I$3:$I$10),0)),""),MID($C24,H$30,1)))</f>
        <v>˙</v>
      </c>
      <c r="I24" s="75" t="str" cm="1">
        <f t="array" ref="I24">IF(I$30&gt;($D24+1),"",IF(I$30=($D24+1), _xlfn.IFNA(INDEX(音調表!$J$3:$J$10, MATCH(TRUE, EXACT(MID($C24,I$30,1), 音調表!$I$3:$I$10),0)),""),MID($C24,I$30,1)))</f>
        <v>"</v>
      </c>
      <c r="J24" s="75" t="str" cm="1">
        <f t="array" ref="J24">IF(J$30&gt;($D24+1),"",IF(J$30=($D24+1), _xlfn.IFNA(INDEX(音調表!$J$3:$J$10, MATCH(TRUE, EXACT(MID($C24,J$30,1), 音調表!$I$3:$I$10),0)),""),MID($C24,J$30,1)))</f>
        <v/>
      </c>
      <c r="K24" s="75" t="str" cm="1">
        <f t="array" ref="K24">IF(K$30&gt;($D24+1),"",IF(K$30=($D24+1), _xlfn.IFNA(INDEX(音調表!$J$3:$J$10, MATCH(TRUE, EXACT(MID($C24,K$30,1), 音調表!$I$3:$I$10),0)),""),MID($C24,K$30,1)))</f>
        <v/>
      </c>
      <c r="L24" s="75" t="str" cm="1">
        <f t="array" ref="L24">IF(L$30&gt;($D24+1),"",IF(L$30=($D24+1), _xlfn.IFNA(INDEX(音調表!$J$3:$J$10, MATCH(TRUE, EXACT(MID($C24,L$30,1), 音調表!$I$3:$I$10),0)),""),MID($C24,L$30,1)))</f>
        <v/>
      </c>
      <c r="M24" s="76" t="str" cm="1">
        <f t="array" ref="M24">IF(M$30&gt;($D24+1),"",IF(M$30=($D24+1), _xlfn.IFNA(INDEX(音調表!$J$3:$J$10, MATCH(TRUE, EXACT(MID($C24,M$30,1), 音調表!$I$3:$I$10),0)),""),MID($C24,M$30,1)))</f>
        <v/>
      </c>
      <c r="O24" s="2"/>
      <c r="P24" s="2"/>
    </row>
    <row r="25" spans="2:16" hidden="1" outlineLevel="1" collapsed="1"/>
    <row r="26" spans="2:16" ht="45.75" collapsed="1">
      <c r="B26" s="78" t="s">
        <v>293</v>
      </c>
    </row>
    <row r="28" spans="2:16" hidden="1" outlineLevel="1">
      <c r="B28" s="77" t="s">
        <v>292</v>
      </c>
    </row>
    <row r="29" spans="2:16" hidden="1" outlineLevel="2">
      <c r="B29" s="125" t="s">
        <v>4</v>
      </c>
      <c r="C29" s="126" t="s">
        <v>195</v>
      </c>
      <c r="D29" s="125" t="s">
        <v>8</v>
      </c>
      <c r="E29" s="127" t="s">
        <v>36</v>
      </c>
      <c r="F29" s="128"/>
      <c r="G29" s="128"/>
      <c r="H29" s="128"/>
      <c r="I29" s="128"/>
      <c r="J29" s="128"/>
      <c r="K29" s="128"/>
      <c r="L29" s="128"/>
      <c r="M29" s="129"/>
    </row>
    <row r="30" spans="2:16" s="2" customFormat="1" ht="30" hidden="1" outlineLevel="2">
      <c r="B30" s="125"/>
      <c r="C30" s="125"/>
      <c r="D30" s="125"/>
      <c r="E30" s="4">
        <v>1</v>
      </c>
      <c r="F30" s="5">
        <v>2</v>
      </c>
      <c r="G30" s="5">
        <v>3</v>
      </c>
      <c r="H30" s="5">
        <v>4</v>
      </c>
      <c r="I30" s="5">
        <v>5</v>
      </c>
      <c r="J30" s="5">
        <v>6</v>
      </c>
      <c r="K30" s="5">
        <v>7</v>
      </c>
      <c r="L30" s="5">
        <v>8</v>
      </c>
      <c r="M30" s="6">
        <v>9</v>
      </c>
    </row>
    <row r="31" spans="2:16" hidden="1" outlineLevel="2">
      <c r="B31" s="7" t="s">
        <v>71</v>
      </c>
      <c r="C31" s="8" t="s">
        <v>294</v>
      </c>
      <c r="D31" s="9">
        <f>IF( LEN(C31)&gt;0, LEN(C31), "")</f>
        <v>3</v>
      </c>
      <c r="E31" s="75" t="str" cm="1">
        <f t="array" ref="E31">IF(E$30&gt;($D31+1),"",IF(E$30=($D31+1), _xlfn.IFNA(INDEX(音調表!$J$3:$J$10, MATCH(TRUE, EXACT(MID($C31,E$30,1), 音調表!$I$3:$I$10),0)),""),MID($C31,E$30,1)))</f>
        <v>ㄅ</v>
      </c>
      <c r="F31" s="75" t="str" cm="1">
        <f t="array" ref="F31">IF(F$30&gt;($D31+1),"",IF(F$30=($D31+1), _xlfn.IFNA(INDEX(音調表!$J$3:$J$10, MATCH(TRUE, EXACT(MID($C31,F$30,1), 音調表!$I$3:$I$10),0)),""),MID($C31,F$30,1)))</f>
        <v>ㄨ</v>
      </c>
      <c r="G31" s="75" t="str" cm="1">
        <f t="array" ref="G31">IF(G$30&gt;($D31+1),"",IF(G$30=($D31+1), _xlfn.IFNA(INDEX(音調表!$J$3:$J$10, MATCH(TRUE, EXACT(MID($C31,G$30,1), 音調表!$I$3:$I$10),0)),""),MID($C31,G$30,1)))</f>
        <v>ㆵ</v>
      </c>
      <c r="H31" s="75" t="str" cm="1">
        <f t="array" ref="H31">IF(H$30&gt;($D31+1),"",IF(H$30=($D31+1), _xlfn.IFNA(INDEX(音調表!$J$3:$J$10, MATCH(TRUE, EXACT(MID($C31,H$30,1), 音調表!$I$3:$I$10),0)),""),MID($C31,H$30,1)))</f>
        <v>"</v>
      </c>
      <c r="I31" s="75" t="str" cm="1">
        <f t="array" ref="I31">IF(I$30&gt;($D31+1),"",IF(I$30=($D31+1), _xlfn.IFNA(INDEX(音調表!$J$3:$J$10, MATCH(TRUE, EXACT(MID($C31,I$30,1), 音調表!$I$3:$I$10),0)),""),MID($C31,I$30,1)))</f>
        <v/>
      </c>
      <c r="J31" s="75" t="str" cm="1">
        <f t="array" ref="J31">IF(J$30&gt;($D31+1),"",IF(J$30=($D31+1), _xlfn.IFNA(INDEX(音調表!$J$3:$J$10, MATCH(TRUE, EXACT(MID($C31,J$30,1), 音調表!$I$3:$I$10),0)),""),MID($C31,J$30,1)))</f>
        <v/>
      </c>
      <c r="K31" s="75" t="str" cm="1">
        <f t="array" ref="K31">IF(K$30&gt;($D31+1),"",IF(K$30=($D31+1), _xlfn.IFNA(INDEX(音調表!$J$3:$J$10, MATCH(TRUE, EXACT(MID($C31,K$30,1), 音調表!$I$3:$I$10),0)),""),MID($C31,K$30,1)))</f>
        <v/>
      </c>
      <c r="L31" s="75" t="str" cm="1">
        <f t="array" ref="L31">IF(L$30&gt;($D31+1),"",IF(L$30=($D31+1), _xlfn.IFNA(INDEX(音調表!$J$3:$J$10, MATCH(TRUE, EXACT(MID($C31,L$30,1), 音調表!$I$3:$I$10),0)),""),MID($C31,L$30,1)))</f>
        <v/>
      </c>
      <c r="M31" s="76" t="str" cm="1">
        <f t="array" ref="M31">IF(M$30&gt;($D31+1),"",IF(M$30=($D31+1), _xlfn.IFNA(INDEX(音調表!$J$3:$J$10, MATCH(TRUE, EXACT(MID($C31,M$30,1), 音調表!$I$3:$I$10),0)),""),MID($C31,M$30,1)))</f>
        <v/>
      </c>
      <c r="O31" s="2"/>
      <c r="P31" s="2"/>
    </row>
    <row r="32" spans="2:16" hidden="1" outlineLevel="2">
      <c r="B32" s="7" t="s">
        <v>279</v>
      </c>
      <c r="C32" s="8" t="s">
        <v>295</v>
      </c>
      <c r="D32" s="9">
        <f>IF( LEN(C32)&gt;0, LEN(C32), "")</f>
        <v>5</v>
      </c>
      <c r="E32" s="75" t="str" cm="1">
        <f t="array" ref="E32">IF(E$30&gt;($D32+1),"",IF(E$30=($D32+1), _xlfn.IFNA(INDEX(音調表!$J$3:$J$10, MATCH(TRUE, EXACT(MID($C32,E$30,1), 音調表!$I$3:$I$10),0)),""),MID($C32,E$30,1)))</f>
        <v>ㄒ</v>
      </c>
      <c r="F32" s="75" t="str" cm="1">
        <f t="array" ref="F32">IF(F$30&gt;($D32+1),"",IF(F$30=($D32+1), _xlfn.IFNA(INDEX(音調表!$J$3:$J$10, MATCH(TRUE, EXACT(MID($C32,F$30,1), 音調表!$I$3:$I$10),0)),""),MID($C32,F$30,1)))</f>
        <v>ㄧ</v>
      </c>
      <c r="G32" s="75" t="str" cm="1">
        <f t="array" ref="G32">IF(G$30&gt;($D32+1),"",IF(G$30=($D32+1), _xlfn.IFNA(INDEX(音調表!$J$3:$J$10, MATCH(TRUE, EXACT(MID($C32,G$30,1), 音調表!$I$3:$I$10),0)),""),MID($C32,G$30,1)))</f>
        <v>ㆦ</v>
      </c>
      <c r="H32" s="75" t="str" cm="1">
        <f t="array" ref="H32">IF(H$30&gt;($D32+1),"",IF(H$30=($D32+1), _xlfn.IFNA(INDEX(音調表!$J$3:$J$10, MATCH(TRUE, EXACT(MID($C32,H$30,1), 音調表!$I$3:$I$10),0)),""),MID($C32,H$30,1)))</f>
        <v>ㆻ</v>
      </c>
      <c r="I32" s="75" t="str" cm="1">
        <f t="array" ref="I32">IF(I$30&gt;($D32+1),"",IF(I$30=($D32+1), _xlfn.IFNA(INDEX(音調表!$J$3:$J$10, MATCH(TRUE, EXACT(MID($C32,I$30,1), 音調表!$I$3:$I$10),0)),""),MID($C32,I$30,1)))</f>
        <v>˙</v>
      </c>
      <c r="J32" s="75" t="str" cm="1">
        <f t="array" ref="J32">IF(J$30&gt;($D32+1),"",IF(J$30=($D32+1), _xlfn.IFNA(INDEX(音調表!$J$3:$J$10, MATCH(TRUE, EXACT(MID($C32,J$30,1), 音調表!$I$3:$I$10),0)),""),MID($C32,J$30,1)))</f>
        <v>"</v>
      </c>
      <c r="K32" s="75" t="str" cm="1">
        <f t="array" ref="K32">IF(K$30&gt;($D32+1),"",IF(K$30=($D32+1), _xlfn.IFNA(INDEX(音調表!$J$3:$J$10, MATCH(TRUE, EXACT(MID($C32,K$30,1), 音調表!$I$3:$I$10),0)),""),MID($C32,K$30,1)))</f>
        <v/>
      </c>
      <c r="L32" s="75" t="str" cm="1">
        <f t="array" ref="L32">IF(L$30&gt;($D32+1),"",IF(L$30=($D32+1), _xlfn.IFNA(INDEX(音調表!$J$3:$J$10, MATCH(TRUE, EXACT(MID($C32,L$30,1), 音調表!$I$3:$I$10),0)),""),MID($C32,L$30,1)))</f>
        <v/>
      </c>
      <c r="M32" s="76" t="str" cm="1">
        <f t="array" ref="M32">IF(M$30&gt;($D32+1),"",IF(M$30=($D32+1), _xlfn.IFNA(INDEX(音調表!$J$3:$J$10, MATCH(TRUE, EXACT(MID($C32,M$30,1), 音調表!$I$3:$I$10),0)),""),MID($C32,M$30,1)))</f>
        <v/>
      </c>
    </row>
    <row r="33" spans="2:16" hidden="1" outlineLevel="1" collapsed="1"/>
    <row r="34" spans="2:16" hidden="1" outlineLevel="1">
      <c r="B34" s="77" t="s">
        <v>296</v>
      </c>
    </row>
    <row r="35" spans="2:16" hidden="1" outlineLevel="2">
      <c r="B35" s="125" t="s">
        <v>4</v>
      </c>
      <c r="C35" s="126" t="s">
        <v>195</v>
      </c>
      <c r="D35" s="125" t="s">
        <v>8</v>
      </c>
      <c r="E35" s="127" t="s">
        <v>36</v>
      </c>
      <c r="F35" s="128"/>
      <c r="G35" s="128"/>
      <c r="H35" s="128"/>
      <c r="I35" s="128"/>
      <c r="J35" s="128"/>
      <c r="K35" s="128"/>
      <c r="L35" s="128"/>
      <c r="M35" s="129"/>
    </row>
    <row r="36" spans="2:16" s="2" customFormat="1" ht="30" hidden="1" outlineLevel="2">
      <c r="B36" s="125"/>
      <c r="C36" s="125"/>
      <c r="D36" s="125"/>
      <c r="E36" s="4">
        <v>1</v>
      </c>
      <c r="F36" s="5">
        <v>2</v>
      </c>
      <c r="G36" s="5">
        <v>3</v>
      </c>
      <c r="H36" s="5">
        <v>4</v>
      </c>
      <c r="I36" s="5">
        <v>5</v>
      </c>
      <c r="J36" s="5">
        <v>6</v>
      </c>
      <c r="K36" s="5">
        <v>7</v>
      </c>
      <c r="L36" s="5">
        <v>8</v>
      </c>
      <c r="M36" s="6">
        <v>9</v>
      </c>
    </row>
    <row r="37" spans="2:16" hidden="1" outlineLevel="2">
      <c r="B37" s="7" t="s">
        <v>71</v>
      </c>
      <c r="C37" s="8" t="s">
        <v>297</v>
      </c>
      <c r="D37" s="9">
        <f>IF( LEN(C37)&gt;0, LEN(C37), "")</f>
        <v>3</v>
      </c>
      <c r="E37" s="75" t="str" cm="1">
        <f t="array" ref="E37">IF(E$30&gt;($D37+1),"",IF(E$30=($D37+1), _xlfn.IFNA(INDEX(音調表!$J$3:$J$10, MATCH(TRUE, EXACT(MID($C37,E$30,1), 音調表!$I$3:$I$10),0)),""),MID($C37,E$30,1)))</f>
        <v>ㄅ</v>
      </c>
      <c r="F37" s="75" t="str" cm="1">
        <f t="array" ref="F37">IF(F$30&gt;($D37+1),"",IF(F$30=($D37+1), _xlfn.IFNA(INDEX(音調表!$J$3:$J$10, MATCH(TRUE, EXACT(MID($C37,F$30,1), 音調表!$I$3:$I$10),0)),""),MID($C37,F$30,1)))</f>
        <v>ㄨ</v>
      </c>
      <c r="G37" s="75" t="str" cm="1">
        <f t="array" ref="G37">IF(G$30&gt;($D37+1),"",IF(G$30=($D37+1), _xlfn.IFNA(INDEX(音調表!$J$3:$J$10, MATCH(TRUE, EXACT(MID($C37,G$30,1), 音調表!$I$3:$I$10),0)),""),MID($C37,G$30,1)))</f>
        <v>ㄉ</v>
      </c>
      <c r="H37" s="75" t="str" cm="1">
        <f t="array" ref="H37">IF(H$30&gt;($D37+1),"",IF(H$30=($D37+1), _xlfn.IFNA(INDEX(音調表!$J$3:$J$10, MATCH(TRUE, EXACT(MID($C37,H$30,1), 音調表!$I$3:$I$10),0)),""),MID($C37,H$30,1)))</f>
        <v>"</v>
      </c>
      <c r="I37" s="75" t="str" cm="1">
        <f t="array" ref="I37">IF(I$30&gt;($D37+1),"",IF(I$30=($D37+1), _xlfn.IFNA(INDEX(音調表!$J$3:$J$10, MATCH(TRUE, EXACT(MID($C37,I$30,1), 音調表!$I$3:$I$10),0)),""),MID($C37,I$30,1)))</f>
        <v/>
      </c>
      <c r="J37" s="75" t="str" cm="1">
        <f t="array" ref="J37">IF(J$30&gt;($D37+1),"",IF(J$30=($D37+1), _xlfn.IFNA(INDEX(音調表!$J$3:$J$10, MATCH(TRUE, EXACT(MID($C37,J$30,1), 音調表!$I$3:$I$10),0)),""),MID($C37,J$30,1)))</f>
        <v/>
      </c>
      <c r="K37" s="75" t="str" cm="1">
        <f t="array" ref="K37">IF(K$30&gt;($D37+1),"",IF(K$30=($D37+1), _xlfn.IFNA(INDEX(音調表!$J$3:$J$10, MATCH(TRUE, EXACT(MID($C37,K$30,1), 音調表!$I$3:$I$10),0)),""),MID($C37,K$30,1)))</f>
        <v/>
      </c>
      <c r="L37" s="75" t="str" cm="1">
        <f t="array" ref="L37">IF(L$30&gt;($D37+1),"",IF(L$30=($D37+1), _xlfn.IFNA(INDEX(音調表!$J$3:$J$10, MATCH(TRUE, EXACT(MID($C37,L$30,1), 音調表!$I$3:$I$10),0)),""),MID($C37,L$30,1)))</f>
        <v/>
      </c>
      <c r="M37" s="76" t="str" cm="1">
        <f t="array" ref="M37">IF(M$30&gt;($D37+1),"",IF(M$30=($D37+1), _xlfn.IFNA(INDEX(音調表!$J$3:$J$10, MATCH(TRUE, EXACT(MID($C37,M$30,1), 音調表!$I$3:$I$10),0)),""),MID($C37,M$30,1)))</f>
        <v/>
      </c>
      <c r="O37" s="2"/>
      <c r="P37" s="2"/>
    </row>
    <row r="38" spans="2:16" hidden="1" outlineLevel="2">
      <c r="B38" s="7" t="s">
        <v>279</v>
      </c>
      <c r="C38" s="8" t="s">
        <v>298</v>
      </c>
      <c r="D38" s="9">
        <f>IF( LEN(C38)&gt;0, LEN(C38), "")</f>
        <v>5</v>
      </c>
      <c r="E38" s="75" t="str" cm="1">
        <f t="array" ref="E38">IF(E$30&gt;($D38+1),"",IF(E$30=($D38+1), _xlfn.IFNA(INDEX(音調表!$J$3:$J$10, MATCH(TRUE, EXACT(MID($C38,E$30,1), 音調表!$I$3:$I$10),0)),""),MID($C38,E$30,1)))</f>
        <v>ㄒ</v>
      </c>
      <c r="F38" s="75" t="str" cm="1">
        <f t="array" ref="F38">IF(F$30&gt;($D38+1),"",IF(F$30=($D38+1), _xlfn.IFNA(INDEX(音調表!$J$3:$J$10, MATCH(TRUE, EXACT(MID($C38,F$30,1), 音調表!$I$3:$I$10),0)),""),MID($C38,F$30,1)))</f>
        <v>ㄧ</v>
      </c>
      <c r="G38" s="75" t="str" cm="1">
        <f t="array" ref="G38">IF(G$30&gt;($D38+1),"",IF(G$30=($D38+1), _xlfn.IFNA(INDEX(音調表!$J$3:$J$10, MATCH(TRUE, EXACT(MID($C38,G$30,1), 音調表!$I$3:$I$10),0)),""),MID($C38,G$30,1)))</f>
        <v>ㆦ</v>
      </c>
      <c r="H38" s="75" t="str" cm="1">
        <f t="array" ref="H38">IF(H$30&gt;($D38+1),"",IF(H$30=($D38+1), _xlfn.IFNA(INDEX(音調表!$J$3:$J$10, MATCH(TRUE, EXACT(MID($C38,H$30,1), 音調表!$I$3:$I$10),0)),""),MID($C38,H$30,1)))</f>
        <v>ㄍ</v>
      </c>
      <c r="I38" s="75" t="str" cm="1">
        <f t="array" ref="I38">IF(I$30&gt;($D38+1),"",IF(I$30=($D38+1), _xlfn.IFNA(INDEX(音調表!$J$3:$J$10, MATCH(TRUE, EXACT(MID($C38,I$30,1), 音調表!$I$3:$I$10),0)),""),MID($C38,I$30,1)))</f>
        <v>˙</v>
      </c>
      <c r="J38" s="75" t="str" cm="1">
        <f t="array" ref="J38">IF(J$30&gt;($D38+1),"",IF(J$30=($D38+1), _xlfn.IFNA(INDEX(音調表!$J$3:$J$10, MATCH(TRUE, EXACT(MID($C38,J$30,1), 音調表!$I$3:$I$10),0)),""),MID($C38,J$30,1)))</f>
        <v>"</v>
      </c>
      <c r="K38" s="75" t="str" cm="1">
        <f t="array" ref="K38">IF(K$30&gt;($D38+1),"",IF(K$30=($D38+1), _xlfn.IFNA(INDEX(音調表!$J$3:$J$10, MATCH(TRUE, EXACT(MID($C38,K$30,1), 音調表!$I$3:$I$10),0)),""),MID($C38,K$30,1)))</f>
        <v/>
      </c>
      <c r="L38" s="75" t="str" cm="1">
        <f t="array" ref="L38">IF(L$30&gt;($D38+1),"",IF(L$30=($D38+1), _xlfn.IFNA(INDEX(音調表!$J$3:$J$10, MATCH(TRUE, EXACT(MID($C38,L$30,1), 音調表!$I$3:$I$10),0)),""),MID($C38,L$30,1)))</f>
        <v/>
      </c>
      <c r="M38" s="76" t="str" cm="1">
        <f t="array" ref="M38">IF(M$30&gt;($D38+1),"",IF(M$30=($D38+1), _xlfn.IFNA(INDEX(音調表!$J$3:$J$10, MATCH(TRUE, EXACT(MID($C38,M$30,1), 音調表!$I$3:$I$10),0)),""),MID($C38,M$30,1)))</f>
        <v/>
      </c>
    </row>
    <row r="39" spans="2:16" hidden="1" outlineLevel="1" collapsed="1"/>
    <row r="40" spans="2:16" hidden="1" outlineLevel="1">
      <c r="B40" s="77" t="s">
        <v>299</v>
      </c>
    </row>
    <row r="41" spans="2:16" hidden="1" outlineLevel="2">
      <c r="B41" s="125" t="s">
        <v>4</v>
      </c>
      <c r="C41" s="126" t="s">
        <v>195</v>
      </c>
      <c r="D41" s="125" t="s">
        <v>8</v>
      </c>
      <c r="E41" s="127" t="s">
        <v>36</v>
      </c>
      <c r="F41" s="128"/>
      <c r="G41" s="128"/>
      <c r="H41" s="128"/>
      <c r="I41" s="128"/>
      <c r="J41" s="128"/>
      <c r="K41" s="128"/>
      <c r="L41" s="128"/>
      <c r="M41" s="129"/>
    </row>
    <row r="42" spans="2:16" s="2" customFormat="1" ht="30" hidden="1" outlineLevel="2">
      <c r="B42" s="125"/>
      <c r="C42" s="125"/>
      <c r="D42" s="125"/>
      <c r="E42" s="4">
        <v>1</v>
      </c>
      <c r="F42" s="5">
        <v>2</v>
      </c>
      <c r="G42" s="5">
        <v>3</v>
      </c>
      <c r="H42" s="5">
        <v>4</v>
      </c>
      <c r="I42" s="5">
        <v>5</v>
      </c>
      <c r="J42" s="5">
        <v>6</v>
      </c>
      <c r="K42" s="5">
        <v>7</v>
      </c>
      <c r="L42" s="5">
        <v>8</v>
      </c>
      <c r="M42" s="6">
        <v>9</v>
      </c>
    </row>
    <row r="43" spans="2:16" ht="45.75" hidden="1" outlineLevel="2">
      <c r="B43" s="7" t="s">
        <v>71</v>
      </c>
      <c r="C43" s="8" t="s">
        <v>300</v>
      </c>
      <c r="D43" s="9">
        <f>IF( LEN(C43)&gt;0, LEN(C43), "")</f>
        <v>5</v>
      </c>
      <c r="E43" s="75" t="str" cm="1">
        <f t="array" ref="E43">IF(E$30&gt;($D43+1),"",IF(E$30=($D43+1), _xlfn.IFNA(INDEX(音調表!$J$3:$J$10, MATCH(TRUE, EXACT(MID($C43,E$30,1), 音調表!$I$3:$I$10),0)),""),MID($C43,E$30,1)))</f>
        <v>ㄅ</v>
      </c>
      <c r="F43" s="75" t="str" cm="1">
        <f t="array" ref="F43">IF(F$30&gt;($D43+1),"",IF(F$30=($D43+1), _xlfn.IFNA(INDEX(音調表!$J$3:$J$10, MATCH(TRUE, EXACT(MID($C43,F$30,1), 音調表!$I$3:$I$10),0)),""),MID($C43,F$30,1)))</f>
        <v>ㄨ</v>
      </c>
      <c r="G43" s="79" t="s">
        <v>89</v>
      </c>
      <c r="H43" s="75"/>
      <c r="I43" s="75"/>
      <c r="J43" s="75"/>
      <c r="K43" s="75" t="str" cm="1">
        <f t="array" ref="K43">IF(K$30&gt;($D43+1),"",IF(K$30=($D43+1), _xlfn.IFNA(INDEX(音調表!$J$3:$J$10, MATCH(TRUE, EXACT(MID($C43,K$30,1), 音調表!$I$3:$I$10),0)),""),MID($C43,K$30,1)))</f>
        <v/>
      </c>
      <c r="L43" s="75" t="str" cm="1">
        <f t="array" ref="L43">IF(L$30&gt;($D43+1),"",IF(L$30=($D43+1), _xlfn.IFNA(INDEX(音調表!$J$3:$J$10, MATCH(TRUE, EXACT(MID($C43,L$30,1), 音調表!$I$3:$I$10),0)),""),MID($C43,L$30,1)))</f>
        <v/>
      </c>
      <c r="M43" s="76" t="str" cm="1">
        <f t="array" ref="M43">IF(M$30&gt;($D43+1),"",IF(M$30=($D43+1), _xlfn.IFNA(INDEX(音調表!$J$3:$J$10, MATCH(TRUE, EXACT(MID($C43,M$30,1), 音調表!$I$3:$I$10),0)),""),MID($C43,M$30,1)))</f>
        <v/>
      </c>
      <c r="O43" s="2"/>
      <c r="P43" s="2"/>
    </row>
    <row r="44" spans="2:16" ht="45.75" hidden="1" outlineLevel="2">
      <c r="B44" s="7" t="s">
        <v>279</v>
      </c>
      <c r="C44" s="8" t="s">
        <v>301</v>
      </c>
      <c r="D44" s="9">
        <f>IF( LEN(C44)&gt;0, LEN(C44), "")</f>
        <v>6</v>
      </c>
      <c r="E44" s="75" t="str" cm="1">
        <f t="array" ref="E44">IF(E$30&gt;($D44+1),"",IF(E$30=($D44+1), _xlfn.IFNA(INDEX(音調表!$J$3:$J$10, MATCH(TRUE, EXACT(MID($C44,E$30,1), 音調表!$I$3:$I$10),0)),""),MID($C44,E$30,1)))</f>
        <v>ㄒ</v>
      </c>
      <c r="F44" s="75" t="str" cm="1">
        <f t="array" ref="F44">IF(F$30&gt;($D44+1),"",IF(F$30=($D44+1), _xlfn.IFNA(INDEX(音調表!$J$3:$J$10, MATCH(TRUE, EXACT(MID($C44,F$30,1), 音調表!$I$3:$I$10),0)),""),MID($C44,F$30,1)))</f>
        <v>ㄧ</v>
      </c>
      <c r="G44" s="75" t="str" cm="1">
        <f t="array" ref="G44">IF(G$30&gt;($D44+1),"",IF(G$30=($D44+1), _xlfn.IFNA(INDEX(音調表!$J$3:$J$10, MATCH(TRUE, EXACT(MID($C44,G$30,1), 音調表!$I$3:$I$10),0)),""),MID($C44,G$30,1)))</f>
        <v>ㆦ</v>
      </c>
      <c r="H44" s="79" t="s">
        <v>89</v>
      </c>
      <c r="I44" s="75"/>
      <c r="J44" s="75"/>
      <c r="K44" s="75"/>
      <c r="L44" s="75" t="str" cm="1">
        <f t="array" ref="L44">IF(L$30&gt;($D44+1),"",IF(L$30=($D44+1), _xlfn.IFNA(INDEX(音調表!$J$3:$J$10, MATCH(TRUE, EXACT(MID($C44,L$30,1), 音調表!$I$3:$I$10),0)),""),MID($C44,L$30,1)))</f>
        <v/>
      </c>
      <c r="M44" s="76" t="str" cm="1">
        <f t="array" ref="M44">IF(M$30&gt;($D44+1),"",IF(M$30=($D44+1), _xlfn.IFNA(INDEX(音調表!$J$3:$J$10, MATCH(TRUE, EXACT(MID($C44,M$30,1), 音調表!$I$3:$I$10),0)),""),MID($C44,M$30,1)))</f>
        <v/>
      </c>
    </row>
    <row r="45" spans="2:16" hidden="1" outlineLevel="1" collapsed="1"/>
    <row r="46" spans="2:16" ht="45.75" collapsed="1">
      <c r="B46" s="78" t="s">
        <v>302</v>
      </c>
    </row>
    <row r="48" spans="2:16" hidden="1" outlineLevel="1">
      <c r="B48" s="77" t="s">
        <v>292</v>
      </c>
    </row>
    <row r="49" spans="2:16" hidden="1" outlineLevel="2">
      <c r="B49" s="125" t="s">
        <v>4</v>
      </c>
      <c r="C49" s="126" t="s">
        <v>195</v>
      </c>
      <c r="D49" s="125" t="s">
        <v>8</v>
      </c>
      <c r="E49" s="127" t="s">
        <v>36</v>
      </c>
      <c r="F49" s="128"/>
      <c r="G49" s="128"/>
      <c r="H49" s="128"/>
      <c r="I49" s="128"/>
      <c r="J49" s="128"/>
      <c r="K49" s="128"/>
      <c r="L49" s="128"/>
      <c r="M49" s="129"/>
    </row>
    <row r="50" spans="2:16" s="2" customFormat="1" ht="30" hidden="1" outlineLevel="2">
      <c r="B50" s="125"/>
      <c r="C50" s="125"/>
      <c r="D50" s="125"/>
      <c r="E50" s="4">
        <v>1</v>
      </c>
      <c r="F50" s="5">
        <v>2</v>
      </c>
      <c r="G50" s="5">
        <v>3</v>
      </c>
      <c r="H50" s="5">
        <v>4</v>
      </c>
      <c r="I50" s="5">
        <v>5</v>
      </c>
      <c r="J50" s="5">
        <v>6</v>
      </c>
      <c r="K50" s="5">
        <v>7</v>
      </c>
      <c r="L50" s="5">
        <v>8</v>
      </c>
      <c r="M50" s="6">
        <v>9</v>
      </c>
    </row>
    <row r="51" spans="2:16" hidden="1" outlineLevel="2">
      <c r="B51" s="7" t="s">
        <v>306</v>
      </c>
      <c r="C51" s="8" t="s">
        <v>305</v>
      </c>
      <c r="D51" s="9">
        <f>IF( LEN(C51)&gt;0, LEN(C51), "")</f>
        <v>2</v>
      </c>
      <c r="E51" s="75" t="str" cm="1">
        <f t="array" ref="E51">IF(E$30&gt;($D51+1),"",IF(E$30=($D51+1), _xlfn.IFNA(INDEX(音調表!$J$3:$J$10, MATCH(TRUE, EXACT(MID($C51,E$30,1), 音調表!$I$3:$I$10),0)),""),MID($C51,E$30,1)))</f>
        <v>ㆩ</v>
      </c>
      <c r="F51" s="75" t="str" cm="1">
        <f t="array" ref="F51">IF(F$30&gt;($D51+1),"",IF(F$30=($D51+1), _xlfn.IFNA(INDEX(音調表!$J$3:$J$10, MATCH(TRUE, EXACT(MID($C51,F$30,1), 音調表!$I$3:$I$10),0)),""),MID($C51,F$30,1)))</f>
        <v>˫</v>
      </c>
      <c r="G51" s="75" t="str" cm="1">
        <f t="array" ref="G51">IF(G$30&gt;($D51+1),"",IF(G$30=($D51+1), _xlfn.IFNA(INDEX(音調表!$J$3:$J$10, MATCH(TRUE, EXACT(MID($C51,G$30,1), 音調表!$I$3:$I$10),0)),""),MID($C51,G$30,1)))</f>
        <v>"</v>
      </c>
      <c r="H51" s="75" t="str" cm="1">
        <f t="array" ref="H51">IF(H$30&gt;($D51+1),"",IF(H$30=($D51+1), _xlfn.IFNA(INDEX(音調表!$J$3:$J$10, MATCH(TRUE, EXACT(MID($C51,H$30,1), 音調表!$I$3:$I$10),0)),""),MID($C51,H$30,1)))</f>
        <v/>
      </c>
      <c r="I51" s="75" t="str" cm="1">
        <f t="array" ref="I51">IF(I$30&gt;($D51+1),"",IF(I$30=($D51+1), _xlfn.IFNA(INDEX(音調表!$J$3:$J$10, MATCH(TRUE, EXACT(MID($C51,I$30,1), 音調表!$I$3:$I$10),0)),""),MID($C51,I$30,1)))</f>
        <v/>
      </c>
      <c r="J51" s="75" t="str" cm="1">
        <f t="array" ref="J51">IF(J$30&gt;($D51+1),"",IF(J$30=($D51+1), _xlfn.IFNA(INDEX(音調表!$J$3:$J$10, MATCH(TRUE, EXACT(MID($C51,J$30,1), 音調表!$I$3:$I$10),0)),""),MID($C51,J$30,1)))</f>
        <v/>
      </c>
      <c r="K51" s="75" t="str" cm="1">
        <f t="array" ref="K51">IF(K$30&gt;($D51+1),"",IF(K$30=($D51+1), _xlfn.IFNA(INDEX(音調表!$J$3:$J$10, MATCH(TRUE, EXACT(MID($C51,K$30,1), 音調表!$I$3:$I$10),0)),""),MID($C51,K$30,1)))</f>
        <v/>
      </c>
      <c r="L51" s="75" t="str" cm="1">
        <f t="array" ref="L51">IF(L$30&gt;($D51+1),"",IF(L$30=($D51+1), _xlfn.IFNA(INDEX(音調表!$J$3:$J$10, MATCH(TRUE, EXACT(MID($C51,L$30,1), 音調表!$I$3:$I$10),0)),""),MID($C51,L$30,1)))</f>
        <v/>
      </c>
      <c r="M51" s="76" t="str" cm="1">
        <f t="array" ref="M51">IF(M$30&gt;($D51+1),"",IF(M$30=($D51+1), _xlfn.IFNA(INDEX(音調表!$J$3:$J$10, MATCH(TRUE, EXACT(MID($C51,M$30,1), 音調表!$I$3:$I$10),0)),""),MID($C51,M$30,1)))</f>
        <v/>
      </c>
      <c r="O51" s="2"/>
      <c r="P51" s="2"/>
    </row>
    <row r="52" spans="2:16" hidden="1" outlineLevel="2">
      <c r="B52" s="7" t="s">
        <v>308</v>
      </c>
      <c r="C52" s="8" t="s">
        <v>307</v>
      </c>
      <c r="D52" s="9">
        <f t="shared" ref="D52:D61" si="2">IF( LEN(C52)&gt;0, LEN(C52), "")</f>
        <v>2</v>
      </c>
      <c r="E52" s="75" t="str" cm="1">
        <f t="array" ref="E52">IF(E$30&gt;($D52+1),"",IF(E$30=($D52+1), _xlfn.IFNA(INDEX(音調表!$J$3:$J$10, MATCH(TRUE, EXACT(MID($C52,E$30,1), 音調表!$I$3:$I$10),0)),""),MID($C52,E$30,1)))</f>
        <v>ㆪ</v>
      </c>
      <c r="F52" s="75" t="str" cm="1">
        <f t="array" ref="F52">IF(F$30&gt;($D52+1),"",IF(F$30=($D52+1), _xlfn.IFNA(INDEX(音調表!$J$3:$J$10, MATCH(TRUE, EXACT(MID($C52,F$30,1), 音調表!$I$3:$I$10),0)),""),MID($C52,F$30,1)))</f>
        <v>˫</v>
      </c>
      <c r="G52" s="75" t="str" cm="1">
        <f t="array" ref="G52">IF(G$30&gt;($D52+1),"",IF(G$30=($D52+1), _xlfn.IFNA(INDEX(音調表!$J$3:$J$10, MATCH(TRUE, EXACT(MID($C52,G$30,1), 音調表!$I$3:$I$10),0)),""),MID($C52,G$30,1)))</f>
        <v>"</v>
      </c>
      <c r="H52" s="75" t="str" cm="1">
        <f t="array" ref="H52">IF(H$30&gt;($D52+1),"",IF(H$30=($D52+1), _xlfn.IFNA(INDEX(音調表!$J$3:$J$10, MATCH(TRUE, EXACT(MID($C52,H$30,1), 音調表!$I$3:$I$10),0)),""),MID($C52,H$30,1)))</f>
        <v/>
      </c>
      <c r="I52" s="75" t="str" cm="1">
        <f t="array" ref="I52">IF(I$30&gt;($D52+1),"",IF(I$30=($D52+1), _xlfn.IFNA(INDEX(音調表!$J$3:$J$10, MATCH(TRUE, EXACT(MID($C52,I$30,1), 音調表!$I$3:$I$10),0)),""),MID($C52,I$30,1)))</f>
        <v/>
      </c>
      <c r="J52" s="75" t="str" cm="1">
        <f t="array" ref="J52">IF(J$30&gt;($D52+1),"",IF(J$30=($D52+1), _xlfn.IFNA(INDEX(音調表!$J$3:$J$10, MATCH(TRUE, EXACT(MID($C52,J$30,1), 音調表!$I$3:$I$10),0)),""),MID($C52,J$30,1)))</f>
        <v/>
      </c>
      <c r="K52" s="75" t="str" cm="1">
        <f t="array" ref="K52">IF(K$30&gt;($D52+1),"",IF(K$30=($D52+1), _xlfn.IFNA(INDEX(音調表!$J$3:$J$10, MATCH(TRUE, EXACT(MID($C52,K$30,1), 音調表!$I$3:$I$10),0)),""),MID($C52,K$30,1)))</f>
        <v/>
      </c>
      <c r="L52" s="75" t="str" cm="1">
        <f t="array" ref="L52">IF(L$30&gt;($D52+1),"",IF(L$30=($D52+1), _xlfn.IFNA(INDEX(音調表!$J$3:$J$10, MATCH(TRUE, EXACT(MID($C52,L$30,1), 音調表!$I$3:$I$10),0)),""),MID($C52,L$30,1)))</f>
        <v/>
      </c>
      <c r="M52" s="76" t="str" cm="1">
        <f t="array" ref="M52">IF(M$30&gt;($D52+1),"",IF(M$30=($D52+1), _xlfn.IFNA(INDEX(音調表!$J$3:$J$10, MATCH(TRUE, EXACT(MID($C52,M$30,1), 音調表!$I$3:$I$10),0)),""),MID($C52,M$30,1)))</f>
        <v/>
      </c>
      <c r="O52" s="2"/>
      <c r="P52" s="2"/>
    </row>
    <row r="53" spans="2:16" hidden="1" outlineLevel="2">
      <c r="B53" s="7" t="s">
        <v>67</v>
      </c>
      <c r="C53" s="8" t="s">
        <v>309</v>
      </c>
      <c r="D53" s="9">
        <f t="shared" si="2"/>
        <v>3</v>
      </c>
      <c r="E53" s="75" t="str" cm="1">
        <f t="array" ref="E53">IF(E$30&gt;($D53+1),"",IF(E$30=($D53+1), _xlfn.IFNA(INDEX(音調表!$J$3:$J$10, MATCH(TRUE, EXACT(MID($C53,E$30,1), 音調表!$I$3:$I$10),0)),""),MID($C53,E$30,1)))</f>
        <v>ㄧ</v>
      </c>
      <c r="F53" s="75" t="str" cm="1">
        <f t="array" ref="F53">IF(F$30&gt;($D53+1),"",IF(F$30=($D53+1), _xlfn.IFNA(INDEX(音調表!$J$3:$J$10, MATCH(TRUE, EXACT(MID($C53,F$30,1), 音調表!$I$3:$I$10),0)),""),MID($C53,F$30,1)))</f>
        <v>ㆫ</v>
      </c>
      <c r="G53" s="75" t="str" cm="1">
        <f t="array" ref="G53">IF(G$30&gt;($D53+1),"",IF(G$30=($D53+1), _xlfn.IFNA(INDEX(音調表!$J$3:$J$10, MATCH(TRUE, EXACT(MID($C53,G$30,1), 音調表!$I$3:$I$10),0)),""),MID($C53,G$30,1)))</f>
        <v>ˊ</v>
      </c>
      <c r="H53" s="75" t="str" cm="1">
        <f t="array" ref="H53">IF(H$30&gt;($D53+1),"",IF(H$30=($D53+1), _xlfn.IFNA(INDEX(音調表!$J$3:$J$10, MATCH(TRUE, EXACT(MID($C53,H$30,1), 音調表!$I$3:$I$10),0)),""),MID($C53,H$30,1)))</f>
        <v>"</v>
      </c>
      <c r="I53" s="75" t="str" cm="1">
        <f t="array" ref="I53">IF(I$30&gt;($D53+1),"",IF(I$30=($D53+1), _xlfn.IFNA(INDEX(音調表!$J$3:$J$10, MATCH(TRUE, EXACT(MID($C53,I$30,1), 音調表!$I$3:$I$10),0)),""),MID($C53,I$30,1)))</f>
        <v/>
      </c>
      <c r="J53" s="75" t="str" cm="1">
        <f t="array" ref="J53">IF(J$30&gt;($D53+1),"",IF(J$30=($D53+1), _xlfn.IFNA(INDEX(音調表!$J$3:$J$10, MATCH(TRUE, EXACT(MID($C53,J$30,1), 音調表!$I$3:$I$10),0)),""),MID($C53,J$30,1)))</f>
        <v/>
      </c>
      <c r="K53" s="75" t="str" cm="1">
        <f t="array" ref="K53">IF(K$30&gt;($D53+1),"",IF(K$30=($D53+1), _xlfn.IFNA(INDEX(音調表!$J$3:$J$10, MATCH(TRUE, EXACT(MID($C53,K$30,1), 音調表!$I$3:$I$10),0)),""),MID($C53,K$30,1)))</f>
        <v/>
      </c>
      <c r="L53" s="75" t="str" cm="1">
        <f t="array" ref="L53">IF(L$30&gt;($D53+1),"",IF(L$30=($D53+1), _xlfn.IFNA(INDEX(音調表!$J$3:$J$10, MATCH(TRUE, EXACT(MID($C53,L$30,1), 音調表!$I$3:$I$10),0)),""),MID($C53,L$30,1)))</f>
        <v/>
      </c>
      <c r="M53" s="76" t="str" cm="1">
        <f t="array" ref="M53">IF(M$30&gt;($D53+1),"",IF(M$30=($D53+1), _xlfn.IFNA(INDEX(音調表!$J$3:$J$10, MATCH(TRUE, EXACT(MID($C53,M$30,1), 音調表!$I$3:$I$10),0)),""),MID($C53,M$30,1)))</f>
        <v/>
      </c>
      <c r="O53" s="2"/>
      <c r="P53" s="2"/>
    </row>
    <row r="54" spans="2:16" hidden="1" outlineLevel="2">
      <c r="B54" s="7" t="s">
        <v>303</v>
      </c>
      <c r="C54" s="8" t="s">
        <v>304</v>
      </c>
      <c r="D54" s="9">
        <f t="shared" si="2"/>
        <v>1</v>
      </c>
      <c r="E54" s="75" t="str" cm="1">
        <f t="array" ref="E54">IF(E$30&gt;($D54+1),"",IF(E$30=($D54+1), _xlfn.IFNA(INDEX(音調表!$J$3:$J$10, MATCH(TRUE, EXACT(MID($C54,E$30,1), 音調表!$I$3:$I$10),0)),""),MID($C54,E$30,1)))</f>
        <v>ㆥ</v>
      </c>
      <c r="F54" s="75" t="str" cm="1">
        <f t="array" ref="F54">IF(F$30&gt;($D54+1),"",IF(F$30=($D54+1), _xlfn.IFNA(INDEX(音調表!$J$3:$J$10, MATCH(TRUE, EXACT(MID($C54,F$30,1), 音調表!$I$3:$I$10),0)),""),MID($C54,F$30,1)))</f>
        <v>"</v>
      </c>
      <c r="G54" s="75" t="str" cm="1">
        <f t="array" ref="G54">IF(G$30&gt;($D54+1),"",IF(G$30=($D54+1), _xlfn.IFNA(INDEX(音調表!$J$3:$J$10, MATCH(TRUE, EXACT(MID($C54,G$30,1), 音調表!$I$3:$I$10),0)),""),MID($C54,G$30,1)))</f>
        <v/>
      </c>
      <c r="H54" s="75" t="str" cm="1">
        <f t="array" ref="H54">IF(H$30&gt;($D54+1),"",IF(H$30=($D54+1), _xlfn.IFNA(INDEX(音調表!$J$3:$J$10, MATCH(TRUE, EXACT(MID($C54,H$30,1), 音調表!$I$3:$I$10),0)),""),MID($C54,H$30,1)))</f>
        <v/>
      </c>
      <c r="I54" s="75" t="str" cm="1">
        <f t="array" ref="I54">IF(I$30&gt;($D54+1),"",IF(I$30=($D54+1), _xlfn.IFNA(INDEX(音調表!$J$3:$J$10, MATCH(TRUE, EXACT(MID($C54,I$30,1), 音調表!$I$3:$I$10),0)),""),MID($C54,I$30,1)))</f>
        <v/>
      </c>
      <c r="J54" s="75" t="str" cm="1">
        <f t="array" ref="J54">IF(J$30&gt;($D54+1),"",IF(J$30=($D54+1), _xlfn.IFNA(INDEX(音調表!$J$3:$J$10, MATCH(TRUE, EXACT(MID($C54,J$30,1), 音調表!$I$3:$I$10),0)),""),MID($C54,J$30,1)))</f>
        <v/>
      </c>
      <c r="K54" s="75" t="str" cm="1">
        <f t="array" ref="K54">IF(K$30&gt;($D54+1),"",IF(K$30=($D54+1), _xlfn.IFNA(INDEX(音調表!$J$3:$J$10, MATCH(TRUE, EXACT(MID($C54,K$30,1), 音調表!$I$3:$I$10),0)),""),MID($C54,K$30,1)))</f>
        <v/>
      </c>
      <c r="L54" s="75" t="str" cm="1">
        <f t="array" ref="L54">IF(L$30&gt;($D54+1),"",IF(L$30=($D54+1), _xlfn.IFNA(INDEX(音調表!$J$3:$J$10, MATCH(TRUE, EXACT(MID($C54,L$30,1), 音調表!$I$3:$I$10),0)),""),MID($C54,L$30,1)))</f>
        <v/>
      </c>
      <c r="M54" s="76" t="str" cm="1">
        <f t="array" ref="M54">IF(M$30&gt;($D54+1),"",IF(M$30=($D54+1), _xlfn.IFNA(INDEX(音調表!$J$3:$J$10, MATCH(TRUE, EXACT(MID($C54,M$30,1), 音調表!$I$3:$I$10),0)),""),MID($C54,M$30,1)))</f>
        <v/>
      </c>
      <c r="O54" s="2"/>
      <c r="P54" s="2"/>
    </row>
    <row r="55" spans="2:16" hidden="1" outlineLevel="2">
      <c r="B55" s="7" t="s">
        <v>311</v>
      </c>
      <c r="C55" s="8" t="s">
        <v>310</v>
      </c>
      <c r="D55" s="9">
        <f t="shared" si="2"/>
        <v>1</v>
      </c>
      <c r="E55" s="75" t="str" cm="1">
        <f t="array" ref="E55">IF(E$30&gt;($D55+1),"",IF(E$30=($D55+1), _xlfn.IFNA(INDEX(音調表!$J$3:$J$10, MATCH(TRUE, EXACT(MID($C55,E$30,1), 音調表!$I$3:$I$10),0)),""),MID($C55,E$30,1)))</f>
        <v>ㆧ</v>
      </c>
      <c r="F55" s="75" t="str" cm="1">
        <f t="array" ref="F55">IF(F$30&gt;($D55+1),"",IF(F$30=($D55+1), _xlfn.IFNA(INDEX(音調表!$J$3:$J$10, MATCH(TRUE, EXACT(MID($C55,F$30,1), 音調表!$I$3:$I$10),0)),""),MID($C55,F$30,1)))</f>
        <v>"</v>
      </c>
      <c r="G55" s="75" t="str" cm="1">
        <f t="array" ref="G55">IF(G$30&gt;($D55+1),"",IF(G$30=($D55+1), _xlfn.IFNA(INDEX(音調表!$J$3:$J$10, MATCH(TRUE, EXACT(MID($C55,G$30,1), 音調表!$I$3:$I$10),0)),""),MID($C55,G$30,1)))</f>
        <v/>
      </c>
      <c r="H55" s="75" t="str" cm="1">
        <f t="array" ref="H55">IF(H$30&gt;($D55+1),"",IF(H$30=($D55+1), _xlfn.IFNA(INDEX(音調表!$J$3:$J$10, MATCH(TRUE, EXACT(MID($C55,H$30,1), 音調表!$I$3:$I$10),0)),""),MID($C55,H$30,1)))</f>
        <v/>
      </c>
      <c r="I55" s="75" t="str" cm="1">
        <f t="array" ref="I55">IF(I$30&gt;($D55+1),"",IF(I$30=($D55+1), _xlfn.IFNA(INDEX(音調表!$J$3:$J$10, MATCH(TRUE, EXACT(MID($C55,I$30,1), 音調表!$I$3:$I$10),0)),""),MID($C55,I$30,1)))</f>
        <v/>
      </c>
      <c r="J55" s="75" t="str" cm="1">
        <f t="array" ref="J55">IF(J$30&gt;($D55+1),"",IF(J$30=($D55+1), _xlfn.IFNA(INDEX(音調表!$J$3:$J$10, MATCH(TRUE, EXACT(MID($C55,J$30,1), 音調表!$I$3:$I$10),0)),""),MID($C55,J$30,1)))</f>
        <v/>
      </c>
      <c r="K55" s="75" t="str" cm="1">
        <f t="array" ref="K55">IF(K$30&gt;($D55+1),"",IF(K$30=($D55+1), _xlfn.IFNA(INDEX(音調表!$J$3:$J$10, MATCH(TRUE, EXACT(MID($C55,K$30,1), 音調表!$I$3:$I$10),0)),""),MID($C55,K$30,1)))</f>
        <v/>
      </c>
      <c r="L55" s="75" t="str" cm="1">
        <f t="array" ref="L55">IF(L$30&gt;($D55+1),"",IF(L$30=($D55+1), _xlfn.IFNA(INDEX(音調表!$J$3:$J$10, MATCH(TRUE, EXACT(MID($C55,L$30,1), 音調表!$I$3:$I$10),0)),""),MID($C55,L$30,1)))</f>
        <v/>
      </c>
      <c r="M55" s="76" t="str" cm="1">
        <f t="array" ref="M55">IF(M$30&gt;($D55+1),"",IF(M$30=($D55+1), _xlfn.IFNA(INDEX(音調表!$J$3:$J$10, MATCH(TRUE, EXACT(MID($C55,M$30,1), 音調表!$I$3:$I$10),0)),""),MID($C55,M$30,1)))</f>
        <v/>
      </c>
    </row>
    <row r="56" spans="2:16" hidden="1" outlineLevel="2">
      <c r="B56" s="7" t="s">
        <v>313</v>
      </c>
      <c r="C56" s="8" t="s">
        <v>312</v>
      </c>
      <c r="D56" s="9">
        <f t="shared" si="2"/>
        <v>2</v>
      </c>
      <c r="E56" s="75" t="str" cm="1">
        <f t="array" ref="E56">IF(E$30&gt;($D56+1),"",IF(E$30=($D56+1), _xlfn.IFNA(INDEX(音調表!$J$3:$J$10, MATCH(TRUE, EXACT(MID($C56,E$30,1), 音調表!$I$3:$I$10),0)),""),MID($C56,E$30,1)))</f>
        <v>ㆮ</v>
      </c>
      <c r="F56" s="75" t="str" cm="1">
        <f t="array" ref="F56">IF(F$30&gt;($D56+1),"",IF(F$30=($D56+1), _xlfn.IFNA(INDEX(音調表!$J$3:$J$10, MATCH(TRUE, EXACT(MID($C56,F$30,1), 音調表!$I$3:$I$10),0)),""),MID($C56,F$30,1)))</f>
        <v>ˊ</v>
      </c>
      <c r="G56" s="75" t="str" cm="1">
        <f t="array" ref="G56">IF(G$30&gt;($D56+1),"",IF(G$30=($D56+1), _xlfn.IFNA(INDEX(音調表!$J$3:$J$10, MATCH(TRUE, EXACT(MID($C56,G$30,1), 音調表!$I$3:$I$10),0)),""),MID($C56,G$30,1)))</f>
        <v>"</v>
      </c>
      <c r="H56" s="75" t="str" cm="1">
        <f t="array" ref="H56">IF(H$30&gt;($D56+1),"",IF(H$30=($D56+1), _xlfn.IFNA(INDEX(音調表!$J$3:$J$10, MATCH(TRUE, EXACT(MID($C56,H$30,1), 音調表!$I$3:$I$10),0)),""),MID($C56,H$30,1)))</f>
        <v/>
      </c>
      <c r="I56" s="75" t="str" cm="1">
        <f t="array" ref="I56">IF(I$30&gt;($D56+1),"",IF(I$30=($D56+1), _xlfn.IFNA(INDEX(音調表!$J$3:$J$10, MATCH(TRUE, EXACT(MID($C56,I$30,1), 音調表!$I$3:$I$10),0)),""),MID($C56,I$30,1)))</f>
        <v/>
      </c>
      <c r="J56" s="75" t="str" cm="1">
        <f t="array" ref="J56">IF(J$30&gt;($D56+1),"",IF(J$30=($D56+1), _xlfn.IFNA(INDEX(音調表!$J$3:$J$10, MATCH(TRUE, EXACT(MID($C56,J$30,1), 音調表!$I$3:$I$10),0)),""),MID($C56,J$30,1)))</f>
        <v/>
      </c>
      <c r="K56" s="75" t="str" cm="1">
        <f t="array" ref="K56">IF(K$30&gt;($D56+1),"",IF(K$30=($D56+1), _xlfn.IFNA(INDEX(音調表!$J$3:$J$10, MATCH(TRUE, EXACT(MID($C56,K$30,1), 音調表!$I$3:$I$10),0)),""),MID($C56,K$30,1)))</f>
        <v/>
      </c>
      <c r="L56" s="75" t="str" cm="1">
        <f t="array" ref="L56">IF(L$30&gt;($D56+1),"",IF(L$30=($D56+1), _xlfn.IFNA(INDEX(音調表!$J$3:$J$10, MATCH(TRUE, EXACT(MID($C56,L$30,1), 音調表!$I$3:$I$10),0)),""),MID($C56,L$30,1)))</f>
        <v/>
      </c>
      <c r="M56" s="76" t="str" cm="1">
        <f t="array" ref="M56">IF(M$30&gt;($D56+1),"",IF(M$30=($D56+1), _xlfn.IFNA(INDEX(音調表!$J$3:$J$10, MATCH(TRUE, EXACT(MID($C56,M$30,1), 音調表!$I$3:$I$10),0)),""),MID($C56,M$30,1)))</f>
        <v/>
      </c>
    </row>
    <row r="57" spans="2:16" hidden="1" outlineLevel="2">
      <c r="B57" s="7" t="s">
        <v>315</v>
      </c>
      <c r="C57" s="8" t="s">
        <v>314</v>
      </c>
      <c r="D57" s="9">
        <f t="shared" si="2"/>
        <v>1</v>
      </c>
      <c r="E57" s="75" t="str" cm="1">
        <f t="array" ref="E57">IF(E$30&gt;($D57+1),"",IF(E$30=($D57+1), _xlfn.IFNA(INDEX(音調表!$J$3:$J$10, MATCH(TRUE, EXACT(MID($C57,E$30,1), 音調表!$I$3:$I$10),0)),""),MID($C57,E$30,1)))</f>
        <v>ㆯ</v>
      </c>
      <c r="F57" s="75" t="str" cm="1">
        <f t="array" ref="F57">IF(F$30&gt;($D57+1),"",IF(F$30=($D57+1), _xlfn.IFNA(INDEX(音調表!$J$3:$J$10, MATCH(TRUE, EXACT(MID($C57,F$30,1), 音調表!$I$3:$I$10),0)),""),MID($C57,F$30,1)))</f>
        <v>"</v>
      </c>
      <c r="G57" s="75" t="str" cm="1">
        <f t="array" ref="G57">IF(G$30&gt;($D57+1),"",IF(G$30=($D57+1), _xlfn.IFNA(INDEX(音調表!$J$3:$J$10, MATCH(TRUE, EXACT(MID($C57,G$30,1), 音調表!$I$3:$I$10),0)),""),MID($C57,G$30,1)))</f>
        <v/>
      </c>
      <c r="H57" s="75" t="str" cm="1">
        <f t="array" ref="H57">IF(H$30&gt;($D57+1),"",IF(H$30=($D57+1), _xlfn.IFNA(INDEX(音調表!$J$3:$J$10, MATCH(TRUE, EXACT(MID($C57,H$30,1), 音調表!$I$3:$I$10),0)),""),MID($C57,H$30,1)))</f>
        <v/>
      </c>
      <c r="I57" s="75" t="str" cm="1">
        <f t="array" ref="I57">IF(I$30&gt;($D57+1),"",IF(I$30=($D57+1), _xlfn.IFNA(INDEX(音調表!$J$3:$J$10, MATCH(TRUE, EXACT(MID($C57,I$30,1), 音調表!$I$3:$I$10),0)),""),MID($C57,I$30,1)))</f>
        <v/>
      </c>
      <c r="J57" s="75" t="str" cm="1">
        <f t="array" ref="J57">IF(J$30&gt;($D57+1),"",IF(J$30=($D57+1), _xlfn.IFNA(INDEX(音調表!$J$3:$J$10, MATCH(TRUE, EXACT(MID($C57,J$30,1), 音調表!$I$3:$I$10),0)),""),MID($C57,J$30,1)))</f>
        <v/>
      </c>
      <c r="K57" s="75" t="str" cm="1">
        <f t="array" ref="K57">IF(K$30&gt;($D57+1),"",IF(K$30=($D57+1), _xlfn.IFNA(INDEX(音調表!$J$3:$J$10, MATCH(TRUE, EXACT(MID($C57,K$30,1), 音調表!$I$3:$I$10),0)),""),MID($C57,K$30,1)))</f>
        <v/>
      </c>
      <c r="L57" s="75" t="str" cm="1">
        <f t="array" ref="L57">IF(L$30&gt;($D57+1),"",IF(L$30=($D57+1), _xlfn.IFNA(INDEX(音調表!$J$3:$J$10, MATCH(TRUE, EXACT(MID($C57,L$30,1), 音調表!$I$3:$I$10),0)),""),MID($C57,L$30,1)))</f>
        <v/>
      </c>
      <c r="M57" s="76" t="str" cm="1">
        <f t="array" ref="M57">IF(M$30&gt;($D57+1),"",IF(M$30=($D57+1), _xlfn.IFNA(INDEX(音調表!$J$3:$J$10, MATCH(TRUE, EXACT(MID($C57,M$30,1), 音調表!$I$3:$I$10),0)),""),MID($C57,M$30,1)))</f>
        <v/>
      </c>
    </row>
    <row r="58" spans="2:16" hidden="1" outlineLevel="2">
      <c r="B58" s="7" t="s">
        <v>333</v>
      </c>
      <c r="C58" s="8" t="s">
        <v>334</v>
      </c>
      <c r="D58" s="9">
        <f t="shared" si="2"/>
        <v>4</v>
      </c>
      <c r="E58" s="75" t="str" cm="1">
        <f t="array" ref="E58">IF(E$30&gt;($D58+1),"",IF(E$30=($D58+1), _xlfn.IFNA(INDEX(音調表!$J$3:$J$10, MATCH(TRUE, EXACT(MID($C58,E$30,1), 音調表!$I$3:$I$10),0)),""),MID($C58,E$30,1)))</f>
        <v>ㆢ</v>
      </c>
      <c r="F58" s="75" t="str" cm="1">
        <f t="array" ref="F58">IF(F$30&gt;($D58+1),"",IF(F$30=($D58+1), _xlfn.IFNA(INDEX(音調表!$J$3:$J$10, MATCH(TRUE, EXACT(MID($C58,F$30,1), 音調表!$I$3:$I$10),0)),""),MID($C58,F$30,1)))</f>
        <v>ㄧ</v>
      </c>
      <c r="G58" s="75" t="str" cm="1">
        <f t="array" ref="G58">IF(G$30&gt;($D58+1),"",IF(G$30=($D58+1), _xlfn.IFNA(INDEX(音調表!$J$3:$J$10, MATCH(TRUE, EXACT(MID($C58,G$30,1), 音調表!$I$3:$I$10),0)),""),MID($C58,G$30,1)))</f>
        <v>ㆯ</v>
      </c>
      <c r="H58" s="75" t="str" cm="1">
        <f t="array" ref="H58">IF(H$30&gt;($D58+1),"",IF(H$30=($D58+1), _xlfn.IFNA(INDEX(音調表!$J$3:$J$10, MATCH(TRUE, EXACT(MID($C58,H$30,1), 音調表!$I$3:$I$10),0)),""),MID($C58,H$30,1)))</f>
        <v>ˋ</v>
      </c>
      <c r="I58" s="75" t="str" cm="1">
        <f t="array" ref="I58">IF(I$30&gt;($D58+1),"",IF(I$30=($D58+1), _xlfn.IFNA(INDEX(音調表!$J$3:$J$10, MATCH(TRUE, EXACT(MID($C58,I$30,1), 音調表!$I$3:$I$10),0)),""),MID($C58,I$30,1)))</f>
        <v>"</v>
      </c>
      <c r="J58" s="75" t="str" cm="1">
        <f t="array" ref="J58">IF(J$30&gt;($D58+1),"",IF(J$30=($D58+1), _xlfn.IFNA(INDEX(音調表!$J$3:$J$10, MATCH(TRUE, EXACT(MID($C58,J$30,1), 音調表!$I$3:$I$10),0)),""),MID($C58,J$30,1)))</f>
        <v/>
      </c>
      <c r="K58" s="75" t="str" cm="1">
        <f t="array" ref="K58">IF(K$30&gt;($D58+1),"",IF(K$30=($D58+1), _xlfn.IFNA(INDEX(音調表!$J$3:$J$10, MATCH(TRUE, EXACT(MID($C58,K$30,1), 音調表!$I$3:$I$10),0)),""),MID($C58,K$30,1)))</f>
        <v/>
      </c>
      <c r="L58" s="75" t="str" cm="1">
        <f t="array" ref="L58">IF(L$30&gt;($D58+1),"",IF(L$30=($D58+1), _xlfn.IFNA(INDEX(音調表!$J$3:$J$10, MATCH(TRUE, EXACT(MID($C58,L$30,1), 音調表!$I$3:$I$10),0)),""),MID($C58,L$30,1)))</f>
        <v/>
      </c>
      <c r="M58" s="76" t="str" cm="1">
        <f t="array" ref="M58">IF(M$30&gt;($D58+1),"",IF(M$30=($D58+1), _xlfn.IFNA(INDEX(音調表!$J$3:$J$10, MATCH(TRUE, EXACT(MID($C58,M$30,1), 音調表!$I$3:$I$10),0)),""),MID($C58,M$30,1)))</f>
        <v/>
      </c>
    </row>
    <row r="59" spans="2:16" hidden="1" outlineLevel="2">
      <c r="B59" s="7" t="s">
        <v>328</v>
      </c>
      <c r="C59" s="8" t="s">
        <v>327</v>
      </c>
      <c r="D59" s="9">
        <f t="shared" si="2"/>
        <v>3</v>
      </c>
      <c r="E59" s="75" t="str" cm="1">
        <f t="array" ref="E59">IF(E$30&gt;($D59+1),"",IF(E$30=($D59+1), _xlfn.IFNA(INDEX(音調表!$J$3:$J$10, MATCH(TRUE, EXACT(MID($C59,E$30,1), 音調表!$I$3:$I$10),0)),""),MID($C59,E$30,1)))</f>
        <v>ㄍ</v>
      </c>
      <c r="F59" s="75" t="str" cm="1">
        <f t="array" ref="F59">IF(F$30&gt;($D59+1),"",IF(F$30=($D59+1), _xlfn.IFNA(INDEX(音調表!$J$3:$J$10, MATCH(TRUE, EXACT(MID($C59,F$30,1), 音調表!$I$3:$I$10),0)),""),MID($C59,F$30,1)))</f>
        <v>ㄨ</v>
      </c>
      <c r="G59" s="75" t="str" cm="1">
        <f t="array" ref="G59">IF(G$30&gt;($D59+1),"",IF(G$30=($D59+1), _xlfn.IFNA(INDEX(音調表!$J$3:$J$10, MATCH(TRUE, EXACT(MID($C59,G$30,1), 音調表!$I$3:$I$10),0)),""),MID($C59,G$30,1)))</f>
        <v>ㆩ</v>
      </c>
      <c r="H59" s="75" t="str" cm="1">
        <f t="array" ref="H59">IF(H$30&gt;($D59+1),"",IF(H$30=($D59+1), _xlfn.IFNA(INDEX(音調表!$J$3:$J$10, MATCH(TRUE, EXACT(MID($C59,H$30,1), 音調表!$I$3:$I$10),0)),""),MID($C59,H$30,1)))</f>
        <v>"</v>
      </c>
      <c r="I59" s="75" t="str" cm="1">
        <f t="array" ref="I59">IF(I$30&gt;($D59+1),"",IF(I$30=($D59+1), _xlfn.IFNA(INDEX(音調表!$J$3:$J$10, MATCH(TRUE, EXACT(MID($C59,I$30,1), 音調表!$I$3:$I$10),0)),""),MID($C59,I$30,1)))</f>
        <v/>
      </c>
      <c r="J59" s="75" t="str" cm="1">
        <f t="array" ref="J59">IF(J$30&gt;($D59+1),"",IF(J$30=($D59+1), _xlfn.IFNA(INDEX(音調表!$J$3:$J$10, MATCH(TRUE, EXACT(MID($C59,J$30,1), 音調表!$I$3:$I$10),0)),""),MID($C59,J$30,1)))</f>
        <v/>
      </c>
      <c r="K59" s="75" t="str" cm="1">
        <f t="array" ref="K59">IF(K$30&gt;($D59+1),"",IF(K$30=($D59+1), _xlfn.IFNA(INDEX(音調表!$J$3:$J$10, MATCH(TRUE, EXACT(MID($C59,K$30,1), 音調表!$I$3:$I$10),0)),""),MID($C59,K$30,1)))</f>
        <v/>
      </c>
      <c r="L59" s="75" t="str" cm="1">
        <f t="array" ref="L59">IF(L$30&gt;($D59+1),"",IF(L$30=($D59+1), _xlfn.IFNA(INDEX(音調表!$J$3:$J$10, MATCH(TRUE, EXACT(MID($C59,L$30,1), 音調表!$I$3:$I$10),0)),""),MID($C59,L$30,1)))</f>
        <v/>
      </c>
      <c r="M59" s="76" t="str" cm="1">
        <f t="array" ref="M59">IF(M$30&gt;($D59+1),"",IF(M$30=($D59+1), _xlfn.IFNA(INDEX(音調表!$J$3:$J$10, MATCH(TRUE, EXACT(MID($C59,M$30,1), 音調表!$I$3:$I$10),0)),""),MID($C59,M$30,1)))</f>
        <v/>
      </c>
    </row>
    <row r="60" spans="2:16" hidden="1" outlineLevel="2">
      <c r="B60" s="7" t="s">
        <v>329</v>
      </c>
      <c r="C60" s="8" t="s">
        <v>331</v>
      </c>
      <c r="D60" s="9">
        <f t="shared" si="2"/>
        <v>3</v>
      </c>
      <c r="E60" s="75" t="str" cm="1">
        <f t="array" ref="E60">IF(E$30&gt;($D60+1),"",IF(E$30=($D60+1), _xlfn.IFNA(INDEX(音調表!$J$3:$J$10, MATCH(TRUE, EXACT(MID($C60,E$30,1), 音調表!$I$3:$I$10),0)),""),MID($C60,E$30,1)))</f>
        <v>ㄍ</v>
      </c>
      <c r="F60" s="75" t="str" cm="1">
        <f t="array" ref="F60">IF(F$30&gt;($D60+1),"",IF(F$30=($D60+1), _xlfn.IFNA(INDEX(音調表!$J$3:$J$10, MATCH(TRUE, EXACT(MID($C60,F$30,1), 音調表!$I$3:$I$10),0)),""),MID($C60,F$30,1)))</f>
        <v>ㄨ</v>
      </c>
      <c r="G60" s="75" t="str" cm="1">
        <f t="array" ref="G60">IF(G$30&gt;($D60+1),"",IF(G$30=($D60+1), _xlfn.IFNA(INDEX(音調表!$J$3:$J$10, MATCH(TRUE, EXACT(MID($C60,G$30,1), 音調表!$I$3:$I$10),0)),""),MID($C60,G$30,1)))</f>
        <v>ㆮ</v>
      </c>
      <c r="H60" s="75" t="str" cm="1">
        <f t="array" ref="H60">IF(H$30&gt;($D60+1),"",IF(H$30=($D60+1), _xlfn.IFNA(INDEX(音調表!$J$3:$J$10, MATCH(TRUE, EXACT(MID($C60,H$30,1), 音調表!$I$3:$I$10),0)),""),MID($C60,H$30,1)))</f>
        <v>"</v>
      </c>
      <c r="I60" s="75" t="str" cm="1">
        <f t="array" ref="I60">IF(I$30&gt;($D60+1),"",IF(I$30=($D60+1), _xlfn.IFNA(INDEX(音調表!$J$3:$J$10, MATCH(TRUE, EXACT(MID($C60,I$30,1), 音調表!$I$3:$I$10),0)),""),MID($C60,I$30,1)))</f>
        <v/>
      </c>
      <c r="J60" s="75" t="str" cm="1">
        <f t="array" ref="J60">IF(J$30&gt;($D60+1),"",IF(J$30=($D60+1), _xlfn.IFNA(INDEX(音調表!$J$3:$J$10, MATCH(TRUE, EXACT(MID($C60,J$30,1), 音調表!$I$3:$I$10),0)),""),MID($C60,J$30,1)))</f>
        <v/>
      </c>
      <c r="K60" s="75" t="str" cm="1">
        <f t="array" ref="K60">IF(K$30&gt;($D60+1),"",IF(K$30=($D60+1), _xlfn.IFNA(INDEX(音調表!$J$3:$J$10, MATCH(TRUE, EXACT(MID($C60,K$30,1), 音調表!$I$3:$I$10),0)),""),MID($C60,K$30,1)))</f>
        <v/>
      </c>
      <c r="L60" s="75" t="str" cm="1">
        <f t="array" ref="L60">IF(L$30&gt;($D60+1),"",IF(L$30=($D60+1), _xlfn.IFNA(INDEX(音調表!$J$3:$J$10, MATCH(TRUE, EXACT(MID($C60,L$30,1), 音調表!$I$3:$I$10),0)),""),MID($C60,L$30,1)))</f>
        <v/>
      </c>
      <c r="M60" s="76" t="str" cm="1">
        <f t="array" ref="M60">IF(M$30&gt;($D60+1),"",IF(M$30=($D60+1), _xlfn.IFNA(INDEX(音調表!$J$3:$J$10, MATCH(TRUE, EXACT(MID($C60,M$30,1), 音調表!$I$3:$I$10),0)),""),MID($C60,M$30,1)))</f>
        <v/>
      </c>
    </row>
    <row r="61" spans="2:16" hidden="1" outlineLevel="2">
      <c r="B61" s="7" t="s">
        <v>330</v>
      </c>
      <c r="C61" s="8" t="s">
        <v>327</v>
      </c>
      <c r="D61" s="9">
        <f t="shared" si="2"/>
        <v>3</v>
      </c>
      <c r="E61" s="75" t="str" cm="1">
        <f t="array" ref="E61">IF(E$30&gt;($D61+1),"",IF(E$30=($D61+1), _xlfn.IFNA(INDEX(音調表!$J$3:$J$10, MATCH(TRUE, EXACT(MID($C61,E$30,1), 音調表!$I$3:$I$10),0)),""),MID($C61,E$30,1)))</f>
        <v>ㄍ</v>
      </c>
      <c r="F61" s="75" t="str" cm="1">
        <f t="array" ref="F61">IF(F$30&gt;($D61+1),"",IF(F$30=($D61+1), _xlfn.IFNA(INDEX(音調表!$J$3:$J$10, MATCH(TRUE, EXACT(MID($C61,F$30,1), 音調表!$I$3:$I$10),0)),""),MID($C61,F$30,1)))</f>
        <v>ㄨ</v>
      </c>
      <c r="G61" s="75" t="str" cm="1">
        <f t="array" ref="G61">IF(G$30&gt;($D61+1),"",IF(G$30=($D61+1), _xlfn.IFNA(INDEX(音調表!$J$3:$J$10, MATCH(TRUE, EXACT(MID($C61,G$30,1), 音調表!$I$3:$I$10),0)),""),MID($C61,G$30,1)))</f>
        <v>ㆩ</v>
      </c>
      <c r="H61" s="75" t="str" cm="1">
        <f t="array" ref="H61">IF(H$30&gt;($D61+1),"",IF(H$30=($D61+1), _xlfn.IFNA(INDEX(音調表!$J$3:$J$10, MATCH(TRUE, EXACT(MID($C61,H$30,1), 音調表!$I$3:$I$10),0)),""),MID($C61,H$30,1)))</f>
        <v>"</v>
      </c>
      <c r="I61" s="75" t="str" cm="1">
        <f t="array" ref="I61">IF(I$30&gt;($D61+1),"",IF(I$30=($D61+1), _xlfn.IFNA(INDEX(音調表!$J$3:$J$10, MATCH(TRUE, EXACT(MID($C61,I$30,1), 音調表!$I$3:$I$10),0)),""),MID($C61,I$30,1)))</f>
        <v/>
      </c>
      <c r="J61" s="75" t="str" cm="1">
        <f t="array" ref="J61">IF(J$30&gt;($D61+1),"",IF(J$30=($D61+1), _xlfn.IFNA(INDEX(音調表!$J$3:$J$10, MATCH(TRUE, EXACT(MID($C61,J$30,1), 音調表!$I$3:$I$10),0)),""),MID($C61,J$30,1)))</f>
        <v/>
      </c>
      <c r="K61" s="75" t="str" cm="1">
        <f t="array" ref="K61">IF(K$30&gt;($D61+1),"",IF(K$30=($D61+1), _xlfn.IFNA(INDEX(音調表!$J$3:$J$10, MATCH(TRUE, EXACT(MID($C61,K$30,1), 音調表!$I$3:$I$10),0)),""),MID($C61,K$30,1)))</f>
        <v/>
      </c>
      <c r="L61" s="75" t="str" cm="1">
        <f t="array" ref="L61">IF(L$30&gt;($D61+1),"",IF(L$30=($D61+1), _xlfn.IFNA(INDEX(音調表!$J$3:$J$10, MATCH(TRUE, EXACT(MID($C61,L$30,1), 音調表!$I$3:$I$10),0)),""),MID($C61,L$30,1)))</f>
        <v/>
      </c>
      <c r="M61" s="76" t="str" cm="1">
        <f t="array" ref="M61">IF(M$30&gt;($D61+1),"",IF(M$30=($D61+1), _xlfn.IFNA(INDEX(音調表!$J$3:$J$10, MATCH(TRUE, EXACT(MID($C61,M$30,1), 音調表!$I$3:$I$10),0)),""),MID($C61,M$30,1)))</f>
        <v/>
      </c>
    </row>
    <row r="62" spans="2:16" hidden="1" outlineLevel="1" collapsed="1"/>
    <row r="63" spans="2:16" hidden="1" outlineLevel="1">
      <c r="B63" s="77" t="s">
        <v>316</v>
      </c>
    </row>
    <row r="64" spans="2:16" hidden="1" outlineLevel="2">
      <c r="B64" s="125" t="s">
        <v>4</v>
      </c>
      <c r="C64" s="126" t="s">
        <v>195</v>
      </c>
      <c r="D64" s="125" t="s">
        <v>8</v>
      </c>
      <c r="E64" s="127" t="s">
        <v>36</v>
      </c>
      <c r="F64" s="128"/>
      <c r="G64" s="128"/>
      <c r="H64" s="128"/>
      <c r="I64" s="128"/>
      <c r="J64" s="128"/>
      <c r="K64" s="128"/>
      <c r="L64" s="128"/>
      <c r="M64" s="129"/>
    </row>
    <row r="65" spans="2:16" s="2" customFormat="1" ht="30" hidden="1" outlineLevel="2">
      <c r="B65" s="125"/>
      <c r="C65" s="125"/>
      <c r="D65" s="125"/>
      <c r="E65" s="4">
        <v>1</v>
      </c>
      <c r="F65" s="5">
        <v>2</v>
      </c>
      <c r="G65" s="5">
        <v>3</v>
      </c>
      <c r="H65" s="5">
        <v>4</v>
      </c>
      <c r="I65" s="5">
        <v>5</v>
      </c>
      <c r="J65" s="5">
        <v>6</v>
      </c>
      <c r="K65" s="5">
        <v>7</v>
      </c>
      <c r="L65" s="5">
        <v>8</v>
      </c>
      <c r="M65" s="6">
        <v>9</v>
      </c>
    </row>
    <row r="66" spans="2:16" hidden="1" outlineLevel="2">
      <c r="B66" s="7" t="s">
        <v>306</v>
      </c>
      <c r="C66" s="8" t="s">
        <v>317</v>
      </c>
      <c r="D66" s="9">
        <f>IF( LEN(C66)&gt;0, LEN(C66), "")</f>
        <v>3</v>
      </c>
      <c r="E66" s="75" t="str" cm="1">
        <f t="array" ref="E66">IF(E$30&gt;($D66+1),"",IF(E$30=($D66+1), _xlfn.IFNA(INDEX(音調表!$J$3:$J$10, MATCH(TRUE, EXACT(MID($C66,E$30,1), 音調表!$I$3:$I$10),0)),""),MID($C66,E$30,1)))</f>
        <v>ㄥ</v>
      </c>
      <c r="F66" s="75" t="str" cm="1">
        <f t="array" ref="F66">IF(F$30&gt;($D66+1),"",IF(F$30=($D66+1), _xlfn.IFNA(INDEX(音調表!$J$3:$J$10, MATCH(TRUE, EXACT(MID($C66,F$30,1), 音調表!$I$3:$I$10),0)),""),MID($C66,F$30,1)))</f>
        <v>ㄚ</v>
      </c>
      <c r="G66" s="75" t="str" cm="1">
        <f t="array" ref="G66">IF(G$30&gt;($D66+1),"",IF(G$30=($D66+1), _xlfn.IFNA(INDEX(音調表!$J$3:$J$10, MATCH(TRUE, EXACT(MID($C66,G$30,1), 音調表!$I$3:$I$10),0)),""),MID($C66,G$30,1)))</f>
        <v>˫</v>
      </c>
      <c r="H66" s="75" t="str" cm="1">
        <f t="array" ref="H66">IF(H$30&gt;($D66+1),"",IF(H$30=($D66+1), _xlfn.IFNA(INDEX(音調表!$J$3:$J$10, MATCH(TRUE, EXACT(MID($C66,H$30,1), 音調表!$I$3:$I$10),0)),""),MID($C66,H$30,1)))</f>
        <v>"</v>
      </c>
      <c r="I66" s="75" t="str" cm="1">
        <f t="array" ref="I66">IF(I$30&gt;($D66+1),"",IF(I$30=($D66+1), _xlfn.IFNA(INDEX(音調表!$J$3:$J$10, MATCH(TRUE, EXACT(MID($C66,I$30,1), 音調表!$I$3:$I$10),0)),""),MID($C66,I$30,1)))</f>
        <v/>
      </c>
      <c r="J66" s="75" t="str" cm="1">
        <f t="array" ref="J66">IF(J$30&gt;($D66+1),"",IF(J$30=($D66+1), _xlfn.IFNA(INDEX(音調表!$J$3:$J$10, MATCH(TRUE, EXACT(MID($C66,J$30,1), 音調表!$I$3:$I$10),0)),""),MID($C66,J$30,1)))</f>
        <v/>
      </c>
      <c r="K66" s="75" t="str" cm="1">
        <f t="array" ref="K66">IF(K$30&gt;($D66+1),"",IF(K$30=($D66+1), _xlfn.IFNA(INDEX(音調表!$J$3:$J$10, MATCH(TRUE, EXACT(MID($C66,K$30,1), 音調表!$I$3:$I$10),0)),""),MID($C66,K$30,1)))</f>
        <v/>
      </c>
      <c r="L66" s="75" t="str" cm="1">
        <f t="array" ref="L66">IF(L$30&gt;($D66+1),"",IF(L$30=($D66+1), _xlfn.IFNA(INDEX(音調表!$J$3:$J$10, MATCH(TRUE, EXACT(MID($C66,L$30,1), 音調表!$I$3:$I$10),0)),""),MID($C66,L$30,1)))</f>
        <v/>
      </c>
      <c r="M66" s="76" t="str" cm="1">
        <f t="array" ref="M66">IF(M$30&gt;($D66+1),"",IF(M$30=($D66+1), _xlfn.IFNA(INDEX(音調表!$J$3:$J$10, MATCH(TRUE, EXACT(MID($C66,M$30,1), 音調表!$I$3:$I$10),0)),""),MID($C66,M$30,1)))</f>
        <v/>
      </c>
      <c r="O66" s="2"/>
      <c r="P66" s="2"/>
    </row>
    <row r="67" spans="2:16" hidden="1" outlineLevel="2">
      <c r="B67" s="7" t="s">
        <v>308</v>
      </c>
      <c r="C67" s="8" t="s">
        <v>318</v>
      </c>
      <c r="D67" s="9">
        <f t="shared" ref="D67:D79" si="3">IF( LEN(C67)&gt;0, LEN(C67), "")</f>
        <v>3</v>
      </c>
      <c r="E67" s="75" t="str" cm="1">
        <f t="array" ref="E67">IF(E$30&gt;($D67+1),"",IF(E$30=($D67+1), _xlfn.IFNA(INDEX(音調表!$J$3:$J$10, MATCH(TRUE, EXACT(MID($C67,E$30,1), 音調表!$I$3:$I$10),0)),""),MID($C67,E$30,1)))</f>
        <v>ㄥ</v>
      </c>
      <c r="F67" s="75" t="str" cm="1">
        <f t="array" ref="F67">IF(F$30&gt;($D67+1),"",IF(F$30=($D67+1), _xlfn.IFNA(INDEX(音調表!$J$3:$J$10, MATCH(TRUE, EXACT(MID($C67,F$30,1), 音調表!$I$3:$I$10),0)),""),MID($C67,F$30,1)))</f>
        <v>ㄧ</v>
      </c>
      <c r="G67" s="75" t="str" cm="1">
        <f t="array" ref="G67">IF(G$30&gt;($D67+1),"",IF(G$30=($D67+1), _xlfn.IFNA(INDEX(音調表!$J$3:$J$10, MATCH(TRUE, EXACT(MID($C67,G$30,1), 音調表!$I$3:$I$10),0)),""),MID($C67,G$30,1)))</f>
        <v>˫</v>
      </c>
      <c r="H67" s="75" t="str" cm="1">
        <f t="array" ref="H67">IF(H$30&gt;($D67+1),"",IF(H$30=($D67+1), _xlfn.IFNA(INDEX(音調表!$J$3:$J$10, MATCH(TRUE, EXACT(MID($C67,H$30,1), 音調表!$I$3:$I$10),0)),""),MID($C67,H$30,1)))</f>
        <v>"</v>
      </c>
      <c r="I67" s="75" t="str" cm="1">
        <f t="array" ref="I67">IF(I$30&gt;($D67+1),"",IF(I$30=($D67+1), _xlfn.IFNA(INDEX(音調表!$J$3:$J$10, MATCH(TRUE, EXACT(MID($C67,I$30,1), 音調表!$I$3:$I$10),0)),""),MID($C67,I$30,1)))</f>
        <v/>
      </c>
      <c r="J67" s="75" t="str" cm="1">
        <f t="array" ref="J67">IF(J$30&gt;($D67+1),"",IF(J$30=($D67+1), _xlfn.IFNA(INDEX(音調表!$J$3:$J$10, MATCH(TRUE, EXACT(MID($C67,J$30,1), 音調表!$I$3:$I$10),0)),""),MID($C67,J$30,1)))</f>
        <v/>
      </c>
      <c r="K67" s="75" t="str" cm="1">
        <f t="array" ref="K67">IF(K$30&gt;($D67+1),"",IF(K$30=($D67+1), _xlfn.IFNA(INDEX(音調表!$J$3:$J$10, MATCH(TRUE, EXACT(MID($C67,K$30,1), 音調表!$I$3:$I$10),0)),""),MID($C67,K$30,1)))</f>
        <v/>
      </c>
      <c r="L67" s="75" t="str" cm="1">
        <f t="array" ref="L67">IF(L$30&gt;($D67+1),"",IF(L$30=($D67+1), _xlfn.IFNA(INDEX(音調表!$J$3:$J$10, MATCH(TRUE, EXACT(MID($C67,L$30,1), 音調表!$I$3:$I$10),0)),""),MID($C67,L$30,1)))</f>
        <v/>
      </c>
      <c r="M67" s="76" t="str" cm="1">
        <f t="array" ref="M67">IF(M$30&gt;($D67+1),"",IF(M$30=($D67+1), _xlfn.IFNA(INDEX(音調表!$J$3:$J$10, MATCH(TRUE, EXACT(MID($C67,M$30,1), 音調表!$I$3:$I$10),0)),""),MID($C67,M$30,1)))</f>
        <v/>
      </c>
      <c r="O67" s="2"/>
      <c r="P67" s="2"/>
    </row>
    <row r="68" spans="2:16" hidden="1" outlineLevel="2">
      <c r="B68" s="7" t="s">
        <v>67</v>
      </c>
      <c r="C68" s="8" t="s">
        <v>319</v>
      </c>
      <c r="D68" s="9">
        <f t="shared" si="3"/>
        <v>4</v>
      </c>
      <c r="E68" s="75" t="str" cm="1">
        <f t="array" ref="E68">IF(E$30&gt;($D68+1),"",IF(E$30=($D68+1), _xlfn.IFNA(INDEX(音調表!$J$3:$J$10, MATCH(TRUE, EXACT(MID($C68,E$30,1), 音調表!$I$3:$I$10),0)),""),MID($C68,E$30,1)))</f>
        <v>ㄥ</v>
      </c>
      <c r="F68" s="75" t="str" cm="1">
        <f t="array" ref="F68">IF(F$30&gt;($D68+1),"",IF(F$30=($D68+1), _xlfn.IFNA(INDEX(音調表!$J$3:$J$10, MATCH(TRUE, EXACT(MID($C68,F$30,1), 音調表!$I$3:$I$10),0)),""),MID($C68,F$30,1)))</f>
        <v>ㄧ</v>
      </c>
      <c r="G68" s="75" t="str" cm="1">
        <f t="array" ref="G68">IF(G$30&gt;($D68+1),"",IF(G$30=($D68+1), _xlfn.IFNA(INDEX(音調表!$J$3:$J$10, MATCH(TRUE, EXACT(MID($C68,G$30,1), 音調表!$I$3:$I$10),0)),""),MID($C68,G$30,1)))</f>
        <v>ㄨ</v>
      </c>
      <c r="H68" s="75" t="str" cm="1">
        <f t="array" ref="H68">IF(H$30&gt;($D68+1),"",IF(H$30=($D68+1), _xlfn.IFNA(INDEX(音調表!$J$3:$J$10, MATCH(TRUE, EXACT(MID($C68,H$30,1), 音調表!$I$3:$I$10),0)),""),MID($C68,H$30,1)))</f>
        <v>ˊ</v>
      </c>
      <c r="I68" s="75" t="str" cm="1">
        <f t="array" ref="I68">IF(I$30&gt;($D68+1),"",IF(I$30=($D68+1), _xlfn.IFNA(INDEX(音調表!$J$3:$J$10, MATCH(TRUE, EXACT(MID($C68,I$30,1), 音調表!$I$3:$I$10),0)),""),MID($C68,I$30,1)))</f>
        <v>"</v>
      </c>
      <c r="J68" s="75" t="str" cm="1">
        <f t="array" ref="J68">IF(J$30&gt;($D68+1),"",IF(J$30=($D68+1), _xlfn.IFNA(INDEX(音調表!$J$3:$J$10, MATCH(TRUE, EXACT(MID($C68,J$30,1), 音調表!$I$3:$I$10),0)),""),MID($C68,J$30,1)))</f>
        <v/>
      </c>
      <c r="K68" s="75" t="str" cm="1">
        <f t="array" ref="K68">IF(K$30&gt;($D68+1),"",IF(K$30=($D68+1), _xlfn.IFNA(INDEX(音調表!$J$3:$J$10, MATCH(TRUE, EXACT(MID($C68,K$30,1), 音調表!$I$3:$I$10),0)),""),MID($C68,K$30,1)))</f>
        <v/>
      </c>
      <c r="L68" s="75" t="str" cm="1">
        <f t="array" ref="L68">IF(L$30&gt;($D68+1),"",IF(L$30=($D68+1), _xlfn.IFNA(INDEX(音調表!$J$3:$J$10, MATCH(TRUE, EXACT(MID($C68,L$30,1), 音調表!$I$3:$I$10),0)),""),MID($C68,L$30,1)))</f>
        <v/>
      </c>
      <c r="M68" s="76" t="str" cm="1">
        <f t="array" ref="M68">IF(M$30&gt;($D68+1),"",IF(M$30=($D68+1), _xlfn.IFNA(INDEX(音調表!$J$3:$J$10, MATCH(TRUE, EXACT(MID($C68,M$30,1), 音調表!$I$3:$I$10),0)),""),MID($C68,M$30,1)))</f>
        <v/>
      </c>
      <c r="O68" s="2"/>
      <c r="P68" s="2"/>
    </row>
    <row r="69" spans="2:16" hidden="1" outlineLevel="2">
      <c r="B69" s="7" t="s">
        <v>303</v>
      </c>
      <c r="C69" s="8" t="s">
        <v>320</v>
      </c>
      <c r="D69" s="9">
        <f t="shared" si="3"/>
        <v>2</v>
      </c>
      <c r="E69" s="75" t="str" cm="1">
        <f t="array" ref="E69">IF(E$30&gt;($D69+1),"",IF(E$30=($D69+1), _xlfn.IFNA(INDEX(音調表!$J$3:$J$10, MATCH(TRUE, EXACT(MID($C69,E$30,1), 音調表!$I$3:$I$10),0)),""),MID($C69,E$30,1)))</f>
        <v>ㄥ</v>
      </c>
      <c r="F69" s="75" t="str" cm="1">
        <f t="array" ref="F69">IF(F$30&gt;($D69+1),"",IF(F$30=($D69+1), _xlfn.IFNA(INDEX(音調表!$J$3:$J$10, MATCH(TRUE, EXACT(MID($C69,F$30,1), 音調表!$I$3:$I$10),0)),""),MID($C69,F$30,1)))</f>
        <v>ㆤ</v>
      </c>
      <c r="G69" s="75" t="str" cm="1">
        <f t="array" ref="G69">IF(G$30&gt;($D69+1),"",IF(G$30=($D69+1), _xlfn.IFNA(INDEX(音調表!$J$3:$J$10, MATCH(TRUE, EXACT(MID($C69,G$30,1), 音調表!$I$3:$I$10),0)),""),MID($C69,G$30,1)))</f>
        <v>"</v>
      </c>
      <c r="H69" s="75" t="str" cm="1">
        <f t="array" ref="H69">IF(H$30&gt;($D69+1),"",IF(H$30=($D69+1), _xlfn.IFNA(INDEX(音調表!$J$3:$J$10, MATCH(TRUE, EXACT(MID($C69,H$30,1), 音調表!$I$3:$I$10),0)),""),MID($C69,H$30,1)))</f>
        <v/>
      </c>
      <c r="I69" s="75" t="str" cm="1">
        <f t="array" ref="I69">IF(I$30&gt;($D69+1),"",IF(I$30=($D69+1), _xlfn.IFNA(INDEX(音調表!$J$3:$J$10, MATCH(TRUE, EXACT(MID($C69,I$30,1), 音調表!$I$3:$I$10),0)),""),MID($C69,I$30,1)))</f>
        <v/>
      </c>
      <c r="J69" s="75" t="str" cm="1">
        <f t="array" ref="J69">IF(J$30&gt;($D69+1),"",IF(J$30=($D69+1), _xlfn.IFNA(INDEX(音調表!$J$3:$J$10, MATCH(TRUE, EXACT(MID($C69,J$30,1), 音調表!$I$3:$I$10),0)),""),MID($C69,J$30,1)))</f>
        <v/>
      </c>
      <c r="K69" s="75" t="str" cm="1">
        <f t="array" ref="K69">IF(K$30&gt;($D69+1),"",IF(K$30=($D69+1), _xlfn.IFNA(INDEX(音調表!$J$3:$J$10, MATCH(TRUE, EXACT(MID($C69,K$30,1), 音調表!$I$3:$I$10),0)),""),MID($C69,K$30,1)))</f>
        <v/>
      </c>
      <c r="L69" s="75" t="str" cm="1">
        <f t="array" ref="L69">IF(L$30&gt;($D69+1),"",IF(L$30=($D69+1), _xlfn.IFNA(INDEX(音調表!$J$3:$J$10, MATCH(TRUE, EXACT(MID($C69,L$30,1), 音調表!$I$3:$I$10),0)),""),MID($C69,L$30,1)))</f>
        <v/>
      </c>
      <c r="M69" s="76" t="str" cm="1">
        <f t="array" ref="M69">IF(M$30&gt;($D69+1),"",IF(M$30=($D69+1), _xlfn.IFNA(INDEX(音調表!$J$3:$J$10, MATCH(TRUE, EXACT(MID($C69,M$30,1), 音調表!$I$3:$I$10),0)),""),MID($C69,M$30,1)))</f>
        <v/>
      </c>
      <c r="O69" s="2"/>
      <c r="P69" s="2"/>
    </row>
    <row r="70" spans="2:16" hidden="1" outlineLevel="2">
      <c r="B70" s="7" t="s">
        <v>311</v>
      </c>
      <c r="C70" s="8" t="s">
        <v>321</v>
      </c>
      <c r="D70" s="9">
        <f t="shared" si="3"/>
        <v>2</v>
      </c>
      <c r="E70" s="75" t="str" cm="1">
        <f t="array" ref="E70">IF(E$30&gt;($D70+1),"",IF(E$30=($D70+1), _xlfn.IFNA(INDEX(音調表!$J$3:$J$10, MATCH(TRUE, EXACT(MID($C70,E$30,1), 音調表!$I$3:$I$10),0)),""),MID($C70,E$30,1)))</f>
        <v>ㄥ</v>
      </c>
      <c r="F70" s="75" t="str" cm="1">
        <f t="array" ref="F70">IF(F$30&gt;($D70+1),"",IF(F$30=($D70+1), _xlfn.IFNA(INDEX(音調表!$J$3:$J$10, MATCH(TRUE, EXACT(MID($C70,F$30,1), 音調表!$I$3:$I$10),0)),""),MID($C70,F$30,1)))</f>
        <v>ㆦ</v>
      </c>
      <c r="G70" s="75" t="str" cm="1">
        <f t="array" ref="G70">IF(G$30&gt;($D70+1),"",IF(G$30=($D70+1), _xlfn.IFNA(INDEX(音調表!$J$3:$J$10, MATCH(TRUE, EXACT(MID($C70,G$30,1), 音調表!$I$3:$I$10),0)),""),MID($C70,G$30,1)))</f>
        <v>"</v>
      </c>
      <c r="H70" s="75" t="str" cm="1">
        <f t="array" ref="H70">IF(H$30&gt;($D70+1),"",IF(H$30=($D70+1), _xlfn.IFNA(INDEX(音調表!$J$3:$J$10, MATCH(TRUE, EXACT(MID($C70,H$30,1), 音調表!$I$3:$I$10),0)),""),MID($C70,H$30,1)))</f>
        <v/>
      </c>
      <c r="I70" s="75" t="str" cm="1">
        <f t="array" ref="I70">IF(I$30&gt;($D70+1),"",IF(I$30=($D70+1), _xlfn.IFNA(INDEX(音調表!$J$3:$J$10, MATCH(TRUE, EXACT(MID($C70,I$30,1), 音調表!$I$3:$I$10),0)),""),MID($C70,I$30,1)))</f>
        <v/>
      </c>
      <c r="J70" s="75" t="str" cm="1">
        <f t="array" ref="J70">IF(J$30&gt;($D70+1),"",IF(J$30=($D70+1), _xlfn.IFNA(INDEX(音調表!$J$3:$J$10, MATCH(TRUE, EXACT(MID($C70,J$30,1), 音調表!$I$3:$I$10),0)),""),MID($C70,J$30,1)))</f>
        <v/>
      </c>
      <c r="K70" s="75" t="str" cm="1">
        <f t="array" ref="K70">IF(K$30&gt;($D70+1),"",IF(K$30=($D70+1), _xlfn.IFNA(INDEX(音調表!$J$3:$J$10, MATCH(TRUE, EXACT(MID($C70,K$30,1), 音調表!$I$3:$I$10),0)),""),MID($C70,K$30,1)))</f>
        <v/>
      </c>
      <c r="L70" s="75" t="str" cm="1">
        <f t="array" ref="L70">IF(L$30&gt;($D70+1),"",IF(L$30=($D70+1), _xlfn.IFNA(INDEX(音調表!$J$3:$J$10, MATCH(TRUE, EXACT(MID($C70,L$30,1), 音調表!$I$3:$I$10),0)),""),MID($C70,L$30,1)))</f>
        <v/>
      </c>
      <c r="M70" s="76" t="str" cm="1">
        <f t="array" ref="M70">IF(M$30&gt;($D70+1),"",IF(M$30=($D70+1), _xlfn.IFNA(INDEX(音調表!$J$3:$J$10, MATCH(TRUE, EXACT(MID($C70,M$30,1), 音調表!$I$3:$I$10),0)),""),MID($C70,M$30,1)))</f>
        <v/>
      </c>
    </row>
    <row r="71" spans="2:16" hidden="1" outlineLevel="2">
      <c r="B71" s="7" t="s">
        <v>313</v>
      </c>
      <c r="C71" s="8" t="s">
        <v>322</v>
      </c>
      <c r="D71" s="9">
        <f t="shared" si="3"/>
        <v>2</v>
      </c>
      <c r="E71" s="75" t="str" cm="1">
        <f t="array" ref="E71">IF(E$30&gt;($D71+1),"",IF(E$30=($D71+1), _xlfn.IFNA(INDEX(音調表!$J$3:$J$10, MATCH(TRUE, EXACT(MID($C71,E$30,1), 音調表!$I$3:$I$10),0)),""),MID($C71,E$30,1)))</f>
        <v>ㄥ</v>
      </c>
      <c r="F71" s="75" t="str" cm="1">
        <f t="array" ref="F71">IF(F$30&gt;($D71+1),"",IF(F$30=($D71+1), _xlfn.IFNA(INDEX(音調表!$J$3:$J$10, MATCH(TRUE, EXACT(MID($C71,F$30,1), 音調表!$I$3:$I$10),0)),""),MID($C71,F$30,1)))</f>
        <v>ㄞ</v>
      </c>
      <c r="G71" s="75" t="str" cm="1">
        <f t="array" ref="G71">IF(G$30&gt;($D71+1),"",IF(G$30=($D71+1), _xlfn.IFNA(INDEX(音調表!$J$3:$J$10, MATCH(TRUE, EXACT(MID($C71,G$30,1), 音調表!$I$3:$I$10),0)),""),MID($C71,G$30,1)))</f>
        <v>"</v>
      </c>
      <c r="H71" s="75" t="str" cm="1">
        <f t="array" ref="H71">IF(H$30&gt;($D71+1),"",IF(H$30=($D71+1), _xlfn.IFNA(INDEX(音調表!$J$3:$J$10, MATCH(TRUE, EXACT(MID($C71,H$30,1), 音調表!$I$3:$I$10),0)),""),MID($C71,H$30,1)))</f>
        <v/>
      </c>
      <c r="I71" s="75" t="str" cm="1">
        <f t="array" ref="I71">IF(I$30&gt;($D71+1),"",IF(I$30=($D71+1), _xlfn.IFNA(INDEX(音調表!$J$3:$J$10, MATCH(TRUE, EXACT(MID($C71,I$30,1), 音調表!$I$3:$I$10),0)),""),MID($C71,I$30,1)))</f>
        <v/>
      </c>
      <c r="J71" s="75" t="str" cm="1">
        <f t="array" ref="J71">IF(J$30&gt;($D71+1),"",IF(J$30=($D71+1), _xlfn.IFNA(INDEX(音調表!$J$3:$J$10, MATCH(TRUE, EXACT(MID($C71,J$30,1), 音調表!$I$3:$I$10),0)),""),MID($C71,J$30,1)))</f>
        <v/>
      </c>
      <c r="K71" s="75" t="str" cm="1">
        <f t="array" ref="K71">IF(K$30&gt;($D71+1),"",IF(K$30=($D71+1), _xlfn.IFNA(INDEX(音調表!$J$3:$J$10, MATCH(TRUE, EXACT(MID($C71,K$30,1), 音調表!$I$3:$I$10),0)),""),MID($C71,K$30,1)))</f>
        <v/>
      </c>
      <c r="L71" s="75" t="str" cm="1">
        <f t="array" ref="L71">IF(L$30&gt;($D71+1),"",IF(L$30=($D71+1), _xlfn.IFNA(INDEX(音調表!$J$3:$J$10, MATCH(TRUE, EXACT(MID($C71,L$30,1), 音調表!$I$3:$I$10),0)),""),MID($C71,L$30,1)))</f>
        <v/>
      </c>
      <c r="M71" s="76" t="str" cm="1">
        <f t="array" ref="M71">IF(M$30&gt;($D71+1),"",IF(M$30=($D71+1), _xlfn.IFNA(INDEX(音調表!$J$3:$J$10, MATCH(TRUE, EXACT(MID($C71,M$30,1), 音調表!$I$3:$I$10),0)),""),MID($C71,M$30,1)))</f>
        <v/>
      </c>
    </row>
    <row r="72" spans="2:16" hidden="1" outlineLevel="2">
      <c r="B72" s="7" t="s">
        <v>315</v>
      </c>
      <c r="C72" s="8" t="s">
        <v>323</v>
      </c>
      <c r="D72" s="9">
        <f t="shared" si="3"/>
        <v>2</v>
      </c>
      <c r="E72" s="75" t="str" cm="1">
        <f t="array" ref="E72">IF(E$30&gt;($D72+1),"",IF(E$30=($D72+1), _xlfn.IFNA(INDEX(音調表!$J$3:$J$10, MATCH(TRUE, EXACT(MID($C72,E$30,1), 音調表!$I$3:$I$10),0)),""),MID($C72,E$30,1)))</f>
        <v>ㄥ</v>
      </c>
      <c r="F72" s="75" t="str" cm="1">
        <f t="array" ref="F72">IF(F$30&gt;($D72+1),"",IF(F$30=($D72+1), _xlfn.IFNA(INDEX(音調表!$J$3:$J$10, MATCH(TRUE, EXACT(MID($C72,F$30,1), 音調表!$I$3:$I$10),0)),""),MID($C72,F$30,1)))</f>
        <v>ㄠ</v>
      </c>
      <c r="G72" s="75" t="str" cm="1">
        <f t="array" ref="G72">IF(G$30&gt;($D72+1),"",IF(G$30=($D72+1), _xlfn.IFNA(INDEX(音調表!$J$3:$J$10, MATCH(TRUE, EXACT(MID($C72,G$30,1), 音調表!$I$3:$I$10),0)),""),MID($C72,G$30,1)))</f>
        <v>"</v>
      </c>
      <c r="H72" s="75" t="str" cm="1">
        <f t="array" ref="H72">IF(H$30&gt;($D72+1),"",IF(H$30=($D72+1), _xlfn.IFNA(INDEX(音調表!$J$3:$J$10, MATCH(TRUE, EXACT(MID($C72,H$30,1), 音調表!$I$3:$I$10),0)),""),MID($C72,H$30,1)))</f>
        <v/>
      </c>
      <c r="I72" s="75" t="str" cm="1">
        <f t="array" ref="I72">IF(I$30&gt;($D72+1),"",IF(I$30=($D72+1), _xlfn.IFNA(INDEX(音調表!$J$3:$J$10, MATCH(TRUE, EXACT(MID($C72,I$30,1), 音調表!$I$3:$I$10),0)),""),MID($C72,I$30,1)))</f>
        <v/>
      </c>
      <c r="J72" s="75" t="str" cm="1">
        <f t="array" ref="J72">IF(J$30&gt;($D72+1),"",IF(J$30=($D72+1), _xlfn.IFNA(INDEX(音調表!$J$3:$J$10, MATCH(TRUE, EXACT(MID($C72,J$30,1), 音調表!$I$3:$I$10),0)),""),MID($C72,J$30,1)))</f>
        <v/>
      </c>
      <c r="K72" s="75" t="str" cm="1">
        <f t="array" ref="K72">IF(K$30&gt;($D72+1),"",IF(K$30=($D72+1), _xlfn.IFNA(INDEX(音調表!$J$3:$J$10, MATCH(TRUE, EXACT(MID($C72,K$30,1), 音調表!$I$3:$I$10),0)),""),MID($C72,K$30,1)))</f>
        <v/>
      </c>
      <c r="L72" s="75" t="str" cm="1">
        <f t="array" ref="L72">IF(L$30&gt;($D72+1),"",IF(L$30=($D72+1), _xlfn.IFNA(INDEX(音調表!$J$3:$J$10, MATCH(TRUE, EXACT(MID($C72,L$30,1), 音調表!$I$3:$I$10),0)),""),MID($C72,L$30,1)))</f>
        <v/>
      </c>
      <c r="M72" s="76" t="str" cm="1">
        <f t="array" ref="M72">IF(M$30&gt;($D72+1),"",IF(M$30=($D72+1), _xlfn.IFNA(INDEX(音調表!$J$3:$J$10, MATCH(TRUE, EXACT(MID($C72,M$30,1), 音調表!$I$3:$I$10),0)),""),MID($C72,M$30,1)))</f>
        <v/>
      </c>
    </row>
    <row r="73" spans="2:16" hidden="1" outlineLevel="2">
      <c r="B73" s="7" t="s">
        <v>324</v>
      </c>
      <c r="C73" s="8" t="s">
        <v>323</v>
      </c>
      <c r="D73" s="9">
        <f t="shared" si="3"/>
        <v>2</v>
      </c>
      <c r="E73" s="75" t="str" cm="1">
        <f t="array" ref="E73">IF(E$30&gt;($D73+1),"",IF(E$30=($D73+1), _xlfn.IFNA(INDEX(音調表!$J$3:$J$10, MATCH(TRUE, EXACT(MID($C73,E$30,1), 音調表!$I$3:$I$10),0)),""),MID($C73,E$30,1)))</f>
        <v>ㄥ</v>
      </c>
      <c r="F73" s="75" t="str" cm="1">
        <f t="array" ref="F73">IF(F$30&gt;($D73+1),"",IF(F$30=($D73+1), _xlfn.IFNA(INDEX(音調表!$J$3:$J$10, MATCH(TRUE, EXACT(MID($C73,F$30,1), 音調表!$I$3:$I$10),0)),""),MID($C73,F$30,1)))</f>
        <v>ㄠ</v>
      </c>
      <c r="G73" s="75" t="str" cm="1">
        <f t="array" ref="G73">IF(G$30&gt;($D73+1),"",IF(G$30=($D73+1), _xlfn.IFNA(INDEX(音調表!$J$3:$J$10, MATCH(TRUE, EXACT(MID($C73,G$30,1), 音調表!$I$3:$I$10),0)),""),MID($C73,G$30,1)))</f>
        <v>"</v>
      </c>
      <c r="H73" s="75" t="str" cm="1">
        <f t="array" ref="H73">IF(H$30&gt;($D73+1),"",IF(H$30=($D73+1), _xlfn.IFNA(INDEX(音調表!$J$3:$J$10, MATCH(TRUE, EXACT(MID($C73,H$30,1), 音調表!$I$3:$I$10),0)),""),MID($C73,H$30,1)))</f>
        <v/>
      </c>
      <c r="I73" s="75" t="str" cm="1">
        <f t="array" ref="I73">IF(I$30&gt;($D73+1),"",IF(I$30=($D73+1), _xlfn.IFNA(INDEX(音調表!$J$3:$J$10, MATCH(TRUE, EXACT(MID($C73,I$30,1), 音調表!$I$3:$I$10),0)),""),MID($C73,I$30,1)))</f>
        <v/>
      </c>
      <c r="J73" s="75" t="str" cm="1">
        <f t="array" ref="J73">IF(J$30&gt;($D73+1),"",IF(J$30=($D73+1), _xlfn.IFNA(INDEX(音調表!$J$3:$J$10, MATCH(TRUE, EXACT(MID($C73,J$30,1), 音調表!$I$3:$I$10),0)),""),MID($C73,J$30,1)))</f>
        <v/>
      </c>
      <c r="K73" s="75" t="str" cm="1">
        <f t="array" ref="K73">IF(K$30&gt;($D73+1),"",IF(K$30=($D73+1), _xlfn.IFNA(INDEX(音調表!$J$3:$J$10, MATCH(TRUE, EXACT(MID($C73,K$30,1), 音調表!$I$3:$I$10),0)),""),MID($C73,K$30,1)))</f>
        <v/>
      </c>
      <c r="L73" s="75" t="str" cm="1">
        <f t="array" ref="L73">IF(L$30&gt;($D73+1),"",IF(L$30=($D73+1), _xlfn.IFNA(INDEX(音調表!$J$3:$J$10, MATCH(TRUE, EXACT(MID($C73,L$30,1), 音調表!$I$3:$I$10),0)),""),MID($C73,L$30,1)))</f>
        <v/>
      </c>
      <c r="M73" s="76" t="str" cm="1">
        <f t="array" ref="M73">IF(M$30&gt;($D73+1),"",IF(M$30=($D73+1), _xlfn.IFNA(INDEX(音調表!$J$3:$J$10, MATCH(TRUE, EXACT(MID($C73,M$30,1), 音調表!$I$3:$I$10),0)),""),MID($C73,M$30,1)))</f>
        <v/>
      </c>
    </row>
    <row r="74" spans="2:16" hidden="1" outlineLevel="2">
      <c r="B74" s="7" t="s">
        <v>325</v>
      </c>
      <c r="C74" s="8" t="s">
        <v>326</v>
      </c>
      <c r="D74" s="9">
        <f t="shared" si="3"/>
        <v>3</v>
      </c>
      <c r="E74" s="75" t="str" cm="1">
        <f t="array" ref="E74">IF(E$30&gt;($D74+1),"",IF(E$30=($D74+1), _xlfn.IFNA(INDEX(音調表!$J$3:$J$10, MATCH(TRUE, EXACT(MID($C74,E$30,1), 音調表!$I$3:$I$10),0)),""),MID($C74,E$30,1)))</f>
        <v>ㄏ</v>
      </c>
      <c r="F74" s="75" t="str" cm="1">
        <f t="array" ref="F74">IF(F$30&gt;($D74+1),"",IF(F$30=($D74+1), _xlfn.IFNA(INDEX(音調表!$J$3:$J$10, MATCH(TRUE, EXACT(MID($C74,F$30,1), 音調表!$I$3:$I$10),0)),""),MID($C74,F$30,1)))</f>
        <v>ㄧ</v>
      </c>
      <c r="G74" s="75" t="str" cm="1">
        <f t="array" ref="G74">IF(G$30&gt;($D74+1),"",IF(G$30=($D74+1), _xlfn.IFNA(INDEX(音調表!$J$3:$J$10, MATCH(TRUE, EXACT(MID($C74,G$30,1), 音調表!$I$3:$I$10),0)),""),MID($C74,G$30,1)))</f>
        <v>ㆧ</v>
      </c>
      <c r="H74" s="75" t="str" cm="1">
        <f t="array" ref="H74">IF(H$30&gt;($D74+1),"",IF(H$30=($D74+1), _xlfn.IFNA(INDEX(音調表!$J$3:$J$10, MATCH(TRUE, EXACT(MID($C74,H$30,1), 音調表!$I$3:$I$10),0)),""),MID($C74,H$30,1)))</f>
        <v>"</v>
      </c>
      <c r="I74" s="75" t="str" cm="1">
        <f t="array" ref="I74">IF(I$30&gt;($D74+1),"",IF(I$30=($D74+1), _xlfn.IFNA(INDEX(音調表!$J$3:$J$10, MATCH(TRUE, EXACT(MID($C74,I$30,1), 音調表!$I$3:$I$10),0)),""),MID($C74,I$30,1)))</f>
        <v/>
      </c>
      <c r="J74" s="75" t="str" cm="1">
        <f t="array" ref="J74">IF(J$30&gt;($D74+1),"",IF(J$30=($D74+1), _xlfn.IFNA(INDEX(音調表!$J$3:$J$10, MATCH(TRUE, EXACT(MID($C74,J$30,1), 音調表!$I$3:$I$10),0)),""),MID($C74,J$30,1)))</f>
        <v/>
      </c>
      <c r="K74" s="75" t="str" cm="1">
        <f t="array" ref="K74">IF(K$30&gt;($D74+1),"",IF(K$30=($D74+1), _xlfn.IFNA(INDEX(音調表!$J$3:$J$10, MATCH(TRUE, EXACT(MID($C74,K$30,1), 音調表!$I$3:$I$10),0)),""),MID($C74,K$30,1)))</f>
        <v/>
      </c>
      <c r="L74" s="75" t="str" cm="1">
        <f t="array" ref="L74">IF(L$30&gt;($D74+1),"",IF(L$30=($D74+1), _xlfn.IFNA(INDEX(音調表!$J$3:$J$10, MATCH(TRUE, EXACT(MID($C74,L$30,1), 音調表!$I$3:$I$10),0)),""),MID($C74,L$30,1)))</f>
        <v/>
      </c>
      <c r="M74" s="76" t="str" cm="1">
        <f t="array" ref="M74">IF(M$30&gt;($D74+1),"",IF(M$30=($D74+1), _xlfn.IFNA(INDEX(音調表!$J$3:$J$10, MATCH(TRUE, EXACT(MID($C74,M$30,1), 音調表!$I$3:$I$10),0)),""),MID($C74,M$30,1)))</f>
        <v/>
      </c>
    </row>
    <row r="75" spans="2:16" hidden="1" outlineLevel="2">
      <c r="B75" s="7" t="s">
        <v>325</v>
      </c>
      <c r="C75" s="8" t="s">
        <v>332</v>
      </c>
      <c r="D75" s="9">
        <f t="shared" si="3"/>
        <v>3</v>
      </c>
      <c r="E75" s="75" t="str" cm="1">
        <f t="array" ref="E75">IF(E$30&gt;($D75+1),"",IF(E$30=($D75+1), _xlfn.IFNA(INDEX(音調表!$J$3:$J$10, MATCH(TRUE, EXACT(MID($C75,E$30,1), 音調表!$I$3:$I$10),0)),""),MID($C75,E$30,1)))</f>
        <v>ㄏ</v>
      </c>
      <c r="F75" s="75" t="str" cm="1">
        <f t="array" ref="F75">IF(F$30&gt;($D75+1),"",IF(F$30=($D75+1), _xlfn.IFNA(INDEX(音調表!$J$3:$J$10, MATCH(TRUE, EXACT(MID($C75,F$30,1), 音調表!$I$3:$I$10),0)),""),MID($C75,F$30,1)))</f>
        <v>ㄧ</v>
      </c>
      <c r="G75" s="75" t="str" cm="1">
        <f t="array" ref="G75">IF(G$30&gt;($D75+1),"",IF(G$30=($D75+1), _xlfn.IFNA(INDEX(音調表!$J$3:$J$10, MATCH(TRUE, EXACT(MID($C75,G$30,1), 音調表!$I$3:$I$10),0)),""),MID($C75,G$30,1)))</f>
        <v>ㆫ</v>
      </c>
      <c r="H75" s="75" t="str" cm="1">
        <f t="array" ref="H75">IF(H$30&gt;($D75+1),"",IF(H$30=($D75+1), _xlfn.IFNA(INDEX(音調表!$J$3:$J$10, MATCH(TRUE, EXACT(MID($C75,H$30,1), 音調表!$I$3:$I$10),0)),""),MID($C75,H$30,1)))</f>
        <v>"</v>
      </c>
      <c r="I75" s="75" t="str" cm="1">
        <f t="array" ref="I75">IF(I$30&gt;($D75+1),"",IF(I$30=($D75+1), _xlfn.IFNA(INDEX(音調表!$J$3:$J$10, MATCH(TRUE, EXACT(MID($C75,I$30,1), 音調表!$I$3:$I$10),0)),""),MID($C75,I$30,1)))</f>
        <v/>
      </c>
      <c r="J75" s="75" t="str" cm="1">
        <f t="array" ref="J75">IF(J$30&gt;($D75+1),"",IF(J$30=($D75+1), _xlfn.IFNA(INDEX(音調表!$J$3:$J$10, MATCH(TRUE, EXACT(MID($C75,J$30,1), 音調表!$I$3:$I$10),0)),""),MID($C75,J$30,1)))</f>
        <v/>
      </c>
      <c r="K75" s="75" t="str" cm="1">
        <f t="array" ref="K75">IF(K$30&gt;($D75+1),"",IF(K$30=($D75+1), _xlfn.IFNA(INDEX(音調表!$J$3:$J$10, MATCH(TRUE, EXACT(MID($C75,K$30,1), 音調表!$I$3:$I$10),0)),""),MID($C75,K$30,1)))</f>
        <v/>
      </c>
      <c r="L75" s="75" t="str" cm="1">
        <f t="array" ref="L75">IF(L$30&gt;($D75+1),"",IF(L$30=($D75+1), _xlfn.IFNA(INDEX(音調表!$J$3:$J$10, MATCH(TRUE, EXACT(MID($C75,L$30,1), 音調表!$I$3:$I$10),0)),""),MID($C75,L$30,1)))</f>
        <v/>
      </c>
      <c r="M75" s="76" t="str" cm="1">
        <f t="array" ref="M75">IF(M$30&gt;($D75+1),"",IF(M$30=($D75+1), _xlfn.IFNA(INDEX(音調表!$J$3:$J$10, MATCH(TRUE, EXACT(MID($C75,M$30,1), 音調表!$I$3:$I$10),0)),""),MID($C75,M$30,1)))</f>
        <v/>
      </c>
    </row>
    <row r="76" spans="2:16" hidden="1" outlineLevel="2">
      <c r="B76" s="7" t="s">
        <v>333</v>
      </c>
      <c r="C76" s="8" t="s">
        <v>335</v>
      </c>
      <c r="D76" s="9">
        <f t="shared" si="3"/>
        <v>5</v>
      </c>
      <c r="E76" s="75" t="str" cm="1">
        <f t="array" ref="E76">IF(E$30&gt;($D76+1),"",IF(E$30=($D76+1), _xlfn.IFNA(INDEX(音調表!$J$3:$J$10, MATCH(TRUE, EXACT(MID($C76,E$30,1), 音調表!$I$3:$I$10),0)),""),MID($C76,E$30,1)))</f>
        <v>ㆢ</v>
      </c>
      <c r="F76" s="75" t="str" cm="1">
        <f t="array" ref="F76">IF(F$30&gt;($D76+1),"",IF(F$30=($D76+1), _xlfn.IFNA(INDEX(音調表!$J$3:$J$10, MATCH(TRUE, EXACT(MID($C76,F$30,1), 音調表!$I$3:$I$10),0)),""),MID($C76,F$30,1)))</f>
        <v>ㄥ</v>
      </c>
      <c r="G76" s="75" t="str" cm="1">
        <f t="array" ref="G76">IF(G$30&gt;($D76+1),"",IF(G$30=($D76+1), _xlfn.IFNA(INDEX(音調表!$J$3:$J$10, MATCH(TRUE, EXACT(MID($C76,G$30,1), 音調表!$I$3:$I$10),0)),""),MID($C76,G$30,1)))</f>
        <v>ㄧ</v>
      </c>
      <c r="H76" s="75" t="str" cm="1">
        <f t="array" ref="H76">IF(H$30&gt;($D76+1),"",IF(H$30=($D76+1), _xlfn.IFNA(INDEX(音調表!$J$3:$J$10, MATCH(TRUE, EXACT(MID($C76,H$30,1), 音調表!$I$3:$I$10),0)),""),MID($C76,H$30,1)))</f>
        <v>ㄠ</v>
      </c>
      <c r="I76" s="75" t="str" cm="1">
        <f t="array" ref="I76">IF(I$30&gt;($D76+1),"",IF(I$30=($D76+1), _xlfn.IFNA(INDEX(音調表!$J$3:$J$10, MATCH(TRUE, EXACT(MID($C76,I$30,1), 音調表!$I$3:$I$10),0)),""),MID($C76,I$30,1)))</f>
        <v>ˋ</v>
      </c>
      <c r="J76" s="75" t="str" cm="1">
        <f t="array" ref="J76">IF(J$30&gt;($D76+1),"",IF(J$30=($D76+1), _xlfn.IFNA(INDEX(音調表!$J$3:$J$10, MATCH(TRUE, EXACT(MID($C76,J$30,1), 音調表!$I$3:$I$10),0)),""),MID($C76,J$30,1)))</f>
        <v>"</v>
      </c>
      <c r="K76" s="75" t="str" cm="1">
        <f t="array" ref="K76">IF(K$30&gt;($D76+1),"",IF(K$30=($D76+1), _xlfn.IFNA(INDEX(音調表!$J$3:$J$10, MATCH(TRUE, EXACT(MID($C76,K$30,1), 音調表!$I$3:$I$10),0)),""),MID($C76,K$30,1)))</f>
        <v/>
      </c>
      <c r="L76" s="75" t="str" cm="1">
        <f t="array" ref="L76">IF(L$30&gt;($D76+1),"",IF(L$30=($D76+1), _xlfn.IFNA(INDEX(音調表!$J$3:$J$10, MATCH(TRUE, EXACT(MID($C76,L$30,1), 音調表!$I$3:$I$10),0)),""),MID($C76,L$30,1)))</f>
        <v/>
      </c>
      <c r="M76" s="76" t="str" cm="1">
        <f t="array" ref="M76">IF(M$30&gt;($D76+1),"",IF(M$30=($D76+1), _xlfn.IFNA(INDEX(音調表!$J$3:$J$10, MATCH(TRUE, EXACT(MID($C76,M$30,1), 音調表!$I$3:$I$10),0)),""),MID($C76,M$30,1)))</f>
        <v/>
      </c>
    </row>
    <row r="77" spans="2:16" hidden="1" outlineLevel="2">
      <c r="B77" s="7" t="s">
        <v>328</v>
      </c>
      <c r="C77" s="8" t="s">
        <v>336</v>
      </c>
      <c r="D77" s="9">
        <f t="shared" si="3"/>
        <v>4</v>
      </c>
      <c r="E77" s="75" t="str" cm="1">
        <f t="array" ref="E77">IF(E$30&gt;($D77+1),"",IF(E$30=($D77+1), _xlfn.IFNA(INDEX(音調表!$J$3:$J$10, MATCH(TRUE, EXACT(MID($C77,E$30,1), 音調表!$I$3:$I$10),0)),""),MID($C77,E$30,1)))</f>
        <v>ㄍ</v>
      </c>
      <c r="F77" s="75" t="str" cm="1">
        <f t="array" ref="F77">IF(F$30&gt;($D77+1),"",IF(F$30=($D77+1), _xlfn.IFNA(INDEX(音調表!$J$3:$J$10, MATCH(TRUE, EXACT(MID($C77,F$30,1), 音調表!$I$3:$I$10),0)),""),MID($C77,F$30,1)))</f>
        <v>ㄥ</v>
      </c>
      <c r="G77" s="75" t="str" cm="1">
        <f t="array" ref="G77">IF(G$30&gt;($D77+1),"",IF(G$30=($D77+1), _xlfn.IFNA(INDEX(音調表!$J$3:$J$10, MATCH(TRUE, EXACT(MID($C77,G$30,1), 音調表!$I$3:$I$10),0)),""),MID($C77,G$30,1)))</f>
        <v>ㄨ</v>
      </c>
      <c r="H77" s="75" t="str" cm="1">
        <f t="array" ref="H77">IF(H$30&gt;($D77+1),"",IF(H$30=($D77+1), _xlfn.IFNA(INDEX(音調表!$J$3:$J$10, MATCH(TRUE, EXACT(MID($C77,H$30,1), 音調表!$I$3:$I$10),0)),""),MID($C77,H$30,1)))</f>
        <v>ㄚ</v>
      </c>
      <c r="I77" s="75" t="str" cm="1">
        <f t="array" ref="I77">IF(I$30&gt;($D77+1),"",IF(I$30=($D77+1), _xlfn.IFNA(INDEX(音調表!$J$3:$J$10, MATCH(TRUE, EXACT(MID($C77,I$30,1), 音調表!$I$3:$I$10),0)),""),MID($C77,I$30,1)))</f>
        <v>"</v>
      </c>
      <c r="J77" s="75" t="str" cm="1">
        <f t="array" ref="J77">IF(J$30&gt;($D77+1),"",IF(J$30=($D77+1), _xlfn.IFNA(INDEX(音調表!$J$3:$J$10, MATCH(TRUE, EXACT(MID($C77,J$30,1), 音調表!$I$3:$I$10),0)),""),MID($C77,J$30,1)))</f>
        <v/>
      </c>
      <c r="K77" s="75" t="str" cm="1">
        <f t="array" ref="K77">IF(K$30&gt;($D77+1),"",IF(K$30=($D77+1), _xlfn.IFNA(INDEX(音調表!$J$3:$J$10, MATCH(TRUE, EXACT(MID($C77,K$30,1), 音調表!$I$3:$I$10),0)),""),MID($C77,K$30,1)))</f>
        <v/>
      </c>
      <c r="L77" s="75" t="str" cm="1">
        <f t="array" ref="L77">IF(L$30&gt;($D77+1),"",IF(L$30=($D77+1), _xlfn.IFNA(INDEX(音調表!$J$3:$J$10, MATCH(TRUE, EXACT(MID($C77,L$30,1), 音調表!$I$3:$I$10),0)),""),MID($C77,L$30,1)))</f>
        <v/>
      </c>
      <c r="M77" s="76" t="str" cm="1">
        <f t="array" ref="M77">IF(M$30&gt;($D77+1),"",IF(M$30=($D77+1), _xlfn.IFNA(INDEX(音調表!$J$3:$J$10, MATCH(TRUE, EXACT(MID($C77,M$30,1), 音調表!$I$3:$I$10),0)),""),MID($C77,M$30,1)))</f>
        <v/>
      </c>
    </row>
    <row r="78" spans="2:16" hidden="1" outlineLevel="2">
      <c r="B78" s="7" t="s">
        <v>329</v>
      </c>
      <c r="C78" s="8" t="s">
        <v>337</v>
      </c>
      <c r="D78" s="9">
        <f t="shared" si="3"/>
        <v>4</v>
      </c>
      <c r="E78" s="75" t="str" cm="1">
        <f t="array" ref="E78">IF(E$30&gt;($D78+1),"",IF(E$30=($D78+1), _xlfn.IFNA(INDEX(音調表!$J$3:$J$10, MATCH(TRUE, EXACT(MID($C78,E$30,1), 音調表!$I$3:$I$10),0)),""),MID($C78,E$30,1)))</f>
        <v>ㄍ</v>
      </c>
      <c r="F78" s="75" t="str" cm="1">
        <f t="array" ref="F78">IF(F$30&gt;($D78+1),"",IF(F$30=($D78+1), _xlfn.IFNA(INDEX(音調表!$J$3:$J$10, MATCH(TRUE, EXACT(MID($C78,F$30,1), 音調表!$I$3:$I$10),0)),""),MID($C78,F$30,1)))</f>
        <v>ㄥ</v>
      </c>
      <c r="G78" s="75" t="str" cm="1">
        <f t="array" ref="G78">IF(G$30&gt;($D78+1),"",IF(G$30=($D78+1), _xlfn.IFNA(INDEX(音調表!$J$3:$J$10, MATCH(TRUE, EXACT(MID($C78,G$30,1), 音調表!$I$3:$I$10),0)),""),MID($C78,G$30,1)))</f>
        <v>ㄨ</v>
      </c>
      <c r="H78" s="75" t="str" cm="1">
        <f t="array" ref="H78">IF(H$30&gt;($D78+1),"",IF(H$30=($D78+1), _xlfn.IFNA(INDEX(音調表!$J$3:$J$10, MATCH(TRUE, EXACT(MID($C78,H$30,1), 音調表!$I$3:$I$10),0)),""),MID($C78,H$30,1)))</f>
        <v>ㄞ</v>
      </c>
      <c r="I78" s="75" t="str" cm="1">
        <f t="array" ref="I78">IF(I$30&gt;($D78+1),"",IF(I$30=($D78+1), _xlfn.IFNA(INDEX(音調表!$J$3:$J$10, MATCH(TRUE, EXACT(MID($C78,I$30,1), 音調表!$I$3:$I$10),0)),""),MID($C78,I$30,1)))</f>
        <v>"</v>
      </c>
      <c r="J78" s="75" t="str" cm="1">
        <f t="array" ref="J78">IF(J$30&gt;($D78+1),"",IF(J$30=($D78+1), _xlfn.IFNA(INDEX(音調表!$J$3:$J$10, MATCH(TRUE, EXACT(MID($C78,J$30,1), 音調表!$I$3:$I$10),0)),""),MID($C78,J$30,1)))</f>
        <v/>
      </c>
      <c r="K78" s="75" t="str" cm="1">
        <f t="array" ref="K78">IF(K$30&gt;($D78+1),"",IF(K$30=($D78+1), _xlfn.IFNA(INDEX(音調表!$J$3:$J$10, MATCH(TRUE, EXACT(MID($C78,K$30,1), 音調表!$I$3:$I$10),0)),""),MID($C78,K$30,1)))</f>
        <v/>
      </c>
      <c r="L78" s="75" t="str" cm="1">
        <f t="array" ref="L78">IF(L$30&gt;($D78+1),"",IF(L$30=($D78+1), _xlfn.IFNA(INDEX(音調表!$J$3:$J$10, MATCH(TRUE, EXACT(MID($C78,L$30,1), 音調表!$I$3:$I$10),0)),""),MID($C78,L$30,1)))</f>
        <v/>
      </c>
      <c r="M78" s="76" t="str" cm="1">
        <f t="array" ref="M78">IF(M$30&gt;($D78+1),"",IF(M$30=($D78+1), _xlfn.IFNA(INDEX(音調表!$J$3:$J$10, MATCH(TRUE, EXACT(MID($C78,M$30,1), 音調表!$I$3:$I$10),0)),""),MID($C78,M$30,1)))</f>
        <v/>
      </c>
    </row>
    <row r="79" spans="2:16" hidden="1" outlineLevel="2">
      <c r="B79" s="7" t="s">
        <v>330</v>
      </c>
      <c r="C79" s="8" t="s">
        <v>336</v>
      </c>
      <c r="D79" s="9">
        <f t="shared" si="3"/>
        <v>4</v>
      </c>
      <c r="E79" s="75" t="str" cm="1">
        <f t="array" ref="E79">IF(E$30&gt;($D79+1),"",IF(E$30=($D79+1), _xlfn.IFNA(INDEX(音調表!$J$3:$J$10, MATCH(TRUE, EXACT(MID($C79,E$30,1), 音調表!$I$3:$I$10),0)),""),MID($C79,E$30,1)))</f>
        <v>ㄍ</v>
      </c>
      <c r="F79" s="75" t="str" cm="1">
        <f t="array" ref="F79">IF(F$30&gt;($D79+1),"",IF(F$30=($D79+1), _xlfn.IFNA(INDEX(音調表!$J$3:$J$10, MATCH(TRUE, EXACT(MID($C79,F$30,1), 音調表!$I$3:$I$10),0)),""),MID($C79,F$30,1)))</f>
        <v>ㄥ</v>
      </c>
      <c r="G79" s="75" t="str" cm="1">
        <f t="array" ref="G79">IF(G$30&gt;($D79+1),"",IF(G$30=($D79+1), _xlfn.IFNA(INDEX(音調表!$J$3:$J$10, MATCH(TRUE, EXACT(MID($C79,G$30,1), 音調表!$I$3:$I$10),0)),""),MID($C79,G$30,1)))</f>
        <v>ㄨ</v>
      </c>
      <c r="H79" s="75" t="str" cm="1">
        <f t="array" ref="H79">IF(H$30&gt;($D79+1),"",IF(H$30=($D79+1), _xlfn.IFNA(INDEX(音調表!$J$3:$J$10, MATCH(TRUE, EXACT(MID($C79,H$30,1), 音調表!$I$3:$I$10),0)),""),MID($C79,H$30,1)))</f>
        <v>ㄚ</v>
      </c>
      <c r="I79" s="75" t="str" cm="1">
        <f t="array" ref="I79">IF(I$30&gt;($D79+1),"",IF(I$30=($D79+1), _xlfn.IFNA(INDEX(音調表!$J$3:$J$10, MATCH(TRUE, EXACT(MID($C79,I$30,1), 音調表!$I$3:$I$10),0)),""),MID($C79,I$30,1)))</f>
        <v>"</v>
      </c>
      <c r="J79" s="75" t="str" cm="1">
        <f t="array" ref="J79">IF(J$30&gt;($D79+1),"",IF(J$30=($D79+1), _xlfn.IFNA(INDEX(音調表!$J$3:$J$10, MATCH(TRUE, EXACT(MID($C79,J$30,1), 音調表!$I$3:$I$10),0)),""),MID($C79,J$30,1)))</f>
        <v/>
      </c>
      <c r="K79" s="75" t="str" cm="1">
        <f t="array" ref="K79">IF(K$30&gt;($D79+1),"",IF(K$30=($D79+1), _xlfn.IFNA(INDEX(音調表!$J$3:$J$10, MATCH(TRUE, EXACT(MID($C79,K$30,1), 音調表!$I$3:$I$10),0)),""),MID($C79,K$30,1)))</f>
        <v/>
      </c>
      <c r="L79" s="75" t="str" cm="1">
        <f t="array" ref="L79">IF(L$30&gt;($D79+1),"",IF(L$30=($D79+1), _xlfn.IFNA(INDEX(音調表!$J$3:$J$10, MATCH(TRUE, EXACT(MID($C79,L$30,1), 音調表!$I$3:$I$10),0)),""),MID($C79,L$30,1)))</f>
        <v/>
      </c>
      <c r="M79" s="76" t="str" cm="1">
        <f t="array" ref="M79">IF(M$30&gt;($D79+1),"",IF(M$30=($D79+1), _xlfn.IFNA(INDEX(音調表!$J$3:$J$10, MATCH(TRUE, EXACT(MID($C79,M$30,1), 音調表!$I$3:$I$10),0)),""),MID($C79,M$30,1)))</f>
        <v/>
      </c>
    </row>
    <row r="80" spans="2:16" hidden="1" outlineLevel="1" collapsed="1"/>
    <row r="81" spans="2:13" ht="45.75" collapsed="1">
      <c r="B81" s="78" t="s">
        <v>338</v>
      </c>
    </row>
    <row r="82" spans="2:13" hidden="1" outlineLevel="1"/>
    <row r="83" spans="2:13" hidden="1" outlineLevel="1">
      <c r="B83" s="77" t="s">
        <v>292</v>
      </c>
    </row>
    <row r="84" spans="2:13" hidden="1" outlineLevel="2">
      <c r="B84" s="125" t="s">
        <v>4</v>
      </c>
      <c r="C84" s="126" t="s">
        <v>195</v>
      </c>
      <c r="D84" s="125" t="s">
        <v>8</v>
      </c>
      <c r="E84" s="127" t="s">
        <v>36</v>
      </c>
      <c r="F84" s="128"/>
      <c r="G84" s="128"/>
      <c r="H84" s="128"/>
      <c r="I84" s="128"/>
      <c r="J84" s="128"/>
      <c r="K84" s="128"/>
      <c r="L84" s="128"/>
      <c r="M84" s="129"/>
    </row>
    <row r="85" spans="2:13" hidden="1" outlineLevel="2">
      <c r="B85" s="125"/>
      <c r="C85" s="125"/>
      <c r="D85" s="125"/>
      <c r="E85" s="4">
        <v>1</v>
      </c>
      <c r="F85" s="5">
        <v>2</v>
      </c>
      <c r="G85" s="5">
        <v>3</v>
      </c>
      <c r="H85" s="5">
        <v>4</v>
      </c>
      <c r="I85" s="5">
        <v>5</v>
      </c>
      <c r="J85" s="5">
        <v>6</v>
      </c>
      <c r="K85" s="5">
        <v>7</v>
      </c>
      <c r="L85" s="5">
        <v>8</v>
      </c>
      <c r="M85" s="6">
        <v>9</v>
      </c>
    </row>
    <row r="86" spans="2:13" hidden="1" outlineLevel="2">
      <c r="B86" s="7" t="s">
        <v>339</v>
      </c>
      <c r="C86" s="8" t="s">
        <v>340</v>
      </c>
      <c r="D86" s="9">
        <f>IF( LEN(C86)&gt;0, LEN(C86), "")</f>
        <v>2</v>
      </c>
      <c r="E86" s="75" t="str" cm="1">
        <f t="array" ref="E86">IF(E$30&gt;($D86+1),"",IF(E$30=($D86+1), _xlfn.IFNA(INDEX(音調表!$J$3:$J$10, MATCH(TRUE, EXACT(MID($C86,E$30,1), 音調表!$I$3:$I$10),0)),""),MID($C86,E$30,1)))</f>
        <v>ㄎ</v>
      </c>
      <c r="F86" s="75" t="str" cm="1">
        <f t="array" ref="F86">IF(F$30&gt;($D86+1),"",IF(F$30=($D86+1), _xlfn.IFNA(INDEX(音調表!$J$3:$J$10, MATCH(TRUE, EXACT(MID($C86,F$30,1), 音調表!$I$3:$I$10),0)),""),MID($C86,F$30,1)))</f>
        <v>ㆰ</v>
      </c>
      <c r="G86" s="75" t="str" cm="1">
        <f t="array" ref="G86">IF(G$30&gt;($D86+1),"",IF(G$30=($D86+1), _xlfn.IFNA(INDEX(音調表!$J$3:$J$10, MATCH(TRUE, EXACT(MID($C86,G$30,1), 音調表!$I$3:$I$10),0)),""),MID($C86,G$30,1)))</f>
        <v>"</v>
      </c>
      <c r="H86" s="75" t="str" cm="1">
        <f t="array" ref="H86">IF(H$30&gt;($D86+1),"",IF(H$30=($D86+1), _xlfn.IFNA(INDEX(音調表!$J$3:$J$10, MATCH(TRUE, EXACT(MID($C86,H$30,1), 音調表!$I$3:$I$10),0)),""),MID($C86,H$30,1)))</f>
        <v/>
      </c>
      <c r="I86" s="75" t="str" cm="1">
        <f t="array" ref="I86">IF(I$30&gt;($D86+1),"",IF(I$30=($D86+1), _xlfn.IFNA(INDEX(音調表!$J$3:$J$10, MATCH(TRUE, EXACT(MID($C86,I$30,1), 音調表!$I$3:$I$10),0)),""),MID($C86,I$30,1)))</f>
        <v/>
      </c>
      <c r="J86" s="75" t="str" cm="1">
        <f t="array" ref="J86">IF(J$30&gt;($D86+1),"",IF(J$30=($D86+1), _xlfn.IFNA(INDEX(音調表!$J$3:$J$10, MATCH(TRUE, EXACT(MID($C86,J$30,1), 音調表!$I$3:$I$10),0)),""),MID($C86,J$30,1)))</f>
        <v/>
      </c>
      <c r="K86" s="75" t="str" cm="1">
        <f t="array" ref="K86">IF(K$30&gt;($D86+1),"",IF(K$30=($D86+1), _xlfn.IFNA(INDEX(音調表!$J$3:$J$10, MATCH(TRUE, EXACT(MID($C86,K$30,1), 音調表!$I$3:$I$10),0)),""),MID($C86,K$30,1)))</f>
        <v/>
      </c>
      <c r="L86" s="75" t="str" cm="1">
        <f t="array" ref="L86">IF(L$30&gt;($D86+1),"",IF(L$30=($D86+1), _xlfn.IFNA(INDEX(音調表!$J$3:$J$10, MATCH(TRUE, EXACT(MID($C86,L$30,1), 音調表!$I$3:$I$10),0)),""),MID($C86,L$30,1)))</f>
        <v/>
      </c>
      <c r="M86" s="76" t="str" cm="1">
        <f t="array" ref="M86">IF(M$30&gt;($D86+1),"",IF(M$30=($D86+1), _xlfn.IFNA(INDEX(音調表!$J$3:$J$10, MATCH(TRUE, EXACT(MID($C86,M$30,1), 音調表!$I$3:$I$10),0)),""),MID($C86,M$30,1)))</f>
        <v/>
      </c>
    </row>
    <row r="87" spans="2:13" hidden="1" outlineLevel="2">
      <c r="B87" s="7" t="s">
        <v>342</v>
      </c>
      <c r="C87" s="8" t="s">
        <v>341</v>
      </c>
      <c r="D87" s="9">
        <f t="shared" ref="D87:D89" si="4">IF( LEN(C87)&gt;0, LEN(C87), "")</f>
        <v>2</v>
      </c>
      <c r="E87" s="75" t="str" cm="1">
        <f t="array" ref="E87">IF(E$30&gt;($D87+1),"",IF(E$30=($D87+1), _xlfn.IFNA(INDEX(音調表!$J$3:$J$10, MATCH(TRUE, EXACT(MID($C87,E$30,1), 音調表!$I$3:$I$10),0)),""),MID($C87,E$30,1)))</f>
        <v>ㄉ</v>
      </c>
      <c r="F87" s="75" t="str" cm="1">
        <f t="array" ref="F87">IF(F$30&gt;($D87+1),"",IF(F$30=($D87+1), _xlfn.IFNA(INDEX(音調表!$J$3:$J$10, MATCH(TRUE, EXACT(MID($C87,F$30,1), 音調表!$I$3:$I$10),0)),""),MID($C87,F$30,1)))</f>
        <v>ㆱ</v>
      </c>
      <c r="G87" s="75" t="str" cm="1">
        <f t="array" ref="G87">IF(G$30&gt;($D87+1),"",IF(G$30=($D87+1), _xlfn.IFNA(INDEX(音調表!$J$3:$J$10, MATCH(TRUE, EXACT(MID($C87,G$30,1), 音調表!$I$3:$I$10),0)),""),MID($C87,G$30,1)))</f>
        <v>"</v>
      </c>
      <c r="H87" s="75" t="str" cm="1">
        <f t="array" ref="H87">IF(H$30&gt;($D87+1),"",IF(H$30=($D87+1), _xlfn.IFNA(INDEX(音調表!$J$3:$J$10, MATCH(TRUE, EXACT(MID($C87,H$30,1), 音調表!$I$3:$I$10),0)),""),MID($C87,H$30,1)))</f>
        <v/>
      </c>
      <c r="I87" s="75" t="str" cm="1">
        <f t="array" ref="I87">IF(I$30&gt;($D87+1),"",IF(I$30=($D87+1), _xlfn.IFNA(INDEX(音調表!$J$3:$J$10, MATCH(TRUE, EXACT(MID($C87,I$30,1), 音調表!$I$3:$I$10),0)),""),MID($C87,I$30,1)))</f>
        <v/>
      </c>
      <c r="J87" s="75" t="str" cm="1">
        <f t="array" ref="J87">IF(J$30&gt;($D87+1),"",IF(J$30=($D87+1), _xlfn.IFNA(INDEX(音調表!$J$3:$J$10, MATCH(TRUE, EXACT(MID($C87,J$30,1), 音調表!$I$3:$I$10),0)),""),MID($C87,J$30,1)))</f>
        <v/>
      </c>
      <c r="K87" s="75" t="str" cm="1">
        <f t="array" ref="K87">IF(K$30&gt;($D87+1),"",IF(K$30=($D87+1), _xlfn.IFNA(INDEX(音調表!$J$3:$J$10, MATCH(TRUE, EXACT(MID($C87,K$30,1), 音調表!$I$3:$I$10),0)),""),MID($C87,K$30,1)))</f>
        <v/>
      </c>
      <c r="L87" s="75" t="str" cm="1">
        <f t="array" ref="L87">IF(L$30&gt;($D87+1),"",IF(L$30=($D87+1), _xlfn.IFNA(INDEX(音調表!$J$3:$J$10, MATCH(TRUE, EXACT(MID($C87,L$30,1), 音調表!$I$3:$I$10),0)),""),MID($C87,L$30,1)))</f>
        <v/>
      </c>
      <c r="M87" s="76" t="str" cm="1">
        <f t="array" ref="M87">IF(M$30&gt;($D87+1),"",IF(M$30=($D87+1), _xlfn.IFNA(INDEX(音調表!$J$3:$J$10, MATCH(TRUE, EXACT(MID($C87,M$30,1), 音調表!$I$3:$I$10),0)),""),MID($C87,M$30,1)))</f>
        <v/>
      </c>
    </row>
    <row r="88" spans="2:13" hidden="1" outlineLevel="2">
      <c r="B88" s="7" t="s">
        <v>70</v>
      </c>
      <c r="C88" s="8" t="s">
        <v>343</v>
      </c>
      <c r="D88" s="9">
        <f t="shared" si="4"/>
        <v>2</v>
      </c>
      <c r="E88" s="75" t="str" cm="1">
        <f t="array" ref="E88">IF(E$30&gt;($D88+1),"",IF(E$30=($D88+1), _xlfn.IFNA(INDEX(音調表!$J$3:$J$10, MATCH(TRUE, EXACT(MID($C88,E$30,1), 音調表!$I$3:$I$10),0)),""),MID($C88,E$30,1)))</f>
        <v>ㄏ</v>
      </c>
      <c r="F88" s="75" t="str" cm="1">
        <f t="array" ref="F88">IF(F$30&gt;($D88+1),"",IF(F$30=($D88+1), _xlfn.IFNA(INDEX(音調表!$J$3:$J$10, MATCH(TRUE, EXACT(MID($C88,F$30,1), 音調表!$I$3:$I$10),0)),""),MID($C88,F$30,1)))</f>
        <v>ㆲ</v>
      </c>
      <c r="G88" s="75" t="str" cm="1">
        <f t="array" ref="G88">IF(G$30&gt;($D88+1),"",IF(G$30=($D88+1), _xlfn.IFNA(INDEX(音調表!$J$3:$J$10, MATCH(TRUE, EXACT(MID($C88,G$30,1), 音調表!$I$3:$I$10),0)),""),MID($C88,G$30,1)))</f>
        <v>"</v>
      </c>
      <c r="H88" s="75" t="str" cm="1">
        <f t="array" ref="H88">IF(H$30&gt;($D88+1),"",IF(H$30=($D88+1), _xlfn.IFNA(INDEX(音調表!$J$3:$J$10, MATCH(TRUE, EXACT(MID($C88,H$30,1), 音調表!$I$3:$I$10),0)),""),MID($C88,H$30,1)))</f>
        <v/>
      </c>
      <c r="I88" s="75" t="str" cm="1">
        <f t="array" ref="I88">IF(I$30&gt;($D88+1),"",IF(I$30=($D88+1), _xlfn.IFNA(INDEX(音調表!$J$3:$J$10, MATCH(TRUE, EXACT(MID($C88,I$30,1), 音調表!$I$3:$I$10),0)),""),MID($C88,I$30,1)))</f>
        <v/>
      </c>
      <c r="J88" s="75" t="str" cm="1">
        <f t="array" ref="J88">IF(J$30&gt;($D88+1),"",IF(J$30=($D88+1), _xlfn.IFNA(INDEX(音調表!$J$3:$J$10, MATCH(TRUE, EXACT(MID($C88,J$30,1), 音調表!$I$3:$I$10),0)),""),MID($C88,J$30,1)))</f>
        <v/>
      </c>
      <c r="K88" s="75" t="str" cm="1">
        <f t="array" ref="K88">IF(K$30&gt;($D88+1),"",IF(K$30=($D88+1), _xlfn.IFNA(INDEX(音調表!$J$3:$J$10, MATCH(TRUE, EXACT(MID($C88,K$30,1), 音調表!$I$3:$I$10),0)),""),MID($C88,K$30,1)))</f>
        <v/>
      </c>
      <c r="L88" s="75" t="str" cm="1">
        <f t="array" ref="L88">IF(L$30&gt;($D88+1),"",IF(L$30=($D88+1), _xlfn.IFNA(INDEX(音調表!$J$3:$J$10, MATCH(TRUE, EXACT(MID($C88,L$30,1), 音調表!$I$3:$I$10),0)),""),MID($C88,L$30,1)))</f>
        <v/>
      </c>
      <c r="M88" s="76" t="str" cm="1">
        <f t="array" ref="M88">IF(M$30&gt;($D88+1),"",IF(M$30=($D88+1), _xlfn.IFNA(INDEX(音調表!$J$3:$J$10, MATCH(TRUE, EXACT(MID($C88,M$30,1), 音調表!$I$3:$I$10),0)),""),MID($C88,M$30,1)))</f>
        <v/>
      </c>
    </row>
    <row r="89" spans="2:13" hidden="1" outlineLevel="2">
      <c r="B89" s="7" t="s">
        <v>344</v>
      </c>
      <c r="C89" s="8" t="s">
        <v>345</v>
      </c>
      <c r="D89" s="9">
        <f t="shared" si="4"/>
        <v>2</v>
      </c>
      <c r="E89" s="75" t="str" cm="1">
        <f t="array" ref="E89">IF(E$30&gt;($D89+1),"",IF(E$30=($D89+1), _xlfn.IFNA(INDEX(音調表!$J$3:$J$10, MATCH(TRUE, EXACT(MID($C89,E$30,1), 音調表!$I$3:$I$10),0)),""),MID($C89,E$30,1)))</f>
        <v>ㄉ</v>
      </c>
      <c r="F89" s="75" t="str" cm="1">
        <f t="array" ref="F89">IF(F$30&gt;($D89+1),"",IF(F$30=($D89+1), _xlfn.IFNA(INDEX(音調表!$J$3:$J$10, MATCH(TRUE, EXACT(MID($C89,F$30,1), 音調表!$I$3:$I$10),0)),""),MID($C89,F$30,1)))</f>
        <v>ㆨ</v>
      </c>
      <c r="G89" s="75" t="str" cm="1">
        <f t="array" ref="G89">IF(G$30&gt;($D89+1),"",IF(G$30=($D89+1), _xlfn.IFNA(INDEX(音調表!$J$3:$J$10, MATCH(TRUE, EXACT(MID($C89,G$30,1), 音調表!$I$3:$I$10),0)),""),MID($C89,G$30,1)))</f>
        <v>"</v>
      </c>
      <c r="H89" s="75" t="str" cm="1">
        <f t="array" ref="H89">IF(H$30&gt;($D89+1),"",IF(H$30=($D89+1), _xlfn.IFNA(INDEX(音調表!$J$3:$J$10, MATCH(TRUE, EXACT(MID($C89,H$30,1), 音調表!$I$3:$I$10),0)),""),MID($C89,H$30,1)))</f>
        <v/>
      </c>
      <c r="I89" s="75" t="str" cm="1">
        <f t="array" ref="I89">IF(I$30&gt;($D89+1),"",IF(I$30=($D89+1), _xlfn.IFNA(INDEX(音調表!$J$3:$J$10, MATCH(TRUE, EXACT(MID($C89,I$30,1), 音調表!$I$3:$I$10),0)),""),MID($C89,I$30,1)))</f>
        <v/>
      </c>
      <c r="J89" s="75" t="str" cm="1">
        <f t="array" ref="J89">IF(J$30&gt;($D89+1),"",IF(J$30=($D89+1), _xlfn.IFNA(INDEX(音調表!$J$3:$J$10, MATCH(TRUE, EXACT(MID($C89,J$30,1), 音調表!$I$3:$I$10),0)),""),MID($C89,J$30,1)))</f>
        <v/>
      </c>
      <c r="K89" s="75" t="str" cm="1">
        <f t="array" ref="K89">IF(K$30&gt;($D89+1),"",IF(K$30=($D89+1), _xlfn.IFNA(INDEX(音調表!$J$3:$J$10, MATCH(TRUE, EXACT(MID($C89,K$30,1), 音調表!$I$3:$I$10),0)),""),MID($C89,K$30,1)))</f>
        <v/>
      </c>
      <c r="L89" s="75" t="str" cm="1">
        <f t="array" ref="L89">IF(L$30&gt;($D89+1),"",IF(L$30=($D89+1), _xlfn.IFNA(INDEX(音調表!$J$3:$J$10, MATCH(TRUE, EXACT(MID($C89,L$30,1), 音調表!$I$3:$I$10),0)),""),MID($C89,L$30,1)))</f>
        <v/>
      </c>
      <c r="M89" s="76" t="str" cm="1">
        <f t="array" ref="M89">IF(M$30&gt;($D89+1),"",IF(M$30=($D89+1), _xlfn.IFNA(INDEX(音調表!$J$3:$J$10, MATCH(TRUE, EXACT(MID($C89,M$30,1), 音調表!$I$3:$I$10),0)),""),MID($C89,M$30,1)))</f>
        <v/>
      </c>
    </row>
    <row r="90" spans="2:13" hidden="1" outlineLevel="1" collapsed="1"/>
    <row r="91" spans="2:13" hidden="1" outlineLevel="1">
      <c r="B91" s="77" t="s">
        <v>346</v>
      </c>
    </row>
    <row r="92" spans="2:13" hidden="1" outlineLevel="2">
      <c r="B92" s="125" t="s">
        <v>4</v>
      </c>
      <c r="C92" s="126" t="s">
        <v>195</v>
      </c>
      <c r="D92" s="125" t="s">
        <v>8</v>
      </c>
      <c r="E92" s="127" t="s">
        <v>36</v>
      </c>
      <c r="F92" s="128"/>
      <c r="G92" s="128"/>
      <c r="H92" s="128"/>
      <c r="I92" s="128"/>
      <c r="J92" s="128"/>
      <c r="K92" s="128"/>
      <c r="L92" s="128"/>
      <c r="M92" s="129"/>
    </row>
    <row r="93" spans="2:13" hidden="1" outlineLevel="2">
      <c r="B93" s="125"/>
      <c r="C93" s="125"/>
      <c r="D93" s="125"/>
      <c r="E93" s="4">
        <v>1</v>
      </c>
      <c r="F93" s="5">
        <v>2</v>
      </c>
      <c r="G93" s="5">
        <v>3</v>
      </c>
      <c r="H93" s="5">
        <v>4</v>
      </c>
      <c r="I93" s="5">
        <v>5</v>
      </c>
      <c r="J93" s="5">
        <v>6</v>
      </c>
      <c r="K93" s="5">
        <v>7</v>
      </c>
      <c r="L93" s="5">
        <v>8</v>
      </c>
      <c r="M93" s="6">
        <v>9</v>
      </c>
    </row>
    <row r="94" spans="2:13" hidden="1" outlineLevel="2">
      <c r="B94" s="7" t="s">
        <v>339</v>
      </c>
      <c r="C94" s="8" t="s">
        <v>347</v>
      </c>
      <c r="D94" s="9">
        <f>IF( LEN(C94)&gt;0, LEN(C94), "")</f>
        <v>3</v>
      </c>
      <c r="E94" s="75" t="str" cm="1">
        <f t="array" ref="E94">IF(E$30&gt;($D94+1),"",IF(E$30=($D94+1), _xlfn.IFNA(INDEX(音調表!$J$3:$J$10, MATCH(TRUE, EXACT(MID($C94,E$30,1), 音調表!$I$3:$I$10),0)),""),MID($C94,E$30,1)))</f>
        <v>ㄎ</v>
      </c>
      <c r="F94" s="75" t="str" cm="1">
        <f t="array" ref="F94">IF(F$30&gt;($D94+1),"",IF(F$30=($D94+1), _xlfn.IFNA(INDEX(音調表!$J$3:$J$10, MATCH(TRUE, EXACT(MID($C94,F$30,1), 音調表!$I$3:$I$10),0)),""),MID($C94,F$30,1)))</f>
        <v>ㄚ</v>
      </c>
      <c r="G94" s="75" t="str" cm="1">
        <f t="array" ref="G94">IF(G$30&gt;($D94+1),"",IF(G$30=($D94+1), _xlfn.IFNA(INDEX(音調表!$J$3:$J$10, MATCH(TRUE, EXACT(MID($C94,G$30,1), 音調表!$I$3:$I$10),0)),""),MID($C94,G$30,1)))</f>
        <v>ㆬ</v>
      </c>
      <c r="H94" s="75" t="str" cm="1">
        <f t="array" ref="H94">IF(H$30&gt;($D94+1),"",IF(H$30=($D94+1), _xlfn.IFNA(INDEX(音調表!$J$3:$J$10, MATCH(TRUE, EXACT(MID($C94,H$30,1), 音調表!$I$3:$I$10),0)),""),MID($C94,H$30,1)))</f>
        <v>"</v>
      </c>
      <c r="I94" s="75" t="str" cm="1">
        <f t="array" ref="I94">IF(I$30&gt;($D94+1),"",IF(I$30=($D94+1), _xlfn.IFNA(INDEX(音調表!$J$3:$J$10, MATCH(TRUE, EXACT(MID($C94,I$30,1), 音調表!$I$3:$I$10),0)),""),MID($C94,I$30,1)))</f>
        <v/>
      </c>
      <c r="J94" s="75" t="str" cm="1">
        <f t="array" ref="J94">IF(J$30&gt;($D94+1),"",IF(J$30=($D94+1), _xlfn.IFNA(INDEX(音調表!$J$3:$J$10, MATCH(TRUE, EXACT(MID($C94,J$30,1), 音調表!$I$3:$I$10),0)),""),MID($C94,J$30,1)))</f>
        <v/>
      </c>
      <c r="K94" s="75" t="str" cm="1">
        <f t="array" ref="K94">IF(K$30&gt;($D94+1),"",IF(K$30=($D94+1), _xlfn.IFNA(INDEX(音調表!$J$3:$J$10, MATCH(TRUE, EXACT(MID($C94,K$30,1), 音調表!$I$3:$I$10),0)),""),MID($C94,K$30,1)))</f>
        <v/>
      </c>
      <c r="L94" s="75" t="str" cm="1">
        <f t="array" ref="L94">IF(L$30&gt;($D94+1),"",IF(L$30=($D94+1), _xlfn.IFNA(INDEX(音調表!$J$3:$J$10, MATCH(TRUE, EXACT(MID($C94,L$30,1), 音調表!$I$3:$I$10),0)),""),MID($C94,L$30,1)))</f>
        <v/>
      </c>
      <c r="M94" s="76" t="str" cm="1">
        <f t="array" ref="M94">IF(M$30&gt;($D94+1),"",IF(M$30=($D94+1), _xlfn.IFNA(INDEX(音調表!$J$3:$J$10, MATCH(TRUE, EXACT(MID($C94,M$30,1), 音調表!$I$3:$I$10),0)),""),MID($C94,M$30,1)))</f>
        <v/>
      </c>
    </row>
    <row r="95" spans="2:13" hidden="1" outlineLevel="2">
      <c r="B95" s="7" t="s">
        <v>342</v>
      </c>
      <c r="C95" s="8" t="s">
        <v>348</v>
      </c>
      <c r="D95" s="9">
        <f t="shared" ref="D95:D102" si="5">IF( LEN(C95)&gt;0, LEN(C95), "")</f>
        <v>3</v>
      </c>
      <c r="E95" s="75" t="str" cm="1">
        <f t="array" ref="E95">IF(E$30&gt;($D95+1),"",IF(E$30=($D95+1), _xlfn.IFNA(INDEX(音調表!$J$3:$J$10, MATCH(TRUE, EXACT(MID($C95,E$30,1), 音調表!$I$3:$I$10),0)),""),MID($C95,E$30,1)))</f>
        <v>ㄉ</v>
      </c>
      <c r="F95" s="75" t="str" cm="1">
        <f t="array" ref="F95">IF(F$30&gt;($D95+1),"",IF(F$30=($D95+1), _xlfn.IFNA(INDEX(音調表!$J$3:$J$10, MATCH(TRUE, EXACT(MID($C95,F$30,1), 音調表!$I$3:$I$10),0)),""),MID($C95,F$30,1)))</f>
        <v>ㆦ</v>
      </c>
      <c r="G95" s="75" t="str" cm="1">
        <f t="array" ref="G95">IF(G$30&gt;($D95+1),"",IF(G$30=($D95+1), _xlfn.IFNA(INDEX(音調表!$J$3:$J$10, MATCH(TRUE, EXACT(MID($C95,G$30,1), 音調表!$I$3:$I$10),0)),""),MID($C95,G$30,1)))</f>
        <v>ㆬ</v>
      </c>
      <c r="H95" s="75" t="str" cm="1">
        <f t="array" ref="H95">IF(H$30&gt;($D95+1),"",IF(H$30=($D95+1), _xlfn.IFNA(INDEX(音調表!$J$3:$J$10, MATCH(TRUE, EXACT(MID($C95,H$30,1), 音調表!$I$3:$I$10),0)),""),MID($C95,H$30,1)))</f>
        <v>"</v>
      </c>
      <c r="I95" s="75" t="str" cm="1">
        <f t="array" ref="I95">IF(I$30&gt;($D95+1),"",IF(I$30=($D95+1), _xlfn.IFNA(INDEX(音調表!$J$3:$J$10, MATCH(TRUE, EXACT(MID($C95,I$30,1), 音調表!$I$3:$I$10),0)),""),MID($C95,I$30,1)))</f>
        <v/>
      </c>
      <c r="J95" s="75" t="str" cm="1">
        <f t="array" ref="J95">IF(J$30&gt;($D95+1),"",IF(J$30=($D95+1), _xlfn.IFNA(INDEX(音調表!$J$3:$J$10, MATCH(TRUE, EXACT(MID($C95,J$30,1), 音調表!$I$3:$I$10),0)),""),MID($C95,J$30,1)))</f>
        <v/>
      </c>
      <c r="K95" s="75" t="str" cm="1">
        <f t="array" ref="K95">IF(K$30&gt;($D95+1),"",IF(K$30=($D95+1), _xlfn.IFNA(INDEX(音調表!$J$3:$J$10, MATCH(TRUE, EXACT(MID($C95,K$30,1), 音調表!$I$3:$I$10),0)),""),MID($C95,K$30,1)))</f>
        <v/>
      </c>
      <c r="L95" s="75" t="str" cm="1">
        <f t="array" ref="L95">IF(L$30&gt;($D95+1),"",IF(L$30=($D95+1), _xlfn.IFNA(INDEX(音調表!$J$3:$J$10, MATCH(TRUE, EXACT(MID($C95,L$30,1), 音調表!$I$3:$I$10),0)),""),MID($C95,L$30,1)))</f>
        <v/>
      </c>
      <c r="M95" s="76" t="str" cm="1">
        <f t="array" ref="M95">IF(M$30&gt;($D95+1),"",IF(M$30=($D95+1), _xlfn.IFNA(INDEX(音調表!$J$3:$J$10, MATCH(TRUE, EXACT(MID($C95,M$30,1), 音調表!$I$3:$I$10),0)),""),MID($C95,M$30,1)))</f>
        <v/>
      </c>
    </row>
    <row r="96" spans="2:13" hidden="1" outlineLevel="2">
      <c r="B96" s="7" t="s">
        <v>70</v>
      </c>
      <c r="C96" s="8" t="s">
        <v>349</v>
      </c>
      <c r="D96" s="9">
        <f t="shared" si="5"/>
        <v>3</v>
      </c>
      <c r="E96" s="75" t="str" cm="1">
        <f t="array" ref="E96">IF(E$30&gt;($D96+1),"",IF(E$30=($D96+1), _xlfn.IFNA(INDEX(音調表!$J$3:$J$10, MATCH(TRUE, EXACT(MID($C96,E$30,1), 音調表!$I$3:$I$10),0)),""),MID($C96,E$30,1)))</f>
        <v>ㄏ</v>
      </c>
      <c r="F96" s="75" t="str" cm="1">
        <f t="array" ref="F96">IF(F$30&gt;($D96+1),"",IF(F$30=($D96+1), _xlfn.IFNA(INDEX(音調表!$J$3:$J$10, MATCH(TRUE, EXACT(MID($C96,F$30,1), 音調表!$I$3:$I$10),0)),""),MID($C96,F$30,1)))</f>
        <v>ㆦ</v>
      </c>
      <c r="G96" s="75" t="str" cm="1">
        <f t="array" ref="G96">IF(G$30&gt;($D96+1),"",IF(G$30=($D96+1), _xlfn.IFNA(INDEX(音調表!$J$3:$J$10, MATCH(TRUE, EXACT(MID($C96,G$30,1), 音調表!$I$3:$I$10),0)),""),MID($C96,G$30,1)))</f>
        <v>ㆭ</v>
      </c>
      <c r="H96" s="75" t="str" cm="1">
        <f t="array" ref="H96">IF(H$30&gt;($D96+1),"",IF(H$30=($D96+1), _xlfn.IFNA(INDEX(音調表!$J$3:$J$10, MATCH(TRUE, EXACT(MID($C96,H$30,1), 音調表!$I$3:$I$10),0)),""),MID($C96,H$30,1)))</f>
        <v>"</v>
      </c>
      <c r="I96" s="75" t="str" cm="1">
        <f t="array" ref="I96">IF(I$30&gt;($D96+1),"",IF(I$30=($D96+1), _xlfn.IFNA(INDEX(音調表!$J$3:$J$10, MATCH(TRUE, EXACT(MID($C96,I$30,1), 音調表!$I$3:$I$10),0)),""),MID($C96,I$30,1)))</f>
        <v/>
      </c>
      <c r="J96" s="75" t="str" cm="1">
        <f t="array" ref="J96">IF(J$30&gt;($D96+1),"",IF(J$30=($D96+1), _xlfn.IFNA(INDEX(音調表!$J$3:$J$10, MATCH(TRUE, EXACT(MID($C96,J$30,1), 音調表!$I$3:$I$10),0)),""),MID($C96,J$30,1)))</f>
        <v/>
      </c>
      <c r="K96" s="75" t="str" cm="1">
        <f t="array" ref="K96">IF(K$30&gt;($D96+1),"",IF(K$30=($D96+1), _xlfn.IFNA(INDEX(音調表!$J$3:$J$10, MATCH(TRUE, EXACT(MID($C96,K$30,1), 音調表!$I$3:$I$10),0)),""),MID($C96,K$30,1)))</f>
        <v/>
      </c>
      <c r="L96" s="75" t="str" cm="1">
        <f t="array" ref="L96">IF(L$30&gt;($D96+1),"",IF(L$30=($D96+1), _xlfn.IFNA(INDEX(音調表!$J$3:$J$10, MATCH(TRUE, EXACT(MID($C96,L$30,1), 音調表!$I$3:$I$10),0)),""),MID($C96,L$30,1)))</f>
        <v/>
      </c>
      <c r="M96" s="76" t="str" cm="1">
        <f t="array" ref="M96">IF(M$30&gt;($D96+1),"",IF(M$30=($D96+1), _xlfn.IFNA(INDEX(音調表!$J$3:$J$10, MATCH(TRUE, EXACT(MID($C96,M$30,1), 音調表!$I$3:$I$10),0)),""),MID($C96,M$30,1)))</f>
        <v/>
      </c>
    </row>
    <row r="97" spans="2:13" hidden="1" outlineLevel="2">
      <c r="B97" s="7" t="s">
        <v>350</v>
      </c>
      <c r="C97" s="8" t="s">
        <v>354</v>
      </c>
      <c r="D97" s="9">
        <f t="shared" si="5"/>
        <v>2</v>
      </c>
      <c r="E97" s="75" t="str" cm="1">
        <f t="array" ref="E97">IF(E$30&gt;($D97+1),"",IF(E$30=($D97+1), _xlfn.IFNA(INDEX(音調表!$J$3:$J$10, MATCH(TRUE, EXACT(MID($C97,E$30,1), 音調表!$I$3:$I$10),0)),""),MID($C97,E$30,1)))</f>
        <v>ㄧ</v>
      </c>
      <c r="F97" s="75" t="str" cm="1">
        <f t="array" ref="F97">IF(F$30&gt;($D97+1),"",IF(F$30=($D97+1), _xlfn.IFNA(INDEX(音調表!$J$3:$J$10, MATCH(TRUE, EXACT(MID($C97,F$30,1), 音調表!$I$3:$I$10),0)),""),MID($C97,F$30,1)))</f>
        <v>ㄢ</v>
      </c>
      <c r="G97" s="75" t="str" cm="1">
        <f t="array" ref="G97">IF(G$30&gt;($D97+1),"",IF(G$30=($D97+1), _xlfn.IFNA(INDEX(音調表!$J$3:$J$10, MATCH(TRUE, EXACT(MID($C97,G$30,1), 音調表!$I$3:$I$10),0)),""),MID($C97,G$30,1)))</f>
        <v>"</v>
      </c>
      <c r="H97" s="75" t="str" cm="1">
        <f t="array" ref="H97">IF(H$30&gt;($D97+1),"",IF(H$30=($D97+1), _xlfn.IFNA(INDEX(音調表!$J$3:$J$10, MATCH(TRUE, EXACT(MID($C97,H$30,1), 音調表!$I$3:$I$10),0)),""),MID($C97,H$30,1)))</f>
        <v/>
      </c>
      <c r="I97" s="75" t="str" cm="1">
        <f t="array" ref="I97">IF(I$30&gt;($D97+1),"",IF(I$30=($D97+1), _xlfn.IFNA(INDEX(音調表!$J$3:$J$10, MATCH(TRUE, EXACT(MID($C97,I$30,1), 音調表!$I$3:$I$10),0)),""),MID($C97,I$30,1)))</f>
        <v/>
      </c>
      <c r="J97" s="75" t="str" cm="1">
        <f t="array" ref="J97">IF(J$30&gt;($D97+1),"",IF(J$30=($D97+1), _xlfn.IFNA(INDEX(音調表!$J$3:$J$10, MATCH(TRUE, EXACT(MID($C97,J$30,1), 音調表!$I$3:$I$10),0)),""),MID($C97,J$30,1)))</f>
        <v/>
      </c>
      <c r="K97" s="75" t="str" cm="1">
        <f t="array" ref="K97">IF(K$30&gt;($D97+1),"",IF(K$30=($D97+1), _xlfn.IFNA(INDEX(音調表!$J$3:$J$10, MATCH(TRUE, EXACT(MID($C97,K$30,1), 音調表!$I$3:$I$10),0)),""),MID($C97,K$30,1)))</f>
        <v/>
      </c>
      <c r="L97" s="75" t="str" cm="1">
        <f t="array" ref="L97">IF(L$30&gt;($D97+1),"",IF(L$30=($D97+1), _xlfn.IFNA(INDEX(音調表!$J$3:$J$10, MATCH(TRUE, EXACT(MID($C97,L$30,1), 音調表!$I$3:$I$10),0)),""),MID($C97,L$30,1)))</f>
        <v/>
      </c>
      <c r="M97" s="76" t="str" cm="1">
        <f t="array" ref="M97">IF(M$30&gt;($D97+1),"",IF(M$30=($D97+1), _xlfn.IFNA(INDEX(音調表!$J$3:$J$10, MATCH(TRUE, EXACT(MID($C97,M$30,1), 音調表!$I$3:$I$10),0)),""),MID($C97,M$30,1)))</f>
        <v/>
      </c>
    </row>
    <row r="98" spans="2:13" hidden="1" outlineLevel="2">
      <c r="B98" s="7" t="s">
        <v>351</v>
      </c>
      <c r="C98" s="8" t="s">
        <v>355</v>
      </c>
      <c r="D98" s="9">
        <f t="shared" si="5"/>
        <v>3</v>
      </c>
      <c r="E98" s="75" t="str" cm="1">
        <f t="array" ref="E98">IF(E$30&gt;($D98+1),"",IF(E$30=($D98+1), _xlfn.IFNA(INDEX(音調表!$J$3:$J$10, MATCH(TRUE, EXACT(MID($C98,E$30,1), 音調表!$I$3:$I$10),0)),""),MID($C98,E$30,1)))</f>
        <v>ㄧ</v>
      </c>
      <c r="F98" s="75" t="str" cm="1">
        <f t="array" ref="F98">IF(F$30&gt;($D98+1),"",IF(F$30=($D98+1), _xlfn.IFNA(INDEX(音調表!$J$3:$J$10, MATCH(TRUE, EXACT(MID($C98,F$30,1), 音調表!$I$3:$I$10),0)),""),MID($C98,F$30,1)))</f>
        <v>ㄚ</v>
      </c>
      <c r="G98" s="75" t="str" cm="1">
        <f t="array" ref="G98">IF(G$30&gt;($D98+1),"",IF(G$30=($D98+1), _xlfn.IFNA(INDEX(音調表!$J$3:$J$10, MATCH(TRUE, EXACT(MID($C98,G$30,1), 音調表!$I$3:$I$10),0)),""),MID($C98,G$30,1)))</f>
        <v>ㄣ</v>
      </c>
      <c r="H98" s="75" t="str" cm="1">
        <f t="array" ref="H98">IF(H$30&gt;($D98+1),"",IF(H$30=($D98+1), _xlfn.IFNA(INDEX(音調表!$J$3:$J$10, MATCH(TRUE, EXACT(MID($C98,H$30,1), 音調表!$I$3:$I$10),0)),""),MID($C98,H$30,1)))</f>
        <v>"</v>
      </c>
      <c r="I98" s="75" t="str" cm="1">
        <f t="array" ref="I98">IF(I$30&gt;($D98+1),"",IF(I$30=($D98+1), _xlfn.IFNA(INDEX(音調表!$J$3:$J$10, MATCH(TRUE, EXACT(MID($C98,I$30,1), 音調表!$I$3:$I$10),0)),""),MID($C98,I$30,1)))</f>
        <v/>
      </c>
      <c r="J98" s="75" t="str" cm="1">
        <f t="array" ref="J98">IF(J$30&gt;($D98+1),"",IF(J$30=($D98+1), _xlfn.IFNA(INDEX(音調表!$J$3:$J$10, MATCH(TRUE, EXACT(MID($C98,J$30,1), 音調表!$I$3:$I$10),0)),""),MID($C98,J$30,1)))</f>
        <v/>
      </c>
      <c r="K98" s="75" t="str" cm="1">
        <f t="array" ref="K98">IF(K$30&gt;($D98+1),"",IF(K$30=($D98+1), _xlfn.IFNA(INDEX(音調表!$J$3:$J$10, MATCH(TRUE, EXACT(MID($C98,K$30,1), 音調表!$I$3:$I$10),0)),""),MID($C98,K$30,1)))</f>
        <v/>
      </c>
      <c r="L98" s="75" t="str" cm="1">
        <f t="array" ref="L98">IF(L$30&gt;($D98+1),"",IF(L$30=($D98+1), _xlfn.IFNA(INDEX(音調表!$J$3:$J$10, MATCH(TRUE, EXACT(MID($C98,L$30,1), 音調表!$I$3:$I$10),0)),""),MID($C98,L$30,1)))</f>
        <v/>
      </c>
      <c r="M98" s="76" t="str" cm="1">
        <f t="array" ref="M98">IF(M$30&gt;($D98+1),"",IF(M$30=($D98+1), _xlfn.IFNA(INDEX(音調表!$J$3:$J$10, MATCH(TRUE, EXACT(MID($C98,M$30,1), 音調表!$I$3:$I$10),0)),""),MID($C98,M$30,1)))</f>
        <v/>
      </c>
    </row>
    <row r="99" spans="2:13" hidden="1" outlineLevel="2">
      <c r="B99" s="7" t="s">
        <v>353</v>
      </c>
      <c r="C99" s="8" t="s">
        <v>356</v>
      </c>
      <c r="D99" s="9">
        <f t="shared" si="5"/>
        <v>3</v>
      </c>
      <c r="E99" s="75" t="str" cm="1">
        <f t="array" ref="E99">IF(E$30&gt;($D99+1),"",IF(E$30=($D99+1), _xlfn.IFNA(INDEX(音調表!$J$3:$J$10, MATCH(TRUE, EXACT(MID($C99,E$30,1), 音調表!$I$3:$I$10),0)),""),MID($C99,E$30,1)))</f>
        <v>ㄐ</v>
      </c>
      <c r="F99" s="75" t="str" cm="1">
        <f t="array" ref="F99">IF(F$30&gt;($D99+1),"",IF(F$30=($D99+1), _xlfn.IFNA(INDEX(音調表!$J$3:$J$10, MATCH(TRUE, EXACT(MID($C99,F$30,1), 音調表!$I$3:$I$10),0)),""),MID($C99,F$30,1)))</f>
        <v>ㄧ</v>
      </c>
      <c r="G99" s="75" t="str" cm="1">
        <f t="array" ref="G99">IF(G$30&gt;($D99+1),"",IF(G$30=($D99+1), _xlfn.IFNA(INDEX(音調表!$J$3:$J$10, MATCH(TRUE, EXACT(MID($C99,G$30,1), 音調表!$I$3:$I$10),0)),""),MID($C99,G$30,1)))</f>
        <v>ㄤ</v>
      </c>
      <c r="H99" s="75" t="str" cm="1">
        <f t="array" ref="H99">IF(H$30&gt;($D99+1),"",IF(H$30=($D99+1), _xlfn.IFNA(INDEX(音調表!$J$3:$J$10, MATCH(TRUE, EXACT(MID($C99,H$30,1), 音調表!$I$3:$I$10),0)),""),MID($C99,H$30,1)))</f>
        <v>"</v>
      </c>
      <c r="I99" s="75" t="str" cm="1">
        <f t="array" ref="I99">IF(I$30&gt;($D99+1),"",IF(I$30=($D99+1), _xlfn.IFNA(INDEX(音調表!$J$3:$J$10, MATCH(TRUE, EXACT(MID($C99,I$30,1), 音調表!$I$3:$I$10),0)),""),MID($C99,I$30,1)))</f>
        <v/>
      </c>
      <c r="J99" s="75" t="str" cm="1">
        <f t="array" ref="J99">IF(J$30&gt;($D99+1),"",IF(J$30=($D99+1), _xlfn.IFNA(INDEX(音調表!$J$3:$J$10, MATCH(TRUE, EXACT(MID($C99,J$30,1), 音調表!$I$3:$I$10),0)),""),MID($C99,J$30,1)))</f>
        <v/>
      </c>
      <c r="K99" s="75" t="str" cm="1">
        <f t="array" ref="K99">IF(K$30&gt;($D99+1),"",IF(K$30=($D99+1), _xlfn.IFNA(INDEX(音調表!$J$3:$J$10, MATCH(TRUE, EXACT(MID($C99,K$30,1), 音調表!$I$3:$I$10),0)),""),MID($C99,K$30,1)))</f>
        <v/>
      </c>
      <c r="L99" s="75" t="str" cm="1">
        <f t="array" ref="L99">IF(L$30&gt;($D99+1),"",IF(L$30=($D99+1), _xlfn.IFNA(INDEX(音調表!$J$3:$J$10, MATCH(TRUE, EXACT(MID($C99,L$30,1), 音調表!$I$3:$I$10),0)),""),MID($C99,L$30,1)))</f>
        <v/>
      </c>
      <c r="M99" s="76" t="str" cm="1">
        <f t="array" ref="M99">IF(M$30&gt;($D99+1),"",IF(M$30=($D99+1), _xlfn.IFNA(INDEX(音調表!$J$3:$J$10, MATCH(TRUE, EXACT(MID($C99,M$30,1), 音調表!$I$3:$I$10),0)),""),MID($C99,M$30,1)))</f>
        <v/>
      </c>
    </row>
    <row r="100" spans="2:13" hidden="1" outlineLevel="2">
      <c r="B100" s="7" t="s">
        <v>353</v>
      </c>
      <c r="C100" s="8" t="s">
        <v>357</v>
      </c>
      <c r="D100" s="9">
        <f t="shared" si="5"/>
        <v>4</v>
      </c>
      <c r="E100" s="75" t="str" cm="1">
        <f t="array" ref="E100">IF(E$30&gt;($D100+1),"",IF(E$30=($D100+1), _xlfn.IFNA(INDEX(音調表!$J$3:$J$10, MATCH(TRUE, EXACT(MID($C100,E$30,1), 音調表!$I$3:$I$10),0)),""),MID($C100,E$30,1)))</f>
        <v>ㄗ</v>
      </c>
      <c r="F100" s="75" t="str" cm="1">
        <f t="array" ref="F100">IF(F$30&gt;($D100+1),"",IF(F$30=($D100+1), _xlfn.IFNA(INDEX(音調表!$J$3:$J$10, MATCH(TRUE, EXACT(MID($C100,F$30,1), 音調表!$I$3:$I$10),0)),""),MID($C100,F$30,1)))</f>
        <v>ㄧ</v>
      </c>
      <c r="G100" s="75" t="str" cm="1">
        <f t="array" ref="G100">IF(G$30&gt;($D100+1),"",IF(G$30=($D100+1), _xlfn.IFNA(INDEX(音調表!$J$3:$J$10, MATCH(TRUE, EXACT(MID($C100,G$30,1), 音調表!$I$3:$I$10),0)),""),MID($C100,G$30,1)))</f>
        <v>ㄚ</v>
      </c>
      <c r="H100" s="75" t="str" cm="1">
        <f t="array" ref="H100">IF(H$30&gt;($D100+1),"",IF(H$30=($D100+1), _xlfn.IFNA(INDEX(音調表!$J$3:$J$10, MATCH(TRUE, EXACT(MID($C100,H$30,1), 音調表!$I$3:$I$10),0)),""),MID($C100,H$30,1)))</f>
        <v>ㆭ</v>
      </c>
      <c r="I100" s="75" t="str" cm="1">
        <f t="array" ref="I100">IF(I$30&gt;($D100+1),"",IF(I$30=($D100+1), _xlfn.IFNA(INDEX(音調表!$J$3:$J$10, MATCH(TRUE, EXACT(MID($C100,I$30,1), 音調表!$I$3:$I$10),0)),""),MID($C100,I$30,1)))</f>
        <v>"</v>
      </c>
      <c r="J100" s="75" t="str" cm="1">
        <f t="array" ref="J100">IF(J$30&gt;($D100+1),"",IF(J$30=($D100+1), _xlfn.IFNA(INDEX(音調表!$J$3:$J$10, MATCH(TRUE, EXACT(MID($C100,J$30,1), 音調表!$I$3:$I$10),0)),""),MID($C100,J$30,1)))</f>
        <v/>
      </c>
      <c r="K100" s="75" t="str" cm="1">
        <f t="array" ref="K100">IF(K$30&gt;($D100+1),"",IF(K$30=($D100+1), _xlfn.IFNA(INDEX(音調表!$J$3:$J$10, MATCH(TRUE, EXACT(MID($C100,K$30,1), 音調表!$I$3:$I$10),0)),""),MID($C100,K$30,1)))</f>
        <v/>
      </c>
      <c r="L100" s="75" t="str" cm="1">
        <f t="array" ref="L100">IF(L$30&gt;($D100+1),"",IF(L$30=($D100+1), _xlfn.IFNA(INDEX(音調表!$J$3:$J$10, MATCH(TRUE, EXACT(MID($C100,L$30,1), 音調表!$I$3:$I$10),0)),""),MID($C100,L$30,1)))</f>
        <v/>
      </c>
      <c r="M100" s="76" t="str" cm="1">
        <f t="array" ref="M100">IF(M$30&gt;($D100+1),"",IF(M$30=($D100+1), _xlfn.IFNA(INDEX(音調表!$J$3:$J$10, MATCH(TRUE, EXACT(MID($C100,M$30,1), 音調表!$I$3:$I$10),0)),""),MID($C100,M$30,1)))</f>
        <v/>
      </c>
    </row>
    <row r="101" spans="2:13" hidden="1" outlineLevel="2">
      <c r="B101" s="7" t="s">
        <v>352</v>
      </c>
      <c r="C101" s="8" t="s">
        <v>358</v>
      </c>
      <c r="D101" s="9">
        <f t="shared" si="5"/>
        <v>3</v>
      </c>
      <c r="E101" s="75" t="str" cm="1">
        <f t="array" ref="E101">IF(E$30&gt;($D101+1),"",IF(E$30=($D101+1), _xlfn.IFNA(INDEX(音調表!$J$3:$J$10, MATCH(TRUE, EXACT(MID($C101,E$30,1), 音調表!$I$3:$I$10),0)),""),MID($C101,E$30,1)))</f>
        <v>ㄐ</v>
      </c>
      <c r="F101" s="75" t="str" cm="1">
        <f t="array" ref="F101">IF(F$30&gt;($D101+1),"",IF(F$30=($D101+1), _xlfn.IFNA(INDEX(音調表!$J$3:$J$10, MATCH(TRUE, EXACT(MID($C101,F$30,1), 音調表!$I$3:$I$10),0)),""),MID($C101,F$30,1)))</f>
        <v>ㄧ</v>
      </c>
      <c r="G101" s="75" t="str" cm="1">
        <f t="array" ref="G101">IF(G$30&gt;($D101+1),"",IF(G$30=($D101+1), _xlfn.IFNA(INDEX(音調表!$J$3:$J$10, MATCH(TRUE, EXACT(MID($C101,G$30,1), 音調表!$I$3:$I$10),0)),""),MID($C101,G$30,1)))</f>
        <v>ㆲ</v>
      </c>
      <c r="H101" s="75" t="str" cm="1">
        <f t="array" ref="H101">IF(H$30&gt;($D101+1),"",IF(H$30=($D101+1), _xlfn.IFNA(INDEX(音調表!$J$3:$J$10, MATCH(TRUE, EXACT(MID($C101,H$30,1), 音調表!$I$3:$I$10),0)),""),MID($C101,H$30,1)))</f>
        <v>"</v>
      </c>
      <c r="I101" s="75" t="str" cm="1">
        <f t="array" ref="I101">IF(I$30&gt;($D101+1),"",IF(I$30=($D101+1), _xlfn.IFNA(INDEX(音調表!$J$3:$J$10, MATCH(TRUE, EXACT(MID($C101,I$30,1), 音調表!$I$3:$I$10),0)),""),MID($C101,I$30,1)))</f>
        <v/>
      </c>
      <c r="J101" s="75" t="str" cm="1">
        <f t="array" ref="J101">IF(J$30&gt;($D101+1),"",IF(J$30=($D101+1), _xlfn.IFNA(INDEX(音調表!$J$3:$J$10, MATCH(TRUE, EXACT(MID($C101,J$30,1), 音調表!$I$3:$I$10),0)),""),MID($C101,J$30,1)))</f>
        <v/>
      </c>
      <c r="K101" s="75" t="str" cm="1">
        <f t="array" ref="K101">IF(K$30&gt;($D101+1),"",IF(K$30=($D101+1), _xlfn.IFNA(INDEX(音調表!$J$3:$J$10, MATCH(TRUE, EXACT(MID($C101,K$30,1), 音調表!$I$3:$I$10),0)),""),MID($C101,K$30,1)))</f>
        <v/>
      </c>
      <c r="L101" s="75" t="str" cm="1">
        <f t="array" ref="L101">IF(L$30&gt;($D101+1),"",IF(L$30=($D101+1), _xlfn.IFNA(INDEX(音調表!$J$3:$J$10, MATCH(TRUE, EXACT(MID($C101,L$30,1), 音調表!$I$3:$I$10),0)),""),MID($C101,L$30,1)))</f>
        <v/>
      </c>
      <c r="M101" s="76" t="str" cm="1">
        <f t="array" ref="M101">IF(M$30&gt;($D101+1),"",IF(M$30=($D101+1), _xlfn.IFNA(INDEX(音調表!$J$3:$J$10, MATCH(TRUE, EXACT(MID($C101,M$30,1), 音調表!$I$3:$I$10),0)),""),MID($C101,M$30,1)))</f>
        <v/>
      </c>
    </row>
    <row r="102" spans="2:13" hidden="1" outlineLevel="2">
      <c r="B102" s="7" t="s">
        <v>352</v>
      </c>
      <c r="C102" s="8" t="s">
        <v>359</v>
      </c>
      <c r="D102" s="9">
        <f t="shared" si="5"/>
        <v>4</v>
      </c>
      <c r="E102" s="75" t="str" cm="1">
        <f t="array" ref="E102">IF(E$30&gt;($D102+1),"",IF(E$30=($D102+1), _xlfn.IFNA(INDEX(音調表!$J$3:$J$10, MATCH(TRUE, EXACT(MID($C102,E$30,1), 音調表!$I$3:$I$10),0)),""),MID($C102,E$30,1)))</f>
        <v>ㄗ</v>
      </c>
      <c r="F102" s="75" t="str" cm="1">
        <f t="array" ref="F102">IF(F$30&gt;($D102+1),"",IF(F$30=($D102+1), _xlfn.IFNA(INDEX(音調表!$J$3:$J$10, MATCH(TRUE, EXACT(MID($C102,F$30,1), 音調表!$I$3:$I$10),0)),""),MID($C102,F$30,1)))</f>
        <v>ㄧ</v>
      </c>
      <c r="G102" s="75" t="str" cm="1">
        <f t="array" ref="G102">IF(G$30&gt;($D102+1),"",IF(G$30=($D102+1), _xlfn.IFNA(INDEX(音調表!$J$3:$J$10, MATCH(TRUE, EXACT(MID($C102,G$30,1), 音調表!$I$3:$I$10),0)),""),MID($C102,G$30,1)))</f>
        <v>ㆦ</v>
      </c>
      <c r="H102" s="75" t="str" cm="1">
        <f t="array" ref="H102">IF(H$30&gt;($D102+1),"",IF(H$30=($D102+1), _xlfn.IFNA(INDEX(音調表!$J$3:$J$10, MATCH(TRUE, EXACT(MID($C102,H$30,1), 音調表!$I$3:$I$10),0)),""),MID($C102,H$30,1)))</f>
        <v>ㆭ</v>
      </c>
      <c r="I102" s="75" t="str" cm="1">
        <f t="array" ref="I102">IF(I$30&gt;($D102+1),"",IF(I$30=($D102+1), _xlfn.IFNA(INDEX(音調表!$J$3:$J$10, MATCH(TRUE, EXACT(MID($C102,I$30,1), 音調表!$I$3:$I$10),0)),""),MID($C102,I$30,1)))</f>
        <v>"</v>
      </c>
      <c r="J102" s="75" t="str" cm="1">
        <f t="array" ref="J102">IF(J$30&gt;($D102+1),"",IF(J$30=($D102+1), _xlfn.IFNA(INDEX(音調表!$J$3:$J$10, MATCH(TRUE, EXACT(MID($C102,J$30,1), 音調表!$I$3:$I$10),0)),""),MID($C102,J$30,1)))</f>
        <v/>
      </c>
      <c r="K102" s="75" t="str" cm="1">
        <f t="array" ref="K102">IF(K$30&gt;($D102+1),"",IF(K$30=($D102+1), _xlfn.IFNA(INDEX(音調表!$J$3:$J$10, MATCH(TRUE, EXACT(MID($C102,K$30,1), 音調表!$I$3:$I$10),0)),""),MID($C102,K$30,1)))</f>
        <v/>
      </c>
      <c r="L102" s="75" t="str" cm="1">
        <f t="array" ref="L102">IF(L$30&gt;($D102+1),"",IF(L$30=($D102+1), _xlfn.IFNA(INDEX(音調表!$J$3:$J$10, MATCH(TRUE, EXACT(MID($C102,L$30,1), 音調表!$I$3:$I$10),0)),""),MID($C102,L$30,1)))</f>
        <v/>
      </c>
      <c r="M102" s="76" t="str" cm="1">
        <f t="array" ref="M102">IF(M$30&gt;($D102+1),"",IF(M$30=($D102+1), _xlfn.IFNA(INDEX(音調表!$J$3:$J$10, MATCH(TRUE, EXACT(MID($C102,M$30,1), 音調表!$I$3:$I$10),0)),""),MID($C102,M$30,1)))</f>
        <v/>
      </c>
    </row>
    <row r="103" spans="2:13" hidden="1" outlineLevel="1" collapsed="1"/>
    <row r="104" spans="2:13" collapsed="1"/>
  </sheetData>
  <mergeCells count="36">
    <mergeCell ref="B29:B30"/>
    <mergeCell ref="C29:C30"/>
    <mergeCell ref="D29:D30"/>
    <mergeCell ref="E29:M29"/>
    <mergeCell ref="B35:B36"/>
    <mergeCell ref="C35:C36"/>
    <mergeCell ref="D35:D36"/>
    <mergeCell ref="E35:M35"/>
    <mergeCell ref="B84:B85"/>
    <mergeCell ref="C84:C85"/>
    <mergeCell ref="D84:D85"/>
    <mergeCell ref="E84:M84"/>
    <mergeCell ref="B41:B42"/>
    <mergeCell ref="C41:C42"/>
    <mergeCell ref="D41:D42"/>
    <mergeCell ref="E41:M41"/>
    <mergeCell ref="B49:B50"/>
    <mergeCell ref="C49:C50"/>
    <mergeCell ref="D49:D50"/>
    <mergeCell ref="E49:M49"/>
    <mergeCell ref="B5:B6"/>
    <mergeCell ref="C5:C6"/>
    <mergeCell ref="D5:D6"/>
    <mergeCell ref="E5:M5"/>
    <mergeCell ref="B92:B93"/>
    <mergeCell ref="C92:C93"/>
    <mergeCell ref="D92:D93"/>
    <mergeCell ref="E92:M92"/>
    <mergeCell ref="B15:B16"/>
    <mergeCell ref="C15:C16"/>
    <mergeCell ref="D15:D16"/>
    <mergeCell ref="E15:M15"/>
    <mergeCell ref="B64:B65"/>
    <mergeCell ref="C64:C65"/>
    <mergeCell ref="D64:D65"/>
    <mergeCell ref="E64:M6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8F18-99CF-4B28-AAA6-09BECC3B669F}">
  <dimension ref="B2:P4"/>
  <sheetViews>
    <sheetView showGridLines="0" workbookViewId="0">
      <selection activeCell="K9" sqref="K9"/>
    </sheetView>
  </sheetViews>
  <sheetFormatPr defaultRowHeight="39" outlineLevelCol="1"/>
  <cols>
    <col min="1" max="1" width="4.25" style="1" customWidth="1"/>
    <col min="2" max="2" width="9" style="1"/>
    <col min="3" max="3" width="21.125" style="1" customWidth="1"/>
    <col min="4" max="4" width="9" style="1" customWidth="1" outlineLevel="1"/>
    <col min="5" max="15" width="9" style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6">
      <c r="B2" s="125" t="s">
        <v>4</v>
      </c>
      <c r="C2" s="126" t="s">
        <v>195</v>
      </c>
      <c r="D2" s="125" t="s">
        <v>8</v>
      </c>
      <c r="E2" s="127" t="s">
        <v>36</v>
      </c>
      <c r="F2" s="128"/>
      <c r="G2" s="128"/>
      <c r="H2" s="128"/>
      <c r="I2" s="128"/>
      <c r="J2" s="128"/>
      <c r="K2" s="128"/>
      <c r="L2" s="128"/>
      <c r="M2" s="129"/>
    </row>
    <row r="3" spans="2:16" s="2" customFormat="1" ht="30">
      <c r="B3" s="125"/>
      <c r="C3" s="125"/>
      <c r="D3" s="125"/>
      <c r="E3" s="4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6">
        <v>9</v>
      </c>
    </row>
    <row r="4" spans="2:16">
      <c r="B4" s="7"/>
      <c r="C4" s="8"/>
      <c r="D4" s="9" t="str">
        <f>IF( LEN(C4)&gt;0, LEN(C4), "")</f>
        <v/>
      </c>
      <c r="E4" s="10" t="s">
        <v>392</v>
      </c>
      <c r="F4" s="10" t="s">
        <v>392</v>
      </c>
      <c r="G4" s="10" t="s">
        <v>392</v>
      </c>
      <c r="H4" s="10" t="s">
        <v>392</v>
      </c>
      <c r="I4" s="10" t="s">
        <v>392</v>
      </c>
      <c r="J4" s="10" t="s">
        <v>392</v>
      </c>
      <c r="K4" s="10" t="s">
        <v>392</v>
      </c>
      <c r="L4" s="10" t="s">
        <v>392</v>
      </c>
      <c r="M4" s="11" t="s">
        <v>392</v>
      </c>
      <c r="O4" s="2"/>
      <c r="P4" s="2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155A-68A5-42A9-8DD0-E84055BC4135}">
  <dimension ref="B2:P44"/>
  <sheetViews>
    <sheetView showGridLines="0" topLeftCell="A16" workbookViewId="0">
      <selection activeCell="S8" sqref="S8"/>
    </sheetView>
  </sheetViews>
  <sheetFormatPr defaultRowHeight="39" outlineLevelCol="1"/>
  <cols>
    <col min="1" max="1" width="4.25" style="1" customWidth="1"/>
    <col min="2" max="2" width="9" style="1"/>
    <col min="3" max="3" width="21.125" style="1" customWidth="1"/>
    <col min="4" max="4" width="9" style="1" hidden="1" customWidth="1" outlineLevel="1"/>
    <col min="5" max="5" width="9" style="1" collapsed="1"/>
    <col min="6" max="15" width="9" style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6">
      <c r="B2" s="125" t="s">
        <v>4</v>
      </c>
      <c r="C2" s="126" t="s">
        <v>195</v>
      </c>
      <c r="D2" s="125" t="s">
        <v>8</v>
      </c>
      <c r="E2" s="127" t="s">
        <v>36</v>
      </c>
      <c r="F2" s="128"/>
      <c r="G2" s="128"/>
      <c r="H2" s="128"/>
      <c r="I2" s="128"/>
      <c r="J2" s="128"/>
      <c r="K2" s="128"/>
      <c r="L2" s="128"/>
      <c r="M2" s="129"/>
    </row>
    <row r="3" spans="2:16" s="2" customFormat="1" ht="30">
      <c r="B3" s="125"/>
      <c r="C3" s="125"/>
      <c r="D3" s="125"/>
      <c r="E3" s="4">
        <v>1</v>
      </c>
      <c r="F3" s="5">
        <v>2</v>
      </c>
      <c r="G3" s="5">
        <v>3</v>
      </c>
      <c r="H3" s="5">
        <v>4</v>
      </c>
      <c r="I3" s="5">
        <v>5</v>
      </c>
      <c r="J3" s="5">
        <v>6</v>
      </c>
      <c r="K3" s="5">
        <v>7</v>
      </c>
      <c r="L3" s="5">
        <v>8</v>
      </c>
      <c r="M3" s="6">
        <v>9</v>
      </c>
    </row>
    <row r="4" spans="2:16">
      <c r="B4" s="7" t="s">
        <v>0</v>
      </c>
      <c r="C4" s="8" t="s">
        <v>5</v>
      </c>
      <c r="D4" s="9">
        <f>IF( LEN(C4)&gt;0, LEN(C4), "")</f>
        <v>6</v>
      </c>
      <c r="E4" s="10" t="str" cm="1">
        <f t="array" ref="E4" xml:space="preserve"> IF(E$3&lt;&gt;$D4, MID($C4,E$3,1), INDEX(音調表!$F$3:$F$10, MATCH(TRUE, EXACT(MID($C4,E$3,1), 音調表!$E$3:$E$10),0)))</f>
        <v>l</v>
      </c>
      <c r="F4" s="10" t="str" cm="1">
        <f t="array" ref="F4" xml:space="preserve"> IF(F$3&lt;&gt;$D4, MID($C4,F$3,1), INDEX(音調表!$F$3:$F$10, MATCH(TRUE, EXACT(MID($C4,F$3,1), 音調表!$E$3:$E$10),0)))</f>
        <v>i</v>
      </c>
      <c r="G4" s="10" t="str" cm="1">
        <f t="array" ref="G4" xml:space="preserve"> IF(G$3&lt;&gt;$D4, MID($C4,G$3,1), INDEX(音調表!$F$3:$F$10, MATCH(TRUE, EXACT(MID($C4,G$3,1), 音調表!$E$3:$E$10),0)))</f>
        <v>a</v>
      </c>
      <c r="H4" s="10" t="str" cm="1">
        <f t="array" ref="H4" xml:space="preserve"> IF(H$3&lt;&gt;$D4, MID($C4,H$3,1), INDEX(音調表!$F$3:$F$10, MATCH(TRUE, EXACT(MID($C4,H$3,1), 音調表!$E$3:$E$10),0)))</f>
        <v>n</v>
      </c>
      <c r="I4" s="10" t="str" cm="1">
        <f t="array" ref="I4" xml:space="preserve"> IF(I$3&lt;&gt;$D4, MID($C4,I$3,1), INDEX(音調表!$F$3:$F$10, MATCH(TRUE, EXACT(MID($C4,I$3,1), 音調表!$E$3:$E$10),0)))</f>
        <v>g</v>
      </c>
      <c r="J4" s="10" cm="1">
        <f t="array" ref="J4" xml:space="preserve"> IF(J$3&lt;&gt;$D4, MID($C4,J$3,1), INDEX(音調表!$F$3:$F$10, MATCH(TRUE, EXACT(MID($C4,J$3,1), 音調表!$E$3:$E$10),0)))</f>
        <v>2</v>
      </c>
      <c r="K4" s="10" t="str" cm="1">
        <f t="array" ref="K4" xml:space="preserve"> IF(K$3&lt;&gt;$D4, MID($C4,K$3,1), INDEX(音調表!$F$3:$F$10, MATCH(TRUE, EXACT(MID($C4,K$3,1), 音調表!$E$3:$E$10),0)))</f>
        <v/>
      </c>
      <c r="L4" s="10" t="str" cm="1">
        <f t="array" ref="L4" xml:space="preserve"> IF(L$3&lt;&gt;$D4, MID($C4,L$3,1), INDEX(音調表!$F$3:$F$10, MATCH(TRUE, EXACT(MID($C4,L$3,1), 音調表!$E$3:$E$10),0)))</f>
        <v/>
      </c>
      <c r="M4" s="11" t="str" cm="1">
        <f t="array" ref="M4" xml:space="preserve"> IF(M$3&lt;&gt;$D4, MID($C4,M$3,1), INDEX(音調表!$F$3:$F$10, MATCH(TRUE, EXACT(MID($C4,M$3,1), 音調表!$E$3:$E$10),0)))</f>
        <v/>
      </c>
      <c r="O4" s="2"/>
      <c r="P4" s="2"/>
    </row>
    <row r="5" spans="2:16">
      <c r="B5" s="7" t="s">
        <v>1</v>
      </c>
      <c r="C5" s="8" t="s">
        <v>6</v>
      </c>
      <c r="D5" s="9">
        <f t="shared" ref="D5:D44" si="0">IF( LEN(C5)&gt;0, LEN(C5), "")</f>
        <v>4</v>
      </c>
      <c r="E5" s="10" t="str" cm="1">
        <f t="array" ref="E5" xml:space="preserve"> IF(E$3&lt;&gt;$D5, MID($C5,E$3,1), INDEX(音調表!$F$3:$F$10, MATCH(TRUE, EXACT(MID($C5,E$3,1), 音調表!$E$3:$E$10),0)))</f>
        <v>z</v>
      </c>
      <c r="F5" s="10" t="str" cm="1">
        <f t="array" ref="F5" xml:space="preserve"> IF(F$3&lt;&gt;$D5, MID($C5,F$3,1), INDEX(音調表!$F$3:$F$10, MATCH(TRUE, EXACT(MID($C5,F$3,1), 音調表!$E$3:$E$10),0)))</f>
        <v>i</v>
      </c>
      <c r="G5" s="10" t="str" cm="1">
        <f t="array" ref="G5" xml:space="preserve"> IF(G$3&lt;&gt;$D5, MID($C5,G$3,1), INDEX(音調表!$F$3:$F$10, MATCH(TRUE, EXACT(MID($C5,G$3,1), 音調表!$E$3:$E$10),0)))</f>
        <v>u</v>
      </c>
      <c r="H5" s="10" cm="1">
        <f t="array" ref="H5" xml:space="preserve"> IF(H$3&lt;&gt;$D5, MID($C5,H$3,1), INDEX(音調表!$F$3:$F$10, MATCH(TRUE, EXACT(MID($C5,H$3,1), 音調表!$E$3:$E$10),0)))</f>
        <v>1</v>
      </c>
      <c r="I5" s="10" t="str" cm="1">
        <f t="array" ref="I5" xml:space="preserve"> IF(I$3&lt;&gt;$D5, MID($C5,I$3,1), INDEX(音調表!$F$3:$F$10, MATCH(TRUE, EXACT(MID($C5,I$3,1), 音調表!$E$3:$E$10),0)))</f>
        <v/>
      </c>
      <c r="J5" s="10" t="str" cm="1">
        <f t="array" ref="J5" xml:space="preserve"> IF(J$3&lt;&gt;$D5, MID($C5,J$3,1), INDEX(音調表!$F$3:$F$10, MATCH(TRUE, EXACT(MID($C5,J$3,1), 音調表!$E$3:$E$10),0)))</f>
        <v/>
      </c>
      <c r="K5" s="10" t="str" cm="1">
        <f t="array" ref="K5" xml:space="preserve"> IF(K$3&lt;&gt;$D5, MID($C5,K$3,1), INDEX(音調表!$F$3:$F$10, MATCH(TRUE, EXACT(MID($C5,K$3,1), 音調表!$E$3:$E$10),0)))</f>
        <v/>
      </c>
      <c r="L5" s="10" t="str" cm="1">
        <f t="array" ref="L5" xml:space="preserve"> IF(L$3&lt;&gt;$D5, MID($C5,L$3,1), INDEX(音調表!$F$3:$F$10, MATCH(TRUE, EXACT(MID($C5,L$3,1), 音調表!$E$3:$E$10),0)))</f>
        <v/>
      </c>
      <c r="M5" s="11" t="str" cm="1">
        <f t="array" ref="M5" xml:space="preserve"> IF(M$3&lt;&gt;$D5, MID($C5,M$3,1), INDEX(音調表!$F$3:$F$10, MATCH(TRUE, EXACT(MID($C5,M$3,1), 音調表!$E$3:$E$10),0)))</f>
        <v/>
      </c>
      <c r="O5" s="2"/>
      <c r="P5" s="2"/>
    </row>
    <row r="6" spans="2:16">
      <c r="B6" s="7" t="s">
        <v>2</v>
      </c>
      <c r="C6" s="8" t="s">
        <v>7</v>
      </c>
      <c r="D6" s="9">
        <f t="shared" si="0"/>
        <v>3</v>
      </c>
      <c r="E6" s="10" t="str" cm="1">
        <f t="array" ref="E6" xml:space="preserve"> IF(E$3&lt;&gt;$D6, MID($C6,E$3,1), INDEX(音調表!$F$3:$F$10, MATCH(TRUE, EXACT(MID($C6,E$3,1), 音調表!$E$3:$E$10),0)))</f>
        <v>s</v>
      </c>
      <c r="F6" s="10" t="str" cm="1">
        <f t="array" ref="F6" xml:space="preserve"> IF(F$3&lt;&gt;$D6, MID($C6,F$3,1), INDEX(音調表!$F$3:$F$10, MATCH(TRUE, EXACT(MID($C6,F$3,1), 音調表!$E$3:$E$10),0)))</f>
        <v>u</v>
      </c>
      <c r="G6" s="10" cm="1">
        <f t="array" ref="G6" xml:space="preserve"> IF(G$3&lt;&gt;$D6, MID($C6,G$3,1), INDEX(音調表!$F$3:$F$10, MATCH(TRUE, EXACT(MID($C6,G$3,1), 音調表!$E$3:$E$10),0)))</f>
        <v>2</v>
      </c>
      <c r="H6" s="10" t="str" cm="1">
        <f t="array" ref="H6" xml:space="preserve"> IF(H$3&lt;&gt;$D6, MID($C6,H$3,1), INDEX(音調表!$F$3:$F$10, MATCH(TRUE, EXACT(MID($C6,H$3,1), 音調表!$E$3:$E$10),0)))</f>
        <v/>
      </c>
      <c r="I6" s="10" t="str" cm="1">
        <f t="array" ref="I6" xml:space="preserve"> IF(I$3&lt;&gt;$D6, MID($C6,I$3,1), INDEX(音調表!$F$3:$F$10, MATCH(TRUE, EXACT(MID($C6,I$3,1), 音調表!$E$3:$E$10),0)))</f>
        <v/>
      </c>
      <c r="J6" s="10" t="str" cm="1">
        <f t="array" ref="J6" xml:space="preserve"> IF(J$3&lt;&gt;$D6, MID($C6,J$3,1), INDEX(音調表!$F$3:$F$10, MATCH(TRUE, EXACT(MID($C6,J$3,1), 音調表!$E$3:$E$10),0)))</f>
        <v/>
      </c>
      <c r="K6" s="10" t="str" cm="1">
        <f t="array" ref="K6" xml:space="preserve"> IF(K$3&lt;&gt;$D6, MID($C6,K$3,1), INDEX(音調表!$F$3:$F$10, MATCH(TRUE, EXACT(MID($C6,K$3,1), 音調表!$E$3:$E$10),0)))</f>
        <v/>
      </c>
      <c r="L6" s="10" t="str" cm="1">
        <f t="array" ref="L6" xml:space="preserve"> IF(L$3&lt;&gt;$D6, MID($C6,L$3,1), INDEX(音調表!$F$3:$F$10, MATCH(TRUE, EXACT(MID($C6,L$3,1), 音調表!$E$3:$E$10),0)))</f>
        <v/>
      </c>
      <c r="M6" s="11" t="str" cm="1">
        <f t="array" ref="M6" xml:space="preserve"> IF(M$3&lt;&gt;$D6, MID($C6,M$3,1), INDEX(音調表!$F$3:$F$10, MATCH(TRUE, EXACT(MID($C6,M$3,1), 音調表!$E$3:$E$10),0)))</f>
        <v/>
      </c>
      <c r="O6" s="2"/>
      <c r="P6" s="2"/>
    </row>
    <row r="7" spans="2:16">
      <c r="B7" s="7"/>
      <c r="C7" s="8"/>
      <c r="D7" s="9" t="str">
        <f t="shared" si="0"/>
        <v/>
      </c>
      <c r="E7" s="10" t="str" cm="1">
        <f t="array" ref="E7" xml:space="preserve"> IF(E$3&lt;&gt;$D7, MID($C7,E$3,1), INDEX(音調表!$F$3:$F$10, MATCH(TRUE, EXACT(MID($C7,E$3,1), 音調表!$E$3:$E$10),0)))</f>
        <v/>
      </c>
      <c r="F7" s="10" t="str" cm="1">
        <f t="array" ref="F7" xml:space="preserve"> IF(F$3&lt;&gt;$D7, MID($C7,F$3,1), INDEX(音調表!$F$3:$F$10, MATCH(TRUE, EXACT(MID($C7,F$3,1), 音調表!$E$3:$E$10),0)))</f>
        <v/>
      </c>
      <c r="G7" s="10" t="str" cm="1">
        <f t="array" ref="G7" xml:space="preserve"> IF(G$3&lt;&gt;$D7, MID($C7,G$3,1), INDEX(音調表!$F$3:$F$10, MATCH(TRUE, EXACT(MID($C7,G$3,1), 音調表!$E$3:$E$10),0)))</f>
        <v/>
      </c>
      <c r="H7" s="10" t="str" cm="1">
        <f t="array" ref="H7" xml:space="preserve"> IF(H$3&lt;&gt;$D7, MID($C7,H$3,1), INDEX(音調表!$F$3:$F$10, MATCH(TRUE, EXACT(MID($C7,H$3,1), 音調表!$E$3:$E$10),0)))</f>
        <v/>
      </c>
      <c r="I7" s="10" t="str" cm="1">
        <f t="array" ref="I7" xml:space="preserve"> IF(I$3&lt;&gt;$D7, MID($C7,I$3,1), INDEX(音調表!$F$3:$F$10, MATCH(TRUE, EXACT(MID($C7,I$3,1), 音調表!$E$3:$E$10),0)))</f>
        <v/>
      </c>
      <c r="J7" s="10" t="str" cm="1">
        <f t="array" ref="J7" xml:space="preserve"> IF(J$3&lt;&gt;$D7, MID($C7,J$3,1), INDEX(音調表!$F$3:$F$10, MATCH(TRUE, EXACT(MID($C7,J$3,1), 音調表!$E$3:$E$10),0)))</f>
        <v/>
      </c>
      <c r="K7" s="10" t="str" cm="1">
        <f t="array" ref="K7" xml:space="preserve"> IF(K$3&lt;&gt;$D7, MID($C7,K$3,1), INDEX(音調表!$F$3:$F$10, MATCH(TRUE, EXACT(MID($C7,K$3,1), 音調表!$E$3:$E$10),0)))</f>
        <v/>
      </c>
      <c r="L7" s="10" t="str" cm="1">
        <f t="array" ref="L7" xml:space="preserve"> IF(L$3&lt;&gt;$D7, MID($C7,L$3,1), INDEX(音調表!$F$3:$F$10, MATCH(TRUE, EXACT(MID($C7,L$3,1), 音調表!$E$3:$E$10),0)))</f>
        <v/>
      </c>
      <c r="M7" s="11" t="str" cm="1">
        <f t="array" ref="M7" xml:space="preserve"> IF(M$3&lt;&gt;$D7, MID($C7,M$3,1), INDEX(音調表!$F$3:$F$10, MATCH(TRUE, EXACT(MID($C7,M$3,1), 音調表!$E$3:$E$10),0)))</f>
        <v/>
      </c>
      <c r="O7" s="2"/>
      <c r="P7" s="2"/>
    </row>
    <row r="8" spans="2:16">
      <c r="B8" s="7" t="s">
        <v>43</v>
      </c>
      <c r="C8" s="8" t="s">
        <v>76</v>
      </c>
      <c r="D8" s="9">
        <f t="shared" si="0"/>
        <v>4</v>
      </c>
      <c r="E8" s="10" t="str" cm="1">
        <f t="array" ref="E8" xml:space="preserve"> IF(E$3&lt;&gt;$D8, MID($C8,E$3,1), INDEX(音調表!$F$3:$F$10, MATCH(TRUE, EXACT(MID($C8,E$3,1), 音調表!$E$3:$E$10),0)))</f>
        <v>o</v>
      </c>
      <c r="F8" s="10" t="str" cm="1">
        <f t="array" ref="F8" xml:space="preserve"> IF(F$3&lt;&gt;$D8, MID($C8,F$3,1), INDEX(音調表!$F$3:$F$10, MATCH(TRUE, EXACT(MID($C8,F$3,1), 音調表!$E$3:$E$10),0)))</f>
        <v>n</v>
      </c>
      <c r="G8" s="10" t="str" cm="1">
        <f t="array" ref="G8" xml:space="preserve"> IF(G$3&lt;&gt;$D8, MID($C8,G$3,1), INDEX(音調表!$F$3:$F$10, MATCH(TRUE, EXACT(MID($C8,G$3,1), 音調表!$E$3:$E$10),0)))</f>
        <v>g</v>
      </c>
      <c r="H8" s="10" cm="1">
        <f t="array" ref="H8" xml:space="preserve"> IF(H$3&lt;&gt;$D8, MID($C8,H$3,1), INDEX(音調表!$F$3:$F$10, MATCH(TRUE, EXACT(MID($C8,H$3,1), 音調表!$E$3:$E$10),0)))</f>
        <v>2</v>
      </c>
      <c r="I8" s="10" t="str" cm="1">
        <f t="array" ref="I8" xml:space="preserve"> IF(I$3&lt;&gt;$D8, MID($C8,I$3,1), INDEX(音調表!$F$3:$F$10, MATCH(TRUE, EXACT(MID($C8,I$3,1), 音調表!$E$3:$E$10),0)))</f>
        <v/>
      </c>
      <c r="J8" s="10" t="str" cm="1">
        <f t="array" ref="J8" xml:space="preserve"> IF(J$3&lt;&gt;$D8, MID($C8,J$3,1), INDEX(音調表!$F$3:$F$10, MATCH(TRUE, EXACT(MID($C8,J$3,1), 音調表!$E$3:$E$10),0)))</f>
        <v/>
      </c>
      <c r="K8" s="10" t="str" cm="1">
        <f t="array" ref="K8" xml:space="preserve"> IF(K$3&lt;&gt;$D8, MID($C8,K$3,1), INDEX(音調表!$F$3:$F$10, MATCH(TRUE, EXACT(MID($C8,K$3,1), 音調表!$E$3:$E$10),0)))</f>
        <v/>
      </c>
      <c r="L8" s="10" t="str" cm="1">
        <f t="array" ref="L8" xml:space="preserve"> IF(L$3&lt;&gt;$D8, MID($C8,L$3,1), INDEX(音調表!$F$3:$F$10, MATCH(TRUE, EXACT(MID($C8,L$3,1), 音調表!$E$3:$E$10),0)))</f>
        <v/>
      </c>
      <c r="M8" s="11" t="str" cm="1">
        <f t="array" ref="M8" xml:space="preserve"> IF(M$3&lt;&gt;$D8, MID($C8,M$3,1), INDEX(音調表!$F$3:$F$10, MATCH(TRUE, EXACT(MID($C8,M$3,1), 音調表!$E$3:$E$10),0)))</f>
        <v/>
      </c>
      <c r="O8" s="2"/>
      <c r="P8" s="2"/>
    </row>
    <row r="9" spans="2:16">
      <c r="B9" s="7" t="s">
        <v>44</v>
      </c>
      <c r="C9" s="8" t="s">
        <v>77</v>
      </c>
      <c r="D9" s="9">
        <f t="shared" si="0"/>
        <v>3</v>
      </c>
      <c r="E9" s="10" t="str" cm="1">
        <f t="array" ref="E9" xml:space="preserve"> IF(E$3&lt;&gt;$D9, MID($C9,E$3,1), INDEX(音調表!$F$3:$F$10, MATCH(TRUE, EXACT(MID($C9,E$3,1), 音調表!$E$3:$E$10),0)))</f>
        <v>z</v>
      </c>
      <c r="F9" s="10" t="str" cm="1">
        <f t="array" ref="F9" xml:space="preserve"> IF(F$3&lt;&gt;$D9, MID($C9,F$3,1), INDEX(音調表!$F$3:$F$10, MATCH(TRUE, EXACT(MID($C9,F$3,1), 音調表!$E$3:$E$10),0)))</f>
        <v>i</v>
      </c>
      <c r="G9" s="10" cm="1">
        <f t="array" ref="G9" xml:space="preserve"> IF(G$3&lt;&gt;$D9, MID($C9,G$3,1), INDEX(音調表!$F$3:$F$10, MATCH(TRUE, EXACT(MID($C9,G$3,1), 音調表!$E$3:$E$10),0)))</f>
        <v>1</v>
      </c>
      <c r="H9" s="10" t="str" cm="1">
        <f t="array" ref="H9" xml:space="preserve"> IF(H$3&lt;&gt;$D9, MID($C9,H$3,1), INDEX(音調表!$F$3:$F$10, MATCH(TRUE, EXACT(MID($C9,H$3,1), 音調表!$E$3:$E$10),0)))</f>
        <v/>
      </c>
      <c r="I9" s="10" t="str" cm="1">
        <f t="array" ref="I9" xml:space="preserve"> IF(I$3&lt;&gt;$D9, MID($C9,I$3,1), INDEX(音調表!$F$3:$F$10, MATCH(TRUE, EXACT(MID($C9,I$3,1), 音調表!$E$3:$E$10),0)))</f>
        <v/>
      </c>
      <c r="J9" s="10" t="str" cm="1">
        <f t="array" ref="J9" xml:space="preserve"> IF(J$3&lt;&gt;$D9, MID($C9,J$3,1), INDEX(音調表!$F$3:$F$10, MATCH(TRUE, EXACT(MID($C9,J$3,1), 音調表!$E$3:$E$10),0)))</f>
        <v/>
      </c>
      <c r="K9" s="10" t="str" cm="1">
        <f t="array" ref="K9" xml:space="preserve"> IF(K$3&lt;&gt;$D9, MID($C9,K$3,1), INDEX(音調表!$F$3:$F$10, MATCH(TRUE, EXACT(MID($C9,K$3,1), 音調表!$E$3:$E$10),0)))</f>
        <v/>
      </c>
      <c r="L9" s="10" t="str" cm="1">
        <f t="array" ref="L9" xml:space="preserve"> IF(L$3&lt;&gt;$D9, MID($C9,L$3,1), INDEX(音調表!$F$3:$F$10, MATCH(TRUE, EXACT(MID($C9,L$3,1), 音調表!$E$3:$E$10),0)))</f>
        <v/>
      </c>
      <c r="M9" s="11" t="str" cm="1">
        <f t="array" ref="M9" xml:space="preserve"> IF(M$3&lt;&gt;$D9, MID($C9,M$3,1), INDEX(音調表!$F$3:$F$10, MATCH(TRUE, EXACT(MID($C9,M$3,1), 音調表!$E$3:$E$10),0)))</f>
        <v/>
      </c>
      <c r="O9" s="2"/>
      <c r="P9" s="2"/>
    </row>
    <row r="10" spans="2:16">
      <c r="B10" s="7" t="s">
        <v>45</v>
      </c>
      <c r="C10" s="8" t="s">
        <v>78</v>
      </c>
      <c r="D10" s="9">
        <f t="shared" si="0"/>
        <v>5</v>
      </c>
      <c r="E10" s="10" t="str" cm="1">
        <f t="array" ref="E10" xml:space="preserve"> IF(E$3&lt;&gt;$D10, MID($C10,E$3,1), INDEX(音調表!$F$3:$F$10, MATCH(TRUE, EXACT(MID($C10,E$3,1), 音調表!$E$3:$E$10),0)))</f>
        <v>h</v>
      </c>
      <c r="F10" s="10" t="str" cm="1">
        <f t="array" ref="F10" xml:space="preserve"> IF(F$3&lt;&gt;$D10, MID($C10,F$3,1), INDEX(音調表!$F$3:$F$10, MATCH(TRUE, EXACT(MID($C10,F$3,1), 音調表!$E$3:$E$10),0)))</f>
        <v>u</v>
      </c>
      <c r="G10" s="10" t="str" cm="1">
        <f t="array" ref="G10" xml:space="preserve"> IF(G$3&lt;&gt;$D10, MID($C10,G$3,1), INDEX(音調表!$F$3:$F$10, MATCH(TRUE, EXACT(MID($C10,G$3,1), 音調表!$E$3:$E$10),0)))</f>
        <v>a</v>
      </c>
      <c r="H10" s="10" t="str" cm="1">
        <f t="array" ref="H10" xml:space="preserve"> IF(H$3&lt;&gt;$D10, MID($C10,H$3,1), INDEX(音調表!$F$3:$F$10, MATCH(TRUE, EXACT(MID($C10,H$3,1), 音調表!$E$3:$E$10),0)))</f>
        <v>n</v>
      </c>
      <c r="I10" s="10" cm="1">
        <f t="array" ref="I10" xml:space="preserve"> IF(I$3&lt;&gt;$D10, MID($C10,I$3,1), INDEX(音調表!$F$3:$F$10, MATCH(TRUE, EXACT(MID($C10,I$3,1), 音調表!$E$3:$E$10),0)))</f>
        <v>5</v>
      </c>
      <c r="J10" s="10" t="str" cm="1">
        <f t="array" ref="J10" xml:space="preserve"> IF(J$3&lt;&gt;$D10, MID($C10,J$3,1), INDEX(音調表!$F$3:$F$10, MATCH(TRUE, EXACT(MID($C10,J$3,1), 音調表!$E$3:$E$10),0)))</f>
        <v/>
      </c>
      <c r="K10" s="10" t="str" cm="1">
        <f t="array" ref="K10" xml:space="preserve"> IF(K$3&lt;&gt;$D10, MID($C10,K$3,1), INDEX(音調表!$F$3:$F$10, MATCH(TRUE, EXACT(MID($C10,K$3,1), 音調表!$E$3:$E$10),0)))</f>
        <v/>
      </c>
      <c r="L10" s="10" t="str" cm="1">
        <f t="array" ref="L10" xml:space="preserve"> IF(L$3&lt;&gt;$D10, MID($C10,L$3,1), INDEX(音調表!$F$3:$F$10, MATCH(TRUE, EXACT(MID($C10,L$3,1), 音調表!$E$3:$E$10),0)))</f>
        <v/>
      </c>
      <c r="M10" s="11" t="str" cm="1">
        <f t="array" ref="M10" xml:space="preserve"> IF(M$3&lt;&gt;$D10, MID($C10,M$3,1), INDEX(音調表!$F$3:$F$10, MATCH(TRUE, EXACT(MID($C10,M$3,1), 音調表!$E$3:$E$10),0)))</f>
        <v/>
      </c>
      <c r="O10" s="2"/>
      <c r="P10" s="2"/>
    </row>
    <row r="11" spans="2:16">
      <c r="B11" s="7"/>
      <c r="C11" s="8"/>
      <c r="D11" s="9" t="str">
        <f t="shared" si="0"/>
        <v/>
      </c>
      <c r="E11" s="10" t="str" cm="1">
        <f t="array" ref="E11" xml:space="preserve"> IF(E$3&lt;&gt;$D11, MID($C11,E$3,1), INDEX(音調表!$F$3:$F$10, MATCH(TRUE, EXACT(MID($C11,E$3,1), 音調表!$E$3:$E$10),0)))</f>
        <v/>
      </c>
      <c r="F11" s="10" t="str" cm="1">
        <f t="array" ref="F11" xml:space="preserve"> IF(F$3&lt;&gt;$D11, MID($C11,F$3,1), INDEX(音調表!$F$3:$F$10, MATCH(TRUE, EXACT(MID($C11,F$3,1), 音調表!$E$3:$E$10),0)))</f>
        <v/>
      </c>
      <c r="G11" s="10" t="str" cm="1">
        <f t="array" ref="G11" xml:space="preserve"> IF(G$3&lt;&gt;$D11, MID($C11,G$3,1), INDEX(音調表!$F$3:$F$10, MATCH(TRUE, EXACT(MID($C11,G$3,1), 音調表!$E$3:$E$10),0)))</f>
        <v/>
      </c>
      <c r="H11" s="10" t="str" cm="1">
        <f t="array" ref="H11" xml:space="preserve"> IF(H$3&lt;&gt;$D11, MID($C11,H$3,1), INDEX(音調表!$F$3:$F$10, MATCH(TRUE, EXACT(MID($C11,H$3,1), 音調表!$E$3:$E$10),0)))</f>
        <v/>
      </c>
      <c r="I11" s="10" t="str" cm="1">
        <f t="array" ref="I11" xml:space="preserve"> IF(I$3&lt;&gt;$D11, MID($C11,I$3,1), INDEX(音調表!$F$3:$F$10, MATCH(TRUE, EXACT(MID($C11,I$3,1), 音調表!$E$3:$E$10),0)))</f>
        <v/>
      </c>
      <c r="J11" s="10" t="str" cm="1">
        <f t="array" ref="J11" xml:space="preserve"> IF(J$3&lt;&gt;$D11, MID($C11,J$3,1), INDEX(音調表!$F$3:$F$10, MATCH(TRUE, EXACT(MID($C11,J$3,1), 音調表!$E$3:$E$10),0)))</f>
        <v/>
      </c>
      <c r="K11" s="10" t="str" cm="1">
        <f t="array" ref="K11" xml:space="preserve"> IF(K$3&lt;&gt;$D11, MID($C11,K$3,1), INDEX(音調表!$F$3:$F$10, MATCH(TRUE, EXACT(MID($C11,K$3,1), 音調表!$E$3:$E$10),0)))</f>
        <v/>
      </c>
      <c r="L11" s="10" t="str" cm="1">
        <f t="array" ref="L11" xml:space="preserve"> IF(L$3&lt;&gt;$D11, MID($C11,L$3,1), INDEX(音調表!$F$3:$F$10, MATCH(TRUE, EXACT(MID($C11,L$3,1), 音調表!$E$3:$E$10),0)))</f>
        <v/>
      </c>
      <c r="M11" s="11" t="str" cm="1">
        <f t="array" ref="M11" xml:space="preserve"> IF(M$3&lt;&gt;$D11, MID($C11,M$3,1), INDEX(音調表!$F$3:$F$10, MATCH(TRUE, EXACT(MID($C11,M$3,1), 音調表!$E$3:$E$10),0)))</f>
        <v/>
      </c>
      <c r="O11" s="2"/>
      <c r="P11" s="2"/>
    </row>
    <row r="12" spans="2:16">
      <c r="B12" s="7" t="s">
        <v>46</v>
      </c>
      <c r="C12" s="8" t="s">
        <v>79</v>
      </c>
      <c r="D12" s="9">
        <f t="shared" si="0"/>
        <v>5</v>
      </c>
      <c r="E12" s="10" t="str" cm="1">
        <f t="array" ref="E12" xml:space="preserve"> IF(E$3&lt;&gt;$D12, MID($C12,E$3,1), INDEX(音調表!$F$3:$F$10, MATCH(TRUE, EXACT(MID($C12,E$3,1), 音調表!$E$3:$E$10),0)))</f>
        <v>h</v>
      </c>
      <c r="F12" s="10" t="str" cm="1">
        <f t="array" ref="F12" xml:space="preserve"> IF(F$3&lt;&gt;$D12, MID($C12,F$3,1), INDEX(音調表!$F$3:$F$10, MATCH(TRUE, EXACT(MID($C12,F$3,1), 音調表!$E$3:$E$10),0)))</f>
        <v>o</v>
      </c>
      <c r="G12" s="10" t="str" cm="1">
        <f t="array" ref="G12" xml:space="preserve"> IF(G$3&lt;&gt;$D12, MID($C12,G$3,1), INDEX(音調表!$F$3:$F$10, MATCH(TRUE, EXACT(MID($C12,G$3,1), 音調表!$E$3:$E$10),0)))</f>
        <v>n</v>
      </c>
      <c r="H12" s="10" t="str" cm="1">
        <f t="array" ref="H12" xml:space="preserve"> IF(H$3&lt;&gt;$D12, MID($C12,H$3,1), INDEX(音調表!$F$3:$F$10, MATCH(TRUE, EXACT(MID($C12,H$3,1), 音調表!$E$3:$E$10),0)))</f>
        <v>g</v>
      </c>
      <c r="I12" s="10" cm="1">
        <f t="array" ref="I12" xml:space="preserve"> IF(I$3&lt;&gt;$D12, MID($C12,I$3,1), INDEX(音調表!$F$3:$F$10, MATCH(TRUE, EXACT(MID($C12,I$3,1), 音調表!$E$3:$E$10),0)))</f>
        <v>2</v>
      </c>
      <c r="J12" s="10" t="str" cm="1">
        <f t="array" ref="J12" xml:space="preserve"> IF(J$3&lt;&gt;$D12, MID($C12,J$3,1), INDEX(音調表!$F$3:$F$10, MATCH(TRUE, EXACT(MID($C12,J$3,1), 音調表!$E$3:$E$10),0)))</f>
        <v/>
      </c>
      <c r="K12" s="10" t="str" cm="1">
        <f t="array" ref="K12" xml:space="preserve"> IF(K$3&lt;&gt;$D12, MID($C12,K$3,1), INDEX(音調表!$F$3:$F$10, MATCH(TRUE, EXACT(MID($C12,K$3,1), 音調表!$E$3:$E$10),0)))</f>
        <v/>
      </c>
      <c r="L12" s="10" t="str" cm="1">
        <f t="array" ref="L12" xml:space="preserve"> IF(L$3&lt;&gt;$D12, MID($C12,L$3,1), INDEX(音調表!$F$3:$F$10, MATCH(TRUE, EXACT(MID($C12,L$3,1), 音調表!$E$3:$E$10),0)))</f>
        <v/>
      </c>
      <c r="M12" s="11" t="str" cm="1">
        <f t="array" ref="M12" xml:space="preserve"> IF(M$3&lt;&gt;$D12, MID($C12,M$3,1), INDEX(音調表!$F$3:$F$10, MATCH(TRUE, EXACT(MID($C12,M$3,1), 音調表!$E$3:$E$10),0)))</f>
        <v/>
      </c>
      <c r="O12" s="2"/>
      <c r="P12" s="2"/>
    </row>
    <row r="13" spans="2:16">
      <c r="B13" s="7" t="s">
        <v>47</v>
      </c>
      <c r="C13" s="8" t="s">
        <v>80</v>
      </c>
      <c r="D13" s="9">
        <f t="shared" si="0"/>
        <v>3</v>
      </c>
      <c r="E13" s="10" t="str" cm="1">
        <f t="array" ref="E13" xml:space="preserve"> IF(E$3&lt;&gt;$D13, MID($C13,E$3,1), INDEX(音調表!$F$3:$F$10, MATCH(TRUE, EXACT(MID($C13,E$3,1), 音調表!$E$3:$E$10),0)))</f>
        <v>h</v>
      </c>
      <c r="F13" s="10" t="str" cm="1">
        <f t="array" ref="F13" xml:space="preserve"> IF(F$3&lt;&gt;$D13, MID($C13,F$3,1), INDEX(音調表!$F$3:$F$10, MATCH(TRUE, EXACT(MID($C13,F$3,1), 音調表!$E$3:$E$10),0)))</f>
        <v>o</v>
      </c>
      <c r="G13" s="10" cm="1">
        <f t="array" ref="G13" xml:space="preserve"> IF(G$3&lt;&gt;$D13, MID($C13,G$3,1), INDEX(音調表!$F$3:$F$10, MATCH(TRUE, EXACT(MID($C13,G$3,1), 音調表!$E$3:$E$10),0)))</f>
        <v>2</v>
      </c>
      <c r="H13" s="10" t="str" cm="1">
        <f t="array" ref="H13" xml:space="preserve"> IF(H$3&lt;&gt;$D13, MID($C13,H$3,1), INDEX(音調表!$F$3:$F$10, MATCH(TRUE, EXACT(MID($C13,H$3,1), 音調表!$E$3:$E$10),0)))</f>
        <v/>
      </c>
      <c r="I13" s="10" t="str" cm="1">
        <f t="array" ref="I13" xml:space="preserve"> IF(I$3&lt;&gt;$D13, MID($C13,I$3,1), INDEX(音調表!$F$3:$F$10, MATCH(TRUE, EXACT(MID($C13,I$3,1), 音調表!$E$3:$E$10),0)))</f>
        <v/>
      </c>
      <c r="J13" s="10" t="str" cm="1">
        <f t="array" ref="J13" xml:space="preserve"> IF(J$3&lt;&gt;$D13, MID($C13,J$3,1), INDEX(音調表!$F$3:$F$10, MATCH(TRUE, EXACT(MID($C13,J$3,1), 音調表!$E$3:$E$10),0)))</f>
        <v/>
      </c>
      <c r="K13" s="10" t="str" cm="1">
        <f t="array" ref="K13" xml:space="preserve"> IF(K$3&lt;&gt;$D13, MID($C13,K$3,1), INDEX(音調表!$F$3:$F$10, MATCH(TRUE, EXACT(MID($C13,K$3,1), 音調表!$E$3:$E$10),0)))</f>
        <v/>
      </c>
      <c r="L13" s="10" t="str" cm="1">
        <f t="array" ref="L13" xml:space="preserve"> IF(L$3&lt;&gt;$D13, MID($C13,L$3,1), INDEX(音調表!$F$3:$F$10, MATCH(TRUE, EXACT(MID($C13,L$3,1), 音調表!$E$3:$E$10),0)))</f>
        <v/>
      </c>
      <c r="M13" s="11" t="str" cm="1">
        <f t="array" ref="M13" xml:space="preserve"> IF(M$3&lt;&gt;$D13, MID($C13,M$3,1), INDEX(音調表!$F$3:$F$10, MATCH(TRUE, EXACT(MID($C13,M$3,1), 音調表!$E$3:$E$10),0)))</f>
        <v/>
      </c>
      <c r="O13" s="2"/>
      <c r="P13" s="2"/>
    </row>
    <row r="14" spans="2:16">
      <c r="B14" s="7" t="s">
        <v>48</v>
      </c>
      <c r="C14" s="8" t="s">
        <v>81</v>
      </c>
      <c r="D14" s="9">
        <f t="shared" si="0"/>
        <v>4</v>
      </c>
      <c r="E14" s="10" t="str" cm="1">
        <f t="array" ref="E14" xml:space="preserve"> IF(E$3&lt;&gt;$D14, MID($C14,E$3,1), INDEX(音調表!$F$3:$F$10, MATCH(TRUE, EXACT(MID($C14,E$3,1), 音調表!$E$3:$E$10),0)))</f>
        <v>u</v>
      </c>
      <c r="F14" s="10" t="str" cm="1">
        <f t="array" ref="F14" xml:space="preserve"> IF(F$3&lt;&gt;$D14, MID($C14,F$3,1), INDEX(音調表!$F$3:$F$10, MATCH(TRUE, EXACT(MID($C14,F$3,1), 音調表!$E$3:$E$10),0)))</f>
        <v>a</v>
      </c>
      <c r="G14" s="10" t="str" cm="1">
        <f t="array" ref="G14" xml:space="preserve"> IF(G$3&lt;&gt;$D14, MID($C14,G$3,1), INDEX(音調表!$F$3:$F$10, MATCH(TRUE, EXACT(MID($C14,G$3,1), 音調表!$E$3:$E$10),0)))</f>
        <v>n</v>
      </c>
      <c r="H14" s="10" cm="1">
        <f t="array" ref="H14" xml:space="preserve"> IF(H$3&lt;&gt;$D14, MID($C14,H$3,1), INDEX(音調表!$F$3:$F$10, MATCH(TRUE, EXACT(MID($C14,H$3,1), 音調表!$E$3:$E$10),0)))</f>
        <v>3</v>
      </c>
      <c r="I14" s="10" t="str" cm="1">
        <f t="array" ref="I14" xml:space="preserve"> IF(I$3&lt;&gt;$D14, MID($C14,I$3,1), INDEX(音調表!$F$3:$F$10, MATCH(TRUE, EXACT(MID($C14,I$3,1), 音調表!$E$3:$E$10),0)))</f>
        <v/>
      </c>
      <c r="J14" s="10" t="str" cm="1">
        <f t="array" ref="J14" xml:space="preserve"> IF(J$3&lt;&gt;$D14, MID($C14,J$3,1), INDEX(音調表!$F$3:$F$10, MATCH(TRUE, EXACT(MID($C14,J$3,1), 音調表!$E$3:$E$10),0)))</f>
        <v/>
      </c>
      <c r="K14" s="10" t="str" cm="1">
        <f t="array" ref="K14" xml:space="preserve"> IF(K$3&lt;&gt;$D14, MID($C14,K$3,1), INDEX(音調表!$F$3:$F$10, MATCH(TRUE, EXACT(MID($C14,K$3,1), 音調表!$E$3:$E$10),0)))</f>
        <v/>
      </c>
      <c r="L14" s="10" t="str" cm="1">
        <f t="array" ref="L14" xml:space="preserve"> IF(L$3&lt;&gt;$D14, MID($C14,L$3,1), INDEX(音調表!$F$3:$F$10, MATCH(TRUE, EXACT(MID($C14,L$3,1), 音調表!$E$3:$E$10),0)))</f>
        <v/>
      </c>
      <c r="M14" s="11" t="str" cm="1">
        <f t="array" ref="M14" xml:space="preserve"> IF(M$3&lt;&gt;$D14, MID($C14,M$3,1), INDEX(音調表!$F$3:$F$10, MATCH(TRUE, EXACT(MID($C14,M$3,1), 音調表!$E$3:$E$10),0)))</f>
        <v/>
      </c>
      <c r="O14" s="2"/>
      <c r="P14" s="2"/>
    </row>
    <row r="15" spans="2:16">
      <c r="B15" s="7" t="s">
        <v>49</v>
      </c>
      <c r="C15" s="8" t="s">
        <v>82</v>
      </c>
      <c r="D15" s="9">
        <f t="shared" si="0"/>
        <v>6</v>
      </c>
      <c r="E15" s="10" t="str" cm="1">
        <f t="array" ref="E15" xml:space="preserve"> IF(E$3&lt;&gt;$D15, MID($C15,E$3,1), INDEX(音調表!$F$3:$F$10, MATCH(TRUE, EXACT(MID($C15,E$3,1), 音調表!$E$3:$E$10),0)))</f>
        <v>s</v>
      </c>
      <c r="F15" s="10" t="str" cm="1">
        <f t="array" ref="F15" xml:space="preserve"> IF(F$3&lt;&gt;$D15, MID($C15,F$3,1), INDEX(音調表!$F$3:$F$10, MATCH(TRUE, EXACT(MID($C15,F$3,1), 音調表!$E$3:$E$10),0)))</f>
        <v>i</v>
      </c>
      <c r="G15" s="10" t="str" cm="1">
        <f t="array" ref="G15" xml:space="preserve"> IF(G$3&lt;&gt;$D15, MID($C15,G$3,1), INDEX(音調表!$F$3:$F$10, MATCH(TRUE, EXACT(MID($C15,G$3,1), 音調表!$E$3:$E$10),0)))</f>
        <v>o</v>
      </c>
      <c r="H15" s="10" t="str" cm="1">
        <f t="array" ref="H15" xml:space="preserve"> IF(H$3&lt;&gt;$D15, MID($C15,H$3,1), INDEX(音調表!$F$3:$F$10, MATCH(TRUE, EXACT(MID($C15,H$3,1), 音調表!$E$3:$E$10),0)))</f>
        <v>n</v>
      </c>
      <c r="I15" s="10" t="str" cm="1">
        <f t="array" ref="I15" xml:space="preserve"> IF(I$3&lt;&gt;$D15, MID($C15,I$3,1), INDEX(音調表!$F$3:$F$10, MATCH(TRUE, EXACT(MID($C15,I$3,1), 音調表!$E$3:$E$10),0)))</f>
        <v>g</v>
      </c>
      <c r="J15" s="10" cm="1">
        <f t="array" ref="J15" xml:space="preserve"> IF(J$3&lt;&gt;$D15, MID($C15,J$3,1), INDEX(音調表!$F$3:$F$10, MATCH(TRUE, EXACT(MID($C15,J$3,1), 音調表!$E$3:$E$10),0)))</f>
        <v>3</v>
      </c>
      <c r="K15" s="10" t="str" cm="1">
        <f t="array" ref="K15" xml:space="preserve"> IF(K$3&lt;&gt;$D15, MID($C15,K$3,1), INDEX(音調表!$F$3:$F$10, MATCH(TRUE, EXACT(MID($C15,K$3,1), 音調表!$E$3:$E$10),0)))</f>
        <v/>
      </c>
      <c r="L15" s="10" t="str" cm="1">
        <f t="array" ref="L15" xml:space="preserve"> IF(L$3&lt;&gt;$D15, MID($C15,L$3,1), INDEX(音調表!$F$3:$F$10, MATCH(TRUE, EXACT(MID($C15,L$3,1), 音調表!$E$3:$E$10),0)))</f>
        <v/>
      </c>
      <c r="M15" s="11" t="str" cm="1">
        <f t="array" ref="M15" xml:space="preserve"> IF(M$3&lt;&gt;$D15, MID($C15,M$3,1), INDEX(音調表!$F$3:$F$10, MATCH(TRUE, EXACT(MID($C15,M$3,1), 音調表!$E$3:$E$10),0)))</f>
        <v/>
      </c>
      <c r="O15" s="2"/>
      <c r="P15" s="2"/>
    </row>
    <row r="16" spans="2:16">
      <c r="B16" s="7" t="s">
        <v>50</v>
      </c>
      <c r="C16" s="8" t="s">
        <v>83</v>
      </c>
      <c r="D16" s="9">
        <f t="shared" si="0"/>
        <v>4</v>
      </c>
      <c r="E16" s="10" t="str" cm="1">
        <f t="array" ref="E16" xml:space="preserve"> IF(E$3&lt;&gt;$D16, MID($C16,E$3,1), INDEX(音調表!$F$3:$F$10, MATCH(TRUE, EXACT(MID($C16,E$3,1), 音調表!$E$3:$E$10),0)))</f>
        <v>p</v>
      </c>
      <c r="F16" s="10" t="str" cm="1">
        <f t="array" ref="F16" xml:space="preserve"> IF(F$3&lt;&gt;$D16, MID($C16,F$3,1), INDEX(音調表!$F$3:$F$10, MATCH(TRUE, EXACT(MID($C16,F$3,1), 音調表!$E$3:$E$10),0)))</f>
        <v>i</v>
      </c>
      <c r="G16" s="10" t="str" cm="1">
        <f t="array" ref="G16" xml:space="preserve"> IF(G$3&lt;&gt;$D16, MID($C16,G$3,1), INDEX(音調表!$F$3:$F$10, MATCH(TRUE, EXACT(MID($C16,G$3,1), 音調表!$E$3:$E$10),0)))</f>
        <v>k</v>
      </c>
      <c r="H16" s="10" cm="1">
        <f t="array" ref="H16" xml:space="preserve"> IF(H$3&lt;&gt;$D16, MID($C16,H$3,1), INDEX(音調表!$F$3:$F$10, MATCH(TRUE, EXACT(MID($C16,H$3,1), 音調表!$E$3:$E$10),0)))</f>
        <v>8</v>
      </c>
      <c r="I16" s="10" t="str" cm="1">
        <f t="array" ref="I16" xml:space="preserve"> IF(I$3&lt;&gt;$D16, MID($C16,I$3,1), INDEX(音調表!$F$3:$F$10, MATCH(TRUE, EXACT(MID($C16,I$3,1), 音調表!$E$3:$E$10),0)))</f>
        <v/>
      </c>
      <c r="J16" s="10" t="str" cm="1">
        <f t="array" ref="J16" xml:space="preserve"> IF(J$3&lt;&gt;$D16, MID($C16,J$3,1), INDEX(音調表!$F$3:$F$10, MATCH(TRUE, EXACT(MID($C16,J$3,1), 音調表!$E$3:$E$10),0)))</f>
        <v/>
      </c>
      <c r="K16" s="10" t="str" cm="1">
        <f t="array" ref="K16" xml:space="preserve"> IF(K$3&lt;&gt;$D16, MID($C16,K$3,1), INDEX(音調表!$F$3:$F$10, MATCH(TRUE, EXACT(MID($C16,K$3,1), 音調表!$E$3:$E$10),0)))</f>
        <v/>
      </c>
      <c r="L16" s="10" t="str" cm="1">
        <f t="array" ref="L16" xml:space="preserve"> IF(L$3&lt;&gt;$D16, MID($C16,L$3,1), INDEX(音調表!$F$3:$F$10, MATCH(TRUE, EXACT(MID($C16,L$3,1), 音調表!$E$3:$E$10),0)))</f>
        <v/>
      </c>
      <c r="M16" s="11" t="str" cm="1">
        <f t="array" ref="M16" xml:space="preserve"> IF(M$3&lt;&gt;$D16, MID($C16,M$3,1), INDEX(音調表!$F$3:$F$10, MATCH(TRUE, EXACT(MID($C16,M$3,1), 音調表!$E$3:$E$10),0)))</f>
        <v/>
      </c>
      <c r="O16" s="2"/>
      <c r="P16" s="2"/>
    </row>
    <row r="17" spans="2:16">
      <c r="B17" s="7" t="s">
        <v>51</v>
      </c>
      <c r="C17" s="8" t="s">
        <v>84</v>
      </c>
      <c r="D17" s="9">
        <f t="shared" si="0"/>
        <v>4</v>
      </c>
      <c r="E17" s="10" t="str" cm="1">
        <f t="array" ref="E17" xml:space="preserve"> IF(E$3&lt;&gt;$D17, MID($C17,E$3,1), INDEX(音調表!$F$3:$F$10, MATCH(TRUE, EXACT(MID($C17,E$3,1), 音調表!$E$3:$E$10),0)))</f>
        <v>h</v>
      </c>
      <c r="F17" s="10" t="str" cm="1">
        <f t="array" ref="F17" xml:space="preserve"> IF(F$3&lt;&gt;$D17, MID($C17,F$3,1), INDEX(音調表!$F$3:$F$10, MATCH(TRUE, EXACT(MID($C17,F$3,1), 音調表!$E$3:$E$10),0)))</f>
        <v>u</v>
      </c>
      <c r="G17" s="10" t="str" cm="1">
        <f t="array" ref="G17" xml:space="preserve"> IF(G$3&lt;&gt;$D17, MID($C17,G$3,1), INDEX(音調表!$F$3:$F$10, MATCH(TRUE, EXACT(MID($C17,G$3,1), 音調表!$E$3:$E$10),0)))</f>
        <v>n</v>
      </c>
      <c r="H17" s="10" cm="1">
        <f t="array" ref="H17" xml:space="preserve"> IF(H$3&lt;&gt;$D17, MID($C17,H$3,1), INDEX(音調表!$F$3:$F$10, MATCH(TRUE, EXACT(MID($C17,H$3,1), 音調表!$E$3:$E$10),0)))</f>
        <v>2</v>
      </c>
      <c r="I17" s="10" t="str" cm="1">
        <f t="array" ref="I17" xml:space="preserve"> IF(I$3&lt;&gt;$D17, MID($C17,I$3,1), INDEX(音調表!$F$3:$F$10, MATCH(TRUE, EXACT(MID($C17,I$3,1), 音調表!$E$3:$E$10),0)))</f>
        <v/>
      </c>
      <c r="J17" s="10" t="str" cm="1">
        <f t="array" ref="J17" xml:space="preserve"> IF(J$3&lt;&gt;$D17, MID($C17,J$3,1), INDEX(音調表!$F$3:$F$10, MATCH(TRUE, EXACT(MID($C17,J$3,1), 音調表!$E$3:$E$10),0)))</f>
        <v/>
      </c>
      <c r="K17" s="10" t="str" cm="1">
        <f t="array" ref="K17" xml:space="preserve"> IF(K$3&lt;&gt;$D17, MID($C17,K$3,1), INDEX(音調表!$F$3:$F$10, MATCH(TRUE, EXACT(MID($C17,K$3,1), 音調表!$E$3:$E$10),0)))</f>
        <v/>
      </c>
      <c r="L17" s="10" t="str" cm="1">
        <f t="array" ref="L17" xml:space="preserve"> IF(L$3&lt;&gt;$D17, MID($C17,L$3,1), INDEX(音調表!$F$3:$F$10, MATCH(TRUE, EXACT(MID($C17,L$3,1), 音調表!$E$3:$E$10),0)))</f>
        <v/>
      </c>
      <c r="M17" s="11" t="str" cm="1">
        <f t="array" ref="M17" xml:space="preserve"> IF(M$3&lt;&gt;$D17, MID($C17,M$3,1), INDEX(音調表!$F$3:$F$10, MATCH(TRUE, EXACT(MID($C17,M$3,1), 音調表!$E$3:$E$10),0)))</f>
        <v/>
      </c>
      <c r="O17" s="2"/>
      <c r="P17" s="2"/>
    </row>
    <row r="18" spans="2:16">
      <c r="B18" s="7" t="s">
        <v>52</v>
      </c>
      <c r="C18" s="8" t="s">
        <v>85</v>
      </c>
      <c r="D18" s="9">
        <f t="shared" si="0"/>
        <v>4</v>
      </c>
      <c r="E18" s="10" t="str" cm="1">
        <f t="array" ref="E18" xml:space="preserve"> IF(E$3&lt;&gt;$D18, MID($C18,E$3,1), INDEX(音調表!$F$3:$F$10, MATCH(TRUE, EXACT(MID($C18,E$3,1), 音調表!$E$3:$E$10),0)))</f>
        <v>k</v>
      </c>
      <c r="F18" s="10" t="str" cm="1">
        <f t="array" ref="F18" xml:space="preserve"> IF(F$3&lt;&gt;$D18, MID($C18,F$3,1), INDEX(音調表!$F$3:$F$10, MATCH(TRUE, EXACT(MID($C18,F$3,1), 音調表!$E$3:$E$10),0)))</f>
        <v>a</v>
      </c>
      <c r="G18" s="10" t="str" cm="1">
        <f t="array" ref="G18" xml:space="preserve"> IF(G$3&lt;&gt;$D18, MID($C18,G$3,1), INDEX(音調表!$F$3:$F$10, MATCH(TRUE, EXACT(MID($C18,G$3,1), 音調表!$E$3:$E$10),0)))</f>
        <v>n</v>
      </c>
      <c r="H18" s="10" cm="1">
        <f t="array" ref="H18" xml:space="preserve"> IF(H$3&lt;&gt;$D18, MID($C18,H$3,1), INDEX(音調表!$F$3:$F$10, MATCH(TRUE, EXACT(MID($C18,H$3,1), 音調表!$E$3:$E$10),0)))</f>
        <v>1</v>
      </c>
      <c r="I18" s="10" t="str" cm="1">
        <f t="array" ref="I18" xml:space="preserve"> IF(I$3&lt;&gt;$D18, MID($C18,I$3,1), INDEX(音調表!$F$3:$F$10, MATCH(TRUE, EXACT(MID($C18,I$3,1), 音調表!$E$3:$E$10),0)))</f>
        <v/>
      </c>
      <c r="J18" s="10" t="str" cm="1">
        <f t="array" ref="J18" xml:space="preserve"> IF(J$3&lt;&gt;$D18, MID($C18,J$3,1), INDEX(音調表!$F$3:$F$10, MATCH(TRUE, EXACT(MID($C18,J$3,1), 音調表!$E$3:$E$10),0)))</f>
        <v/>
      </c>
      <c r="K18" s="10" t="str" cm="1">
        <f t="array" ref="K18" xml:space="preserve"> IF(K$3&lt;&gt;$D18, MID($C18,K$3,1), INDEX(音調表!$F$3:$F$10, MATCH(TRUE, EXACT(MID($C18,K$3,1), 音調表!$E$3:$E$10),0)))</f>
        <v/>
      </c>
      <c r="L18" s="10" t="str" cm="1">
        <f t="array" ref="L18" xml:space="preserve"> IF(L$3&lt;&gt;$D18, MID($C18,L$3,1), INDEX(音調表!$F$3:$F$10, MATCH(TRUE, EXACT(MID($C18,L$3,1), 音調表!$E$3:$E$10),0)))</f>
        <v/>
      </c>
      <c r="M18" s="11" t="str" cm="1">
        <f t="array" ref="M18" xml:space="preserve"> IF(M$3&lt;&gt;$D18, MID($C18,M$3,1), INDEX(音調表!$F$3:$F$10, MATCH(TRUE, EXACT(MID($C18,M$3,1), 音調表!$E$3:$E$10),0)))</f>
        <v/>
      </c>
      <c r="O18" s="2"/>
      <c r="P18" s="2"/>
    </row>
    <row r="19" spans="2:16">
      <c r="B19" s="7" t="s">
        <v>53</v>
      </c>
      <c r="C19" s="8"/>
      <c r="D19" s="9" t="str">
        <f t="shared" si="0"/>
        <v/>
      </c>
      <c r="E19" s="10" t="s">
        <v>87</v>
      </c>
      <c r="F19" s="10" t="s">
        <v>88</v>
      </c>
      <c r="G19" s="10" t="str" cm="1">
        <f t="array" ref="G19" xml:space="preserve"> IF(G$3&lt;&gt;$D19, MID($C19,G$3,1), INDEX(音調表!$F$3:$F$10, MATCH(TRUE, EXACT(MID($C19,G$3,1), 音調表!$E$3:$E$10),0)))</f>
        <v/>
      </c>
      <c r="H19" s="10" t="str" cm="1">
        <f t="array" ref="H19" xml:space="preserve"> IF(H$3&lt;&gt;$D19, MID($C19,H$3,1), INDEX(音調表!$F$3:$F$10, MATCH(TRUE, EXACT(MID($C19,H$3,1), 音調表!$E$3:$E$10),0)))</f>
        <v/>
      </c>
      <c r="I19" s="10" t="str" cm="1">
        <f t="array" ref="I19" xml:space="preserve"> IF(I$3&lt;&gt;$D19, MID($C19,I$3,1), INDEX(音調表!$F$3:$F$10, MATCH(TRUE, EXACT(MID($C19,I$3,1), 音調表!$E$3:$E$10),0)))</f>
        <v/>
      </c>
      <c r="J19" s="10" t="str" cm="1">
        <f t="array" ref="J19" xml:space="preserve"> IF(J$3&lt;&gt;$D19, MID($C19,J$3,1), INDEX(音調表!$F$3:$F$10, MATCH(TRUE, EXACT(MID($C19,J$3,1), 音調表!$E$3:$E$10),0)))</f>
        <v/>
      </c>
      <c r="K19" s="10" t="str" cm="1">
        <f t="array" ref="K19" xml:space="preserve"> IF(K$3&lt;&gt;$D19, MID($C19,K$3,1), INDEX(音調表!$F$3:$F$10, MATCH(TRUE, EXACT(MID($C19,K$3,1), 音調表!$E$3:$E$10),0)))</f>
        <v/>
      </c>
      <c r="L19" s="10" t="str" cm="1">
        <f t="array" ref="L19" xml:space="preserve"> IF(L$3&lt;&gt;$D19, MID($C19,L$3,1), INDEX(音調表!$F$3:$F$10, MATCH(TRUE, EXACT(MID($C19,L$3,1), 音調表!$E$3:$E$10),0)))</f>
        <v/>
      </c>
      <c r="M19" s="11" t="str" cm="1">
        <f t="array" ref="M19" xml:space="preserve"> IF(M$3&lt;&gt;$D19, MID($C19,M$3,1), INDEX(音調表!$F$3:$F$10, MATCH(TRUE, EXACT(MID($C19,M$3,1), 音調表!$E$3:$E$10),0)))</f>
        <v/>
      </c>
      <c r="O19" s="2"/>
      <c r="P19" s="2"/>
    </row>
    <row r="20" spans="2:16">
      <c r="B20" s="7" t="s">
        <v>54</v>
      </c>
      <c r="C20" s="8" t="s">
        <v>90</v>
      </c>
      <c r="D20" s="9">
        <f t="shared" si="0"/>
        <v>3</v>
      </c>
      <c r="E20" s="10" t="str" cm="1">
        <f t="array" ref="E20" xml:space="preserve"> IF(E$3&lt;&gt;$D20, MID($C20,E$3,1), INDEX(音調表!$F$3:$F$10, MATCH(TRUE, EXACT(MID($C20,E$3,1), 音調表!$E$3:$E$10),0)))</f>
        <v>i</v>
      </c>
      <c r="F20" s="10" t="str" cm="1">
        <f t="array" ref="F20" xml:space="preserve"> IF(F$3&lt;&gt;$D20, MID($C20,F$3,1), INDEX(音調表!$F$3:$F$10, MATCH(TRUE, EXACT(MID($C20,F$3,1), 音調表!$E$3:$E$10),0)))</f>
        <v>t</v>
      </c>
      <c r="G20" s="10" cm="1">
        <f t="array" ref="G20" xml:space="preserve"> IF(G$3&lt;&gt;$D20, MID($C20,G$3,1), INDEX(音調表!$F$3:$F$10, MATCH(TRUE, EXACT(MID($C20,G$3,1), 音調表!$E$3:$E$10),0)))</f>
        <v>7</v>
      </c>
      <c r="H20" s="10" t="str" cm="1">
        <f t="array" ref="H20" xml:space="preserve"> IF(H$3&lt;&gt;$D20, MID($C20,H$3,1), INDEX(音調表!$F$3:$F$10, MATCH(TRUE, EXACT(MID($C20,H$3,1), 音調表!$E$3:$E$10),0)))</f>
        <v/>
      </c>
      <c r="I20" s="10" t="str" cm="1">
        <f t="array" ref="I20" xml:space="preserve"> IF(I$3&lt;&gt;$D20, MID($C20,I$3,1), INDEX(音調表!$F$3:$F$10, MATCH(TRUE, EXACT(MID($C20,I$3,1), 音調表!$E$3:$E$10),0)))</f>
        <v/>
      </c>
      <c r="J20" s="10" t="str" cm="1">
        <f t="array" ref="J20" xml:space="preserve"> IF(J$3&lt;&gt;$D20, MID($C20,J$3,1), INDEX(音調表!$F$3:$F$10, MATCH(TRUE, EXACT(MID($C20,J$3,1), 音調表!$E$3:$E$10),0)))</f>
        <v/>
      </c>
      <c r="K20" s="10" t="str" cm="1">
        <f t="array" ref="K20" xml:space="preserve"> IF(K$3&lt;&gt;$D20, MID($C20,K$3,1), INDEX(音調表!$F$3:$F$10, MATCH(TRUE, EXACT(MID($C20,K$3,1), 音調表!$E$3:$E$10),0)))</f>
        <v/>
      </c>
      <c r="L20" s="10" t="str" cm="1">
        <f t="array" ref="L20" xml:space="preserve"> IF(L$3&lt;&gt;$D20, MID($C20,L$3,1), INDEX(音調表!$F$3:$F$10, MATCH(TRUE, EXACT(MID($C20,L$3,1), 音調表!$E$3:$E$10),0)))</f>
        <v/>
      </c>
      <c r="M20" s="11" t="str" cm="1">
        <f t="array" ref="M20" xml:space="preserve"> IF(M$3&lt;&gt;$D20, MID($C20,M$3,1), INDEX(音調表!$F$3:$F$10, MATCH(TRUE, EXACT(MID($C20,M$3,1), 音調表!$E$3:$E$10),0)))</f>
        <v/>
      </c>
      <c r="O20" s="2"/>
      <c r="P20" s="2"/>
    </row>
    <row r="21" spans="2:16">
      <c r="B21" s="7" t="s">
        <v>55</v>
      </c>
      <c r="C21" s="8" t="s">
        <v>91</v>
      </c>
      <c r="D21" s="9">
        <f t="shared" si="0"/>
        <v>6</v>
      </c>
      <c r="E21" s="10" t="str" cm="1">
        <f t="array" ref="E21" xml:space="preserve"> IF(E$3&lt;&gt;$D21, MID($C21,E$3,1), INDEX(音調表!$F$3:$F$10, MATCH(TRUE, EXACT(MID($C21,E$3,1), 音調表!$E$3:$E$10),0)))</f>
        <v>p</v>
      </c>
      <c r="F21" s="10" t="str" cm="1">
        <f t="array" ref="F21" xml:space="preserve"> IF(F$3&lt;&gt;$D21, MID($C21,F$3,1), INDEX(音調表!$F$3:$F$10, MATCH(TRUE, EXACT(MID($C21,F$3,1), 音調表!$E$3:$E$10),0)))</f>
        <v>h</v>
      </c>
      <c r="G21" s="10" t="str" cm="1">
        <f t="array" ref="G21" xml:space="preserve"> IF(G$3&lt;&gt;$D21, MID($C21,G$3,1), INDEX(音調表!$F$3:$F$10, MATCH(TRUE, EXACT(MID($C21,G$3,1), 音調表!$E$3:$E$10),0)))</f>
        <v>i</v>
      </c>
      <c r="H21" s="10" t="str" cm="1">
        <f t="array" ref="H21" xml:space="preserve"> IF(H$3&lt;&gt;$D21, MID($C21,H$3,1), INDEX(音調表!$F$3:$F$10, MATCH(TRUE, EXACT(MID($C21,H$3,1), 音調表!$E$3:$E$10),0)))</f>
        <v>a</v>
      </c>
      <c r="I21" s="10" t="str" cm="1">
        <f t="array" ref="I21" xml:space="preserve"> IF(I$3&lt;&gt;$D21, MID($C21,I$3,1), INDEX(音調表!$F$3:$F$10, MATCH(TRUE, EXACT(MID($C21,I$3,1), 音調表!$E$3:$E$10),0)))</f>
        <v>n</v>
      </c>
      <c r="J21" s="10" cm="1">
        <f t="array" ref="J21" xml:space="preserve"> IF(J$3&lt;&gt;$D21, MID($C21,J$3,1), INDEX(音調表!$F$3:$F$10, MATCH(TRUE, EXACT(MID($C21,J$3,1), 音調表!$E$3:$E$10),0)))</f>
        <v>5</v>
      </c>
      <c r="K21" s="10" t="str" cm="1">
        <f t="array" ref="K21" xml:space="preserve"> IF(K$3&lt;&gt;$D21, MID($C21,K$3,1), INDEX(音調表!$F$3:$F$10, MATCH(TRUE, EXACT(MID($C21,K$3,1), 音調表!$E$3:$E$10),0)))</f>
        <v/>
      </c>
      <c r="L21" s="10" t="str" cm="1">
        <f t="array" ref="L21" xml:space="preserve"> IF(L$3&lt;&gt;$D21, MID($C21,L$3,1), INDEX(音調表!$F$3:$F$10, MATCH(TRUE, EXACT(MID($C21,L$3,1), 音調表!$E$3:$E$10),0)))</f>
        <v/>
      </c>
      <c r="M21" s="11" t="str" cm="1">
        <f t="array" ref="M21" xml:space="preserve"> IF(M$3&lt;&gt;$D21, MID($C21,M$3,1), INDEX(音調表!$F$3:$F$10, MATCH(TRUE, EXACT(MID($C21,M$3,1), 音調表!$E$3:$E$10),0)))</f>
        <v/>
      </c>
      <c r="O21" s="2"/>
      <c r="P21" s="2"/>
    </row>
    <row r="22" spans="2:16">
      <c r="B22" s="7" t="s">
        <v>56</v>
      </c>
      <c r="C22" s="8" t="s">
        <v>92</v>
      </c>
      <c r="D22" s="9">
        <f t="shared" si="0"/>
        <v>4</v>
      </c>
      <c r="E22" s="10" t="str" cm="1">
        <f t="array" ref="E22" xml:space="preserve"> IF(E$3&lt;&gt;$D22, MID($C22,E$3,1), INDEX(音調表!$F$3:$F$10, MATCH(TRUE, EXACT(MID($C22,E$3,1), 音調表!$E$3:$E$10),0)))</f>
        <v>k</v>
      </c>
      <c r="F22" s="10" t="str" cm="1">
        <f t="array" ref="F22" xml:space="preserve"> IF(F$3&lt;&gt;$D22, MID($C22,F$3,1), INDEX(音調表!$F$3:$F$10, MATCH(TRUE, EXACT(MID($C22,F$3,1), 音調表!$E$3:$E$10),0)))</f>
        <v>o</v>
      </c>
      <c r="G22" s="10" t="str" cm="1">
        <f t="array" ref="G22" xml:space="preserve"> IF(G$3&lt;&gt;$D22, MID($C22,G$3,1), INDEX(音調表!$F$3:$F$10, MATCH(TRUE, EXACT(MID($C22,G$3,1), 音調表!$E$3:$E$10),0)))</f>
        <v>o</v>
      </c>
      <c r="H22" s="10" cm="1">
        <f t="array" ref="H22" xml:space="preserve"> IF(H$3&lt;&gt;$D22, MID($C22,H$3,1), INDEX(音調表!$F$3:$F$10, MATCH(TRUE, EXACT(MID($C22,H$3,1), 音調表!$E$3:$E$10),0)))</f>
        <v>1</v>
      </c>
      <c r="I22" s="10" t="str" cm="1">
        <f t="array" ref="I22" xml:space="preserve"> IF(I$3&lt;&gt;$D22, MID($C22,I$3,1), INDEX(音調表!$F$3:$F$10, MATCH(TRUE, EXACT(MID($C22,I$3,1), 音調表!$E$3:$E$10),0)))</f>
        <v/>
      </c>
      <c r="J22" s="10" t="str" cm="1">
        <f t="array" ref="J22" xml:space="preserve"> IF(J$3&lt;&gt;$D22, MID($C22,J$3,1), INDEX(音調表!$F$3:$F$10, MATCH(TRUE, EXACT(MID($C22,J$3,1), 音調表!$E$3:$E$10),0)))</f>
        <v/>
      </c>
      <c r="K22" s="10" t="str" cm="1">
        <f t="array" ref="K22" xml:space="preserve"> IF(K$3&lt;&gt;$D22, MID($C22,K$3,1), INDEX(音調表!$F$3:$F$10, MATCH(TRUE, EXACT(MID($C22,K$3,1), 音調表!$E$3:$E$10),0)))</f>
        <v/>
      </c>
      <c r="L22" s="10" t="str" cm="1">
        <f t="array" ref="L22" xml:space="preserve"> IF(L$3&lt;&gt;$D22, MID($C22,L$3,1), INDEX(音調表!$F$3:$F$10, MATCH(TRUE, EXACT(MID($C22,L$3,1), 音調表!$E$3:$E$10),0)))</f>
        <v/>
      </c>
      <c r="M22" s="11" t="str" cm="1">
        <f t="array" ref="M22" xml:space="preserve"> IF(M$3&lt;&gt;$D22, MID($C22,M$3,1), INDEX(音調表!$F$3:$F$10, MATCH(TRUE, EXACT(MID($C22,M$3,1), 音調表!$E$3:$E$10),0)))</f>
        <v/>
      </c>
      <c r="O22" s="2"/>
      <c r="P22" s="2"/>
    </row>
    <row r="23" spans="2:16">
      <c r="B23" s="7" t="s">
        <v>57</v>
      </c>
      <c r="C23" s="8" t="s">
        <v>93</v>
      </c>
      <c r="D23" s="9">
        <f t="shared" si="0"/>
        <v>5</v>
      </c>
      <c r="E23" s="10" t="str" cm="1">
        <f t="array" ref="E23" xml:space="preserve"> IF(E$3&lt;&gt;$D23, MID($C23,E$3,1), INDEX(音調表!$F$3:$F$10, MATCH(TRUE, EXACT(MID($C23,E$3,1), 音調表!$E$3:$E$10),0)))</f>
        <v>s</v>
      </c>
      <c r="F23" s="10" t="str" cm="1">
        <f t="array" ref="F23" xml:space="preserve"> IF(F$3&lt;&gt;$D23, MID($C23,F$3,1), INDEX(音調表!$F$3:$F$10, MATCH(TRUE, EXACT(MID($C23,F$3,1), 音調表!$E$3:$E$10),0)))</f>
        <v>i</v>
      </c>
      <c r="G23" s="10" t="str" cm="1">
        <f t="array" ref="G23" xml:space="preserve"> IF(G$3&lt;&gt;$D23, MID($C23,G$3,1), INDEX(音調表!$F$3:$F$10, MATCH(TRUE, EXACT(MID($C23,G$3,1), 音調表!$E$3:$E$10),0)))</f>
        <v>n</v>
      </c>
      <c r="H23" s="10" t="str" cm="1">
        <f t="array" ref="H23" xml:space="preserve"> IF(H$3&lt;&gt;$D23, MID($C23,H$3,1), INDEX(音調表!$F$3:$F$10, MATCH(TRUE, EXACT(MID($C23,H$3,1), 音調表!$E$3:$E$10),0)))</f>
        <v>g</v>
      </c>
      <c r="I23" s="10" cm="1">
        <f t="array" ref="I23" xml:space="preserve"> IF(I$3&lt;&gt;$D23, MID($C23,I$3,1), INDEX(音調表!$F$3:$F$10, MATCH(TRUE, EXACT(MID($C23,I$3,1), 音調表!$E$3:$E$10),0)))</f>
        <v>2</v>
      </c>
      <c r="J23" s="10" t="str" cm="1">
        <f t="array" ref="J23" xml:space="preserve"> IF(J$3&lt;&gt;$D23, MID($C23,J$3,1), INDEX(音調表!$F$3:$F$10, MATCH(TRUE, EXACT(MID($C23,J$3,1), 音調表!$E$3:$E$10),0)))</f>
        <v/>
      </c>
      <c r="K23" s="10" t="str" cm="1">
        <f t="array" ref="K23" xml:space="preserve"> IF(K$3&lt;&gt;$D23, MID($C23,K$3,1), INDEX(音調表!$F$3:$F$10, MATCH(TRUE, EXACT(MID($C23,K$3,1), 音調表!$E$3:$E$10),0)))</f>
        <v/>
      </c>
      <c r="L23" s="10" t="str" cm="1">
        <f t="array" ref="L23" xml:space="preserve"> IF(L$3&lt;&gt;$D23, MID($C23,L$3,1), INDEX(音調表!$F$3:$F$10, MATCH(TRUE, EXACT(MID($C23,L$3,1), 音調表!$E$3:$E$10),0)))</f>
        <v/>
      </c>
      <c r="M23" s="11" t="str" cm="1">
        <f t="array" ref="M23" xml:space="preserve"> IF(M$3&lt;&gt;$D23, MID($C23,M$3,1), INDEX(音調表!$F$3:$F$10, MATCH(TRUE, EXACT(MID($C23,M$3,1), 音調表!$E$3:$E$10),0)))</f>
        <v/>
      </c>
      <c r="O23" s="2"/>
      <c r="P23" s="2"/>
    </row>
    <row r="24" spans="2:16">
      <c r="B24" s="7" t="s">
        <v>58</v>
      </c>
      <c r="C24" s="8" t="s">
        <v>94</v>
      </c>
      <c r="D24" s="9">
        <f t="shared" si="0"/>
        <v>4</v>
      </c>
      <c r="E24" s="10" t="str" cm="1">
        <f t="array" ref="E24" xml:space="preserve"> IF(E$3&lt;&gt;$D24, MID($C24,E$3,1), INDEX(音調表!$F$3:$F$10, MATCH(TRUE, EXACT(MID($C24,E$3,1), 音調表!$E$3:$E$10),0)))</f>
        <v>b</v>
      </c>
      <c r="F24" s="10" t="str" cm="1">
        <f t="array" ref="F24" xml:space="preserve"> IF(F$3&lt;&gt;$D24, MID($C24,F$3,1), INDEX(音調表!$F$3:$F$10, MATCH(TRUE, EXACT(MID($C24,F$3,1), 音調表!$E$3:$E$10),0)))</f>
        <v>a</v>
      </c>
      <c r="G24" s="10" t="str" cm="1">
        <f t="array" ref="G24" xml:space="preserve"> IF(G$3&lt;&gt;$D24, MID($C24,G$3,1), INDEX(音調表!$F$3:$F$10, MATCH(TRUE, EXACT(MID($C24,G$3,1), 音調表!$E$3:$E$10),0)))</f>
        <v>n</v>
      </c>
      <c r="H24" s="10" cm="1">
        <f t="array" ref="H24" xml:space="preserve"> IF(H$3&lt;&gt;$D24, MID($C24,H$3,1), INDEX(音調表!$F$3:$F$10, MATCH(TRUE, EXACT(MID($C24,H$3,1), 音調表!$E$3:$E$10),0)))</f>
        <v>6</v>
      </c>
      <c r="I24" s="10" t="str" cm="1">
        <f t="array" ref="I24" xml:space="preserve"> IF(I$3&lt;&gt;$D24, MID($C24,I$3,1), INDEX(音調表!$F$3:$F$10, MATCH(TRUE, EXACT(MID($C24,I$3,1), 音調表!$E$3:$E$10),0)))</f>
        <v/>
      </c>
      <c r="J24" s="10" t="str" cm="1">
        <f t="array" ref="J24" xml:space="preserve"> IF(J$3&lt;&gt;$D24, MID($C24,J$3,1), INDEX(音調表!$F$3:$F$10, MATCH(TRUE, EXACT(MID($C24,J$3,1), 音調表!$E$3:$E$10),0)))</f>
        <v/>
      </c>
      <c r="K24" s="10" t="str" cm="1">
        <f t="array" ref="K24" xml:space="preserve"> IF(K$3&lt;&gt;$D24, MID($C24,K$3,1), INDEX(音調表!$F$3:$F$10, MATCH(TRUE, EXACT(MID($C24,K$3,1), 音調表!$E$3:$E$10),0)))</f>
        <v/>
      </c>
      <c r="L24" s="10" t="str" cm="1">
        <f t="array" ref="L24" xml:space="preserve"> IF(L$3&lt;&gt;$D24, MID($C24,L$3,1), INDEX(音調表!$F$3:$F$10, MATCH(TRUE, EXACT(MID($C24,L$3,1), 音調表!$E$3:$E$10),0)))</f>
        <v/>
      </c>
      <c r="M24" s="11" t="str" cm="1">
        <f t="array" ref="M24" xml:space="preserve"> IF(M$3&lt;&gt;$D24, MID($C24,M$3,1), INDEX(音調表!$F$3:$F$10, MATCH(TRUE, EXACT(MID($C24,M$3,1), 音調表!$E$3:$E$10),0)))</f>
        <v/>
      </c>
      <c r="O24" s="2"/>
      <c r="P24" s="2"/>
    </row>
    <row r="25" spans="2:16">
      <c r="B25" s="7" t="s">
        <v>59</v>
      </c>
      <c r="C25" s="8" t="s">
        <v>95</v>
      </c>
      <c r="D25" s="9">
        <f t="shared" si="0"/>
        <v>4</v>
      </c>
      <c r="E25" s="10" t="str" cm="1">
        <f t="array" ref="E25" xml:space="preserve"> IF(E$3&lt;&gt;$D25, MID($C25,E$3,1), INDEX(音調表!$F$3:$F$10, MATCH(TRUE, EXACT(MID($C25,E$3,1), 音調表!$E$3:$E$10),0)))</f>
        <v>j</v>
      </c>
      <c r="F25" s="10" t="str" cm="1">
        <f t="array" ref="F25" xml:space="preserve"> IF(F$3&lt;&gt;$D25, MID($C25,F$3,1), INDEX(音調表!$F$3:$F$10, MATCH(TRUE, EXACT(MID($C25,F$3,1), 音調表!$E$3:$E$10),0)))</f>
        <v>i</v>
      </c>
      <c r="G25" s="10" t="str" cm="1">
        <f t="array" ref="G25" xml:space="preserve"> IF(G$3&lt;&gt;$D25, MID($C25,G$3,1), INDEX(音調表!$F$3:$F$10, MATCH(TRUE, EXACT(MID($C25,G$3,1), 音調表!$E$3:$E$10),0)))</f>
        <v>n</v>
      </c>
      <c r="H25" s="10" cm="1">
        <f t="array" ref="H25" xml:space="preserve"> IF(H$3&lt;&gt;$D25, MID($C25,H$3,1), INDEX(音調表!$F$3:$F$10, MATCH(TRUE, EXACT(MID($C25,H$3,1), 音調表!$E$3:$E$10),0)))</f>
        <v>6</v>
      </c>
      <c r="I25" s="10" t="str" cm="1">
        <f t="array" ref="I25" xml:space="preserve"> IF(I$3&lt;&gt;$D25, MID($C25,I$3,1), INDEX(音調表!$F$3:$F$10, MATCH(TRUE, EXACT(MID($C25,I$3,1), 音調表!$E$3:$E$10),0)))</f>
        <v/>
      </c>
      <c r="J25" s="10" t="str" cm="1">
        <f t="array" ref="J25" xml:space="preserve"> IF(J$3&lt;&gt;$D25, MID($C25,J$3,1), INDEX(音調表!$F$3:$F$10, MATCH(TRUE, EXACT(MID($C25,J$3,1), 音調表!$E$3:$E$10),0)))</f>
        <v/>
      </c>
      <c r="K25" s="10" t="str" cm="1">
        <f t="array" ref="K25" xml:space="preserve"> IF(K$3&lt;&gt;$D25, MID($C25,K$3,1), INDEX(音調表!$F$3:$F$10, MATCH(TRUE, EXACT(MID($C25,K$3,1), 音調表!$E$3:$E$10),0)))</f>
        <v/>
      </c>
      <c r="L25" s="10" t="str" cm="1">
        <f t="array" ref="L25" xml:space="preserve"> IF(L$3&lt;&gt;$D25, MID($C25,L$3,1), INDEX(音調表!$F$3:$F$10, MATCH(TRUE, EXACT(MID($C25,L$3,1), 音調表!$E$3:$E$10),0)))</f>
        <v/>
      </c>
      <c r="M25" s="11" t="str" cm="1">
        <f t="array" ref="M25" xml:space="preserve"> IF(M$3&lt;&gt;$D25, MID($C25,M$3,1), INDEX(音調表!$F$3:$F$10, MATCH(TRUE, EXACT(MID($C25,M$3,1), 音調表!$E$3:$E$10),0)))</f>
        <v/>
      </c>
      <c r="O25" s="2"/>
      <c r="P25" s="2"/>
    </row>
    <row r="26" spans="2:16">
      <c r="B26" s="7" t="s">
        <v>60</v>
      </c>
      <c r="C26" s="8" t="s">
        <v>96</v>
      </c>
      <c r="D26" s="9">
        <f t="shared" si="0"/>
        <v>4</v>
      </c>
      <c r="E26" s="10" t="str" cm="1">
        <f t="array" ref="E26" xml:space="preserve"> IF(E$3&lt;&gt;$D26, MID($C26,E$3,1), INDEX(音調表!$F$3:$F$10, MATCH(TRUE, EXACT(MID($C26,E$3,1), 音調表!$E$3:$E$10),0)))</f>
        <v>s</v>
      </c>
      <c r="F26" s="10" t="str" cm="1">
        <f t="array" ref="F26" xml:space="preserve"> IF(F$3&lt;&gt;$D26, MID($C26,F$3,1), INDEX(音調表!$F$3:$F$10, MATCH(TRUE, EXACT(MID($C26,F$3,1), 音調表!$E$3:$E$10),0)))</f>
        <v>a</v>
      </c>
      <c r="G26" s="10" t="str" cm="1">
        <f t="array" ref="G26" xml:space="preserve"> IF(G$3&lt;&gt;$D26, MID($C26,G$3,1), INDEX(音調表!$F$3:$F$10, MATCH(TRUE, EXACT(MID($C26,G$3,1), 音調表!$E$3:$E$10),0)))</f>
        <v>n</v>
      </c>
      <c r="H26" s="10" cm="1">
        <f t="array" ref="H26" xml:space="preserve"> IF(H$3&lt;&gt;$D26, MID($C26,H$3,1), INDEX(音調表!$F$3:$F$10, MATCH(TRUE, EXACT(MID($C26,H$3,1), 音調表!$E$3:$E$10),0)))</f>
        <v>1</v>
      </c>
      <c r="I26" s="10" t="str" cm="1">
        <f t="array" ref="I26" xml:space="preserve"> IF(I$3&lt;&gt;$D26, MID($C26,I$3,1), INDEX(音調表!$F$3:$F$10, MATCH(TRUE, EXACT(MID($C26,I$3,1), 音調表!$E$3:$E$10),0)))</f>
        <v/>
      </c>
      <c r="J26" s="10" t="str" cm="1">
        <f t="array" ref="J26" xml:space="preserve"> IF(J$3&lt;&gt;$D26, MID($C26,J$3,1), INDEX(音調表!$F$3:$F$10, MATCH(TRUE, EXACT(MID($C26,J$3,1), 音調表!$E$3:$E$10),0)))</f>
        <v/>
      </c>
      <c r="K26" s="10" t="str" cm="1">
        <f t="array" ref="K26" xml:space="preserve"> IF(K$3&lt;&gt;$D26, MID($C26,K$3,1), INDEX(音調表!$F$3:$F$10, MATCH(TRUE, EXACT(MID($C26,K$3,1), 音調表!$E$3:$E$10),0)))</f>
        <v/>
      </c>
      <c r="L26" s="10" t="str" cm="1">
        <f t="array" ref="L26" xml:space="preserve"> IF(L$3&lt;&gt;$D26, MID($C26,L$3,1), INDEX(音調表!$F$3:$F$10, MATCH(TRUE, EXACT(MID($C26,L$3,1), 音調表!$E$3:$E$10),0)))</f>
        <v/>
      </c>
      <c r="M26" s="11" t="str" cm="1">
        <f t="array" ref="M26" xml:space="preserve"> IF(M$3&lt;&gt;$D26, MID($C26,M$3,1), INDEX(音調表!$F$3:$F$10, MATCH(TRUE, EXACT(MID($C26,M$3,1), 音調表!$E$3:$E$10),0)))</f>
        <v/>
      </c>
      <c r="O26" s="2"/>
      <c r="P26" s="2"/>
    </row>
    <row r="27" spans="2:16">
      <c r="B27" s="7" t="s">
        <v>61</v>
      </c>
      <c r="C27" s="8"/>
      <c r="D27" s="9" t="str">
        <f t="shared" si="0"/>
        <v/>
      </c>
      <c r="E27" s="10" t="s">
        <v>87</v>
      </c>
      <c r="F27" s="10" t="s">
        <v>89</v>
      </c>
      <c r="G27" s="10" t="str" cm="1">
        <f t="array" ref="G27" xml:space="preserve"> IF(G$3&lt;&gt;$D27, MID($C27,G$3,1), INDEX(音調表!$F$3:$F$10, MATCH(TRUE, EXACT(MID($C27,G$3,1), 音調表!$E$3:$E$10),0)))</f>
        <v/>
      </c>
      <c r="H27" s="10" t="str" cm="1">
        <f t="array" ref="H27" xml:space="preserve"> IF(H$3&lt;&gt;$D27, MID($C27,H$3,1), INDEX(音調表!$F$3:$F$10, MATCH(TRUE, EXACT(MID($C27,H$3,1), 音調表!$E$3:$E$10),0)))</f>
        <v/>
      </c>
      <c r="I27" s="10" t="str" cm="1">
        <f t="array" ref="I27" xml:space="preserve"> IF(I$3&lt;&gt;$D27, MID($C27,I$3,1), INDEX(音調表!$F$3:$F$10, MATCH(TRUE, EXACT(MID($C27,I$3,1), 音調表!$E$3:$E$10),0)))</f>
        <v/>
      </c>
      <c r="J27" s="10" t="str" cm="1">
        <f t="array" ref="J27" xml:space="preserve"> IF(J$3&lt;&gt;$D27, MID($C27,J$3,1), INDEX(音調表!$F$3:$F$10, MATCH(TRUE, EXACT(MID($C27,J$3,1), 音調表!$E$3:$E$10),0)))</f>
        <v/>
      </c>
      <c r="K27" s="10" t="str" cm="1">
        <f t="array" ref="K27" xml:space="preserve"> IF(K$3&lt;&gt;$D27, MID($C27,K$3,1), INDEX(音調表!$F$3:$F$10, MATCH(TRUE, EXACT(MID($C27,K$3,1), 音調表!$E$3:$E$10),0)))</f>
        <v/>
      </c>
      <c r="L27" s="10" t="str" cm="1">
        <f t="array" ref="L27" xml:space="preserve"> IF(L$3&lt;&gt;$D27, MID($C27,L$3,1), INDEX(音調表!$F$3:$F$10, MATCH(TRUE, EXACT(MID($C27,L$3,1), 音調表!$E$3:$E$10),0)))</f>
        <v/>
      </c>
      <c r="M27" s="11" t="str" cm="1">
        <f t="array" ref="M27" xml:space="preserve"> IF(M$3&lt;&gt;$D27, MID($C27,M$3,1), INDEX(音調表!$F$3:$F$10, MATCH(TRUE, EXACT(MID($C27,M$3,1), 音調表!$E$3:$E$10),0)))</f>
        <v/>
      </c>
      <c r="O27" s="2"/>
      <c r="P27" s="2"/>
    </row>
    <row r="28" spans="2:16">
      <c r="B28" s="7"/>
      <c r="C28" s="8"/>
      <c r="D28" s="9" t="str">
        <f t="shared" si="0"/>
        <v/>
      </c>
      <c r="E28" s="10" t="str" cm="1">
        <f t="array" ref="E28" xml:space="preserve"> IF(E$3&lt;&gt;$D28, MID($C28,E$3,1), INDEX(音調表!$F$3:$F$10, MATCH(TRUE, EXACT(MID($C28,E$3,1), 音調表!$E$3:$E$10),0)))</f>
        <v/>
      </c>
      <c r="F28" s="10" t="str" cm="1">
        <f t="array" ref="F28" xml:space="preserve"> IF(F$3&lt;&gt;$D28, MID($C28,F$3,1), INDEX(音調表!$F$3:$F$10, MATCH(TRUE, EXACT(MID($C28,F$3,1), 音調表!$E$3:$E$10),0)))</f>
        <v/>
      </c>
      <c r="G28" s="10" t="str" cm="1">
        <f t="array" ref="G28" xml:space="preserve"> IF(G$3&lt;&gt;$D28, MID($C28,G$3,1), INDEX(音調表!$F$3:$F$10, MATCH(TRUE, EXACT(MID($C28,G$3,1), 音調表!$E$3:$E$10),0)))</f>
        <v/>
      </c>
      <c r="H28" s="10" t="str" cm="1">
        <f t="array" ref="H28" xml:space="preserve"> IF(H$3&lt;&gt;$D28, MID($C28,H$3,1), INDEX(音調表!$F$3:$F$10, MATCH(TRUE, EXACT(MID($C28,H$3,1), 音調表!$E$3:$E$10),0)))</f>
        <v/>
      </c>
      <c r="I28" s="10" t="str" cm="1">
        <f t="array" ref="I28" xml:space="preserve"> IF(I$3&lt;&gt;$D28, MID($C28,I$3,1), INDEX(音調表!$F$3:$F$10, MATCH(TRUE, EXACT(MID($C28,I$3,1), 音調表!$E$3:$E$10),0)))</f>
        <v/>
      </c>
      <c r="J28" s="10" t="str" cm="1">
        <f t="array" ref="J28" xml:space="preserve"> IF(J$3&lt;&gt;$D28, MID($C28,J$3,1), INDEX(音調表!$F$3:$F$10, MATCH(TRUE, EXACT(MID($C28,J$3,1), 音調表!$E$3:$E$10),0)))</f>
        <v/>
      </c>
      <c r="K28" s="10" t="str" cm="1">
        <f t="array" ref="K28" xml:space="preserve"> IF(K$3&lt;&gt;$D28, MID($C28,K$3,1), INDEX(音調表!$F$3:$F$10, MATCH(TRUE, EXACT(MID($C28,K$3,1), 音調表!$E$3:$E$10),0)))</f>
        <v/>
      </c>
      <c r="L28" s="10" t="str" cm="1">
        <f t="array" ref="L28" xml:space="preserve"> IF(L$3&lt;&gt;$D28, MID($C28,L$3,1), INDEX(音調表!$F$3:$F$10, MATCH(TRUE, EXACT(MID($C28,L$3,1), 音調表!$E$3:$E$10),0)))</f>
        <v/>
      </c>
      <c r="M28" s="11" t="str" cm="1">
        <f t="array" ref="M28" xml:space="preserve"> IF(M$3&lt;&gt;$D28, MID($C28,M$3,1), INDEX(音調表!$F$3:$F$10, MATCH(TRUE, EXACT(MID($C28,M$3,1), 音調表!$E$3:$E$10),0)))</f>
        <v/>
      </c>
    </row>
    <row r="29" spans="2:16">
      <c r="B29" s="7" t="s">
        <v>62</v>
      </c>
      <c r="C29" s="8" t="s">
        <v>97</v>
      </c>
      <c r="D29" s="9">
        <f t="shared" si="0"/>
        <v>7</v>
      </c>
      <c r="E29" s="10" t="str" cm="1">
        <f t="array" ref="E29" xml:space="preserve"> IF(E$3&lt;&gt;$D29, MID($C29,E$3,1), INDEX(音調表!$F$3:$F$10, MATCH(TRUE, EXACT(MID($C29,E$3,1), 音調表!$E$3:$E$10),0)))</f>
        <v>k</v>
      </c>
      <c r="F29" s="10" t="str" cm="1">
        <f t="array" ref="F29" xml:space="preserve"> IF(F$3&lt;&gt;$D29, MID($C29,F$3,1), INDEX(音調表!$F$3:$F$10, MATCH(TRUE, EXACT(MID($C29,F$3,1), 音調表!$E$3:$E$10),0)))</f>
        <v>h</v>
      </c>
      <c r="G29" s="10" t="str" cm="1">
        <f t="array" ref="G29" xml:space="preserve"> IF(G$3&lt;&gt;$D29, MID($C29,G$3,1), INDEX(音調表!$F$3:$F$10, MATCH(TRUE, EXACT(MID($C29,G$3,1), 音調表!$E$3:$E$10),0)))</f>
        <v>i</v>
      </c>
      <c r="H29" s="10" t="str" cm="1">
        <f t="array" ref="H29" xml:space="preserve"> IF(H$3&lt;&gt;$D29, MID($C29,H$3,1), INDEX(音調表!$F$3:$F$10, MATCH(TRUE, EXACT(MID($C29,H$3,1), 音調表!$E$3:$E$10),0)))</f>
        <v>a</v>
      </c>
      <c r="I29" s="10" t="str" cm="1">
        <f t="array" ref="I29" xml:space="preserve"> IF(I$3&lt;&gt;$D29, MID($C29,I$3,1), INDEX(音調表!$F$3:$F$10, MATCH(TRUE, EXACT(MID($C29,I$3,1), 音調表!$E$3:$E$10),0)))</f>
        <v>n</v>
      </c>
      <c r="J29" s="10" t="str" cm="1">
        <f t="array" ref="J29" xml:space="preserve"> IF(J$3&lt;&gt;$D29, MID($C29,J$3,1), INDEX(音調表!$F$3:$F$10, MATCH(TRUE, EXACT(MID($C29,J$3,1), 音調表!$E$3:$E$10),0)))</f>
        <v>g</v>
      </c>
      <c r="K29" s="10" cm="1">
        <f t="array" ref="K29" xml:space="preserve"> IF(K$3&lt;&gt;$D29, MID($C29,K$3,1), INDEX(音調表!$F$3:$F$10, MATCH(TRUE, EXACT(MID($C29,K$3,1), 音調表!$E$3:$E$10),0)))</f>
        <v>1</v>
      </c>
      <c r="L29" s="10" t="str" cm="1">
        <f t="array" ref="L29" xml:space="preserve"> IF(L$3&lt;&gt;$D29, MID($C29,L$3,1), INDEX(音調表!$F$3:$F$10, MATCH(TRUE, EXACT(MID($C29,L$3,1), 音調表!$E$3:$E$10),0)))</f>
        <v/>
      </c>
      <c r="M29" s="11" t="str" cm="1">
        <f t="array" ref="M29" xml:space="preserve"> IF(M$3&lt;&gt;$D29, MID($C29,M$3,1), INDEX(音調表!$F$3:$F$10, MATCH(TRUE, EXACT(MID($C29,M$3,1), 音調表!$E$3:$E$10),0)))</f>
        <v/>
      </c>
      <c r="O29" s="2"/>
      <c r="P29" s="2"/>
    </row>
    <row r="30" spans="2:16">
      <c r="B30" s="7" t="s">
        <v>63</v>
      </c>
      <c r="C30" s="8" t="s">
        <v>98</v>
      </c>
      <c r="D30" s="9">
        <f t="shared" si="0"/>
        <v>4</v>
      </c>
      <c r="E30" s="10" t="str" cm="1">
        <f t="array" ref="E30" xml:space="preserve"> IF(E$3&lt;&gt;$D30, MID($C30,E$3,1), INDEX(音調表!$F$3:$F$10, MATCH(TRUE, EXACT(MID($C30,E$3,1), 音調表!$E$3:$E$10),0)))</f>
        <v>t</v>
      </c>
      <c r="F30" s="10" t="str" cm="1">
        <f t="array" ref="F30" xml:space="preserve"> IF(F$3&lt;&gt;$D30, MID($C30,F$3,1), INDEX(音調表!$F$3:$F$10, MATCH(TRUE, EXACT(MID($C30,F$3,1), 音調表!$E$3:$E$10),0)))</f>
        <v>i</v>
      </c>
      <c r="G30" s="10" t="str" cm="1">
        <f t="array" ref="G30" xml:space="preserve"> IF(G$3&lt;&gt;$D30, MID($C30,G$3,1), INDEX(音調表!$F$3:$F$10, MATCH(TRUE, EXACT(MID($C30,G$3,1), 音調表!$E$3:$E$10),0)))</f>
        <v>k</v>
      </c>
      <c r="H30" s="10" cm="1">
        <f t="array" ref="H30" xml:space="preserve"> IF(H$3&lt;&gt;$D30, MID($C30,H$3,1), INDEX(音調表!$F$3:$F$10, MATCH(TRUE, EXACT(MID($C30,H$3,1), 音調表!$E$3:$E$10),0)))</f>
        <v>8</v>
      </c>
      <c r="I30" s="10" t="str" cm="1">
        <f t="array" ref="I30" xml:space="preserve"> IF(I$3&lt;&gt;$D30, MID($C30,I$3,1), INDEX(音調表!$F$3:$F$10, MATCH(TRUE, EXACT(MID($C30,I$3,1), 音調表!$E$3:$E$10),0)))</f>
        <v/>
      </c>
      <c r="J30" s="10" t="str" cm="1">
        <f t="array" ref="J30" xml:space="preserve"> IF(J$3&lt;&gt;$D30, MID($C30,J$3,1), INDEX(音調表!$F$3:$F$10, MATCH(TRUE, EXACT(MID($C30,J$3,1), 音調表!$E$3:$E$10),0)))</f>
        <v/>
      </c>
      <c r="K30" s="10" t="str" cm="1">
        <f t="array" ref="K30" xml:space="preserve"> IF(K$3&lt;&gt;$D30, MID($C30,K$3,1), INDEX(音調表!$F$3:$F$10, MATCH(TRUE, EXACT(MID($C30,K$3,1), 音調表!$E$3:$E$10),0)))</f>
        <v/>
      </c>
      <c r="L30" s="10" t="str" cm="1">
        <f t="array" ref="L30" xml:space="preserve"> IF(L$3&lt;&gt;$D30, MID($C30,L$3,1), INDEX(音調表!$F$3:$F$10, MATCH(TRUE, EXACT(MID($C30,L$3,1), 音調表!$E$3:$E$10),0)))</f>
        <v/>
      </c>
      <c r="M30" s="11" t="str" cm="1">
        <f t="array" ref="M30" xml:space="preserve"> IF(M$3&lt;&gt;$D30, MID($C30,M$3,1), INDEX(音調表!$F$3:$F$10, MATCH(TRUE, EXACT(MID($C30,M$3,1), 音調表!$E$3:$E$10),0)))</f>
        <v/>
      </c>
      <c r="O30" s="2"/>
      <c r="P30" s="2"/>
    </row>
    <row r="31" spans="2:16">
      <c r="B31" s="7" t="s">
        <v>64</v>
      </c>
      <c r="C31" s="8" t="s">
        <v>80</v>
      </c>
      <c r="D31" s="9">
        <f t="shared" si="0"/>
        <v>3</v>
      </c>
      <c r="E31" s="10" t="str" cm="1">
        <f t="array" ref="E31" xml:space="preserve"> IF(E$3&lt;&gt;$D31, MID($C31,E$3,1), INDEX(音調表!$F$3:$F$10, MATCH(TRUE, EXACT(MID($C31,E$3,1), 音調表!$E$3:$E$10),0)))</f>
        <v>h</v>
      </c>
      <c r="F31" s="10" t="str" cm="1">
        <f t="array" ref="F31" xml:space="preserve"> IF(F$3&lt;&gt;$D31, MID($C31,F$3,1), INDEX(音調表!$F$3:$F$10, MATCH(TRUE, EXACT(MID($C31,F$3,1), 音調表!$E$3:$E$10),0)))</f>
        <v>o</v>
      </c>
      <c r="G31" s="10" cm="1">
        <f t="array" ref="G31" xml:space="preserve"> IF(G$3&lt;&gt;$D31, MID($C31,G$3,1), INDEX(音調表!$F$3:$F$10, MATCH(TRUE, EXACT(MID($C31,G$3,1), 音調表!$E$3:$E$10),0)))</f>
        <v>2</v>
      </c>
      <c r="H31" s="10" t="str" cm="1">
        <f t="array" ref="H31" xml:space="preserve"> IF(H$3&lt;&gt;$D31, MID($C31,H$3,1), INDEX(音調表!$F$3:$F$10, MATCH(TRUE, EXACT(MID($C31,H$3,1), 音調表!$E$3:$E$10),0)))</f>
        <v/>
      </c>
      <c r="I31" s="10" t="str" cm="1">
        <f t="array" ref="I31" xml:space="preserve"> IF(I$3&lt;&gt;$D31, MID($C31,I$3,1), INDEX(音調表!$F$3:$F$10, MATCH(TRUE, EXACT(MID($C31,I$3,1), 音調表!$E$3:$E$10),0)))</f>
        <v/>
      </c>
      <c r="J31" s="10" t="str" cm="1">
        <f t="array" ref="J31" xml:space="preserve"> IF(J$3&lt;&gt;$D31, MID($C31,J$3,1), INDEX(音調表!$F$3:$F$10, MATCH(TRUE, EXACT(MID($C31,J$3,1), 音調表!$E$3:$E$10),0)))</f>
        <v/>
      </c>
      <c r="K31" s="10" t="str" cm="1">
        <f t="array" ref="K31" xml:space="preserve"> IF(K$3&lt;&gt;$D31, MID($C31,K$3,1), INDEX(音調表!$F$3:$F$10, MATCH(TRUE, EXACT(MID($C31,K$3,1), 音調表!$E$3:$E$10),0)))</f>
        <v/>
      </c>
      <c r="L31" s="10" t="str" cm="1">
        <f t="array" ref="L31" xml:space="preserve"> IF(L$3&lt;&gt;$D31, MID($C31,L$3,1), INDEX(音調表!$F$3:$F$10, MATCH(TRUE, EXACT(MID($C31,L$3,1), 音調表!$E$3:$E$10),0)))</f>
        <v/>
      </c>
      <c r="M31" s="11" t="str" cm="1">
        <f t="array" ref="M31" xml:space="preserve"> IF(M$3&lt;&gt;$D31, MID($C31,M$3,1), INDEX(音調表!$F$3:$F$10, MATCH(TRUE, EXACT(MID($C31,M$3,1), 音調表!$E$3:$E$10),0)))</f>
        <v/>
      </c>
      <c r="O31" s="2"/>
      <c r="P31" s="2"/>
    </row>
    <row r="32" spans="2:16">
      <c r="B32" s="7" t="s">
        <v>65</v>
      </c>
      <c r="C32" s="8" t="s">
        <v>99</v>
      </c>
      <c r="D32" s="9">
        <f t="shared" si="0"/>
        <v>3</v>
      </c>
      <c r="E32" s="10" t="str" cm="1">
        <f t="array" ref="E32" xml:space="preserve"> IF(E$3&lt;&gt;$D32, MID($C32,E$3,1), INDEX(音調表!$F$3:$F$10, MATCH(TRUE, EXACT(MID($C32,E$3,1), 音調表!$E$3:$E$10),0)))</f>
        <v>s</v>
      </c>
      <c r="F32" s="10" t="str" cm="1">
        <f t="array" ref="F32" xml:space="preserve"> IF(F$3&lt;&gt;$D32, MID($C32,F$3,1), INDEX(音調表!$F$3:$F$10, MATCH(TRUE, EXACT(MID($C32,F$3,1), 音調表!$E$3:$E$10),0)))</f>
        <v>u</v>
      </c>
      <c r="G32" s="10" cm="1">
        <f t="array" ref="G32" xml:space="preserve"> IF(G$3&lt;&gt;$D32, MID($C32,G$3,1), INDEX(音調表!$F$3:$F$10, MATCH(TRUE, EXACT(MID($C32,G$3,1), 音調表!$E$3:$E$10),0)))</f>
        <v>1</v>
      </c>
      <c r="H32" s="10" t="str" cm="1">
        <f t="array" ref="H32" xml:space="preserve"> IF(H$3&lt;&gt;$D32, MID($C32,H$3,1), INDEX(音調表!$F$3:$F$10, MATCH(TRUE, EXACT(MID($C32,H$3,1), 音調表!$E$3:$E$10),0)))</f>
        <v/>
      </c>
      <c r="I32" s="10" t="str" cm="1">
        <f t="array" ref="I32" xml:space="preserve"> IF(I$3&lt;&gt;$D32, MID($C32,I$3,1), INDEX(音調表!$F$3:$F$10, MATCH(TRUE, EXACT(MID($C32,I$3,1), 音調表!$E$3:$E$10),0)))</f>
        <v/>
      </c>
      <c r="J32" s="10" t="str" cm="1">
        <f t="array" ref="J32" xml:space="preserve"> IF(J$3&lt;&gt;$D32, MID($C32,J$3,1), INDEX(音調表!$F$3:$F$10, MATCH(TRUE, EXACT(MID($C32,J$3,1), 音調表!$E$3:$E$10),0)))</f>
        <v/>
      </c>
      <c r="K32" s="10" t="str" cm="1">
        <f t="array" ref="K32" xml:space="preserve"> IF(K$3&lt;&gt;$D32, MID($C32,K$3,1), INDEX(音調表!$F$3:$F$10, MATCH(TRUE, EXACT(MID($C32,K$3,1), 音調表!$E$3:$E$10),0)))</f>
        <v/>
      </c>
      <c r="L32" s="10" t="str" cm="1">
        <f t="array" ref="L32" xml:space="preserve"> IF(L$3&lt;&gt;$D32, MID($C32,L$3,1), INDEX(音調表!$F$3:$F$10, MATCH(TRUE, EXACT(MID($C32,L$3,1), 音調表!$E$3:$E$10),0)))</f>
        <v/>
      </c>
      <c r="M32" s="11" t="str" cm="1">
        <f t="array" ref="M32" xml:space="preserve"> IF(M$3&lt;&gt;$D32, MID($C32,M$3,1), INDEX(音調表!$F$3:$F$10, MATCH(TRUE, EXACT(MID($C32,M$3,1), 音調表!$E$3:$E$10),0)))</f>
        <v/>
      </c>
      <c r="O32" s="2"/>
      <c r="P32" s="2"/>
    </row>
    <row r="33" spans="2:16">
      <c r="B33" s="7" t="s">
        <v>66</v>
      </c>
      <c r="C33" s="8" t="s">
        <v>100</v>
      </c>
      <c r="D33" s="9">
        <f t="shared" si="0"/>
        <v>4</v>
      </c>
      <c r="E33" s="10" t="str" cm="1">
        <f t="array" ref="E33" xml:space="preserve"> IF(E$3&lt;&gt;$D33, MID($C33,E$3,1), INDEX(音調表!$F$3:$F$10, MATCH(TRUE, EXACT(MID($C33,E$3,1), 音調表!$E$3:$E$10),0)))</f>
        <v>u</v>
      </c>
      <c r="F33" s="10" t="str" cm="1">
        <f t="array" ref="F33" xml:space="preserve"> IF(F$3&lt;&gt;$D33, MID($C33,F$3,1), INDEX(音調表!$F$3:$F$10, MATCH(TRUE, EXACT(MID($C33,F$3,1), 音調表!$E$3:$E$10),0)))</f>
        <v>a</v>
      </c>
      <c r="G33" s="10" t="str" cm="1">
        <f t="array" ref="G33" xml:space="preserve"> IF(G$3&lt;&gt;$D33, MID($C33,G$3,1), INDEX(音調表!$F$3:$F$10, MATCH(TRUE, EXACT(MID($C33,G$3,1), 音調表!$E$3:$E$10),0)))</f>
        <v>n</v>
      </c>
      <c r="H33" s="10" cm="1">
        <f t="array" ref="H33" xml:space="preserve"> IF(H$3&lt;&gt;$D33, MID($C33,H$3,1), INDEX(音調表!$F$3:$F$10, MATCH(TRUE, EXACT(MID($C33,H$3,1), 音調表!$E$3:$E$10),0)))</f>
        <v>5</v>
      </c>
      <c r="I33" s="10" t="str" cm="1">
        <f t="array" ref="I33" xml:space="preserve"> IF(I$3&lt;&gt;$D33, MID($C33,I$3,1), INDEX(音調表!$F$3:$F$10, MATCH(TRUE, EXACT(MID($C33,I$3,1), 音調表!$E$3:$E$10),0)))</f>
        <v/>
      </c>
      <c r="J33" s="10" t="str" cm="1">
        <f t="array" ref="J33" xml:space="preserve"> IF(J$3&lt;&gt;$D33, MID($C33,J$3,1), INDEX(音調表!$F$3:$F$10, MATCH(TRUE, EXACT(MID($C33,J$3,1), 音調表!$E$3:$E$10),0)))</f>
        <v/>
      </c>
      <c r="K33" s="10" t="str" cm="1">
        <f t="array" ref="K33" xml:space="preserve"> IF(K$3&lt;&gt;$D33, MID($C33,K$3,1), INDEX(音調表!$F$3:$F$10, MATCH(TRUE, EXACT(MID($C33,K$3,1), 音調表!$E$3:$E$10),0)))</f>
        <v/>
      </c>
      <c r="L33" s="10" t="str" cm="1">
        <f t="array" ref="L33" xml:space="preserve"> IF(L$3&lt;&gt;$D33, MID($C33,L$3,1), INDEX(音調表!$F$3:$F$10, MATCH(TRUE, EXACT(MID($C33,L$3,1), 音調表!$E$3:$E$10),0)))</f>
        <v/>
      </c>
      <c r="M33" s="11" t="str" cm="1">
        <f t="array" ref="M33" xml:space="preserve"> IF(M$3&lt;&gt;$D33, MID($C33,M$3,1), INDEX(音調表!$F$3:$F$10, MATCH(TRUE, EXACT(MID($C33,M$3,1), 音調表!$E$3:$E$10),0)))</f>
        <v/>
      </c>
      <c r="O33" s="2"/>
      <c r="P33" s="2"/>
    </row>
    <row r="34" spans="2:16">
      <c r="B34" s="7" t="s">
        <v>67</v>
      </c>
      <c r="C34" s="8" t="s">
        <v>101</v>
      </c>
      <c r="D34" s="9">
        <f t="shared" si="0"/>
        <v>5</v>
      </c>
      <c r="E34" s="10" t="str" cm="1">
        <f t="array" ref="E34" xml:space="preserve"> IF(E$3&lt;&gt;$D34, MID($C34,E$3,1), INDEX(音調表!$F$3:$F$10, MATCH(TRUE, EXACT(MID($C34,E$3,1), 音調表!$E$3:$E$10),0)))</f>
        <v>i</v>
      </c>
      <c r="F34" s="10" t="str" cm="1">
        <f t="array" ref="F34" xml:space="preserve"> IF(F$3&lt;&gt;$D34, MID($C34,F$3,1), INDEX(音調表!$F$3:$F$10, MATCH(TRUE, EXACT(MID($C34,F$3,1), 音調表!$E$3:$E$10),0)))</f>
        <v>o</v>
      </c>
      <c r="G34" s="10" t="str" cm="1">
        <f t="array" ref="G34" xml:space="preserve"> IF(G$3&lt;&gt;$D34, MID($C34,G$3,1), INDEX(音調表!$F$3:$F$10, MATCH(TRUE, EXACT(MID($C34,G$3,1), 音調表!$E$3:$E$10),0)))</f>
        <v>n</v>
      </c>
      <c r="H34" s="10" t="str" cm="1">
        <f t="array" ref="H34" xml:space="preserve"> IF(H$3&lt;&gt;$D34, MID($C34,H$3,1), INDEX(音調表!$F$3:$F$10, MATCH(TRUE, EXACT(MID($C34,H$3,1), 音調表!$E$3:$E$10),0)))</f>
        <v>g</v>
      </c>
      <c r="I34" s="10" cm="1">
        <f t="array" ref="I34" xml:space="preserve"> IF(I$3&lt;&gt;$D34, MID($C34,I$3,1), INDEX(音調表!$F$3:$F$10, MATCH(TRUE, EXACT(MID($C34,I$3,1), 音調表!$E$3:$E$10),0)))</f>
        <v>2</v>
      </c>
      <c r="J34" s="10" t="str" cm="1">
        <f t="array" ref="J34" xml:space="preserve"> IF(J$3&lt;&gt;$D34, MID($C34,J$3,1), INDEX(音調表!$F$3:$F$10, MATCH(TRUE, EXACT(MID($C34,J$3,1), 音調表!$E$3:$E$10),0)))</f>
        <v/>
      </c>
      <c r="K34" s="10" t="str" cm="1">
        <f t="array" ref="K34" xml:space="preserve"> IF(K$3&lt;&gt;$D34, MID($C34,K$3,1), INDEX(音調表!$F$3:$F$10, MATCH(TRUE, EXACT(MID($C34,K$3,1), 音調表!$E$3:$E$10),0)))</f>
        <v/>
      </c>
      <c r="L34" s="10" t="str" cm="1">
        <f t="array" ref="L34" xml:space="preserve"> IF(L$3&lt;&gt;$D34, MID($C34,L$3,1), INDEX(音調表!$F$3:$F$10, MATCH(TRUE, EXACT(MID($C34,L$3,1), 音調表!$E$3:$E$10),0)))</f>
        <v/>
      </c>
      <c r="M34" s="11" t="str" cm="1">
        <f t="array" ref="M34" xml:space="preserve"> IF(M$3&lt;&gt;$D34, MID($C34,M$3,1), INDEX(音調表!$F$3:$F$10, MATCH(TRUE, EXACT(MID($C34,M$3,1), 音調表!$E$3:$E$10),0)))</f>
        <v/>
      </c>
      <c r="O34" s="2"/>
      <c r="P34" s="2"/>
    </row>
    <row r="35" spans="2:16">
      <c r="B35" s="7" t="s">
        <v>68</v>
      </c>
      <c r="C35" s="8" t="s">
        <v>102</v>
      </c>
      <c r="D35" s="9">
        <f t="shared" si="0"/>
        <v>4</v>
      </c>
      <c r="E35" s="10" t="str" cm="1">
        <f t="array" ref="E35" xml:space="preserve"> IF(E$3&lt;&gt;$D35, MID($C35,E$3,1), INDEX(音調表!$F$3:$F$10, MATCH(TRUE, EXACT(MID($C35,E$3,1), 音調表!$E$3:$E$10),0)))</f>
        <v>l</v>
      </c>
      <c r="F35" s="10" t="str" cm="1">
        <f t="array" ref="F35" xml:space="preserve"> IF(F$3&lt;&gt;$D35, MID($C35,F$3,1), INDEX(音調表!$F$3:$F$10, MATCH(TRUE, EXACT(MID($C35,F$3,1), 音調表!$E$3:$E$10),0)))</f>
        <v>i</v>
      </c>
      <c r="G35" s="10" t="str" cm="1">
        <f t="array" ref="G35" xml:space="preserve"> IF(G$3&lt;&gt;$D35, MID($C35,G$3,1), INDEX(音調表!$F$3:$F$10, MATCH(TRUE, EXACT(MID($C35,G$3,1), 音調表!$E$3:$E$10),0)))</f>
        <v>u</v>
      </c>
      <c r="H35" s="10" cm="1">
        <f t="array" ref="H35" xml:space="preserve"> IF(H$3&lt;&gt;$D35, MID($C35,H$3,1), INDEX(音調表!$F$3:$F$10, MATCH(TRUE, EXACT(MID($C35,H$3,1), 音調表!$E$3:$E$10),0)))</f>
        <v>3</v>
      </c>
      <c r="I35" s="10" t="str" cm="1">
        <f t="array" ref="I35" xml:space="preserve"> IF(I$3&lt;&gt;$D35, MID($C35,I$3,1), INDEX(音調表!$F$3:$F$10, MATCH(TRUE, EXACT(MID($C35,I$3,1), 音調表!$E$3:$E$10),0)))</f>
        <v/>
      </c>
      <c r="J35" s="10" t="str" cm="1">
        <f t="array" ref="J35" xml:space="preserve"> IF(J$3&lt;&gt;$D35, MID($C35,J$3,1), INDEX(音調表!$F$3:$F$10, MATCH(TRUE, EXACT(MID($C35,J$3,1), 音調表!$E$3:$E$10),0)))</f>
        <v/>
      </c>
      <c r="K35" s="10" t="str" cm="1">
        <f t="array" ref="K35" xml:space="preserve"> IF(K$3&lt;&gt;$D35, MID($C35,K$3,1), INDEX(音調表!$F$3:$F$10, MATCH(TRUE, EXACT(MID($C35,K$3,1), 音調表!$E$3:$E$10),0)))</f>
        <v/>
      </c>
      <c r="L35" s="10" t="str" cm="1">
        <f t="array" ref="L35" xml:space="preserve"> IF(L$3&lt;&gt;$D35, MID($C35,L$3,1), INDEX(音調表!$F$3:$F$10, MATCH(TRUE, EXACT(MID($C35,L$3,1), 音調表!$E$3:$E$10),0)))</f>
        <v/>
      </c>
      <c r="M35" s="11" t="str" cm="1">
        <f t="array" ref="M35" xml:space="preserve"> IF(M$3&lt;&gt;$D35, MID($C35,M$3,1), INDEX(音調表!$F$3:$F$10, MATCH(TRUE, EXACT(MID($C35,M$3,1), 音調表!$E$3:$E$10),0)))</f>
        <v/>
      </c>
      <c r="O35" s="2"/>
      <c r="P35" s="2"/>
    </row>
    <row r="36" spans="2:16">
      <c r="B36" s="7" t="s">
        <v>53</v>
      </c>
      <c r="C36" s="8"/>
      <c r="D36" s="9" t="str">
        <f t="shared" si="0"/>
        <v/>
      </c>
      <c r="E36" s="10" t="s">
        <v>87</v>
      </c>
      <c r="F36" s="10" t="s">
        <v>88</v>
      </c>
      <c r="G36" s="10" t="str" cm="1">
        <f t="array" ref="G36" xml:space="preserve"> IF(G$3&lt;&gt;$D36, MID($C36,G$3,1), INDEX(音調表!$F$3:$F$10, MATCH(TRUE, EXACT(MID($C36,G$3,1), 音調表!$E$3:$E$10),0)))</f>
        <v/>
      </c>
      <c r="H36" s="10" t="str" cm="1">
        <f t="array" ref="H36" xml:space="preserve"> IF(H$3&lt;&gt;$D36, MID($C36,H$3,1), INDEX(音調表!$F$3:$F$10, MATCH(TRUE, EXACT(MID($C36,H$3,1), 音調表!$E$3:$E$10),0)))</f>
        <v/>
      </c>
      <c r="I36" s="10" t="str" cm="1">
        <f t="array" ref="I36" xml:space="preserve"> IF(I$3&lt;&gt;$D36, MID($C36,I$3,1), INDEX(音調表!$F$3:$F$10, MATCH(TRUE, EXACT(MID($C36,I$3,1), 音調表!$E$3:$E$10),0)))</f>
        <v/>
      </c>
      <c r="J36" s="10" t="str" cm="1">
        <f t="array" ref="J36" xml:space="preserve"> IF(J$3&lt;&gt;$D36, MID($C36,J$3,1), INDEX(音調表!$F$3:$F$10, MATCH(TRUE, EXACT(MID($C36,J$3,1), 音調表!$E$3:$E$10),0)))</f>
        <v/>
      </c>
      <c r="K36" s="10" t="str" cm="1">
        <f t="array" ref="K36" xml:space="preserve"> IF(K$3&lt;&gt;$D36, MID($C36,K$3,1), INDEX(音調表!$F$3:$F$10, MATCH(TRUE, EXACT(MID($C36,K$3,1), 音調表!$E$3:$E$10),0)))</f>
        <v/>
      </c>
      <c r="L36" s="10" t="str" cm="1">
        <f t="array" ref="L36" xml:space="preserve"> IF(L$3&lt;&gt;$D36, MID($C36,L$3,1), INDEX(音調表!$F$3:$F$10, MATCH(TRUE, EXACT(MID($C36,L$3,1), 音調表!$E$3:$E$10),0)))</f>
        <v/>
      </c>
      <c r="M36" s="11" t="str" cm="1">
        <f t="array" ref="M36" xml:space="preserve"> IF(M$3&lt;&gt;$D36, MID($C36,M$3,1), INDEX(音調表!$F$3:$F$10, MATCH(TRUE, EXACT(MID($C36,M$3,1), 音調表!$E$3:$E$10),0)))</f>
        <v/>
      </c>
      <c r="O36" s="2"/>
      <c r="P36" s="2"/>
    </row>
    <row r="37" spans="2:16">
      <c r="B37" s="7" t="s">
        <v>69</v>
      </c>
      <c r="C37" s="8" t="s">
        <v>103</v>
      </c>
      <c r="D37" s="9">
        <f t="shared" si="0"/>
        <v>4</v>
      </c>
      <c r="E37" s="10" t="str" cm="1">
        <f t="array" ref="E37" xml:space="preserve"> IF(E$3&lt;&gt;$D37, MID($C37,E$3,1), INDEX(音調表!$F$3:$F$10, MATCH(TRUE, EXACT(MID($C37,E$3,1), 音調表!$E$3:$E$10),0)))</f>
        <v>c</v>
      </c>
      <c r="F37" s="10" t="str" cm="1">
        <f t="array" ref="F37" xml:space="preserve"> IF(F$3&lt;&gt;$D37, MID($C37,F$3,1), INDEX(音調表!$F$3:$F$10, MATCH(TRUE, EXACT(MID($C37,F$3,1), 音調表!$E$3:$E$10),0)))</f>
        <v>u</v>
      </c>
      <c r="G37" s="10" t="str" cm="1">
        <f t="array" ref="G37" xml:space="preserve"> IF(G$3&lt;&gt;$D37, MID($C37,G$3,1), INDEX(音調表!$F$3:$F$10, MATCH(TRUE, EXACT(MID($C37,G$3,1), 音調表!$E$3:$E$10),0)))</f>
        <v>n</v>
      </c>
      <c r="H37" s="10" cm="1">
        <f t="array" ref="H37" xml:space="preserve"> IF(H$3&lt;&gt;$D37, MID($C37,H$3,1), INDEX(音調表!$F$3:$F$10, MATCH(TRUE, EXACT(MID($C37,H$3,1), 音調表!$E$3:$E$10),0)))</f>
        <v>1</v>
      </c>
      <c r="I37" s="10" t="str" cm="1">
        <f t="array" ref="I37" xml:space="preserve"> IF(I$3&lt;&gt;$D37, MID($C37,I$3,1), INDEX(音調表!$F$3:$F$10, MATCH(TRUE, EXACT(MID($C37,I$3,1), 音調表!$E$3:$E$10),0)))</f>
        <v/>
      </c>
      <c r="J37" s="10" t="str" cm="1">
        <f t="array" ref="J37" xml:space="preserve"> IF(J$3&lt;&gt;$D37, MID($C37,J$3,1), INDEX(音調表!$F$3:$F$10, MATCH(TRUE, EXACT(MID($C37,J$3,1), 音調表!$E$3:$E$10),0)))</f>
        <v/>
      </c>
      <c r="K37" s="10" t="str" cm="1">
        <f t="array" ref="K37" xml:space="preserve"> IF(K$3&lt;&gt;$D37, MID($C37,K$3,1), INDEX(音調表!$F$3:$F$10, MATCH(TRUE, EXACT(MID($C37,K$3,1), 音調表!$E$3:$E$10),0)))</f>
        <v/>
      </c>
      <c r="L37" s="10" t="str" cm="1">
        <f t="array" ref="L37" xml:space="preserve"> IF(L$3&lt;&gt;$D37, MID($C37,L$3,1), INDEX(音調表!$F$3:$F$10, MATCH(TRUE, EXACT(MID($C37,L$3,1), 音調表!$E$3:$E$10),0)))</f>
        <v/>
      </c>
      <c r="M37" s="11" t="str" cm="1">
        <f t="array" ref="M37" xml:space="preserve"> IF(M$3&lt;&gt;$D37, MID($C37,M$3,1), INDEX(音調表!$F$3:$F$10, MATCH(TRUE, EXACT(MID($C37,M$3,1), 音調表!$E$3:$E$10),0)))</f>
        <v/>
      </c>
      <c r="O37" s="2"/>
      <c r="P37" s="2"/>
    </row>
    <row r="38" spans="2:16">
      <c r="B38" s="7" t="s">
        <v>70</v>
      </c>
      <c r="C38" s="8" t="s">
        <v>104</v>
      </c>
      <c r="D38" s="9">
        <f t="shared" si="0"/>
        <v>5</v>
      </c>
      <c r="E38" s="10" t="str" cm="1">
        <f t="array" ref="E38" xml:space="preserve"> IF(E$3&lt;&gt;$D38, MID($C38,E$3,1), INDEX(音調表!$F$3:$F$10, MATCH(TRUE, EXACT(MID($C38,E$3,1), 音調表!$E$3:$E$10),0)))</f>
        <v>h</v>
      </c>
      <c r="F38" s="10" t="str" cm="1">
        <f t="array" ref="F38" xml:space="preserve"> IF(F$3&lt;&gt;$D38, MID($C38,F$3,1), INDEX(音調表!$F$3:$F$10, MATCH(TRUE, EXACT(MID($C38,F$3,1), 音調表!$E$3:$E$10),0)))</f>
        <v>o</v>
      </c>
      <c r="G38" s="10" t="str" cm="1">
        <f t="array" ref="G38" xml:space="preserve"> IF(G$3&lt;&gt;$D38, MID($C38,G$3,1), INDEX(音調表!$F$3:$F$10, MATCH(TRUE, EXACT(MID($C38,G$3,1), 音調表!$E$3:$E$10),0)))</f>
        <v>n</v>
      </c>
      <c r="H38" s="10" t="str" cm="1">
        <f t="array" ref="H38" xml:space="preserve"> IF(H$3&lt;&gt;$D38, MID($C38,H$3,1), INDEX(音調表!$F$3:$F$10, MATCH(TRUE, EXACT(MID($C38,H$3,1), 音調表!$E$3:$E$10),0)))</f>
        <v>g</v>
      </c>
      <c r="I38" s="10" cm="1">
        <f t="array" ref="I38" xml:space="preserve"> IF(I$3&lt;&gt;$D38, MID($C38,I$3,1), INDEX(音調表!$F$3:$F$10, MATCH(TRUE, EXACT(MID($C38,I$3,1), 音調表!$E$3:$E$10),0)))</f>
        <v>1</v>
      </c>
      <c r="J38" s="10" t="str" cm="1">
        <f t="array" ref="J38" xml:space="preserve"> IF(J$3&lt;&gt;$D38, MID($C38,J$3,1), INDEX(音調表!$F$3:$F$10, MATCH(TRUE, EXACT(MID($C38,J$3,1), 音調表!$E$3:$E$10),0)))</f>
        <v/>
      </c>
      <c r="K38" s="10" t="str" cm="1">
        <f t="array" ref="K38" xml:space="preserve"> IF(K$3&lt;&gt;$D38, MID($C38,K$3,1), INDEX(音調表!$F$3:$F$10, MATCH(TRUE, EXACT(MID($C38,K$3,1), 音調表!$E$3:$E$10),0)))</f>
        <v/>
      </c>
      <c r="L38" s="10" t="str" cm="1">
        <f t="array" ref="L38" xml:space="preserve"> IF(L$3&lt;&gt;$D38, MID($C38,L$3,1), INDEX(音調表!$F$3:$F$10, MATCH(TRUE, EXACT(MID($C38,L$3,1), 音調表!$E$3:$E$10),0)))</f>
        <v/>
      </c>
      <c r="M38" s="11" t="str" cm="1">
        <f t="array" ref="M38" xml:space="preserve"> IF(M$3&lt;&gt;$D38, MID($C38,M$3,1), INDEX(音調表!$F$3:$F$10, MATCH(TRUE, EXACT(MID($C38,M$3,1), 音調表!$E$3:$E$10),0)))</f>
        <v/>
      </c>
      <c r="O38" s="2"/>
      <c r="P38" s="2"/>
    </row>
    <row r="39" spans="2:16">
      <c r="B39" s="7" t="s">
        <v>71</v>
      </c>
      <c r="C39" s="8" t="s">
        <v>105</v>
      </c>
      <c r="D39" s="9">
        <f t="shared" si="0"/>
        <v>4</v>
      </c>
      <c r="E39" s="10" t="str" cm="1">
        <f t="array" ref="E39" xml:space="preserve"> IF(E$3&lt;&gt;$D39, MID($C39,E$3,1), INDEX(音調表!$F$3:$F$10, MATCH(TRUE, EXACT(MID($C39,E$3,1), 音調表!$E$3:$E$10),0)))</f>
        <v>p</v>
      </c>
      <c r="F39" s="10" t="str" cm="1">
        <f t="array" ref="F39" xml:space="preserve"> IF(F$3&lt;&gt;$D39, MID($C39,F$3,1), INDEX(音調表!$F$3:$F$10, MATCH(TRUE, EXACT(MID($C39,F$3,1), 音調表!$E$3:$E$10),0)))</f>
        <v>u</v>
      </c>
      <c r="G39" s="10" t="str" cm="1">
        <f t="array" ref="G39" xml:space="preserve"> IF(G$3&lt;&gt;$D39, MID($C39,G$3,1), INDEX(音調表!$F$3:$F$10, MATCH(TRUE, EXACT(MID($C39,G$3,1), 音調表!$E$3:$E$10),0)))</f>
        <v>t</v>
      </c>
      <c r="H39" s="10" cm="1">
        <f t="array" ref="H39" xml:space="preserve"> IF(H$3&lt;&gt;$D39, MID($C39,H$3,1), INDEX(音調表!$F$3:$F$10, MATCH(TRUE, EXACT(MID($C39,H$3,1), 音調表!$E$3:$E$10),0)))</f>
        <v>7</v>
      </c>
      <c r="I39" s="10" t="str" cm="1">
        <f t="array" ref="I39" xml:space="preserve"> IF(I$3&lt;&gt;$D39, MID($C39,I$3,1), INDEX(音調表!$F$3:$F$10, MATCH(TRUE, EXACT(MID($C39,I$3,1), 音調表!$E$3:$E$10),0)))</f>
        <v/>
      </c>
      <c r="J39" s="10" t="str" cm="1">
        <f t="array" ref="J39" xml:space="preserve"> IF(J$3&lt;&gt;$D39, MID($C39,J$3,1), INDEX(音調表!$F$3:$F$10, MATCH(TRUE, EXACT(MID($C39,J$3,1), 音調表!$E$3:$E$10),0)))</f>
        <v/>
      </c>
      <c r="K39" s="10" t="str" cm="1">
        <f t="array" ref="K39" xml:space="preserve"> IF(K$3&lt;&gt;$D39, MID($C39,K$3,1), INDEX(音調表!$F$3:$F$10, MATCH(TRUE, EXACT(MID($C39,K$3,1), 音調表!$E$3:$E$10),0)))</f>
        <v/>
      </c>
      <c r="L39" s="10" t="str" cm="1">
        <f t="array" ref="L39" xml:space="preserve"> IF(L$3&lt;&gt;$D39, MID($C39,L$3,1), INDEX(音調表!$F$3:$F$10, MATCH(TRUE, EXACT(MID($C39,L$3,1), 音調表!$E$3:$E$10),0)))</f>
        <v/>
      </c>
      <c r="M39" s="11" t="str" cm="1">
        <f t="array" ref="M39" xml:space="preserve"> IF(M$3&lt;&gt;$D39, MID($C39,M$3,1), INDEX(音調表!$F$3:$F$10, MATCH(TRUE, EXACT(MID($C39,M$3,1), 音調表!$E$3:$E$10),0)))</f>
        <v/>
      </c>
      <c r="O39" s="2"/>
      <c r="P39" s="2"/>
    </row>
    <row r="40" spans="2:16">
      <c r="B40" s="7" t="s">
        <v>72</v>
      </c>
      <c r="C40" s="8" t="s">
        <v>106</v>
      </c>
      <c r="D40" s="9">
        <f t="shared" si="0"/>
        <v>4</v>
      </c>
      <c r="E40" s="10" t="str" cm="1">
        <f t="array" ref="E40" xml:space="preserve"> IF(E$3&lt;&gt;$D40, MID($C40,E$3,1), INDEX(音調表!$F$3:$F$10, MATCH(TRUE, EXACT(MID($C40,E$3,1), 音調表!$E$3:$E$10),0)))</f>
        <v>t</v>
      </c>
      <c r="F40" s="10" t="str" cm="1">
        <f t="array" ref="F40" xml:space="preserve"> IF(F$3&lt;&gt;$D40, MID($C40,F$3,1), INDEX(音調表!$F$3:$F$10, MATCH(TRUE, EXACT(MID($C40,F$3,1), 音調表!$E$3:$E$10),0)))</f>
        <v>o</v>
      </c>
      <c r="G40" s="10" t="str" cm="1">
        <f t="array" ref="G40" xml:space="preserve"> IF(G$3&lt;&gt;$D40, MID($C40,G$3,1), INDEX(音調表!$F$3:$F$10, MATCH(TRUE, EXACT(MID($C40,G$3,1), 音調表!$E$3:$E$10),0)))</f>
        <v>o</v>
      </c>
      <c r="H40" s="10" cm="1">
        <f t="array" ref="H40" xml:space="preserve"> IF(H$3&lt;&gt;$D40, MID($C40,H$3,1), INDEX(音調表!$F$3:$F$10, MATCH(TRUE, EXACT(MID($C40,H$3,1), 音調表!$E$3:$E$10),0)))</f>
        <v>6</v>
      </c>
      <c r="I40" s="10" t="str" cm="1">
        <f t="array" ref="I40" xml:space="preserve"> IF(I$3&lt;&gt;$D40, MID($C40,I$3,1), INDEX(音調表!$F$3:$F$10, MATCH(TRUE, EXACT(MID($C40,I$3,1), 音調表!$E$3:$E$10),0)))</f>
        <v/>
      </c>
      <c r="J40" s="10" t="str" cm="1">
        <f t="array" ref="J40" xml:space="preserve"> IF(J$3&lt;&gt;$D40, MID($C40,J$3,1), INDEX(音調表!$F$3:$F$10, MATCH(TRUE, EXACT(MID($C40,J$3,1), 音調表!$E$3:$E$10),0)))</f>
        <v/>
      </c>
      <c r="K40" s="10" t="str" cm="1">
        <f t="array" ref="K40" xml:space="preserve"> IF(K$3&lt;&gt;$D40, MID($C40,K$3,1), INDEX(音調表!$F$3:$F$10, MATCH(TRUE, EXACT(MID($C40,K$3,1), 音調表!$E$3:$E$10),0)))</f>
        <v/>
      </c>
      <c r="L40" s="10" t="str" cm="1">
        <f t="array" ref="L40" xml:space="preserve"> IF(L$3&lt;&gt;$D40, MID($C40,L$3,1), INDEX(音調表!$F$3:$F$10, MATCH(TRUE, EXACT(MID($C40,L$3,1), 音調表!$E$3:$E$10),0)))</f>
        <v/>
      </c>
      <c r="M40" s="11" t="str" cm="1">
        <f t="array" ref="M40" xml:space="preserve"> IF(M$3&lt;&gt;$D40, MID($C40,M$3,1), INDEX(音調表!$F$3:$F$10, MATCH(TRUE, EXACT(MID($C40,M$3,1), 音調表!$E$3:$E$10),0)))</f>
        <v/>
      </c>
      <c r="O40" s="2"/>
      <c r="P40" s="2"/>
    </row>
    <row r="41" spans="2:16">
      <c r="B41" s="7" t="s">
        <v>73</v>
      </c>
      <c r="C41" s="8" t="s">
        <v>107</v>
      </c>
      <c r="D41" s="9">
        <f t="shared" si="0"/>
        <v>5</v>
      </c>
      <c r="E41" s="10" t="str" cm="1">
        <f t="array" ref="E41" xml:space="preserve"> IF(E$3&lt;&gt;$D41, MID($C41,E$3,1), INDEX(音調表!$F$3:$F$10, MATCH(TRUE, EXACT(MID($C41,E$3,1), 音調表!$E$3:$E$10),0)))</f>
        <v>g</v>
      </c>
      <c r="F41" s="10" t="str" cm="1">
        <f t="array" ref="F41" xml:space="preserve"> IF(F$3&lt;&gt;$D41, MID($C41,F$3,1), INDEX(音調表!$F$3:$F$10, MATCH(TRUE, EXACT(MID($C41,F$3,1), 音調表!$E$3:$E$10),0)))</f>
        <v>i</v>
      </c>
      <c r="G41" s="10" t="str" cm="1">
        <f t="array" ref="G41" xml:space="preserve"> IF(G$3&lt;&gt;$D41, MID($C41,G$3,1), INDEX(音調表!$F$3:$F$10, MATCH(TRUE, EXACT(MID($C41,G$3,1), 音調表!$E$3:$E$10),0)))</f>
        <v>o</v>
      </c>
      <c r="H41" s="10" t="str" cm="1">
        <f t="array" ref="H41" xml:space="preserve"> IF(H$3&lt;&gt;$D41, MID($C41,H$3,1), INDEX(音調表!$F$3:$F$10, MATCH(TRUE, EXACT(MID($C41,H$3,1), 音調表!$E$3:$E$10),0)))</f>
        <v>k</v>
      </c>
      <c r="I41" s="10" cm="1">
        <f t="array" ref="I41" xml:space="preserve"> IF(I$3&lt;&gt;$D41, MID($C41,I$3,1), INDEX(音調表!$F$3:$F$10, MATCH(TRUE, EXACT(MID($C41,I$3,1), 音調表!$E$3:$E$10),0)))</f>
        <v>8</v>
      </c>
      <c r="J41" s="10" t="str" cm="1">
        <f t="array" ref="J41" xml:space="preserve"> IF(J$3&lt;&gt;$D41, MID($C41,J$3,1), INDEX(音調表!$F$3:$F$10, MATCH(TRUE, EXACT(MID($C41,J$3,1), 音調表!$E$3:$E$10),0)))</f>
        <v/>
      </c>
      <c r="K41" s="10" t="str" cm="1">
        <f t="array" ref="K41" xml:space="preserve"> IF(K$3&lt;&gt;$D41, MID($C41,K$3,1), INDEX(音調表!$F$3:$F$10, MATCH(TRUE, EXACT(MID($C41,K$3,1), 音調表!$E$3:$E$10),0)))</f>
        <v/>
      </c>
      <c r="L41" s="10" t="str" cm="1">
        <f t="array" ref="L41" xml:space="preserve"> IF(L$3&lt;&gt;$D41, MID($C41,L$3,1), INDEX(音調表!$F$3:$F$10, MATCH(TRUE, EXACT(MID($C41,L$3,1), 音調表!$E$3:$E$10),0)))</f>
        <v/>
      </c>
      <c r="M41" s="11" t="str" cm="1">
        <f t="array" ref="M41" xml:space="preserve"> IF(M$3&lt;&gt;$D41, MID($C41,M$3,1), INDEX(音調表!$F$3:$F$10, MATCH(TRUE, EXACT(MID($C41,M$3,1), 音調表!$E$3:$E$10),0)))</f>
        <v/>
      </c>
      <c r="O41" s="2"/>
      <c r="P41" s="2"/>
    </row>
    <row r="42" spans="2:16">
      <c r="B42" s="7" t="s">
        <v>74</v>
      </c>
      <c r="C42" s="8" t="s">
        <v>108</v>
      </c>
      <c r="D42" s="9">
        <f t="shared" si="0"/>
        <v>4</v>
      </c>
      <c r="E42" s="10" t="str" cm="1">
        <f t="array" ref="E42" xml:space="preserve"> IF(E$3&lt;&gt;$D42, MID($C42,E$3,1), INDEX(音調表!$F$3:$F$10, MATCH(TRUE, EXACT(MID($C42,E$3,1), 音調表!$E$3:$E$10),0)))</f>
        <v>b</v>
      </c>
      <c r="F42" s="10" t="str" cm="1">
        <f t="array" ref="F42" xml:space="preserve"> IF(F$3&lt;&gt;$D42, MID($C42,F$3,1), INDEX(音調表!$F$3:$F$10, MATCH(TRUE, EXACT(MID($C42,F$3,1), 音調表!$E$3:$E$10),0)))</f>
        <v>u</v>
      </c>
      <c r="G42" s="10" t="str" cm="1">
        <f t="array" ref="G42" xml:space="preserve"> IF(G$3&lt;&gt;$D42, MID($C42,G$3,1), INDEX(音調表!$F$3:$F$10, MATCH(TRUE, EXACT(MID($C42,G$3,1), 音調表!$E$3:$E$10),0)))</f>
        <v>n</v>
      </c>
      <c r="H42" s="10" cm="1">
        <f t="array" ref="H42" xml:space="preserve"> IF(H$3&lt;&gt;$D42, MID($C42,H$3,1), INDEX(音調表!$F$3:$F$10, MATCH(TRUE, EXACT(MID($C42,H$3,1), 音調表!$E$3:$E$10),0)))</f>
        <v>2</v>
      </c>
      <c r="I42" s="10" t="str" cm="1">
        <f t="array" ref="I42" xml:space="preserve"> IF(I$3&lt;&gt;$D42, MID($C42,I$3,1), INDEX(音調表!$F$3:$F$10, MATCH(TRUE, EXACT(MID($C42,I$3,1), 音調表!$E$3:$E$10),0)))</f>
        <v/>
      </c>
      <c r="J42" s="10" t="str" cm="1">
        <f t="array" ref="J42" xml:space="preserve"> IF(J$3&lt;&gt;$D42, MID($C42,J$3,1), INDEX(音調表!$F$3:$F$10, MATCH(TRUE, EXACT(MID($C42,J$3,1), 音調表!$E$3:$E$10),0)))</f>
        <v/>
      </c>
      <c r="K42" s="10" t="str" cm="1">
        <f t="array" ref="K42" xml:space="preserve"> IF(K$3&lt;&gt;$D42, MID($C42,K$3,1), INDEX(音調表!$F$3:$F$10, MATCH(TRUE, EXACT(MID($C42,K$3,1), 音調表!$E$3:$E$10),0)))</f>
        <v/>
      </c>
      <c r="L42" s="10" t="str" cm="1">
        <f t="array" ref="L42" xml:space="preserve"> IF(L$3&lt;&gt;$D42, MID($C42,L$3,1), INDEX(音調表!$F$3:$F$10, MATCH(TRUE, EXACT(MID($C42,L$3,1), 音調表!$E$3:$E$10),0)))</f>
        <v/>
      </c>
      <c r="M42" s="11" t="str" cm="1">
        <f t="array" ref="M42" xml:space="preserve"> IF(M$3&lt;&gt;$D42, MID($C42,M$3,1), INDEX(音調表!$F$3:$F$10, MATCH(TRUE, EXACT(MID($C42,M$3,1), 音調表!$E$3:$E$10),0)))</f>
        <v/>
      </c>
      <c r="O42" s="2"/>
      <c r="P42" s="2"/>
    </row>
    <row r="43" spans="2:16">
      <c r="B43" s="7" t="s">
        <v>75</v>
      </c>
      <c r="C43" s="8" t="s">
        <v>109</v>
      </c>
      <c r="D43" s="9">
        <f t="shared" si="0"/>
        <v>5</v>
      </c>
      <c r="E43" s="10" t="str" cm="1">
        <f t="array" ref="E43" xml:space="preserve"> IF(E$3&lt;&gt;$D43, MID($C43,E$3,1), INDEX(音調表!$F$3:$F$10, MATCH(TRUE, EXACT(MID($C43,E$3,1), 音調表!$E$3:$E$10),0)))</f>
        <v>k</v>
      </c>
      <c r="F43" s="10" t="str" cm="1">
        <f t="array" ref="F43" xml:space="preserve"> IF(F$3&lt;&gt;$D43, MID($C43,F$3,1), INDEX(音調表!$F$3:$F$10, MATCH(TRUE, EXACT(MID($C43,F$3,1), 音調表!$E$3:$E$10),0)))</f>
        <v>u</v>
      </c>
      <c r="G43" s="10" t="str" cm="1">
        <f t="array" ref="G43" xml:space="preserve"> IF(G$3&lt;&gt;$D43, MID($C43,G$3,1), INDEX(音調表!$F$3:$F$10, MATCH(TRUE, EXACT(MID($C43,G$3,1), 音調表!$E$3:$E$10),0)))</f>
        <v>a</v>
      </c>
      <c r="H43" s="10" t="str" cm="1">
        <f t="array" ref="H43" xml:space="preserve"> IF(H$3&lt;&gt;$D43, MID($C43,H$3,1), INDEX(音調表!$F$3:$F$10, MATCH(TRUE, EXACT(MID($C43,H$3,1), 音調表!$E$3:$E$10),0)))</f>
        <v>n</v>
      </c>
      <c r="I43" s="10" cm="1">
        <f t="array" ref="I43" xml:space="preserve"> IF(I$3&lt;&gt;$D43, MID($C43,I$3,1), INDEX(音調表!$F$3:$F$10, MATCH(TRUE, EXACT(MID($C43,I$3,1), 音調表!$E$3:$E$10),0)))</f>
        <v>1</v>
      </c>
      <c r="J43" s="10" t="str" cm="1">
        <f t="array" ref="J43" xml:space="preserve"> IF(J$3&lt;&gt;$D43, MID($C43,J$3,1), INDEX(音調表!$F$3:$F$10, MATCH(TRUE, EXACT(MID($C43,J$3,1), 音調表!$E$3:$E$10),0)))</f>
        <v/>
      </c>
      <c r="K43" s="10" t="str" cm="1">
        <f t="array" ref="K43" xml:space="preserve"> IF(K$3&lt;&gt;$D43, MID($C43,K$3,1), INDEX(音調表!$F$3:$F$10, MATCH(TRUE, EXACT(MID($C43,K$3,1), 音調表!$E$3:$E$10),0)))</f>
        <v/>
      </c>
      <c r="L43" s="10" t="str" cm="1">
        <f t="array" ref="L43" xml:space="preserve"> IF(L$3&lt;&gt;$D43, MID($C43,L$3,1), INDEX(音調表!$F$3:$F$10, MATCH(TRUE, EXACT(MID($C43,L$3,1), 音調表!$E$3:$E$10),0)))</f>
        <v/>
      </c>
      <c r="M43" s="11" t="str" cm="1">
        <f t="array" ref="M43" xml:space="preserve"> IF(M$3&lt;&gt;$D43, MID($C43,M$3,1), INDEX(音調表!$F$3:$F$10, MATCH(TRUE, EXACT(MID($C43,M$3,1), 音調表!$E$3:$E$10),0)))</f>
        <v/>
      </c>
      <c r="O43" s="2"/>
      <c r="P43" s="2"/>
    </row>
    <row r="44" spans="2:16">
      <c r="B44" s="7" t="s">
        <v>61</v>
      </c>
      <c r="C44" s="8"/>
      <c r="D44" s="9" t="str">
        <f t="shared" si="0"/>
        <v/>
      </c>
      <c r="E44" s="10" t="s">
        <v>86</v>
      </c>
      <c r="F44" s="10" t="s">
        <v>35</v>
      </c>
      <c r="G44" s="10" t="str" cm="1">
        <f t="array" ref="G44" xml:space="preserve"> IF(G$3&lt;&gt;$D44, MID($C44,G$3,1), INDEX(音調表!$F$3:$F$10, MATCH(TRUE, EXACT(MID($C44,G$3,1), 音調表!$E$3:$E$10),0)))</f>
        <v/>
      </c>
      <c r="H44" s="10" t="str" cm="1">
        <f t="array" ref="H44" xml:space="preserve"> IF(H$3&lt;&gt;$D44, MID($C44,H$3,1), INDEX(音調表!$F$3:$F$10, MATCH(TRUE, EXACT(MID($C44,H$3,1), 音調表!$E$3:$E$10),0)))</f>
        <v/>
      </c>
      <c r="I44" s="10" t="str" cm="1">
        <f t="array" ref="I44" xml:space="preserve"> IF(I$3&lt;&gt;$D44, MID($C44,I$3,1), INDEX(音調表!$F$3:$F$10, MATCH(TRUE, EXACT(MID($C44,I$3,1), 音調表!$E$3:$E$10),0)))</f>
        <v/>
      </c>
      <c r="J44" s="10" t="str" cm="1">
        <f t="array" ref="J44" xml:space="preserve"> IF(J$3&lt;&gt;$D44, MID($C44,J$3,1), INDEX(音調表!$F$3:$F$10, MATCH(TRUE, EXACT(MID($C44,J$3,1), 音調表!$E$3:$E$10),0)))</f>
        <v/>
      </c>
      <c r="K44" s="10" t="str" cm="1">
        <f t="array" ref="K44" xml:space="preserve"> IF(K$3&lt;&gt;$D44, MID($C44,K$3,1), INDEX(音調表!$F$3:$F$10, MATCH(TRUE, EXACT(MID($C44,K$3,1), 音調表!$E$3:$E$10),0)))</f>
        <v/>
      </c>
      <c r="L44" s="10" t="str" cm="1">
        <f t="array" ref="L44" xml:space="preserve"> IF(L$3&lt;&gt;$D44, MID($C44,L$3,1), INDEX(音調表!$F$3:$F$10, MATCH(TRUE, EXACT(MID($C44,L$3,1), 音調表!$E$3:$E$10),0)))</f>
        <v/>
      </c>
      <c r="M44" s="11" t="str" cm="1">
        <f t="array" ref="M44" xml:space="preserve"> IF(M$3&lt;&gt;$D44, MID($C44,M$3,1), INDEX(音調表!$F$3:$F$10, MATCH(TRUE, EXACT(MID($C44,M$3,1), 音調表!$E$3:$E$10),0)))</f>
        <v/>
      </c>
      <c r="O44" s="2"/>
      <c r="P44" s="2"/>
    </row>
  </sheetData>
  <mergeCells count="4">
    <mergeCell ref="B2:B3"/>
    <mergeCell ref="C2:C3"/>
    <mergeCell ref="D2:D3"/>
    <mergeCell ref="E2:M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2D0F-230B-483E-99E8-31C20596DE31}">
  <dimension ref="B1:O10"/>
  <sheetViews>
    <sheetView showGridLines="0" workbookViewId="0">
      <selection activeCell="J11" sqref="J11"/>
    </sheetView>
  </sheetViews>
  <sheetFormatPr defaultRowHeight="25.5"/>
  <cols>
    <col min="1" max="1" width="3.375" customWidth="1"/>
    <col min="2" max="2" width="9.875" style="3" customWidth="1"/>
    <col min="3" max="3" width="18.25" style="3" customWidth="1"/>
    <col min="4" max="4" width="22.75" style="3" customWidth="1"/>
    <col min="5" max="5" width="15.375" style="3" customWidth="1"/>
    <col min="6" max="8" width="16.25" style="3" customWidth="1"/>
    <col min="9" max="11" width="16" style="3" customWidth="1"/>
    <col min="12" max="12" width="17.375" style="3" customWidth="1"/>
    <col min="13" max="15" width="17.375" customWidth="1"/>
  </cols>
  <sheetData>
    <row r="1" spans="2:15" ht="26.25" thickBot="1"/>
    <row r="2" spans="2:15" ht="60.75" thickBot="1">
      <c r="B2" s="69" t="s">
        <v>113</v>
      </c>
      <c r="C2" s="69" t="s">
        <v>121</v>
      </c>
      <c r="D2" s="69" t="s">
        <v>271</v>
      </c>
      <c r="E2" s="70" t="s">
        <v>112</v>
      </c>
      <c r="F2" s="70" t="s">
        <v>280</v>
      </c>
      <c r="G2" s="70" t="s">
        <v>282</v>
      </c>
      <c r="H2" s="70" t="s">
        <v>110</v>
      </c>
      <c r="I2" s="70" t="s">
        <v>283</v>
      </c>
      <c r="J2" s="70" t="s">
        <v>111</v>
      </c>
      <c r="K2" s="70" t="s">
        <v>3</v>
      </c>
      <c r="L2" s="69" t="s">
        <v>9</v>
      </c>
      <c r="M2" s="69" t="s">
        <v>10</v>
      </c>
      <c r="N2" s="69" t="s">
        <v>262</v>
      </c>
      <c r="O2" s="70" t="s">
        <v>10</v>
      </c>
    </row>
    <row r="3" spans="2:15" ht="63" thickBot="1">
      <c r="B3" s="50">
        <v>1</v>
      </c>
      <c r="C3" s="51" t="s">
        <v>114</v>
      </c>
      <c r="D3" s="51" t="s">
        <v>11</v>
      </c>
      <c r="E3" s="50">
        <v>1</v>
      </c>
      <c r="F3" s="50">
        <v>1</v>
      </c>
      <c r="G3" s="71"/>
      <c r="H3" s="50" t="s">
        <v>12</v>
      </c>
      <c r="I3" s="71"/>
      <c r="J3" s="57" t="s">
        <v>429</v>
      </c>
      <c r="K3" s="58" t="s">
        <v>13</v>
      </c>
      <c r="L3" s="59" t="s">
        <v>37</v>
      </c>
      <c r="M3" s="59" t="s">
        <v>256</v>
      </c>
      <c r="N3" s="63" t="s">
        <v>263</v>
      </c>
      <c r="O3" s="66" t="s">
        <v>272</v>
      </c>
    </row>
    <row r="4" spans="2:15" ht="44.25" thickBot="1">
      <c r="B4" s="50">
        <v>2</v>
      </c>
      <c r="C4" s="51" t="s">
        <v>115</v>
      </c>
      <c r="D4" s="51" t="s">
        <v>278</v>
      </c>
      <c r="E4" s="50">
        <v>7</v>
      </c>
      <c r="F4" s="50">
        <v>6</v>
      </c>
      <c r="G4" s="72" t="s">
        <v>284</v>
      </c>
      <c r="H4" s="50" t="s">
        <v>29</v>
      </c>
      <c r="I4" s="72" t="s">
        <v>285</v>
      </c>
      <c r="J4" s="50">
        <v>5</v>
      </c>
      <c r="K4" s="60" t="s">
        <v>30</v>
      </c>
      <c r="L4" s="59" t="s">
        <v>42</v>
      </c>
      <c r="M4" s="59" t="s">
        <v>255</v>
      </c>
      <c r="N4" s="64" t="s">
        <v>265</v>
      </c>
      <c r="O4" s="66" t="s">
        <v>273</v>
      </c>
    </row>
    <row r="5" spans="2:15" ht="44.25" thickBot="1">
      <c r="B5" s="50">
        <v>3</v>
      </c>
      <c r="C5" s="51" t="s">
        <v>116</v>
      </c>
      <c r="D5" s="51" t="s">
        <v>17</v>
      </c>
      <c r="E5" s="50">
        <v>3</v>
      </c>
      <c r="F5" s="50">
        <v>5</v>
      </c>
      <c r="G5" s="72" t="s">
        <v>286</v>
      </c>
      <c r="H5" s="50" t="s">
        <v>18</v>
      </c>
      <c r="I5" s="72" t="s">
        <v>287</v>
      </c>
      <c r="J5" s="50">
        <v>3</v>
      </c>
      <c r="K5" s="60" t="s">
        <v>19</v>
      </c>
      <c r="L5" s="59" t="s">
        <v>39</v>
      </c>
      <c r="M5" s="59" t="s">
        <v>257</v>
      </c>
      <c r="N5" s="64" t="s">
        <v>266</v>
      </c>
      <c r="O5" s="66" t="s">
        <v>273</v>
      </c>
    </row>
    <row r="6" spans="2:15" ht="44.25" thickBot="1">
      <c r="B6" s="52">
        <v>4</v>
      </c>
      <c r="C6" s="53" t="s">
        <v>117</v>
      </c>
      <c r="D6" s="53" t="s">
        <v>14</v>
      </c>
      <c r="E6" s="52">
        <v>2</v>
      </c>
      <c r="F6" s="52">
        <v>3</v>
      </c>
      <c r="G6" s="73" t="s">
        <v>288</v>
      </c>
      <c r="H6" s="52" t="s">
        <v>15</v>
      </c>
      <c r="I6" s="72" t="s">
        <v>286</v>
      </c>
      <c r="J6" s="52">
        <v>4</v>
      </c>
      <c r="K6" s="60" t="s">
        <v>16</v>
      </c>
      <c r="L6" s="59" t="s">
        <v>38</v>
      </c>
      <c r="M6" s="59" t="s">
        <v>258</v>
      </c>
      <c r="N6" s="64" t="s">
        <v>267</v>
      </c>
      <c r="O6" s="66" t="s">
        <v>274</v>
      </c>
    </row>
    <row r="7" spans="2:15" ht="44.25" thickBot="1">
      <c r="B7" s="54">
        <v>5</v>
      </c>
      <c r="C7" s="55" t="s">
        <v>117</v>
      </c>
      <c r="D7" s="56" t="s">
        <v>27</v>
      </c>
      <c r="E7" s="12">
        <v>6</v>
      </c>
      <c r="F7" s="12"/>
      <c r="G7" s="74"/>
      <c r="H7" s="12" t="s">
        <v>15</v>
      </c>
      <c r="I7" s="12"/>
      <c r="J7" s="12">
        <v>4</v>
      </c>
      <c r="K7" s="61" t="s">
        <v>28</v>
      </c>
      <c r="L7" s="62" t="s">
        <v>41</v>
      </c>
      <c r="M7" s="62" t="s">
        <v>281</v>
      </c>
      <c r="N7" s="62" t="s">
        <v>264</v>
      </c>
      <c r="O7" s="67" t="s">
        <v>264</v>
      </c>
    </row>
    <row r="8" spans="2:15" ht="44.25" thickBot="1">
      <c r="B8" s="50">
        <v>6</v>
      </c>
      <c r="C8" s="53" t="s">
        <v>118</v>
      </c>
      <c r="D8" s="51" t="s">
        <v>24</v>
      </c>
      <c r="E8" s="50">
        <v>5</v>
      </c>
      <c r="F8" s="50">
        <v>2</v>
      </c>
      <c r="G8" s="72" t="s">
        <v>289</v>
      </c>
      <c r="H8" s="50" t="s">
        <v>25</v>
      </c>
      <c r="I8" s="72" t="s">
        <v>288</v>
      </c>
      <c r="J8" s="50">
        <v>6</v>
      </c>
      <c r="K8" s="60" t="s">
        <v>26</v>
      </c>
      <c r="L8" s="59" t="s">
        <v>40</v>
      </c>
      <c r="M8" s="59" t="s">
        <v>259</v>
      </c>
      <c r="N8" s="65" t="s">
        <v>268</v>
      </c>
      <c r="O8" s="66" t="s">
        <v>275</v>
      </c>
    </row>
    <row r="9" spans="2:15" ht="63" thickBot="1">
      <c r="B9" s="52">
        <v>7</v>
      </c>
      <c r="C9" s="53" t="s">
        <v>119</v>
      </c>
      <c r="D9" s="53" t="s">
        <v>20</v>
      </c>
      <c r="E9" s="52">
        <v>4</v>
      </c>
      <c r="F9" s="52">
        <v>7</v>
      </c>
      <c r="G9" s="71"/>
      <c r="H9" s="52" t="s">
        <v>21</v>
      </c>
      <c r="I9" s="71"/>
      <c r="J9" s="57" t="s">
        <v>430</v>
      </c>
      <c r="K9" s="60" t="s">
        <v>22</v>
      </c>
      <c r="L9" s="59" t="s">
        <v>23</v>
      </c>
      <c r="M9" s="59" t="s">
        <v>260</v>
      </c>
      <c r="N9" s="59" t="s">
        <v>269</v>
      </c>
      <c r="O9" s="66" t="s">
        <v>276</v>
      </c>
    </row>
    <row r="10" spans="2:15" ht="59.25" thickBot="1">
      <c r="B10" s="52">
        <v>8</v>
      </c>
      <c r="C10" s="53" t="s">
        <v>120</v>
      </c>
      <c r="D10" s="53" t="s">
        <v>31</v>
      </c>
      <c r="E10" s="52">
        <v>8</v>
      </c>
      <c r="F10" s="52">
        <v>8</v>
      </c>
      <c r="G10" s="73" t="s">
        <v>290</v>
      </c>
      <c r="H10" s="52" t="s">
        <v>32</v>
      </c>
      <c r="I10" s="52" t="s">
        <v>291</v>
      </c>
      <c r="J10" s="52" t="s">
        <v>431</v>
      </c>
      <c r="K10" s="60" t="s">
        <v>33</v>
      </c>
      <c r="L10" s="59" t="s">
        <v>34</v>
      </c>
      <c r="M10" s="59" t="s">
        <v>261</v>
      </c>
      <c r="N10" s="65" t="s">
        <v>270</v>
      </c>
      <c r="O10" s="68" t="s">
        <v>277</v>
      </c>
    </row>
  </sheetData>
  <sortState xmlns:xlrd2="http://schemas.microsoft.com/office/spreadsheetml/2017/richdata2" ref="B3:J10">
    <sortCondition ref="B3:B10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3595-991C-43DD-BDD8-8A14C5D8B8A4}">
  <dimension ref="B2:P104"/>
  <sheetViews>
    <sheetView showGridLines="0" topLeftCell="A65" zoomScale="90" zoomScaleNormal="90" workbookViewId="0">
      <selection activeCell="F67" sqref="F67"/>
    </sheetView>
  </sheetViews>
  <sheetFormatPr defaultRowHeight="57.75" outlineLevelRow="2" outlineLevelCol="1"/>
  <cols>
    <col min="1" max="1" width="1" style="1" customWidth="1"/>
    <col min="2" max="2" width="9" style="1"/>
    <col min="3" max="3" width="21.125" style="1" customWidth="1"/>
    <col min="4" max="4" width="9" style="1" customWidth="1" outlineLevel="1"/>
    <col min="5" max="13" width="7.875" style="1" customWidth="1"/>
    <col min="14" max="14" width="2.25" style="1" customWidth="1"/>
    <col min="15" max="15" width="23.625" style="83" customWidth="1"/>
    <col min="16" max="16" width="15.75" style="1" bestFit="1" customWidth="1"/>
    <col min="17" max="17" width="14.25" style="1" bestFit="1" customWidth="1"/>
    <col min="18" max="21" width="9" style="1"/>
    <col min="22" max="26" width="11.5" style="1" customWidth="1"/>
    <col min="27" max="16384" width="9" style="1"/>
  </cols>
  <sheetData>
    <row r="2" spans="2:16">
      <c r="B2" s="78" t="s">
        <v>360</v>
      </c>
    </row>
    <row r="4" spans="2:16" outlineLevel="1">
      <c r="B4" s="77" t="s">
        <v>369</v>
      </c>
    </row>
    <row r="5" spans="2:16" outlineLevel="2">
      <c r="B5" s="125" t="s">
        <v>4</v>
      </c>
      <c r="C5" s="126" t="s">
        <v>195</v>
      </c>
      <c r="D5" s="125" t="s">
        <v>8</v>
      </c>
      <c r="E5" s="127" t="s">
        <v>36</v>
      </c>
      <c r="F5" s="128"/>
      <c r="G5" s="128"/>
      <c r="H5" s="128"/>
      <c r="I5" s="128"/>
      <c r="J5" s="128"/>
      <c r="K5" s="128"/>
      <c r="L5" s="128"/>
      <c r="M5" s="129"/>
    </row>
    <row r="6" spans="2:16" s="2" customFormat="1" outlineLevel="2">
      <c r="B6" s="125"/>
      <c r="C6" s="125"/>
      <c r="D6" s="125"/>
      <c r="E6" s="4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6">
        <v>9</v>
      </c>
      <c r="O6" s="83"/>
    </row>
    <row r="7" spans="2:16" outlineLevel="2">
      <c r="B7" s="7" t="s">
        <v>370</v>
      </c>
      <c r="C7" s="80" t="s">
        <v>374</v>
      </c>
      <c r="D7" s="9">
        <f t="shared" ref="D7:D12" si="0">IF( LEN(C7)&gt;0, LEN(C7), "")</f>
        <v>2</v>
      </c>
      <c r="E7" s="75" t="str" cm="1">
        <f t="array" ref="E7">IF(E$31&gt;($D7+1),"",IF(E$31=($D7+1), _xlfn.IFNA(INDEX(音調表!$J$3:$J$10, MATCH(TRUE, EXACT(MID($C7,E$31,1), 音調表!$I$3:$I$10),0)),""),MID($C7,E$31,1)))</f>
        <v>ㄅ</v>
      </c>
      <c r="F7" s="75" t="str" cm="1">
        <f t="array" ref="F7">IF(F$31&gt;($D7+1),"",IF(F$31=($D7+1), _xlfn.IFNA(INDEX(音調表!$J$3:$J$10, MATCH(TRUE, EXACT(MID($C7,F$31,1), 音調表!$I$3:$I$10),0)),""),MID($C7,F$31,1)))</f>
        <v>ㄤ</v>
      </c>
      <c r="G7" s="75" t="str" cm="1">
        <f t="array" ref="G7">IF(G$31&gt;($D7+1),"",IF(G$31=($D7+1), _xlfn.IFNA(INDEX(音調表!$J$3:$J$10, MATCH(TRUE, EXACT(MID($C7,G$31,1), 音調表!$I$3:$I$10),0)),""),MID($C7,G$31,1)))</f>
        <v>"</v>
      </c>
      <c r="H7" s="75" t="str" cm="1">
        <f t="array" ref="H7">IF(H$31&gt;($D7+1),"",IF(H$31=($D7+1), _xlfn.IFNA(INDEX(音調表!$J$3:$J$10, MATCH(TRUE, EXACT(MID($C7,H$31,1), 音調表!$I$3:$I$10),0)),""),MID($C7,H$31,1)))</f>
        <v/>
      </c>
      <c r="I7" s="75" t="str" cm="1">
        <f t="array" ref="I7">IF(I$31&gt;($D7+1),"",IF(I$31=($D7+1), _xlfn.IFNA(INDEX(音調表!$J$3:$J$10, MATCH(TRUE, EXACT(MID($C7,I$31,1), 音調表!$I$3:$I$10),0)),""),MID($C7,I$31,1)))</f>
        <v/>
      </c>
      <c r="J7" s="75" t="str" cm="1">
        <f t="array" ref="J7">IF(J$31&gt;($D7+1),"",IF(J$31=($D7+1), _xlfn.IFNA(INDEX(音調表!$J$3:$J$10, MATCH(TRUE, EXACT(MID($C7,J$31,1), 音調表!$I$3:$I$10),0)),""),MID($C7,J$31,1)))</f>
        <v/>
      </c>
      <c r="K7" s="75" t="str" cm="1">
        <f t="array" ref="K7">IF(K$31&gt;($D7+1),"",IF(K$31=($D7+1), _xlfn.IFNA(INDEX(音調表!$J$3:$J$10, MATCH(TRUE, EXACT(MID($C7,K$31,1), 音調表!$I$3:$I$10),0)),""),MID($C7,K$31,1)))</f>
        <v/>
      </c>
      <c r="L7" s="75" t="str" cm="1">
        <f t="array" ref="L7">IF(L$31&gt;($D7+1),"",IF(L$31=($D7+1), _xlfn.IFNA(INDEX(音調表!$J$3:$J$10, MATCH(TRUE, EXACT(MID($C7,L$31,1), 音調表!$I$3:$I$10),0)),""),MID($C7,L$31,1)))</f>
        <v/>
      </c>
      <c r="M7" s="76" t="str" cm="1">
        <f t="array" ref="M7">IF(M$31&gt;($D7+1),"",IF(M$31=($D7+1), _xlfn.IFNA(INDEX(音調表!$J$3:$J$10, MATCH(TRUE, EXACT(MID($C7,M$31,1), 音調表!$I$3:$I$10),0)),""),MID($C7,M$31,1)))</f>
        <v/>
      </c>
      <c r="P7" s="2"/>
    </row>
    <row r="8" spans="2:16" outlineLevel="2">
      <c r="B8" s="7" t="s">
        <v>373</v>
      </c>
      <c r="C8" s="80" t="s">
        <v>377</v>
      </c>
      <c r="D8" s="9">
        <f t="shared" si="0"/>
        <v>3</v>
      </c>
      <c r="E8" s="75" t="str" cm="1">
        <f t="array" ref="E8">IF(E$31&gt;($D8+1),"",IF(E$31=($D8+1), _xlfn.IFNA(INDEX(音調表!$J$3:$J$10, MATCH(TRUE, EXACT(MID($C8,E$31,1), 音調表!$I$3:$I$10),0)),""),MID($C8,E$31,1)))</f>
        <v>ㆠ</v>
      </c>
      <c r="F8" s="75" t="str" cm="1">
        <f t="array" ref="F8">IF(F$31&gt;($D8+1),"",IF(F$31=($D8+1), _xlfn.IFNA(INDEX(音調表!$J$3:$J$10, MATCH(TRUE, EXACT(MID($C8,F$31,1), 音調表!$I$3:$I$10),0)),""),MID($C8,F$31,1)))</f>
        <v>ㄧ</v>
      </c>
      <c r="G8" s="75" t="str" cm="1">
        <f t="array" ref="G8">IF(G$31&gt;($D8+1),"",IF(G$31=($D8+1), _xlfn.IFNA(INDEX(音調表!$J$3:$J$10, MATCH(TRUE, EXACT(MID($C8,G$31,1), 音調表!$I$3:$I$10),0)),""),MID($C8,G$31,1)))</f>
        <v>ˋ</v>
      </c>
      <c r="H8" s="75" t="str" cm="1">
        <f t="array" ref="H8">IF(H$31&gt;($D8+1),"",IF(H$31=($D8+1), _xlfn.IFNA(INDEX(音調表!$J$3:$J$10, MATCH(TRUE, EXACT(MID($C8,H$31,1), 音調表!$I$3:$I$10),0)),""),MID($C8,H$31,1)))</f>
        <v>"</v>
      </c>
      <c r="I8" s="75" t="str" cm="1">
        <f t="array" ref="I8">IF(I$31&gt;($D8+1),"",IF(I$31=($D8+1), _xlfn.IFNA(INDEX(音調表!$J$3:$J$10, MATCH(TRUE, EXACT(MID($C8,I$31,1), 音調表!$I$3:$I$10),0)),""),MID($C8,I$31,1)))</f>
        <v/>
      </c>
      <c r="J8" s="75" t="str" cm="1">
        <f t="array" ref="J8">IF(J$31&gt;($D8+1),"",IF(J$31=($D8+1), _xlfn.IFNA(INDEX(音調表!$J$3:$J$10, MATCH(TRUE, EXACT(MID($C8,J$31,1), 音調表!$I$3:$I$10),0)),""),MID($C8,J$31,1)))</f>
        <v/>
      </c>
      <c r="K8" s="75" t="str" cm="1">
        <f t="array" ref="K8">IF(K$31&gt;($D8+1),"",IF(K$31=($D8+1), _xlfn.IFNA(INDEX(音調表!$J$3:$J$10, MATCH(TRUE, EXACT(MID($C8,K$31,1), 音調表!$I$3:$I$10),0)),""),MID($C8,K$31,1)))</f>
        <v/>
      </c>
      <c r="L8" s="75" t="str" cm="1">
        <f t="array" ref="L8">IF(L$31&gt;($D8+1),"",IF(L$31=($D8+1), _xlfn.IFNA(INDEX(音調表!$J$3:$J$10, MATCH(TRUE, EXACT(MID($C8,L$31,1), 音調表!$I$3:$I$10),0)),""),MID($C8,L$31,1)))</f>
        <v/>
      </c>
      <c r="M8" s="76" t="str" cm="1">
        <f t="array" ref="M8">IF(M$31&gt;($D8+1),"",IF(M$31=($D8+1), _xlfn.IFNA(INDEX(音調表!$J$3:$J$10, MATCH(TRUE, EXACT(MID($C8,M$31,1), 音調表!$I$3:$I$10),0)),""),MID($C8,M$31,1)))</f>
        <v/>
      </c>
    </row>
    <row r="9" spans="2:16" outlineLevel="2">
      <c r="B9" s="7" t="s">
        <v>371</v>
      </c>
      <c r="C9" s="80" t="s">
        <v>375</v>
      </c>
      <c r="D9" s="9">
        <f t="shared" si="0"/>
        <v>3</v>
      </c>
      <c r="E9" s="75" t="str" cm="1">
        <f t="array" ref="E9">IF(E$31&gt;($D9+1),"",IF(E$31=($D9+1), _xlfn.IFNA(INDEX(音調表!$J$3:$J$10, MATCH(TRUE, EXACT(MID($C9,E$31,1), 音調表!$I$3:$I$10),0)),""),MID($C9,E$31,1)))</f>
        <v>ㄍ</v>
      </c>
      <c r="F9" s="75" t="str" cm="1">
        <f t="array" ref="F9">IF(F$31&gt;($D9+1),"",IF(F$31=($D9+1), _xlfn.IFNA(INDEX(音調表!$J$3:$J$10, MATCH(TRUE, EXACT(MID($C9,F$31,1), 音調表!$I$3:$I$10),0)),""),MID($C9,F$31,1)))</f>
        <v>ㆪ</v>
      </c>
      <c r="G9" s="75" t="str" cm="1">
        <f t="array" ref="G9">IF(G$31&gt;($D9+1),"",IF(G$31=($D9+1), _xlfn.IFNA(INDEX(音調表!$J$3:$J$10, MATCH(TRUE, EXACT(MID($C9,G$31,1), 音調表!$I$3:$I$10),0)),""),MID($C9,G$31,1)))</f>
        <v>˪</v>
      </c>
      <c r="H9" s="75" t="str" cm="1">
        <f t="array" ref="H9">IF(H$31&gt;($D9+1),"",IF(H$31=($D9+1), _xlfn.IFNA(INDEX(音調表!$J$3:$J$10, MATCH(TRUE, EXACT(MID($C9,H$31,1), 音調表!$I$3:$I$10),0)),""),MID($C9,H$31,1)))</f>
        <v>"</v>
      </c>
      <c r="I9" s="75" t="str" cm="1">
        <f t="array" ref="I9">IF(I$31&gt;($D9+1),"",IF(I$31=($D9+1), _xlfn.IFNA(INDEX(音調表!$J$3:$J$10, MATCH(TRUE, EXACT(MID($C9,I$31,1), 音調表!$I$3:$I$10),0)),""),MID($C9,I$31,1)))</f>
        <v/>
      </c>
      <c r="J9" s="75" t="str" cm="1">
        <f t="array" ref="J9">IF(J$31&gt;($D9+1),"",IF(J$31=($D9+1), _xlfn.IFNA(INDEX(音調表!$J$3:$J$10, MATCH(TRUE, EXACT(MID($C9,J$31,1), 音調表!$I$3:$I$10),0)),""),MID($C9,J$31,1)))</f>
        <v/>
      </c>
      <c r="K9" s="75" t="str" cm="1">
        <f t="array" ref="K9">IF(K$31&gt;($D9+1),"",IF(K$31=($D9+1), _xlfn.IFNA(INDEX(音調表!$J$3:$J$10, MATCH(TRUE, EXACT(MID($C9,K$31,1), 音調表!$I$3:$I$10),0)),""),MID($C9,K$31,1)))</f>
        <v/>
      </c>
      <c r="L9" s="75" t="str" cm="1">
        <f t="array" ref="L9">IF(L$31&gt;($D9+1),"",IF(L$31=($D9+1), _xlfn.IFNA(INDEX(音調表!$J$3:$J$10, MATCH(TRUE, EXACT(MID($C9,L$31,1), 音調表!$I$3:$I$10),0)),""),MID($C9,L$31,1)))</f>
        <v/>
      </c>
      <c r="M9" s="76" t="str" cm="1">
        <f t="array" ref="M9">IF(M$31&gt;($D9+1),"",IF(M$31=($D9+1), _xlfn.IFNA(INDEX(音調表!$J$3:$J$10, MATCH(TRUE, EXACT(MID($C9,M$31,1), 音調表!$I$3:$I$10),0)),""),MID($C9,M$31,1)))</f>
        <v/>
      </c>
      <c r="P9" s="2"/>
    </row>
    <row r="10" spans="2:16" outlineLevel="2">
      <c r="B10" s="7" t="s">
        <v>372</v>
      </c>
      <c r="C10" s="80" t="s">
        <v>378</v>
      </c>
      <c r="D10" s="9">
        <f t="shared" si="0"/>
        <v>3</v>
      </c>
      <c r="E10" s="75" t="str" cm="1">
        <f t="array" ref="E10">IF(E$31&gt;($D10+1),"",IF(E$31=($D10+1), _xlfn.IFNA(INDEX(音調表!$J$3:$J$10, MATCH(TRUE, EXACT(MID($C10,E$31,1), 音調表!$I$3:$I$10),0)),""),MID($C10,E$31,1)))</f>
        <v>ㆣ</v>
      </c>
      <c r="F10" s="75" t="str" cm="1">
        <f t="array" ref="F10">IF(F$31&gt;($D10+1),"",IF(F$31=($D10+1), _xlfn.IFNA(INDEX(音調表!$J$3:$J$10, MATCH(TRUE, EXACT(MID($C10,F$31,1), 音調表!$I$3:$I$10),0)),""),MID($C10,F$31,1)))</f>
        <v>ㄧ</v>
      </c>
      <c r="G10" s="75" t="str" cm="1">
        <f t="array" ref="G10">IF(G$31&gt;($D10+1),"",IF(G$31=($D10+1), _xlfn.IFNA(INDEX(音調表!$J$3:$J$10, MATCH(TRUE, EXACT(MID($C10,G$31,1), 音調表!$I$3:$I$10),0)),""),MID($C10,G$31,1)))</f>
        <v>ˊ</v>
      </c>
      <c r="H10" s="75" t="str" cm="1">
        <f t="array" ref="H10">IF(H$31&gt;($D10+1),"",IF(H$31=($D10+1), _xlfn.IFNA(INDEX(音調表!$J$3:$J$10, MATCH(TRUE, EXACT(MID($C10,H$31,1), 音調表!$I$3:$I$10),0)),""),MID($C10,H$31,1)))</f>
        <v>"</v>
      </c>
      <c r="I10" s="75" t="str" cm="1">
        <f t="array" ref="I10">IF(I$31&gt;($D10+1),"",IF(I$31=($D10+1), _xlfn.IFNA(INDEX(音調表!$J$3:$J$10, MATCH(TRUE, EXACT(MID($C10,I$31,1), 音調表!$I$3:$I$10),0)),""),MID($C10,I$31,1)))</f>
        <v/>
      </c>
      <c r="J10" s="75" t="str" cm="1">
        <f t="array" ref="J10">IF(J$31&gt;($D10+1),"",IF(J$31=($D10+1), _xlfn.IFNA(INDEX(音調表!$J$3:$J$10, MATCH(TRUE, EXACT(MID($C10,J$31,1), 音調表!$I$3:$I$10),0)),""),MID($C10,J$31,1)))</f>
        <v/>
      </c>
      <c r="K10" s="75" t="str" cm="1">
        <f t="array" ref="K10">IF(K$31&gt;($D10+1),"",IF(K$31=($D10+1), _xlfn.IFNA(INDEX(音調表!$J$3:$J$10, MATCH(TRUE, EXACT(MID($C10,K$31,1), 音調表!$I$3:$I$10),0)),""),MID($C10,K$31,1)))</f>
        <v/>
      </c>
      <c r="L10" s="75" t="str" cm="1">
        <f t="array" ref="L10">IF(L$31&gt;($D10+1),"",IF(L$31=($D10+1), _xlfn.IFNA(INDEX(音調表!$J$3:$J$10, MATCH(TRUE, EXACT(MID($C10,L$31,1), 音調表!$I$3:$I$10),0)),""),MID($C10,L$31,1)))</f>
        <v/>
      </c>
      <c r="M10" s="76" t="str" cm="1">
        <f t="array" ref="M10">IF(M$31&gt;($D10+1),"",IF(M$31=($D10+1), _xlfn.IFNA(INDEX(音調表!$J$3:$J$10, MATCH(TRUE, EXACT(MID($C10,M$31,1), 音調表!$I$3:$I$10),0)),""),MID($C10,M$31,1)))</f>
        <v/>
      </c>
    </row>
    <row r="11" spans="2:16" outlineLevel="2">
      <c r="B11" s="7" t="s">
        <v>362</v>
      </c>
      <c r="C11" s="80" t="s">
        <v>376</v>
      </c>
      <c r="D11" s="9">
        <f t="shared" si="0"/>
        <v>2</v>
      </c>
      <c r="E11" s="75" t="str" cm="1">
        <f t="array" ref="E11">IF(E$31&gt;($D11+1),"",IF(E$31=($D11+1), _xlfn.IFNA(INDEX(音調表!$J$3:$J$10, MATCH(TRUE, EXACT(MID($C11,E$31,1), 音調表!$I$3:$I$10),0)),""),MID($C11,E$31,1)))</f>
        <v>ㄗ</v>
      </c>
      <c r="F11" s="75" t="str" cm="1">
        <f t="array" ref="F11">IF(F$31&gt;($D11+1),"",IF(F$31=($D11+1), _xlfn.IFNA(INDEX(音調表!$J$3:$J$10, MATCH(TRUE, EXACT(MID($C11,F$31,1), 音調表!$I$3:$I$10),0)),""),MID($C11,F$31,1)))</f>
        <v>ㆭ</v>
      </c>
      <c r="G11" s="75" t="str" cm="1">
        <f t="array" ref="G11">IF(G$31&gt;($D11+1),"",IF(G$31=($D11+1), _xlfn.IFNA(INDEX(音調表!$J$3:$J$10, MATCH(TRUE, EXACT(MID($C11,G$31,1), 音調表!$I$3:$I$10),0)),""),MID($C11,G$31,1)))</f>
        <v>"</v>
      </c>
      <c r="H11" s="75" t="str" cm="1">
        <f t="array" ref="H11">IF(H$31&gt;($D11+1),"",IF(H$31=($D11+1), _xlfn.IFNA(INDEX(音調表!$J$3:$J$10, MATCH(TRUE, EXACT(MID($C11,H$31,1), 音調表!$I$3:$I$10),0)),""),MID($C11,H$31,1)))</f>
        <v/>
      </c>
      <c r="I11" s="75" t="str" cm="1">
        <f t="array" ref="I11">IF(I$31&gt;($D11+1),"",IF(I$31=($D11+1), _xlfn.IFNA(INDEX(音調表!$J$3:$J$10, MATCH(TRUE, EXACT(MID($C11,I$31,1), 音調表!$I$3:$I$10),0)),""),MID($C11,I$31,1)))</f>
        <v/>
      </c>
      <c r="J11" s="75" t="str" cm="1">
        <f t="array" ref="J11">IF(J$31&gt;($D11+1),"",IF(J$31=($D11+1), _xlfn.IFNA(INDEX(音調表!$J$3:$J$10, MATCH(TRUE, EXACT(MID($C11,J$31,1), 音調表!$I$3:$I$10),0)),""),MID($C11,J$31,1)))</f>
        <v/>
      </c>
      <c r="K11" s="75" t="str" cm="1">
        <f t="array" ref="K11">IF(K$31&gt;($D11+1),"",IF(K$31=($D11+1), _xlfn.IFNA(INDEX(音調表!$J$3:$J$10, MATCH(TRUE, EXACT(MID($C11,K$31,1), 音調表!$I$3:$I$10),0)),""),MID($C11,K$31,1)))</f>
        <v/>
      </c>
      <c r="L11" s="75" t="str" cm="1">
        <f t="array" ref="L11">IF(L$31&gt;($D11+1),"",IF(L$31=($D11+1), _xlfn.IFNA(INDEX(音調表!$J$3:$J$10, MATCH(TRUE, EXACT(MID($C11,L$31,1), 音調表!$I$3:$I$10),0)),""),MID($C11,L$31,1)))</f>
        <v/>
      </c>
      <c r="M11" s="76" t="str" cm="1">
        <f t="array" ref="M11">IF(M$31&gt;($D11+1),"",IF(M$31=($D11+1), _xlfn.IFNA(INDEX(音調表!$J$3:$J$10, MATCH(TRUE, EXACT(MID($C11,M$31,1), 音調表!$I$3:$I$10),0)),""),MID($C11,M$31,1)))</f>
        <v/>
      </c>
    </row>
    <row r="12" spans="2:16" outlineLevel="2">
      <c r="B12" s="7" t="s">
        <v>361</v>
      </c>
      <c r="C12" s="80" t="s">
        <v>379</v>
      </c>
      <c r="D12" s="9">
        <f t="shared" si="0"/>
        <v>5</v>
      </c>
      <c r="E12" s="75" t="str" cm="1">
        <f t="array" ref="E12">IF(E$31&gt;($D12+1),"",IF(E$31=($D12+1), _xlfn.IFNA(INDEX(音調表!$J$3:$J$10, MATCH(TRUE, EXACT(MID($C12,E$31,1), 音調表!$I$3:$I$10),0)),""),MID($C12,E$31,1)))</f>
        <v>ㆡ</v>
      </c>
      <c r="F12" s="75" t="str" cm="1">
        <f t="array" ref="F12">IF(F$31&gt;($D12+1),"",IF(F$31=($D12+1), _xlfn.IFNA(INDEX(音調表!$J$3:$J$10, MATCH(TRUE, EXACT(MID($C12,F$31,1), 音調表!$I$3:$I$10),0)),""),MID($C12,F$31,1)))</f>
        <v>ㄨ</v>
      </c>
      <c r="G12" s="75" t="str" cm="1">
        <f t="array" ref="G12">IF(G$31&gt;($D12+1),"",IF(G$31=($D12+1), _xlfn.IFNA(INDEX(音調表!$J$3:$J$10, MATCH(TRUE, EXACT(MID($C12,G$31,1), 音調表!$I$3:$I$10),0)),""),MID($C12,G$31,1)))</f>
        <v>ㄚ</v>
      </c>
      <c r="H12" s="75" t="str" cm="1">
        <f t="array" ref="H12">IF(H$31&gt;($D12+1),"",IF(H$31=($D12+1), _xlfn.IFNA(INDEX(音調表!$J$3:$J$10, MATCH(TRUE, EXACT(MID($C12,H$31,1), 音調表!$I$3:$I$10),0)),""),MID($C12,H$31,1)))</f>
        <v>ㆷ</v>
      </c>
      <c r="I12" s="75" t="str" cm="1">
        <f t="array" ref="I12">IF(I$31&gt;($D12+1),"",IF(I$31=($D12+1), _xlfn.IFNA(INDEX(音調表!$J$3:$J$10, MATCH(TRUE, EXACT(MID($C12,I$31,1), 音調表!$I$3:$I$10),0)),""),MID($C12,I$31,1)))</f>
        <v>˙</v>
      </c>
      <c r="J12" s="75" t="str" cm="1">
        <f t="array" ref="J12">IF(J$31&gt;($D12+1),"",IF(J$31=($D12+1), _xlfn.IFNA(INDEX(音調表!$J$3:$J$10, MATCH(TRUE, EXACT(MID($C12,J$31,1), 音調表!$I$3:$I$10),0)),""),MID($C12,J$31,1)))</f>
        <v>"</v>
      </c>
      <c r="K12" s="75" t="str" cm="1">
        <f t="array" ref="K12">IF(K$31&gt;($D12+1),"",IF(K$31=($D12+1), _xlfn.IFNA(INDEX(音調表!$J$3:$J$10, MATCH(TRUE, EXACT(MID($C12,K$31,1), 音調表!$I$3:$I$10),0)),""),MID($C12,K$31,1)))</f>
        <v/>
      </c>
      <c r="L12" s="75" t="str" cm="1">
        <f t="array" ref="L12">IF(L$31&gt;($D12+1),"",IF(L$31=($D12+1), _xlfn.IFNA(INDEX(音調表!$J$3:$J$10, MATCH(TRUE, EXACT(MID($C12,L$31,1), 音調表!$I$3:$I$10),0)),""),MID($C12,L$31,1)))</f>
        <v/>
      </c>
      <c r="M12" s="76" t="str" cm="1">
        <f t="array" ref="M12">IF(M$31&gt;($D12+1),"",IF(M$31=($D12+1), _xlfn.IFNA(INDEX(音調表!$J$3:$J$10, MATCH(TRUE, EXACT(MID($C12,M$31,1), 音調表!$I$3:$I$10),0)),""),MID($C12,M$31,1)))</f>
        <v/>
      </c>
    </row>
    <row r="13" spans="2:16" outlineLevel="1"/>
    <row r="14" spans="2:16" outlineLevel="1">
      <c r="B14" s="81" t="s">
        <v>380</v>
      </c>
    </row>
    <row r="15" spans="2:16" outlineLevel="1">
      <c r="B15" s="77" t="s">
        <v>391</v>
      </c>
    </row>
    <row r="16" spans="2:16" hidden="1" outlineLevel="2">
      <c r="B16" s="125" t="s">
        <v>4</v>
      </c>
      <c r="C16" s="126" t="s">
        <v>195</v>
      </c>
      <c r="D16" s="125" t="s">
        <v>8</v>
      </c>
      <c r="E16" s="127" t="s">
        <v>36</v>
      </c>
      <c r="F16" s="128"/>
      <c r="G16" s="128"/>
      <c r="H16" s="128"/>
      <c r="I16" s="128"/>
      <c r="J16" s="128"/>
      <c r="K16" s="128"/>
      <c r="L16" s="128"/>
      <c r="M16" s="129"/>
    </row>
    <row r="17" spans="2:16" s="2" customFormat="1" hidden="1" outlineLevel="2">
      <c r="B17" s="125"/>
      <c r="C17" s="125"/>
      <c r="D17" s="125"/>
      <c r="E17" s="4">
        <v>1</v>
      </c>
      <c r="F17" s="5">
        <v>2</v>
      </c>
      <c r="G17" s="5">
        <v>3</v>
      </c>
      <c r="H17" s="5">
        <v>4</v>
      </c>
      <c r="I17" s="5">
        <v>5</v>
      </c>
      <c r="J17" s="5">
        <v>6</v>
      </c>
      <c r="K17" s="5">
        <v>7</v>
      </c>
      <c r="L17" s="5">
        <v>8</v>
      </c>
      <c r="M17" s="6">
        <v>9</v>
      </c>
      <c r="O17" s="83"/>
    </row>
    <row r="18" spans="2:16" hidden="1" outlineLevel="2">
      <c r="B18" s="7" t="s">
        <v>362</v>
      </c>
      <c r="C18" s="80" t="s">
        <v>381</v>
      </c>
      <c r="D18" s="9">
        <f t="shared" ref="D18:D25" si="1">IF( LEN(C18)&gt;0, LEN(C18), "")</f>
        <v>2</v>
      </c>
      <c r="E18" s="75" t="str" cm="1">
        <f t="array" ref="E18">IF(E$31&gt;($D18+1),"",IF(E$31=($D18+1), _xlfn.IFNA(INDEX(音調表!$J$3:$J$10, MATCH(TRUE, EXACT(MID($C18,E$31,1), 音調表!$I$3:$I$10),0)),""),MID($C18,E$31,1)))</f>
        <v>ㄗ</v>
      </c>
      <c r="F18" s="75" t="str" cm="1">
        <f t="array" ref="F18">IF(F$31&gt;($D18+1),"",IF(F$31=($D18+1), _xlfn.IFNA(INDEX(音調表!$J$3:$J$10, MATCH(TRUE, EXACT(MID($C18,F$31,1), 音調表!$I$3:$I$10),0)),""),MID($C18,F$31,1)))</f>
        <v>ㆭ</v>
      </c>
      <c r="G18" s="75" t="str" cm="1">
        <f t="array" ref="G18">IF(G$31&gt;($D18+1),"",IF(G$31=($D18+1), _xlfn.IFNA(INDEX(音調表!$J$3:$J$10, MATCH(TRUE, EXACT(MID($C18,G$31,1), 音調表!$I$3:$I$10),0)),""),MID($C18,G$31,1)))</f>
        <v>"</v>
      </c>
      <c r="H18" s="75" t="str" cm="1">
        <f t="array" ref="H18">IF(H$31&gt;($D18+1),"",IF(H$31=($D18+1), _xlfn.IFNA(INDEX(音調表!$J$3:$J$10, MATCH(TRUE, EXACT(MID($C18,H$31,1), 音調表!$I$3:$I$10),0)),""),MID($C18,H$31,1)))</f>
        <v/>
      </c>
      <c r="I18" s="75" t="str" cm="1">
        <f t="array" ref="I18">IF(I$31&gt;($D18+1),"",IF(I$31=($D18+1), _xlfn.IFNA(INDEX(音調表!$J$3:$J$10, MATCH(TRUE, EXACT(MID($C18,I$31,1), 音調表!$I$3:$I$10),0)),""),MID($C18,I$31,1)))</f>
        <v/>
      </c>
      <c r="J18" s="75" t="str" cm="1">
        <f t="array" ref="J18">IF(J$31&gt;($D18+1),"",IF(J$31=($D18+1), _xlfn.IFNA(INDEX(音調表!$J$3:$J$10, MATCH(TRUE, EXACT(MID($C18,J$31,1), 音調表!$I$3:$I$10),0)),""),MID($C18,J$31,1)))</f>
        <v/>
      </c>
      <c r="K18" s="75" t="str" cm="1">
        <f t="array" ref="K18">IF(K$31&gt;($D18+1),"",IF(K$31=($D18+1), _xlfn.IFNA(INDEX(音調表!$J$3:$J$10, MATCH(TRUE, EXACT(MID($C18,K$31,1), 音調表!$I$3:$I$10),0)),""),MID($C18,K$31,1)))</f>
        <v/>
      </c>
      <c r="L18" s="75" t="str" cm="1">
        <f t="array" ref="L18">IF(L$31&gt;($D18+1),"",IF(L$31=($D18+1), _xlfn.IFNA(INDEX(音調表!$J$3:$J$10, MATCH(TRUE, EXACT(MID($C18,L$31,1), 音調表!$I$3:$I$10),0)),""),MID($C18,L$31,1)))</f>
        <v/>
      </c>
      <c r="M18" s="76" t="str" cm="1">
        <f t="array" ref="M18">IF(M$31&gt;($D18+1),"",IF(M$31=($D18+1), _xlfn.IFNA(INDEX(音調表!$J$3:$J$10, MATCH(TRUE, EXACT(MID($C18,M$31,1), 音調表!$I$3:$I$10),0)),""),MID($C18,M$31,1)))</f>
        <v/>
      </c>
    </row>
    <row r="19" spans="2:16" hidden="1" outlineLevel="2">
      <c r="B19" s="7" t="s">
        <v>365</v>
      </c>
      <c r="C19" s="80" t="s">
        <v>385</v>
      </c>
      <c r="D19" s="9">
        <f t="shared" si="1"/>
        <v>3</v>
      </c>
      <c r="E19" s="75" t="str" cm="1">
        <f t="array" ref="E19">IF(E$31&gt;($D19+1),"",IF(E$31=($D19+1), _xlfn.IFNA(INDEX(音調表!$J$3:$J$10, MATCH(TRUE, EXACT(MID($C19,E$31,1), 音調表!$I$3:$I$10),0)),""),MID($C19,E$31,1)))</f>
        <v>ㄐ</v>
      </c>
      <c r="F19" s="75" t="str" cm="1">
        <f t="array" ref="F19">IF(F$31&gt;($D19+1),"",IF(F$31=($D19+1), _xlfn.IFNA(INDEX(音調表!$J$3:$J$10, MATCH(TRUE, EXACT(MID($C19,F$31,1), 音調表!$I$3:$I$10),0)),""),MID($C19,F$31,1)))</f>
        <v>ㄧ</v>
      </c>
      <c r="G19" s="75" t="str" cm="1">
        <f t="array" ref="G19">IF(G$31&gt;($D19+1),"",IF(G$31=($D19+1), _xlfn.IFNA(INDEX(音調表!$J$3:$J$10, MATCH(TRUE, EXACT(MID($C19,G$31,1), 音調表!$I$3:$I$10),0)),""),MID($C19,G$31,1)))</f>
        <v>ㄥ</v>
      </c>
      <c r="H19" s="75" t="str" cm="1">
        <f t="array" ref="H19">IF(H$31&gt;($D19+1),"",IF(H$31=($D19+1), _xlfn.IFNA(INDEX(音調表!$J$3:$J$10, MATCH(TRUE, EXACT(MID($C19,H$31,1), 音調表!$I$3:$I$10),0)),""),MID($C19,H$31,1)))</f>
        <v>"</v>
      </c>
      <c r="I19" s="75" t="str" cm="1">
        <f t="array" ref="I19">IF(I$31&gt;($D19+1),"",IF(I$31=($D19+1), _xlfn.IFNA(INDEX(音調表!$J$3:$J$10, MATCH(TRUE, EXACT(MID($C19,I$31,1), 音調表!$I$3:$I$10),0)),""),MID($C19,I$31,1)))</f>
        <v/>
      </c>
      <c r="J19" s="75" t="str" cm="1">
        <f t="array" ref="J19">IF(J$31&gt;($D19+1),"",IF(J$31=($D19+1), _xlfn.IFNA(INDEX(音調表!$J$3:$J$10, MATCH(TRUE, EXACT(MID($C19,J$31,1), 音調表!$I$3:$I$10),0)),""),MID($C19,J$31,1)))</f>
        <v/>
      </c>
      <c r="K19" s="75" t="str" cm="1">
        <f t="array" ref="K19">IF(K$31&gt;($D19+1),"",IF(K$31=($D19+1), _xlfn.IFNA(INDEX(音調表!$J$3:$J$10, MATCH(TRUE, EXACT(MID($C19,K$31,1), 音調表!$I$3:$I$10),0)),""),MID($C19,K$31,1)))</f>
        <v/>
      </c>
      <c r="L19" s="75" t="str" cm="1">
        <f t="array" ref="L19">IF(L$31&gt;($D19+1),"",IF(L$31=($D19+1), _xlfn.IFNA(INDEX(音調表!$J$3:$J$10, MATCH(TRUE, EXACT(MID($C19,L$31,1), 音調表!$I$3:$I$10),0)),""),MID($C19,L$31,1)))</f>
        <v/>
      </c>
      <c r="M19" s="76" t="str" cm="1">
        <f t="array" ref="M19">IF(M$31&gt;($D19+1),"",IF(M$31=($D19+1), _xlfn.IFNA(INDEX(音調表!$J$3:$J$10, MATCH(TRUE, EXACT(MID($C19,M$31,1), 音調表!$I$3:$I$10),0)),""),MID($C19,M$31,1)))</f>
        <v/>
      </c>
    </row>
    <row r="20" spans="2:16" hidden="1" outlineLevel="2">
      <c r="B20" s="7" t="s">
        <v>363</v>
      </c>
      <c r="C20" s="80" t="s">
        <v>382</v>
      </c>
      <c r="D20" s="9">
        <f t="shared" si="1"/>
        <v>2</v>
      </c>
      <c r="E20" s="75" t="str" cm="1">
        <f t="array" ref="E20">IF(E$31&gt;($D20+1),"",IF(E$31=($D20+1), _xlfn.IFNA(INDEX(音調表!$J$3:$J$10, MATCH(TRUE, EXACT(MID($C20,E$31,1), 音調表!$I$3:$I$10),0)),""),MID($C20,E$31,1)))</f>
        <v>ㄘ</v>
      </c>
      <c r="F20" s="75" t="str" cm="1">
        <f t="array" ref="F20">IF(F$31&gt;($D20+1),"",IF(F$31=($D20+1), _xlfn.IFNA(INDEX(音調表!$J$3:$J$10, MATCH(TRUE, EXACT(MID($C20,F$31,1), 音調表!$I$3:$I$10),0)),""),MID($C20,F$31,1)))</f>
        <v>ㆦ</v>
      </c>
      <c r="G20" s="75" t="str" cm="1">
        <f t="array" ref="G20">IF(G$31&gt;($D20+1),"",IF(G$31=($D20+1), _xlfn.IFNA(INDEX(音調表!$J$3:$J$10, MATCH(TRUE, EXACT(MID($C20,G$31,1), 音調表!$I$3:$I$10),0)),""),MID($C20,G$31,1)))</f>
        <v>"</v>
      </c>
      <c r="H20" s="75" t="str" cm="1">
        <f t="array" ref="H20">IF(H$31&gt;($D20+1),"",IF(H$31=($D20+1), _xlfn.IFNA(INDEX(音調表!$J$3:$J$10, MATCH(TRUE, EXACT(MID($C20,H$31,1), 音調表!$I$3:$I$10),0)),""),MID($C20,H$31,1)))</f>
        <v/>
      </c>
      <c r="I20" s="75" t="str" cm="1">
        <f t="array" ref="I20">IF(I$31&gt;($D20+1),"",IF(I$31=($D20+1), _xlfn.IFNA(INDEX(音調表!$J$3:$J$10, MATCH(TRUE, EXACT(MID($C20,I$31,1), 音調表!$I$3:$I$10),0)),""),MID($C20,I$31,1)))</f>
        <v/>
      </c>
      <c r="J20" s="75" t="str" cm="1">
        <f t="array" ref="J20">IF(J$31&gt;($D20+1),"",IF(J$31=($D20+1), _xlfn.IFNA(INDEX(音調表!$J$3:$J$10, MATCH(TRUE, EXACT(MID($C20,J$31,1), 音調表!$I$3:$I$10),0)),""),MID($C20,J$31,1)))</f>
        <v/>
      </c>
      <c r="K20" s="75" t="str" cm="1">
        <f t="array" ref="K20">IF(K$31&gt;($D20+1),"",IF(K$31=($D20+1), _xlfn.IFNA(INDEX(音調表!$J$3:$J$10, MATCH(TRUE, EXACT(MID($C20,K$31,1), 音調表!$I$3:$I$10),0)),""),MID($C20,K$31,1)))</f>
        <v/>
      </c>
      <c r="L20" s="75" t="str" cm="1">
        <f t="array" ref="L20">IF(L$31&gt;($D20+1),"",IF(L$31=($D20+1), _xlfn.IFNA(INDEX(音調表!$J$3:$J$10, MATCH(TRUE, EXACT(MID($C20,L$31,1), 音調表!$I$3:$I$10),0)),""),MID($C20,L$31,1)))</f>
        <v/>
      </c>
      <c r="M20" s="76" t="str" cm="1">
        <f t="array" ref="M20">IF(M$31&gt;($D20+1),"",IF(M$31=($D20+1), _xlfn.IFNA(INDEX(音調表!$J$3:$J$10, MATCH(TRUE, EXACT(MID($C20,M$31,1), 音調表!$I$3:$I$10),0)),""),MID($C20,M$31,1)))</f>
        <v/>
      </c>
      <c r="P20" s="2"/>
    </row>
    <row r="21" spans="2:16" hidden="1" outlineLevel="2">
      <c r="B21" s="7" t="s">
        <v>366</v>
      </c>
      <c r="C21" s="80" t="s">
        <v>386</v>
      </c>
      <c r="D21" s="9">
        <f t="shared" si="1"/>
        <v>3</v>
      </c>
      <c r="E21" s="75" t="str" cm="1">
        <f t="array" ref="E21">IF(E$31&gt;($D21+1),"",IF(E$31=($D21+1), _xlfn.IFNA(INDEX(音調表!$J$3:$J$10, MATCH(TRUE, EXACT(MID($C21,E$31,1), 音調表!$I$3:$I$10),0)),""),MID($C21,E$31,1)))</f>
        <v>ㄑ</v>
      </c>
      <c r="F21" s="75" t="str" cm="1">
        <f t="array" ref="F21">IF(F$31&gt;($D21+1),"",IF(F$31=($D21+1), _xlfn.IFNA(INDEX(音調表!$J$3:$J$10, MATCH(TRUE, EXACT(MID($C21,F$31,1), 音調表!$I$3:$I$10),0)),""),MID($C21,F$31,1)))</f>
        <v>ㄧ</v>
      </c>
      <c r="G21" s="75" t="str" cm="1">
        <f t="array" ref="G21">IF(G$31&gt;($D21+1),"",IF(G$31=($D21+1), _xlfn.IFNA(INDEX(音調表!$J$3:$J$10, MATCH(TRUE, EXACT(MID($C21,G$31,1), 音調表!$I$3:$I$10),0)),""),MID($C21,G$31,1)))</f>
        <v>ㄥ</v>
      </c>
      <c r="H21" s="75" t="str" cm="1">
        <f t="array" ref="H21">IF(H$31&gt;($D21+1),"",IF(H$31=($D21+1), _xlfn.IFNA(INDEX(音調表!$J$3:$J$10, MATCH(TRUE, EXACT(MID($C21,H$31,1), 音調表!$I$3:$I$10),0)),""),MID($C21,H$31,1)))</f>
        <v>"</v>
      </c>
      <c r="I21" s="75" t="str" cm="1">
        <f t="array" ref="I21">IF(I$31&gt;($D21+1),"",IF(I$31=($D21+1), _xlfn.IFNA(INDEX(音調表!$J$3:$J$10, MATCH(TRUE, EXACT(MID($C21,I$31,1), 音調表!$I$3:$I$10),0)),""),MID($C21,I$31,1)))</f>
        <v/>
      </c>
      <c r="J21" s="75" t="str" cm="1">
        <f t="array" ref="J21">IF(J$31&gt;($D21+1),"",IF(J$31=($D21+1), _xlfn.IFNA(INDEX(音調表!$J$3:$J$10, MATCH(TRUE, EXACT(MID($C21,J$31,1), 音調表!$I$3:$I$10),0)),""),MID($C21,J$31,1)))</f>
        <v/>
      </c>
      <c r="K21" s="75" t="str" cm="1">
        <f t="array" ref="K21">IF(K$31&gt;($D21+1),"",IF(K$31=($D21+1), _xlfn.IFNA(INDEX(音調表!$J$3:$J$10, MATCH(TRUE, EXACT(MID($C21,K$31,1), 音調表!$I$3:$I$10),0)),""),MID($C21,K$31,1)))</f>
        <v/>
      </c>
      <c r="L21" s="75" t="str" cm="1">
        <f t="array" ref="L21">IF(L$31&gt;($D21+1),"",IF(L$31=($D21+1), _xlfn.IFNA(INDEX(音調表!$J$3:$J$10, MATCH(TRUE, EXACT(MID($C21,L$31,1), 音調表!$I$3:$I$10),0)),""),MID($C21,L$31,1)))</f>
        <v/>
      </c>
      <c r="M21" s="76" t="str" cm="1">
        <f t="array" ref="M21">IF(M$31&gt;($D21+1),"",IF(M$31=($D21+1), _xlfn.IFNA(INDEX(音調表!$J$3:$J$10, MATCH(TRUE, EXACT(MID($C21,M$31,1), 音調表!$I$3:$I$10),0)),""),MID($C21,M$31,1)))</f>
        <v/>
      </c>
      <c r="P21" s="2"/>
    </row>
    <row r="22" spans="2:16" hidden="1" outlineLevel="2">
      <c r="B22" s="7" t="s">
        <v>368</v>
      </c>
      <c r="C22" s="80" t="s">
        <v>383</v>
      </c>
      <c r="D22" s="9">
        <f t="shared" si="1"/>
        <v>2</v>
      </c>
      <c r="E22" s="75" t="str" cm="1">
        <f t="array" ref="E22">IF(E$31&gt;($D22+1),"",IF(E$31=($D22+1), _xlfn.IFNA(INDEX(音調表!$J$3:$J$10, MATCH(TRUE, EXACT(MID($C22,E$31,1), 音調表!$I$3:$I$10),0)),""),MID($C22,E$31,1)))</f>
        <v>ㄙ</v>
      </c>
      <c r="F22" s="75" t="str" cm="1">
        <f t="array" ref="F22">IF(F$31&gt;($D22+1),"",IF(F$31=($D22+1), _xlfn.IFNA(INDEX(音調表!$J$3:$J$10, MATCH(TRUE, EXACT(MID($C22,F$31,1), 音調表!$I$3:$I$10),0)),""),MID($C22,F$31,1)))</f>
        <v>ㆦ</v>
      </c>
      <c r="G22" s="75" t="str" cm="1">
        <f t="array" ref="G22">IF(G$31&gt;($D22+1),"",IF(G$31=($D22+1), _xlfn.IFNA(INDEX(音調表!$J$3:$J$10, MATCH(TRUE, EXACT(MID($C22,G$31,1), 音調表!$I$3:$I$10),0)),""),MID($C22,G$31,1)))</f>
        <v>"</v>
      </c>
      <c r="H22" s="75" t="str" cm="1">
        <f t="array" ref="H22">IF(H$31&gt;($D22+1),"",IF(H$31=($D22+1), _xlfn.IFNA(INDEX(音調表!$J$3:$J$10, MATCH(TRUE, EXACT(MID($C22,H$31,1), 音調表!$I$3:$I$10),0)),""),MID($C22,H$31,1)))</f>
        <v/>
      </c>
      <c r="I22" s="75" t="str" cm="1">
        <f t="array" ref="I22">IF(I$31&gt;($D22+1),"",IF(I$31=($D22+1), _xlfn.IFNA(INDEX(音調表!$J$3:$J$10, MATCH(TRUE, EXACT(MID($C22,I$31,1), 音調表!$I$3:$I$10),0)),""),MID($C22,I$31,1)))</f>
        <v/>
      </c>
      <c r="J22" s="75" t="str" cm="1">
        <f t="array" ref="J22">IF(J$31&gt;($D22+1),"",IF(J$31=($D22+1), _xlfn.IFNA(INDEX(音調表!$J$3:$J$10, MATCH(TRUE, EXACT(MID($C22,J$31,1), 音調表!$I$3:$I$10),0)),""),MID($C22,J$31,1)))</f>
        <v/>
      </c>
      <c r="K22" s="75" t="str" cm="1">
        <f t="array" ref="K22">IF(K$31&gt;($D22+1),"",IF(K$31=($D22+1), _xlfn.IFNA(INDEX(音調表!$J$3:$J$10, MATCH(TRUE, EXACT(MID($C22,K$31,1), 音調表!$I$3:$I$10),0)),""),MID($C22,K$31,1)))</f>
        <v/>
      </c>
      <c r="L22" s="75" t="str" cm="1">
        <f t="array" ref="L22">IF(L$31&gt;($D22+1),"",IF(L$31=($D22+1), _xlfn.IFNA(INDEX(音調表!$J$3:$J$10, MATCH(TRUE, EXACT(MID($C22,L$31,1), 音調表!$I$3:$I$10),0)),""),MID($C22,L$31,1)))</f>
        <v/>
      </c>
      <c r="M22" s="76" t="str" cm="1">
        <f t="array" ref="M22">IF(M$31&gt;($D22+1),"",IF(M$31=($D22+1), _xlfn.IFNA(INDEX(音調表!$J$3:$J$10, MATCH(TRUE, EXACT(MID($C22,M$31,1), 音調表!$I$3:$I$10),0)),""),MID($C22,M$31,1)))</f>
        <v/>
      </c>
    </row>
    <row r="23" spans="2:16" hidden="1" outlineLevel="2">
      <c r="B23" s="7" t="s">
        <v>367</v>
      </c>
      <c r="C23" s="80" t="s">
        <v>387</v>
      </c>
      <c r="D23" s="9">
        <f t="shared" si="1"/>
        <v>3</v>
      </c>
      <c r="E23" s="75" t="str" cm="1">
        <f t="array" ref="E23">IF(E$31&gt;($D23+1),"",IF(E$31=($D23+1), _xlfn.IFNA(INDEX(音調表!$J$3:$J$10, MATCH(TRUE, EXACT(MID($C23,E$31,1), 音調表!$I$3:$I$10),0)),""),MID($C23,E$31,1)))</f>
        <v>ㄒ</v>
      </c>
      <c r="F23" s="75" t="str" cm="1">
        <f t="array" ref="F23">IF(F$31&gt;($D23+1),"",IF(F$31=($D23+1), _xlfn.IFNA(INDEX(音調表!$J$3:$J$10, MATCH(TRUE, EXACT(MID($C23,F$31,1), 音調表!$I$3:$I$10),0)),""),MID($C23,F$31,1)))</f>
        <v>ㄧ</v>
      </c>
      <c r="G23" s="75" t="str" cm="1">
        <f t="array" ref="G23">IF(G$31&gt;($D23+1),"",IF(G$31=($D23+1), _xlfn.IFNA(INDEX(音調表!$J$3:$J$10, MATCH(TRUE, EXACT(MID($C23,G$31,1), 音調表!$I$3:$I$10),0)),""),MID($C23,G$31,1)))</f>
        <v>ㆬ</v>
      </c>
      <c r="H23" s="75" t="str" cm="1">
        <f t="array" ref="H23">IF(H$31&gt;($D23+1),"",IF(H$31=($D23+1), _xlfn.IFNA(INDEX(音調表!$J$3:$J$10, MATCH(TRUE, EXACT(MID($C23,H$31,1), 音調表!$I$3:$I$10),0)),""),MID($C23,H$31,1)))</f>
        <v>"</v>
      </c>
      <c r="I23" s="75" t="str" cm="1">
        <f t="array" ref="I23">IF(I$31&gt;($D23+1),"",IF(I$31=($D23+1), _xlfn.IFNA(INDEX(音調表!$J$3:$J$10, MATCH(TRUE, EXACT(MID($C23,I$31,1), 音調表!$I$3:$I$10),0)),""),MID($C23,I$31,1)))</f>
        <v/>
      </c>
      <c r="J23" s="75" t="str" cm="1">
        <f t="array" ref="J23">IF(J$31&gt;($D23+1),"",IF(J$31=($D23+1), _xlfn.IFNA(INDEX(音調表!$J$3:$J$10, MATCH(TRUE, EXACT(MID($C23,J$31,1), 音調表!$I$3:$I$10),0)),""),MID($C23,J$31,1)))</f>
        <v/>
      </c>
      <c r="K23" s="75" t="str" cm="1">
        <f t="array" ref="K23">IF(K$31&gt;($D23+1),"",IF(K$31=($D23+1), _xlfn.IFNA(INDEX(音調表!$J$3:$J$10, MATCH(TRUE, EXACT(MID($C23,K$31,1), 音調表!$I$3:$I$10),0)),""),MID($C23,K$31,1)))</f>
        <v/>
      </c>
      <c r="L23" s="75" t="str" cm="1">
        <f t="array" ref="L23">IF(L$31&gt;($D23+1),"",IF(L$31=($D23+1), _xlfn.IFNA(INDEX(音調表!$J$3:$J$10, MATCH(TRUE, EXACT(MID($C23,L$31,1), 音調表!$I$3:$I$10),0)),""),MID($C23,L$31,1)))</f>
        <v/>
      </c>
      <c r="M23" s="76" t="str" cm="1">
        <f t="array" ref="M23">IF(M$31&gt;($D23+1),"",IF(M$31=($D23+1), _xlfn.IFNA(INDEX(音調表!$J$3:$J$10, MATCH(TRUE, EXACT(MID($C23,M$31,1), 音調表!$I$3:$I$10),0)),""),MID($C23,M$31,1)))</f>
        <v/>
      </c>
    </row>
    <row r="24" spans="2:16" hidden="1" outlineLevel="2">
      <c r="B24" s="7" t="s">
        <v>361</v>
      </c>
      <c r="C24" s="80" t="s">
        <v>384</v>
      </c>
      <c r="D24" s="9">
        <f t="shared" si="1"/>
        <v>5</v>
      </c>
      <c r="E24" s="75" t="str" cm="1">
        <f t="array" ref="E24">IF(E$31&gt;($D24+1),"",IF(E$31=($D24+1), _xlfn.IFNA(INDEX(音調表!$J$3:$J$10, MATCH(TRUE, EXACT(MID($C24,E$31,1), 音調表!$I$3:$I$10),0)),""),MID($C24,E$31,1)))</f>
        <v>ㆡ</v>
      </c>
      <c r="F24" s="75" t="str" cm="1">
        <f t="array" ref="F24">IF(F$31&gt;($D24+1),"",IF(F$31=($D24+1), _xlfn.IFNA(INDEX(音調表!$J$3:$J$10, MATCH(TRUE, EXACT(MID($C24,F$31,1), 音調表!$I$3:$I$10),0)),""),MID($C24,F$31,1)))</f>
        <v>ㄨ</v>
      </c>
      <c r="G24" s="75" t="str" cm="1">
        <f t="array" ref="G24">IF(G$31&gt;($D24+1),"",IF(G$31=($D24+1), _xlfn.IFNA(INDEX(音調表!$J$3:$J$10, MATCH(TRUE, EXACT(MID($C24,G$31,1), 音調表!$I$3:$I$10),0)),""),MID($C24,G$31,1)))</f>
        <v>ㄚ</v>
      </c>
      <c r="H24" s="75" t="str" cm="1">
        <f t="array" ref="H24">IF(H$31&gt;($D24+1),"",IF(H$31=($D24+1), _xlfn.IFNA(INDEX(音調表!$J$3:$J$10, MATCH(TRUE, EXACT(MID($C24,H$31,1), 音調表!$I$3:$I$10),0)),""),MID($C24,H$31,1)))</f>
        <v>ㆷ</v>
      </c>
      <c r="I24" s="75" t="str" cm="1">
        <f t="array" ref="I24">IF(I$31&gt;($D24+1),"",IF(I$31=($D24+1), _xlfn.IFNA(INDEX(音調表!$J$3:$J$10, MATCH(TRUE, EXACT(MID($C24,I$31,1), 音調表!$I$3:$I$10),0)),""),MID($C24,I$31,1)))</f>
        <v>˙</v>
      </c>
      <c r="J24" s="75" t="str" cm="1">
        <f t="array" ref="J24">IF(J$31&gt;($D24+1),"",IF(J$31=($D24+1), _xlfn.IFNA(INDEX(音調表!$J$3:$J$10, MATCH(TRUE, EXACT(MID($C24,J$31,1), 音調表!$I$3:$I$10),0)),""),MID($C24,J$31,1)))</f>
        <v>"</v>
      </c>
      <c r="K24" s="75" t="str" cm="1">
        <f t="array" ref="K24">IF(K$31&gt;($D24+1),"",IF(K$31=($D24+1), _xlfn.IFNA(INDEX(音調表!$J$3:$J$10, MATCH(TRUE, EXACT(MID($C24,K$31,1), 音調表!$I$3:$I$10),0)),""),MID($C24,K$31,1)))</f>
        <v/>
      </c>
      <c r="L24" s="75" t="str" cm="1">
        <f t="array" ref="L24">IF(L$31&gt;($D24+1),"",IF(L$31=($D24+1), _xlfn.IFNA(INDEX(音調表!$J$3:$J$10, MATCH(TRUE, EXACT(MID($C24,L$31,1), 音調表!$I$3:$I$10),0)),""),MID($C24,L$31,1)))</f>
        <v/>
      </c>
      <c r="M24" s="76" t="str" cm="1">
        <f t="array" ref="M24">IF(M$31&gt;($D24+1),"",IF(M$31=($D24+1), _xlfn.IFNA(INDEX(音調表!$J$3:$J$10, MATCH(TRUE, EXACT(MID($C24,M$31,1), 音調表!$I$3:$I$10),0)),""),MID($C24,M$31,1)))</f>
        <v/>
      </c>
      <c r="P24" s="2"/>
    </row>
    <row r="25" spans="2:16" hidden="1" outlineLevel="2">
      <c r="B25" s="7" t="s">
        <v>364</v>
      </c>
      <c r="C25" s="80" t="s">
        <v>388</v>
      </c>
      <c r="D25" s="9">
        <f t="shared" si="1"/>
        <v>4</v>
      </c>
      <c r="E25" s="75" t="str" cm="1">
        <f t="array" ref="E25">IF(E$31&gt;($D25+1),"",IF(E$31=($D25+1), _xlfn.IFNA(INDEX(音調表!$J$3:$J$10, MATCH(TRUE, EXACT(MID($C25,E$31,1), 音調表!$I$3:$I$10),0)),""),MID($C25,E$31,1)))</f>
        <v>ㆢ</v>
      </c>
      <c r="F25" s="75" t="str" cm="1">
        <f t="array" ref="F25">IF(F$31&gt;($D25+1),"",IF(F$31=($D25+1), _xlfn.IFNA(INDEX(音調表!$J$3:$J$10, MATCH(TRUE, EXACT(MID($C25,F$31,1), 音調表!$I$3:$I$10),0)),""),MID($C25,F$31,1)))</f>
        <v>ㄧ</v>
      </c>
      <c r="G25" s="75" t="str" cm="1">
        <f t="array" ref="G25">IF(G$31&gt;($D25+1),"",IF(G$31=($D25+1), _xlfn.IFNA(INDEX(音調表!$J$3:$J$10, MATCH(TRUE, EXACT(MID($C25,G$31,1), 音調表!$I$3:$I$10),0)),""),MID($C25,G$31,1)))</f>
        <v>ㆵ</v>
      </c>
      <c r="H25" s="75" t="str" cm="1">
        <f t="array" ref="H25">IF(H$31&gt;($D25+1),"",IF(H$31=($D25+1), _xlfn.IFNA(INDEX(音調表!$J$3:$J$10, MATCH(TRUE, EXACT(MID($C25,H$31,1), 音調表!$I$3:$I$10),0)),""),MID($C25,H$31,1)))</f>
        <v>˙</v>
      </c>
      <c r="I25" s="75" t="str" cm="1">
        <f t="array" ref="I25">IF(I$31&gt;($D25+1),"",IF(I$31=($D25+1), _xlfn.IFNA(INDEX(音調表!$J$3:$J$10, MATCH(TRUE, EXACT(MID($C25,I$31,1), 音調表!$I$3:$I$10),0)),""),MID($C25,I$31,1)))</f>
        <v>"</v>
      </c>
      <c r="J25" s="75" t="str" cm="1">
        <f t="array" ref="J25">IF(J$31&gt;($D25+1),"",IF(J$31=($D25+1), _xlfn.IFNA(INDEX(音調表!$J$3:$J$10, MATCH(TRUE, EXACT(MID($C25,J$31,1), 音調表!$I$3:$I$10),0)),""),MID($C25,J$31,1)))</f>
        <v/>
      </c>
      <c r="K25" s="75" t="str" cm="1">
        <f t="array" ref="K25">IF(K$31&gt;($D25+1),"",IF(K$31=($D25+1), _xlfn.IFNA(INDEX(音調表!$J$3:$J$10, MATCH(TRUE, EXACT(MID($C25,K$31,1), 音調表!$I$3:$I$10),0)),""),MID($C25,K$31,1)))</f>
        <v/>
      </c>
      <c r="L25" s="75" t="str" cm="1">
        <f t="array" ref="L25">IF(L$31&gt;($D25+1),"",IF(L$31=($D25+1), _xlfn.IFNA(INDEX(音調表!$J$3:$J$10, MATCH(TRUE, EXACT(MID($C25,L$31,1), 音調表!$I$3:$I$10),0)),""),MID($C25,L$31,1)))</f>
        <v/>
      </c>
      <c r="M25" s="76" t="str" cm="1">
        <f t="array" ref="M25">IF(M$31&gt;($D25+1),"",IF(M$31=($D25+1), _xlfn.IFNA(INDEX(音調表!$J$3:$J$10, MATCH(TRUE, EXACT(MID($C25,M$31,1), 音調表!$I$3:$I$10),0)),""),MID($C25,M$31,1)))</f>
        <v/>
      </c>
      <c r="P25" s="2"/>
    </row>
    <row r="26" spans="2:16" outlineLevel="1" collapsed="1"/>
    <row r="27" spans="2:16">
      <c r="B27" s="78" t="s">
        <v>293</v>
      </c>
    </row>
    <row r="28" spans="2:16" ht="15" customHeight="1"/>
    <row r="29" spans="2:16" outlineLevel="1">
      <c r="B29" s="77" t="s">
        <v>292</v>
      </c>
    </row>
    <row r="30" spans="2:16" outlineLevel="2">
      <c r="B30" s="125" t="s">
        <v>4</v>
      </c>
      <c r="C30" s="126" t="s">
        <v>195</v>
      </c>
      <c r="D30" s="125" t="s">
        <v>8</v>
      </c>
      <c r="E30" s="127" t="s">
        <v>36</v>
      </c>
      <c r="F30" s="128"/>
      <c r="G30" s="128"/>
      <c r="H30" s="128"/>
      <c r="I30" s="128"/>
      <c r="J30" s="128"/>
      <c r="K30" s="128"/>
      <c r="L30" s="128"/>
      <c r="M30" s="129"/>
    </row>
    <row r="31" spans="2:16" s="2" customFormat="1" outlineLevel="2">
      <c r="B31" s="125"/>
      <c r="C31" s="125"/>
      <c r="D31" s="125"/>
      <c r="E31" s="4">
        <v>1</v>
      </c>
      <c r="F31" s="5">
        <v>2</v>
      </c>
      <c r="G31" s="5">
        <v>3</v>
      </c>
      <c r="H31" s="5">
        <v>4</v>
      </c>
      <c r="I31" s="5">
        <v>5</v>
      </c>
      <c r="J31" s="5">
        <v>6</v>
      </c>
      <c r="K31" s="5">
        <v>7</v>
      </c>
      <c r="L31" s="5">
        <v>8</v>
      </c>
      <c r="M31" s="6">
        <v>9</v>
      </c>
      <c r="O31" s="83"/>
    </row>
    <row r="32" spans="2:16" outlineLevel="2">
      <c r="B32" s="7" t="s">
        <v>71</v>
      </c>
      <c r="C32" s="8" t="s">
        <v>294</v>
      </c>
      <c r="D32" s="9">
        <f>IF( LEN(C32)&gt;0, LEN(C32), "")</f>
        <v>3</v>
      </c>
      <c r="E32" s="75" t="str" cm="1">
        <f t="array" ref="E32">IF(E$31&gt;($D32+1),"",IF(E$31=($D32+1), _xlfn.IFNA(INDEX(音調表!$J$3:$J$10, MATCH(TRUE, EXACT(MID($C32,E$31,1), 音調表!$I$3:$I$10),0)),""),MID($C32,E$31,1)))</f>
        <v>ㄅ</v>
      </c>
      <c r="F32" s="75" t="str" cm="1">
        <f t="array" ref="F32">IF(F$31&gt;($D32+1),"",IF(F$31=($D32+1), _xlfn.IFNA(INDEX(音調表!$J$3:$J$10, MATCH(TRUE, EXACT(MID($C32,F$31,1), 音調表!$I$3:$I$10),0)),""),MID($C32,F$31,1)))</f>
        <v>ㄨ</v>
      </c>
      <c r="G32" s="75" t="str" cm="1">
        <f t="array" ref="G32">IF(G$31&gt;($D32+1),"",IF(G$31=($D32+1), _xlfn.IFNA(INDEX(音調表!$J$3:$J$10, MATCH(TRUE, EXACT(MID($C32,G$31,1), 音調表!$I$3:$I$10),0)),""),MID($C32,G$31,1)))</f>
        <v>ㆵ</v>
      </c>
      <c r="H32" s="82" t="str" cm="1">
        <f t="array" ref="H32">IF(H$31&gt;($D32+1),"",IF(H$31=($D32+1), _xlfn.IFNA(INDEX(音調表!$J$3:$J$10, MATCH(TRUE, EXACT(MID($C32,H$31,1), 音調表!$I$3:$I$10),0)),""),MID($C32,H$31,1)))</f>
        <v>"</v>
      </c>
      <c r="I32" s="75" t="str" cm="1">
        <f t="array" ref="I32">IF(I$31&gt;($D32+1),"",IF(I$31=($D32+1), _xlfn.IFNA(INDEX(音調表!$J$3:$J$10, MATCH(TRUE, EXACT(MID($C32,I$31,1), 音調表!$I$3:$I$10),0)),""),MID($C32,I$31,1)))</f>
        <v/>
      </c>
      <c r="J32" s="75" t="str" cm="1">
        <f t="array" ref="J32">IF(J$31&gt;($D32+1),"",IF(J$31=($D32+1), _xlfn.IFNA(INDEX(音調表!$J$3:$J$10, MATCH(TRUE, EXACT(MID($C32,J$31,1), 音調表!$I$3:$I$10),0)),""),MID($C32,J$31,1)))</f>
        <v/>
      </c>
      <c r="K32" s="75" t="str" cm="1">
        <f t="array" ref="K32">IF(K$31&gt;($D32+1),"",IF(K$31=($D32+1), _xlfn.IFNA(INDEX(音調表!$J$3:$J$10, MATCH(TRUE, EXACT(MID($C32,K$31,1), 音調表!$I$3:$I$10),0)),""),MID($C32,K$31,1)))</f>
        <v/>
      </c>
      <c r="L32" s="75" t="str" cm="1">
        <f t="array" ref="L32">IF(L$31&gt;($D32+1),"",IF(L$31=($D32+1), _xlfn.IFNA(INDEX(音調表!$J$3:$J$10, MATCH(TRUE, EXACT(MID($C32,L$31,1), 音調表!$I$3:$I$10),0)),""),MID($C32,L$31,1)))</f>
        <v/>
      </c>
      <c r="M32" s="76" t="str" cm="1">
        <f t="array" ref="M32">IF(M$31&gt;($D32+1),"",IF(M$31=($D32+1), _xlfn.IFNA(INDEX(音調表!$J$3:$J$10, MATCH(TRUE, EXACT(MID($C32,M$31,1), 音調表!$I$3:$I$10),0)),""),MID($C32,M$31,1)))</f>
        <v/>
      </c>
      <c r="O32" s="83" t="s">
        <v>71</v>
      </c>
      <c r="P32" s="2"/>
    </row>
    <row r="33" spans="2:16" outlineLevel="2">
      <c r="B33" s="7" t="s">
        <v>279</v>
      </c>
      <c r="C33" s="8" t="s">
        <v>295</v>
      </c>
      <c r="D33" s="9">
        <f>IF( LEN(C33)&gt;0, LEN(C33), "")</f>
        <v>5</v>
      </c>
      <c r="E33" s="75" t="str" cm="1">
        <f t="array" ref="E33">IF(E$31&gt;($D33+1),"",IF(E$31=($D33+1), _xlfn.IFNA(INDEX(音調表!$J$3:$J$10, MATCH(TRUE, EXACT(MID($C33,E$31,1), 音調表!$I$3:$I$10),0)),""),MID($C33,E$31,1)))</f>
        <v>ㄒ</v>
      </c>
      <c r="F33" s="75" t="str" cm="1">
        <f t="array" ref="F33">IF(F$31&gt;($D33+1),"",IF(F$31=($D33+1), _xlfn.IFNA(INDEX(音調表!$J$3:$J$10, MATCH(TRUE, EXACT(MID($C33,F$31,1), 音調表!$I$3:$I$10),0)),""),MID($C33,F$31,1)))</f>
        <v>ㄧ</v>
      </c>
      <c r="G33" s="75" t="str" cm="1">
        <f t="array" ref="G33">IF(G$31&gt;($D33+1),"",IF(G$31=($D33+1), _xlfn.IFNA(INDEX(音調表!$J$3:$J$10, MATCH(TRUE, EXACT(MID($C33,G$31,1), 音調表!$I$3:$I$10),0)),""),MID($C33,G$31,1)))</f>
        <v>ㆦ</v>
      </c>
      <c r="H33" s="75" t="str" cm="1">
        <f t="array" ref="H33">IF(H$31&gt;($D33+1),"",IF(H$31=($D33+1), _xlfn.IFNA(INDEX(音調表!$J$3:$J$10, MATCH(TRUE, EXACT(MID($C33,H$31,1), 音調表!$I$3:$I$10),0)),""),MID($C33,H$31,1)))</f>
        <v>ㆻ</v>
      </c>
      <c r="I33" s="75" t="str" cm="1">
        <f t="array" ref="I33">IF(I$31&gt;($D33+1),"",IF(I$31=($D33+1), _xlfn.IFNA(INDEX(音調表!$J$3:$J$10, MATCH(TRUE, EXACT(MID($C33,I$31,1), 音調表!$I$3:$I$10),0)),""),MID($C33,I$31,1)))</f>
        <v>˙</v>
      </c>
      <c r="J33" s="75"/>
      <c r="K33" s="75" t="str" cm="1">
        <f t="array" ref="K33">IF(K$31&gt;($D33+1),"",IF(K$31=($D33+1), _xlfn.IFNA(INDEX(音調表!$J$3:$J$10, MATCH(TRUE, EXACT(MID($C33,K$31,1), 音調表!$I$3:$I$10),0)),""),MID($C33,K$31,1)))</f>
        <v/>
      </c>
      <c r="L33" s="75" t="str" cm="1">
        <f t="array" ref="L33">IF(L$31&gt;($D33+1),"",IF(L$31=($D33+1), _xlfn.IFNA(INDEX(音調表!$J$3:$J$10, MATCH(TRUE, EXACT(MID($C33,L$31,1), 音調表!$I$3:$I$10),0)),""),MID($C33,L$31,1)))</f>
        <v/>
      </c>
      <c r="M33" s="76" t="str" cm="1">
        <f t="array" ref="M33">IF(M$31&gt;($D33+1),"",IF(M$31=($D33+1), _xlfn.IFNA(INDEX(音調表!$J$3:$J$10, MATCH(TRUE, EXACT(MID($C33,M$31,1), 音調表!$I$3:$I$10),0)),""),MID($C33,M$31,1)))</f>
        <v/>
      </c>
      <c r="O33" s="83" t="s">
        <v>279</v>
      </c>
    </row>
    <row r="34" spans="2:16" outlineLevel="1"/>
    <row r="35" spans="2:16" outlineLevel="1">
      <c r="B35" s="77" t="s">
        <v>296</v>
      </c>
    </row>
    <row r="36" spans="2:16" outlineLevel="2">
      <c r="B36" s="125" t="s">
        <v>4</v>
      </c>
      <c r="C36" s="126" t="s">
        <v>195</v>
      </c>
      <c r="D36" s="125" t="s">
        <v>8</v>
      </c>
      <c r="E36" s="127" t="s">
        <v>36</v>
      </c>
      <c r="F36" s="128"/>
      <c r="G36" s="128"/>
      <c r="H36" s="128"/>
      <c r="I36" s="128"/>
      <c r="J36" s="128"/>
      <c r="K36" s="128"/>
      <c r="L36" s="128"/>
      <c r="M36" s="129"/>
    </row>
    <row r="37" spans="2:16" s="2" customFormat="1" outlineLevel="2">
      <c r="B37" s="125"/>
      <c r="C37" s="125"/>
      <c r="D37" s="125"/>
      <c r="E37" s="4">
        <v>1</v>
      </c>
      <c r="F37" s="5">
        <v>2</v>
      </c>
      <c r="G37" s="5">
        <v>3</v>
      </c>
      <c r="H37" s="5">
        <v>4</v>
      </c>
      <c r="I37" s="5">
        <v>5</v>
      </c>
      <c r="J37" s="5">
        <v>6</v>
      </c>
      <c r="K37" s="5">
        <v>7</v>
      </c>
      <c r="L37" s="5">
        <v>8</v>
      </c>
      <c r="M37" s="6">
        <v>9</v>
      </c>
      <c r="O37" s="83"/>
    </row>
    <row r="38" spans="2:16" outlineLevel="2">
      <c r="B38" s="7" t="s">
        <v>71</v>
      </c>
      <c r="C38" s="8" t="s">
        <v>297</v>
      </c>
      <c r="D38" s="9">
        <f>IF( LEN(C38)&gt;0, LEN(C38), "")</f>
        <v>3</v>
      </c>
      <c r="E38" s="75" t="str" cm="1">
        <f t="array" ref="E38">IF(E$31&gt;($D38+1),"",IF(E$31=($D38+1), _xlfn.IFNA(INDEX(音調表!$J$3:$J$10, MATCH(TRUE, EXACT(MID($C38,E$31,1), 音調表!$I$3:$I$10),0)),""),MID($C38,E$31,1)))</f>
        <v>ㄅ</v>
      </c>
      <c r="F38" s="75" t="str" cm="1">
        <f t="array" ref="F38">IF(F$31&gt;($D38+1),"",IF(F$31=($D38+1), _xlfn.IFNA(INDEX(音調表!$J$3:$J$10, MATCH(TRUE, EXACT(MID($C38,F$31,1), 音調表!$I$3:$I$10),0)),""),MID($C38,F$31,1)))</f>
        <v>ㄨ</v>
      </c>
      <c r="G38" s="75" t="str" cm="1">
        <f t="array" ref="G38">IF(G$31&gt;($D38+1),"",IF(G$31=($D38+1), _xlfn.IFNA(INDEX(音調表!$J$3:$J$10, MATCH(TRUE, EXACT(MID($C38,G$31,1), 音調表!$I$3:$I$10),0)),""),MID($C38,G$31,1)))</f>
        <v>ㄉ</v>
      </c>
      <c r="H38" s="82" t="str" cm="1">
        <f t="array" ref="H38">IF(H$31&gt;($D38+1),"",IF(H$31=($D38+1), _xlfn.IFNA(INDEX(音調表!$J$3:$J$10, MATCH(TRUE, EXACT(MID($C38,H$31,1), 音調表!$I$3:$I$10),0)),""),MID($C38,H$31,1)))</f>
        <v>"</v>
      </c>
      <c r="I38" s="75" t="str" cm="1">
        <f t="array" ref="I38">IF(I$31&gt;($D38+1),"",IF(I$31=($D38+1), _xlfn.IFNA(INDEX(音調表!$J$3:$J$10, MATCH(TRUE, EXACT(MID($C38,I$31,1), 音調表!$I$3:$I$10),0)),""),MID($C38,I$31,1)))</f>
        <v/>
      </c>
      <c r="J38" s="75" t="str" cm="1">
        <f t="array" ref="J38">IF(J$31&gt;($D38+1),"",IF(J$31=($D38+1), _xlfn.IFNA(INDEX(音調表!$J$3:$J$10, MATCH(TRUE, EXACT(MID($C38,J$31,1), 音調表!$I$3:$I$10),0)),""),MID($C38,J$31,1)))</f>
        <v/>
      </c>
      <c r="K38" s="75" t="str" cm="1">
        <f t="array" ref="K38">IF(K$31&gt;($D38+1),"",IF(K$31=($D38+1), _xlfn.IFNA(INDEX(音調表!$J$3:$J$10, MATCH(TRUE, EXACT(MID($C38,K$31,1), 音調表!$I$3:$I$10),0)),""),MID($C38,K$31,1)))</f>
        <v/>
      </c>
      <c r="L38" s="75" t="str" cm="1">
        <f t="array" ref="L38">IF(L$31&gt;($D38+1),"",IF(L$31=($D38+1), _xlfn.IFNA(INDEX(音調表!$J$3:$J$10, MATCH(TRUE, EXACT(MID($C38,L$31,1), 音調表!$I$3:$I$10),0)),""),MID($C38,L$31,1)))</f>
        <v/>
      </c>
      <c r="M38" s="76" t="str" cm="1">
        <f t="array" ref="M38">IF(M$31&gt;($D38+1),"",IF(M$31=($D38+1), _xlfn.IFNA(INDEX(音調表!$J$3:$J$10, MATCH(TRUE, EXACT(MID($C38,M$31,1), 音調表!$I$3:$I$10),0)),""),MID($C38,M$31,1)))</f>
        <v/>
      </c>
      <c r="O38" s="83" t="s">
        <v>71</v>
      </c>
      <c r="P38" s="2"/>
    </row>
    <row r="39" spans="2:16" outlineLevel="2">
      <c r="B39" s="7" t="s">
        <v>279</v>
      </c>
      <c r="C39" s="8" t="s">
        <v>298</v>
      </c>
      <c r="D39" s="9">
        <f>IF( LEN(C39)&gt;0, LEN(C39), "")</f>
        <v>5</v>
      </c>
      <c r="E39" s="75" t="str" cm="1">
        <f t="array" ref="E39">IF(E$31&gt;($D39+1),"",IF(E$31=($D39+1), _xlfn.IFNA(INDEX(音調表!$J$3:$J$10, MATCH(TRUE, EXACT(MID($C39,E$31,1), 音調表!$I$3:$I$10),0)),""),MID($C39,E$31,1)))</f>
        <v>ㄒ</v>
      </c>
      <c r="F39" s="75" t="str" cm="1">
        <f t="array" ref="F39">IF(F$31&gt;($D39+1),"",IF(F$31=($D39+1), _xlfn.IFNA(INDEX(音調表!$J$3:$J$10, MATCH(TRUE, EXACT(MID($C39,F$31,1), 音調表!$I$3:$I$10),0)),""),MID($C39,F$31,1)))</f>
        <v>ㄧ</v>
      </c>
      <c r="G39" s="75" t="str" cm="1">
        <f t="array" ref="G39">IF(G$31&gt;($D39+1),"",IF(G$31=($D39+1), _xlfn.IFNA(INDEX(音調表!$J$3:$J$10, MATCH(TRUE, EXACT(MID($C39,G$31,1), 音調表!$I$3:$I$10),0)),""),MID($C39,G$31,1)))</f>
        <v>ㆦ</v>
      </c>
      <c r="H39" s="75" t="str" cm="1">
        <f t="array" ref="H39">IF(H$31&gt;($D39+1),"",IF(H$31=($D39+1), _xlfn.IFNA(INDEX(音調表!$J$3:$J$10, MATCH(TRUE, EXACT(MID($C39,H$31,1), 音調表!$I$3:$I$10),0)),""),MID($C39,H$31,1)))</f>
        <v>ㄍ</v>
      </c>
      <c r="I39" s="75" t="str" cm="1">
        <f t="array" ref="I39">IF(I$31&gt;($D39+1),"",IF(I$31=($D39+1), _xlfn.IFNA(INDEX(音調表!$J$3:$J$10, MATCH(TRUE, EXACT(MID($C39,I$31,1), 音調表!$I$3:$I$10),0)),""),MID($C39,I$31,1)))</f>
        <v>˙</v>
      </c>
      <c r="J39" s="82"/>
      <c r="K39" s="75" t="str" cm="1">
        <f t="array" ref="K39">IF(K$31&gt;($D39+1),"",IF(K$31=($D39+1), _xlfn.IFNA(INDEX(音調表!$J$3:$J$10, MATCH(TRUE, EXACT(MID($C39,K$31,1), 音調表!$I$3:$I$10),0)),""),MID($C39,K$31,1)))</f>
        <v/>
      </c>
      <c r="L39" s="75" t="str" cm="1">
        <f t="array" ref="L39">IF(L$31&gt;($D39+1),"",IF(L$31=($D39+1), _xlfn.IFNA(INDEX(音調表!$J$3:$J$10, MATCH(TRUE, EXACT(MID($C39,L$31,1), 音調表!$I$3:$I$10),0)),""),MID($C39,L$31,1)))</f>
        <v/>
      </c>
      <c r="M39" s="76" t="str" cm="1">
        <f t="array" ref="M39">IF(M$31&gt;($D39+1),"",IF(M$31=($D39+1), _xlfn.IFNA(INDEX(音調表!$J$3:$J$10, MATCH(TRUE, EXACT(MID($C39,M$31,1), 音調表!$I$3:$I$10),0)),""),MID($C39,M$31,1)))</f>
        <v/>
      </c>
      <c r="O39" s="83" t="s">
        <v>279</v>
      </c>
    </row>
    <row r="40" spans="2:16" outlineLevel="1"/>
    <row r="41" spans="2:16" outlineLevel="1">
      <c r="B41" s="77" t="s">
        <v>299</v>
      </c>
    </row>
    <row r="42" spans="2:16" outlineLevel="2">
      <c r="B42" s="125" t="s">
        <v>4</v>
      </c>
      <c r="C42" s="126" t="s">
        <v>195</v>
      </c>
      <c r="D42" s="125" t="s">
        <v>8</v>
      </c>
      <c r="E42" s="127" t="s">
        <v>36</v>
      </c>
      <c r="F42" s="128"/>
      <c r="G42" s="128"/>
      <c r="H42" s="128"/>
      <c r="I42" s="128"/>
      <c r="J42" s="128"/>
      <c r="K42" s="128"/>
      <c r="L42" s="128"/>
      <c r="M42" s="129"/>
    </row>
    <row r="43" spans="2:16" s="2" customFormat="1" outlineLevel="2">
      <c r="B43" s="125"/>
      <c r="C43" s="125"/>
      <c r="D43" s="125"/>
      <c r="E43" s="4">
        <v>1</v>
      </c>
      <c r="F43" s="5">
        <v>2</v>
      </c>
      <c r="G43" s="5">
        <v>3</v>
      </c>
      <c r="H43" s="5">
        <v>4</v>
      </c>
      <c r="I43" s="5">
        <v>5</v>
      </c>
      <c r="J43" s="5">
        <v>6</v>
      </c>
      <c r="K43" s="5">
        <v>7</v>
      </c>
      <c r="L43" s="5">
        <v>8</v>
      </c>
      <c r="M43" s="6">
        <v>9</v>
      </c>
      <c r="O43" s="83"/>
    </row>
    <row r="44" spans="2:16" outlineLevel="2">
      <c r="B44" s="7" t="s">
        <v>71</v>
      </c>
      <c r="C44" s="8" t="s">
        <v>300</v>
      </c>
      <c r="D44" s="9">
        <f>IF( LEN(C44)&gt;0, LEN(C44), "")</f>
        <v>5</v>
      </c>
      <c r="E44" s="75" t="str" cm="1">
        <f t="array" ref="E44">IF(E$31&gt;($D44+1),"",IF(E$31=($D44+1), _xlfn.IFNA(INDEX(音調表!$J$3:$J$10, MATCH(TRUE, EXACT(MID($C44,E$31,1), 音調表!$I$3:$I$10),0)),""),MID($C44,E$31,1)))</f>
        <v>ㄅ</v>
      </c>
      <c r="F44" s="75" t="str" cm="1">
        <f t="array" ref="F44">IF(F$31&gt;($D44+1),"",IF(F$31=($D44+1), _xlfn.IFNA(INDEX(音調表!$J$3:$J$10, MATCH(TRUE, EXACT(MID($C44,F$31,1), 音調表!$I$3:$I$10),0)),""),MID($C44,F$31,1)))</f>
        <v>ㄨ</v>
      </c>
      <c r="G44" s="79" t="s">
        <v>89</v>
      </c>
      <c r="H44" s="75"/>
      <c r="I44" s="75"/>
      <c r="J44" s="75"/>
      <c r="K44" s="75" t="str" cm="1">
        <f t="array" ref="K44">IF(K$31&gt;($D44+1),"",IF(K$31=($D44+1), _xlfn.IFNA(INDEX(音調表!$J$3:$J$10, MATCH(TRUE, EXACT(MID($C44,K$31,1), 音調表!$I$3:$I$10),0)),""),MID($C44,K$31,1)))</f>
        <v/>
      </c>
      <c r="L44" s="75" t="str" cm="1">
        <f t="array" ref="L44">IF(L$31&gt;($D44+1),"",IF(L$31=($D44+1), _xlfn.IFNA(INDEX(音調表!$J$3:$J$10, MATCH(TRUE, EXACT(MID($C44,L$31,1), 音調表!$I$3:$I$10),0)),""),MID($C44,L$31,1)))</f>
        <v/>
      </c>
      <c r="M44" s="76" t="str" cm="1">
        <f t="array" ref="M44">IF(M$31&gt;($D44+1),"",IF(M$31=($D44+1), _xlfn.IFNA(INDEX(音調表!$J$3:$J$10, MATCH(TRUE, EXACT(MID($C44,M$31,1), 音調表!$I$3:$I$10),0)),""),MID($C44,M$31,1)))</f>
        <v/>
      </c>
      <c r="O44" s="83" t="s">
        <v>71</v>
      </c>
      <c r="P44" s="2"/>
    </row>
    <row r="45" spans="2:16" outlineLevel="2">
      <c r="B45" s="7" t="s">
        <v>279</v>
      </c>
      <c r="C45" s="8" t="s">
        <v>301</v>
      </c>
      <c r="D45" s="9">
        <f>IF( LEN(C45)&gt;0, LEN(C45), "")</f>
        <v>6</v>
      </c>
      <c r="E45" s="75" t="str" cm="1">
        <f t="array" ref="E45">IF(E$31&gt;($D45+1),"",IF(E$31=($D45+1), _xlfn.IFNA(INDEX(音調表!$J$3:$J$10, MATCH(TRUE, EXACT(MID($C45,E$31,1), 音調表!$I$3:$I$10),0)),""),MID($C45,E$31,1)))</f>
        <v>ㄒ</v>
      </c>
      <c r="F45" s="75" t="str" cm="1">
        <f t="array" ref="F45">IF(F$31&gt;($D45+1),"",IF(F$31=($D45+1), _xlfn.IFNA(INDEX(音調表!$J$3:$J$10, MATCH(TRUE, EXACT(MID($C45,F$31,1), 音調表!$I$3:$I$10),0)),""),MID($C45,F$31,1)))</f>
        <v>ㄧ</v>
      </c>
      <c r="G45" s="75" t="str" cm="1">
        <f t="array" ref="G45">IF(G$31&gt;($D45+1),"",IF(G$31=($D45+1), _xlfn.IFNA(INDEX(音調表!$J$3:$J$10, MATCH(TRUE, EXACT(MID($C45,G$31,1), 音調表!$I$3:$I$10),0)),""),MID($C45,G$31,1)))</f>
        <v>ㆦ</v>
      </c>
      <c r="H45" s="79" t="s">
        <v>89</v>
      </c>
      <c r="I45" s="75"/>
      <c r="J45" s="75"/>
      <c r="K45" s="75"/>
      <c r="L45" s="75" t="str" cm="1">
        <f t="array" ref="L45">IF(L$31&gt;($D45+1),"",IF(L$31=($D45+1), _xlfn.IFNA(INDEX(音調表!$J$3:$J$10, MATCH(TRUE, EXACT(MID($C45,L$31,1), 音調表!$I$3:$I$10),0)),""),MID($C45,L$31,1)))</f>
        <v/>
      </c>
      <c r="M45" s="76" t="str" cm="1">
        <f t="array" ref="M45">IF(M$31&gt;($D45+1),"",IF(M$31=($D45+1), _xlfn.IFNA(INDEX(音調表!$J$3:$J$10, MATCH(TRUE, EXACT(MID($C45,M$31,1), 音調表!$I$3:$I$10),0)),""),MID($C45,M$31,1)))</f>
        <v/>
      </c>
      <c r="O45" s="83" t="s">
        <v>279</v>
      </c>
    </row>
    <row r="46" spans="2:16" outlineLevel="1"/>
    <row r="47" spans="2:16">
      <c r="B47" s="78" t="s">
        <v>302</v>
      </c>
    </row>
    <row r="48" spans="2:16" ht="15" customHeight="1"/>
    <row r="49" spans="2:16" outlineLevel="1">
      <c r="B49" s="77" t="s">
        <v>292</v>
      </c>
    </row>
    <row r="50" spans="2:16" outlineLevel="2">
      <c r="B50" s="125" t="s">
        <v>4</v>
      </c>
      <c r="C50" s="126" t="s">
        <v>195</v>
      </c>
      <c r="D50" s="125" t="s">
        <v>8</v>
      </c>
      <c r="E50" s="127" t="s">
        <v>36</v>
      </c>
      <c r="F50" s="128"/>
      <c r="G50" s="128"/>
      <c r="H50" s="128"/>
      <c r="I50" s="128"/>
      <c r="J50" s="128"/>
      <c r="K50" s="128"/>
      <c r="L50" s="128"/>
      <c r="M50" s="129"/>
    </row>
    <row r="51" spans="2:16" s="2" customFormat="1" outlineLevel="2">
      <c r="B51" s="125"/>
      <c r="C51" s="125"/>
      <c r="D51" s="125"/>
      <c r="E51" s="4">
        <v>1</v>
      </c>
      <c r="F51" s="5">
        <v>2</v>
      </c>
      <c r="G51" s="5">
        <v>3</v>
      </c>
      <c r="H51" s="5">
        <v>4</v>
      </c>
      <c r="I51" s="5">
        <v>5</v>
      </c>
      <c r="J51" s="5">
        <v>6</v>
      </c>
      <c r="K51" s="5">
        <v>7</v>
      </c>
      <c r="L51" s="5">
        <v>8</v>
      </c>
      <c r="M51" s="6">
        <v>9</v>
      </c>
      <c r="O51" s="83"/>
    </row>
    <row r="52" spans="2:16" outlineLevel="2">
      <c r="B52" s="7" t="s">
        <v>306</v>
      </c>
      <c r="C52" s="8" t="s">
        <v>305</v>
      </c>
      <c r="D52" s="9">
        <f>IF( LEN(C52)&gt;0, LEN(C52), "")</f>
        <v>2</v>
      </c>
      <c r="E52" s="75" t="str" cm="1">
        <f t="array" ref="E52">IF(E$31&gt;($D52+1),"",IF(E$31=($D52+1), _xlfn.IFNA(INDEX(音調表!$J$3:$J$10, MATCH(TRUE, EXACT(MID($C52,E$31,1), 音調表!$I$3:$I$10),0)),""),MID($C52,E$31,1)))</f>
        <v>ㆩ</v>
      </c>
      <c r="F52" s="75" t="str" cm="1">
        <f t="array" ref="F52">IF(F$31&gt;($D52+1),"",IF(F$31=($D52+1), _xlfn.IFNA(INDEX(音調表!$J$3:$J$10, MATCH(TRUE, EXACT(MID($C52,F$31,1), 音調表!$I$3:$I$10),0)),""),MID($C52,F$31,1)))</f>
        <v>˫</v>
      </c>
      <c r="G52" s="75" t="str" cm="1">
        <f t="array" ref="G52">IF(G$31&gt;($D52+1),"",IF(G$31=($D52+1), _xlfn.IFNA(INDEX(音調表!$J$3:$J$10, MATCH(TRUE, EXACT(MID($C52,G$31,1), 音調表!$I$3:$I$10),0)),""),MID($C52,G$31,1)))</f>
        <v>"</v>
      </c>
      <c r="H52" s="75" t="str" cm="1">
        <f t="array" ref="H52">IF(H$31&gt;($D52+1),"",IF(H$31=($D52+1), _xlfn.IFNA(INDEX(音調表!$J$3:$J$10, MATCH(TRUE, EXACT(MID($C52,H$31,1), 音調表!$I$3:$I$10),0)),""),MID($C52,H$31,1)))</f>
        <v/>
      </c>
      <c r="I52" s="75" t="str" cm="1">
        <f t="array" ref="I52">IF(I$31&gt;($D52+1),"",IF(I$31=($D52+1), _xlfn.IFNA(INDEX(音調表!$J$3:$J$10, MATCH(TRUE, EXACT(MID($C52,I$31,1), 音調表!$I$3:$I$10),0)),""),MID($C52,I$31,1)))</f>
        <v/>
      </c>
      <c r="J52" s="75" t="str" cm="1">
        <f t="array" ref="J52">IF(J$31&gt;($D52+1),"",IF(J$31=($D52+1), _xlfn.IFNA(INDEX(音調表!$J$3:$J$10, MATCH(TRUE, EXACT(MID($C52,J$31,1), 音調表!$I$3:$I$10),0)),""),MID($C52,J$31,1)))</f>
        <v/>
      </c>
      <c r="K52" s="75" t="str" cm="1">
        <f t="array" ref="K52">IF(K$31&gt;($D52+1),"",IF(K$31=($D52+1), _xlfn.IFNA(INDEX(音調表!$J$3:$J$10, MATCH(TRUE, EXACT(MID($C52,K$31,1), 音調表!$I$3:$I$10),0)),""),MID($C52,K$31,1)))</f>
        <v/>
      </c>
      <c r="L52" s="75" t="str" cm="1">
        <f t="array" ref="L52">IF(L$31&gt;($D52+1),"",IF(L$31=($D52+1), _xlfn.IFNA(INDEX(音調表!$J$3:$J$10, MATCH(TRUE, EXACT(MID($C52,L$31,1), 音調表!$I$3:$I$10),0)),""),MID($C52,L$31,1)))</f>
        <v/>
      </c>
      <c r="M52" s="76" t="str" cm="1">
        <f t="array" ref="M52">IF(M$31&gt;($D52+1),"",IF(M$31=($D52+1), _xlfn.IFNA(INDEX(音調表!$J$3:$J$10, MATCH(TRUE, EXACT(MID($C52,M$31,1), 音調表!$I$3:$I$10),0)),""),MID($C52,M$31,1)))</f>
        <v/>
      </c>
      <c r="O52" s="83" t="s">
        <v>306</v>
      </c>
      <c r="P52" s="2"/>
    </row>
    <row r="53" spans="2:16" outlineLevel="2">
      <c r="B53" s="7" t="s">
        <v>308</v>
      </c>
      <c r="C53" s="8" t="s">
        <v>307</v>
      </c>
      <c r="D53" s="9">
        <f t="shared" ref="D53:D62" si="2">IF( LEN(C53)&gt;0, LEN(C53), "")</f>
        <v>2</v>
      </c>
      <c r="E53" s="75" t="str" cm="1">
        <f t="array" ref="E53">IF(E$31&gt;($D53+1),"",IF(E$31=($D53+1), _xlfn.IFNA(INDEX(音調表!$J$3:$J$10, MATCH(TRUE, EXACT(MID($C53,E$31,1), 音調表!$I$3:$I$10),0)),""),MID($C53,E$31,1)))</f>
        <v>ㆪ</v>
      </c>
      <c r="F53" s="75" t="str" cm="1">
        <f t="array" ref="F53">IF(F$31&gt;($D53+1),"",IF(F$31=($D53+1), _xlfn.IFNA(INDEX(音調表!$J$3:$J$10, MATCH(TRUE, EXACT(MID($C53,F$31,1), 音調表!$I$3:$I$10),0)),""),MID($C53,F$31,1)))</f>
        <v>˫</v>
      </c>
      <c r="G53" s="75" t="str" cm="1">
        <f t="array" ref="G53">IF(G$31&gt;($D53+1),"",IF(G$31=($D53+1), _xlfn.IFNA(INDEX(音調表!$J$3:$J$10, MATCH(TRUE, EXACT(MID($C53,G$31,1), 音調表!$I$3:$I$10),0)),""),MID($C53,G$31,1)))</f>
        <v>"</v>
      </c>
      <c r="H53" s="75" t="str" cm="1">
        <f t="array" ref="H53">IF(H$31&gt;($D53+1),"",IF(H$31=($D53+1), _xlfn.IFNA(INDEX(音調表!$J$3:$J$10, MATCH(TRUE, EXACT(MID($C53,H$31,1), 音調表!$I$3:$I$10),0)),""),MID($C53,H$31,1)))</f>
        <v/>
      </c>
      <c r="I53" s="75" t="str" cm="1">
        <f t="array" ref="I53">IF(I$31&gt;($D53+1),"",IF(I$31=($D53+1), _xlfn.IFNA(INDEX(音調表!$J$3:$J$10, MATCH(TRUE, EXACT(MID($C53,I$31,1), 音調表!$I$3:$I$10),0)),""),MID($C53,I$31,1)))</f>
        <v/>
      </c>
      <c r="J53" s="75" t="str" cm="1">
        <f t="array" ref="J53">IF(J$31&gt;($D53+1),"",IF(J$31=($D53+1), _xlfn.IFNA(INDEX(音調表!$J$3:$J$10, MATCH(TRUE, EXACT(MID($C53,J$31,1), 音調表!$I$3:$I$10),0)),""),MID($C53,J$31,1)))</f>
        <v/>
      </c>
      <c r="K53" s="75" t="str" cm="1">
        <f t="array" ref="K53">IF(K$31&gt;($D53+1),"",IF(K$31=($D53+1), _xlfn.IFNA(INDEX(音調表!$J$3:$J$10, MATCH(TRUE, EXACT(MID($C53,K$31,1), 音調表!$I$3:$I$10),0)),""),MID($C53,K$31,1)))</f>
        <v/>
      </c>
      <c r="L53" s="75" t="str" cm="1">
        <f t="array" ref="L53">IF(L$31&gt;($D53+1),"",IF(L$31=($D53+1), _xlfn.IFNA(INDEX(音調表!$J$3:$J$10, MATCH(TRUE, EXACT(MID($C53,L$31,1), 音調表!$I$3:$I$10),0)),""),MID($C53,L$31,1)))</f>
        <v/>
      </c>
      <c r="M53" s="76" t="str" cm="1">
        <f t="array" ref="M53">IF(M$31&gt;($D53+1),"",IF(M$31=($D53+1), _xlfn.IFNA(INDEX(音調表!$J$3:$J$10, MATCH(TRUE, EXACT(MID($C53,M$31,1), 音調表!$I$3:$I$10),0)),""),MID($C53,M$31,1)))</f>
        <v/>
      </c>
      <c r="O53" s="83" t="s">
        <v>308</v>
      </c>
      <c r="P53" s="2"/>
    </row>
    <row r="54" spans="2:16" outlineLevel="2">
      <c r="B54" s="7" t="s">
        <v>67</v>
      </c>
      <c r="C54" s="8" t="s">
        <v>309</v>
      </c>
      <c r="D54" s="9">
        <f t="shared" si="2"/>
        <v>3</v>
      </c>
      <c r="E54" s="75" t="str" cm="1">
        <f t="array" ref="E54">IF(E$31&gt;($D54+1),"",IF(E$31=($D54+1), _xlfn.IFNA(INDEX(音調表!$J$3:$J$10, MATCH(TRUE, EXACT(MID($C54,E$31,1), 音調表!$I$3:$I$10),0)),""),MID($C54,E$31,1)))</f>
        <v>ㄧ</v>
      </c>
      <c r="F54" s="75" t="str" cm="1">
        <f t="array" ref="F54">IF(F$31&gt;($D54+1),"",IF(F$31=($D54+1), _xlfn.IFNA(INDEX(音調表!$J$3:$J$10, MATCH(TRUE, EXACT(MID($C54,F$31,1), 音調表!$I$3:$I$10),0)),""),MID($C54,F$31,1)))</f>
        <v>ㆫ</v>
      </c>
      <c r="G54" s="75" t="str" cm="1">
        <f t="array" ref="G54">IF(G$31&gt;($D54+1),"",IF(G$31=($D54+1), _xlfn.IFNA(INDEX(音調表!$J$3:$J$10, MATCH(TRUE, EXACT(MID($C54,G$31,1), 音調表!$I$3:$I$10),0)),""),MID($C54,G$31,1)))</f>
        <v>ˊ</v>
      </c>
      <c r="H54" s="75" t="str" cm="1">
        <f t="array" ref="H54">IF(H$31&gt;($D54+1),"",IF(H$31=($D54+1), _xlfn.IFNA(INDEX(音調表!$J$3:$J$10, MATCH(TRUE, EXACT(MID($C54,H$31,1), 音調表!$I$3:$I$10),0)),""),MID($C54,H$31,1)))</f>
        <v>"</v>
      </c>
      <c r="I54" s="75" t="str" cm="1">
        <f t="array" ref="I54">IF(I$31&gt;($D54+1),"",IF(I$31=($D54+1), _xlfn.IFNA(INDEX(音調表!$J$3:$J$10, MATCH(TRUE, EXACT(MID($C54,I$31,1), 音調表!$I$3:$I$10),0)),""),MID($C54,I$31,1)))</f>
        <v/>
      </c>
      <c r="J54" s="75" t="str" cm="1">
        <f t="array" ref="J54">IF(J$31&gt;($D54+1),"",IF(J$31=($D54+1), _xlfn.IFNA(INDEX(音調表!$J$3:$J$10, MATCH(TRUE, EXACT(MID($C54,J$31,1), 音調表!$I$3:$I$10),0)),""),MID($C54,J$31,1)))</f>
        <v/>
      </c>
      <c r="K54" s="75" t="str" cm="1">
        <f t="array" ref="K54">IF(K$31&gt;($D54+1),"",IF(K$31=($D54+1), _xlfn.IFNA(INDEX(音調表!$J$3:$J$10, MATCH(TRUE, EXACT(MID($C54,K$31,1), 音調表!$I$3:$I$10),0)),""),MID($C54,K$31,1)))</f>
        <v/>
      </c>
      <c r="L54" s="75" t="str" cm="1">
        <f t="array" ref="L54">IF(L$31&gt;($D54+1),"",IF(L$31=($D54+1), _xlfn.IFNA(INDEX(音調表!$J$3:$J$10, MATCH(TRUE, EXACT(MID($C54,L$31,1), 音調表!$I$3:$I$10),0)),""),MID($C54,L$31,1)))</f>
        <v/>
      </c>
      <c r="M54" s="76" t="str" cm="1">
        <f t="array" ref="M54">IF(M$31&gt;($D54+1),"",IF(M$31=($D54+1), _xlfn.IFNA(INDEX(音調表!$J$3:$J$10, MATCH(TRUE, EXACT(MID($C54,M$31,1), 音調表!$I$3:$I$10),0)),""),MID($C54,M$31,1)))</f>
        <v/>
      </c>
      <c r="O54" s="83" t="s">
        <v>67</v>
      </c>
      <c r="P54" s="2"/>
    </row>
    <row r="55" spans="2:16" outlineLevel="2">
      <c r="B55" s="7" t="s">
        <v>303</v>
      </c>
      <c r="C55" s="8" t="s">
        <v>304</v>
      </c>
      <c r="D55" s="9">
        <f t="shared" si="2"/>
        <v>1</v>
      </c>
      <c r="E55" s="75" t="str" cm="1">
        <f t="array" ref="E55">IF(E$31&gt;($D55+1),"",IF(E$31=($D55+1), _xlfn.IFNA(INDEX(音調表!$J$3:$J$10, MATCH(TRUE, EXACT(MID($C55,E$31,1), 音調表!$I$3:$I$10),0)),""),MID($C55,E$31,1)))</f>
        <v>ㆥ</v>
      </c>
      <c r="F55" s="75" t="str" cm="1">
        <f t="array" ref="F55">IF(F$31&gt;($D55+1),"",IF(F$31=($D55+1), _xlfn.IFNA(INDEX(音調表!$J$3:$J$10, MATCH(TRUE, EXACT(MID($C55,F$31,1), 音調表!$I$3:$I$10),0)),""),MID($C55,F$31,1)))</f>
        <v>"</v>
      </c>
      <c r="G55" s="75" t="str" cm="1">
        <f t="array" ref="G55">IF(G$31&gt;($D55+1),"",IF(G$31=($D55+1), _xlfn.IFNA(INDEX(音調表!$J$3:$J$10, MATCH(TRUE, EXACT(MID($C55,G$31,1), 音調表!$I$3:$I$10),0)),""),MID($C55,G$31,1)))</f>
        <v/>
      </c>
      <c r="H55" s="75" t="str" cm="1">
        <f t="array" ref="H55">IF(H$31&gt;($D55+1),"",IF(H$31=($D55+1), _xlfn.IFNA(INDEX(音調表!$J$3:$J$10, MATCH(TRUE, EXACT(MID($C55,H$31,1), 音調表!$I$3:$I$10),0)),""),MID($C55,H$31,1)))</f>
        <v/>
      </c>
      <c r="I55" s="75" t="str" cm="1">
        <f t="array" ref="I55">IF(I$31&gt;($D55+1),"",IF(I$31=($D55+1), _xlfn.IFNA(INDEX(音調表!$J$3:$J$10, MATCH(TRUE, EXACT(MID($C55,I$31,1), 音調表!$I$3:$I$10),0)),""),MID($C55,I$31,1)))</f>
        <v/>
      </c>
      <c r="J55" s="75" t="str" cm="1">
        <f t="array" ref="J55">IF(J$31&gt;($D55+1),"",IF(J$31=($D55+1), _xlfn.IFNA(INDEX(音調表!$J$3:$J$10, MATCH(TRUE, EXACT(MID($C55,J$31,1), 音調表!$I$3:$I$10),0)),""),MID($C55,J$31,1)))</f>
        <v/>
      </c>
      <c r="K55" s="75" t="str" cm="1">
        <f t="array" ref="K55">IF(K$31&gt;($D55+1),"",IF(K$31=($D55+1), _xlfn.IFNA(INDEX(音調表!$J$3:$J$10, MATCH(TRUE, EXACT(MID($C55,K$31,1), 音調表!$I$3:$I$10),0)),""),MID($C55,K$31,1)))</f>
        <v/>
      </c>
      <c r="L55" s="75" t="str" cm="1">
        <f t="array" ref="L55">IF(L$31&gt;($D55+1),"",IF(L$31=($D55+1), _xlfn.IFNA(INDEX(音調表!$J$3:$J$10, MATCH(TRUE, EXACT(MID($C55,L$31,1), 音調表!$I$3:$I$10),0)),""),MID($C55,L$31,1)))</f>
        <v/>
      </c>
      <c r="M55" s="76" t="str" cm="1">
        <f t="array" ref="M55">IF(M$31&gt;($D55+1),"",IF(M$31=($D55+1), _xlfn.IFNA(INDEX(音調表!$J$3:$J$10, MATCH(TRUE, EXACT(MID($C55,M$31,1), 音調表!$I$3:$I$10),0)),""),MID($C55,M$31,1)))</f>
        <v/>
      </c>
      <c r="P55" s="2"/>
    </row>
    <row r="56" spans="2:16" outlineLevel="2">
      <c r="B56" s="7" t="s">
        <v>311</v>
      </c>
      <c r="C56" s="8" t="s">
        <v>310</v>
      </c>
      <c r="D56" s="9">
        <f t="shared" si="2"/>
        <v>1</v>
      </c>
      <c r="E56" s="75" t="str" cm="1">
        <f t="array" ref="E56">IF(E$31&gt;($D56+1),"",IF(E$31=($D56+1), _xlfn.IFNA(INDEX(音調表!$J$3:$J$10, MATCH(TRUE, EXACT(MID($C56,E$31,1), 音調表!$I$3:$I$10),0)),""),MID($C56,E$31,1)))</f>
        <v>ㆧ</v>
      </c>
      <c r="F56" s="75" t="str" cm="1">
        <f t="array" ref="F56">IF(F$31&gt;($D56+1),"",IF(F$31=($D56+1), _xlfn.IFNA(INDEX(音調表!$J$3:$J$10, MATCH(TRUE, EXACT(MID($C56,F$31,1), 音調表!$I$3:$I$10),0)),""),MID($C56,F$31,1)))</f>
        <v>"</v>
      </c>
      <c r="G56" s="75" t="str" cm="1">
        <f t="array" ref="G56">IF(G$31&gt;($D56+1),"",IF(G$31=($D56+1), _xlfn.IFNA(INDEX(音調表!$J$3:$J$10, MATCH(TRUE, EXACT(MID($C56,G$31,1), 音調表!$I$3:$I$10),0)),""),MID($C56,G$31,1)))</f>
        <v/>
      </c>
      <c r="H56" s="75" t="str" cm="1">
        <f t="array" ref="H56">IF(H$31&gt;($D56+1),"",IF(H$31=($D56+1), _xlfn.IFNA(INDEX(音調表!$J$3:$J$10, MATCH(TRUE, EXACT(MID($C56,H$31,1), 音調表!$I$3:$I$10),0)),""),MID($C56,H$31,1)))</f>
        <v/>
      </c>
      <c r="I56" s="75" t="str" cm="1">
        <f t="array" ref="I56">IF(I$31&gt;($D56+1),"",IF(I$31=($D56+1), _xlfn.IFNA(INDEX(音調表!$J$3:$J$10, MATCH(TRUE, EXACT(MID($C56,I$31,1), 音調表!$I$3:$I$10),0)),""),MID($C56,I$31,1)))</f>
        <v/>
      </c>
      <c r="J56" s="75" t="str" cm="1">
        <f t="array" ref="J56">IF(J$31&gt;($D56+1),"",IF(J$31=($D56+1), _xlfn.IFNA(INDEX(音調表!$J$3:$J$10, MATCH(TRUE, EXACT(MID($C56,J$31,1), 音調表!$I$3:$I$10),0)),""),MID($C56,J$31,1)))</f>
        <v/>
      </c>
      <c r="K56" s="75" t="str" cm="1">
        <f t="array" ref="K56">IF(K$31&gt;($D56+1),"",IF(K$31=($D56+1), _xlfn.IFNA(INDEX(音調表!$J$3:$J$10, MATCH(TRUE, EXACT(MID($C56,K$31,1), 音調表!$I$3:$I$10),0)),""),MID($C56,K$31,1)))</f>
        <v/>
      </c>
      <c r="L56" s="75" t="str" cm="1">
        <f t="array" ref="L56">IF(L$31&gt;($D56+1),"",IF(L$31=($D56+1), _xlfn.IFNA(INDEX(音調表!$J$3:$J$10, MATCH(TRUE, EXACT(MID($C56,L$31,1), 音調表!$I$3:$I$10),0)),""),MID($C56,L$31,1)))</f>
        <v/>
      </c>
      <c r="M56" s="76" t="str" cm="1">
        <f t="array" ref="M56">IF(M$31&gt;($D56+1),"",IF(M$31=($D56+1), _xlfn.IFNA(INDEX(音調表!$J$3:$J$10, MATCH(TRUE, EXACT(MID($C56,M$31,1), 音調表!$I$3:$I$10),0)),""),MID($C56,M$31,1)))</f>
        <v/>
      </c>
    </row>
    <row r="57" spans="2:16" outlineLevel="2">
      <c r="B57" s="7" t="s">
        <v>313</v>
      </c>
      <c r="C57" s="8" t="s">
        <v>312</v>
      </c>
      <c r="D57" s="9">
        <f t="shared" si="2"/>
        <v>2</v>
      </c>
      <c r="E57" s="75" t="str" cm="1">
        <f t="array" ref="E57">IF(E$31&gt;($D57+1),"",IF(E$31=($D57+1), _xlfn.IFNA(INDEX(音調表!$J$3:$J$10, MATCH(TRUE, EXACT(MID($C57,E$31,1), 音調表!$I$3:$I$10),0)),""),MID($C57,E$31,1)))</f>
        <v>ㆮ</v>
      </c>
      <c r="F57" s="75" t="str" cm="1">
        <f t="array" ref="F57">IF(F$31&gt;($D57+1),"",IF(F$31=($D57+1), _xlfn.IFNA(INDEX(音調表!$J$3:$J$10, MATCH(TRUE, EXACT(MID($C57,F$31,1), 音調表!$I$3:$I$10),0)),""),MID($C57,F$31,1)))</f>
        <v>ˊ</v>
      </c>
      <c r="G57" s="75" t="str" cm="1">
        <f t="array" ref="G57">IF(G$31&gt;($D57+1),"",IF(G$31=($D57+1), _xlfn.IFNA(INDEX(音調表!$J$3:$J$10, MATCH(TRUE, EXACT(MID($C57,G$31,1), 音調表!$I$3:$I$10),0)),""),MID($C57,G$31,1)))</f>
        <v>"</v>
      </c>
      <c r="H57" s="75" t="str" cm="1">
        <f t="array" ref="H57">IF(H$31&gt;($D57+1),"",IF(H$31=($D57+1), _xlfn.IFNA(INDEX(音調表!$J$3:$J$10, MATCH(TRUE, EXACT(MID($C57,H$31,1), 音調表!$I$3:$I$10),0)),""),MID($C57,H$31,1)))</f>
        <v/>
      </c>
      <c r="I57" s="75" t="str" cm="1">
        <f t="array" ref="I57">IF(I$31&gt;($D57+1),"",IF(I$31=($D57+1), _xlfn.IFNA(INDEX(音調表!$J$3:$J$10, MATCH(TRUE, EXACT(MID($C57,I$31,1), 音調表!$I$3:$I$10),0)),""),MID($C57,I$31,1)))</f>
        <v/>
      </c>
      <c r="J57" s="75" t="str" cm="1">
        <f t="array" ref="J57">IF(J$31&gt;($D57+1),"",IF(J$31=($D57+1), _xlfn.IFNA(INDEX(音調表!$J$3:$J$10, MATCH(TRUE, EXACT(MID($C57,J$31,1), 音調表!$I$3:$I$10),0)),""),MID($C57,J$31,1)))</f>
        <v/>
      </c>
      <c r="K57" s="75" t="str" cm="1">
        <f t="array" ref="K57">IF(K$31&gt;($D57+1),"",IF(K$31=($D57+1), _xlfn.IFNA(INDEX(音調表!$J$3:$J$10, MATCH(TRUE, EXACT(MID($C57,K$31,1), 音調表!$I$3:$I$10),0)),""),MID($C57,K$31,1)))</f>
        <v/>
      </c>
      <c r="L57" s="75" t="str" cm="1">
        <f t="array" ref="L57">IF(L$31&gt;($D57+1),"",IF(L$31=($D57+1), _xlfn.IFNA(INDEX(音調表!$J$3:$J$10, MATCH(TRUE, EXACT(MID($C57,L$31,1), 音調表!$I$3:$I$10),0)),""),MID($C57,L$31,1)))</f>
        <v/>
      </c>
      <c r="M57" s="76" t="str" cm="1">
        <f t="array" ref="M57">IF(M$31&gt;($D57+1),"",IF(M$31=($D57+1), _xlfn.IFNA(INDEX(音調表!$J$3:$J$10, MATCH(TRUE, EXACT(MID($C57,M$31,1), 音調表!$I$3:$I$10),0)),""),MID($C57,M$31,1)))</f>
        <v/>
      </c>
    </row>
    <row r="58" spans="2:16" outlineLevel="2">
      <c r="B58" s="7" t="s">
        <v>315</v>
      </c>
      <c r="C58" s="8" t="s">
        <v>314</v>
      </c>
      <c r="D58" s="9">
        <f t="shared" si="2"/>
        <v>1</v>
      </c>
      <c r="E58" s="75" t="str" cm="1">
        <f t="array" ref="E58">IF(E$31&gt;($D58+1),"",IF(E$31=($D58+1), _xlfn.IFNA(INDEX(音調表!$J$3:$J$10, MATCH(TRUE, EXACT(MID($C58,E$31,1), 音調表!$I$3:$I$10),0)),""),MID($C58,E$31,1)))</f>
        <v>ㆯ</v>
      </c>
      <c r="F58" s="75" t="str" cm="1">
        <f t="array" ref="F58">IF(F$31&gt;($D58+1),"",IF(F$31=($D58+1), _xlfn.IFNA(INDEX(音調表!$J$3:$J$10, MATCH(TRUE, EXACT(MID($C58,F$31,1), 音調表!$I$3:$I$10),0)),""),MID($C58,F$31,1)))</f>
        <v>"</v>
      </c>
      <c r="G58" s="75" t="str" cm="1">
        <f t="array" ref="G58">IF(G$31&gt;($D58+1),"",IF(G$31=($D58+1), _xlfn.IFNA(INDEX(音調表!$J$3:$J$10, MATCH(TRUE, EXACT(MID($C58,G$31,1), 音調表!$I$3:$I$10),0)),""),MID($C58,G$31,1)))</f>
        <v/>
      </c>
      <c r="H58" s="75" t="str" cm="1">
        <f t="array" ref="H58">IF(H$31&gt;($D58+1),"",IF(H$31=($D58+1), _xlfn.IFNA(INDEX(音調表!$J$3:$J$10, MATCH(TRUE, EXACT(MID($C58,H$31,1), 音調表!$I$3:$I$10),0)),""),MID($C58,H$31,1)))</f>
        <v/>
      </c>
      <c r="I58" s="75" t="str" cm="1">
        <f t="array" ref="I58">IF(I$31&gt;($D58+1),"",IF(I$31=($D58+1), _xlfn.IFNA(INDEX(音調表!$J$3:$J$10, MATCH(TRUE, EXACT(MID($C58,I$31,1), 音調表!$I$3:$I$10),0)),""),MID($C58,I$31,1)))</f>
        <v/>
      </c>
      <c r="J58" s="75" t="str" cm="1">
        <f t="array" ref="J58">IF(J$31&gt;($D58+1),"",IF(J$31=($D58+1), _xlfn.IFNA(INDEX(音調表!$J$3:$J$10, MATCH(TRUE, EXACT(MID($C58,J$31,1), 音調表!$I$3:$I$10),0)),""),MID($C58,J$31,1)))</f>
        <v/>
      </c>
      <c r="K58" s="75" t="str" cm="1">
        <f t="array" ref="K58">IF(K$31&gt;($D58+1),"",IF(K$31=($D58+1), _xlfn.IFNA(INDEX(音調表!$J$3:$J$10, MATCH(TRUE, EXACT(MID($C58,K$31,1), 音調表!$I$3:$I$10),0)),""),MID($C58,K$31,1)))</f>
        <v/>
      </c>
      <c r="L58" s="75" t="str" cm="1">
        <f t="array" ref="L58">IF(L$31&gt;($D58+1),"",IF(L$31=($D58+1), _xlfn.IFNA(INDEX(音調表!$J$3:$J$10, MATCH(TRUE, EXACT(MID($C58,L$31,1), 音調表!$I$3:$I$10),0)),""),MID($C58,L$31,1)))</f>
        <v/>
      </c>
      <c r="M58" s="76" t="str" cm="1">
        <f t="array" ref="M58">IF(M$31&gt;($D58+1),"",IF(M$31=($D58+1), _xlfn.IFNA(INDEX(音調表!$J$3:$J$10, MATCH(TRUE, EXACT(MID($C58,M$31,1), 音調表!$I$3:$I$10),0)),""),MID($C58,M$31,1)))</f>
        <v/>
      </c>
    </row>
    <row r="59" spans="2:16" outlineLevel="2">
      <c r="B59" s="7" t="s">
        <v>333</v>
      </c>
      <c r="C59" s="8" t="s">
        <v>334</v>
      </c>
      <c r="D59" s="9">
        <f t="shared" si="2"/>
        <v>4</v>
      </c>
      <c r="E59" s="75" t="str" cm="1">
        <f t="array" ref="E59">IF(E$31&gt;($D59+1),"",IF(E$31=($D59+1), _xlfn.IFNA(INDEX(音調表!$J$3:$J$10, MATCH(TRUE, EXACT(MID($C59,E$31,1), 音調表!$I$3:$I$10),0)),""),MID($C59,E$31,1)))</f>
        <v>ㆢ</v>
      </c>
      <c r="F59" s="75" t="str" cm="1">
        <f t="array" ref="F59">IF(F$31&gt;($D59+1),"",IF(F$31=($D59+1), _xlfn.IFNA(INDEX(音調表!$J$3:$J$10, MATCH(TRUE, EXACT(MID($C59,F$31,1), 音調表!$I$3:$I$10),0)),""),MID($C59,F$31,1)))</f>
        <v>ㄧ</v>
      </c>
      <c r="G59" s="75" t="str" cm="1">
        <f t="array" ref="G59">IF(G$31&gt;($D59+1),"",IF(G$31=($D59+1), _xlfn.IFNA(INDEX(音調表!$J$3:$J$10, MATCH(TRUE, EXACT(MID($C59,G$31,1), 音調表!$I$3:$I$10),0)),""),MID($C59,G$31,1)))</f>
        <v>ㆯ</v>
      </c>
      <c r="H59" s="75" t="str" cm="1">
        <f t="array" ref="H59">IF(H$31&gt;($D59+1),"",IF(H$31=($D59+1), _xlfn.IFNA(INDEX(音調表!$J$3:$J$10, MATCH(TRUE, EXACT(MID($C59,H$31,1), 音調表!$I$3:$I$10),0)),""),MID($C59,H$31,1)))</f>
        <v>ˋ</v>
      </c>
      <c r="I59" s="75" t="str" cm="1">
        <f t="array" ref="I59">IF(I$31&gt;($D59+1),"",IF(I$31=($D59+1), _xlfn.IFNA(INDEX(音調表!$J$3:$J$10, MATCH(TRUE, EXACT(MID($C59,I$31,1), 音調表!$I$3:$I$10),0)),""),MID($C59,I$31,1)))</f>
        <v>"</v>
      </c>
      <c r="J59" s="75" t="str" cm="1">
        <f t="array" ref="J59">IF(J$31&gt;($D59+1),"",IF(J$31=($D59+1), _xlfn.IFNA(INDEX(音調表!$J$3:$J$10, MATCH(TRUE, EXACT(MID($C59,J$31,1), 音調表!$I$3:$I$10),0)),""),MID($C59,J$31,1)))</f>
        <v/>
      </c>
      <c r="K59" s="75" t="str" cm="1">
        <f t="array" ref="K59">IF(K$31&gt;($D59+1),"",IF(K$31=($D59+1), _xlfn.IFNA(INDEX(音調表!$J$3:$J$10, MATCH(TRUE, EXACT(MID($C59,K$31,1), 音調表!$I$3:$I$10),0)),""),MID($C59,K$31,1)))</f>
        <v/>
      </c>
      <c r="L59" s="75" t="str" cm="1">
        <f t="array" ref="L59">IF(L$31&gt;($D59+1),"",IF(L$31=($D59+1), _xlfn.IFNA(INDEX(音調表!$J$3:$J$10, MATCH(TRUE, EXACT(MID($C59,L$31,1), 音調表!$I$3:$I$10),0)),""),MID($C59,L$31,1)))</f>
        <v/>
      </c>
      <c r="M59" s="76" t="str" cm="1">
        <f t="array" ref="M59">IF(M$31&gt;($D59+1),"",IF(M$31=($D59+1), _xlfn.IFNA(INDEX(音調表!$J$3:$J$10, MATCH(TRUE, EXACT(MID($C59,M$31,1), 音調表!$I$3:$I$10),0)),""),MID($C59,M$31,1)))</f>
        <v/>
      </c>
    </row>
    <row r="60" spans="2:16" outlineLevel="2">
      <c r="B60" s="7" t="s">
        <v>328</v>
      </c>
      <c r="C60" s="8" t="s">
        <v>327</v>
      </c>
      <c r="D60" s="9">
        <f t="shared" si="2"/>
        <v>3</v>
      </c>
      <c r="E60" s="75" t="str" cm="1">
        <f t="array" ref="E60">IF(E$31&gt;($D60+1),"",IF(E$31=($D60+1), _xlfn.IFNA(INDEX(音調表!$J$3:$J$10, MATCH(TRUE, EXACT(MID($C60,E$31,1), 音調表!$I$3:$I$10),0)),""),MID($C60,E$31,1)))</f>
        <v>ㄍ</v>
      </c>
      <c r="F60" s="75" t="str" cm="1">
        <f t="array" ref="F60">IF(F$31&gt;($D60+1),"",IF(F$31=($D60+1), _xlfn.IFNA(INDEX(音調表!$J$3:$J$10, MATCH(TRUE, EXACT(MID($C60,F$31,1), 音調表!$I$3:$I$10),0)),""),MID($C60,F$31,1)))</f>
        <v>ㄨ</v>
      </c>
      <c r="G60" s="75" t="str" cm="1">
        <f t="array" ref="G60">IF(G$31&gt;($D60+1),"",IF(G$31=($D60+1), _xlfn.IFNA(INDEX(音調表!$J$3:$J$10, MATCH(TRUE, EXACT(MID($C60,G$31,1), 音調表!$I$3:$I$10),0)),""),MID($C60,G$31,1)))</f>
        <v>ㆩ</v>
      </c>
      <c r="H60" s="75" t="str" cm="1">
        <f t="array" ref="H60">IF(H$31&gt;($D60+1),"",IF(H$31=($D60+1), _xlfn.IFNA(INDEX(音調表!$J$3:$J$10, MATCH(TRUE, EXACT(MID($C60,H$31,1), 音調表!$I$3:$I$10),0)),""),MID($C60,H$31,1)))</f>
        <v>"</v>
      </c>
      <c r="I60" s="75" t="str" cm="1">
        <f t="array" ref="I60">IF(I$31&gt;($D60+1),"",IF(I$31=($D60+1), _xlfn.IFNA(INDEX(音調表!$J$3:$J$10, MATCH(TRUE, EXACT(MID($C60,I$31,1), 音調表!$I$3:$I$10),0)),""),MID($C60,I$31,1)))</f>
        <v/>
      </c>
      <c r="J60" s="75" t="str" cm="1">
        <f t="array" ref="J60">IF(J$31&gt;($D60+1),"",IF(J$31=($D60+1), _xlfn.IFNA(INDEX(音調表!$J$3:$J$10, MATCH(TRUE, EXACT(MID($C60,J$31,1), 音調表!$I$3:$I$10),0)),""),MID($C60,J$31,1)))</f>
        <v/>
      </c>
      <c r="K60" s="75" t="str" cm="1">
        <f t="array" ref="K60">IF(K$31&gt;($D60+1),"",IF(K$31=($D60+1), _xlfn.IFNA(INDEX(音調表!$J$3:$J$10, MATCH(TRUE, EXACT(MID($C60,K$31,1), 音調表!$I$3:$I$10),0)),""),MID($C60,K$31,1)))</f>
        <v/>
      </c>
      <c r="L60" s="75" t="str" cm="1">
        <f t="array" ref="L60">IF(L$31&gt;($D60+1),"",IF(L$31=($D60+1), _xlfn.IFNA(INDEX(音調表!$J$3:$J$10, MATCH(TRUE, EXACT(MID($C60,L$31,1), 音調表!$I$3:$I$10),0)),""),MID($C60,L$31,1)))</f>
        <v/>
      </c>
      <c r="M60" s="76" t="str" cm="1">
        <f t="array" ref="M60">IF(M$31&gt;($D60+1),"",IF(M$31=($D60+1), _xlfn.IFNA(INDEX(音調表!$J$3:$J$10, MATCH(TRUE, EXACT(MID($C60,M$31,1), 音調表!$I$3:$I$10),0)),""),MID($C60,M$31,1)))</f>
        <v/>
      </c>
    </row>
    <row r="61" spans="2:16" outlineLevel="2">
      <c r="B61" s="7" t="s">
        <v>329</v>
      </c>
      <c r="C61" s="8" t="s">
        <v>331</v>
      </c>
      <c r="D61" s="9">
        <f t="shared" si="2"/>
        <v>3</v>
      </c>
      <c r="E61" s="75" t="str" cm="1">
        <f t="array" ref="E61">IF(E$31&gt;($D61+1),"",IF(E$31=($D61+1), _xlfn.IFNA(INDEX(音調表!$J$3:$J$10, MATCH(TRUE, EXACT(MID($C61,E$31,1), 音調表!$I$3:$I$10),0)),""),MID($C61,E$31,1)))</f>
        <v>ㄍ</v>
      </c>
      <c r="F61" s="75" t="str" cm="1">
        <f t="array" ref="F61">IF(F$31&gt;($D61+1),"",IF(F$31=($D61+1), _xlfn.IFNA(INDEX(音調表!$J$3:$J$10, MATCH(TRUE, EXACT(MID($C61,F$31,1), 音調表!$I$3:$I$10),0)),""),MID($C61,F$31,1)))</f>
        <v>ㄨ</v>
      </c>
      <c r="G61" s="75" t="str" cm="1">
        <f t="array" ref="G61">IF(G$31&gt;($D61+1),"",IF(G$31=($D61+1), _xlfn.IFNA(INDEX(音調表!$J$3:$J$10, MATCH(TRUE, EXACT(MID($C61,G$31,1), 音調表!$I$3:$I$10),0)),""),MID($C61,G$31,1)))</f>
        <v>ㆮ</v>
      </c>
      <c r="H61" s="75" t="str" cm="1">
        <f t="array" ref="H61">IF(H$31&gt;($D61+1),"",IF(H$31=($D61+1), _xlfn.IFNA(INDEX(音調表!$J$3:$J$10, MATCH(TRUE, EXACT(MID($C61,H$31,1), 音調表!$I$3:$I$10),0)),""),MID($C61,H$31,1)))</f>
        <v>"</v>
      </c>
      <c r="I61" s="75" t="str" cm="1">
        <f t="array" ref="I61">IF(I$31&gt;($D61+1),"",IF(I$31=($D61+1), _xlfn.IFNA(INDEX(音調表!$J$3:$J$10, MATCH(TRUE, EXACT(MID($C61,I$31,1), 音調表!$I$3:$I$10),0)),""),MID($C61,I$31,1)))</f>
        <v/>
      </c>
      <c r="J61" s="75" t="str" cm="1">
        <f t="array" ref="J61">IF(J$31&gt;($D61+1),"",IF(J$31=($D61+1), _xlfn.IFNA(INDEX(音調表!$J$3:$J$10, MATCH(TRUE, EXACT(MID($C61,J$31,1), 音調表!$I$3:$I$10),0)),""),MID($C61,J$31,1)))</f>
        <v/>
      </c>
      <c r="K61" s="75" t="str" cm="1">
        <f t="array" ref="K61">IF(K$31&gt;($D61+1),"",IF(K$31=($D61+1), _xlfn.IFNA(INDEX(音調表!$J$3:$J$10, MATCH(TRUE, EXACT(MID($C61,K$31,1), 音調表!$I$3:$I$10),0)),""),MID($C61,K$31,1)))</f>
        <v/>
      </c>
      <c r="L61" s="75" t="str" cm="1">
        <f t="array" ref="L61">IF(L$31&gt;($D61+1),"",IF(L$31=($D61+1), _xlfn.IFNA(INDEX(音調表!$J$3:$J$10, MATCH(TRUE, EXACT(MID($C61,L$31,1), 音調表!$I$3:$I$10),0)),""),MID($C61,L$31,1)))</f>
        <v/>
      </c>
      <c r="M61" s="76" t="str" cm="1">
        <f t="array" ref="M61">IF(M$31&gt;($D61+1),"",IF(M$31=($D61+1), _xlfn.IFNA(INDEX(音調表!$J$3:$J$10, MATCH(TRUE, EXACT(MID($C61,M$31,1), 音調表!$I$3:$I$10),0)),""),MID($C61,M$31,1)))</f>
        <v/>
      </c>
    </row>
    <row r="62" spans="2:16" outlineLevel="2">
      <c r="B62" s="7" t="s">
        <v>330</v>
      </c>
      <c r="C62" s="8" t="s">
        <v>327</v>
      </c>
      <c r="D62" s="9">
        <f t="shared" si="2"/>
        <v>3</v>
      </c>
      <c r="E62" s="75" t="str" cm="1">
        <f t="array" ref="E62">IF(E$31&gt;($D62+1),"",IF(E$31=($D62+1), _xlfn.IFNA(INDEX(音調表!$J$3:$J$10, MATCH(TRUE, EXACT(MID($C62,E$31,1), 音調表!$I$3:$I$10),0)),""),MID($C62,E$31,1)))</f>
        <v>ㄍ</v>
      </c>
      <c r="F62" s="75" t="str" cm="1">
        <f t="array" ref="F62">IF(F$31&gt;($D62+1),"",IF(F$31=($D62+1), _xlfn.IFNA(INDEX(音調表!$J$3:$J$10, MATCH(TRUE, EXACT(MID($C62,F$31,1), 音調表!$I$3:$I$10),0)),""),MID($C62,F$31,1)))</f>
        <v>ㄨ</v>
      </c>
      <c r="G62" s="75" t="str" cm="1">
        <f t="array" ref="G62">IF(G$31&gt;($D62+1),"",IF(G$31=($D62+1), _xlfn.IFNA(INDEX(音調表!$J$3:$J$10, MATCH(TRUE, EXACT(MID($C62,G$31,1), 音調表!$I$3:$I$10),0)),""),MID($C62,G$31,1)))</f>
        <v>ㆩ</v>
      </c>
      <c r="H62" s="75" t="str" cm="1">
        <f t="array" ref="H62">IF(H$31&gt;($D62+1),"",IF(H$31=($D62+1), _xlfn.IFNA(INDEX(音調表!$J$3:$J$10, MATCH(TRUE, EXACT(MID($C62,H$31,1), 音調表!$I$3:$I$10),0)),""),MID($C62,H$31,1)))</f>
        <v>"</v>
      </c>
      <c r="I62" s="75" t="str" cm="1">
        <f t="array" ref="I62">IF(I$31&gt;($D62+1),"",IF(I$31=($D62+1), _xlfn.IFNA(INDEX(音調表!$J$3:$J$10, MATCH(TRUE, EXACT(MID($C62,I$31,1), 音調表!$I$3:$I$10),0)),""),MID($C62,I$31,1)))</f>
        <v/>
      </c>
      <c r="J62" s="75" t="str" cm="1">
        <f t="array" ref="J62">IF(J$31&gt;($D62+1),"",IF(J$31=($D62+1), _xlfn.IFNA(INDEX(音調表!$J$3:$J$10, MATCH(TRUE, EXACT(MID($C62,J$31,1), 音調表!$I$3:$I$10),0)),""),MID($C62,J$31,1)))</f>
        <v/>
      </c>
      <c r="K62" s="75" t="str" cm="1">
        <f t="array" ref="K62">IF(K$31&gt;($D62+1),"",IF(K$31=($D62+1), _xlfn.IFNA(INDEX(音調表!$J$3:$J$10, MATCH(TRUE, EXACT(MID($C62,K$31,1), 音調表!$I$3:$I$10),0)),""),MID($C62,K$31,1)))</f>
        <v/>
      </c>
      <c r="L62" s="75" t="str" cm="1">
        <f t="array" ref="L62">IF(L$31&gt;($D62+1),"",IF(L$31=($D62+1), _xlfn.IFNA(INDEX(音調表!$J$3:$J$10, MATCH(TRUE, EXACT(MID($C62,L$31,1), 音調表!$I$3:$I$10),0)),""),MID($C62,L$31,1)))</f>
        <v/>
      </c>
      <c r="M62" s="76" t="str" cm="1">
        <f t="array" ref="M62">IF(M$31&gt;($D62+1),"",IF(M$31=($D62+1), _xlfn.IFNA(INDEX(音調表!$J$3:$J$10, MATCH(TRUE, EXACT(MID($C62,M$31,1), 音調表!$I$3:$I$10),0)),""),MID($C62,M$31,1)))</f>
        <v/>
      </c>
    </row>
    <row r="63" spans="2:16" outlineLevel="1"/>
    <row r="64" spans="2:16" outlineLevel="1">
      <c r="B64" s="77" t="s">
        <v>316</v>
      </c>
    </row>
    <row r="65" spans="2:16" outlineLevel="2">
      <c r="B65" s="125" t="s">
        <v>4</v>
      </c>
      <c r="C65" s="126" t="s">
        <v>195</v>
      </c>
      <c r="D65" s="125" t="s">
        <v>8</v>
      </c>
      <c r="E65" s="127" t="s">
        <v>36</v>
      </c>
      <c r="F65" s="128"/>
      <c r="G65" s="128"/>
      <c r="H65" s="128"/>
      <c r="I65" s="128"/>
      <c r="J65" s="128"/>
      <c r="K65" s="128"/>
      <c r="L65" s="128"/>
      <c r="M65" s="129"/>
    </row>
    <row r="66" spans="2:16" s="2" customFormat="1" outlineLevel="2">
      <c r="B66" s="125"/>
      <c r="C66" s="125"/>
      <c r="D66" s="125"/>
      <c r="E66" s="4">
        <v>1</v>
      </c>
      <c r="F66" s="5">
        <v>2</v>
      </c>
      <c r="G66" s="5">
        <v>3</v>
      </c>
      <c r="H66" s="5">
        <v>4</v>
      </c>
      <c r="I66" s="5">
        <v>5</v>
      </c>
      <c r="J66" s="5">
        <v>6</v>
      </c>
      <c r="K66" s="5">
        <v>7</v>
      </c>
      <c r="L66" s="5">
        <v>8</v>
      </c>
      <c r="M66" s="6">
        <v>9</v>
      </c>
      <c r="O66" s="83"/>
    </row>
    <row r="67" spans="2:16" outlineLevel="2">
      <c r="B67" s="7" t="s">
        <v>306</v>
      </c>
      <c r="C67" s="8" t="s">
        <v>317</v>
      </c>
      <c r="D67" s="9">
        <f>IF( LEN(C67)&gt;0, LEN(C67), "")</f>
        <v>3</v>
      </c>
      <c r="E67" s="75" t="str" cm="1">
        <f t="array" ref="E67">IF(E$31&gt;($D67+1),"",IF(E$31=($D67+1), _xlfn.IFNA(INDEX(音調表!$J$3:$J$10, MATCH(TRUE, EXACT(MID($C67,E$31,1), 音調表!$I$3:$I$10),0)),""),MID($C67,E$31,1)))</f>
        <v>ㄥ</v>
      </c>
      <c r="F67" s="75" t="str" cm="1">
        <f t="array" ref="F67">IF(F$31&gt;($D67+1),"",IF(F$31=($D67+1), _xlfn.IFNA(INDEX(音調表!$J$3:$J$10, MATCH(TRUE, EXACT(MID($C67,F$31,1), 音調表!$I$3:$I$10),0)),""),MID($C67,F$31,1)))</f>
        <v>ㄚ</v>
      </c>
      <c r="G67" s="75" t="str" cm="1">
        <f t="array" ref="G67">IF(G$31&gt;($D67+1),"",IF(G$31=($D67+1), _xlfn.IFNA(INDEX(音調表!$J$3:$J$10, MATCH(TRUE, EXACT(MID($C67,G$31,1), 音調表!$I$3:$I$10),0)),""),MID($C67,G$31,1)))</f>
        <v>˫</v>
      </c>
      <c r="H67" s="75" t="str" cm="1">
        <f t="array" ref="H67">IF(H$31&gt;($D67+1),"",IF(H$31=($D67+1), _xlfn.IFNA(INDEX(音調表!$J$3:$J$10, MATCH(TRUE, EXACT(MID($C67,H$31,1), 音調表!$I$3:$I$10),0)),""),MID($C67,H$31,1)))</f>
        <v>"</v>
      </c>
      <c r="I67" s="75" t="str" cm="1">
        <f t="array" ref="I67">IF(I$31&gt;($D67+1),"",IF(I$31=($D67+1), _xlfn.IFNA(INDEX(音調表!$J$3:$J$10, MATCH(TRUE, EXACT(MID($C67,I$31,1), 音調表!$I$3:$I$10),0)),""),MID($C67,I$31,1)))</f>
        <v/>
      </c>
      <c r="J67" s="75" t="str" cm="1">
        <f t="array" ref="J67">IF(J$31&gt;($D67+1),"",IF(J$31=($D67+1), _xlfn.IFNA(INDEX(音調表!$J$3:$J$10, MATCH(TRUE, EXACT(MID($C67,J$31,1), 音調表!$I$3:$I$10),0)),""),MID($C67,J$31,1)))</f>
        <v/>
      </c>
      <c r="K67" s="75" t="str" cm="1">
        <f t="array" ref="K67">IF(K$31&gt;($D67+1),"",IF(K$31=($D67+1), _xlfn.IFNA(INDEX(音調表!$J$3:$J$10, MATCH(TRUE, EXACT(MID($C67,K$31,1), 音調表!$I$3:$I$10),0)),""),MID($C67,K$31,1)))</f>
        <v/>
      </c>
      <c r="L67" s="75" t="str" cm="1">
        <f t="array" ref="L67">IF(L$31&gt;($D67+1),"",IF(L$31=($D67+1), _xlfn.IFNA(INDEX(音調表!$J$3:$J$10, MATCH(TRUE, EXACT(MID($C67,L$31,1), 音調表!$I$3:$I$10),0)),""),MID($C67,L$31,1)))</f>
        <v/>
      </c>
      <c r="M67" s="76" t="str" cm="1">
        <f t="array" ref="M67">IF(M$31&gt;($D67+1),"",IF(M$31=($D67+1), _xlfn.IFNA(INDEX(音調表!$J$3:$J$10, MATCH(TRUE, EXACT(MID($C67,M$31,1), 音調表!$I$3:$I$10),0)),""),MID($C67,M$31,1)))</f>
        <v/>
      </c>
      <c r="O67" s="83" t="s">
        <v>306</v>
      </c>
      <c r="P67" s="2"/>
    </row>
    <row r="68" spans="2:16" outlineLevel="2">
      <c r="B68" s="7" t="s">
        <v>308</v>
      </c>
      <c r="C68" s="8" t="s">
        <v>318</v>
      </c>
      <c r="D68" s="9">
        <f t="shared" ref="D68:D80" si="3">IF( LEN(C68)&gt;0, LEN(C68), "")</f>
        <v>3</v>
      </c>
      <c r="E68" s="75" t="str" cm="1">
        <f t="array" ref="E68">IF(E$31&gt;($D68+1),"",IF(E$31=($D68+1), _xlfn.IFNA(INDEX(音調表!$J$3:$J$10, MATCH(TRUE, EXACT(MID($C68,E$31,1), 音調表!$I$3:$I$10),0)),""),MID($C68,E$31,1)))</f>
        <v>ㄥ</v>
      </c>
      <c r="F68" s="75" t="str" cm="1">
        <f t="array" ref="F68">IF(F$31&gt;($D68+1),"",IF(F$31=($D68+1), _xlfn.IFNA(INDEX(音調表!$J$3:$J$10, MATCH(TRUE, EXACT(MID($C68,F$31,1), 音調表!$I$3:$I$10),0)),""),MID($C68,F$31,1)))</f>
        <v>ㄧ</v>
      </c>
      <c r="G68" s="75" t="str" cm="1">
        <f t="array" ref="G68">IF(G$31&gt;($D68+1),"",IF(G$31=($D68+1), _xlfn.IFNA(INDEX(音調表!$J$3:$J$10, MATCH(TRUE, EXACT(MID($C68,G$31,1), 音調表!$I$3:$I$10),0)),""),MID($C68,G$31,1)))</f>
        <v>˫</v>
      </c>
      <c r="H68" s="75" t="str" cm="1">
        <f t="array" ref="H68">IF(H$31&gt;($D68+1),"",IF(H$31=($D68+1), _xlfn.IFNA(INDEX(音調表!$J$3:$J$10, MATCH(TRUE, EXACT(MID($C68,H$31,1), 音調表!$I$3:$I$10),0)),""),MID($C68,H$31,1)))</f>
        <v>"</v>
      </c>
      <c r="I68" s="75" t="str" cm="1">
        <f t="array" ref="I68">IF(I$31&gt;($D68+1),"",IF(I$31=($D68+1), _xlfn.IFNA(INDEX(音調表!$J$3:$J$10, MATCH(TRUE, EXACT(MID($C68,I$31,1), 音調表!$I$3:$I$10),0)),""),MID($C68,I$31,1)))</f>
        <v/>
      </c>
      <c r="J68" s="75" t="str" cm="1">
        <f t="array" ref="J68">IF(J$31&gt;($D68+1),"",IF(J$31=($D68+1), _xlfn.IFNA(INDEX(音調表!$J$3:$J$10, MATCH(TRUE, EXACT(MID($C68,J$31,1), 音調表!$I$3:$I$10),0)),""),MID($C68,J$31,1)))</f>
        <v/>
      </c>
      <c r="K68" s="75" t="str" cm="1">
        <f t="array" ref="K68">IF(K$31&gt;($D68+1),"",IF(K$31=($D68+1), _xlfn.IFNA(INDEX(音調表!$J$3:$J$10, MATCH(TRUE, EXACT(MID($C68,K$31,1), 音調表!$I$3:$I$10),0)),""),MID($C68,K$31,1)))</f>
        <v/>
      </c>
      <c r="L68" s="75" t="str" cm="1">
        <f t="array" ref="L68">IF(L$31&gt;($D68+1),"",IF(L$31=($D68+1), _xlfn.IFNA(INDEX(音調表!$J$3:$J$10, MATCH(TRUE, EXACT(MID($C68,L$31,1), 音調表!$I$3:$I$10),0)),""),MID($C68,L$31,1)))</f>
        <v/>
      </c>
      <c r="M68" s="76" t="str" cm="1">
        <f t="array" ref="M68">IF(M$31&gt;($D68+1),"",IF(M$31=($D68+1), _xlfn.IFNA(INDEX(音調表!$J$3:$J$10, MATCH(TRUE, EXACT(MID($C68,M$31,1), 音調表!$I$3:$I$10),0)),""),MID($C68,M$31,1)))</f>
        <v/>
      </c>
      <c r="O68" s="83" t="s">
        <v>308</v>
      </c>
      <c r="P68" s="2"/>
    </row>
    <row r="69" spans="2:16" outlineLevel="2">
      <c r="B69" s="7" t="s">
        <v>67</v>
      </c>
      <c r="C69" s="8" t="s">
        <v>319</v>
      </c>
      <c r="D69" s="9">
        <f t="shared" si="3"/>
        <v>4</v>
      </c>
      <c r="E69" s="75" t="str" cm="1">
        <f t="array" ref="E69">IF(E$31&gt;($D69+1),"",IF(E$31=($D69+1), _xlfn.IFNA(INDEX(音調表!$J$3:$J$10, MATCH(TRUE, EXACT(MID($C69,E$31,1), 音調表!$I$3:$I$10),0)),""),MID($C69,E$31,1)))</f>
        <v>ㄥ</v>
      </c>
      <c r="F69" s="75" t="str" cm="1">
        <f t="array" ref="F69">IF(F$31&gt;($D69+1),"",IF(F$31=($D69+1), _xlfn.IFNA(INDEX(音調表!$J$3:$J$10, MATCH(TRUE, EXACT(MID($C69,F$31,1), 音調表!$I$3:$I$10),0)),""),MID($C69,F$31,1)))</f>
        <v>ㄧ</v>
      </c>
      <c r="G69" s="75" t="str" cm="1">
        <f t="array" ref="G69">IF(G$31&gt;($D69+1),"",IF(G$31=($D69+1), _xlfn.IFNA(INDEX(音調表!$J$3:$J$10, MATCH(TRUE, EXACT(MID($C69,G$31,1), 音調表!$I$3:$I$10),0)),""),MID($C69,G$31,1)))</f>
        <v>ㄨ</v>
      </c>
      <c r="H69" s="75" t="str" cm="1">
        <f t="array" ref="H69">IF(H$31&gt;($D69+1),"",IF(H$31=($D69+1), _xlfn.IFNA(INDEX(音調表!$J$3:$J$10, MATCH(TRUE, EXACT(MID($C69,H$31,1), 音調表!$I$3:$I$10),0)),""),MID($C69,H$31,1)))</f>
        <v>ˊ</v>
      </c>
      <c r="I69" s="75" t="str" cm="1">
        <f t="array" ref="I69">IF(I$31&gt;($D69+1),"",IF(I$31=($D69+1), _xlfn.IFNA(INDEX(音調表!$J$3:$J$10, MATCH(TRUE, EXACT(MID($C69,I$31,1), 音調表!$I$3:$I$10),0)),""),MID($C69,I$31,1)))</f>
        <v>"</v>
      </c>
      <c r="J69" s="75" t="str" cm="1">
        <f t="array" ref="J69">IF(J$31&gt;($D69+1),"",IF(J$31=($D69+1), _xlfn.IFNA(INDEX(音調表!$J$3:$J$10, MATCH(TRUE, EXACT(MID($C69,J$31,1), 音調表!$I$3:$I$10),0)),""),MID($C69,J$31,1)))</f>
        <v/>
      </c>
      <c r="K69" s="75" t="str" cm="1">
        <f t="array" ref="K69">IF(K$31&gt;($D69+1),"",IF(K$31=($D69+1), _xlfn.IFNA(INDEX(音調表!$J$3:$J$10, MATCH(TRUE, EXACT(MID($C69,K$31,1), 音調表!$I$3:$I$10),0)),""),MID($C69,K$31,1)))</f>
        <v/>
      </c>
      <c r="L69" s="75" t="str" cm="1">
        <f t="array" ref="L69">IF(L$31&gt;($D69+1),"",IF(L$31=($D69+1), _xlfn.IFNA(INDEX(音調表!$J$3:$J$10, MATCH(TRUE, EXACT(MID($C69,L$31,1), 音調表!$I$3:$I$10),0)),""),MID($C69,L$31,1)))</f>
        <v/>
      </c>
      <c r="M69" s="76" t="str" cm="1">
        <f t="array" ref="M69">IF(M$31&gt;($D69+1),"",IF(M$31=($D69+1), _xlfn.IFNA(INDEX(音調表!$J$3:$J$10, MATCH(TRUE, EXACT(MID($C69,M$31,1), 音調表!$I$3:$I$10),0)),""),MID($C69,M$31,1)))</f>
        <v/>
      </c>
      <c r="O69" s="83" t="s">
        <v>67</v>
      </c>
      <c r="P69" s="2"/>
    </row>
    <row r="70" spans="2:16" outlineLevel="2">
      <c r="B70" s="7" t="s">
        <v>303</v>
      </c>
      <c r="C70" s="8" t="s">
        <v>320</v>
      </c>
      <c r="D70" s="9">
        <f t="shared" si="3"/>
        <v>2</v>
      </c>
      <c r="E70" s="75" t="str" cm="1">
        <f t="array" ref="E70">IF(E$31&gt;($D70+1),"",IF(E$31=($D70+1), _xlfn.IFNA(INDEX(音調表!$J$3:$J$10, MATCH(TRUE, EXACT(MID($C70,E$31,1), 音調表!$I$3:$I$10),0)),""),MID($C70,E$31,1)))</f>
        <v>ㄥ</v>
      </c>
      <c r="F70" s="75" t="str" cm="1">
        <f t="array" ref="F70">IF(F$31&gt;($D70+1),"",IF(F$31=($D70+1), _xlfn.IFNA(INDEX(音調表!$J$3:$J$10, MATCH(TRUE, EXACT(MID($C70,F$31,1), 音調表!$I$3:$I$10),0)),""),MID($C70,F$31,1)))</f>
        <v>ㆤ</v>
      </c>
      <c r="G70" s="75" t="str" cm="1">
        <f t="array" ref="G70">IF(G$31&gt;($D70+1),"",IF(G$31=($D70+1), _xlfn.IFNA(INDEX(音調表!$J$3:$J$10, MATCH(TRUE, EXACT(MID($C70,G$31,1), 音調表!$I$3:$I$10),0)),""),MID($C70,G$31,1)))</f>
        <v>"</v>
      </c>
      <c r="H70" s="75" t="str" cm="1">
        <f t="array" ref="H70">IF(H$31&gt;($D70+1),"",IF(H$31=($D70+1), _xlfn.IFNA(INDEX(音調表!$J$3:$J$10, MATCH(TRUE, EXACT(MID($C70,H$31,1), 音調表!$I$3:$I$10),0)),""),MID($C70,H$31,1)))</f>
        <v/>
      </c>
      <c r="I70" s="75" t="str" cm="1">
        <f t="array" ref="I70">IF(I$31&gt;($D70+1),"",IF(I$31=($D70+1), _xlfn.IFNA(INDEX(音調表!$J$3:$J$10, MATCH(TRUE, EXACT(MID($C70,I$31,1), 音調表!$I$3:$I$10),0)),""),MID($C70,I$31,1)))</f>
        <v/>
      </c>
      <c r="J70" s="75" t="str" cm="1">
        <f t="array" ref="J70">IF(J$31&gt;($D70+1),"",IF(J$31=($D70+1), _xlfn.IFNA(INDEX(音調表!$J$3:$J$10, MATCH(TRUE, EXACT(MID($C70,J$31,1), 音調表!$I$3:$I$10),0)),""),MID($C70,J$31,1)))</f>
        <v/>
      </c>
      <c r="K70" s="75" t="str" cm="1">
        <f t="array" ref="K70">IF(K$31&gt;($D70+1),"",IF(K$31=($D70+1), _xlfn.IFNA(INDEX(音調表!$J$3:$J$10, MATCH(TRUE, EXACT(MID($C70,K$31,1), 音調表!$I$3:$I$10),0)),""),MID($C70,K$31,1)))</f>
        <v/>
      </c>
      <c r="L70" s="75" t="str" cm="1">
        <f t="array" ref="L70">IF(L$31&gt;($D70+1),"",IF(L$31=($D70+1), _xlfn.IFNA(INDEX(音調表!$J$3:$J$10, MATCH(TRUE, EXACT(MID($C70,L$31,1), 音調表!$I$3:$I$10),0)),""),MID($C70,L$31,1)))</f>
        <v/>
      </c>
      <c r="M70" s="76" t="str" cm="1">
        <f t="array" ref="M70">IF(M$31&gt;($D70+1),"",IF(M$31=($D70+1), _xlfn.IFNA(INDEX(音調表!$J$3:$J$10, MATCH(TRUE, EXACT(MID($C70,M$31,1), 音調表!$I$3:$I$10),0)),""),MID($C70,M$31,1)))</f>
        <v/>
      </c>
      <c r="P70" s="2"/>
    </row>
    <row r="71" spans="2:16" outlineLevel="2">
      <c r="B71" s="7" t="s">
        <v>311</v>
      </c>
      <c r="C71" s="8" t="s">
        <v>321</v>
      </c>
      <c r="D71" s="9">
        <f t="shared" si="3"/>
        <v>2</v>
      </c>
      <c r="E71" s="75" t="str" cm="1">
        <f t="array" ref="E71">IF(E$31&gt;($D71+1),"",IF(E$31=($D71+1), _xlfn.IFNA(INDEX(音調表!$J$3:$J$10, MATCH(TRUE, EXACT(MID($C71,E$31,1), 音調表!$I$3:$I$10),0)),""),MID($C71,E$31,1)))</f>
        <v>ㄥ</v>
      </c>
      <c r="F71" s="75" t="str" cm="1">
        <f t="array" ref="F71">IF(F$31&gt;($D71+1),"",IF(F$31=($D71+1), _xlfn.IFNA(INDEX(音調表!$J$3:$J$10, MATCH(TRUE, EXACT(MID($C71,F$31,1), 音調表!$I$3:$I$10),0)),""),MID($C71,F$31,1)))</f>
        <v>ㆦ</v>
      </c>
      <c r="G71" s="75" t="str" cm="1">
        <f t="array" ref="G71">IF(G$31&gt;($D71+1),"",IF(G$31=($D71+1), _xlfn.IFNA(INDEX(音調表!$J$3:$J$10, MATCH(TRUE, EXACT(MID($C71,G$31,1), 音調表!$I$3:$I$10),0)),""),MID($C71,G$31,1)))</f>
        <v>"</v>
      </c>
      <c r="H71" s="75" t="str" cm="1">
        <f t="array" ref="H71">IF(H$31&gt;($D71+1),"",IF(H$31=($D71+1), _xlfn.IFNA(INDEX(音調表!$J$3:$J$10, MATCH(TRUE, EXACT(MID($C71,H$31,1), 音調表!$I$3:$I$10),0)),""),MID($C71,H$31,1)))</f>
        <v/>
      </c>
      <c r="I71" s="75" t="str" cm="1">
        <f t="array" ref="I71">IF(I$31&gt;($D71+1),"",IF(I$31=($D71+1), _xlfn.IFNA(INDEX(音調表!$J$3:$J$10, MATCH(TRUE, EXACT(MID($C71,I$31,1), 音調表!$I$3:$I$10),0)),""),MID($C71,I$31,1)))</f>
        <v/>
      </c>
      <c r="J71" s="75" t="str" cm="1">
        <f t="array" ref="J71">IF(J$31&gt;($D71+1),"",IF(J$31=($D71+1), _xlfn.IFNA(INDEX(音調表!$J$3:$J$10, MATCH(TRUE, EXACT(MID($C71,J$31,1), 音調表!$I$3:$I$10),0)),""),MID($C71,J$31,1)))</f>
        <v/>
      </c>
      <c r="K71" s="75" t="str" cm="1">
        <f t="array" ref="K71">IF(K$31&gt;($D71+1),"",IF(K$31=($D71+1), _xlfn.IFNA(INDEX(音調表!$J$3:$J$10, MATCH(TRUE, EXACT(MID($C71,K$31,1), 音調表!$I$3:$I$10),0)),""),MID($C71,K$31,1)))</f>
        <v/>
      </c>
      <c r="L71" s="75" t="str" cm="1">
        <f t="array" ref="L71">IF(L$31&gt;($D71+1),"",IF(L$31=($D71+1), _xlfn.IFNA(INDEX(音調表!$J$3:$J$10, MATCH(TRUE, EXACT(MID($C71,L$31,1), 音調表!$I$3:$I$10),0)),""),MID($C71,L$31,1)))</f>
        <v/>
      </c>
      <c r="M71" s="76" t="str" cm="1">
        <f t="array" ref="M71">IF(M$31&gt;($D71+1),"",IF(M$31=($D71+1), _xlfn.IFNA(INDEX(音調表!$J$3:$J$10, MATCH(TRUE, EXACT(MID($C71,M$31,1), 音調表!$I$3:$I$10),0)),""),MID($C71,M$31,1)))</f>
        <v/>
      </c>
    </row>
    <row r="72" spans="2:16" outlineLevel="2">
      <c r="B72" s="7" t="s">
        <v>313</v>
      </c>
      <c r="C72" s="8" t="s">
        <v>322</v>
      </c>
      <c r="D72" s="9">
        <f t="shared" si="3"/>
        <v>2</v>
      </c>
      <c r="E72" s="75" t="str" cm="1">
        <f t="array" ref="E72">IF(E$31&gt;($D72+1),"",IF(E$31=($D72+1), _xlfn.IFNA(INDEX(音調表!$J$3:$J$10, MATCH(TRUE, EXACT(MID($C72,E$31,1), 音調表!$I$3:$I$10),0)),""),MID($C72,E$31,1)))</f>
        <v>ㄥ</v>
      </c>
      <c r="F72" s="75" t="str" cm="1">
        <f t="array" ref="F72">IF(F$31&gt;($D72+1),"",IF(F$31=($D72+1), _xlfn.IFNA(INDEX(音調表!$J$3:$J$10, MATCH(TRUE, EXACT(MID($C72,F$31,1), 音調表!$I$3:$I$10),0)),""),MID($C72,F$31,1)))</f>
        <v>ㄞ</v>
      </c>
      <c r="G72" s="75" t="str" cm="1">
        <f t="array" ref="G72">IF(G$31&gt;($D72+1),"",IF(G$31=($D72+1), _xlfn.IFNA(INDEX(音調表!$J$3:$J$10, MATCH(TRUE, EXACT(MID($C72,G$31,1), 音調表!$I$3:$I$10),0)),""),MID($C72,G$31,1)))</f>
        <v>"</v>
      </c>
      <c r="H72" s="75" t="str" cm="1">
        <f t="array" ref="H72">IF(H$31&gt;($D72+1),"",IF(H$31=($D72+1), _xlfn.IFNA(INDEX(音調表!$J$3:$J$10, MATCH(TRUE, EXACT(MID($C72,H$31,1), 音調表!$I$3:$I$10),0)),""),MID($C72,H$31,1)))</f>
        <v/>
      </c>
      <c r="I72" s="75" t="str" cm="1">
        <f t="array" ref="I72">IF(I$31&gt;($D72+1),"",IF(I$31=($D72+1), _xlfn.IFNA(INDEX(音調表!$J$3:$J$10, MATCH(TRUE, EXACT(MID($C72,I$31,1), 音調表!$I$3:$I$10),0)),""),MID($C72,I$31,1)))</f>
        <v/>
      </c>
      <c r="J72" s="75" t="str" cm="1">
        <f t="array" ref="J72">IF(J$31&gt;($D72+1),"",IF(J$31=($D72+1), _xlfn.IFNA(INDEX(音調表!$J$3:$J$10, MATCH(TRUE, EXACT(MID($C72,J$31,1), 音調表!$I$3:$I$10),0)),""),MID($C72,J$31,1)))</f>
        <v/>
      </c>
      <c r="K72" s="75" t="str" cm="1">
        <f t="array" ref="K72">IF(K$31&gt;($D72+1),"",IF(K$31=($D72+1), _xlfn.IFNA(INDEX(音調表!$J$3:$J$10, MATCH(TRUE, EXACT(MID($C72,K$31,1), 音調表!$I$3:$I$10),0)),""),MID($C72,K$31,1)))</f>
        <v/>
      </c>
      <c r="L72" s="75" t="str" cm="1">
        <f t="array" ref="L72">IF(L$31&gt;($D72+1),"",IF(L$31=($D72+1), _xlfn.IFNA(INDEX(音調表!$J$3:$J$10, MATCH(TRUE, EXACT(MID($C72,L$31,1), 音調表!$I$3:$I$10),0)),""),MID($C72,L$31,1)))</f>
        <v/>
      </c>
      <c r="M72" s="76" t="str" cm="1">
        <f t="array" ref="M72">IF(M$31&gt;($D72+1),"",IF(M$31=($D72+1), _xlfn.IFNA(INDEX(音調表!$J$3:$J$10, MATCH(TRUE, EXACT(MID($C72,M$31,1), 音調表!$I$3:$I$10),0)),""),MID($C72,M$31,1)))</f>
        <v/>
      </c>
    </row>
    <row r="73" spans="2:16" outlineLevel="2">
      <c r="B73" s="7" t="s">
        <v>315</v>
      </c>
      <c r="C73" s="8" t="s">
        <v>323</v>
      </c>
      <c r="D73" s="9">
        <f t="shared" si="3"/>
        <v>2</v>
      </c>
      <c r="E73" s="75" t="str" cm="1">
        <f t="array" ref="E73">IF(E$31&gt;($D73+1),"",IF(E$31=($D73+1), _xlfn.IFNA(INDEX(音調表!$J$3:$J$10, MATCH(TRUE, EXACT(MID($C73,E$31,1), 音調表!$I$3:$I$10),0)),""),MID($C73,E$31,1)))</f>
        <v>ㄥ</v>
      </c>
      <c r="F73" s="75" t="str" cm="1">
        <f t="array" ref="F73">IF(F$31&gt;($D73+1),"",IF(F$31=($D73+1), _xlfn.IFNA(INDEX(音調表!$J$3:$J$10, MATCH(TRUE, EXACT(MID($C73,F$31,1), 音調表!$I$3:$I$10),0)),""),MID($C73,F$31,1)))</f>
        <v>ㄠ</v>
      </c>
      <c r="G73" s="75" t="str" cm="1">
        <f t="array" ref="G73">IF(G$31&gt;($D73+1),"",IF(G$31=($D73+1), _xlfn.IFNA(INDEX(音調表!$J$3:$J$10, MATCH(TRUE, EXACT(MID($C73,G$31,1), 音調表!$I$3:$I$10),0)),""),MID($C73,G$31,1)))</f>
        <v>"</v>
      </c>
      <c r="H73" s="75" t="str" cm="1">
        <f t="array" ref="H73">IF(H$31&gt;($D73+1),"",IF(H$31=($D73+1), _xlfn.IFNA(INDEX(音調表!$J$3:$J$10, MATCH(TRUE, EXACT(MID($C73,H$31,1), 音調表!$I$3:$I$10),0)),""),MID($C73,H$31,1)))</f>
        <v/>
      </c>
      <c r="I73" s="75" t="str" cm="1">
        <f t="array" ref="I73">IF(I$31&gt;($D73+1),"",IF(I$31=($D73+1), _xlfn.IFNA(INDEX(音調表!$J$3:$J$10, MATCH(TRUE, EXACT(MID($C73,I$31,1), 音調表!$I$3:$I$10),0)),""),MID($C73,I$31,1)))</f>
        <v/>
      </c>
      <c r="J73" s="75" t="str" cm="1">
        <f t="array" ref="J73">IF(J$31&gt;($D73+1),"",IF(J$31=($D73+1), _xlfn.IFNA(INDEX(音調表!$J$3:$J$10, MATCH(TRUE, EXACT(MID($C73,J$31,1), 音調表!$I$3:$I$10),0)),""),MID($C73,J$31,1)))</f>
        <v/>
      </c>
      <c r="K73" s="75" t="str" cm="1">
        <f t="array" ref="K73">IF(K$31&gt;($D73+1),"",IF(K$31=($D73+1), _xlfn.IFNA(INDEX(音調表!$J$3:$J$10, MATCH(TRUE, EXACT(MID($C73,K$31,1), 音調表!$I$3:$I$10),0)),""),MID($C73,K$31,1)))</f>
        <v/>
      </c>
      <c r="L73" s="75" t="str" cm="1">
        <f t="array" ref="L73">IF(L$31&gt;($D73+1),"",IF(L$31=($D73+1), _xlfn.IFNA(INDEX(音調表!$J$3:$J$10, MATCH(TRUE, EXACT(MID($C73,L$31,1), 音調表!$I$3:$I$10),0)),""),MID($C73,L$31,1)))</f>
        <v/>
      </c>
      <c r="M73" s="76" t="str" cm="1">
        <f t="array" ref="M73">IF(M$31&gt;($D73+1),"",IF(M$31=($D73+1), _xlfn.IFNA(INDEX(音調表!$J$3:$J$10, MATCH(TRUE, EXACT(MID($C73,M$31,1), 音調表!$I$3:$I$10),0)),""),MID($C73,M$31,1)))</f>
        <v/>
      </c>
    </row>
    <row r="74" spans="2:16" outlineLevel="2">
      <c r="B74" s="7" t="s">
        <v>324</v>
      </c>
      <c r="C74" s="8" t="s">
        <v>323</v>
      </c>
      <c r="D74" s="9">
        <f t="shared" si="3"/>
        <v>2</v>
      </c>
      <c r="E74" s="75" t="str" cm="1">
        <f t="array" ref="E74">IF(E$31&gt;($D74+1),"",IF(E$31=($D74+1), _xlfn.IFNA(INDEX(音調表!$J$3:$J$10, MATCH(TRUE, EXACT(MID($C74,E$31,1), 音調表!$I$3:$I$10),0)),""),MID($C74,E$31,1)))</f>
        <v>ㄥ</v>
      </c>
      <c r="F74" s="75" t="str" cm="1">
        <f t="array" ref="F74">IF(F$31&gt;($D74+1),"",IF(F$31=($D74+1), _xlfn.IFNA(INDEX(音調表!$J$3:$J$10, MATCH(TRUE, EXACT(MID($C74,F$31,1), 音調表!$I$3:$I$10),0)),""),MID($C74,F$31,1)))</f>
        <v>ㄠ</v>
      </c>
      <c r="G74" s="75" t="str" cm="1">
        <f t="array" ref="G74">IF(G$31&gt;($D74+1),"",IF(G$31=($D74+1), _xlfn.IFNA(INDEX(音調表!$J$3:$J$10, MATCH(TRUE, EXACT(MID($C74,G$31,1), 音調表!$I$3:$I$10),0)),""),MID($C74,G$31,1)))</f>
        <v>"</v>
      </c>
      <c r="H74" s="75" t="str" cm="1">
        <f t="array" ref="H74">IF(H$31&gt;($D74+1),"",IF(H$31=($D74+1), _xlfn.IFNA(INDEX(音調表!$J$3:$J$10, MATCH(TRUE, EXACT(MID($C74,H$31,1), 音調表!$I$3:$I$10),0)),""),MID($C74,H$31,1)))</f>
        <v/>
      </c>
      <c r="I74" s="75" t="str" cm="1">
        <f t="array" ref="I74">IF(I$31&gt;($D74+1),"",IF(I$31=($D74+1), _xlfn.IFNA(INDEX(音調表!$J$3:$J$10, MATCH(TRUE, EXACT(MID($C74,I$31,1), 音調表!$I$3:$I$10),0)),""),MID($C74,I$31,1)))</f>
        <v/>
      </c>
      <c r="J74" s="75" t="str" cm="1">
        <f t="array" ref="J74">IF(J$31&gt;($D74+1),"",IF(J$31=($D74+1), _xlfn.IFNA(INDEX(音調表!$J$3:$J$10, MATCH(TRUE, EXACT(MID($C74,J$31,1), 音調表!$I$3:$I$10),0)),""),MID($C74,J$31,1)))</f>
        <v/>
      </c>
      <c r="K74" s="75" t="str" cm="1">
        <f t="array" ref="K74">IF(K$31&gt;($D74+1),"",IF(K$31=($D74+1), _xlfn.IFNA(INDEX(音調表!$J$3:$J$10, MATCH(TRUE, EXACT(MID($C74,K$31,1), 音調表!$I$3:$I$10),0)),""),MID($C74,K$31,1)))</f>
        <v/>
      </c>
      <c r="L74" s="75" t="str" cm="1">
        <f t="array" ref="L74">IF(L$31&gt;($D74+1),"",IF(L$31=($D74+1), _xlfn.IFNA(INDEX(音調表!$J$3:$J$10, MATCH(TRUE, EXACT(MID($C74,L$31,1), 音調表!$I$3:$I$10),0)),""),MID($C74,L$31,1)))</f>
        <v/>
      </c>
      <c r="M74" s="76" t="str" cm="1">
        <f t="array" ref="M74">IF(M$31&gt;($D74+1),"",IF(M$31=($D74+1), _xlfn.IFNA(INDEX(音調表!$J$3:$J$10, MATCH(TRUE, EXACT(MID($C74,M$31,1), 音調表!$I$3:$I$10),0)),""),MID($C74,M$31,1)))</f>
        <v/>
      </c>
    </row>
    <row r="75" spans="2:16" outlineLevel="2">
      <c r="B75" s="7" t="s">
        <v>325</v>
      </c>
      <c r="C75" s="8" t="s">
        <v>326</v>
      </c>
      <c r="D75" s="9">
        <f t="shared" si="3"/>
        <v>3</v>
      </c>
      <c r="E75" s="75" t="str" cm="1">
        <f t="array" ref="E75">IF(E$31&gt;($D75+1),"",IF(E$31=($D75+1), _xlfn.IFNA(INDEX(音調表!$J$3:$J$10, MATCH(TRUE, EXACT(MID($C75,E$31,1), 音調表!$I$3:$I$10),0)),""),MID($C75,E$31,1)))</f>
        <v>ㄏ</v>
      </c>
      <c r="F75" s="75" t="str" cm="1">
        <f t="array" ref="F75">IF(F$31&gt;($D75+1),"",IF(F$31=($D75+1), _xlfn.IFNA(INDEX(音調表!$J$3:$J$10, MATCH(TRUE, EXACT(MID($C75,F$31,1), 音調表!$I$3:$I$10),0)),""),MID($C75,F$31,1)))</f>
        <v>ㄧ</v>
      </c>
      <c r="G75" s="75" t="str" cm="1">
        <f t="array" ref="G75">IF(G$31&gt;($D75+1),"",IF(G$31=($D75+1), _xlfn.IFNA(INDEX(音調表!$J$3:$J$10, MATCH(TRUE, EXACT(MID($C75,G$31,1), 音調表!$I$3:$I$10),0)),""),MID($C75,G$31,1)))</f>
        <v>ㆧ</v>
      </c>
      <c r="H75" s="75" t="str" cm="1">
        <f t="array" ref="H75">IF(H$31&gt;($D75+1),"",IF(H$31=($D75+1), _xlfn.IFNA(INDEX(音調表!$J$3:$J$10, MATCH(TRUE, EXACT(MID($C75,H$31,1), 音調表!$I$3:$I$10),0)),""),MID($C75,H$31,1)))</f>
        <v>"</v>
      </c>
      <c r="I75" s="75" t="str" cm="1">
        <f t="array" ref="I75">IF(I$31&gt;($D75+1),"",IF(I$31=($D75+1), _xlfn.IFNA(INDEX(音調表!$J$3:$J$10, MATCH(TRUE, EXACT(MID($C75,I$31,1), 音調表!$I$3:$I$10),0)),""),MID($C75,I$31,1)))</f>
        <v/>
      </c>
      <c r="J75" s="75" t="str" cm="1">
        <f t="array" ref="J75">IF(J$31&gt;($D75+1),"",IF(J$31=($D75+1), _xlfn.IFNA(INDEX(音調表!$J$3:$J$10, MATCH(TRUE, EXACT(MID($C75,J$31,1), 音調表!$I$3:$I$10),0)),""),MID($C75,J$31,1)))</f>
        <v/>
      </c>
      <c r="K75" s="75" t="str" cm="1">
        <f t="array" ref="K75">IF(K$31&gt;($D75+1),"",IF(K$31=($D75+1), _xlfn.IFNA(INDEX(音調表!$J$3:$J$10, MATCH(TRUE, EXACT(MID($C75,K$31,1), 音調表!$I$3:$I$10),0)),""),MID($C75,K$31,1)))</f>
        <v/>
      </c>
      <c r="L75" s="75" t="str" cm="1">
        <f t="array" ref="L75">IF(L$31&gt;($D75+1),"",IF(L$31=($D75+1), _xlfn.IFNA(INDEX(音調表!$J$3:$J$10, MATCH(TRUE, EXACT(MID($C75,L$31,1), 音調表!$I$3:$I$10),0)),""),MID($C75,L$31,1)))</f>
        <v/>
      </c>
      <c r="M75" s="76" t="str" cm="1">
        <f t="array" ref="M75">IF(M$31&gt;($D75+1),"",IF(M$31=($D75+1), _xlfn.IFNA(INDEX(音調表!$J$3:$J$10, MATCH(TRUE, EXACT(MID($C75,M$31,1), 音調表!$I$3:$I$10),0)),""),MID($C75,M$31,1)))</f>
        <v/>
      </c>
    </row>
    <row r="76" spans="2:16" outlineLevel="2">
      <c r="B76" s="7" t="s">
        <v>325</v>
      </c>
      <c r="C76" s="8" t="s">
        <v>332</v>
      </c>
      <c r="D76" s="9">
        <f t="shared" si="3"/>
        <v>3</v>
      </c>
      <c r="E76" s="75" t="str" cm="1">
        <f t="array" ref="E76">IF(E$31&gt;($D76+1),"",IF(E$31=($D76+1), _xlfn.IFNA(INDEX(音調表!$J$3:$J$10, MATCH(TRUE, EXACT(MID($C76,E$31,1), 音調表!$I$3:$I$10),0)),""),MID($C76,E$31,1)))</f>
        <v>ㄏ</v>
      </c>
      <c r="F76" s="75" t="str" cm="1">
        <f t="array" ref="F76">IF(F$31&gt;($D76+1),"",IF(F$31=($D76+1), _xlfn.IFNA(INDEX(音調表!$J$3:$J$10, MATCH(TRUE, EXACT(MID($C76,F$31,1), 音調表!$I$3:$I$10),0)),""),MID($C76,F$31,1)))</f>
        <v>ㄧ</v>
      </c>
      <c r="G76" s="75" t="str" cm="1">
        <f t="array" ref="G76">IF(G$31&gt;($D76+1),"",IF(G$31=($D76+1), _xlfn.IFNA(INDEX(音調表!$J$3:$J$10, MATCH(TRUE, EXACT(MID($C76,G$31,1), 音調表!$I$3:$I$10),0)),""),MID($C76,G$31,1)))</f>
        <v>ㆫ</v>
      </c>
      <c r="H76" s="75" t="str" cm="1">
        <f t="array" ref="H76">IF(H$31&gt;($D76+1),"",IF(H$31=($D76+1), _xlfn.IFNA(INDEX(音調表!$J$3:$J$10, MATCH(TRUE, EXACT(MID($C76,H$31,1), 音調表!$I$3:$I$10),0)),""),MID($C76,H$31,1)))</f>
        <v>"</v>
      </c>
      <c r="I76" s="75" t="str" cm="1">
        <f t="array" ref="I76">IF(I$31&gt;($D76+1),"",IF(I$31=($D76+1), _xlfn.IFNA(INDEX(音調表!$J$3:$J$10, MATCH(TRUE, EXACT(MID($C76,I$31,1), 音調表!$I$3:$I$10),0)),""),MID($C76,I$31,1)))</f>
        <v/>
      </c>
      <c r="J76" s="75" t="str" cm="1">
        <f t="array" ref="J76">IF(J$31&gt;($D76+1),"",IF(J$31=($D76+1), _xlfn.IFNA(INDEX(音調表!$J$3:$J$10, MATCH(TRUE, EXACT(MID($C76,J$31,1), 音調表!$I$3:$I$10),0)),""),MID($C76,J$31,1)))</f>
        <v/>
      </c>
      <c r="K76" s="75" t="str" cm="1">
        <f t="array" ref="K76">IF(K$31&gt;($D76+1),"",IF(K$31=($D76+1), _xlfn.IFNA(INDEX(音調表!$J$3:$J$10, MATCH(TRUE, EXACT(MID($C76,K$31,1), 音調表!$I$3:$I$10),0)),""),MID($C76,K$31,1)))</f>
        <v/>
      </c>
      <c r="L76" s="75" t="str" cm="1">
        <f t="array" ref="L76">IF(L$31&gt;($D76+1),"",IF(L$31=($D76+1), _xlfn.IFNA(INDEX(音調表!$J$3:$J$10, MATCH(TRUE, EXACT(MID($C76,L$31,1), 音調表!$I$3:$I$10),0)),""),MID($C76,L$31,1)))</f>
        <v/>
      </c>
      <c r="M76" s="76" t="str" cm="1">
        <f t="array" ref="M76">IF(M$31&gt;($D76+1),"",IF(M$31=($D76+1), _xlfn.IFNA(INDEX(音調表!$J$3:$J$10, MATCH(TRUE, EXACT(MID($C76,M$31,1), 音調表!$I$3:$I$10),0)),""),MID($C76,M$31,1)))</f>
        <v/>
      </c>
    </row>
    <row r="77" spans="2:16" outlineLevel="2">
      <c r="B77" s="7" t="s">
        <v>333</v>
      </c>
      <c r="C77" s="8" t="s">
        <v>335</v>
      </c>
      <c r="D77" s="9">
        <f t="shared" si="3"/>
        <v>5</v>
      </c>
      <c r="E77" s="75" t="str" cm="1">
        <f t="array" ref="E77">IF(E$31&gt;($D77+1),"",IF(E$31=($D77+1), _xlfn.IFNA(INDEX(音調表!$J$3:$J$10, MATCH(TRUE, EXACT(MID($C77,E$31,1), 音調表!$I$3:$I$10),0)),""),MID($C77,E$31,1)))</f>
        <v>ㆢ</v>
      </c>
      <c r="F77" s="75" t="str" cm="1">
        <f t="array" ref="F77">IF(F$31&gt;($D77+1),"",IF(F$31=($D77+1), _xlfn.IFNA(INDEX(音調表!$J$3:$J$10, MATCH(TRUE, EXACT(MID($C77,F$31,1), 音調表!$I$3:$I$10),0)),""),MID($C77,F$31,1)))</f>
        <v>ㄥ</v>
      </c>
      <c r="G77" s="75" t="str" cm="1">
        <f t="array" ref="G77">IF(G$31&gt;($D77+1),"",IF(G$31=($D77+1), _xlfn.IFNA(INDEX(音調表!$J$3:$J$10, MATCH(TRUE, EXACT(MID($C77,G$31,1), 音調表!$I$3:$I$10),0)),""),MID($C77,G$31,1)))</f>
        <v>ㄧ</v>
      </c>
      <c r="H77" s="75" t="str" cm="1">
        <f t="array" ref="H77">IF(H$31&gt;($D77+1),"",IF(H$31=($D77+1), _xlfn.IFNA(INDEX(音調表!$J$3:$J$10, MATCH(TRUE, EXACT(MID($C77,H$31,1), 音調表!$I$3:$I$10),0)),""),MID($C77,H$31,1)))</f>
        <v>ㄠ</v>
      </c>
      <c r="I77" s="75" t="str" cm="1">
        <f t="array" ref="I77">IF(I$31&gt;($D77+1),"",IF(I$31=($D77+1), _xlfn.IFNA(INDEX(音調表!$J$3:$J$10, MATCH(TRUE, EXACT(MID($C77,I$31,1), 音調表!$I$3:$I$10),0)),""),MID($C77,I$31,1)))</f>
        <v>ˋ</v>
      </c>
      <c r="J77" s="75" t="str" cm="1">
        <f t="array" ref="J77">IF(J$31&gt;($D77+1),"",IF(J$31=($D77+1), _xlfn.IFNA(INDEX(音調表!$J$3:$J$10, MATCH(TRUE, EXACT(MID($C77,J$31,1), 音調表!$I$3:$I$10),0)),""),MID($C77,J$31,1)))</f>
        <v>"</v>
      </c>
      <c r="K77" s="75" t="str" cm="1">
        <f t="array" ref="K77">IF(K$31&gt;($D77+1),"",IF(K$31=($D77+1), _xlfn.IFNA(INDEX(音調表!$J$3:$J$10, MATCH(TRUE, EXACT(MID($C77,K$31,1), 音調表!$I$3:$I$10),0)),""),MID($C77,K$31,1)))</f>
        <v/>
      </c>
      <c r="L77" s="75" t="str" cm="1">
        <f t="array" ref="L77">IF(L$31&gt;($D77+1),"",IF(L$31=($D77+1), _xlfn.IFNA(INDEX(音調表!$J$3:$J$10, MATCH(TRUE, EXACT(MID($C77,L$31,1), 音調表!$I$3:$I$10),0)),""),MID($C77,L$31,1)))</f>
        <v/>
      </c>
      <c r="M77" s="76" t="str" cm="1">
        <f t="array" ref="M77">IF(M$31&gt;($D77+1),"",IF(M$31=($D77+1), _xlfn.IFNA(INDEX(音調表!$J$3:$J$10, MATCH(TRUE, EXACT(MID($C77,M$31,1), 音調表!$I$3:$I$10),0)),""),MID($C77,M$31,1)))</f>
        <v/>
      </c>
    </row>
    <row r="78" spans="2:16" outlineLevel="2">
      <c r="B78" s="7" t="s">
        <v>328</v>
      </c>
      <c r="C78" s="8" t="s">
        <v>336</v>
      </c>
      <c r="D78" s="9">
        <f t="shared" si="3"/>
        <v>4</v>
      </c>
      <c r="E78" s="75" t="str" cm="1">
        <f t="array" ref="E78">IF(E$31&gt;($D78+1),"",IF(E$31=($D78+1), _xlfn.IFNA(INDEX(音調表!$J$3:$J$10, MATCH(TRUE, EXACT(MID($C78,E$31,1), 音調表!$I$3:$I$10),0)),""),MID($C78,E$31,1)))</f>
        <v>ㄍ</v>
      </c>
      <c r="F78" s="75" t="str" cm="1">
        <f t="array" ref="F78">IF(F$31&gt;($D78+1),"",IF(F$31=($D78+1), _xlfn.IFNA(INDEX(音調表!$J$3:$J$10, MATCH(TRUE, EXACT(MID($C78,F$31,1), 音調表!$I$3:$I$10),0)),""),MID($C78,F$31,1)))</f>
        <v>ㄥ</v>
      </c>
      <c r="G78" s="75" t="str" cm="1">
        <f t="array" ref="G78">IF(G$31&gt;($D78+1),"",IF(G$31=($D78+1), _xlfn.IFNA(INDEX(音調表!$J$3:$J$10, MATCH(TRUE, EXACT(MID($C78,G$31,1), 音調表!$I$3:$I$10),0)),""),MID($C78,G$31,1)))</f>
        <v>ㄨ</v>
      </c>
      <c r="H78" s="75" t="str" cm="1">
        <f t="array" ref="H78">IF(H$31&gt;($D78+1),"",IF(H$31=($D78+1), _xlfn.IFNA(INDEX(音調表!$J$3:$J$10, MATCH(TRUE, EXACT(MID($C78,H$31,1), 音調表!$I$3:$I$10),0)),""),MID($C78,H$31,1)))</f>
        <v>ㄚ</v>
      </c>
      <c r="I78" s="75" t="str" cm="1">
        <f t="array" ref="I78">IF(I$31&gt;($D78+1),"",IF(I$31=($D78+1), _xlfn.IFNA(INDEX(音調表!$J$3:$J$10, MATCH(TRUE, EXACT(MID($C78,I$31,1), 音調表!$I$3:$I$10),0)),""),MID($C78,I$31,1)))</f>
        <v>"</v>
      </c>
      <c r="J78" s="75" t="str" cm="1">
        <f t="array" ref="J78">IF(J$31&gt;($D78+1),"",IF(J$31=($D78+1), _xlfn.IFNA(INDEX(音調表!$J$3:$J$10, MATCH(TRUE, EXACT(MID($C78,J$31,1), 音調表!$I$3:$I$10),0)),""),MID($C78,J$31,1)))</f>
        <v/>
      </c>
      <c r="K78" s="75" t="str" cm="1">
        <f t="array" ref="K78">IF(K$31&gt;($D78+1),"",IF(K$31=($D78+1), _xlfn.IFNA(INDEX(音調表!$J$3:$J$10, MATCH(TRUE, EXACT(MID($C78,K$31,1), 音調表!$I$3:$I$10),0)),""),MID($C78,K$31,1)))</f>
        <v/>
      </c>
      <c r="L78" s="75" t="str" cm="1">
        <f t="array" ref="L78">IF(L$31&gt;($D78+1),"",IF(L$31=($D78+1), _xlfn.IFNA(INDEX(音調表!$J$3:$J$10, MATCH(TRUE, EXACT(MID($C78,L$31,1), 音調表!$I$3:$I$10),0)),""),MID($C78,L$31,1)))</f>
        <v/>
      </c>
      <c r="M78" s="76" t="str" cm="1">
        <f t="array" ref="M78">IF(M$31&gt;($D78+1),"",IF(M$31=($D78+1), _xlfn.IFNA(INDEX(音調表!$J$3:$J$10, MATCH(TRUE, EXACT(MID($C78,M$31,1), 音調表!$I$3:$I$10),0)),""),MID($C78,M$31,1)))</f>
        <v/>
      </c>
    </row>
    <row r="79" spans="2:16" outlineLevel="2">
      <c r="B79" s="7" t="s">
        <v>329</v>
      </c>
      <c r="C79" s="8" t="s">
        <v>337</v>
      </c>
      <c r="D79" s="9">
        <f t="shared" si="3"/>
        <v>4</v>
      </c>
      <c r="E79" s="75" t="str" cm="1">
        <f t="array" ref="E79">IF(E$31&gt;($D79+1),"",IF(E$31=($D79+1), _xlfn.IFNA(INDEX(音調表!$J$3:$J$10, MATCH(TRUE, EXACT(MID($C79,E$31,1), 音調表!$I$3:$I$10),0)),""),MID($C79,E$31,1)))</f>
        <v>ㄍ</v>
      </c>
      <c r="F79" s="75" t="str" cm="1">
        <f t="array" ref="F79">IF(F$31&gt;($D79+1),"",IF(F$31=($D79+1), _xlfn.IFNA(INDEX(音調表!$J$3:$J$10, MATCH(TRUE, EXACT(MID($C79,F$31,1), 音調表!$I$3:$I$10),0)),""),MID($C79,F$31,1)))</f>
        <v>ㄥ</v>
      </c>
      <c r="G79" s="75" t="str" cm="1">
        <f t="array" ref="G79">IF(G$31&gt;($D79+1),"",IF(G$31=($D79+1), _xlfn.IFNA(INDEX(音調表!$J$3:$J$10, MATCH(TRUE, EXACT(MID($C79,G$31,1), 音調表!$I$3:$I$10),0)),""),MID($C79,G$31,1)))</f>
        <v>ㄨ</v>
      </c>
      <c r="H79" s="75" t="str" cm="1">
        <f t="array" ref="H79">IF(H$31&gt;($D79+1),"",IF(H$31=($D79+1), _xlfn.IFNA(INDEX(音調表!$J$3:$J$10, MATCH(TRUE, EXACT(MID($C79,H$31,1), 音調表!$I$3:$I$10),0)),""),MID($C79,H$31,1)))</f>
        <v>ㄞ</v>
      </c>
      <c r="I79" s="75" t="str" cm="1">
        <f t="array" ref="I79">IF(I$31&gt;($D79+1),"",IF(I$31=($D79+1), _xlfn.IFNA(INDEX(音調表!$J$3:$J$10, MATCH(TRUE, EXACT(MID($C79,I$31,1), 音調表!$I$3:$I$10),0)),""),MID($C79,I$31,1)))</f>
        <v>"</v>
      </c>
      <c r="J79" s="75" t="str" cm="1">
        <f t="array" ref="J79">IF(J$31&gt;($D79+1),"",IF(J$31=($D79+1), _xlfn.IFNA(INDEX(音調表!$J$3:$J$10, MATCH(TRUE, EXACT(MID($C79,J$31,1), 音調表!$I$3:$I$10),0)),""),MID($C79,J$31,1)))</f>
        <v/>
      </c>
      <c r="K79" s="75" t="str" cm="1">
        <f t="array" ref="K79">IF(K$31&gt;($D79+1),"",IF(K$31=($D79+1), _xlfn.IFNA(INDEX(音調表!$J$3:$J$10, MATCH(TRUE, EXACT(MID($C79,K$31,1), 音調表!$I$3:$I$10),0)),""),MID($C79,K$31,1)))</f>
        <v/>
      </c>
      <c r="L79" s="75" t="str" cm="1">
        <f t="array" ref="L79">IF(L$31&gt;($D79+1),"",IF(L$31=($D79+1), _xlfn.IFNA(INDEX(音調表!$J$3:$J$10, MATCH(TRUE, EXACT(MID($C79,L$31,1), 音調表!$I$3:$I$10),0)),""),MID($C79,L$31,1)))</f>
        <v/>
      </c>
      <c r="M79" s="76" t="str" cm="1">
        <f t="array" ref="M79">IF(M$31&gt;($D79+1),"",IF(M$31=($D79+1), _xlfn.IFNA(INDEX(音調表!$J$3:$J$10, MATCH(TRUE, EXACT(MID($C79,M$31,1), 音調表!$I$3:$I$10),0)),""),MID($C79,M$31,1)))</f>
        <v/>
      </c>
    </row>
    <row r="80" spans="2:16" outlineLevel="2">
      <c r="B80" s="7" t="s">
        <v>330</v>
      </c>
      <c r="C80" s="8" t="s">
        <v>336</v>
      </c>
      <c r="D80" s="9">
        <f t="shared" si="3"/>
        <v>4</v>
      </c>
      <c r="E80" s="75" t="str" cm="1">
        <f t="array" ref="E80">IF(E$31&gt;($D80+1),"",IF(E$31=($D80+1), _xlfn.IFNA(INDEX(音調表!$J$3:$J$10, MATCH(TRUE, EXACT(MID($C80,E$31,1), 音調表!$I$3:$I$10),0)),""),MID($C80,E$31,1)))</f>
        <v>ㄍ</v>
      </c>
      <c r="F80" s="75" t="str" cm="1">
        <f t="array" ref="F80">IF(F$31&gt;($D80+1),"",IF(F$31=($D80+1), _xlfn.IFNA(INDEX(音調表!$J$3:$J$10, MATCH(TRUE, EXACT(MID($C80,F$31,1), 音調表!$I$3:$I$10),0)),""),MID($C80,F$31,1)))</f>
        <v>ㄥ</v>
      </c>
      <c r="G80" s="75" t="str" cm="1">
        <f t="array" ref="G80">IF(G$31&gt;($D80+1),"",IF(G$31=($D80+1), _xlfn.IFNA(INDEX(音調表!$J$3:$J$10, MATCH(TRUE, EXACT(MID($C80,G$31,1), 音調表!$I$3:$I$10),0)),""),MID($C80,G$31,1)))</f>
        <v>ㄨ</v>
      </c>
      <c r="H80" s="75" t="str" cm="1">
        <f t="array" ref="H80">IF(H$31&gt;($D80+1),"",IF(H$31=($D80+1), _xlfn.IFNA(INDEX(音調表!$J$3:$J$10, MATCH(TRUE, EXACT(MID($C80,H$31,1), 音調表!$I$3:$I$10),0)),""),MID($C80,H$31,1)))</f>
        <v>ㄚ</v>
      </c>
      <c r="I80" s="75" t="str" cm="1">
        <f t="array" ref="I80">IF(I$31&gt;($D80+1),"",IF(I$31=($D80+1), _xlfn.IFNA(INDEX(音調表!$J$3:$J$10, MATCH(TRUE, EXACT(MID($C80,I$31,1), 音調表!$I$3:$I$10),0)),""),MID($C80,I$31,1)))</f>
        <v>"</v>
      </c>
      <c r="J80" s="75" t="str" cm="1">
        <f t="array" ref="J80">IF(J$31&gt;($D80+1),"",IF(J$31=($D80+1), _xlfn.IFNA(INDEX(音調表!$J$3:$J$10, MATCH(TRUE, EXACT(MID($C80,J$31,1), 音調表!$I$3:$I$10),0)),""),MID($C80,J$31,1)))</f>
        <v/>
      </c>
      <c r="K80" s="75" t="str" cm="1">
        <f t="array" ref="K80">IF(K$31&gt;($D80+1),"",IF(K$31=($D80+1), _xlfn.IFNA(INDEX(音調表!$J$3:$J$10, MATCH(TRUE, EXACT(MID($C80,K$31,1), 音調表!$I$3:$I$10),0)),""),MID($C80,K$31,1)))</f>
        <v/>
      </c>
      <c r="L80" s="75" t="str" cm="1">
        <f t="array" ref="L80">IF(L$31&gt;($D80+1),"",IF(L$31=($D80+1), _xlfn.IFNA(INDEX(音調表!$J$3:$J$10, MATCH(TRUE, EXACT(MID($C80,L$31,1), 音調表!$I$3:$I$10),0)),""),MID($C80,L$31,1)))</f>
        <v/>
      </c>
      <c r="M80" s="76" t="str" cm="1">
        <f t="array" ref="M80">IF(M$31&gt;($D80+1),"",IF(M$31=($D80+1), _xlfn.IFNA(INDEX(音調表!$J$3:$J$10, MATCH(TRUE, EXACT(MID($C80,M$31,1), 音調表!$I$3:$I$10),0)),""),MID($C80,M$31,1)))</f>
        <v/>
      </c>
    </row>
    <row r="81" spans="2:13" outlineLevel="1"/>
    <row r="82" spans="2:13">
      <c r="B82" s="78" t="s">
        <v>338</v>
      </c>
    </row>
    <row r="83" spans="2:13" outlineLevel="1"/>
    <row r="84" spans="2:13" outlineLevel="1">
      <c r="B84" s="77" t="s">
        <v>292</v>
      </c>
    </row>
    <row r="85" spans="2:13" hidden="1" outlineLevel="2">
      <c r="B85" s="125" t="s">
        <v>4</v>
      </c>
      <c r="C85" s="126" t="s">
        <v>195</v>
      </c>
      <c r="D85" s="125" t="s">
        <v>8</v>
      </c>
      <c r="E85" s="127" t="s">
        <v>36</v>
      </c>
      <c r="F85" s="128"/>
      <c r="G85" s="128"/>
      <c r="H85" s="128"/>
      <c r="I85" s="128"/>
      <c r="J85" s="128"/>
      <c r="K85" s="128"/>
      <c r="L85" s="128"/>
      <c r="M85" s="129"/>
    </row>
    <row r="86" spans="2:13" hidden="1" outlineLevel="2">
      <c r="B86" s="125"/>
      <c r="C86" s="125"/>
      <c r="D86" s="125"/>
      <c r="E86" s="4">
        <v>1</v>
      </c>
      <c r="F86" s="5">
        <v>2</v>
      </c>
      <c r="G86" s="5">
        <v>3</v>
      </c>
      <c r="H86" s="5">
        <v>4</v>
      </c>
      <c r="I86" s="5">
        <v>5</v>
      </c>
      <c r="J86" s="5">
        <v>6</v>
      </c>
      <c r="K86" s="5">
        <v>7</v>
      </c>
      <c r="L86" s="5">
        <v>8</v>
      </c>
      <c r="M86" s="6">
        <v>9</v>
      </c>
    </row>
    <row r="87" spans="2:13" hidden="1" outlineLevel="2">
      <c r="B87" s="7" t="s">
        <v>339</v>
      </c>
      <c r="C87" s="8" t="s">
        <v>340</v>
      </c>
      <c r="D87" s="9">
        <f>IF( LEN(C87)&gt;0, LEN(C87), "")</f>
        <v>2</v>
      </c>
      <c r="E87" s="75" t="str" cm="1">
        <f t="array" ref="E87">IF(E$31&gt;($D87+1),"",IF(E$31=($D87+1), _xlfn.IFNA(INDEX(音調表!$J$3:$J$10, MATCH(TRUE, EXACT(MID($C87,E$31,1), 音調表!$I$3:$I$10),0)),""),MID($C87,E$31,1)))</f>
        <v>ㄎ</v>
      </c>
      <c r="F87" s="75" t="str" cm="1">
        <f t="array" ref="F87">IF(F$31&gt;($D87+1),"",IF(F$31=($D87+1), _xlfn.IFNA(INDEX(音調表!$J$3:$J$10, MATCH(TRUE, EXACT(MID($C87,F$31,1), 音調表!$I$3:$I$10),0)),""),MID($C87,F$31,1)))</f>
        <v>ㆰ</v>
      </c>
      <c r="G87" s="75" t="str" cm="1">
        <f t="array" ref="G87">IF(G$31&gt;($D87+1),"",IF(G$31=($D87+1), _xlfn.IFNA(INDEX(音調表!$J$3:$J$10, MATCH(TRUE, EXACT(MID($C87,G$31,1), 音調表!$I$3:$I$10),0)),""),MID($C87,G$31,1)))</f>
        <v>"</v>
      </c>
      <c r="H87" s="75" t="str" cm="1">
        <f t="array" ref="H87">IF(H$31&gt;($D87+1),"",IF(H$31=($D87+1), _xlfn.IFNA(INDEX(音調表!$J$3:$J$10, MATCH(TRUE, EXACT(MID($C87,H$31,1), 音調表!$I$3:$I$10),0)),""),MID($C87,H$31,1)))</f>
        <v/>
      </c>
      <c r="I87" s="75" t="str" cm="1">
        <f t="array" ref="I87">IF(I$31&gt;($D87+1),"",IF(I$31=($D87+1), _xlfn.IFNA(INDEX(音調表!$J$3:$J$10, MATCH(TRUE, EXACT(MID($C87,I$31,1), 音調表!$I$3:$I$10),0)),""),MID($C87,I$31,1)))</f>
        <v/>
      </c>
      <c r="J87" s="75" t="str" cm="1">
        <f t="array" ref="J87">IF(J$31&gt;($D87+1),"",IF(J$31=($D87+1), _xlfn.IFNA(INDEX(音調表!$J$3:$J$10, MATCH(TRUE, EXACT(MID($C87,J$31,1), 音調表!$I$3:$I$10),0)),""),MID($C87,J$31,1)))</f>
        <v/>
      </c>
      <c r="K87" s="75" t="str" cm="1">
        <f t="array" ref="K87">IF(K$31&gt;($D87+1),"",IF(K$31=($D87+1), _xlfn.IFNA(INDEX(音調表!$J$3:$J$10, MATCH(TRUE, EXACT(MID($C87,K$31,1), 音調表!$I$3:$I$10),0)),""),MID($C87,K$31,1)))</f>
        <v/>
      </c>
      <c r="L87" s="75" t="str" cm="1">
        <f t="array" ref="L87">IF(L$31&gt;($D87+1),"",IF(L$31=($D87+1), _xlfn.IFNA(INDEX(音調表!$J$3:$J$10, MATCH(TRUE, EXACT(MID($C87,L$31,1), 音調表!$I$3:$I$10),0)),""),MID($C87,L$31,1)))</f>
        <v/>
      </c>
      <c r="M87" s="76" t="str" cm="1">
        <f t="array" ref="M87">IF(M$31&gt;($D87+1),"",IF(M$31=($D87+1), _xlfn.IFNA(INDEX(音調表!$J$3:$J$10, MATCH(TRUE, EXACT(MID($C87,M$31,1), 音調表!$I$3:$I$10),0)),""),MID($C87,M$31,1)))</f>
        <v/>
      </c>
    </row>
    <row r="88" spans="2:13" hidden="1" outlineLevel="2">
      <c r="B88" s="7" t="s">
        <v>342</v>
      </c>
      <c r="C88" s="8" t="s">
        <v>341</v>
      </c>
      <c r="D88" s="9">
        <f t="shared" ref="D88:D90" si="4">IF( LEN(C88)&gt;0, LEN(C88), "")</f>
        <v>2</v>
      </c>
      <c r="E88" s="75" t="str" cm="1">
        <f t="array" ref="E88">IF(E$31&gt;($D88+1),"",IF(E$31=($D88+1), _xlfn.IFNA(INDEX(音調表!$J$3:$J$10, MATCH(TRUE, EXACT(MID($C88,E$31,1), 音調表!$I$3:$I$10),0)),""),MID($C88,E$31,1)))</f>
        <v>ㄉ</v>
      </c>
      <c r="F88" s="75" t="str" cm="1">
        <f t="array" ref="F88">IF(F$31&gt;($D88+1),"",IF(F$31=($D88+1), _xlfn.IFNA(INDEX(音調表!$J$3:$J$10, MATCH(TRUE, EXACT(MID($C88,F$31,1), 音調表!$I$3:$I$10),0)),""),MID($C88,F$31,1)))</f>
        <v>ㆱ</v>
      </c>
      <c r="G88" s="75" t="str" cm="1">
        <f t="array" ref="G88">IF(G$31&gt;($D88+1),"",IF(G$31=($D88+1), _xlfn.IFNA(INDEX(音調表!$J$3:$J$10, MATCH(TRUE, EXACT(MID($C88,G$31,1), 音調表!$I$3:$I$10),0)),""),MID($C88,G$31,1)))</f>
        <v>"</v>
      </c>
      <c r="H88" s="75" t="str" cm="1">
        <f t="array" ref="H88">IF(H$31&gt;($D88+1),"",IF(H$31=($D88+1), _xlfn.IFNA(INDEX(音調表!$J$3:$J$10, MATCH(TRUE, EXACT(MID($C88,H$31,1), 音調表!$I$3:$I$10),0)),""),MID($C88,H$31,1)))</f>
        <v/>
      </c>
      <c r="I88" s="75" t="str" cm="1">
        <f t="array" ref="I88">IF(I$31&gt;($D88+1),"",IF(I$31=($D88+1), _xlfn.IFNA(INDEX(音調表!$J$3:$J$10, MATCH(TRUE, EXACT(MID($C88,I$31,1), 音調表!$I$3:$I$10),0)),""),MID($C88,I$31,1)))</f>
        <v/>
      </c>
      <c r="J88" s="75" t="str" cm="1">
        <f t="array" ref="J88">IF(J$31&gt;($D88+1),"",IF(J$31=($D88+1), _xlfn.IFNA(INDEX(音調表!$J$3:$J$10, MATCH(TRUE, EXACT(MID($C88,J$31,1), 音調表!$I$3:$I$10),0)),""),MID($C88,J$31,1)))</f>
        <v/>
      </c>
      <c r="K88" s="75" t="str" cm="1">
        <f t="array" ref="K88">IF(K$31&gt;($D88+1),"",IF(K$31=($D88+1), _xlfn.IFNA(INDEX(音調表!$J$3:$J$10, MATCH(TRUE, EXACT(MID($C88,K$31,1), 音調表!$I$3:$I$10),0)),""),MID($C88,K$31,1)))</f>
        <v/>
      </c>
      <c r="L88" s="75" t="str" cm="1">
        <f t="array" ref="L88">IF(L$31&gt;($D88+1),"",IF(L$31=($D88+1), _xlfn.IFNA(INDEX(音調表!$J$3:$J$10, MATCH(TRUE, EXACT(MID($C88,L$31,1), 音調表!$I$3:$I$10),0)),""),MID($C88,L$31,1)))</f>
        <v/>
      </c>
      <c r="M88" s="76" t="str" cm="1">
        <f t="array" ref="M88">IF(M$31&gt;($D88+1),"",IF(M$31=($D88+1), _xlfn.IFNA(INDEX(音調表!$J$3:$J$10, MATCH(TRUE, EXACT(MID($C88,M$31,1), 音調表!$I$3:$I$10),0)),""),MID($C88,M$31,1)))</f>
        <v/>
      </c>
    </row>
    <row r="89" spans="2:13" hidden="1" outlineLevel="2">
      <c r="B89" s="7" t="s">
        <v>70</v>
      </c>
      <c r="C89" s="8" t="s">
        <v>343</v>
      </c>
      <c r="D89" s="9">
        <f t="shared" si="4"/>
        <v>2</v>
      </c>
      <c r="E89" s="75" t="str" cm="1">
        <f t="array" ref="E89">IF(E$31&gt;($D89+1),"",IF(E$31=($D89+1), _xlfn.IFNA(INDEX(音調表!$J$3:$J$10, MATCH(TRUE, EXACT(MID($C89,E$31,1), 音調表!$I$3:$I$10),0)),""),MID($C89,E$31,1)))</f>
        <v>ㄏ</v>
      </c>
      <c r="F89" s="75" t="str" cm="1">
        <f t="array" ref="F89">IF(F$31&gt;($D89+1),"",IF(F$31=($D89+1), _xlfn.IFNA(INDEX(音調表!$J$3:$J$10, MATCH(TRUE, EXACT(MID($C89,F$31,1), 音調表!$I$3:$I$10),0)),""),MID($C89,F$31,1)))</f>
        <v>ㆲ</v>
      </c>
      <c r="G89" s="75" t="str" cm="1">
        <f t="array" ref="G89">IF(G$31&gt;($D89+1),"",IF(G$31=($D89+1), _xlfn.IFNA(INDEX(音調表!$J$3:$J$10, MATCH(TRUE, EXACT(MID($C89,G$31,1), 音調表!$I$3:$I$10),0)),""),MID($C89,G$31,1)))</f>
        <v>"</v>
      </c>
      <c r="H89" s="75" t="str" cm="1">
        <f t="array" ref="H89">IF(H$31&gt;($D89+1),"",IF(H$31=($D89+1), _xlfn.IFNA(INDEX(音調表!$J$3:$J$10, MATCH(TRUE, EXACT(MID($C89,H$31,1), 音調表!$I$3:$I$10),0)),""),MID($C89,H$31,1)))</f>
        <v/>
      </c>
      <c r="I89" s="75" t="str" cm="1">
        <f t="array" ref="I89">IF(I$31&gt;($D89+1),"",IF(I$31=($D89+1), _xlfn.IFNA(INDEX(音調表!$J$3:$J$10, MATCH(TRUE, EXACT(MID($C89,I$31,1), 音調表!$I$3:$I$10),0)),""),MID($C89,I$31,1)))</f>
        <v/>
      </c>
      <c r="J89" s="75" t="str" cm="1">
        <f t="array" ref="J89">IF(J$31&gt;($D89+1),"",IF(J$31=($D89+1), _xlfn.IFNA(INDEX(音調表!$J$3:$J$10, MATCH(TRUE, EXACT(MID($C89,J$31,1), 音調表!$I$3:$I$10),0)),""),MID($C89,J$31,1)))</f>
        <v/>
      </c>
      <c r="K89" s="75" t="str" cm="1">
        <f t="array" ref="K89">IF(K$31&gt;($D89+1),"",IF(K$31=($D89+1), _xlfn.IFNA(INDEX(音調表!$J$3:$J$10, MATCH(TRUE, EXACT(MID($C89,K$31,1), 音調表!$I$3:$I$10),0)),""),MID($C89,K$31,1)))</f>
        <v/>
      </c>
      <c r="L89" s="75" t="str" cm="1">
        <f t="array" ref="L89">IF(L$31&gt;($D89+1),"",IF(L$31=($D89+1), _xlfn.IFNA(INDEX(音調表!$J$3:$J$10, MATCH(TRUE, EXACT(MID($C89,L$31,1), 音調表!$I$3:$I$10),0)),""),MID($C89,L$31,1)))</f>
        <v/>
      </c>
      <c r="M89" s="76" t="str" cm="1">
        <f t="array" ref="M89">IF(M$31&gt;($D89+1),"",IF(M$31=($D89+1), _xlfn.IFNA(INDEX(音調表!$J$3:$J$10, MATCH(TRUE, EXACT(MID($C89,M$31,1), 音調表!$I$3:$I$10),0)),""),MID($C89,M$31,1)))</f>
        <v/>
      </c>
    </row>
    <row r="90" spans="2:13" hidden="1" outlineLevel="2">
      <c r="B90" s="7" t="s">
        <v>344</v>
      </c>
      <c r="C90" s="8" t="s">
        <v>345</v>
      </c>
      <c r="D90" s="9">
        <f t="shared" si="4"/>
        <v>2</v>
      </c>
      <c r="E90" s="75" t="str" cm="1">
        <f t="array" ref="E90">IF(E$31&gt;($D90+1),"",IF(E$31=($D90+1), _xlfn.IFNA(INDEX(音調表!$J$3:$J$10, MATCH(TRUE, EXACT(MID($C90,E$31,1), 音調表!$I$3:$I$10),0)),""),MID($C90,E$31,1)))</f>
        <v>ㄉ</v>
      </c>
      <c r="F90" s="75" t="str" cm="1">
        <f t="array" ref="F90">IF(F$31&gt;($D90+1),"",IF(F$31=($D90+1), _xlfn.IFNA(INDEX(音調表!$J$3:$J$10, MATCH(TRUE, EXACT(MID($C90,F$31,1), 音調表!$I$3:$I$10),0)),""),MID($C90,F$31,1)))</f>
        <v>ㆨ</v>
      </c>
      <c r="G90" s="75" t="str" cm="1">
        <f t="array" ref="G90">IF(G$31&gt;($D90+1),"",IF(G$31=($D90+1), _xlfn.IFNA(INDEX(音調表!$J$3:$J$10, MATCH(TRUE, EXACT(MID($C90,G$31,1), 音調表!$I$3:$I$10),0)),""),MID($C90,G$31,1)))</f>
        <v>"</v>
      </c>
      <c r="H90" s="75" t="str" cm="1">
        <f t="array" ref="H90">IF(H$31&gt;($D90+1),"",IF(H$31=($D90+1), _xlfn.IFNA(INDEX(音調表!$J$3:$J$10, MATCH(TRUE, EXACT(MID($C90,H$31,1), 音調表!$I$3:$I$10),0)),""),MID($C90,H$31,1)))</f>
        <v/>
      </c>
      <c r="I90" s="75" t="str" cm="1">
        <f t="array" ref="I90">IF(I$31&gt;($D90+1),"",IF(I$31=($D90+1), _xlfn.IFNA(INDEX(音調表!$J$3:$J$10, MATCH(TRUE, EXACT(MID($C90,I$31,1), 音調表!$I$3:$I$10),0)),""),MID($C90,I$31,1)))</f>
        <v/>
      </c>
      <c r="J90" s="75" t="str" cm="1">
        <f t="array" ref="J90">IF(J$31&gt;($D90+1),"",IF(J$31=($D90+1), _xlfn.IFNA(INDEX(音調表!$J$3:$J$10, MATCH(TRUE, EXACT(MID($C90,J$31,1), 音調表!$I$3:$I$10),0)),""),MID($C90,J$31,1)))</f>
        <v/>
      </c>
      <c r="K90" s="75" t="str" cm="1">
        <f t="array" ref="K90">IF(K$31&gt;($D90+1),"",IF(K$31=($D90+1), _xlfn.IFNA(INDEX(音調表!$J$3:$J$10, MATCH(TRUE, EXACT(MID($C90,K$31,1), 音調表!$I$3:$I$10),0)),""),MID($C90,K$31,1)))</f>
        <v/>
      </c>
      <c r="L90" s="75" t="str" cm="1">
        <f t="array" ref="L90">IF(L$31&gt;($D90+1),"",IF(L$31=($D90+1), _xlfn.IFNA(INDEX(音調表!$J$3:$J$10, MATCH(TRUE, EXACT(MID($C90,L$31,1), 音調表!$I$3:$I$10),0)),""),MID($C90,L$31,1)))</f>
        <v/>
      </c>
      <c r="M90" s="76" t="str" cm="1">
        <f t="array" ref="M90">IF(M$31&gt;($D90+1),"",IF(M$31=($D90+1), _xlfn.IFNA(INDEX(音調表!$J$3:$J$10, MATCH(TRUE, EXACT(MID($C90,M$31,1), 音調表!$I$3:$I$10),0)),""),MID($C90,M$31,1)))</f>
        <v/>
      </c>
    </row>
    <row r="91" spans="2:13" outlineLevel="1" collapsed="1"/>
    <row r="92" spans="2:13" outlineLevel="1">
      <c r="B92" s="77" t="s">
        <v>346</v>
      </c>
    </row>
    <row r="93" spans="2:13" hidden="1" outlineLevel="2">
      <c r="B93" s="125" t="s">
        <v>4</v>
      </c>
      <c r="C93" s="126" t="s">
        <v>195</v>
      </c>
      <c r="D93" s="125" t="s">
        <v>8</v>
      </c>
      <c r="E93" s="127" t="s">
        <v>36</v>
      </c>
      <c r="F93" s="128"/>
      <c r="G93" s="128"/>
      <c r="H93" s="128"/>
      <c r="I93" s="128"/>
      <c r="J93" s="128"/>
      <c r="K93" s="128"/>
      <c r="L93" s="128"/>
      <c r="M93" s="129"/>
    </row>
    <row r="94" spans="2:13" hidden="1" outlineLevel="2">
      <c r="B94" s="125"/>
      <c r="C94" s="125"/>
      <c r="D94" s="125"/>
      <c r="E94" s="4">
        <v>1</v>
      </c>
      <c r="F94" s="5">
        <v>2</v>
      </c>
      <c r="G94" s="5">
        <v>3</v>
      </c>
      <c r="H94" s="5">
        <v>4</v>
      </c>
      <c r="I94" s="5">
        <v>5</v>
      </c>
      <c r="J94" s="5">
        <v>6</v>
      </c>
      <c r="K94" s="5">
        <v>7</v>
      </c>
      <c r="L94" s="5">
        <v>8</v>
      </c>
      <c r="M94" s="6">
        <v>9</v>
      </c>
    </row>
    <row r="95" spans="2:13" hidden="1" outlineLevel="2">
      <c r="B95" s="7" t="s">
        <v>339</v>
      </c>
      <c r="C95" s="8" t="s">
        <v>347</v>
      </c>
      <c r="D95" s="9">
        <f>IF( LEN(C95)&gt;0, LEN(C95), "")</f>
        <v>3</v>
      </c>
      <c r="E95" s="75" t="str" cm="1">
        <f t="array" ref="E95">IF(E$31&gt;($D95+1),"",IF(E$31=($D95+1), _xlfn.IFNA(INDEX(音調表!$J$3:$J$10, MATCH(TRUE, EXACT(MID($C95,E$31,1), 音調表!$I$3:$I$10),0)),""),MID($C95,E$31,1)))</f>
        <v>ㄎ</v>
      </c>
      <c r="F95" s="75" t="str" cm="1">
        <f t="array" ref="F95">IF(F$31&gt;($D95+1),"",IF(F$31=($D95+1), _xlfn.IFNA(INDEX(音調表!$J$3:$J$10, MATCH(TRUE, EXACT(MID($C95,F$31,1), 音調表!$I$3:$I$10),0)),""),MID($C95,F$31,1)))</f>
        <v>ㄚ</v>
      </c>
      <c r="G95" s="75" t="str" cm="1">
        <f t="array" ref="G95">IF(G$31&gt;($D95+1),"",IF(G$31=($D95+1), _xlfn.IFNA(INDEX(音調表!$J$3:$J$10, MATCH(TRUE, EXACT(MID($C95,G$31,1), 音調表!$I$3:$I$10),0)),""),MID($C95,G$31,1)))</f>
        <v>ㆬ</v>
      </c>
      <c r="H95" s="75" t="str" cm="1">
        <f t="array" ref="H95">IF(H$31&gt;($D95+1),"",IF(H$31=($D95+1), _xlfn.IFNA(INDEX(音調表!$J$3:$J$10, MATCH(TRUE, EXACT(MID($C95,H$31,1), 音調表!$I$3:$I$10),0)),""),MID($C95,H$31,1)))</f>
        <v>"</v>
      </c>
      <c r="I95" s="75" t="str" cm="1">
        <f t="array" ref="I95">IF(I$31&gt;($D95+1),"",IF(I$31=($D95+1), _xlfn.IFNA(INDEX(音調表!$J$3:$J$10, MATCH(TRUE, EXACT(MID($C95,I$31,1), 音調表!$I$3:$I$10),0)),""),MID($C95,I$31,1)))</f>
        <v/>
      </c>
      <c r="J95" s="75" t="str" cm="1">
        <f t="array" ref="J95">IF(J$31&gt;($D95+1),"",IF(J$31=($D95+1), _xlfn.IFNA(INDEX(音調表!$J$3:$J$10, MATCH(TRUE, EXACT(MID($C95,J$31,1), 音調表!$I$3:$I$10),0)),""),MID($C95,J$31,1)))</f>
        <v/>
      </c>
      <c r="K95" s="75" t="str" cm="1">
        <f t="array" ref="K95">IF(K$31&gt;($D95+1),"",IF(K$31=($D95+1), _xlfn.IFNA(INDEX(音調表!$J$3:$J$10, MATCH(TRUE, EXACT(MID($C95,K$31,1), 音調表!$I$3:$I$10),0)),""),MID($C95,K$31,1)))</f>
        <v/>
      </c>
      <c r="L95" s="75" t="str" cm="1">
        <f t="array" ref="L95">IF(L$31&gt;($D95+1),"",IF(L$31=($D95+1), _xlfn.IFNA(INDEX(音調表!$J$3:$J$10, MATCH(TRUE, EXACT(MID($C95,L$31,1), 音調表!$I$3:$I$10),0)),""),MID($C95,L$31,1)))</f>
        <v/>
      </c>
      <c r="M95" s="76" t="str" cm="1">
        <f t="array" ref="M95">IF(M$31&gt;($D95+1),"",IF(M$31=($D95+1), _xlfn.IFNA(INDEX(音調表!$J$3:$J$10, MATCH(TRUE, EXACT(MID($C95,M$31,1), 音調表!$I$3:$I$10),0)),""),MID($C95,M$31,1)))</f>
        <v/>
      </c>
    </row>
    <row r="96" spans="2:13" hidden="1" outlineLevel="2">
      <c r="B96" s="7" t="s">
        <v>342</v>
      </c>
      <c r="C96" s="8" t="s">
        <v>348</v>
      </c>
      <c r="D96" s="9">
        <f t="shared" ref="D96:D103" si="5">IF( LEN(C96)&gt;0, LEN(C96), "")</f>
        <v>3</v>
      </c>
      <c r="E96" s="75" t="str" cm="1">
        <f t="array" ref="E96">IF(E$31&gt;($D96+1),"",IF(E$31=($D96+1), _xlfn.IFNA(INDEX(音調表!$J$3:$J$10, MATCH(TRUE, EXACT(MID($C96,E$31,1), 音調表!$I$3:$I$10),0)),""),MID($C96,E$31,1)))</f>
        <v>ㄉ</v>
      </c>
      <c r="F96" s="75" t="str" cm="1">
        <f t="array" ref="F96">IF(F$31&gt;($D96+1),"",IF(F$31=($D96+1), _xlfn.IFNA(INDEX(音調表!$J$3:$J$10, MATCH(TRUE, EXACT(MID($C96,F$31,1), 音調表!$I$3:$I$10),0)),""),MID($C96,F$31,1)))</f>
        <v>ㆦ</v>
      </c>
      <c r="G96" s="75" t="str" cm="1">
        <f t="array" ref="G96">IF(G$31&gt;($D96+1),"",IF(G$31=($D96+1), _xlfn.IFNA(INDEX(音調表!$J$3:$J$10, MATCH(TRUE, EXACT(MID($C96,G$31,1), 音調表!$I$3:$I$10),0)),""),MID($C96,G$31,1)))</f>
        <v>ㆬ</v>
      </c>
      <c r="H96" s="75" t="str" cm="1">
        <f t="array" ref="H96">IF(H$31&gt;($D96+1),"",IF(H$31=($D96+1), _xlfn.IFNA(INDEX(音調表!$J$3:$J$10, MATCH(TRUE, EXACT(MID($C96,H$31,1), 音調表!$I$3:$I$10),0)),""),MID($C96,H$31,1)))</f>
        <v>"</v>
      </c>
      <c r="I96" s="75" t="str" cm="1">
        <f t="array" ref="I96">IF(I$31&gt;($D96+1),"",IF(I$31=($D96+1), _xlfn.IFNA(INDEX(音調表!$J$3:$J$10, MATCH(TRUE, EXACT(MID($C96,I$31,1), 音調表!$I$3:$I$10),0)),""),MID($C96,I$31,1)))</f>
        <v/>
      </c>
      <c r="J96" s="75" t="str" cm="1">
        <f t="array" ref="J96">IF(J$31&gt;($D96+1),"",IF(J$31=($D96+1), _xlfn.IFNA(INDEX(音調表!$J$3:$J$10, MATCH(TRUE, EXACT(MID($C96,J$31,1), 音調表!$I$3:$I$10),0)),""),MID($C96,J$31,1)))</f>
        <v/>
      </c>
      <c r="K96" s="75" t="str" cm="1">
        <f t="array" ref="K96">IF(K$31&gt;($D96+1),"",IF(K$31=($D96+1), _xlfn.IFNA(INDEX(音調表!$J$3:$J$10, MATCH(TRUE, EXACT(MID($C96,K$31,1), 音調表!$I$3:$I$10),0)),""),MID($C96,K$31,1)))</f>
        <v/>
      </c>
      <c r="L96" s="75" t="str" cm="1">
        <f t="array" ref="L96">IF(L$31&gt;($D96+1),"",IF(L$31=($D96+1), _xlfn.IFNA(INDEX(音調表!$J$3:$J$10, MATCH(TRUE, EXACT(MID($C96,L$31,1), 音調表!$I$3:$I$10),0)),""),MID($C96,L$31,1)))</f>
        <v/>
      </c>
      <c r="M96" s="76" t="str" cm="1">
        <f t="array" ref="M96">IF(M$31&gt;($D96+1),"",IF(M$31=($D96+1), _xlfn.IFNA(INDEX(音調表!$J$3:$J$10, MATCH(TRUE, EXACT(MID($C96,M$31,1), 音調表!$I$3:$I$10),0)),""),MID($C96,M$31,1)))</f>
        <v/>
      </c>
    </row>
    <row r="97" spans="2:13" hidden="1" outlineLevel="2">
      <c r="B97" s="7" t="s">
        <v>70</v>
      </c>
      <c r="C97" s="8" t="s">
        <v>349</v>
      </c>
      <c r="D97" s="9">
        <f t="shared" si="5"/>
        <v>3</v>
      </c>
      <c r="E97" s="75" t="str" cm="1">
        <f t="array" ref="E97">IF(E$31&gt;($D97+1),"",IF(E$31=($D97+1), _xlfn.IFNA(INDEX(音調表!$J$3:$J$10, MATCH(TRUE, EXACT(MID($C97,E$31,1), 音調表!$I$3:$I$10),0)),""),MID($C97,E$31,1)))</f>
        <v>ㄏ</v>
      </c>
      <c r="F97" s="75" t="str" cm="1">
        <f t="array" ref="F97">IF(F$31&gt;($D97+1),"",IF(F$31=($D97+1), _xlfn.IFNA(INDEX(音調表!$J$3:$J$10, MATCH(TRUE, EXACT(MID($C97,F$31,1), 音調表!$I$3:$I$10),0)),""),MID($C97,F$31,1)))</f>
        <v>ㆦ</v>
      </c>
      <c r="G97" s="75" t="str" cm="1">
        <f t="array" ref="G97">IF(G$31&gt;($D97+1),"",IF(G$31=($D97+1), _xlfn.IFNA(INDEX(音調表!$J$3:$J$10, MATCH(TRUE, EXACT(MID($C97,G$31,1), 音調表!$I$3:$I$10),0)),""),MID($C97,G$31,1)))</f>
        <v>ㆭ</v>
      </c>
      <c r="H97" s="75" t="str" cm="1">
        <f t="array" ref="H97">IF(H$31&gt;($D97+1),"",IF(H$31=($D97+1), _xlfn.IFNA(INDEX(音調表!$J$3:$J$10, MATCH(TRUE, EXACT(MID($C97,H$31,1), 音調表!$I$3:$I$10),0)),""),MID($C97,H$31,1)))</f>
        <v>"</v>
      </c>
      <c r="I97" s="75" t="str" cm="1">
        <f t="array" ref="I97">IF(I$31&gt;($D97+1),"",IF(I$31=($D97+1), _xlfn.IFNA(INDEX(音調表!$J$3:$J$10, MATCH(TRUE, EXACT(MID($C97,I$31,1), 音調表!$I$3:$I$10),0)),""),MID($C97,I$31,1)))</f>
        <v/>
      </c>
      <c r="J97" s="75" t="str" cm="1">
        <f t="array" ref="J97">IF(J$31&gt;($D97+1),"",IF(J$31=($D97+1), _xlfn.IFNA(INDEX(音調表!$J$3:$J$10, MATCH(TRUE, EXACT(MID($C97,J$31,1), 音調表!$I$3:$I$10),0)),""),MID($C97,J$31,1)))</f>
        <v/>
      </c>
      <c r="K97" s="75" t="str" cm="1">
        <f t="array" ref="K97">IF(K$31&gt;($D97+1),"",IF(K$31=($D97+1), _xlfn.IFNA(INDEX(音調表!$J$3:$J$10, MATCH(TRUE, EXACT(MID($C97,K$31,1), 音調表!$I$3:$I$10),0)),""),MID($C97,K$31,1)))</f>
        <v/>
      </c>
      <c r="L97" s="75" t="str" cm="1">
        <f t="array" ref="L97">IF(L$31&gt;($D97+1),"",IF(L$31=($D97+1), _xlfn.IFNA(INDEX(音調表!$J$3:$J$10, MATCH(TRUE, EXACT(MID($C97,L$31,1), 音調表!$I$3:$I$10),0)),""),MID($C97,L$31,1)))</f>
        <v/>
      </c>
      <c r="M97" s="76" t="str" cm="1">
        <f t="array" ref="M97">IF(M$31&gt;($D97+1),"",IF(M$31=($D97+1), _xlfn.IFNA(INDEX(音調表!$J$3:$J$10, MATCH(TRUE, EXACT(MID($C97,M$31,1), 音調表!$I$3:$I$10),0)),""),MID($C97,M$31,1)))</f>
        <v/>
      </c>
    </row>
    <row r="98" spans="2:13" hidden="1" outlineLevel="2">
      <c r="B98" s="7" t="s">
        <v>350</v>
      </c>
      <c r="C98" s="8" t="s">
        <v>354</v>
      </c>
      <c r="D98" s="9">
        <f t="shared" si="5"/>
        <v>2</v>
      </c>
      <c r="E98" s="75" t="str" cm="1">
        <f t="array" ref="E98">IF(E$31&gt;($D98+1),"",IF(E$31=($D98+1), _xlfn.IFNA(INDEX(音調表!$J$3:$J$10, MATCH(TRUE, EXACT(MID($C98,E$31,1), 音調表!$I$3:$I$10),0)),""),MID($C98,E$31,1)))</f>
        <v>ㄧ</v>
      </c>
      <c r="F98" s="75" t="str" cm="1">
        <f t="array" ref="F98">IF(F$31&gt;($D98+1),"",IF(F$31=($D98+1), _xlfn.IFNA(INDEX(音調表!$J$3:$J$10, MATCH(TRUE, EXACT(MID($C98,F$31,1), 音調表!$I$3:$I$10),0)),""),MID($C98,F$31,1)))</f>
        <v>ㄢ</v>
      </c>
      <c r="G98" s="75" t="str" cm="1">
        <f t="array" ref="G98">IF(G$31&gt;($D98+1),"",IF(G$31=($D98+1), _xlfn.IFNA(INDEX(音調表!$J$3:$J$10, MATCH(TRUE, EXACT(MID($C98,G$31,1), 音調表!$I$3:$I$10),0)),""),MID($C98,G$31,1)))</f>
        <v>"</v>
      </c>
      <c r="H98" s="75" t="str" cm="1">
        <f t="array" ref="H98">IF(H$31&gt;($D98+1),"",IF(H$31=($D98+1), _xlfn.IFNA(INDEX(音調表!$J$3:$J$10, MATCH(TRUE, EXACT(MID($C98,H$31,1), 音調表!$I$3:$I$10),0)),""),MID($C98,H$31,1)))</f>
        <v/>
      </c>
      <c r="I98" s="75" t="str" cm="1">
        <f t="array" ref="I98">IF(I$31&gt;($D98+1),"",IF(I$31=($D98+1), _xlfn.IFNA(INDEX(音調表!$J$3:$J$10, MATCH(TRUE, EXACT(MID($C98,I$31,1), 音調表!$I$3:$I$10),0)),""),MID($C98,I$31,1)))</f>
        <v/>
      </c>
      <c r="J98" s="75" t="str" cm="1">
        <f t="array" ref="J98">IF(J$31&gt;($D98+1),"",IF(J$31=($D98+1), _xlfn.IFNA(INDEX(音調表!$J$3:$J$10, MATCH(TRUE, EXACT(MID($C98,J$31,1), 音調表!$I$3:$I$10),0)),""),MID($C98,J$31,1)))</f>
        <v/>
      </c>
      <c r="K98" s="75" t="str" cm="1">
        <f t="array" ref="K98">IF(K$31&gt;($D98+1),"",IF(K$31=($D98+1), _xlfn.IFNA(INDEX(音調表!$J$3:$J$10, MATCH(TRUE, EXACT(MID($C98,K$31,1), 音調表!$I$3:$I$10),0)),""),MID($C98,K$31,1)))</f>
        <v/>
      </c>
      <c r="L98" s="75" t="str" cm="1">
        <f t="array" ref="L98">IF(L$31&gt;($D98+1),"",IF(L$31=($D98+1), _xlfn.IFNA(INDEX(音調表!$J$3:$J$10, MATCH(TRUE, EXACT(MID($C98,L$31,1), 音調表!$I$3:$I$10),0)),""),MID($C98,L$31,1)))</f>
        <v/>
      </c>
      <c r="M98" s="76" t="str" cm="1">
        <f t="array" ref="M98">IF(M$31&gt;($D98+1),"",IF(M$31=($D98+1), _xlfn.IFNA(INDEX(音調表!$J$3:$J$10, MATCH(TRUE, EXACT(MID($C98,M$31,1), 音調表!$I$3:$I$10),0)),""),MID($C98,M$31,1)))</f>
        <v/>
      </c>
    </row>
    <row r="99" spans="2:13" hidden="1" outlineLevel="2">
      <c r="B99" s="7" t="s">
        <v>351</v>
      </c>
      <c r="C99" s="8" t="s">
        <v>355</v>
      </c>
      <c r="D99" s="9">
        <f t="shared" si="5"/>
        <v>3</v>
      </c>
      <c r="E99" s="75" t="str" cm="1">
        <f t="array" ref="E99">IF(E$31&gt;($D99+1),"",IF(E$31=($D99+1), _xlfn.IFNA(INDEX(音調表!$J$3:$J$10, MATCH(TRUE, EXACT(MID($C99,E$31,1), 音調表!$I$3:$I$10),0)),""),MID($C99,E$31,1)))</f>
        <v>ㄧ</v>
      </c>
      <c r="F99" s="75" t="str" cm="1">
        <f t="array" ref="F99">IF(F$31&gt;($D99+1),"",IF(F$31=($D99+1), _xlfn.IFNA(INDEX(音調表!$J$3:$J$10, MATCH(TRUE, EXACT(MID($C99,F$31,1), 音調表!$I$3:$I$10),0)),""),MID($C99,F$31,1)))</f>
        <v>ㄚ</v>
      </c>
      <c r="G99" s="75" t="str" cm="1">
        <f t="array" ref="G99">IF(G$31&gt;($D99+1),"",IF(G$31=($D99+1), _xlfn.IFNA(INDEX(音調表!$J$3:$J$10, MATCH(TRUE, EXACT(MID($C99,G$31,1), 音調表!$I$3:$I$10),0)),""),MID($C99,G$31,1)))</f>
        <v>ㄣ</v>
      </c>
      <c r="H99" s="75" t="str" cm="1">
        <f t="array" ref="H99">IF(H$31&gt;($D99+1),"",IF(H$31=($D99+1), _xlfn.IFNA(INDEX(音調表!$J$3:$J$10, MATCH(TRUE, EXACT(MID($C99,H$31,1), 音調表!$I$3:$I$10),0)),""),MID($C99,H$31,1)))</f>
        <v>"</v>
      </c>
      <c r="I99" s="75" t="str" cm="1">
        <f t="array" ref="I99">IF(I$31&gt;($D99+1),"",IF(I$31=($D99+1), _xlfn.IFNA(INDEX(音調表!$J$3:$J$10, MATCH(TRUE, EXACT(MID($C99,I$31,1), 音調表!$I$3:$I$10),0)),""),MID($C99,I$31,1)))</f>
        <v/>
      </c>
      <c r="J99" s="75" t="str" cm="1">
        <f t="array" ref="J99">IF(J$31&gt;($D99+1),"",IF(J$31=($D99+1), _xlfn.IFNA(INDEX(音調表!$J$3:$J$10, MATCH(TRUE, EXACT(MID($C99,J$31,1), 音調表!$I$3:$I$10),0)),""),MID($C99,J$31,1)))</f>
        <v/>
      </c>
      <c r="K99" s="75" t="str" cm="1">
        <f t="array" ref="K99">IF(K$31&gt;($D99+1),"",IF(K$31=($D99+1), _xlfn.IFNA(INDEX(音調表!$J$3:$J$10, MATCH(TRUE, EXACT(MID($C99,K$31,1), 音調表!$I$3:$I$10),0)),""),MID($C99,K$31,1)))</f>
        <v/>
      </c>
      <c r="L99" s="75" t="str" cm="1">
        <f t="array" ref="L99">IF(L$31&gt;($D99+1),"",IF(L$31=($D99+1), _xlfn.IFNA(INDEX(音調表!$J$3:$J$10, MATCH(TRUE, EXACT(MID($C99,L$31,1), 音調表!$I$3:$I$10),0)),""),MID($C99,L$31,1)))</f>
        <v/>
      </c>
      <c r="M99" s="76" t="str" cm="1">
        <f t="array" ref="M99">IF(M$31&gt;($D99+1),"",IF(M$31=($D99+1), _xlfn.IFNA(INDEX(音調表!$J$3:$J$10, MATCH(TRUE, EXACT(MID($C99,M$31,1), 音調表!$I$3:$I$10),0)),""),MID($C99,M$31,1)))</f>
        <v/>
      </c>
    </row>
    <row r="100" spans="2:13" hidden="1" outlineLevel="2">
      <c r="B100" s="7" t="s">
        <v>353</v>
      </c>
      <c r="C100" s="8" t="s">
        <v>356</v>
      </c>
      <c r="D100" s="9">
        <f t="shared" si="5"/>
        <v>3</v>
      </c>
      <c r="E100" s="75" t="str" cm="1">
        <f t="array" ref="E100">IF(E$31&gt;($D100+1),"",IF(E$31=($D100+1), _xlfn.IFNA(INDEX(音調表!$J$3:$J$10, MATCH(TRUE, EXACT(MID($C100,E$31,1), 音調表!$I$3:$I$10),0)),""),MID($C100,E$31,1)))</f>
        <v>ㄐ</v>
      </c>
      <c r="F100" s="75" t="str" cm="1">
        <f t="array" ref="F100">IF(F$31&gt;($D100+1),"",IF(F$31=($D100+1), _xlfn.IFNA(INDEX(音調表!$J$3:$J$10, MATCH(TRUE, EXACT(MID($C100,F$31,1), 音調表!$I$3:$I$10),0)),""),MID($C100,F$31,1)))</f>
        <v>ㄧ</v>
      </c>
      <c r="G100" s="75" t="str" cm="1">
        <f t="array" ref="G100">IF(G$31&gt;($D100+1),"",IF(G$31=($D100+1), _xlfn.IFNA(INDEX(音調表!$J$3:$J$10, MATCH(TRUE, EXACT(MID($C100,G$31,1), 音調表!$I$3:$I$10),0)),""),MID($C100,G$31,1)))</f>
        <v>ㄤ</v>
      </c>
      <c r="H100" s="75" t="str" cm="1">
        <f t="array" ref="H100">IF(H$31&gt;($D100+1),"",IF(H$31=($D100+1), _xlfn.IFNA(INDEX(音調表!$J$3:$J$10, MATCH(TRUE, EXACT(MID($C100,H$31,1), 音調表!$I$3:$I$10),0)),""),MID($C100,H$31,1)))</f>
        <v>"</v>
      </c>
      <c r="I100" s="75" t="str" cm="1">
        <f t="array" ref="I100">IF(I$31&gt;($D100+1),"",IF(I$31=($D100+1), _xlfn.IFNA(INDEX(音調表!$J$3:$J$10, MATCH(TRUE, EXACT(MID($C100,I$31,1), 音調表!$I$3:$I$10),0)),""),MID($C100,I$31,1)))</f>
        <v/>
      </c>
      <c r="J100" s="75" t="str" cm="1">
        <f t="array" ref="J100">IF(J$31&gt;($D100+1),"",IF(J$31=($D100+1), _xlfn.IFNA(INDEX(音調表!$J$3:$J$10, MATCH(TRUE, EXACT(MID($C100,J$31,1), 音調表!$I$3:$I$10),0)),""),MID($C100,J$31,1)))</f>
        <v/>
      </c>
      <c r="K100" s="75" t="str" cm="1">
        <f t="array" ref="K100">IF(K$31&gt;($D100+1),"",IF(K$31=($D100+1), _xlfn.IFNA(INDEX(音調表!$J$3:$J$10, MATCH(TRUE, EXACT(MID($C100,K$31,1), 音調表!$I$3:$I$10),0)),""),MID($C100,K$31,1)))</f>
        <v/>
      </c>
      <c r="L100" s="75" t="str" cm="1">
        <f t="array" ref="L100">IF(L$31&gt;($D100+1),"",IF(L$31=($D100+1), _xlfn.IFNA(INDEX(音調表!$J$3:$J$10, MATCH(TRUE, EXACT(MID($C100,L$31,1), 音調表!$I$3:$I$10),0)),""),MID($C100,L$31,1)))</f>
        <v/>
      </c>
      <c r="M100" s="76" t="str" cm="1">
        <f t="array" ref="M100">IF(M$31&gt;($D100+1),"",IF(M$31=($D100+1), _xlfn.IFNA(INDEX(音調表!$J$3:$J$10, MATCH(TRUE, EXACT(MID($C100,M$31,1), 音調表!$I$3:$I$10),0)),""),MID($C100,M$31,1)))</f>
        <v/>
      </c>
    </row>
    <row r="101" spans="2:13" hidden="1" outlineLevel="2">
      <c r="B101" s="7" t="s">
        <v>353</v>
      </c>
      <c r="C101" s="8" t="s">
        <v>357</v>
      </c>
      <c r="D101" s="9">
        <f t="shared" si="5"/>
        <v>4</v>
      </c>
      <c r="E101" s="75" t="str" cm="1">
        <f t="array" ref="E101">IF(E$31&gt;($D101+1),"",IF(E$31=($D101+1), _xlfn.IFNA(INDEX(音調表!$J$3:$J$10, MATCH(TRUE, EXACT(MID($C101,E$31,1), 音調表!$I$3:$I$10),0)),""),MID($C101,E$31,1)))</f>
        <v>ㄗ</v>
      </c>
      <c r="F101" s="75" t="str" cm="1">
        <f t="array" ref="F101">IF(F$31&gt;($D101+1),"",IF(F$31=($D101+1), _xlfn.IFNA(INDEX(音調表!$J$3:$J$10, MATCH(TRUE, EXACT(MID($C101,F$31,1), 音調表!$I$3:$I$10),0)),""),MID($C101,F$31,1)))</f>
        <v>ㄧ</v>
      </c>
      <c r="G101" s="75" t="str" cm="1">
        <f t="array" ref="G101">IF(G$31&gt;($D101+1),"",IF(G$31=($D101+1), _xlfn.IFNA(INDEX(音調表!$J$3:$J$10, MATCH(TRUE, EXACT(MID($C101,G$31,1), 音調表!$I$3:$I$10),0)),""),MID($C101,G$31,1)))</f>
        <v>ㄚ</v>
      </c>
      <c r="H101" s="75" t="str" cm="1">
        <f t="array" ref="H101">IF(H$31&gt;($D101+1),"",IF(H$31=($D101+1), _xlfn.IFNA(INDEX(音調表!$J$3:$J$10, MATCH(TRUE, EXACT(MID($C101,H$31,1), 音調表!$I$3:$I$10),0)),""),MID($C101,H$31,1)))</f>
        <v>ㆭ</v>
      </c>
      <c r="I101" s="75" t="str" cm="1">
        <f t="array" ref="I101">IF(I$31&gt;($D101+1),"",IF(I$31=($D101+1), _xlfn.IFNA(INDEX(音調表!$J$3:$J$10, MATCH(TRUE, EXACT(MID($C101,I$31,1), 音調表!$I$3:$I$10),0)),""),MID($C101,I$31,1)))</f>
        <v>"</v>
      </c>
      <c r="J101" s="75" t="str" cm="1">
        <f t="array" ref="J101">IF(J$31&gt;($D101+1),"",IF(J$31=($D101+1), _xlfn.IFNA(INDEX(音調表!$J$3:$J$10, MATCH(TRUE, EXACT(MID($C101,J$31,1), 音調表!$I$3:$I$10),0)),""),MID($C101,J$31,1)))</f>
        <v/>
      </c>
      <c r="K101" s="75" t="str" cm="1">
        <f t="array" ref="K101">IF(K$31&gt;($D101+1),"",IF(K$31=($D101+1), _xlfn.IFNA(INDEX(音調表!$J$3:$J$10, MATCH(TRUE, EXACT(MID($C101,K$31,1), 音調表!$I$3:$I$10),0)),""),MID($C101,K$31,1)))</f>
        <v/>
      </c>
      <c r="L101" s="75" t="str" cm="1">
        <f t="array" ref="L101">IF(L$31&gt;($D101+1),"",IF(L$31=($D101+1), _xlfn.IFNA(INDEX(音調表!$J$3:$J$10, MATCH(TRUE, EXACT(MID($C101,L$31,1), 音調表!$I$3:$I$10),0)),""),MID($C101,L$31,1)))</f>
        <v/>
      </c>
      <c r="M101" s="76" t="str" cm="1">
        <f t="array" ref="M101">IF(M$31&gt;($D101+1),"",IF(M$31=($D101+1), _xlfn.IFNA(INDEX(音調表!$J$3:$J$10, MATCH(TRUE, EXACT(MID($C101,M$31,1), 音調表!$I$3:$I$10),0)),""),MID($C101,M$31,1)))</f>
        <v/>
      </c>
    </row>
    <row r="102" spans="2:13" hidden="1" outlineLevel="2">
      <c r="B102" s="7" t="s">
        <v>352</v>
      </c>
      <c r="C102" s="8" t="s">
        <v>358</v>
      </c>
      <c r="D102" s="9">
        <f t="shared" si="5"/>
        <v>3</v>
      </c>
      <c r="E102" s="75" t="str" cm="1">
        <f t="array" ref="E102">IF(E$31&gt;($D102+1),"",IF(E$31=($D102+1), _xlfn.IFNA(INDEX(音調表!$J$3:$J$10, MATCH(TRUE, EXACT(MID($C102,E$31,1), 音調表!$I$3:$I$10),0)),""),MID($C102,E$31,1)))</f>
        <v>ㄐ</v>
      </c>
      <c r="F102" s="75" t="str" cm="1">
        <f t="array" ref="F102">IF(F$31&gt;($D102+1),"",IF(F$31=($D102+1), _xlfn.IFNA(INDEX(音調表!$J$3:$J$10, MATCH(TRUE, EXACT(MID($C102,F$31,1), 音調表!$I$3:$I$10),0)),""),MID($C102,F$31,1)))</f>
        <v>ㄧ</v>
      </c>
      <c r="G102" s="75" t="str" cm="1">
        <f t="array" ref="G102">IF(G$31&gt;($D102+1),"",IF(G$31=($D102+1), _xlfn.IFNA(INDEX(音調表!$J$3:$J$10, MATCH(TRUE, EXACT(MID($C102,G$31,1), 音調表!$I$3:$I$10),0)),""),MID($C102,G$31,1)))</f>
        <v>ㆲ</v>
      </c>
      <c r="H102" s="75" t="str" cm="1">
        <f t="array" ref="H102">IF(H$31&gt;($D102+1),"",IF(H$31=($D102+1), _xlfn.IFNA(INDEX(音調表!$J$3:$J$10, MATCH(TRUE, EXACT(MID($C102,H$31,1), 音調表!$I$3:$I$10),0)),""),MID($C102,H$31,1)))</f>
        <v>"</v>
      </c>
      <c r="I102" s="75" t="str" cm="1">
        <f t="array" ref="I102">IF(I$31&gt;($D102+1),"",IF(I$31=($D102+1), _xlfn.IFNA(INDEX(音調表!$J$3:$J$10, MATCH(TRUE, EXACT(MID($C102,I$31,1), 音調表!$I$3:$I$10),0)),""),MID($C102,I$31,1)))</f>
        <v/>
      </c>
      <c r="J102" s="75" t="str" cm="1">
        <f t="array" ref="J102">IF(J$31&gt;($D102+1),"",IF(J$31=($D102+1), _xlfn.IFNA(INDEX(音調表!$J$3:$J$10, MATCH(TRUE, EXACT(MID($C102,J$31,1), 音調表!$I$3:$I$10),0)),""),MID($C102,J$31,1)))</f>
        <v/>
      </c>
      <c r="K102" s="75" t="str" cm="1">
        <f t="array" ref="K102">IF(K$31&gt;($D102+1),"",IF(K$31=($D102+1), _xlfn.IFNA(INDEX(音調表!$J$3:$J$10, MATCH(TRUE, EXACT(MID($C102,K$31,1), 音調表!$I$3:$I$10),0)),""),MID($C102,K$31,1)))</f>
        <v/>
      </c>
      <c r="L102" s="75" t="str" cm="1">
        <f t="array" ref="L102">IF(L$31&gt;($D102+1),"",IF(L$31=($D102+1), _xlfn.IFNA(INDEX(音調表!$J$3:$J$10, MATCH(TRUE, EXACT(MID($C102,L$31,1), 音調表!$I$3:$I$10),0)),""),MID($C102,L$31,1)))</f>
        <v/>
      </c>
      <c r="M102" s="76" t="str" cm="1">
        <f t="array" ref="M102">IF(M$31&gt;($D102+1),"",IF(M$31=($D102+1), _xlfn.IFNA(INDEX(音調表!$J$3:$J$10, MATCH(TRUE, EXACT(MID($C102,M$31,1), 音調表!$I$3:$I$10),0)),""),MID($C102,M$31,1)))</f>
        <v/>
      </c>
    </row>
    <row r="103" spans="2:13" hidden="1" outlineLevel="2">
      <c r="B103" s="7" t="s">
        <v>352</v>
      </c>
      <c r="C103" s="8" t="s">
        <v>359</v>
      </c>
      <c r="D103" s="9">
        <f t="shared" si="5"/>
        <v>4</v>
      </c>
      <c r="E103" s="75" t="str" cm="1">
        <f t="array" ref="E103">IF(E$31&gt;($D103+1),"",IF(E$31=($D103+1), _xlfn.IFNA(INDEX(音調表!$J$3:$J$10, MATCH(TRUE, EXACT(MID($C103,E$31,1), 音調表!$I$3:$I$10),0)),""),MID($C103,E$31,1)))</f>
        <v>ㄗ</v>
      </c>
      <c r="F103" s="75" t="str" cm="1">
        <f t="array" ref="F103">IF(F$31&gt;($D103+1),"",IF(F$31=($D103+1), _xlfn.IFNA(INDEX(音調表!$J$3:$J$10, MATCH(TRUE, EXACT(MID($C103,F$31,1), 音調表!$I$3:$I$10),0)),""),MID($C103,F$31,1)))</f>
        <v>ㄧ</v>
      </c>
      <c r="G103" s="75" t="str" cm="1">
        <f t="array" ref="G103">IF(G$31&gt;($D103+1),"",IF(G$31=($D103+1), _xlfn.IFNA(INDEX(音調表!$J$3:$J$10, MATCH(TRUE, EXACT(MID($C103,G$31,1), 音調表!$I$3:$I$10),0)),""),MID($C103,G$31,1)))</f>
        <v>ㆦ</v>
      </c>
      <c r="H103" s="75" t="str" cm="1">
        <f t="array" ref="H103">IF(H$31&gt;($D103+1),"",IF(H$31=($D103+1), _xlfn.IFNA(INDEX(音調表!$J$3:$J$10, MATCH(TRUE, EXACT(MID($C103,H$31,1), 音調表!$I$3:$I$10),0)),""),MID($C103,H$31,1)))</f>
        <v>ㆭ</v>
      </c>
      <c r="I103" s="75" t="str" cm="1">
        <f t="array" ref="I103">IF(I$31&gt;($D103+1),"",IF(I$31=($D103+1), _xlfn.IFNA(INDEX(音調表!$J$3:$J$10, MATCH(TRUE, EXACT(MID($C103,I$31,1), 音調表!$I$3:$I$10),0)),""),MID($C103,I$31,1)))</f>
        <v>"</v>
      </c>
      <c r="J103" s="75" t="str" cm="1">
        <f t="array" ref="J103">IF(J$31&gt;($D103+1),"",IF(J$31=($D103+1), _xlfn.IFNA(INDEX(音調表!$J$3:$J$10, MATCH(TRUE, EXACT(MID($C103,J$31,1), 音調表!$I$3:$I$10),0)),""),MID($C103,J$31,1)))</f>
        <v/>
      </c>
      <c r="K103" s="75" t="str" cm="1">
        <f t="array" ref="K103">IF(K$31&gt;($D103+1),"",IF(K$31=($D103+1), _xlfn.IFNA(INDEX(音調表!$J$3:$J$10, MATCH(TRUE, EXACT(MID($C103,K$31,1), 音調表!$I$3:$I$10),0)),""),MID($C103,K$31,1)))</f>
        <v/>
      </c>
      <c r="L103" s="75" t="str" cm="1">
        <f t="array" ref="L103">IF(L$31&gt;($D103+1),"",IF(L$31=($D103+1), _xlfn.IFNA(INDEX(音調表!$J$3:$J$10, MATCH(TRUE, EXACT(MID($C103,L$31,1), 音調表!$I$3:$I$10),0)),""),MID($C103,L$31,1)))</f>
        <v/>
      </c>
      <c r="M103" s="76" t="str" cm="1">
        <f t="array" ref="M103">IF(M$31&gt;($D103+1),"",IF(M$31=($D103+1), _xlfn.IFNA(INDEX(音調表!$J$3:$J$10, MATCH(TRUE, EXACT(MID($C103,M$31,1), 音調表!$I$3:$I$10),0)),""),MID($C103,M$31,1)))</f>
        <v/>
      </c>
    </row>
    <row r="104" spans="2:13" outlineLevel="1" collapsed="1"/>
  </sheetData>
  <mergeCells count="36">
    <mergeCell ref="B5:B6"/>
    <mergeCell ref="C5:C6"/>
    <mergeCell ref="D5:D6"/>
    <mergeCell ref="E5:M5"/>
    <mergeCell ref="B16:B17"/>
    <mergeCell ref="C16:C17"/>
    <mergeCell ref="D16:D17"/>
    <mergeCell ref="E16:M16"/>
    <mergeCell ref="B30:B31"/>
    <mergeCell ref="C30:C31"/>
    <mergeCell ref="D30:D31"/>
    <mergeCell ref="E30:M30"/>
    <mergeCell ref="B36:B37"/>
    <mergeCell ref="C36:C37"/>
    <mergeCell ref="D36:D37"/>
    <mergeCell ref="E36:M36"/>
    <mergeCell ref="B42:B43"/>
    <mergeCell ref="C42:C43"/>
    <mergeCell ref="D42:D43"/>
    <mergeCell ref="E42:M42"/>
    <mergeCell ref="B50:B51"/>
    <mergeCell ref="C50:C51"/>
    <mergeCell ref="D50:D51"/>
    <mergeCell ref="E50:M50"/>
    <mergeCell ref="B93:B94"/>
    <mergeCell ref="C93:C94"/>
    <mergeCell ref="D93:D94"/>
    <mergeCell ref="E93:M93"/>
    <mergeCell ref="B65:B66"/>
    <mergeCell ref="C65:C66"/>
    <mergeCell ref="D65:D66"/>
    <mergeCell ref="E65:M65"/>
    <mergeCell ref="B85:B86"/>
    <mergeCell ref="C85:C86"/>
    <mergeCell ref="D85:D86"/>
    <mergeCell ref="E85:M8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</vt:i4>
      </vt:variant>
    </vt:vector>
  </HeadingPairs>
  <TitlesOfParts>
    <vt:vector size="11" baseType="lpstr">
      <vt:lpstr>漢字注音</vt:lpstr>
      <vt:lpstr>按鍵位置表</vt:lpstr>
      <vt:lpstr>打字練習表</vt:lpstr>
      <vt:lpstr>打字練習表 (2)</vt:lpstr>
      <vt:lpstr>打字練習表 (進階)</vt:lpstr>
      <vt:lpstr>打字練習表 (模版)</vt:lpstr>
      <vt:lpstr>打字練習表 (羅馬字母拼音)</vt:lpstr>
      <vt:lpstr>音調表</vt:lpstr>
      <vt:lpstr>打字練習表 (進階) (2)</vt:lpstr>
      <vt:lpstr>URL</vt:lpstr>
      <vt:lpstr>覩9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2025-10-06T03:23:26Z</dcterms:created>
  <dcterms:modified xsi:type="dcterms:W3CDTF">2026-08-21T15:33:42Z</dcterms:modified>
</cp:coreProperties>
</file>