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guide\Keyboard\"/>
    </mc:Choice>
  </mc:AlternateContent>
  <xr:revisionPtr revIDLastSave="0" documentId="13_ncr:1_{8CE096A0-12E6-4E10-AF86-6E2F94B5B4C3}" xr6:coauthVersionLast="47" xr6:coauthVersionMax="47" xr10:uidLastSave="{00000000-0000-0000-0000-000000000000}"/>
  <bookViews>
    <workbookView xWindow="28680" yWindow="-120" windowWidth="38640" windowHeight="15720" activeTab="1" xr2:uid="{E1B05DE5-EAD7-43D6-8DFE-DCA2C8EA1D01}"/>
  </bookViews>
  <sheets>
    <sheet name="打字練習表" sheetId="1" r:id="rId1"/>
    <sheet name="打字練習表 (十五音)" sheetId="4" r:id="rId2"/>
    <sheet name="打字練習表 (按鍵)" sheetId="3" r:id="rId3"/>
    <sheet name="音調表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4" l="1" a="1"/>
  <c r="H44" i="4" s="1"/>
  <c r="E44" i="4"/>
  <c r="M44" i="4" s="1" a="1"/>
  <c r="M44" i="4" s="1"/>
  <c r="E43" i="4"/>
  <c r="M43" i="4" s="1" a="1"/>
  <c r="M43" i="4" s="1"/>
  <c r="E42" i="4"/>
  <c r="N42" i="4" s="1" a="1"/>
  <c r="N42" i="4" s="1"/>
  <c r="E41" i="4"/>
  <c r="L41" i="4" s="1" a="1"/>
  <c r="L41" i="4" s="1"/>
  <c r="E40" i="4"/>
  <c r="E39" i="4"/>
  <c r="L39" i="4" s="1" a="1"/>
  <c r="L39" i="4" s="1"/>
  <c r="E38" i="4"/>
  <c r="M38" i="4" s="1" a="1"/>
  <c r="M38" i="4" s="1"/>
  <c r="N37" i="4" a="1"/>
  <c r="N37" i="4" s="1"/>
  <c r="M37" i="4" a="1"/>
  <c r="M37" i="4" s="1"/>
  <c r="E37" i="4"/>
  <c r="L37" i="4" s="1" a="1"/>
  <c r="L37" i="4" s="1"/>
  <c r="E36" i="4"/>
  <c r="N36" i="4" s="1" a="1"/>
  <c r="N36" i="4" s="1"/>
  <c r="N35" i="4" a="1"/>
  <c r="N35" i="4" s="1"/>
  <c r="M35" i="4" a="1"/>
  <c r="M35" i="4" s="1"/>
  <c r="L35" i="4" a="1"/>
  <c r="L35" i="4" s="1"/>
  <c r="K35" i="4" a="1"/>
  <c r="K35" i="4" s="1"/>
  <c r="I35" i="4" a="1"/>
  <c r="I35" i="4" s="1"/>
  <c r="H35" i="4" a="1"/>
  <c r="H35" i="4" s="1"/>
  <c r="E35" i="4"/>
  <c r="J35" i="4" s="1" a="1"/>
  <c r="J35" i="4" s="1"/>
  <c r="E34" i="4"/>
  <c r="I34" i="4" s="1" a="1"/>
  <c r="I34" i="4" s="1"/>
  <c r="E33" i="4"/>
  <c r="K33" i="4" s="1" a="1"/>
  <c r="K33" i="4" s="1"/>
  <c r="N32" i="4" a="1"/>
  <c r="N32" i="4" s="1"/>
  <c r="E32" i="4"/>
  <c r="L32" i="4" s="1" a="1"/>
  <c r="L32" i="4" s="1"/>
  <c r="E31" i="4"/>
  <c r="M31" i="4" s="1" a="1"/>
  <c r="M31" i="4" s="1"/>
  <c r="E30" i="4"/>
  <c r="N30" i="4" s="1" a="1"/>
  <c r="N30" i="4" s="1"/>
  <c r="E29" i="4"/>
  <c r="I29" i="4" s="1" a="1"/>
  <c r="I29" i="4" s="1"/>
  <c r="E28" i="4"/>
  <c r="E27" i="4"/>
  <c r="L27" i="4" s="1" a="1"/>
  <c r="L27" i="4" s="1"/>
  <c r="N26" i="4" a="1"/>
  <c r="N26" i="4" s="1"/>
  <c r="H26" i="4" a="1"/>
  <c r="H26" i="4" s="1"/>
  <c r="G26" i="4" a="1"/>
  <c r="G26" i="4" s="1"/>
  <c r="E26" i="4"/>
  <c r="K26" i="4" s="1" a="1"/>
  <c r="K26" i="4" s="1"/>
  <c r="E25" i="4"/>
  <c r="L25" i="4" s="1" a="1"/>
  <c r="L25" i="4" s="1"/>
  <c r="E24" i="4"/>
  <c r="M24" i="4" s="1" a="1"/>
  <c r="M24" i="4" s="1"/>
  <c r="E23" i="4"/>
  <c r="L23" i="4" s="1" a="1"/>
  <c r="L23" i="4" s="1"/>
  <c r="E22" i="4"/>
  <c r="I22" i="4" s="1" a="1"/>
  <c r="I22" i="4" s="1"/>
  <c r="N21" i="4" a="1"/>
  <c r="N21" i="4" s="1"/>
  <c r="G21" i="4" a="1"/>
  <c r="G21" i="4" s="1"/>
  <c r="F21" i="4" a="1"/>
  <c r="F21" i="4" s="1"/>
  <c r="E21" i="4"/>
  <c r="K21" i="4" s="1" a="1"/>
  <c r="K21" i="4" s="1"/>
  <c r="E20" i="4"/>
  <c r="L20" i="4" s="1" a="1"/>
  <c r="L20" i="4" s="1"/>
  <c r="E19" i="4"/>
  <c r="N19" i="4" s="1" a="1"/>
  <c r="N19" i="4" s="1"/>
  <c r="E18" i="4"/>
  <c r="M18" i="4" s="1" a="1"/>
  <c r="M18" i="4" s="1"/>
  <c r="E17" i="4"/>
  <c r="N17" i="4" s="1" a="1"/>
  <c r="N17" i="4" s="1"/>
  <c r="M16" i="4" a="1"/>
  <c r="M16" i="4" s="1"/>
  <c r="K16" i="4" a="1"/>
  <c r="K16" i="4" s="1"/>
  <c r="J16" i="4" a="1"/>
  <c r="J16" i="4" s="1"/>
  <c r="E16" i="4"/>
  <c r="H16" i="4" s="1" a="1"/>
  <c r="H16" i="4" s="1"/>
  <c r="M15" i="4" a="1"/>
  <c r="M15" i="4" s="1"/>
  <c r="E15" i="4"/>
  <c r="J15" i="4" s="1" a="1"/>
  <c r="J15" i="4" s="1"/>
  <c r="E14" i="4"/>
  <c r="K14" i="4" s="1" a="1"/>
  <c r="K14" i="4" s="1"/>
  <c r="E13" i="4"/>
  <c r="L13" i="4" s="1" a="1"/>
  <c r="L13" i="4" s="1"/>
  <c r="N12" i="4" a="1"/>
  <c r="N12" i="4" s="1"/>
  <c r="K12" i="4" a="1"/>
  <c r="K12" i="4" s="1"/>
  <c r="J12" i="4" a="1"/>
  <c r="J12" i="4" s="1"/>
  <c r="I12" i="4" a="1"/>
  <c r="I12" i="4" s="1"/>
  <c r="H12" i="4" a="1"/>
  <c r="H12" i="4" s="1"/>
  <c r="G12" i="4" a="1"/>
  <c r="G12" i="4" s="1"/>
  <c r="E12" i="4"/>
  <c r="M12" i="4" s="1" a="1"/>
  <c r="M12" i="4" s="1"/>
  <c r="E11" i="4"/>
  <c r="G11" i="4" s="1" a="1"/>
  <c r="G11" i="4" s="1"/>
  <c r="M10" i="4" a="1"/>
  <c r="M10" i="4" s="1"/>
  <c r="E10" i="4"/>
  <c r="I10" i="4" s="1" a="1"/>
  <c r="I10" i="4" s="1"/>
  <c r="E9" i="4"/>
  <c r="K9" i="4" s="1" a="1"/>
  <c r="K9" i="4" s="1"/>
  <c r="E8" i="4"/>
  <c r="L8" i="4" s="1" a="1"/>
  <c r="L8" i="4" s="1"/>
  <c r="E7" i="4"/>
  <c r="M7" i="4" s="1" a="1"/>
  <c r="M7" i="4" s="1"/>
  <c r="L6" i="4" a="1"/>
  <c r="L6" i="4" s="1"/>
  <c r="K6" i="4" a="1"/>
  <c r="K6" i="4" s="1"/>
  <c r="J6" i="4" a="1"/>
  <c r="J6" i="4" s="1"/>
  <c r="I6" i="4" a="1"/>
  <c r="I6" i="4" s="1"/>
  <c r="H6" i="4" a="1"/>
  <c r="H6" i="4" s="1"/>
  <c r="E6" i="4"/>
  <c r="N6" i="4" s="1" a="1"/>
  <c r="N6" i="4" s="1"/>
  <c r="E5" i="4"/>
  <c r="I5" i="4" s="1" a="1"/>
  <c r="I5" i="4" s="1"/>
  <c r="E4" i="4"/>
  <c r="K4" i="4" s="1" a="1"/>
  <c r="K4" i="4" s="1"/>
  <c r="R4" i="4" s="1" a="1"/>
  <c r="R4" i="4" s="1"/>
  <c r="F6" i="3" a="1"/>
  <c r="F6" i="3" s="1"/>
  <c r="G6" i="3" a="1"/>
  <c r="G6" i="3" s="1"/>
  <c r="H6" i="3" a="1"/>
  <c r="H6" i="3"/>
  <c r="I6" i="3" a="1"/>
  <c r="I6" i="3"/>
  <c r="J6" i="3" a="1"/>
  <c r="J6" i="3"/>
  <c r="K6" i="3" a="1"/>
  <c r="K6" i="3"/>
  <c r="L6" i="3" a="1"/>
  <c r="L6" i="3"/>
  <c r="M6" i="3" a="1"/>
  <c r="M6" i="3" s="1"/>
  <c r="N6" i="3" a="1"/>
  <c r="N6" i="3" s="1"/>
  <c r="F7" i="3" a="1"/>
  <c r="F7" i="3" s="1"/>
  <c r="G7" i="3" a="1"/>
  <c r="G7" i="3"/>
  <c r="H7" i="3" a="1"/>
  <c r="H7" i="3"/>
  <c r="I7" i="3" a="1"/>
  <c r="I7" i="3"/>
  <c r="J7" i="3" a="1"/>
  <c r="J7" i="3"/>
  <c r="K7" i="3" a="1"/>
  <c r="K7" i="3"/>
  <c r="L7" i="3" a="1"/>
  <c r="L7" i="3" s="1"/>
  <c r="M7" i="3" a="1"/>
  <c r="M7" i="3" s="1"/>
  <c r="N7" i="3" a="1"/>
  <c r="N7" i="3" s="1"/>
  <c r="F8" i="3" a="1"/>
  <c r="F8" i="3"/>
  <c r="G8" i="3" a="1"/>
  <c r="G8" i="3"/>
  <c r="H8" i="3" a="1"/>
  <c r="H8" i="3"/>
  <c r="I8" i="3" a="1"/>
  <c r="I8" i="3"/>
  <c r="J8" i="3" a="1"/>
  <c r="J8" i="3"/>
  <c r="K8" i="3" a="1"/>
  <c r="K8" i="3" s="1"/>
  <c r="L8" i="3" a="1"/>
  <c r="L8" i="3" s="1"/>
  <c r="M8" i="3" a="1"/>
  <c r="M8" i="3" s="1"/>
  <c r="N8" i="3" a="1"/>
  <c r="N8" i="3"/>
  <c r="F9" i="3" a="1"/>
  <c r="F9" i="3"/>
  <c r="G9" i="3" a="1"/>
  <c r="G9" i="3"/>
  <c r="H9" i="3" a="1"/>
  <c r="H9" i="3"/>
  <c r="I9" i="3" a="1"/>
  <c r="I9" i="3"/>
  <c r="J9" i="3" a="1"/>
  <c r="J9" i="3" s="1"/>
  <c r="K9" i="3" a="1"/>
  <c r="K9" i="3" s="1"/>
  <c r="L9" i="3" a="1"/>
  <c r="L9" i="3" s="1"/>
  <c r="M9" i="3" a="1"/>
  <c r="M9" i="3"/>
  <c r="N9" i="3" a="1"/>
  <c r="N9" i="3"/>
  <c r="F10" i="3" a="1"/>
  <c r="F10" i="3"/>
  <c r="G10" i="3" a="1"/>
  <c r="G10" i="3"/>
  <c r="H10" i="3" a="1"/>
  <c r="H10" i="3"/>
  <c r="I10" i="3" a="1"/>
  <c r="I10" i="3" s="1"/>
  <c r="J10" i="3" a="1"/>
  <c r="J10" i="3" s="1"/>
  <c r="K10" i="3" a="1"/>
  <c r="K10" i="3" s="1"/>
  <c r="L10" i="3" a="1"/>
  <c r="L10" i="3"/>
  <c r="M10" i="3" a="1"/>
  <c r="M10" i="3"/>
  <c r="N10" i="3" a="1"/>
  <c r="N10" i="3"/>
  <c r="F11" i="3" a="1"/>
  <c r="F11" i="3"/>
  <c r="G11" i="3" a="1"/>
  <c r="G11" i="3"/>
  <c r="H11" i="3" a="1"/>
  <c r="H11" i="3" s="1"/>
  <c r="I11" i="3" a="1"/>
  <c r="I11" i="3" s="1"/>
  <c r="J11" i="3" a="1"/>
  <c r="J11" i="3" s="1"/>
  <c r="K11" i="3" a="1"/>
  <c r="K11" i="3"/>
  <c r="L11" i="3" a="1"/>
  <c r="L11" i="3"/>
  <c r="M11" i="3" a="1"/>
  <c r="M11" i="3"/>
  <c r="N11" i="3" a="1"/>
  <c r="N11" i="3"/>
  <c r="F12" i="3" a="1"/>
  <c r="F12" i="3"/>
  <c r="G12" i="3" a="1"/>
  <c r="G12" i="3" s="1"/>
  <c r="H12" i="3" a="1"/>
  <c r="H12" i="3" s="1"/>
  <c r="I12" i="3" a="1"/>
  <c r="I12" i="3" s="1"/>
  <c r="J12" i="3" a="1"/>
  <c r="J12" i="3"/>
  <c r="K12" i="3" a="1"/>
  <c r="K12" i="3"/>
  <c r="L12" i="3" a="1"/>
  <c r="L12" i="3"/>
  <c r="M12" i="3" a="1"/>
  <c r="M12" i="3"/>
  <c r="N12" i="3" a="1"/>
  <c r="N12" i="3"/>
  <c r="F13" i="3" a="1"/>
  <c r="F13" i="3" s="1"/>
  <c r="G13" i="3" a="1"/>
  <c r="G13" i="3" s="1"/>
  <c r="H13" i="3" a="1"/>
  <c r="H13" i="3" s="1"/>
  <c r="I13" i="3" a="1"/>
  <c r="I13" i="3"/>
  <c r="J13" i="3" a="1"/>
  <c r="J13" i="3"/>
  <c r="K13" i="3" a="1"/>
  <c r="K13" i="3"/>
  <c r="L13" i="3" a="1"/>
  <c r="L13" i="3"/>
  <c r="M13" i="3" a="1"/>
  <c r="M13" i="3"/>
  <c r="N13" i="3" a="1"/>
  <c r="N13" i="3" s="1"/>
  <c r="F14" i="3" a="1"/>
  <c r="F14" i="3" s="1"/>
  <c r="G14" i="3" a="1"/>
  <c r="G14" i="3" s="1"/>
  <c r="H14" i="3" a="1"/>
  <c r="H14" i="3"/>
  <c r="I14" i="3" a="1"/>
  <c r="I14" i="3"/>
  <c r="J14" i="3" a="1"/>
  <c r="J14" i="3"/>
  <c r="K14" i="3" a="1"/>
  <c r="K14" i="3"/>
  <c r="L14" i="3" a="1"/>
  <c r="L14" i="3"/>
  <c r="M14" i="3" a="1"/>
  <c r="M14" i="3" s="1"/>
  <c r="N14" i="3" a="1"/>
  <c r="N14" i="3" s="1"/>
  <c r="F15" i="3" a="1"/>
  <c r="F15" i="3" s="1"/>
  <c r="G15" i="3" a="1"/>
  <c r="G15" i="3"/>
  <c r="H15" i="3" a="1"/>
  <c r="H15" i="3"/>
  <c r="I15" i="3" a="1"/>
  <c r="I15" i="3"/>
  <c r="J15" i="3" a="1"/>
  <c r="J15" i="3"/>
  <c r="K15" i="3" a="1"/>
  <c r="K15" i="3"/>
  <c r="L15" i="3" a="1"/>
  <c r="L15" i="3" s="1"/>
  <c r="M15" i="3" a="1"/>
  <c r="M15" i="3" s="1"/>
  <c r="N15" i="3" a="1"/>
  <c r="N15" i="3" s="1"/>
  <c r="F16" i="3" a="1"/>
  <c r="F16" i="3"/>
  <c r="G16" i="3" a="1"/>
  <c r="G16" i="3"/>
  <c r="H16" i="3" a="1"/>
  <c r="H16" i="3"/>
  <c r="I16" i="3" a="1"/>
  <c r="I16" i="3"/>
  <c r="J16" i="3" a="1"/>
  <c r="J16" i="3"/>
  <c r="K16" i="3" a="1"/>
  <c r="K16" i="3" s="1"/>
  <c r="L16" i="3" a="1"/>
  <c r="L16" i="3" s="1"/>
  <c r="M16" i="3" a="1"/>
  <c r="M16" i="3" s="1"/>
  <c r="N16" i="3" a="1"/>
  <c r="N16" i="3"/>
  <c r="F17" i="3" a="1"/>
  <c r="F17" i="3"/>
  <c r="G17" i="3" a="1"/>
  <c r="G17" i="3"/>
  <c r="H17" i="3" a="1"/>
  <c r="H17" i="3"/>
  <c r="I17" i="3" a="1"/>
  <c r="I17" i="3"/>
  <c r="J17" i="3" a="1"/>
  <c r="J17" i="3" s="1"/>
  <c r="K17" i="3" a="1"/>
  <c r="K17" i="3" s="1"/>
  <c r="L17" i="3" a="1"/>
  <c r="L17" i="3" s="1"/>
  <c r="M17" i="3" a="1"/>
  <c r="M17" i="3"/>
  <c r="N17" i="3" a="1"/>
  <c r="N17" i="3"/>
  <c r="F18" i="3" a="1"/>
  <c r="F18" i="3"/>
  <c r="G18" i="3" a="1"/>
  <c r="G18" i="3"/>
  <c r="H18" i="3" a="1"/>
  <c r="H18" i="3"/>
  <c r="I18" i="3" a="1"/>
  <c r="I18" i="3" s="1"/>
  <c r="J18" i="3" a="1"/>
  <c r="J18" i="3" s="1"/>
  <c r="K18" i="3" a="1"/>
  <c r="K18" i="3" s="1"/>
  <c r="L18" i="3" a="1"/>
  <c r="L18" i="3"/>
  <c r="M18" i="3" a="1"/>
  <c r="M18" i="3"/>
  <c r="N18" i="3" a="1"/>
  <c r="N18" i="3"/>
  <c r="F19" i="3" a="1"/>
  <c r="F19" i="3"/>
  <c r="G19" i="3" a="1"/>
  <c r="G19" i="3"/>
  <c r="H19" i="3" a="1"/>
  <c r="H19" i="3" s="1"/>
  <c r="I19" i="3" a="1"/>
  <c r="I19" i="3" s="1"/>
  <c r="J19" i="3" a="1"/>
  <c r="J19" i="3" s="1"/>
  <c r="K19" i="3" a="1"/>
  <c r="K19" i="3"/>
  <c r="L19" i="3" a="1"/>
  <c r="L19" i="3"/>
  <c r="M19" i="3" a="1"/>
  <c r="M19" i="3"/>
  <c r="N19" i="3" a="1"/>
  <c r="N19" i="3"/>
  <c r="F20" i="3" a="1"/>
  <c r="F20" i="3"/>
  <c r="P20" i="3" s="1"/>
  <c r="G20" i="3" a="1"/>
  <c r="G20" i="3" s="1"/>
  <c r="Q20" i="3" s="1"/>
  <c r="H20" i="3" a="1"/>
  <c r="H20" i="3" s="1"/>
  <c r="I20" i="3" a="1"/>
  <c r="I20" i="3" s="1"/>
  <c r="J20" i="3" a="1"/>
  <c r="J20" i="3"/>
  <c r="K20" i="3" a="1"/>
  <c r="K20" i="3"/>
  <c r="L20" i="3" a="1"/>
  <c r="L20" i="3"/>
  <c r="M20" i="3" a="1"/>
  <c r="M20" i="3"/>
  <c r="N20" i="3" a="1"/>
  <c r="N20" i="3"/>
  <c r="F21" i="3" a="1"/>
  <c r="F21" i="3" s="1"/>
  <c r="G21" i="3" a="1"/>
  <c r="G21" i="3" s="1"/>
  <c r="H21" i="3" a="1"/>
  <c r="H21" i="3" s="1"/>
  <c r="I21" i="3" a="1"/>
  <c r="I21" i="3"/>
  <c r="J21" i="3" a="1"/>
  <c r="J21" i="3"/>
  <c r="K21" i="3" a="1"/>
  <c r="K21" i="3"/>
  <c r="L21" i="3" a="1"/>
  <c r="L21" i="3"/>
  <c r="M21" i="3" a="1"/>
  <c r="M21" i="3"/>
  <c r="N21" i="3" a="1"/>
  <c r="N21" i="3" s="1"/>
  <c r="F22" i="3" a="1"/>
  <c r="F22" i="3" s="1"/>
  <c r="G22" i="3" a="1"/>
  <c r="G22" i="3" s="1"/>
  <c r="H22" i="3" a="1"/>
  <c r="H22" i="3"/>
  <c r="I22" i="3" a="1"/>
  <c r="I22" i="3"/>
  <c r="J22" i="3" a="1"/>
  <c r="J22" i="3"/>
  <c r="K22" i="3" a="1"/>
  <c r="K22" i="3"/>
  <c r="L22" i="3" a="1"/>
  <c r="L22" i="3"/>
  <c r="M22" i="3" a="1"/>
  <c r="M22" i="3" s="1"/>
  <c r="N22" i="3" a="1"/>
  <c r="N22" i="3" s="1"/>
  <c r="F23" i="3" a="1"/>
  <c r="F23" i="3" s="1"/>
  <c r="G23" i="3" a="1"/>
  <c r="G23" i="3"/>
  <c r="H23" i="3" a="1"/>
  <c r="H23" i="3"/>
  <c r="I23" i="3" a="1"/>
  <c r="I23" i="3"/>
  <c r="J23" i="3" a="1"/>
  <c r="J23" i="3"/>
  <c r="K23" i="3" a="1"/>
  <c r="K23" i="3"/>
  <c r="L23" i="3" a="1"/>
  <c r="L23" i="3" s="1"/>
  <c r="M23" i="3" a="1"/>
  <c r="M23" i="3" s="1"/>
  <c r="N23" i="3" a="1"/>
  <c r="N23" i="3" s="1"/>
  <c r="F24" i="3" a="1"/>
  <c r="F24" i="3"/>
  <c r="G24" i="3" a="1"/>
  <c r="G24" i="3"/>
  <c r="H24" i="3" a="1"/>
  <c r="H24" i="3"/>
  <c r="I24" i="3" a="1"/>
  <c r="I24" i="3"/>
  <c r="J24" i="3" a="1"/>
  <c r="J24" i="3"/>
  <c r="K24" i="3" a="1"/>
  <c r="K24" i="3" s="1"/>
  <c r="L24" i="3" a="1"/>
  <c r="L24" i="3" s="1"/>
  <c r="M24" i="3" a="1"/>
  <c r="M24" i="3" s="1"/>
  <c r="N24" i="3" a="1"/>
  <c r="N24" i="3"/>
  <c r="F25" i="3" a="1"/>
  <c r="F25" i="3"/>
  <c r="G25" i="3" a="1"/>
  <c r="G25" i="3"/>
  <c r="H25" i="3" a="1"/>
  <c r="H25" i="3"/>
  <c r="I25" i="3" a="1"/>
  <c r="I25" i="3"/>
  <c r="J25" i="3" a="1"/>
  <c r="J25" i="3" s="1"/>
  <c r="K25" i="3" a="1"/>
  <c r="K25" i="3" s="1"/>
  <c r="L25" i="3" a="1"/>
  <c r="L25" i="3" s="1"/>
  <c r="M25" i="3" a="1"/>
  <c r="M25" i="3"/>
  <c r="N25" i="3" a="1"/>
  <c r="N25" i="3"/>
  <c r="F26" i="3" a="1"/>
  <c r="F26" i="3"/>
  <c r="G26" i="3" a="1"/>
  <c r="G26" i="3"/>
  <c r="H26" i="3" a="1"/>
  <c r="H26" i="3"/>
  <c r="I26" i="3" a="1"/>
  <c r="I26" i="3" s="1"/>
  <c r="S26" i="3" s="1"/>
  <c r="J26" i="3" a="1"/>
  <c r="J26" i="3" s="1"/>
  <c r="K26" i="3" a="1"/>
  <c r="K26" i="3" s="1"/>
  <c r="L26" i="3" a="1"/>
  <c r="L26" i="3"/>
  <c r="M26" i="3" a="1"/>
  <c r="M26" i="3"/>
  <c r="N26" i="3" a="1"/>
  <c r="N26" i="3"/>
  <c r="F27" i="3" a="1"/>
  <c r="F27" i="3"/>
  <c r="G27" i="3" a="1"/>
  <c r="G27" i="3"/>
  <c r="H27" i="3" a="1"/>
  <c r="H27" i="3" s="1"/>
  <c r="I27" i="3" a="1"/>
  <c r="I27" i="3" s="1"/>
  <c r="J27" i="3" a="1"/>
  <c r="J27" i="3" s="1"/>
  <c r="K27" i="3" a="1"/>
  <c r="K27" i="3"/>
  <c r="L27" i="3" a="1"/>
  <c r="L27" i="3"/>
  <c r="M27" i="3" a="1"/>
  <c r="M27" i="3"/>
  <c r="N27" i="3" a="1"/>
  <c r="N27" i="3"/>
  <c r="F28" i="3" a="1"/>
  <c r="F28" i="3"/>
  <c r="P28" i="3" s="1"/>
  <c r="G28" i="3" a="1"/>
  <c r="G28" i="3" s="1"/>
  <c r="Q28" i="3" s="1"/>
  <c r="H28" i="3" a="1"/>
  <c r="H28" i="3" s="1"/>
  <c r="I28" i="3" a="1"/>
  <c r="I28" i="3" s="1"/>
  <c r="J28" i="3" a="1"/>
  <c r="J28" i="3"/>
  <c r="K28" i="3" a="1"/>
  <c r="K28" i="3"/>
  <c r="L28" i="3" a="1"/>
  <c r="L28" i="3"/>
  <c r="M28" i="3" a="1"/>
  <c r="M28" i="3"/>
  <c r="N28" i="3" a="1"/>
  <c r="N28" i="3"/>
  <c r="F29" i="3" a="1"/>
  <c r="F29" i="3" s="1"/>
  <c r="G29" i="3" a="1"/>
  <c r="G29" i="3" s="1"/>
  <c r="H29" i="3" a="1"/>
  <c r="H29" i="3" s="1"/>
  <c r="I29" i="3" a="1"/>
  <c r="I29" i="3"/>
  <c r="J29" i="3" a="1"/>
  <c r="J29" i="3"/>
  <c r="K29" i="3" a="1"/>
  <c r="K29" i="3"/>
  <c r="L29" i="3" a="1"/>
  <c r="L29" i="3"/>
  <c r="M29" i="3" a="1"/>
  <c r="M29" i="3"/>
  <c r="N29" i="3" a="1"/>
  <c r="N29" i="3" s="1"/>
  <c r="F30" i="3" a="1"/>
  <c r="F30" i="3" s="1"/>
  <c r="G30" i="3" a="1"/>
  <c r="G30" i="3" s="1"/>
  <c r="H30" i="3" a="1"/>
  <c r="H30" i="3"/>
  <c r="I30" i="3" a="1"/>
  <c r="I30" i="3"/>
  <c r="J30" i="3" a="1"/>
  <c r="J30" i="3"/>
  <c r="K30" i="3" a="1"/>
  <c r="K30" i="3"/>
  <c r="L30" i="3" a="1"/>
  <c r="L30" i="3"/>
  <c r="M30" i="3" a="1"/>
  <c r="M30" i="3" s="1"/>
  <c r="N30" i="3" a="1"/>
  <c r="N30" i="3" s="1"/>
  <c r="F31" i="3" a="1"/>
  <c r="F31" i="3" s="1"/>
  <c r="G31" i="3" a="1"/>
  <c r="G31" i="3"/>
  <c r="H31" i="3" a="1"/>
  <c r="H31" i="3"/>
  <c r="I31" i="3" a="1"/>
  <c r="I31" i="3"/>
  <c r="J31" i="3" a="1"/>
  <c r="J31" i="3"/>
  <c r="K31" i="3" a="1"/>
  <c r="K31" i="3"/>
  <c r="L31" i="3" a="1"/>
  <c r="L31" i="3" s="1"/>
  <c r="M31" i="3" a="1"/>
  <c r="M31" i="3" s="1"/>
  <c r="N31" i="3" a="1"/>
  <c r="N31" i="3" s="1"/>
  <c r="F32" i="3" a="1"/>
  <c r="F32" i="3"/>
  <c r="G32" i="3" a="1"/>
  <c r="G32" i="3"/>
  <c r="H32" i="3" a="1"/>
  <c r="H32" i="3"/>
  <c r="I32" i="3" a="1"/>
  <c r="I32" i="3"/>
  <c r="J32" i="3" a="1"/>
  <c r="J32" i="3"/>
  <c r="K32" i="3" a="1"/>
  <c r="K32" i="3" s="1"/>
  <c r="L32" i="3" a="1"/>
  <c r="L32" i="3" s="1"/>
  <c r="M32" i="3" a="1"/>
  <c r="M32" i="3" s="1"/>
  <c r="N32" i="3" a="1"/>
  <c r="N32" i="3"/>
  <c r="F33" i="3" a="1"/>
  <c r="F33" i="3"/>
  <c r="G33" i="3" a="1"/>
  <c r="G33" i="3"/>
  <c r="H33" i="3" a="1"/>
  <c r="H33" i="3"/>
  <c r="I33" i="3" a="1"/>
  <c r="I33" i="3"/>
  <c r="J33" i="3" a="1"/>
  <c r="J33" i="3" s="1"/>
  <c r="K33" i="3" a="1"/>
  <c r="K33" i="3" s="1"/>
  <c r="L33" i="3" a="1"/>
  <c r="L33" i="3" s="1"/>
  <c r="M33" i="3" a="1"/>
  <c r="M33" i="3"/>
  <c r="N33" i="3" a="1"/>
  <c r="N33" i="3"/>
  <c r="F34" i="3" a="1"/>
  <c r="F34" i="3"/>
  <c r="G34" i="3" a="1"/>
  <c r="G34" i="3"/>
  <c r="H34" i="3" a="1"/>
  <c r="H34" i="3"/>
  <c r="I34" i="3" a="1"/>
  <c r="I34" i="3" s="1"/>
  <c r="J34" i="3" a="1"/>
  <c r="J34" i="3" s="1"/>
  <c r="K34" i="3" a="1"/>
  <c r="K34" i="3" s="1"/>
  <c r="L34" i="3" a="1"/>
  <c r="L34" i="3"/>
  <c r="M34" i="3" a="1"/>
  <c r="M34" i="3"/>
  <c r="N34" i="3" a="1"/>
  <c r="N34" i="3"/>
  <c r="F35" i="3" a="1"/>
  <c r="F35" i="3"/>
  <c r="G35" i="3" a="1"/>
  <c r="G35" i="3"/>
  <c r="H35" i="3" a="1"/>
  <c r="H35" i="3" s="1"/>
  <c r="I35" i="3" a="1"/>
  <c r="I35" i="3" s="1"/>
  <c r="J35" i="3" a="1"/>
  <c r="J35" i="3" s="1"/>
  <c r="K35" i="3" a="1"/>
  <c r="K35" i="3"/>
  <c r="L35" i="3" a="1"/>
  <c r="L35" i="3"/>
  <c r="M35" i="3" a="1"/>
  <c r="M35" i="3"/>
  <c r="N35" i="3" a="1"/>
  <c r="N35" i="3"/>
  <c r="F36" i="3" a="1"/>
  <c r="F36" i="3"/>
  <c r="G36" i="3" a="1"/>
  <c r="G36" i="3" s="1"/>
  <c r="H36" i="3" a="1"/>
  <c r="H36" i="3" s="1"/>
  <c r="I36" i="3" a="1"/>
  <c r="I36" i="3" s="1"/>
  <c r="J36" i="3" a="1"/>
  <c r="J36" i="3"/>
  <c r="K36" i="3" a="1"/>
  <c r="K36" i="3"/>
  <c r="L36" i="3" a="1"/>
  <c r="L36" i="3"/>
  <c r="M36" i="3" a="1"/>
  <c r="M36" i="3"/>
  <c r="N36" i="3" a="1"/>
  <c r="N36" i="3"/>
  <c r="F37" i="3" a="1"/>
  <c r="F37" i="3" s="1"/>
  <c r="P37" i="3" s="1"/>
  <c r="G37" i="3" a="1"/>
  <c r="G37" i="3" s="1"/>
  <c r="Q37" i="3" s="1"/>
  <c r="H37" i="3" a="1"/>
  <c r="H37" i="3" s="1"/>
  <c r="I37" i="3" a="1"/>
  <c r="I37" i="3"/>
  <c r="J37" i="3" a="1"/>
  <c r="J37" i="3"/>
  <c r="K37" i="3" a="1"/>
  <c r="K37" i="3"/>
  <c r="L37" i="3" a="1"/>
  <c r="L37" i="3"/>
  <c r="M37" i="3" a="1"/>
  <c r="M37" i="3"/>
  <c r="N37" i="3" a="1"/>
  <c r="N37" i="3" s="1"/>
  <c r="F38" i="3" a="1"/>
  <c r="F38" i="3" s="1"/>
  <c r="G38" i="3" a="1"/>
  <c r="G38" i="3" s="1"/>
  <c r="H38" i="3" a="1"/>
  <c r="H38" i="3"/>
  <c r="I38" i="3" a="1"/>
  <c r="I38" i="3"/>
  <c r="J38" i="3" a="1"/>
  <c r="J38" i="3"/>
  <c r="K38" i="3" a="1"/>
  <c r="K38" i="3"/>
  <c r="L38" i="3" a="1"/>
  <c r="L38" i="3"/>
  <c r="M38" i="3" a="1"/>
  <c r="M38" i="3" s="1"/>
  <c r="N38" i="3" a="1"/>
  <c r="N38" i="3" s="1"/>
  <c r="F39" i="3" a="1"/>
  <c r="F39" i="3" s="1"/>
  <c r="G39" i="3" a="1"/>
  <c r="G39" i="3"/>
  <c r="H39" i="3" a="1"/>
  <c r="H39" i="3"/>
  <c r="I39" i="3" a="1"/>
  <c r="I39" i="3"/>
  <c r="J39" i="3" a="1"/>
  <c r="J39" i="3"/>
  <c r="K39" i="3" a="1"/>
  <c r="K39" i="3"/>
  <c r="L39" i="3" a="1"/>
  <c r="L39" i="3" s="1"/>
  <c r="M39" i="3" a="1"/>
  <c r="M39" i="3" s="1"/>
  <c r="N39" i="3" a="1"/>
  <c r="N39" i="3" s="1"/>
  <c r="F40" i="3" a="1"/>
  <c r="F40" i="3"/>
  <c r="G40" i="3" a="1"/>
  <c r="G40" i="3"/>
  <c r="H40" i="3" a="1"/>
  <c r="H40" i="3"/>
  <c r="I40" i="3" a="1"/>
  <c r="I40" i="3"/>
  <c r="J40" i="3" a="1"/>
  <c r="J40" i="3"/>
  <c r="K40" i="3" a="1"/>
  <c r="K40" i="3" s="1"/>
  <c r="L40" i="3" a="1"/>
  <c r="L40" i="3" s="1"/>
  <c r="M40" i="3" a="1"/>
  <c r="M40" i="3" s="1"/>
  <c r="N40" i="3" a="1"/>
  <c r="N40" i="3"/>
  <c r="F41" i="3" a="1"/>
  <c r="F41" i="3"/>
  <c r="G41" i="3" a="1"/>
  <c r="G41" i="3"/>
  <c r="H41" i="3" a="1"/>
  <c r="H41" i="3"/>
  <c r="I41" i="3" a="1"/>
  <c r="I41" i="3"/>
  <c r="J41" i="3" a="1"/>
  <c r="J41" i="3" s="1"/>
  <c r="K41" i="3" a="1"/>
  <c r="K41" i="3" s="1"/>
  <c r="L41" i="3" a="1"/>
  <c r="L41" i="3" s="1"/>
  <c r="M41" i="3" a="1"/>
  <c r="M41" i="3"/>
  <c r="N41" i="3" a="1"/>
  <c r="N41" i="3"/>
  <c r="F42" i="3" a="1"/>
  <c r="F42" i="3"/>
  <c r="G42" i="3" a="1"/>
  <c r="G42" i="3"/>
  <c r="H42" i="3" a="1"/>
  <c r="H42" i="3"/>
  <c r="I42" i="3" a="1"/>
  <c r="I42" i="3" s="1"/>
  <c r="J42" i="3" a="1"/>
  <c r="J42" i="3" s="1"/>
  <c r="K42" i="3" a="1"/>
  <c r="K42" i="3" s="1"/>
  <c r="L42" i="3" a="1"/>
  <c r="L42" i="3"/>
  <c r="M42" i="3" a="1"/>
  <c r="M42" i="3"/>
  <c r="N42" i="3" a="1"/>
  <c r="N42" i="3"/>
  <c r="F43" i="3" a="1"/>
  <c r="F43" i="3"/>
  <c r="G43" i="3" a="1"/>
  <c r="G43" i="3"/>
  <c r="Q43" i="3" s="1"/>
  <c r="H43" i="3" a="1"/>
  <c r="H43" i="3" s="1"/>
  <c r="I43" i="3" a="1"/>
  <c r="I43" i="3" s="1"/>
  <c r="J43" i="3" a="1"/>
  <c r="J43" i="3" s="1"/>
  <c r="K43" i="3" a="1"/>
  <c r="K43" i="3"/>
  <c r="L43" i="3" a="1"/>
  <c r="L43" i="3"/>
  <c r="M43" i="3" a="1"/>
  <c r="M43" i="3"/>
  <c r="N43" i="3" a="1"/>
  <c r="N43" i="3"/>
  <c r="F44" i="3" a="1"/>
  <c r="F44" i="3"/>
  <c r="G44" i="3" a="1"/>
  <c r="G44" i="3" s="1"/>
  <c r="H44" i="3" a="1"/>
  <c r="H44" i="3" s="1"/>
  <c r="I44" i="3" a="1"/>
  <c r="I44" i="3" s="1"/>
  <c r="J44" i="3" a="1"/>
  <c r="J44" i="3"/>
  <c r="K44" i="3" a="1"/>
  <c r="K44" i="3"/>
  <c r="L44" i="3" a="1"/>
  <c r="L44" i="3"/>
  <c r="M44" i="3" a="1"/>
  <c r="M44" i="3"/>
  <c r="N44" i="3" a="1"/>
  <c r="N44" i="3"/>
  <c r="F45" i="3" a="1"/>
  <c r="F45" i="3" s="1"/>
  <c r="P45" i="3" s="1"/>
  <c r="G45" i="3" a="1"/>
  <c r="G45" i="3" s="1"/>
  <c r="Q45" i="3" s="1"/>
  <c r="H45" i="3" a="1"/>
  <c r="H45" i="3" s="1"/>
  <c r="I45" i="3" a="1"/>
  <c r="I45" i="3"/>
  <c r="J45" i="3" a="1"/>
  <c r="J45" i="3"/>
  <c r="K45" i="3" a="1"/>
  <c r="K45" i="3"/>
  <c r="L45" i="3" a="1"/>
  <c r="L45" i="3"/>
  <c r="M45" i="3" a="1"/>
  <c r="M45" i="3"/>
  <c r="N45" i="3" a="1"/>
  <c r="N45" i="3" s="1"/>
  <c r="J5" i="3" a="1"/>
  <c r="J5" i="3" s="1"/>
  <c r="I5" i="3" a="1"/>
  <c r="I5" i="3" s="1"/>
  <c r="H5" i="3" a="1"/>
  <c r="H5" i="3" s="1"/>
  <c r="G5" i="3" a="1"/>
  <c r="G5" i="3" s="1"/>
  <c r="F5" i="3" a="1"/>
  <c r="F5" i="3" s="1"/>
  <c r="N5" i="3" a="1"/>
  <c r="N5" i="3" s="1"/>
  <c r="M5" i="3" a="1"/>
  <c r="M5" i="3" s="1"/>
  <c r="L5" i="3" a="1"/>
  <c r="L5" i="3" s="1"/>
  <c r="K5" i="3" a="1"/>
  <c r="K5" i="3" s="1"/>
  <c r="Z5" i="3"/>
  <c r="Y5" i="3"/>
  <c r="E45" i="3"/>
  <c r="E44" i="3"/>
  <c r="E43" i="3"/>
  <c r="E42" i="3"/>
  <c r="E41" i="3"/>
  <c r="E40" i="3"/>
  <c r="E39" i="3"/>
  <c r="E38" i="3"/>
  <c r="E37" i="3"/>
  <c r="E36" i="3"/>
  <c r="V35" i="3"/>
  <c r="E35" i="3"/>
  <c r="E34" i="3"/>
  <c r="E33" i="3"/>
  <c r="E32" i="3"/>
  <c r="E31" i="3"/>
  <c r="E30" i="3"/>
  <c r="E29" i="3"/>
  <c r="E28" i="3"/>
  <c r="E27" i="3"/>
  <c r="V26" i="3"/>
  <c r="E26" i="3"/>
  <c r="X26" i="3" s="1"/>
  <c r="R25" i="3"/>
  <c r="E25" i="3"/>
  <c r="Q25" i="3" s="1"/>
  <c r="E24" i="3"/>
  <c r="X24" i="3" s="1"/>
  <c r="E23" i="3"/>
  <c r="T23" i="3" s="1"/>
  <c r="E22" i="3"/>
  <c r="E21" i="3"/>
  <c r="E20" i="3"/>
  <c r="E19" i="3"/>
  <c r="E18" i="3"/>
  <c r="E17" i="3"/>
  <c r="E16" i="3"/>
  <c r="P16" i="3" s="1"/>
  <c r="E15" i="3"/>
  <c r="E14" i="3"/>
  <c r="E13" i="3"/>
  <c r="S13" i="3" s="1"/>
  <c r="E12" i="3"/>
  <c r="E11" i="3"/>
  <c r="U11" i="3" s="1"/>
  <c r="E10" i="3"/>
  <c r="E9" i="3"/>
  <c r="Q9" i="3" s="1"/>
  <c r="E8" i="3"/>
  <c r="E7" i="3"/>
  <c r="E6" i="3"/>
  <c r="E5" i="3"/>
  <c r="D5" i="1"/>
  <c r="D6" i="1"/>
  <c r="D7" i="1"/>
  <c r="D8" i="1"/>
  <c r="D9" i="1"/>
  <c r="D10" i="1"/>
  <c r="D11" i="1"/>
  <c r="M11" i="1" s="1" a="1"/>
  <c r="M11" i="1" s="1"/>
  <c r="D12" i="1"/>
  <c r="G12" i="1" s="1" a="1"/>
  <c r="G12" i="1" s="1"/>
  <c r="D13" i="1"/>
  <c r="E13" i="1" s="1" a="1"/>
  <c r="E13" i="1" s="1"/>
  <c r="D14" i="1"/>
  <c r="K14" i="1" s="1" a="1"/>
  <c r="K14" i="1" s="1"/>
  <c r="D15" i="1"/>
  <c r="L15" i="1" s="1" a="1"/>
  <c r="L15" i="1" s="1"/>
  <c r="D16" i="1"/>
  <c r="J16" i="1" s="1" a="1"/>
  <c r="J16" i="1" s="1"/>
  <c r="D17" i="1"/>
  <c r="D18" i="1"/>
  <c r="E18" i="1" s="1" a="1"/>
  <c r="E18" i="1" s="1"/>
  <c r="D19" i="1"/>
  <c r="D20" i="1"/>
  <c r="F20" i="1" s="1" a="1"/>
  <c r="F20" i="1" s="1"/>
  <c r="D21" i="1"/>
  <c r="H21" i="1" s="1" a="1"/>
  <c r="H21" i="1" s="1"/>
  <c r="D22" i="1"/>
  <c r="E22" i="1" s="1" a="1"/>
  <c r="E22" i="1" s="1"/>
  <c r="D23" i="1"/>
  <c r="K23" i="1" s="1" a="1"/>
  <c r="K23" i="1" s="1"/>
  <c r="D24" i="1"/>
  <c r="H24" i="1" s="1" a="1"/>
  <c r="H24" i="1" s="1"/>
  <c r="D25" i="1"/>
  <c r="H25" i="1" s="1" a="1"/>
  <c r="H25" i="1" s="1"/>
  <c r="D26" i="1"/>
  <c r="H26" i="1" s="1" a="1"/>
  <c r="H26" i="1" s="1"/>
  <c r="D27" i="1"/>
  <c r="D28" i="1"/>
  <c r="D29" i="1"/>
  <c r="D30" i="1"/>
  <c r="D31" i="1"/>
  <c r="G31" i="1" s="1" a="1"/>
  <c r="G31" i="1" s="1"/>
  <c r="D32" i="1"/>
  <c r="F32" i="1" s="1" a="1"/>
  <c r="F32" i="1" s="1"/>
  <c r="D33" i="1"/>
  <c r="F33" i="1" s="1" a="1"/>
  <c r="F33" i="1" s="1"/>
  <c r="D34" i="1"/>
  <c r="J34" i="1" s="1" a="1"/>
  <c r="J34" i="1" s="1"/>
  <c r="D35" i="1"/>
  <c r="E35" i="1" s="1" a="1"/>
  <c r="E35" i="1" s="1"/>
  <c r="D36" i="1"/>
  <c r="D37" i="1"/>
  <c r="H37" i="1" s="1" a="1"/>
  <c r="H37" i="1" s="1"/>
  <c r="D38" i="1"/>
  <c r="H38" i="1" s="1" a="1"/>
  <c r="H38" i="1" s="1"/>
  <c r="D39" i="1"/>
  <c r="J39" i="1" s="1" a="1"/>
  <c r="J39" i="1" s="1"/>
  <c r="D40" i="1"/>
  <c r="H40" i="1" s="1" a="1"/>
  <c r="H40" i="1" s="1"/>
  <c r="D41" i="1"/>
  <c r="D42" i="1"/>
  <c r="K42" i="1" s="1" a="1"/>
  <c r="K42" i="1" s="1"/>
  <c r="D43" i="1"/>
  <c r="F43" i="1" s="1" a="1"/>
  <c r="F43" i="1" s="1"/>
  <c r="D44" i="1"/>
  <c r="D4" i="1"/>
  <c r="M12" i="1" a="1"/>
  <c r="M12" i="1" s="1"/>
  <c r="L12" i="1" a="1"/>
  <c r="L12" i="1" s="1"/>
  <c r="K12" i="1" a="1"/>
  <c r="K12" i="1" s="1"/>
  <c r="J12" i="1" a="1"/>
  <c r="J12" i="1" s="1"/>
  <c r="I12" i="1" a="1"/>
  <c r="I12" i="1" s="1"/>
  <c r="H12" i="1" a="1"/>
  <c r="H12" i="1" s="1"/>
  <c r="L11" i="1" a="1"/>
  <c r="L11" i="1" s="1"/>
  <c r="K11" i="1" a="1"/>
  <c r="K11" i="1" s="1"/>
  <c r="J11" i="1" a="1"/>
  <c r="J11" i="1" s="1"/>
  <c r="I11" i="1" a="1"/>
  <c r="I11" i="1" s="1"/>
  <c r="H11" i="1" a="1"/>
  <c r="H11" i="1" s="1"/>
  <c r="G11" i="1" a="1"/>
  <c r="G11" i="1" s="1"/>
  <c r="F11" i="1" a="1"/>
  <c r="F11" i="1" s="1"/>
  <c r="E11" i="1" a="1"/>
  <c r="E11" i="1" s="1"/>
  <c r="M10" i="1" a="1"/>
  <c r="M10" i="1" s="1"/>
  <c r="L10" i="1" a="1"/>
  <c r="L10" i="1" s="1"/>
  <c r="K10" i="1" a="1"/>
  <c r="K10" i="1" s="1"/>
  <c r="J10" i="1" a="1"/>
  <c r="J10" i="1" s="1"/>
  <c r="I10" i="1" a="1"/>
  <c r="I10" i="1" s="1"/>
  <c r="H10" i="1" a="1"/>
  <c r="H10" i="1" s="1"/>
  <c r="G10" i="1" a="1"/>
  <c r="G10" i="1" s="1"/>
  <c r="F10" i="1" a="1"/>
  <c r="F10" i="1" s="1"/>
  <c r="E10" i="1" a="1"/>
  <c r="E10" i="1" s="1"/>
  <c r="M9" i="1" a="1"/>
  <c r="M9" i="1" s="1"/>
  <c r="L9" i="1" a="1"/>
  <c r="L9" i="1" s="1"/>
  <c r="K9" i="1" a="1"/>
  <c r="K9" i="1" s="1"/>
  <c r="J9" i="1" a="1"/>
  <c r="J9" i="1" s="1"/>
  <c r="I9" i="1" a="1"/>
  <c r="I9" i="1" s="1"/>
  <c r="H9" i="1" a="1"/>
  <c r="H9" i="1" s="1"/>
  <c r="G9" i="1" a="1"/>
  <c r="G9" i="1" s="1"/>
  <c r="F9" i="1" a="1"/>
  <c r="F9" i="1" s="1"/>
  <c r="E9" i="1" a="1"/>
  <c r="E9" i="1" s="1"/>
  <c r="M8" i="1" a="1"/>
  <c r="M8" i="1" s="1"/>
  <c r="L8" i="1" a="1"/>
  <c r="L8" i="1" s="1"/>
  <c r="K8" i="1" a="1"/>
  <c r="K8" i="1" s="1"/>
  <c r="J8" i="1" a="1"/>
  <c r="J8" i="1" s="1"/>
  <c r="I8" i="1" a="1"/>
  <c r="I8" i="1" s="1"/>
  <c r="H8" i="1" a="1"/>
  <c r="H8" i="1" s="1"/>
  <c r="G8" i="1" a="1"/>
  <c r="G8" i="1" s="1"/>
  <c r="F8" i="1" a="1"/>
  <c r="F8" i="1" s="1"/>
  <c r="E8" i="1" a="1"/>
  <c r="E8" i="1" s="1"/>
  <c r="M7" i="1" a="1"/>
  <c r="M7" i="1" s="1"/>
  <c r="L7" i="1" a="1"/>
  <c r="L7" i="1" s="1"/>
  <c r="K7" i="1" a="1"/>
  <c r="K7" i="1" s="1"/>
  <c r="J7" i="1" a="1"/>
  <c r="J7" i="1" s="1"/>
  <c r="I7" i="1" a="1"/>
  <c r="I7" i="1" s="1"/>
  <c r="H7" i="1" a="1"/>
  <c r="H7" i="1" s="1"/>
  <c r="G7" i="1" a="1"/>
  <c r="G7" i="1" s="1"/>
  <c r="F7" i="1" a="1"/>
  <c r="F7" i="1" s="1"/>
  <c r="E7" i="1" a="1"/>
  <c r="E7" i="1" s="1"/>
  <c r="M6" i="1" a="1"/>
  <c r="M6" i="1" s="1"/>
  <c r="L6" i="1" a="1"/>
  <c r="L6" i="1" s="1"/>
  <c r="K6" i="1" a="1"/>
  <c r="K6" i="1" s="1"/>
  <c r="J6" i="1" a="1"/>
  <c r="J6" i="1" s="1"/>
  <c r="I6" i="1" a="1"/>
  <c r="I6" i="1" s="1"/>
  <c r="H6" i="1" a="1"/>
  <c r="H6" i="1" s="1"/>
  <c r="G6" i="1" a="1"/>
  <c r="G6" i="1" s="1"/>
  <c r="F6" i="1" a="1"/>
  <c r="F6" i="1" s="1"/>
  <c r="E6" i="1" a="1"/>
  <c r="E6" i="1" s="1"/>
  <c r="M5" i="1" a="1"/>
  <c r="M5" i="1" s="1"/>
  <c r="L5" i="1" a="1"/>
  <c r="L5" i="1" s="1"/>
  <c r="K5" i="1" a="1"/>
  <c r="K5" i="1" s="1"/>
  <c r="J5" i="1" a="1"/>
  <c r="J5" i="1" s="1"/>
  <c r="I5" i="1" a="1"/>
  <c r="I5" i="1" s="1"/>
  <c r="H5" i="1" a="1"/>
  <c r="H5" i="1" s="1"/>
  <c r="G5" i="1" a="1"/>
  <c r="G5" i="1" s="1"/>
  <c r="F5" i="1" a="1"/>
  <c r="F5" i="1" s="1"/>
  <c r="E5" i="1" a="1"/>
  <c r="E5" i="1" s="1"/>
  <c r="E17" i="1" a="1"/>
  <c r="E17" i="1" s="1"/>
  <c r="F17" i="1" a="1"/>
  <c r="F17" i="1" s="1"/>
  <c r="G17" i="1" a="1"/>
  <c r="G17" i="1" s="1"/>
  <c r="H17" i="1" a="1"/>
  <c r="H17" i="1" s="1"/>
  <c r="I17" i="1" a="1"/>
  <c r="I17" i="1" s="1"/>
  <c r="J17" i="1" a="1"/>
  <c r="J17" i="1" s="1"/>
  <c r="K17" i="1" a="1"/>
  <c r="K17" i="1" s="1"/>
  <c r="L17" i="1" a="1"/>
  <c r="L17" i="1" s="1"/>
  <c r="M17" i="1" a="1"/>
  <c r="M17" i="1" s="1"/>
  <c r="F18" i="1" a="1"/>
  <c r="F18" i="1" s="1"/>
  <c r="H18" i="1" a="1"/>
  <c r="H18" i="1" s="1"/>
  <c r="I18" i="1" a="1"/>
  <c r="I18" i="1" s="1"/>
  <c r="J18" i="1" a="1"/>
  <c r="J18" i="1" s="1"/>
  <c r="K18" i="1" a="1"/>
  <c r="K18" i="1" s="1"/>
  <c r="L18" i="1" a="1"/>
  <c r="L18" i="1" s="1"/>
  <c r="M18" i="1" a="1"/>
  <c r="M18" i="1" s="1"/>
  <c r="G19" i="1" a="1"/>
  <c r="G19" i="1" s="1"/>
  <c r="H19" i="1" a="1"/>
  <c r="H19" i="1" s="1"/>
  <c r="I19" i="1" a="1"/>
  <c r="I19" i="1" s="1"/>
  <c r="J19" i="1" a="1"/>
  <c r="J19" i="1"/>
  <c r="K19" i="1" a="1"/>
  <c r="K19" i="1" s="1"/>
  <c r="L19" i="1" a="1"/>
  <c r="L19" i="1" s="1"/>
  <c r="M19" i="1" a="1"/>
  <c r="M19" i="1" s="1"/>
  <c r="E20" i="1" a="1"/>
  <c r="E20" i="1" s="1"/>
  <c r="I20" i="1" a="1"/>
  <c r="I20" i="1" s="1"/>
  <c r="J20" i="1" a="1"/>
  <c r="J20" i="1" s="1"/>
  <c r="K20" i="1" a="1"/>
  <c r="K20" i="1" s="1"/>
  <c r="L20" i="1" a="1"/>
  <c r="L20" i="1" s="1"/>
  <c r="M20" i="1" a="1"/>
  <c r="M20" i="1" s="1"/>
  <c r="E21" i="1" a="1"/>
  <c r="E21" i="1" s="1"/>
  <c r="F21" i="1" a="1"/>
  <c r="F21" i="1" s="1"/>
  <c r="G21" i="1" a="1"/>
  <c r="G21" i="1" s="1"/>
  <c r="L21" i="1" a="1"/>
  <c r="L21" i="1" s="1"/>
  <c r="I22" i="1" a="1"/>
  <c r="I22" i="1" s="1"/>
  <c r="J22" i="1" a="1"/>
  <c r="J22" i="1" s="1"/>
  <c r="K22" i="1" a="1"/>
  <c r="K22" i="1" s="1"/>
  <c r="L22" i="1" a="1"/>
  <c r="L22" i="1" s="1"/>
  <c r="M22" i="1" a="1"/>
  <c r="M22" i="1" s="1"/>
  <c r="H23" i="1" a="1"/>
  <c r="H23" i="1" s="1"/>
  <c r="I23" i="1" a="1"/>
  <c r="I23" i="1" s="1"/>
  <c r="J23" i="1" a="1"/>
  <c r="J23" i="1" s="1"/>
  <c r="E28" i="1" a="1"/>
  <c r="E28" i="1" s="1"/>
  <c r="F28" i="1" a="1"/>
  <c r="F28" i="1" s="1"/>
  <c r="G28" i="1" a="1"/>
  <c r="G28" i="1" s="1"/>
  <c r="H28" i="1" a="1"/>
  <c r="H28" i="1" s="1"/>
  <c r="I28" i="1" a="1"/>
  <c r="I28" i="1" s="1"/>
  <c r="J28" i="1" a="1"/>
  <c r="J28" i="1" s="1"/>
  <c r="K28" i="1" a="1"/>
  <c r="K28" i="1" s="1"/>
  <c r="L28" i="1" a="1"/>
  <c r="L28" i="1" s="1"/>
  <c r="M28" i="1" a="1"/>
  <c r="M28" i="1" s="1"/>
  <c r="E29" i="1" a="1"/>
  <c r="E29" i="1" s="1"/>
  <c r="F29" i="1" a="1"/>
  <c r="F29" i="1" s="1"/>
  <c r="G29" i="1" a="1"/>
  <c r="G29" i="1" s="1"/>
  <c r="H29" i="1" a="1"/>
  <c r="H29" i="1" s="1"/>
  <c r="I29" i="1" a="1"/>
  <c r="I29" i="1" s="1"/>
  <c r="J29" i="1" a="1"/>
  <c r="J29" i="1" s="1"/>
  <c r="K29" i="1" a="1"/>
  <c r="K29" i="1" s="1"/>
  <c r="L29" i="1" a="1"/>
  <c r="L29" i="1" s="1"/>
  <c r="M29" i="1" a="1"/>
  <c r="M29" i="1" s="1"/>
  <c r="E30" i="1" a="1"/>
  <c r="E30" i="1" s="1"/>
  <c r="F30" i="1" a="1"/>
  <c r="F30" i="1" s="1"/>
  <c r="G30" i="1" a="1"/>
  <c r="G30" i="1" s="1"/>
  <c r="H30" i="1" a="1"/>
  <c r="H30" i="1" s="1"/>
  <c r="I30" i="1" a="1"/>
  <c r="I30" i="1" s="1"/>
  <c r="J30" i="1" a="1"/>
  <c r="J30" i="1" s="1"/>
  <c r="K30" i="1" a="1"/>
  <c r="K30" i="1" s="1"/>
  <c r="L30" i="1" a="1"/>
  <c r="L30" i="1" s="1"/>
  <c r="M30" i="1" a="1"/>
  <c r="M30" i="1" s="1"/>
  <c r="E32" i="1" a="1"/>
  <c r="E32" i="1" s="1"/>
  <c r="I32" i="1" a="1"/>
  <c r="I32" i="1" s="1"/>
  <c r="L32" i="1" a="1"/>
  <c r="L32" i="1" s="1"/>
  <c r="M32" i="1" a="1"/>
  <c r="M32" i="1" s="1"/>
  <c r="I33" i="1" a="1"/>
  <c r="I33" i="1" s="1"/>
  <c r="K33" i="1" a="1"/>
  <c r="K33" i="1" s="1"/>
  <c r="L33" i="1" a="1"/>
  <c r="L33" i="1" s="1"/>
  <c r="M33" i="1" a="1"/>
  <c r="M33" i="1" s="1"/>
  <c r="E34" i="1" a="1"/>
  <c r="E34" i="1" s="1"/>
  <c r="F34" i="1" a="1"/>
  <c r="F34" i="1" s="1"/>
  <c r="G34" i="1" a="1"/>
  <c r="G34" i="1" s="1"/>
  <c r="H34" i="1" a="1"/>
  <c r="H34" i="1" s="1"/>
  <c r="I34" i="1" a="1"/>
  <c r="I34" i="1" s="1"/>
  <c r="K35" i="1" a="1"/>
  <c r="K35" i="1" s="1"/>
  <c r="M35" i="1" a="1"/>
  <c r="M35" i="1" s="1"/>
  <c r="G36" i="1" a="1"/>
  <c r="G36" i="1" s="1"/>
  <c r="H36" i="1" a="1"/>
  <c r="H36" i="1" s="1"/>
  <c r="I36" i="1" a="1"/>
  <c r="I36" i="1" s="1"/>
  <c r="J36" i="1" a="1"/>
  <c r="J36" i="1" s="1"/>
  <c r="K36" i="1" a="1"/>
  <c r="K36" i="1" s="1"/>
  <c r="L36" i="1" a="1"/>
  <c r="L36" i="1" s="1"/>
  <c r="M36" i="1" a="1"/>
  <c r="M36" i="1" s="1"/>
  <c r="E41" i="1" a="1"/>
  <c r="E41" i="1" s="1"/>
  <c r="F41" i="1" a="1"/>
  <c r="F41" i="1" s="1"/>
  <c r="G41" i="1" a="1"/>
  <c r="G41" i="1" s="1"/>
  <c r="H41" i="1" a="1"/>
  <c r="H41" i="1" s="1"/>
  <c r="I41" i="1" a="1"/>
  <c r="I41" i="1" s="1"/>
  <c r="J41" i="1" a="1"/>
  <c r="J41" i="1" s="1"/>
  <c r="K41" i="1" a="1"/>
  <c r="K41" i="1" s="1"/>
  <c r="L41" i="1" a="1"/>
  <c r="L41" i="1" s="1"/>
  <c r="M41" i="1" a="1"/>
  <c r="M41" i="1" s="1"/>
  <c r="E42" i="1" a="1"/>
  <c r="E42" i="1" s="1"/>
  <c r="F42" i="1" a="1"/>
  <c r="F42" i="1" s="1"/>
  <c r="G42" i="1" a="1"/>
  <c r="G42" i="1" s="1"/>
  <c r="H42" i="1" a="1"/>
  <c r="H42" i="1" s="1"/>
  <c r="I42" i="1" a="1"/>
  <c r="I42" i="1" s="1"/>
  <c r="J42" i="1" a="1"/>
  <c r="J42" i="1" s="1"/>
  <c r="L42" i="1" a="1"/>
  <c r="L42" i="1" s="1"/>
  <c r="M42" i="1" a="1"/>
  <c r="M42" i="1" s="1"/>
  <c r="E43" i="1" a="1"/>
  <c r="E43" i="1" s="1"/>
  <c r="H43" i="1" a="1"/>
  <c r="H43" i="1" s="1"/>
  <c r="I43" i="1" a="1"/>
  <c r="I43" i="1" s="1"/>
  <c r="J43" i="1" a="1"/>
  <c r="J43" i="1" s="1"/>
  <c r="K43" i="1" a="1"/>
  <c r="K43" i="1" s="1"/>
  <c r="L43" i="1" a="1"/>
  <c r="L43" i="1" s="1"/>
  <c r="M43" i="1" a="1"/>
  <c r="M43" i="1" s="1"/>
  <c r="G44" i="1" a="1"/>
  <c r="G44" i="1" s="1"/>
  <c r="H44" i="1" a="1"/>
  <c r="H44" i="1" s="1"/>
  <c r="I44" i="1" a="1"/>
  <c r="I44" i="1" s="1"/>
  <c r="J44" i="1" a="1"/>
  <c r="J44" i="1" s="1"/>
  <c r="K44" i="1" a="1"/>
  <c r="K44" i="1" s="1"/>
  <c r="L44" i="1" a="1"/>
  <c r="L44" i="1" s="1"/>
  <c r="M44" i="1" a="1"/>
  <c r="M44" i="1" s="1"/>
  <c r="I4" i="1" a="1"/>
  <c r="I4" i="1" s="1"/>
  <c r="J38" i="4" l="1" a="1"/>
  <c r="J38" i="4" s="1"/>
  <c r="F4" i="4" a="1"/>
  <c r="F4" i="4" s="1"/>
  <c r="H4" i="4" a="1"/>
  <c r="H4" i="4" s="1"/>
  <c r="H20" i="4" a="1"/>
  <c r="H20" i="4" s="1"/>
  <c r="H25" i="4" a="1"/>
  <c r="H25" i="4" s="1"/>
  <c r="I42" i="4" a="1"/>
  <c r="I42" i="4" s="1"/>
  <c r="I38" i="4" a="1"/>
  <c r="I38" i="4" s="1"/>
  <c r="F37" i="4" a="1"/>
  <c r="F37" i="4" s="1"/>
  <c r="M4" i="4" a="1"/>
  <c r="M4" i="4" s="1"/>
  <c r="I20" i="4" a="1"/>
  <c r="I20" i="4" s="1"/>
  <c r="I25" i="4" a="1"/>
  <c r="I25" i="4" s="1"/>
  <c r="G37" i="4" a="1"/>
  <c r="G37" i="4" s="1"/>
  <c r="J42" i="4" a="1"/>
  <c r="J42" i="4" s="1"/>
  <c r="N23" i="4" a="1"/>
  <c r="N23" i="4" s="1"/>
  <c r="G25" i="4" a="1"/>
  <c r="G25" i="4" s="1"/>
  <c r="N4" i="4" a="1"/>
  <c r="N4" i="4" s="1"/>
  <c r="J25" i="4" a="1"/>
  <c r="J25" i="4" s="1"/>
  <c r="G32" i="4" a="1"/>
  <c r="G32" i="4" s="1"/>
  <c r="H37" i="4" a="1"/>
  <c r="H37" i="4" s="1"/>
  <c r="L42" i="4" a="1"/>
  <c r="L42" i="4" s="1"/>
  <c r="J23" i="4" a="1"/>
  <c r="J23" i="4" s="1"/>
  <c r="M23" i="4" a="1"/>
  <c r="M23" i="4" s="1"/>
  <c r="G18" i="4" a="1"/>
  <c r="G18" i="4" s="1"/>
  <c r="F25" i="4" a="1"/>
  <c r="F25" i="4" s="1"/>
  <c r="J30" i="4" a="1"/>
  <c r="J30" i="4" s="1"/>
  <c r="H11" i="4" a="1"/>
  <c r="H11" i="4" s="1"/>
  <c r="M25" i="4" a="1"/>
  <c r="M25" i="4" s="1"/>
  <c r="I37" i="4" a="1"/>
  <c r="I37" i="4" s="1"/>
  <c r="I18" i="4" a="1"/>
  <c r="I18" i="4" s="1"/>
  <c r="J18" i="4" a="1"/>
  <c r="J18" i="4" s="1"/>
  <c r="I13" i="4" a="1"/>
  <c r="I13" i="4" s="1"/>
  <c r="I11" i="4" a="1"/>
  <c r="I11" i="4" s="1"/>
  <c r="N25" i="4" a="1"/>
  <c r="N25" i="4" s="1"/>
  <c r="J37" i="4" a="1"/>
  <c r="J37" i="4" s="1"/>
  <c r="G4" i="4" a="1"/>
  <c r="G4" i="4" s="1"/>
  <c r="J11" i="4" a="1"/>
  <c r="J11" i="4" s="1"/>
  <c r="K37" i="4" a="1"/>
  <c r="K37" i="4" s="1"/>
  <c r="H18" i="4" a="1"/>
  <c r="H18" i="4" s="1"/>
  <c r="J13" i="4" a="1"/>
  <c r="J13" i="4" s="1"/>
  <c r="G6" i="4" a="1"/>
  <c r="G6" i="4" s="1"/>
  <c r="L16" i="4" a="1"/>
  <c r="L16" i="4" s="1"/>
  <c r="F26" i="4" a="1"/>
  <c r="F26" i="4" s="1"/>
  <c r="J44" i="4" a="1"/>
  <c r="J44" i="4" s="1"/>
  <c r="H14" i="4" a="1"/>
  <c r="H14" i="4" s="1"/>
  <c r="G7" i="4" a="1"/>
  <c r="G7" i="4" s="1"/>
  <c r="L11" i="4" a="1"/>
  <c r="L11" i="4" s="1"/>
  <c r="F13" i="4" a="1"/>
  <c r="F13" i="4" s="1"/>
  <c r="N14" i="4" a="1"/>
  <c r="N14" i="4" s="1"/>
  <c r="I17" i="4" a="1"/>
  <c r="I17" i="4" s="1"/>
  <c r="J19" i="4" a="1"/>
  <c r="J19" i="4" s="1"/>
  <c r="G23" i="4" a="1"/>
  <c r="G23" i="4" s="1"/>
  <c r="H24" i="4" a="1"/>
  <c r="H24" i="4" s="1"/>
  <c r="G30" i="4" a="1"/>
  <c r="G30" i="4" s="1"/>
  <c r="J31" i="4" a="1"/>
  <c r="J31" i="4" s="1"/>
  <c r="M34" i="4" a="1"/>
  <c r="M34" i="4" s="1"/>
  <c r="K43" i="4" a="1"/>
  <c r="K43" i="4" s="1"/>
  <c r="F14" i="4" a="1"/>
  <c r="F14" i="4" s="1"/>
  <c r="F17" i="4" a="1"/>
  <c r="F17" i="4" s="1"/>
  <c r="M29" i="4" a="1"/>
  <c r="M29" i="4" s="1"/>
  <c r="N33" i="4" a="1"/>
  <c r="N33" i="4" s="1"/>
  <c r="N8" i="4" a="1"/>
  <c r="N8" i="4" s="1"/>
  <c r="F9" i="4" a="1"/>
  <c r="F9" i="4" s="1"/>
  <c r="M11" i="4" a="1"/>
  <c r="M11" i="4" s="1"/>
  <c r="I24" i="4" a="1"/>
  <c r="I24" i="4" s="1"/>
  <c r="K31" i="4" a="1"/>
  <c r="K31" i="4" s="1"/>
  <c r="I36" i="4" a="1"/>
  <c r="I36" i="4" s="1"/>
  <c r="N43" i="4" a="1"/>
  <c r="N43" i="4" s="1"/>
  <c r="F8" i="4" a="1"/>
  <c r="F8" i="4" s="1"/>
  <c r="F31" i="4" a="1"/>
  <c r="F31" i="4" s="1"/>
  <c r="G8" i="4" a="1"/>
  <c r="G8" i="4" s="1"/>
  <c r="H31" i="4" a="1"/>
  <c r="H31" i="4" s="1"/>
  <c r="H39" i="4" a="1"/>
  <c r="H39" i="4" s="1"/>
  <c r="K11" i="4" a="1"/>
  <c r="K11" i="4" s="1"/>
  <c r="I19" i="4" a="1"/>
  <c r="I19" i="4" s="1"/>
  <c r="H36" i="4" a="1"/>
  <c r="H36" i="4" s="1"/>
  <c r="L5" i="4" a="1"/>
  <c r="L5" i="4" s="1"/>
  <c r="H7" i="4" a="1"/>
  <c r="H7" i="4" s="1"/>
  <c r="G9" i="4" a="1"/>
  <c r="G9" i="4" s="1"/>
  <c r="N11" i="4" a="1"/>
  <c r="N11" i="4" s="1"/>
  <c r="G13" i="4" a="1"/>
  <c r="G13" i="4" s="1"/>
  <c r="J17" i="4" a="1"/>
  <c r="J17" i="4" s="1"/>
  <c r="F20" i="4" a="1"/>
  <c r="F20" i="4" s="1"/>
  <c r="H23" i="4" a="1"/>
  <c r="H23" i="4" s="1"/>
  <c r="H30" i="4" a="1"/>
  <c r="H30" i="4" s="1"/>
  <c r="N31" i="4" a="1"/>
  <c r="N31" i="4" s="1"/>
  <c r="F35" i="4" a="1"/>
  <c r="F35" i="4" s="1"/>
  <c r="J36" i="4" a="1"/>
  <c r="J36" i="4" s="1"/>
  <c r="G42" i="4" a="1"/>
  <c r="G42" i="4" s="1"/>
  <c r="G31" i="4" a="1"/>
  <c r="G31" i="4" s="1"/>
  <c r="F33" i="4" a="1"/>
  <c r="F33" i="4" s="1"/>
  <c r="F43" i="4" a="1"/>
  <c r="F43" i="4" s="1"/>
  <c r="G33" i="4" a="1"/>
  <c r="G33" i="4" s="1"/>
  <c r="H43" i="4" a="1"/>
  <c r="H43" i="4" s="1"/>
  <c r="H8" i="4" a="1"/>
  <c r="H8" i="4" s="1"/>
  <c r="M22" i="4" a="1"/>
  <c r="M22" i="4" s="1"/>
  <c r="H17" i="4" a="1"/>
  <c r="H17" i="4" s="1"/>
  <c r="G24" i="4" a="1"/>
  <c r="G24" i="4" s="1"/>
  <c r="I43" i="4" a="1"/>
  <c r="I43" i="4" s="1"/>
  <c r="M14" i="4" a="1"/>
  <c r="M14" i="4" s="1"/>
  <c r="F23" i="4" a="1"/>
  <c r="F23" i="4" s="1"/>
  <c r="I31" i="4" a="1"/>
  <c r="I31" i="4" s="1"/>
  <c r="J43" i="4" a="1"/>
  <c r="J43" i="4" s="1"/>
  <c r="M5" i="4" a="1"/>
  <c r="M5" i="4" s="1"/>
  <c r="N9" i="4" a="1"/>
  <c r="N9" i="4" s="1"/>
  <c r="K17" i="4" a="1"/>
  <c r="K17" i="4" s="1"/>
  <c r="G20" i="4" a="1"/>
  <c r="G20" i="4" s="1"/>
  <c r="I23" i="4" a="1"/>
  <c r="I23" i="4" s="1"/>
  <c r="J24" i="4" a="1"/>
  <c r="J24" i="4" s="1"/>
  <c r="G35" i="4" a="1"/>
  <c r="G35" i="4" s="1"/>
  <c r="K36" i="4" a="1"/>
  <c r="K36" i="4" s="1"/>
  <c r="G39" i="4" a="1"/>
  <c r="G39" i="4" s="1"/>
  <c r="G14" i="4" a="1"/>
  <c r="G14" i="4" s="1"/>
  <c r="G17" i="4" a="1"/>
  <c r="G17" i="4" s="1"/>
  <c r="L29" i="4" a="1"/>
  <c r="L29" i="4" s="1"/>
  <c r="H33" i="4" a="1"/>
  <c r="H33" i="4" s="1"/>
  <c r="I8" i="4" a="1"/>
  <c r="I8" i="4" s="1"/>
  <c r="F7" i="4" a="1"/>
  <c r="F7" i="4" s="1"/>
  <c r="I7" i="4" a="1"/>
  <c r="I7" i="4" s="1"/>
  <c r="F12" i="4" a="1"/>
  <c r="F12" i="4" s="1"/>
  <c r="H13" i="4" a="1"/>
  <c r="H13" i="4" s="1"/>
  <c r="L17" i="4" a="1"/>
  <c r="L17" i="4" s="1"/>
  <c r="K24" i="4" a="1"/>
  <c r="K24" i="4" s="1"/>
  <c r="I30" i="4" a="1"/>
  <c r="I30" i="4" s="1"/>
  <c r="F32" i="4" a="1"/>
  <c r="F32" i="4" s="1"/>
  <c r="H42" i="4" a="1"/>
  <c r="H42" i="4" s="1"/>
  <c r="I44" i="4" a="1"/>
  <c r="I44" i="4" s="1"/>
  <c r="F24" i="4" a="1"/>
  <c r="F24" i="4" s="1"/>
  <c r="N24" i="4" a="1"/>
  <c r="N24" i="4" s="1"/>
  <c r="L36" i="4" a="1"/>
  <c r="L36" i="4" s="1"/>
  <c r="K7" i="4" a="1"/>
  <c r="K7" i="4" s="1"/>
  <c r="F11" i="4" a="1"/>
  <c r="F11" i="4" s="1"/>
  <c r="M13" i="4" a="1"/>
  <c r="M13" i="4" s="1"/>
  <c r="N20" i="4" a="1"/>
  <c r="N20" i="4" s="1"/>
  <c r="K23" i="4" a="1"/>
  <c r="K23" i="4" s="1"/>
  <c r="M26" i="4" a="1"/>
  <c r="M26" i="4" s="1"/>
  <c r="K30" i="4" a="1"/>
  <c r="K30" i="4" s="1"/>
  <c r="H32" i="4" a="1"/>
  <c r="H32" i="4" s="1"/>
  <c r="H38" i="4" a="1"/>
  <c r="H38" i="4" s="1"/>
  <c r="K44" i="4" a="1"/>
  <c r="K44" i="4" s="1"/>
  <c r="M17" i="4" a="1"/>
  <c r="M17" i="4" s="1"/>
  <c r="J7" i="4" a="1"/>
  <c r="J7" i="4" s="1"/>
  <c r="M36" i="4" a="1"/>
  <c r="M36" i="4" s="1"/>
  <c r="G38" i="4" a="1"/>
  <c r="G38" i="4" s="1"/>
  <c r="N7" i="4" a="1"/>
  <c r="N7" i="4" s="1"/>
  <c r="N13" i="4" a="1"/>
  <c r="N13" i="4" s="1"/>
  <c r="L30" i="4" a="1"/>
  <c r="L30" i="4" s="1"/>
  <c r="I32" i="4" a="1"/>
  <c r="I32" i="4" s="1"/>
  <c r="K42" i="4" a="1"/>
  <c r="K42" i="4" s="1"/>
  <c r="N44" i="4" a="1"/>
  <c r="N44" i="4" s="1"/>
  <c r="I41" i="4" a="1"/>
  <c r="I41" i="4" s="1"/>
  <c r="H41" i="4" a="1"/>
  <c r="H41" i="4" s="1"/>
  <c r="G41" i="4" a="1"/>
  <c r="G41" i="4" s="1"/>
  <c r="N41" i="4" a="1"/>
  <c r="N41" i="4" s="1"/>
  <c r="F41" i="4" a="1"/>
  <c r="F41" i="4" s="1"/>
  <c r="K41" i="4" a="1"/>
  <c r="K41" i="4" s="1"/>
  <c r="J41" i="4" a="1"/>
  <c r="J41" i="4" s="1"/>
  <c r="M41" i="4" a="1"/>
  <c r="M41" i="4" s="1"/>
  <c r="J40" i="4" a="1"/>
  <c r="J40" i="4" s="1"/>
  <c r="N40" i="4" a="1"/>
  <c r="N40" i="4" s="1"/>
  <c r="I40" i="4" a="1"/>
  <c r="I40" i="4" s="1"/>
  <c r="H40" i="4" a="1"/>
  <c r="H40" i="4" s="1"/>
  <c r="M40" i="4" a="1"/>
  <c r="M40" i="4" s="1"/>
  <c r="F40" i="4" a="1"/>
  <c r="F40" i="4" s="1"/>
  <c r="L40" i="4" a="1"/>
  <c r="L40" i="4" s="1"/>
  <c r="G40" i="4" a="1"/>
  <c r="G40" i="4" s="1"/>
  <c r="K40" i="4" a="1"/>
  <c r="K40" i="4" s="1"/>
  <c r="J28" i="4" a="1"/>
  <c r="J28" i="4" s="1"/>
  <c r="N28" i="4" a="1"/>
  <c r="N28" i="4" s="1"/>
  <c r="F28" i="4" a="1"/>
  <c r="F28" i="4" s="1"/>
  <c r="I28" i="4" a="1"/>
  <c r="I28" i="4" s="1"/>
  <c r="G28" i="4" a="1"/>
  <c r="G28" i="4" s="1"/>
  <c r="H28" i="4" a="1"/>
  <c r="H28" i="4" s="1"/>
  <c r="M28" i="4" a="1"/>
  <c r="M28" i="4" s="1"/>
  <c r="L28" i="4" a="1"/>
  <c r="L28" i="4" s="1"/>
  <c r="K28" i="4" a="1"/>
  <c r="K28" i="4" s="1"/>
  <c r="L4" i="4" a="1"/>
  <c r="L4" i="4" s="1"/>
  <c r="M8" i="4" a="1"/>
  <c r="M8" i="4" s="1"/>
  <c r="J10" i="4" a="1"/>
  <c r="J10" i="4" s="1"/>
  <c r="L14" i="4" a="1"/>
  <c r="L14" i="4" s="1"/>
  <c r="I16" i="4" a="1"/>
  <c r="I16" i="4" s="1"/>
  <c r="F18" i="4" a="1"/>
  <c r="F18" i="4" s="1"/>
  <c r="N18" i="4" a="1"/>
  <c r="N18" i="4" s="1"/>
  <c r="M20" i="4" a="1"/>
  <c r="M20" i="4" s="1"/>
  <c r="J22" i="4" a="1"/>
  <c r="J22" i="4" s="1"/>
  <c r="L26" i="4" a="1"/>
  <c r="L26" i="4" s="1"/>
  <c r="M32" i="4" a="1"/>
  <c r="M32" i="4" s="1"/>
  <c r="J34" i="4" a="1"/>
  <c r="J34" i="4" s="1"/>
  <c r="F38" i="4" a="1"/>
  <c r="F38" i="4" s="1"/>
  <c r="N38" i="4" a="1"/>
  <c r="N38" i="4" s="1"/>
  <c r="F15" i="4" a="1"/>
  <c r="F15" i="4" s="1"/>
  <c r="J5" i="4" a="1"/>
  <c r="J5" i="4" s="1"/>
  <c r="L9" i="4" a="1"/>
  <c r="L9" i="4" s="1"/>
  <c r="K15" i="4" a="1"/>
  <c r="K15" i="4" s="1"/>
  <c r="L21" i="4" a="1"/>
  <c r="L21" i="4" s="1"/>
  <c r="M27" i="4" a="1"/>
  <c r="M27" i="4" s="1"/>
  <c r="J29" i="4" a="1"/>
  <c r="J29" i="4" s="1"/>
  <c r="L33" i="4" a="1"/>
  <c r="L33" i="4" s="1"/>
  <c r="M39" i="4" a="1"/>
  <c r="M39" i="4" s="1"/>
  <c r="G43" i="4" a="1"/>
  <c r="G43" i="4" s="1"/>
  <c r="K10" i="4" a="1"/>
  <c r="K10" i="4" s="1"/>
  <c r="K22" i="4" a="1"/>
  <c r="K22" i="4" s="1"/>
  <c r="K34" i="4" a="1"/>
  <c r="K34" i="4" s="1"/>
  <c r="K5" i="4" a="1"/>
  <c r="K5" i="4" s="1"/>
  <c r="M9" i="4" a="1"/>
  <c r="M9" i="4" s="1"/>
  <c r="L15" i="4" a="1"/>
  <c r="L15" i="4" s="1"/>
  <c r="H19" i="4" a="1"/>
  <c r="H19" i="4" s="1"/>
  <c r="M21" i="4" a="1"/>
  <c r="M21" i="4" s="1"/>
  <c r="N27" i="4" a="1"/>
  <c r="N27" i="4" s="1"/>
  <c r="K29" i="4" a="1"/>
  <c r="K29" i="4" s="1"/>
  <c r="M33" i="4" a="1"/>
  <c r="M33" i="4" s="1"/>
  <c r="F39" i="4" a="1"/>
  <c r="F39" i="4" s="1"/>
  <c r="N39" i="4" a="1"/>
  <c r="N39" i="4" s="1"/>
  <c r="L10" i="4" a="1"/>
  <c r="L10" i="4" s="1"/>
  <c r="L22" i="4" a="1"/>
  <c r="L22" i="4" s="1"/>
  <c r="L34" i="4" a="1"/>
  <c r="L34" i="4" s="1"/>
  <c r="F10" i="4" a="1"/>
  <c r="F10" i="4" s="1"/>
  <c r="N5" i="4" a="1"/>
  <c r="N5" i="4" s="1"/>
  <c r="H9" i="4" a="1"/>
  <c r="H9" i="4" s="1"/>
  <c r="I4" i="4" a="1"/>
  <c r="I4" i="4" s="1"/>
  <c r="M6" i="4" a="1"/>
  <c r="M6" i="4" s="1"/>
  <c r="J8" i="4" a="1"/>
  <c r="J8" i="4" s="1"/>
  <c r="G10" i="4" a="1"/>
  <c r="G10" i="4" s="1"/>
  <c r="L12" i="4" a="1"/>
  <c r="L12" i="4" s="1"/>
  <c r="I14" i="4" a="1"/>
  <c r="I14" i="4" s="1"/>
  <c r="F16" i="4" a="1"/>
  <c r="F16" i="4" s="1"/>
  <c r="N16" i="4" a="1"/>
  <c r="N16" i="4" s="1"/>
  <c r="K18" i="4" a="1"/>
  <c r="K18" i="4" s="1"/>
  <c r="J20" i="4" a="1"/>
  <c r="J20" i="4" s="1"/>
  <c r="G22" i="4" a="1"/>
  <c r="G22" i="4" s="1"/>
  <c r="L24" i="4" a="1"/>
  <c r="L24" i="4" s="1"/>
  <c r="I26" i="4" a="1"/>
  <c r="I26" i="4" s="1"/>
  <c r="M30" i="4" a="1"/>
  <c r="M30" i="4" s="1"/>
  <c r="J32" i="4" a="1"/>
  <c r="J32" i="4" s="1"/>
  <c r="G34" i="4" a="1"/>
  <c r="G34" i="4" s="1"/>
  <c r="K38" i="4" a="1"/>
  <c r="K38" i="4" s="1"/>
  <c r="M42" i="4" a="1"/>
  <c r="M42" i="4" s="1"/>
  <c r="L44" i="4" a="1"/>
  <c r="L44" i="4" s="1"/>
  <c r="N10" i="4" a="1"/>
  <c r="N10" i="4" s="1"/>
  <c r="N22" i="4" a="1"/>
  <c r="N22" i="4" s="1"/>
  <c r="F34" i="4" a="1"/>
  <c r="F34" i="4" s="1"/>
  <c r="F5" i="4" a="1"/>
  <c r="F5" i="4" s="1"/>
  <c r="H21" i="4" a="1"/>
  <c r="H21" i="4" s="1"/>
  <c r="I27" i="4" a="1"/>
  <c r="I27" i="4" s="1"/>
  <c r="N29" i="4" a="1"/>
  <c r="N29" i="4" s="1"/>
  <c r="I39" i="4" a="1"/>
  <c r="I39" i="4" s="1"/>
  <c r="G5" i="4" a="1"/>
  <c r="G5" i="4" s="1"/>
  <c r="L7" i="4" a="1"/>
  <c r="L7" i="4" s="1"/>
  <c r="I9" i="4" a="1"/>
  <c r="I9" i="4" s="1"/>
  <c r="K13" i="4" a="1"/>
  <c r="K13" i="4" s="1"/>
  <c r="H15" i="4" a="1"/>
  <c r="H15" i="4" s="1"/>
  <c r="L19" i="4" a="1"/>
  <c r="L19" i="4" s="1"/>
  <c r="I21" i="4" a="1"/>
  <c r="I21" i="4" s="1"/>
  <c r="K25" i="4" a="1"/>
  <c r="K25" i="4" s="1"/>
  <c r="J27" i="4" a="1"/>
  <c r="J27" i="4" s="1"/>
  <c r="G29" i="4" a="1"/>
  <c r="G29" i="4" s="1"/>
  <c r="L31" i="4" a="1"/>
  <c r="L31" i="4" s="1"/>
  <c r="I33" i="4" a="1"/>
  <c r="I33" i="4" s="1"/>
  <c r="J39" i="4" a="1"/>
  <c r="J39" i="4" s="1"/>
  <c r="L43" i="4" a="1"/>
  <c r="L43" i="4" s="1"/>
  <c r="H27" i="4" a="1"/>
  <c r="H27" i="4" s="1"/>
  <c r="J4" i="4" a="1"/>
  <c r="J4" i="4" s="1"/>
  <c r="F6" i="4" a="1"/>
  <c r="F6" i="4" s="1"/>
  <c r="K8" i="4" a="1"/>
  <c r="K8" i="4" s="1"/>
  <c r="H10" i="4" a="1"/>
  <c r="H10" i="4" s="1"/>
  <c r="J14" i="4" a="1"/>
  <c r="J14" i="4" s="1"/>
  <c r="G16" i="4" a="1"/>
  <c r="G16" i="4" s="1"/>
  <c r="L18" i="4" a="1"/>
  <c r="L18" i="4" s="1"/>
  <c r="K20" i="4" a="1"/>
  <c r="K20" i="4" s="1"/>
  <c r="H22" i="4" a="1"/>
  <c r="H22" i="4" s="1"/>
  <c r="J26" i="4" a="1"/>
  <c r="J26" i="4" s="1"/>
  <c r="F30" i="4" a="1"/>
  <c r="F30" i="4" s="1"/>
  <c r="K32" i="4" a="1"/>
  <c r="K32" i="4" s="1"/>
  <c r="H34" i="4" a="1"/>
  <c r="H34" i="4" s="1"/>
  <c r="L38" i="4" a="1"/>
  <c r="L38" i="4" s="1"/>
  <c r="F42" i="4" a="1"/>
  <c r="F42" i="4" s="1"/>
  <c r="N15" i="4" a="1"/>
  <c r="N15" i="4" s="1"/>
  <c r="F22" i="4" a="1"/>
  <c r="F22" i="4" s="1"/>
  <c r="G15" i="4" a="1"/>
  <c r="G15" i="4" s="1"/>
  <c r="K19" i="4" a="1"/>
  <c r="K19" i="4" s="1"/>
  <c r="F29" i="4" a="1"/>
  <c r="F29" i="4" s="1"/>
  <c r="H5" i="4" a="1"/>
  <c r="H5" i="4" s="1"/>
  <c r="J9" i="4" a="1"/>
  <c r="J9" i="4" s="1"/>
  <c r="I15" i="4" a="1"/>
  <c r="I15" i="4" s="1"/>
  <c r="M19" i="4" a="1"/>
  <c r="M19" i="4" s="1"/>
  <c r="J21" i="4" a="1"/>
  <c r="J21" i="4" s="1"/>
  <c r="K27" i="4" a="1"/>
  <c r="K27" i="4" s="1"/>
  <c r="H29" i="4" a="1"/>
  <c r="H29" i="4" s="1"/>
  <c r="J33" i="4" a="1"/>
  <c r="J33" i="4" s="1"/>
  <c r="K39" i="4" a="1"/>
  <c r="K39" i="4" s="1"/>
  <c r="N34" i="4" a="1"/>
  <c r="N34" i="4" s="1"/>
  <c r="U10" i="3"/>
  <c r="P38" i="3"/>
  <c r="S42" i="3"/>
  <c r="W6" i="3"/>
  <c r="U22" i="3"/>
  <c r="R35" i="3"/>
  <c r="U8" i="3"/>
  <c r="R36" i="3"/>
  <c r="X7" i="3"/>
  <c r="X12" i="3"/>
  <c r="T27" i="3"/>
  <c r="W29" i="3"/>
  <c r="T17" i="3"/>
  <c r="S30" i="3"/>
  <c r="X45" i="3"/>
  <c r="Q18" i="3"/>
  <c r="X31" i="3"/>
  <c r="P39" i="3"/>
  <c r="S40" i="3"/>
  <c r="X15" i="3"/>
  <c r="X33" i="3"/>
  <c r="W14" i="3"/>
  <c r="V28" i="3"/>
  <c r="X19" i="3"/>
  <c r="X32" i="3"/>
  <c r="U21" i="3"/>
  <c r="P34" i="3"/>
  <c r="P5" i="3"/>
  <c r="V30" i="3"/>
  <c r="W30" i="3"/>
  <c r="Q40" i="3"/>
  <c r="X36" i="3"/>
  <c r="V19" i="3"/>
  <c r="X30" i="3"/>
  <c r="R40" i="3"/>
  <c r="P7" i="3"/>
  <c r="U7" i="3"/>
  <c r="W19" i="3"/>
  <c r="P30" i="3"/>
  <c r="P12" i="3"/>
  <c r="T40" i="3"/>
  <c r="S7" i="3"/>
  <c r="R19" i="3"/>
  <c r="T7" i="3"/>
  <c r="T30" i="3"/>
  <c r="W39" i="3"/>
  <c r="U40" i="3"/>
  <c r="W25" i="3"/>
  <c r="W40" i="3"/>
  <c r="W33" i="3"/>
  <c r="W5" i="3"/>
  <c r="R8" i="3"/>
  <c r="S8" i="3"/>
  <c r="S16" i="3"/>
  <c r="R6" i="3"/>
  <c r="T8" i="3"/>
  <c r="W16" i="3"/>
  <c r="T6" i="3"/>
  <c r="V5" i="3"/>
  <c r="T28" i="3"/>
  <c r="S24" i="3"/>
  <c r="W28" i="3"/>
  <c r="S32" i="3"/>
  <c r="R42" i="3"/>
  <c r="V17" i="3"/>
  <c r="T32" i="3"/>
  <c r="T42" i="3"/>
  <c r="U6" i="3"/>
  <c r="U17" i="3"/>
  <c r="T38" i="3"/>
  <c r="U32" i="3"/>
  <c r="W38" i="3"/>
  <c r="U42" i="3"/>
  <c r="X9" i="3"/>
  <c r="V32" i="3"/>
  <c r="V42" i="3"/>
  <c r="Q24" i="3"/>
  <c r="U28" i="3"/>
  <c r="R32" i="3"/>
  <c r="R38" i="3"/>
  <c r="Q42" i="3"/>
  <c r="V6" i="3"/>
  <c r="U9" i="3"/>
  <c r="T24" i="3"/>
  <c r="X28" i="3"/>
  <c r="U38" i="3"/>
  <c r="W9" i="3"/>
  <c r="W24" i="3"/>
  <c r="W32" i="3"/>
  <c r="W42" i="3"/>
  <c r="R7" i="3"/>
  <c r="S19" i="3"/>
  <c r="Q30" i="3"/>
  <c r="X39" i="3"/>
  <c r="X42" i="3"/>
  <c r="X5" i="3"/>
  <c r="U19" i="3"/>
  <c r="S25" i="3"/>
  <c r="R30" i="3"/>
  <c r="T5" i="3"/>
  <c r="R26" i="3"/>
  <c r="U30" i="3"/>
  <c r="X44" i="3"/>
  <c r="W44" i="3"/>
  <c r="U44" i="3"/>
  <c r="R18" i="3"/>
  <c r="R23" i="3"/>
  <c r="T31" i="3"/>
  <c r="P36" i="3"/>
  <c r="S44" i="3"/>
  <c r="Q36" i="3"/>
  <c r="T39" i="3"/>
  <c r="V39" i="3"/>
  <c r="R44" i="3"/>
  <c r="X20" i="3"/>
  <c r="U20" i="3"/>
  <c r="T20" i="3"/>
  <c r="T44" i="3"/>
  <c r="V10" i="3"/>
  <c r="P15" i="3"/>
  <c r="T18" i="3"/>
  <c r="R20" i="3"/>
  <c r="S36" i="3"/>
  <c r="Q39" i="3"/>
  <c r="V44" i="3"/>
  <c r="S6" i="3"/>
  <c r="X6" i="3"/>
  <c r="W10" i="3"/>
  <c r="Q15" i="3"/>
  <c r="U18" i="3"/>
  <c r="S20" i="3"/>
  <c r="T36" i="3"/>
  <c r="R39" i="3"/>
  <c r="P6" i="3"/>
  <c r="X10" i="3"/>
  <c r="T15" i="3"/>
  <c r="V18" i="3"/>
  <c r="V20" i="3"/>
  <c r="X8" i="3"/>
  <c r="W8" i="3"/>
  <c r="V8" i="3"/>
  <c r="Q6" i="3"/>
  <c r="Q8" i="3"/>
  <c r="V15" i="3"/>
  <c r="T19" i="3"/>
  <c r="Q19" i="3"/>
  <c r="P19" i="3"/>
  <c r="R28" i="3"/>
  <c r="U36" i="3"/>
  <c r="S39" i="3"/>
  <c r="W11" i="3"/>
  <c r="T16" i="3"/>
  <c r="R16" i="3"/>
  <c r="Q16" i="3"/>
  <c r="W20" i="3"/>
  <c r="S28" i="3"/>
  <c r="V36" i="3"/>
  <c r="R12" i="3"/>
  <c r="T12" i="3"/>
  <c r="S12" i="3"/>
  <c r="W36" i="3"/>
  <c r="U39" i="3"/>
  <c r="V40" i="3"/>
  <c r="X40" i="3"/>
  <c r="Q12" i="3"/>
  <c r="S31" i="3"/>
  <c r="U12" i="3"/>
  <c r="W26" i="3"/>
  <c r="U26" i="3"/>
  <c r="V12" i="3"/>
  <c r="S17" i="3"/>
  <c r="R24" i="3"/>
  <c r="V24" i="3"/>
  <c r="U24" i="3"/>
  <c r="P26" i="3"/>
  <c r="S29" i="3"/>
  <c r="T35" i="3"/>
  <c r="W12" i="3"/>
  <c r="P24" i="3"/>
  <c r="Q26" i="3"/>
  <c r="U29" i="3"/>
  <c r="U35" i="3"/>
  <c r="P40" i="3"/>
  <c r="Q32" i="3"/>
  <c r="P42" i="3"/>
  <c r="Q7" i="3"/>
  <c r="W7" i="3"/>
  <c r="V7" i="3"/>
  <c r="R10" i="3"/>
  <c r="T11" i="3"/>
  <c r="V14" i="3"/>
  <c r="X16" i="3"/>
  <c r="P18" i="3"/>
  <c r="W22" i="3"/>
  <c r="V27" i="3"/>
  <c r="U5" i="3"/>
  <c r="S5" i="3"/>
  <c r="R5" i="3"/>
  <c r="S10" i="3"/>
  <c r="R17" i="3"/>
  <c r="X17" i="3"/>
  <c r="P17" i="3"/>
  <c r="W17" i="3"/>
  <c r="T26" i="3"/>
  <c r="T29" i="3"/>
  <c r="R29" i="3"/>
  <c r="Q29" i="3"/>
  <c r="X29" i="3"/>
  <c r="P29" i="3"/>
  <c r="Q38" i="3"/>
  <c r="S38" i="3"/>
  <c r="V21" i="3"/>
  <c r="T21" i="3"/>
  <c r="S21" i="3"/>
  <c r="R21" i="3"/>
  <c r="P21" i="3"/>
  <c r="P27" i="3"/>
  <c r="V9" i="3"/>
  <c r="T9" i="3"/>
  <c r="S9" i="3"/>
  <c r="R9" i="3"/>
  <c r="X14" i="3"/>
  <c r="W21" i="3"/>
  <c r="X22" i="3"/>
  <c r="W27" i="3"/>
  <c r="U34" i="3"/>
  <c r="W34" i="3"/>
  <c r="S11" i="3"/>
  <c r="Q11" i="3"/>
  <c r="X11" i="3"/>
  <c r="P11" i="3"/>
  <c r="R13" i="3"/>
  <c r="T14" i="3"/>
  <c r="T10" i="3"/>
  <c r="W13" i="3"/>
  <c r="Q17" i="3"/>
  <c r="S23" i="3"/>
  <c r="Q23" i="3"/>
  <c r="X23" i="3"/>
  <c r="P23" i="3"/>
  <c r="W23" i="3"/>
  <c r="P14" i="3"/>
  <c r="P22" i="3"/>
  <c r="Q13" i="3"/>
  <c r="R22" i="3"/>
  <c r="Q5" i="3"/>
  <c r="V11" i="3"/>
  <c r="U15" i="3"/>
  <c r="S15" i="3"/>
  <c r="R15" i="3"/>
  <c r="S18" i="3"/>
  <c r="X21" i="3"/>
  <c r="X27" i="3"/>
  <c r="Q34" i="3"/>
  <c r="R34" i="3"/>
  <c r="V33" i="3"/>
  <c r="T33" i="3"/>
  <c r="S33" i="3"/>
  <c r="R33" i="3"/>
  <c r="S34" i="3"/>
  <c r="T41" i="3"/>
  <c r="S41" i="3"/>
  <c r="R41" i="3"/>
  <c r="Q41" i="3"/>
  <c r="X41" i="3"/>
  <c r="P41" i="3"/>
  <c r="W41" i="3"/>
  <c r="V41" i="3"/>
  <c r="U41" i="3"/>
  <c r="P33" i="3"/>
  <c r="X13" i="3"/>
  <c r="P13" i="3"/>
  <c r="V13" i="3"/>
  <c r="U13" i="3"/>
  <c r="Q33" i="3"/>
  <c r="T34" i="3"/>
  <c r="R37" i="3"/>
  <c r="X37" i="3"/>
  <c r="W37" i="3"/>
  <c r="V37" i="3"/>
  <c r="V29" i="3"/>
  <c r="S37" i="3"/>
  <c r="V38" i="3"/>
  <c r="R14" i="3"/>
  <c r="U16" i="3"/>
  <c r="W18" i="3"/>
  <c r="S22" i="3"/>
  <c r="U23" i="3"/>
  <c r="V34" i="3"/>
  <c r="Q31" i="3"/>
  <c r="W31" i="3"/>
  <c r="V31" i="3"/>
  <c r="U31" i="3"/>
  <c r="T37" i="3"/>
  <c r="S14" i="3"/>
  <c r="V16" i="3"/>
  <c r="X18" i="3"/>
  <c r="T22" i="3"/>
  <c r="V23" i="3"/>
  <c r="P31" i="3"/>
  <c r="U37" i="3"/>
  <c r="X38" i="3"/>
  <c r="U33" i="3"/>
  <c r="X34" i="3"/>
  <c r="V22" i="3"/>
  <c r="X25" i="3"/>
  <c r="P25" i="3"/>
  <c r="V25" i="3"/>
  <c r="U25" i="3"/>
  <c r="T25" i="3"/>
  <c r="R31" i="3"/>
  <c r="S35" i="3"/>
  <c r="Q35" i="3"/>
  <c r="X35" i="3"/>
  <c r="P35" i="3"/>
  <c r="W35" i="3"/>
  <c r="Q14" i="3"/>
  <c r="Q22" i="3"/>
  <c r="U27" i="3"/>
  <c r="S27" i="3"/>
  <c r="R27" i="3"/>
  <c r="Q27" i="3"/>
  <c r="Q21" i="3"/>
  <c r="P10" i="3"/>
  <c r="P9" i="3"/>
  <c r="R11" i="3"/>
  <c r="U14" i="3"/>
  <c r="Q10" i="3"/>
  <c r="T13" i="3"/>
  <c r="W15" i="3"/>
  <c r="R43" i="3"/>
  <c r="Q44" i="3"/>
  <c r="S43" i="3"/>
  <c r="R45" i="3"/>
  <c r="T43" i="3"/>
  <c r="S45" i="3"/>
  <c r="U43" i="3"/>
  <c r="T45" i="3"/>
  <c r="V43" i="3"/>
  <c r="U45" i="3"/>
  <c r="W43" i="3"/>
  <c r="V45" i="3"/>
  <c r="P43" i="3"/>
  <c r="X43" i="3"/>
  <c r="W45" i="3"/>
  <c r="P8" i="3"/>
  <c r="P32" i="3"/>
  <c r="P44" i="3"/>
  <c r="G43" i="1" a="1"/>
  <c r="G43" i="1" s="1"/>
  <c r="E40" i="1" a="1"/>
  <c r="E40" i="1" s="1"/>
  <c r="F40" i="1" a="1"/>
  <c r="F40" i="1" s="1"/>
  <c r="G40" i="1" a="1"/>
  <c r="G40" i="1" s="1"/>
  <c r="M40" i="1" a="1"/>
  <c r="M40" i="1" s="1"/>
  <c r="L40" i="1" a="1"/>
  <c r="L40" i="1" s="1"/>
  <c r="K40" i="1" a="1"/>
  <c r="K40" i="1" s="1"/>
  <c r="J40" i="1" a="1"/>
  <c r="J40" i="1" s="1"/>
  <c r="I40" i="1" a="1"/>
  <c r="I40" i="1" s="1"/>
  <c r="E39" i="1" a="1"/>
  <c r="E39" i="1" s="1"/>
  <c r="H39" i="1" a="1"/>
  <c r="H39" i="1" s="1"/>
  <c r="F38" i="1" a="1"/>
  <c r="F38" i="1" s="1"/>
  <c r="M38" i="1" a="1"/>
  <c r="M38" i="1" s="1"/>
  <c r="L38" i="1" a="1"/>
  <c r="L38" i="1" s="1"/>
  <c r="K38" i="1" a="1"/>
  <c r="K38" i="1" s="1"/>
  <c r="J38" i="1" a="1"/>
  <c r="J38" i="1" s="1"/>
  <c r="E38" i="1" a="1"/>
  <c r="E38" i="1" s="1"/>
  <c r="I38" i="1" a="1"/>
  <c r="I38" i="1" s="1"/>
  <c r="G38" i="1" a="1"/>
  <c r="G38" i="1" s="1"/>
  <c r="F37" i="1" a="1"/>
  <c r="F37" i="1" s="1"/>
  <c r="M37" i="1" a="1"/>
  <c r="M37" i="1" s="1"/>
  <c r="L37" i="1" a="1"/>
  <c r="L37" i="1" s="1"/>
  <c r="K37" i="1" a="1"/>
  <c r="K37" i="1" s="1"/>
  <c r="J37" i="1" a="1"/>
  <c r="J37" i="1" s="1"/>
  <c r="I37" i="1" a="1"/>
  <c r="I37" i="1" s="1"/>
  <c r="G37" i="1" a="1"/>
  <c r="G37" i="1" s="1"/>
  <c r="E37" i="1" a="1"/>
  <c r="E37" i="1" s="1"/>
  <c r="L35" i="1" a="1"/>
  <c r="L35" i="1" s="1"/>
  <c r="J35" i="1" a="1"/>
  <c r="J35" i="1" s="1"/>
  <c r="I35" i="1" a="1"/>
  <c r="I35" i="1" s="1"/>
  <c r="H35" i="1" a="1"/>
  <c r="H35" i="1" s="1"/>
  <c r="G35" i="1" a="1"/>
  <c r="G35" i="1" s="1"/>
  <c r="F35" i="1" a="1"/>
  <c r="F35" i="1" s="1"/>
  <c r="M34" i="1" a="1"/>
  <c r="M34" i="1" s="1"/>
  <c r="L34" i="1" a="1"/>
  <c r="L34" i="1" s="1"/>
  <c r="K34" i="1" a="1"/>
  <c r="K34" i="1" s="1"/>
  <c r="H33" i="1" a="1"/>
  <c r="H33" i="1" s="1"/>
  <c r="E33" i="1" a="1"/>
  <c r="E33" i="1" s="1"/>
  <c r="G33" i="1" a="1"/>
  <c r="G33" i="1" s="1"/>
  <c r="J33" i="1" a="1"/>
  <c r="J33" i="1" s="1"/>
  <c r="K32" i="1" a="1"/>
  <c r="K32" i="1" s="1"/>
  <c r="J32" i="1" a="1"/>
  <c r="J32" i="1" s="1"/>
  <c r="H32" i="1" a="1"/>
  <c r="H32" i="1" s="1"/>
  <c r="G32" i="1" a="1"/>
  <c r="G32" i="1" s="1"/>
  <c r="G26" i="1" a="1"/>
  <c r="G26" i="1" s="1"/>
  <c r="E26" i="1" a="1"/>
  <c r="E26" i="1" s="1"/>
  <c r="M26" i="1" a="1"/>
  <c r="M26" i="1" s="1"/>
  <c r="F26" i="1" a="1"/>
  <c r="F26" i="1" s="1"/>
  <c r="L26" i="1" a="1"/>
  <c r="L26" i="1" s="1"/>
  <c r="K26" i="1" a="1"/>
  <c r="K26" i="1" s="1"/>
  <c r="J26" i="1" a="1"/>
  <c r="J26" i="1" s="1"/>
  <c r="I26" i="1" a="1"/>
  <c r="I26" i="1" s="1"/>
  <c r="E25" i="1" a="1"/>
  <c r="E25" i="1" s="1"/>
  <c r="M25" i="1" a="1"/>
  <c r="M25" i="1" s="1"/>
  <c r="L25" i="1" a="1"/>
  <c r="L25" i="1" s="1"/>
  <c r="K25" i="1" a="1"/>
  <c r="K25" i="1" s="1"/>
  <c r="F25" i="1" a="1"/>
  <c r="F25" i="1" s="1"/>
  <c r="J25" i="1" a="1"/>
  <c r="J25" i="1" s="1"/>
  <c r="G25" i="1" a="1"/>
  <c r="G25" i="1" s="1"/>
  <c r="I25" i="1" a="1"/>
  <c r="I25" i="1" s="1"/>
  <c r="F24" i="1" a="1"/>
  <c r="F24" i="1" s="1"/>
  <c r="G24" i="1" a="1"/>
  <c r="G24" i="1" s="1"/>
  <c r="E24" i="1" a="1"/>
  <c r="E24" i="1" s="1"/>
  <c r="M24" i="1" a="1"/>
  <c r="M24" i="1" s="1"/>
  <c r="L24" i="1" a="1"/>
  <c r="L24" i="1" s="1"/>
  <c r="K24" i="1" a="1"/>
  <c r="K24" i="1" s="1"/>
  <c r="J24" i="1" a="1"/>
  <c r="J24" i="1" s="1"/>
  <c r="I24" i="1" a="1"/>
  <c r="I24" i="1" s="1"/>
  <c r="G23" i="1" a="1"/>
  <c r="G23" i="1" s="1"/>
  <c r="F23" i="1" a="1"/>
  <c r="F23" i="1" s="1"/>
  <c r="M23" i="1" a="1"/>
  <c r="M23" i="1" s="1"/>
  <c r="L23" i="1" a="1"/>
  <c r="L23" i="1" s="1"/>
  <c r="E23" i="1" a="1"/>
  <c r="E23" i="1" s="1"/>
  <c r="H22" i="1" a="1"/>
  <c r="H22" i="1" s="1"/>
  <c r="G22" i="1" a="1"/>
  <c r="G22" i="1" s="1"/>
  <c r="F22" i="1" a="1"/>
  <c r="F22" i="1" s="1"/>
  <c r="M21" i="1" a="1"/>
  <c r="M21" i="1" s="1"/>
  <c r="K21" i="1" a="1"/>
  <c r="K21" i="1" s="1"/>
  <c r="J21" i="1" a="1"/>
  <c r="J21" i="1" s="1"/>
  <c r="I21" i="1" a="1"/>
  <c r="I21" i="1" s="1"/>
  <c r="H20" i="1" a="1"/>
  <c r="H20" i="1" s="1"/>
  <c r="G20" i="1" a="1"/>
  <c r="G20" i="1" s="1"/>
  <c r="G18" i="1" a="1"/>
  <c r="G18" i="1" s="1"/>
  <c r="L16" i="1" a="1"/>
  <c r="L16" i="1" s="1"/>
  <c r="I16" i="1" a="1"/>
  <c r="I16" i="1" s="1"/>
  <c r="H16" i="1" a="1"/>
  <c r="H16" i="1" s="1"/>
  <c r="G16" i="1" a="1"/>
  <c r="G16" i="1" s="1"/>
  <c r="K16" i="1" a="1"/>
  <c r="K16" i="1" s="1"/>
  <c r="F16" i="1" a="1"/>
  <c r="F16" i="1" s="1"/>
  <c r="E16" i="1" a="1"/>
  <c r="E16" i="1" s="1"/>
  <c r="M16" i="1" a="1"/>
  <c r="M16" i="1" s="1"/>
  <c r="J15" i="1" a="1"/>
  <c r="J15" i="1" s="1"/>
  <c r="I14" i="1" a="1"/>
  <c r="I14" i="1" s="1"/>
  <c r="H14" i="1" a="1"/>
  <c r="H14" i="1" s="1"/>
  <c r="G14" i="1" a="1"/>
  <c r="G14" i="1" s="1"/>
  <c r="L14" i="1" a="1"/>
  <c r="L14" i="1" s="1"/>
  <c r="F14" i="1" a="1"/>
  <c r="F14" i="1" s="1"/>
  <c r="M14" i="1" a="1"/>
  <c r="M14" i="1" s="1"/>
  <c r="E14" i="1" a="1"/>
  <c r="E14" i="1" s="1"/>
  <c r="J14" i="1" a="1"/>
  <c r="J14" i="1" s="1"/>
  <c r="M13" i="1" a="1"/>
  <c r="M13" i="1" s="1"/>
  <c r="L13" i="1" a="1"/>
  <c r="L13" i="1" s="1"/>
  <c r="K13" i="1" a="1"/>
  <c r="K13" i="1" s="1"/>
  <c r="I13" i="1" a="1"/>
  <c r="I13" i="1" s="1"/>
  <c r="H13" i="1" a="1"/>
  <c r="H13" i="1" s="1"/>
  <c r="G13" i="1" a="1"/>
  <c r="G13" i="1" s="1"/>
  <c r="F13" i="1" a="1"/>
  <c r="F13" i="1" s="1"/>
  <c r="J13" i="1" a="1"/>
  <c r="J13" i="1" s="1"/>
  <c r="H27" i="1" a="1"/>
  <c r="H27" i="1" s="1"/>
  <c r="I39" i="1" a="1"/>
  <c r="I39" i="1" s="1"/>
  <c r="K15" i="1" a="1"/>
  <c r="K15" i="1" s="1"/>
  <c r="G39" i="1" a="1"/>
  <c r="G39" i="1" s="1"/>
  <c r="M27" i="1" a="1"/>
  <c r="M27" i="1" s="1"/>
  <c r="I15" i="1" a="1"/>
  <c r="I15" i="1" s="1"/>
  <c r="F39" i="1" a="1"/>
  <c r="F39" i="1" s="1"/>
  <c r="L27" i="1" a="1"/>
  <c r="L27" i="1" s="1"/>
  <c r="H15" i="1" a="1"/>
  <c r="H15" i="1" s="1"/>
  <c r="K27" i="1" a="1"/>
  <c r="K27" i="1" s="1"/>
  <c r="G15" i="1" a="1"/>
  <c r="G15" i="1" s="1"/>
  <c r="F15" i="1" a="1"/>
  <c r="F15" i="1" s="1"/>
  <c r="J27" i="1" a="1"/>
  <c r="J27" i="1" s="1"/>
  <c r="E15" i="1" a="1"/>
  <c r="E15" i="1" s="1"/>
  <c r="I27" i="1" a="1"/>
  <c r="I27" i="1" s="1"/>
  <c r="L39" i="1" a="1"/>
  <c r="L39" i="1" s="1"/>
  <c r="G27" i="1" a="1"/>
  <c r="G27" i="1" s="1"/>
  <c r="E12" i="1" a="1"/>
  <c r="E12" i="1" s="1"/>
  <c r="K39" i="1" a="1"/>
  <c r="K39" i="1" s="1"/>
  <c r="M15" i="1" a="1"/>
  <c r="M15" i="1" s="1"/>
  <c r="F12" i="1" a="1"/>
  <c r="F12" i="1" s="1"/>
  <c r="M39" i="1" a="1"/>
  <c r="M39" i="1" s="1"/>
  <c r="F31" i="1" a="1"/>
  <c r="F31" i="1" s="1"/>
  <c r="E31" i="1" a="1"/>
  <c r="E31" i="1" s="1"/>
  <c r="M31" i="1" a="1"/>
  <c r="M31" i="1" s="1"/>
  <c r="L31" i="1" a="1"/>
  <c r="L31" i="1" s="1"/>
  <c r="K31" i="1" a="1"/>
  <c r="K31" i="1" s="1"/>
  <c r="J31" i="1" a="1"/>
  <c r="J31" i="1" s="1"/>
  <c r="I31" i="1" a="1"/>
  <c r="I31" i="1" s="1"/>
  <c r="H31" i="1" a="1"/>
  <c r="H31" i="1" s="1"/>
  <c r="E4" i="1" a="1"/>
  <c r="E4" i="1" s="1"/>
  <c r="L4" i="1" a="1"/>
  <c r="L4" i="1" s="1"/>
  <c r="J4" i="1" a="1"/>
  <c r="J4" i="1" s="1"/>
  <c r="Q4" i="1" s="1" a="1"/>
  <c r="Q4" i="1" s="1"/>
  <c r="M4" i="1" a="1"/>
  <c r="M4" i="1" s="1"/>
  <c r="K4" i="1" a="1"/>
  <c r="K4" i="1" s="1"/>
  <c r="H4" i="1" a="1"/>
  <c r="H4" i="1" s="1"/>
  <c r="G4" i="1" a="1"/>
  <c r="G4" i="1" s="1"/>
  <c r="F4" i="1" a="1"/>
  <c r="F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</futureMetadata>
  <cellMetadata count="1">
    <bk>
      <rc t="1" v="0"/>
    </bk>
  </cellMetadata>
  <valueMetadata count="2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</valueMetadata>
</metadata>
</file>

<file path=xl/sharedStrings.xml><?xml version="1.0" encoding="utf-8"?>
<sst xmlns="http://schemas.openxmlformats.org/spreadsheetml/2006/main" count="382" uniqueCount="175">
  <si>
    <t>涼</t>
    <phoneticPr fontId="1" type="noConversion"/>
  </si>
  <si>
    <t>州</t>
  </si>
  <si>
    <t>詞</t>
  </si>
  <si>
    <t>漢字</t>
  </si>
  <si>
    <t>漢字</t>
    <phoneticPr fontId="1" type="noConversion"/>
  </si>
  <si>
    <t>liang5</t>
    <phoneticPr fontId="1" type="noConversion"/>
  </si>
  <si>
    <t>ziu1</t>
  </si>
  <si>
    <t>su5</t>
  </si>
  <si>
    <t>字母</t>
    <phoneticPr fontId="1" type="noConversion"/>
  </si>
  <si>
    <t>調號</t>
  </si>
  <si>
    <t>四聲八調</t>
  </si>
  <si>
    <t>聲調按鍵</t>
  </si>
  <si>
    <t>台語音標</t>
  </si>
  <si>
    <t>按鍵輸入</t>
  </si>
  <si>
    <t>陰平(a)</t>
  </si>
  <si>
    <t>;</t>
  </si>
  <si>
    <t>東</t>
  </si>
  <si>
    <t>陰上(á)</t>
  </si>
  <si>
    <t>\</t>
  </si>
  <si>
    <t>黨</t>
  </si>
  <si>
    <t>陰去(à)</t>
  </si>
  <si>
    <t>_</t>
  </si>
  <si>
    <t>棟</t>
  </si>
  <si>
    <t>陰入(ah)</t>
  </si>
  <si>
    <t>[</t>
  </si>
  <si>
    <t>督</t>
  </si>
  <si>
    <t>tok4</t>
  </si>
  <si>
    <t>陽平(â)</t>
  </si>
  <si>
    <t>/</t>
  </si>
  <si>
    <t>同</t>
  </si>
  <si>
    <t>陽上(ǎ)</t>
  </si>
  <si>
    <t>動</t>
  </si>
  <si>
    <t>陽去(ā) 陽去(ā)</t>
  </si>
  <si>
    <t>-</t>
  </si>
  <si>
    <t>洞</t>
  </si>
  <si>
    <t>陽入(a̍h)</t>
  </si>
  <si>
    <t>]</t>
  </si>
  <si>
    <t>毒</t>
  </si>
  <si>
    <t>tok8</t>
  </si>
  <si>
    <t>tok]</t>
  </si>
  <si>
    <t>陰入</t>
  </si>
  <si>
    <t>.</t>
  </si>
  <si>
    <t>tok0</t>
  </si>
  <si>
    <t>tok.</t>
  </si>
  <si>
    <t>陽入</t>
  </si>
  <si>
    <t>鍵盤按鍵</t>
    <phoneticPr fontId="1" type="noConversion"/>
  </si>
  <si>
    <t>羅馬字母拼音</t>
    <phoneticPr fontId="1" type="noConversion"/>
  </si>
  <si>
    <t>tong1</t>
    <phoneticPr fontId="1" type="noConversion"/>
  </si>
  <si>
    <t>tong2</t>
    <phoneticPr fontId="1" type="noConversion"/>
  </si>
  <si>
    <t>tong3</t>
    <phoneticPr fontId="1" type="noConversion"/>
  </si>
  <si>
    <t>tong5</t>
    <phoneticPr fontId="1" type="noConversion"/>
  </si>
  <si>
    <t>tong6</t>
    <phoneticPr fontId="1" type="noConversion"/>
  </si>
  <si>
    <t>tong7</t>
    <phoneticPr fontId="1" type="noConversion"/>
  </si>
  <si>
    <t>tong;</t>
    <phoneticPr fontId="1" type="noConversion"/>
  </si>
  <si>
    <t>tong\</t>
    <phoneticPr fontId="1" type="noConversion"/>
  </si>
  <si>
    <t>tong_</t>
    <phoneticPr fontId="1" type="noConversion"/>
  </si>
  <si>
    <t>tok[</t>
    <phoneticPr fontId="1" type="noConversion"/>
  </si>
  <si>
    <t>tong/</t>
    <phoneticPr fontId="1" type="noConversion"/>
  </si>
  <si>
    <t>tong-</t>
    <phoneticPr fontId="1" type="noConversion"/>
  </si>
  <si>
    <t>王</t>
    <phoneticPr fontId="1" type="noConversion"/>
  </si>
  <si>
    <t>之</t>
    <phoneticPr fontId="1" type="noConversion"/>
  </si>
  <si>
    <t>渙</t>
    <phoneticPr fontId="1" type="noConversion"/>
  </si>
  <si>
    <t>黄</t>
    <phoneticPr fontId="1" type="noConversion"/>
  </si>
  <si>
    <t>河</t>
    <phoneticPr fontId="1" type="noConversion"/>
  </si>
  <si>
    <t>遠</t>
    <phoneticPr fontId="1" type="noConversion"/>
  </si>
  <si>
    <t>上</t>
    <phoneticPr fontId="1" type="noConversion"/>
  </si>
  <si>
    <t>白</t>
    <phoneticPr fontId="1" type="noConversion"/>
  </si>
  <si>
    <t>雲</t>
    <phoneticPr fontId="1" type="noConversion"/>
  </si>
  <si>
    <t>間</t>
    <phoneticPr fontId="1" type="noConversion"/>
  </si>
  <si>
    <t>，</t>
    <phoneticPr fontId="1" type="noConversion"/>
  </si>
  <si>
    <t>一</t>
    <phoneticPr fontId="1" type="noConversion"/>
  </si>
  <si>
    <t>片</t>
    <phoneticPr fontId="1" type="noConversion"/>
  </si>
  <si>
    <t>孤</t>
    <phoneticPr fontId="1" type="noConversion"/>
  </si>
  <si>
    <t>城</t>
    <phoneticPr fontId="1" type="noConversion"/>
  </si>
  <si>
    <t>萬</t>
    <phoneticPr fontId="1" type="noConversion"/>
  </si>
  <si>
    <t>仞</t>
    <phoneticPr fontId="1" type="noConversion"/>
  </si>
  <si>
    <t>山</t>
    <phoneticPr fontId="1" type="noConversion"/>
  </si>
  <si>
    <t>。</t>
    <phoneticPr fontId="1" type="noConversion"/>
  </si>
  <si>
    <t>羌</t>
    <phoneticPr fontId="1" type="noConversion"/>
  </si>
  <si>
    <t>笛</t>
    <phoneticPr fontId="1" type="noConversion"/>
  </si>
  <si>
    <t>何</t>
    <phoneticPr fontId="1" type="noConversion"/>
  </si>
  <si>
    <t>須</t>
    <phoneticPr fontId="1" type="noConversion"/>
  </si>
  <si>
    <t>怨</t>
    <phoneticPr fontId="1" type="noConversion"/>
  </si>
  <si>
    <t>楊</t>
    <phoneticPr fontId="1" type="noConversion"/>
  </si>
  <si>
    <t>柳</t>
    <phoneticPr fontId="1" type="noConversion"/>
  </si>
  <si>
    <t>春</t>
    <phoneticPr fontId="1" type="noConversion"/>
  </si>
  <si>
    <t>風</t>
    <phoneticPr fontId="1" type="noConversion"/>
  </si>
  <si>
    <t>不</t>
    <phoneticPr fontId="1" type="noConversion"/>
  </si>
  <si>
    <t>度</t>
    <phoneticPr fontId="1" type="noConversion"/>
  </si>
  <si>
    <t>玉</t>
    <phoneticPr fontId="1" type="noConversion"/>
  </si>
  <si>
    <t>門</t>
    <phoneticPr fontId="1" type="noConversion"/>
  </si>
  <si>
    <t>關</t>
    <phoneticPr fontId="1" type="noConversion"/>
  </si>
  <si>
    <t>ong5</t>
    <phoneticPr fontId="1" type="noConversion"/>
  </si>
  <si>
    <t>zi1</t>
    <phoneticPr fontId="1" type="noConversion"/>
  </si>
  <si>
    <t>huan3</t>
    <phoneticPr fontId="1" type="noConversion"/>
  </si>
  <si>
    <t>hong5</t>
    <phoneticPr fontId="1" type="noConversion"/>
  </si>
  <si>
    <t>ho5</t>
    <phoneticPr fontId="1" type="noConversion"/>
  </si>
  <si>
    <t>uan2</t>
    <phoneticPr fontId="1" type="noConversion"/>
  </si>
  <si>
    <t>siong2</t>
    <phoneticPr fontId="1" type="noConversion"/>
  </si>
  <si>
    <t>pik8</t>
    <phoneticPr fontId="1" type="noConversion"/>
  </si>
  <si>
    <t>hun5</t>
    <phoneticPr fontId="1" type="noConversion"/>
  </si>
  <si>
    <t>kan1</t>
    <phoneticPr fontId="1" type="noConversion"/>
  </si>
  <si>
    <t>`</t>
  </si>
  <si>
    <t>`</t>
    <phoneticPr fontId="1" type="noConversion"/>
  </si>
  <si>
    <t>,</t>
    <phoneticPr fontId="1" type="noConversion"/>
  </si>
  <si>
    <t>.</t>
    <phoneticPr fontId="1" type="noConversion"/>
  </si>
  <si>
    <t>it4</t>
    <phoneticPr fontId="1" type="noConversion"/>
  </si>
  <si>
    <t>phian3</t>
    <phoneticPr fontId="1" type="noConversion"/>
  </si>
  <si>
    <t>koo1</t>
    <phoneticPr fontId="1" type="noConversion"/>
  </si>
  <si>
    <t>sing5</t>
    <phoneticPr fontId="1" type="noConversion"/>
  </si>
  <si>
    <t>ban7</t>
    <phoneticPr fontId="1" type="noConversion"/>
  </si>
  <si>
    <t>jin7</t>
    <phoneticPr fontId="1" type="noConversion"/>
  </si>
  <si>
    <t>san1</t>
    <phoneticPr fontId="1" type="noConversion"/>
  </si>
  <si>
    <t>khiang1</t>
    <phoneticPr fontId="1" type="noConversion"/>
  </si>
  <si>
    <t>tik8</t>
    <phoneticPr fontId="1" type="noConversion"/>
  </si>
  <si>
    <t>su1</t>
    <phoneticPr fontId="1" type="noConversion"/>
  </si>
  <si>
    <t>uan3</t>
    <phoneticPr fontId="1" type="noConversion"/>
  </si>
  <si>
    <t>iong5</t>
    <phoneticPr fontId="1" type="noConversion"/>
  </si>
  <si>
    <t>liu2</t>
    <phoneticPr fontId="1" type="noConversion"/>
  </si>
  <si>
    <t>cun1</t>
    <phoneticPr fontId="1" type="noConversion"/>
  </si>
  <si>
    <t>hong1</t>
    <phoneticPr fontId="1" type="noConversion"/>
  </si>
  <si>
    <t>put4</t>
    <phoneticPr fontId="1" type="noConversion"/>
  </si>
  <si>
    <t>too7</t>
    <phoneticPr fontId="1" type="noConversion"/>
  </si>
  <si>
    <t>giok8</t>
    <phoneticPr fontId="1" type="noConversion"/>
  </si>
  <si>
    <t>bun5</t>
    <phoneticPr fontId="1" type="noConversion"/>
  </si>
  <si>
    <t>kuan1</t>
    <phoneticPr fontId="1" type="noConversion"/>
  </si>
  <si>
    <t>URL:</t>
    <phoneticPr fontId="1" type="noConversion"/>
  </si>
  <si>
    <t>https://alanjui.github.io/Blogger/assets/images/keys/key_</t>
    <phoneticPr fontId="1" type="noConversion"/>
  </si>
  <si>
    <t>注音/拼音</t>
    <phoneticPr fontId="1" type="noConversion"/>
  </si>
  <si>
    <t>tsiu1</t>
  </si>
  <si>
    <t>tsi1</t>
  </si>
  <si>
    <t>tshun1</t>
  </si>
  <si>
    <t>十五音</t>
    <phoneticPr fontId="1" type="noConversion"/>
  </si>
  <si>
    <t>姜五柳</t>
    <phoneticPr fontId="1" type="noConversion"/>
  </si>
  <si>
    <t>丩一曾</t>
    <phoneticPr fontId="1" type="noConversion"/>
  </si>
  <si>
    <t>艍五時</t>
    <phoneticPr fontId="1" type="noConversion"/>
  </si>
  <si>
    <t>公五英</t>
    <phoneticPr fontId="1" type="noConversion"/>
  </si>
  <si>
    <t>居一曾</t>
    <phoneticPr fontId="1" type="noConversion"/>
  </si>
  <si>
    <t>觀三喜</t>
    <phoneticPr fontId="1" type="noConversion"/>
  </si>
  <si>
    <t>公五喜</t>
    <phoneticPr fontId="1" type="noConversion"/>
  </si>
  <si>
    <t>高五喜</t>
    <phoneticPr fontId="1" type="noConversion"/>
  </si>
  <si>
    <t>觀二英</t>
    <phoneticPr fontId="1" type="noConversion"/>
  </si>
  <si>
    <t>恭二時</t>
    <phoneticPr fontId="1" type="noConversion"/>
  </si>
  <si>
    <t>經八邊</t>
    <phoneticPr fontId="1" type="noConversion"/>
  </si>
  <si>
    <t>君五喜</t>
    <phoneticPr fontId="1" type="noConversion"/>
  </si>
  <si>
    <t>干一求</t>
    <phoneticPr fontId="1" type="noConversion"/>
  </si>
  <si>
    <t>巾四英</t>
    <phoneticPr fontId="1" type="noConversion"/>
  </si>
  <si>
    <t>堅三頗</t>
    <phoneticPr fontId="1" type="noConversion"/>
  </si>
  <si>
    <t>沽一求</t>
    <phoneticPr fontId="1" type="noConversion"/>
  </si>
  <si>
    <t>經五時</t>
    <phoneticPr fontId="1" type="noConversion"/>
  </si>
  <si>
    <t>干七門</t>
    <phoneticPr fontId="1" type="noConversion"/>
  </si>
  <si>
    <t>金七入</t>
    <phoneticPr fontId="1" type="noConversion"/>
  </si>
  <si>
    <t>jim7</t>
    <phoneticPr fontId="1" type="noConversion"/>
  </si>
  <si>
    <t>干一時</t>
    <phoneticPr fontId="1" type="noConversion"/>
  </si>
  <si>
    <t>姜一去</t>
    <phoneticPr fontId="1" type="noConversion"/>
  </si>
  <si>
    <t>經八地</t>
    <phoneticPr fontId="1" type="noConversion"/>
  </si>
  <si>
    <t>艍一時</t>
    <phoneticPr fontId="1" type="noConversion"/>
  </si>
  <si>
    <t>觀三英</t>
    <phoneticPr fontId="1" type="noConversion"/>
  </si>
  <si>
    <t>恭五英</t>
    <phoneticPr fontId="1" type="noConversion"/>
  </si>
  <si>
    <t>丩二柳</t>
    <phoneticPr fontId="1" type="noConversion"/>
  </si>
  <si>
    <t>君一出</t>
    <phoneticPr fontId="1" type="noConversion"/>
  </si>
  <si>
    <t>公一喜</t>
    <phoneticPr fontId="1" type="noConversion"/>
  </si>
  <si>
    <t>君四邊</t>
    <phoneticPr fontId="1" type="noConversion"/>
  </si>
  <si>
    <t>沽七地</t>
    <phoneticPr fontId="1" type="noConversion"/>
  </si>
  <si>
    <t>恭八語</t>
    <phoneticPr fontId="1" type="noConversion"/>
  </si>
  <si>
    <t>君五門</t>
    <phoneticPr fontId="1" type="noConversion"/>
  </si>
  <si>
    <t>觀一求</t>
    <phoneticPr fontId="1" type="noConversion"/>
  </si>
  <si>
    <t>Key</t>
    <phoneticPr fontId="1" type="noConversion"/>
  </si>
  <si>
    <t>backslash</t>
    <phoneticPr fontId="1" type="noConversion"/>
  </si>
  <si>
    <t>rbracket</t>
    <phoneticPr fontId="1" type="noConversion"/>
  </si>
  <si>
    <t>lbracket</t>
    <phoneticPr fontId="1" type="noConversion"/>
  </si>
  <si>
    <t>semicolon</t>
    <phoneticPr fontId="1" type="noConversion"/>
  </si>
  <si>
    <t>slash</t>
    <phoneticPr fontId="1" type="noConversion"/>
  </si>
  <si>
    <t>minus</t>
  </si>
  <si>
    <t>minus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</si>
</sst>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4"/>
      <color theme="1"/>
      <name val="Noto Serif TC SemiBold"/>
      <family val="1"/>
      <charset val="136"/>
    </font>
    <font>
      <sz val="18"/>
      <color theme="1"/>
      <name val="Noto Serif TC SemiBold"/>
      <family val="1"/>
      <charset val="136"/>
    </font>
    <font>
      <sz val="18"/>
      <color theme="1"/>
      <name val="新細明體"/>
      <family val="2"/>
      <charset val="136"/>
      <scheme val="minor"/>
    </font>
    <font>
      <sz val="18"/>
      <color rgb="FF1F2328"/>
      <name val="Segoe UI"/>
      <family val="2"/>
    </font>
    <font>
      <sz val="18"/>
      <color rgb="FF1F2328"/>
      <name val="Segoe UI"/>
      <family val="2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Arial"/>
      <family val="2"/>
    </font>
    <font>
      <sz val="16"/>
      <color theme="1"/>
      <name val="Noto Serif TC SemiBold"/>
      <family val="1"/>
      <charset val="136"/>
    </font>
    <font>
      <sz val="72"/>
      <color theme="1"/>
      <name val="Noto Serif TC Black"/>
      <family val="1"/>
      <charset val="136"/>
    </font>
    <font>
      <sz val="28"/>
      <color theme="1"/>
      <name val="Charis SIL"/>
    </font>
    <font>
      <sz val="28"/>
      <color rgb="FFC00000"/>
      <name val="Noto Sans TC Medium"/>
      <family val="2"/>
      <charset val="136"/>
    </font>
    <font>
      <sz val="28"/>
      <color rgb="FFC00000"/>
      <name val="Microsoft YaHe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/>
      <top/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8" fillId="0" borderId="0" xfId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2" fillId="3" borderId="1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left" vertical="center" wrapText="1" indent="1"/>
    </xf>
    <xf numFmtId="0" fontId="6" fillId="5" borderId="14" xfId="0" applyFont="1" applyFill="1" applyBorder="1" applyAlignment="1">
      <alignment horizontal="left" vertical="center" wrapText="1" inden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left" vertical="center" wrapText="1" inden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left" vertical="center" wrapText="1" inden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left" vertical="center" wrapText="1" inden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</cellXfs>
  <cellStyles count="2">
    <cellStyle name="一般" xfId="0" builtinId="0"/>
    <cellStyle name="超連結" xfId="1" builtinId="8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0/07/relationships/rdRichValueWebImage" Target="richData/rdRichValueWebImage.xml"/></Relationships>
</file>

<file path=xl/richData/_rels/rdRichValueWebImage.xml.rels><?xml version="1.0" encoding="UTF-8" standalone="yes"?>
<Relationships xmlns="http://schemas.openxmlformats.org/package/2006/relationships"><Relationship Id="rId13" Type="http://schemas.openxmlformats.org/officeDocument/2006/relationships/hyperlink" Target="https://alanjui.github.io/Blogger/assets/images/keys/key_t.png" TargetMode="Externa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hyperlink" Target="https://alanjui.github.io/Blogger/assets/images/keys/key_j.png" TargetMode="External"/><Relationship Id="rId21" Type="http://schemas.openxmlformats.org/officeDocument/2006/relationships/hyperlink" Target="https://alanjui.github.io/Blogger/assets/images/keys/key_o.png" TargetMode="Externa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7" Type="http://schemas.openxmlformats.org/officeDocument/2006/relationships/hyperlink" Target="https://alanjui.github.io/Blogger/assets/images/keys/key_n.png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hyperlink" Target="https://alanjui.github.io/Blogger/assets/images/keys/key_p.png" TargetMode="External"/><Relationship Id="rId41" Type="http://schemas.openxmlformats.org/officeDocument/2006/relationships/hyperlink" Target="https://alanjui.github.io/Blogger/assets/images/keys/key_m.png" TargetMode="External"/><Relationship Id="rId1" Type="http://schemas.openxmlformats.org/officeDocument/2006/relationships/hyperlink" Target="https://alanjui.github.io/Blogger/assets/images/keys/key_l.png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alanjui.github.io/Blogger/assets/images/keys/key_slash.png" TargetMode="Externa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hyperlink" Target="https://alanjui.github.io/Blogger/assets/images/keys/key_b.png" TargetMode="External"/><Relationship Id="rId40" Type="http://schemas.openxmlformats.org/officeDocument/2006/relationships/image" Target="../media/image20.png"/><Relationship Id="rId5" Type="http://schemas.openxmlformats.org/officeDocument/2006/relationships/hyperlink" Target="https://alanjui.github.io/Blogger/assets/images/keys/key_a.png" TargetMode="External"/><Relationship Id="rId15" Type="http://schemas.openxmlformats.org/officeDocument/2006/relationships/hyperlink" Target="https://alanjui.github.io/Blogger/assets/images/keys/key_s.png" TargetMode="External"/><Relationship Id="rId23" Type="http://schemas.openxmlformats.org/officeDocument/2006/relationships/hyperlink" Target="https://alanjui.github.io/Blogger/assets/images/keys/key_h.png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hyperlink" Target="https://alanjui.github.io/Blogger/assets/images/keys/key_semicolon.png" TargetMode="External"/><Relationship Id="rId31" Type="http://schemas.openxmlformats.org/officeDocument/2006/relationships/hyperlink" Target="https://alanjui.github.io/Blogger/assets/images/keys/key_k.png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alanjui.github.io/Blogger/assets/images/keys/key_g.png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alanjui.github.io/Blogger/assets/images/keys/key_backslash.png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alanjui.github.io/Blogger/assets/images/keys/key_lbracket.png" TargetMode="External"/><Relationship Id="rId8" Type="http://schemas.openxmlformats.org/officeDocument/2006/relationships/image" Target="../media/image4.png"/><Relationship Id="rId3" Type="http://schemas.openxmlformats.org/officeDocument/2006/relationships/hyperlink" Target="https://alanjui.github.io/Blogger/assets/images/keys/key_i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alanjui.github.io/Blogger/assets/images/keys/key_u.png" TargetMode="External"/><Relationship Id="rId25" Type="http://schemas.openxmlformats.org/officeDocument/2006/relationships/hyperlink" Target="https://alanjui.github.io/Blogger/assets/images/keys/key_minus.png" TargetMode="External"/><Relationship Id="rId33" Type="http://schemas.openxmlformats.org/officeDocument/2006/relationships/hyperlink" Target="https://alanjui.github.io/Blogger/assets/images/keys/key_rbracket.png" TargetMode="External"/><Relationship Id="rId38" Type="http://schemas.openxmlformats.org/officeDocument/2006/relationships/image" Target="../media/image1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</webImagesSrd>
</file>

<file path=xl/richData/rdrichvalue.xml><?xml version="1.0" encoding="utf-8"?>
<rvData xmlns="http://schemas.microsoft.com/office/spreadsheetml/2017/richdata" count="21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1A3371-5FE8-45DB-A094-7F6E0F3BD8E6}" name="音調表" displayName="音調表" ref="B2:H12" totalsRowShown="0" headerRowDxfId="0" dataDxfId="1" headerRowBorderDxfId="10" tableBorderDxfId="11" totalsRowBorderDxfId="9">
  <autoFilter ref="B2:H12" xr:uid="{971A3371-5FE8-45DB-A094-7F6E0F3BD8E6}"/>
  <tableColumns count="7">
    <tableColumn id="1" xr3:uid="{B4D78313-6049-4165-A4FA-10B4D864693B}" name="調號" dataDxfId="8"/>
    <tableColumn id="2" xr3:uid="{019BE094-2A89-4F6A-9E27-FBBE3C29A023}" name="四聲八調" dataDxfId="7"/>
    <tableColumn id="3" xr3:uid="{5D368C68-E5DA-41CE-99D8-401BBE9A56ED}" name="聲調按鍵" dataDxfId="6"/>
    <tableColumn id="4" xr3:uid="{66C34166-F70F-45A8-8228-F7CDD2B34540}" name="Key" dataDxfId="5"/>
    <tableColumn id="5" xr3:uid="{1203CFE8-BF5B-4A31-BE73-137200C48083}" name="漢字" dataDxfId="4"/>
    <tableColumn id="6" xr3:uid="{04856A3F-6E55-4523-BF7B-BBE739377949}" name="台語音標" dataDxfId="3"/>
    <tableColumn id="7" xr3:uid="{6E6BB8E3-8E9D-44DF-AA55-7BC23DBF0DA6}" name="按鍵輸入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lanjui.github.io/Blogger/assets/images/keys/key_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366A-6021-46D6-9F21-C57524288254}">
  <dimension ref="B2:Q44"/>
  <sheetViews>
    <sheetView showGridLines="0" workbookViewId="0">
      <selection activeCell="P47" sqref="P47"/>
    </sheetView>
  </sheetViews>
  <sheetFormatPr defaultRowHeight="39" outlineLevelCol="1" x14ac:dyDescent="0.25"/>
  <cols>
    <col min="1" max="1" width="4.25" style="1" customWidth="1"/>
    <col min="2" max="2" width="9" style="1"/>
    <col min="3" max="3" width="21.125" style="1" customWidth="1"/>
    <col min="4" max="4" width="9" style="1" hidden="1" customWidth="1" outlineLevel="1"/>
    <col min="5" max="5" width="9" style="1" collapsed="1"/>
    <col min="6" max="15" width="9" style="1"/>
    <col min="16" max="16" width="15.75" style="1" bestFit="1" customWidth="1"/>
    <col min="17" max="17" width="14.25" style="1" bestFit="1" customWidth="1"/>
    <col min="18" max="21" width="9" style="1"/>
    <col min="22" max="26" width="11.5" style="1" customWidth="1"/>
    <col min="27" max="16384" width="9" style="1"/>
  </cols>
  <sheetData>
    <row r="2" spans="2:17" x14ac:dyDescent="0.25">
      <c r="B2" s="17" t="s">
        <v>4</v>
      </c>
      <c r="C2" s="17" t="s">
        <v>46</v>
      </c>
      <c r="D2" s="17" t="s">
        <v>8</v>
      </c>
      <c r="E2" s="18" t="s">
        <v>45</v>
      </c>
      <c r="F2" s="19"/>
      <c r="G2" s="19"/>
      <c r="H2" s="19"/>
      <c r="I2" s="19"/>
      <c r="J2" s="19"/>
      <c r="K2" s="19"/>
      <c r="L2" s="19"/>
      <c r="M2" s="20"/>
    </row>
    <row r="3" spans="2:17" s="2" customFormat="1" ht="30" x14ac:dyDescent="0.25">
      <c r="B3" s="17"/>
      <c r="C3" s="17"/>
      <c r="D3" s="17"/>
      <c r="E3" s="9">
        <v>1</v>
      </c>
      <c r="F3" s="10">
        <v>2</v>
      </c>
      <c r="G3" s="10">
        <v>3</v>
      </c>
      <c r="H3" s="10">
        <v>4</v>
      </c>
      <c r="I3" s="10">
        <v>5</v>
      </c>
      <c r="J3" s="10">
        <v>6</v>
      </c>
      <c r="K3" s="10">
        <v>7</v>
      </c>
      <c r="L3" s="10">
        <v>8</v>
      </c>
      <c r="M3" s="11">
        <v>9</v>
      </c>
    </row>
    <row r="4" spans="2:17" x14ac:dyDescent="0.25">
      <c r="B4" s="12" t="s">
        <v>0</v>
      </c>
      <c r="C4" s="13" t="s">
        <v>5</v>
      </c>
      <c r="D4" s="14">
        <f>IF( LEN(C4)&gt;0, LEN(C4), "")</f>
        <v>6</v>
      </c>
      <c r="E4" s="15" t="str" cm="1">
        <f t="array" ref="E4" xml:space="preserve"> IF(E$3&lt;&gt;$D4, MID($C4,E$3,1), INDEX(音調表!$D$3:$D$12, MATCH(TRUE, EXACT(MID($C4,E$3,1), 音調表!$B$3:$B$12),0)))</f>
        <v>l</v>
      </c>
      <c r="F4" s="15" t="str" cm="1">
        <f t="array" ref="F4" xml:space="preserve"> IF(F$3&lt;&gt;$D4, MID($C4,F$3,1), INDEX(音調表!$D$3:$D$12, MATCH(TRUE, EXACT(MID($C4,F$3,1), 音調表!$B$3:$B$12),0)))</f>
        <v>i</v>
      </c>
      <c r="G4" s="15" t="str" cm="1">
        <f t="array" ref="G4" xml:space="preserve"> IF(G$3&lt;&gt;$D4, MID($C4,G$3,1), INDEX(音調表!$D$3:$D$12, MATCH(TRUE, EXACT(MID($C4,G$3,1), 音調表!$B$3:$B$12),0)))</f>
        <v>a</v>
      </c>
      <c r="H4" s="15" t="str" cm="1">
        <f t="array" ref="H4" xml:space="preserve"> IF(H$3&lt;&gt;$D4, MID($C4,H$3,1), INDEX(音調表!$D$3:$D$12, MATCH(TRUE, EXACT(MID($C4,H$3,1), 音調表!$B$3:$B$12),0)))</f>
        <v>n</v>
      </c>
      <c r="I4" s="15" t="str" cm="1">
        <f t="array" ref="I4" xml:space="preserve"> IF(I$3&lt;&gt;$D4, MID($C4,I$3,1), INDEX(音調表!$D$3:$D$12, MATCH(TRUE, EXACT(MID($C4,I$3,1), 音調表!$B$3:$B$12),0)))</f>
        <v>g</v>
      </c>
      <c r="J4" s="15" t="str" cm="1">
        <f t="array" ref="J4" xml:space="preserve"> IF(J$3&lt;&gt;$D4, MID($C4,J$3,1), INDEX(音調表!$D$3:$D$12, MATCH(TRUE, EXACT(MID($C4,J$3,1), 音調表!$B$3:$B$12),0)))</f>
        <v>/</v>
      </c>
      <c r="K4" s="15" t="str" cm="1">
        <f t="array" ref="K4" xml:space="preserve"> IF(K$3&lt;&gt;$D4, MID($C4,K$3,1), INDEX(音調表!$D$3:$D$12, MATCH(TRUE, EXACT(MID($C4,K$3,1), 音調表!$B$3:$B$12),0)))</f>
        <v/>
      </c>
      <c r="L4" s="15" t="str" cm="1">
        <f t="array" ref="L4" xml:space="preserve"> IF(L$3&lt;&gt;$D4, MID($C4,L$3,1), INDEX(音調表!$D$3:$D$12, MATCH(TRUE, EXACT(MID($C4,L$3,1), 音調表!$B$3:$B$12),0)))</f>
        <v/>
      </c>
      <c r="M4" s="16" t="str" cm="1">
        <f t="array" ref="M4" xml:space="preserve"> IF(M$3&lt;&gt;$D4, MID($C4,M$3,1), INDEX(音調表!$D$3:$D$12, MATCH(TRUE, EXACT(MID($C4,M$3,1), 音調表!$B$3:$B$12),0)))</f>
        <v/>
      </c>
      <c r="O4" s="2"/>
      <c r="P4" s="2"/>
      <c r="Q4" s="1" t="str" cm="1">
        <f t="array" ref="Q4" xml:space="preserve"> IF( ISNUMBER(VALUE(J4)), INDEX(音調表!$D$3:$D$12, MATCH(TRUE, EXACT(J4, 音調表!$B$3:$B$12),0)), "")</f>
        <v/>
      </c>
    </row>
    <row r="5" spans="2:17" x14ac:dyDescent="0.25">
      <c r="B5" s="12" t="s">
        <v>1</v>
      </c>
      <c r="C5" s="13" t="s">
        <v>6</v>
      </c>
      <c r="D5" s="14">
        <f t="shared" ref="D5:D44" si="0">IF( LEN(C5)&gt;0, LEN(C5), "")</f>
        <v>4</v>
      </c>
      <c r="E5" s="15" t="str" cm="1">
        <f t="array" ref="E5" xml:space="preserve"> IF(E$3&lt;&gt;$D5, MID($C5,E$3,1), INDEX(音調表!$D$3:$D$12, MATCH(TRUE, EXACT(MID($C5,E$3,1), 音調表!$B$3:$B$12),0)))</f>
        <v>z</v>
      </c>
      <c r="F5" s="15" t="str" cm="1">
        <f t="array" ref="F5" xml:space="preserve"> IF(F$3&lt;&gt;$D5, MID($C5,F$3,1), INDEX(音調表!$D$3:$D$12, MATCH(TRUE, EXACT(MID($C5,F$3,1), 音調表!$B$3:$B$12),0)))</f>
        <v>i</v>
      </c>
      <c r="G5" s="15" t="str" cm="1">
        <f t="array" ref="G5" xml:space="preserve"> IF(G$3&lt;&gt;$D5, MID($C5,G$3,1), INDEX(音調表!$D$3:$D$12, MATCH(TRUE, EXACT(MID($C5,G$3,1), 音調表!$B$3:$B$12),0)))</f>
        <v>u</v>
      </c>
      <c r="H5" s="15" t="str" cm="1">
        <f t="array" ref="H5" xml:space="preserve"> IF(H$3&lt;&gt;$D5, MID($C5,H$3,1), INDEX(音調表!$D$3:$D$12, MATCH(TRUE, EXACT(MID($C5,H$3,1), 音調表!$B$3:$B$12),0)))</f>
        <v>;</v>
      </c>
      <c r="I5" s="15" t="str" cm="1">
        <f t="array" ref="I5" xml:space="preserve"> IF(I$3&lt;&gt;$D5, MID($C5,I$3,1), INDEX(音調表!$D$3:$D$12, MATCH(TRUE, EXACT(MID($C5,I$3,1), 音調表!$B$3:$B$12),0)))</f>
        <v/>
      </c>
      <c r="J5" s="15" t="str" cm="1">
        <f t="array" ref="J5" xml:space="preserve"> IF(J$3&lt;&gt;$D5, MID($C5,J$3,1), INDEX(音調表!$D$3:$D$12, MATCH(TRUE, EXACT(MID($C5,J$3,1), 音調表!$B$3:$B$12),0)))</f>
        <v/>
      </c>
      <c r="K5" s="15" t="str" cm="1">
        <f t="array" ref="K5" xml:space="preserve"> IF(K$3&lt;&gt;$D5, MID($C5,K$3,1), INDEX(音調表!$D$3:$D$12, MATCH(TRUE, EXACT(MID($C5,K$3,1), 音調表!$B$3:$B$12),0)))</f>
        <v/>
      </c>
      <c r="L5" s="15" t="str" cm="1">
        <f t="array" ref="L5" xml:space="preserve"> IF(L$3&lt;&gt;$D5, MID($C5,L$3,1), INDEX(音調表!$D$3:$D$12, MATCH(TRUE, EXACT(MID($C5,L$3,1), 音調表!$B$3:$B$12),0)))</f>
        <v/>
      </c>
      <c r="M5" s="16" t="str" cm="1">
        <f t="array" ref="M5" xml:space="preserve"> IF(M$3&lt;&gt;$D5, MID($C5,M$3,1), INDEX(音調表!$D$3:$D$12, MATCH(TRUE, EXACT(MID($C5,M$3,1), 音調表!$B$3:$B$12),0)))</f>
        <v/>
      </c>
      <c r="O5" s="2"/>
      <c r="P5" s="2"/>
    </row>
    <row r="6" spans="2:17" x14ac:dyDescent="0.25">
      <c r="B6" s="12" t="s">
        <v>2</v>
      </c>
      <c r="C6" s="13" t="s">
        <v>7</v>
      </c>
      <c r="D6" s="14">
        <f t="shared" si="0"/>
        <v>3</v>
      </c>
      <c r="E6" s="15" t="str" cm="1">
        <f t="array" ref="E6" xml:space="preserve"> IF(E$3&lt;&gt;$D6, MID($C6,E$3,1), INDEX(音調表!$D$3:$D$12, MATCH(TRUE, EXACT(MID($C6,E$3,1), 音調表!$B$3:$B$12),0)))</f>
        <v>s</v>
      </c>
      <c r="F6" s="15" t="str" cm="1">
        <f t="array" ref="F6" xml:space="preserve"> IF(F$3&lt;&gt;$D6, MID($C6,F$3,1), INDEX(音調表!$D$3:$D$12, MATCH(TRUE, EXACT(MID($C6,F$3,1), 音調表!$B$3:$B$12),0)))</f>
        <v>u</v>
      </c>
      <c r="G6" s="15" t="str" cm="1">
        <f t="array" ref="G6" xml:space="preserve"> IF(G$3&lt;&gt;$D6, MID($C6,G$3,1), INDEX(音調表!$D$3:$D$12, MATCH(TRUE, EXACT(MID($C6,G$3,1), 音調表!$B$3:$B$12),0)))</f>
        <v>/</v>
      </c>
      <c r="H6" s="15" t="str" cm="1">
        <f t="array" ref="H6" xml:space="preserve"> IF(H$3&lt;&gt;$D6, MID($C6,H$3,1), INDEX(音調表!$D$3:$D$12, MATCH(TRUE, EXACT(MID($C6,H$3,1), 音調表!$B$3:$B$12),0)))</f>
        <v/>
      </c>
      <c r="I6" s="15" t="str" cm="1">
        <f t="array" ref="I6" xml:space="preserve"> IF(I$3&lt;&gt;$D6, MID($C6,I$3,1), INDEX(音調表!$D$3:$D$12, MATCH(TRUE, EXACT(MID($C6,I$3,1), 音調表!$B$3:$B$12),0)))</f>
        <v/>
      </c>
      <c r="J6" s="15" t="str" cm="1">
        <f t="array" ref="J6" xml:space="preserve"> IF(J$3&lt;&gt;$D6, MID($C6,J$3,1), INDEX(音調表!$D$3:$D$12, MATCH(TRUE, EXACT(MID($C6,J$3,1), 音調表!$B$3:$B$12),0)))</f>
        <v/>
      </c>
      <c r="K6" s="15" t="str" cm="1">
        <f t="array" ref="K6" xml:space="preserve"> IF(K$3&lt;&gt;$D6, MID($C6,K$3,1), INDEX(音調表!$D$3:$D$12, MATCH(TRUE, EXACT(MID($C6,K$3,1), 音調表!$B$3:$B$12),0)))</f>
        <v/>
      </c>
      <c r="L6" s="15" t="str" cm="1">
        <f t="array" ref="L6" xml:space="preserve"> IF(L$3&lt;&gt;$D6, MID($C6,L$3,1), INDEX(音調表!$D$3:$D$12, MATCH(TRUE, EXACT(MID($C6,L$3,1), 音調表!$B$3:$B$12),0)))</f>
        <v/>
      </c>
      <c r="M6" s="16" t="str" cm="1">
        <f t="array" ref="M6" xml:space="preserve"> IF(M$3&lt;&gt;$D6, MID($C6,M$3,1), INDEX(音調表!$D$3:$D$12, MATCH(TRUE, EXACT(MID($C6,M$3,1), 音調表!$B$3:$B$12),0)))</f>
        <v/>
      </c>
      <c r="O6" s="2"/>
      <c r="P6" s="2"/>
    </row>
    <row r="7" spans="2:17" x14ac:dyDescent="0.25">
      <c r="B7" s="12"/>
      <c r="C7" s="13"/>
      <c r="D7" s="14" t="str">
        <f t="shared" si="0"/>
        <v/>
      </c>
      <c r="E7" s="15" t="str" cm="1">
        <f t="array" ref="E7" xml:space="preserve"> IF(E$3&lt;&gt;$D7, MID($C7,E$3,1), INDEX(音調表!$D$3:$D$12, MATCH(TRUE, EXACT(MID($C7,E$3,1), 音調表!$B$3:$B$12),0)))</f>
        <v/>
      </c>
      <c r="F7" s="15" t="str" cm="1">
        <f t="array" ref="F7" xml:space="preserve"> IF(F$3&lt;&gt;$D7, MID($C7,F$3,1), INDEX(音調表!$D$3:$D$12, MATCH(TRUE, EXACT(MID($C7,F$3,1), 音調表!$B$3:$B$12),0)))</f>
        <v/>
      </c>
      <c r="G7" s="15" t="str" cm="1">
        <f t="array" ref="G7" xml:space="preserve"> IF(G$3&lt;&gt;$D7, MID($C7,G$3,1), INDEX(音調表!$D$3:$D$12, MATCH(TRUE, EXACT(MID($C7,G$3,1), 音調表!$B$3:$B$12),0)))</f>
        <v/>
      </c>
      <c r="H7" s="15" t="str" cm="1">
        <f t="array" ref="H7" xml:space="preserve"> IF(H$3&lt;&gt;$D7, MID($C7,H$3,1), INDEX(音調表!$D$3:$D$12, MATCH(TRUE, EXACT(MID($C7,H$3,1), 音調表!$B$3:$B$12),0)))</f>
        <v/>
      </c>
      <c r="I7" s="15" t="str" cm="1">
        <f t="array" ref="I7" xml:space="preserve"> IF(I$3&lt;&gt;$D7, MID($C7,I$3,1), INDEX(音調表!$D$3:$D$12, MATCH(TRUE, EXACT(MID($C7,I$3,1), 音調表!$B$3:$B$12),0)))</f>
        <v/>
      </c>
      <c r="J7" s="15" t="str" cm="1">
        <f t="array" ref="J7" xml:space="preserve"> IF(J$3&lt;&gt;$D7, MID($C7,J$3,1), INDEX(音調表!$D$3:$D$12, MATCH(TRUE, EXACT(MID($C7,J$3,1), 音調表!$B$3:$B$12),0)))</f>
        <v/>
      </c>
      <c r="K7" s="15" t="str" cm="1">
        <f t="array" ref="K7" xml:space="preserve"> IF(K$3&lt;&gt;$D7, MID($C7,K$3,1), INDEX(音調表!$D$3:$D$12, MATCH(TRUE, EXACT(MID($C7,K$3,1), 音調表!$B$3:$B$12),0)))</f>
        <v/>
      </c>
      <c r="L7" s="15" t="str" cm="1">
        <f t="array" ref="L7" xml:space="preserve"> IF(L$3&lt;&gt;$D7, MID($C7,L$3,1), INDEX(音調表!$D$3:$D$12, MATCH(TRUE, EXACT(MID($C7,L$3,1), 音調表!$B$3:$B$12),0)))</f>
        <v/>
      </c>
      <c r="M7" s="16" t="str" cm="1">
        <f t="array" ref="M7" xml:space="preserve"> IF(M$3&lt;&gt;$D7, MID($C7,M$3,1), INDEX(音調表!$D$3:$D$12, MATCH(TRUE, EXACT(MID($C7,M$3,1), 音調表!$B$3:$B$12),0)))</f>
        <v/>
      </c>
      <c r="O7" s="2"/>
      <c r="P7" s="2"/>
    </row>
    <row r="8" spans="2:17" x14ac:dyDescent="0.25">
      <c r="B8" s="12" t="s">
        <v>59</v>
      </c>
      <c r="C8" s="13" t="s">
        <v>92</v>
      </c>
      <c r="D8" s="14">
        <f t="shared" si="0"/>
        <v>4</v>
      </c>
      <c r="E8" s="15" t="str" cm="1">
        <f t="array" ref="E8" xml:space="preserve"> IF(E$3&lt;&gt;$D8, MID($C8,E$3,1), INDEX(音調表!$D$3:$D$12, MATCH(TRUE, EXACT(MID($C8,E$3,1), 音調表!$B$3:$B$12),0)))</f>
        <v>o</v>
      </c>
      <c r="F8" s="15" t="str" cm="1">
        <f t="array" ref="F8" xml:space="preserve"> IF(F$3&lt;&gt;$D8, MID($C8,F$3,1), INDEX(音調表!$D$3:$D$12, MATCH(TRUE, EXACT(MID($C8,F$3,1), 音調表!$B$3:$B$12),0)))</f>
        <v>n</v>
      </c>
      <c r="G8" s="15" t="str" cm="1">
        <f t="array" ref="G8" xml:space="preserve"> IF(G$3&lt;&gt;$D8, MID($C8,G$3,1), INDEX(音調表!$D$3:$D$12, MATCH(TRUE, EXACT(MID($C8,G$3,1), 音調表!$B$3:$B$12),0)))</f>
        <v>g</v>
      </c>
      <c r="H8" s="15" t="str" cm="1">
        <f t="array" ref="H8" xml:space="preserve"> IF(H$3&lt;&gt;$D8, MID($C8,H$3,1), INDEX(音調表!$D$3:$D$12, MATCH(TRUE, EXACT(MID($C8,H$3,1), 音調表!$B$3:$B$12),0)))</f>
        <v>/</v>
      </c>
      <c r="I8" s="15" t="str" cm="1">
        <f t="array" ref="I8" xml:space="preserve"> IF(I$3&lt;&gt;$D8, MID($C8,I$3,1), INDEX(音調表!$D$3:$D$12, MATCH(TRUE, EXACT(MID($C8,I$3,1), 音調表!$B$3:$B$12),0)))</f>
        <v/>
      </c>
      <c r="J8" s="15" t="str" cm="1">
        <f t="array" ref="J8" xml:space="preserve"> IF(J$3&lt;&gt;$D8, MID($C8,J$3,1), INDEX(音調表!$D$3:$D$12, MATCH(TRUE, EXACT(MID($C8,J$3,1), 音調表!$B$3:$B$12),0)))</f>
        <v/>
      </c>
      <c r="K8" s="15" t="str" cm="1">
        <f t="array" ref="K8" xml:space="preserve"> IF(K$3&lt;&gt;$D8, MID($C8,K$3,1), INDEX(音調表!$D$3:$D$12, MATCH(TRUE, EXACT(MID($C8,K$3,1), 音調表!$B$3:$B$12),0)))</f>
        <v/>
      </c>
      <c r="L8" s="15" t="str" cm="1">
        <f t="array" ref="L8" xml:space="preserve"> IF(L$3&lt;&gt;$D8, MID($C8,L$3,1), INDEX(音調表!$D$3:$D$12, MATCH(TRUE, EXACT(MID($C8,L$3,1), 音調表!$B$3:$B$12),0)))</f>
        <v/>
      </c>
      <c r="M8" s="16" t="str" cm="1">
        <f t="array" ref="M8" xml:space="preserve"> IF(M$3&lt;&gt;$D8, MID($C8,M$3,1), INDEX(音調表!$D$3:$D$12, MATCH(TRUE, EXACT(MID($C8,M$3,1), 音調表!$B$3:$B$12),0)))</f>
        <v/>
      </c>
      <c r="O8" s="2"/>
      <c r="P8" s="2"/>
    </row>
    <row r="9" spans="2:17" x14ac:dyDescent="0.25">
      <c r="B9" s="12" t="s">
        <v>60</v>
      </c>
      <c r="C9" s="13" t="s">
        <v>93</v>
      </c>
      <c r="D9" s="14">
        <f t="shared" si="0"/>
        <v>3</v>
      </c>
      <c r="E9" s="15" t="str" cm="1">
        <f t="array" ref="E9" xml:space="preserve"> IF(E$3&lt;&gt;$D9, MID($C9,E$3,1), INDEX(音調表!$D$3:$D$12, MATCH(TRUE, EXACT(MID($C9,E$3,1), 音調表!$B$3:$B$12),0)))</f>
        <v>z</v>
      </c>
      <c r="F9" s="15" t="str" cm="1">
        <f t="array" ref="F9" xml:space="preserve"> IF(F$3&lt;&gt;$D9, MID($C9,F$3,1), INDEX(音調表!$D$3:$D$12, MATCH(TRUE, EXACT(MID($C9,F$3,1), 音調表!$B$3:$B$12),0)))</f>
        <v>i</v>
      </c>
      <c r="G9" s="15" t="str" cm="1">
        <f t="array" ref="G9" xml:space="preserve"> IF(G$3&lt;&gt;$D9, MID($C9,G$3,1), INDEX(音調表!$D$3:$D$12, MATCH(TRUE, EXACT(MID($C9,G$3,1), 音調表!$B$3:$B$12),0)))</f>
        <v>;</v>
      </c>
      <c r="H9" s="15" t="str" cm="1">
        <f t="array" ref="H9" xml:space="preserve"> IF(H$3&lt;&gt;$D9, MID($C9,H$3,1), INDEX(音調表!$D$3:$D$12, MATCH(TRUE, EXACT(MID($C9,H$3,1), 音調表!$B$3:$B$12),0)))</f>
        <v/>
      </c>
      <c r="I9" s="15" t="str" cm="1">
        <f t="array" ref="I9" xml:space="preserve"> IF(I$3&lt;&gt;$D9, MID($C9,I$3,1), INDEX(音調表!$D$3:$D$12, MATCH(TRUE, EXACT(MID($C9,I$3,1), 音調表!$B$3:$B$12),0)))</f>
        <v/>
      </c>
      <c r="J9" s="15" t="str" cm="1">
        <f t="array" ref="J9" xml:space="preserve"> IF(J$3&lt;&gt;$D9, MID($C9,J$3,1), INDEX(音調表!$D$3:$D$12, MATCH(TRUE, EXACT(MID($C9,J$3,1), 音調表!$B$3:$B$12),0)))</f>
        <v/>
      </c>
      <c r="K9" s="15" t="str" cm="1">
        <f t="array" ref="K9" xml:space="preserve"> IF(K$3&lt;&gt;$D9, MID($C9,K$3,1), INDEX(音調表!$D$3:$D$12, MATCH(TRUE, EXACT(MID($C9,K$3,1), 音調表!$B$3:$B$12),0)))</f>
        <v/>
      </c>
      <c r="L9" s="15" t="str" cm="1">
        <f t="array" ref="L9" xml:space="preserve"> IF(L$3&lt;&gt;$D9, MID($C9,L$3,1), INDEX(音調表!$D$3:$D$12, MATCH(TRUE, EXACT(MID($C9,L$3,1), 音調表!$B$3:$B$12),0)))</f>
        <v/>
      </c>
      <c r="M9" s="16" t="str" cm="1">
        <f t="array" ref="M9" xml:space="preserve"> IF(M$3&lt;&gt;$D9, MID($C9,M$3,1), INDEX(音調表!$D$3:$D$12, MATCH(TRUE, EXACT(MID($C9,M$3,1), 音調表!$B$3:$B$12),0)))</f>
        <v/>
      </c>
      <c r="O9" s="2"/>
      <c r="P9" s="2"/>
    </row>
    <row r="10" spans="2:17" x14ac:dyDescent="0.25">
      <c r="B10" s="12" t="s">
        <v>61</v>
      </c>
      <c r="C10" s="13" t="s">
        <v>94</v>
      </c>
      <c r="D10" s="14">
        <f t="shared" si="0"/>
        <v>5</v>
      </c>
      <c r="E10" s="15" t="str" cm="1">
        <f t="array" ref="E10" xml:space="preserve"> IF(E$3&lt;&gt;$D10, MID($C10,E$3,1), INDEX(音調表!$D$3:$D$12, MATCH(TRUE, EXACT(MID($C10,E$3,1), 音調表!$B$3:$B$12),0)))</f>
        <v>h</v>
      </c>
      <c r="F10" s="15" t="str" cm="1">
        <f t="array" ref="F10" xml:space="preserve"> IF(F$3&lt;&gt;$D10, MID($C10,F$3,1), INDEX(音調表!$D$3:$D$12, MATCH(TRUE, EXACT(MID($C10,F$3,1), 音調表!$B$3:$B$12),0)))</f>
        <v>u</v>
      </c>
      <c r="G10" s="15" t="str" cm="1">
        <f t="array" ref="G10" xml:space="preserve"> IF(G$3&lt;&gt;$D10, MID($C10,G$3,1), INDEX(音調表!$D$3:$D$12, MATCH(TRUE, EXACT(MID($C10,G$3,1), 音調表!$B$3:$B$12),0)))</f>
        <v>a</v>
      </c>
      <c r="H10" s="15" t="str" cm="1">
        <f t="array" ref="H10" xml:space="preserve"> IF(H$3&lt;&gt;$D10, MID($C10,H$3,1), INDEX(音調表!$D$3:$D$12, MATCH(TRUE, EXACT(MID($C10,H$3,1), 音調表!$B$3:$B$12),0)))</f>
        <v>n</v>
      </c>
      <c r="I10" s="15" t="str" cm="1">
        <f t="array" ref="I10" xml:space="preserve"> IF(I$3&lt;&gt;$D10, MID($C10,I$3,1), INDEX(音調表!$D$3:$D$12, MATCH(TRUE, EXACT(MID($C10,I$3,1), 音調表!$B$3:$B$12),0)))</f>
        <v>_</v>
      </c>
      <c r="J10" s="15" t="str" cm="1">
        <f t="array" ref="J10" xml:space="preserve"> IF(J$3&lt;&gt;$D10, MID($C10,J$3,1), INDEX(音調表!$D$3:$D$12, MATCH(TRUE, EXACT(MID($C10,J$3,1), 音調表!$B$3:$B$12),0)))</f>
        <v/>
      </c>
      <c r="K10" s="15" t="str" cm="1">
        <f t="array" ref="K10" xml:space="preserve"> IF(K$3&lt;&gt;$D10, MID($C10,K$3,1), INDEX(音調表!$D$3:$D$12, MATCH(TRUE, EXACT(MID($C10,K$3,1), 音調表!$B$3:$B$12),0)))</f>
        <v/>
      </c>
      <c r="L10" s="15" t="str" cm="1">
        <f t="array" ref="L10" xml:space="preserve"> IF(L$3&lt;&gt;$D10, MID($C10,L$3,1), INDEX(音調表!$D$3:$D$12, MATCH(TRUE, EXACT(MID($C10,L$3,1), 音調表!$B$3:$B$12),0)))</f>
        <v/>
      </c>
      <c r="M10" s="16" t="str" cm="1">
        <f t="array" ref="M10" xml:space="preserve"> IF(M$3&lt;&gt;$D10, MID($C10,M$3,1), INDEX(音調表!$D$3:$D$12, MATCH(TRUE, EXACT(MID($C10,M$3,1), 音調表!$B$3:$B$12),0)))</f>
        <v/>
      </c>
      <c r="O10" s="2"/>
      <c r="P10" s="2"/>
    </row>
    <row r="11" spans="2:17" x14ac:dyDescent="0.25">
      <c r="B11" s="12"/>
      <c r="C11" s="13"/>
      <c r="D11" s="14" t="str">
        <f t="shared" si="0"/>
        <v/>
      </c>
      <c r="E11" s="15" t="str" cm="1">
        <f t="array" ref="E11" xml:space="preserve"> IF(E$3&lt;&gt;$D11, MID($C11,E$3,1), INDEX(音調表!$D$3:$D$12, MATCH(TRUE, EXACT(MID($C11,E$3,1), 音調表!$B$3:$B$12),0)))</f>
        <v/>
      </c>
      <c r="F11" s="15" t="str" cm="1">
        <f t="array" ref="F11" xml:space="preserve"> IF(F$3&lt;&gt;$D11, MID($C11,F$3,1), INDEX(音調表!$D$3:$D$12, MATCH(TRUE, EXACT(MID($C11,F$3,1), 音調表!$B$3:$B$12),0)))</f>
        <v/>
      </c>
      <c r="G11" s="15" t="str" cm="1">
        <f t="array" ref="G11" xml:space="preserve"> IF(G$3&lt;&gt;$D11, MID($C11,G$3,1), INDEX(音調表!$D$3:$D$12, MATCH(TRUE, EXACT(MID($C11,G$3,1), 音調表!$B$3:$B$12),0)))</f>
        <v/>
      </c>
      <c r="H11" s="15" t="str" cm="1">
        <f t="array" ref="H11" xml:space="preserve"> IF(H$3&lt;&gt;$D11, MID($C11,H$3,1), INDEX(音調表!$D$3:$D$12, MATCH(TRUE, EXACT(MID($C11,H$3,1), 音調表!$B$3:$B$12),0)))</f>
        <v/>
      </c>
      <c r="I11" s="15" t="str" cm="1">
        <f t="array" ref="I11" xml:space="preserve"> IF(I$3&lt;&gt;$D11, MID($C11,I$3,1), INDEX(音調表!$D$3:$D$12, MATCH(TRUE, EXACT(MID($C11,I$3,1), 音調表!$B$3:$B$12),0)))</f>
        <v/>
      </c>
      <c r="J11" s="15" t="str" cm="1">
        <f t="array" ref="J11" xml:space="preserve"> IF(J$3&lt;&gt;$D11, MID($C11,J$3,1), INDEX(音調表!$D$3:$D$12, MATCH(TRUE, EXACT(MID($C11,J$3,1), 音調表!$B$3:$B$12),0)))</f>
        <v/>
      </c>
      <c r="K11" s="15" t="str" cm="1">
        <f t="array" ref="K11" xml:space="preserve"> IF(K$3&lt;&gt;$D11, MID($C11,K$3,1), INDEX(音調表!$D$3:$D$12, MATCH(TRUE, EXACT(MID($C11,K$3,1), 音調表!$B$3:$B$12),0)))</f>
        <v/>
      </c>
      <c r="L11" s="15" t="str" cm="1">
        <f t="array" ref="L11" xml:space="preserve"> IF(L$3&lt;&gt;$D11, MID($C11,L$3,1), INDEX(音調表!$D$3:$D$12, MATCH(TRUE, EXACT(MID($C11,L$3,1), 音調表!$B$3:$B$12),0)))</f>
        <v/>
      </c>
      <c r="M11" s="16" t="str" cm="1">
        <f t="array" ref="M11" xml:space="preserve"> IF(M$3&lt;&gt;$D11, MID($C11,M$3,1), INDEX(音調表!$D$3:$D$12, MATCH(TRUE, EXACT(MID($C11,M$3,1), 音調表!$B$3:$B$12),0)))</f>
        <v/>
      </c>
      <c r="O11" s="2"/>
      <c r="P11" s="2"/>
    </row>
    <row r="12" spans="2:17" x14ac:dyDescent="0.25">
      <c r="B12" s="12" t="s">
        <v>62</v>
      </c>
      <c r="C12" s="13" t="s">
        <v>95</v>
      </c>
      <c r="D12" s="14">
        <f t="shared" si="0"/>
        <v>5</v>
      </c>
      <c r="E12" s="15" t="str" cm="1">
        <f t="array" ref="E12" xml:space="preserve"> IF(E$3&lt;&gt;$D12, MID($C12,E$3,1), INDEX(音調表!$D$3:$D$12, MATCH(TRUE, EXACT(MID($C12,E$3,1), 音調表!$B$3:$B$12),0)))</f>
        <v>h</v>
      </c>
      <c r="F12" s="15" t="str" cm="1">
        <f t="array" ref="F12" xml:space="preserve"> IF(F$3&lt;&gt;$D12, MID($C12,F$3,1), INDEX(音調表!$D$3:$D$12, MATCH(TRUE, EXACT(MID($C12,F$3,1), 音調表!$B$3:$B$12),0)))</f>
        <v>o</v>
      </c>
      <c r="G12" s="15" t="str" cm="1">
        <f t="array" ref="G12" xml:space="preserve"> IF(G$3&lt;&gt;$D12, MID($C12,G$3,1), INDEX(音調表!$D$3:$D$12, MATCH(TRUE, EXACT(MID($C12,G$3,1), 音調表!$B$3:$B$12),0)))</f>
        <v>n</v>
      </c>
      <c r="H12" s="15" t="str" cm="1">
        <f t="array" ref="H12" xml:space="preserve"> IF(H$3&lt;&gt;$D12, MID($C12,H$3,1), INDEX(音調表!$D$3:$D$12, MATCH(TRUE, EXACT(MID($C12,H$3,1), 音調表!$B$3:$B$12),0)))</f>
        <v>g</v>
      </c>
      <c r="I12" s="15" t="str" cm="1">
        <f t="array" ref="I12" xml:space="preserve"> IF(I$3&lt;&gt;$D12, MID($C12,I$3,1), INDEX(音調表!$D$3:$D$12, MATCH(TRUE, EXACT(MID($C12,I$3,1), 音調表!$B$3:$B$12),0)))</f>
        <v>/</v>
      </c>
      <c r="J12" s="15" t="str" cm="1">
        <f t="array" ref="J12" xml:space="preserve"> IF(J$3&lt;&gt;$D12, MID($C12,J$3,1), INDEX(音調表!$D$3:$D$12, MATCH(TRUE, EXACT(MID($C12,J$3,1), 音調表!$B$3:$B$12),0)))</f>
        <v/>
      </c>
      <c r="K12" s="15" t="str" cm="1">
        <f t="array" ref="K12" xml:space="preserve"> IF(K$3&lt;&gt;$D12, MID($C12,K$3,1), INDEX(音調表!$D$3:$D$12, MATCH(TRUE, EXACT(MID($C12,K$3,1), 音調表!$B$3:$B$12),0)))</f>
        <v/>
      </c>
      <c r="L12" s="15" t="str" cm="1">
        <f t="array" ref="L12" xml:space="preserve"> IF(L$3&lt;&gt;$D12, MID($C12,L$3,1), INDEX(音調表!$D$3:$D$12, MATCH(TRUE, EXACT(MID($C12,L$3,1), 音調表!$B$3:$B$12),0)))</f>
        <v/>
      </c>
      <c r="M12" s="16" t="str" cm="1">
        <f t="array" ref="M12" xml:space="preserve"> IF(M$3&lt;&gt;$D12, MID($C12,M$3,1), INDEX(音調表!$D$3:$D$12, MATCH(TRUE, EXACT(MID($C12,M$3,1), 音調表!$B$3:$B$12),0)))</f>
        <v/>
      </c>
      <c r="O12" s="2"/>
      <c r="P12" s="2"/>
    </row>
    <row r="13" spans="2:17" x14ac:dyDescent="0.25">
      <c r="B13" s="12" t="s">
        <v>63</v>
      </c>
      <c r="C13" s="13" t="s">
        <v>96</v>
      </c>
      <c r="D13" s="14">
        <f t="shared" si="0"/>
        <v>3</v>
      </c>
      <c r="E13" s="15" t="str" cm="1">
        <f t="array" ref="E13" xml:space="preserve"> IF(E$3&lt;&gt;$D13, MID($C13,E$3,1), INDEX(音調表!$D$3:$D$12, MATCH(TRUE, EXACT(MID($C13,E$3,1), 音調表!$B$3:$B$12),0)))</f>
        <v>h</v>
      </c>
      <c r="F13" s="15" t="str" cm="1">
        <f t="array" ref="F13" xml:space="preserve"> IF(F$3&lt;&gt;$D13, MID($C13,F$3,1), INDEX(音調表!$D$3:$D$12, MATCH(TRUE, EXACT(MID($C13,F$3,1), 音調表!$B$3:$B$12),0)))</f>
        <v>o</v>
      </c>
      <c r="G13" s="15" t="str" cm="1">
        <f t="array" ref="G13" xml:space="preserve"> IF(G$3&lt;&gt;$D13, MID($C13,G$3,1), INDEX(音調表!$D$3:$D$12, MATCH(TRUE, EXACT(MID($C13,G$3,1), 音調表!$B$3:$B$12),0)))</f>
        <v>/</v>
      </c>
      <c r="H13" s="15" t="str" cm="1">
        <f t="array" ref="H13" xml:space="preserve"> IF(H$3&lt;&gt;$D13, MID($C13,H$3,1), INDEX(音調表!$D$3:$D$12, MATCH(TRUE, EXACT(MID($C13,H$3,1), 音調表!$B$3:$B$12),0)))</f>
        <v/>
      </c>
      <c r="I13" s="15" t="str" cm="1">
        <f t="array" ref="I13" xml:space="preserve"> IF(I$3&lt;&gt;$D13, MID($C13,I$3,1), INDEX(音調表!$D$3:$D$12, MATCH(TRUE, EXACT(MID($C13,I$3,1), 音調表!$B$3:$B$12),0)))</f>
        <v/>
      </c>
      <c r="J13" s="15" t="str" cm="1">
        <f t="array" ref="J13" xml:space="preserve"> IF(J$3&lt;&gt;$D13, MID($C13,J$3,1), INDEX(音調表!$D$3:$D$12, MATCH(TRUE, EXACT(MID($C13,J$3,1), 音調表!$B$3:$B$12),0)))</f>
        <v/>
      </c>
      <c r="K13" s="15" t="str" cm="1">
        <f t="array" ref="K13" xml:space="preserve"> IF(K$3&lt;&gt;$D13, MID($C13,K$3,1), INDEX(音調表!$D$3:$D$12, MATCH(TRUE, EXACT(MID($C13,K$3,1), 音調表!$B$3:$B$12),0)))</f>
        <v/>
      </c>
      <c r="L13" s="15" t="str" cm="1">
        <f t="array" ref="L13" xml:space="preserve"> IF(L$3&lt;&gt;$D13, MID($C13,L$3,1), INDEX(音調表!$D$3:$D$12, MATCH(TRUE, EXACT(MID($C13,L$3,1), 音調表!$B$3:$B$12),0)))</f>
        <v/>
      </c>
      <c r="M13" s="16" t="str" cm="1">
        <f t="array" ref="M13" xml:space="preserve"> IF(M$3&lt;&gt;$D13, MID($C13,M$3,1), INDEX(音調表!$D$3:$D$12, MATCH(TRUE, EXACT(MID($C13,M$3,1), 音調表!$B$3:$B$12),0)))</f>
        <v/>
      </c>
      <c r="O13" s="2"/>
      <c r="P13" s="2"/>
    </row>
    <row r="14" spans="2:17" x14ac:dyDescent="0.25">
      <c r="B14" s="12" t="s">
        <v>64</v>
      </c>
      <c r="C14" s="13" t="s">
        <v>97</v>
      </c>
      <c r="D14" s="14">
        <f t="shared" si="0"/>
        <v>4</v>
      </c>
      <c r="E14" s="15" t="str" cm="1">
        <f t="array" ref="E14" xml:space="preserve"> IF(E$3&lt;&gt;$D14, MID($C14,E$3,1), INDEX(音調表!$D$3:$D$12, MATCH(TRUE, EXACT(MID($C14,E$3,1), 音調表!$B$3:$B$12),0)))</f>
        <v>u</v>
      </c>
      <c r="F14" s="15" t="str" cm="1">
        <f t="array" ref="F14" xml:space="preserve"> IF(F$3&lt;&gt;$D14, MID($C14,F$3,1), INDEX(音調表!$D$3:$D$12, MATCH(TRUE, EXACT(MID($C14,F$3,1), 音調表!$B$3:$B$12),0)))</f>
        <v>a</v>
      </c>
      <c r="G14" s="15" t="str" cm="1">
        <f t="array" ref="G14" xml:space="preserve"> IF(G$3&lt;&gt;$D14, MID($C14,G$3,1), INDEX(音調表!$D$3:$D$12, MATCH(TRUE, EXACT(MID($C14,G$3,1), 音調表!$B$3:$B$12),0)))</f>
        <v>n</v>
      </c>
      <c r="H14" s="15" t="str" cm="1">
        <f t="array" ref="H14" xml:space="preserve"> IF(H$3&lt;&gt;$D14, MID($C14,H$3,1), INDEX(音調表!$D$3:$D$12, MATCH(TRUE, EXACT(MID($C14,H$3,1), 音調表!$B$3:$B$12),0)))</f>
        <v>\</v>
      </c>
      <c r="I14" s="15" t="str" cm="1">
        <f t="array" ref="I14" xml:space="preserve"> IF(I$3&lt;&gt;$D14, MID($C14,I$3,1), INDEX(音調表!$D$3:$D$12, MATCH(TRUE, EXACT(MID($C14,I$3,1), 音調表!$B$3:$B$12),0)))</f>
        <v/>
      </c>
      <c r="J14" s="15" t="str" cm="1">
        <f t="array" ref="J14" xml:space="preserve"> IF(J$3&lt;&gt;$D14, MID($C14,J$3,1), INDEX(音調表!$D$3:$D$12, MATCH(TRUE, EXACT(MID($C14,J$3,1), 音調表!$B$3:$B$12),0)))</f>
        <v/>
      </c>
      <c r="K14" s="15" t="str" cm="1">
        <f t="array" ref="K14" xml:space="preserve"> IF(K$3&lt;&gt;$D14, MID($C14,K$3,1), INDEX(音調表!$D$3:$D$12, MATCH(TRUE, EXACT(MID($C14,K$3,1), 音調表!$B$3:$B$12),0)))</f>
        <v/>
      </c>
      <c r="L14" s="15" t="str" cm="1">
        <f t="array" ref="L14" xml:space="preserve"> IF(L$3&lt;&gt;$D14, MID($C14,L$3,1), INDEX(音調表!$D$3:$D$12, MATCH(TRUE, EXACT(MID($C14,L$3,1), 音調表!$B$3:$B$12),0)))</f>
        <v/>
      </c>
      <c r="M14" s="16" t="str" cm="1">
        <f t="array" ref="M14" xml:space="preserve"> IF(M$3&lt;&gt;$D14, MID($C14,M$3,1), INDEX(音調表!$D$3:$D$12, MATCH(TRUE, EXACT(MID($C14,M$3,1), 音調表!$B$3:$B$12),0)))</f>
        <v/>
      </c>
      <c r="O14" s="2"/>
      <c r="P14" s="2"/>
    </row>
    <row r="15" spans="2:17" x14ac:dyDescent="0.25">
      <c r="B15" s="12" t="s">
        <v>65</v>
      </c>
      <c r="C15" s="13" t="s">
        <v>98</v>
      </c>
      <c r="D15" s="14">
        <f t="shared" si="0"/>
        <v>6</v>
      </c>
      <c r="E15" s="15" t="str" cm="1">
        <f t="array" ref="E15" xml:space="preserve"> IF(E$3&lt;&gt;$D15, MID($C15,E$3,1), INDEX(音調表!$D$3:$D$12, MATCH(TRUE, EXACT(MID($C15,E$3,1), 音調表!$B$3:$B$12),0)))</f>
        <v>s</v>
      </c>
      <c r="F15" s="15" t="str" cm="1">
        <f t="array" ref="F15" xml:space="preserve"> IF(F$3&lt;&gt;$D15, MID($C15,F$3,1), INDEX(音調表!$D$3:$D$12, MATCH(TRUE, EXACT(MID($C15,F$3,1), 音調表!$B$3:$B$12),0)))</f>
        <v>i</v>
      </c>
      <c r="G15" s="15" t="str" cm="1">
        <f t="array" ref="G15" xml:space="preserve"> IF(G$3&lt;&gt;$D15, MID($C15,G$3,1), INDEX(音調表!$D$3:$D$12, MATCH(TRUE, EXACT(MID($C15,G$3,1), 音調表!$B$3:$B$12),0)))</f>
        <v>o</v>
      </c>
      <c r="H15" s="15" t="str" cm="1">
        <f t="array" ref="H15" xml:space="preserve"> IF(H$3&lt;&gt;$D15, MID($C15,H$3,1), INDEX(音調表!$D$3:$D$12, MATCH(TRUE, EXACT(MID($C15,H$3,1), 音調表!$B$3:$B$12),0)))</f>
        <v>n</v>
      </c>
      <c r="I15" s="15" t="str" cm="1">
        <f t="array" ref="I15" xml:space="preserve"> IF(I$3&lt;&gt;$D15, MID($C15,I$3,1), INDEX(音調表!$D$3:$D$12, MATCH(TRUE, EXACT(MID($C15,I$3,1), 音調表!$B$3:$B$12),0)))</f>
        <v>g</v>
      </c>
      <c r="J15" s="15" t="str" cm="1">
        <f t="array" ref="J15" xml:space="preserve"> IF(J$3&lt;&gt;$D15, MID($C15,J$3,1), INDEX(音調表!$D$3:$D$12, MATCH(TRUE, EXACT(MID($C15,J$3,1), 音調表!$B$3:$B$12),0)))</f>
        <v>\</v>
      </c>
      <c r="K15" s="15" t="str" cm="1">
        <f t="array" ref="K15" xml:space="preserve"> IF(K$3&lt;&gt;$D15, MID($C15,K$3,1), INDEX(音調表!$D$3:$D$12, MATCH(TRUE, EXACT(MID($C15,K$3,1), 音調表!$B$3:$B$12),0)))</f>
        <v/>
      </c>
      <c r="L15" s="15" t="str" cm="1">
        <f t="array" ref="L15" xml:space="preserve"> IF(L$3&lt;&gt;$D15, MID($C15,L$3,1), INDEX(音調表!$D$3:$D$12, MATCH(TRUE, EXACT(MID($C15,L$3,1), 音調表!$B$3:$B$12),0)))</f>
        <v/>
      </c>
      <c r="M15" s="16" t="str" cm="1">
        <f t="array" ref="M15" xml:space="preserve"> IF(M$3&lt;&gt;$D15, MID($C15,M$3,1), INDEX(音調表!$D$3:$D$12, MATCH(TRUE, EXACT(MID($C15,M$3,1), 音調表!$B$3:$B$12),0)))</f>
        <v/>
      </c>
      <c r="O15" s="2"/>
      <c r="P15" s="2"/>
    </row>
    <row r="16" spans="2:17" x14ac:dyDescent="0.25">
      <c r="B16" s="12" t="s">
        <v>66</v>
      </c>
      <c r="C16" s="13" t="s">
        <v>99</v>
      </c>
      <c r="D16" s="14">
        <f t="shared" si="0"/>
        <v>4</v>
      </c>
      <c r="E16" s="15" t="str" cm="1">
        <f t="array" ref="E16" xml:space="preserve"> IF(E$3&lt;&gt;$D16, MID($C16,E$3,1), INDEX(音調表!$D$3:$D$12, MATCH(TRUE, EXACT(MID($C16,E$3,1), 音調表!$B$3:$B$12),0)))</f>
        <v>p</v>
      </c>
      <c r="F16" s="15" t="str" cm="1">
        <f t="array" ref="F16" xml:space="preserve"> IF(F$3&lt;&gt;$D16, MID($C16,F$3,1), INDEX(音調表!$D$3:$D$12, MATCH(TRUE, EXACT(MID($C16,F$3,1), 音調表!$B$3:$B$12),0)))</f>
        <v>i</v>
      </c>
      <c r="G16" s="15" t="str" cm="1">
        <f t="array" ref="G16" xml:space="preserve"> IF(G$3&lt;&gt;$D16, MID($C16,G$3,1), INDEX(音調表!$D$3:$D$12, MATCH(TRUE, EXACT(MID($C16,G$3,1), 音調表!$B$3:$B$12),0)))</f>
        <v>k</v>
      </c>
      <c r="H16" s="15" t="str" cm="1">
        <f t="array" ref="H16" xml:space="preserve"> IF(H$3&lt;&gt;$D16, MID($C16,H$3,1), INDEX(音調表!$D$3:$D$12, MATCH(TRUE, EXACT(MID($C16,H$3,1), 音調表!$B$3:$B$12),0)))</f>
        <v>]</v>
      </c>
      <c r="I16" s="15" t="str" cm="1">
        <f t="array" ref="I16" xml:space="preserve"> IF(I$3&lt;&gt;$D16, MID($C16,I$3,1), INDEX(音調表!$D$3:$D$12, MATCH(TRUE, EXACT(MID($C16,I$3,1), 音調表!$B$3:$B$12),0)))</f>
        <v/>
      </c>
      <c r="J16" s="15" t="str" cm="1">
        <f t="array" ref="J16" xml:space="preserve"> IF(J$3&lt;&gt;$D16, MID($C16,J$3,1), INDEX(音調表!$D$3:$D$12, MATCH(TRUE, EXACT(MID($C16,J$3,1), 音調表!$B$3:$B$12),0)))</f>
        <v/>
      </c>
      <c r="K16" s="15" t="str" cm="1">
        <f t="array" ref="K16" xml:space="preserve"> IF(K$3&lt;&gt;$D16, MID($C16,K$3,1), INDEX(音調表!$D$3:$D$12, MATCH(TRUE, EXACT(MID($C16,K$3,1), 音調表!$B$3:$B$12),0)))</f>
        <v/>
      </c>
      <c r="L16" s="15" t="str" cm="1">
        <f t="array" ref="L16" xml:space="preserve"> IF(L$3&lt;&gt;$D16, MID($C16,L$3,1), INDEX(音調表!$D$3:$D$12, MATCH(TRUE, EXACT(MID($C16,L$3,1), 音調表!$B$3:$B$12),0)))</f>
        <v/>
      </c>
      <c r="M16" s="16" t="str" cm="1">
        <f t="array" ref="M16" xml:space="preserve"> IF(M$3&lt;&gt;$D16, MID($C16,M$3,1), INDEX(音調表!$D$3:$D$12, MATCH(TRUE, EXACT(MID($C16,M$3,1), 音調表!$B$3:$B$12),0)))</f>
        <v/>
      </c>
      <c r="O16" s="2"/>
      <c r="P16" s="2"/>
    </row>
    <row r="17" spans="2:16" x14ac:dyDescent="0.25">
      <c r="B17" s="12" t="s">
        <v>67</v>
      </c>
      <c r="C17" s="13" t="s">
        <v>100</v>
      </c>
      <c r="D17" s="14">
        <f t="shared" si="0"/>
        <v>4</v>
      </c>
      <c r="E17" s="15" t="str" cm="1">
        <f t="array" ref="E17" xml:space="preserve"> IF(E$3&lt;&gt;$D17, MID($C17,E$3,1), INDEX(音調表!$D$3:$D$12, MATCH(TRUE, EXACT(MID($C17,E$3,1), 音調表!$B$3:$B$12),0)))</f>
        <v>h</v>
      </c>
      <c r="F17" s="15" t="str" cm="1">
        <f t="array" ref="F17" xml:space="preserve"> IF(F$3&lt;&gt;$D17, MID($C17,F$3,1), INDEX(音調表!$D$3:$D$12, MATCH(TRUE, EXACT(MID($C17,F$3,1), 音調表!$B$3:$B$12),0)))</f>
        <v>u</v>
      </c>
      <c r="G17" s="15" t="str" cm="1">
        <f t="array" ref="G17" xml:space="preserve"> IF(G$3&lt;&gt;$D17, MID($C17,G$3,1), INDEX(音調表!$D$3:$D$12, MATCH(TRUE, EXACT(MID($C17,G$3,1), 音調表!$B$3:$B$12),0)))</f>
        <v>n</v>
      </c>
      <c r="H17" s="15" t="str" cm="1">
        <f t="array" ref="H17" xml:space="preserve"> IF(H$3&lt;&gt;$D17, MID($C17,H$3,1), INDEX(音調表!$D$3:$D$12, MATCH(TRUE, EXACT(MID($C17,H$3,1), 音調表!$B$3:$B$12),0)))</f>
        <v>/</v>
      </c>
      <c r="I17" s="15" t="str" cm="1">
        <f t="array" ref="I17" xml:space="preserve"> IF(I$3&lt;&gt;$D17, MID($C17,I$3,1), INDEX(音調表!$D$3:$D$12, MATCH(TRUE, EXACT(MID($C17,I$3,1), 音調表!$B$3:$B$12),0)))</f>
        <v/>
      </c>
      <c r="J17" s="15" t="str" cm="1">
        <f t="array" ref="J17" xml:space="preserve"> IF(J$3&lt;&gt;$D17, MID($C17,J$3,1), INDEX(音調表!$D$3:$D$12, MATCH(TRUE, EXACT(MID($C17,J$3,1), 音調表!$B$3:$B$12),0)))</f>
        <v/>
      </c>
      <c r="K17" s="15" t="str" cm="1">
        <f t="array" ref="K17" xml:space="preserve"> IF(K$3&lt;&gt;$D17, MID($C17,K$3,1), INDEX(音調表!$D$3:$D$12, MATCH(TRUE, EXACT(MID($C17,K$3,1), 音調表!$B$3:$B$12),0)))</f>
        <v/>
      </c>
      <c r="L17" s="15" t="str" cm="1">
        <f t="array" ref="L17" xml:space="preserve"> IF(L$3&lt;&gt;$D17, MID($C17,L$3,1), INDEX(音調表!$D$3:$D$12, MATCH(TRUE, EXACT(MID($C17,L$3,1), 音調表!$B$3:$B$12),0)))</f>
        <v/>
      </c>
      <c r="M17" s="16" t="str" cm="1">
        <f t="array" ref="M17" xml:space="preserve"> IF(M$3&lt;&gt;$D17, MID($C17,M$3,1), INDEX(音調表!$D$3:$D$12, MATCH(TRUE, EXACT(MID($C17,M$3,1), 音調表!$B$3:$B$12),0)))</f>
        <v/>
      </c>
      <c r="O17" s="2"/>
      <c r="P17" s="2"/>
    </row>
    <row r="18" spans="2:16" x14ac:dyDescent="0.25">
      <c r="B18" s="12" t="s">
        <v>68</v>
      </c>
      <c r="C18" s="13" t="s">
        <v>101</v>
      </c>
      <c r="D18" s="14">
        <f t="shared" si="0"/>
        <v>4</v>
      </c>
      <c r="E18" s="15" t="str" cm="1">
        <f t="array" ref="E18" xml:space="preserve"> IF(E$3&lt;&gt;$D18, MID($C18,E$3,1), INDEX(音調表!$D$3:$D$12, MATCH(TRUE, EXACT(MID($C18,E$3,1), 音調表!$B$3:$B$12),0)))</f>
        <v>k</v>
      </c>
      <c r="F18" s="15" t="str" cm="1">
        <f t="array" ref="F18" xml:space="preserve"> IF(F$3&lt;&gt;$D18, MID($C18,F$3,1), INDEX(音調表!$D$3:$D$12, MATCH(TRUE, EXACT(MID($C18,F$3,1), 音調表!$B$3:$B$12),0)))</f>
        <v>a</v>
      </c>
      <c r="G18" s="15" t="str" cm="1">
        <f t="array" ref="G18" xml:space="preserve"> IF(G$3&lt;&gt;$D18, MID($C18,G$3,1), INDEX(音調表!$D$3:$D$12, MATCH(TRUE, EXACT(MID($C18,G$3,1), 音調表!$B$3:$B$12),0)))</f>
        <v>n</v>
      </c>
      <c r="H18" s="15" t="str" cm="1">
        <f t="array" ref="H18" xml:space="preserve"> IF(H$3&lt;&gt;$D18, MID($C18,H$3,1), INDEX(音調表!$D$3:$D$12, MATCH(TRUE, EXACT(MID($C18,H$3,1), 音調表!$B$3:$B$12),0)))</f>
        <v>;</v>
      </c>
      <c r="I18" s="15" t="str" cm="1">
        <f t="array" ref="I18" xml:space="preserve"> IF(I$3&lt;&gt;$D18, MID($C18,I$3,1), INDEX(音調表!$D$3:$D$12, MATCH(TRUE, EXACT(MID($C18,I$3,1), 音調表!$B$3:$B$12),0)))</f>
        <v/>
      </c>
      <c r="J18" s="15" t="str" cm="1">
        <f t="array" ref="J18" xml:space="preserve"> IF(J$3&lt;&gt;$D18, MID($C18,J$3,1), INDEX(音調表!$D$3:$D$12, MATCH(TRUE, EXACT(MID($C18,J$3,1), 音調表!$B$3:$B$12),0)))</f>
        <v/>
      </c>
      <c r="K18" s="15" t="str" cm="1">
        <f t="array" ref="K18" xml:space="preserve"> IF(K$3&lt;&gt;$D18, MID($C18,K$3,1), INDEX(音調表!$D$3:$D$12, MATCH(TRUE, EXACT(MID($C18,K$3,1), 音調表!$B$3:$B$12),0)))</f>
        <v/>
      </c>
      <c r="L18" s="15" t="str" cm="1">
        <f t="array" ref="L18" xml:space="preserve"> IF(L$3&lt;&gt;$D18, MID($C18,L$3,1), INDEX(音調表!$D$3:$D$12, MATCH(TRUE, EXACT(MID($C18,L$3,1), 音調表!$B$3:$B$12),0)))</f>
        <v/>
      </c>
      <c r="M18" s="16" t="str" cm="1">
        <f t="array" ref="M18" xml:space="preserve"> IF(M$3&lt;&gt;$D18, MID($C18,M$3,1), INDEX(音調表!$D$3:$D$12, MATCH(TRUE, EXACT(MID($C18,M$3,1), 音調表!$B$3:$B$12),0)))</f>
        <v/>
      </c>
      <c r="O18" s="2"/>
      <c r="P18" s="2"/>
    </row>
    <row r="19" spans="2:16" x14ac:dyDescent="0.25">
      <c r="B19" s="12" t="s">
        <v>69</v>
      </c>
      <c r="C19" s="13"/>
      <c r="D19" s="14" t="str">
        <f t="shared" si="0"/>
        <v/>
      </c>
      <c r="E19" s="15" t="s">
        <v>103</v>
      </c>
      <c r="F19" s="15" t="s">
        <v>104</v>
      </c>
      <c r="G19" s="15" t="str" cm="1">
        <f t="array" ref="G19" xml:space="preserve"> IF(G$3&lt;&gt;$D19, MID($C19,G$3,1), INDEX(音調表!$D$3:$D$12, MATCH(TRUE, EXACT(MID($C19,G$3,1), 音調表!$B$3:$B$12),0)))</f>
        <v/>
      </c>
      <c r="H19" s="15" t="str" cm="1">
        <f t="array" ref="H19" xml:space="preserve"> IF(H$3&lt;&gt;$D19, MID($C19,H$3,1), INDEX(音調表!$D$3:$D$12, MATCH(TRUE, EXACT(MID($C19,H$3,1), 音調表!$B$3:$B$12),0)))</f>
        <v/>
      </c>
      <c r="I19" s="15" t="str" cm="1">
        <f t="array" ref="I19" xml:space="preserve"> IF(I$3&lt;&gt;$D19, MID($C19,I$3,1), INDEX(音調表!$D$3:$D$12, MATCH(TRUE, EXACT(MID($C19,I$3,1), 音調表!$B$3:$B$12),0)))</f>
        <v/>
      </c>
      <c r="J19" s="15" t="str" cm="1">
        <f t="array" ref="J19" xml:space="preserve"> IF(J$3&lt;&gt;$D19, MID($C19,J$3,1), INDEX(音調表!$D$3:$D$12, MATCH(TRUE, EXACT(MID($C19,J$3,1), 音調表!$B$3:$B$12),0)))</f>
        <v/>
      </c>
      <c r="K19" s="15" t="str" cm="1">
        <f t="array" ref="K19" xml:space="preserve"> IF(K$3&lt;&gt;$D19, MID($C19,K$3,1), INDEX(音調表!$D$3:$D$12, MATCH(TRUE, EXACT(MID($C19,K$3,1), 音調表!$B$3:$B$12),0)))</f>
        <v/>
      </c>
      <c r="L19" s="15" t="str" cm="1">
        <f t="array" ref="L19" xml:space="preserve"> IF(L$3&lt;&gt;$D19, MID($C19,L$3,1), INDEX(音調表!$D$3:$D$12, MATCH(TRUE, EXACT(MID($C19,L$3,1), 音調表!$B$3:$B$12),0)))</f>
        <v/>
      </c>
      <c r="M19" s="16" t="str" cm="1">
        <f t="array" ref="M19" xml:space="preserve"> IF(M$3&lt;&gt;$D19, MID($C19,M$3,1), INDEX(音調表!$D$3:$D$12, MATCH(TRUE, EXACT(MID($C19,M$3,1), 音調表!$B$3:$B$12),0)))</f>
        <v/>
      </c>
      <c r="O19" s="2"/>
      <c r="P19" s="2"/>
    </row>
    <row r="20" spans="2:16" x14ac:dyDescent="0.25">
      <c r="B20" s="12" t="s">
        <v>70</v>
      </c>
      <c r="C20" s="13" t="s">
        <v>106</v>
      </c>
      <c r="D20" s="14">
        <f t="shared" si="0"/>
        <v>3</v>
      </c>
      <c r="E20" s="15" t="str" cm="1">
        <f t="array" ref="E20" xml:space="preserve"> IF(E$3&lt;&gt;$D20, MID($C20,E$3,1), INDEX(音調表!$D$3:$D$12, MATCH(TRUE, EXACT(MID($C20,E$3,1), 音調表!$B$3:$B$12),0)))</f>
        <v>i</v>
      </c>
      <c r="F20" s="15" t="str" cm="1">
        <f t="array" ref="F20" xml:space="preserve"> IF(F$3&lt;&gt;$D20, MID($C20,F$3,1), INDEX(音調表!$D$3:$D$12, MATCH(TRUE, EXACT(MID($C20,F$3,1), 音調表!$B$3:$B$12),0)))</f>
        <v>t</v>
      </c>
      <c r="G20" s="15" t="str" cm="1">
        <f t="array" ref="G20" xml:space="preserve"> IF(G$3&lt;&gt;$D20, MID($C20,G$3,1), INDEX(音調表!$D$3:$D$12, MATCH(TRUE, EXACT(MID($C20,G$3,1), 音調表!$B$3:$B$12),0)))</f>
        <v>[</v>
      </c>
      <c r="H20" s="15" t="str" cm="1">
        <f t="array" ref="H20" xml:space="preserve"> IF(H$3&lt;&gt;$D20, MID($C20,H$3,1), INDEX(音調表!$D$3:$D$12, MATCH(TRUE, EXACT(MID($C20,H$3,1), 音調表!$B$3:$B$12),0)))</f>
        <v/>
      </c>
      <c r="I20" s="15" t="str" cm="1">
        <f t="array" ref="I20" xml:space="preserve"> IF(I$3&lt;&gt;$D20, MID($C20,I$3,1), INDEX(音調表!$D$3:$D$12, MATCH(TRUE, EXACT(MID($C20,I$3,1), 音調表!$B$3:$B$12),0)))</f>
        <v/>
      </c>
      <c r="J20" s="15" t="str" cm="1">
        <f t="array" ref="J20" xml:space="preserve"> IF(J$3&lt;&gt;$D20, MID($C20,J$3,1), INDEX(音調表!$D$3:$D$12, MATCH(TRUE, EXACT(MID($C20,J$3,1), 音調表!$B$3:$B$12),0)))</f>
        <v/>
      </c>
      <c r="K20" s="15" t="str" cm="1">
        <f t="array" ref="K20" xml:space="preserve"> IF(K$3&lt;&gt;$D20, MID($C20,K$3,1), INDEX(音調表!$D$3:$D$12, MATCH(TRUE, EXACT(MID($C20,K$3,1), 音調表!$B$3:$B$12),0)))</f>
        <v/>
      </c>
      <c r="L20" s="15" t="str" cm="1">
        <f t="array" ref="L20" xml:space="preserve"> IF(L$3&lt;&gt;$D20, MID($C20,L$3,1), INDEX(音調表!$D$3:$D$12, MATCH(TRUE, EXACT(MID($C20,L$3,1), 音調表!$B$3:$B$12),0)))</f>
        <v/>
      </c>
      <c r="M20" s="16" t="str" cm="1">
        <f t="array" ref="M20" xml:space="preserve"> IF(M$3&lt;&gt;$D20, MID($C20,M$3,1), INDEX(音調表!$D$3:$D$12, MATCH(TRUE, EXACT(MID($C20,M$3,1), 音調表!$B$3:$B$12),0)))</f>
        <v/>
      </c>
      <c r="O20" s="2"/>
      <c r="P20" s="2"/>
    </row>
    <row r="21" spans="2:16" x14ac:dyDescent="0.25">
      <c r="B21" s="12" t="s">
        <v>71</v>
      </c>
      <c r="C21" s="13" t="s">
        <v>107</v>
      </c>
      <c r="D21" s="14">
        <f t="shared" si="0"/>
        <v>6</v>
      </c>
      <c r="E21" s="15" t="str" cm="1">
        <f t="array" ref="E21" xml:space="preserve"> IF(E$3&lt;&gt;$D21, MID($C21,E$3,1), INDEX(音調表!$D$3:$D$12, MATCH(TRUE, EXACT(MID($C21,E$3,1), 音調表!$B$3:$B$12),0)))</f>
        <v>p</v>
      </c>
      <c r="F21" s="15" t="str" cm="1">
        <f t="array" ref="F21" xml:space="preserve"> IF(F$3&lt;&gt;$D21, MID($C21,F$3,1), INDEX(音調表!$D$3:$D$12, MATCH(TRUE, EXACT(MID($C21,F$3,1), 音調表!$B$3:$B$12),0)))</f>
        <v>h</v>
      </c>
      <c r="G21" s="15" t="str" cm="1">
        <f t="array" ref="G21" xml:space="preserve"> IF(G$3&lt;&gt;$D21, MID($C21,G$3,1), INDEX(音調表!$D$3:$D$12, MATCH(TRUE, EXACT(MID($C21,G$3,1), 音調表!$B$3:$B$12),0)))</f>
        <v>i</v>
      </c>
      <c r="H21" s="15" t="str" cm="1">
        <f t="array" ref="H21" xml:space="preserve"> IF(H$3&lt;&gt;$D21, MID($C21,H$3,1), INDEX(音調表!$D$3:$D$12, MATCH(TRUE, EXACT(MID($C21,H$3,1), 音調表!$B$3:$B$12),0)))</f>
        <v>a</v>
      </c>
      <c r="I21" s="15" t="str" cm="1">
        <f t="array" ref="I21" xml:space="preserve"> IF(I$3&lt;&gt;$D21, MID($C21,I$3,1), INDEX(音調表!$D$3:$D$12, MATCH(TRUE, EXACT(MID($C21,I$3,1), 音調表!$B$3:$B$12),0)))</f>
        <v>n</v>
      </c>
      <c r="J21" s="15" t="str" cm="1">
        <f t="array" ref="J21" xml:space="preserve"> IF(J$3&lt;&gt;$D21, MID($C21,J$3,1), INDEX(音調表!$D$3:$D$12, MATCH(TRUE, EXACT(MID($C21,J$3,1), 音調表!$B$3:$B$12),0)))</f>
        <v>_</v>
      </c>
      <c r="K21" s="15" t="str" cm="1">
        <f t="array" ref="K21" xml:space="preserve"> IF(K$3&lt;&gt;$D21, MID($C21,K$3,1), INDEX(音調表!$D$3:$D$12, MATCH(TRUE, EXACT(MID($C21,K$3,1), 音調表!$B$3:$B$12),0)))</f>
        <v/>
      </c>
      <c r="L21" s="15" t="str" cm="1">
        <f t="array" ref="L21" xml:space="preserve"> IF(L$3&lt;&gt;$D21, MID($C21,L$3,1), INDEX(音調表!$D$3:$D$12, MATCH(TRUE, EXACT(MID($C21,L$3,1), 音調表!$B$3:$B$12),0)))</f>
        <v/>
      </c>
      <c r="M21" s="16" t="str" cm="1">
        <f t="array" ref="M21" xml:space="preserve"> IF(M$3&lt;&gt;$D21, MID($C21,M$3,1), INDEX(音調表!$D$3:$D$12, MATCH(TRUE, EXACT(MID($C21,M$3,1), 音調表!$B$3:$B$12),0)))</f>
        <v/>
      </c>
      <c r="O21" s="2"/>
      <c r="P21" s="2"/>
    </row>
    <row r="22" spans="2:16" x14ac:dyDescent="0.25">
      <c r="B22" s="12" t="s">
        <v>72</v>
      </c>
      <c r="C22" s="13" t="s">
        <v>108</v>
      </c>
      <c r="D22" s="14">
        <f t="shared" si="0"/>
        <v>4</v>
      </c>
      <c r="E22" s="15" t="str" cm="1">
        <f t="array" ref="E22" xml:space="preserve"> IF(E$3&lt;&gt;$D22, MID($C22,E$3,1), INDEX(音調表!$D$3:$D$12, MATCH(TRUE, EXACT(MID($C22,E$3,1), 音調表!$B$3:$B$12),0)))</f>
        <v>k</v>
      </c>
      <c r="F22" s="15" t="str" cm="1">
        <f t="array" ref="F22" xml:space="preserve"> IF(F$3&lt;&gt;$D22, MID($C22,F$3,1), INDEX(音調表!$D$3:$D$12, MATCH(TRUE, EXACT(MID($C22,F$3,1), 音調表!$B$3:$B$12),0)))</f>
        <v>o</v>
      </c>
      <c r="G22" s="15" t="str" cm="1">
        <f t="array" ref="G22" xml:space="preserve"> IF(G$3&lt;&gt;$D22, MID($C22,G$3,1), INDEX(音調表!$D$3:$D$12, MATCH(TRUE, EXACT(MID($C22,G$3,1), 音調表!$B$3:$B$12),0)))</f>
        <v>o</v>
      </c>
      <c r="H22" s="15" t="str" cm="1">
        <f t="array" ref="H22" xml:space="preserve"> IF(H$3&lt;&gt;$D22, MID($C22,H$3,1), INDEX(音調表!$D$3:$D$12, MATCH(TRUE, EXACT(MID($C22,H$3,1), 音調表!$B$3:$B$12),0)))</f>
        <v>;</v>
      </c>
      <c r="I22" s="15" t="str" cm="1">
        <f t="array" ref="I22" xml:space="preserve"> IF(I$3&lt;&gt;$D22, MID($C22,I$3,1), INDEX(音調表!$D$3:$D$12, MATCH(TRUE, EXACT(MID($C22,I$3,1), 音調表!$B$3:$B$12),0)))</f>
        <v/>
      </c>
      <c r="J22" s="15" t="str" cm="1">
        <f t="array" ref="J22" xml:space="preserve"> IF(J$3&lt;&gt;$D22, MID($C22,J$3,1), INDEX(音調表!$D$3:$D$12, MATCH(TRUE, EXACT(MID($C22,J$3,1), 音調表!$B$3:$B$12),0)))</f>
        <v/>
      </c>
      <c r="K22" s="15" t="str" cm="1">
        <f t="array" ref="K22" xml:space="preserve"> IF(K$3&lt;&gt;$D22, MID($C22,K$3,1), INDEX(音調表!$D$3:$D$12, MATCH(TRUE, EXACT(MID($C22,K$3,1), 音調表!$B$3:$B$12),0)))</f>
        <v/>
      </c>
      <c r="L22" s="15" t="str" cm="1">
        <f t="array" ref="L22" xml:space="preserve"> IF(L$3&lt;&gt;$D22, MID($C22,L$3,1), INDEX(音調表!$D$3:$D$12, MATCH(TRUE, EXACT(MID($C22,L$3,1), 音調表!$B$3:$B$12),0)))</f>
        <v/>
      </c>
      <c r="M22" s="16" t="str" cm="1">
        <f t="array" ref="M22" xml:space="preserve"> IF(M$3&lt;&gt;$D22, MID($C22,M$3,1), INDEX(音調表!$D$3:$D$12, MATCH(TRUE, EXACT(MID($C22,M$3,1), 音調表!$B$3:$B$12),0)))</f>
        <v/>
      </c>
      <c r="O22" s="2"/>
      <c r="P22" s="2"/>
    </row>
    <row r="23" spans="2:16" x14ac:dyDescent="0.25">
      <c r="B23" s="12" t="s">
        <v>73</v>
      </c>
      <c r="C23" s="13" t="s">
        <v>109</v>
      </c>
      <c r="D23" s="14">
        <f t="shared" si="0"/>
        <v>5</v>
      </c>
      <c r="E23" s="15" t="str" cm="1">
        <f t="array" ref="E23" xml:space="preserve"> IF(E$3&lt;&gt;$D23, MID($C23,E$3,1), INDEX(音調表!$D$3:$D$12, MATCH(TRUE, EXACT(MID($C23,E$3,1), 音調表!$B$3:$B$12),0)))</f>
        <v>s</v>
      </c>
      <c r="F23" s="15" t="str" cm="1">
        <f t="array" ref="F23" xml:space="preserve"> IF(F$3&lt;&gt;$D23, MID($C23,F$3,1), INDEX(音調表!$D$3:$D$12, MATCH(TRUE, EXACT(MID($C23,F$3,1), 音調表!$B$3:$B$12),0)))</f>
        <v>i</v>
      </c>
      <c r="G23" s="15" t="str" cm="1">
        <f t="array" ref="G23" xml:space="preserve"> IF(G$3&lt;&gt;$D23, MID($C23,G$3,1), INDEX(音調表!$D$3:$D$12, MATCH(TRUE, EXACT(MID($C23,G$3,1), 音調表!$B$3:$B$12),0)))</f>
        <v>n</v>
      </c>
      <c r="H23" s="15" t="str" cm="1">
        <f t="array" ref="H23" xml:space="preserve"> IF(H$3&lt;&gt;$D23, MID($C23,H$3,1), INDEX(音調表!$D$3:$D$12, MATCH(TRUE, EXACT(MID($C23,H$3,1), 音調表!$B$3:$B$12),0)))</f>
        <v>g</v>
      </c>
      <c r="I23" s="15" t="str" cm="1">
        <f t="array" ref="I23" xml:space="preserve"> IF(I$3&lt;&gt;$D23, MID($C23,I$3,1), INDEX(音調表!$D$3:$D$12, MATCH(TRUE, EXACT(MID($C23,I$3,1), 音調表!$B$3:$B$12),0)))</f>
        <v>/</v>
      </c>
      <c r="J23" s="15" t="str" cm="1">
        <f t="array" ref="J23" xml:space="preserve"> IF(J$3&lt;&gt;$D23, MID($C23,J$3,1), INDEX(音調表!$D$3:$D$12, MATCH(TRUE, EXACT(MID($C23,J$3,1), 音調表!$B$3:$B$12),0)))</f>
        <v/>
      </c>
      <c r="K23" s="15" t="str" cm="1">
        <f t="array" ref="K23" xml:space="preserve"> IF(K$3&lt;&gt;$D23, MID($C23,K$3,1), INDEX(音調表!$D$3:$D$12, MATCH(TRUE, EXACT(MID($C23,K$3,1), 音調表!$B$3:$B$12),0)))</f>
        <v/>
      </c>
      <c r="L23" s="15" t="str" cm="1">
        <f t="array" ref="L23" xml:space="preserve"> IF(L$3&lt;&gt;$D23, MID($C23,L$3,1), INDEX(音調表!$D$3:$D$12, MATCH(TRUE, EXACT(MID($C23,L$3,1), 音調表!$B$3:$B$12),0)))</f>
        <v/>
      </c>
      <c r="M23" s="16" t="str" cm="1">
        <f t="array" ref="M23" xml:space="preserve"> IF(M$3&lt;&gt;$D23, MID($C23,M$3,1), INDEX(音調表!$D$3:$D$12, MATCH(TRUE, EXACT(MID($C23,M$3,1), 音調表!$B$3:$B$12),0)))</f>
        <v/>
      </c>
      <c r="O23" s="2"/>
      <c r="P23" s="2"/>
    </row>
    <row r="24" spans="2:16" x14ac:dyDescent="0.25">
      <c r="B24" s="12" t="s">
        <v>74</v>
      </c>
      <c r="C24" s="13" t="s">
        <v>110</v>
      </c>
      <c r="D24" s="14">
        <f t="shared" si="0"/>
        <v>4</v>
      </c>
      <c r="E24" s="15" t="str" cm="1">
        <f t="array" ref="E24" xml:space="preserve"> IF(E$3&lt;&gt;$D24, MID($C24,E$3,1), INDEX(音調表!$D$3:$D$12, MATCH(TRUE, EXACT(MID($C24,E$3,1), 音調表!$B$3:$B$12),0)))</f>
        <v>b</v>
      </c>
      <c r="F24" s="15" t="str" cm="1">
        <f t="array" ref="F24" xml:space="preserve"> IF(F$3&lt;&gt;$D24, MID($C24,F$3,1), INDEX(音調表!$D$3:$D$12, MATCH(TRUE, EXACT(MID($C24,F$3,1), 音調表!$B$3:$B$12),0)))</f>
        <v>a</v>
      </c>
      <c r="G24" s="15" t="str" cm="1">
        <f t="array" ref="G24" xml:space="preserve"> IF(G$3&lt;&gt;$D24, MID($C24,G$3,1), INDEX(音調表!$D$3:$D$12, MATCH(TRUE, EXACT(MID($C24,G$3,1), 音調表!$B$3:$B$12),0)))</f>
        <v>n</v>
      </c>
      <c r="H24" s="15" t="str" cm="1">
        <f t="array" ref="H24" xml:space="preserve"> IF(H$3&lt;&gt;$D24, MID($C24,H$3,1), INDEX(音調表!$D$3:$D$12, MATCH(TRUE, EXACT(MID($C24,H$3,1), 音調表!$B$3:$B$12),0)))</f>
        <v>-</v>
      </c>
      <c r="I24" s="15" t="str" cm="1">
        <f t="array" ref="I24" xml:space="preserve"> IF(I$3&lt;&gt;$D24, MID($C24,I$3,1), INDEX(音調表!$D$3:$D$12, MATCH(TRUE, EXACT(MID($C24,I$3,1), 音調表!$B$3:$B$12),0)))</f>
        <v/>
      </c>
      <c r="J24" s="15" t="str" cm="1">
        <f t="array" ref="J24" xml:space="preserve"> IF(J$3&lt;&gt;$D24, MID($C24,J$3,1), INDEX(音調表!$D$3:$D$12, MATCH(TRUE, EXACT(MID($C24,J$3,1), 音調表!$B$3:$B$12),0)))</f>
        <v/>
      </c>
      <c r="K24" s="15" t="str" cm="1">
        <f t="array" ref="K24" xml:space="preserve"> IF(K$3&lt;&gt;$D24, MID($C24,K$3,1), INDEX(音調表!$D$3:$D$12, MATCH(TRUE, EXACT(MID($C24,K$3,1), 音調表!$B$3:$B$12),0)))</f>
        <v/>
      </c>
      <c r="L24" s="15" t="str" cm="1">
        <f t="array" ref="L24" xml:space="preserve"> IF(L$3&lt;&gt;$D24, MID($C24,L$3,1), INDEX(音調表!$D$3:$D$12, MATCH(TRUE, EXACT(MID($C24,L$3,1), 音調表!$B$3:$B$12),0)))</f>
        <v/>
      </c>
      <c r="M24" s="16" t="str" cm="1">
        <f t="array" ref="M24" xml:space="preserve"> IF(M$3&lt;&gt;$D24, MID($C24,M$3,1), INDEX(音調表!$D$3:$D$12, MATCH(TRUE, EXACT(MID($C24,M$3,1), 音調表!$B$3:$B$12),0)))</f>
        <v/>
      </c>
      <c r="O24" s="2"/>
      <c r="P24" s="2"/>
    </row>
    <row r="25" spans="2:16" x14ac:dyDescent="0.25">
      <c r="B25" s="12" t="s">
        <v>75</v>
      </c>
      <c r="C25" s="13" t="s">
        <v>111</v>
      </c>
      <c r="D25" s="14">
        <f t="shared" si="0"/>
        <v>4</v>
      </c>
      <c r="E25" s="15" t="str" cm="1">
        <f t="array" ref="E25" xml:space="preserve"> IF(E$3&lt;&gt;$D25, MID($C25,E$3,1), INDEX(音調表!$D$3:$D$12, MATCH(TRUE, EXACT(MID($C25,E$3,1), 音調表!$B$3:$B$12),0)))</f>
        <v>j</v>
      </c>
      <c r="F25" s="15" t="str" cm="1">
        <f t="array" ref="F25" xml:space="preserve"> IF(F$3&lt;&gt;$D25, MID($C25,F$3,1), INDEX(音調表!$D$3:$D$12, MATCH(TRUE, EXACT(MID($C25,F$3,1), 音調表!$B$3:$B$12),0)))</f>
        <v>i</v>
      </c>
      <c r="G25" s="15" t="str" cm="1">
        <f t="array" ref="G25" xml:space="preserve"> IF(G$3&lt;&gt;$D25, MID($C25,G$3,1), INDEX(音調表!$D$3:$D$12, MATCH(TRUE, EXACT(MID($C25,G$3,1), 音調表!$B$3:$B$12),0)))</f>
        <v>n</v>
      </c>
      <c r="H25" s="15" t="str" cm="1">
        <f t="array" ref="H25" xml:space="preserve"> IF(H$3&lt;&gt;$D25, MID($C25,H$3,1), INDEX(音調表!$D$3:$D$12, MATCH(TRUE, EXACT(MID($C25,H$3,1), 音調表!$B$3:$B$12),0)))</f>
        <v>-</v>
      </c>
      <c r="I25" s="15" t="str" cm="1">
        <f t="array" ref="I25" xml:space="preserve"> IF(I$3&lt;&gt;$D25, MID($C25,I$3,1), INDEX(音調表!$D$3:$D$12, MATCH(TRUE, EXACT(MID($C25,I$3,1), 音調表!$B$3:$B$12),0)))</f>
        <v/>
      </c>
      <c r="J25" s="15" t="str" cm="1">
        <f t="array" ref="J25" xml:space="preserve"> IF(J$3&lt;&gt;$D25, MID($C25,J$3,1), INDEX(音調表!$D$3:$D$12, MATCH(TRUE, EXACT(MID($C25,J$3,1), 音調表!$B$3:$B$12),0)))</f>
        <v/>
      </c>
      <c r="K25" s="15" t="str" cm="1">
        <f t="array" ref="K25" xml:space="preserve"> IF(K$3&lt;&gt;$D25, MID($C25,K$3,1), INDEX(音調表!$D$3:$D$12, MATCH(TRUE, EXACT(MID($C25,K$3,1), 音調表!$B$3:$B$12),0)))</f>
        <v/>
      </c>
      <c r="L25" s="15" t="str" cm="1">
        <f t="array" ref="L25" xml:space="preserve"> IF(L$3&lt;&gt;$D25, MID($C25,L$3,1), INDEX(音調表!$D$3:$D$12, MATCH(TRUE, EXACT(MID($C25,L$3,1), 音調表!$B$3:$B$12),0)))</f>
        <v/>
      </c>
      <c r="M25" s="16" t="str" cm="1">
        <f t="array" ref="M25" xml:space="preserve"> IF(M$3&lt;&gt;$D25, MID($C25,M$3,1), INDEX(音調表!$D$3:$D$12, MATCH(TRUE, EXACT(MID($C25,M$3,1), 音調表!$B$3:$B$12),0)))</f>
        <v/>
      </c>
      <c r="O25" s="2"/>
      <c r="P25" s="2"/>
    </row>
    <row r="26" spans="2:16" x14ac:dyDescent="0.25">
      <c r="B26" s="12" t="s">
        <v>76</v>
      </c>
      <c r="C26" s="13" t="s">
        <v>112</v>
      </c>
      <c r="D26" s="14">
        <f t="shared" si="0"/>
        <v>4</v>
      </c>
      <c r="E26" s="15" t="str" cm="1">
        <f t="array" ref="E26" xml:space="preserve"> IF(E$3&lt;&gt;$D26, MID($C26,E$3,1), INDEX(音調表!$D$3:$D$12, MATCH(TRUE, EXACT(MID($C26,E$3,1), 音調表!$B$3:$B$12),0)))</f>
        <v>s</v>
      </c>
      <c r="F26" s="15" t="str" cm="1">
        <f t="array" ref="F26" xml:space="preserve"> IF(F$3&lt;&gt;$D26, MID($C26,F$3,1), INDEX(音調表!$D$3:$D$12, MATCH(TRUE, EXACT(MID($C26,F$3,1), 音調表!$B$3:$B$12),0)))</f>
        <v>a</v>
      </c>
      <c r="G26" s="15" t="str" cm="1">
        <f t="array" ref="G26" xml:space="preserve"> IF(G$3&lt;&gt;$D26, MID($C26,G$3,1), INDEX(音調表!$D$3:$D$12, MATCH(TRUE, EXACT(MID($C26,G$3,1), 音調表!$B$3:$B$12),0)))</f>
        <v>n</v>
      </c>
      <c r="H26" s="15" t="str" cm="1">
        <f t="array" ref="H26" xml:space="preserve"> IF(H$3&lt;&gt;$D26, MID($C26,H$3,1), INDEX(音調表!$D$3:$D$12, MATCH(TRUE, EXACT(MID($C26,H$3,1), 音調表!$B$3:$B$12),0)))</f>
        <v>;</v>
      </c>
      <c r="I26" s="15" t="str" cm="1">
        <f t="array" ref="I26" xml:space="preserve"> IF(I$3&lt;&gt;$D26, MID($C26,I$3,1), INDEX(音調表!$D$3:$D$12, MATCH(TRUE, EXACT(MID($C26,I$3,1), 音調表!$B$3:$B$12),0)))</f>
        <v/>
      </c>
      <c r="J26" s="15" t="str" cm="1">
        <f t="array" ref="J26" xml:space="preserve"> IF(J$3&lt;&gt;$D26, MID($C26,J$3,1), INDEX(音調表!$D$3:$D$12, MATCH(TRUE, EXACT(MID($C26,J$3,1), 音調表!$B$3:$B$12),0)))</f>
        <v/>
      </c>
      <c r="K26" s="15" t="str" cm="1">
        <f t="array" ref="K26" xml:space="preserve"> IF(K$3&lt;&gt;$D26, MID($C26,K$3,1), INDEX(音調表!$D$3:$D$12, MATCH(TRUE, EXACT(MID($C26,K$3,1), 音調表!$B$3:$B$12),0)))</f>
        <v/>
      </c>
      <c r="L26" s="15" t="str" cm="1">
        <f t="array" ref="L26" xml:space="preserve"> IF(L$3&lt;&gt;$D26, MID($C26,L$3,1), INDEX(音調表!$D$3:$D$12, MATCH(TRUE, EXACT(MID($C26,L$3,1), 音調表!$B$3:$B$12),0)))</f>
        <v/>
      </c>
      <c r="M26" s="16" t="str" cm="1">
        <f t="array" ref="M26" xml:space="preserve"> IF(M$3&lt;&gt;$D26, MID($C26,M$3,1), INDEX(音調表!$D$3:$D$12, MATCH(TRUE, EXACT(MID($C26,M$3,1), 音調表!$B$3:$B$12),0)))</f>
        <v/>
      </c>
      <c r="O26" s="2"/>
      <c r="P26" s="2"/>
    </row>
    <row r="27" spans="2:16" x14ac:dyDescent="0.25">
      <c r="B27" s="12" t="s">
        <v>77</v>
      </c>
      <c r="C27" s="13"/>
      <c r="D27" s="14" t="str">
        <f t="shared" si="0"/>
        <v/>
      </c>
      <c r="E27" s="15" t="s">
        <v>103</v>
      </c>
      <c r="F27" s="15" t="s">
        <v>105</v>
      </c>
      <c r="G27" s="15" t="str" cm="1">
        <f t="array" ref="G27" xml:space="preserve"> IF(G$3&lt;&gt;$D27, MID($C27,G$3,1), INDEX(音調表!$D$3:$D$12, MATCH(TRUE, EXACT(MID($C27,G$3,1), 音調表!$B$3:$B$12),0)))</f>
        <v/>
      </c>
      <c r="H27" s="15" t="str" cm="1">
        <f t="array" ref="H27" xml:space="preserve"> IF(H$3&lt;&gt;$D27, MID($C27,H$3,1), INDEX(音調表!$D$3:$D$12, MATCH(TRUE, EXACT(MID($C27,H$3,1), 音調表!$B$3:$B$12),0)))</f>
        <v/>
      </c>
      <c r="I27" s="15" t="str" cm="1">
        <f t="array" ref="I27" xml:space="preserve"> IF(I$3&lt;&gt;$D27, MID($C27,I$3,1), INDEX(音調表!$D$3:$D$12, MATCH(TRUE, EXACT(MID($C27,I$3,1), 音調表!$B$3:$B$12),0)))</f>
        <v/>
      </c>
      <c r="J27" s="15" t="str" cm="1">
        <f t="array" ref="J27" xml:space="preserve"> IF(J$3&lt;&gt;$D27, MID($C27,J$3,1), INDEX(音調表!$D$3:$D$12, MATCH(TRUE, EXACT(MID($C27,J$3,1), 音調表!$B$3:$B$12),0)))</f>
        <v/>
      </c>
      <c r="K27" s="15" t="str" cm="1">
        <f t="array" ref="K27" xml:space="preserve"> IF(K$3&lt;&gt;$D27, MID($C27,K$3,1), INDEX(音調表!$D$3:$D$12, MATCH(TRUE, EXACT(MID($C27,K$3,1), 音調表!$B$3:$B$12),0)))</f>
        <v/>
      </c>
      <c r="L27" s="15" t="str" cm="1">
        <f t="array" ref="L27" xml:space="preserve"> IF(L$3&lt;&gt;$D27, MID($C27,L$3,1), INDEX(音調表!$D$3:$D$12, MATCH(TRUE, EXACT(MID($C27,L$3,1), 音調表!$B$3:$B$12),0)))</f>
        <v/>
      </c>
      <c r="M27" s="16" t="str" cm="1">
        <f t="array" ref="M27" xml:space="preserve"> IF(M$3&lt;&gt;$D27, MID($C27,M$3,1), INDEX(音調表!$D$3:$D$12, MATCH(TRUE, EXACT(MID($C27,M$3,1), 音調表!$B$3:$B$12),0)))</f>
        <v/>
      </c>
      <c r="O27" s="2"/>
      <c r="P27" s="2"/>
    </row>
    <row r="28" spans="2:16" x14ac:dyDescent="0.25">
      <c r="B28" s="12"/>
      <c r="C28" s="13"/>
      <c r="D28" s="14" t="str">
        <f t="shared" si="0"/>
        <v/>
      </c>
      <c r="E28" s="15" t="str" cm="1">
        <f t="array" ref="E28" xml:space="preserve"> IF(E$3&lt;&gt;$D28, MID($C28,E$3,1), INDEX(音調表!$D$3:$D$12, MATCH(TRUE, EXACT(MID($C28,E$3,1), 音調表!$B$3:$B$12),0)))</f>
        <v/>
      </c>
      <c r="F28" s="15" t="str" cm="1">
        <f t="array" ref="F28" xml:space="preserve"> IF(F$3&lt;&gt;$D28, MID($C28,F$3,1), INDEX(音調表!$D$3:$D$12, MATCH(TRUE, EXACT(MID($C28,F$3,1), 音調表!$B$3:$B$12),0)))</f>
        <v/>
      </c>
      <c r="G28" s="15" t="str" cm="1">
        <f t="array" ref="G28" xml:space="preserve"> IF(G$3&lt;&gt;$D28, MID($C28,G$3,1), INDEX(音調表!$D$3:$D$12, MATCH(TRUE, EXACT(MID($C28,G$3,1), 音調表!$B$3:$B$12),0)))</f>
        <v/>
      </c>
      <c r="H28" s="15" t="str" cm="1">
        <f t="array" ref="H28" xml:space="preserve"> IF(H$3&lt;&gt;$D28, MID($C28,H$3,1), INDEX(音調表!$D$3:$D$12, MATCH(TRUE, EXACT(MID($C28,H$3,1), 音調表!$B$3:$B$12),0)))</f>
        <v/>
      </c>
      <c r="I28" s="15" t="str" cm="1">
        <f t="array" ref="I28" xml:space="preserve"> IF(I$3&lt;&gt;$D28, MID($C28,I$3,1), INDEX(音調表!$D$3:$D$12, MATCH(TRUE, EXACT(MID($C28,I$3,1), 音調表!$B$3:$B$12),0)))</f>
        <v/>
      </c>
      <c r="J28" s="15" t="str" cm="1">
        <f t="array" ref="J28" xml:space="preserve"> IF(J$3&lt;&gt;$D28, MID($C28,J$3,1), INDEX(音調表!$D$3:$D$12, MATCH(TRUE, EXACT(MID($C28,J$3,1), 音調表!$B$3:$B$12),0)))</f>
        <v/>
      </c>
      <c r="K28" s="15" t="str" cm="1">
        <f t="array" ref="K28" xml:space="preserve"> IF(K$3&lt;&gt;$D28, MID($C28,K$3,1), INDEX(音調表!$D$3:$D$12, MATCH(TRUE, EXACT(MID($C28,K$3,1), 音調表!$B$3:$B$12),0)))</f>
        <v/>
      </c>
      <c r="L28" s="15" t="str" cm="1">
        <f t="array" ref="L28" xml:space="preserve"> IF(L$3&lt;&gt;$D28, MID($C28,L$3,1), INDEX(音調表!$D$3:$D$12, MATCH(TRUE, EXACT(MID($C28,L$3,1), 音調表!$B$3:$B$12),0)))</f>
        <v/>
      </c>
      <c r="M28" s="16" t="str" cm="1">
        <f t="array" ref="M28" xml:space="preserve"> IF(M$3&lt;&gt;$D28, MID($C28,M$3,1), INDEX(音調表!$D$3:$D$12, MATCH(TRUE, EXACT(MID($C28,M$3,1), 音調表!$B$3:$B$12),0)))</f>
        <v/>
      </c>
    </row>
    <row r="29" spans="2:16" x14ac:dyDescent="0.25">
      <c r="B29" s="12" t="s">
        <v>78</v>
      </c>
      <c r="C29" s="13" t="s">
        <v>113</v>
      </c>
      <c r="D29" s="14">
        <f t="shared" si="0"/>
        <v>7</v>
      </c>
      <c r="E29" s="15" t="str" cm="1">
        <f t="array" ref="E29" xml:space="preserve"> IF(E$3&lt;&gt;$D29, MID($C29,E$3,1), INDEX(音調表!$D$3:$D$12, MATCH(TRUE, EXACT(MID($C29,E$3,1), 音調表!$B$3:$B$12),0)))</f>
        <v>k</v>
      </c>
      <c r="F29" s="15" t="str" cm="1">
        <f t="array" ref="F29" xml:space="preserve"> IF(F$3&lt;&gt;$D29, MID($C29,F$3,1), INDEX(音調表!$D$3:$D$12, MATCH(TRUE, EXACT(MID($C29,F$3,1), 音調表!$B$3:$B$12),0)))</f>
        <v>h</v>
      </c>
      <c r="G29" s="15" t="str" cm="1">
        <f t="array" ref="G29" xml:space="preserve"> IF(G$3&lt;&gt;$D29, MID($C29,G$3,1), INDEX(音調表!$D$3:$D$12, MATCH(TRUE, EXACT(MID($C29,G$3,1), 音調表!$B$3:$B$12),0)))</f>
        <v>i</v>
      </c>
      <c r="H29" s="15" t="str" cm="1">
        <f t="array" ref="H29" xml:space="preserve"> IF(H$3&lt;&gt;$D29, MID($C29,H$3,1), INDEX(音調表!$D$3:$D$12, MATCH(TRUE, EXACT(MID($C29,H$3,1), 音調表!$B$3:$B$12),0)))</f>
        <v>a</v>
      </c>
      <c r="I29" s="15" t="str" cm="1">
        <f t="array" ref="I29" xml:space="preserve"> IF(I$3&lt;&gt;$D29, MID($C29,I$3,1), INDEX(音調表!$D$3:$D$12, MATCH(TRUE, EXACT(MID($C29,I$3,1), 音調表!$B$3:$B$12),0)))</f>
        <v>n</v>
      </c>
      <c r="J29" s="15" t="str" cm="1">
        <f t="array" ref="J29" xml:space="preserve"> IF(J$3&lt;&gt;$D29, MID($C29,J$3,1), INDEX(音調表!$D$3:$D$12, MATCH(TRUE, EXACT(MID($C29,J$3,1), 音調表!$B$3:$B$12),0)))</f>
        <v>g</v>
      </c>
      <c r="K29" s="15" t="str" cm="1">
        <f t="array" ref="K29" xml:space="preserve"> IF(K$3&lt;&gt;$D29, MID($C29,K$3,1), INDEX(音調表!$D$3:$D$12, MATCH(TRUE, EXACT(MID($C29,K$3,1), 音調表!$B$3:$B$12),0)))</f>
        <v>;</v>
      </c>
      <c r="L29" s="15" t="str" cm="1">
        <f t="array" ref="L29" xml:space="preserve"> IF(L$3&lt;&gt;$D29, MID($C29,L$3,1), INDEX(音調表!$D$3:$D$12, MATCH(TRUE, EXACT(MID($C29,L$3,1), 音調表!$B$3:$B$12),0)))</f>
        <v/>
      </c>
      <c r="M29" s="16" t="str" cm="1">
        <f t="array" ref="M29" xml:space="preserve"> IF(M$3&lt;&gt;$D29, MID($C29,M$3,1), INDEX(音調表!$D$3:$D$12, MATCH(TRUE, EXACT(MID($C29,M$3,1), 音調表!$B$3:$B$12),0)))</f>
        <v/>
      </c>
      <c r="O29" s="2"/>
      <c r="P29" s="2"/>
    </row>
    <row r="30" spans="2:16" x14ac:dyDescent="0.25">
      <c r="B30" s="12" t="s">
        <v>79</v>
      </c>
      <c r="C30" s="13" t="s">
        <v>114</v>
      </c>
      <c r="D30" s="14">
        <f t="shared" si="0"/>
        <v>4</v>
      </c>
      <c r="E30" s="15" t="str" cm="1">
        <f t="array" ref="E30" xml:space="preserve"> IF(E$3&lt;&gt;$D30, MID($C30,E$3,1), INDEX(音調表!$D$3:$D$12, MATCH(TRUE, EXACT(MID($C30,E$3,1), 音調表!$B$3:$B$12),0)))</f>
        <v>t</v>
      </c>
      <c r="F30" s="15" t="str" cm="1">
        <f t="array" ref="F30" xml:space="preserve"> IF(F$3&lt;&gt;$D30, MID($C30,F$3,1), INDEX(音調表!$D$3:$D$12, MATCH(TRUE, EXACT(MID($C30,F$3,1), 音調表!$B$3:$B$12),0)))</f>
        <v>i</v>
      </c>
      <c r="G30" s="15" t="str" cm="1">
        <f t="array" ref="G30" xml:space="preserve"> IF(G$3&lt;&gt;$D30, MID($C30,G$3,1), INDEX(音調表!$D$3:$D$12, MATCH(TRUE, EXACT(MID($C30,G$3,1), 音調表!$B$3:$B$12),0)))</f>
        <v>k</v>
      </c>
      <c r="H30" s="15" t="str" cm="1">
        <f t="array" ref="H30" xml:space="preserve"> IF(H$3&lt;&gt;$D30, MID($C30,H$3,1), INDEX(音調表!$D$3:$D$12, MATCH(TRUE, EXACT(MID($C30,H$3,1), 音調表!$B$3:$B$12),0)))</f>
        <v>]</v>
      </c>
      <c r="I30" s="15" t="str" cm="1">
        <f t="array" ref="I30" xml:space="preserve"> IF(I$3&lt;&gt;$D30, MID($C30,I$3,1), INDEX(音調表!$D$3:$D$12, MATCH(TRUE, EXACT(MID($C30,I$3,1), 音調表!$B$3:$B$12),0)))</f>
        <v/>
      </c>
      <c r="J30" s="15" t="str" cm="1">
        <f t="array" ref="J30" xml:space="preserve"> IF(J$3&lt;&gt;$D30, MID($C30,J$3,1), INDEX(音調表!$D$3:$D$12, MATCH(TRUE, EXACT(MID($C30,J$3,1), 音調表!$B$3:$B$12),0)))</f>
        <v/>
      </c>
      <c r="K30" s="15" t="str" cm="1">
        <f t="array" ref="K30" xml:space="preserve"> IF(K$3&lt;&gt;$D30, MID($C30,K$3,1), INDEX(音調表!$D$3:$D$12, MATCH(TRUE, EXACT(MID($C30,K$3,1), 音調表!$B$3:$B$12),0)))</f>
        <v/>
      </c>
      <c r="L30" s="15" t="str" cm="1">
        <f t="array" ref="L30" xml:space="preserve"> IF(L$3&lt;&gt;$D30, MID($C30,L$3,1), INDEX(音調表!$D$3:$D$12, MATCH(TRUE, EXACT(MID($C30,L$3,1), 音調表!$B$3:$B$12),0)))</f>
        <v/>
      </c>
      <c r="M30" s="16" t="str" cm="1">
        <f t="array" ref="M30" xml:space="preserve"> IF(M$3&lt;&gt;$D30, MID($C30,M$3,1), INDEX(音調表!$D$3:$D$12, MATCH(TRUE, EXACT(MID($C30,M$3,1), 音調表!$B$3:$B$12),0)))</f>
        <v/>
      </c>
      <c r="O30" s="2"/>
      <c r="P30" s="2"/>
    </row>
    <row r="31" spans="2:16" x14ac:dyDescent="0.25">
      <c r="B31" s="12" t="s">
        <v>80</v>
      </c>
      <c r="C31" s="13" t="s">
        <v>96</v>
      </c>
      <c r="D31" s="14">
        <f t="shared" si="0"/>
        <v>3</v>
      </c>
      <c r="E31" s="15" t="str" cm="1">
        <f t="array" ref="E31" xml:space="preserve"> IF(E$3&lt;&gt;$D31, MID($C31,E$3,1), INDEX(音調表!$D$3:$D$12, MATCH(TRUE, EXACT(MID($C31,E$3,1), 音調表!$B$3:$B$12),0)))</f>
        <v>h</v>
      </c>
      <c r="F31" s="15" t="str" cm="1">
        <f t="array" ref="F31" xml:space="preserve"> IF(F$3&lt;&gt;$D31, MID($C31,F$3,1), INDEX(音調表!$D$3:$D$12, MATCH(TRUE, EXACT(MID($C31,F$3,1), 音調表!$B$3:$B$12),0)))</f>
        <v>o</v>
      </c>
      <c r="G31" s="15" t="str" cm="1">
        <f t="array" ref="G31" xml:space="preserve"> IF(G$3&lt;&gt;$D31, MID($C31,G$3,1), INDEX(音調表!$D$3:$D$12, MATCH(TRUE, EXACT(MID($C31,G$3,1), 音調表!$B$3:$B$12),0)))</f>
        <v>/</v>
      </c>
      <c r="H31" s="15" t="str" cm="1">
        <f t="array" ref="H31" xml:space="preserve"> IF(H$3&lt;&gt;$D31, MID($C31,H$3,1), INDEX(音調表!$D$3:$D$12, MATCH(TRUE, EXACT(MID($C31,H$3,1), 音調表!$B$3:$B$12),0)))</f>
        <v/>
      </c>
      <c r="I31" s="15" t="str" cm="1">
        <f t="array" ref="I31" xml:space="preserve"> IF(I$3&lt;&gt;$D31, MID($C31,I$3,1), INDEX(音調表!$D$3:$D$12, MATCH(TRUE, EXACT(MID($C31,I$3,1), 音調表!$B$3:$B$12),0)))</f>
        <v/>
      </c>
      <c r="J31" s="15" t="str" cm="1">
        <f t="array" ref="J31" xml:space="preserve"> IF(J$3&lt;&gt;$D31, MID($C31,J$3,1), INDEX(音調表!$D$3:$D$12, MATCH(TRUE, EXACT(MID($C31,J$3,1), 音調表!$B$3:$B$12),0)))</f>
        <v/>
      </c>
      <c r="K31" s="15" t="str" cm="1">
        <f t="array" ref="K31" xml:space="preserve"> IF(K$3&lt;&gt;$D31, MID($C31,K$3,1), INDEX(音調表!$D$3:$D$12, MATCH(TRUE, EXACT(MID($C31,K$3,1), 音調表!$B$3:$B$12),0)))</f>
        <v/>
      </c>
      <c r="L31" s="15" t="str" cm="1">
        <f t="array" ref="L31" xml:space="preserve"> IF(L$3&lt;&gt;$D31, MID($C31,L$3,1), INDEX(音調表!$D$3:$D$12, MATCH(TRUE, EXACT(MID($C31,L$3,1), 音調表!$B$3:$B$12),0)))</f>
        <v/>
      </c>
      <c r="M31" s="16" t="str" cm="1">
        <f t="array" ref="M31" xml:space="preserve"> IF(M$3&lt;&gt;$D31, MID($C31,M$3,1), INDEX(音調表!$D$3:$D$12, MATCH(TRUE, EXACT(MID($C31,M$3,1), 音調表!$B$3:$B$12),0)))</f>
        <v/>
      </c>
      <c r="O31" s="2"/>
      <c r="P31" s="2"/>
    </row>
    <row r="32" spans="2:16" x14ac:dyDescent="0.25">
      <c r="B32" s="12" t="s">
        <v>81</v>
      </c>
      <c r="C32" s="13" t="s">
        <v>115</v>
      </c>
      <c r="D32" s="14">
        <f t="shared" si="0"/>
        <v>3</v>
      </c>
      <c r="E32" s="15" t="str" cm="1">
        <f t="array" ref="E32" xml:space="preserve"> IF(E$3&lt;&gt;$D32, MID($C32,E$3,1), INDEX(音調表!$D$3:$D$12, MATCH(TRUE, EXACT(MID($C32,E$3,1), 音調表!$B$3:$B$12),0)))</f>
        <v>s</v>
      </c>
      <c r="F32" s="15" t="str" cm="1">
        <f t="array" ref="F32" xml:space="preserve"> IF(F$3&lt;&gt;$D32, MID($C32,F$3,1), INDEX(音調表!$D$3:$D$12, MATCH(TRUE, EXACT(MID($C32,F$3,1), 音調表!$B$3:$B$12),0)))</f>
        <v>u</v>
      </c>
      <c r="G32" s="15" t="str" cm="1">
        <f t="array" ref="G32" xml:space="preserve"> IF(G$3&lt;&gt;$D32, MID($C32,G$3,1), INDEX(音調表!$D$3:$D$12, MATCH(TRUE, EXACT(MID($C32,G$3,1), 音調表!$B$3:$B$12),0)))</f>
        <v>;</v>
      </c>
      <c r="H32" s="15" t="str" cm="1">
        <f t="array" ref="H32" xml:space="preserve"> IF(H$3&lt;&gt;$D32, MID($C32,H$3,1), INDEX(音調表!$D$3:$D$12, MATCH(TRUE, EXACT(MID($C32,H$3,1), 音調表!$B$3:$B$12),0)))</f>
        <v/>
      </c>
      <c r="I32" s="15" t="str" cm="1">
        <f t="array" ref="I32" xml:space="preserve"> IF(I$3&lt;&gt;$D32, MID($C32,I$3,1), INDEX(音調表!$D$3:$D$12, MATCH(TRUE, EXACT(MID($C32,I$3,1), 音調表!$B$3:$B$12),0)))</f>
        <v/>
      </c>
      <c r="J32" s="15" t="str" cm="1">
        <f t="array" ref="J32" xml:space="preserve"> IF(J$3&lt;&gt;$D32, MID($C32,J$3,1), INDEX(音調表!$D$3:$D$12, MATCH(TRUE, EXACT(MID($C32,J$3,1), 音調表!$B$3:$B$12),0)))</f>
        <v/>
      </c>
      <c r="K32" s="15" t="str" cm="1">
        <f t="array" ref="K32" xml:space="preserve"> IF(K$3&lt;&gt;$D32, MID($C32,K$3,1), INDEX(音調表!$D$3:$D$12, MATCH(TRUE, EXACT(MID($C32,K$3,1), 音調表!$B$3:$B$12),0)))</f>
        <v/>
      </c>
      <c r="L32" s="15" t="str" cm="1">
        <f t="array" ref="L32" xml:space="preserve"> IF(L$3&lt;&gt;$D32, MID($C32,L$3,1), INDEX(音調表!$D$3:$D$12, MATCH(TRUE, EXACT(MID($C32,L$3,1), 音調表!$B$3:$B$12),0)))</f>
        <v/>
      </c>
      <c r="M32" s="16" t="str" cm="1">
        <f t="array" ref="M32" xml:space="preserve"> IF(M$3&lt;&gt;$D32, MID($C32,M$3,1), INDEX(音調表!$D$3:$D$12, MATCH(TRUE, EXACT(MID($C32,M$3,1), 音調表!$B$3:$B$12),0)))</f>
        <v/>
      </c>
      <c r="O32" s="2"/>
      <c r="P32" s="2"/>
    </row>
    <row r="33" spans="2:16" x14ac:dyDescent="0.25">
      <c r="B33" s="12" t="s">
        <v>82</v>
      </c>
      <c r="C33" s="13" t="s">
        <v>116</v>
      </c>
      <c r="D33" s="14">
        <f t="shared" si="0"/>
        <v>4</v>
      </c>
      <c r="E33" s="15" t="str" cm="1">
        <f t="array" ref="E33" xml:space="preserve"> IF(E$3&lt;&gt;$D33, MID($C33,E$3,1), INDEX(音調表!$D$3:$D$12, MATCH(TRUE, EXACT(MID($C33,E$3,1), 音調表!$B$3:$B$12),0)))</f>
        <v>u</v>
      </c>
      <c r="F33" s="15" t="str" cm="1">
        <f t="array" ref="F33" xml:space="preserve"> IF(F$3&lt;&gt;$D33, MID($C33,F$3,1), INDEX(音調表!$D$3:$D$12, MATCH(TRUE, EXACT(MID($C33,F$3,1), 音調表!$B$3:$B$12),0)))</f>
        <v>a</v>
      </c>
      <c r="G33" s="15" t="str" cm="1">
        <f t="array" ref="G33" xml:space="preserve"> IF(G$3&lt;&gt;$D33, MID($C33,G$3,1), INDEX(音調表!$D$3:$D$12, MATCH(TRUE, EXACT(MID($C33,G$3,1), 音調表!$B$3:$B$12),0)))</f>
        <v>n</v>
      </c>
      <c r="H33" s="15" t="str" cm="1">
        <f t="array" ref="H33" xml:space="preserve"> IF(H$3&lt;&gt;$D33, MID($C33,H$3,1), INDEX(音調表!$D$3:$D$12, MATCH(TRUE, EXACT(MID($C33,H$3,1), 音調表!$B$3:$B$12),0)))</f>
        <v>_</v>
      </c>
      <c r="I33" s="15" t="str" cm="1">
        <f t="array" ref="I33" xml:space="preserve"> IF(I$3&lt;&gt;$D33, MID($C33,I$3,1), INDEX(音調表!$D$3:$D$12, MATCH(TRUE, EXACT(MID($C33,I$3,1), 音調表!$B$3:$B$12),0)))</f>
        <v/>
      </c>
      <c r="J33" s="15" t="str" cm="1">
        <f t="array" ref="J33" xml:space="preserve"> IF(J$3&lt;&gt;$D33, MID($C33,J$3,1), INDEX(音調表!$D$3:$D$12, MATCH(TRUE, EXACT(MID($C33,J$3,1), 音調表!$B$3:$B$12),0)))</f>
        <v/>
      </c>
      <c r="K33" s="15" t="str" cm="1">
        <f t="array" ref="K33" xml:space="preserve"> IF(K$3&lt;&gt;$D33, MID($C33,K$3,1), INDEX(音調表!$D$3:$D$12, MATCH(TRUE, EXACT(MID($C33,K$3,1), 音調表!$B$3:$B$12),0)))</f>
        <v/>
      </c>
      <c r="L33" s="15" t="str" cm="1">
        <f t="array" ref="L33" xml:space="preserve"> IF(L$3&lt;&gt;$D33, MID($C33,L$3,1), INDEX(音調表!$D$3:$D$12, MATCH(TRUE, EXACT(MID($C33,L$3,1), 音調表!$B$3:$B$12),0)))</f>
        <v/>
      </c>
      <c r="M33" s="16" t="str" cm="1">
        <f t="array" ref="M33" xml:space="preserve"> IF(M$3&lt;&gt;$D33, MID($C33,M$3,1), INDEX(音調表!$D$3:$D$12, MATCH(TRUE, EXACT(MID($C33,M$3,1), 音調表!$B$3:$B$12),0)))</f>
        <v/>
      </c>
      <c r="O33" s="2"/>
      <c r="P33" s="2"/>
    </row>
    <row r="34" spans="2:16" x14ac:dyDescent="0.25">
      <c r="B34" s="12" t="s">
        <v>83</v>
      </c>
      <c r="C34" s="13" t="s">
        <v>117</v>
      </c>
      <c r="D34" s="14">
        <f t="shared" si="0"/>
        <v>5</v>
      </c>
      <c r="E34" s="15" t="str" cm="1">
        <f t="array" ref="E34" xml:space="preserve"> IF(E$3&lt;&gt;$D34, MID($C34,E$3,1), INDEX(音調表!$D$3:$D$12, MATCH(TRUE, EXACT(MID($C34,E$3,1), 音調表!$B$3:$B$12),0)))</f>
        <v>i</v>
      </c>
      <c r="F34" s="15" t="str" cm="1">
        <f t="array" ref="F34" xml:space="preserve"> IF(F$3&lt;&gt;$D34, MID($C34,F$3,1), INDEX(音調表!$D$3:$D$12, MATCH(TRUE, EXACT(MID($C34,F$3,1), 音調表!$B$3:$B$12),0)))</f>
        <v>o</v>
      </c>
      <c r="G34" s="15" t="str" cm="1">
        <f t="array" ref="G34" xml:space="preserve"> IF(G$3&lt;&gt;$D34, MID($C34,G$3,1), INDEX(音調表!$D$3:$D$12, MATCH(TRUE, EXACT(MID($C34,G$3,1), 音調表!$B$3:$B$12),0)))</f>
        <v>n</v>
      </c>
      <c r="H34" s="15" t="str" cm="1">
        <f t="array" ref="H34" xml:space="preserve"> IF(H$3&lt;&gt;$D34, MID($C34,H$3,1), INDEX(音調表!$D$3:$D$12, MATCH(TRUE, EXACT(MID($C34,H$3,1), 音調表!$B$3:$B$12),0)))</f>
        <v>g</v>
      </c>
      <c r="I34" s="15" t="str" cm="1">
        <f t="array" ref="I34" xml:space="preserve"> IF(I$3&lt;&gt;$D34, MID($C34,I$3,1), INDEX(音調表!$D$3:$D$12, MATCH(TRUE, EXACT(MID($C34,I$3,1), 音調表!$B$3:$B$12),0)))</f>
        <v>/</v>
      </c>
      <c r="J34" s="15" t="str" cm="1">
        <f t="array" ref="J34" xml:space="preserve"> IF(J$3&lt;&gt;$D34, MID($C34,J$3,1), INDEX(音調表!$D$3:$D$12, MATCH(TRUE, EXACT(MID($C34,J$3,1), 音調表!$B$3:$B$12),0)))</f>
        <v/>
      </c>
      <c r="K34" s="15" t="str" cm="1">
        <f t="array" ref="K34" xml:space="preserve"> IF(K$3&lt;&gt;$D34, MID($C34,K$3,1), INDEX(音調表!$D$3:$D$12, MATCH(TRUE, EXACT(MID($C34,K$3,1), 音調表!$B$3:$B$12),0)))</f>
        <v/>
      </c>
      <c r="L34" s="15" t="str" cm="1">
        <f t="array" ref="L34" xml:space="preserve"> IF(L$3&lt;&gt;$D34, MID($C34,L$3,1), INDEX(音調表!$D$3:$D$12, MATCH(TRUE, EXACT(MID($C34,L$3,1), 音調表!$B$3:$B$12),0)))</f>
        <v/>
      </c>
      <c r="M34" s="16" t="str" cm="1">
        <f t="array" ref="M34" xml:space="preserve"> IF(M$3&lt;&gt;$D34, MID($C34,M$3,1), INDEX(音調表!$D$3:$D$12, MATCH(TRUE, EXACT(MID($C34,M$3,1), 音調表!$B$3:$B$12),0)))</f>
        <v/>
      </c>
      <c r="O34" s="2"/>
      <c r="P34" s="2"/>
    </row>
    <row r="35" spans="2:16" x14ac:dyDescent="0.25">
      <c r="B35" s="12" t="s">
        <v>84</v>
      </c>
      <c r="C35" s="13" t="s">
        <v>118</v>
      </c>
      <c r="D35" s="14">
        <f t="shared" si="0"/>
        <v>4</v>
      </c>
      <c r="E35" s="15" t="str" cm="1">
        <f t="array" ref="E35" xml:space="preserve"> IF(E$3&lt;&gt;$D35, MID($C35,E$3,1), INDEX(音調表!$D$3:$D$12, MATCH(TRUE, EXACT(MID($C35,E$3,1), 音調表!$B$3:$B$12),0)))</f>
        <v>l</v>
      </c>
      <c r="F35" s="15" t="str" cm="1">
        <f t="array" ref="F35" xml:space="preserve"> IF(F$3&lt;&gt;$D35, MID($C35,F$3,1), INDEX(音調表!$D$3:$D$12, MATCH(TRUE, EXACT(MID($C35,F$3,1), 音調表!$B$3:$B$12),0)))</f>
        <v>i</v>
      </c>
      <c r="G35" s="15" t="str" cm="1">
        <f t="array" ref="G35" xml:space="preserve"> IF(G$3&lt;&gt;$D35, MID($C35,G$3,1), INDEX(音調表!$D$3:$D$12, MATCH(TRUE, EXACT(MID($C35,G$3,1), 音調表!$B$3:$B$12),0)))</f>
        <v>u</v>
      </c>
      <c r="H35" s="15" t="str" cm="1">
        <f t="array" ref="H35" xml:space="preserve"> IF(H$3&lt;&gt;$D35, MID($C35,H$3,1), INDEX(音調表!$D$3:$D$12, MATCH(TRUE, EXACT(MID($C35,H$3,1), 音調表!$B$3:$B$12),0)))</f>
        <v>\</v>
      </c>
      <c r="I35" s="15" t="str" cm="1">
        <f t="array" ref="I35" xml:space="preserve"> IF(I$3&lt;&gt;$D35, MID($C35,I$3,1), INDEX(音調表!$D$3:$D$12, MATCH(TRUE, EXACT(MID($C35,I$3,1), 音調表!$B$3:$B$12),0)))</f>
        <v/>
      </c>
      <c r="J35" s="15" t="str" cm="1">
        <f t="array" ref="J35" xml:space="preserve"> IF(J$3&lt;&gt;$D35, MID($C35,J$3,1), INDEX(音調表!$D$3:$D$12, MATCH(TRUE, EXACT(MID($C35,J$3,1), 音調表!$B$3:$B$12),0)))</f>
        <v/>
      </c>
      <c r="K35" s="15" t="str" cm="1">
        <f t="array" ref="K35" xml:space="preserve"> IF(K$3&lt;&gt;$D35, MID($C35,K$3,1), INDEX(音調表!$D$3:$D$12, MATCH(TRUE, EXACT(MID($C35,K$3,1), 音調表!$B$3:$B$12),0)))</f>
        <v/>
      </c>
      <c r="L35" s="15" t="str" cm="1">
        <f t="array" ref="L35" xml:space="preserve"> IF(L$3&lt;&gt;$D35, MID($C35,L$3,1), INDEX(音調表!$D$3:$D$12, MATCH(TRUE, EXACT(MID($C35,L$3,1), 音調表!$B$3:$B$12),0)))</f>
        <v/>
      </c>
      <c r="M35" s="16" t="str" cm="1">
        <f t="array" ref="M35" xml:space="preserve"> IF(M$3&lt;&gt;$D35, MID($C35,M$3,1), INDEX(音調表!$D$3:$D$12, MATCH(TRUE, EXACT(MID($C35,M$3,1), 音調表!$B$3:$B$12),0)))</f>
        <v/>
      </c>
      <c r="O35" s="2"/>
      <c r="P35" s="2"/>
    </row>
    <row r="36" spans="2:16" x14ac:dyDescent="0.25">
      <c r="B36" s="12" t="s">
        <v>69</v>
      </c>
      <c r="C36" s="13"/>
      <c r="D36" s="14" t="str">
        <f t="shared" si="0"/>
        <v/>
      </c>
      <c r="E36" s="15" t="s">
        <v>103</v>
      </c>
      <c r="F36" s="15" t="s">
        <v>104</v>
      </c>
      <c r="G36" s="15" t="str" cm="1">
        <f t="array" ref="G36" xml:space="preserve"> IF(G$3&lt;&gt;$D36, MID($C36,G$3,1), INDEX(音調表!$D$3:$D$12, MATCH(TRUE, EXACT(MID($C36,G$3,1), 音調表!$B$3:$B$12),0)))</f>
        <v/>
      </c>
      <c r="H36" s="15" t="str" cm="1">
        <f t="array" ref="H36" xml:space="preserve"> IF(H$3&lt;&gt;$D36, MID($C36,H$3,1), INDEX(音調表!$D$3:$D$12, MATCH(TRUE, EXACT(MID($C36,H$3,1), 音調表!$B$3:$B$12),0)))</f>
        <v/>
      </c>
      <c r="I36" s="15" t="str" cm="1">
        <f t="array" ref="I36" xml:space="preserve"> IF(I$3&lt;&gt;$D36, MID($C36,I$3,1), INDEX(音調表!$D$3:$D$12, MATCH(TRUE, EXACT(MID($C36,I$3,1), 音調表!$B$3:$B$12),0)))</f>
        <v/>
      </c>
      <c r="J36" s="15" t="str" cm="1">
        <f t="array" ref="J36" xml:space="preserve"> IF(J$3&lt;&gt;$D36, MID($C36,J$3,1), INDEX(音調表!$D$3:$D$12, MATCH(TRUE, EXACT(MID($C36,J$3,1), 音調表!$B$3:$B$12),0)))</f>
        <v/>
      </c>
      <c r="K36" s="15" t="str" cm="1">
        <f t="array" ref="K36" xml:space="preserve"> IF(K$3&lt;&gt;$D36, MID($C36,K$3,1), INDEX(音調表!$D$3:$D$12, MATCH(TRUE, EXACT(MID($C36,K$3,1), 音調表!$B$3:$B$12),0)))</f>
        <v/>
      </c>
      <c r="L36" s="15" t="str" cm="1">
        <f t="array" ref="L36" xml:space="preserve"> IF(L$3&lt;&gt;$D36, MID($C36,L$3,1), INDEX(音調表!$D$3:$D$12, MATCH(TRUE, EXACT(MID($C36,L$3,1), 音調表!$B$3:$B$12),0)))</f>
        <v/>
      </c>
      <c r="M36" s="16" t="str" cm="1">
        <f t="array" ref="M36" xml:space="preserve"> IF(M$3&lt;&gt;$D36, MID($C36,M$3,1), INDEX(音調表!$D$3:$D$12, MATCH(TRUE, EXACT(MID($C36,M$3,1), 音調表!$B$3:$B$12),0)))</f>
        <v/>
      </c>
      <c r="O36" s="2"/>
      <c r="P36" s="2"/>
    </row>
    <row r="37" spans="2:16" x14ac:dyDescent="0.25">
      <c r="B37" s="12" t="s">
        <v>85</v>
      </c>
      <c r="C37" s="13" t="s">
        <v>119</v>
      </c>
      <c r="D37" s="14">
        <f t="shared" si="0"/>
        <v>4</v>
      </c>
      <c r="E37" s="15" t="str" cm="1">
        <f t="array" ref="E37" xml:space="preserve"> IF(E$3&lt;&gt;$D37, MID($C37,E$3,1), INDEX(音調表!$D$3:$D$12, MATCH(TRUE, EXACT(MID($C37,E$3,1), 音調表!$B$3:$B$12),0)))</f>
        <v>c</v>
      </c>
      <c r="F37" s="15" t="str" cm="1">
        <f t="array" ref="F37" xml:space="preserve"> IF(F$3&lt;&gt;$D37, MID($C37,F$3,1), INDEX(音調表!$D$3:$D$12, MATCH(TRUE, EXACT(MID($C37,F$3,1), 音調表!$B$3:$B$12),0)))</f>
        <v>u</v>
      </c>
      <c r="G37" s="15" t="str" cm="1">
        <f t="array" ref="G37" xml:space="preserve"> IF(G$3&lt;&gt;$D37, MID($C37,G$3,1), INDEX(音調表!$D$3:$D$12, MATCH(TRUE, EXACT(MID($C37,G$3,1), 音調表!$B$3:$B$12),0)))</f>
        <v>n</v>
      </c>
      <c r="H37" s="15" t="str" cm="1">
        <f t="array" ref="H37" xml:space="preserve"> IF(H$3&lt;&gt;$D37, MID($C37,H$3,1), INDEX(音調表!$D$3:$D$12, MATCH(TRUE, EXACT(MID($C37,H$3,1), 音調表!$B$3:$B$12),0)))</f>
        <v>;</v>
      </c>
      <c r="I37" s="15" t="str" cm="1">
        <f t="array" ref="I37" xml:space="preserve"> IF(I$3&lt;&gt;$D37, MID($C37,I$3,1), INDEX(音調表!$D$3:$D$12, MATCH(TRUE, EXACT(MID($C37,I$3,1), 音調表!$B$3:$B$12),0)))</f>
        <v/>
      </c>
      <c r="J37" s="15" t="str" cm="1">
        <f t="array" ref="J37" xml:space="preserve"> IF(J$3&lt;&gt;$D37, MID($C37,J$3,1), INDEX(音調表!$D$3:$D$12, MATCH(TRUE, EXACT(MID($C37,J$3,1), 音調表!$B$3:$B$12),0)))</f>
        <v/>
      </c>
      <c r="K37" s="15" t="str" cm="1">
        <f t="array" ref="K37" xml:space="preserve"> IF(K$3&lt;&gt;$D37, MID($C37,K$3,1), INDEX(音調表!$D$3:$D$12, MATCH(TRUE, EXACT(MID($C37,K$3,1), 音調表!$B$3:$B$12),0)))</f>
        <v/>
      </c>
      <c r="L37" s="15" t="str" cm="1">
        <f t="array" ref="L37" xml:space="preserve"> IF(L$3&lt;&gt;$D37, MID($C37,L$3,1), INDEX(音調表!$D$3:$D$12, MATCH(TRUE, EXACT(MID($C37,L$3,1), 音調表!$B$3:$B$12),0)))</f>
        <v/>
      </c>
      <c r="M37" s="16" t="str" cm="1">
        <f t="array" ref="M37" xml:space="preserve"> IF(M$3&lt;&gt;$D37, MID($C37,M$3,1), INDEX(音調表!$D$3:$D$12, MATCH(TRUE, EXACT(MID($C37,M$3,1), 音調表!$B$3:$B$12),0)))</f>
        <v/>
      </c>
      <c r="O37" s="2"/>
      <c r="P37" s="2"/>
    </row>
    <row r="38" spans="2:16" x14ac:dyDescent="0.25">
      <c r="B38" s="12" t="s">
        <v>86</v>
      </c>
      <c r="C38" s="13" t="s">
        <v>120</v>
      </c>
      <c r="D38" s="14">
        <f t="shared" si="0"/>
        <v>5</v>
      </c>
      <c r="E38" s="15" t="str" cm="1">
        <f t="array" ref="E38" xml:space="preserve"> IF(E$3&lt;&gt;$D38, MID($C38,E$3,1), INDEX(音調表!$D$3:$D$12, MATCH(TRUE, EXACT(MID($C38,E$3,1), 音調表!$B$3:$B$12),0)))</f>
        <v>h</v>
      </c>
      <c r="F38" s="15" t="str" cm="1">
        <f t="array" ref="F38" xml:space="preserve"> IF(F$3&lt;&gt;$D38, MID($C38,F$3,1), INDEX(音調表!$D$3:$D$12, MATCH(TRUE, EXACT(MID($C38,F$3,1), 音調表!$B$3:$B$12),0)))</f>
        <v>o</v>
      </c>
      <c r="G38" s="15" t="str" cm="1">
        <f t="array" ref="G38" xml:space="preserve"> IF(G$3&lt;&gt;$D38, MID($C38,G$3,1), INDEX(音調表!$D$3:$D$12, MATCH(TRUE, EXACT(MID($C38,G$3,1), 音調表!$B$3:$B$12),0)))</f>
        <v>n</v>
      </c>
      <c r="H38" s="15" t="str" cm="1">
        <f t="array" ref="H38" xml:space="preserve"> IF(H$3&lt;&gt;$D38, MID($C38,H$3,1), INDEX(音調表!$D$3:$D$12, MATCH(TRUE, EXACT(MID($C38,H$3,1), 音調表!$B$3:$B$12),0)))</f>
        <v>g</v>
      </c>
      <c r="I38" s="15" t="str" cm="1">
        <f t="array" ref="I38" xml:space="preserve"> IF(I$3&lt;&gt;$D38, MID($C38,I$3,1), INDEX(音調表!$D$3:$D$12, MATCH(TRUE, EXACT(MID($C38,I$3,1), 音調表!$B$3:$B$12),0)))</f>
        <v>;</v>
      </c>
      <c r="J38" s="15" t="str" cm="1">
        <f t="array" ref="J38" xml:space="preserve"> IF(J$3&lt;&gt;$D38, MID($C38,J$3,1), INDEX(音調表!$D$3:$D$12, MATCH(TRUE, EXACT(MID($C38,J$3,1), 音調表!$B$3:$B$12),0)))</f>
        <v/>
      </c>
      <c r="K38" s="15" t="str" cm="1">
        <f t="array" ref="K38" xml:space="preserve"> IF(K$3&lt;&gt;$D38, MID($C38,K$3,1), INDEX(音調表!$D$3:$D$12, MATCH(TRUE, EXACT(MID($C38,K$3,1), 音調表!$B$3:$B$12),0)))</f>
        <v/>
      </c>
      <c r="L38" s="15" t="str" cm="1">
        <f t="array" ref="L38" xml:space="preserve"> IF(L$3&lt;&gt;$D38, MID($C38,L$3,1), INDEX(音調表!$D$3:$D$12, MATCH(TRUE, EXACT(MID($C38,L$3,1), 音調表!$B$3:$B$12),0)))</f>
        <v/>
      </c>
      <c r="M38" s="16" t="str" cm="1">
        <f t="array" ref="M38" xml:space="preserve"> IF(M$3&lt;&gt;$D38, MID($C38,M$3,1), INDEX(音調表!$D$3:$D$12, MATCH(TRUE, EXACT(MID($C38,M$3,1), 音調表!$B$3:$B$12),0)))</f>
        <v/>
      </c>
      <c r="O38" s="2"/>
      <c r="P38" s="2"/>
    </row>
    <row r="39" spans="2:16" x14ac:dyDescent="0.25">
      <c r="B39" s="12" t="s">
        <v>87</v>
      </c>
      <c r="C39" s="13" t="s">
        <v>121</v>
      </c>
      <c r="D39" s="14">
        <f t="shared" si="0"/>
        <v>4</v>
      </c>
      <c r="E39" s="15" t="str" cm="1">
        <f t="array" ref="E39" xml:space="preserve"> IF(E$3&lt;&gt;$D39, MID($C39,E$3,1), INDEX(音調表!$D$3:$D$12, MATCH(TRUE, EXACT(MID($C39,E$3,1), 音調表!$B$3:$B$12),0)))</f>
        <v>p</v>
      </c>
      <c r="F39" s="15" t="str" cm="1">
        <f t="array" ref="F39" xml:space="preserve"> IF(F$3&lt;&gt;$D39, MID($C39,F$3,1), INDEX(音調表!$D$3:$D$12, MATCH(TRUE, EXACT(MID($C39,F$3,1), 音調表!$B$3:$B$12),0)))</f>
        <v>u</v>
      </c>
      <c r="G39" s="15" t="str" cm="1">
        <f t="array" ref="G39" xml:space="preserve"> IF(G$3&lt;&gt;$D39, MID($C39,G$3,1), INDEX(音調表!$D$3:$D$12, MATCH(TRUE, EXACT(MID($C39,G$3,1), 音調表!$B$3:$B$12),0)))</f>
        <v>t</v>
      </c>
      <c r="H39" s="15" t="str" cm="1">
        <f t="array" ref="H39" xml:space="preserve"> IF(H$3&lt;&gt;$D39, MID($C39,H$3,1), INDEX(音調表!$D$3:$D$12, MATCH(TRUE, EXACT(MID($C39,H$3,1), 音調表!$B$3:$B$12),0)))</f>
        <v>[</v>
      </c>
      <c r="I39" s="15" t="str" cm="1">
        <f t="array" ref="I39" xml:space="preserve"> IF(I$3&lt;&gt;$D39, MID($C39,I$3,1), INDEX(音調表!$D$3:$D$12, MATCH(TRUE, EXACT(MID($C39,I$3,1), 音調表!$B$3:$B$12),0)))</f>
        <v/>
      </c>
      <c r="J39" s="15" t="str" cm="1">
        <f t="array" ref="J39" xml:space="preserve"> IF(J$3&lt;&gt;$D39, MID($C39,J$3,1), INDEX(音調表!$D$3:$D$12, MATCH(TRUE, EXACT(MID($C39,J$3,1), 音調表!$B$3:$B$12),0)))</f>
        <v/>
      </c>
      <c r="K39" s="15" t="str" cm="1">
        <f t="array" ref="K39" xml:space="preserve"> IF(K$3&lt;&gt;$D39, MID($C39,K$3,1), INDEX(音調表!$D$3:$D$12, MATCH(TRUE, EXACT(MID($C39,K$3,1), 音調表!$B$3:$B$12),0)))</f>
        <v/>
      </c>
      <c r="L39" s="15" t="str" cm="1">
        <f t="array" ref="L39" xml:space="preserve"> IF(L$3&lt;&gt;$D39, MID($C39,L$3,1), INDEX(音調表!$D$3:$D$12, MATCH(TRUE, EXACT(MID($C39,L$3,1), 音調表!$B$3:$B$12),0)))</f>
        <v/>
      </c>
      <c r="M39" s="16" t="str" cm="1">
        <f t="array" ref="M39" xml:space="preserve"> IF(M$3&lt;&gt;$D39, MID($C39,M$3,1), INDEX(音調表!$D$3:$D$12, MATCH(TRUE, EXACT(MID($C39,M$3,1), 音調表!$B$3:$B$12),0)))</f>
        <v/>
      </c>
      <c r="O39" s="2"/>
      <c r="P39" s="2"/>
    </row>
    <row r="40" spans="2:16" x14ac:dyDescent="0.25">
      <c r="B40" s="12" t="s">
        <v>88</v>
      </c>
      <c r="C40" s="13" t="s">
        <v>122</v>
      </c>
      <c r="D40" s="14">
        <f t="shared" si="0"/>
        <v>4</v>
      </c>
      <c r="E40" s="15" t="str" cm="1">
        <f t="array" ref="E40" xml:space="preserve"> IF(E$3&lt;&gt;$D40, MID($C40,E$3,1), INDEX(音調表!$D$3:$D$12, MATCH(TRUE, EXACT(MID($C40,E$3,1), 音調表!$B$3:$B$12),0)))</f>
        <v>t</v>
      </c>
      <c r="F40" s="15" t="str" cm="1">
        <f t="array" ref="F40" xml:space="preserve"> IF(F$3&lt;&gt;$D40, MID($C40,F$3,1), INDEX(音調表!$D$3:$D$12, MATCH(TRUE, EXACT(MID($C40,F$3,1), 音調表!$B$3:$B$12),0)))</f>
        <v>o</v>
      </c>
      <c r="G40" s="15" t="str" cm="1">
        <f t="array" ref="G40" xml:space="preserve"> IF(G$3&lt;&gt;$D40, MID($C40,G$3,1), INDEX(音調表!$D$3:$D$12, MATCH(TRUE, EXACT(MID($C40,G$3,1), 音調表!$B$3:$B$12),0)))</f>
        <v>o</v>
      </c>
      <c r="H40" s="15" t="str" cm="1">
        <f t="array" ref="H40" xml:space="preserve"> IF(H$3&lt;&gt;$D40, MID($C40,H$3,1), INDEX(音調表!$D$3:$D$12, MATCH(TRUE, EXACT(MID($C40,H$3,1), 音調表!$B$3:$B$12),0)))</f>
        <v>-</v>
      </c>
      <c r="I40" s="15" t="str" cm="1">
        <f t="array" ref="I40" xml:space="preserve"> IF(I$3&lt;&gt;$D40, MID($C40,I$3,1), INDEX(音調表!$D$3:$D$12, MATCH(TRUE, EXACT(MID($C40,I$3,1), 音調表!$B$3:$B$12),0)))</f>
        <v/>
      </c>
      <c r="J40" s="15" t="str" cm="1">
        <f t="array" ref="J40" xml:space="preserve"> IF(J$3&lt;&gt;$D40, MID($C40,J$3,1), INDEX(音調表!$D$3:$D$12, MATCH(TRUE, EXACT(MID($C40,J$3,1), 音調表!$B$3:$B$12),0)))</f>
        <v/>
      </c>
      <c r="K40" s="15" t="str" cm="1">
        <f t="array" ref="K40" xml:space="preserve"> IF(K$3&lt;&gt;$D40, MID($C40,K$3,1), INDEX(音調表!$D$3:$D$12, MATCH(TRUE, EXACT(MID($C40,K$3,1), 音調表!$B$3:$B$12),0)))</f>
        <v/>
      </c>
      <c r="L40" s="15" t="str" cm="1">
        <f t="array" ref="L40" xml:space="preserve"> IF(L$3&lt;&gt;$D40, MID($C40,L$3,1), INDEX(音調表!$D$3:$D$12, MATCH(TRUE, EXACT(MID($C40,L$3,1), 音調表!$B$3:$B$12),0)))</f>
        <v/>
      </c>
      <c r="M40" s="16" t="str" cm="1">
        <f t="array" ref="M40" xml:space="preserve"> IF(M$3&lt;&gt;$D40, MID($C40,M$3,1), INDEX(音調表!$D$3:$D$12, MATCH(TRUE, EXACT(MID($C40,M$3,1), 音調表!$B$3:$B$12),0)))</f>
        <v/>
      </c>
      <c r="O40" s="2"/>
      <c r="P40" s="2"/>
    </row>
    <row r="41" spans="2:16" x14ac:dyDescent="0.25">
      <c r="B41" s="12" t="s">
        <v>89</v>
      </c>
      <c r="C41" s="13" t="s">
        <v>123</v>
      </c>
      <c r="D41" s="14">
        <f t="shared" si="0"/>
        <v>5</v>
      </c>
      <c r="E41" s="15" t="str" cm="1">
        <f t="array" ref="E41" xml:space="preserve"> IF(E$3&lt;&gt;$D41, MID($C41,E$3,1), INDEX(音調表!$D$3:$D$12, MATCH(TRUE, EXACT(MID($C41,E$3,1), 音調表!$B$3:$B$12),0)))</f>
        <v>g</v>
      </c>
      <c r="F41" s="15" t="str" cm="1">
        <f t="array" ref="F41" xml:space="preserve"> IF(F$3&lt;&gt;$D41, MID($C41,F$3,1), INDEX(音調表!$D$3:$D$12, MATCH(TRUE, EXACT(MID($C41,F$3,1), 音調表!$B$3:$B$12),0)))</f>
        <v>i</v>
      </c>
      <c r="G41" s="15" t="str" cm="1">
        <f t="array" ref="G41" xml:space="preserve"> IF(G$3&lt;&gt;$D41, MID($C41,G$3,1), INDEX(音調表!$D$3:$D$12, MATCH(TRUE, EXACT(MID($C41,G$3,1), 音調表!$B$3:$B$12),0)))</f>
        <v>o</v>
      </c>
      <c r="H41" s="15" t="str" cm="1">
        <f t="array" ref="H41" xml:space="preserve"> IF(H$3&lt;&gt;$D41, MID($C41,H$3,1), INDEX(音調表!$D$3:$D$12, MATCH(TRUE, EXACT(MID($C41,H$3,1), 音調表!$B$3:$B$12),0)))</f>
        <v>k</v>
      </c>
      <c r="I41" s="15" t="str" cm="1">
        <f t="array" ref="I41" xml:space="preserve"> IF(I$3&lt;&gt;$D41, MID($C41,I$3,1), INDEX(音調表!$D$3:$D$12, MATCH(TRUE, EXACT(MID($C41,I$3,1), 音調表!$B$3:$B$12),0)))</f>
        <v>]</v>
      </c>
      <c r="J41" s="15" t="str" cm="1">
        <f t="array" ref="J41" xml:space="preserve"> IF(J$3&lt;&gt;$D41, MID($C41,J$3,1), INDEX(音調表!$D$3:$D$12, MATCH(TRUE, EXACT(MID($C41,J$3,1), 音調表!$B$3:$B$12),0)))</f>
        <v/>
      </c>
      <c r="K41" s="15" t="str" cm="1">
        <f t="array" ref="K41" xml:space="preserve"> IF(K$3&lt;&gt;$D41, MID($C41,K$3,1), INDEX(音調表!$D$3:$D$12, MATCH(TRUE, EXACT(MID($C41,K$3,1), 音調表!$B$3:$B$12),0)))</f>
        <v/>
      </c>
      <c r="L41" s="15" t="str" cm="1">
        <f t="array" ref="L41" xml:space="preserve"> IF(L$3&lt;&gt;$D41, MID($C41,L$3,1), INDEX(音調表!$D$3:$D$12, MATCH(TRUE, EXACT(MID($C41,L$3,1), 音調表!$B$3:$B$12),0)))</f>
        <v/>
      </c>
      <c r="M41" s="16" t="str" cm="1">
        <f t="array" ref="M41" xml:space="preserve"> IF(M$3&lt;&gt;$D41, MID($C41,M$3,1), INDEX(音調表!$D$3:$D$12, MATCH(TRUE, EXACT(MID($C41,M$3,1), 音調表!$B$3:$B$12),0)))</f>
        <v/>
      </c>
      <c r="O41" s="2"/>
      <c r="P41" s="2"/>
    </row>
    <row r="42" spans="2:16" x14ac:dyDescent="0.25">
      <c r="B42" s="12" t="s">
        <v>90</v>
      </c>
      <c r="C42" s="13" t="s">
        <v>124</v>
      </c>
      <c r="D42" s="14">
        <f t="shared" si="0"/>
        <v>4</v>
      </c>
      <c r="E42" s="15" t="str" cm="1">
        <f t="array" ref="E42" xml:space="preserve"> IF(E$3&lt;&gt;$D42, MID($C42,E$3,1), INDEX(音調表!$D$3:$D$12, MATCH(TRUE, EXACT(MID($C42,E$3,1), 音調表!$B$3:$B$12),0)))</f>
        <v>b</v>
      </c>
      <c r="F42" s="15" t="str" cm="1">
        <f t="array" ref="F42" xml:space="preserve"> IF(F$3&lt;&gt;$D42, MID($C42,F$3,1), INDEX(音調表!$D$3:$D$12, MATCH(TRUE, EXACT(MID($C42,F$3,1), 音調表!$B$3:$B$12),0)))</f>
        <v>u</v>
      </c>
      <c r="G42" s="15" t="str" cm="1">
        <f t="array" ref="G42" xml:space="preserve"> IF(G$3&lt;&gt;$D42, MID($C42,G$3,1), INDEX(音調表!$D$3:$D$12, MATCH(TRUE, EXACT(MID($C42,G$3,1), 音調表!$B$3:$B$12),0)))</f>
        <v>n</v>
      </c>
      <c r="H42" s="15" t="str" cm="1">
        <f t="array" ref="H42" xml:space="preserve"> IF(H$3&lt;&gt;$D42, MID($C42,H$3,1), INDEX(音調表!$D$3:$D$12, MATCH(TRUE, EXACT(MID($C42,H$3,1), 音調表!$B$3:$B$12),0)))</f>
        <v>/</v>
      </c>
      <c r="I42" s="15" t="str" cm="1">
        <f t="array" ref="I42" xml:space="preserve"> IF(I$3&lt;&gt;$D42, MID($C42,I$3,1), INDEX(音調表!$D$3:$D$12, MATCH(TRUE, EXACT(MID($C42,I$3,1), 音調表!$B$3:$B$12),0)))</f>
        <v/>
      </c>
      <c r="J42" s="15" t="str" cm="1">
        <f t="array" ref="J42" xml:space="preserve"> IF(J$3&lt;&gt;$D42, MID($C42,J$3,1), INDEX(音調表!$D$3:$D$12, MATCH(TRUE, EXACT(MID($C42,J$3,1), 音調表!$B$3:$B$12),0)))</f>
        <v/>
      </c>
      <c r="K42" s="15" t="str" cm="1">
        <f t="array" ref="K42" xml:space="preserve"> IF(K$3&lt;&gt;$D42, MID($C42,K$3,1), INDEX(音調表!$D$3:$D$12, MATCH(TRUE, EXACT(MID($C42,K$3,1), 音調表!$B$3:$B$12),0)))</f>
        <v/>
      </c>
      <c r="L42" s="15" t="str" cm="1">
        <f t="array" ref="L42" xml:space="preserve"> IF(L$3&lt;&gt;$D42, MID($C42,L$3,1), INDEX(音調表!$D$3:$D$12, MATCH(TRUE, EXACT(MID($C42,L$3,1), 音調表!$B$3:$B$12),0)))</f>
        <v/>
      </c>
      <c r="M42" s="16" t="str" cm="1">
        <f t="array" ref="M42" xml:space="preserve"> IF(M$3&lt;&gt;$D42, MID($C42,M$3,1), INDEX(音調表!$D$3:$D$12, MATCH(TRUE, EXACT(MID($C42,M$3,1), 音調表!$B$3:$B$12),0)))</f>
        <v/>
      </c>
      <c r="O42" s="2"/>
      <c r="P42" s="2"/>
    </row>
    <row r="43" spans="2:16" x14ac:dyDescent="0.25">
      <c r="B43" s="12" t="s">
        <v>91</v>
      </c>
      <c r="C43" s="13" t="s">
        <v>125</v>
      </c>
      <c r="D43" s="14">
        <f t="shared" si="0"/>
        <v>5</v>
      </c>
      <c r="E43" s="15" t="str" cm="1">
        <f t="array" ref="E43" xml:space="preserve"> IF(E$3&lt;&gt;$D43, MID($C43,E$3,1), INDEX(音調表!$D$3:$D$12, MATCH(TRUE, EXACT(MID($C43,E$3,1), 音調表!$B$3:$B$12),0)))</f>
        <v>k</v>
      </c>
      <c r="F43" s="15" t="str" cm="1">
        <f t="array" ref="F43" xml:space="preserve"> IF(F$3&lt;&gt;$D43, MID($C43,F$3,1), INDEX(音調表!$D$3:$D$12, MATCH(TRUE, EXACT(MID($C43,F$3,1), 音調表!$B$3:$B$12),0)))</f>
        <v>u</v>
      </c>
      <c r="G43" s="15" t="str" cm="1">
        <f t="array" ref="G43" xml:space="preserve"> IF(G$3&lt;&gt;$D43, MID($C43,G$3,1), INDEX(音調表!$D$3:$D$12, MATCH(TRUE, EXACT(MID($C43,G$3,1), 音調表!$B$3:$B$12),0)))</f>
        <v>a</v>
      </c>
      <c r="H43" s="15" t="str" cm="1">
        <f t="array" ref="H43" xml:space="preserve"> IF(H$3&lt;&gt;$D43, MID($C43,H$3,1), INDEX(音調表!$D$3:$D$12, MATCH(TRUE, EXACT(MID($C43,H$3,1), 音調表!$B$3:$B$12),0)))</f>
        <v>n</v>
      </c>
      <c r="I43" s="15" t="str" cm="1">
        <f t="array" ref="I43" xml:space="preserve"> IF(I$3&lt;&gt;$D43, MID($C43,I$3,1), INDEX(音調表!$D$3:$D$12, MATCH(TRUE, EXACT(MID($C43,I$3,1), 音調表!$B$3:$B$12),0)))</f>
        <v>;</v>
      </c>
      <c r="J43" s="15" t="str" cm="1">
        <f t="array" ref="J43" xml:space="preserve"> IF(J$3&lt;&gt;$D43, MID($C43,J$3,1), INDEX(音調表!$D$3:$D$12, MATCH(TRUE, EXACT(MID($C43,J$3,1), 音調表!$B$3:$B$12),0)))</f>
        <v/>
      </c>
      <c r="K43" s="15" t="str" cm="1">
        <f t="array" ref="K43" xml:space="preserve"> IF(K$3&lt;&gt;$D43, MID($C43,K$3,1), INDEX(音調表!$D$3:$D$12, MATCH(TRUE, EXACT(MID($C43,K$3,1), 音調表!$B$3:$B$12),0)))</f>
        <v/>
      </c>
      <c r="L43" s="15" t="str" cm="1">
        <f t="array" ref="L43" xml:space="preserve"> IF(L$3&lt;&gt;$D43, MID($C43,L$3,1), INDEX(音調表!$D$3:$D$12, MATCH(TRUE, EXACT(MID($C43,L$3,1), 音調表!$B$3:$B$12),0)))</f>
        <v/>
      </c>
      <c r="M43" s="16" t="str" cm="1">
        <f t="array" ref="M43" xml:space="preserve"> IF(M$3&lt;&gt;$D43, MID($C43,M$3,1), INDEX(音調表!$D$3:$D$12, MATCH(TRUE, EXACT(MID($C43,M$3,1), 音調表!$B$3:$B$12),0)))</f>
        <v/>
      </c>
      <c r="O43" s="2"/>
      <c r="P43" s="2"/>
    </row>
    <row r="44" spans="2:16" x14ac:dyDescent="0.25">
      <c r="B44" s="12" t="s">
        <v>77</v>
      </c>
      <c r="C44" s="13"/>
      <c r="D44" s="14" t="str">
        <f t="shared" si="0"/>
        <v/>
      </c>
      <c r="E44" s="15" t="s">
        <v>102</v>
      </c>
      <c r="F44" s="15" t="s">
        <v>41</v>
      </c>
      <c r="G44" s="15" t="str" cm="1">
        <f t="array" ref="G44" xml:space="preserve"> IF(G$3&lt;&gt;$D44, MID($C44,G$3,1), INDEX(音調表!$D$3:$D$12, MATCH(TRUE, EXACT(MID($C44,G$3,1), 音調表!$B$3:$B$12),0)))</f>
        <v/>
      </c>
      <c r="H44" s="15" t="str" cm="1">
        <f t="array" ref="H44" xml:space="preserve"> IF(H$3&lt;&gt;$D44, MID($C44,H$3,1), INDEX(音調表!$D$3:$D$12, MATCH(TRUE, EXACT(MID($C44,H$3,1), 音調表!$B$3:$B$12),0)))</f>
        <v/>
      </c>
      <c r="I44" s="15" t="str" cm="1">
        <f t="array" ref="I44" xml:space="preserve"> IF(I$3&lt;&gt;$D44, MID($C44,I$3,1), INDEX(音調表!$D$3:$D$12, MATCH(TRUE, EXACT(MID($C44,I$3,1), 音調表!$B$3:$B$12),0)))</f>
        <v/>
      </c>
      <c r="J44" s="15" t="str" cm="1">
        <f t="array" ref="J44" xml:space="preserve"> IF(J$3&lt;&gt;$D44, MID($C44,J$3,1), INDEX(音調表!$D$3:$D$12, MATCH(TRUE, EXACT(MID($C44,J$3,1), 音調表!$B$3:$B$12),0)))</f>
        <v/>
      </c>
      <c r="K44" s="15" t="str" cm="1">
        <f t="array" ref="K44" xml:space="preserve"> IF(K$3&lt;&gt;$D44, MID($C44,K$3,1), INDEX(音調表!$D$3:$D$12, MATCH(TRUE, EXACT(MID($C44,K$3,1), 音調表!$B$3:$B$12),0)))</f>
        <v/>
      </c>
      <c r="L44" s="15" t="str" cm="1">
        <f t="array" ref="L44" xml:space="preserve"> IF(L$3&lt;&gt;$D44, MID($C44,L$3,1), INDEX(音調表!$D$3:$D$12, MATCH(TRUE, EXACT(MID($C44,L$3,1), 音調表!$B$3:$B$12),0)))</f>
        <v/>
      </c>
      <c r="M44" s="16" t="str" cm="1">
        <f t="array" ref="M44" xml:space="preserve"> IF(M$3&lt;&gt;$D44, MID($C44,M$3,1), INDEX(音調表!$D$3:$D$12, MATCH(TRUE, EXACT(MID($C44,M$3,1), 音調表!$B$3:$B$12),0)))</f>
        <v/>
      </c>
      <c r="O44" s="2"/>
      <c r="P44" s="2"/>
    </row>
  </sheetData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931A-EACE-4386-93EB-0D2B22EC5212}">
  <dimension ref="B1:R44"/>
  <sheetViews>
    <sheetView showGridLines="0" tabSelected="1" workbookViewId="0">
      <selection activeCell="C1" sqref="C1"/>
    </sheetView>
  </sheetViews>
  <sheetFormatPr defaultRowHeight="114" outlineLevelCol="1" x14ac:dyDescent="0.25"/>
  <cols>
    <col min="1" max="1" width="4.25" style="1" customWidth="1"/>
    <col min="2" max="2" width="9" style="1"/>
    <col min="3" max="3" width="17" style="23" customWidth="1"/>
    <col min="4" max="4" width="21.125" style="1" customWidth="1"/>
    <col min="5" max="5" width="9" style="1" customWidth="1" outlineLevel="1"/>
    <col min="6" max="16" width="9" style="1"/>
    <col min="17" max="17" width="15.75" style="1" bestFit="1" customWidth="1"/>
    <col min="18" max="18" width="14.25" style="1" bestFit="1" customWidth="1"/>
    <col min="19" max="22" width="9" style="1"/>
    <col min="23" max="27" width="11.5" style="1" customWidth="1"/>
    <col min="28" max="16384" width="9" style="1"/>
  </cols>
  <sheetData>
    <row r="1" spans="2:18" ht="39" x14ac:dyDescent="0.25">
      <c r="C1" s="21"/>
    </row>
    <row r="2" spans="2:18" ht="39" x14ac:dyDescent="0.25">
      <c r="B2" s="17" t="s">
        <v>4</v>
      </c>
      <c r="C2" s="26" t="s">
        <v>132</v>
      </c>
      <c r="D2" s="17" t="s">
        <v>46</v>
      </c>
      <c r="E2" s="17" t="s">
        <v>8</v>
      </c>
      <c r="F2" s="18" t="s">
        <v>45</v>
      </c>
      <c r="G2" s="19"/>
      <c r="H2" s="19"/>
      <c r="I2" s="19"/>
      <c r="J2" s="19"/>
      <c r="K2" s="19"/>
      <c r="L2" s="19"/>
      <c r="M2" s="19"/>
      <c r="N2" s="20"/>
    </row>
    <row r="3" spans="2:18" s="2" customFormat="1" ht="30" x14ac:dyDescent="0.25">
      <c r="B3" s="17"/>
      <c r="C3" s="26"/>
      <c r="D3" s="17"/>
      <c r="E3" s="17"/>
      <c r="F3" s="9">
        <v>1</v>
      </c>
      <c r="G3" s="10">
        <v>2</v>
      </c>
      <c r="H3" s="10">
        <v>3</v>
      </c>
      <c r="I3" s="10">
        <v>4</v>
      </c>
      <c r="J3" s="10">
        <v>5</v>
      </c>
      <c r="K3" s="10">
        <v>6</v>
      </c>
      <c r="L3" s="10">
        <v>7</v>
      </c>
      <c r="M3" s="10">
        <v>8</v>
      </c>
      <c r="N3" s="11">
        <v>9</v>
      </c>
    </row>
    <row r="4" spans="2:18" ht="45.75" x14ac:dyDescent="0.25">
      <c r="B4" s="12" t="s">
        <v>0</v>
      </c>
      <c r="C4" s="32" t="s">
        <v>133</v>
      </c>
      <c r="D4" s="13" t="s">
        <v>5</v>
      </c>
      <c r="E4" s="14">
        <f>IF( LEN(D4)&gt;0, LEN(D4), "")</f>
        <v>6</v>
      </c>
      <c r="F4" s="15" t="str" cm="1">
        <f t="array" ref="F4" xml:space="preserve"> IF(F$3&lt;&gt;$E4, MID($D4,F$3,1), INDEX(音調表!$D$3:$D$12, MATCH(TRUE, EXACT(MID($D4,F$3,1), 音調表!$B$3:$B$12),0)))</f>
        <v>l</v>
      </c>
      <c r="G4" s="15" t="str" cm="1">
        <f t="array" ref="G4" xml:space="preserve"> IF(G$3&lt;&gt;$E4, MID($D4,G$3,1), INDEX(音調表!$D$3:$D$12, MATCH(TRUE, EXACT(MID($D4,G$3,1), 音調表!$B$3:$B$12),0)))</f>
        <v>i</v>
      </c>
      <c r="H4" s="15" t="str" cm="1">
        <f t="array" ref="H4" xml:space="preserve"> IF(H$3&lt;&gt;$E4, MID($D4,H$3,1), INDEX(音調表!$D$3:$D$12, MATCH(TRUE, EXACT(MID($D4,H$3,1), 音調表!$B$3:$B$12),0)))</f>
        <v>a</v>
      </c>
      <c r="I4" s="15" t="str" cm="1">
        <f t="array" ref="I4" xml:space="preserve"> IF(I$3&lt;&gt;$E4, MID($D4,I$3,1), INDEX(音調表!$D$3:$D$12, MATCH(TRUE, EXACT(MID($D4,I$3,1), 音調表!$B$3:$B$12),0)))</f>
        <v>n</v>
      </c>
      <c r="J4" s="15" t="str" cm="1">
        <f t="array" ref="J4" xml:space="preserve"> IF(J$3&lt;&gt;$E4, MID($D4,J$3,1), INDEX(音調表!$D$3:$D$12, MATCH(TRUE, EXACT(MID($D4,J$3,1), 音調表!$B$3:$B$12),0)))</f>
        <v>g</v>
      </c>
      <c r="K4" s="15" t="str" cm="1">
        <f t="array" ref="K4" xml:space="preserve"> IF(K$3&lt;&gt;$E4, MID($D4,K$3,1), INDEX(音調表!$D$3:$D$12, MATCH(TRUE, EXACT(MID($D4,K$3,1), 音調表!$B$3:$B$12),0)))</f>
        <v>/</v>
      </c>
      <c r="L4" s="15" t="str" cm="1">
        <f t="array" ref="L4" xml:space="preserve"> IF(L$3&lt;&gt;$E4, MID($D4,L$3,1), INDEX(音調表!$D$3:$D$12, MATCH(TRUE, EXACT(MID($D4,L$3,1), 音調表!$B$3:$B$12),0)))</f>
        <v/>
      </c>
      <c r="M4" s="15" t="str" cm="1">
        <f t="array" ref="M4" xml:space="preserve"> IF(M$3&lt;&gt;$E4, MID($D4,M$3,1), INDEX(音調表!$D$3:$D$12, MATCH(TRUE, EXACT(MID($D4,M$3,1), 音調表!$B$3:$B$12),0)))</f>
        <v/>
      </c>
      <c r="N4" s="16" t="str" cm="1">
        <f t="array" ref="N4" xml:space="preserve"> IF(N$3&lt;&gt;$E4, MID($D4,N$3,1), INDEX(音調表!$D$3:$D$12, MATCH(TRUE, EXACT(MID($D4,N$3,1), 音調表!$B$3:$B$12),0)))</f>
        <v/>
      </c>
      <c r="P4" s="2"/>
      <c r="Q4" s="2"/>
      <c r="R4" s="1" t="str" cm="1">
        <f t="array" ref="R4" xml:space="preserve"> IF( ISNUMBER(VALUE(K4)), INDEX(音調表!$D$3:$D$12, MATCH(TRUE, EXACT(K4, 音調表!$B$3:$B$12),0)), "")</f>
        <v/>
      </c>
    </row>
    <row r="5" spans="2:18" ht="39" x14ac:dyDescent="0.25">
      <c r="B5" s="12" t="s">
        <v>1</v>
      </c>
      <c r="C5" s="33" t="s">
        <v>134</v>
      </c>
      <c r="D5" s="13" t="s">
        <v>6</v>
      </c>
      <c r="E5" s="14">
        <f t="shared" ref="E5:E44" si="0">IF( LEN(D5)&gt;0, LEN(D5), "")</f>
        <v>4</v>
      </c>
      <c r="F5" s="15" t="str" cm="1">
        <f t="array" ref="F5" xml:space="preserve"> IF(F$3&lt;&gt;$E5, MID($D5,F$3,1), INDEX(音調表!$D$3:$D$12, MATCH(TRUE, EXACT(MID($D5,F$3,1), 音調表!$B$3:$B$12),0)))</f>
        <v>z</v>
      </c>
      <c r="G5" s="15" t="str" cm="1">
        <f t="array" ref="G5" xml:space="preserve"> IF(G$3&lt;&gt;$E5, MID($D5,G$3,1), INDEX(音調表!$D$3:$D$12, MATCH(TRUE, EXACT(MID($D5,G$3,1), 音調表!$B$3:$B$12),0)))</f>
        <v>i</v>
      </c>
      <c r="H5" s="15" t="str" cm="1">
        <f t="array" ref="H5" xml:space="preserve"> IF(H$3&lt;&gt;$E5, MID($D5,H$3,1), INDEX(音調表!$D$3:$D$12, MATCH(TRUE, EXACT(MID($D5,H$3,1), 音調表!$B$3:$B$12),0)))</f>
        <v>u</v>
      </c>
      <c r="I5" s="15" t="str" cm="1">
        <f t="array" ref="I5" xml:space="preserve"> IF(I$3&lt;&gt;$E5, MID($D5,I$3,1), INDEX(音調表!$D$3:$D$12, MATCH(TRUE, EXACT(MID($D5,I$3,1), 音調表!$B$3:$B$12),0)))</f>
        <v>;</v>
      </c>
      <c r="J5" s="15" t="str" cm="1">
        <f t="array" ref="J5" xml:space="preserve"> IF(J$3&lt;&gt;$E5, MID($D5,J$3,1), INDEX(音調表!$D$3:$D$12, MATCH(TRUE, EXACT(MID($D5,J$3,1), 音調表!$B$3:$B$12),0)))</f>
        <v/>
      </c>
      <c r="K5" s="15" t="str" cm="1">
        <f t="array" ref="K5" xml:space="preserve"> IF(K$3&lt;&gt;$E5, MID($D5,K$3,1), INDEX(音調表!$D$3:$D$12, MATCH(TRUE, EXACT(MID($D5,K$3,1), 音調表!$B$3:$B$12),0)))</f>
        <v/>
      </c>
      <c r="L5" s="15" t="str" cm="1">
        <f t="array" ref="L5" xml:space="preserve"> IF(L$3&lt;&gt;$E5, MID($D5,L$3,1), INDEX(音調表!$D$3:$D$12, MATCH(TRUE, EXACT(MID($D5,L$3,1), 音調表!$B$3:$B$12),0)))</f>
        <v/>
      </c>
      <c r="M5" s="15" t="str" cm="1">
        <f t="array" ref="M5" xml:space="preserve"> IF(M$3&lt;&gt;$E5, MID($D5,M$3,1), INDEX(音調表!$D$3:$D$12, MATCH(TRUE, EXACT(MID($D5,M$3,1), 音調表!$B$3:$B$12),0)))</f>
        <v/>
      </c>
      <c r="N5" s="16" t="str" cm="1">
        <f t="array" ref="N5" xml:space="preserve"> IF(N$3&lt;&gt;$E5, MID($D5,N$3,1), INDEX(音調表!$D$3:$D$12, MATCH(TRUE, EXACT(MID($D5,N$3,1), 音調表!$B$3:$B$12),0)))</f>
        <v/>
      </c>
      <c r="P5" s="2"/>
      <c r="Q5" s="2"/>
    </row>
    <row r="6" spans="2:18" ht="39" x14ac:dyDescent="0.25">
      <c r="B6" s="12" t="s">
        <v>2</v>
      </c>
      <c r="C6" s="33" t="s">
        <v>135</v>
      </c>
      <c r="D6" s="13" t="s">
        <v>7</v>
      </c>
      <c r="E6" s="14">
        <f t="shared" si="0"/>
        <v>3</v>
      </c>
      <c r="F6" s="15" t="str" cm="1">
        <f t="array" ref="F6" xml:space="preserve"> IF(F$3&lt;&gt;$E6, MID($D6,F$3,1), INDEX(音調表!$D$3:$D$12, MATCH(TRUE, EXACT(MID($D6,F$3,1), 音調表!$B$3:$B$12),0)))</f>
        <v>s</v>
      </c>
      <c r="G6" s="15" t="str" cm="1">
        <f t="array" ref="G6" xml:space="preserve"> IF(G$3&lt;&gt;$E6, MID($D6,G$3,1), INDEX(音調表!$D$3:$D$12, MATCH(TRUE, EXACT(MID($D6,G$3,1), 音調表!$B$3:$B$12),0)))</f>
        <v>u</v>
      </c>
      <c r="H6" s="15" t="str" cm="1">
        <f t="array" ref="H6" xml:space="preserve"> IF(H$3&lt;&gt;$E6, MID($D6,H$3,1), INDEX(音調表!$D$3:$D$12, MATCH(TRUE, EXACT(MID($D6,H$3,1), 音調表!$B$3:$B$12),0)))</f>
        <v>/</v>
      </c>
      <c r="I6" s="15" t="str" cm="1">
        <f t="array" ref="I6" xml:space="preserve"> IF(I$3&lt;&gt;$E6, MID($D6,I$3,1), INDEX(音調表!$D$3:$D$12, MATCH(TRUE, EXACT(MID($D6,I$3,1), 音調表!$B$3:$B$12),0)))</f>
        <v/>
      </c>
      <c r="J6" s="15" t="str" cm="1">
        <f t="array" ref="J6" xml:space="preserve"> IF(J$3&lt;&gt;$E6, MID($D6,J$3,1), INDEX(音調表!$D$3:$D$12, MATCH(TRUE, EXACT(MID($D6,J$3,1), 音調表!$B$3:$B$12),0)))</f>
        <v/>
      </c>
      <c r="K6" s="15" t="str" cm="1">
        <f t="array" ref="K6" xml:space="preserve"> IF(K$3&lt;&gt;$E6, MID($D6,K$3,1), INDEX(音調表!$D$3:$D$12, MATCH(TRUE, EXACT(MID($D6,K$3,1), 音調表!$B$3:$B$12),0)))</f>
        <v/>
      </c>
      <c r="L6" s="15" t="str" cm="1">
        <f t="array" ref="L6" xml:space="preserve"> IF(L$3&lt;&gt;$E6, MID($D6,L$3,1), INDEX(音調表!$D$3:$D$12, MATCH(TRUE, EXACT(MID($D6,L$3,1), 音調表!$B$3:$B$12),0)))</f>
        <v/>
      </c>
      <c r="M6" s="15" t="str" cm="1">
        <f t="array" ref="M6" xml:space="preserve"> IF(M$3&lt;&gt;$E6, MID($D6,M$3,1), INDEX(音調表!$D$3:$D$12, MATCH(TRUE, EXACT(MID($D6,M$3,1), 音調表!$B$3:$B$12),0)))</f>
        <v/>
      </c>
      <c r="N6" s="16" t="str" cm="1">
        <f t="array" ref="N6" xml:space="preserve"> IF(N$3&lt;&gt;$E6, MID($D6,N$3,1), INDEX(音調表!$D$3:$D$12, MATCH(TRUE, EXACT(MID($D6,N$3,1), 音調表!$B$3:$B$12),0)))</f>
        <v/>
      </c>
      <c r="P6" s="2"/>
      <c r="Q6" s="2"/>
    </row>
    <row r="7" spans="2:18" ht="45.75" x14ac:dyDescent="0.25">
      <c r="B7" s="12"/>
      <c r="C7" s="32"/>
      <c r="D7" s="13"/>
      <c r="E7" s="14" t="str">
        <f t="shared" si="0"/>
        <v/>
      </c>
      <c r="F7" s="15" t="str" cm="1">
        <f t="array" ref="F7" xml:space="preserve"> IF(F$3&lt;&gt;$E7, MID($D7,F$3,1), INDEX(音調表!$D$3:$D$12, MATCH(TRUE, EXACT(MID($D7,F$3,1), 音調表!$B$3:$B$12),0)))</f>
        <v/>
      </c>
      <c r="G7" s="15" t="str" cm="1">
        <f t="array" ref="G7" xml:space="preserve"> IF(G$3&lt;&gt;$E7, MID($D7,G$3,1), INDEX(音調表!$D$3:$D$12, MATCH(TRUE, EXACT(MID($D7,G$3,1), 音調表!$B$3:$B$12),0)))</f>
        <v/>
      </c>
      <c r="H7" s="15" t="str" cm="1">
        <f t="array" ref="H7" xml:space="preserve"> IF(H$3&lt;&gt;$E7, MID($D7,H$3,1), INDEX(音調表!$D$3:$D$12, MATCH(TRUE, EXACT(MID($D7,H$3,1), 音調表!$B$3:$B$12),0)))</f>
        <v/>
      </c>
      <c r="I7" s="15" t="str" cm="1">
        <f t="array" ref="I7" xml:space="preserve"> IF(I$3&lt;&gt;$E7, MID($D7,I$3,1), INDEX(音調表!$D$3:$D$12, MATCH(TRUE, EXACT(MID($D7,I$3,1), 音調表!$B$3:$B$12),0)))</f>
        <v/>
      </c>
      <c r="J7" s="15" t="str" cm="1">
        <f t="array" ref="J7" xml:space="preserve"> IF(J$3&lt;&gt;$E7, MID($D7,J$3,1), INDEX(音調表!$D$3:$D$12, MATCH(TRUE, EXACT(MID($D7,J$3,1), 音調表!$B$3:$B$12),0)))</f>
        <v/>
      </c>
      <c r="K7" s="15" t="str" cm="1">
        <f t="array" ref="K7" xml:space="preserve"> IF(K$3&lt;&gt;$E7, MID($D7,K$3,1), INDEX(音調表!$D$3:$D$12, MATCH(TRUE, EXACT(MID($D7,K$3,1), 音調表!$B$3:$B$12),0)))</f>
        <v/>
      </c>
      <c r="L7" s="15" t="str" cm="1">
        <f t="array" ref="L7" xml:space="preserve"> IF(L$3&lt;&gt;$E7, MID($D7,L$3,1), INDEX(音調表!$D$3:$D$12, MATCH(TRUE, EXACT(MID($D7,L$3,1), 音調表!$B$3:$B$12),0)))</f>
        <v/>
      </c>
      <c r="M7" s="15" t="str" cm="1">
        <f t="array" ref="M7" xml:space="preserve"> IF(M$3&lt;&gt;$E7, MID($D7,M$3,1), INDEX(音調表!$D$3:$D$12, MATCH(TRUE, EXACT(MID($D7,M$3,1), 音調表!$B$3:$B$12),0)))</f>
        <v/>
      </c>
      <c r="N7" s="16" t="str" cm="1">
        <f t="array" ref="N7" xml:space="preserve"> IF(N$3&lt;&gt;$E7, MID($D7,N$3,1), INDEX(音調表!$D$3:$D$12, MATCH(TRUE, EXACT(MID($D7,N$3,1), 音調表!$B$3:$B$12),0)))</f>
        <v/>
      </c>
      <c r="P7" s="2"/>
      <c r="Q7" s="2"/>
    </row>
    <row r="8" spans="2:18" ht="45.75" x14ac:dyDescent="0.25">
      <c r="B8" s="12" t="s">
        <v>59</v>
      </c>
      <c r="C8" s="32" t="s">
        <v>136</v>
      </c>
      <c r="D8" s="13" t="s">
        <v>92</v>
      </c>
      <c r="E8" s="14">
        <f t="shared" si="0"/>
        <v>4</v>
      </c>
      <c r="F8" s="15" t="str" cm="1">
        <f t="array" ref="F8" xml:space="preserve"> IF(F$3&lt;&gt;$E8, MID($D8,F$3,1), INDEX(音調表!$D$3:$D$12, MATCH(TRUE, EXACT(MID($D8,F$3,1), 音調表!$B$3:$B$12),0)))</f>
        <v>o</v>
      </c>
      <c r="G8" s="15" t="str" cm="1">
        <f t="array" ref="G8" xml:space="preserve"> IF(G$3&lt;&gt;$E8, MID($D8,G$3,1), INDEX(音調表!$D$3:$D$12, MATCH(TRUE, EXACT(MID($D8,G$3,1), 音調表!$B$3:$B$12),0)))</f>
        <v>n</v>
      </c>
      <c r="H8" s="15" t="str" cm="1">
        <f t="array" ref="H8" xml:space="preserve"> IF(H$3&lt;&gt;$E8, MID($D8,H$3,1), INDEX(音調表!$D$3:$D$12, MATCH(TRUE, EXACT(MID($D8,H$3,1), 音調表!$B$3:$B$12),0)))</f>
        <v>g</v>
      </c>
      <c r="I8" s="15" t="str" cm="1">
        <f t="array" ref="I8" xml:space="preserve"> IF(I$3&lt;&gt;$E8, MID($D8,I$3,1), INDEX(音調表!$D$3:$D$12, MATCH(TRUE, EXACT(MID($D8,I$3,1), 音調表!$B$3:$B$12),0)))</f>
        <v>/</v>
      </c>
      <c r="J8" s="15" t="str" cm="1">
        <f t="array" ref="J8" xml:space="preserve"> IF(J$3&lt;&gt;$E8, MID($D8,J$3,1), INDEX(音調表!$D$3:$D$12, MATCH(TRUE, EXACT(MID($D8,J$3,1), 音調表!$B$3:$B$12),0)))</f>
        <v/>
      </c>
      <c r="K8" s="15" t="str" cm="1">
        <f t="array" ref="K8" xml:space="preserve"> IF(K$3&lt;&gt;$E8, MID($D8,K$3,1), INDEX(音調表!$D$3:$D$12, MATCH(TRUE, EXACT(MID($D8,K$3,1), 音調表!$B$3:$B$12),0)))</f>
        <v/>
      </c>
      <c r="L8" s="15" t="str" cm="1">
        <f t="array" ref="L8" xml:space="preserve"> IF(L$3&lt;&gt;$E8, MID($D8,L$3,1), INDEX(音調表!$D$3:$D$12, MATCH(TRUE, EXACT(MID($D8,L$3,1), 音調表!$B$3:$B$12),0)))</f>
        <v/>
      </c>
      <c r="M8" s="15" t="str" cm="1">
        <f t="array" ref="M8" xml:space="preserve"> IF(M$3&lt;&gt;$E8, MID($D8,M$3,1), INDEX(音調表!$D$3:$D$12, MATCH(TRUE, EXACT(MID($D8,M$3,1), 音調表!$B$3:$B$12),0)))</f>
        <v/>
      </c>
      <c r="N8" s="16" t="str" cm="1">
        <f t="array" ref="N8" xml:space="preserve"> IF(N$3&lt;&gt;$E8, MID($D8,N$3,1), INDEX(音調表!$D$3:$D$12, MATCH(TRUE, EXACT(MID($D8,N$3,1), 音調表!$B$3:$B$12),0)))</f>
        <v/>
      </c>
      <c r="P8" s="2"/>
      <c r="Q8" s="2"/>
    </row>
    <row r="9" spans="2:18" ht="45.75" x14ac:dyDescent="0.25">
      <c r="B9" s="12" t="s">
        <v>60</v>
      </c>
      <c r="C9" s="32" t="s">
        <v>137</v>
      </c>
      <c r="D9" s="13" t="s">
        <v>93</v>
      </c>
      <c r="E9" s="14">
        <f t="shared" si="0"/>
        <v>3</v>
      </c>
      <c r="F9" s="15" t="str" cm="1">
        <f t="array" ref="F9" xml:space="preserve"> IF(F$3&lt;&gt;$E9, MID($D9,F$3,1), INDEX(音調表!$D$3:$D$12, MATCH(TRUE, EXACT(MID($D9,F$3,1), 音調表!$B$3:$B$12),0)))</f>
        <v>z</v>
      </c>
      <c r="G9" s="15" t="str" cm="1">
        <f t="array" ref="G9" xml:space="preserve"> IF(G$3&lt;&gt;$E9, MID($D9,G$3,1), INDEX(音調表!$D$3:$D$12, MATCH(TRUE, EXACT(MID($D9,G$3,1), 音調表!$B$3:$B$12),0)))</f>
        <v>i</v>
      </c>
      <c r="H9" s="15" t="str" cm="1">
        <f t="array" ref="H9" xml:space="preserve"> IF(H$3&lt;&gt;$E9, MID($D9,H$3,1), INDEX(音調表!$D$3:$D$12, MATCH(TRUE, EXACT(MID($D9,H$3,1), 音調表!$B$3:$B$12),0)))</f>
        <v>;</v>
      </c>
      <c r="I9" s="15" t="str" cm="1">
        <f t="array" ref="I9" xml:space="preserve"> IF(I$3&lt;&gt;$E9, MID($D9,I$3,1), INDEX(音調表!$D$3:$D$12, MATCH(TRUE, EXACT(MID($D9,I$3,1), 音調表!$B$3:$B$12),0)))</f>
        <v/>
      </c>
      <c r="J9" s="15" t="str" cm="1">
        <f t="array" ref="J9" xml:space="preserve"> IF(J$3&lt;&gt;$E9, MID($D9,J$3,1), INDEX(音調表!$D$3:$D$12, MATCH(TRUE, EXACT(MID($D9,J$3,1), 音調表!$B$3:$B$12),0)))</f>
        <v/>
      </c>
      <c r="K9" s="15" t="str" cm="1">
        <f t="array" ref="K9" xml:space="preserve"> IF(K$3&lt;&gt;$E9, MID($D9,K$3,1), INDEX(音調表!$D$3:$D$12, MATCH(TRUE, EXACT(MID($D9,K$3,1), 音調表!$B$3:$B$12),0)))</f>
        <v/>
      </c>
      <c r="L9" s="15" t="str" cm="1">
        <f t="array" ref="L9" xml:space="preserve"> IF(L$3&lt;&gt;$E9, MID($D9,L$3,1), INDEX(音調表!$D$3:$D$12, MATCH(TRUE, EXACT(MID($D9,L$3,1), 音調表!$B$3:$B$12),0)))</f>
        <v/>
      </c>
      <c r="M9" s="15" t="str" cm="1">
        <f t="array" ref="M9" xml:space="preserve"> IF(M$3&lt;&gt;$E9, MID($D9,M$3,1), INDEX(音調表!$D$3:$D$12, MATCH(TRUE, EXACT(MID($D9,M$3,1), 音調表!$B$3:$B$12),0)))</f>
        <v/>
      </c>
      <c r="N9" s="16" t="str" cm="1">
        <f t="array" ref="N9" xml:space="preserve"> IF(N$3&lt;&gt;$E9, MID($D9,N$3,1), INDEX(音調表!$D$3:$D$12, MATCH(TRUE, EXACT(MID($D9,N$3,1), 音調表!$B$3:$B$12),0)))</f>
        <v/>
      </c>
      <c r="P9" s="2"/>
      <c r="Q9" s="2"/>
    </row>
    <row r="10" spans="2:18" ht="45.75" x14ac:dyDescent="0.25">
      <c r="B10" s="12" t="s">
        <v>61</v>
      </c>
      <c r="C10" s="32" t="s">
        <v>138</v>
      </c>
      <c r="D10" s="13" t="s">
        <v>94</v>
      </c>
      <c r="E10" s="14">
        <f t="shared" si="0"/>
        <v>5</v>
      </c>
      <c r="F10" s="15" t="str" cm="1">
        <f t="array" ref="F10" xml:space="preserve"> IF(F$3&lt;&gt;$E10, MID($D10,F$3,1), INDEX(音調表!$D$3:$D$12, MATCH(TRUE, EXACT(MID($D10,F$3,1), 音調表!$B$3:$B$12),0)))</f>
        <v>h</v>
      </c>
      <c r="G10" s="15" t="str" cm="1">
        <f t="array" ref="G10" xml:space="preserve"> IF(G$3&lt;&gt;$E10, MID($D10,G$3,1), INDEX(音調表!$D$3:$D$12, MATCH(TRUE, EXACT(MID($D10,G$3,1), 音調表!$B$3:$B$12),0)))</f>
        <v>u</v>
      </c>
      <c r="H10" s="15" t="str" cm="1">
        <f t="array" ref="H10" xml:space="preserve"> IF(H$3&lt;&gt;$E10, MID($D10,H$3,1), INDEX(音調表!$D$3:$D$12, MATCH(TRUE, EXACT(MID($D10,H$3,1), 音調表!$B$3:$B$12),0)))</f>
        <v>a</v>
      </c>
      <c r="I10" s="15" t="str" cm="1">
        <f t="array" ref="I10" xml:space="preserve"> IF(I$3&lt;&gt;$E10, MID($D10,I$3,1), INDEX(音調表!$D$3:$D$12, MATCH(TRUE, EXACT(MID($D10,I$3,1), 音調表!$B$3:$B$12),0)))</f>
        <v>n</v>
      </c>
      <c r="J10" s="15" t="str" cm="1">
        <f t="array" ref="J10" xml:space="preserve"> IF(J$3&lt;&gt;$E10, MID($D10,J$3,1), INDEX(音調表!$D$3:$D$12, MATCH(TRUE, EXACT(MID($D10,J$3,1), 音調表!$B$3:$B$12),0)))</f>
        <v>_</v>
      </c>
      <c r="K10" s="15" t="str" cm="1">
        <f t="array" ref="K10" xml:space="preserve"> IF(K$3&lt;&gt;$E10, MID($D10,K$3,1), INDEX(音調表!$D$3:$D$12, MATCH(TRUE, EXACT(MID($D10,K$3,1), 音調表!$B$3:$B$12),0)))</f>
        <v/>
      </c>
      <c r="L10" s="15" t="str" cm="1">
        <f t="array" ref="L10" xml:space="preserve"> IF(L$3&lt;&gt;$E10, MID($D10,L$3,1), INDEX(音調表!$D$3:$D$12, MATCH(TRUE, EXACT(MID($D10,L$3,1), 音調表!$B$3:$B$12),0)))</f>
        <v/>
      </c>
      <c r="M10" s="15" t="str" cm="1">
        <f t="array" ref="M10" xml:space="preserve"> IF(M$3&lt;&gt;$E10, MID($D10,M$3,1), INDEX(音調表!$D$3:$D$12, MATCH(TRUE, EXACT(MID($D10,M$3,1), 音調表!$B$3:$B$12),0)))</f>
        <v/>
      </c>
      <c r="N10" s="16" t="str" cm="1">
        <f t="array" ref="N10" xml:space="preserve"> IF(N$3&lt;&gt;$E10, MID($D10,N$3,1), INDEX(音調表!$D$3:$D$12, MATCH(TRUE, EXACT(MID($D10,N$3,1), 音調表!$B$3:$B$12),0)))</f>
        <v/>
      </c>
      <c r="P10" s="2"/>
      <c r="Q10" s="2"/>
    </row>
    <row r="11" spans="2:18" ht="45.75" x14ac:dyDescent="0.25">
      <c r="B11" s="12"/>
      <c r="C11" s="32"/>
      <c r="D11" s="13"/>
      <c r="E11" s="14" t="str">
        <f t="shared" si="0"/>
        <v/>
      </c>
      <c r="F11" s="15" t="str" cm="1">
        <f t="array" ref="F11" xml:space="preserve"> IF(F$3&lt;&gt;$E11, MID($D11,F$3,1), INDEX(音調表!$D$3:$D$12, MATCH(TRUE, EXACT(MID($D11,F$3,1), 音調表!$B$3:$B$12),0)))</f>
        <v/>
      </c>
      <c r="G11" s="15" t="str" cm="1">
        <f t="array" ref="G11" xml:space="preserve"> IF(G$3&lt;&gt;$E11, MID($D11,G$3,1), INDEX(音調表!$D$3:$D$12, MATCH(TRUE, EXACT(MID($D11,G$3,1), 音調表!$B$3:$B$12),0)))</f>
        <v/>
      </c>
      <c r="H11" s="15" t="str" cm="1">
        <f t="array" ref="H11" xml:space="preserve"> IF(H$3&lt;&gt;$E11, MID($D11,H$3,1), INDEX(音調表!$D$3:$D$12, MATCH(TRUE, EXACT(MID($D11,H$3,1), 音調表!$B$3:$B$12),0)))</f>
        <v/>
      </c>
      <c r="I11" s="15" t="str" cm="1">
        <f t="array" ref="I11" xml:space="preserve"> IF(I$3&lt;&gt;$E11, MID($D11,I$3,1), INDEX(音調表!$D$3:$D$12, MATCH(TRUE, EXACT(MID($D11,I$3,1), 音調表!$B$3:$B$12),0)))</f>
        <v/>
      </c>
      <c r="J11" s="15" t="str" cm="1">
        <f t="array" ref="J11" xml:space="preserve"> IF(J$3&lt;&gt;$E11, MID($D11,J$3,1), INDEX(音調表!$D$3:$D$12, MATCH(TRUE, EXACT(MID($D11,J$3,1), 音調表!$B$3:$B$12),0)))</f>
        <v/>
      </c>
      <c r="K11" s="15" t="str" cm="1">
        <f t="array" ref="K11" xml:space="preserve"> IF(K$3&lt;&gt;$E11, MID($D11,K$3,1), INDEX(音調表!$D$3:$D$12, MATCH(TRUE, EXACT(MID($D11,K$3,1), 音調表!$B$3:$B$12),0)))</f>
        <v/>
      </c>
      <c r="L11" s="15" t="str" cm="1">
        <f t="array" ref="L11" xml:space="preserve"> IF(L$3&lt;&gt;$E11, MID($D11,L$3,1), INDEX(音調表!$D$3:$D$12, MATCH(TRUE, EXACT(MID($D11,L$3,1), 音調表!$B$3:$B$12),0)))</f>
        <v/>
      </c>
      <c r="M11" s="15" t="str" cm="1">
        <f t="array" ref="M11" xml:space="preserve"> IF(M$3&lt;&gt;$E11, MID($D11,M$3,1), INDEX(音調表!$D$3:$D$12, MATCH(TRUE, EXACT(MID($D11,M$3,1), 音調表!$B$3:$B$12),0)))</f>
        <v/>
      </c>
      <c r="N11" s="16" t="str" cm="1">
        <f t="array" ref="N11" xml:space="preserve"> IF(N$3&lt;&gt;$E11, MID($D11,N$3,1), INDEX(音調表!$D$3:$D$12, MATCH(TRUE, EXACT(MID($D11,N$3,1), 音調表!$B$3:$B$12),0)))</f>
        <v/>
      </c>
      <c r="P11" s="2"/>
      <c r="Q11" s="2"/>
    </row>
    <row r="12" spans="2:18" ht="45.75" x14ac:dyDescent="0.25">
      <c r="B12" s="12" t="s">
        <v>62</v>
      </c>
      <c r="C12" s="32" t="s">
        <v>139</v>
      </c>
      <c r="D12" s="13" t="s">
        <v>95</v>
      </c>
      <c r="E12" s="14">
        <f t="shared" si="0"/>
        <v>5</v>
      </c>
      <c r="F12" s="15" t="str" cm="1">
        <f t="array" ref="F12" xml:space="preserve"> IF(F$3&lt;&gt;$E12, MID($D12,F$3,1), INDEX(音調表!$D$3:$D$12, MATCH(TRUE, EXACT(MID($D12,F$3,1), 音調表!$B$3:$B$12),0)))</f>
        <v>h</v>
      </c>
      <c r="G12" s="15" t="str" cm="1">
        <f t="array" ref="G12" xml:space="preserve"> IF(G$3&lt;&gt;$E12, MID($D12,G$3,1), INDEX(音調表!$D$3:$D$12, MATCH(TRUE, EXACT(MID($D12,G$3,1), 音調表!$B$3:$B$12),0)))</f>
        <v>o</v>
      </c>
      <c r="H12" s="15" t="str" cm="1">
        <f t="array" ref="H12" xml:space="preserve"> IF(H$3&lt;&gt;$E12, MID($D12,H$3,1), INDEX(音調表!$D$3:$D$12, MATCH(TRUE, EXACT(MID($D12,H$3,1), 音調表!$B$3:$B$12),0)))</f>
        <v>n</v>
      </c>
      <c r="I12" s="15" t="str" cm="1">
        <f t="array" ref="I12" xml:space="preserve"> IF(I$3&lt;&gt;$E12, MID($D12,I$3,1), INDEX(音調表!$D$3:$D$12, MATCH(TRUE, EXACT(MID($D12,I$3,1), 音調表!$B$3:$B$12),0)))</f>
        <v>g</v>
      </c>
      <c r="J12" s="15" t="str" cm="1">
        <f t="array" ref="J12" xml:space="preserve"> IF(J$3&lt;&gt;$E12, MID($D12,J$3,1), INDEX(音調表!$D$3:$D$12, MATCH(TRUE, EXACT(MID($D12,J$3,1), 音調表!$B$3:$B$12),0)))</f>
        <v>/</v>
      </c>
      <c r="K12" s="15" t="str" cm="1">
        <f t="array" ref="K12" xml:space="preserve"> IF(K$3&lt;&gt;$E12, MID($D12,K$3,1), INDEX(音調表!$D$3:$D$12, MATCH(TRUE, EXACT(MID($D12,K$3,1), 音調表!$B$3:$B$12),0)))</f>
        <v/>
      </c>
      <c r="L12" s="15" t="str" cm="1">
        <f t="array" ref="L12" xml:space="preserve"> IF(L$3&lt;&gt;$E12, MID($D12,L$3,1), INDEX(音調表!$D$3:$D$12, MATCH(TRUE, EXACT(MID($D12,L$3,1), 音調表!$B$3:$B$12),0)))</f>
        <v/>
      </c>
      <c r="M12" s="15" t="str" cm="1">
        <f t="array" ref="M12" xml:space="preserve"> IF(M$3&lt;&gt;$E12, MID($D12,M$3,1), INDEX(音調表!$D$3:$D$12, MATCH(TRUE, EXACT(MID($D12,M$3,1), 音調表!$B$3:$B$12),0)))</f>
        <v/>
      </c>
      <c r="N12" s="16" t="str" cm="1">
        <f t="array" ref="N12" xml:space="preserve"> IF(N$3&lt;&gt;$E12, MID($D12,N$3,1), INDEX(音調表!$D$3:$D$12, MATCH(TRUE, EXACT(MID($D12,N$3,1), 音調表!$B$3:$B$12),0)))</f>
        <v/>
      </c>
      <c r="P12" s="2"/>
      <c r="Q12" s="2"/>
    </row>
    <row r="13" spans="2:18" ht="45.75" x14ac:dyDescent="0.25">
      <c r="B13" s="12" t="s">
        <v>63</v>
      </c>
      <c r="C13" s="32" t="s">
        <v>140</v>
      </c>
      <c r="D13" s="13" t="s">
        <v>96</v>
      </c>
      <c r="E13" s="14">
        <f t="shared" si="0"/>
        <v>3</v>
      </c>
      <c r="F13" s="15" t="str" cm="1">
        <f t="array" ref="F13" xml:space="preserve"> IF(F$3&lt;&gt;$E13, MID($D13,F$3,1), INDEX(音調表!$D$3:$D$12, MATCH(TRUE, EXACT(MID($D13,F$3,1), 音調表!$B$3:$B$12),0)))</f>
        <v>h</v>
      </c>
      <c r="G13" s="15" t="str" cm="1">
        <f t="array" ref="G13" xml:space="preserve"> IF(G$3&lt;&gt;$E13, MID($D13,G$3,1), INDEX(音調表!$D$3:$D$12, MATCH(TRUE, EXACT(MID($D13,G$3,1), 音調表!$B$3:$B$12),0)))</f>
        <v>o</v>
      </c>
      <c r="H13" s="15" t="str" cm="1">
        <f t="array" ref="H13" xml:space="preserve"> IF(H$3&lt;&gt;$E13, MID($D13,H$3,1), INDEX(音調表!$D$3:$D$12, MATCH(TRUE, EXACT(MID($D13,H$3,1), 音調表!$B$3:$B$12),0)))</f>
        <v>/</v>
      </c>
      <c r="I13" s="15" t="str" cm="1">
        <f t="array" ref="I13" xml:space="preserve"> IF(I$3&lt;&gt;$E13, MID($D13,I$3,1), INDEX(音調表!$D$3:$D$12, MATCH(TRUE, EXACT(MID($D13,I$3,1), 音調表!$B$3:$B$12),0)))</f>
        <v/>
      </c>
      <c r="J13" s="15" t="str" cm="1">
        <f t="array" ref="J13" xml:space="preserve"> IF(J$3&lt;&gt;$E13, MID($D13,J$3,1), INDEX(音調表!$D$3:$D$12, MATCH(TRUE, EXACT(MID($D13,J$3,1), 音調表!$B$3:$B$12),0)))</f>
        <v/>
      </c>
      <c r="K13" s="15" t="str" cm="1">
        <f t="array" ref="K13" xml:space="preserve"> IF(K$3&lt;&gt;$E13, MID($D13,K$3,1), INDEX(音調表!$D$3:$D$12, MATCH(TRUE, EXACT(MID($D13,K$3,1), 音調表!$B$3:$B$12),0)))</f>
        <v/>
      </c>
      <c r="L13" s="15" t="str" cm="1">
        <f t="array" ref="L13" xml:space="preserve"> IF(L$3&lt;&gt;$E13, MID($D13,L$3,1), INDEX(音調表!$D$3:$D$12, MATCH(TRUE, EXACT(MID($D13,L$3,1), 音調表!$B$3:$B$12),0)))</f>
        <v/>
      </c>
      <c r="M13" s="15" t="str" cm="1">
        <f t="array" ref="M13" xml:space="preserve"> IF(M$3&lt;&gt;$E13, MID($D13,M$3,1), INDEX(音調表!$D$3:$D$12, MATCH(TRUE, EXACT(MID($D13,M$3,1), 音調表!$B$3:$B$12),0)))</f>
        <v/>
      </c>
      <c r="N13" s="16" t="str" cm="1">
        <f t="array" ref="N13" xml:space="preserve"> IF(N$3&lt;&gt;$E13, MID($D13,N$3,1), INDEX(音調表!$D$3:$D$12, MATCH(TRUE, EXACT(MID($D13,N$3,1), 音調表!$B$3:$B$12),0)))</f>
        <v/>
      </c>
      <c r="P13" s="2"/>
      <c r="Q13" s="2"/>
    </row>
    <row r="14" spans="2:18" ht="45.75" x14ac:dyDescent="0.25">
      <c r="B14" s="12" t="s">
        <v>64</v>
      </c>
      <c r="C14" s="32" t="s">
        <v>141</v>
      </c>
      <c r="D14" s="13" t="s">
        <v>97</v>
      </c>
      <c r="E14" s="14">
        <f t="shared" si="0"/>
        <v>4</v>
      </c>
      <c r="F14" s="15" t="str" cm="1">
        <f t="array" ref="F14" xml:space="preserve"> IF(F$3&lt;&gt;$E14, MID($D14,F$3,1), INDEX(音調表!$D$3:$D$12, MATCH(TRUE, EXACT(MID($D14,F$3,1), 音調表!$B$3:$B$12),0)))</f>
        <v>u</v>
      </c>
      <c r="G14" s="15" t="str" cm="1">
        <f t="array" ref="G14" xml:space="preserve"> IF(G$3&lt;&gt;$E14, MID($D14,G$3,1), INDEX(音調表!$D$3:$D$12, MATCH(TRUE, EXACT(MID($D14,G$3,1), 音調表!$B$3:$B$12),0)))</f>
        <v>a</v>
      </c>
      <c r="H14" s="15" t="str" cm="1">
        <f t="array" ref="H14" xml:space="preserve"> IF(H$3&lt;&gt;$E14, MID($D14,H$3,1), INDEX(音調表!$D$3:$D$12, MATCH(TRUE, EXACT(MID($D14,H$3,1), 音調表!$B$3:$B$12),0)))</f>
        <v>n</v>
      </c>
      <c r="I14" s="15" t="str" cm="1">
        <f t="array" ref="I14" xml:space="preserve"> IF(I$3&lt;&gt;$E14, MID($D14,I$3,1), INDEX(音調表!$D$3:$D$12, MATCH(TRUE, EXACT(MID($D14,I$3,1), 音調表!$B$3:$B$12),0)))</f>
        <v>\</v>
      </c>
      <c r="J14" s="15" t="str" cm="1">
        <f t="array" ref="J14" xml:space="preserve"> IF(J$3&lt;&gt;$E14, MID($D14,J$3,1), INDEX(音調表!$D$3:$D$12, MATCH(TRUE, EXACT(MID($D14,J$3,1), 音調表!$B$3:$B$12),0)))</f>
        <v/>
      </c>
      <c r="K14" s="15" t="str" cm="1">
        <f t="array" ref="K14" xml:space="preserve"> IF(K$3&lt;&gt;$E14, MID($D14,K$3,1), INDEX(音調表!$D$3:$D$12, MATCH(TRUE, EXACT(MID($D14,K$3,1), 音調表!$B$3:$B$12),0)))</f>
        <v/>
      </c>
      <c r="L14" s="15" t="str" cm="1">
        <f t="array" ref="L14" xml:space="preserve"> IF(L$3&lt;&gt;$E14, MID($D14,L$3,1), INDEX(音調表!$D$3:$D$12, MATCH(TRUE, EXACT(MID($D14,L$3,1), 音調表!$B$3:$B$12),0)))</f>
        <v/>
      </c>
      <c r="M14" s="15" t="str" cm="1">
        <f t="array" ref="M14" xml:space="preserve"> IF(M$3&lt;&gt;$E14, MID($D14,M$3,1), INDEX(音調表!$D$3:$D$12, MATCH(TRUE, EXACT(MID($D14,M$3,1), 音調表!$B$3:$B$12),0)))</f>
        <v/>
      </c>
      <c r="N14" s="16" t="str" cm="1">
        <f t="array" ref="N14" xml:space="preserve"> IF(N$3&lt;&gt;$E14, MID($D14,N$3,1), INDEX(音調表!$D$3:$D$12, MATCH(TRUE, EXACT(MID($D14,N$3,1), 音調表!$B$3:$B$12),0)))</f>
        <v/>
      </c>
      <c r="P14" s="2"/>
      <c r="Q14" s="2"/>
    </row>
    <row r="15" spans="2:18" ht="45.75" x14ac:dyDescent="0.25">
      <c r="B15" s="12" t="s">
        <v>65</v>
      </c>
      <c r="C15" s="32" t="s">
        <v>142</v>
      </c>
      <c r="D15" s="13" t="s">
        <v>98</v>
      </c>
      <c r="E15" s="14">
        <f t="shared" si="0"/>
        <v>6</v>
      </c>
      <c r="F15" s="15" t="str" cm="1">
        <f t="array" ref="F15" xml:space="preserve"> IF(F$3&lt;&gt;$E15, MID($D15,F$3,1), INDEX(音調表!$D$3:$D$12, MATCH(TRUE, EXACT(MID($D15,F$3,1), 音調表!$B$3:$B$12),0)))</f>
        <v>s</v>
      </c>
      <c r="G15" s="15" t="str" cm="1">
        <f t="array" ref="G15" xml:space="preserve"> IF(G$3&lt;&gt;$E15, MID($D15,G$3,1), INDEX(音調表!$D$3:$D$12, MATCH(TRUE, EXACT(MID($D15,G$3,1), 音調表!$B$3:$B$12),0)))</f>
        <v>i</v>
      </c>
      <c r="H15" s="15" t="str" cm="1">
        <f t="array" ref="H15" xml:space="preserve"> IF(H$3&lt;&gt;$E15, MID($D15,H$3,1), INDEX(音調表!$D$3:$D$12, MATCH(TRUE, EXACT(MID($D15,H$3,1), 音調表!$B$3:$B$12),0)))</f>
        <v>o</v>
      </c>
      <c r="I15" s="15" t="str" cm="1">
        <f t="array" ref="I15" xml:space="preserve"> IF(I$3&lt;&gt;$E15, MID($D15,I$3,1), INDEX(音調表!$D$3:$D$12, MATCH(TRUE, EXACT(MID($D15,I$3,1), 音調表!$B$3:$B$12),0)))</f>
        <v>n</v>
      </c>
      <c r="J15" s="15" t="str" cm="1">
        <f t="array" ref="J15" xml:space="preserve"> IF(J$3&lt;&gt;$E15, MID($D15,J$3,1), INDEX(音調表!$D$3:$D$12, MATCH(TRUE, EXACT(MID($D15,J$3,1), 音調表!$B$3:$B$12),0)))</f>
        <v>g</v>
      </c>
      <c r="K15" s="15" t="str" cm="1">
        <f t="array" ref="K15" xml:space="preserve"> IF(K$3&lt;&gt;$E15, MID($D15,K$3,1), INDEX(音調表!$D$3:$D$12, MATCH(TRUE, EXACT(MID($D15,K$3,1), 音調表!$B$3:$B$12),0)))</f>
        <v>\</v>
      </c>
      <c r="L15" s="15" t="str" cm="1">
        <f t="array" ref="L15" xml:space="preserve"> IF(L$3&lt;&gt;$E15, MID($D15,L$3,1), INDEX(音調表!$D$3:$D$12, MATCH(TRUE, EXACT(MID($D15,L$3,1), 音調表!$B$3:$B$12),0)))</f>
        <v/>
      </c>
      <c r="M15" s="15" t="str" cm="1">
        <f t="array" ref="M15" xml:space="preserve"> IF(M$3&lt;&gt;$E15, MID($D15,M$3,1), INDEX(音調表!$D$3:$D$12, MATCH(TRUE, EXACT(MID($D15,M$3,1), 音調表!$B$3:$B$12),0)))</f>
        <v/>
      </c>
      <c r="N15" s="16" t="str" cm="1">
        <f t="array" ref="N15" xml:space="preserve"> IF(N$3&lt;&gt;$E15, MID($D15,N$3,1), INDEX(音調表!$D$3:$D$12, MATCH(TRUE, EXACT(MID($D15,N$3,1), 音調表!$B$3:$B$12),0)))</f>
        <v/>
      </c>
      <c r="P15" s="2"/>
      <c r="Q15" s="2"/>
    </row>
    <row r="16" spans="2:18" ht="45.75" x14ac:dyDescent="0.25">
      <c r="B16" s="12" t="s">
        <v>66</v>
      </c>
      <c r="C16" s="32" t="s">
        <v>143</v>
      </c>
      <c r="D16" s="13" t="s">
        <v>99</v>
      </c>
      <c r="E16" s="14">
        <f t="shared" si="0"/>
        <v>4</v>
      </c>
      <c r="F16" s="15" t="str" cm="1">
        <f t="array" ref="F16" xml:space="preserve"> IF(F$3&lt;&gt;$E16, MID($D16,F$3,1), INDEX(音調表!$D$3:$D$12, MATCH(TRUE, EXACT(MID($D16,F$3,1), 音調表!$B$3:$B$12),0)))</f>
        <v>p</v>
      </c>
      <c r="G16" s="15" t="str" cm="1">
        <f t="array" ref="G16" xml:space="preserve"> IF(G$3&lt;&gt;$E16, MID($D16,G$3,1), INDEX(音調表!$D$3:$D$12, MATCH(TRUE, EXACT(MID($D16,G$3,1), 音調表!$B$3:$B$12),0)))</f>
        <v>i</v>
      </c>
      <c r="H16" s="15" t="str" cm="1">
        <f t="array" ref="H16" xml:space="preserve"> IF(H$3&lt;&gt;$E16, MID($D16,H$3,1), INDEX(音調表!$D$3:$D$12, MATCH(TRUE, EXACT(MID($D16,H$3,1), 音調表!$B$3:$B$12),0)))</f>
        <v>k</v>
      </c>
      <c r="I16" s="15" t="str" cm="1">
        <f t="array" ref="I16" xml:space="preserve"> IF(I$3&lt;&gt;$E16, MID($D16,I$3,1), INDEX(音調表!$D$3:$D$12, MATCH(TRUE, EXACT(MID($D16,I$3,1), 音調表!$B$3:$B$12),0)))</f>
        <v>]</v>
      </c>
      <c r="J16" s="15" t="str" cm="1">
        <f t="array" ref="J16" xml:space="preserve"> IF(J$3&lt;&gt;$E16, MID($D16,J$3,1), INDEX(音調表!$D$3:$D$12, MATCH(TRUE, EXACT(MID($D16,J$3,1), 音調表!$B$3:$B$12),0)))</f>
        <v/>
      </c>
      <c r="K16" s="15" t="str" cm="1">
        <f t="array" ref="K16" xml:space="preserve"> IF(K$3&lt;&gt;$E16, MID($D16,K$3,1), INDEX(音調表!$D$3:$D$12, MATCH(TRUE, EXACT(MID($D16,K$3,1), 音調表!$B$3:$B$12),0)))</f>
        <v/>
      </c>
      <c r="L16" s="15" t="str" cm="1">
        <f t="array" ref="L16" xml:space="preserve"> IF(L$3&lt;&gt;$E16, MID($D16,L$3,1), INDEX(音調表!$D$3:$D$12, MATCH(TRUE, EXACT(MID($D16,L$3,1), 音調表!$B$3:$B$12),0)))</f>
        <v/>
      </c>
      <c r="M16" s="15" t="str" cm="1">
        <f t="array" ref="M16" xml:space="preserve"> IF(M$3&lt;&gt;$E16, MID($D16,M$3,1), INDEX(音調表!$D$3:$D$12, MATCH(TRUE, EXACT(MID($D16,M$3,1), 音調表!$B$3:$B$12),0)))</f>
        <v/>
      </c>
      <c r="N16" s="16" t="str" cm="1">
        <f t="array" ref="N16" xml:space="preserve"> IF(N$3&lt;&gt;$E16, MID($D16,N$3,1), INDEX(音調表!$D$3:$D$12, MATCH(TRUE, EXACT(MID($D16,N$3,1), 音調表!$B$3:$B$12),0)))</f>
        <v/>
      </c>
      <c r="P16" s="2"/>
      <c r="Q16" s="2"/>
    </row>
    <row r="17" spans="2:17" ht="45.75" x14ac:dyDescent="0.25">
      <c r="B17" s="12" t="s">
        <v>67</v>
      </c>
      <c r="C17" s="32" t="s">
        <v>144</v>
      </c>
      <c r="D17" s="13" t="s">
        <v>100</v>
      </c>
      <c r="E17" s="14">
        <f t="shared" si="0"/>
        <v>4</v>
      </c>
      <c r="F17" s="15" t="str" cm="1">
        <f t="array" ref="F17" xml:space="preserve"> IF(F$3&lt;&gt;$E17, MID($D17,F$3,1), INDEX(音調表!$D$3:$D$12, MATCH(TRUE, EXACT(MID($D17,F$3,1), 音調表!$B$3:$B$12),0)))</f>
        <v>h</v>
      </c>
      <c r="G17" s="15" t="str" cm="1">
        <f t="array" ref="G17" xml:space="preserve"> IF(G$3&lt;&gt;$E17, MID($D17,G$3,1), INDEX(音調表!$D$3:$D$12, MATCH(TRUE, EXACT(MID($D17,G$3,1), 音調表!$B$3:$B$12),0)))</f>
        <v>u</v>
      </c>
      <c r="H17" s="15" t="str" cm="1">
        <f t="array" ref="H17" xml:space="preserve"> IF(H$3&lt;&gt;$E17, MID($D17,H$3,1), INDEX(音調表!$D$3:$D$12, MATCH(TRUE, EXACT(MID($D17,H$3,1), 音調表!$B$3:$B$12),0)))</f>
        <v>n</v>
      </c>
      <c r="I17" s="15" t="str" cm="1">
        <f t="array" ref="I17" xml:space="preserve"> IF(I$3&lt;&gt;$E17, MID($D17,I$3,1), INDEX(音調表!$D$3:$D$12, MATCH(TRUE, EXACT(MID($D17,I$3,1), 音調表!$B$3:$B$12),0)))</f>
        <v>/</v>
      </c>
      <c r="J17" s="15" t="str" cm="1">
        <f t="array" ref="J17" xml:space="preserve"> IF(J$3&lt;&gt;$E17, MID($D17,J$3,1), INDEX(音調表!$D$3:$D$12, MATCH(TRUE, EXACT(MID($D17,J$3,1), 音調表!$B$3:$B$12),0)))</f>
        <v/>
      </c>
      <c r="K17" s="15" t="str" cm="1">
        <f t="array" ref="K17" xml:space="preserve"> IF(K$3&lt;&gt;$E17, MID($D17,K$3,1), INDEX(音調表!$D$3:$D$12, MATCH(TRUE, EXACT(MID($D17,K$3,1), 音調表!$B$3:$B$12),0)))</f>
        <v/>
      </c>
      <c r="L17" s="15" t="str" cm="1">
        <f t="array" ref="L17" xml:space="preserve"> IF(L$3&lt;&gt;$E17, MID($D17,L$3,1), INDEX(音調表!$D$3:$D$12, MATCH(TRUE, EXACT(MID($D17,L$3,1), 音調表!$B$3:$B$12),0)))</f>
        <v/>
      </c>
      <c r="M17" s="15" t="str" cm="1">
        <f t="array" ref="M17" xml:space="preserve"> IF(M$3&lt;&gt;$E17, MID($D17,M$3,1), INDEX(音調表!$D$3:$D$12, MATCH(TRUE, EXACT(MID($D17,M$3,1), 音調表!$B$3:$B$12),0)))</f>
        <v/>
      </c>
      <c r="N17" s="16" t="str" cm="1">
        <f t="array" ref="N17" xml:space="preserve"> IF(N$3&lt;&gt;$E17, MID($D17,N$3,1), INDEX(音調表!$D$3:$D$12, MATCH(TRUE, EXACT(MID($D17,N$3,1), 音調表!$B$3:$B$12),0)))</f>
        <v/>
      </c>
      <c r="P17" s="2"/>
      <c r="Q17" s="2"/>
    </row>
    <row r="18" spans="2:17" ht="45.75" x14ac:dyDescent="0.25">
      <c r="B18" s="12" t="s">
        <v>68</v>
      </c>
      <c r="C18" s="32" t="s">
        <v>145</v>
      </c>
      <c r="D18" s="13" t="s">
        <v>101</v>
      </c>
      <c r="E18" s="14">
        <f t="shared" si="0"/>
        <v>4</v>
      </c>
      <c r="F18" s="15" t="str" cm="1">
        <f t="array" ref="F18" xml:space="preserve"> IF(F$3&lt;&gt;$E18, MID($D18,F$3,1), INDEX(音調表!$D$3:$D$12, MATCH(TRUE, EXACT(MID($D18,F$3,1), 音調表!$B$3:$B$12),0)))</f>
        <v>k</v>
      </c>
      <c r="G18" s="15" t="str" cm="1">
        <f t="array" ref="G18" xml:space="preserve"> IF(G$3&lt;&gt;$E18, MID($D18,G$3,1), INDEX(音調表!$D$3:$D$12, MATCH(TRUE, EXACT(MID($D18,G$3,1), 音調表!$B$3:$B$12),0)))</f>
        <v>a</v>
      </c>
      <c r="H18" s="15" t="str" cm="1">
        <f t="array" ref="H18" xml:space="preserve"> IF(H$3&lt;&gt;$E18, MID($D18,H$3,1), INDEX(音調表!$D$3:$D$12, MATCH(TRUE, EXACT(MID($D18,H$3,1), 音調表!$B$3:$B$12),0)))</f>
        <v>n</v>
      </c>
      <c r="I18" s="15" t="str" cm="1">
        <f t="array" ref="I18" xml:space="preserve"> IF(I$3&lt;&gt;$E18, MID($D18,I$3,1), INDEX(音調表!$D$3:$D$12, MATCH(TRUE, EXACT(MID($D18,I$3,1), 音調表!$B$3:$B$12),0)))</f>
        <v>;</v>
      </c>
      <c r="J18" s="15" t="str" cm="1">
        <f t="array" ref="J18" xml:space="preserve"> IF(J$3&lt;&gt;$E18, MID($D18,J$3,1), INDEX(音調表!$D$3:$D$12, MATCH(TRUE, EXACT(MID($D18,J$3,1), 音調表!$B$3:$B$12),0)))</f>
        <v/>
      </c>
      <c r="K18" s="15" t="str" cm="1">
        <f t="array" ref="K18" xml:space="preserve"> IF(K$3&lt;&gt;$E18, MID($D18,K$3,1), INDEX(音調表!$D$3:$D$12, MATCH(TRUE, EXACT(MID($D18,K$3,1), 音調表!$B$3:$B$12),0)))</f>
        <v/>
      </c>
      <c r="L18" s="15" t="str" cm="1">
        <f t="array" ref="L18" xml:space="preserve"> IF(L$3&lt;&gt;$E18, MID($D18,L$3,1), INDEX(音調表!$D$3:$D$12, MATCH(TRUE, EXACT(MID($D18,L$3,1), 音調表!$B$3:$B$12),0)))</f>
        <v/>
      </c>
      <c r="M18" s="15" t="str" cm="1">
        <f t="array" ref="M18" xml:space="preserve"> IF(M$3&lt;&gt;$E18, MID($D18,M$3,1), INDEX(音調表!$D$3:$D$12, MATCH(TRUE, EXACT(MID($D18,M$3,1), 音調表!$B$3:$B$12),0)))</f>
        <v/>
      </c>
      <c r="N18" s="16" t="str" cm="1">
        <f t="array" ref="N18" xml:space="preserve"> IF(N$3&lt;&gt;$E18, MID($D18,N$3,1), INDEX(音調表!$D$3:$D$12, MATCH(TRUE, EXACT(MID($D18,N$3,1), 音調表!$B$3:$B$12),0)))</f>
        <v/>
      </c>
      <c r="P18" s="2"/>
      <c r="Q18" s="2"/>
    </row>
    <row r="19" spans="2:17" ht="45.75" x14ac:dyDescent="0.25">
      <c r="B19" s="12" t="s">
        <v>69</v>
      </c>
      <c r="C19" s="32"/>
      <c r="D19" s="13"/>
      <c r="E19" s="14" t="str">
        <f t="shared" si="0"/>
        <v/>
      </c>
      <c r="F19" s="15" t="s">
        <v>103</v>
      </c>
      <c r="G19" s="15" t="s">
        <v>104</v>
      </c>
      <c r="H19" s="15" t="str" cm="1">
        <f t="array" ref="H19" xml:space="preserve"> IF(H$3&lt;&gt;$E19, MID($D19,H$3,1), INDEX(音調表!$D$3:$D$12, MATCH(TRUE, EXACT(MID($D19,H$3,1), 音調表!$B$3:$B$12),0)))</f>
        <v/>
      </c>
      <c r="I19" s="15" t="str" cm="1">
        <f t="array" ref="I19" xml:space="preserve"> IF(I$3&lt;&gt;$E19, MID($D19,I$3,1), INDEX(音調表!$D$3:$D$12, MATCH(TRUE, EXACT(MID($D19,I$3,1), 音調表!$B$3:$B$12),0)))</f>
        <v/>
      </c>
      <c r="J19" s="15" t="str" cm="1">
        <f t="array" ref="J19" xml:space="preserve"> IF(J$3&lt;&gt;$E19, MID($D19,J$3,1), INDEX(音調表!$D$3:$D$12, MATCH(TRUE, EXACT(MID($D19,J$3,1), 音調表!$B$3:$B$12),0)))</f>
        <v/>
      </c>
      <c r="K19" s="15" t="str" cm="1">
        <f t="array" ref="K19" xml:space="preserve"> IF(K$3&lt;&gt;$E19, MID($D19,K$3,1), INDEX(音調表!$D$3:$D$12, MATCH(TRUE, EXACT(MID($D19,K$3,1), 音調表!$B$3:$B$12),0)))</f>
        <v/>
      </c>
      <c r="L19" s="15" t="str" cm="1">
        <f t="array" ref="L19" xml:space="preserve"> IF(L$3&lt;&gt;$E19, MID($D19,L$3,1), INDEX(音調表!$D$3:$D$12, MATCH(TRUE, EXACT(MID($D19,L$3,1), 音調表!$B$3:$B$12),0)))</f>
        <v/>
      </c>
      <c r="M19" s="15" t="str" cm="1">
        <f t="array" ref="M19" xml:space="preserve"> IF(M$3&lt;&gt;$E19, MID($D19,M$3,1), INDEX(音調表!$D$3:$D$12, MATCH(TRUE, EXACT(MID($D19,M$3,1), 音調表!$B$3:$B$12),0)))</f>
        <v/>
      </c>
      <c r="N19" s="16" t="str" cm="1">
        <f t="array" ref="N19" xml:space="preserve"> IF(N$3&lt;&gt;$E19, MID($D19,N$3,1), INDEX(音調表!$D$3:$D$12, MATCH(TRUE, EXACT(MID($D19,N$3,1), 音調表!$B$3:$B$12),0)))</f>
        <v/>
      </c>
      <c r="P19" s="2"/>
      <c r="Q19" s="2"/>
    </row>
    <row r="20" spans="2:17" ht="45.75" x14ac:dyDescent="0.25">
      <c r="B20" s="12" t="s">
        <v>70</v>
      </c>
      <c r="C20" s="32" t="s">
        <v>146</v>
      </c>
      <c r="D20" s="13" t="s">
        <v>106</v>
      </c>
      <c r="E20" s="14">
        <f t="shared" si="0"/>
        <v>3</v>
      </c>
      <c r="F20" s="15" t="str" cm="1">
        <f t="array" ref="F20" xml:space="preserve"> IF(F$3&lt;&gt;$E20, MID($D20,F$3,1), INDEX(音調表!$D$3:$D$12, MATCH(TRUE, EXACT(MID($D20,F$3,1), 音調表!$B$3:$B$12),0)))</f>
        <v>i</v>
      </c>
      <c r="G20" s="15" t="str" cm="1">
        <f t="array" ref="G20" xml:space="preserve"> IF(G$3&lt;&gt;$E20, MID($D20,G$3,1), INDEX(音調表!$D$3:$D$12, MATCH(TRUE, EXACT(MID($D20,G$3,1), 音調表!$B$3:$B$12),0)))</f>
        <v>t</v>
      </c>
      <c r="H20" s="15" t="str" cm="1">
        <f t="array" ref="H20" xml:space="preserve"> IF(H$3&lt;&gt;$E20, MID($D20,H$3,1), INDEX(音調表!$D$3:$D$12, MATCH(TRUE, EXACT(MID($D20,H$3,1), 音調表!$B$3:$B$12),0)))</f>
        <v>[</v>
      </c>
      <c r="I20" s="15" t="str" cm="1">
        <f t="array" ref="I20" xml:space="preserve"> IF(I$3&lt;&gt;$E20, MID($D20,I$3,1), INDEX(音調表!$D$3:$D$12, MATCH(TRUE, EXACT(MID($D20,I$3,1), 音調表!$B$3:$B$12),0)))</f>
        <v/>
      </c>
      <c r="J20" s="15" t="str" cm="1">
        <f t="array" ref="J20" xml:space="preserve"> IF(J$3&lt;&gt;$E20, MID($D20,J$3,1), INDEX(音調表!$D$3:$D$12, MATCH(TRUE, EXACT(MID($D20,J$3,1), 音調表!$B$3:$B$12),0)))</f>
        <v/>
      </c>
      <c r="K20" s="15" t="str" cm="1">
        <f t="array" ref="K20" xml:space="preserve"> IF(K$3&lt;&gt;$E20, MID($D20,K$3,1), INDEX(音調表!$D$3:$D$12, MATCH(TRUE, EXACT(MID($D20,K$3,1), 音調表!$B$3:$B$12),0)))</f>
        <v/>
      </c>
      <c r="L20" s="15" t="str" cm="1">
        <f t="array" ref="L20" xml:space="preserve"> IF(L$3&lt;&gt;$E20, MID($D20,L$3,1), INDEX(音調表!$D$3:$D$12, MATCH(TRUE, EXACT(MID($D20,L$3,1), 音調表!$B$3:$B$12),0)))</f>
        <v/>
      </c>
      <c r="M20" s="15" t="str" cm="1">
        <f t="array" ref="M20" xml:space="preserve"> IF(M$3&lt;&gt;$E20, MID($D20,M$3,1), INDEX(音調表!$D$3:$D$12, MATCH(TRUE, EXACT(MID($D20,M$3,1), 音調表!$B$3:$B$12),0)))</f>
        <v/>
      </c>
      <c r="N20" s="16" t="str" cm="1">
        <f t="array" ref="N20" xml:space="preserve"> IF(N$3&lt;&gt;$E20, MID($D20,N$3,1), INDEX(音調表!$D$3:$D$12, MATCH(TRUE, EXACT(MID($D20,N$3,1), 音調表!$B$3:$B$12),0)))</f>
        <v/>
      </c>
      <c r="P20" s="2"/>
      <c r="Q20" s="2"/>
    </row>
    <row r="21" spans="2:17" ht="45.75" x14ac:dyDescent="0.25">
      <c r="B21" s="12" t="s">
        <v>71</v>
      </c>
      <c r="C21" s="32" t="s">
        <v>147</v>
      </c>
      <c r="D21" s="13" t="s">
        <v>107</v>
      </c>
      <c r="E21" s="14">
        <f t="shared" si="0"/>
        <v>6</v>
      </c>
      <c r="F21" s="15" t="str" cm="1">
        <f t="array" ref="F21" xml:space="preserve"> IF(F$3&lt;&gt;$E21, MID($D21,F$3,1), INDEX(音調表!$D$3:$D$12, MATCH(TRUE, EXACT(MID($D21,F$3,1), 音調表!$B$3:$B$12),0)))</f>
        <v>p</v>
      </c>
      <c r="G21" s="15" t="str" cm="1">
        <f t="array" ref="G21" xml:space="preserve"> IF(G$3&lt;&gt;$E21, MID($D21,G$3,1), INDEX(音調表!$D$3:$D$12, MATCH(TRUE, EXACT(MID($D21,G$3,1), 音調表!$B$3:$B$12),0)))</f>
        <v>h</v>
      </c>
      <c r="H21" s="15" t="str" cm="1">
        <f t="array" ref="H21" xml:space="preserve"> IF(H$3&lt;&gt;$E21, MID($D21,H$3,1), INDEX(音調表!$D$3:$D$12, MATCH(TRUE, EXACT(MID($D21,H$3,1), 音調表!$B$3:$B$12),0)))</f>
        <v>i</v>
      </c>
      <c r="I21" s="15" t="str" cm="1">
        <f t="array" ref="I21" xml:space="preserve"> IF(I$3&lt;&gt;$E21, MID($D21,I$3,1), INDEX(音調表!$D$3:$D$12, MATCH(TRUE, EXACT(MID($D21,I$3,1), 音調表!$B$3:$B$12),0)))</f>
        <v>a</v>
      </c>
      <c r="J21" s="15" t="str" cm="1">
        <f t="array" ref="J21" xml:space="preserve"> IF(J$3&lt;&gt;$E21, MID($D21,J$3,1), INDEX(音調表!$D$3:$D$12, MATCH(TRUE, EXACT(MID($D21,J$3,1), 音調表!$B$3:$B$12),0)))</f>
        <v>n</v>
      </c>
      <c r="K21" s="15" t="str" cm="1">
        <f t="array" ref="K21" xml:space="preserve"> IF(K$3&lt;&gt;$E21, MID($D21,K$3,1), INDEX(音調表!$D$3:$D$12, MATCH(TRUE, EXACT(MID($D21,K$3,1), 音調表!$B$3:$B$12),0)))</f>
        <v>_</v>
      </c>
      <c r="L21" s="15" t="str" cm="1">
        <f t="array" ref="L21" xml:space="preserve"> IF(L$3&lt;&gt;$E21, MID($D21,L$3,1), INDEX(音調表!$D$3:$D$12, MATCH(TRUE, EXACT(MID($D21,L$3,1), 音調表!$B$3:$B$12),0)))</f>
        <v/>
      </c>
      <c r="M21" s="15" t="str" cm="1">
        <f t="array" ref="M21" xml:space="preserve"> IF(M$3&lt;&gt;$E21, MID($D21,M$3,1), INDEX(音調表!$D$3:$D$12, MATCH(TRUE, EXACT(MID($D21,M$3,1), 音調表!$B$3:$B$12),0)))</f>
        <v/>
      </c>
      <c r="N21" s="16" t="str" cm="1">
        <f t="array" ref="N21" xml:space="preserve"> IF(N$3&lt;&gt;$E21, MID($D21,N$3,1), INDEX(音調表!$D$3:$D$12, MATCH(TRUE, EXACT(MID($D21,N$3,1), 音調表!$B$3:$B$12),0)))</f>
        <v/>
      </c>
      <c r="P21" s="2"/>
      <c r="Q21" s="2"/>
    </row>
    <row r="22" spans="2:17" ht="45.75" x14ac:dyDescent="0.25">
      <c r="B22" s="12" t="s">
        <v>72</v>
      </c>
      <c r="C22" s="32" t="s">
        <v>148</v>
      </c>
      <c r="D22" s="13" t="s">
        <v>108</v>
      </c>
      <c r="E22" s="14">
        <f t="shared" si="0"/>
        <v>4</v>
      </c>
      <c r="F22" s="15" t="str" cm="1">
        <f t="array" ref="F22" xml:space="preserve"> IF(F$3&lt;&gt;$E22, MID($D22,F$3,1), INDEX(音調表!$D$3:$D$12, MATCH(TRUE, EXACT(MID($D22,F$3,1), 音調表!$B$3:$B$12),0)))</f>
        <v>k</v>
      </c>
      <c r="G22" s="15" t="str" cm="1">
        <f t="array" ref="G22" xml:space="preserve"> IF(G$3&lt;&gt;$E22, MID($D22,G$3,1), INDEX(音調表!$D$3:$D$12, MATCH(TRUE, EXACT(MID($D22,G$3,1), 音調表!$B$3:$B$12),0)))</f>
        <v>o</v>
      </c>
      <c r="H22" s="15" t="str" cm="1">
        <f t="array" ref="H22" xml:space="preserve"> IF(H$3&lt;&gt;$E22, MID($D22,H$3,1), INDEX(音調表!$D$3:$D$12, MATCH(TRUE, EXACT(MID($D22,H$3,1), 音調表!$B$3:$B$12),0)))</f>
        <v>o</v>
      </c>
      <c r="I22" s="15" t="str" cm="1">
        <f t="array" ref="I22" xml:space="preserve"> IF(I$3&lt;&gt;$E22, MID($D22,I$3,1), INDEX(音調表!$D$3:$D$12, MATCH(TRUE, EXACT(MID($D22,I$3,1), 音調表!$B$3:$B$12),0)))</f>
        <v>;</v>
      </c>
      <c r="J22" s="15" t="str" cm="1">
        <f t="array" ref="J22" xml:space="preserve"> IF(J$3&lt;&gt;$E22, MID($D22,J$3,1), INDEX(音調表!$D$3:$D$12, MATCH(TRUE, EXACT(MID($D22,J$3,1), 音調表!$B$3:$B$12),0)))</f>
        <v/>
      </c>
      <c r="K22" s="15" t="str" cm="1">
        <f t="array" ref="K22" xml:space="preserve"> IF(K$3&lt;&gt;$E22, MID($D22,K$3,1), INDEX(音調表!$D$3:$D$12, MATCH(TRUE, EXACT(MID($D22,K$3,1), 音調表!$B$3:$B$12),0)))</f>
        <v/>
      </c>
      <c r="L22" s="15" t="str" cm="1">
        <f t="array" ref="L22" xml:space="preserve"> IF(L$3&lt;&gt;$E22, MID($D22,L$3,1), INDEX(音調表!$D$3:$D$12, MATCH(TRUE, EXACT(MID($D22,L$3,1), 音調表!$B$3:$B$12),0)))</f>
        <v/>
      </c>
      <c r="M22" s="15" t="str" cm="1">
        <f t="array" ref="M22" xml:space="preserve"> IF(M$3&lt;&gt;$E22, MID($D22,M$3,1), INDEX(音調表!$D$3:$D$12, MATCH(TRUE, EXACT(MID($D22,M$3,1), 音調表!$B$3:$B$12),0)))</f>
        <v/>
      </c>
      <c r="N22" s="16" t="str" cm="1">
        <f t="array" ref="N22" xml:space="preserve"> IF(N$3&lt;&gt;$E22, MID($D22,N$3,1), INDEX(音調表!$D$3:$D$12, MATCH(TRUE, EXACT(MID($D22,N$3,1), 音調表!$B$3:$B$12),0)))</f>
        <v/>
      </c>
      <c r="P22" s="2"/>
      <c r="Q22" s="2"/>
    </row>
    <row r="23" spans="2:17" ht="45.75" x14ac:dyDescent="0.25">
      <c r="B23" s="12" t="s">
        <v>73</v>
      </c>
      <c r="C23" s="32" t="s">
        <v>149</v>
      </c>
      <c r="D23" s="13" t="s">
        <v>109</v>
      </c>
      <c r="E23" s="14">
        <f t="shared" si="0"/>
        <v>5</v>
      </c>
      <c r="F23" s="15" t="str" cm="1">
        <f t="array" ref="F23" xml:space="preserve"> IF(F$3&lt;&gt;$E23, MID($D23,F$3,1), INDEX(音調表!$D$3:$D$12, MATCH(TRUE, EXACT(MID($D23,F$3,1), 音調表!$B$3:$B$12),0)))</f>
        <v>s</v>
      </c>
      <c r="G23" s="15" t="str" cm="1">
        <f t="array" ref="G23" xml:space="preserve"> IF(G$3&lt;&gt;$E23, MID($D23,G$3,1), INDEX(音調表!$D$3:$D$12, MATCH(TRUE, EXACT(MID($D23,G$3,1), 音調表!$B$3:$B$12),0)))</f>
        <v>i</v>
      </c>
      <c r="H23" s="15" t="str" cm="1">
        <f t="array" ref="H23" xml:space="preserve"> IF(H$3&lt;&gt;$E23, MID($D23,H$3,1), INDEX(音調表!$D$3:$D$12, MATCH(TRUE, EXACT(MID($D23,H$3,1), 音調表!$B$3:$B$12),0)))</f>
        <v>n</v>
      </c>
      <c r="I23" s="15" t="str" cm="1">
        <f t="array" ref="I23" xml:space="preserve"> IF(I$3&lt;&gt;$E23, MID($D23,I$3,1), INDEX(音調表!$D$3:$D$12, MATCH(TRUE, EXACT(MID($D23,I$3,1), 音調表!$B$3:$B$12),0)))</f>
        <v>g</v>
      </c>
      <c r="J23" s="15" t="str" cm="1">
        <f t="array" ref="J23" xml:space="preserve"> IF(J$3&lt;&gt;$E23, MID($D23,J$3,1), INDEX(音調表!$D$3:$D$12, MATCH(TRUE, EXACT(MID($D23,J$3,1), 音調表!$B$3:$B$12),0)))</f>
        <v>/</v>
      </c>
      <c r="K23" s="15" t="str" cm="1">
        <f t="array" ref="K23" xml:space="preserve"> IF(K$3&lt;&gt;$E23, MID($D23,K$3,1), INDEX(音調表!$D$3:$D$12, MATCH(TRUE, EXACT(MID($D23,K$3,1), 音調表!$B$3:$B$12),0)))</f>
        <v/>
      </c>
      <c r="L23" s="15" t="str" cm="1">
        <f t="array" ref="L23" xml:space="preserve"> IF(L$3&lt;&gt;$E23, MID($D23,L$3,1), INDEX(音調表!$D$3:$D$12, MATCH(TRUE, EXACT(MID($D23,L$3,1), 音調表!$B$3:$B$12),0)))</f>
        <v/>
      </c>
      <c r="M23" s="15" t="str" cm="1">
        <f t="array" ref="M23" xml:space="preserve"> IF(M$3&lt;&gt;$E23, MID($D23,M$3,1), INDEX(音調表!$D$3:$D$12, MATCH(TRUE, EXACT(MID($D23,M$3,1), 音調表!$B$3:$B$12),0)))</f>
        <v/>
      </c>
      <c r="N23" s="16" t="str" cm="1">
        <f t="array" ref="N23" xml:space="preserve"> IF(N$3&lt;&gt;$E23, MID($D23,N$3,1), INDEX(音調表!$D$3:$D$12, MATCH(TRUE, EXACT(MID($D23,N$3,1), 音調表!$B$3:$B$12),0)))</f>
        <v/>
      </c>
      <c r="P23" s="2"/>
      <c r="Q23" s="2"/>
    </row>
    <row r="24" spans="2:17" ht="45.75" x14ac:dyDescent="0.25">
      <c r="B24" s="12" t="s">
        <v>74</v>
      </c>
      <c r="C24" s="32" t="s">
        <v>150</v>
      </c>
      <c r="D24" s="13" t="s">
        <v>110</v>
      </c>
      <c r="E24" s="14">
        <f t="shared" si="0"/>
        <v>4</v>
      </c>
      <c r="F24" s="15" t="str" cm="1">
        <f t="array" ref="F24" xml:space="preserve"> IF(F$3&lt;&gt;$E24, MID($D24,F$3,1), INDEX(音調表!$D$3:$D$12, MATCH(TRUE, EXACT(MID($D24,F$3,1), 音調表!$B$3:$B$12),0)))</f>
        <v>b</v>
      </c>
      <c r="G24" s="15" t="str" cm="1">
        <f t="array" ref="G24" xml:space="preserve"> IF(G$3&lt;&gt;$E24, MID($D24,G$3,1), INDEX(音調表!$D$3:$D$12, MATCH(TRUE, EXACT(MID($D24,G$3,1), 音調表!$B$3:$B$12),0)))</f>
        <v>a</v>
      </c>
      <c r="H24" s="15" t="str" cm="1">
        <f t="array" ref="H24" xml:space="preserve"> IF(H$3&lt;&gt;$E24, MID($D24,H$3,1), INDEX(音調表!$D$3:$D$12, MATCH(TRUE, EXACT(MID($D24,H$3,1), 音調表!$B$3:$B$12),0)))</f>
        <v>n</v>
      </c>
      <c r="I24" s="15" t="str" cm="1">
        <f t="array" ref="I24" xml:space="preserve"> IF(I$3&lt;&gt;$E24, MID($D24,I$3,1), INDEX(音調表!$D$3:$D$12, MATCH(TRUE, EXACT(MID($D24,I$3,1), 音調表!$B$3:$B$12),0)))</f>
        <v>-</v>
      </c>
      <c r="J24" s="15" t="str" cm="1">
        <f t="array" ref="J24" xml:space="preserve"> IF(J$3&lt;&gt;$E24, MID($D24,J$3,1), INDEX(音調表!$D$3:$D$12, MATCH(TRUE, EXACT(MID($D24,J$3,1), 音調表!$B$3:$B$12),0)))</f>
        <v/>
      </c>
      <c r="K24" s="15" t="str" cm="1">
        <f t="array" ref="K24" xml:space="preserve"> IF(K$3&lt;&gt;$E24, MID($D24,K$3,1), INDEX(音調表!$D$3:$D$12, MATCH(TRUE, EXACT(MID($D24,K$3,1), 音調表!$B$3:$B$12),0)))</f>
        <v/>
      </c>
      <c r="L24" s="15" t="str" cm="1">
        <f t="array" ref="L24" xml:space="preserve"> IF(L$3&lt;&gt;$E24, MID($D24,L$3,1), INDEX(音調表!$D$3:$D$12, MATCH(TRUE, EXACT(MID($D24,L$3,1), 音調表!$B$3:$B$12),0)))</f>
        <v/>
      </c>
      <c r="M24" s="15" t="str" cm="1">
        <f t="array" ref="M24" xml:space="preserve"> IF(M$3&lt;&gt;$E24, MID($D24,M$3,1), INDEX(音調表!$D$3:$D$12, MATCH(TRUE, EXACT(MID($D24,M$3,1), 音調表!$B$3:$B$12),0)))</f>
        <v/>
      </c>
      <c r="N24" s="16" t="str" cm="1">
        <f t="array" ref="N24" xml:space="preserve"> IF(N$3&lt;&gt;$E24, MID($D24,N$3,1), INDEX(音調表!$D$3:$D$12, MATCH(TRUE, EXACT(MID($D24,N$3,1), 音調表!$B$3:$B$12),0)))</f>
        <v/>
      </c>
      <c r="P24" s="2"/>
      <c r="Q24" s="2"/>
    </row>
    <row r="25" spans="2:17" ht="45.75" x14ac:dyDescent="0.25">
      <c r="B25" s="12" t="s">
        <v>75</v>
      </c>
      <c r="C25" s="32" t="s">
        <v>151</v>
      </c>
      <c r="D25" s="13" t="s">
        <v>111</v>
      </c>
      <c r="E25" s="14">
        <f t="shared" si="0"/>
        <v>4</v>
      </c>
      <c r="F25" s="15" t="str" cm="1">
        <f t="array" ref="F25" xml:space="preserve"> IF(F$3&lt;&gt;$E25, MID($D25,F$3,1), INDEX(音調表!$D$3:$D$12, MATCH(TRUE, EXACT(MID($D25,F$3,1), 音調表!$B$3:$B$12),0)))</f>
        <v>j</v>
      </c>
      <c r="G25" s="15" t="str" cm="1">
        <f t="array" ref="G25" xml:space="preserve"> IF(G$3&lt;&gt;$E25, MID($D25,G$3,1), INDEX(音調表!$D$3:$D$12, MATCH(TRUE, EXACT(MID($D25,G$3,1), 音調表!$B$3:$B$12),0)))</f>
        <v>i</v>
      </c>
      <c r="H25" s="15" t="str" cm="1">
        <f t="array" ref="H25" xml:space="preserve"> IF(H$3&lt;&gt;$E25, MID($D25,H$3,1), INDEX(音調表!$D$3:$D$12, MATCH(TRUE, EXACT(MID($D25,H$3,1), 音調表!$B$3:$B$12),0)))</f>
        <v>n</v>
      </c>
      <c r="I25" s="15" t="str" cm="1">
        <f t="array" ref="I25" xml:space="preserve"> IF(I$3&lt;&gt;$E25, MID($D25,I$3,1), INDEX(音調表!$D$3:$D$12, MATCH(TRUE, EXACT(MID($D25,I$3,1), 音調表!$B$3:$B$12),0)))</f>
        <v>-</v>
      </c>
      <c r="J25" s="15" t="str" cm="1">
        <f t="array" ref="J25" xml:space="preserve"> IF(J$3&lt;&gt;$E25, MID($D25,J$3,1), INDEX(音調表!$D$3:$D$12, MATCH(TRUE, EXACT(MID($D25,J$3,1), 音調表!$B$3:$B$12),0)))</f>
        <v/>
      </c>
      <c r="K25" s="15" t="str" cm="1">
        <f t="array" ref="K25" xml:space="preserve"> IF(K$3&lt;&gt;$E25, MID($D25,K$3,1), INDEX(音調表!$D$3:$D$12, MATCH(TRUE, EXACT(MID($D25,K$3,1), 音調表!$B$3:$B$12),0)))</f>
        <v/>
      </c>
      <c r="L25" s="15" t="str" cm="1">
        <f t="array" ref="L25" xml:space="preserve"> IF(L$3&lt;&gt;$E25, MID($D25,L$3,1), INDEX(音調表!$D$3:$D$12, MATCH(TRUE, EXACT(MID($D25,L$3,1), 音調表!$B$3:$B$12),0)))</f>
        <v/>
      </c>
      <c r="M25" s="15" t="str" cm="1">
        <f t="array" ref="M25" xml:space="preserve"> IF(M$3&lt;&gt;$E25, MID($D25,M$3,1), INDEX(音調表!$D$3:$D$12, MATCH(TRUE, EXACT(MID($D25,M$3,1), 音調表!$B$3:$B$12),0)))</f>
        <v/>
      </c>
      <c r="N25" s="16" t="str" cm="1">
        <f t="array" ref="N25" xml:space="preserve"> IF(N$3&lt;&gt;$E25, MID($D25,N$3,1), INDEX(音調表!$D$3:$D$12, MATCH(TRUE, EXACT(MID($D25,N$3,1), 音調表!$B$3:$B$12),0)))</f>
        <v/>
      </c>
      <c r="P25" s="2"/>
      <c r="Q25" s="2"/>
    </row>
    <row r="26" spans="2:17" ht="45.75" x14ac:dyDescent="0.25">
      <c r="B26" s="12" t="s">
        <v>76</v>
      </c>
      <c r="C26" s="32" t="s">
        <v>153</v>
      </c>
      <c r="D26" s="13" t="s">
        <v>112</v>
      </c>
      <c r="E26" s="14">
        <f t="shared" si="0"/>
        <v>4</v>
      </c>
      <c r="F26" s="15" t="str" cm="1">
        <f t="array" ref="F26" xml:space="preserve"> IF(F$3&lt;&gt;$E26, MID($D26,F$3,1), INDEX(音調表!$D$3:$D$12, MATCH(TRUE, EXACT(MID($D26,F$3,1), 音調表!$B$3:$B$12),0)))</f>
        <v>s</v>
      </c>
      <c r="G26" s="15" t="str" cm="1">
        <f t="array" ref="G26" xml:space="preserve"> IF(G$3&lt;&gt;$E26, MID($D26,G$3,1), INDEX(音調表!$D$3:$D$12, MATCH(TRUE, EXACT(MID($D26,G$3,1), 音調表!$B$3:$B$12),0)))</f>
        <v>a</v>
      </c>
      <c r="H26" s="15" t="str" cm="1">
        <f t="array" ref="H26" xml:space="preserve"> IF(H$3&lt;&gt;$E26, MID($D26,H$3,1), INDEX(音調表!$D$3:$D$12, MATCH(TRUE, EXACT(MID($D26,H$3,1), 音調表!$B$3:$B$12),0)))</f>
        <v>n</v>
      </c>
      <c r="I26" s="15" t="str" cm="1">
        <f t="array" ref="I26" xml:space="preserve"> IF(I$3&lt;&gt;$E26, MID($D26,I$3,1), INDEX(音調表!$D$3:$D$12, MATCH(TRUE, EXACT(MID($D26,I$3,1), 音調表!$B$3:$B$12),0)))</f>
        <v>;</v>
      </c>
      <c r="J26" s="15" t="str" cm="1">
        <f t="array" ref="J26" xml:space="preserve"> IF(J$3&lt;&gt;$E26, MID($D26,J$3,1), INDEX(音調表!$D$3:$D$12, MATCH(TRUE, EXACT(MID($D26,J$3,1), 音調表!$B$3:$B$12),0)))</f>
        <v/>
      </c>
      <c r="K26" s="15" t="str" cm="1">
        <f t="array" ref="K26" xml:space="preserve"> IF(K$3&lt;&gt;$E26, MID($D26,K$3,1), INDEX(音調表!$D$3:$D$12, MATCH(TRUE, EXACT(MID($D26,K$3,1), 音調表!$B$3:$B$12),0)))</f>
        <v/>
      </c>
      <c r="L26" s="15" t="str" cm="1">
        <f t="array" ref="L26" xml:space="preserve"> IF(L$3&lt;&gt;$E26, MID($D26,L$3,1), INDEX(音調表!$D$3:$D$12, MATCH(TRUE, EXACT(MID($D26,L$3,1), 音調表!$B$3:$B$12),0)))</f>
        <v/>
      </c>
      <c r="M26" s="15" t="str" cm="1">
        <f t="array" ref="M26" xml:space="preserve"> IF(M$3&lt;&gt;$E26, MID($D26,M$3,1), INDEX(音調表!$D$3:$D$12, MATCH(TRUE, EXACT(MID($D26,M$3,1), 音調表!$B$3:$B$12),0)))</f>
        <v/>
      </c>
      <c r="N26" s="16" t="str" cm="1">
        <f t="array" ref="N26" xml:space="preserve"> IF(N$3&lt;&gt;$E26, MID($D26,N$3,1), INDEX(音調表!$D$3:$D$12, MATCH(TRUE, EXACT(MID($D26,N$3,1), 音調表!$B$3:$B$12),0)))</f>
        <v/>
      </c>
      <c r="P26" s="2"/>
      <c r="Q26" s="2"/>
    </row>
    <row r="27" spans="2:17" ht="45.75" x14ac:dyDescent="0.25">
      <c r="B27" s="12" t="s">
        <v>77</v>
      </c>
      <c r="C27" s="32"/>
      <c r="D27" s="13"/>
      <c r="E27" s="14" t="str">
        <f t="shared" si="0"/>
        <v/>
      </c>
      <c r="F27" s="15" t="s">
        <v>103</v>
      </c>
      <c r="G27" s="15" t="s">
        <v>105</v>
      </c>
      <c r="H27" s="15" t="str" cm="1">
        <f t="array" ref="H27" xml:space="preserve"> IF(H$3&lt;&gt;$E27, MID($D27,H$3,1), INDEX(音調表!$D$3:$D$12, MATCH(TRUE, EXACT(MID($D27,H$3,1), 音調表!$B$3:$B$12),0)))</f>
        <v/>
      </c>
      <c r="I27" s="15" t="str" cm="1">
        <f t="array" ref="I27" xml:space="preserve"> IF(I$3&lt;&gt;$E27, MID($D27,I$3,1), INDEX(音調表!$D$3:$D$12, MATCH(TRUE, EXACT(MID($D27,I$3,1), 音調表!$B$3:$B$12),0)))</f>
        <v/>
      </c>
      <c r="J27" s="15" t="str" cm="1">
        <f t="array" ref="J27" xml:space="preserve"> IF(J$3&lt;&gt;$E27, MID($D27,J$3,1), INDEX(音調表!$D$3:$D$12, MATCH(TRUE, EXACT(MID($D27,J$3,1), 音調表!$B$3:$B$12),0)))</f>
        <v/>
      </c>
      <c r="K27" s="15" t="str" cm="1">
        <f t="array" ref="K27" xml:space="preserve"> IF(K$3&lt;&gt;$E27, MID($D27,K$3,1), INDEX(音調表!$D$3:$D$12, MATCH(TRUE, EXACT(MID($D27,K$3,1), 音調表!$B$3:$B$12),0)))</f>
        <v/>
      </c>
      <c r="L27" s="15" t="str" cm="1">
        <f t="array" ref="L27" xml:space="preserve"> IF(L$3&lt;&gt;$E27, MID($D27,L$3,1), INDEX(音調表!$D$3:$D$12, MATCH(TRUE, EXACT(MID($D27,L$3,1), 音調表!$B$3:$B$12),0)))</f>
        <v/>
      </c>
      <c r="M27" s="15" t="str" cm="1">
        <f t="array" ref="M27" xml:space="preserve"> IF(M$3&lt;&gt;$E27, MID($D27,M$3,1), INDEX(音調表!$D$3:$D$12, MATCH(TRUE, EXACT(MID($D27,M$3,1), 音調表!$B$3:$B$12),0)))</f>
        <v/>
      </c>
      <c r="N27" s="16" t="str" cm="1">
        <f t="array" ref="N27" xml:space="preserve"> IF(N$3&lt;&gt;$E27, MID($D27,N$3,1), INDEX(音調表!$D$3:$D$12, MATCH(TRUE, EXACT(MID($D27,N$3,1), 音調表!$B$3:$B$12),0)))</f>
        <v/>
      </c>
      <c r="P27" s="2"/>
      <c r="Q27" s="2"/>
    </row>
    <row r="28" spans="2:17" ht="45.75" x14ac:dyDescent="0.25">
      <c r="B28" s="12"/>
      <c r="C28" s="32"/>
      <c r="D28" s="13"/>
      <c r="E28" s="14" t="str">
        <f t="shared" si="0"/>
        <v/>
      </c>
      <c r="F28" s="15" t="str" cm="1">
        <f t="array" ref="F28" xml:space="preserve"> IF(F$3&lt;&gt;$E28, MID($D28,F$3,1), INDEX(音調表!$D$3:$D$12, MATCH(TRUE, EXACT(MID($D28,F$3,1), 音調表!$B$3:$B$12),0)))</f>
        <v/>
      </c>
      <c r="G28" s="15" t="str" cm="1">
        <f t="array" ref="G28" xml:space="preserve"> IF(G$3&lt;&gt;$E28, MID($D28,G$3,1), INDEX(音調表!$D$3:$D$12, MATCH(TRUE, EXACT(MID($D28,G$3,1), 音調表!$B$3:$B$12),0)))</f>
        <v/>
      </c>
      <c r="H28" s="15" t="str" cm="1">
        <f t="array" ref="H28" xml:space="preserve"> IF(H$3&lt;&gt;$E28, MID($D28,H$3,1), INDEX(音調表!$D$3:$D$12, MATCH(TRUE, EXACT(MID($D28,H$3,1), 音調表!$B$3:$B$12),0)))</f>
        <v/>
      </c>
      <c r="I28" s="15" t="str" cm="1">
        <f t="array" ref="I28" xml:space="preserve"> IF(I$3&lt;&gt;$E28, MID($D28,I$3,1), INDEX(音調表!$D$3:$D$12, MATCH(TRUE, EXACT(MID($D28,I$3,1), 音調表!$B$3:$B$12),0)))</f>
        <v/>
      </c>
      <c r="J28" s="15" t="str" cm="1">
        <f t="array" ref="J28" xml:space="preserve"> IF(J$3&lt;&gt;$E28, MID($D28,J$3,1), INDEX(音調表!$D$3:$D$12, MATCH(TRUE, EXACT(MID($D28,J$3,1), 音調表!$B$3:$B$12),0)))</f>
        <v/>
      </c>
      <c r="K28" s="15" t="str" cm="1">
        <f t="array" ref="K28" xml:space="preserve"> IF(K$3&lt;&gt;$E28, MID($D28,K$3,1), INDEX(音調表!$D$3:$D$12, MATCH(TRUE, EXACT(MID($D28,K$3,1), 音調表!$B$3:$B$12),0)))</f>
        <v/>
      </c>
      <c r="L28" s="15" t="str" cm="1">
        <f t="array" ref="L28" xml:space="preserve"> IF(L$3&lt;&gt;$E28, MID($D28,L$3,1), INDEX(音調表!$D$3:$D$12, MATCH(TRUE, EXACT(MID($D28,L$3,1), 音調表!$B$3:$B$12),0)))</f>
        <v/>
      </c>
      <c r="M28" s="15" t="str" cm="1">
        <f t="array" ref="M28" xml:space="preserve"> IF(M$3&lt;&gt;$E28, MID($D28,M$3,1), INDEX(音調表!$D$3:$D$12, MATCH(TRUE, EXACT(MID($D28,M$3,1), 音調表!$B$3:$B$12),0)))</f>
        <v/>
      </c>
      <c r="N28" s="16" t="str" cm="1">
        <f t="array" ref="N28" xml:space="preserve"> IF(N$3&lt;&gt;$E28, MID($D28,N$3,1), INDEX(音調表!$D$3:$D$12, MATCH(TRUE, EXACT(MID($D28,N$3,1), 音調表!$B$3:$B$12),0)))</f>
        <v/>
      </c>
    </row>
    <row r="29" spans="2:17" ht="45.75" x14ac:dyDescent="0.25">
      <c r="B29" s="12" t="s">
        <v>78</v>
      </c>
      <c r="C29" s="32" t="s">
        <v>154</v>
      </c>
      <c r="D29" s="13" t="s">
        <v>113</v>
      </c>
      <c r="E29" s="14">
        <f t="shared" si="0"/>
        <v>7</v>
      </c>
      <c r="F29" s="15" t="str" cm="1">
        <f t="array" ref="F29" xml:space="preserve"> IF(F$3&lt;&gt;$E29, MID($D29,F$3,1), INDEX(音調表!$D$3:$D$12, MATCH(TRUE, EXACT(MID($D29,F$3,1), 音調表!$B$3:$B$12),0)))</f>
        <v>k</v>
      </c>
      <c r="G29" s="15" t="str" cm="1">
        <f t="array" ref="G29" xml:space="preserve"> IF(G$3&lt;&gt;$E29, MID($D29,G$3,1), INDEX(音調表!$D$3:$D$12, MATCH(TRUE, EXACT(MID($D29,G$3,1), 音調表!$B$3:$B$12),0)))</f>
        <v>h</v>
      </c>
      <c r="H29" s="15" t="str" cm="1">
        <f t="array" ref="H29" xml:space="preserve"> IF(H$3&lt;&gt;$E29, MID($D29,H$3,1), INDEX(音調表!$D$3:$D$12, MATCH(TRUE, EXACT(MID($D29,H$3,1), 音調表!$B$3:$B$12),0)))</f>
        <v>i</v>
      </c>
      <c r="I29" s="15" t="str" cm="1">
        <f t="array" ref="I29" xml:space="preserve"> IF(I$3&lt;&gt;$E29, MID($D29,I$3,1), INDEX(音調表!$D$3:$D$12, MATCH(TRUE, EXACT(MID($D29,I$3,1), 音調表!$B$3:$B$12),0)))</f>
        <v>a</v>
      </c>
      <c r="J29" s="15" t="str" cm="1">
        <f t="array" ref="J29" xml:space="preserve"> IF(J$3&lt;&gt;$E29, MID($D29,J$3,1), INDEX(音調表!$D$3:$D$12, MATCH(TRUE, EXACT(MID($D29,J$3,1), 音調表!$B$3:$B$12),0)))</f>
        <v>n</v>
      </c>
      <c r="K29" s="15" t="str" cm="1">
        <f t="array" ref="K29" xml:space="preserve"> IF(K$3&lt;&gt;$E29, MID($D29,K$3,1), INDEX(音調表!$D$3:$D$12, MATCH(TRUE, EXACT(MID($D29,K$3,1), 音調表!$B$3:$B$12),0)))</f>
        <v>g</v>
      </c>
      <c r="L29" s="15" t="str" cm="1">
        <f t="array" ref="L29" xml:space="preserve"> IF(L$3&lt;&gt;$E29, MID($D29,L$3,1), INDEX(音調表!$D$3:$D$12, MATCH(TRUE, EXACT(MID($D29,L$3,1), 音調表!$B$3:$B$12),0)))</f>
        <v>;</v>
      </c>
      <c r="M29" s="15" t="str" cm="1">
        <f t="array" ref="M29" xml:space="preserve"> IF(M$3&lt;&gt;$E29, MID($D29,M$3,1), INDEX(音調表!$D$3:$D$12, MATCH(TRUE, EXACT(MID($D29,M$3,1), 音調表!$B$3:$B$12),0)))</f>
        <v/>
      </c>
      <c r="N29" s="16" t="str" cm="1">
        <f t="array" ref="N29" xml:space="preserve"> IF(N$3&lt;&gt;$E29, MID($D29,N$3,1), INDEX(音調表!$D$3:$D$12, MATCH(TRUE, EXACT(MID($D29,N$3,1), 音調表!$B$3:$B$12),0)))</f>
        <v/>
      </c>
      <c r="P29" s="2"/>
      <c r="Q29" s="2"/>
    </row>
    <row r="30" spans="2:17" ht="45.75" x14ac:dyDescent="0.25">
      <c r="B30" s="12" t="s">
        <v>79</v>
      </c>
      <c r="C30" s="32" t="s">
        <v>155</v>
      </c>
      <c r="D30" s="13" t="s">
        <v>114</v>
      </c>
      <c r="E30" s="14">
        <f t="shared" si="0"/>
        <v>4</v>
      </c>
      <c r="F30" s="15" t="str" cm="1">
        <f t="array" ref="F30" xml:space="preserve"> IF(F$3&lt;&gt;$E30, MID($D30,F$3,1), INDEX(音調表!$D$3:$D$12, MATCH(TRUE, EXACT(MID($D30,F$3,1), 音調表!$B$3:$B$12),0)))</f>
        <v>t</v>
      </c>
      <c r="G30" s="15" t="str" cm="1">
        <f t="array" ref="G30" xml:space="preserve"> IF(G$3&lt;&gt;$E30, MID($D30,G$3,1), INDEX(音調表!$D$3:$D$12, MATCH(TRUE, EXACT(MID($D30,G$3,1), 音調表!$B$3:$B$12),0)))</f>
        <v>i</v>
      </c>
      <c r="H30" s="15" t="str" cm="1">
        <f t="array" ref="H30" xml:space="preserve"> IF(H$3&lt;&gt;$E30, MID($D30,H$3,1), INDEX(音調表!$D$3:$D$12, MATCH(TRUE, EXACT(MID($D30,H$3,1), 音調表!$B$3:$B$12),0)))</f>
        <v>k</v>
      </c>
      <c r="I30" s="15" t="str" cm="1">
        <f t="array" ref="I30" xml:space="preserve"> IF(I$3&lt;&gt;$E30, MID($D30,I$3,1), INDEX(音調表!$D$3:$D$12, MATCH(TRUE, EXACT(MID($D30,I$3,1), 音調表!$B$3:$B$12),0)))</f>
        <v>]</v>
      </c>
      <c r="J30" s="15" t="str" cm="1">
        <f t="array" ref="J30" xml:space="preserve"> IF(J$3&lt;&gt;$E30, MID($D30,J$3,1), INDEX(音調表!$D$3:$D$12, MATCH(TRUE, EXACT(MID($D30,J$3,1), 音調表!$B$3:$B$12),0)))</f>
        <v/>
      </c>
      <c r="K30" s="15" t="str" cm="1">
        <f t="array" ref="K30" xml:space="preserve"> IF(K$3&lt;&gt;$E30, MID($D30,K$3,1), INDEX(音調表!$D$3:$D$12, MATCH(TRUE, EXACT(MID($D30,K$3,1), 音調表!$B$3:$B$12),0)))</f>
        <v/>
      </c>
      <c r="L30" s="15" t="str" cm="1">
        <f t="array" ref="L30" xml:space="preserve"> IF(L$3&lt;&gt;$E30, MID($D30,L$3,1), INDEX(音調表!$D$3:$D$12, MATCH(TRUE, EXACT(MID($D30,L$3,1), 音調表!$B$3:$B$12),0)))</f>
        <v/>
      </c>
      <c r="M30" s="15" t="str" cm="1">
        <f t="array" ref="M30" xml:space="preserve"> IF(M$3&lt;&gt;$E30, MID($D30,M$3,1), INDEX(音調表!$D$3:$D$12, MATCH(TRUE, EXACT(MID($D30,M$3,1), 音調表!$B$3:$B$12),0)))</f>
        <v/>
      </c>
      <c r="N30" s="16" t="str" cm="1">
        <f t="array" ref="N30" xml:space="preserve"> IF(N$3&lt;&gt;$E30, MID($D30,N$3,1), INDEX(音調表!$D$3:$D$12, MATCH(TRUE, EXACT(MID($D30,N$3,1), 音調表!$B$3:$B$12),0)))</f>
        <v/>
      </c>
      <c r="P30" s="2"/>
      <c r="Q30" s="2"/>
    </row>
    <row r="31" spans="2:17" ht="45.75" x14ac:dyDescent="0.25">
      <c r="B31" s="12" t="s">
        <v>80</v>
      </c>
      <c r="C31" s="32" t="s">
        <v>140</v>
      </c>
      <c r="D31" s="13" t="s">
        <v>96</v>
      </c>
      <c r="E31" s="14">
        <f t="shared" si="0"/>
        <v>3</v>
      </c>
      <c r="F31" s="15" t="str" cm="1">
        <f t="array" ref="F31" xml:space="preserve"> IF(F$3&lt;&gt;$E31, MID($D31,F$3,1), INDEX(音調表!$D$3:$D$12, MATCH(TRUE, EXACT(MID($D31,F$3,1), 音調表!$B$3:$B$12),0)))</f>
        <v>h</v>
      </c>
      <c r="G31" s="15" t="str" cm="1">
        <f t="array" ref="G31" xml:space="preserve"> IF(G$3&lt;&gt;$E31, MID($D31,G$3,1), INDEX(音調表!$D$3:$D$12, MATCH(TRUE, EXACT(MID($D31,G$3,1), 音調表!$B$3:$B$12),0)))</f>
        <v>o</v>
      </c>
      <c r="H31" s="15" t="str" cm="1">
        <f t="array" ref="H31" xml:space="preserve"> IF(H$3&lt;&gt;$E31, MID($D31,H$3,1), INDEX(音調表!$D$3:$D$12, MATCH(TRUE, EXACT(MID($D31,H$3,1), 音調表!$B$3:$B$12),0)))</f>
        <v>/</v>
      </c>
      <c r="I31" s="15" t="str" cm="1">
        <f t="array" ref="I31" xml:space="preserve"> IF(I$3&lt;&gt;$E31, MID($D31,I$3,1), INDEX(音調表!$D$3:$D$12, MATCH(TRUE, EXACT(MID($D31,I$3,1), 音調表!$B$3:$B$12),0)))</f>
        <v/>
      </c>
      <c r="J31" s="15" t="str" cm="1">
        <f t="array" ref="J31" xml:space="preserve"> IF(J$3&lt;&gt;$E31, MID($D31,J$3,1), INDEX(音調表!$D$3:$D$12, MATCH(TRUE, EXACT(MID($D31,J$3,1), 音調表!$B$3:$B$12),0)))</f>
        <v/>
      </c>
      <c r="K31" s="15" t="str" cm="1">
        <f t="array" ref="K31" xml:space="preserve"> IF(K$3&lt;&gt;$E31, MID($D31,K$3,1), INDEX(音調表!$D$3:$D$12, MATCH(TRUE, EXACT(MID($D31,K$3,1), 音調表!$B$3:$B$12),0)))</f>
        <v/>
      </c>
      <c r="L31" s="15" t="str" cm="1">
        <f t="array" ref="L31" xml:space="preserve"> IF(L$3&lt;&gt;$E31, MID($D31,L$3,1), INDEX(音調表!$D$3:$D$12, MATCH(TRUE, EXACT(MID($D31,L$3,1), 音調表!$B$3:$B$12),0)))</f>
        <v/>
      </c>
      <c r="M31" s="15" t="str" cm="1">
        <f t="array" ref="M31" xml:space="preserve"> IF(M$3&lt;&gt;$E31, MID($D31,M$3,1), INDEX(音調表!$D$3:$D$12, MATCH(TRUE, EXACT(MID($D31,M$3,1), 音調表!$B$3:$B$12),0)))</f>
        <v/>
      </c>
      <c r="N31" s="16" t="str" cm="1">
        <f t="array" ref="N31" xml:space="preserve"> IF(N$3&lt;&gt;$E31, MID($D31,N$3,1), INDEX(音調表!$D$3:$D$12, MATCH(TRUE, EXACT(MID($D31,N$3,1), 音調表!$B$3:$B$12),0)))</f>
        <v/>
      </c>
      <c r="P31" s="2"/>
      <c r="Q31" s="2"/>
    </row>
    <row r="32" spans="2:17" ht="39" x14ac:dyDescent="0.25">
      <c r="B32" s="12" t="s">
        <v>81</v>
      </c>
      <c r="C32" s="33" t="s">
        <v>156</v>
      </c>
      <c r="D32" s="13" t="s">
        <v>115</v>
      </c>
      <c r="E32" s="14">
        <f t="shared" si="0"/>
        <v>3</v>
      </c>
      <c r="F32" s="15" t="str" cm="1">
        <f t="array" ref="F32" xml:space="preserve"> IF(F$3&lt;&gt;$E32, MID($D32,F$3,1), INDEX(音調表!$D$3:$D$12, MATCH(TRUE, EXACT(MID($D32,F$3,1), 音調表!$B$3:$B$12),0)))</f>
        <v>s</v>
      </c>
      <c r="G32" s="15" t="str" cm="1">
        <f t="array" ref="G32" xml:space="preserve"> IF(G$3&lt;&gt;$E32, MID($D32,G$3,1), INDEX(音調表!$D$3:$D$12, MATCH(TRUE, EXACT(MID($D32,G$3,1), 音調表!$B$3:$B$12),0)))</f>
        <v>u</v>
      </c>
      <c r="H32" s="15" t="str" cm="1">
        <f t="array" ref="H32" xml:space="preserve"> IF(H$3&lt;&gt;$E32, MID($D32,H$3,1), INDEX(音調表!$D$3:$D$12, MATCH(TRUE, EXACT(MID($D32,H$3,1), 音調表!$B$3:$B$12),0)))</f>
        <v>;</v>
      </c>
      <c r="I32" s="15" t="str" cm="1">
        <f t="array" ref="I32" xml:space="preserve"> IF(I$3&lt;&gt;$E32, MID($D32,I$3,1), INDEX(音調表!$D$3:$D$12, MATCH(TRUE, EXACT(MID($D32,I$3,1), 音調表!$B$3:$B$12),0)))</f>
        <v/>
      </c>
      <c r="J32" s="15" t="str" cm="1">
        <f t="array" ref="J32" xml:space="preserve"> IF(J$3&lt;&gt;$E32, MID($D32,J$3,1), INDEX(音調表!$D$3:$D$12, MATCH(TRUE, EXACT(MID($D32,J$3,1), 音調表!$B$3:$B$12),0)))</f>
        <v/>
      </c>
      <c r="K32" s="15" t="str" cm="1">
        <f t="array" ref="K32" xml:space="preserve"> IF(K$3&lt;&gt;$E32, MID($D32,K$3,1), INDEX(音調表!$D$3:$D$12, MATCH(TRUE, EXACT(MID($D32,K$3,1), 音調表!$B$3:$B$12),0)))</f>
        <v/>
      </c>
      <c r="L32" s="15" t="str" cm="1">
        <f t="array" ref="L32" xml:space="preserve"> IF(L$3&lt;&gt;$E32, MID($D32,L$3,1), INDEX(音調表!$D$3:$D$12, MATCH(TRUE, EXACT(MID($D32,L$3,1), 音調表!$B$3:$B$12),0)))</f>
        <v/>
      </c>
      <c r="M32" s="15" t="str" cm="1">
        <f t="array" ref="M32" xml:space="preserve"> IF(M$3&lt;&gt;$E32, MID($D32,M$3,1), INDEX(音調表!$D$3:$D$12, MATCH(TRUE, EXACT(MID($D32,M$3,1), 音調表!$B$3:$B$12),0)))</f>
        <v/>
      </c>
      <c r="N32" s="16" t="str" cm="1">
        <f t="array" ref="N32" xml:space="preserve"> IF(N$3&lt;&gt;$E32, MID($D32,N$3,1), INDEX(音調表!$D$3:$D$12, MATCH(TRUE, EXACT(MID($D32,N$3,1), 音調表!$B$3:$B$12),0)))</f>
        <v/>
      </c>
      <c r="P32" s="2"/>
      <c r="Q32" s="2"/>
    </row>
    <row r="33" spans="2:17" ht="45.75" x14ac:dyDescent="0.25">
      <c r="B33" s="12" t="s">
        <v>82</v>
      </c>
      <c r="C33" s="32" t="s">
        <v>157</v>
      </c>
      <c r="D33" s="13" t="s">
        <v>116</v>
      </c>
      <c r="E33" s="14">
        <f t="shared" si="0"/>
        <v>4</v>
      </c>
      <c r="F33" s="15" t="str" cm="1">
        <f t="array" ref="F33" xml:space="preserve"> IF(F$3&lt;&gt;$E33, MID($D33,F$3,1), INDEX(音調表!$D$3:$D$12, MATCH(TRUE, EXACT(MID($D33,F$3,1), 音調表!$B$3:$B$12),0)))</f>
        <v>u</v>
      </c>
      <c r="G33" s="15" t="str" cm="1">
        <f t="array" ref="G33" xml:space="preserve"> IF(G$3&lt;&gt;$E33, MID($D33,G$3,1), INDEX(音調表!$D$3:$D$12, MATCH(TRUE, EXACT(MID($D33,G$3,1), 音調表!$B$3:$B$12),0)))</f>
        <v>a</v>
      </c>
      <c r="H33" s="15" t="str" cm="1">
        <f t="array" ref="H33" xml:space="preserve"> IF(H$3&lt;&gt;$E33, MID($D33,H$3,1), INDEX(音調表!$D$3:$D$12, MATCH(TRUE, EXACT(MID($D33,H$3,1), 音調表!$B$3:$B$12),0)))</f>
        <v>n</v>
      </c>
      <c r="I33" s="15" t="str" cm="1">
        <f t="array" ref="I33" xml:space="preserve"> IF(I$3&lt;&gt;$E33, MID($D33,I$3,1), INDEX(音調表!$D$3:$D$12, MATCH(TRUE, EXACT(MID($D33,I$3,1), 音調表!$B$3:$B$12),0)))</f>
        <v>_</v>
      </c>
      <c r="J33" s="15" t="str" cm="1">
        <f t="array" ref="J33" xml:space="preserve"> IF(J$3&lt;&gt;$E33, MID($D33,J$3,1), INDEX(音調表!$D$3:$D$12, MATCH(TRUE, EXACT(MID($D33,J$3,1), 音調表!$B$3:$B$12),0)))</f>
        <v/>
      </c>
      <c r="K33" s="15" t="str" cm="1">
        <f t="array" ref="K33" xml:space="preserve"> IF(K$3&lt;&gt;$E33, MID($D33,K$3,1), INDEX(音調表!$D$3:$D$12, MATCH(TRUE, EXACT(MID($D33,K$3,1), 音調表!$B$3:$B$12),0)))</f>
        <v/>
      </c>
      <c r="L33" s="15" t="str" cm="1">
        <f t="array" ref="L33" xml:space="preserve"> IF(L$3&lt;&gt;$E33, MID($D33,L$3,1), INDEX(音調表!$D$3:$D$12, MATCH(TRUE, EXACT(MID($D33,L$3,1), 音調表!$B$3:$B$12),0)))</f>
        <v/>
      </c>
      <c r="M33" s="15" t="str" cm="1">
        <f t="array" ref="M33" xml:space="preserve"> IF(M$3&lt;&gt;$E33, MID($D33,M$3,1), INDEX(音調表!$D$3:$D$12, MATCH(TRUE, EXACT(MID($D33,M$3,1), 音調表!$B$3:$B$12),0)))</f>
        <v/>
      </c>
      <c r="N33" s="16" t="str" cm="1">
        <f t="array" ref="N33" xml:space="preserve"> IF(N$3&lt;&gt;$E33, MID($D33,N$3,1), INDEX(音調表!$D$3:$D$12, MATCH(TRUE, EXACT(MID($D33,N$3,1), 音調表!$B$3:$B$12),0)))</f>
        <v/>
      </c>
      <c r="P33" s="2"/>
      <c r="Q33" s="2"/>
    </row>
    <row r="34" spans="2:17" ht="45.75" x14ac:dyDescent="0.25">
      <c r="B34" s="12" t="s">
        <v>83</v>
      </c>
      <c r="C34" s="32" t="s">
        <v>158</v>
      </c>
      <c r="D34" s="13" t="s">
        <v>117</v>
      </c>
      <c r="E34" s="14">
        <f t="shared" si="0"/>
        <v>5</v>
      </c>
      <c r="F34" s="15" t="str" cm="1">
        <f t="array" ref="F34" xml:space="preserve"> IF(F$3&lt;&gt;$E34, MID($D34,F$3,1), INDEX(音調表!$D$3:$D$12, MATCH(TRUE, EXACT(MID($D34,F$3,1), 音調表!$B$3:$B$12),0)))</f>
        <v>i</v>
      </c>
      <c r="G34" s="15" t="str" cm="1">
        <f t="array" ref="G34" xml:space="preserve"> IF(G$3&lt;&gt;$E34, MID($D34,G$3,1), INDEX(音調表!$D$3:$D$12, MATCH(TRUE, EXACT(MID($D34,G$3,1), 音調表!$B$3:$B$12),0)))</f>
        <v>o</v>
      </c>
      <c r="H34" s="15" t="str" cm="1">
        <f t="array" ref="H34" xml:space="preserve"> IF(H$3&lt;&gt;$E34, MID($D34,H$3,1), INDEX(音調表!$D$3:$D$12, MATCH(TRUE, EXACT(MID($D34,H$3,1), 音調表!$B$3:$B$12),0)))</f>
        <v>n</v>
      </c>
      <c r="I34" s="15" t="str" cm="1">
        <f t="array" ref="I34" xml:space="preserve"> IF(I$3&lt;&gt;$E34, MID($D34,I$3,1), INDEX(音調表!$D$3:$D$12, MATCH(TRUE, EXACT(MID($D34,I$3,1), 音調表!$B$3:$B$12),0)))</f>
        <v>g</v>
      </c>
      <c r="J34" s="15" t="str" cm="1">
        <f t="array" ref="J34" xml:space="preserve"> IF(J$3&lt;&gt;$E34, MID($D34,J$3,1), INDEX(音調表!$D$3:$D$12, MATCH(TRUE, EXACT(MID($D34,J$3,1), 音調表!$B$3:$B$12),0)))</f>
        <v>/</v>
      </c>
      <c r="K34" s="15" t="str" cm="1">
        <f t="array" ref="K34" xml:space="preserve"> IF(K$3&lt;&gt;$E34, MID($D34,K$3,1), INDEX(音調表!$D$3:$D$12, MATCH(TRUE, EXACT(MID($D34,K$3,1), 音調表!$B$3:$B$12),0)))</f>
        <v/>
      </c>
      <c r="L34" s="15" t="str" cm="1">
        <f t="array" ref="L34" xml:space="preserve"> IF(L$3&lt;&gt;$E34, MID($D34,L$3,1), INDEX(音調表!$D$3:$D$12, MATCH(TRUE, EXACT(MID($D34,L$3,1), 音調表!$B$3:$B$12),0)))</f>
        <v/>
      </c>
      <c r="M34" s="15" t="str" cm="1">
        <f t="array" ref="M34" xml:space="preserve"> IF(M$3&lt;&gt;$E34, MID($D34,M$3,1), INDEX(音調表!$D$3:$D$12, MATCH(TRUE, EXACT(MID($D34,M$3,1), 音調表!$B$3:$B$12),0)))</f>
        <v/>
      </c>
      <c r="N34" s="16" t="str" cm="1">
        <f t="array" ref="N34" xml:space="preserve"> IF(N$3&lt;&gt;$E34, MID($D34,N$3,1), INDEX(音調表!$D$3:$D$12, MATCH(TRUE, EXACT(MID($D34,N$3,1), 音調表!$B$3:$B$12),0)))</f>
        <v/>
      </c>
      <c r="P34" s="2"/>
      <c r="Q34" s="2"/>
    </row>
    <row r="35" spans="2:17" ht="39" x14ac:dyDescent="0.25">
      <c r="B35" s="12" t="s">
        <v>84</v>
      </c>
      <c r="C35" s="33" t="s">
        <v>159</v>
      </c>
      <c r="D35" s="13" t="s">
        <v>118</v>
      </c>
      <c r="E35" s="14">
        <f t="shared" si="0"/>
        <v>4</v>
      </c>
      <c r="F35" s="15" t="str" cm="1">
        <f t="array" ref="F35" xml:space="preserve"> IF(F$3&lt;&gt;$E35, MID($D35,F$3,1), INDEX(音調表!$D$3:$D$12, MATCH(TRUE, EXACT(MID($D35,F$3,1), 音調表!$B$3:$B$12),0)))</f>
        <v>l</v>
      </c>
      <c r="G35" s="15" t="str" cm="1">
        <f t="array" ref="G35" xml:space="preserve"> IF(G$3&lt;&gt;$E35, MID($D35,G$3,1), INDEX(音調表!$D$3:$D$12, MATCH(TRUE, EXACT(MID($D35,G$3,1), 音調表!$B$3:$B$12),0)))</f>
        <v>i</v>
      </c>
      <c r="H35" s="15" t="str" cm="1">
        <f t="array" ref="H35" xml:space="preserve"> IF(H$3&lt;&gt;$E35, MID($D35,H$3,1), INDEX(音調表!$D$3:$D$12, MATCH(TRUE, EXACT(MID($D35,H$3,1), 音調表!$B$3:$B$12),0)))</f>
        <v>u</v>
      </c>
      <c r="I35" s="15" t="str" cm="1">
        <f t="array" ref="I35" xml:space="preserve"> IF(I$3&lt;&gt;$E35, MID($D35,I$3,1), INDEX(音調表!$D$3:$D$12, MATCH(TRUE, EXACT(MID($D35,I$3,1), 音調表!$B$3:$B$12),0)))</f>
        <v>\</v>
      </c>
      <c r="J35" s="15" t="str" cm="1">
        <f t="array" ref="J35" xml:space="preserve"> IF(J$3&lt;&gt;$E35, MID($D35,J$3,1), INDEX(音調表!$D$3:$D$12, MATCH(TRUE, EXACT(MID($D35,J$3,1), 音調表!$B$3:$B$12),0)))</f>
        <v/>
      </c>
      <c r="K35" s="15" t="str" cm="1">
        <f t="array" ref="K35" xml:space="preserve"> IF(K$3&lt;&gt;$E35, MID($D35,K$3,1), INDEX(音調表!$D$3:$D$12, MATCH(TRUE, EXACT(MID($D35,K$3,1), 音調表!$B$3:$B$12),0)))</f>
        <v/>
      </c>
      <c r="L35" s="15" t="str" cm="1">
        <f t="array" ref="L35" xml:space="preserve"> IF(L$3&lt;&gt;$E35, MID($D35,L$3,1), INDEX(音調表!$D$3:$D$12, MATCH(TRUE, EXACT(MID($D35,L$3,1), 音調表!$B$3:$B$12),0)))</f>
        <v/>
      </c>
      <c r="M35" s="15" t="str" cm="1">
        <f t="array" ref="M35" xml:space="preserve"> IF(M$3&lt;&gt;$E35, MID($D35,M$3,1), INDEX(音調表!$D$3:$D$12, MATCH(TRUE, EXACT(MID($D35,M$3,1), 音調表!$B$3:$B$12),0)))</f>
        <v/>
      </c>
      <c r="N35" s="16" t="str" cm="1">
        <f t="array" ref="N35" xml:space="preserve"> IF(N$3&lt;&gt;$E35, MID($D35,N$3,1), INDEX(音調表!$D$3:$D$12, MATCH(TRUE, EXACT(MID($D35,N$3,1), 音調表!$B$3:$B$12),0)))</f>
        <v/>
      </c>
      <c r="P35" s="2"/>
      <c r="Q35" s="2"/>
    </row>
    <row r="36" spans="2:17" ht="45.75" x14ac:dyDescent="0.25">
      <c r="B36" s="12" t="s">
        <v>69</v>
      </c>
      <c r="C36" s="32"/>
      <c r="D36" s="13"/>
      <c r="E36" s="14" t="str">
        <f t="shared" si="0"/>
        <v/>
      </c>
      <c r="F36" s="15" t="s">
        <v>103</v>
      </c>
      <c r="G36" s="15" t="s">
        <v>104</v>
      </c>
      <c r="H36" s="15" t="str" cm="1">
        <f t="array" ref="H36" xml:space="preserve"> IF(H$3&lt;&gt;$E36, MID($D36,H$3,1), INDEX(音調表!$D$3:$D$12, MATCH(TRUE, EXACT(MID($D36,H$3,1), 音調表!$B$3:$B$12),0)))</f>
        <v/>
      </c>
      <c r="I36" s="15" t="str" cm="1">
        <f t="array" ref="I36" xml:space="preserve"> IF(I$3&lt;&gt;$E36, MID($D36,I$3,1), INDEX(音調表!$D$3:$D$12, MATCH(TRUE, EXACT(MID($D36,I$3,1), 音調表!$B$3:$B$12),0)))</f>
        <v/>
      </c>
      <c r="J36" s="15" t="str" cm="1">
        <f t="array" ref="J36" xml:space="preserve"> IF(J$3&lt;&gt;$E36, MID($D36,J$3,1), INDEX(音調表!$D$3:$D$12, MATCH(TRUE, EXACT(MID($D36,J$3,1), 音調表!$B$3:$B$12),0)))</f>
        <v/>
      </c>
      <c r="K36" s="15" t="str" cm="1">
        <f t="array" ref="K36" xml:space="preserve"> IF(K$3&lt;&gt;$E36, MID($D36,K$3,1), INDEX(音調表!$D$3:$D$12, MATCH(TRUE, EXACT(MID($D36,K$3,1), 音調表!$B$3:$B$12),0)))</f>
        <v/>
      </c>
      <c r="L36" s="15" t="str" cm="1">
        <f t="array" ref="L36" xml:space="preserve"> IF(L$3&lt;&gt;$E36, MID($D36,L$3,1), INDEX(音調表!$D$3:$D$12, MATCH(TRUE, EXACT(MID($D36,L$3,1), 音調表!$B$3:$B$12),0)))</f>
        <v/>
      </c>
      <c r="M36" s="15" t="str" cm="1">
        <f t="array" ref="M36" xml:space="preserve"> IF(M$3&lt;&gt;$E36, MID($D36,M$3,1), INDEX(音調表!$D$3:$D$12, MATCH(TRUE, EXACT(MID($D36,M$3,1), 音調表!$B$3:$B$12),0)))</f>
        <v/>
      </c>
      <c r="N36" s="16" t="str" cm="1">
        <f t="array" ref="N36" xml:space="preserve"> IF(N$3&lt;&gt;$E36, MID($D36,N$3,1), INDEX(音調表!$D$3:$D$12, MATCH(TRUE, EXACT(MID($D36,N$3,1), 音調表!$B$3:$B$12),0)))</f>
        <v/>
      </c>
      <c r="P36" s="2"/>
      <c r="Q36" s="2"/>
    </row>
    <row r="37" spans="2:17" ht="45.75" x14ac:dyDescent="0.25">
      <c r="B37" s="12" t="s">
        <v>85</v>
      </c>
      <c r="C37" s="32" t="s">
        <v>160</v>
      </c>
      <c r="D37" s="13" t="s">
        <v>119</v>
      </c>
      <c r="E37" s="14">
        <f t="shared" si="0"/>
        <v>4</v>
      </c>
      <c r="F37" s="15" t="str" cm="1">
        <f t="array" ref="F37" xml:space="preserve"> IF(F$3&lt;&gt;$E37, MID($D37,F$3,1), INDEX(音調表!$D$3:$D$12, MATCH(TRUE, EXACT(MID($D37,F$3,1), 音調表!$B$3:$B$12),0)))</f>
        <v>c</v>
      </c>
      <c r="G37" s="15" t="str" cm="1">
        <f t="array" ref="G37" xml:space="preserve"> IF(G$3&lt;&gt;$E37, MID($D37,G$3,1), INDEX(音調表!$D$3:$D$12, MATCH(TRUE, EXACT(MID($D37,G$3,1), 音調表!$B$3:$B$12),0)))</f>
        <v>u</v>
      </c>
      <c r="H37" s="15" t="str" cm="1">
        <f t="array" ref="H37" xml:space="preserve"> IF(H$3&lt;&gt;$E37, MID($D37,H$3,1), INDEX(音調表!$D$3:$D$12, MATCH(TRUE, EXACT(MID($D37,H$3,1), 音調表!$B$3:$B$12),0)))</f>
        <v>n</v>
      </c>
      <c r="I37" s="15" t="str" cm="1">
        <f t="array" ref="I37" xml:space="preserve"> IF(I$3&lt;&gt;$E37, MID($D37,I$3,1), INDEX(音調表!$D$3:$D$12, MATCH(TRUE, EXACT(MID($D37,I$3,1), 音調表!$B$3:$B$12),0)))</f>
        <v>;</v>
      </c>
      <c r="J37" s="15" t="str" cm="1">
        <f t="array" ref="J37" xml:space="preserve"> IF(J$3&lt;&gt;$E37, MID($D37,J$3,1), INDEX(音調表!$D$3:$D$12, MATCH(TRUE, EXACT(MID($D37,J$3,1), 音調表!$B$3:$B$12),0)))</f>
        <v/>
      </c>
      <c r="K37" s="15" t="str" cm="1">
        <f t="array" ref="K37" xml:space="preserve"> IF(K$3&lt;&gt;$E37, MID($D37,K$3,1), INDEX(音調表!$D$3:$D$12, MATCH(TRUE, EXACT(MID($D37,K$3,1), 音調表!$B$3:$B$12),0)))</f>
        <v/>
      </c>
      <c r="L37" s="15" t="str" cm="1">
        <f t="array" ref="L37" xml:space="preserve"> IF(L$3&lt;&gt;$E37, MID($D37,L$3,1), INDEX(音調表!$D$3:$D$12, MATCH(TRUE, EXACT(MID($D37,L$3,1), 音調表!$B$3:$B$12),0)))</f>
        <v/>
      </c>
      <c r="M37" s="15" t="str" cm="1">
        <f t="array" ref="M37" xml:space="preserve"> IF(M$3&lt;&gt;$E37, MID($D37,M$3,1), INDEX(音調表!$D$3:$D$12, MATCH(TRUE, EXACT(MID($D37,M$3,1), 音調表!$B$3:$B$12),0)))</f>
        <v/>
      </c>
      <c r="N37" s="16" t="str" cm="1">
        <f t="array" ref="N37" xml:space="preserve"> IF(N$3&lt;&gt;$E37, MID($D37,N$3,1), INDEX(音調表!$D$3:$D$12, MATCH(TRUE, EXACT(MID($D37,N$3,1), 音調表!$B$3:$B$12),0)))</f>
        <v/>
      </c>
      <c r="P37" s="2"/>
      <c r="Q37" s="2"/>
    </row>
    <row r="38" spans="2:17" ht="45.75" x14ac:dyDescent="0.25">
      <c r="B38" s="12" t="s">
        <v>86</v>
      </c>
      <c r="C38" s="32" t="s">
        <v>161</v>
      </c>
      <c r="D38" s="13" t="s">
        <v>120</v>
      </c>
      <c r="E38" s="14">
        <f t="shared" si="0"/>
        <v>5</v>
      </c>
      <c r="F38" s="15" t="str" cm="1">
        <f t="array" ref="F38" xml:space="preserve"> IF(F$3&lt;&gt;$E38, MID($D38,F$3,1), INDEX(音調表!$D$3:$D$12, MATCH(TRUE, EXACT(MID($D38,F$3,1), 音調表!$B$3:$B$12),0)))</f>
        <v>h</v>
      </c>
      <c r="G38" s="15" t="str" cm="1">
        <f t="array" ref="G38" xml:space="preserve"> IF(G$3&lt;&gt;$E38, MID($D38,G$3,1), INDEX(音調表!$D$3:$D$12, MATCH(TRUE, EXACT(MID($D38,G$3,1), 音調表!$B$3:$B$12),0)))</f>
        <v>o</v>
      </c>
      <c r="H38" s="15" t="str" cm="1">
        <f t="array" ref="H38" xml:space="preserve"> IF(H$3&lt;&gt;$E38, MID($D38,H$3,1), INDEX(音調表!$D$3:$D$12, MATCH(TRUE, EXACT(MID($D38,H$3,1), 音調表!$B$3:$B$12),0)))</f>
        <v>n</v>
      </c>
      <c r="I38" s="15" t="str" cm="1">
        <f t="array" ref="I38" xml:space="preserve"> IF(I$3&lt;&gt;$E38, MID($D38,I$3,1), INDEX(音調表!$D$3:$D$12, MATCH(TRUE, EXACT(MID($D38,I$3,1), 音調表!$B$3:$B$12),0)))</f>
        <v>g</v>
      </c>
      <c r="J38" s="15" t="str" cm="1">
        <f t="array" ref="J38" xml:space="preserve"> IF(J$3&lt;&gt;$E38, MID($D38,J$3,1), INDEX(音調表!$D$3:$D$12, MATCH(TRUE, EXACT(MID($D38,J$3,1), 音調表!$B$3:$B$12),0)))</f>
        <v>;</v>
      </c>
      <c r="K38" s="15" t="str" cm="1">
        <f t="array" ref="K38" xml:space="preserve"> IF(K$3&lt;&gt;$E38, MID($D38,K$3,1), INDEX(音調表!$D$3:$D$12, MATCH(TRUE, EXACT(MID($D38,K$3,1), 音調表!$B$3:$B$12),0)))</f>
        <v/>
      </c>
      <c r="L38" s="15" t="str" cm="1">
        <f t="array" ref="L38" xml:space="preserve"> IF(L$3&lt;&gt;$E38, MID($D38,L$3,1), INDEX(音調表!$D$3:$D$12, MATCH(TRUE, EXACT(MID($D38,L$3,1), 音調表!$B$3:$B$12),0)))</f>
        <v/>
      </c>
      <c r="M38" s="15" t="str" cm="1">
        <f t="array" ref="M38" xml:space="preserve"> IF(M$3&lt;&gt;$E38, MID($D38,M$3,1), INDEX(音調表!$D$3:$D$12, MATCH(TRUE, EXACT(MID($D38,M$3,1), 音調表!$B$3:$B$12),0)))</f>
        <v/>
      </c>
      <c r="N38" s="16" t="str" cm="1">
        <f t="array" ref="N38" xml:space="preserve"> IF(N$3&lt;&gt;$E38, MID($D38,N$3,1), INDEX(音調表!$D$3:$D$12, MATCH(TRUE, EXACT(MID($D38,N$3,1), 音調表!$B$3:$B$12),0)))</f>
        <v/>
      </c>
      <c r="P38" s="2"/>
      <c r="Q38" s="2"/>
    </row>
    <row r="39" spans="2:17" ht="45.75" x14ac:dyDescent="0.25">
      <c r="B39" s="12" t="s">
        <v>87</v>
      </c>
      <c r="C39" s="32" t="s">
        <v>162</v>
      </c>
      <c r="D39" s="13" t="s">
        <v>121</v>
      </c>
      <c r="E39" s="14">
        <f t="shared" si="0"/>
        <v>4</v>
      </c>
      <c r="F39" s="15" t="str" cm="1">
        <f t="array" ref="F39" xml:space="preserve"> IF(F$3&lt;&gt;$E39, MID($D39,F$3,1), INDEX(音調表!$D$3:$D$12, MATCH(TRUE, EXACT(MID($D39,F$3,1), 音調表!$B$3:$B$12),0)))</f>
        <v>p</v>
      </c>
      <c r="G39" s="15" t="str" cm="1">
        <f t="array" ref="G39" xml:space="preserve"> IF(G$3&lt;&gt;$E39, MID($D39,G$3,1), INDEX(音調表!$D$3:$D$12, MATCH(TRUE, EXACT(MID($D39,G$3,1), 音調表!$B$3:$B$12),0)))</f>
        <v>u</v>
      </c>
      <c r="H39" s="15" t="str" cm="1">
        <f t="array" ref="H39" xml:space="preserve"> IF(H$3&lt;&gt;$E39, MID($D39,H$3,1), INDEX(音調表!$D$3:$D$12, MATCH(TRUE, EXACT(MID($D39,H$3,1), 音調表!$B$3:$B$12),0)))</f>
        <v>t</v>
      </c>
      <c r="I39" s="15" t="str" cm="1">
        <f t="array" ref="I39" xml:space="preserve"> IF(I$3&lt;&gt;$E39, MID($D39,I$3,1), INDEX(音調表!$D$3:$D$12, MATCH(TRUE, EXACT(MID($D39,I$3,1), 音調表!$B$3:$B$12),0)))</f>
        <v>[</v>
      </c>
      <c r="J39" s="15" t="str" cm="1">
        <f t="array" ref="J39" xml:space="preserve"> IF(J$3&lt;&gt;$E39, MID($D39,J$3,1), INDEX(音調表!$D$3:$D$12, MATCH(TRUE, EXACT(MID($D39,J$3,1), 音調表!$B$3:$B$12),0)))</f>
        <v/>
      </c>
      <c r="K39" s="15" t="str" cm="1">
        <f t="array" ref="K39" xml:space="preserve"> IF(K$3&lt;&gt;$E39, MID($D39,K$3,1), INDEX(音調表!$D$3:$D$12, MATCH(TRUE, EXACT(MID($D39,K$3,1), 音調表!$B$3:$B$12),0)))</f>
        <v/>
      </c>
      <c r="L39" s="15" t="str" cm="1">
        <f t="array" ref="L39" xml:space="preserve"> IF(L$3&lt;&gt;$E39, MID($D39,L$3,1), INDEX(音調表!$D$3:$D$12, MATCH(TRUE, EXACT(MID($D39,L$3,1), 音調表!$B$3:$B$12),0)))</f>
        <v/>
      </c>
      <c r="M39" s="15" t="str" cm="1">
        <f t="array" ref="M39" xml:space="preserve"> IF(M$3&lt;&gt;$E39, MID($D39,M$3,1), INDEX(音調表!$D$3:$D$12, MATCH(TRUE, EXACT(MID($D39,M$3,1), 音調表!$B$3:$B$12),0)))</f>
        <v/>
      </c>
      <c r="N39" s="16" t="str" cm="1">
        <f t="array" ref="N39" xml:space="preserve"> IF(N$3&lt;&gt;$E39, MID($D39,N$3,1), INDEX(音調表!$D$3:$D$12, MATCH(TRUE, EXACT(MID($D39,N$3,1), 音調表!$B$3:$B$12),0)))</f>
        <v/>
      </c>
      <c r="P39" s="2"/>
      <c r="Q39" s="2"/>
    </row>
    <row r="40" spans="2:17" ht="45.75" x14ac:dyDescent="0.25">
      <c r="B40" s="12" t="s">
        <v>88</v>
      </c>
      <c r="C40" s="32" t="s">
        <v>163</v>
      </c>
      <c r="D40" s="13" t="s">
        <v>122</v>
      </c>
      <c r="E40" s="14">
        <f t="shared" si="0"/>
        <v>4</v>
      </c>
      <c r="F40" s="15" t="str" cm="1">
        <f t="array" ref="F40" xml:space="preserve"> IF(F$3&lt;&gt;$E40, MID($D40,F$3,1), INDEX(音調表!$D$3:$D$12, MATCH(TRUE, EXACT(MID($D40,F$3,1), 音調表!$B$3:$B$12),0)))</f>
        <v>t</v>
      </c>
      <c r="G40" s="15" t="str" cm="1">
        <f t="array" ref="G40" xml:space="preserve"> IF(G$3&lt;&gt;$E40, MID($D40,G$3,1), INDEX(音調表!$D$3:$D$12, MATCH(TRUE, EXACT(MID($D40,G$3,1), 音調表!$B$3:$B$12),0)))</f>
        <v>o</v>
      </c>
      <c r="H40" s="15" t="str" cm="1">
        <f t="array" ref="H40" xml:space="preserve"> IF(H$3&lt;&gt;$E40, MID($D40,H$3,1), INDEX(音調表!$D$3:$D$12, MATCH(TRUE, EXACT(MID($D40,H$3,1), 音調表!$B$3:$B$12),0)))</f>
        <v>o</v>
      </c>
      <c r="I40" s="15" t="str" cm="1">
        <f t="array" ref="I40" xml:space="preserve"> IF(I$3&lt;&gt;$E40, MID($D40,I$3,1), INDEX(音調表!$D$3:$D$12, MATCH(TRUE, EXACT(MID($D40,I$3,1), 音調表!$B$3:$B$12),0)))</f>
        <v>-</v>
      </c>
      <c r="J40" s="15" t="str" cm="1">
        <f t="array" ref="J40" xml:space="preserve"> IF(J$3&lt;&gt;$E40, MID($D40,J$3,1), INDEX(音調表!$D$3:$D$12, MATCH(TRUE, EXACT(MID($D40,J$3,1), 音調表!$B$3:$B$12),0)))</f>
        <v/>
      </c>
      <c r="K40" s="15" t="str" cm="1">
        <f t="array" ref="K40" xml:space="preserve"> IF(K$3&lt;&gt;$E40, MID($D40,K$3,1), INDEX(音調表!$D$3:$D$12, MATCH(TRUE, EXACT(MID($D40,K$3,1), 音調表!$B$3:$B$12),0)))</f>
        <v/>
      </c>
      <c r="L40" s="15" t="str" cm="1">
        <f t="array" ref="L40" xml:space="preserve"> IF(L$3&lt;&gt;$E40, MID($D40,L$3,1), INDEX(音調表!$D$3:$D$12, MATCH(TRUE, EXACT(MID($D40,L$3,1), 音調表!$B$3:$B$12),0)))</f>
        <v/>
      </c>
      <c r="M40" s="15" t="str" cm="1">
        <f t="array" ref="M40" xml:space="preserve"> IF(M$3&lt;&gt;$E40, MID($D40,M$3,1), INDEX(音調表!$D$3:$D$12, MATCH(TRUE, EXACT(MID($D40,M$3,1), 音調表!$B$3:$B$12),0)))</f>
        <v/>
      </c>
      <c r="N40" s="16" t="str" cm="1">
        <f t="array" ref="N40" xml:space="preserve"> IF(N$3&lt;&gt;$E40, MID($D40,N$3,1), INDEX(音調表!$D$3:$D$12, MATCH(TRUE, EXACT(MID($D40,N$3,1), 音調表!$B$3:$B$12),0)))</f>
        <v/>
      </c>
      <c r="P40" s="2"/>
      <c r="Q40" s="2"/>
    </row>
    <row r="41" spans="2:17" ht="45.75" x14ac:dyDescent="0.25">
      <c r="B41" s="12" t="s">
        <v>89</v>
      </c>
      <c r="C41" s="32" t="s">
        <v>164</v>
      </c>
      <c r="D41" s="13" t="s">
        <v>123</v>
      </c>
      <c r="E41" s="14">
        <f t="shared" si="0"/>
        <v>5</v>
      </c>
      <c r="F41" s="15" t="str" cm="1">
        <f t="array" ref="F41" xml:space="preserve"> IF(F$3&lt;&gt;$E41, MID($D41,F$3,1), INDEX(音調表!$D$3:$D$12, MATCH(TRUE, EXACT(MID($D41,F$3,1), 音調表!$B$3:$B$12),0)))</f>
        <v>g</v>
      </c>
      <c r="G41" s="15" t="str" cm="1">
        <f t="array" ref="G41" xml:space="preserve"> IF(G$3&lt;&gt;$E41, MID($D41,G$3,1), INDEX(音調表!$D$3:$D$12, MATCH(TRUE, EXACT(MID($D41,G$3,1), 音調表!$B$3:$B$12),0)))</f>
        <v>i</v>
      </c>
      <c r="H41" s="15" t="str" cm="1">
        <f t="array" ref="H41" xml:space="preserve"> IF(H$3&lt;&gt;$E41, MID($D41,H$3,1), INDEX(音調表!$D$3:$D$12, MATCH(TRUE, EXACT(MID($D41,H$3,1), 音調表!$B$3:$B$12),0)))</f>
        <v>o</v>
      </c>
      <c r="I41" s="15" t="str" cm="1">
        <f t="array" ref="I41" xml:space="preserve"> IF(I$3&lt;&gt;$E41, MID($D41,I$3,1), INDEX(音調表!$D$3:$D$12, MATCH(TRUE, EXACT(MID($D41,I$3,1), 音調表!$B$3:$B$12),0)))</f>
        <v>k</v>
      </c>
      <c r="J41" s="15" t="str" cm="1">
        <f t="array" ref="J41" xml:space="preserve"> IF(J$3&lt;&gt;$E41, MID($D41,J$3,1), INDEX(音調表!$D$3:$D$12, MATCH(TRUE, EXACT(MID($D41,J$3,1), 音調表!$B$3:$B$12),0)))</f>
        <v>]</v>
      </c>
      <c r="K41" s="15" t="str" cm="1">
        <f t="array" ref="K41" xml:space="preserve"> IF(K$3&lt;&gt;$E41, MID($D41,K$3,1), INDEX(音調表!$D$3:$D$12, MATCH(TRUE, EXACT(MID($D41,K$3,1), 音調表!$B$3:$B$12),0)))</f>
        <v/>
      </c>
      <c r="L41" s="15" t="str" cm="1">
        <f t="array" ref="L41" xml:space="preserve"> IF(L$3&lt;&gt;$E41, MID($D41,L$3,1), INDEX(音調表!$D$3:$D$12, MATCH(TRUE, EXACT(MID($D41,L$3,1), 音調表!$B$3:$B$12),0)))</f>
        <v/>
      </c>
      <c r="M41" s="15" t="str" cm="1">
        <f t="array" ref="M41" xml:space="preserve"> IF(M$3&lt;&gt;$E41, MID($D41,M$3,1), INDEX(音調表!$D$3:$D$12, MATCH(TRUE, EXACT(MID($D41,M$3,1), 音調表!$B$3:$B$12),0)))</f>
        <v/>
      </c>
      <c r="N41" s="16" t="str" cm="1">
        <f t="array" ref="N41" xml:space="preserve"> IF(N$3&lt;&gt;$E41, MID($D41,N$3,1), INDEX(音調表!$D$3:$D$12, MATCH(TRUE, EXACT(MID($D41,N$3,1), 音調表!$B$3:$B$12),0)))</f>
        <v/>
      </c>
      <c r="P41" s="2"/>
      <c r="Q41" s="2"/>
    </row>
    <row r="42" spans="2:17" ht="45.75" x14ac:dyDescent="0.25">
      <c r="B42" s="12" t="s">
        <v>90</v>
      </c>
      <c r="C42" s="32" t="s">
        <v>165</v>
      </c>
      <c r="D42" s="13" t="s">
        <v>124</v>
      </c>
      <c r="E42" s="14">
        <f t="shared" si="0"/>
        <v>4</v>
      </c>
      <c r="F42" s="15" t="str" cm="1">
        <f t="array" ref="F42" xml:space="preserve"> IF(F$3&lt;&gt;$E42, MID($D42,F$3,1), INDEX(音調表!$D$3:$D$12, MATCH(TRUE, EXACT(MID($D42,F$3,1), 音調表!$B$3:$B$12),0)))</f>
        <v>b</v>
      </c>
      <c r="G42" s="15" t="str" cm="1">
        <f t="array" ref="G42" xml:space="preserve"> IF(G$3&lt;&gt;$E42, MID($D42,G$3,1), INDEX(音調表!$D$3:$D$12, MATCH(TRUE, EXACT(MID($D42,G$3,1), 音調表!$B$3:$B$12),0)))</f>
        <v>u</v>
      </c>
      <c r="H42" s="15" t="str" cm="1">
        <f t="array" ref="H42" xml:space="preserve"> IF(H$3&lt;&gt;$E42, MID($D42,H$3,1), INDEX(音調表!$D$3:$D$12, MATCH(TRUE, EXACT(MID($D42,H$3,1), 音調表!$B$3:$B$12),0)))</f>
        <v>n</v>
      </c>
      <c r="I42" s="15" t="str" cm="1">
        <f t="array" ref="I42" xml:space="preserve"> IF(I$3&lt;&gt;$E42, MID($D42,I$3,1), INDEX(音調表!$D$3:$D$12, MATCH(TRUE, EXACT(MID($D42,I$3,1), 音調表!$B$3:$B$12),0)))</f>
        <v>/</v>
      </c>
      <c r="J42" s="15" t="str" cm="1">
        <f t="array" ref="J42" xml:space="preserve"> IF(J$3&lt;&gt;$E42, MID($D42,J$3,1), INDEX(音調表!$D$3:$D$12, MATCH(TRUE, EXACT(MID($D42,J$3,1), 音調表!$B$3:$B$12),0)))</f>
        <v/>
      </c>
      <c r="K42" s="15" t="str" cm="1">
        <f t="array" ref="K42" xml:space="preserve"> IF(K$3&lt;&gt;$E42, MID($D42,K$3,1), INDEX(音調表!$D$3:$D$12, MATCH(TRUE, EXACT(MID($D42,K$3,1), 音調表!$B$3:$B$12),0)))</f>
        <v/>
      </c>
      <c r="L42" s="15" t="str" cm="1">
        <f t="array" ref="L42" xml:space="preserve"> IF(L$3&lt;&gt;$E42, MID($D42,L$3,1), INDEX(音調表!$D$3:$D$12, MATCH(TRUE, EXACT(MID($D42,L$3,1), 音調表!$B$3:$B$12),0)))</f>
        <v/>
      </c>
      <c r="M42" s="15" t="str" cm="1">
        <f t="array" ref="M42" xml:space="preserve"> IF(M$3&lt;&gt;$E42, MID($D42,M$3,1), INDEX(音調表!$D$3:$D$12, MATCH(TRUE, EXACT(MID($D42,M$3,1), 音調表!$B$3:$B$12),0)))</f>
        <v/>
      </c>
      <c r="N42" s="16" t="str" cm="1">
        <f t="array" ref="N42" xml:space="preserve"> IF(N$3&lt;&gt;$E42, MID($D42,N$3,1), INDEX(音調表!$D$3:$D$12, MATCH(TRUE, EXACT(MID($D42,N$3,1), 音調表!$B$3:$B$12),0)))</f>
        <v/>
      </c>
      <c r="P42" s="2"/>
      <c r="Q42" s="2"/>
    </row>
    <row r="43" spans="2:17" ht="45.75" x14ac:dyDescent="0.25">
      <c r="B43" s="12" t="s">
        <v>91</v>
      </c>
      <c r="C43" s="32" t="s">
        <v>166</v>
      </c>
      <c r="D43" s="13" t="s">
        <v>125</v>
      </c>
      <c r="E43" s="14">
        <f t="shared" si="0"/>
        <v>5</v>
      </c>
      <c r="F43" s="15" t="str" cm="1">
        <f t="array" ref="F43" xml:space="preserve"> IF(F$3&lt;&gt;$E43, MID($D43,F$3,1), INDEX(音調表!$D$3:$D$12, MATCH(TRUE, EXACT(MID($D43,F$3,1), 音調表!$B$3:$B$12),0)))</f>
        <v>k</v>
      </c>
      <c r="G43" s="15" t="str" cm="1">
        <f t="array" ref="G43" xml:space="preserve"> IF(G$3&lt;&gt;$E43, MID($D43,G$3,1), INDEX(音調表!$D$3:$D$12, MATCH(TRUE, EXACT(MID($D43,G$3,1), 音調表!$B$3:$B$12),0)))</f>
        <v>u</v>
      </c>
      <c r="H43" s="15" t="str" cm="1">
        <f t="array" ref="H43" xml:space="preserve"> IF(H$3&lt;&gt;$E43, MID($D43,H$3,1), INDEX(音調表!$D$3:$D$12, MATCH(TRUE, EXACT(MID($D43,H$3,1), 音調表!$B$3:$B$12),0)))</f>
        <v>a</v>
      </c>
      <c r="I43" s="15" t="str" cm="1">
        <f t="array" ref="I43" xml:space="preserve"> IF(I$3&lt;&gt;$E43, MID($D43,I$3,1), INDEX(音調表!$D$3:$D$12, MATCH(TRUE, EXACT(MID($D43,I$3,1), 音調表!$B$3:$B$12),0)))</f>
        <v>n</v>
      </c>
      <c r="J43" s="15" t="str" cm="1">
        <f t="array" ref="J43" xml:space="preserve"> IF(J$3&lt;&gt;$E43, MID($D43,J$3,1), INDEX(音調表!$D$3:$D$12, MATCH(TRUE, EXACT(MID($D43,J$3,1), 音調表!$B$3:$B$12),0)))</f>
        <v>;</v>
      </c>
      <c r="K43" s="15" t="str" cm="1">
        <f t="array" ref="K43" xml:space="preserve"> IF(K$3&lt;&gt;$E43, MID($D43,K$3,1), INDEX(音調表!$D$3:$D$12, MATCH(TRUE, EXACT(MID($D43,K$3,1), 音調表!$B$3:$B$12),0)))</f>
        <v/>
      </c>
      <c r="L43" s="15" t="str" cm="1">
        <f t="array" ref="L43" xml:space="preserve"> IF(L$3&lt;&gt;$E43, MID($D43,L$3,1), INDEX(音調表!$D$3:$D$12, MATCH(TRUE, EXACT(MID($D43,L$3,1), 音調表!$B$3:$B$12),0)))</f>
        <v/>
      </c>
      <c r="M43" s="15" t="str" cm="1">
        <f t="array" ref="M43" xml:space="preserve"> IF(M$3&lt;&gt;$E43, MID($D43,M$3,1), INDEX(音調表!$D$3:$D$12, MATCH(TRUE, EXACT(MID($D43,M$3,1), 音調表!$B$3:$B$12),0)))</f>
        <v/>
      </c>
      <c r="N43" s="16" t="str" cm="1">
        <f t="array" ref="N43" xml:space="preserve"> IF(N$3&lt;&gt;$E43, MID($D43,N$3,1), INDEX(音調表!$D$3:$D$12, MATCH(TRUE, EXACT(MID($D43,N$3,1), 音調表!$B$3:$B$12),0)))</f>
        <v/>
      </c>
      <c r="P43" s="2"/>
      <c r="Q43" s="2"/>
    </row>
    <row r="44" spans="2:17" ht="45.75" x14ac:dyDescent="0.25">
      <c r="B44" s="12" t="s">
        <v>77</v>
      </c>
      <c r="C44" s="32"/>
      <c r="D44" s="13"/>
      <c r="E44" s="14" t="str">
        <f t="shared" si="0"/>
        <v/>
      </c>
      <c r="F44" s="15" t="s">
        <v>102</v>
      </c>
      <c r="G44" s="15" t="s">
        <v>41</v>
      </c>
      <c r="H44" s="15" t="str" cm="1">
        <f t="array" ref="H44" xml:space="preserve"> IF(H$3&lt;&gt;$E44, MID($D44,H$3,1), INDEX(音調表!$D$3:$D$12, MATCH(TRUE, EXACT(MID($D44,H$3,1), 音調表!$B$3:$B$12),0)))</f>
        <v/>
      </c>
      <c r="I44" s="15" t="str" cm="1">
        <f t="array" ref="I44" xml:space="preserve"> IF(I$3&lt;&gt;$E44, MID($D44,I$3,1), INDEX(音調表!$D$3:$D$12, MATCH(TRUE, EXACT(MID($D44,I$3,1), 音調表!$B$3:$B$12),0)))</f>
        <v/>
      </c>
      <c r="J44" s="15" t="str" cm="1">
        <f t="array" ref="J44" xml:space="preserve"> IF(J$3&lt;&gt;$E44, MID($D44,J$3,1), INDEX(音調表!$D$3:$D$12, MATCH(TRUE, EXACT(MID($D44,J$3,1), 音調表!$B$3:$B$12),0)))</f>
        <v/>
      </c>
      <c r="K44" s="15" t="str" cm="1">
        <f t="array" ref="K44" xml:space="preserve"> IF(K$3&lt;&gt;$E44, MID($D44,K$3,1), INDEX(音調表!$D$3:$D$12, MATCH(TRUE, EXACT(MID($D44,K$3,1), 音調表!$B$3:$B$12),0)))</f>
        <v/>
      </c>
      <c r="L44" s="15" t="str" cm="1">
        <f t="array" ref="L44" xml:space="preserve"> IF(L$3&lt;&gt;$E44, MID($D44,L$3,1), INDEX(音調表!$D$3:$D$12, MATCH(TRUE, EXACT(MID($D44,L$3,1), 音調表!$B$3:$B$12),0)))</f>
        <v/>
      </c>
      <c r="M44" s="15" t="str" cm="1">
        <f t="array" ref="M44" xml:space="preserve"> IF(M$3&lt;&gt;$E44, MID($D44,M$3,1), INDEX(音調表!$D$3:$D$12, MATCH(TRUE, EXACT(MID($D44,M$3,1), 音調表!$B$3:$B$12),0)))</f>
        <v/>
      </c>
      <c r="N44" s="16" t="str" cm="1">
        <f t="array" ref="N44" xml:space="preserve"> IF(N$3&lt;&gt;$E44, MID($D44,N$3,1), INDEX(音調表!$D$3:$D$12, MATCH(TRUE, EXACT(MID($D44,N$3,1), 音調表!$B$3:$B$12),0)))</f>
        <v/>
      </c>
      <c r="P44" s="2"/>
      <c r="Q44" s="2"/>
    </row>
  </sheetData>
  <mergeCells count="5">
    <mergeCell ref="B2:B3"/>
    <mergeCell ref="D2:D3"/>
    <mergeCell ref="E2:E3"/>
    <mergeCell ref="F2:N2"/>
    <mergeCell ref="C2:C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A209-8A41-448E-85C2-CB353771C8DA}">
  <dimension ref="B1:Z45"/>
  <sheetViews>
    <sheetView showGridLines="0" topLeftCell="A12" zoomScaleNormal="100" workbookViewId="0">
      <selection activeCell="C12" sqref="C1:C1048576"/>
    </sheetView>
  </sheetViews>
  <sheetFormatPr defaultRowHeight="114" outlineLevelCol="1" x14ac:dyDescent="0.25"/>
  <cols>
    <col min="1" max="1" width="4.25" style="1" customWidth="1"/>
    <col min="2" max="3" width="17" style="23" customWidth="1"/>
    <col min="4" max="4" width="21.125" style="24" customWidth="1"/>
    <col min="5" max="5" width="9" style="1" hidden="1" customWidth="1" outlineLevel="1"/>
    <col min="6" max="14" width="18.125" style="1" hidden="1" customWidth="1" outlineLevel="1"/>
    <col min="15" max="15" width="2" style="48" hidden="1" customWidth="1" outlineLevel="1"/>
    <col min="16" max="16" width="12.625" style="1" customWidth="1" collapsed="1"/>
    <col min="17" max="24" width="12.625" style="1" customWidth="1"/>
    <col min="25" max="36" width="15.625" style="1" customWidth="1"/>
    <col min="37" max="16384" width="9" style="1"/>
  </cols>
  <sheetData>
    <row r="1" spans="2:26" ht="39" x14ac:dyDescent="0.25">
      <c r="B1" s="25" t="s">
        <v>126</v>
      </c>
      <c r="C1" s="25"/>
      <c r="D1" s="22" t="s">
        <v>127</v>
      </c>
    </row>
    <row r="2" spans="2:26" ht="15.75" customHeight="1" x14ac:dyDescent="0.25">
      <c r="B2" s="21"/>
      <c r="C2" s="21"/>
    </row>
    <row r="3" spans="2:26" ht="39" customHeight="1" x14ac:dyDescent="0.25">
      <c r="B3" s="26" t="s">
        <v>4</v>
      </c>
      <c r="C3" s="26" t="s">
        <v>132</v>
      </c>
      <c r="D3" s="26" t="s">
        <v>128</v>
      </c>
      <c r="E3" s="26" t="s">
        <v>8</v>
      </c>
      <c r="F3" s="26" t="s">
        <v>45</v>
      </c>
      <c r="G3" s="26"/>
      <c r="H3" s="26"/>
      <c r="I3" s="26"/>
      <c r="J3" s="26"/>
      <c r="K3" s="26"/>
      <c r="L3" s="26"/>
      <c r="M3" s="26"/>
      <c r="N3" s="26"/>
      <c r="O3" s="49"/>
      <c r="P3" s="26" t="s">
        <v>45</v>
      </c>
      <c r="Q3" s="26"/>
      <c r="R3" s="26"/>
      <c r="S3" s="26"/>
      <c r="T3" s="26"/>
      <c r="U3" s="26"/>
      <c r="V3" s="26"/>
      <c r="W3" s="26"/>
      <c r="X3" s="26"/>
    </row>
    <row r="4" spans="2:26" s="2" customFormat="1" ht="30" customHeight="1" x14ac:dyDescent="0.25">
      <c r="B4" s="26"/>
      <c r="C4" s="26"/>
      <c r="D4" s="26"/>
      <c r="E4" s="26"/>
      <c r="F4" s="28">
        <v>1</v>
      </c>
      <c r="G4" s="28">
        <v>2</v>
      </c>
      <c r="H4" s="28">
        <v>3</v>
      </c>
      <c r="I4" s="28">
        <v>4</v>
      </c>
      <c r="J4" s="28">
        <v>5</v>
      </c>
      <c r="K4" s="28">
        <v>6</v>
      </c>
      <c r="L4" s="28">
        <v>7</v>
      </c>
      <c r="M4" s="28">
        <v>8</v>
      </c>
      <c r="N4" s="28">
        <v>9</v>
      </c>
      <c r="O4" s="50"/>
      <c r="P4" s="28">
        <v>1</v>
      </c>
      <c r="Q4" s="28">
        <v>2</v>
      </c>
      <c r="R4" s="28">
        <v>3</v>
      </c>
      <c r="S4" s="28">
        <v>4</v>
      </c>
      <c r="T4" s="28">
        <v>5</v>
      </c>
      <c r="U4" s="28">
        <v>6</v>
      </c>
      <c r="V4" s="28">
        <v>7</v>
      </c>
      <c r="W4" s="28">
        <v>8</v>
      </c>
      <c r="X4" s="28">
        <v>9</v>
      </c>
    </row>
    <row r="5" spans="2:26" ht="75" customHeight="1" x14ac:dyDescent="0.25">
      <c r="B5" s="29" t="s">
        <v>0</v>
      </c>
      <c r="C5" s="32" t="s">
        <v>133</v>
      </c>
      <c r="D5" s="30" t="s">
        <v>5</v>
      </c>
      <c r="E5" s="27">
        <f>IF( LEN(D5)&gt;0, LEN(D5), "")</f>
        <v>6</v>
      </c>
      <c r="F5" s="47" t="str" cm="1">
        <f t="array" ref="F5" xml:space="preserve"> IF(F$4&lt;&gt;$E5, MID($D5,F$4,1), INDEX(音調表[Key], MATCH(TRUE, EXACT(MID($D5,F$4,1), 音調表!$B$3:$B$12),0)))</f>
        <v>l</v>
      </c>
      <c r="G5" s="47" t="str" cm="1">
        <f t="array" ref="G5" xml:space="preserve"> IF(G$4&lt;&gt;$E5, MID($D5,G$4,1), INDEX(音調表[Key], MATCH(TRUE, EXACT(MID($D5,G$4,1), 音調表!$B$3:$B$12),0)))</f>
        <v>i</v>
      </c>
      <c r="H5" s="47" t="str" cm="1">
        <f t="array" ref="H5" xml:space="preserve"> IF(H$4&lt;&gt;$E5, MID($D5,H$4,1), INDEX(音調表[Key], MATCH(TRUE, EXACT(MID($D5,H$4,1), 音調表!$B$3:$B$12),0)))</f>
        <v>a</v>
      </c>
      <c r="I5" s="47" t="str" cm="1">
        <f t="array" ref="I5" xml:space="preserve"> IF(I$4&lt;&gt;$E5, MID($D5,I$4,1), INDEX(音調表[Key], MATCH(TRUE, EXACT(MID($D5,I$4,1), 音調表!$B$3:$B$12),0)))</f>
        <v>n</v>
      </c>
      <c r="J5" s="47" t="str" cm="1">
        <f t="array" ref="J5" xml:space="preserve"> IF(J$4&lt;&gt;$E5, MID($D5,J$4,1), INDEX(音調表[Key], MATCH(TRUE, EXACT(MID($D5,J$4,1), 音調表!$B$3:$B$12),0)))</f>
        <v>g</v>
      </c>
      <c r="K5" s="47" t="str" cm="1">
        <f t="array" ref="K5" xml:space="preserve"> IF(K$4&lt;&gt;$E5, MID($D5,K$4,1), INDEX(音調表[Key], MATCH(TRUE, EXACT(MID($D5,K$4,1), 音調表!$B$3:$B$12),0)))</f>
        <v>slash</v>
      </c>
      <c r="L5" s="47" t="str" cm="1">
        <f t="array" ref="L5" xml:space="preserve"> IF(L$4&lt;&gt;$E5, MID($D5,L$4,1), INDEX(音調表[Key], MATCH(TRUE, EXACT(MID($D5,L$4,1), 音調表!$B$3:$B$12),0)))</f>
        <v/>
      </c>
      <c r="M5" s="47" t="str" cm="1">
        <f t="array" ref="M5" xml:space="preserve"> IF(M$4&lt;&gt;$E5, MID($D5,M$4,1), INDEX(音調表[Key], MATCH(TRUE, EXACT(MID($D5,M$4,1), 音調表!$B$3:$B$12),0)))</f>
        <v/>
      </c>
      <c r="N5" s="47" t="str" cm="1">
        <f t="array" ref="N5" xml:space="preserve"> IF(N$4&lt;&gt;$E5, MID($D5,N$4,1), INDEX(音調表[Key], MATCH(TRUE, EXACT(MID($D5,N$4,1), 音調表!$B$3:$B$12),0)))</f>
        <v/>
      </c>
      <c r="O5" s="49"/>
      <c r="P5" s="31" t="e" vm="1">
        <f xml:space="preserve"> IFERROR( _xlfn.IMAGE(_xlfn.CONCAT($D$1,F5,".png")), "")</f>
        <v>#VALUE!</v>
      </c>
      <c r="Q5" s="31" t="e" vm="2">
        <f xml:space="preserve"> IFERROR( _xlfn.IMAGE(_xlfn.CONCAT($D$1,G5,".png")), "")</f>
        <v>#VALUE!</v>
      </c>
      <c r="R5" s="31" t="e" vm="3">
        <f xml:space="preserve"> IFERROR( _xlfn.IMAGE(_xlfn.CONCAT($D$1,H5,".png")), "")</f>
        <v>#VALUE!</v>
      </c>
      <c r="S5" s="31" t="e" vm="4">
        <f xml:space="preserve"> IFERROR( _xlfn.IMAGE(_xlfn.CONCAT($D$1,I5,".png")), "")</f>
        <v>#VALUE!</v>
      </c>
      <c r="T5" s="31" t="e" vm="5">
        <f xml:space="preserve"> IFERROR( _xlfn.IMAGE(_xlfn.CONCAT($D$1,J5,".png")), "")</f>
        <v>#VALUE!</v>
      </c>
      <c r="U5" s="31" t="e" vm="6">
        <f xml:space="preserve"> IFERROR( _xlfn.IMAGE(_xlfn.CONCAT($D$1,K5,".png")), "")</f>
        <v>#VALUE!</v>
      </c>
      <c r="V5" s="31" t="str">
        <f ca="1" xml:space="preserve"> IFERROR( _xlfn.IMAGE(_xlfn.CONCAT($D$1,L5,".png")), "")</f>
        <v/>
      </c>
      <c r="W5" s="31" t="str">
        <f ca="1" xml:space="preserve"> IFERROR( _xlfn.IMAGE(_xlfn.CONCAT($D$1,M5,".png")), "")</f>
        <v/>
      </c>
      <c r="X5" s="31" t="str">
        <f ca="1" xml:space="preserve"> IFERROR( _xlfn.IMAGE(_xlfn.CONCAT($D$1,N5,".png")), "")</f>
        <v/>
      </c>
      <c r="Y5" s="2" t="str">
        <f ca="1" xml:space="preserve"> IFERROR( _xlfn.IMAGE(_xlfn.CONCAT($D$1,O5,".png")), "")</f>
        <v/>
      </c>
      <c r="Z5" s="2" t="str">
        <f xml:space="preserve"> IFERROR( _xlfn.IMAGE(_xlfn.CONCAT($D$1,#REF!,".png")), "")</f>
        <v/>
      </c>
    </row>
    <row r="6" spans="2:26" ht="75" customHeight="1" x14ac:dyDescent="0.25">
      <c r="B6" s="29" t="s">
        <v>1</v>
      </c>
      <c r="C6" s="33" t="s">
        <v>134</v>
      </c>
      <c r="D6" s="30" t="s">
        <v>129</v>
      </c>
      <c r="E6" s="27">
        <f t="shared" ref="E6:E45" si="0">IF( LEN(D6)&gt;0, LEN(D6), "")</f>
        <v>5</v>
      </c>
      <c r="F6" s="47" t="str" cm="1">
        <f t="array" ref="F6" xml:space="preserve"> IF(F$4&lt;&gt;$E6, MID($D6,F$4,1), INDEX(音調表[Key], MATCH(TRUE, EXACT(MID($D6,F$4,1), 音調表!$B$3:$B$12),0)))</f>
        <v>t</v>
      </c>
      <c r="G6" s="47" t="str" cm="1">
        <f t="array" ref="G6" xml:space="preserve"> IF(G$4&lt;&gt;$E6, MID($D6,G$4,1), INDEX(音調表[Key], MATCH(TRUE, EXACT(MID($D6,G$4,1), 音調表!$B$3:$B$12),0)))</f>
        <v>s</v>
      </c>
      <c r="H6" s="47" t="str" cm="1">
        <f t="array" ref="H6" xml:space="preserve"> IF(H$4&lt;&gt;$E6, MID($D6,H$4,1), INDEX(音調表[Key], MATCH(TRUE, EXACT(MID($D6,H$4,1), 音調表!$B$3:$B$12),0)))</f>
        <v>i</v>
      </c>
      <c r="I6" s="47" t="str" cm="1">
        <f t="array" ref="I6" xml:space="preserve"> IF(I$4&lt;&gt;$E6, MID($D6,I$4,1), INDEX(音調表[Key], MATCH(TRUE, EXACT(MID($D6,I$4,1), 音調表!$B$3:$B$12),0)))</f>
        <v>u</v>
      </c>
      <c r="J6" s="47" t="str" cm="1">
        <f t="array" ref="J6" xml:space="preserve"> IF(J$4&lt;&gt;$E6, MID($D6,J$4,1), INDEX(音調表[Key], MATCH(TRUE, EXACT(MID($D6,J$4,1), 音調表!$B$3:$B$12),0)))</f>
        <v>semicolon</v>
      </c>
      <c r="K6" s="47" t="str" cm="1">
        <f t="array" ref="K6" xml:space="preserve"> IF(K$4&lt;&gt;$E6, MID($D6,K$4,1), INDEX(音調表[Key], MATCH(TRUE, EXACT(MID($D6,K$4,1), 音調表!$B$3:$B$12),0)))</f>
        <v/>
      </c>
      <c r="L6" s="47" t="str" cm="1">
        <f t="array" ref="L6" xml:space="preserve"> IF(L$4&lt;&gt;$E6, MID($D6,L$4,1), INDEX(音調表[Key], MATCH(TRUE, EXACT(MID($D6,L$4,1), 音調表!$B$3:$B$12),0)))</f>
        <v/>
      </c>
      <c r="M6" s="47" t="str" cm="1">
        <f t="array" ref="M6" xml:space="preserve"> IF(M$4&lt;&gt;$E6, MID($D6,M$4,1), INDEX(音調表[Key], MATCH(TRUE, EXACT(MID($D6,M$4,1), 音調表!$B$3:$B$12),0)))</f>
        <v/>
      </c>
      <c r="N6" s="47" t="str" cm="1">
        <f t="array" ref="N6" xml:space="preserve"> IF(N$4&lt;&gt;$E6, MID($D6,N$4,1), INDEX(音調表[Key], MATCH(TRUE, EXACT(MID($D6,N$4,1), 音調表!$B$3:$B$12),0)))</f>
        <v/>
      </c>
      <c r="O6" s="49"/>
      <c r="P6" s="31" t="e" vm="7">
        <f xml:space="preserve"> IFERROR( _xlfn.IMAGE(_xlfn.CONCAT($D$1,F6,".png")), "")</f>
        <v>#VALUE!</v>
      </c>
      <c r="Q6" s="31" t="e" vm="8">
        <f xml:space="preserve"> IFERROR( _xlfn.IMAGE(_xlfn.CONCAT($D$1,G6,".png")), "")</f>
        <v>#VALUE!</v>
      </c>
      <c r="R6" s="31" t="e" vm="2">
        <f xml:space="preserve"> IFERROR( _xlfn.IMAGE(_xlfn.CONCAT($D$1,H6,".png")), "")</f>
        <v>#VALUE!</v>
      </c>
      <c r="S6" s="31" t="e" vm="9">
        <f xml:space="preserve"> IFERROR( _xlfn.IMAGE(_xlfn.CONCAT($D$1,I6,".png")), "")</f>
        <v>#VALUE!</v>
      </c>
      <c r="T6" s="31" t="e" vm="10">
        <f xml:space="preserve"> IFERROR( _xlfn.IMAGE(_xlfn.CONCAT($D$1,J6,".png")), "")</f>
        <v>#VALUE!</v>
      </c>
      <c r="U6" s="31" t="str">
        <f ca="1" xml:space="preserve"> IFERROR( _xlfn.IMAGE(_xlfn.CONCAT($D$1,K6,".png")), "")</f>
        <v/>
      </c>
      <c r="V6" s="31" t="str">
        <f ca="1" xml:space="preserve"> IFERROR( _xlfn.IMAGE(_xlfn.CONCAT($D$1,L6,".png")), "")</f>
        <v/>
      </c>
      <c r="W6" s="31" t="str">
        <f ca="1" xml:space="preserve"> IFERROR( _xlfn.IMAGE(_xlfn.CONCAT($D$1,M6,".png")), "")</f>
        <v/>
      </c>
      <c r="X6" s="31" t="str">
        <f ca="1" xml:space="preserve"> IFERROR( _xlfn.IMAGE(_xlfn.CONCAT($D$1,N6,".png")), "")</f>
        <v/>
      </c>
    </row>
    <row r="7" spans="2:26" ht="75" customHeight="1" x14ac:dyDescent="0.25">
      <c r="B7" s="29" t="s">
        <v>2</v>
      </c>
      <c r="C7" s="33" t="s">
        <v>135</v>
      </c>
      <c r="D7" s="30" t="s">
        <v>7</v>
      </c>
      <c r="E7" s="27">
        <f t="shared" si="0"/>
        <v>3</v>
      </c>
      <c r="F7" s="47" t="str" cm="1">
        <f t="array" ref="F7" xml:space="preserve"> IF(F$4&lt;&gt;$E7, MID($D7,F$4,1), INDEX(音調表[Key], MATCH(TRUE, EXACT(MID($D7,F$4,1), 音調表!$B$3:$B$12),0)))</f>
        <v>s</v>
      </c>
      <c r="G7" s="47" t="str" cm="1">
        <f t="array" ref="G7" xml:space="preserve"> IF(G$4&lt;&gt;$E7, MID($D7,G$4,1), INDEX(音調表[Key], MATCH(TRUE, EXACT(MID($D7,G$4,1), 音調表!$B$3:$B$12),0)))</f>
        <v>u</v>
      </c>
      <c r="H7" s="47" t="str" cm="1">
        <f t="array" ref="H7" xml:space="preserve"> IF(H$4&lt;&gt;$E7, MID($D7,H$4,1), INDEX(音調表[Key], MATCH(TRUE, EXACT(MID($D7,H$4,1), 音調表!$B$3:$B$12),0)))</f>
        <v>slash</v>
      </c>
      <c r="I7" s="47" t="str" cm="1">
        <f t="array" ref="I7" xml:space="preserve"> IF(I$4&lt;&gt;$E7, MID($D7,I$4,1), INDEX(音調表[Key], MATCH(TRUE, EXACT(MID($D7,I$4,1), 音調表!$B$3:$B$12),0)))</f>
        <v/>
      </c>
      <c r="J7" s="47" t="str" cm="1">
        <f t="array" ref="J7" xml:space="preserve"> IF(J$4&lt;&gt;$E7, MID($D7,J$4,1), INDEX(音調表[Key], MATCH(TRUE, EXACT(MID($D7,J$4,1), 音調表!$B$3:$B$12),0)))</f>
        <v/>
      </c>
      <c r="K7" s="47" t="str" cm="1">
        <f t="array" ref="K7" xml:space="preserve"> IF(K$4&lt;&gt;$E7, MID($D7,K$4,1), INDEX(音調表[Key], MATCH(TRUE, EXACT(MID($D7,K$4,1), 音調表!$B$3:$B$12),0)))</f>
        <v/>
      </c>
      <c r="L7" s="47" t="str" cm="1">
        <f t="array" ref="L7" xml:space="preserve"> IF(L$4&lt;&gt;$E7, MID($D7,L$4,1), INDEX(音調表[Key], MATCH(TRUE, EXACT(MID($D7,L$4,1), 音調表!$B$3:$B$12),0)))</f>
        <v/>
      </c>
      <c r="M7" s="47" t="str" cm="1">
        <f t="array" ref="M7" xml:space="preserve"> IF(M$4&lt;&gt;$E7, MID($D7,M$4,1), INDEX(音調表[Key], MATCH(TRUE, EXACT(MID($D7,M$4,1), 音調表!$B$3:$B$12),0)))</f>
        <v/>
      </c>
      <c r="N7" s="47" t="str" cm="1">
        <f t="array" ref="N7" xml:space="preserve"> IF(N$4&lt;&gt;$E7, MID($D7,N$4,1), INDEX(音調表[Key], MATCH(TRUE, EXACT(MID($D7,N$4,1), 音調表!$B$3:$B$12),0)))</f>
        <v/>
      </c>
      <c r="O7" s="49"/>
      <c r="P7" s="31" t="e" vm="8">
        <f xml:space="preserve"> IFERROR( _xlfn.IMAGE(_xlfn.CONCAT($D$1,F7,".png")), "")</f>
        <v>#VALUE!</v>
      </c>
      <c r="Q7" s="31" t="e" vm="9">
        <f xml:space="preserve"> IFERROR( _xlfn.IMAGE(_xlfn.CONCAT($D$1,G7,".png")), "")</f>
        <v>#VALUE!</v>
      </c>
      <c r="R7" s="31" t="e" vm="6">
        <f xml:space="preserve"> IFERROR( _xlfn.IMAGE(_xlfn.CONCAT($D$1,H7,".png")), "")</f>
        <v>#VALUE!</v>
      </c>
      <c r="S7" s="31" t="str">
        <f ca="1" xml:space="preserve"> IFERROR( _xlfn.IMAGE(_xlfn.CONCAT($D$1,I7,".png")), "")</f>
        <v/>
      </c>
      <c r="T7" s="31" t="str">
        <f ca="1" xml:space="preserve"> IFERROR( _xlfn.IMAGE(_xlfn.CONCAT($D$1,J7,".png")), "")</f>
        <v/>
      </c>
      <c r="U7" s="31" t="str">
        <f ca="1" xml:space="preserve"> IFERROR( _xlfn.IMAGE(_xlfn.CONCAT($D$1,K7,".png")), "")</f>
        <v/>
      </c>
      <c r="V7" s="31" t="str">
        <f ca="1" xml:space="preserve"> IFERROR( _xlfn.IMAGE(_xlfn.CONCAT($D$1,L7,".png")), "")</f>
        <v/>
      </c>
      <c r="W7" s="31" t="str">
        <f ca="1" xml:space="preserve"> IFERROR( _xlfn.IMAGE(_xlfn.CONCAT($D$1,M7,".png")), "")</f>
        <v/>
      </c>
      <c r="X7" s="31" t="str">
        <f ca="1" xml:space="preserve"> IFERROR( _xlfn.IMAGE(_xlfn.CONCAT($D$1,N7,".png")), "")</f>
        <v/>
      </c>
    </row>
    <row r="8" spans="2:26" ht="75" customHeight="1" x14ac:dyDescent="0.25">
      <c r="B8" s="29"/>
      <c r="C8" s="32"/>
      <c r="D8" s="30"/>
      <c r="E8" s="27" t="str">
        <f t="shared" si="0"/>
        <v/>
      </c>
      <c r="F8" s="47" t="str" cm="1">
        <f t="array" ref="F8" xml:space="preserve"> IF(F$4&lt;&gt;$E8, MID($D8,F$4,1), INDEX(音調表[Key], MATCH(TRUE, EXACT(MID($D8,F$4,1), 音調表!$B$3:$B$12),0)))</f>
        <v/>
      </c>
      <c r="G8" s="47" t="str" cm="1">
        <f t="array" ref="G8" xml:space="preserve"> IF(G$4&lt;&gt;$E8, MID($D8,G$4,1), INDEX(音調表[Key], MATCH(TRUE, EXACT(MID($D8,G$4,1), 音調表!$B$3:$B$12),0)))</f>
        <v/>
      </c>
      <c r="H8" s="47" t="str" cm="1">
        <f t="array" ref="H8" xml:space="preserve"> IF(H$4&lt;&gt;$E8, MID($D8,H$4,1), INDEX(音調表[Key], MATCH(TRUE, EXACT(MID($D8,H$4,1), 音調表!$B$3:$B$12),0)))</f>
        <v/>
      </c>
      <c r="I8" s="47" t="str" cm="1">
        <f t="array" ref="I8" xml:space="preserve"> IF(I$4&lt;&gt;$E8, MID($D8,I$4,1), INDEX(音調表[Key], MATCH(TRUE, EXACT(MID($D8,I$4,1), 音調表!$B$3:$B$12),0)))</f>
        <v/>
      </c>
      <c r="J8" s="47" t="str" cm="1">
        <f t="array" ref="J8" xml:space="preserve"> IF(J$4&lt;&gt;$E8, MID($D8,J$4,1), INDEX(音調表[Key], MATCH(TRUE, EXACT(MID($D8,J$4,1), 音調表!$B$3:$B$12),0)))</f>
        <v/>
      </c>
      <c r="K8" s="47" t="str" cm="1">
        <f t="array" ref="K8" xml:space="preserve"> IF(K$4&lt;&gt;$E8, MID($D8,K$4,1), INDEX(音調表[Key], MATCH(TRUE, EXACT(MID($D8,K$4,1), 音調表!$B$3:$B$12),0)))</f>
        <v/>
      </c>
      <c r="L8" s="47" t="str" cm="1">
        <f t="array" ref="L8" xml:space="preserve"> IF(L$4&lt;&gt;$E8, MID($D8,L$4,1), INDEX(音調表[Key], MATCH(TRUE, EXACT(MID($D8,L$4,1), 音調表!$B$3:$B$12),0)))</f>
        <v/>
      </c>
      <c r="M8" s="47" t="str" cm="1">
        <f t="array" ref="M8" xml:space="preserve"> IF(M$4&lt;&gt;$E8, MID($D8,M$4,1), INDEX(音調表[Key], MATCH(TRUE, EXACT(MID($D8,M$4,1), 音調表!$B$3:$B$12),0)))</f>
        <v/>
      </c>
      <c r="N8" s="47" t="str" cm="1">
        <f t="array" ref="N8" xml:space="preserve"> IF(N$4&lt;&gt;$E8, MID($D8,N$4,1), INDEX(音調表[Key], MATCH(TRUE, EXACT(MID($D8,N$4,1), 音調表!$B$3:$B$12),0)))</f>
        <v/>
      </c>
      <c r="O8" s="49"/>
      <c r="P8" s="31" t="str">
        <f ca="1" xml:space="preserve"> IFERROR( _xlfn.IMAGE(_xlfn.CONCAT($D$1,F8,".png")), "")</f>
        <v/>
      </c>
      <c r="Q8" s="31" t="str">
        <f ca="1" xml:space="preserve"> IFERROR( _xlfn.IMAGE(_xlfn.CONCAT($D$1,G8,".png")), "")</f>
        <v/>
      </c>
      <c r="R8" s="31" t="str">
        <f ca="1" xml:space="preserve"> IFERROR( _xlfn.IMAGE(_xlfn.CONCAT($D$1,H8,".png")), "")</f>
        <v/>
      </c>
      <c r="S8" s="31" t="str">
        <f ca="1" xml:space="preserve"> IFERROR( _xlfn.IMAGE(_xlfn.CONCAT($D$1,I8,".png")), "")</f>
        <v/>
      </c>
      <c r="T8" s="31" t="str">
        <f ca="1" xml:space="preserve"> IFERROR( _xlfn.IMAGE(_xlfn.CONCAT($D$1,J8,".png")), "")</f>
        <v/>
      </c>
      <c r="U8" s="31" t="str">
        <f ca="1" xml:space="preserve"> IFERROR( _xlfn.IMAGE(_xlfn.CONCAT($D$1,K8,".png")), "")</f>
        <v/>
      </c>
      <c r="V8" s="31" t="str">
        <f ca="1" xml:space="preserve"> IFERROR( _xlfn.IMAGE(_xlfn.CONCAT($D$1,L8,".png")), "")</f>
        <v/>
      </c>
      <c r="W8" s="31" t="str">
        <f ca="1" xml:space="preserve"> IFERROR( _xlfn.IMAGE(_xlfn.CONCAT($D$1,M8,".png")), "")</f>
        <v/>
      </c>
      <c r="X8" s="31" t="str">
        <f ca="1" xml:space="preserve"> IFERROR( _xlfn.IMAGE(_xlfn.CONCAT($D$1,N8,".png")), "")</f>
        <v/>
      </c>
    </row>
    <row r="9" spans="2:26" ht="75" customHeight="1" x14ac:dyDescent="0.25">
      <c r="B9" s="29" t="s">
        <v>59</v>
      </c>
      <c r="C9" s="32" t="s">
        <v>136</v>
      </c>
      <c r="D9" s="30" t="s">
        <v>92</v>
      </c>
      <c r="E9" s="27">
        <f t="shared" si="0"/>
        <v>4</v>
      </c>
      <c r="F9" s="47" t="str" cm="1">
        <f t="array" ref="F9" xml:space="preserve"> IF(F$4&lt;&gt;$E9, MID($D9,F$4,1), INDEX(音調表[Key], MATCH(TRUE, EXACT(MID($D9,F$4,1), 音調表!$B$3:$B$12),0)))</f>
        <v>o</v>
      </c>
      <c r="G9" s="47" t="str" cm="1">
        <f t="array" ref="G9" xml:space="preserve"> IF(G$4&lt;&gt;$E9, MID($D9,G$4,1), INDEX(音調表[Key], MATCH(TRUE, EXACT(MID($D9,G$4,1), 音調表!$B$3:$B$12),0)))</f>
        <v>n</v>
      </c>
      <c r="H9" s="47" t="str" cm="1">
        <f t="array" ref="H9" xml:space="preserve"> IF(H$4&lt;&gt;$E9, MID($D9,H$4,1), INDEX(音調表[Key], MATCH(TRUE, EXACT(MID($D9,H$4,1), 音調表!$B$3:$B$12),0)))</f>
        <v>g</v>
      </c>
      <c r="I9" s="47" t="str" cm="1">
        <f t="array" ref="I9" xml:space="preserve"> IF(I$4&lt;&gt;$E9, MID($D9,I$4,1), INDEX(音調表[Key], MATCH(TRUE, EXACT(MID($D9,I$4,1), 音調表!$B$3:$B$12),0)))</f>
        <v>slash</v>
      </c>
      <c r="J9" s="47" t="str" cm="1">
        <f t="array" ref="J9" xml:space="preserve"> IF(J$4&lt;&gt;$E9, MID($D9,J$4,1), INDEX(音調表[Key], MATCH(TRUE, EXACT(MID($D9,J$4,1), 音調表!$B$3:$B$12),0)))</f>
        <v/>
      </c>
      <c r="K9" s="47" t="str" cm="1">
        <f t="array" ref="K9" xml:space="preserve"> IF(K$4&lt;&gt;$E9, MID($D9,K$4,1), INDEX(音調表[Key], MATCH(TRUE, EXACT(MID($D9,K$4,1), 音調表!$B$3:$B$12),0)))</f>
        <v/>
      </c>
      <c r="L9" s="47" t="str" cm="1">
        <f t="array" ref="L9" xml:space="preserve"> IF(L$4&lt;&gt;$E9, MID($D9,L$4,1), INDEX(音調表[Key], MATCH(TRUE, EXACT(MID($D9,L$4,1), 音調表!$B$3:$B$12),0)))</f>
        <v/>
      </c>
      <c r="M9" s="47" t="str" cm="1">
        <f t="array" ref="M9" xml:space="preserve"> IF(M$4&lt;&gt;$E9, MID($D9,M$4,1), INDEX(音調表[Key], MATCH(TRUE, EXACT(MID($D9,M$4,1), 音調表!$B$3:$B$12),0)))</f>
        <v/>
      </c>
      <c r="N9" s="47" t="str" cm="1">
        <f t="array" ref="N9" xml:space="preserve"> IF(N$4&lt;&gt;$E9, MID($D9,N$4,1), INDEX(音調表[Key], MATCH(TRUE, EXACT(MID($D9,N$4,1), 音調表!$B$3:$B$12),0)))</f>
        <v/>
      </c>
      <c r="O9" s="49"/>
      <c r="P9" s="31" t="e" vm="11">
        <f xml:space="preserve"> IFERROR( _xlfn.IMAGE(_xlfn.CONCAT($D$1,F9,".png")), "")</f>
        <v>#VALUE!</v>
      </c>
      <c r="Q9" s="31" t="e" vm="4">
        <f xml:space="preserve"> IFERROR( _xlfn.IMAGE(_xlfn.CONCAT($D$1,G9,".png")), "")</f>
        <v>#VALUE!</v>
      </c>
      <c r="R9" s="31" t="e" vm="5">
        <f xml:space="preserve"> IFERROR( _xlfn.IMAGE(_xlfn.CONCAT($D$1,H9,".png")), "")</f>
        <v>#VALUE!</v>
      </c>
      <c r="S9" s="31" t="e" vm="6">
        <f xml:space="preserve"> IFERROR( _xlfn.IMAGE(_xlfn.CONCAT($D$1,I9,".png")), "")</f>
        <v>#VALUE!</v>
      </c>
      <c r="T9" s="31" t="str">
        <f ca="1" xml:space="preserve"> IFERROR( _xlfn.IMAGE(_xlfn.CONCAT($D$1,J9,".png")), "")</f>
        <v/>
      </c>
      <c r="U9" s="31" t="str">
        <f ca="1" xml:space="preserve"> IFERROR( _xlfn.IMAGE(_xlfn.CONCAT($D$1,K9,".png")), "")</f>
        <v/>
      </c>
      <c r="V9" s="31" t="str">
        <f ca="1" xml:space="preserve"> IFERROR( _xlfn.IMAGE(_xlfn.CONCAT($D$1,L9,".png")), "")</f>
        <v/>
      </c>
      <c r="W9" s="31" t="str">
        <f ca="1" xml:space="preserve"> IFERROR( _xlfn.IMAGE(_xlfn.CONCAT($D$1,M9,".png")), "")</f>
        <v/>
      </c>
      <c r="X9" s="31" t="str">
        <f ca="1" xml:space="preserve"> IFERROR( _xlfn.IMAGE(_xlfn.CONCAT($D$1,N9,".png")), "")</f>
        <v/>
      </c>
    </row>
    <row r="10" spans="2:26" ht="75" customHeight="1" x14ac:dyDescent="0.25">
      <c r="B10" s="29" t="s">
        <v>60</v>
      </c>
      <c r="C10" s="32" t="s">
        <v>137</v>
      </c>
      <c r="D10" s="30" t="s">
        <v>130</v>
      </c>
      <c r="E10" s="27">
        <f t="shared" si="0"/>
        <v>4</v>
      </c>
      <c r="F10" s="47" t="str" cm="1">
        <f t="array" ref="F10" xml:space="preserve"> IF(F$4&lt;&gt;$E10, MID($D10,F$4,1), INDEX(音調表[Key], MATCH(TRUE, EXACT(MID($D10,F$4,1), 音調表!$B$3:$B$12),0)))</f>
        <v>t</v>
      </c>
      <c r="G10" s="47" t="str" cm="1">
        <f t="array" ref="G10" xml:space="preserve"> IF(G$4&lt;&gt;$E10, MID($D10,G$4,1), INDEX(音調表[Key], MATCH(TRUE, EXACT(MID($D10,G$4,1), 音調表!$B$3:$B$12),0)))</f>
        <v>s</v>
      </c>
      <c r="H10" s="47" t="str" cm="1">
        <f t="array" ref="H10" xml:space="preserve"> IF(H$4&lt;&gt;$E10, MID($D10,H$4,1), INDEX(音調表[Key], MATCH(TRUE, EXACT(MID($D10,H$4,1), 音調表!$B$3:$B$12),0)))</f>
        <v>i</v>
      </c>
      <c r="I10" s="47" t="str" cm="1">
        <f t="array" ref="I10" xml:space="preserve"> IF(I$4&lt;&gt;$E10, MID($D10,I$4,1), INDEX(音調表[Key], MATCH(TRUE, EXACT(MID($D10,I$4,1), 音調表!$B$3:$B$12),0)))</f>
        <v>semicolon</v>
      </c>
      <c r="J10" s="47" t="str" cm="1">
        <f t="array" ref="J10" xml:space="preserve"> IF(J$4&lt;&gt;$E10, MID($D10,J$4,1), INDEX(音調表[Key], MATCH(TRUE, EXACT(MID($D10,J$4,1), 音調表!$B$3:$B$12),0)))</f>
        <v/>
      </c>
      <c r="K10" s="47" t="str" cm="1">
        <f t="array" ref="K10" xml:space="preserve"> IF(K$4&lt;&gt;$E10, MID($D10,K$4,1), INDEX(音調表[Key], MATCH(TRUE, EXACT(MID($D10,K$4,1), 音調表!$B$3:$B$12),0)))</f>
        <v/>
      </c>
      <c r="L10" s="47" t="str" cm="1">
        <f t="array" ref="L10" xml:space="preserve"> IF(L$4&lt;&gt;$E10, MID($D10,L$4,1), INDEX(音調表[Key], MATCH(TRUE, EXACT(MID($D10,L$4,1), 音調表!$B$3:$B$12),0)))</f>
        <v/>
      </c>
      <c r="M10" s="47" t="str" cm="1">
        <f t="array" ref="M10" xml:space="preserve"> IF(M$4&lt;&gt;$E10, MID($D10,M$4,1), INDEX(音調表[Key], MATCH(TRUE, EXACT(MID($D10,M$4,1), 音調表!$B$3:$B$12),0)))</f>
        <v/>
      </c>
      <c r="N10" s="47" t="str" cm="1">
        <f t="array" ref="N10" xml:space="preserve"> IF(N$4&lt;&gt;$E10, MID($D10,N$4,1), INDEX(音調表[Key], MATCH(TRUE, EXACT(MID($D10,N$4,1), 音調表!$B$3:$B$12),0)))</f>
        <v/>
      </c>
      <c r="O10" s="49"/>
      <c r="P10" s="31" t="e" vm="7">
        <f xml:space="preserve"> IFERROR( _xlfn.IMAGE(_xlfn.CONCAT($D$1,F10,".png")), "")</f>
        <v>#VALUE!</v>
      </c>
      <c r="Q10" s="31" t="e" vm="8">
        <f xml:space="preserve"> IFERROR( _xlfn.IMAGE(_xlfn.CONCAT($D$1,G10,".png")), "")</f>
        <v>#VALUE!</v>
      </c>
      <c r="R10" s="31" t="e" vm="2">
        <f xml:space="preserve"> IFERROR( _xlfn.IMAGE(_xlfn.CONCAT($D$1,H10,".png")), "")</f>
        <v>#VALUE!</v>
      </c>
      <c r="S10" s="31" t="e" vm="10">
        <f xml:space="preserve"> IFERROR( _xlfn.IMAGE(_xlfn.CONCAT($D$1,I10,".png")), "")</f>
        <v>#VALUE!</v>
      </c>
      <c r="T10" s="31" t="str">
        <f ca="1" xml:space="preserve"> IFERROR( _xlfn.IMAGE(_xlfn.CONCAT($D$1,J10,".png")), "")</f>
        <v/>
      </c>
      <c r="U10" s="31" t="str">
        <f ca="1" xml:space="preserve"> IFERROR( _xlfn.IMAGE(_xlfn.CONCAT($D$1,K10,".png")), "")</f>
        <v/>
      </c>
      <c r="V10" s="31" t="str">
        <f ca="1" xml:space="preserve"> IFERROR( _xlfn.IMAGE(_xlfn.CONCAT($D$1,L10,".png")), "")</f>
        <v/>
      </c>
      <c r="W10" s="31" t="str">
        <f ca="1" xml:space="preserve"> IFERROR( _xlfn.IMAGE(_xlfn.CONCAT($D$1,M10,".png")), "")</f>
        <v/>
      </c>
      <c r="X10" s="31" t="str">
        <f ca="1" xml:space="preserve"> IFERROR( _xlfn.IMAGE(_xlfn.CONCAT($D$1,N10,".png")), "")</f>
        <v/>
      </c>
    </row>
    <row r="11" spans="2:26" ht="75" customHeight="1" x14ac:dyDescent="0.25">
      <c r="B11" s="29" t="s">
        <v>61</v>
      </c>
      <c r="C11" s="32" t="s">
        <v>138</v>
      </c>
      <c r="D11" s="30" t="s">
        <v>94</v>
      </c>
      <c r="E11" s="27">
        <f t="shared" si="0"/>
        <v>5</v>
      </c>
      <c r="F11" s="47" t="str" cm="1">
        <f t="array" ref="F11" xml:space="preserve"> IF(F$4&lt;&gt;$E11, MID($D11,F$4,1), INDEX(音調表[Key], MATCH(TRUE, EXACT(MID($D11,F$4,1), 音調表!$B$3:$B$12),0)))</f>
        <v>h</v>
      </c>
      <c r="G11" s="47" t="str" cm="1">
        <f t="array" ref="G11" xml:space="preserve"> IF(G$4&lt;&gt;$E11, MID($D11,G$4,1), INDEX(音調表[Key], MATCH(TRUE, EXACT(MID($D11,G$4,1), 音調表!$B$3:$B$12),0)))</f>
        <v>u</v>
      </c>
      <c r="H11" s="47" t="str" cm="1">
        <f t="array" ref="H11" xml:space="preserve"> IF(H$4&lt;&gt;$E11, MID($D11,H$4,1), INDEX(音調表[Key], MATCH(TRUE, EXACT(MID($D11,H$4,1), 音調表!$B$3:$B$12),0)))</f>
        <v>a</v>
      </c>
      <c r="I11" s="47" t="str" cm="1">
        <f t="array" ref="I11" xml:space="preserve"> IF(I$4&lt;&gt;$E11, MID($D11,I$4,1), INDEX(音調表[Key], MATCH(TRUE, EXACT(MID($D11,I$4,1), 音調表!$B$3:$B$12),0)))</f>
        <v>n</v>
      </c>
      <c r="J11" s="47" t="str" cm="1">
        <f t="array" ref="J11" xml:space="preserve"> IF(J$4&lt;&gt;$E11, MID($D11,J$4,1), INDEX(音調表[Key], MATCH(TRUE, EXACT(MID($D11,J$4,1), 音調表!$B$3:$B$12),0)))</f>
        <v>minus</v>
      </c>
      <c r="K11" s="47" t="str" cm="1">
        <f t="array" ref="K11" xml:space="preserve"> IF(K$4&lt;&gt;$E11, MID($D11,K$4,1), INDEX(音調表[Key], MATCH(TRUE, EXACT(MID($D11,K$4,1), 音調表!$B$3:$B$12),0)))</f>
        <v/>
      </c>
      <c r="L11" s="47" t="str" cm="1">
        <f t="array" ref="L11" xml:space="preserve"> IF(L$4&lt;&gt;$E11, MID($D11,L$4,1), INDEX(音調表[Key], MATCH(TRUE, EXACT(MID($D11,L$4,1), 音調表!$B$3:$B$12),0)))</f>
        <v/>
      </c>
      <c r="M11" s="47" t="str" cm="1">
        <f t="array" ref="M11" xml:space="preserve"> IF(M$4&lt;&gt;$E11, MID($D11,M$4,1), INDEX(音調表[Key], MATCH(TRUE, EXACT(MID($D11,M$4,1), 音調表!$B$3:$B$12),0)))</f>
        <v/>
      </c>
      <c r="N11" s="47" t="str" cm="1">
        <f t="array" ref="N11" xml:space="preserve"> IF(N$4&lt;&gt;$E11, MID($D11,N$4,1), INDEX(音調表[Key], MATCH(TRUE, EXACT(MID($D11,N$4,1), 音調表!$B$3:$B$12),0)))</f>
        <v/>
      </c>
      <c r="O11" s="49"/>
      <c r="P11" s="31" t="e" vm="12">
        <f xml:space="preserve"> IFERROR( _xlfn.IMAGE(_xlfn.CONCAT($D$1,F11,".png")), "")</f>
        <v>#VALUE!</v>
      </c>
      <c r="Q11" s="31" t="e" vm="9">
        <f xml:space="preserve"> IFERROR( _xlfn.IMAGE(_xlfn.CONCAT($D$1,G11,".png")), "")</f>
        <v>#VALUE!</v>
      </c>
      <c r="R11" s="31" t="e" vm="3">
        <f xml:space="preserve"> IFERROR( _xlfn.IMAGE(_xlfn.CONCAT($D$1,H11,".png")), "")</f>
        <v>#VALUE!</v>
      </c>
      <c r="S11" s="31" t="e" vm="4">
        <f xml:space="preserve"> IFERROR( _xlfn.IMAGE(_xlfn.CONCAT($D$1,I11,".png")), "")</f>
        <v>#VALUE!</v>
      </c>
      <c r="T11" s="31" t="e" vm="13">
        <f xml:space="preserve"> IFERROR( _xlfn.IMAGE(_xlfn.CONCAT($D$1,J11,".png")), "")</f>
        <v>#VALUE!</v>
      </c>
      <c r="U11" s="31" t="str">
        <f ca="1" xml:space="preserve"> IFERROR( _xlfn.IMAGE(_xlfn.CONCAT($D$1,K11,".png")), "")</f>
        <v/>
      </c>
      <c r="V11" s="31" t="str">
        <f ca="1" xml:space="preserve"> IFERROR( _xlfn.IMAGE(_xlfn.CONCAT($D$1,L11,".png")), "")</f>
        <v/>
      </c>
      <c r="W11" s="31" t="str">
        <f ca="1" xml:space="preserve"> IFERROR( _xlfn.IMAGE(_xlfn.CONCAT($D$1,M11,".png")), "")</f>
        <v/>
      </c>
      <c r="X11" s="31" t="str">
        <f ca="1" xml:space="preserve"> IFERROR( _xlfn.IMAGE(_xlfn.CONCAT($D$1,N11,".png")), "")</f>
        <v/>
      </c>
    </row>
    <row r="12" spans="2:26" ht="75" customHeight="1" x14ac:dyDescent="0.25">
      <c r="B12" s="29"/>
      <c r="C12" s="32"/>
      <c r="D12" s="30"/>
      <c r="E12" s="27" t="str">
        <f t="shared" si="0"/>
        <v/>
      </c>
      <c r="F12" s="47" t="str" cm="1">
        <f t="array" ref="F12" xml:space="preserve"> IF(F$4&lt;&gt;$E12, MID($D12,F$4,1), INDEX(音調表[Key], MATCH(TRUE, EXACT(MID($D12,F$4,1), 音調表!$B$3:$B$12),0)))</f>
        <v/>
      </c>
      <c r="G12" s="47" t="str" cm="1">
        <f t="array" ref="G12" xml:space="preserve"> IF(G$4&lt;&gt;$E12, MID($D12,G$4,1), INDEX(音調表[Key], MATCH(TRUE, EXACT(MID($D12,G$4,1), 音調表!$B$3:$B$12),0)))</f>
        <v/>
      </c>
      <c r="H12" s="47" t="str" cm="1">
        <f t="array" ref="H12" xml:space="preserve"> IF(H$4&lt;&gt;$E12, MID($D12,H$4,1), INDEX(音調表[Key], MATCH(TRUE, EXACT(MID($D12,H$4,1), 音調表!$B$3:$B$12),0)))</f>
        <v/>
      </c>
      <c r="I12" s="47" t="str" cm="1">
        <f t="array" ref="I12" xml:space="preserve"> IF(I$4&lt;&gt;$E12, MID($D12,I$4,1), INDEX(音調表[Key], MATCH(TRUE, EXACT(MID($D12,I$4,1), 音調表!$B$3:$B$12),0)))</f>
        <v/>
      </c>
      <c r="J12" s="47" t="str" cm="1">
        <f t="array" ref="J12" xml:space="preserve"> IF(J$4&lt;&gt;$E12, MID($D12,J$4,1), INDEX(音調表[Key], MATCH(TRUE, EXACT(MID($D12,J$4,1), 音調表!$B$3:$B$12),0)))</f>
        <v/>
      </c>
      <c r="K12" s="47" t="str" cm="1">
        <f t="array" ref="K12" xml:space="preserve"> IF(K$4&lt;&gt;$E12, MID($D12,K$4,1), INDEX(音調表[Key], MATCH(TRUE, EXACT(MID($D12,K$4,1), 音調表!$B$3:$B$12),0)))</f>
        <v/>
      </c>
      <c r="L12" s="47" t="str" cm="1">
        <f t="array" ref="L12" xml:space="preserve"> IF(L$4&lt;&gt;$E12, MID($D12,L$4,1), INDEX(音調表[Key], MATCH(TRUE, EXACT(MID($D12,L$4,1), 音調表!$B$3:$B$12),0)))</f>
        <v/>
      </c>
      <c r="M12" s="47" t="str" cm="1">
        <f t="array" ref="M12" xml:space="preserve"> IF(M$4&lt;&gt;$E12, MID($D12,M$4,1), INDEX(音調表[Key], MATCH(TRUE, EXACT(MID($D12,M$4,1), 音調表!$B$3:$B$12),0)))</f>
        <v/>
      </c>
      <c r="N12" s="47" t="str" cm="1">
        <f t="array" ref="N12" xml:space="preserve"> IF(N$4&lt;&gt;$E12, MID($D12,N$4,1), INDEX(音調表[Key], MATCH(TRUE, EXACT(MID($D12,N$4,1), 音調表!$B$3:$B$12),0)))</f>
        <v/>
      </c>
      <c r="O12" s="49"/>
      <c r="P12" s="31" t="str">
        <f ca="1" xml:space="preserve"> IFERROR( _xlfn.IMAGE(_xlfn.CONCAT($D$1,F12,".png")), "")</f>
        <v/>
      </c>
      <c r="Q12" s="31" t="str">
        <f ca="1" xml:space="preserve"> IFERROR( _xlfn.IMAGE(_xlfn.CONCAT($D$1,G12,".png")), "")</f>
        <v/>
      </c>
      <c r="R12" s="31" t="str">
        <f ca="1" xml:space="preserve"> IFERROR( _xlfn.IMAGE(_xlfn.CONCAT($D$1,H12,".png")), "")</f>
        <v/>
      </c>
      <c r="S12" s="31" t="str">
        <f ca="1" xml:space="preserve"> IFERROR( _xlfn.IMAGE(_xlfn.CONCAT($D$1,I12,".png")), "")</f>
        <v/>
      </c>
      <c r="T12" s="31" t="str">
        <f ca="1" xml:space="preserve"> IFERROR( _xlfn.IMAGE(_xlfn.CONCAT($D$1,J12,".png")), "")</f>
        <v/>
      </c>
      <c r="U12" s="31" t="str">
        <f ca="1" xml:space="preserve"> IFERROR( _xlfn.IMAGE(_xlfn.CONCAT($D$1,K12,".png")), "")</f>
        <v/>
      </c>
      <c r="V12" s="31" t="str">
        <f ca="1" xml:space="preserve"> IFERROR( _xlfn.IMAGE(_xlfn.CONCAT($D$1,L12,".png")), "")</f>
        <v/>
      </c>
      <c r="W12" s="31" t="str">
        <f ca="1" xml:space="preserve"> IFERROR( _xlfn.IMAGE(_xlfn.CONCAT($D$1,M12,".png")), "")</f>
        <v/>
      </c>
      <c r="X12" s="31" t="str">
        <f ca="1" xml:space="preserve"> IFERROR( _xlfn.IMAGE(_xlfn.CONCAT($D$1,N12,".png")), "")</f>
        <v/>
      </c>
    </row>
    <row r="13" spans="2:26" ht="75" customHeight="1" x14ac:dyDescent="0.25">
      <c r="B13" s="29" t="s">
        <v>62</v>
      </c>
      <c r="C13" s="32" t="s">
        <v>139</v>
      </c>
      <c r="D13" s="30" t="s">
        <v>95</v>
      </c>
      <c r="E13" s="27">
        <f t="shared" si="0"/>
        <v>5</v>
      </c>
      <c r="F13" s="47" t="str" cm="1">
        <f t="array" ref="F13" xml:space="preserve"> IF(F$4&lt;&gt;$E13, MID($D13,F$4,1), INDEX(音調表[Key], MATCH(TRUE, EXACT(MID($D13,F$4,1), 音調表!$B$3:$B$12),0)))</f>
        <v>h</v>
      </c>
      <c r="G13" s="47" t="str" cm="1">
        <f t="array" ref="G13" xml:space="preserve"> IF(G$4&lt;&gt;$E13, MID($D13,G$4,1), INDEX(音調表[Key], MATCH(TRUE, EXACT(MID($D13,G$4,1), 音調表!$B$3:$B$12),0)))</f>
        <v>o</v>
      </c>
      <c r="H13" s="47" t="str" cm="1">
        <f t="array" ref="H13" xml:space="preserve"> IF(H$4&lt;&gt;$E13, MID($D13,H$4,1), INDEX(音調表[Key], MATCH(TRUE, EXACT(MID($D13,H$4,1), 音調表!$B$3:$B$12),0)))</f>
        <v>n</v>
      </c>
      <c r="I13" s="47" t="str" cm="1">
        <f t="array" ref="I13" xml:space="preserve"> IF(I$4&lt;&gt;$E13, MID($D13,I$4,1), INDEX(音調表[Key], MATCH(TRUE, EXACT(MID($D13,I$4,1), 音調表!$B$3:$B$12),0)))</f>
        <v>g</v>
      </c>
      <c r="J13" s="47" t="str" cm="1">
        <f t="array" ref="J13" xml:space="preserve"> IF(J$4&lt;&gt;$E13, MID($D13,J$4,1), INDEX(音調表[Key], MATCH(TRUE, EXACT(MID($D13,J$4,1), 音調表!$B$3:$B$12),0)))</f>
        <v>slash</v>
      </c>
      <c r="K13" s="47" t="str" cm="1">
        <f t="array" ref="K13" xml:space="preserve"> IF(K$4&lt;&gt;$E13, MID($D13,K$4,1), INDEX(音調表[Key], MATCH(TRUE, EXACT(MID($D13,K$4,1), 音調表!$B$3:$B$12),0)))</f>
        <v/>
      </c>
      <c r="L13" s="47" t="str" cm="1">
        <f t="array" ref="L13" xml:space="preserve"> IF(L$4&lt;&gt;$E13, MID($D13,L$4,1), INDEX(音調表[Key], MATCH(TRUE, EXACT(MID($D13,L$4,1), 音調表!$B$3:$B$12),0)))</f>
        <v/>
      </c>
      <c r="M13" s="47" t="str" cm="1">
        <f t="array" ref="M13" xml:space="preserve"> IF(M$4&lt;&gt;$E13, MID($D13,M$4,1), INDEX(音調表[Key], MATCH(TRUE, EXACT(MID($D13,M$4,1), 音調表!$B$3:$B$12),0)))</f>
        <v/>
      </c>
      <c r="N13" s="47" t="str" cm="1">
        <f t="array" ref="N13" xml:space="preserve"> IF(N$4&lt;&gt;$E13, MID($D13,N$4,1), INDEX(音調表[Key], MATCH(TRUE, EXACT(MID($D13,N$4,1), 音調表!$B$3:$B$12),0)))</f>
        <v/>
      </c>
      <c r="O13" s="49"/>
      <c r="P13" s="31" t="e" vm="12">
        <f xml:space="preserve"> IFERROR( _xlfn.IMAGE(_xlfn.CONCAT($D$1,F13,".png")), "")</f>
        <v>#VALUE!</v>
      </c>
      <c r="Q13" s="31" t="e" vm="11">
        <f xml:space="preserve"> IFERROR( _xlfn.IMAGE(_xlfn.CONCAT($D$1,G13,".png")), "")</f>
        <v>#VALUE!</v>
      </c>
      <c r="R13" s="31" t="e" vm="4">
        <f xml:space="preserve"> IFERROR( _xlfn.IMAGE(_xlfn.CONCAT($D$1,H13,".png")), "")</f>
        <v>#VALUE!</v>
      </c>
      <c r="S13" s="31" t="e" vm="5">
        <f xml:space="preserve"> IFERROR( _xlfn.IMAGE(_xlfn.CONCAT($D$1,I13,".png")), "")</f>
        <v>#VALUE!</v>
      </c>
      <c r="T13" s="31" t="e" vm="6">
        <f xml:space="preserve"> IFERROR( _xlfn.IMAGE(_xlfn.CONCAT($D$1,J13,".png")), "")</f>
        <v>#VALUE!</v>
      </c>
      <c r="U13" s="31" t="str">
        <f ca="1" xml:space="preserve"> IFERROR( _xlfn.IMAGE(_xlfn.CONCAT($D$1,K13,".png")), "")</f>
        <v/>
      </c>
      <c r="V13" s="31" t="str">
        <f ca="1" xml:space="preserve"> IFERROR( _xlfn.IMAGE(_xlfn.CONCAT($D$1,L13,".png")), "")</f>
        <v/>
      </c>
      <c r="W13" s="31" t="str">
        <f ca="1" xml:space="preserve"> IFERROR( _xlfn.IMAGE(_xlfn.CONCAT($D$1,M13,".png")), "")</f>
        <v/>
      </c>
      <c r="X13" s="31" t="str">
        <f ca="1" xml:space="preserve"> IFERROR( _xlfn.IMAGE(_xlfn.CONCAT($D$1,N13,".png")), "")</f>
        <v/>
      </c>
    </row>
    <row r="14" spans="2:26" ht="75" customHeight="1" x14ac:dyDescent="0.25">
      <c r="B14" s="29" t="s">
        <v>63</v>
      </c>
      <c r="C14" s="32" t="s">
        <v>140</v>
      </c>
      <c r="D14" s="30" t="s">
        <v>96</v>
      </c>
      <c r="E14" s="27">
        <f t="shared" si="0"/>
        <v>3</v>
      </c>
      <c r="F14" s="47" t="str" cm="1">
        <f t="array" ref="F14" xml:space="preserve"> IF(F$4&lt;&gt;$E14, MID($D14,F$4,1), INDEX(音調表[Key], MATCH(TRUE, EXACT(MID($D14,F$4,1), 音調表!$B$3:$B$12),0)))</f>
        <v>h</v>
      </c>
      <c r="G14" s="47" t="str" cm="1">
        <f t="array" ref="G14" xml:space="preserve"> IF(G$4&lt;&gt;$E14, MID($D14,G$4,1), INDEX(音調表[Key], MATCH(TRUE, EXACT(MID($D14,G$4,1), 音調表!$B$3:$B$12),0)))</f>
        <v>o</v>
      </c>
      <c r="H14" s="47" t="str" cm="1">
        <f t="array" ref="H14" xml:space="preserve"> IF(H$4&lt;&gt;$E14, MID($D14,H$4,1), INDEX(音調表[Key], MATCH(TRUE, EXACT(MID($D14,H$4,1), 音調表!$B$3:$B$12),0)))</f>
        <v>slash</v>
      </c>
      <c r="I14" s="47" t="str" cm="1">
        <f t="array" ref="I14" xml:space="preserve"> IF(I$4&lt;&gt;$E14, MID($D14,I$4,1), INDEX(音調表[Key], MATCH(TRUE, EXACT(MID($D14,I$4,1), 音調表!$B$3:$B$12),0)))</f>
        <v/>
      </c>
      <c r="J14" s="47" t="str" cm="1">
        <f t="array" ref="J14" xml:space="preserve"> IF(J$4&lt;&gt;$E14, MID($D14,J$4,1), INDEX(音調表[Key], MATCH(TRUE, EXACT(MID($D14,J$4,1), 音調表!$B$3:$B$12),0)))</f>
        <v/>
      </c>
      <c r="K14" s="47" t="str" cm="1">
        <f t="array" ref="K14" xml:space="preserve"> IF(K$4&lt;&gt;$E14, MID($D14,K$4,1), INDEX(音調表[Key], MATCH(TRUE, EXACT(MID($D14,K$4,1), 音調表!$B$3:$B$12),0)))</f>
        <v/>
      </c>
      <c r="L14" s="47" t="str" cm="1">
        <f t="array" ref="L14" xml:space="preserve"> IF(L$4&lt;&gt;$E14, MID($D14,L$4,1), INDEX(音調表[Key], MATCH(TRUE, EXACT(MID($D14,L$4,1), 音調表!$B$3:$B$12),0)))</f>
        <v/>
      </c>
      <c r="M14" s="47" t="str" cm="1">
        <f t="array" ref="M14" xml:space="preserve"> IF(M$4&lt;&gt;$E14, MID($D14,M$4,1), INDEX(音調表[Key], MATCH(TRUE, EXACT(MID($D14,M$4,1), 音調表!$B$3:$B$12),0)))</f>
        <v/>
      </c>
      <c r="N14" s="47" t="str" cm="1">
        <f t="array" ref="N14" xml:space="preserve"> IF(N$4&lt;&gt;$E14, MID($D14,N$4,1), INDEX(音調表[Key], MATCH(TRUE, EXACT(MID($D14,N$4,1), 音調表!$B$3:$B$12),0)))</f>
        <v/>
      </c>
      <c r="O14" s="49"/>
      <c r="P14" s="31" t="e" vm="12">
        <f xml:space="preserve"> IFERROR( _xlfn.IMAGE(_xlfn.CONCAT($D$1,F14,".png")), "")</f>
        <v>#VALUE!</v>
      </c>
      <c r="Q14" s="31" t="e" vm="11">
        <f xml:space="preserve"> IFERROR( _xlfn.IMAGE(_xlfn.CONCAT($D$1,G14,".png")), "")</f>
        <v>#VALUE!</v>
      </c>
      <c r="R14" s="31" t="e" vm="6">
        <f xml:space="preserve"> IFERROR( _xlfn.IMAGE(_xlfn.CONCAT($D$1,H14,".png")), "")</f>
        <v>#VALUE!</v>
      </c>
      <c r="S14" s="31" t="str">
        <f ca="1" xml:space="preserve"> IFERROR( _xlfn.IMAGE(_xlfn.CONCAT($D$1,I14,".png")), "")</f>
        <v/>
      </c>
      <c r="T14" s="31" t="str">
        <f ca="1" xml:space="preserve"> IFERROR( _xlfn.IMAGE(_xlfn.CONCAT($D$1,J14,".png")), "")</f>
        <v/>
      </c>
      <c r="U14" s="31" t="str">
        <f ca="1" xml:space="preserve"> IFERROR( _xlfn.IMAGE(_xlfn.CONCAT($D$1,K14,".png")), "")</f>
        <v/>
      </c>
      <c r="V14" s="31" t="str">
        <f ca="1" xml:space="preserve"> IFERROR( _xlfn.IMAGE(_xlfn.CONCAT($D$1,L14,".png")), "")</f>
        <v/>
      </c>
      <c r="W14" s="31" t="str">
        <f ca="1" xml:space="preserve"> IFERROR( _xlfn.IMAGE(_xlfn.CONCAT($D$1,M14,".png")), "")</f>
        <v/>
      </c>
      <c r="X14" s="31" t="str">
        <f ca="1" xml:space="preserve"> IFERROR( _xlfn.IMAGE(_xlfn.CONCAT($D$1,N14,".png")), "")</f>
        <v/>
      </c>
    </row>
    <row r="15" spans="2:26" ht="75" customHeight="1" x14ac:dyDescent="0.25">
      <c r="B15" s="29" t="s">
        <v>64</v>
      </c>
      <c r="C15" s="32" t="s">
        <v>141</v>
      </c>
      <c r="D15" s="30" t="s">
        <v>97</v>
      </c>
      <c r="E15" s="27">
        <f t="shared" si="0"/>
        <v>4</v>
      </c>
      <c r="F15" s="47" t="str" cm="1">
        <f t="array" ref="F15" xml:space="preserve"> IF(F$4&lt;&gt;$E15, MID($D15,F$4,1), INDEX(音調表[Key], MATCH(TRUE, EXACT(MID($D15,F$4,1), 音調表!$B$3:$B$12),0)))</f>
        <v>u</v>
      </c>
      <c r="G15" s="47" t="str" cm="1">
        <f t="array" ref="G15" xml:space="preserve"> IF(G$4&lt;&gt;$E15, MID($D15,G$4,1), INDEX(音調表[Key], MATCH(TRUE, EXACT(MID($D15,G$4,1), 音調表!$B$3:$B$12),0)))</f>
        <v>a</v>
      </c>
      <c r="H15" s="47" t="str" cm="1">
        <f t="array" ref="H15" xml:space="preserve"> IF(H$4&lt;&gt;$E15, MID($D15,H$4,1), INDEX(音調表[Key], MATCH(TRUE, EXACT(MID($D15,H$4,1), 音調表!$B$3:$B$12),0)))</f>
        <v>n</v>
      </c>
      <c r="I15" s="47" t="str" cm="1">
        <f t="array" ref="I15" xml:space="preserve"> IF(I$4&lt;&gt;$E15, MID($D15,I$4,1), INDEX(音調表[Key], MATCH(TRUE, EXACT(MID($D15,I$4,1), 音調表!$B$3:$B$12),0)))</f>
        <v>backslash</v>
      </c>
      <c r="J15" s="47" t="str" cm="1">
        <f t="array" ref="J15" xml:space="preserve"> IF(J$4&lt;&gt;$E15, MID($D15,J$4,1), INDEX(音調表[Key], MATCH(TRUE, EXACT(MID($D15,J$4,1), 音調表!$B$3:$B$12),0)))</f>
        <v/>
      </c>
      <c r="K15" s="47" t="str" cm="1">
        <f t="array" ref="K15" xml:space="preserve"> IF(K$4&lt;&gt;$E15, MID($D15,K$4,1), INDEX(音調表[Key], MATCH(TRUE, EXACT(MID($D15,K$4,1), 音調表!$B$3:$B$12),0)))</f>
        <v/>
      </c>
      <c r="L15" s="47" t="str" cm="1">
        <f t="array" ref="L15" xml:space="preserve"> IF(L$4&lt;&gt;$E15, MID($D15,L$4,1), INDEX(音調表[Key], MATCH(TRUE, EXACT(MID($D15,L$4,1), 音調表!$B$3:$B$12),0)))</f>
        <v/>
      </c>
      <c r="M15" s="47" t="str" cm="1">
        <f t="array" ref="M15" xml:space="preserve"> IF(M$4&lt;&gt;$E15, MID($D15,M$4,1), INDEX(音調表[Key], MATCH(TRUE, EXACT(MID($D15,M$4,1), 音調表!$B$3:$B$12),0)))</f>
        <v/>
      </c>
      <c r="N15" s="47" t="str" cm="1">
        <f t="array" ref="N15" xml:space="preserve"> IF(N$4&lt;&gt;$E15, MID($D15,N$4,1), INDEX(音調表[Key], MATCH(TRUE, EXACT(MID($D15,N$4,1), 音調表!$B$3:$B$12),0)))</f>
        <v/>
      </c>
      <c r="O15" s="49"/>
      <c r="P15" s="31" t="e" vm="9">
        <f xml:space="preserve"> IFERROR( _xlfn.IMAGE(_xlfn.CONCAT($D$1,F15,".png")), "")</f>
        <v>#VALUE!</v>
      </c>
      <c r="Q15" s="31" t="e" vm="3">
        <f xml:space="preserve"> IFERROR( _xlfn.IMAGE(_xlfn.CONCAT($D$1,G15,".png")), "")</f>
        <v>#VALUE!</v>
      </c>
      <c r="R15" s="31" t="e" vm="4">
        <f xml:space="preserve"> IFERROR( _xlfn.IMAGE(_xlfn.CONCAT($D$1,H15,".png")), "")</f>
        <v>#VALUE!</v>
      </c>
      <c r="S15" s="31" t="e" vm="14">
        <f xml:space="preserve"> IFERROR( _xlfn.IMAGE(_xlfn.CONCAT($D$1,I15,".png")), "")</f>
        <v>#VALUE!</v>
      </c>
      <c r="T15" s="31" t="str">
        <f ca="1" xml:space="preserve"> IFERROR( _xlfn.IMAGE(_xlfn.CONCAT($D$1,J15,".png")), "")</f>
        <v/>
      </c>
      <c r="U15" s="31" t="str">
        <f ca="1" xml:space="preserve"> IFERROR( _xlfn.IMAGE(_xlfn.CONCAT($D$1,K15,".png")), "")</f>
        <v/>
      </c>
      <c r="V15" s="31" t="str">
        <f ca="1" xml:space="preserve"> IFERROR( _xlfn.IMAGE(_xlfn.CONCAT($D$1,L15,".png")), "")</f>
        <v/>
      </c>
      <c r="W15" s="31" t="str">
        <f ca="1" xml:space="preserve"> IFERROR( _xlfn.IMAGE(_xlfn.CONCAT($D$1,M15,".png")), "")</f>
        <v/>
      </c>
      <c r="X15" s="31" t="str">
        <f ca="1" xml:space="preserve"> IFERROR( _xlfn.IMAGE(_xlfn.CONCAT($D$1,N15,".png")), "")</f>
        <v/>
      </c>
    </row>
    <row r="16" spans="2:26" ht="75" customHeight="1" x14ac:dyDescent="0.25">
      <c r="B16" s="29" t="s">
        <v>65</v>
      </c>
      <c r="C16" s="32" t="s">
        <v>142</v>
      </c>
      <c r="D16" s="30" t="s">
        <v>98</v>
      </c>
      <c r="E16" s="27">
        <f t="shared" si="0"/>
        <v>6</v>
      </c>
      <c r="F16" s="47" t="str" cm="1">
        <f t="array" ref="F16" xml:space="preserve"> IF(F$4&lt;&gt;$E16, MID($D16,F$4,1), INDEX(音調表[Key], MATCH(TRUE, EXACT(MID($D16,F$4,1), 音調表!$B$3:$B$12),0)))</f>
        <v>s</v>
      </c>
      <c r="G16" s="47" t="str" cm="1">
        <f t="array" ref="G16" xml:space="preserve"> IF(G$4&lt;&gt;$E16, MID($D16,G$4,1), INDEX(音調表[Key], MATCH(TRUE, EXACT(MID($D16,G$4,1), 音調表!$B$3:$B$12),0)))</f>
        <v>i</v>
      </c>
      <c r="H16" s="47" t="str" cm="1">
        <f t="array" ref="H16" xml:space="preserve"> IF(H$4&lt;&gt;$E16, MID($D16,H$4,1), INDEX(音調表[Key], MATCH(TRUE, EXACT(MID($D16,H$4,1), 音調表!$B$3:$B$12),0)))</f>
        <v>o</v>
      </c>
      <c r="I16" s="47" t="str" cm="1">
        <f t="array" ref="I16" xml:space="preserve"> IF(I$4&lt;&gt;$E16, MID($D16,I$4,1), INDEX(音調表[Key], MATCH(TRUE, EXACT(MID($D16,I$4,1), 音調表!$B$3:$B$12),0)))</f>
        <v>n</v>
      </c>
      <c r="J16" s="47" t="str" cm="1">
        <f t="array" ref="J16" xml:space="preserve"> IF(J$4&lt;&gt;$E16, MID($D16,J$4,1), INDEX(音調表[Key], MATCH(TRUE, EXACT(MID($D16,J$4,1), 音調表!$B$3:$B$12),0)))</f>
        <v>g</v>
      </c>
      <c r="K16" s="47" t="str" cm="1">
        <f t="array" ref="K16" xml:space="preserve"> IF(K$4&lt;&gt;$E16, MID($D16,K$4,1), INDEX(音調表[Key], MATCH(TRUE, EXACT(MID($D16,K$4,1), 音調表!$B$3:$B$12),0)))</f>
        <v>backslash</v>
      </c>
      <c r="L16" s="47" t="str" cm="1">
        <f t="array" ref="L16" xml:space="preserve"> IF(L$4&lt;&gt;$E16, MID($D16,L$4,1), INDEX(音調表[Key], MATCH(TRUE, EXACT(MID($D16,L$4,1), 音調表!$B$3:$B$12),0)))</f>
        <v/>
      </c>
      <c r="M16" s="47" t="str" cm="1">
        <f t="array" ref="M16" xml:space="preserve"> IF(M$4&lt;&gt;$E16, MID($D16,M$4,1), INDEX(音調表[Key], MATCH(TRUE, EXACT(MID($D16,M$4,1), 音調表!$B$3:$B$12),0)))</f>
        <v/>
      </c>
      <c r="N16" s="47" t="str" cm="1">
        <f t="array" ref="N16" xml:space="preserve"> IF(N$4&lt;&gt;$E16, MID($D16,N$4,1), INDEX(音調表[Key], MATCH(TRUE, EXACT(MID($D16,N$4,1), 音調表!$B$3:$B$12),0)))</f>
        <v/>
      </c>
      <c r="O16" s="49"/>
      <c r="P16" s="31" t="e" vm="8">
        <f xml:space="preserve"> IFERROR( _xlfn.IMAGE(_xlfn.CONCAT($D$1,F16,".png")), "")</f>
        <v>#VALUE!</v>
      </c>
      <c r="Q16" s="31" t="e" vm="2">
        <f xml:space="preserve"> IFERROR( _xlfn.IMAGE(_xlfn.CONCAT($D$1,G16,".png")), "")</f>
        <v>#VALUE!</v>
      </c>
      <c r="R16" s="31" t="e" vm="11">
        <f xml:space="preserve"> IFERROR( _xlfn.IMAGE(_xlfn.CONCAT($D$1,H16,".png")), "")</f>
        <v>#VALUE!</v>
      </c>
      <c r="S16" s="31" t="e" vm="4">
        <f xml:space="preserve"> IFERROR( _xlfn.IMAGE(_xlfn.CONCAT($D$1,I16,".png")), "")</f>
        <v>#VALUE!</v>
      </c>
      <c r="T16" s="31" t="e" vm="5">
        <f xml:space="preserve"> IFERROR( _xlfn.IMAGE(_xlfn.CONCAT($D$1,J16,".png")), "")</f>
        <v>#VALUE!</v>
      </c>
      <c r="U16" s="31" t="e" vm="14">
        <f xml:space="preserve"> IFERROR( _xlfn.IMAGE(_xlfn.CONCAT($D$1,K16,".png")), "")</f>
        <v>#VALUE!</v>
      </c>
      <c r="V16" s="31" t="str">
        <f ca="1" xml:space="preserve"> IFERROR( _xlfn.IMAGE(_xlfn.CONCAT($D$1,L16,".png")), "")</f>
        <v/>
      </c>
      <c r="W16" s="31" t="str">
        <f ca="1" xml:space="preserve"> IFERROR( _xlfn.IMAGE(_xlfn.CONCAT($D$1,M16,".png")), "")</f>
        <v/>
      </c>
      <c r="X16" s="31" t="str">
        <f ca="1" xml:space="preserve"> IFERROR( _xlfn.IMAGE(_xlfn.CONCAT($D$1,N16,".png")), "")</f>
        <v/>
      </c>
    </row>
    <row r="17" spans="2:24" ht="75" customHeight="1" x14ac:dyDescent="0.25">
      <c r="B17" s="29" t="s">
        <v>66</v>
      </c>
      <c r="C17" s="32" t="s">
        <v>143</v>
      </c>
      <c r="D17" s="30" t="s">
        <v>99</v>
      </c>
      <c r="E17" s="27">
        <f t="shared" si="0"/>
        <v>4</v>
      </c>
      <c r="F17" s="47" t="str" cm="1">
        <f t="array" ref="F17" xml:space="preserve"> IF(F$4&lt;&gt;$E17, MID($D17,F$4,1), INDEX(音調表[Key], MATCH(TRUE, EXACT(MID($D17,F$4,1), 音調表!$B$3:$B$12),0)))</f>
        <v>p</v>
      </c>
      <c r="G17" s="47" t="str" cm="1">
        <f t="array" ref="G17" xml:space="preserve"> IF(G$4&lt;&gt;$E17, MID($D17,G$4,1), INDEX(音調表[Key], MATCH(TRUE, EXACT(MID($D17,G$4,1), 音調表!$B$3:$B$12),0)))</f>
        <v>i</v>
      </c>
      <c r="H17" s="47" t="str" cm="1">
        <f t="array" ref="H17" xml:space="preserve"> IF(H$4&lt;&gt;$E17, MID($D17,H$4,1), INDEX(音調表[Key], MATCH(TRUE, EXACT(MID($D17,H$4,1), 音調表!$B$3:$B$12),0)))</f>
        <v>k</v>
      </c>
      <c r="I17" s="47" t="str" cm="1">
        <f t="array" ref="I17" xml:space="preserve"> IF(I$4&lt;&gt;$E17, MID($D17,I$4,1), INDEX(音調表[Key], MATCH(TRUE, EXACT(MID($D17,I$4,1), 音調表!$B$3:$B$12),0)))</f>
        <v>rbracket</v>
      </c>
      <c r="J17" s="47" t="str" cm="1">
        <f t="array" ref="J17" xml:space="preserve"> IF(J$4&lt;&gt;$E17, MID($D17,J$4,1), INDEX(音調表[Key], MATCH(TRUE, EXACT(MID($D17,J$4,1), 音調表!$B$3:$B$12),0)))</f>
        <v/>
      </c>
      <c r="K17" s="47" t="str" cm="1">
        <f t="array" ref="K17" xml:space="preserve"> IF(K$4&lt;&gt;$E17, MID($D17,K$4,1), INDEX(音調表[Key], MATCH(TRUE, EXACT(MID($D17,K$4,1), 音調表!$B$3:$B$12),0)))</f>
        <v/>
      </c>
      <c r="L17" s="47" t="str" cm="1">
        <f t="array" ref="L17" xml:space="preserve"> IF(L$4&lt;&gt;$E17, MID($D17,L$4,1), INDEX(音調表[Key], MATCH(TRUE, EXACT(MID($D17,L$4,1), 音調表!$B$3:$B$12),0)))</f>
        <v/>
      </c>
      <c r="M17" s="47" t="str" cm="1">
        <f t="array" ref="M17" xml:space="preserve"> IF(M$4&lt;&gt;$E17, MID($D17,M$4,1), INDEX(音調表[Key], MATCH(TRUE, EXACT(MID($D17,M$4,1), 音調表!$B$3:$B$12),0)))</f>
        <v/>
      </c>
      <c r="N17" s="47" t="str" cm="1">
        <f t="array" ref="N17" xml:space="preserve"> IF(N$4&lt;&gt;$E17, MID($D17,N$4,1), INDEX(音調表[Key], MATCH(TRUE, EXACT(MID($D17,N$4,1), 音調表!$B$3:$B$12),0)))</f>
        <v/>
      </c>
      <c r="O17" s="49"/>
      <c r="P17" s="31" t="e" vm="15">
        <f xml:space="preserve"> IFERROR( _xlfn.IMAGE(_xlfn.CONCAT($D$1,F17,".png")), "")</f>
        <v>#VALUE!</v>
      </c>
      <c r="Q17" s="31" t="e" vm="2">
        <f xml:space="preserve"> IFERROR( _xlfn.IMAGE(_xlfn.CONCAT($D$1,G17,".png")), "")</f>
        <v>#VALUE!</v>
      </c>
      <c r="R17" s="31" t="e" vm="16">
        <f xml:space="preserve"> IFERROR( _xlfn.IMAGE(_xlfn.CONCAT($D$1,H17,".png")), "")</f>
        <v>#VALUE!</v>
      </c>
      <c r="S17" s="31" t="e" vm="17">
        <f xml:space="preserve"> IFERROR( _xlfn.IMAGE(_xlfn.CONCAT($D$1,I17,".png")), "")</f>
        <v>#VALUE!</v>
      </c>
      <c r="T17" s="31" t="str">
        <f ca="1" xml:space="preserve"> IFERROR( _xlfn.IMAGE(_xlfn.CONCAT($D$1,J17,".png")), "")</f>
        <v/>
      </c>
      <c r="U17" s="31" t="str">
        <f ca="1" xml:space="preserve"> IFERROR( _xlfn.IMAGE(_xlfn.CONCAT($D$1,K17,".png")), "")</f>
        <v/>
      </c>
      <c r="V17" s="31" t="str">
        <f ca="1" xml:space="preserve"> IFERROR( _xlfn.IMAGE(_xlfn.CONCAT($D$1,L17,".png")), "")</f>
        <v/>
      </c>
      <c r="W17" s="31" t="str">
        <f ca="1" xml:space="preserve"> IFERROR( _xlfn.IMAGE(_xlfn.CONCAT($D$1,M17,".png")), "")</f>
        <v/>
      </c>
      <c r="X17" s="31" t="str">
        <f ca="1" xml:space="preserve"> IFERROR( _xlfn.IMAGE(_xlfn.CONCAT($D$1,N17,".png")), "")</f>
        <v/>
      </c>
    </row>
    <row r="18" spans="2:24" ht="75" customHeight="1" x14ac:dyDescent="0.25">
      <c r="B18" s="29" t="s">
        <v>67</v>
      </c>
      <c r="C18" s="32" t="s">
        <v>144</v>
      </c>
      <c r="D18" s="30" t="s">
        <v>100</v>
      </c>
      <c r="E18" s="27">
        <f t="shared" si="0"/>
        <v>4</v>
      </c>
      <c r="F18" s="47" t="str" cm="1">
        <f t="array" ref="F18" xml:space="preserve"> IF(F$4&lt;&gt;$E18, MID($D18,F$4,1), INDEX(音調表[Key], MATCH(TRUE, EXACT(MID($D18,F$4,1), 音調表!$B$3:$B$12),0)))</f>
        <v>h</v>
      </c>
      <c r="G18" s="47" t="str" cm="1">
        <f t="array" ref="G18" xml:space="preserve"> IF(G$4&lt;&gt;$E18, MID($D18,G$4,1), INDEX(音調表[Key], MATCH(TRUE, EXACT(MID($D18,G$4,1), 音調表!$B$3:$B$12),0)))</f>
        <v>u</v>
      </c>
      <c r="H18" s="47" t="str" cm="1">
        <f t="array" ref="H18" xml:space="preserve"> IF(H$4&lt;&gt;$E18, MID($D18,H$4,1), INDEX(音調表[Key], MATCH(TRUE, EXACT(MID($D18,H$4,1), 音調表!$B$3:$B$12),0)))</f>
        <v>n</v>
      </c>
      <c r="I18" s="47" t="str" cm="1">
        <f t="array" ref="I18" xml:space="preserve"> IF(I$4&lt;&gt;$E18, MID($D18,I$4,1), INDEX(音調表[Key], MATCH(TRUE, EXACT(MID($D18,I$4,1), 音調表!$B$3:$B$12),0)))</f>
        <v>slash</v>
      </c>
      <c r="J18" s="47" t="str" cm="1">
        <f t="array" ref="J18" xml:space="preserve"> IF(J$4&lt;&gt;$E18, MID($D18,J$4,1), INDEX(音調表[Key], MATCH(TRUE, EXACT(MID($D18,J$4,1), 音調表!$B$3:$B$12),0)))</f>
        <v/>
      </c>
      <c r="K18" s="47" t="str" cm="1">
        <f t="array" ref="K18" xml:space="preserve"> IF(K$4&lt;&gt;$E18, MID($D18,K$4,1), INDEX(音調表[Key], MATCH(TRUE, EXACT(MID($D18,K$4,1), 音調表!$B$3:$B$12),0)))</f>
        <v/>
      </c>
      <c r="L18" s="47" t="str" cm="1">
        <f t="array" ref="L18" xml:space="preserve"> IF(L$4&lt;&gt;$E18, MID($D18,L$4,1), INDEX(音調表[Key], MATCH(TRUE, EXACT(MID($D18,L$4,1), 音調表!$B$3:$B$12),0)))</f>
        <v/>
      </c>
      <c r="M18" s="47" t="str" cm="1">
        <f t="array" ref="M18" xml:space="preserve"> IF(M$4&lt;&gt;$E18, MID($D18,M$4,1), INDEX(音調表[Key], MATCH(TRUE, EXACT(MID($D18,M$4,1), 音調表!$B$3:$B$12),0)))</f>
        <v/>
      </c>
      <c r="N18" s="47" t="str" cm="1">
        <f t="array" ref="N18" xml:space="preserve"> IF(N$4&lt;&gt;$E18, MID($D18,N$4,1), INDEX(音調表[Key], MATCH(TRUE, EXACT(MID($D18,N$4,1), 音調表!$B$3:$B$12),0)))</f>
        <v/>
      </c>
      <c r="O18" s="49"/>
      <c r="P18" s="31" t="e" vm="12">
        <f xml:space="preserve"> IFERROR( _xlfn.IMAGE(_xlfn.CONCAT($D$1,F18,".png")), "")</f>
        <v>#VALUE!</v>
      </c>
      <c r="Q18" s="31" t="e" vm="9">
        <f xml:space="preserve"> IFERROR( _xlfn.IMAGE(_xlfn.CONCAT($D$1,G18,".png")), "")</f>
        <v>#VALUE!</v>
      </c>
      <c r="R18" s="31" t="e" vm="4">
        <f xml:space="preserve"> IFERROR( _xlfn.IMAGE(_xlfn.CONCAT($D$1,H18,".png")), "")</f>
        <v>#VALUE!</v>
      </c>
      <c r="S18" s="31" t="e" vm="6">
        <f xml:space="preserve"> IFERROR( _xlfn.IMAGE(_xlfn.CONCAT($D$1,I18,".png")), "")</f>
        <v>#VALUE!</v>
      </c>
      <c r="T18" s="31" t="str">
        <f ca="1" xml:space="preserve"> IFERROR( _xlfn.IMAGE(_xlfn.CONCAT($D$1,J18,".png")), "")</f>
        <v/>
      </c>
      <c r="U18" s="31" t="str">
        <f ca="1" xml:space="preserve"> IFERROR( _xlfn.IMAGE(_xlfn.CONCAT($D$1,K18,".png")), "")</f>
        <v/>
      </c>
      <c r="V18" s="31" t="str">
        <f ca="1" xml:space="preserve"> IFERROR( _xlfn.IMAGE(_xlfn.CONCAT($D$1,L18,".png")), "")</f>
        <v/>
      </c>
      <c r="W18" s="31" t="str">
        <f ca="1" xml:space="preserve"> IFERROR( _xlfn.IMAGE(_xlfn.CONCAT($D$1,M18,".png")), "")</f>
        <v/>
      </c>
      <c r="X18" s="31" t="str">
        <f ca="1" xml:space="preserve"> IFERROR( _xlfn.IMAGE(_xlfn.CONCAT($D$1,N18,".png")), "")</f>
        <v/>
      </c>
    </row>
    <row r="19" spans="2:24" ht="75" customHeight="1" x14ac:dyDescent="0.25">
      <c r="B19" s="29" t="s">
        <v>68</v>
      </c>
      <c r="C19" s="32" t="s">
        <v>145</v>
      </c>
      <c r="D19" s="30" t="s">
        <v>101</v>
      </c>
      <c r="E19" s="27">
        <f t="shared" si="0"/>
        <v>4</v>
      </c>
      <c r="F19" s="47" t="str" cm="1">
        <f t="array" ref="F19" xml:space="preserve"> IF(F$4&lt;&gt;$E19, MID($D19,F$4,1), INDEX(音調表[Key], MATCH(TRUE, EXACT(MID($D19,F$4,1), 音調表!$B$3:$B$12),0)))</f>
        <v>k</v>
      </c>
      <c r="G19" s="47" t="str" cm="1">
        <f t="array" ref="G19" xml:space="preserve"> IF(G$4&lt;&gt;$E19, MID($D19,G$4,1), INDEX(音調表[Key], MATCH(TRUE, EXACT(MID($D19,G$4,1), 音調表!$B$3:$B$12),0)))</f>
        <v>a</v>
      </c>
      <c r="H19" s="47" t="str" cm="1">
        <f t="array" ref="H19" xml:space="preserve"> IF(H$4&lt;&gt;$E19, MID($D19,H$4,1), INDEX(音調表[Key], MATCH(TRUE, EXACT(MID($D19,H$4,1), 音調表!$B$3:$B$12),0)))</f>
        <v>n</v>
      </c>
      <c r="I19" s="47" t="str" cm="1">
        <f t="array" ref="I19" xml:space="preserve"> IF(I$4&lt;&gt;$E19, MID($D19,I$4,1), INDEX(音調表[Key], MATCH(TRUE, EXACT(MID($D19,I$4,1), 音調表!$B$3:$B$12),0)))</f>
        <v>semicolon</v>
      </c>
      <c r="J19" s="47" t="str" cm="1">
        <f t="array" ref="J19" xml:space="preserve"> IF(J$4&lt;&gt;$E19, MID($D19,J$4,1), INDEX(音調表[Key], MATCH(TRUE, EXACT(MID($D19,J$4,1), 音調表!$B$3:$B$12),0)))</f>
        <v/>
      </c>
      <c r="K19" s="47" t="str" cm="1">
        <f t="array" ref="K19" xml:space="preserve"> IF(K$4&lt;&gt;$E19, MID($D19,K$4,1), INDEX(音調表[Key], MATCH(TRUE, EXACT(MID($D19,K$4,1), 音調表!$B$3:$B$12),0)))</f>
        <v/>
      </c>
      <c r="L19" s="47" t="str" cm="1">
        <f t="array" ref="L19" xml:space="preserve"> IF(L$4&lt;&gt;$E19, MID($D19,L$4,1), INDEX(音調表[Key], MATCH(TRUE, EXACT(MID($D19,L$4,1), 音調表!$B$3:$B$12),0)))</f>
        <v/>
      </c>
      <c r="M19" s="47" t="str" cm="1">
        <f t="array" ref="M19" xml:space="preserve"> IF(M$4&lt;&gt;$E19, MID($D19,M$4,1), INDEX(音調表[Key], MATCH(TRUE, EXACT(MID($D19,M$4,1), 音調表!$B$3:$B$12),0)))</f>
        <v/>
      </c>
      <c r="N19" s="47" t="str" cm="1">
        <f t="array" ref="N19" xml:space="preserve"> IF(N$4&lt;&gt;$E19, MID($D19,N$4,1), INDEX(音調表[Key], MATCH(TRUE, EXACT(MID($D19,N$4,1), 音調表!$B$3:$B$12),0)))</f>
        <v/>
      </c>
      <c r="O19" s="49"/>
      <c r="P19" s="31" t="e" vm="16">
        <f xml:space="preserve"> IFERROR( _xlfn.IMAGE(_xlfn.CONCAT($D$1,F19,".png")), "")</f>
        <v>#VALUE!</v>
      </c>
      <c r="Q19" s="31" t="e" vm="3">
        <f xml:space="preserve"> IFERROR( _xlfn.IMAGE(_xlfn.CONCAT($D$1,G19,".png")), "")</f>
        <v>#VALUE!</v>
      </c>
      <c r="R19" s="31" t="e" vm="4">
        <f xml:space="preserve"> IFERROR( _xlfn.IMAGE(_xlfn.CONCAT($D$1,H19,".png")), "")</f>
        <v>#VALUE!</v>
      </c>
      <c r="S19" s="31" t="e" vm="10">
        <f xml:space="preserve"> IFERROR( _xlfn.IMAGE(_xlfn.CONCAT($D$1,I19,".png")), "")</f>
        <v>#VALUE!</v>
      </c>
      <c r="T19" s="31" t="str">
        <f ca="1" xml:space="preserve"> IFERROR( _xlfn.IMAGE(_xlfn.CONCAT($D$1,J19,".png")), "")</f>
        <v/>
      </c>
      <c r="U19" s="31" t="str">
        <f ca="1" xml:space="preserve"> IFERROR( _xlfn.IMAGE(_xlfn.CONCAT($D$1,K19,".png")), "")</f>
        <v/>
      </c>
      <c r="V19" s="31" t="str">
        <f ca="1" xml:space="preserve"> IFERROR( _xlfn.IMAGE(_xlfn.CONCAT($D$1,L19,".png")), "")</f>
        <v/>
      </c>
      <c r="W19" s="31" t="str">
        <f ca="1" xml:space="preserve"> IFERROR( _xlfn.IMAGE(_xlfn.CONCAT($D$1,M19,".png")), "")</f>
        <v/>
      </c>
      <c r="X19" s="31" t="str">
        <f ca="1" xml:space="preserve"> IFERROR( _xlfn.IMAGE(_xlfn.CONCAT($D$1,N19,".png")), "")</f>
        <v/>
      </c>
    </row>
    <row r="20" spans="2:24" ht="75" customHeight="1" x14ac:dyDescent="0.25">
      <c r="B20" s="29" t="s">
        <v>69</v>
      </c>
      <c r="C20" s="32"/>
      <c r="D20" s="30"/>
      <c r="E20" s="27" t="str">
        <f t="shared" si="0"/>
        <v/>
      </c>
      <c r="F20" s="47" t="str" cm="1">
        <f t="array" ref="F20" xml:space="preserve"> IF(F$4&lt;&gt;$E20, MID($D20,F$4,1), INDEX(音調表[Key], MATCH(TRUE, EXACT(MID($D20,F$4,1), 音調表!$B$3:$B$12),0)))</f>
        <v/>
      </c>
      <c r="G20" s="47" t="str" cm="1">
        <f t="array" ref="G20" xml:space="preserve"> IF(G$4&lt;&gt;$E20, MID($D20,G$4,1), INDEX(音調表[Key], MATCH(TRUE, EXACT(MID($D20,G$4,1), 音調表!$B$3:$B$12),0)))</f>
        <v/>
      </c>
      <c r="H20" s="47" t="str" cm="1">
        <f t="array" ref="H20" xml:space="preserve"> IF(H$4&lt;&gt;$E20, MID($D20,H$4,1), INDEX(音調表[Key], MATCH(TRUE, EXACT(MID($D20,H$4,1), 音調表!$B$3:$B$12),0)))</f>
        <v/>
      </c>
      <c r="I20" s="47" t="str" cm="1">
        <f t="array" ref="I20" xml:space="preserve"> IF(I$4&lt;&gt;$E20, MID($D20,I$4,1), INDEX(音調表[Key], MATCH(TRUE, EXACT(MID($D20,I$4,1), 音調表!$B$3:$B$12),0)))</f>
        <v/>
      </c>
      <c r="J20" s="47" t="str" cm="1">
        <f t="array" ref="J20" xml:space="preserve"> IF(J$4&lt;&gt;$E20, MID($D20,J$4,1), INDEX(音調表[Key], MATCH(TRUE, EXACT(MID($D20,J$4,1), 音調表!$B$3:$B$12),0)))</f>
        <v/>
      </c>
      <c r="K20" s="47" t="str" cm="1">
        <f t="array" ref="K20" xml:space="preserve"> IF(K$4&lt;&gt;$E20, MID($D20,K$4,1), INDEX(音調表[Key], MATCH(TRUE, EXACT(MID($D20,K$4,1), 音調表!$B$3:$B$12),0)))</f>
        <v/>
      </c>
      <c r="L20" s="47" t="str" cm="1">
        <f t="array" ref="L20" xml:space="preserve"> IF(L$4&lt;&gt;$E20, MID($D20,L$4,1), INDEX(音調表[Key], MATCH(TRUE, EXACT(MID($D20,L$4,1), 音調表!$B$3:$B$12),0)))</f>
        <v/>
      </c>
      <c r="M20" s="47" t="str" cm="1">
        <f t="array" ref="M20" xml:space="preserve"> IF(M$4&lt;&gt;$E20, MID($D20,M$4,1), INDEX(音調表[Key], MATCH(TRUE, EXACT(MID($D20,M$4,1), 音調表!$B$3:$B$12),0)))</f>
        <v/>
      </c>
      <c r="N20" s="47" t="str" cm="1">
        <f t="array" ref="N20" xml:space="preserve"> IF(N$4&lt;&gt;$E20, MID($D20,N$4,1), INDEX(音調表[Key], MATCH(TRUE, EXACT(MID($D20,N$4,1), 音調表!$B$3:$B$12),0)))</f>
        <v/>
      </c>
      <c r="O20" s="49"/>
      <c r="P20" s="31" t="str">
        <f ca="1" xml:space="preserve"> IFERROR( _xlfn.IMAGE(_xlfn.CONCAT($D$1,F20,".png")), "")</f>
        <v/>
      </c>
      <c r="Q20" s="31" t="str">
        <f ca="1" xml:space="preserve"> IFERROR( _xlfn.IMAGE(_xlfn.CONCAT($D$1,G20,".png")), "")</f>
        <v/>
      </c>
      <c r="R20" s="31" t="str">
        <f ca="1" xml:space="preserve"> IFERROR( _xlfn.IMAGE(_xlfn.CONCAT($D$1,H20,".png")), "")</f>
        <v/>
      </c>
      <c r="S20" s="31" t="str">
        <f ca="1" xml:space="preserve"> IFERROR( _xlfn.IMAGE(_xlfn.CONCAT($D$1,I20,".png")), "")</f>
        <v/>
      </c>
      <c r="T20" s="31" t="str">
        <f ca="1" xml:space="preserve"> IFERROR( _xlfn.IMAGE(_xlfn.CONCAT($D$1,J20,".png")), "")</f>
        <v/>
      </c>
      <c r="U20" s="31" t="str">
        <f ca="1" xml:space="preserve"> IFERROR( _xlfn.IMAGE(_xlfn.CONCAT($D$1,K20,".png")), "")</f>
        <v/>
      </c>
      <c r="V20" s="31" t="str">
        <f ca="1" xml:space="preserve"> IFERROR( _xlfn.IMAGE(_xlfn.CONCAT($D$1,L20,".png")), "")</f>
        <v/>
      </c>
      <c r="W20" s="31" t="str">
        <f ca="1" xml:space="preserve"> IFERROR( _xlfn.IMAGE(_xlfn.CONCAT($D$1,M20,".png")), "")</f>
        <v/>
      </c>
      <c r="X20" s="31" t="str">
        <f ca="1" xml:space="preserve"> IFERROR( _xlfn.IMAGE(_xlfn.CONCAT($D$1,N20,".png")), "")</f>
        <v/>
      </c>
    </row>
    <row r="21" spans="2:24" ht="75" customHeight="1" x14ac:dyDescent="0.25">
      <c r="B21" s="29" t="s">
        <v>70</v>
      </c>
      <c r="C21" s="32" t="s">
        <v>146</v>
      </c>
      <c r="D21" s="30" t="s">
        <v>106</v>
      </c>
      <c r="E21" s="27">
        <f t="shared" si="0"/>
        <v>3</v>
      </c>
      <c r="F21" s="47" t="str" cm="1">
        <f t="array" ref="F21" xml:space="preserve"> IF(F$4&lt;&gt;$E21, MID($D21,F$4,1), INDEX(音調表[Key], MATCH(TRUE, EXACT(MID($D21,F$4,1), 音調表!$B$3:$B$12),0)))</f>
        <v>i</v>
      </c>
      <c r="G21" s="47" t="str" cm="1">
        <f t="array" ref="G21" xml:space="preserve"> IF(G$4&lt;&gt;$E21, MID($D21,G$4,1), INDEX(音調表[Key], MATCH(TRUE, EXACT(MID($D21,G$4,1), 音調表!$B$3:$B$12),0)))</f>
        <v>t</v>
      </c>
      <c r="H21" s="47" t="str" cm="1">
        <f t="array" ref="H21" xml:space="preserve"> IF(H$4&lt;&gt;$E21, MID($D21,H$4,1), INDEX(音調表[Key], MATCH(TRUE, EXACT(MID($D21,H$4,1), 音調表!$B$3:$B$12),0)))</f>
        <v>lbracket</v>
      </c>
      <c r="I21" s="47" t="str" cm="1">
        <f t="array" ref="I21" xml:space="preserve"> IF(I$4&lt;&gt;$E21, MID($D21,I$4,1), INDEX(音調表[Key], MATCH(TRUE, EXACT(MID($D21,I$4,1), 音調表!$B$3:$B$12),0)))</f>
        <v/>
      </c>
      <c r="J21" s="47" t="str" cm="1">
        <f t="array" ref="J21" xml:space="preserve"> IF(J$4&lt;&gt;$E21, MID($D21,J$4,1), INDEX(音調表[Key], MATCH(TRUE, EXACT(MID($D21,J$4,1), 音調表!$B$3:$B$12),0)))</f>
        <v/>
      </c>
      <c r="K21" s="47" t="str" cm="1">
        <f t="array" ref="K21" xml:space="preserve"> IF(K$4&lt;&gt;$E21, MID($D21,K$4,1), INDEX(音調表[Key], MATCH(TRUE, EXACT(MID($D21,K$4,1), 音調表!$B$3:$B$12),0)))</f>
        <v/>
      </c>
      <c r="L21" s="47" t="str" cm="1">
        <f t="array" ref="L21" xml:space="preserve"> IF(L$4&lt;&gt;$E21, MID($D21,L$4,1), INDEX(音調表[Key], MATCH(TRUE, EXACT(MID($D21,L$4,1), 音調表!$B$3:$B$12),0)))</f>
        <v/>
      </c>
      <c r="M21" s="47" t="str" cm="1">
        <f t="array" ref="M21" xml:space="preserve"> IF(M$4&lt;&gt;$E21, MID($D21,M$4,1), INDEX(音調表[Key], MATCH(TRUE, EXACT(MID($D21,M$4,1), 音調表!$B$3:$B$12),0)))</f>
        <v/>
      </c>
      <c r="N21" s="47" t="str" cm="1">
        <f t="array" ref="N21" xml:space="preserve"> IF(N$4&lt;&gt;$E21, MID($D21,N$4,1), INDEX(音調表[Key], MATCH(TRUE, EXACT(MID($D21,N$4,1), 音調表!$B$3:$B$12),0)))</f>
        <v/>
      </c>
      <c r="O21" s="49"/>
      <c r="P21" s="31" t="e" vm="2">
        <f xml:space="preserve"> IFERROR( _xlfn.IMAGE(_xlfn.CONCAT($D$1,F21,".png")), "")</f>
        <v>#VALUE!</v>
      </c>
      <c r="Q21" s="31" t="e" vm="7">
        <f xml:space="preserve"> IFERROR( _xlfn.IMAGE(_xlfn.CONCAT($D$1,G21,".png")), "")</f>
        <v>#VALUE!</v>
      </c>
      <c r="R21" s="31" t="e" vm="18">
        <f xml:space="preserve"> IFERROR( _xlfn.IMAGE(_xlfn.CONCAT($D$1,H21,".png")), "")</f>
        <v>#VALUE!</v>
      </c>
      <c r="S21" s="31" t="str">
        <f ca="1" xml:space="preserve"> IFERROR( _xlfn.IMAGE(_xlfn.CONCAT($D$1,I21,".png")), "")</f>
        <v/>
      </c>
      <c r="T21" s="31" t="str">
        <f ca="1" xml:space="preserve"> IFERROR( _xlfn.IMAGE(_xlfn.CONCAT($D$1,J21,".png")), "")</f>
        <v/>
      </c>
      <c r="U21" s="31" t="str">
        <f ca="1" xml:space="preserve"> IFERROR( _xlfn.IMAGE(_xlfn.CONCAT($D$1,K21,".png")), "")</f>
        <v/>
      </c>
      <c r="V21" s="31" t="str">
        <f ca="1" xml:space="preserve"> IFERROR( _xlfn.IMAGE(_xlfn.CONCAT($D$1,L21,".png")), "")</f>
        <v/>
      </c>
      <c r="W21" s="31" t="str">
        <f ca="1" xml:space="preserve"> IFERROR( _xlfn.IMAGE(_xlfn.CONCAT($D$1,M21,".png")), "")</f>
        <v/>
      </c>
      <c r="X21" s="31" t="str">
        <f ca="1" xml:space="preserve"> IFERROR( _xlfn.IMAGE(_xlfn.CONCAT($D$1,N21,".png")), "")</f>
        <v/>
      </c>
    </row>
    <row r="22" spans="2:24" ht="75" customHeight="1" x14ac:dyDescent="0.25">
      <c r="B22" s="29" t="s">
        <v>71</v>
      </c>
      <c r="C22" s="32" t="s">
        <v>147</v>
      </c>
      <c r="D22" s="30" t="s">
        <v>107</v>
      </c>
      <c r="E22" s="27">
        <f t="shared" si="0"/>
        <v>6</v>
      </c>
      <c r="F22" s="47" t="str" cm="1">
        <f t="array" ref="F22" xml:space="preserve"> IF(F$4&lt;&gt;$E22, MID($D22,F$4,1), INDEX(音調表[Key], MATCH(TRUE, EXACT(MID($D22,F$4,1), 音調表!$B$3:$B$12),0)))</f>
        <v>p</v>
      </c>
      <c r="G22" s="47" t="str" cm="1">
        <f t="array" ref="G22" xml:space="preserve"> IF(G$4&lt;&gt;$E22, MID($D22,G$4,1), INDEX(音調表[Key], MATCH(TRUE, EXACT(MID($D22,G$4,1), 音調表!$B$3:$B$12),0)))</f>
        <v>h</v>
      </c>
      <c r="H22" s="47" t="str" cm="1">
        <f t="array" ref="H22" xml:space="preserve"> IF(H$4&lt;&gt;$E22, MID($D22,H$4,1), INDEX(音調表[Key], MATCH(TRUE, EXACT(MID($D22,H$4,1), 音調表!$B$3:$B$12),0)))</f>
        <v>i</v>
      </c>
      <c r="I22" s="47" t="str" cm="1">
        <f t="array" ref="I22" xml:space="preserve"> IF(I$4&lt;&gt;$E22, MID($D22,I$4,1), INDEX(音調表[Key], MATCH(TRUE, EXACT(MID($D22,I$4,1), 音調表!$B$3:$B$12),0)))</f>
        <v>a</v>
      </c>
      <c r="J22" s="47" t="str" cm="1">
        <f t="array" ref="J22" xml:space="preserve"> IF(J$4&lt;&gt;$E22, MID($D22,J$4,1), INDEX(音調表[Key], MATCH(TRUE, EXACT(MID($D22,J$4,1), 音調表!$B$3:$B$12),0)))</f>
        <v>n</v>
      </c>
      <c r="K22" s="47" t="str" cm="1">
        <f t="array" ref="K22" xml:space="preserve"> IF(K$4&lt;&gt;$E22, MID($D22,K$4,1), INDEX(音調表[Key], MATCH(TRUE, EXACT(MID($D22,K$4,1), 音調表!$B$3:$B$12),0)))</f>
        <v>minus</v>
      </c>
      <c r="L22" s="47" t="str" cm="1">
        <f t="array" ref="L22" xml:space="preserve"> IF(L$4&lt;&gt;$E22, MID($D22,L$4,1), INDEX(音調表[Key], MATCH(TRUE, EXACT(MID($D22,L$4,1), 音調表!$B$3:$B$12),0)))</f>
        <v/>
      </c>
      <c r="M22" s="47" t="str" cm="1">
        <f t="array" ref="M22" xml:space="preserve"> IF(M$4&lt;&gt;$E22, MID($D22,M$4,1), INDEX(音調表[Key], MATCH(TRUE, EXACT(MID($D22,M$4,1), 音調表!$B$3:$B$12),0)))</f>
        <v/>
      </c>
      <c r="N22" s="47" t="str" cm="1">
        <f t="array" ref="N22" xml:space="preserve"> IF(N$4&lt;&gt;$E22, MID($D22,N$4,1), INDEX(音調表[Key], MATCH(TRUE, EXACT(MID($D22,N$4,1), 音調表!$B$3:$B$12),0)))</f>
        <v/>
      </c>
      <c r="O22" s="49"/>
      <c r="P22" s="31" t="e" vm="15">
        <f xml:space="preserve"> IFERROR( _xlfn.IMAGE(_xlfn.CONCAT($D$1,F22,".png")), "")</f>
        <v>#VALUE!</v>
      </c>
      <c r="Q22" s="31" t="e" vm="12">
        <f xml:space="preserve"> IFERROR( _xlfn.IMAGE(_xlfn.CONCAT($D$1,G22,".png")), "")</f>
        <v>#VALUE!</v>
      </c>
      <c r="R22" s="31" t="e" vm="2">
        <f xml:space="preserve"> IFERROR( _xlfn.IMAGE(_xlfn.CONCAT($D$1,H22,".png")), "")</f>
        <v>#VALUE!</v>
      </c>
      <c r="S22" s="31" t="e" vm="3">
        <f xml:space="preserve"> IFERROR( _xlfn.IMAGE(_xlfn.CONCAT($D$1,I22,".png")), "")</f>
        <v>#VALUE!</v>
      </c>
      <c r="T22" s="31" t="e" vm="4">
        <f xml:space="preserve"> IFERROR( _xlfn.IMAGE(_xlfn.CONCAT($D$1,J22,".png")), "")</f>
        <v>#VALUE!</v>
      </c>
      <c r="U22" s="31" t="e" vm="13">
        <f xml:space="preserve"> IFERROR( _xlfn.IMAGE(_xlfn.CONCAT($D$1,K22,".png")), "")</f>
        <v>#VALUE!</v>
      </c>
      <c r="V22" s="31" t="str">
        <f ca="1" xml:space="preserve"> IFERROR( _xlfn.IMAGE(_xlfn.CONCAT($D$1,L22,".png")), "")</f>
        <v/>
      </c>
      <c r="W22" s="31" t="str">
        <f ca="1" xml:space="preserve"> IFERROR( _xlfn.IMAGE(_xlfn.CONCAT($D$1,M22,".png")), "")</f>
        <v/>
      </c>
      <c r="X22" s="31" t="str">
        <f ca="1" xml:space="preserve"> IFERROR( _xlfn.IMAGE(_xlfn.CONCAT($D$1,N22,".png")), "")</f>
        <v/>
      </c>
    </row>
    <row r="23" spans="2:24" ht="75" customHeight="1" x14ac:dyDescent="0.25">
      <c r="B23" s="29" t="s">
        <v>72</v>
      </c>
      <c r="C23" s="32" t="s">
        <v>148</v>
      </c>
      <c r="D23" s="30" t="s">
        <v>108</v>
      </c>
      <c r="E23" s="27">
        <f t="shared" si="0"/>
        <v>4</v>
      </c>
      <c r="F23" s="47" t="str" cm="1">
        <f t="array" ref="F23" xml:space="preserve"> IF(F$4&lt;&gt;$E23, MID($D23,F$4,1), INDEX(音調表[Key], MATCH(TRUE, EXACT(MID($D23,F$4,1), 音調表!$B$3:$B$12),0)))</f>
        <v>k</v>
      </c>
      <c r="G23" s="47" t="str" cm="1">
        <f t="array" ref="G23" xml:space="preserve"> IF(G$4&lt;&gt;$E23, MID($D23,G$4,1), INDEX(音調表[Key], MATCH(TRUE, EXACT(MID($D23,G$4,1), 音調表!$B$3:$B$12),0)))</f>
        <v>o</v>
      </c>
      <c r="H23" s="47" t="str" cm="1">
        <f t="array" ref="H23" xml:space="preserve"> IF(H$4&lt;&gt;$E23, MID($D23,H$4,1), INDEX(音調表[Key], MATCH(TRUE, EXACT(MID($D23,H$4,1), 音調表!$B$3:$B$12),0)))</f>
        <v>o</v>
      </c>
      <c r="I23" s="47" t="str" cm="1">
        <f t="array" ref="I23" xml:space="preserve"> IF(I$4&lt;&gt;$E23, MID($D23,I$4,1), INDEX(音調表[Key], MATCH(TRUE, EXACT(MID($D23,I$4,1), 音調表!$B$3:$B$12),0)))</f>
        <v>semicolon</v>
      </c>
      <c r="J23" s="47" t="str" cm="1">
        <f t="array" ref="J23" xml:space="preserve"> IF(J$4&lt;&gt;$E23, MID($D23,J$4,1), INDEX(音調表[Key], MATCH(TRUE, EXACT(MID($D23,J$4,1), 音調表!$B$3:$B$12),0)))</f>
        <v/>
      </c>
      <c r="K23" s="47" t="str" cm="1">
        <f t="array" ref="K23" xml:space="preserve"> IF(K$4&lt;&gt;$E23, MID($D23,K$4,1), INDEX(音調表[Key], MATCH(TRUE, EXACT(MID($D23,K$4,1), 音調表!$B$3:$B$12),0)))</f>
        <v/>
      </c>
      <c r="L23" s="47" t="str" cm="1">
        <f t="array" ref="L23" xml:space="preserve"> IF(L$4&lt;&gt;$E23, MID($D23,L$4,1), INDEX(音調表[Key], MATCH(TRUE, EXACT(MID($D23,L$4,1), 音調表!$B$3:$B$12),0)))</f>
        <v/>
      </c>
      <c r="M23" s="47" t="str" cm="1">
        <f t="array" ref="M23" xml:space="preserve"> IF(M$4&lt;&gt;$E23, MID($D23,M$4,1), INDEX(音調表[Key], MATCH(TRUE, EXACT(MID($D23,M$4,1), 音調表!$B$3:$B$12),0)))</f>
        <v/>
      </c>
      <c r="N23" s="47" t="str" cm="1">
        <f t="array" ref="N23" xml:space="preserve"> IF(N$4&lt;&gt;$E23, MID($D23,N$4,1), INDEX(音調表[Key], MATCH(TRUE, EXACT(MID($D23,N$4,1), 音調表!$B$3:$B$12),0)))</f>
        <v/>
      </c>
      <c r="O23" s="49"/>
      <c r="P23" s="31" t="e" vm="16">
        <f xml:space="preserve"> IFERROR( _xlfn.IMAGE(_xlfn.CONCAT($D$1,F23,".png")), "")</f>
        <v>#VALUE!</v>
      </c>
      <c r="Q23" s="31" t="e" vm="11">
        <f xml:space="preserve"> IFERROR( _xlfn.IMAGE(_xlfn.CONCAT($D$1,G23,".png")), "")</f>
        <v>#VALUE!</v>
      </c>
      <c r="R23" s="31" t="e" vm="11">
        <f xml:space="preserve"> IFERROR( _xlfn.IMAGE(_xlfn.CONCAT($D$1,H23,".png")), "")</f>
        <v>#VALUE!</v>
      </c>
      <c r="S23" s="31" t="e" vm="10">
        <f xml:space="preserve"> IFERROR( _xlfn.IMAGE(_xlfn.CONCAT($D$1,I23,".png")), "")</f>
        <v>#VALUE!</v>
      </c>
      <c r="T23" s="31" t="str">
        <f ca="1" xml:space="preserve"> IFERROR( _xlfn.IMAGE(_xlfn.CONCAT($D$1,J23,".png")), "")</f>
        <v/>
      </c>
      <c r="U23" s="31" t="str">
        <f ca="1" xml:space="preserve"> IFERROR( _xlfn.IMAGE(_xlfn.CONCAT($D$1,K23,".png")), "")</f>
        <v/>
      </c>
      <c r="V23" s="31" t="str">
        <f ca="1" xml:space="preserve"> IFERROR( _xlfn.IMAGE(_xlfn.CONCAT($D$1,L23,".png")), "")</f>
        <v/>
      </c>
      <c r="W23" s="31" t="str">
        <f ca="1" xml:space="preserve"> IFERROR( _xlfn.IMAGE(_xlfn.CONCAT($D$1,M23,".png")), "")</f>
        <v/>
      </c>
      <c r="X23" s="31" t="str">
        <f ca="1" xml:space="preserve"> IFERROR( _xlfn.IMAGE(_xlfn.CONCAT($D$1,N23,".png")), "")</f>
        <v/>
      </c>
    </row>
    <row r="24" spans="2:24" ht="75" customHeight="1" x14ac:dyDescent="0.25">
      <c r="B24" s="29" t="s">
        <v>73</v>
      </c>
      <c r="C24" s="32" t="s">
        <v>149</v>
      </c>
      <c r="D24" s="30" t="s">
        <v>109</v>
      </c>
      <c r="E24" s="27">
        <f t="shared" si="0"/>
        <v>5</v>
      </c>
      <c r="F24" s="47" t="str" cm="1">
        <f t="array" ref="F24" xml:space="preserve"> IF(F$4&lt;&gt;$E24, MID($D24,F$4,1), INDEX(音調表[Key], MATCH(TRUE, EXACT(MID($D24,F$4,1), 音調表!$B$3:$B$12),0)))</f>
        <v>s</v>
      </c>
      <c r="G24" s="47" t="str" cm="1">
        <f t="array" ref="G24" xml:space="preserve"> IF(G$4&lt;&gt;$E24, MID($D24,G$4,1), INDEX(音調表[Key], MATCH(TRUE, EXACT(MID($D24,G$4,1), 音調表!$B$3:$B$12),0)))</f>
        <v>i</v>
      </c>
      <c r="H24" s="47" t="str" cm="1">
        <f t="array" ref="H24" xml:space="preserve"> IF(H$4&lt;&gt;$E24, MID($D24,H$4,1), INDEX(音調表[Key], MATCH(TRUE, EXACT(MID($D24,H$4,1), 音調表!$B$3:$B$12),0)))</f>
        <v>n</v>
      </c>
      <c r="I24" s="47" t="str" cm="1">
        <f t="array" ref="I24" xml:space="preserve"> IF(I$4&lt;&gt;$E24, MID($D24,I$4,1), INDEX(音調表[Key], MATCH(TRUE, EXACT(MID($D24,I$4,1), 音調表!$B$3:$B$12),0)))</f>
        <v>g</v>
      </c>
      <c r="J24" s="47" t="str" cm="1">
        <f t="array" ref="J24" xml:space="preserve"> IF(J$4&lt;&gt;$E24, MID($D24,J$4,1), INDEX(音調表[Key], MATCH(TRUE, EXACT(MID($D24,J$4,1), 音調表!$B$3:$B$12),0)))</f>
        <v>slash</v>
      </c>
      <c r="K24" s="47" t="str" cm="1">
        <f t="array" ref="K24" xml:space="preserve"> IF(K$4&lt;&gt;$E24, MID($D24,K$4,1), INDEX(音調表[Key], MATCH(TRUE, EXACT(MID($D24,K$4,1), 音調表!$B$3:$B$12),0)))</f>
        <v/>
      </c>
      <c r="L24" s="47" t="str" cm="1">
        <f t="array" ref="L24" xml:space="preserve"> IF(L$4&lt;&gt;$E24, MID($D24,L$4,1), INDEX(音調表[Key], MATCH(TRUE, EXACT(MID($D24,L$4,1), 音調表!$B$3:$B$12),0)))</f>
        <v/>
      </c>
      <c r="M24" s="47" t="str" cm="1">
        <f t="array" ref="M24" xml:space="preserve"> IF(M$4&lt;&gt;$E24, MID($D24,M$4,1), INDEX(音調表[Key], MATCH(TRUE, EXACT(MID($D24,M$4,1), 音調表!$B$3:$B$12),0)))</f>
        <v/>
      </c>
      <c r="N24" s="47" t="str" cm="1">
        <f t="array" ref="N24" xml:space="preserve"> IF(N$4&lt;&gt;$E24, MID($D24,N$4,1), INDEX(音調表[Key], MATCH(TRUE, EXACT(MID($D24,N$4,1), 音調表!$B$3:$B$12),0)))</f>
        <v/>
      </c>
      <c r="O24" s="49"/>
      <c r="P24" s="31" t="e" vm="8">
        <f xml:space="preserve"> IFERROR( _xlfn.IMAGE(_xlfn.CONCAT($D$1,F24,".png")), "")</f>
        <v>#VALUE!</v>
      </c>
      <c r="Q24" s="31" t="e" vm="2">
        <f xml:space="preserve"> IFERROR( _xlfn.IMAGE(_xlfn.CONCAT($D$1,G24,".png")), "")</f>
        <v>#VALUE!</v>
      </c>
      <c r="R24" s="31" t="e" vm="4">
        <f xml:space="preserve"> IFERROR( _xlfn.IMAGE(_xlfn.CONCAT($D$1,H24,".png")), "")</f>
        <v>#VALUE!</v>
      </c>
      <c r="S24" s="31" t="e" vm="5">
        <f xml:space="preserve"> IFERROR( _xlfn.IMAGE(_xlfn.CONCAT($D$1,I24,".png")), "")</f>
        <v>#VALUE!</v>
      </c>
      <c r="T24" s="31" t="e" vm="6">
        <f xml:space="preserve"> IFERROR( _xlfn.IMAGE(_xlfn.CONCAT($D$1,J24,".png")), "")</f>
        <v>#VALUE!</v>
      </c>
      <c r="U24" s="31" t="str">
        <f ca="1" xml:space="preserve"> IFERROR( _xlfn.IMAGE(_xlfn.CONCAT($D$1,K24,".png")), "")</f>
        <v/>
      </c>
      <c r="V24" s="31" t="str">
        <f ca="1" xml:space="preserve"> IFERROR( _xlfn.IMAGE(_xlfn.CONCAT($D$1,L24,".png")), "")</f>
        <v/>
      </c>
      <c r="W24" s="31" t="str">
        <f ca="1" xml:space="preserve"> IFERROR( _xlfn.IMAGE(_xlfn.CONCAT($D$1,M24,".png")), "")</f>
        <v/>
      </c>
      <c r="X24" s="31" t="str">
        <f ca="1" xml:space="preserve"> IFERROR( _xlfn.IMAGE(_xlfn.CONCAT($D$1,N24,".png")), "")</f>
        <v/>
      </c>
    </row>
    <row r="25" spans="2:24" ht="75" customHeight="1" x14ac:dyDescent="0.25">
      <c r="B25" s="29" t="s">
        <v>74</v>
      </c>
      <c r="C25" s="32" t="s">
        <v>150</v>
      </c>
      <c r="D25" s="30" t="s">
        <v>110</v>
      </c>
      <c r="E25" s="27">
        <f t="shared" si="0"/>
        <v>4</v>
      </c>
      <c r="F25" s="47" t="str" cm="1">
        <f t="array" ref="F25" xml:space="preserve"> IF(F$4&lt;&gt;$E25, MID($D25,F$4,1), INDEX(音調表[Key], MATCH(TRUE, EXACT(MID($D25,F$4,1), 音調表!$B$3:$B$12),0)))</f>
        <v>b</v>
      </c>
      <c r="G25" s="47" t="str" cm="1">
        <f t="array" ref="G25" xml:space="preserve"> IF(G$4&lt;&gt;$E25, MID($D25,G$4,1), INDEX(音調表[Key], MATCH(TRUE, EXACT(MID($D25,G$4,1), 音調表!$B$3:$B$12),0)))</f>
        <v>a</v>
      </c>
      <c r="H25" s="47" t="str" cm="1">
        <f t="array" ref="H25" xml:space="preserve"> IF(H$4&lt;&gt;$E25, MID($D25,H$4,1), INDEX(音調表[Key], MATCH(TRUE, EXACT(MID($D25,H$4,1), 音調表!$B$3:$B$12),0)))</f>
        <v>n</v>
      </c>
      <c r="I25" s="47" t="str" cm="1">
        <f t="array" ref="I25" xml:space="preserve"> IF(I$4&lt;&gt;$E25, MID($D25,I$4,1), INDEX(音調表[Key], MATCH(TRUE, EXACT(MID($D25,I$4,1), 音調表!$B$3:$B$12),0)))</f>
        <v>minus</v>
      </c>
      <c r="J25" s="47" t="str" cm="1">
        <f t="array" ref="J25" xml:space="preserve"> IF(J$4&lt;&gt;$E25, MID($D25,J$4,1), INDEX(音調表[Key], MATCH(TRUE, EXACT(MID($D25,J$4,1), 音調表!$B$3:$B$12),0)))</f>
        <v/>
      </c>
      <c r="K25" s="47" t="str" cm="1">
        <f t="array" ref="K25" xml:space="preserve"> IF(K$4&lt;&gt;$E25, MID($D25,K$4,1), INDEX(音調表[Key], MATCH(TRUE, EXACT(MID($D25,K$4,1), 音調表!$B$3:$B$12),0)))</f>
        <v/>
      </c>
      <c r="L25" s="47" t="str" cm="1">
        <f t="array" ref="L25" xml:space="preserve"> IF(L$4&lt;&gt;$E25, MID($D25,L$4,1), INDEX(音調表[Key], MATCH(TRUE, EXACT(MID($D25,L$4,1), 音調表!$B$3:$B$12),0)))</f>
        <v/>
      </c>
      <c r="M25" s="47" t="str" cm="1">
        <f t="array" ref="M25" xml:space="preserve"> IF(M$4&lt;&gt;$E25, MID($D25,M$4,1), INDEX(音調表[Key], MATCH(TRUE, EXACT(MID($D25,M$4,1), 音調表!$B$3:$B$12),0)))</f>
        <v/>
      </c>
      <c r="N25" s="47" t="str" cm="1">
        <f t="array" ref="N25" xml:space="preserve"> IF(N$4&lt;&gt;$E25, MID($D25,N$4,1), INDEX(音調表[Key], MATCH(TRUE, EXACT(MID($D25,N$4,1), 音調表!$B$3:$B$12),0)))</f>
        <v/>
      </c>
      <c r="O25" s="49"/>
      <c r="P25" s="31" t="e" vm="19">
        <f xml:space="preserve"> IFERROR( _xlfn.IMAGE(_xlfn.CONCAT($D$1,F25,".png")), "")</f>
        <v>#VALUE!</v>
      </c>
      <c r="Q25" s="31" t="e" vm="3">
        <f xml:space="preserve"> IFERROR( _xlfn.IMAGE(_xlfn.CONCAT($D$1,G25,".png")), "")</f>
        <v>#VALUE!</v>
      </c>
      <c r="R25" s="31" t="e" vm="4">
        <f xml:space="preserve"> IFERROR( _xlfn.IMAGE(_xlfn.CONCAT($D$1,H25,".png")), "")</f>
        <v>#VALUE!</v>
      </c>
      <c r="S25" s="31" t="e" vm="13">
        <f xml:space="preserve"> IFERROR( _xlfn.IMAGE(_xlfn.CONCAT($D$1,I25,".png")), "")</f>
        <v>#VALUE!</v>
      </c>
      <c r="T25" s="31" t="str">
        <f ca="1" xml:space="preserve"> IFERROR( _xlfn.IMAGE(_xlfn.CONCAT($D$1,J25,".png")), "")</f>
        <v/>
      </c>
      <c r="U25" s="31" t="str">
        <f ca="1" xml:space="preserve"> IFERROR( _xlfn.IMAGE(_xlfn.CONCAT($D$1,K25,".png")), "")</f>
        <v/>
      </c>
      <c r="V25" s="31" t="str">
        <f ca="1" xml:space="preserve"> IFERROR( _xlfn.IMAGE(_xlfn.CONCAT($D$1,L25,".png")), "")</f>
        <v/>
      </c>
      <c r="W25" s="31" t="str">
        <f ca="1" xml:space="preserve"> IFERROR( _xlfn.IMAGE(_xlfn.CONCAT($D$1,M25,".png")), "")</f>
        <v/>
      </c>
      <c r="X25" s="31" t="str">
        <f ca="1" xml:space="preserve"> IFERROR( _xlfn.IMAGE(_xlfn.CONCAT($D$1,N25,".png")), "")</f>
        <v/>
      </c>
    </row>
    <row r="26" spans="2:24" ht="75" customHeight="1" x14ac:dyDescent="0.25">
      <c r="B26" s="29" t="s">
        <v>75</v>
      </c>
      <c r="C26" s="32" t="s">
        <v>151</v>
      </c>
      <c r="D26" s="30" t="s">
        <v>152</v>
      </c>
      <c r="E26" s="27">
        <f t="shared" si="0"/>
        <v>4</v>
      </c>
      <c r="F26" s="47" t="str" cm="1">
        <f t="array" ref="F26" xml:space="preserve"> IF(F$4&lt;&gt;$E26, MID($D26,F$4,1), INDEX(音調表[Key], MATCH(TRUE, EXACT(MID($D26,F$4,1), 音調表!$B$3:$B$12),0)))</f>
        <v>j</v>
      </c>
      <c r="G26" s="47" t="str" cm="1">
        <f t="array" ref="G26" xml:space="preserve"> IF(G$4&lt;&gt;$E26, MID($D26,G$4,1), INDEX(音調表[Key], MATCH(TRUE, EXACT(MID($D26,G$4,1), 音調表!$B$3:$B$12),0)))</f>
        <v>i</v>
      </c>
      <c r="H26" s="47" t="str" cm="1">
        <f t="array" ref="H26" xml:space="preserve"> IF(H$4&lt;&gt;$E26, MID($D26,H$4,1), INDEX(音調表[Key], MATCH(TRUE, EXACT(MID($D26,H$4,1), 音調表!$B$3:$B$12),0)))</f>
        <v>m</v>
      </c>
      <c r="I26" s="47" t="str" cm="1">
        <f t="array" ref="I26" xml:space="preserve"> IF(I$4&lt;&gt;$E26, MID($D26,I$4,1), INDEX(音調表[Key], MATCH(TRUE, EXACT(MID($D26,I$4,1), 音調表!$B$3:$B$12),0)))</f>
        <v>minus</v>
      </c>
      <c r="J26" s="47" t="str" cm="1">
        <f t="array" ref="J26" xml:space="preserve"> IF(J$4&lt;&gt;$E26, MID($D26,J$4,1), INDEX(音調表[Key], MATCH(TRUE, EXACT(MID($D26,J$4,1), 音調表!$B$3:$B$12),0)))</f>
        <v/>
      </c>
      <c r="K26" s="47" t="str" cm="1">
        <f t="array" ref="K26" xml:space="preserve"> IF(K$4&lt;&gt;$E26, MID($D26,K$4,1), INDEX(音調表[Key], MATCH(TRUE, EXACT(MID($D26,K$4,1), 音調表!$B$3:$B$12),0)))</f>
        <v/>
      </c>
      <c r="L26" s="47" t="str" cm="1">
        <f t="array" ref="L26" xml:space="preserve"> IF(L$4&lt;&gt;$E26, MID($D26,L$4,1), INDEX(音調表[Key], MATCH(TRUE, EXACT(MID($D26,L$4,1), 音調表!$B$3:$B$12),0)))</f>
        <v/>
      </c>
      <c r="M26" s="47" t="str" cm="1">
        <f t="array" ref="M26" xml:space="preserve"> IF(M$4&lt;&gt;$E26, MID($D26,M$4,1), INDEX(音調表[Key], MATCH(TRUE, EXACT(MID($D26,M$4,1), 音調表!$B$3:$B$12),0)))</f>
        <v/>
      </c>
      <c r="N26" s="47" t="str" cm="1">
        <f t="array" ref="N26" xml:space="preserve"> IF(N$4&lt;&gt;$E26, MID($D26,N$4,1), INDEX(音調表[Key], MATCH(TRUE, EXACT(MID($D26,N$4,1), 音調表!$B$3:$B$12),0)))</f>
        <v/>
      </c>
      <c r="O26" s="49"/>
      <c r="P26" s="31" t="e" vm="20">
        <f xml:space="preserve"> IFERROR( _xlfn.IMAGE(_xlfn.CONCAT($D$1,F26,".png")), "")</f>
        <v>#VALUE!</v>
      </c>
      <c r="Q26" s="31" t="e" vm="2">
        <f xml:space="preserve"> IFERROR( _xlfn.IMAGE(_xlfn.CONCAT($D$1,G26,".png")), "")</f>
        <v>#VALUE!</v>
      </c>
      <c r="R26" s="31" t="e" vm="21">
        <f xml:space="preserve"> IFERROR( _xlfn.IMAGE(_xlfn.CONCAT($D$1,H26,".png")), "")</f>
        <v>#VALUE!</v>
      </c>
      <c r="S26" s="31" t="e" vm="13">
        <f xml:space="preserve"> IFERROR( _xlfn.IMAGE(_xlfn.CONCAT($D$1,I26,".png")), "")</f>
        <v>#VALUE!</v>
      </c>
      <c r="T26" s="31" t="str">
        <f ca="1" xml:space="preserve"> IFERROR( _xlfn.IMAGE(_xlfn.CONCAT($D$1,J26,".png")), "")</f>
        <v/>
      </c>
      <c r="U26" s="31" t="str">
        <f ca="1" xml:space="preserve"> IFERROR( _xlfn.IMAGE(_xlfn.CONCAT($D$1,K26,".png")), "")</f>
        <v/>
      </c>
      <c r="V26" s="31" t="str">
        <f ca="1" xml:space="preserve"> IFERROR( _xlfn.IMAGE(_xlfn.CONCAT($D$1,L26,".png")), "")</f>
        <v/>
      </c>
      <c r="W26" s="31" t="str">
        <f ca="1" xml:space="preserve"> IFERROR( _xlfn.IMAGE(_xlfn.CONCAT($D$1,M26,".png")), "")</f>
        <v/>
      </c>
      <c r="X26" s="31" t="str">
        <f ca="1" xml:space="preserve"> IFERROR( _xlfn.IMAGE(_xlfn.CONCAT($D$1,N26,".png")), "")</f>
        <v/>
      </c>
    </row>
    <row r="27" spans="2:24" ht="75" customHeight="1" x14ac:dyDescent="0.25">
      <c r="B27" s="29" t="s">
        <v>76</v>
      </c>
      <c r="C27" s="32" t="s">
        <v>153</v>
      </c>
      <c r="D27" s="30" t="s">
        <v>112</v>
      </c>
      <c r="E27" s="27">
        <f t="shared" si="0"/>
        <v>4</v>
      </c>
      <c r="F27" s="47" t="str" cm="1">
        <f t="array" ref="F27" xml:space="preserve"> IF(F$4&lt;&gt;$E27, MID($D27,F$4,1), INDEX(音調表[Key], MATCH(TRUE, EXACT(MID($D27,F$4,1), 音調表!$B$3:$B$12),0)))</f>
        <v>s</v>
      </c>
      <c r="G27" s="47" t="str" cm="1">
        <f t="array" ref="G27" xml:space="preserve"> IF(G$4&lt;&gt;$E27, MID($D27,G$4,1), INDEX(音調表[Key], MATCH(TRUE, EXACT(MID($D27,G$4,1), 音調表!$B$3:$B$12),0)))</f>
        <v>a</v>
      </c>
      <c r="H27" s="47" t="str" cm="1">
        <f t="array" ref="H27" xml:space="preserve"> IF(H$4&lt;&gt;$E27, MID($D27,H$4,1), INDEX(音調表[Key], MATCH(TRUE, EXACT(MID($D27,H$4,1), 音調表!$B$3:$B$12),0)))</f>
        <v>n</v>
      </c>
      <c r="I27" s="47" t="str" cm="1">
        <f t="array" ref="I27" xml:space="preserve"> IF(I$4&lt;&gt;$E27, MID($D27,I$4,1), INDEX(音調表[Key], MATCH(TRUE, EXACT(MID($D27,I$4,1), 音調表!$B$3:$B$12),0)))</f>
        <v>semicolon</v>
      </c>
      <c r="J27" s="47" t="str" cm="1">
        <f t="array" ref="J27" xml:space="preserve"> IF(J$4&lt;&gt;$E27, MID($D27,J$4,1), INDEX(音調表[Key], MATCH(TRUE, EXACT(MID($D27,J$4,1), 音調表!$B$3:$B$12),0)))</f>
        <v/>
      </c>
      <c r="K27" s="47" t="str" cm="1">
        <f t="array" ref="K27" xml:space="preserve"> IF(K$4&lt;&gt;$E27, MID($D27,K$4,1), INDEX(音調表[Key], MATCH(TRUE, EXACT(MID($D27,K$4,1), 音調表!$B$3:$B$12),0)))</f>
        <v/>
      </c>
      <c r="L27" s="47" t="str" cm="1">
        <f t="array" ref="L27" xml:space="preserve"> IF(L$4&lt;&gt;$E27, MID($D27,L$4,1), INDEX(音調表[Key], MATCH(TRUE, EXACT(MID($D27,L$4,1), 音調表!$B$3:$B$12),0)))</f>
        <v/>
      </c>
      <c r="M27" s="47" t="str" cm="1">
        <f t="array" ref="M27" xml:space="preserve"> IF(M$4&lt;&gt;$E27, MID($D27,M$4,1), INDEX(音調表[Key], MATCH(TRUE, EXACT(MID($D27,M$4,1), 音調表!$B$3:$B$12),0)))</f>
        <v/>
      </c>
      <c r="N27" s="47" t="str" cm="1">
        <f t="array" ref="N27" xml:space="preserve"> IF(N$4&lt;&gt;$E27, MID($D27,N$4,1), INDEX(音調表[Key], MATCH(TRUE, EXACT(MID($D27,N$4,1), 音調表!$B$3:$B$12),0)))</f>
        <v/>
      </c>
      <c r="O27" s="49"/>
      <c r="P27" s="31" t="e" vm="8">
        <f xml:space="preserve"> IFERROR( _xlfn.IMAGE(_xlfn.CONCAT($D$1,F27,".png")), "")</f>
        <v>#VALUE!</v>
      </c>
      <c r="Q27" s="31" t="e" vm="3">
        <f xml:space="preserve"> IFERROR( _xlfn.IMAGE(_xlfn.CONCAT($D$1,G27,".png")), "")</f>
        <v>#VALUE!</v>
      </c>
      <c r="R27" s="31" t="e" vm="4">
        <f xml:space="preserve"> IFERROR( _xlfn.IMAGE(_xlfn.CONCAT($D$1,H27,".png")), "")</f>
        <v>#VALUE!</v>
      </c>
      <c r="S27" s="31" t="e" vm="10">
        <f xml:space="preserve"> IFERROR( _xlfn.IMAGE(_xlfn.CONCAT($D$1,I27,".png")), "")</f>
        <v>#VALUE!</v>
      </c>
      <c r="T27" s="31" t="str">
        <f ca="1" xml:space="preserve"> IFERROR( _xlfn.IMAGE(_xlfn.CONCAT($D$1,J27,".png")), "")</f>
        <v/>
      </c>
      <c r="U27" s="31" t="str">
        <f ca="1" xml:space="preserve"> IFERROR( _xlfn.IMAGE(_xlfn.CONCAT($D$1,K27,".png")), "")</f>
        <v/>
      </c>
      <c r="V27" s="31" t="str">
        <f ca="1" xml:space="preserve"> IFERROR( _xlfn.IMAGE(_xlfn.CONCAT($D$1,L27,".png")), "")</f>
        <v/>
      </c>
      <c r="W27" s="31" t="str">
        <f ca="1" xml:space="preserve"> IFERROR( _xlfn.IMAGE(_xlfn.CONCAT($D$1,M27,".png")), "")</f>
        <v/>
      </c>
      <c r="X27" s="31" t="str">
        <f ca="1" xml:space="preserve"> IFERROR( _xlfn.IMAGE(_xlfn.CONCAT($D$1,N27,".png")), "")</f>
        <v/>
      </c>
    </row>
    <row r="28" spans="2:24" ht="75" customHeight="1" x14ac:dyDescent="0.25">
      <c r="B28" s="29" t="s">
        <v>77</v>
      </c>
      <c r="C28" s="32"/>
      <c r="D28" s="30"/>
      <c r="E28" s="27" t="str">
        <f t="shared" si="0"/>
        <v/>
      </c>
      <c r="F28" s="47" t="str" cm="1">
        <f t="array" ref="F28" xml:space="preserve"> IF(F$4&lt;&gt;$E28, MID($D28,F$4,1), INDEX(音調表[Key], MATCH(TRUE, EXACT(MID($D28,F$4,1), 音調表!$B$3:$B$12),0)))</f>
        <v/>
      </c>
      <c r="G28" s="47" t="str" cm="1">
        <f t="array" ref="G28" xml:space="preserve"> IF(G$4&lt;&gt;$E28, MID($D28,G$4,1), INDEX(音調表[Key], MATCH(TRUE, EXACT(MID($D28,G$4,1), 音調表!$B$3:$B$12),0)))</f>
        <v/>
      </c>
      <c r="H28" s="47" t="str" cm="1">
        <f t="array" ref="H28" xml:space="preserve"> IF(H$4&lt;&gt;$E28, MID($D28,H$4,1), INDEX(音調表[Key], MATCH(TRUE, EXACT(MID($D28,H$4,1), 音調表!$B$3:$B$12),0)))</f>
        <v/>
      </c>
      <c r="I28" s="47" t="str" cm="1">
        <f t="array" ref="I28" xml:space="preserve"> IF(I$4&lt;&gt;$E28, MID($D28,I$4,1), INDEX(音調表[Key], MATCH(TRUE, EXACT(MID($D28,I$4,1), 音調表!$B$3:$B$12),0)))</f>
        <v/>
      </c>
      <c r="J28" s="47" t="str" cm="1">
        <f t="array" ref="J28" xml:space="preserve"> IF(J$4&lt;&gt;$E28, MID($D28,J$4,1), INDEX(音調表[Key], MATCH(TRUE, EXACT(MID($D28,J$4,1), 音調表!$B$3:$B$12),0)))</f>
        <v/>
      </c>
      <c r="K28" s="47" t="str" cm="1">
        <f t="array" ref="K28" xml:space="preserve"> IF(K$4&lt;&gt;$E28, MID($D28,K$4,1), INDEX(音調表[Key], MATCH(TRUE, EXACT(MID($D28,K$4,1), 音調表!$B$3:$B$12),0)))</f>
        <v/>
      </c>
      <c r="L28" s="47" t="str" cm="1">
        <f t="array" ref="L28" xml:space="preserve"> IF(L$4&lt;&gt;$E28, MID($D28,L$4,1), INDEX(音調表[Key], MATCH(TRUE, EXACT(MID($D28,L$4,1), 音調表!$B$3:$B$12),0)))</f>
        <v/>
      </c>
      <c r="M28" s="47" t="str" cm="1">
        <f t="array" ref="M28" xml:space="preserve"> IF(M$4&lt;&gt;$E28, MID($D28,M$4,1), INDEX(音調表[Key], MATCH(TRUE, EXACT(MID($D28,M$4,1), 音調表!$B$3:$B$12),0)))</f>
        <v/>
      </c>
      <c r="N28" s="47" t="str" cm="1">
        <f t="array" ref="N28" xml:space="preserve"> IF(N$4&lt;&gt;$E28, MID($D28,N$4,1), INDEX(音調表[Key], MATCH(TRUE, EXACT(MID($D28,N$4,1), 音調表!$B$3:$B$12),0)))</f>
        <v/>
      </c>
      <c r="O28" s="49"/>
      <c r="P28" s="31" t="str">
        <f ca="1" xml:space="preserve"> IFERROR( _xlfn.IMAGE(_xlfn.CONCAT($D$1,F28,".png")), "")</f>
        <v/>
      </c>
      <c r="Q28" s="31" t="str">
        <f ca="1" xml:space="preserve"> IFERROR( _xlfn.IMAGE(_xlfn.CONCAT($D$1,G28,".png")), "")</f>
        <v/>
      </c>
      <c r="R28" s="31" t="str">
        <f ca="1" xml:space="preserve"> IFERROR( _xlfn.IMAGE(_xlfn.CONCAT($D$1,H28,".png")), "")</f>
        <v/>
      </c>
      <c r="S28" s="31" t="str">
        <f ca="1" xml:space="preserve"> IFERROR( _xlfn.IMAGE(_xlfn.CONCAT($D$1,I28,".png")), "")</f>
        <v/>
      </c>
      <c r="T28" s="31" t="str">
        <f ca="1" xml:space="preserve"> IFERROR( _xlfn.IMAGE(_xlfn.CONCAT($D$1,J28,".png")), "")</f>
        <v/>
      </c>
      <c r="U28" s="31" t="str">
        <f ca="1" xml:space="preserve"> IFERROR( _xlfn.IMAGE(_xlfn.CONCAT($D$1,K28,".png")), "")</f>
        <v/>
      </c>
      <c r="V28" s="31" t="str">
        <f ca="1" xml:space="preserve"> IFERROR( _xlfn.IMAGE(_xlfn.CONCAT($D$1,L28,".png")), "")</f>
        <v/>
      </c>
      <c r="W28" s="31" t="str">
        <f ca="1" xml:space="preserve"> IFERROR( _xlfn.IMAGE(_xlfn.CONCAT($D$1,M28,".png")), "")</f>
        <v/>
      </c>
      <c r="X28" s="31" t="str">
        <f ca="1" xml:space="preserve"> IFERROR( _xlfn.IMAGE(_xlfn.CONCAT($D$1,N28,".png")), "")</f>
        <v/>
      </c>
    </row>
    <row r="29" spans="2:24" ht="75" customHeight="1" x14ac:dyDescent="0.25">
      <c r="B29" s="29"/>
      <c r="C29" s="32"/>
      <c r="D29" s="30"/>
      <c r="E29" s="27" t="str">
        <f t="shared" si="0"/>
        <v/>
      </c>
      <c r="F29" s="47" t="str" cm="1">
        <f t="array" ref="F29" xml:space="preserve"> IF(F$4&lt;&gt;$E29, MID($D29,F$4,1), INDEX(音調表[Key], MATCH(TRUE, EXACT(MID($D29,F$4,1), 音調表!$B$3:$B$12),0)))</f>
        <v/>
      </c>
      <c r="G29" s="47" t="str" cm="1">
        <f t="array" ref="G29" xml:space="preserve"> IF(G$4&lt;&gt;$E29, MID($D29,G$4,1), INDEX(音調表[Key], MATCH(TRUE, EXACT(MID($D29,G$4,1), 音調表!$B$3:$B$12),0)))</f>
        <v/>
      </c>
      <c r="H29" s="47" t="str" cm="1">
        <f t="array" ref="H29" xml:space="preserve"> IF(H$4&lt;&gt;$E29, MID($D29,H$4,1), INDEX(音調表[Key], MATCH(TRUE, EXACT(MID($D29,H$4,1), 音調表!$B$3:$B$12),0)))</f>
        <v/>
      </c>
      <c r="I29" s="47" t="str" cm="1">
        <f t="array" ref="I29" xml:space="preserve"> IF(I$4&lt;&gt;$E29, MID($D29,I$4,1), INDEX(音調表[Key], MATCH(TRUE, EXACT(MID($D29,I$4,1), 音調表!$B$3:$B$12),0)))</f>
        <v/>
      </c>
      <c r="J29" s="47" t="str" cm="1">
        <f t="array" ref="J29" xml:space="preserve"> IF(J$4&lt;&gt;$E29, MID($D29,J$4,1), INDEX(音調表[Key], MATCH(TRUE, EXACT(MID($D29,J$4,1), 音調表!$B$3:$B$12),0)))</f>
        <v/>
      </c>
      <c r="K29" s="47" t="str" cm="1">
        <f t="array" ref="K29" xml:space="preserve"> IF(K$4&lt;&gt;$E29, MID($D29,K$4,1), INDEX(音調表[Key], MATCH(TRUE, EXACT(MID($D29,K$4,1), 音調表!$B$3:$B$12),0)))</f>
        <v/>
      </c>
      <c r="L29" s="47" t="str" cm="1">
        <f t="array" ref="L29" xml:space="preserve"> IF(L$4&lt;&gt;$E29, MID($D29,L$4,1), INDEX(音調表[Key], MATCH(TRUE, EXACT(MID($D29,L$4,1), 音調表!$B$3:$B$12),0)))</f>
        <v/>
      </c>
      <c r="M29" s="47" t="str" cm="1">
        <f t="array" ref="M29" xml:space="preserve"> IF(M$4&lt;&gt;$E29, MID($D29,M$4,1), INDEX(音調表[Key], MATCH(TRUE, EXACT(MID($D29,M$4,1), 音調表!$B$3:$B$12),0)))</f>
        <v/>
      </c>
      <c r="N29" s="47" t="str" cm="1">
        <f t="array" ref="N29" xml:space="preserve"> IF(N$4&lt;&gt;$E29, MID($D29,N$4,1), INDEX(音調表[Key], MATCH(TRUE, EXACT(MID($D29,N$4,1), 音調表!$B$3:$B$12),0)))</f>
        <v/>
      </c>
      <c r="O29" s="49"/>
      <c r="P29" s="31" t="str">
        <f ca="1" xml:space="preserve"> IFERROR( _xlfn.IMAGE(_xlfn.CONCAT($D$1,F29,".png")), "")</f>
        <v/>
      </c>
      <c r="Q29" s="31" t="str">
        <f ca="1" xml:space="preserve"> IFERROR( _xlfn.IMAGE(_xlfn.CONCAT($D$1,G29,".png")), "")</f>
        <v/>
      </c>
      <c r="R29" s="31" t="str">
        <f ca="1" xml:space="preserve"> IFERROR( _xlfn.IMAGE(_xlfn.CONCAT($D$1,H29,".png")), "")</f>
        <v/>
      </c>
      <c r="S29" s="31" t="str">
        <f ca="1" xml:space="preserve"> IFERROR( _xlfn.IMAGE(_xlfn.CONCAT($D$1,I29,".png")), "")</f>
        <v/>
      </c>
      <c r="T29" s="31" t="str">
        <f ca="1" xml:space="preserve"> IFERROR( _xlfn.IMAGE(_xlfn.CONCAT($D$1,J29,".png")), "")</f>
        <v/>
      </c>
      <c r="U29" s="31" t="str">
        <f ca="1" xml:space="preserve"> IFERROR( _xlfn.IMAGE(_xlfn.CONCAT($D$1,K29,".png")), "")</f>
        <v/>
      </c>
      <c r="V29" s="31" t="str">
        <f ca="1" xml:space="preserve"> IFERROR( _xlfn.IMAGE(_xlfn.CONCAT($D$1,L29,".png")), "")</f>
        <v/>
      </c>
      <c r="W29" s="31" t="str">
        <f ca="1" xml:space="preserve"> IFERROR( _xlfn.IMAGE(_xlfn.CONCAT($D$1,M29,".png")), "")</f>
        <v/>
      </c>
      <c r="X29" s="31" t="str">
        <f ca="1" xml:space="preserve"> IFERROR( _xlfn.IMAGE(_xlfn.CONCAT($D$1,N29,".png")), "")</f>
        <v/>
      </c>
    </row>
    <row r="30" spans="2:24" ht="75" customHeight="1" x14ac:dyDescent="0.25">
      <c r="B30" s="29" t="s">
        <v>78</v>
      </c>
      <c r="C30" s="32" t="s">
        <v>154</v>
      </c>
      <c r="D30" s="30" t="s">
        <v>113</v>
      </c>
      <c r="E30" s="27">
        <f t="shared" si="0"/>
        <v>7</v>
      </c>
      <c r="F30" s="47" t="str" cm="1">
        <f t="array" ref="F30" xml:space="preserve"> IF(F$4&lt;&gt;$E30, MID($D30,F$4,1), INDEX(音調表[Key], MATCH(TRUE, EXACT(MID($D30,F$4,1), 音調表!$B$3:$B$12),0)))</f>
        <v>k</v>
      </c>
      <c r="G30" s="47" t="str" cm="1">
        <f t="array" ref="G30" xml:space="preserve"> IF(G$4&lt;&gt;$E30, MID($D30,G$4,1), INDEX(音調表[Key], MATCH(TRUE, EXACT(MID($D30,G$4,1), 音調表!$B$3:$B$12),0)))</f>
        <v>h</v>
      </c>
      <c r="H30" s="47" t="str" cm="1">
        <f t="array" ref="H30" xml:space="preserve"> IF(H$4&lt;&gt;$E30, MID($D30,H$4,1), INDEX(音調表[Key], MATCH(TRUE, EXACT(MID($D30,H$4,1), 音調表!$B$3:$B$12),0)))</f>
        <v>i</v>
      </c>
      <c r="I30" s="47" t="str" cm="1">
        <f t="array" ref="I30" xml:space="preserve"> IF(I$4&lt;&gt;$E30, MID($D30,I$4,1), INDEX(音調表[Key], MATCH(TRUE, EXACT(MID($D30,I$4,1), 音調表!$B$3:$B$12),0)))</f>
        <v>a</v>
      </c>
      <c r="J30" s="47" t="str" cm="1">
        <f t="array" ref="J30" xml:space="preserve"> IF(J$4&lt;&gt;$E30, MID($D30,J$4,1), INDEX(音調表[Key], MATCH(TRUE, EXACT(MID($D30,J$4,1), 音調表!$B$3:$B$12),0)))</f>
        <v>n</v>
      </c>
      <c r="K30" s="47" t="str" cm="1">
        <f t="array" ref="K30" xml:space="preserve"> IF(K$4&lt;&gt;$E30, MID($D30,K$4,1), INDEX(音調表[Key], MATCH(TRUE, EXACT(MID($D30,K$4,1), 音調表!$B$3:$B$12),0)))</f>
        <v>g</v>
      </c>
      <c r="L30" s="47" t="str" cm="1">
        <f t="array" ref="L30" xml:space="preserve"> IF(L$4&lt;&gt;$E30, MID($D30,L$4,1), INDEX(音調表[Key], MATCH(TRUE, EXACT(MID($D30,L$4,1), 音調表!$B$3:$B$12),0)))</f>
        <v>semicolon</v>
      </c>
      <c r="M30" s="47" t="str" cm="1">
        <f t="array" ref="M30" xml:space="preserve"> IF(M$4&lt;&gt;$E30, MID($D30,M$4,1), INDEX(音調表[Key], MATCH(TRUE, EXACT(MID($D30,M$4,1), 音調表!$B$3:$B$12),0)))</f>
        <v/>
      </c>
      <c r="N30" s="47" t="str" cm="1">
        <f t="array" ref="N30" xml:space="preserve"> IF(N$4&lt;&gt;$E30, MID($D30,N$4,1), INDEX(音調表[Key], MATCH(TRUE, EXACT(MID($D30,N$4,1), 音調表!$B$3:$B$12),0)))</f>
        <v/>
      </c>
      <c r="O30" s="49"/>
      <c r="P30" s="31" t="e" vm="16">
        <f xml:space="preserve"> IFERROR( _xlfn.IMAGE(_xlfn.CONCAT($D$1,F30,".png")), "")</f>
        <v>#VALUE!</v>
      </c>
      <c r="Q30" s="31" t="e" vm="12">
        <f xml:space="preserve"> IFERROR( _xlfn.IMAGE(_xlfn.CONCAT($D$1,G30,".png")), "")</f>
        <v>#VALUE!</v>
      </c>
      <c r="R30" s="31" t="e" vm="2">
        <f xml:space="preserve"> IFERROR( _xlfn.IMAGE(_xlfn.CONCAT($D$1,H30,".png")), "")</f>
        <v>#VALUE!</v>
      </c>
      <c r="S30" s="31" t="e" vm="3">
        <f xml:space="preserve"> IFERROR( _xlfn.IMAGE(_xlfn.CONCAT($D$1,I30,".png")), "")</f>
        <v>#VALUE!</v>
      </c>
      <c r="T30" s="31" t="e" vm="4">
        <f xml:space="preserve"> IFERROR( _xlfn.IMAGE(_xlfn.CONCAT($D$1,J30,".png")), "")</f>
        <v>#VALUE!</v>
      </c>
      <c r="U30" s="31" t="e" vm="5">
        <f xml:space="preserve"> IFERROR( _xlfn.IMAGE(_xlfn.CONCAT($D$1,K30,".png")), "")</f>
        <v>#VALUE!</v>
      </c>
      <c r="V30" s="31" t="e" vm="10">
        <f xml:space="preserve"> IFERROR( _xlfn.IMAGE(_xlfn.CONCAT($D$1,L30,".png")), "")</f>
        <v>#VALUE!</v>
      </c>
      <c r="W30" s="31" t="str">
        <f ca="1" xml:space="preserve"> IFERROR( _xlfn.IMAGE(_xlfn.CONCAT($D$1,M30,".png")), "")</f>
        <v/>
      </c>
      <c r="X30" s="31" t="str">
        <f ca="1" xml:space="preserve"> IFERROR( _xlfn.IMAGE(_xlfn.CONCAT($D$1,N30,".png")), "")</f>
        <v/>
      </c>
    </row>
    <row r="31" spans="2:24" ht="75" customHeight="1" x14ac:dyDescent="0.25">
      <c r="B31" s="29" t="s">
        <v>79</v>
      </c>
      <c r="C31" s="32" t="s">
        <v>155</v>
      </c>
      <c r="D31" s="30" t="s">
        <v>114</v>
      </c>
      <c r="E31" s="27">
        <f t="shared" si="0"/>
        <v>4</v>
      </c>
      <c r="F31" s="47" t="str" cm="1">
        <f t="array" ref="F31" xml:space="preserve"> IF(F$4&lt;&gt;$E31, MID($D31,F$4,1), INDEX(音調表[Key], MATCH(TRUE, EXACT(MID($D31,F$4,1), 音調表!$B$3:$B$12),0)))</f>
        <v>t</v>
      </c>
      <c r="G31" s="47" t="str" cm="1">
        <f t="array" ref="G31" xml:space="preserve"> IF(G$4&lt;&gt;$E31, MID($D31,G$4,1), INDEX(音調表[Key], MATCH(TRUE, EXACT(MID($D31,G$4,1), 音調表!$B$3:$B$12),0)))</f>
        <v>i</v>
      </c>
      <c r="H31" s="47" t="str" cm="1">
        <f t="array" ref="H31" xml:space="preserve"> IF(H$4&lt;&gt;$E31, MID($D31,H$4,1), INDEX(音調表[Key], MATCH(TRUE, EXACT(MID($D31,H$4,1), 音調表!$B$3:$B$12),0)))</f>
        <v>k</v>
      </c>
      <c r="I31" s="47" t="str" cm="1">
        <f t="array" ref="I31" xml:space="preserve"> IF(I$4&lt;&gt;$E31, MID($D31,I$4,1), INDEX(音調表[Key], MATCH(TRUE, EXACT(MID($D31,I$4,1), 音調表!$B$3:$B$12),0)))</f>
        <v>rbracket</v>
      </c>
      <c r="J31" s="47" t="str" cm="1">
        <f t="array" ref="J31" xml:space="preserve"> IF(J$4&lt;&gt;$E31, MID($D31,J$4,1), INDEX(音調表[Key], MATCH(TRUE, EXACT(MID($D31,J$4,1), 音調表!$B$3:$B$12),0)))</f>
        <v/>
      </c>
      <c r="K31" s="47" t="str" cm="1">
        <f t="array" ref="K31" xml:space="preserve"> IF(K$4&lt;&gt;$E31, MID($D31,K$4,1), INDEX(音調表[Key], MATCH(TRUE, EXACT(MID($D31,K$4,1), 音調表!$B$3:$B$12),0)))</f>
        <v/>
      </c>
      <c r="L31" s="47" t="str" cm="1">
        <f t="array" ref="L31" xml:space="preserve"> IF(L$4&lt;&gt;$E31, MID($D31,L$4,1), INDEX(音調表[Key], MATCH(TRUE, EXACT(MID($D31,L$4,1), 音調表!$B$3:$B$12),0)))</f>
        <v/>
      </c>
      <c r="M31" s="47" t="str" cm="1">
        <f t="array" ref="M31" xml:space="preserve"> IF(M$4&lt;&gt;$E31, MID($D31,M$4,1), INDEX(音調表[Key], MATCH(TRUE, EXACT(MID($D31,M$4,1), 音調表!$B$3:$B$12),0)))</f>
        <v/>
      </c>
      <c r="N31" s="47" t="str" cm="1">
        <f t="array" ref="N31" xml:space="preserve"> IF(N$4&lt;&gt;$E31, MID($D31,N$4,1), INDEX(音調表[Key], MATCH(TRUE, EXACT(MID($D31,N$4,1), 音調表!$B$3:$B$12),0)))</f>
        <v/>
      </c>
      <c r="O31" s="49"/>
      <c r="P31" s="31" t="e" vm="7">
        <f xml:space="preserve"> IFERROR( _xlfn.IMAGE(_xlfn.CONCAT($D$1,F31,".png")), "")</f>
        <v>#VALUE!</v>
      </c>
      <c r="Q31" s="31" t="e" vm="2">
        <f xml:space="preserve"> IFERROR( _xlfn.IMAGE(_xlfn.CONCAT($D$1,G31,".png")), "")</f>
        <v>#VALUE!</v>
      </c>
      <c r="R31" s="31" t="e" vm="16">
        <f xml:space="preserve"> IFERROR( _xlfn.IMAGE(_xlfn.CONCAT($D$1,H31,".png")), "")</f>
        <v>#VALUE!</v>
      </c>
      <c r="S31" s="31" t="e" vm="17">
        <f xml:space="preserve"> IFERROR( _xlfn.IMAGE(_xlfn.CONCAT($D$1,I31,".png")), "")</f>
        <v>#VALUE!</v>
      </c>
      <c r="T31" s="31" t="str">
        <f ca="1" xml:space="preserve"> IFERROR( _xlfn.IMAGE(_xlfn.CONCAT($D$1,J31,".png")), "")</f>
        <v/>
      </c>
      <c r="U31" s="31" t="str">
        <f ca="1" xml:space="preserve"> IFERROR( _xlfn.IMAGE(_xlfn.CONCAT($D$1,K31,".png")), "")</f>
        <v/>
      </c>
      <c r="V31" s="31" t="str">
        <f ca="1" xml:space="preserve"> IFERROR( _xlfn.IMAGE(_xlfn.CONCAT($D$1,L31,".png")), "")</f>
        <v/>
      </c>
      <c r="W31" s="31" t="str">
        <f ca="1" xml:space="preserve"> IFERROR( _xlfn.IMAGE(_xlfn.CONCAT($D$1,M31,".png")), "")</f>
        <v/>
      </c>
      <c r="X31" s="31" t="str">
        <f ca="1" xml:space="preserve"> IFERROR( _xlfn.IMAGE(_xlfn.CONCAT($D$1,N31,".png")), "")</f>
        <v/>
      </c>
    </row>
    <row r="32" spans="2:24" ht="75" customHeight="1" x14ac:dyDescent="0.25">
      <c r="B32" s="29" t="s">
        <v>80</v>
      </c>
      <c r="C32" s="32" t="s">
        <v>140</v>
      </c>
      <c r="D32" s="30" t="s">
        <v>96</v>
      </c>
      <c r="E32" s="27">
        <f t="shared" si="0"/>
        <v>3</v>
      </c>
      <c r="F32" s="47" t="str" cm="1">
        <f t="array" ref="F32" xml:space="preserve"> IF(F$4&lt;&gt;$E32, MID($D32,F$4,1), INDEX(音調表[Key], MATCH(TRUE, EXACT(MID($D32,F$4,1), 音調表!$B$3:$B$12),0)))</f>
        <v>h</v>
      </c>
      <c r="G32" s="47" t="str" cm="1">
        <f t="array" ref="G32" xml:space="preserve"> IF(G$4&lt;&gt;$E32, MID($D32,G$4,1), INDEX(音調表[Key], MATCH(TRUE, EXACT(MID($D32,G$4,1), 音調表!$B$3:$B$12),0)))</f>
        <v>o</v>
      </c>
      <c r="H32" s="47" t="str" cm="1">
        <f t="array" ref="H32" xml:space="preserve"> IF(H$4&lt;&gt;$E32, MID($D32,H$4,1), INDEX(音調表[Key], MATCH(TRUE, EXACT(MID($D32,H$4,1), 音調表!$B$3:$B$12),0)))</f>
        <v>slash</v>
      </c>
      <c r="I32" s="47" t="str" cm="1">
        <f t="array" ref="I32" xml:space="preserve"> IF(I$4&lt;&gt;$E32, MID($D32,I$4,1), INDEX(音調表[Key], MATCH(TRUE, EXACT(MID($D32,I$4,1), 音調表!$B$3:$B$12),0)))</f>
        <v/>
      </c>
      <c r="J32" s="47" t="str" cm="1">
        <f t="array" ref="J32" xml:space="preserve"> IF(J$4&lt;&gt;$E32, MID($D32,J$4,1), INDEX(音調表[Key], MATCH(TRUE, EXACT(MID($D32,J$4,1), 音調表!$B$3:$B$12),0)))</f>
        <v/>
      </c>
      <c r="K32" s="47" t="str" cm="1">
        <f t="array" ref="K32" xml:space="preserve"> IF(K$4&lt;&gt;$E32, MID($D32,K$4,1), INDEX(音調表[Key], MATCH(TRUE, EXACT(MID($D32,K$4,1), 音調表!$B$3:$B$12),0)))</f>
        <v/>
      </c>
      <c r="L32" s="47" t="str" cm="1">
        <f t="array" ref="L32" xml:space="preserve"> IF(L$4&lt;&gt;$E32, MID($D32,L$4,1), INDEX(音調表[Key], MATCH(TRUE, EXACT(MID($D32,L$4,1), 音調表!$B$3:$B$12),0)))</f>
        <v/>
      </c>
      <c r="M32" s="47" t="str" cm="1">
        <f t="array" ref="M32" xml:space="preserve"> IF(M$4&lt;&gt;$E32, MID($D32,M$4,1), INDEX(音調表[Key], MATCH(TRUE, EXACT(MID($D32,M$4,1), 音調表!$B$3:$B$12),0)))</f>
        <v/>
      </c>
      <c r="N32" s="47" t="str" cm="1">
        <f t="array" ref="N32" xml:space="preserve"> IF(N$4&lt;&gt;$E32, MID($D32,N$4,1), INDEX(音調表[Key], MATCH(TRUE, EXACT(MID($D32,N$4,1), 音調表!$B$3:$B$12),0)))</f>
        <v/>
      </c>
      <c r="O32" s="49"/>
      <c r="P32" s="31" t="e" vm="12">
        <f xml:space="preserve"> IFERROR( _xlfn.IMAGE(_xlfn.CONCAT($D$1,F32,".png")), "")</f>
        <v>#VALUE!</v>
      </c>
      <c r="Q32" s="31" t="e" vm="11">
        <f xml:space="preserve"> IFERROR( _xlfn.IMAGE(_xlfn.CONCAT($D$1,G32,".png")), "")</f>
        <v>#VALUE!</v>
      </c>
      <c r="R32" s="31" t="e" vm="6">
        <f xml:space="preserve"> IFERROR( _xlfn.IMAGE(_xlfn.CONCAT($D$1,H32,".png")), "")</f>
        <v>#VALUE!</v>
      </c>
      <c r="S32" s="31" t="str">
        <f ca="1" xml:space="preserve"> IFERROR( _xlfn.IMAGE(_xlfn.CONCAT($D$1,I32,".png")), "")</f>
        <v/>
      </c>
      <c r="T32" s="31" t="str">
        <f ca="1" xml:space="preserve"> IFERROR( _xlfn.IMAGE(_xlfn.CONCAT($D$1,J32,".png")), "")</f>
        <v/>
      </c>
      <c r="U32" s="31" t="str">
        <f ca="1" xml:space="preserve"> IFERROR( _xlfn.IMAGE(_xlfn.CONCAT($D$1,K32,".png")), "")</f>
        <v/>
      </c>
      <c r="V32" s="31" t="str">
        <f ca="1" xml:space="preserve"> IFERROR( _xlfn.IMAGE(_xlfn.CONCAT($D$1,L32,".png")), "")</f>
        <v/>
      </c>
      <c r="W32" s="31" t="str">
        <f ca="1" xml:space="preserve"> IFERROR( _xlfn.IMAGE(_xlfn.CONCAT($D$1,M32,".png")), "")</f>
        <v/>
      </c>
      <c r="X32" s="31" t="str">
        <f ca="1" xml:space="preserve"> IFERROR( _xlfn.IMAGE(_xlfn.CONCAT($D$1,N32,".png")), "")</f>
        <v/>
      </c>
    </row>
    <row r="33" spans="2:24" ht="75" customHeight="1" x14ac:dyDescent="0.25">
      <c r="B33" s="29" t="s">
        <v>81</v>
      </c>
      <c r="C33" s="33" t="s">
        <v>156</v>
      </c>
      <c r="D33" s="30" t="s">
        <v>115</v>
      </c>
      <c r="E33" s="27">
        <f t="shared" si="0"/>
        <v>3</v>
      </c>
      <c r="F33" s="47" t="str" cm="1">
        <f t="array" ref="F33" xml:space="preserve"> IF(F$4&lt;&gt;$E33, MID($D33,F$4,1), INDEX(音調表[Key], MATCH(TRUE, EXACT(MID($D33,F$4,1), 音調表!$B$3:$B$12),0)))</f>
        <v>s</v>
      </c>
      <c r="G33" s="47" t="str" cm="1">
        <f t="array" ref="G33" xml:space="preserve"> IF(G$4&lt;&gt;$E33, MID($D33,G$4,1), INDEX(音調表[Key], MATCH(TRUE, EXACT(MID($D33,G$4,1), 音調表!$B$3:$B$12),0)))</f>
        <v>u</v>
      </c>
      <c r="H33" s="47" t="str" cm="1">
        <f t="array" ref="H33" xml:space="preserve"> IF(H$4&lt;&gt;$E33, MID($D33,H$4,1), INDEX(音調表[Key], MATCH(TRUE, EXACT(MID($D33,H$4,1), 音調表!$B$3:$B$12),0)))</f>
        <v>semicolon</v>
      </c>
      <c r="I33" s="47" t="str" cm="1">
        <f t="array" ref="I33" xml:space="preserve"> IF(I$4&lt;&gt;$E33, MID($D33,I$4,1), INDEX(音調表[Key], MATCH(TRUE, EXACT(MID($D33,I$4,1), 音調表!$B$3:$B$12),0)))</f>
        <v/>
      </c>
      <c r="J33" s="47" t="str" cm="1">
        <f t="array" ref="J33" xml:space="preserve"> IF(J$4&lt;&gt;$E33, MID($D33,J$4,1), INDEX(音調表[Key], MATCH(TRUE, EXACT(MID($D33,J$4,1), 音調表!$B$3:$B$12),0)))</f>
        <v/>
      </c>
      <c r="K33" s="47" t="str" cm="1">
        <f t="array" ref="K33" xml:space="preserve"> IF(K$4&lt;&gt;$E33, MID($D33,K$4,1), INDEX(音調表[Key], MATCH(TRUE, EXACT(MID($D33,K$4,1), 音調表!$B$3:$B$12),0)))</f>
        <v/>
      </c>
      <c r="L33" s="47" t="str" cm="1">
        <f t="array" ref="L33" xml:space="preserve"> IF(L$4&lt;&gt;$E33, MID($D33,L$4,1), INDEX(音調表[Key], MATCH(TRUE, EXACT(MID($D33,L$4,1), 音調表!$B$3:$B$12),0)))</f>
        <v/>
      </c>
      <c r="M33" s="47" t="str" cm="1">
        <f t="array" ref="M33" xml:space="preserve"> IF(M$4&lt;&gt;$E33, MID($D33,M$4,1), INDEX(音調表[Key], MATCH(TRUE, EXACT(MID($D33,M$4,1), 音調表!$B$3:$B$12),0)))</f>
        <v/>
      </c>
      <c r="N33" s="47" t="str" cm="1">
        <f t="array" ref="N33" xml:space="preserve"> IF(N$4&lt;&gt;$E33, MID($D33,N$4,1), INDEX(音調表[Key], MATCH(TRUE, EXACT(MID($D33,N$4,1), 音調表!$B$3:$B$12),0)))</f>
        <v/>
      </c>
      <c r="O33" s="49"/>
      <c r="P33" s="31" t="e" vm="8">
        <f xml:space="preserve"> IFERROR( _xlfn.IMAGE(_xlfn.CONCAT($D$1,F33,".png")), "")</f>
        <v>#VALUE!</v>
      </c>
      <c r="Q33" s="31" t="e" vm="9">
        <f xml:space="preserve"> IFERROR( _xlfn.IMAGE(_xlfn.CONCAT($D$1,G33,".png")), "")</f>
        <v>#VALUE!</v>
      </c>
      <c r="R33" s="31" t="e" vm="10">
        <f xml:space="preserve"> IFERROR( _xlfn.IMAGE(_xlfn.CONCAT($D$1,H33,".png")), "")</f>
        <v>#VALUE!</v>
      </c>
      <c r="S33" s="31" t="str">
        <f ca="1" xml:space="preserve"> IFERROR( _xlfn.IMAGE(_xlfn.CONCAT($D$1,I33,".png")), "")</f>
        <v/>
      </c>
      <c r="T33" s="31" t="str">
        <f ca="1" xml:space="preserve"> IFERROR( _xlfn.IMAGE(_xlfn.CONCAT($D$1,J33,".png")), "")</f>
        <v/>
      </c>
      <c r="U33" s="31" t="str">
        <f ca="1" xml:space="preserve"> IFERROR( _xlfn.IMAGE(_xlfn.CONCAT($D$1,K33,".png")), "")</f>
        <v/>
      </c>
      <c r="V33" s="31" t="str">
        <f ca="1" xml:space="preserve"> IFERROR( _xlfn.IMAGE(_xlfn.CONCAT($D$1,L33,".png")), "")</f>
        <v/>
      </c>
      <c r="W33" s="31" t="str">
        <f ca="1" xml:space="preserve"> IFERROR( _xlfn.IMAGE(_xlfn.CONCAT($D$1,M33,".png")), "")</f>
        <v/>
      </c>
      <c r="X33" s="31" t="str">
        <f ca="1" xml:space="preserve"> IFERROR( _xlfn.IMAGE(_xlfn.CONCAT($D$1,N33,".png")), "")</f>
        <v/>
      </c>
    </row>
    <row r="34" spans="2:24" ht="75" customHeight="1" x14ac:dyDescent="0.25">
      <c r="B34" s="29" t="s">
        <v>82</v>
      </c>
      <c r="C34" s="32" t="s">
        <v>157</v>
      </c>
      <c r="D34" s="30" t="s">
        <v>116</v>
      </c>
      <c r="E34" s="27">
        <f t="shared" si="0"/>
        <v>4</v>
      </c>
      <c r="F34" s="47" t="str" cm="1">
        <f t="array" ref="F34" xml:space="preserve"> IF(F$4&lt;&gt;$E34, MID($D34,F$4,1), INDEX(音調表[Key], MATCH(TRUE, EXACT(MID($D34,F$4,1), 音調表!$B$3:$B$12),0)))</f>
        <v>u</v>
      </c>
      <c r="G34" s="47" t="str" cm="1">
        <f t="array" ref="G34" xml:space="preserve"> IF(G$4&lt;&gt;$E34, MID($D34,G$4,1), INDEX(音調表[Key], MATCH(TRUE, EXACT(MID($D34,G$4,1), 音調表!$B$3:$B$12),0)))</f>
        <v>a</v>
      </c>
      <c r="H34" s="47" t="str" cm="1">
        <f t="array" ref="H34" xml:space="preserve"> IF(H$4&lt;&gt;$E34, MID($D34,H$4,1), INDEX(音調表[Key], MATCH(TRUE, EXACT(MID($D34,H$4,1), 音調表!$B$3:$B$12),0)))</f>
        <v>n</v>
      </c>
      <c r="I34" s="47" t="str" cm="1">
        <f t="array" ref="I34" xml:space="preserve"> IF(I$4&lt;&gt;$E34, MID($D34,I$4,1), INDEX(音調表[Key], MATCH(TRUE, EXACT(MID($D34,I$4,1), 音調表!$B$3:$B$12),0)))</f>
        <v>minus</v>
      </c>
      <c r="J34" s="47" t="str" cm="1">
        <f t="array" ref="J34" xml:space="preserve"> IF(J$4&lt;&gt;$E34, MID($D34,J$4,1), INDEX(音調表[Key], MATCH(TRUE, EXACT(MID($D34,J$4,1), 音調表!$B$3:$B$12),0)))</f>
        <v/>
      </c>
      <c r="K34" s="47" t="str" cm="1">
        <f t="array" ref="K34" xml:space="preserve"> IF(K$4&lt;&gt;$E34, MID($D34,K$4,1), INDEX(音調表[Key], MATCH(TRUE, EXACT(MID($D34,K$4,1), 音調表!$B$3:$B$12),0)))</f>
        <v/>
      </c>
      <c r="L34" s="47" t="str" cm="1">
        <f t="array" ref="L34" xml:space="preserve"> IF(L$4&lt;&gt;$E34, MID($D34,L$4,1), INDEX(音調表[Key], MATCH(TRUE, EXACT(MID($D34,L$4,1), 音調表!$B$3:$B$12),0)))</f>
        <v/>
      </c>
      <c r="M34" s="47" t="str" cm="1">
        <f t="array" ref="M34" xml:space="preserve"> IF(M$4&lt;&gt;$E34, MID($D34,M$4,1), INDEX(音調表[Key], MATCH(TRUE, EXACT(MID($D34,M$4,1), 音調表!$B$3:$B$12),0)))</f>
        <v/>
      </c>
      <c r="N34" s="47" t="str" cm="1">
        <f t="array" ref="N34" xml:space="preserve"> IF(N$4&lt;&gt;$E34, MID($D34,N$4,1), INDEX(音調表[Key], MATCH(TRUE, EXACT(MID($D34,N$4,1), 音調表!$B$3:$B$12),0)))</f>
        <v/>
      </c>
      <c r="O34" s="49"/>
      <c r="P34" s="31" t="e" vm="9">
        <f xml:space="preserve"> IFERROR( _xlfn.IMAGE(_xlfn.CONCAT($D$1,F34,".png")), "")</f>
        <v>#VALUE!</v>
      </c>
      <c r="Q34" s="31" t="e" vm="3">
        <f xml:space="preserve"> IFERROR( _xlfn.IMAGE(_xlfn.CONCAT($D$1,G34,".png")), "")</f>
        <v>#VALUE!</v>
      </c>
      <c r="R34" s="31" t="e" vm="4">
        <f xml:space="preserve"> IFERROR( _xlfn.IMAGE(_xlfn.CONCAT($D$1,H34,".png")), "")</f>
        <v>#VALUE!</v>
      </c>
      <c r="S34" s="31" t="e" vm="13">
        <f xml:space="preserve"> IFERROR( _xlfn.IMAGE(_xlfn.CONCAT($D$1,I34,".png")), "")</f>
        <v>#VALUE!</v>
      </c>
      <c r="T34" s="31" t="str">
        <f ca="1" xml:space="preserve"> IFERROR( _xlfn.IMAGE(_xlfn.CONCAT($D$1,J34,".png")), "")</f>
        <v/>
      </c>
      <c r="U34" s="31" t="str">
        <f ca="1" xml:space="preserve"> IFERROR( _xlfn.IMAGE(_xlfn.CONCAT($D$1,K34,".png")), "")</f>
        <v/>
      </c>
      <c r="V34" s="31" t="str">
        <f ca="1" xml:space="preserve"> IFERROR( _xlfn.IMAGE(_xlfn.CONCAT($D$1,L34,".png")), "")</f>
        <v/>
      </c>
      <c r="W34" s="31" t="str">
        <f ca="1" xml:space="preserve"> IFERROR( _xlfn.IMAGE(_xlfn.CONCAT($D$1,M34,".png")), "")</f>
        <v/>
      </c>
      <c r="X34" s="31" t="str">
        <f ca="1" xml:space="preserve"> IFERROR( _xlfn.IMAGE(_xlfn.CONCAT($D$1,N34,".png")), "")</f>
        <v/>
      </c>
    </row>
    <row r="35" spans="2:24" ht="75" customHeight="1" x14ac:dyDescent="0.25">
      <c r="B35" s="29" t="s">
        <v>83</v>
      </c>
      <c r="C35" s="32" t="s">
        <v>158</v>
      </c>
      <c r="D35" s="30" t="s">
        <v>117</v>
      </c>
      <c r="E35" s="27">
        <f t="shared" si="0"/>
        <v>5</v>
      </c>
      <c r="F35" s="47" t="str" cm="1">
        <f t="array" ref="F35" xml:space="preserve"> IF(F$4&lt;&gt;$E35, MID($D35,F$4,1), INDEX(音調表[Key], MATCH(TRUE, EXACT(MID($D35,F$4,1), 音調表!$B$3:$B$12),0)))</f>
        <v>i</v>
      </c>
      <c r="G35" s="47" t="str" cm="1">
        <f t="array" ref="G35" xml:space="preserve"> IF(G$4&lt;&gt;$E35, MID($D35,G$4,1), INDEX(音調表[Key], MATCH(TRUE, EXACT(MID($D35,G$4,1), 音調表!$B$3:$B$12),0)))</f>
        <v>o</v>
      </c>
      <c r="H35" s="47" t="str" cm="1">
        <f t="array" ref="H35" xml:space="preserve"> IF(H$4&lt;&gt;$E35, MID($D35,H$4,1), INDEX(音調表[Key], MATCH(TRUE, EXACT(MID($D35,H$4,1), 音調表!$B$3:$B$12),0)))</f>
        <v>n</v>
      </c>
      <c r="I35" s="47" t="str" cm="1">
        <f t="array" ref="I35" xml:space="preserve"> IF(I$4&lt;&gt;$E35, MID($D35,I$4,1), INDEX(音調表[Key], MATCH(TRUE, EXACT(MID($D35,I$4,1), 音調表!$B$3:$B$12),0)))</f>
        <v>g</v>
      </c>
      <c r="J35" s="47" t="str" cm="1">
        <f t="array" ref="J35" xml:space="preserve"> IF(J$4&lt;&gt;$E35, MID($D35,J$4,1), INDEX(音調表[Key], MATCH(TRUE, EXACT(MID($D35,J$4,1), 音調表!$B$3:$B$12),0)))</f>
        <v>slash</v>
      </c>
      <c r="K35" s="47" t="str" cm="1">
        <f t="array" ref="K35" xml:space="preserve"> IF(K$4&lt;&gt;$E35, MID($D35,K$4,1), INDEX(音調表[Key], MATCH(TRUE, EXACT(MID($D35,K$4,1), 音調表!$B$3:$B$12),0)))</f>
        <v/>
      </c>
      <c r="L35" s="47" t="str" cm="1">
        <f t="array" ref="L35" xml:space="preserve"> IF(L$4&lt;&gt;$E35, MID($D35,L$4,1), INDEX(音調表[Key], MATCH(TRUE, EXACT(MID($D35,L$4,1), 音調表!$B$3:$B$12),0)))</f>
        <v/>
      </c>
      <c r="M35" s="47" t="str" cm="1">
        <f t="array" ref="M35" xml:space="preserve"> IF(M$4&lt;&gt;$E35, MID($D35,M$4,1), INDEX(音調表[Key], MATCH(TRUE, EXACT(MID($D35,M$4,1), 音調表!$B$3:$B$12),0)))</f>
        <v/>
      </c>
      <c r="N35" s="47" t="str" cm="1">
        <f t="array" ref="N35" xml:space="preserve"> IF(N$4&lt;&gt;$E35, MID($D35,N$4,1), INDEX(音調表[Key], MATCH(TRUE, EXACT(MID($D35,N$4,1), 音調表!$B$3:$B$12),0)))</f>
        <v/>
      </c>
      <c r="O35" s="49"/>
      <c r="P35" s="31" t="e" vm="2">
        <f xml:space="preserve"> IFERROR( _xlfn.IMAGE(_xlfn.CONCAT($D$1,F35,".png")), "")</f>
        <v>#VALUE!</v>
      </c>
      <c r="Q35" s="31" t="e" vm="11">
        <f xml:space="preserve"> IFERROR( _xlfn.IMAGE(_xlfn.CONCAT($D$1,G35,".png")), "")</f>
        <v>#VALUE!</v>
      </c>
      <c r="R35" s="31" t="e" vm="4">
        <f xml:space="preserve"> IFERROR( _xlfn.IMAGE(_xlfn.CONCAT($D$1,H35,".png")), "")</f>
        <v>#VALUE!</v>
      </c>
      <c r="S35" s="31" t="e" vm="5">
        <f xml:space="preserve"> IFERROR( _xlfn.IMAGE(_xlfn.CONCAT($D$1,I35,".png")), "")</f>
        <v>#VALUE!</v>
      </c>
      <c r="T35" s="31" t="e" vm="6">
        <f xml:space="preserve"> IFERROR( _xlfn.IMAGE(_xlfn.CONCAT($D$1,J35,".png")), "")</f>
        <v>#VALUE!</v>
      </c>
      <c r="U35" s="31" t="str">
        <f ca="1" xml:space="preserve"> IFERROR( _xlfn.IMAGE(_xlfn.CONCAT($D$1,K35,".png")), "")</f>
        <v/>
      </c>
      <c r="V35" s="31" t="str">
        <f ca="1" xml:space="preserve"> IFERROR( _xlfn.IMAGE(_xlfn.CONCAT($D$1,L35,".png")), "")</f>
        <v/>
      </c>
      <c r="W35" s="31" t="str">
        <f ca="1" xml:space="preserve"> IFERROR( _xlfn.IMAGE(_xlfn.CONCAT($D$1,M35,".png")), "")</f>
        <v/>
      </c>
      <c r="X35" s="31" t="str">
        <f ca="1" xml:space="preserve"> IFERROR( _xlfn.IMAGE(_xlfn.CONCAT($D$1,N35,".png")), "")</f>
        <v/>
      </c>
    </row>
    <row r="36" spans="2:24" ht="75" customHeight="1" x14ac:dyDescent="0.25">
      <c r="B36" s="29" t="s">
        <v>84</v>
      </c>
      <c r="C36" s="33" t="s">
        <v>159</v>
      </c>
      <c r="D36" s="30" t="s">
        <v>118</v>
      </c>
      <c r="E36" s="27">
        <f t="shared" si="0"/>
        <v>4</v>
      </c>
      <c r="F36" s="47" t="str" cm="1">
        <f t="array" ref="F36" xml:space="preserve"> IF(F$4&lt;&gt;$E36, MID($D36,F$4,1), INDEX(音調表[Key], MATCH(TRUE, EXACT(MID($D36,F$4,1), 音調表!$B$3:$B$12),0)))</f>
        <v>l</v>
      </c>
      <c r="G36" s="47" t="str" cm="1">
        <f t="array" ref="G36" xml:space="preserve"> IF(G$4&lt;&gt;$E36, MID($D36,G$4,1), INDEX(音調表[Key], MATCH(TRUE, EXACT(MID($D36,G$4,1), 音調表!$B$3:$B$12),0)))</f>
        <v>i</v>
      </c>
      <c r="H36" s="47" t="str" cm="1">
        <f t="array" ref="H36" xml:space="preserve"> IF(H$4&lt;&gt;$E36, MID($D36,H$4,1), INDEX(音調表[Key], MATCH(TRUE, EXACT(MID($D36,H$4,1), 音調表!$B$3:$B$12),0)))</f>
        <v>u</v>
      </c>
      <c r="I36" s="47" t="str" cm="1">
        <f t="array" ref="I36" xml:space="preserve"> IF(I$4&lt;&gt;$E36, MID($D36,I$4,1), INDEX(音調表[Key], MATCH(TRUE, EXACT(MID($D36,I$4,1), 音調表!$B$3:$B$12),0)))</f>
        <v>backslash</v>
      </c>
      <c r="J36" s="47" t="str" cm="1">
        <f t="array" ref="J36" xml:space="preserve"> IF(J$4&lt;&gt;$E36, MID($D36,J$4,1), INDEX(音調表[Key], MATCH(TRUE, EXACT(MID($D36,J$4,1), 音調表!$B$3:$B$12),0)))</f>
        <v/>
      </c>
      <c r="K36" s="47" t="str" cm="1">
        <f t="array" ref="K36" xml:space="preserve"> IF(K$4&lt;&gt;$E36, MID($D36,K$4,1), INDEX(音調表[Key], MATCH(TRUE, EXACT(MID($D36,K$4,1), 音調表!$B$3:$B$12),0)))</f>
        <v/>
      </c>
      <c r="L36" s="47" t="str" cm="1">
        <f t="array" ref="L36" xml:space="preserve"> IF(L$4&lt;&gt;$E36, MID($D36,L$4,1), INDEX(音調表[Key], MATCH(TRUE, EXACT(MID($D36,L$4,1), 音調表!$B$3:$B$12),0)))</f>
        <v/>
      </c>
      <c r="M36" s="47" t="str" cm="1">
        <f t="array" ref="M36" xml:space="preserve"> IF(M$4&lt;&gt;$E36, MID($D36,M$4,1), INDEX(音調表[Key], MATCH(TRUE, EXACT(MID($D36,M$4,1), 音調表!$B$3:$B$12),0)))</f>
        <v/>
      </c>
      <c r="N36" s="47" t="str" cm="1">
        <f t="array" ref="N36" xml:space="preserve"> IF(N$4&lt;&gt;$E36, MID($D36,N$4,1), INDEX(音調表[Key], MATCH(TRUE, EXACT(MID($D36,N$4,1), 音調表!$B$3:$B$12),0)))</f>
        <v/>
      </c>
      <c r="O36" s="49"/>
      <c r="P36" s="31" t="e" vm="1">
        <f xml:space="preserve"> IFERROR( _xlfn.IMAGE(_xlfn.CONCAT($D$1,F36,".png")), "")</f>
        <v>#VALUE!</v>
      </c>
      <c r="Q36" s="31" t="e" vm="2">
        <f xml:space="preserve"> IFERROR( _xlfn.IMAGE(_xlfn.CONCAT($D$1,G36,".png")), "")</f>
        <v>#VALUE!</v>
      </c>
      <c r="R36" s="31" t="e" vm="9">
        <f xml:space="preserve"> IFERROR( _xlfn.IMAGE(_xlfn.CONCAT($D$1,H36,".png")), "")</f>
        <v>#VALUE!</v>
      </c>
      <c r="S36" s="31" t="e" vm="14">
        <f xml:space="preserve"> IFERROR( _xlfn.IMAGE(_xlfn.CONCAT($D$1,I36,".png")), "")</f>
        <v>#VALUE!</v>
      </c>
      <c r="T36" s="31" t="str">
        <f ca="1" xml:space="preserve"> IFERROR( _xlfn.IMAGE(_xlfn.CONCAT($D$1,J36,".png")), "")</f>
        <v/>
      </c>
      <c r="U36" s="31" t="str">
        <f ca="1" xml:space="preserve"> IFERROR( _xlfn.IMAGE(_xlfn.CONCAT($D$1,K36,".png")), "")</f>
        <v/>
      </c>
      <c r="V36" s="31" t="str">
        <f ca="1" xml:space="preserve"> IFERROR( _xlfn.IMAGE(_xlfn.CONCAT($D$1,L36,".png")), "")</f>
        <v/>
      </c>
      <c r="W36" s="31" t="str">
        <f ca="1" xml:space="preserve"> IFERROR( _xlfn.IMAGE(_xlfn.CONCAT($D$1,M36,".png")), "")</f>
        <v/>
      </c>
      <c r="X36" s="31" t="str">
        <f ca="1" xml:space="preserve"> IFERROR( _xlfn.IMAGE(_xlfn.CONCAT($D$1,N36,".png")), "")</f>
        <v/>
      </c>
    </row>
    <row r="37" spans="2:24" ht="75" customHeight="1" x14ac:dyDescent="0.25">
      <c r="B37" s="29" t="s">
        <v>69</v>
      </c>
      <c r="C37" s="32"/>
      <c r="D37" s="30"/>
      <c r="E37" s="27" t="str">
        <f t="shared" si="0"/>
        <v/>
      </c>
      <c r="F37" s="47" t="str" cm="1">
        <f t="array" ref="F37" xml:space="preserve"> IF(F$4&lt;&gt;$E37, MID($D37,F$4,1), INDEX(音調表[Key], MATCH(TRUE, EXACT(MID($D37,F$4,1), 音調表!$B$3:$B$12),0)))</f>
        <v/>
      </c>
      <c r="G37" s="47" t="str" cm="1">
        <f t="array" ref="G37" xml:space="preserve"> IF(G$4&lt;&gt;$E37, MID($D37,G$4,1), INDEX(音調表[Key], MATCH(TRUE, EXACT(MID($D37,G$4,1), 音調表!$B$3:$B$12),0)))</f>
        <v/>
      </c>
      <c r="H37" s="47" t="str" cm="1">
        <f t="array" ref="H37" xml:space="preserve"> IF(H$4&lt;&gt;$E37, MID($D37,H$4,1), INDEX(音調表[Key], MATCH(TRUE, EXACT(MID($D37,H$4,1), 音調表!$B$3:$B$12),0)))</f>
        <v/>
      </c>
      <c r="I37" s="47" t="str" cm="1">
        <f t="array" ref="I37" xml:space="preserve"> IF(I$4&lt;&gt;$E37, MID($D37,I$4,1), INDEX(音調表[Key], MATCH(TRUE, EXACT(MID($D37,I$4,1), 音調表!$B$3:$B$12),0)))</f>
        <v/>
      </c>
      <c r="J37" s="47" t="str" cm="1">
        <f t="array" ref="J37" xml:space="preserve"> IF(J$4&lt;&gt;$E37, MID($D37,J$4,1), INDEX(音調表[Key], MATCH(TRUE, EXACT(MID($D37,J$4,1), 音調表!$B$3:$B$12),0)))</f>
        <v/>
      </c>
      <c r="K37" s="47" t="str" cm="1">
        <f t="array" ref="K37" xml:space="preserve"> IF(K$4&lt;&gt;$E37, MID($D37,K$4,1), INDEX(音調表[Key], MATCH(TRUE, EXACT(MID($D37,K$4,1), 音調表!$B$3:$B$12),0)))</f>
        <v/>
      </c>
      <c r="L37" s="47" t="str" cm="1">
        <f t="array" ref="L37" xml:space="preserve"> IF(L$4&lt;&gt;$E37, MID($D37,L$4,1), INDEX(音調表[Key], MATCH(TRUE, EXACT(MID($D37,L$4,1), 音調表!$B$3:$B$12),0)))</f>
        <v/>
      </c>
      <c r="M37" s="47" t="str" cm="1">
        <f t="array" ref="M37" xml:space="preserve"> IF(M$4&lt;&gt;$E37, MID($D37,M$4,1), INDEX(音調表[Key], MATCH(TRUE, EXACT(MID($D37,M$4,1), 音調表!$B$3:$B$12),0)))</f>
        <v/>
      </c>
      <c r="N37" s="47" t="str" cm="1">
        <f t="array" ref="N37" xml:space="preserve"> IF(N$4&lt;&gt;$E37, MID($D37,N$4,1), INDEX(音調表[Key], MATCH(TRUE, EXACT(MID($D37,N$4,1), 音調表!$B$3:$B$12),0)))</f>
        <v/>
      </c>
      <c r="O37" s="49"/>
      <c r="P37" s="31" t="str">
        <f ca="1" xml:space="preserve"> IFERROR( _xlfn.IMAGE(_xlfn.CONCAT($D$1,F37,".png")), "")</f>
        <v/>
      </c>
      <c r="Q37" s="31" t="str">
        <f ca="1" xml:space="preserve"> IFERROR( _xlfn.IMAGE(_xlfn.CONCAT($D$1,G37,".png")), "")</f>
        <v/>
      </c>
      <c r="R37" s="31" t="str">
        <f ca="1" xml:space="preserve"> IFERROR( _xlfn.IMAGE(_xlfn.CONCAT($D$1,H37,".png")), "")</f>
        <v/>
      </c>
      <c r="S37" s="31" t="str">
        <f ca="1" xml:space="preserve"> IFERROR( _xlfn.IMAGE(_xlfn.CONCAT($D$1,I37,".png")), "")</f>
        <v/>
      </c>
      <c r="T37" s="31" t="str">
        <f ca="1" xml:space="preserve"> IFERROR( _xlfn.IMAGE(_xlfn.CONCAT($D$1,J37,".png")), "")</f>
        <v/>
      </c>
      <c r="U37" s="31" t="str">
        <f ca="1" xml:space="preserve"> IFERROR( _xlfn.IMAGE(_xlfn.CONCAT($D$1,K37,".png")), "")</f>
        <v/>
      </c>
      <c r="V37" s="31" t="str">
        <f ca="1" xml:space="preserve"> IFERROR( _xlfn.IMAGE(_xlfn.CONCAT($D$1,L37,".png")), "")</f>
        <v/>
      </c>
      <c r="W37" s="31" t="str">
        <f ca="1" xml:space="preserve"> IFERROR( _xlfn.IMAGE(_xlfn.CONCAT($D$1,M37,".png")), "")</f>
        <v/>
      </c>
      <c r="X37" s="31" t="str">
        <f ca="1" xml:space="preserve"> IFERROR( _xlfn.IMAGE(_xlfn.CONCAT($D$1,N37,".png")), "")</f>
        <v/>
      </c>
    </row>
    <row r="38" spans="2:24" ht="75" customHeight="1" x14ac:dyDescent="0.25">
      <c r="B38" s="29" t="s">
        <v>85</v>
      </c>
      <c r="C38" s="32" t="s">
        <v>160</v>
      </c>
      <c r="D38" s="30" t="s">
        <v>131</v>
      </c>
      <c r="E38" s="27">
        <f t="shared" si="0"/>
        <v>6</v>
      </c>
      <c r="F38" s="47" t="str" cm="1">
        <f t="array" ref="F38" xml:space="preserve"> IF(F$4&lt;&gt;$E38, MID($D38,F$4,1), INDEX(音調表[Key], MATCH(TRUE, EXACT(MID($D38,F$4,1), 音調表!$B$3:$B$12),0)))</f>
        <v>t</v>
      </c>
      <c r="G38" s="47" t="str" cm="1">
        <f t="array" ref="G38" xml:space="preserve"> IF(G$4&lt;&gt;$E38, MID($D38,G$4,1), INDEX(音調表[Key], MATCH(TRUE, EXACT(MID($D38,G$4,1), 音調表!$B$3:$B$12),0)))</f>
        <v>s</v>
      </c>
      <c r="H38" s="47" t="str" cm="1">
        <f t="array" ref="H38" xml:space="preserve"> IF(H$4&lt;&gt;$E38, MID($D38,H$4,1), INDEX(音調表[Key], MATCH(TRUE, EXACT(MID($D38,H$4,1), 音調表!$B$3:$B$12),0)))</f>
        <v>h</v>
      </c>
      <c r="I38" s="47" t="str" cm="1">
        <f t="array" ref="I38" xml:space="preserve"> IF(I$4&lt;&gt;$E38, MID($D38,I$4,1), INDEX(音調表[Key], MATCH(TRUE, EXACT(MID($D38,I$4,1), 音調表!$B$3:$B$12),0)))</f>
        <v>u</v>
      </c>
      <c r="J38" s="47" t="str" cm="1">
        <f t="array" ref="J38" xml:space="preserve"> IF(J$4&lt;&gt;$E38, MID($D38,J$4,1), INDEX(音調表[Key], MATCH(TRUE, EXACT(MID($D38,J$4,1), 音調表!$B$3:$B$12),0)))</f>
        <v>n</v>
      </c>
      <c r="K38" s="47" t="str" cm="1">
        <f t="array" ref="K38" xml:space="preserve"> IF(K$4&lt;&gt;$E38, MID($D38,K$4,1), INDEX(音調表[Key], MATCH(TRUE, EXACT(MID($D38,K$4,1), 音調表!$B$3:$B$12),0)))</f>
        <v>semicolon</v>
      </c>
      <c r="L38" s="47" t="str" cm="1">
        <f t="array" ref="L38" xml:space="preserve"> IF(L$4&lt;&gt;$E38, MID($D38,L$4,1), INDEX(音調表[Key], MATCH(TRUE, EXACT(MID($D38,L$4,1), 音調表!$B$3:$B$12),0)))</f>
        <v/>
      </c>
      <c r="M38" s="47" t="str" cm="1">
        <f t="array" ref="M38" xml:space="preserve"> IF(M$4&lt;&gt;$E38, MID($D38,M$4,1), INDEX(音調表[Key], MATCH(TRUE, EXACT(MID($D38,M$4,1), 音調表!$B$3:$B$12),0)))</f>
        <v/>
      </c>
      <c r="N38" s="47" t="str" cm="1">
        <f t="array" ref="N38" xml:space="preserve"> IF(N$4&lt;&gt;$E38, MID($D38,N$4,1), INDEX(音調表[Key], MATCH(TRUE, EXACT(MID($D38,N$4,1), 音調表!$B$3:$B$12),0)))</f>
        <v/>
      </c>
      <c r="O38" s="49"/>
      <c r="P38" s="31" t="e" vm="7">
        <f xml:space="preserve"> IFERROR( _xlfn.IMAGE(_xlfn.CONCAT($D$1,F38,".png")), "")</f>
        <v>#VALUE!</v>
      </c>
      <c r="Q38" s="31" t="e" vm="8">
        <f xml:space="preserve"> IFERROR( _xlfn.IMAGE(_xlfn.CONCAT($D$1,G38,".png")), "")</f>
        <v>#VALUE!</v>
      </c>
      <c r="R38" s="31" t="e" vm="12">
        <f xml:space="preserve"> IFERROR( _xlfn.IMAGE(_xlfn.CONCAT($D$1,H38,".png")), "")</f>
        <v>#VALUE!</v>
      </c>
      <c r="S38" s="31" t="e" vm="9">
        <f xml:space="preserve"> IFERROR( _xlfn.IMAGE(_xlfn.CONCAT($D$1,I38,".png")), "")</f>
        <v>#VALUE!</v>
      </c>
      <c r="T38" s="31" t="e" vm="4">
        <f xml:space="preserve"> IFERROR( _xlfn.IMAGE(_xlfn.CONCAT($D$1,J38,".png")), "")</f>
        <v>#VALUE!</v>
      </c>
      <c r="U38" s="31" t="e" vm="10">
        <f xml:space="preserve"> IFERROR( _xlfn.IMAGE(_xlfn.CONCAT($D$1,K38,".png")), "")</f>
        <v>#VALUE!</v>
      </c>
      <c r="V38" s="31" t="str">
        <f ca="1" xml:space="preserve"> IFERROR( _xlfn.IMAGE(_xlfn.CONCAT($D$1,L38,".png")), "")</f>
        <v/>
      </c>
      <c r="W38" s="31" t="str">
        <f ca="1" xml:space="preserve"> IFERROR( _xlfn.IMAGE(_xlfn.CONCAT($D$1,M38,".png")), "")</f>
        <v/>
      </c>
      <c r="X38" s="31" t="str">
        <f ca="1" xml:space="preserve"> IFERROR( _xlfn.IMAGE(_xlfn.CONCAT($D$1,N38,".png")), "")</f>
        <v/>
      </c>
    </row>
    <row r="39" spans="2:24" ht="75" customHeight="1" x14ac:dyDescent="0.25">
      <c r="B39" s="29" t="s">
        <v>86</v>
      </c>
      <c r="C39" s="32" t="s">
        <v>161</v>
      </c>
      <c r="D39" s="30" t="s">
        <v>120</v>
      </c>
      <c r="E39" s="27">
        <f t="shared" si="0"/>
        <v>5</v>
      </c>
      <c r="F39" s="47" t="str" cm="1">
        <f t="array" ref="F39" xml:space="preserve"> IF(F$4&lt;&gt;$E39, MID($D39,F$4,1), INDEX(音調表[Key], MATCH(TRUE, EXACT(MID($D39,F$4,1), 音調表!$B$3:$B$12),0)))</f>
        <v>h</v>
      </c>
      <c r="G39" s="47" t="str" cm="1">
        <f t="array" ref="G39" xml:space="preserve"> IF(G$4&lt;&gt;$E39, MID($D39,G$4,1), INDEX(音調表[Key], MATCH(TRUE, EXACT(MID($D39,G$4,1), 音調表!$B$3:$B$12),0)))</f>
        <v>o</v>
      </c>
      <c r="H39" s="47" t="str" cm="1">
        <f t="array" ref="H39" xml:space="preserve"> IF(H$4&lt;&gt;$E39, MID($D39,H$4,1), INDEX(音調表[Key], MATCH(TRUE, EXACT(MID($D39,H$4,1), 音調表!$B$3:$B$12),0)))</f>
        <v>n</v>
      </c>
      <c r="I39" s="47" t="str" cm="1">
        <f t="array" ref="I39" xml:space="preserve"> IF(I$4&lt;&gt;$E39, MID($D39,I$4,1), INDEX(音調表[Key], MATCH(TRUE, EXACT(MID($D39,I$4,1), 音調表!$B$3:$B$12),0)))</f>
        <v>g</v>
      </c>
      <c r="J39" s="47" t="str" cm="1">
        <f t="array" ref="J39" xml:space="preserve"> IF(J$4&lt;&gt;$E39, MID($D39,J$4,1), INDEX(音調表[Key], MATCH(TRUE, EXACT(MID($D39,J$4,1), 音調表!$B$3:$B$12),0)))</f>
        <v>semicolon</v>
      </c>
      <c r="K39" s="47" t="str" cm="1">
        <f t="array" ref="K39" xml:space="preserve"> IF(K$4&lt;&gt;$E39, MID($D39,K$4,1), INDEX(音調表[Key], MATCH(TRUE, EXACT(MID($D39,K$4,1), 音調表!$B$3:$B$12),0)))</f>
        <v/>
      </c>
      <c r="L39" s="47" t="str" cm="1">
        <f t="array" ref="L39" xml:space="preserve"> IF(L$4&lt;&gt;$E39, MID($D39,L$4,1), INDEX(音調表[Key], MATCH(TRUE, EXACT(MID($D39,L$4,1), 音調表!$B$3:$B$12),0)))</f>
        <v/>
      </c>
      <c r="M39" s="47" t="str" cm="1">
        <f t="array" ref="M39" xml:space="preserve"> IF(M$4&lt;&gt;$E39, MID($D39,M$4,1), INDEX(音調表[Key], MATCH(TRUE, EXACT(MID($D39,M$4,1), 音調表!$B$3:$B$12),0)))</f>
        <v/>
      </c>
      <c r="N39" s="47" t="str" cm="1">
        <f t="array" ref="N39" xml:space="preserve"> IF(N$4&lt;&gt;$E39, MID($D39,N$4,1), INDEX(音調表[Key], MATCH(TRUE, EXACT(MID($D39,N$4,1), 音調表!$B$3:$B$12),0)))</f>
        <v/>
      </c>
      <c r="O39" s="49"/>
      <c r="P39" s="31" t="e" vm="12">
        <f xml:space="preserve"> IFERROR( _xlfn.IMAGE(_xlfn.CONCAT($D$1,F39,".png")), "")</f>
        <v>#VALUE!</v>
      </c>
      <c r="Q39" s="31" t="e" vm="11">
        <f xml:space="preserve"> IFERROR( _xlfn.IMAGE(_xlfn.CONCAT($D$1,G39,".png")), "")</f>
        <v>#VALUE!</v>
      </c>
      <c r="R39" s="31" t="e" vm="4">
        <f xml:space="preserve"> IFERROR( _xlfn.IMAGE(_xlfn.CONCAT($D$1,H39,".png")), "")</f>
        <v>#VALUE!</v>
      </c>
      <c r="S39" s="31" t="e" vm="5">
        <f xml:space="preserve"> IFERROR( _xlfn.IMAGE(_xlfn.CONCAT($D$1,I39,".png")), "")</f>
        <v>#VALUE!</v>
      </c>
      <c r="T39" s="31" t="e" vm="10">
        <f xml:space="preserve"> IFERROR( _xlfn.IMAGE(_xlfn.CONCAT($D$1,J39,".png")), "")</f>
        <v>#VALUE!</v>
      </c>
      <c r="U39" s="31" t="str">
        <f ca="1" xml:space="preserve"> IFERROR( _xlfn.IMAGE(_xlfn.CONCAT($D$1,K39,".png")), "")</f>
        <v/>
      </c>
      <c r="V39" s="31" t="str">
        <f ca="1" xml:space="preserve"> IFERROR( _xlfn.IMAGE(_xlfn.CONCAT($D$1,L39,".png")), "")</f>
        <v/>
      </c>
      <c r="W39" s="31" t="str">
        <f ca="1" xml:space="preserve"> IFERROR( _xlfn.IMAGE(_xlfn.CONCAT($D$1,M39,".png")), "")</f>
        <v/>
      </c>
      <c r="X39" s="31" t="str">
        <f ca="1" xml:space="preserve"> IFERROR( _xlfn.IMAGE(_xlfn.CONCAT($D$1,N39,".png")), "")</f>
        <v/>
      </c>
    </row>
    <row r="40" spans="2:24" ht="75" customHeight="1" x14ac:dyDescent="0.25">
      <c r="B40" s="29" t="s">
        <v>87</v>
      </c>
      <c r="C40" s="32" t="s">
        <v>162</v>
      </c>
      <c r="D40" s="30" t="s">
        <v>121</v>
      </c>
      <c r="E40" s="27">
        <f t="shared" si="0"/>
        <v>4</v>
      </c>
      <c r="F40" s="47" t="str" cm="1">
        <f t="array" ref="F40" xml:space="preserve"> IF(F$4&lt;&gt;$E40, MID($D40,F$4,1), INDEX(音調表[Key], MATCH(TRUE, EXACT(MID($D40,F$4,1), 音調表!$B$3:$B$12),0)))</f>
        <v>p</v>
      </c>
      <c r="G40" s="47" t="str" cm="1">
        <f t="array" ref="G40" xml:space="preserve"> IF(G$4&lt;&gt;$E40, MID($D40,G$4,1), INDEX(音調表[Key], MATCH(TRUE, EXACT(MID($D40,G$4,1), 音調表!$B$3:$B$12),0)))</f>
        <v>u</v>
      </c>
      <c r="H40" s="47" t="str" cm="1">
        <f t="array" ref="H40" xml:space="preserve"> IF(H$4&lt;&gt;$E40, MID($D40,H$4,1), INDEX(音調表[Key], MATCH(TRUE, EXACT(MID($D40,H$4,1), 音調表!$B$3:$B$12),0)))</f>
        <v>t</v>
      </c>
      <c r="I40" s="47" t="str" cm="1">
        <f t="array" ref="I40" xml:space="preserve"> IF(I$4&lt;&gt;$E40, MID($D40,I$4,1), INDEX(音調表[Key], MATCH(TRUE, EXACT(MID($D40,I$4,1), 音調表!$B$3:$B$12),0)))</f>
        <v>lbracket</v>
      </c>
      <c r="J40" s="47" t="str" cm="1">
        <f t="array" ref="J40" xml:space="preserve"> IF(J$4&lt;&gt;$E40, MID($D40,J$4,1), INDEX(音調表[Key], MATCH(TRUE, EXACT(MID($D40,J$4,1), 音調表!$B$3:$B$12),0)))</f>
        <v/>
      </c>
      <c r="K40" s="47" t="str" cm="1">
        <f t="array" ref="K40" xml:space="preserve"> IF(K$4&lt;&gt;$E40, MID($D40,K$4,1), INDEX(音調表[Key], MATCH(TRUE, EXACT(MID($D40,K$4,1), 音調表!$B$3:$B$12),0)))</f>
        <v/>
      </c>
      <c r="L40" s="47" t="str" cm="1">
        <f t="array" ref="L40" xml:space="preserve"> IF(L$4&lt;&gt;$E40, MID($D40,L$4,1), INDEX(音調表[Key], MATCH(TRUE, EXACT(MID($D40,L$4,1), 音調表!$B$3:$B$12),0)))</f>
        <v/>
      </c>
      <c r="M40" s="47" t="str" cm="1">
        <f t="array" ref="M40" xml:space="preserve"> IF(M$4&lt;&gt;$E40, MID($D40,M$4,1), INDEX(音調表[Key], MATCH(TRUE, EXACT(MID($D40,M$4,1), 音調表!$B$3:$B$12),0)))</f>
        <v/>
      </c>
      <c r="N40" s="47" t="str" cm="1">
        <f t="array" ref="N40" xml:space="preserve"> IF(N$4&lt;&gt;$E40, MID($D40,N$4,1), INDEX(音調表[Key], MATCH(TRUE, EXACT(MID($D40,N$4,1), 音調表!$B$3:$B$12),0)))</f>
        <v/>
      </c>
      <c r="O40" s="49"/>
      <c r="P40" s="31" t="e" vm="15">
        <f xml:space="preserve"> IFERROR( _xlfn.IMAGE(_xlfn.CONCAT($D$1,F40,".png")), "")</f>
        <v>#VALUE!</v>
      </c>
      <c r="Q40" s="31" t="e" vm="9">
        <f xml:space="preserve"> IFERROR( _xlfn.IMAGE(_xlfn.CONCAT($D$1,G40,".png")), "")</f>
        <v>#VALUE!</v>
      </c>
      <c r="R40" s="31" t="e" vm="7">
        <f xml:space="preserve"> IFERROR( _xlfn.IMAGE(_xlfn.CONCAT($D$1,H40,".png")), "")</f>
        <v>#VALUE!</v>
      </c>
      <c r="S40" s="31" t="e" vm="18">
        <f xml:space="preserve"> IFERROR( _xlfn.IMAGE(_xlfn.CONCAT($D$1,I40,".png")), "")</f>
        <v>#VALUE!</v>
      </c>
      <c r="T40" s="31" t="str">
        <f ca="1" xml:space="preserve"> IFERROR( _xlfn.IMAGE(_xlfn.CONCAT($D$1,J40,".png")), "")</f>
        <v/>
      </c>
      <c r="U40" s="31" t="str">
        <f ca="1" xml:space="preserve"> IFERROR( _xlfn.IMAGE(_xlfn.CONCAT($D$1,K40,".png")), "")</f>
        <v/>
      </c>
      <c r="V40" s="31" t="str">
        <f ca="1" xml:space="preserve"> IFERROR( _xlfn.IMAGE(_xlfn.CONCAT($D$1,L40,".png")), "")</f>
        <v/>
      </c>
      <c r="W40" s="31" t="str">
        <f ca="1" xml:space="preserve"> IFERROR( _xlfn.IMAGE(_xlfn.CONCAT($D$1,M40,".png")), "")</f>
        <v/>
      </c>
      <c r="X40" s="31" t="str">
        <f ca="1" xml:space="preserve"> IFERROR( _xlfn.IMAGE(_xlfn.CONCAT($D$1,N40,".png")), "")</f>
        <v/>
      </c>
    </row>
    <row r="41" spans="2:24" ht="75" customHeight="1" x14ac:dyDescent="0.25">
      <c r="B41" s="29" t="s">
        <v>88</v>
      </c>
      <c r="C41" s="32" t="s">
        <v>163</v>
      </c>
      <c r="D41" s="30" t="s">
        <v>122</v>
      </c>
      <c r="E41" s="27">
        <f t="shared" si="0"/>
        <v>4</v>
      </c>
      <c r="F41" s="47" t="str" cm="1">
        <f t="array" ref="F41" xml:space="preserve"> IF(F$4&lt;&gt;$E41, MID($D41,F$4,1), INDEX(音調表[Key], MATCH(TRUE, EXACT(MID($D41,F$4,1), 音調表!$B$3:$B$12),0)))</f>
        <v>t</v>
      </c>
      <c r="G41" s="47" t="str" cm="1">
        <f t="array" ref="G41" xml:space="preserve"> IF(G$4&lt;&gt;$E41, MID($D41,G$4,1), INDEX(音調表[Key], MATCH(TRUE, EXACT(MID($D41,G$4,1), 音調表!$B$3:$B$12),0)))</f>
        <v>o</v>
      </c>
      <c r="H41" s="47" t="str" cm="1">
        <f t="array" ref="H41" xml:space="preserve"> IF(H$4&lt;&gt;$E41, MID($D41,H$4,1), INDEX(音調表[Key], MATCH(TRUE, EXACT(MID($D41,H$4,1), 音調表!$B$3:$B$12),0)))</f>
        <v>o</v>
      </c>
      <c r="I41" s="47" t="str" cm="1">
        <f t="array" ref="I41" xml:space="preserve"> IF(I$4&lt;&gt;$E41, MID($D41,I$4,1), INDEX(音調表[Key], MATCH(TRUE, EXACT(MID($D41,I$4,1), 音調表!$B$3:$B$12),0)))</f>
        <v>minus</v>
      </c>
      <c r="J41" s="47" t="str" cm="1">
        <f t="array" ref="J41" xml:space="preserve"> IF(J$4&lt;&gt;$E41, MID($D41,J$4,1), INDEX(音調表[Key], MATCH(TRUE, EXACT(MID($D41,J$4,1), 音調表!$B$3:$B$12),0)))</f>
        <v/>
      </c>
      <c r="K41" s="47" t="str" cm="1">
        <f t="array" ref="K41" xml:space="preserve"> IF(K$4&lt;&gt;$E41, MID($D41,K$4,1), INDEX(音調表[Key], MATCH(TRUE, EXACT(MID($D41,K$4,1), 音調表!$B$3:$B$12),0)))</f>
        <v/>
      </c>
      <c r="L41" s="47" t="str" cm="1">
        <f t="array" ref="L41" xml:space="preserve"> IF(L$4&lt;&gt;$E41, MID($D41,L$4,1), INDEX(音調表[Key], MATCH(TRUE, EXACT(MID($D41,L$4,1), 音調表!$B$3:$B$12),0)))</f>
        <v/>
      </c>
      <c r="M41" s="47" t="str" cm="1">
        <f t="array" ref="M41" xml:space="preserve"> IF(M$4&lt;&gt;$E41, MID($D41,M$4,1), INDEX(音調表[Key], MATCH(TRUE, EXACT(MID($D41,M$4,1), 音調表!$B$3:$B$12),0)))</f>
        <v/>
      </c>
      <c r="N41" s="47" t="str" cm="1">
        <f t="array" ref="N41" xml:space="preserve"> IF(N$4&lt;&gt;$E41, MID($D41,N$4,1), INDEX(音調表[Key], MATCH(TRUE, EXACT(MID($D41,N$4,1), 音調表!$B$3:$B$12),0)))</f>
        <v/>
      </c>
      <c r="O41" s="49"/>
      <c r="P41" s="31" t="e" vm="7">
        <f xml:space="preserve"> IFERROR( _xlfn.IMAGE(_xlfn.CONCAT($D$1,F41,".png")), "")</f>
        <v>#VALUE!</v>
      </c>
      <c r="Q41" s="31" t="e" vm="11">
        <f xml:space="preserve"> IFERROR( _xlfn.IMAGE(_xlfn.CONCAT($D$1,G41,".png")), "")</f>
        <v>#VALUE!</v>
      </c>
      <c r="R41" s="31" t="e" vm="11">
        <f xml:space="preserve"> IFERROR( _xlfn.IMAGE(_xlfn.CONCAT($D$1,H41,".png")), "")</f>
        <v>#VALUE!</v>
      </c>
      <c r="S41" s="31" t="e" vm="13">
        <f xml:space="preserve"> IFERROR( _xlfn.IMAGE(_xlfn.CONCAT($D$1,I41,".png")), "")</f>
        <v>#VALUE!</v>
      </c>
      <c r="T41" s="31" t="str">
        <f ca="1" xml:space="preserve"> IFERROR( _xlfn.IMAGE(_xlfn.CONCAT($D$1,J41,".png")), "")</f>
        <v/>
      </c>
      <c r="U41" s="31" t="str">
        <f ca="1" xml:space="preserve"> IFERROR( _xlfn.IMAGE(_xlfn.CONCAT($D$1,K41,".png")), "")</f>
        <v/>
      </c>
      <c r="V41" s="31" t="str">
        <f ca="1" xml:space="preserve"> IFERROR( _xlfn.IMAGE(_xlfn.CONCAT($D$1,L41,".png")), "")</f>
        <v/>
      </c>
      <c r="W41" s="31" t="str">
        <f ca="1" xml:space="preserve"> IFERROR( _xlfn.IMAGE(_xlfn.CONCAT($D$1,M41,".png")), "")</f>
        <v/>
      </c>
      <c r="X41" s="31" t="str">
        <f ca="1" xml:space="preserve"> IFERROR( _xlfn.IMAGE(_xlfn.CONCAT($D$1,N41,".png")), "")</f>
        <v/>
      </c>
    </row>
    <row r="42" spans="2:24" ht="75" customHeight="1" x14ac:dyDescent="0.25">
      <c r="B42" s="29" t="s">
        <v>89</v>
      </c>
      <c r="C42" s="32" t="s">
        <v>164</v>
      </c>
      <c r="D42" s="30" t="s">
        <v>123</v>
      </c>
      <c r="E42" s="27">
        <f t="shared" si="0"/>
        <v>5</v>
      </c>
      <c r="F42" s="47" t="str" cm="1">
        <f t="array" ref="F42" xml:space="preserve"> IF(F$4&lt;&gt;$E42, MID($D42,F$4,1), INDEX(音調表[Key], MATCH(TRUE, EXACT(MID($D42,F$4,1), 音調表!$B$3:$B$12),0)))</f>
        <v>g</v>
      </c>
      <c r="G42" s="47" t="str" cm="1">
        <f t="array" ref="G42" xml:space="preserve"> IF(G$4&lt;&gt;$E42, MID($D42,G$4,1), INDEX(音調表[Key], MATCH(TRUE, EXACT(MID($D42,G$4,1), 音調表!$B$3:$B$12),0)))</f>
        <v>i</v>
      </c>
      <c r="H42" s="47" t="str" cm="1">
        <f t="array" ref="H42" xml:space="preserve"> IF(H$4&lt;&gt;$E42, MID($D42,H$4,1), INDEX(音調表[Key], MATCH(TRUE, EXACT(MID($D42,H$4,1), 音調表!$B$3:$B$12),0)))</f>
        <v>o</v>
      </c>
      <c r="I42" s="47" t="str" cm="1">
        <f t="array" ref="I42" xml:space="preserve"> IF(I$4&lt;&gt;$E42, MID($D42,I$4,1), INDEX(音調表[Key], MATCH(TRUE, EXACT(MID($D42,I$4,1), 音調表!$B$3:$B$12),0)))</f>
        <v>k</v>
      </c>
      <c r="J42" s="47" t="str" cm="1">
        <f t="array" ref="J42" xml:space="preserve"> IF(J$4&lt;&gt;$E42, MID($D42,J$4,1), INDEX(音調表[Key], MATCH(TRUE, EXACT(MID($D42,J$4,1), 音調表!$B$3:$B$12),0)))</f>
        <v>rbracket</v>
      </c>
      <c r="K42" s="47" t="str" cm="1">
        <f t="array" ref="K42" xml:space="preserve"> IF(K$4&lt;&gt;$E42, MID($D42,K$4,1), INDEX(音調表[Key], MATCH(TRUE, EXACT(MID($D42,K$4,1), 音調表!$B$3:$B$12),0)))</f>
        <v/>
      </c>
      <c r="L42" s="47" t="str" cm="1">
        <f t="array" ref="L42" xml:space="preserve"> IF(L$4&lt;&gt;$E42, MID($D42,L$4,1), INDEX(音調表[Key], MATCH(TRUE, EXACT(MID($D42,L$4,1), 音調表!$B$3:$B$12),0)))</f>
        <v/>
      </c>
      <c r="M42" s="47" t="str" cm="1">
        <f t="array" ref="M42" xml:space="preserve"> IF(M$4&lt;&gt;$E42, MID($D42,M$4,1), INDEX(音調表[Key], MATCH(TRUE, EXACT(MID($D42,M$4,1), 音調表!$B$3:$B$12),0)))</f>
        <v/>
      </c>
      <c r="N42" s="47" t="str" cm="1">
        <f t="array" ref="N42" xml:space="preserve"> IF(N$4&lt;&gt;$E42, MID($D42,N$4,1), INDEX(音調表[Key], MATCH(TRUE, EXACT(MID($D42,N$4,1), 音調表!$B$3:$B$12),0)))</f>
        <v/>
      </c>
      <c r="O42" s="49"/>
      <c r="P42" s="31" t="e" vm="5">
        <f xml:space="preserve"> IFERROR( _xlfn.IMAGE(_xlfn.CONCAT($D$1,F42,".png")), "")</f>
        <v>#VALUE!</v>
      </c>
      <c r="Q42" s="31" t="e" vm="2">
        <f xml:space="preserve"> IFERROR( _xlfn.IMAGE(_xlfn.CONCAT($D$1,G42,".png")), "")</f>
        <v>#VALUE!</v>
      </c>
      <c r="R42" s="31" t="e" vm="11">
        <f xml:space="preserve"> IFERROR( _xlfn.IMAGE(_xlfn.CONCAT($D$1,H42,".png")), "")</f>
        <v>#VALUE!</v>
      </c>
      <c r="S42" s="31" t="e" vm="16">
        <f xml:space="preserve"> IFERROR( _xlfn.IMAGE(_xlfn.CONCAT($D$1,I42,".png")), "")</f>
        <v>#VALUE!</v>
      </c>
      <c r="T42" s="31" t="e" vm="17">
        <f xml:space="preserve"> IFERROR( _xlfn.IMAGE(_xlfn.CONCAT($D$1,J42,".png")), "")</f>
        <v>#VALUE!</v>
      </c>
      <c r="U42" s="31" t="str">
        <f ca="1" xml:space="preserve"> IFERROR( _xlfn.IMAGE(_xlfn.CONCAT($D$1,K42,".png")), "")</f>
        <v/>
      </c>
      <c r="V42" s="31" t="str">
        <f ca="1" xml:space="preserve"> IFERROR( _xlfn.IMAGE(_xlfn.CONCAT($D$1,L42,".png")), "")</f>
        <v/>
      </c>
      <c r="W42" s="31" t="str">
        <f ca="1" xml:space="preserve"> IFERROR( _xlfn.IMAGE(_xlfn.CONCAT($D$1,M42,".png")), "")</f>
        <v/>
      </c>
      <c r="X42" s="31" t="str">
        <f ca="1" xml:space="preserve"> IFERROR( _xlfn.IMAGE(_xlfn.CONCAT($D$1,N42,".png")), "")</f>
        <v/>
      </c>
    </row>
    <row r="43" spans="2:24" ht="75" customHeight="1" x14ac:dyDescent="0.25">
      <c r="B43" s="29" t="s">
        <v>90</v>
      </c>
      <c r="C43" s="32" t="s">
        <v>165</v>
      </c>
      <c r="D43" s="30" t="s">
        <v>124</v>
      </c>
      <c r="E43" s="27">
        <f t="shared" si="0"/>
        <v>4</v>
      </c>
      <c r="F43" s="47" t="str" cm="1">
        <f t="array" ref="F43" xml:space="preserve"> IF(F$4&lt;&gt;$E43, MID($D43,F$4,1), INDEX(音調表[Key], MATCH(TRUE, EXACT(MID($D43,F$4,1), 音調表!$B$3:$B$12),0)))</f>
        <v>b</v>
      </c>
      <c r="G43" s="47" t="str" cm="1">
        <f t="array" ref="G43" xml:space="preserve"> IF(G$4&lt;&gt;$E43, MID($D43,G$4,1), INDEX(音調表[Key], MATCH(TRUE, EXACT(MID($D43,G$4,1), 音調表!$B$3:$B$12),0)))</f>
        <v>u</v>
      </c>
      <c r="H43" s="47" t="str" cm="1">
        <f t="array" ref="H43" xml:space="preserve"> IF(H$4&lt;&gt;$E43, MID($D43,H$4,1), INDEX(音調表[Key], MATCH(TRUE, EXACT(MID($D43,H$4,1), 音調表!$B$3:$B$12),0)))</f>
        <v>n</v>
      </c>
      <c r="I43" s="47" t="str" cm="1">
        <f t="array" ref="I43" xml:space="preserve"> IF(I$4&lt;&gt;$E43, MID($D43,I$4,1), INDEX(音調表[Key], MATCH(TRUE, EXACT(MID($D43,I$4,1), 音調表!$B$3:$B$12),0)))</f>
        <v>slash</v>
      </c>
      <c r="J43" s="47" t="str" cm="1">
        <f t="array" ref="J43" xml:space="preserve"> IF(J$4&lt;&gt;$E43, MID($D43,J$4,1), INDEX(音調表[Key], MATCH(TRUE, EXACT(MID($D43,J$4,1), 音調表!$B$3:$B$12),0)))</f>
        <v/>
      </c>
      <c r="K43" s="47" t="str" cm="1">
        <f t="array" ref="K43" xml:space="preserve"> IF(K$4&lt;&gt;$E43, MID($D43,K$4,1), INDEX(音調表[Key], MATCH(TRUE, EXACT(MID($D43,K$4,1), 音調表!$B$3:$B$12),0)))</f>
        <v/>
      </c>
      <c r="L43" s="47" t="str" cm="1">
        <f t="array" ref="L43" xml:space="preserve"> IF(L$4&lt;&gt;$E43, MID($D43,L$4,1), INDEX(音調表[Key], MATCH(TRUE, EXACT(MID($D43,L$4,1), 音調表!$B$3:$B$12),0)))</f>
        <v/>
      </c>
      <c r="M43" s="47" t="str" cm="1">
        <f t="array" ref="M43" xml:space="preserve"> IF(M$4&lt;&gt;$E43, MID($D43,M$4,1), INDEX(音調表[Key], MATCH(TRUE, EXACT(MID($D43,M$4,1), 音調表!$B$3:$B$12),0)))</f>
        <v/>
      </c>
      <c r="N43" s="47" t="str" cm="1">
        <f t="array" ref="N43" xml:space="preserve"> IF(N$4&lt;&gt;$E43, MID($D43,N$4,1), INDEX(音調表[Key], MATCH(TRUE, EXACT(MID($D43,N$4,1), 音調表!$B$3:$B$12),0)))</f>
        <v/>
      </c>
      <c r="O43" s="49"/>
      <c r="P43" s="31" t="e" vm="19">
        <f xml:space="preserve"> IFERROR( _xlfn.IMAGE(_xlfn.CONCAT($D$1,F43,".png")), "")</f>
        <v>#VALUE!</v>
      </c>
      <c r="Q43" s="31" t="e" vm="9">
        <f xml:space="preserve"> IFERROR( _xlfn.IMAGE(_xlfn.CONCAT($D$1,G43,".png")), "")</f>
        <v>#VALUE!</v>
      </c>
      <c r="R43" s="31" t="e" vm="4">
        <f xml:space="preserve"> IFERROR( _xlfn.IMAGE(_xlfn.CONCAT($D$1,H43,".png")), "")</f>
        <v>#VALUE!</v>
      </c>
      <c r="S43" s="31" t="e" vm="6">
        <f xml:space="preserve"> IFERROR( _xlfn.IMAGE(_xlfn.CONCAT($D$1,I43,".png")), "")</f>
        <v>#VALUE!</v>
      </c>
      <c r="T43" s="31" t="str">
        <f ca="1" xml:space="preserve"> IFERROR( _xlfn.IMAGE(_xlfn.CONCAT($D$1,J43,".png")), "")</f>
        <v/>
      </c>
      <c r="U43" s="31" t="str">
        <f ca="1" xml:space="preserve"> IFERROR( _xlfn.IMAGE(_xlfn.CONCAT($D$1,K43,".png")), "")</f>
        <v/>
      </c>
      <c r="V43" s="31" t="str">
        <f ca="1" xml:space="preserve"> IFERROR( _xlfn.IMAGE(_xlfn.CONCAT($D$1,L43,".png")), "")</f>
        <v/>
      </c>
      <c r="W43" s="31" t="str">
        <f ca="1" xml:space="preserve"> IFERROR( _xlfn.IMAGE(_xlfn.CONCAT($D$1,M43,".png")), "")</f>
        <v/>
      </c>
      <c r="X43" s="31" t="str">
        <f ca="1" xml:space="preserve"> IFERROR( _xlfn.IMAGE(_xlfn.CONCAT($D$1,N43,".png")), "")</f>
        <v/>
      </c>
    </row>
    <row r="44" spans="2:24" ht="75" customHeight="1" x14ac:dyDescent="0.25">
      <c r="B44" s="29" t="s">
        <v>91</v>
      </c>
      <c r="C44" s="32" t="s">
        <v>166</v>
      </c>
      <c r="D44" s="30" t="s">
        <v>125</v>
      </c>
      <c r="E44" s="27">
        <f t="shared" si="0"/>
        <v>5</v>
      </c>
      <c r="F44" s="47" t="str" cm="1">
        <f t="array" ref="F44" xml:space="preserve"> IF(F$4&lt;&gt;$E44, MID($D44,F$4,1), INDEX(音調表[Key], MATCH(TRUE, EXACT(MID($D44,F$4,1), 音調表!$B$3:$B$12),0)))</f>
        <v>k</v>
      </c>
      <c r="G44" s="47" t="str" cm="1">
        <f t="array" ref="G44" xml:space="preserve"> IF(G$4&lt;&gt;$E44, MID($D44,G$4,1), INDEX(音調表[Key], MATCH(TRUE, EXACT(MID($D44,G$4,1), 音調表!$B$3:$B$12),0)))</f>
        <v>u</v>
      </c>
      <c r="H44" s="47" t="str" cm="1">
        <f t="array" ref="H44" xml:space="preserve"> IF(H$4&lt;&gt;$E44, MID($D44,H$4,1), INDEX(音調表[Key], MATCH(TRUE, EXACT(MID($D44,H$4,1), 音調表!$B$3:$B$12),0)))</f>
        <v>a</v>
      </c>
      <c r="I44" s="47" t="str" cm="1">
        <f t="array" ref="I44" xml:space="preserve"> IF(I$4&lt;&gt;$E44, MID($D44,I$4,1), INDEX(音調表[Key], MATCH(TRUE, EXACT(MID($D44,I$4,1), 音調表!$B$3:$B$12),0)))</f>
        <v>n</v>
      </c>
      <c r="J44" s="47" t="str" cm="1">
        <f t="array" ref="J44" xml:space="preserve"> IF(J$4&lt;&gt;$E44, MID($D44,J$4,1), INDEX(音調表[Key], MATCH(TRUE, EXACT(MID($D44,J$4,1), 音調表!$B$3:$B$12),0)))</f>
        <v>semicolon</v>
      </c>
      <c r="K44" s="47" t="str" cm="1">
        <f t="array" ref="K44" xml:space="preserve"> IF(K$4&lt;&gt;$E44, MID($D44,K$4,1), INDEX(音調表[Key], MATCH(TRUE, EXACT(MID($D44,K$4,1), 音調表!$B$3:$B$12),0)))</f>
        <v/>
      </c>
      <c r="L44" s="47" t="str" cm="1">
        <f t="array" ref="L44" xml:space="preserve"> IF(L$4&lt;&gt;$E44, MID($D44,L$4,1), INDEX(音調表[Key], MATCH(TRUE, EXACT(MID($D44,L$4,1), 音調表!$B$3:$B$12),0)))</f>
        <v/>
      </c>
      <c r="M44" s="47" t="str" cm="1">
        <f t="array" ref="M44" xml:space="preserve"> IF(M$4&lt;&gt;$E44, MID($D44,M$4,1), INDEX(音調表[Key], MATCH(TRUE, EXACT(MID($D44,M$4,1), 音調表!$B$3:$B$12),0)))</f>
        <v/>
      </c>
      <c r="N44" s="47" t="str" cm="1">
        <f t="array" ref="N44" xml:space="preserve"> IF(N$4&lt;&gt;$E44, MID($D44,N$4,1), INDEX(音調表[Key], MATCH(TRUE, EXACT(MID($D44,N$4,1), 音調表!$B$3:$B$12),0)))</f>
        <v/>
      </c>
      <c r="O44" s="49"/>
      <c r="P44" s="31" t="e" vm="16">
        <f xml:space="preserve"> IFERROR( _xlfn.IMAGE(_xlfn.CONCAT($D$1,F44,".png")), "")</f>
        <v>#VALUE!</v>
      </c>
      <c r="Q44" s="31" t="e" vm="9">
        <f xml:space="preserve"> IFERROR( _xlfn.IMAGE(_xlfn.CONCAT($D$1,G44,".png")), "")</f>
        <v>#VALUE!</v>
      </c>
      <c r="R44" s="31" t="e" vm="3">
        <f xml:space="preserve"> IFERROR( _xlfn.IMAGE(_xlfn.CONCAT($D$1,H44,".png")), "")</f>
        <v>#VALUE!</v>
      </c>
      <c r="S44" s="31" t="e" vm="4">
        <f xml:space="preserve"> IFERROR( _xlfn.IMAGE(_xlfn.CONCAT($D$1,I44,".png")), "")</f>
        <v>#VALUE!</v>
      </c>
      <c r="T44" s="31" t="e" vm="10">
        <f xml:space="preserve"> IFERROR( _xlfn.IMAGE(_xlfn.CONCAT($D$1,J44,".png")), "")</f>
        <v>#VALUE!</v>
      </c>
      <c r="U44" s="31" t="str">
        <f ca="1" xml:space="preserve"> IFERROR( _xlfn.IMAGE(_xlfn.CONCAT($D$1,K44,".png")), "")</f>
        <v/>
      </c>
      <c r="V44" s="31" t="str">
        <f ca="1" xml:space="preserve"> IFERROR( _xlfn.IMAGE(_xlfn.CONCAT($D$1,L44,".png")), "")</f>
        <v/>
      </c>
      <c r="W44" s="31" t="str">
        <f ca="1" xml:space="preserve"> IFERROR( _xlfn.IMAGE(_xlfn.CONCAT($D$1,M44,".png")), "")</f>
        <v/>
      </c>
      <c r="X44" s="31" t="str">
        <f ca="1" xml:space="preserve"> IFERROR( _xlfn.IMAGE(_xlfn.CONCAT($D$1,N44,".png")), "")</f>
        <v/>
      </c>
    </row>
    <row r="45" spans="2:24" ht="75" customHeight="1" x14ac:dyDescent="0.25">
      <c r="B45" s="29" t="s">
        <v>77</v>
      </c>
      <c r="C45" s="32"/>
      <c r="D45" s="30"/>
      <c r="E45" s="27" t="str">
        <f t="shared" si="0"/>
        <v/>
      </c>
      <c r="F45" s="47" t="str" cm="1">
        <f t="array" ref="F45" xml:space="preserve"> IF(F$4&lt;&gt;$E45, MID($D45,F$4,1), INDEX(音調表[Key], MATCH(TRUE, EXACT(MID($D45,F$4,1), 音調表!$B$3:$B$12),0)))</f>
        <v/>
      </c>
      <c r="G45" s="47" t="str" cm="1">
        <f t="array" ref="G45" xml:space="preserve"> IF(G$4&lt;&gt;$E45, MID($D45,G$4,1), INDEX(音調表[Key], MATCH(TRUE, EXACT(MID($D45,G$4,1), 音調表!$B$3:$B$12),0)))</f>
        <v/>
      </c>
      <c r="H45" s="47" t="str" cm="1">
        <f t="array" ref="H45" xml:space="preserve"> IF(H$4&lt;&gt;$E45, MID($D45,H$4,1), INDEX(音調表[Key], MATCH(TRUE, EXACT(MID($D45,H$4,1), 音調表!$B$3:$B$12),0)))</f>
        <v/>
      </c>
      <c r="I45" s="47" t="str" cm="1">
        <f t="array" ref="I45" xml:space="preserve"> IF(I$4&lt;&gt;$E45, MID($D45,I$4,1), INDEX(音調表[Key], MATCH(TRUE, EXACT(MID($D45,I$4,1), 音調表!$B$3:$B$12),0)))</f>
        <v/>
      </c>
      <c r="J45" s="47" t="str" cm="1">
        <f t="array" ref="J45" xml:space="preserve"> IF(J$4&lt;&gt;$E45, MID($D45,J$4,1), INDEX(音調表[Key], MATCH(TRUE, EXACT(MID($D45,J$4,1), 音調表!$B$3:$B$12),0)))</f>
        <v/>
      </c>
      <c r="K45" s="47" t="str" cm="1">
        <f t="array" ref="K45" xml:space="preserve"> IF(K$4&lt;&gt;$E45, MID($D45,K$4,1), INDEX(音調表[Key], MATCH(TRUE, EXACT(MID($D45,K$4,1), 音調表!$B$3:$B$12),0)))</f>
        <v/>
      </c>
      <c r="L45" s="47" t="str" cm="1">
        <f t="array" ref="L45" xml:space="preserve"> IF(L$4&lt;&gt;$E45, MID($D45,L$4,1), INDEX(音調表[Key], MATCH(TRUE, EXACT(MID($D45,L$4,1), 音調表!$B$3:$B$12),0)))</f>
        <v/>
      </c>
      <c r="M45" s="47" t="str" cm="1">
        <f t="array" ref="M45" xml:space="preserve"> IF(M$4&lt;&gt;$E45, MID($D45,M$4,1), INDEX(音調表[Key], MATCH(TRUE, EXACT(MID($D45,M$4,1), 音調表!$B$3:$B$12),0)))</f>
        <v/>
      </c>
      <c r="N45" s="47" t="str" cm="1">
        <f t="array" ref="N45" xml:space="preserve"> IF(N$4&lt;&gt;$E45, MID($D45,N$4,1), INDEX(音調表[Key], MATCH(TRUE, EXACT(MID($D45,N$4,1), 音調表!$B$3:$B$12),0)))</f>
        <v/>
      </c>
      <c r="O45" s="49"/>
      <c r="P45" s="31" t="str">
        <f ca="1" xml:space="preserve"> IFERROR( _xlfn.IMAGE(_xlfn.CONCAT($D$1,F45,".png")), "")</f>
        <v/>
      </c>
      <c r="Q45" s="31" t="str">
        <f ca="1" xml:space="preserve"> IFERROR( _xlfn.IMAGE(_xlfn.CONCAT($D$1,G45,".png")), "")</f>
        <v/>
      </c>
      <c r="R45" s="31" t="str">
        <f ca="1" xml:space="preserve"> IFERROR( _xlfn.IMAGE(_xlfn.CONCAT($D$1,H45,".png")), "")</f>
        <v/>
      </c>
      <c r="S45" s="31" t="str">
        <f ca="1" xml:space="preserve"> IFERROR( _xlfn.IMAGE(_xlfn.CONCAT($D$1,I45,".png")), "")</f>
        <v/>
      </c>
      <c r="T45" s="31" t="str">
        <f ca="1" xml:space="preserve"> IFERROR( _xlfn.IMAGE(_xlfn.CONCAT($D$1,J45,".png")), "")</f>
        <v/>
      </c>
      <c r="U45" s="31" t="str">
        <f ca="1" xml:space="preserve"> IFERROR( _xlfn.IMAGE(_xlfn.CONCAT($D$1,K45,".png")), "")</f>
        <v/>
      </c>
      <c r="V45" s="31" t="str">
        <f ca="1" xml:space="preserve"> IFERROR( _xlfn.IMAGE(_xlfn.CONCAT($D$1,L45,".png")), "")</f>
        <v/>
      </c>
      <c r="W45" s="31" t="str">
        <f ca="1" xml:space="preserve"> IFERROR( _xlfn.IMAGE(_xlfn.CONCAT($D$1,M45,".png")), "")</f>
        <v/>
      </c>
      <c r="X45" s="31" t="str">
        <f ca="1" xml:space="preserve"> IFERROR( _xlfn.IMAGE(_xlfn.CONCAT($D$1,N45,".png")), "")</f>
        <v/>
      </c>
    </row>
  </sheetData>
  <mergeCells count="6">
    <mergeCell ref="B3:B4"/>
    <mergeCell ref="D3:D4"/>
    <mergeCell ref="E3:E4"/>
    <mergeCell ref="F3:N3"/>
    <mergeCell ref="P3:X3"/>
    <mergeCell ref="C3:C4"/>
  </mergeCells>
  <phoneticPr fontId="1" type="noConversion"/>
  <hyperlinks>
    <hyperlink ref="D1" r:id="rId1" xr:uid="{C9F1A131-266F-41FB-8D70-C23D606BB91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2D0F-230B-483E-99E8-31C20596DE31}">
  <dimension ref="B2:H12"/>
  <sheetViews>
    <sheetView workbookViewId="0">
      <selection activeCell="E5" sqref="E5"/>
    </sheetView>
  </sheetViews>
  <sheetFormatPr defaultRowHeight="25.5" x14ac:dyDescent="0.25"/>
  <cols>
    <col min="2" max="2" width="11.25" style="3" customWidth="1"/>
    <col min="3" max="3" width="24.75" style="3" customWidth="1"/>
    <col min="4" max="8" width="16.25" style="3" customWidth="1"/>
  </cols>
  <sheetData>
    <row r="2" spans="2:8" ht="27" thickBot="1" x14ac:dyDescent="0.3">
      <c r="B2" s="38" t="s">
        <v>9</v>
      </c>
      <c r="C2" s="39" t="s">
        <v>10</v>
      </c>
      <c r="D2" s="40" t="s">
        <v>11</v>
      </c>
      <c r="E2" s="40" t="s">
        <v>167</v>
      </c>
      <c r="F2" s="40" t="s">
        <v>3</v>
      </c>
      <c r="G2" s="39" t="s">
        <v>12</v>
      </c>
      <c r="H2" s="41" t="s">
        <v>13</v>
      </c>
    </row>
    <row r="3" spans="2:8" ht="27" thickBot="1" x14ac:dyDescent="0.3">
      <c r="B3" s="34">
        <v>1</v>
      </c>
      <c r="C3" s="6" t="s">
        <v>14</v>
      </c>
      <c r="D3" s="5" t="s">
        <v>15</v>
      </c>
      <c r="E3" s="4" t="s">
        <v>171</v>
      </c>
      <c r="F3" s="5" t="s">
        <v>16</v>
      </c>
      <c r="G3" s="6" t="s">
        <v>47</v>
      </c>
      <c r="H3" s="36" t="s">
        <v>53</v>
      </c>
    </row>
    <row r="4" spans="2:8" ht="27" thickBot="1" x14ac:dyDescent="0.3">
      <c r="B4" s="35">
        <v>2</v>
      </c>
      <c r="C4" s="8" t="s">
        <v>17</v>
      </c>
      <c r="D4" s="7" t="s">
        <v>18</v>
      </c>
      <c r="E4" s="4" t="s">
        <v>168</v>
      </c>
      <c r="F4" s="7" t="s">
        <v>19</v>
      </c>
      <c r="G4" s="8" t="s">
        <v>48</v>
      </c>
      <c r="H4" s="37" t="s">
        <v>54</v>
      </c>
    </row>
    <row r="5" spans="2:8" ht="27" thickBot="1" x14ac:dyDescent="0.3">
      <c r="B5" s="34">
        <v>3</v>
      </c>
      <c r="C5" s="6" t="s">
        <v>20</v>
      </c>
      <c r="D5" s="5" t="s">
        <v>21</v>
      </c>
      <c r="E5" s="5" t="s">
        <v>173</v>
      </c>
      <c r="F5" s="5" t="s">
        <v>22</v>
      </c>
      <c r="G5" s="6" t="s">
        <v>49</v>
      </c>
      <c r="H5" s="36" t="s">
        <v>55</v>
      </c>
    </row>
    <row r="6" spans="2:8" ht="27" thickBot="1" x14ac:dyDescent="0.3">
      <c r="B6" s="35">
        <v>4</v>
      </c>
      <c r="C6" s="8" t="s">
        <v>23</v>
      </c>
      <c r="D6" s="7" t="s">
        <v>24</v>
      </c>
      <c r="E6" s="46" t="s">
        <v>170</v>
      </c>
      <c r="F6" s="7" t="s">
        <v>25</v>
      </c>
      <c r="G6" s="8" t="s">
        <v>26</v>
      </c>
      <c r="H6" s="37" t="s">
        <v>56</v>
      </c>
    </row>
    <row r="7" spans="2:8" ht="27" thickBot="1" x14ac:dyDescent="0.3">
      <c r="B7" s="34">
        <v>5</v>
      </c>
      <c r="C7" s="6" t="s">
        <v>27</v>
      </c>
      <c r="D7" s="5" t="s">
        <v>28</v>
      </c>
      <c r="E7" s="4" t="s">
        <v>172</v>
      </c>
      <c r="F7" s="5" t="s">
        <v>29</v>
      </c>
      <c r="G7" s="6" t="s">
        <v>50</v>
      </c>
      <c r="H7" s="36" t="s">
        <v>57</v>
      </c>
    </row>
    <row r="8" spans="2:8" ht="27" thickBot="1" x14ac:dyDescent="0.3">
      <c r="B8" s="35">
        <v>6</v>
      </c>
      <c r="C8" s="8" t="s">
        <v>30</v>
      </c>
      <c r="D8" s="7" t="s">
        <v>18</v>
      </c>
      <c r="E8" s="4" t="s">
        <v>168</v>
      </c>
      <c r="F8" s="7" t="s">
        <v>31</v>
      </c>
      <c r="G8" s="8" t="s">
        <v>51</v>
      </c>
      <c r="H8" s="37" t="s">
        <v>54</v>
      </c>
    </row>
    <row r="9" spans="2:8" ht="27" thickBot="1" x14ac:dyDescent="0.3">
      <c r="B9" s="34">
        <v>7</v>
      </c>
      <c r="C9" s="6" t="s">
        <v>32</v>
      </c>
      <c r="D9" s="5" t="s">
        <v>33</v>
      </c>
      <c r="E9" s="4" t="s">
        <v>174</v>
      </c>
      <c r="F9" s="5" t="s">
        <v>34</v>
      </c>
      <c r="G9" s="6" t="s">
        <v>52</v>
      </c>
      <c r="H9" s="36" t="s">
        <v>58</v>
      </c>
    </row>
    <row r="10" spans="2:8" ht="27" thickBot="1" x14ac:dyDescent="0.3">
      <c r="B10" s="35">
        <v>8</v>
      </c>
      <c r="C10" s="8" t="s">
        <v>35</v>
      </c>
      <c r="D10" s="7" t="s">
        <v>36</v>
      </c>
      <c r="E10" s="46" t="s">
        <v>169</v>
      </c>
      <c r="F10" s="7" t="s">
        <v>37</v>
      </c>
      <c r="G10" s="8" t="s">
        <v>38</v>
      </c>
      <c r="H10" s="37" t="s">
        <v>39</v>
      </c>
    </row>
    <row r="11" spans="2:8" ht="27" thickBot="1" x14ac:dyDescent="0.3">
      <c r="B11" s="34">
        <v>0</v>
      </c>
      <c r="C11" s="6" t="s">
        <v>40</v>
      </c>
      <c r="D11" s="5" t="s">
        <v>41</v>
      </c>
      <c r="E11" s="5"/>
      <c r="F11" s="5" t="s">
        <v>25</v>
      </c>
      <c r="G11" s="6" t="s">
        <v>42</v>
      </c>
      <c r="H11" s="36" t="s">
        <v>43</v>
      </c>
    </row>
    <row r="12" spans="2:8" ht="26.25" x14ac:dyDescent="0.25">
      <c r="B12" s="42">
        <v>0</v>
      </c>
      <c r="C12" s="43" t="s">
        <v>44</v>
      </c>
      <c r="D12" s="44" t="s">
        <v>41</v>
      </c>
      <c r="E12" s="44"/>
      <c r="F12" s="44" t="s">
        <v>37</v>
      </c>
      <c r="G12" s="43" t="s">
        <v>42</v>
      </c>
      <c r="H12" s="45" t="s">
        <v>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打字練習表</vt:lpstr>
      <vt:lpstr>打字練習表 (十五音)</vt:lpstr>
      <vt:lpstr>打字練習表 (按鍵)</vt:lpstr>
      <vt:lpstr>音調表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2025-10-06T03:23:26Z</dcterms:created>
  <dcterms:modified xsi:type="dcterms:W3CDTF">2026-08-21T06:13:45Z</dcterms:modified>
</cp:coreProperties>
</file>