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rime-tlpa\docs\"/>
    </mc:Choice>
  </mc:AlternateContent>
  <xr:revisionPtr revIDLastSave="0" documentId="13_ncr:1_{03498549-9F37-45A3-A721-BA9FEBF8CC5C}" xr6:coauthVersionLast="47" xr6:coauthVersionMax="47" xr10:uidLastSave="{00000000-0000-0000-0000-000000000000}"/>
  <bookViews>
    <workbookView xWindow="67080" yWindow="-105" windowWidth="16440" windowHeight="28320" xr2:uid="{E1B05DE5-EAD7-43D6-8DFE-DCA2C8EA1D01}"/>
  </bookViews>
  <sheets>
    <sheet name="打字練習表" sheetId="1" r:id="rId1"/>
    <sheet name="音調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M11" i="1" s="1" a="1"/>
  <c r="M11" i="1" s="1"/>
  <c r="D12" i="1"/>
  <c r="G12" i="1" s="1" a="1"/>
  <c r="G12" i="1" s="1"/>
  <c r="D13" i="1"/>
  <c r="E13" i="1" s="1" a="1"/>
  <c r="E13" i="1" s="1"/>
  <c r="D14" i="1"/>
  <c r="K14" i="1" s="1" a="1"/>
  <c r="K14" i="1" s="1"/>
  <c r="D15" i="1"/>
  <c r="L15" i="1" s="1" a="1"/>
  <c r="L15" i="1" s="1"/>
  <c r="D16" i="1"/>
  <c r="J16" i="1" s="1" a="1"/>
  <c r="J16" i="1" s="1"/>
  <c r="D17" i="1"/>
  <c r="D18" i="1"/>
  <c r="E18" i="1" s="1" a="1"/>
  <c r="E18" i="1" s="1"/>
  <c r="D19" i="1"/>
  <c r="D20" i="1"/>
  <c r="F20" i="1" s="1" a="1"/>
  <c r="F20" i="1" s="1"/>
  <c r="D21" i="1"/>
  <c r="H21" i="1" s="1" a="1"/>
  <c r="H21" i="1" s="1"/>
  <c r="D22" i="1"/>
  <c r="E22" i="1" s="1" a="1"/>
  <c r="E22" i="1" s="1"/>
  <c r="D23" i="1"/>
  <c r="K23" i="1" s="1" a="1"/>
  <c r="K23" i="1" s="1"/>
  <c r="D24" i="1"/>
  <c r="H24" i="1" s="1" a="1"/>
  <c r="H24" i="1" s="1"/>
  <c r="D25" i="1"/>
  <c r="H25" i="1" s="1" a="1"/>
  <c r="H25" i="1" s="1"/>
  <c r="D26" i="1"/>
  <c r="H26" i="1" s="1" a="1"/>
  <c r="H26" i="1" s="1"/>
  <c r="D27" i="1"/>
  <c r="D28" i="1"/>
  <c r="D29" i="1"/>
  <c r="D30" i="1"/>
  <c r="D31" i="1"/>
  <c r="G31" i="1" s="1" a="1"/>
  <c r="G31" i="1" s="1"/>
  <c r="D32" i="1"/>
  <c r="F32" i="1" s="1" a="1"/>
  <c r="F32" i="1" s="1"/>
  <c r="D33" i="1"/>
  <c r="F33" i="1" s="1" a="1"/>
  <c r="F33" i="1" s="1"/>
  <c r="D34" i="1"/>
  <c r="J34" i="1" s="1" a="1"/>
  <c r="J34" i="1" s="1"/>
  <c r="D35" i="1"/>
  <c r="E35" i="1" s="1" a="1"/>
  <c r="E35" i="1" s="1"/>
  <c r="D36" i="1"/>
  <c r="D37" i="1"/>
  <c r="H37" i="1" s="1" a="1"/>
  <c r="H37" i="1" s="1"/>
  <c r="D38" i="1"/>
  <c r="H38" i="1" s="1" a="1"/>
  <c r="H38" i="1" s="1"/>
  <c r="D39" i="1"/>
  <c r="J39" i="1" s="1" a="1"/>
  <c r="J39" i="1" s="1"/>
  <c r="D40" i="1"/>
  <c r="H40" i="1" s="1" a="1"/>
  <c r="H40" i="1" s="1"/>
  <c r="D41" i="1"/>
  <c r="D42" i="1"/>
  <c r="K42" i="1" s="1" a="1"/>
  <c r="K42" i="1" s="1"/>
  <c r="D43" i="1"/>
  <c r="F43" i="1" s="1" a="1"/>
  <c r="F43" i="1" s="1"/>
  <c r="D44" i="1"/>
  <c r="D4" i="1"/>
  <c r="M12" i="1" a="1"/>
  <c r="M12" i="1" s="1"/>
  <c r="L12" i="1" a="1"/>
  <c r="L12" i="1" s="1"/>
  <c r="K12" i="1" a="1"/>
  <c r="K12" i="1" s="1"/>
  <c r="J12" i="1" a="1"/>
  <c r="J12" i="1" s="1"/>
  <c r="I12" i="1" a="1"/>
  <c r="I12" i="1" s="1"/>
  <c r="H12" i="1" a="1"/>
  <c r="H12" i="1" s="1"/>
  <c r="L11" i="1" a="1"/>
  <c r="L11" i="1" s="1"/>
  <c r="K11" i="1" a="1"/>
  <c r="K11" i="1" s="1"/>
  <c r="J11" i="1" a="1"/>
  <c r="J11" i="1" s="1"/>
  <c r="I11" i="1" a="1"/>
  <c r="I11" i="1" s="1"/>
  <c r="H11" i="1" a="1"/>
  <c r="H11" i="1" s="1"/>
  <c r="G11" i="1" a="1"/>
  <c r="G11" i="1" s="1"/>
  <c r="F11" i="1" a="1"/>
  <c r="F11" i="1" s="1"/>
  <c r="E11" i="1" a="1"/>
  <c r="E11" i="1" s="1"/>
  <c r="M10" i="1" a="1"/>
  <c r="M10" i="1" s="1"/>
  <c r="L10" i="1" a="1"/>
  <c r="L10" i="1" s="1"/>
  <c r="K10" i="1" a="1"/>
  <c r="K10" i="1" s="1"/>
  <c r="J10" i="1" a="1"/>
  <c r="J10" i="1" s="1"/>
  <c r="I10" i="1" a="1"/>
  <c r="I10" i="1" s="1"/>
  <c r="H10" i="1" a="1"/>
  <c r="H10" i="1" s="1"/>
  <c r="G10" i="1" a="1"/>
  <c r="G10" i="1" s="1"/>
  <c r="F10" i="1" a="1"/>
  <c r="F10" i="1" s="1"/>
  <c r="E10" i="1" a="1"/>
  <c r="E10" i="1" s="1"/>
  <c r="M9" i="1" a="1"/>
  <c r="M9" i="1" s="1"/>
  <c r="L9" i="1" a="1"/>
  <c r="L9" i="1" s="1"/>
  <c r="K9" i="1" a="1"/>
  <c r="K9" i="1" s="1"/>
  <c r="J9" i="1" a="1"/>
  <c r="J9" i="1" s="1"/>
  <c r="I9" i="1" a="1"/>
  <c r="I9" i="1" s="1"/>
  <c r="H9" i="1" a="1"/>
  <c r="H9" i="1" s="1"/>
  <c r="G9" i="1" a="1"/>
  <c r="G9" i="1" s="1"/>
  <c r="F9" i="1" a="1"/>
  <c r="F9" i="1" s="1"/>
  <c r="E9" i="1" a="1"/>
  <c r="E9" i="1" s="1"/>
  <c r="M8" i="1" a="1"/>
  <c r="M8" i="1" s="1"/>
  <c r="L8" i="1" a="1"/>
  <c r="L8" i="1" s="1"/>
  <c r="K8" i="1" a="1"/>
  <c r="K8" i="1" s="1"/>
  <c r="J8" i="1" a="1"/>
  <c r="J8" i="1" s="1"/>
  <c r="I8" i="1"/>
  <c r="I8" i="1" a="1"/>
  <c r="H8" i="1" a="1"/>
  <c r="H8" i="1" s="1"/>
  <c r="G8" i="1" a="1"/>
  <c r="G8" i="1" s="1"/>
  <c r="F8" i="1" a="1"/>
  <c r="F8" i="1" s="1"/>
  <c r="E8" i="1" a="1"/>
  <c r="E8" i="1" s="1"/>
  <c r="M7" i="1" a="1"/>
  <c r="M7" i="1" s="1"/>
  <c r="L7" i="1" a="1"/>
  <c r="L7" i="1" s="1"/>
  <c r="K7" i="1" a="1"/>
  <c r="K7" i="1" s="1"/>
  <c r="J7" i="1" a="1"/>
  <c r="J7" i="1" s="1"/>
  <c r="I7" i="1" a="1"/>
  <c r="I7" i="1" s="1"/>
  <c r="H7" i="1" a="1"/>
  <c r="H7" i="1" s="1"/>
  <c r="G7" i="1" a="1"/>
  <c r="G7" i="1" s="1"/>
  <c r="F7" i="1" a="1"/>
  <c r="F7" i="1" s="1"/>
  <c r="E7" i="1" a="1"/>
  <c r="E7" i="1" s="1"/>
  <c r="M6" i="1" a="1"/>
  <c r="M6" i="1" s="1"/>
  <c r="L6" i="1" a="1"/>
  <c r="L6" i="1" s="1"/>
  <c r="K6" i="1" a="1"/>
  <c r="K6" i="1" s="1"/>
  <c r="J6" i="1" a="1"/>
  <c r="J6" i="1" s="1"/>
  <c r="I6" i="1" a="1"/>
  <c r="I6" i="1" s="1"/>
  <c r="H6" i="1" a="1"/>
  <c r="H6" i="1" s="1"/>
  <c r="G6" i="1" a="1"/>
  <c r="G6" i="1" s="1"/>
  <c r="F6" i="1" a="1"/>
  <c r="F6" i="1" s="1"/>
  <c r="E6" i="1" a="1"/>
  <c r="E6" i="1" s="1"/>
  <c r="M5" i="1" a="1"/>
  <c r="M5" i="1" s="1"/>
  <c r="L5" i="1" a="1"/>
  <c r="L5" i="1" s="1"/>
  <c r="K5" i="1" a="1"/>
  <c r="K5" i="1" s="1"/>
  <c r="J5" i="1" a="1"/>
  <c r="J5" i="1" s="1"/>
  <c r="I5" i="1" a="1"/>
  <c r="I5" i="1" s="1"/>
  <c r="H5" i="1" a="1"/>
  <c r="H5" i="1" s="1"/>
  <c r="G5" i="1" a="1"/>
  <c r="G5" i="1" s="1"/>
  <c r="F5" i="1" a="1"/>
  <c r="F5" i="1" s="1"/>
  <c r="E5" i="1" a="1"/>
  <c r="E5" i="1" s="1"/>
  <c r="E17" i="1" a="1"/>
  <c r="E17" i="1" s="1"/>
  <c r="F17" i="1" a="1"/>
  <c r="F17" i="1" s="1"/>
  <c r="G17" i="1" a="1"/>
  <c r="G17" i="1" s="1"/>
  <c r="H17" i="1" a="1"/>
  <c r="H17" i="1" s="1"/>
  <c r="I17" i="1" a="1"/>
  <c r="I17" i="1" s="1"/>
  <c r="J17" i="1" a="1"/>
  <c r="J17" i="1" s="1"/>
  <c r="K17" i="1" a="1"/>
  <c r="K17" i="1" s="1"/>
  <c r="L17" i="1" a="1"/>
  <c r="L17" i="1" s="1"/>
  <c r="M17" i="1" a="1"/>
  <c r="M17" i="1" s="1"/>
  <c r="F18" i="1" a="1"/>
  <c r="F18" i="1" s="1"/>
  <c r="H18" i="1" a="1"/>
  <c r="H18" i="1" s="1"/>
  <c r="I18" i="1" a="1"/>
  <c r="I18" i="1" s="1"/>
  <c r="J18" i="1" a="1"/>
  <c r="J18" i="1" s="1"/>
  <c r="K18" i="1" a="1"/>
  <c r="K18" i="1" s="1"/>
  <c r="L18" i="1" a="1"/>
  <c r="L18" i="1" s="1"/>
  <c r="M18" i="1" a="1"/>
  <c r="M18" i="1" s="1"/>
  <c r="G19" i="1" a="1"/>
  <c r="G19" i="1" s="1"/>
  <c r="H19" i="1" a="1"/>
  <c r="H19" i="1" s="1"/>
  <c r="I19" i="1" a="1"/>
  <c r="I19" i="1" s="1"/>
  <c r="J19" i="1" a="1"/>
  <c r="J19" i="1"/>
  <c r="K19" i="1" a="1"/>
  <c r="K19" i="1" s="1"/>
  <c r="L19" i="1" a="1"/>
  <c r="L19" i="1" s="1"/>
  <c r="M19" i="1" a="1"/>
  <c r="M19" i="1" s="1"/>
  <c r="E20" i="1" a="1"/>
  <c r="E20" i="1" s="1"/>
  <c r="I20" i="1" a="1"/>
  <c r="I20" i="1" s="1"/>
  <c r="J20" i="1" a="1"/>
  <c r="J20" i="1" s="1"/>
  <c r="K20" i="1" a="1"/>
  <c r="K20" i="1" s="1"/>
  <c r="L20" i="1" a="1"/>
  <c r="L20" i="1" s="1"/>
  <c r="M20" i="1" a="1"/>
  <c r="M20" i="1" s="1"/>
  <c r="E21" i="1" a="1"/>
  <c r="E21" i="1" s="1"/>
  <c r="F21" i="1" a="1"/>
  <c r="F21" i="1" s="1"/>
  <c r="G21" i="1" a="1"/>
  <c r="G21" i="1" s="1"/>
  <c r="L21" i="1" a="1"/>
  <c r="L21" i="1" s="1"/>
  <c r="I22" i="1" a="1"/>
  <c r="I22" i="1" s="1"/>
  <c r="J22" i="1" a="1"/>
  <c r="J22" i="1" s="1"/>
  <c r="K22" i="1" a="1"/>
  <c r="K22" i="1" s="1"/>
  <c r="L22" i="1" a="1"/>
  <c r="L22" i="1" s="1"/>
  <c r="M22" i="1" a="1"/>
  <c r="M22" i="1" s="1"/>
  <c r="H23" i="1" a="1"/>
  <c r="H23" i="1" s="1"/>
  <c r="I23" i="1" a="1"/>
  <c r="I23" i="1" s="1"/>
  <c r="J23" i="1" a="1"/>
  <c r="J23" i="1" s="1"/>
  <c r="E28" i="1" a="1"/>
  <c r="E28" i="1" s="1"/>
  <c r="F28" i="1" a="1"/>
  <c r="F28" i="1" s="1"/>
  <c r="G28" i="1" a="1"/>
  <c r="G28" i="1" s="1"/>
  <c r="H28" i="1" a="1"/>
  <c r="H28" i="1" s="1"/>
  <c r="I28" i="1" a="1"/>
  <c r="I28" i="1" s="1"/>
  <c r="J28" i="1" a="1"/>
  <c r="J28" i="1" s="1"/>
  <c r="K28" i="1" a="1"/>
  <c r="K28" i="1" s="1"/>
  <c r="L28" i="1" a="1"/>
  <c r="L28" i="1" s="1"/>
  <c r="M28" i="1" a="1"/>
  <c r="M28" i="1" s="1"/>
  <c r="E29" i="1" a="1"/>
  <c r="E29" i="1" s="1"/>
  <c r="F29" i="1" a="1"/>
  <c r="F29" i="1" s="1"/>
  <c r="G29" i="1" a="1"/>
  <c r="G29" i="1" s="1"/>
  <c r="H29" i="1" a="1"/>
  <c r="H29" i="1" s="1"/>
  <c r="I29" i="1" a="1"/>
  <c r="I29" i="1" s="1"/>
  <c r="J29" i="1" a="1"/>
  <c r="J29" i="1" s="1"/>
  <c r="K29" i="1" a="1"/>
  <c r="K29" i="1" s="1"/>
  <c r="L29" i="1" a="1"/>
  <c r="L29" i="1" s="1"/>
  <c r="M29" i="1" a="1"/>
  <c r="M29" i="1" s="1"/>
  <c r="E30" i="1" a="1"/>
  <c r="E30" i="1" s="1"/>
  <c r="F30" i="1" a="1"/>
  <c r="F30" i="1" s="1"/>
  <c r="G30" i="1" a="1"/>
  <c r="G30" i="1" s="1"/>
  <c r="H30" i="1" a="1"/>
  <c r="H30" i="1" s="1"/>
  <c r="I30" i="1" a="1"/>
  <c r="I30" i="1" s="1"/>
  <c r="J30" i="1" a="1"/>
  <c r="J30" i="1" s="1"/>
  <c r="K30" i="1" a="1"/>
  <c r="K30" i="1" s="1"/>
  <c r="L30" i="1" a="1"/>
  <c r="L30" i="1" s="1"/>
  <c r="M30" i="1" a="1"/>
  <c r="M30" i="1" s="1"/>
  <c r="E32" i="1" a="1"/>
  <c r="E32" i="1" s="1"/>
  <c r="I32" i="1" a="1"/>
  <c r="I32" i="1" s="1"/>
  <c r="L32" i="1" a="1"/>
  <c r="L32" i="1" s="1"/>
  <c r="M32" i="1" a="1"/>
  <c r="M32" i="1" s="1"/>
  <c r="I33" i="1" a="1"/>
  <c r="I33" i="1" s="1"/>
  <c r="K33" i="1" a="1"/>
  <c r="K33" i="1" s="1"/>
  <c r="L33" i="1" a="1"/>
  <c r="L33" i="1" s="1"/>
  <c r="M33" i="1" a="1"/>
  <c r="M33" i="1" s="1"/>
  <c r="E34" i="1" a="1"/>
  <c r="E34" i="1" s="1"/>
  <c r="F34" i="1" a="1"/>
  <c r="F34" i="1" s="1"/>
  <c r="G34" i="1" a="1"/>
  <c r="G34" i="1" s="1"/>
  <c r="H34" i="1" a="1"/>
  <c r="H34" i="1" s="1"/>
  <c r="I34" i="1" a="1"/>
  <c r="I34" i="1" s="1"/>
  <c r="K35" i="1" a="1"/>
  <c r="K35" i="1" s="1"/>
  <c r="M35" i="1" a="1"/>
  <c r="M35" i="1" s="1"/>
  <c r="G36" i="1" a="1"/>
  <c r="G36" i="1" s="1"/>
  <c r="H36" i="1" a="1"/>
  <c r="H36" i="1" s="1"/>
  <c r="I36" i="1" a="1"/>
  <c r="I36" i="1" s="1"/>
  <c r="J36" i="1" a="1"/>
  <c r="J36" i="1" s="1"/>
  <c r="K36" i="1" a="1"/>
  <c r="K36" i="1" s="1"/>
  <c r="L36" i="1" a="1"/>
  <c r="L36" i="1" s="1"/>
  <c r="M36" i="1" a="1"/>
  <c r="M36" i="1" s="1"/>
  <c r="E41" i="1" a="1"/>
  <c r="E41" i="1" s="1"/>
  <c r="F41" i="1" a="1"/>
  <c r="F41" i="1" s="1"/>
  <c r="G41" i="1" a="1"/>
  <c r="G41" i="1" s="1"/>
  <c r="H41" i="1" a="1"/>
  <c r="H41" i="1" s="1"/>
  <c r="I41" i="1" a="1"/>
  <c r="I41" i="1" s="1"/>
  <c r="J41" i="1" a="1"/>
  <c r="J41" i="1" s="1"/>
  <c r="K41" i="1" a="1"/>
  <c r="K41" i="1" s="1"/>
  <c r="L41" i="1" a="1"/>
  <c r="L41" i="1" s="1"/>
  <c r="M41" i="1" a="1"/>
  <c r="M41" i="1" s="1"/>
  <c r="E42" i="1" a="1"/>
  <c r="E42" i="1" s="1"/>
  <c r="F42" i="1" a="1"/>
  <c r="F42" i="1" s="1"/>
  <c r="G42" i="1" a="1"/>
  <c r="G42" i="1" s="1"/>
  <c r="H42" i="1" a="1"/>
  <c r="H42" i="1" s="1"/>
  <c r="I42" i="1" a="1"/>
  <c r="I42" i="1" s="1"/>
  <c r="J42" i="1" a="1"/>
  <c r="J42" i="1" s="1"/>
  <c r="L42" i="1" a="1"/>
  <c r="L42" i="1" s="1"/>
  <c r="M42" i="1" a="1"/>
  <c r="M42" i="1" s="1"/>
  <c r="E43" i="1" a="1"/>
  <c r="E43" i="1" s="1"/>
  <c r="H43" i="1" a="1"/>
  <c r="H43" i="1" s="1"/>
  <c r="I43" i="1" a="1"/>
  <c r="I43" i="1" s="1"/>
  <c r="J43" i="1" a="1"/>
  <c r="J43" i="1" s="1"/>
  <c r="K43" i="1" a="1"/>
  <c r="K43" i="1" s="1"/>
  <c r="L43" i="1" a="1"/>
  <c r="L43" i="1" s="1"/>
  <c r="M43" i="1" a="1"/>
  <c r="M43" i="1" s="1"/>
  <c r="G44" i="1" a="1"/>
  <c r="G44" i="1" s="1"/>
  <c r="H44" i="1" a="1"/>
  <c r="H44" i="1" s="1"/>
  <c r="I44" i="1" a="1"/>
  <c r="I44" i="1" s="1"/>
  <c r="J44" i="1" a="1"/>
  <c r="J44" i="1" s="1"/>
  <c r="K44" i="1" a="1"/>
  <c r="K44" i="1" s="1"/>
  <c r="L44" i="1" a="1"/>
  <c r="L44" i="1" s="1"/>
  <c r="M44" i="1" a="1"/>
  <c r="M44" i="1" s="1"/>
  <c r="I4" i="1" a="1"/>
  <c r="I4" i="1" s="1"/>
  <c r="G43" i="1" l="1" a="1"/>
  <c r="G43" i="1" s="1"/>
  <c r="E40" i="1" a="1"/>
  <c r="E40" i="1" s="1"/>
  <c r="F40" i="1" a="1"/>
  <c r="F40" i="1" s="1"/>
  <c r="G40" i="1" a="1"/>
  <c r="G40" i="1" s="1"/>
  <c r="M40" i="1" a="1"/>
  <c r="M40" i="1" s="1"/>
  <c r="L40" i="1" a="1"/>
  <c r="L40" i="1" s="1"/>
  <c r="K40" i="1" a="1"/>
  <c r="K40" i="1" s="1"/>
  <c r="J40" i="1" a="1"/>
  <c r="J40" i="1" s="1"/>
  <c r="I40" i="1" a="1"/>
  <c r="I40" i="1" s="1"/>
  <c r="E39" i="1" a="1"/>
  <c r="E39" i="1" s="1"/>
  <c r="H39" i="1" a="1"/>
  <c r="H39" i="1" s="1"/>
  <c r="F38" i="1" a="1"/>
  <c r="F38" i="1" s="1"/>
  <c r="M38" i="1" a="1"/>
  <c r="M38" i="1" s="1"/>
  <c r="L38" i="1" a="1"/>
  <c r="L38" i="1" s="1"/>
  <c r="K38" i="1" a="1"/>
  <c r="K38" i="1" s="1"/>
  <c r="J38" i="1" a="1"/>
  <c r="J38" i="1" s="1"/>
  <c r="E38" i="1" a="1"/>
  <c r="E38" i="1" s="1"/>
  <c r="I38" i="1" a="1"/>
  <c r="I38" i="1" s="1"/>
  <c r="G38" i="1" a="1"/>
  <c r="G38" i="1" s="1"/>
  <c r="F37" i="1" a="1"/>
  <c r="F37" i="1" s="1"/>
  <c r="M37" i="1" a="1"/>
  <c r="M37" i="1" s="1"/>
  <c r="L37" i="1" a="1"/>
  <c r="L37" i="1" s="1"/>
  <c r="K37" i="1" a="1"/>
  <c r="K37" i="1" s="1"/>
  <c r="J37" i="1" a="1"/>
  <c r="J37" i="1" s="1"/>
  <c r="I37" i="1" a="1"/>
  <c r="I37" i="1" s="1"/>
  <c r="G37" i="1" a="1"/>
  <c r="G37" i="1" s="1"/>
  <c r="E37" i="1" a="1"/>
  <c r="E37" i="1" s="1"/>
  <c r="L35" i="1" a="1"/>
  <c r="L35" i="1" s="1"/>
  <c r="J35" i="1" a="1"/>
  <c r="J35" i="1" s="1"/>
  <c r="I35" i="1" a="1"/>
  <c r="I35" i="1" s="1"/>
  <c r="H35" i="1" a="1"/>
  <c r="H35" i="1" s="1"/>
  <c r="G35" i="1" a="1"/>
  <c r="G35" i="1" s="1"/>
  <c r="F35" i="1" a="1"/>
  <c r="F35" i="1" s="1"/>
  <c r="M34" i="1" a="1"/>
  <c r="M34" i="1" s="1"/>
  <c r="L34" i="1" a="1"/>
  <c r="L34" i="1" s="1"/>
  <c r="K34" i="1" a="1"/>
  <c r="K34" i="1" s="1"/>
  <c r="H33" i="1" a="1"/>
  <c r="H33" i="1" s="1"/>
  <c r="E33" i="1" a="1"/>
  <c r="E33" i="1" s="1"/>
  <c r="G33" i="1" a="1"/>
  <c r="G33" i="1" s="1"/>
  <c r="J33" i="1" a="1"/>
  <c r="J33" i="1" s="1"/>
  <c r="K32" i="1" a="1"/>
  <c r="K32" i="1" s="1"/>
  <c r="J32" i="1" a="1"/>
  <c r="J32" i="1" s="1"/>
  <c r="H32" i="1" a="1"/>
  <c r="H32" i="1" s="1"/>
  <c r="G32" i="1" a="1"/>
  <c r="G32" i="1" s="1"/>
  <c r="G26" i="1" a="1"/>
  <c r="G26" i="1" s="1"/>
  <c r="E26" i="1" a="1"/>
  <c r="E26" i="1" s="1"/>
  <c r="M26" i="1" a="1"/>
  <c r="M26" i="1" s="1"/>
  <c r="F26" i="1" a="1"/>
  <c r="F26" i="1" s="1"/>
  <c r="L26" i="1" a="1"/>
  <c r="L26" i="1" s="1"/>
  <c r="K26" i="1" a="1"/>
  <c r="K26" i="1" s="1"/>
  <c r="J26" i="1" a="1"/>
  <c r="J26" i="1" s="1"/>
  <c r="I26" i="1" a="1"/>
  <c r="I26" i="1" s="1"/>
  <c r="E25" i="1" a="1"/>
  <c r="E25" i="1" s="1"/>
  <c r="M25" i="1" a="1"/>
  <c r="M25" i="1" s="1"/>
  <c r="L25" i="1" a="1"/>
  <c r="L25" i="1" s="1"/>
  <c r="K25" i="1" a="1"/>
  <c r="K25" i="1" s="1"/>
  <c r="F25" i="1" a="1"/>
  <c r="F25" i="1" s="1"/>
  <c r="J25" i="1" a="1"/>
  <c r="J25" i="1" s="1"/>
  <c r="G25" i="1" a="1"/>
  <c r="G25" i="1" s="1"/>
  <c r="I25" i="1" a="1"/>
  <c r="I25" i="1" s="1"/>
  <c r="F24" i="1" a="1"/>
  <c r="F24" i="1" s="1"/>
  <c r="G24" i="1" a="1"/>
  <c r="G24" i="1" s="1"/>
  <c r="E24" i="1" a="1"/>
  <c r="E24" i="1" s="1"/>
  <c r="M24" i="1" a="1"/>
  <c r="M24" i="1" s="1"/>
  <c r="L24" i="1" a="1"/>
  <c r="L24" i="1" s="1"/>
  <c r="K24" i="1" a="1"/>
  <c r="K24" i="1" s="1"/>
  <c r="J24" i="1" a="1"/>
  <c r="J24" i="1" s="1"/>
  <c r="I24" i="1" a="1"/>
  <c r="I24" i="1" s="1"/>
  <c r="G23" i="1" a="1"/>
  <c r="G23" i="1" s="1"/>
  <c r="F23" i="1" a="1"/>
  <c r="F23" i="1" s="1"/>
  <c r="M23" i="1" a="1"/>
  <c r="M23" i="1" s="1"/>
  <c r="L23" i="1" a="1"/>
  <c r="L23" i="1" s="1"/>
  <c r="E23" i="1" a="1"/>
  <c r="E23" i="1" s="1"/>
  <c r="H22" i="1" a="1"/>
  <c r="H22" i="1" s="1"/>
  <c r="G22" i="1" a="1"/>
  <c r="G22" i="1" s="1"/>
  <c r="F22" i="1" a="1"/>
  <c r="F22" i="1" s="1"/>
  <c r="M21" i="1" a="1"/>
  <c r="M21" i="1" s="1"/>
  <c r="K21" i="1" a="1"/>
  <c r="K21" i="1" s="1"/>
  <c r="J21" i="1" a="1"/>
  <c r="J21" i="1" s="1"/>
  <c r="I21" i="1" a="1"/>
  <c r="I21" i="1" s="1"/>
  <c r="H20" i="1" a="1"/>
  <c r="H20" i="1" s="1"/>
  <c r="G20" i="1" a="1"/>
  <c r="G20" i="1" s="1"/>
  <c r="G18" i="1" a="1"/>
  <c r="G18" i="1" s="1"/>
  <c r="L16" i="1" a="1"/>
  <c r="L16" i="1" s="1"/>
  <c r="I16" i="1" a="1"/>
  <c r="I16" i="1" s="1"/>
  <c r="H16" i="1" a="1"/>
  <c r="H16" i="1" s="1"/>
  <c r="G16" i="1" a="1"/>
  <c r="G16" i="1" s="1"/>
  <c r="K16" i="1" a="1"/>
  <c r="K16" i="1" s="1"/>
  <c r="F16" i="1" a="1"/>
  <c r="F16" i="1" s="1"/>
  <c r="E16" i="1" a="1"/>
  <c r="E16" i="1" s="1"/>
  <c r="M16" i="1" a="1"/>
  <c r="M16" i="1" s="1"/>
  <c r="J15" i="1" a="1"/>
  <c r="J15" i="1" s="1"/>
  <c r="I14" i="1" a="1"/>
  <c r="I14" i="1" s="1"/>
  <c r="H14" i="1" a="1"/>
  <c r="H14" i="1" s="1"/>
  <c r="G14" i="1" a="1"/>
  <c r="G14" i="1" s="1"/>
  <c r="L14" i="1" a="1"/>
  <c r="L14" i="1" s="1"/>
  <c r="F14" i="1" a="1"/>
  <c r="F14" i="1" s="1"/>
  <c r="M14" i="1" a="1"/>
  <c r="M14" i="1" s="1"/>
  <c r="E14" i="1" a="1"/>
  <c r="E14" i="1" s="1"/>
  <c r="J14" i="1" a="1"/>
  <c r="J14" i="1" s="1"/>
  <c r="M13" i="1" a="1"/>
  <c r="M13" i="1" s="1"/>
  <c r="L13" i="1" a="1"/>
  <c r="L13" i="1" s="1"/>
  <c r="K13" i="1" a="1"/>
  <c r="K13" i="1" s="1"/>
  <c r="I13" i="1" a="1"/>
  <c r="I13" i="1" s="1"/>
  <c r="H13" i="1" a="1"/>
  <c r="H13" i="1" s="1"/>
  <c r="G13" i="1" a="1"/>
  <c r="G13" i="1" s="1"/>
  <c r="F13" i="1" a="1"/>
  <c r="F13" i="1" s="1"/>
  <c r="J13" i="1" a="1"/>
  <c r="J13" i="1" s="1"/>
  <c r="H27" i="1" a="1"/>
  <c r="H27" i="1" s="1"/>
  <c r="I39" i="1" a="1"/>
  <c r="I39" i="1" s="1"/>
  <c r="K15" i="1" a="1"/>
  <c r="K15" i="1" s="1"/>
  <c r="G39" i="1" a="1"/>
  <c r="G39" i="1" s="1"/>
  <c r="M27" i="1" a="1"/>
  <c r="M27" i="1" s="1"/>
  <c r="I15" i="1" a="1"/>
  <c r="I15" i="1" s="1"/>
  <c r="F39" i="1" a="1"/>
  <c r="F39" i="1" s="1"/>
  <c r="L27" i="1" a="1"/>
  <c r="L27" i="1" s="1"/>
  <c r="H15" i="1" a="1"/>
  <c r="H15" i="1" s="1"/>
  <c r="K27" i="1" a="1"/>
  <c r="K27" i="1" s="1"/>
  <c r="G15" i="1" a="1"/>
  <c r="G15" i="1" s="1"/>
  <c r="F15" i="1" a="1"/>
  <c r="F15" i="1" s="1"/>
  <c r="J27" i="1" a="1"/>
  <c r="J27" i="1" s="1"/>
  <c r="E15" i="1" a="1"/>
  <c r="E15" i="1" s="1"/>
  <c r="I27" i="1" a="1"/>
  <c r="I27" i="1" s="1"/>
  <c r="L39" i="1" a="1"/>
  <c r="L39" i="1" s="1"/>
  <c r="G27" i="1" a="1"/>
  <c r="G27" i="1" s="1"/>
  <c r="E12" i="1" a="1"/>
  <c r="E12" i="1" s="1"/>
  <c r="K39" i="1" a="1"/>
  <c r="K39" i="1" s="1"/>
  <c r="M15" i="1" a="1"/>
  <c r="M15" i="1" s="1"/>
  <c r="F12" i="1" a="1"/>
  <c r="F12" i="1" s="1"/>
  <c r="M39" i="1" a="1"/>
  <c r="M39" i="1" s="1"/>
  <c r="F31" i="1" a="1"/>
  <c r="F31" i="1" s="1"/>
  <c r="E31" i="1" a="1"/>
  <c r="E31" i="1" s="1"/>
  <c r="M31" i="1" a="1"/>
  <c r="M31" i="1" s="1"/>
  <c r="L31" i="1" a="1"/>
  <c r="L31" i="1" s="1"/>
  <c r="K31" i="1" a="1"/>
  <c r="K31" i="1" s="1"/>
  <c r="J31" i="1" a="1"/>
  <c r="J31" i="1" s="1"/>
  <c r="I31" i="1" a="1"/>
  <c r="I31" i="1" s="1"/>
  <c r="H31" i="1" a="1"/>
  <c r="H31" i="1" s="1"/>
  <c r="E4" i="1" a="1"/>
  <c r="E4" i="1" s="1"/>
  <c r="L4" i="1" a="1"/>
  <c r="L4" i="1" s="1"/>
  <c r="J4" i="1" a="1"/>
  <c r="J4" i="1" s="1"/>
  <c r="Q4" i="1" s="1" a="1"/>
  <c r="Q4" i="1" s="1"/>
  <c r="M4" i="1" a="1"/>
  <c r="M4" i="1" s="1"/>
  <c r="K4" i="1" a="1"/>
  <c r="K4" i="1" s="1"/>
  <c r="H4" i="1" a="1"/>
  <c r="H4" i="1" s="1"/>
  <c r="G4" i="1" a="1"/>
  <c r="G4" i="1" s="1"/>
  <c r="F4" i="1" a="1"/>
  <c r="F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<sst xmlns="http://schemas.openxmlformats.org/spreadsheetml/2006/main" count="140" uniqueCount="126">
  <si>
    <t>涼</t>
    <phoneticPr fontId="1" type="noConversion"/>
  </si>
  <si>
    <t>州</t>
  </si>
  <si>
    <t>詞</t>
  </si>
  <si>
    <t>漢字</t>
  </si>
  <si>
    <t>漢字</t>
    <phoneticPr fontId="1" type="noConversion"/>
  </si>
  <si>
    <t>liang5</t>
    <phoneticPr fontId="1" type="noConversion"/>
  </si>
  <si>
    <t>ziu1</t>
  </si>
  <si>
    <t>su5</t>
  </si>
  <si>
    <t>字母</t>
    <phoneticPr fontId="1" type="noConversion"/>
  </si>
  <si>
    <t>調號</t>
  </si>
  <si>
    <t>四聲八調</t>
  </si>
  <si>
    <t>聲調按鍵</t>
  </si>
  <si>
    <t>台語音標</t>
  </si>
  <si>
    <t>按鍵輸入</t>
  </si>
  <si>
    <t>陰平(a)</t>
  </si>
  <si>
    <t>;</t>
  </si>
  <si>
    <t>東</t>
  </si>
  <si>
    <t>陰上(á)</t>
  </si>
  <si>
    <t>\</t>
  </si>
  <si>
    <t>黨</t>
  </si>
  <si>
    <t>陰去(à)</t>
  </si>
  <si>
    <t>_</t>
  </si>
  <si>
    <t>棟</t>
  </si>
  <si>
    <t>陰入(ah)</t>
  </si>
  <si>
    <t>[</t>
  </si>
  <si>
    <t>督</t>
  </si>
  <si>
    <t>tok4</t>
  </si>
  <si>
    <t>陽平(â)</t>
  </si>
  <si>
    <t>/</t>
  </si>
  <si>
    <t>同</t>
  </si>
  <si>
    <t>陽上(ǎ)</t>
  </si>
  <si>
    <t>動</t>
  </si>
  <si>
    <t>陽去(ā) 陽去(ā)</t>
  </si>
  <si>
    <t>-</t>
  </si>
  <si>
    <t>洞</t>
  </si>
  <si>
    <t>陽入(a̍h)</t>
  </si>
  <si>
    <t>]</t>
  </si>
  <si>
    <t>毒</t>
  </si>
  <si>
    <t>tok8</t>
  </si>
  <si>
    <t>tok]</t>
  </si>
  <si>
    <t>陰入</t>
  </si>
  <si>
    <t>.</t>
  </si>
  <si>
    <t>tok0</t>
  </si>
  <si>
    <t>tok.</t>
  </si>
  <si>
    <t>陽入</t>
  </si>
  <si>
    <t>鍵盤按鍵</t>
    <phoneticPr fontId="1" type="noConversion"/>
  </si>
  <si>
    <t>羅馬字母拼音</t>
    <phoneticPr fontId="1" type="noConversion"/>
  </si>
  <si>
    <t>tong1</t>
    <phoneticPr fontId="1" type="noConversion"/>
  </si>
  <si>
    <t>tong2</t>
    <phoneticPr fontId="1" type="noConversion"/>
  </si>
  <si>
    <t>tong3</t>
    <phoneticPr fontId="1" type="noConversion"/>
  </si>
  <si>
    <t>tong5</t>
    <phoneticPr fontId="1" type="noConversion"/>
  </si>
  <si>
    <t>tong6</t>
    <phoneticPr fontId="1" type="noConversion"/>
  </si>
  <si>
    <t>tong7</t>
    <phoneticPr fontId="1" type="noConversion"/>
  </si>
  <si>
    <t>tong;</t>
    <phoneticPr fontId="1" type="noConversion"/>
  </si>
  <si>
    <t>tong\</t>
    <phoneticPr fontId="1" type="noConversion"/>
  </si>
  <si>
    <t>tong_</t>
    <phoneticPr fontId="1" type="noConversion"/>
  </si>
  <si>
    <t>tok[</t>
    <phoneticPr fontId="1" type="noConversion"/>
  </si>
  <si>
    <t>tong/</t>
    <phoneticPr fontId="1" type="noConversion"/>
  </si>
  <si>
    <t>tong-</t>
    <phoneticPr fontId="1" type="noConversion"/>
  </si>
  <si>
    <t>王</t>
    <phoneticPr fontId="1" type="noConversion"/>
  </si>
  <si>
    <t>之</t>
    <phoneticPr fontId="1" type="noConversion"/>
  </si>
  <si>
    <t>渙</t>
    <phoneticPr fontId="1" type="noConversion"/>
  </si>
  <si>
    <t>黄</t>
    <phoneticPr fontId="1" type="noConversion"/>
  </si>
  <si>
    <t>河</t>
    <phoneticPr fontId="1" type="noConversion"/>
  </si>
  <si>
    <t>遠</t>
    <phoneticPr fontId="1" type="noConversion"/>
  </si>
  <si>
    <t>上</t>
    <phoneticPr fontId="1" type="noConversion"/>
  </si>
  <si>
    <t>白</t>
    <phoneticPr fontId="1" type="noConversion"/>
  </si>
  <si>
    <t>雲</t>
    <phoneticPr fontId="1" type="noConversion"/>
  </si>
  <si>
    <t>間</t>
    <phoneticPr fontId="1" type="noConversion"/>
  </si>
  <si>
    <t>，</t>
    <phoneticPr fontId="1" type="noConversion"/>
  </si>
  <si>
    <t>一</t>
    <phoneticPr fontId="1" type="noConversion"/>
  </si>
  <si>
    <t>片</t>
    <phoneticPr fontId="1" type="noConversion"/>
  </si>
  <si>
    <t>孤</t>
    <phoneticPr fontId="1" type="noConversion"/>
  </si>
  <si>
    <t>城</t>
    <phoneticPr fontId="1" type="noConversion"/>
  </si>
  <si>
    <t>萬</t>
    <phoneticPr fontId="1" type="noConversion"/>
  </si>
  <si>
    <t>仞</t>
    <phoneticPr fontId="1" type="noConversion"/>
  </si>
  <si>
    <t>山</t>
    <phoneticPr fontId="1" type="noConversion"/>
  </si>
  <si>
    <t>。</t>
    <phoneticPr fontId="1" type="noConversion"/>
  </si>
  <si>
    <t>羌</t>
    <phoneticPr fontId="1" type="noConversion"/>
  </si>
  <si>
    <t>笛</t>
    <phoneticPr fontId="1" type="noConversion"/>
  </si>
  <si>
    <t>何</t>
    <phoneticPr fontId="1" type="noConversion"/>
  </si>
  <si>
    <t>須</t>
    <phoneticPr fontId="1" type="noConversion"/>
  </si>
  <si>
    <t>怨</t>
    <phoneticPr fontId="1" type="noConversion"/>
  </si>
  <si>
    <t>楊</t>
    <phoneticPr fontId="1" type="noConversion"/>
  </si>
  <si>
    <t>柳</t>
    <phoneticPr fontId="1" type="noConversion"/>
  </si>
  <si>
    <t>春</t>
    <phoneticPr fontId="1" type="noConversion"/>
  </si>
  <si>
    <t>風</t>
    <phoneticPr fontId="1" type="noConversion"/>
  </si>
  <si>
    <t>不</t>
    <phoneticPr fontId="1" type="noConversion"/>
  </si>
  <si>
    <t>度</t>
    <phoneticPr fontId="1" type="noConversion"/>
  </si>
  <si>
    <t>玉</t>
    <phoneticPr fontId="1" type="noConversion"/>
  </si>
  <si>
    <t>門</t>
    <phoneticPr fontId="1" type="noConversion"/>
  </si>
  <si>
    <t>關</t>
    <phoneticPr fontId="1" type="noConversion"/>
  </si>
  <si>
    <t>ong5</t>
    <phoneticPr fontId="1" type="noConversion"/>
  </si>
  <si>
    <t>zi1</t>
    <phoneticPr fontId="1" type="noConversion"/>
  </si>
  <si>
    <t>huan3</t>
    <phoneticPr fontId="1" type="noConversion"/>
  </si>
  <si>
    <t>hong5</t>
    <phoneticPr fontId="1" type="noConversion"/>
  </si>
  <si>
    <t>ho5</t>
    <phoneticPr fontId="1" type="noConversion"/>
  </si>
  <si>
    <t>uan2</t>
    <phoneticPr fontId="1" type="noConversion"/>
  </si>
  <si>
    <t>siong2</t>
    <phoneticPr fontId="1" type="noConversion"/>
  </si>
  <si>
    <t>pik8</t>
    <phoneticPr fontId="1" type="noConversion"/>
  </si>
  <si>
    <t>hun5</t>
    <phoneticPr fontId="1" type="noConversion"/>
  </si>
  <si>
    <t>kan1</t>
    <phoneticPr fontId="1" type="noConversion"/>
  </si>
  <si>
    <t>`</t>
  </si>
  <si>
    <t>`</t>
    <phoneticPr fontId="1" type="noConversion"/>
  </si>
  <si>
    <t>,</t>
    <phoneticPr fontId="1" type="noConversion"/>
  </si>
  <si>
    <t>.</t>
    <phoneticPr fontId="1" type="noConversion"/>
  </si>
  <si>
    <t>it4</t>
    <phoneticPr fontId="1" type="noConversion"/>
  </si>
  <si>
    <t>phian3</t>
    <phoneticPr fontId="1" type="noConversion"/>
  </si>
  <si>
    <t>koo1</t>
    <phoneticPr fontId="1" type="noConversion"/>
  </si>
  <si>
    <t>sing5</t>
    <phoneticPr fontId="1" type="noConversion"/>
  </si>
  <si>
    <t>ban7</t>
    <phoneticPr fontId="1" type="noConversion"/>
  </si>
  <si>
    <t>jin7</t>
    <phoneticPr fontId="1" type="noConversion"/>
  </si>
  <si>
    <t>san1</t>
    <phoneticPr fontId="1" type="noConversion"/>
  </si>
  <si>
    <t>khiang1</t>
    <phoneticPr fontId="1" type="noConversion"/>
  </si>
  <si>
    <t>tik8</t>
    <phoneticPr fontId="1" type="noConversion"/>
  </si>
  <si>
    <t>su1</t>
    <phoneticPr fontId="1" type="noConversion"/>
  </si>
  <si>
    <t>uan3</t>
    <phoneticPr fontId="1" type="noConversion"/>
  </si>
  <si>
    <t>iong5</t>
    <phoneticPr fontId="1" type="noConversion"/>
  </si>
  <si>
    <t>liu2</t>
    <phoneticPr fontId="1" type="noConversion"/>
  </si>
  <si>
    <t>cun1</t>
    <phoneticPr fontId="1" type="noConversion"/>
  </si>
  <si>
    <t>hong1</t>
    <phoneticPr fontId="1" type="noConversion"/>
  </si>
  <si>
    <t>put4</t>
    <phoneticPr fontId="1" type="noConversion"/>
  </si>
  <si>
    <t>too7</t>
    <phoneticPr fontId="1" type="noConversion"/>
  </si>
  <si>
    <t>giok8</t>
    <phoneticPr fontId="1" type="noConversion"/>
  </si>
  <si>
    <t>bun5</t>
    <phoneticPr fontId="1" type="noConversion"/>
  </si>
  <si>
    <t>kuan1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</si>
</sst>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4"/>
      <color theme="1"/>
      <name val="Noto Serif TC SemiBold"/>
      <family val="1"/>
      <charset val="136"/>
    </font>
    <font>
      <sz val="18"/>
      <color theme="1"/>
      <name val="Noto Serif TC SemiBold"/>
      <family val="1"/>
      <charset val="136"/>
    </font>
    <font>
      <sz val="18"/>
      <color theme="1"/>
      <name val="新細明體"/>
      <family val="2"/>
      <charset val="136"/>
      <scheme val="minor"/>
    </font>
    <font>
      <sz val="18"/>
      <color rgb="FF1F2328"/>
      <name val="Segoe UI"/>
      <family val="2"/>
    </font>
    <font>
      <sz val="18"/>
      <color rgb="FF1F2328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 tint="0.79998168889431442"/>
      </right>
      <top style="thin">
        <color indexed="64"/>
      </top>
      <bottom style="thin">
        <color indexed="64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indexed="64"/>
      </top>
      <bottom style="thin">
        <color indexed="64"/>
      </bottom>
      <diagonal/>
    </border>
    <border>
      <left style="thin">
        <color theme="4" tint="0.79998168889431442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 inden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D366A-6021-46D6-9F21-C57524288254}">
  <dimension ref="B2:Q44"/>
  <sheetViews>
    <sheetView showGridLines="0" tabSelected="1" topLeftCell="A37" workbookViewId="0">
      <selection activeCell="P47" sqref="P47"/>
    </sheetView>
  </sheetViews>
  <sheetFormatPr defaultRowHeight="39" outlineLevelCol="1" x14ac:dyDescent="0.25"/>
  <cols>
    <col min="1" max="1" width="4.25" style="1" customWidth="1"/>
    <col min="2" max="2" width="9" style="1"/>
    <col min="3" max="3" width="21.125" style="1" customWidth="1"/>
    <col min="4" max="4" width="9" style="1" hidden="1" customWidth="1" outlineLevel="1"/>
    <col min="5" max="5" width="9" style="1" collapsed="1"/>
    <col min="6" max="15" width="9" style="1"/>
    <col min="16" max="16" width="15.75" style="1" bestFit="1" customWidth="1"/>
    <col min="17" max="17" width="14.25" style="1" bestFit="1" customWidth="1"/>
    <col min="18" max="21" width="9" style="1"/>
    <col min="22" max="26" width="11.5" style="1" customWidth="1"/>
    <col min="27" max="16384" width="9" style="1"/>
  </cols>
  <sheetData>
    <row r="2" spans="2:17" x14ac:dyDescent="0.25">
      <c r="B2" s="18" t="s">
        <v>4</v>
      </c>
      <c r="C2" s="18" t="s">
        <v>46</v>
      </c>
      <c r="D2" s="18" t="s">
        <v>8</v>
      </c>
      <c r="E2" s="19" t="s">
        <v>45</v>
      </c>
      <c r="F2" s="20"/>
      <c r="G2" s="20"/>
      <c r="H2" s="20"/>
      <c r="I2" s="20"/>
      <c r="J2" s="20"/>
      <c r="K2" s="20"/>
      <c r="L2" s="20"/>
      <c r="M2" s="21"/>
    </row>
    <row r="3" spans="2:17" s="2" customFormat="1" ht="30" x14ac:dyDescent="0.25">
      <c r="B3" s="18"/>
      <c r="C3" s="18"/>
      <c r="D3" s="18"/>
      <c r="E3" s="10">
        <v>1</v>
      </c>
      <c r="F3" s="11">
        <v>2</v>
      </c>
      <c r="G3" s="11">
        <v>3</v>
      </c>
      <c r="H3" s="11">
        <v>4</v>
      </c>
      <c r="I3" s="11">
        <v>5</v>
      </c>
      <c r="J3" s="11">
        <v>6</v>
      </c>
      <c r="K3" s="11">
        <v>7</v>
      </c>
      <c r="L3" s="11">
        <v>8</v>
      </c>
      <c r="M3" s="12">
        <v>9</v>
      </c>
    </row>
    <row r="4" spans="2:17" x14ac:dyDescent="0.25">
      <c r="B4" s="13" t="s">
        <v>0</v>
      </c>
      <c r="C4" s="14" t="s">
        <v>5</v>
      </c>
      <c r="D4" s="15">
        <f>IF( LEN(C4)&gt;0, LEN(C4), "")</f>
        <v>6</v>
      </c>
      <c r="E4" s="16" t="str" cm="1">
        <f t="array" ref="E4" xml:space="preserve"> IF(E$3&lt;&gt;$D4, MID($C4,E$3,1), INDEX(音調表!$D$3:$D$12, MATCH(TRUE, EXACT(MID($C4,E$3,1), 音調表!$B$3:$B$12),0)))</f>
        <v>l</v>
      </c>
      <c r="F4" s="16" t="str" cm="1">
        <f t="array" ref="F4" xml:space="preserve"> IF(F$3&lt;&gt;$D4, MID($C4,F$3,1), INDEX(音調表!$D$3:$D$12, MATCH(TRUE, EXACT(MID($C4,F$3,1), 音調表!$B$3:$B$12),0)))</f>
        <v>i</v>
      </c>
      <c r="G4" s="16" t="str" cm="1">
        <f t="array" ref="G4" xml:space="preserve"> IF(G$3&lt;&gt;$D4, MID($C4,G$3,1), INDEX(音調表!$D$3:$D$12, MATCH(TRUE, EXACT(MID($C4,G$3,1), 音調表!$B$3:$B$12),0)))</f>
        <v>a</v>
      </c>
      <c r="H4" s="16" t="str" cm="1">
        <f t="array" ref="H4" xml:space="preserve"> IF(H$3&lt;&gt;$D4, MID($C4,H$3,1), INDEX(音調表!$D$3:$D$12, MATCH(TRUE, EXACT(MID($C4,H$3,1), 音調表!$B$3:$B$12),0)))</f>
        <v>n</v>
      </c>
      <c r="I4" s="16" t="str" cm="1">
        <f t="array" ref="I4" xml:space="preserve"> IF(I$3&lt;&gt;$D4, MID($C4,I$3,1), INDEX(音調表!$D$3:$D$12, MATCH(TRUE, EXACT(MID($C4,I$3,1), 音調表!$B$3:$B$12),0)))</f>
        <v>g</v>
      </c>
      <c r="J4" s="16" t="str" cm="1">
        <f t="array" ref="J4" xml:space="preserve"> IF(J$3&lt;&gt;$D4, MID($C4,J$3,1), INDEX(音調表!$D$3:$D$12, MATCH(TRUE, EXACT(MID($C4,J$3,1), 音調表!$B$3:$B$12),0)))</f>
        <v>/</v>
      </c>
      <c r="K4" s="16" t="str" cm="1">
        <f t="array" ref="K4" xml:space="preserve"> IF(K$3&lt;&gt;$D4, MID($C4,K$3,1), INDEX(音調表!$D$3:$D$12, MATCH(TRUE, EXACT(MID($C4,K$3,1), 音調表!$B$3:$B$12),0)))</f>
        <v/>
      </c>
      <c r="L4" s="16" t="str" cm="1">
        <f t="array" ref="L4" xml:space="preserve"> IF(L$3&lt;&gt;$D4, MID($C4,L$3,1), INDEX(音調表!$D$3:$D$12, MATCH(TRUE, EXACT(MID($C4,L$3,1), 音調表!$B$3:$B$12),0)))</f>
        <v/>
      </c>
      <c r="M4" s="17" t="str" cm="1">
        <f t="array" ref="M4" xml:space="preserve"> IF(M$3&lt;&gt;$D4, MID($C4,M$3,1), INDEX(音調表!$D$3:$D$12, MATCH(TRUE, EXACT(MID($C4,M$3,1), 音調表!$B$3:$B$12),0)))</f>
        <v/>
      </c>
      <c r="O4" s="2"/>
      <c r="P4" s="2"/>
      <c r="Q4" s="1" t="str" cm="1">
        <f t="array" ref="Q4" xml:space="preserve"> IF( ISNUMBER(VALUE(J4)), INDEX(音調表!$D$3:$D$12, MATCH(TRUE, EXACT(J4, 音調表!$B$3:$B$12),0)), "")</f>
        <v/>
      </c>
    </row>
    <row r="5" spans="2:17" x14ac:dyDescent="0.25">
      <c r="B5" s="13" t="s">
        <v>1</v>
      </c>
      <c r="C5" s="14" t="s">
        <v>6</v>
      </c>
      <c r="D5" s="15">
        <f t="shared" ref="D5:D44" si="0">IF( LEN(C5)&gt;0, LEN(C5), "")</f>
        <v>4</v>
      </c>
      <c r="E5" s="16" t="str" cm="1">
        <f t="array" ref="E5" xml:space="preserve"> IF(E$3&lt;&gt;$D5, MID($C5,E$3,1), INDEX(音調表!$D$3:$D$12, MATCH(TRUE, EXACT(MID($C5,E$3,1), 音調表!$B$3:$B$12),0)))</f>
        <v>z</v>
      </c>
      <c r="F5" s="16" t="str" cm="1">
        <f t="array" ref="F5" xml:space="preserve"> IF(F$3&lt;&gt;$D5, MID($C5,F$3,1), INDEX(音調表!$D$3:$D$12, MATCH(TRUE, EXACT(MID($C5,F$3,1), 音調表!$B$3:$B$12),0)))</f>
        <v>i</v>
      </c>
      <c r="G5" s="16" t="str" cm="1">
        <f t="array" ref="G5" xml:space="preserve"> IF(G$3&lt;&gt;$D5, MID($C5,G$3,1), INDEX(音調表!$D$3:$D$12, MATCH(TRUE, EXACT(MID($C5,G$3,1), 音調表!$B$3:$B$12),0)))</f>
        <v>u</v>
      </c>
      <c r="H5" s="16" t="str" cm="1">
        <f t="array" ref="H5" xml:space="preserve"> IF(H$3&lt;&gt;$D5, MID($C5,H$3,1), INDEX(音調表!$D$3:$D$12, MATCH(TRUE, EXACT(MID($C5,H$3,1), 音調表!$B$3:$B$12),0)))</f>
        <v>;</v>
      </c>
      <c r="I5" s="16" t="str" cm="1">
        <f t="array" ref="I5" xml:space="preserve"> IF(I$3&lt;&gt;$D5, MID($C5,I$3,1), INDEX(音調表!$D$3:$D$12, MATCH(TRUE, EXACT(MID($C5,I$3,1), 音調表!$B$3:$B$12),0)))</f>
        <v/>
      </c>
      <c r="J5" s="16" t="str" cm="1">
        <f t="array" ref="J5" xml:space="preserve"> IF(J$3&lt;&gt;$D5, MID($C5,J$3,1), INDEX(音調表!$D$3:$D$12, MATCH(TRUE, EXACT(MID($C5,J$3,1), 音調表!$B$3:$B$12),0)))</f>
        <v/>
      </c>
      <c r="K5" s="16" t="str" cm="1">
        <f t="array" ref="K5" xml:space="preserve"> IF(K$3&lt;&gt;$D5, MID($C5,K$3,1), INDEX(音調表!$D$3:$D$12, MATCH(TRUE, EXACT(MID($C5,K$3,1), 音調表!$B$3:$B$12),0)))</f>
        <v/>
      </c>
      <c r="L5" s="16" t="str" cm="1">
        <f t="array" ref="L5" xml:space="preserve"> IF(L$3&lt;&gt;$D5, MID($C5,L$3,1), INDEX(音調表!$D$3:$D$12, MATCH(TRUE, EXACT(MID($C5,L$3,1), 音調表!$B$3:$B$12),0)))</f>
        <v/>
      </c>
      <c r="M5" s="17" t="str" cm="1">
        <f t="array" ref="M5" xml:space="preserve"> IF(M$3&lt;&gt;$D5, MID($C5,M$3,1), INDEX(音調表!$D$3:$D$12, MATCH(TRUE, EXACT(MID($C5,M$3,1), 音調表!$B$3:$B$12),0)))</f>
        <v/>
      </c>
      <c r="O5" s="2"/>
      <c r="P5" s="2"/>
    </row>
    <row r="6" spans="2:17" x14ac:dyDescent="0.25">
      <c r="B6" s="13" t="s">
        <v>2</v>
      </c>
      <c r="C6" s="14" t="s">
        <v>7</v>
      </c>
      <c r="D6" s="15">
        <f t="shared" si="0"/>
        <v>3</v>
      </c>
      <c r="E6" s="16" t="str" cm="1">
        <f t="array" ref="E6" xml:space="preserve"> IF(E$3&lt;&gt;$D6, MID($C6,E$3,1), INDEX(音調表!$D$3:$D$12, MATCH(TRUE, EXACT(MID($C6,E$3,1), 音調表!$B$3:$B$12),0)))</f>
        <v>s</v>
      </c>
      <c r="F6" s="16" t="str" cm="1">
        <f t="array" ref="F6" xml:space="preserve"> IF(F$3&lt;&gt;$D6, MID($C6,F$3,1), INDEX(音調表!$D$3:$D$12, MATCH(TRUE, EXACT(MID($C6,F$3,1), 音調表!$B$3:$B$12),0)))</f>
        <v>u</v>
      </c>
      <c r="G6" s="16" t="str" cm="1">
        <f t="array" ref="G6" xml:space="preserve"> IF(G$3&lt;&gt;$D6, MID($C6,G$3,1), INDEX(音調表!$D$3:$D$12, MATCH(TRUE, EXACT(MID($C6,G$3,1), 音調表!$B$3:$B$12),0)))</f>
        <v>/</v>
      </c>
      <c r="H6" s="16" t="str" cm="1">
        <f t="array" ref="H6" xml:space="preserve"> IF(H$3&lt;&gt;$D6, MID($C6,H$3,1), INDEX(音調表!$D$3:$D$12, MATCH(TRUE, EXACT(MID($C6,H$3,1), 音調表!$B$3:$B$12),0)))</f>
        <v/>
      </c>
      <c r="I6" s="16" t="str" cm="1">
        <f t="array" ref="I6" xml:space="preserve"> IF(I$3&lt;&gt;$D6, MID($C6,I$3,1), INDEX(音調表!$D$3:$D$12, MATCH(TRUE, EXACT(MID($C6,I$3,1), 音調表!$B$3:$B$12),0)))</f>
        <v/>
      </c>
      <c r="J6" s="16" t="str" cm="1">
        <f t="array" ref="J6" xml:space="preserve"> IF(J$3&lt;&gt;$D6, MID($C6,J$3,1), INDEX(音調表!$D$3:$D$12, MATCH(TRUE, EXACT(MID($C6,J$3,1), 音調表!$B$3:$B$12),0)))</f>
        <v/>
      </c>
      <c r="K6" s="16" t="str" cm="1">
        <f t="array" ref="K6" xml:space="preserve"> IF(K$3&lt;&gt;$D6, MID($C6,K$3,1), INDEX(音調表!$D$3:$D$12, MATCH(TRUE, EXACT(MID($C6,K$3,1), 音調表!$B$3:$B$12),0)))</f>
        <v/>
      </c>
      <c r="L6" s="16" t="str" cm="1">
        <f t="array" ref="L6" xml:space="preserve"> IF(L$3&lt;&gt;$D6, MID($C6,L$3,1), INDEX(音調表!$D$3:$D$12, MATCH(TRUE, EXACT(MID($C6,L$3,1), 音調表!$B$3:$B$12),0)))</f>
        <v/>
      </c>
      <c r="M6" s="17" t="str" cm="1">
        <f t="array" ref="M6" xml:space="preserve"> IF(M$3&lt;&gt;$D6, MID($C6,M$3,1), INDEX(音調表!$D$3:$D$12, MATCH(TRUE, EXACT(MID($C6,M$3,1), 音調表!$B$3:$B$12),0)))</f>
        <v/>
      </c>
      <c r="O6" s="2"/>
      <c r="P6" s="2"/>
    </row>
    <row r="7" spans="2:17" x14ac:dyDescent="0.25">
      <c r="B7" s="13"/>
      <c r="C7" s="14"/>
      <c r="D7" s="15" t="str">
        <f t="shared" si="0"/>
        <v/>
      </c>
      <c r="E7" s="16" t="str" cm="1">
        <f t="array" ref="E7" xml:space="preserve"> IF(E$3&lt;&gt;$D7, MID($C7,E$3,1), INDEX(音調表!$D$3:$D$12, MATCH(TRUE, EXACT(MID($C7,E$3,1), 音調表!$B$3:$B$12),0)))</f>
        <v/>
      </c>
      <c r="F7" s="16" t="str" cm="1">
        <f t="array" ref="F7" xml:space="preserve"> IF(F$3&lt;&gt;$D7, MID($C7,F$3,1), INDEX(音調表!$D$3:$D$12, MATCH(TRUE, EXACT(MID($C7,F$3,1), 音調表!$B$3:$B$12),0)))</f>
        <v/>
      </c>
      <c r="G7" s="16" t="str" cm="1">
        <f t="array" ref="G7" xml:space="preserve"> IF(G$3&lt;&gt;$D7, MID($C7,G$3,1), INDEX(音調表!$D$3:$D$12, MATCH(TRUE, EXACT(MID($C7,G$3,1), 音調表!$B$3:$B$12),0)))</f>
        <v/>
      </c>
      <c r="H7" s="16" t="str" cm="1">
        <f t="array" ref="H7" xml:space="preserve"> IF(H$3&lt;&gt;$D7, MID($C7,H$3,1), INDEX(音調表!$D$3:$D$12, MATCH(TRUE, EXACT(MID($C7,H$3,1), 音調表!$B$3:$B$12),0)))</f>
        <v/>
      </c>
      <c r="I7" s="16" t="str" cm="1">
        <f t="array" ref="I7" xml:space="preserve"> IF(I$3&lt;&gt;$D7, MID($C7,I$3,1), INDEX(音調表!$D$3:$D$12, MATCH(TRUE, EXACT(MID($C7,I$3,1), 音調表!$B$3:$B$12),0)))</f>
        <v/>
      </c>
      <c r="J7" s="16" t="str" cm="1">
        <f t="array" ref="J7" xml:space="preserve"> IF(J$3&lt;&gt;$D7, MID($C7,J$3,1), INDEX(音調表!$D$3:$D$12, MATCH(TRUE, EXACT(MID($C7,J$3,1), 音調表!$B$3:$B$12),0)))</f>
        <v/>
      </c>
      <c r="K7" s="16" t="str" cm="1">
        <f t="array" ref="K7" xml:space="preserve"> IF(K$3&lt;&gt;$D7, MID($C7,K$3,1), INDEX(音調表!$D$3:$D$12, MATCH(TRUE, EXACT(MID($C7,K$3,1), 音調表!$B$3:$B$12),0)))</f>
        <v/>
      </c>
      <c r="L7" s="16" t="str" cm="1">
        <f t="array" ref="L7" xml:space="preserve"> IF(L$3&lt;&gt;$D7, MID($C7,L$3,1), INDEX(音調表!$D$3:$D$12, MATCH(TRUE, EXACT(MID($C7,L$3,1), 音調表!$B$3:$B$12),0)))</f>
        <v/>
      </c>
      <c r="M7" s="17" t="str" cm="1">
        <f t="array" ref="M7" xml:space="preserve"> IF(M$3&lt;&gt;$D7, MID($C7,M$3,1), INDEX(音調表!$D$3:$D$12, MATCH(TRUE, EXACT(MID($C7,M$3,1), 音調表!$B$3:$B$12),0)))</f>
        <v/>
      </c>
      <c r="O7" s="2"/>
      <c r="P7" s="2"/>
    </row>
    <row r="8" spans="2:17" x14ac:dyDescent="0.25">
      <c r="B8" s="13" t="s">
        <v>59</v>
      </c>
      <c r="C8" s="14" t="s">
        <v>92</v>
      </c>
      <c r="D8" s="15">
        <f t="shared" si="0"/>
        <v>4</v>
      </c>
      <c r="E8" s="16" t="str" cm="1">
        <f t="array" ref="E8" xml:space="preserve"> IF(E$3&lt;&gt;$D8, MID($C8,E$3,1), INDEX(音調表!$D$3:$D$12, MATCH(TRUE, EXACT(MID($C8,E$3,1), 音調表!$B$3:$B$12),0)))</f>
        <v>o</v>
      </c>
      <c r="F8" s="16" t="str" cm="1">
        <f t="array" ref="F8" xml:space="preserve"> IF(F$3&lt;&gt;$D8, MID($C8,F$3,1), INDEX(音調表!$D$3:$D$12, MATCH(TRUE, EXACT(MID($C8,F$3,1), 音調表!$B$3:$B$12),0)))</f>
        <v>n</v>
      </c>
      <c r="G8" s="16" t="str" cm="1">
        <f t="array" ref="G8" xml:space="preserve"> IF(G$3&lt;&gt;$D8, MID($C8,G$3,1), INDEX(音調表!$D$3:$D$12, MATCH(TRUE, EXACT(MID($C8,G$3,1), 音調表!$B$3:$B$12),0)))</f>
        <v>g</v>
      </c>
      <c r="H8" s="16" t="str" cm="1">
        <f t="array" ref="H8" xml:space="preserve"> IF(H$3&lt;&gt;$D8, MID($C8,H$3,1), INDEX(音調表!$D$3:$D$12, MATCH(TRUE, EXACT(MID($C8,H$3,1), 音調表!$B$3:$B$12),0)))</f>
        <v>/</v>
      </c>
      <c r="I8" s="16" t="str" cm="1">
        <f t="array" ref="I8" xml:space="preserve"> IF(I$3&lt;&gt;$D8, MID($C8,I$3,1), INDEX(音調表!$D$3:$D$12, MATCH(TRUE, EXACT(MID($C8,I$3,1), 音調表!$B$3:$B$12),0)))</f>
        <v/>
      </c>
      <c r="J8" s="16" t="str" cm="1">
        <f t="array" ref="J8" xml:space="preserve"> IF(J$3&lt;&gt;$D8, MID($C8,J$3,1), INDEX(音調表!$D$3:$D$12, MATCH(TRUE, EXACT(MID($C8,J$3,1), 音調表!$B$3:$B$12),0)))</f>
        <v/>
      </c>
      <c r="K8" s="16" t="str" cm="1">
        <f t="array" ref="K8" xml:space="preserve"> IF(K$3&lt;&gt;$D8, MID($C8,K$3,1), INDEX(音調表!$D$3:$D$12, MATCH(TRUE, EXACT(MID($C8,K$3,1), 音調表!$B$3:$B$12),0)))</f>
        <v/>
      </c>
      <c r="L8" s="16" t="str" cm="1">
        <f t="array" ref="L8" xml:space="preserve"> IF(L$3&lt;&gt;$D8, MID($C8,L$3,1), INDEX(音調表!$D$3:$D$12, MATCH(TRUE, EXACT(MID($C8,L$3,1), 音調表!$B$3:$B$12),0)))</f>
        <v/>
      </c>
      <c r="M8" s="17" t="str" cm="1">
        <f t="array" ref="M8" xml:space="preserve"> IF(M$3&lt;&gt;$D8, MID($C8,M$3,1), INDEX(音調表!$D$3:$D$12, MATCH(TRUE, EXACT(MID($C8,M$3,1), 音調表!$B$3:$B$12),0)))</f>
        <v/>
      </c>
      <c r="O8" s="2"/>
      <c r="P8" s="2"/>
    </row>
    <row r="9" spans="2:17" x14ac:dyDescent="0.25">
      <c r="B9" s="13" t="s">
        <v>60</v>
      </c>
      <c r="C9" s="14" t="s">
        <v>93</v>
      </c>
      <c r="D9" s="15">
        <f t="shared" si="0"/>
        <v>3</v>
      </c>
      <c r="E9" s="16" t="str" cm="1">
        <f t="array" ref="E9" xml:space="preserve"> IF(E$3&lt;&gt;$D9, MID($C9,E$3,1), INDEX(音調表!$D$3:$D$12, MATCH(TRUE, EXACT(MID($C9,E$3,1), 音調表!$B$3:$B$12),0)))</f>
        <v>z</v>
      </c>
      <c r="F9" s="16" t="str" cm="1">
        <f t="array" ref="F9" xml:space="preserve"> IF(F$3&lt;&gt;$D9, MID($C9,F$3,1), INDEX(音調表!$D$3:$D$12, MATCH(TRUE, EXACT(MID($C9,F$3,1), 音調表!$B$3:$B$12),0)))</f>
        <v>i</v>
      </c>
      <c r="G9" s="16" t="str" cm="1">
        <f t="array" ref="G9" xml:space="preserve"> IF(G$3&lt;&gt;$D9, MID($C9,G$3,1), INDEX(音調表!$D$3:$D$12, MATCH(TRUE, EXACT(MID($C9,G$3,1), 音調表!$B$3:$B$12),0)))</f>
        <v>;</v>
      </c>
      <c r="H9" s="16" t="str" cm="1">
        <f t="array" ref="H9" xml:space="preserve"> IF(H$3&lt;&gt;$D9, MID($C9,H$3,1), INDEX(音調表!$D$3:$D$12, MATCH(TRUE, EXACT(MID($C9,H$3,1), 音調表!$B$3:$B$12),0)))</f>
        <v/>
      </c>
      <c r="I9" s="16" t="str" cm="1">
        <f t="array" ref="I9" xml:space="preserve"> IF(I$3&lt;&gt;$D9, MID($C9,I$3,1), INDEX(音調表!$D$3:$D$12, MATCH(TRUE, EXACT(MID($C9,I$3,1), 音調表!$B$3:$B$12),0)))</f>
        <v/>
      </c>
      <c r="J9" s="16" t="str" cm="1">
        <f t="array" ref="J9" xml:space="preserve"> IF(J$3&lt;&gt;$D9, MID($C9,J$3,1), INDEX(音調表!$D$3:$D$12, MATCH(TRUE, EXACT(MID($C9,J$3,1), 音調表!$B$3:$B$12),0)))</f>
        <v/>
      </c>
      <c r="K9" s="16" t="str" cm="1">
        <f t="array" ref="K9" xml:space="preserve"> IF(K$3&lt;&gt;$D9, MID($C9,K$3,1), INDEX(音調表!$D$3:$D$12, MATCH(TRUE, EXACT(MID($C9,K$3,1), 音調表!$B$3:$B$12),0)))</f>
        <v/>
      </c>
      <c r="L9" s="16" t="str" cm="1">
        <f t="array" ref="L9" xml:space="preserve"> IF(L$3&lt;&gt;$D9, MID($C9,L$3,1), INDEX(音調表!$D$3:$D$12, MATCH(TRUE, EXACT(MID($C9,L$3,1), 音調表!$B$3:$B$12),0)))</f>
        <v/>
      </c>
      <c r="M9" s="17" t="str" cm="1">
        <f t="array" ref="M9" xml:space="preserve"> IF(M$3&lt;&gt;$D9, MID($C9,M$3,1), INDEX(音調表!$D$3:$D$12, MATCH(TRUE, EXACT(MID($C9,M$3,1), 音調表!$B$3:$B$12),0)))</f>
        <v/>
      </c>
      <c r="O9" s="2"/>
      <c r="P9" s="2"/>
    </row>
    <row r="10" spans="2:17" x14ac:dyDescent="0.25">
      <c r="B10" s="13" t="s">
        <v>61</v>
      </c>
      <c r="C10" s="14" t="s">
        <v>94</v>
      </c>
      <c r="D10" s="15">
        <f t="shared" si="0"/>
        <v>5</v>
      </c>
      <c r="E10" s="16" t="str" cm="1">
        <f t="array" ref="E10" xml:space="preserve"> IF(E$3&lt;&gt;$D10, MID($C10,E$3,1), INDEX(音調表!$D$3:$D$12, MATCH(TRUE, EXACT(MID($C10,E$3,1), 音調表!$B$3:$B$12),0)))</f>
        <v>h</v>
      </c>
      <c r="F10" s="16" t="str" cm="1">
        <f t="array" ref="F10" xml:space="preserve"> IF(F$3&lt;&gt;$D10, MID($C10,F$3,1), INDEX(音調表!$D$3:$D$12, MATCH(TRUE, EXACT(MID($C10,F$3,1), 音調表!$B$3:$B$12),0)))</f>
        <v>u</v>
      </c>
      <c r="G10" s="16" t="str" cm="1">
        <f t="array" ref="G10" xml:space="preserve"> IF(G$3&lt;&gt;$D10, MID($C10,G$3,1), INDEX(音調表!$D$3:$D$12, MATCH(TRUE, EXACT(MID($C10,G$3,1), 音調表!$B$3:$B$12),0)))</f>
        <v>a</v>
      </c>
      <c r="H10" s="16" t="str" cm="1">
        <f t="array" ref="H10" xml:space="preserve"> IF(H$3&lt;&gt;$D10, MID($C10,H$3,1), INDEX(音調表!$D$3:$D$12, MATCH(TRUE, EXACT(MID($C10,H$3,1), 音調表!$B$3:$B$12),0)))</f>
        <v>n</v>
      </c>
      <c r="I10" s="16" t="str" cm="1">
        <f t="array" ref="I10" xml:space="preserve"> IF(I$3&lt;&gt;$D10, MID($C10,I$3,1), INDEX(音調表!$D$3:$D$12, MATCH(TRUE, EXACT(MID($C10,I$3,1), 音調表!$B$3:$B$12),0)))</f>
        <v>_</v>
      </c>
      <c r="J10" s="16" t="str" cm="1">
        <f t="array" ref="J10" xml:space="preserve"> IF(J$3&lt;&gt;$D10, MID($C10,J$3,1), INDEX(音調表!$D$3:$D$12, MATCH(TRUE, EXACT(MID($C10,J$3,1), 音調表!$B$3:$B$12),0)))</f>
        <v/>
      </c>
      <c r="K10" s="16" t="str" cm="1">
        <f t="array" ref="K10" xml:space="preserve"> IF(K$3&lt;&gt;$D10, MID($C10,K$3,1), INDEX(音調表!$D$3:$D$12, MATCH(TRUE, EXACT(MID($C10,K$3,1), 音調表!$B$3:$B$12),0)))</f>
        <v/>
      </c>
      <c r="L10" s="16" t="str" cm="1">
        <f t="array" ref="L10" xml:space="preserve"> IF(L$3&lt;&gt;$D10, MID($C10,L$3,1), INDEX(音調表!$D$3:$D$12, MATCH(TRUE, EXACT(MID($C10,L$3,1), 音調表!$B$3:$B$12),0)))</f>
        <v/>
      </c>
      <c r="M10" s="17" t="str" cm="1">
        <f t="array" ref="M10" xml:space="preserve"> IF(M$3&lt;&gt;$D10, MID($C10,M$3,1), INDEX(音調表!$D$3:$D$12, MATCH(TRUE, EXACT(MID($C10,M$3,1), 音調表!$B$3:$B$12),0)))</f>
        <v/>
      </c>
      <c r="O10" s="2"/>
      <c r="P10" s="2"/>
    </row>
    <row r="11" spans="2:17" x14ac:dyDescent="0.25">
      <c r="B11" s="13"/>
      <c r="C11" s="14"/>
      <c r="D11" s="15" t="str">
        <f t="shared" si="0"/>
        <v/>
      </c>
      <c r="E11" s="16" t="str" cm="1">
        <f t="array" ref="E11" xml:space="preserve"> IF(E$3&lt;&gt;$D11, MID($C11,E$3,1), INDEX(音調表!$D$3:$D$12, MATCH(TRUE, EXACT(MID($C11,E$3,1), 音調表!$B$3:$B$12),0)))</f>
        <v/>
      </c>
      <c r="F11" s="16" t="str" cm="1">
        <f t="array" ref="F11" xml:space="preserve"> IF(F$3&lt;&gt;$D11, MID($C11,F$3,1), INDEX(音調表!$D$3:$D$12, MATCH(TRUE, EXACT(MID($C11,F$3,1), 音調表!$B$3:$B$12),0)))</f>
        <v/>
      </c>
      <c r="G11" s="16" t="str" cm="1">
        <f t="array" ref="G11" xml:space="preserve"> IF(G$3&lt;&gt;$D11, MID($C11,G$3,1), INDEX(音調表!$D$3:$D$12, MATCH(TRUE, EXACT(MID($C11,G$3,1), 音調表!$B$3:$B$12),0)))</f>
        <v/>
      </c>
      <c r="H11" s="16" t="str" cm="1">
        <f t="array" ref="H11" xml:space="preserve"> IF(H$3&lt;&gt;$D11, MID($C11,H$3,1), INDEX(音調表!$D$3:$D$12, MATCH(TRUE, EXACT(MID($C11,H$3,1), 音調表!$B$3:$B$12),0)))</f>
        <v/>
      </c>
      <c r="I11" s="16" t="str" cm="1">
        <f t="array" ref="I11" xml:space="preserve"> IF(I$3&lt;&gt;$D11, MID($C11,I$3,1), INDEX(音調表!$D$3:$D$12, MATCH(TRUE, EXACT(MID($C11,I$3,1), 音調表!$B$3:$B$12),0)))</f>
        <v/>
      </c>
      <c r="J11" s="16" t="str" cm="1">
        <f t="array" ref="J11" xml:space="preserve"> IF(J$3&lt;&gt;$D11, MID($C11,J$3,1), INDEX(音調表!$D$3:$D$12, MATCH(TRUE, EXACT(MID($C11,J$3,1), 音調表!$B$3:$B$12),0)))</f>
        <v/>
      </c>
      <c r="K11" s="16" t="str" cm="1">
        <f t="array" ref="K11" xml:space="preserve"> IF(K$3&lt;&gt;$D11, MID($C11,K$3,1), INDEX(音調表!$D$3:$D$12, MATCH(TRUE, EXACT(MID($C11,K$3,1), 音調表!$B$3:$B$12),0)))</f>
        <v/>
      </c>
      <c r="L11" s="16" t="str" cm="1">
        <f t="array" ref="L11" xml:space="preserve"> IF(L$3&lt;&gt;$D11, MID($C11,L$3,1), INDEX(音調表!$D$3:$D$12, MATCH(TRUE, EXACT(MID($C11,L$3,1), 音調表!$B$3:$B$12),0)))</f>
        <v/>
      </c>
      <c r="M11" s="17" t="str" cm="1">
        <f t="array" ref="M11" xml:space="preserve"> IF(M$3&lt;&gt;$D11, MID($C11,M$3,1), INDEX(音調表!$D$3:$D$12, MATCH(TRUE, EXACT(MID($C11,M$3,1), 音調表!$B$3:$B$12),0)))</f>
        <v/>
      </c>
      <c r="O11" s="2"/>
      <c r="P11" s="2"/>
    </row>
    <row r="12" spans="2:17" x14ac:dyDescent="0.25">
      <c r="B12" s="13" t="s">
        <v>62</v>
      </c>
      <c r="C12" s="14" t="s">
        <v>95</v>
      </c>
      <c r="D12" s="15">
        <f t="shared" si="0"/>
        <v>5</v>
      </c>
      <c r="E12" s="16" t="str" cm="1">
        <f t="array" ref="E12" xml:space="preserve"> IF(E$3&lt;&gt;$D12, MID($C12,E$3,1), INDEX(音調表!$D$3:$D$12, MATCH(TRUE, EXACT(MID($C12,E$3,1), 音調表!$B$3:$B$12),0)))</f>
        <v>h</v>
      </c>
      <c r="F12" s="16" t="str" cm="1">
        <f t="array" ref="F12" xml:space="preserve"> IF(F$3&lt;&gt;$D12, MID($C12,F$3,1), INDEX(音調表!$D$3:$D$12, MATCH(TRUE, EXACT(MID($C12,F$3,1), 音調表!$B$3:$B$12),0)))</f>
        <v>o</v>
      </c>
      <c r="G12" s="16" t="str" cm="1">
        <f t="array" ref="G12" xml:space="preserve"> IF(G$3&lt;&gt;$D12, MID($C12,G$3,1), INDEX(音調表!$D$3:$D$12, MATCH(TRUE, EXACT(MID($C12,G$3,1), 音調表!$B$3:$B$12),0)))</f>
        <v>n</v>
      </c>
      <c r="H12" s="16" t="str" cm="1">
        <f t="array" ref="H12" xml:space="preserve"> IF(H$3&lt;&gt;$D12, MID($C12,H$3,1), INDEX(音調表!$D$3:$D$12, MATCH(TRUE, EXACT(MID($C12,H$3,1), 音調表!$B$3:$B$12),0)))</f>
        <v>g</v>
      </c>
      <c r="I12" s="16" t="str" cm="1">
        <f t="array" ref="I12" xml:space="preserve"> IF(I$3&lt;&gt;$D12, MID($C12,I$3,1), INDEX(音調表!$D$3:$D$12, MATCH(TRUE, EXACT(MID($C12,I$3,1), 音調表!$B$3:$B$12),0)))</f>
        <v>/</v>
      </c>
      <c r="J12" s="16" t="str" cm="1">
        <f t="array" ref="J12" xml:space="preserve"> IF(J$3&lt;&gt;$D12, MID($C12,J$3,1), INDEX(音調表!$D$3:$D$12, MATCH(TRUE, EXACT(MID($C12,J$3,1), 音調表!$B$3:$B$12),0)))</f>
        <v/>
      </c>
      <c r="K12" s="16" t="str" cm="1">
        <f t="array" ref="K12" xml:space="preserve"> IF(K$3&lt;&gt;$D12, MID($C12,K$3,1), INDEX(音調表!$D$3:$D$12, MATCH(TRUE, EXACT(MID($C12,K$3,1), 音調表!$B$3:$B$12),0)))</f>
        <v/>
      </c>
      <c r="L12" s="16" t="str" cm="1">
        <f t="array" ref="L12" xml:space="preserve"> IF(L$3&lt;&gt;$D12, MID($C12,L$3,1), INDEX(音調表!$D$3:$D$12, MATCH(TRUE, EXACT(MID($C12,L$3,1), 音調表!$B$3:$B$12),0)))</f>
        <v/>
      </c>
      <c r="M12" s="17" t="str" cm="1">
        <f t="array" ref="M12" xml:space="preserve"> IF(M$3&lt;&gt;$D12, MID($C12,M$3,1), INDEX(音調表!$D$3:$D$12, MATCH(TRUE, EXACT(MID($C12,M$3,1), 音調表!$B$3:$B$12),0)))</f>
        <v/>
      </c>
      <c r="O12" s="2"/>
      <c r="P12" s="2"/>
    </row>
    <row r="13" spans="2:17" x14ac:dyDescent="0.25">
      <c r="B13" s="13" t="s">
        <v>63</v>
      </c>
      <c r="C13" s="14" t="s">
        <v>96</v>
      </c>
      <c r="D13" s="15">
        <f t="shared" si="0"/>
        <v>3</v>
      </c>
      <c r="E13" s="16" t="str" cm="1">
        <f t="array" ref="E13" xml:space="preserve"> IF(E$3&lt;&gt;$D13, MID($C13,E$3,1), INDEX(音調表!$D$3:$D$12, MATCH(TRUE, EXACT(MID($C13,E$3,1), 音調表!$B$3:$B$12),0)))</f>
        <v>h</v>
      </c>
      <c r="F13" s="16" t="str" cm="1">
        <f t="array" ref="F13" xml:space="preserve"> IF(F$3&lt;&gt;$D13, MID($C13,F$3,1), INDEX(音調表!$D$3:$D$12, MATCH(TRUE, EXACT(MID($C13,F$3,1), 音調表!$B$3:$B$12),0)))</f>
        <v>o</v>
      </c>
      <c r="G13" s="16" t="str" cm="1">
        <f t="array" ref="G13" xml:space="preserve"> IF(G$3&lt;&gt;$D13, MID($C13,G$3,1), INDEX(音調表!$D$3:$D$12, MATCH(TRUE, EXACT(MID($C13,G$3,1), 音調表!$B$3:$B$12),0)))</f>
        <v>/</v>
      </c>
      <c r="H13" s="16" t="str" cm="1">
        <f t="array" ref="H13" xml:space="preserve"> IF(H$3&lt;&gt;$D13, MID($C13,H$3,1), INDEX(音調表!$D$3:$D$12, MATCH(TRUE, EXACT(MID($C13,H$3,1), 音調表!$B$3:$B$12),0)))</f>
        <v/>
      </c>
      <c r="I13" s="16" t="str" cm="1">
        <f t="array" ref="I13" xml:space="preserve"> IF(I$3&lt;&gt;$D13, MID($C13,I$3,1), INDEX(音調表!$D$3:$D$12, MATCH(TRUE, EXACT(MID($C13,I$3,1), 音調表!$B$3:$B$12),0)))</f>
        <v/>
      </c>
      <c r="J13" s="16" t="str" cm="1">
        <f t="array" ref="J13" xml:space="preserve"> IF(J$3&lt;&gt;$D13, MID($C13,J$3,1), INDEX(音調表!$D$3:$D$12, MATCH(TRUE, EXACT(MID($C13,J$3,1), 音調表!$B$3:$B$12),0)))</f>
        <v/>
      </c>
      <c r="K13" s="16" t="str" cm="1">
        <f t="array" ref="K13" xml:space="preserve"> IF(K$3&lt;&gt;$D13, MID($C13,K$3,1), INDEX(音調表!$D$3:$D$12, MATCH(TRUE, EXACT(MID($C13,K$3,1), 音調表!$B$3:$B$12),0)))</f>
        <v/>
      </c>
      <c r="L13" s="16" t="str" cm="1">
        <f t="array" ref="L13" xml:space="preserve"> IF(L$3&lt;&gt;$D13, MID($C13,L$3,1), INDEX(音調表!$D$3:$D$12, MATCH(TRUE, EXACT(MID($C13,L$3,1), 音調表!$B$3:$B$12),0)))</f>
        <v/>
      </c>
      <c r="M13" s="17" t="str" cm="1">
        <f t="array" ref="M13" xml:space="preserve"> IF(M$3&lt;&gt;$D13, MID($C13,M$3,1), INDEX(音調表!$D$3:$D$12, MATCH(TRUE, EXACT(MID($C13,M$3,1), 音調表!$B$3:$B$12),0)))</f>
        <v/>
      </c>
      <c r="O13" s="2"/>
      <c r="P13" s="2"/>
    </row>
    <row r="14" spans="2:17" x14ac:dyDescent="0.25">
      <c r="B14" s="13" t="s">
        <v>64</v>
      </c>
      <c r="C14" s="14" t="s">
        <v>97</v>
      </c>
      <c r="D14" s="15">
        <f t="shared" si="0"/>
        <v>4</v>
      </c>
      <c r="E14" s="16" t="str" cm="1">
        <f t="array" ref="E14" xml:space="preserve"> IF(E$3&lt;&gt;$D14, MID($C14,E$3,1), INDEX(音調表!$D$3:$D$12, MATCH(TRUE, EXACT(MID($C14,E$3,1), 音調表!$B$3:$B$12),0)))</f>
        <v>u</v>
      </c>
      <c r="F14" s="16" t="str" cm="1">
        <f t="array" ref="F14" xml:space="preserve"> IF(F$3&lt;&gt;$D14, MID($C14,F$3,1), INDEX(音調表!$D$3:$D$12, MATCH(TRUE, EXACT(MID($C14,F$3,1), 音調表!$B$3:$B$12),0)))</f>
        <v>a</v>
      </c>
      <c r="G14" s="16" t="str" cm="1">
        <f t="array" ref="G14" xml:space="preserve"> IF(G$3&lt;&gt;$D14, MID($C14,G$3,1), INDEX(音調表!$D$3:$D$12, MATCH(TRUE, EXACT(MID($C14,G$3,1), 音調表!$B$3:$B$12),0)))</f>
        <v>n</v>
      </c>
      <c r="H14" s="16" t="str" cm="1">
        <f t="array" ref="H14" xml:space="preserve"> IF(H$3&lt;&gt;$D14, MID($C14,H$3,1), INDEX(音調表!$D$3:$D$12, MATCH(TRUE, EXACT(MID($C14,H$3,1), 音調表!$B$3:$B$12),0)))</f>
        <v>\</v>
      </c>
      <c r="I14" s="16" t="str" cm="1">
        <f t="array" ref="I14" xml:space="preserve"> IF(I$3&lt;&gt;$D14, MID($C14,I$3,1), INDEX(音調表!$D$3:$D$12, MATCH(TRUE, EXACT(MID($C14,I$3,1), 音調表!$B$3:$B$12),0)))</f>
        <v/>
      </c>
      <c r="J14" s="16" t="str" cm="1">
        <f t="array" ref="J14" xml:space="preserve"> IF(J$3&lt;&gt;$D14, MID($C14,J$3,1), INDEX(音調表!$D$3:$D$12, MATCH(TRUE, EXACT(MID($C14,J$3,1), 音調表!$B$3:$B$12),0)))</f>
        <v/>
      </c>
      <c r="K14" s="16" t="str" cm="1">
        <f t="array" ref="K14" xml:space="preserve"> IF(K$3&lt;&gt;$D14, MID($C14,K$3,1), INDEX(音調表!$D$3:$D$12, MATCH(TRUE, EXACT(MID($C14,K$3,1), 音調表!$B$3:$B$12),0)))</f>
        <v/>
      </c>
      <c r="L14" s="16" t="str" cm="1">
        <f t="array" ref="L14" xml:space="preserve"> IF(L$3&lt;&gt;$D14, MID($C14,L$3,1), INDEX(音調表!$D$3:$D$12, MATCH(TRUE, EXACT(MID($C14,L$3,1), 音調表!$B$3:$B$12),0)))</f>
        <v/>
      </c>
      <c r="M14" s="17" t="str" cm="1">
        <f t="array" ref="M14" xml:space="preserve"> IF(M$3&lt;&gt;$D14, MID($C14,M$3,1), INDEX(音調表!$D$3:$D$12, MATCH(TRUE, EXACT(MID($C14,M$3,1), 音調表!$B$3:$B$12),0)))</f>
        <v/>
      </c>
      <c r="O14" s="2"/>
      <c r="P14" s="2"/>
    </row>
    <row r="15" spans="2:17" x14ac:dyDescent="0.25">
      <c r="B15" s="13" t="s">
        <v>65</v>
      </c>
      <c r="C15" s="14" t="s">
        <v>98</v>
      </c>
      <c r="D15" s="15">
        <f t="shared" si="0"/>
        <v>6</v>
      </c>
      <c r="E15" s="16" t="str" cm="1">
        <f t="array" ref="E15" xml:space="preserve"> IF(E$3&lt;&gt;$D15, MID($C15,E$3,1), INDEX(音調表!$D$3:$D$12, MATCH(TRUE, EXACT(MID($C15,E$3,1), 音調表!$B$3:$B$12),0)))</f>
        <v>s</v>
      </c>
      <c r="F15" s="16" t="str" cm="1">
        <f t="array" ref="F15" xml:space="preserve"> IF(F$3&lt;&gt;$D15, MID($C15,F$3,1), INDEX(音調表!$D$3:$D$12, MATCH(TRUE, EXACT(MID($C15,F$3,1), 音調表!$B$3:$B$12),0)))</f>
        <v>i</v>
      </c>
      <c r="G15" s="16" t="str" cm="1">
        <f t="array" ref="G15" xml:space="preserve"> IF(G$3&lt;&gt;$D15, MID($C15,G$3,1), INDEX(音調表!$D$3:$D$12, MATCH(TRUE, EXACT(MID($C15,G$3,1), 音調表!$B$3:$B$12),0)))</f>
        <v>o</v>
      </c>
      <c r="H15" s="16" t="str" cm="1">
        <f t="array" ref="H15" xml:space="preserve"> IF(H$3&lt;&gt;$D15, MID($C15,H$3,1), INDEX(音調表!$D$3:$D$12, MATCH(TRUE, EXACT(MID($C15,H$3,1), 音調表!$B$3:$B$12),0)))</f>
        <v>n</v>
      </c>
      <c r="I15" s="16" t="str" cm="1">
        <f t="array" ref="I15" xml:space="preserve"> IF(I$3&lt;&gt;$D15, MID($C15,I$3,1), INDEX(音調表!$D$3:$D$12, MATCH(TRUE, EXACT(MID($C15,I$3,1), 音調表!$B$3:$B$12),0)))</f>
        <v>g</v>
      </c>
      <c r="J15" s="16" t="str" cm="1">
        <f t="array" ref="J15" xml:space="preserve"> IF(J$3&lt;&gt;$D15, MID($C15,J$3,1), INDEX(音調表!$D$3:$D$12, MATCH(TRUE, EXACT(MID($C15,J$3,1), 音調表!$B$3:$B$12),0)))</f>
        <v>\</v>
      </c>
      <c r="K15" s="16" t="str" cm="1">
        <f t="array" ref="K15" xml:space="preserve"> IF(K$3&lt;&gt;$D15, MID($C15,K$3,1), INDEX(音調表!$D$3:$D$12, MATCH(TRUE, EXACT(MID($C15,K$3,1), 音調表!$B$3:$B$12),0)))</f>
        <v/>
      </c>
      <c r="L15" s="16" t="str" cm="1">
        <f t="array" ref="L15" xml:space="preserve"> IF(L$3&lt;&gt;$D15, MID($C15,L$3,1), INDEX(音調表!$D$3:$D$12, MATCH(TRUE, EXACT(MID($C15,L$3,1), 音調表!$B$3:$B$12),0)))</f>
        <v/>
      </c>
      <c r="M15" s="17" t="str" cm="1">
        <f t="array" ref="M15" xml:space="preserve"> IF(M$3&lt;&gt;$D15, MID($C15,M$3,1), INDEX(音調表!$D$3:$D$12, MATCH(TRUE, EXACT(MID($C15,M$3,1), 音調表!$B$3:$B$12),0)))</f>
        <v/>
      </c>
      <c r="O15" s="2"/>
      <c r="P15" s="2"/>
    </row>
    <row r="16" spans="2:17" x14ac:dyDescent="0.25">
      <c r="B16" s="13" t="s">
        <v>66</v>
      </c>
      <c r="C16" s="14" t="s">
        <v>99</v>
      </c>
      <c r="D16" s="15">
        <f t="shared" si="0"/>
        <v>4</v>
      </c>
      <c r="E16" s="16" t="str" cm="1">
        <f t="array" ref="E16" xml:space="preserve"> IF(E$3&lt;&gt;$D16, MID($C16,E$3,1), INDEX(音調表!$D$3:$D$12, MATCH(TRUE, EXACT(MID($C16,E$3,1), 音調表!$B$3:$B$12),0)))</f>
        <v>p</v>
      </c>
      <c r="F16" s="16" t="str" cm="1">
        <f t="array" ref="F16" xml:space="preserve"> IF(F$3&lt;&gt;$D16, MID($C16,F$3,1), INDEX(音調表!$D$3:$D$12, MATCH(TRUE, EXACT(MID($C16,F$3,1), 音調表!$B$3:$B$12),0)))</f>
        <v>i</v>
      </c>
      <c r="G16" s="16" t="str" cm="1">
        <f t="array" ref="G16" xml:space="preserve"> IF(G$3&lt;&gt;$D16, MID($C16,G$3,1), INDEX(音調表!$D$3:$D$12, MATCH(TRUE, EXACT(MID($C16,G$3,1), 音調表!$B$3:$B$12),0)))</f>
        <v>k</v>
      </c>
      <c r="H16" s="16" t="str" cm="1">
        <f t="array" ref="H16" xml:space="preserve"> IF(H$3&lt;&gt;$D16, MID($C16,H$3,1), INDEX(音調表!$D$3:$D$12, MATCH(TRUE, EXACT(MID($C16,H$3,1), 音調表!$B$3:$B$12),0)))</f>
        <v>]</v>
      </c>
      <c r="I16" s="16" t="str" cm="1">
        <f t="array" ref="I16" xml:space="preserve"> IF(I$3&lt;&gt;$D16, MID($C16,I$3,1), INDEX(音調表!$D$3:$D$12, MATCH(TRUE, EXACT(MID($C16,I$3,1), 音調表!$B$3:$B$12),0)))</f>
        <v/>
      </c>
      <c r="J16" s="16" t="str" cm="1">
        <f t="array" ref="J16" xml:space="preserve"> IF(J$3&lt;&gt;$D16, MID($C16,J$3,1), INDEX(音調表!$D$3:$D$12, MATCH(TRUE, EXACT(MID($C16,J$3,1), 音調表!$B$3:$B$12),0)))</f>
        <v/>
      </c>
      <c r="K16" s="16" t="str" cm="1">
        <f t="array" ref="K16" xml:space="preserve"> IF(K$3&lt;&gt;$D16, MID($C16,K$3,1), INDEX(音調表!$D$3:$D$12, MATCH(TRUE, EXACT(MID($C16,K$3,1), 音調表!$B$3:$B$12),0)))</f>
        <v/>
      </c>
      <c r="L16" s="16" t="str" cm="1">
        <f t="array" ref="L16" xml:space="preserve"> IF(L$3&lt;&gt;$D16, MID($C16,L$3,1), INDEX(音調表!$D$3:$D$12, MATCH(TRUE, EXACT(MID($C16,L$3,1), 音調表!$B$3:$B$12),0)))</f>
        <v/>
      </c>
      <c r="M16" s="17" t="str" cm="1">
        <f t="array" ref="M16" xml:space="preserve"> IF(M$3&lt;&gt;$D16, MID($C16,M$3,1), INDEX(音調表!$D$3:$D$12, MATCH(TRUE, EXACT(MID($C16,M$3,1), 音調表!$B$3:$B$12),0)))</f>
        <v/>
      </c>
      <c r="O16" s="2"/>
      <c r="P16" s="2"/>
    </row>
    <row r="17" spans="2:16" x14ac:dyDescent="0.25">
      <c r="B17" s="13" t="s">
        <v>67</v>
      </c>
      <c r="C17" s="14" t="s">
        <v>100</v>
      </c>
      <c r="D17" s="15">
        <f t="shared" si="0"/>
        <v>4</v>
      </c>
      <c r="E17" s="16" t="str" cm="1">
        <f t="array" ref="E17" xml:space="preserve"> IF(E$3&lt;&gt;$D17, MID($C17,E$3,1), INDEX(音調表!$D$3:$D$12, MATCH(TRUE, EXACT(MID($C17,E$3,1), 音調表!$B$3:$B$12),0)))</f>
        <v>h</v>
      </c>
      <c r="F17" s="16" t="str" cm="1">
        <f t="array" ref="F17" xml:space="preserve"> IF(F$3&lt;&gt;$D17, MID($C17,F$3,1), INDEX(音調表!$D$3:$D$12, MATCH(TRUE, EXACT(MID($C17,F$3,1), 音調表!$B$3:$B$12),0)))</f>
        <v>u</v>
      </c>
      <c r="G17" s="16" t="str" cm="1">
        <f t="array" ref="G17" xml:space="preserve"> IF(G$3&lt;&gt;$D17, MID($C17,G$3,1), INDEX(音調表!$D$3:$D$12, MATCH(TRUE, EXACT(MID($C17,G$3,1), 音調表!$B$3:$B$12),0)))</f>
        <v>n</v>
      </c>
      <c r="H17" s="16" t="str" cm="1">
        <f t="array" ref="H17" xml:space="preserve"> IF(H$3&lt;&gt;$D17, MID($C17,H$3,1), INDEX(音調表!$D$3:$D$12, MATCH(TRUE, EXACT(MID($C17,H$3,1), 音調表!$B$3:$B$12),0)))</f>
        <v>/</v>
      </c>
      <c r="I17" s="16" t="str" cm="1">
        <f t="array" ref="I17" xml:space="preserve"> IF(I$3&lt;&gt;$D17, MID($C17,I$3,1), INDEX(音調表!$D$3:$D$12, MATCH(TRUE, EXACT(MID($C17,I$3,1), 音調表!$B$3:$B$12),0)))</f>
        <v/>
      </c>
      <c r="J17" s="16" t="str" cm="1">
        <f t="array" ref="J17" xml:space="preserve"> IF(J$3&lt;&gt;$D17, MID($C17,J$3,1), INDEX(音調表!$D$3:$D$12, MATCH(TRUE, EXACT(MID($C17,J$3,1), 音調表!$B$3:$B$12),0)))</f>
        <v/>
      </c>
      <c r="K17" s="16" t="str" cm="1">
        <f t="array" ref="K17" xml:space="preserve"> IF(K$3&lt;&gt;$D17, MID($C17,K$3,1), INDEX(音調表!$D$3:$D$12, MATCH(TRUE, EXACT(MID($C17,K$3,1), 音調表!$B$3:$B$12),0)))</f>
        <v/>
      </c>
      <c r="L17" s="16" t="str" cm="1">
        <f t="array" ref="L17" xml:space="preserve"> IF(L$3&lt;&gt;$D17, MID($C17,L$3,1), INDEX(音調表!$D$3:$D$12, MATCH(TRUE, EXACT(MID($C17,L$3,1), 音調表!$B$3:$B$12),0)))</f>
        <v/>
      </c>
      <c r="M17" s="17" t="str" cm="1">
        <f t="array" ref="M17" xml:space="preserve"> IF(M$3&lt;&gt;$D17, MID($C17,M$3,1), INDEX(音調表!$D$3:$D$12, MATCH(TRUE, EXACT(MID($C17,M$3,1), 音調表!$B$3:$B$12),0)))</f>
        <v/>
      </c>
      <c r="O17" s="2"/>
      <c r="P17" s="2"/>
    </row>
    <row r="18" spans="2:16" x14ac:dyDescent="0.25">
      <c r="B18" s="13" t="s">
        <v>68</v>
      </c>
      <c r="C18" s="14" t="s">
        <v>101</v>
      </c>
      <c r="D18" s="15">
        <f t="shared" si="0"/>
        <v>4</v>
      </c>
      <c r="E18" s="16" t="str" cm="1">
        <f t="array" ref="E18" xml:space="preserve"> IF(E$3&lt;&gt;$D18, MID($C18,E$3,1), INDEX(音調表!$D$3:$D$12, MATCH(TRUE, EXACT(MID($C18,E$3,1), 音調表!$B$3:$B$12),0)))</f>
        <v>k</v>
      </c>
      <c r="F18" s="16" t="str" cm="1">
        <f t="array" ref="F18" xml:space="preserve"> IF(F$3&lt;&gt;$D18, MID($C18,F$3,1), INDEX(音調表!$D$3:$D$12, MATCH(TRUE, EXACT(MID($C18,F$3,1), 音調表!$B$3:$B$12),0)))</f>
        <v>a</v>
      </c>
      <c r="G18" s="16" t="str" cm="1">
        <f t="array" ref="G18" xml:space="preserve"> IF(G$3&lt;&gt;$D18, MID($C18,G$3,1), INDEX(音調表!$D$3:$D$12, MATCH(TRUE, EXACT(MID($C18,G$3,1), 音調表!$B$3:$B$12),0)))</f>
        <v>n</v>
      </c>
      <c r="H18" s="16" t="str" cm="1">
        <f t="array" ref="H18" xml:space="preserve"> IF(H$3&lt;&gt;$D18, MID($C18,H$3,1), INDEX(音調表!$D$3:$D$12, MATCH(TRUE, EXACT(MID($C18,H$3,1), 音調表!$B$3:$B$12),0)))</f>
        <v>;</v>
      </c>
      <c r="I18" s="16" t="str" cm="1">
        <f t="array" ref="I18" xml:space="preserve"> IF(I$3&lt;&gt;$D18, MID($C18,I$3,1), INDEX(音調表!$D$3:$D$12, MATCH(TRUE, EXACT(MID($C18,I$3,1), 音調表!$B$3:$B$12),0)))</f>
        <v/>
      </c>
      <c r="J18" s="16" t="str" cm="1">
        <f t="array" ref="J18" xml:space="preserve"> IF(J$3&lt;&gt;$D18, MID($C18,J$3,1), INDEX(音調表!$D$3:$D$12, MATCH(TRUE, EXACT(MID($C18,J$3,1), 音調表!$B$3:$B$12),0)))</f>
        <v/>
      </c>
      <c r="K18" s="16" t="str" cm="1">
        <f t="array" ref="K18" xml:space="preserve"> IF(K$3&lt;&gt;$D18, MID($C18,K$3,1), INDEX(音調表!$D$3:$D$12, MATCH(TRUE, EXACT(MID($C18,K$3,1), 音調表!$B$3:$B$12),0)))</f>
        <v/>
      </c>
      <c r="L18" s="16" t="str" cm="1">
        <f t="array" ref="L18" xml:space="preserve"> IF(L$3&lt;&gt;$D18, MID($C18,L$3,1), INDEX(音調表!$D$3:$D$12, MATCH(TRUE, EXACT(MID($C18,L$3,1), 音調表!$B$3:$B$12),0)))</f>
        <v/>
      </c>
      <c r="M18" s="17" t="str" cm="1">
        <f t="array" ref="M18" xml:space="preserve"> IF(M$3&lt;&gt;$D18, MID($C18,M$3,1), INDEX(音調表!$D$3:$D$12, MATCH(TRUE, EXACT(MID($C18,M$3,1), 音調表!$B$3:$B$12),0)))</f>
        <v/>
      </c>
      <c r="O18" s="2"/>
      <c r="P18" s="2"/>
    </row>
    <row r="19" spans="2:16" x14ac:dyDescent="0.25">
      <c r="B19" s="13" t="s">
        <v>69</v>
      </c>
      <c r="C19" s="14"/>
      <c r="D19" s="15" t="str">
        <f t="shared" si="0"/>
        <v/>
      </c>
      <c r="E19" s="16" t="s">
        <v>103</v>
      </c>
      <c r="F19" s="16" t="s">
        <v>104</v>
      </c>
      <c r="G19" s="16" t="str" cm="1">
        <f t="array" ref="G19" xml:space="preserve"> IF(G$3&lt;&gt;$D19, MID($C19,G$3,1), INDEX(音調表!$D$3:$D$12, MATCH(TRUE, EXACT(MID($C19,G$3,1), 音調表!$B$3:$B$12),0)))</f>
        <v/>
      </c>
      <c r="H19" s="16" t="str" cm="1">
        <f t="array" ref="H19" xml:space="preserve"> IF(H$3&lt;&gt;$D19, MID($C19,H$3,1), INDEX(音調表!$D$3:$D$12, MATCH(TRUE, EXACT(MID($C19,H$3,1), 音調表!$B$3:$B$12),0)))</f>
        <v/>
      </c>
      <c r="I19" s="16" t="str" cm="1">
        <f t="array" ref="I19" xml:space="preserve"> IF(I$3&lt;&gt;$D19, MID($C19,I$3,1), INDEX(音調表!$D$3:$D$12, MATCH(TRUE, EXACT(MID($C19,I$3,1), 音調表!$B$3:$B$12),0)))</f>
        <v/>
      </c>
      <c r="J19" s="16" t="str" cm="1">
        <f t="array" ref="J19" xml:space="preserve"> IF(J$3&lt;&gt;$D19, MID($C19,J$3,1), INDEX(音調表!$D$3:$D$12, MATCH(TRUE, EXACT(MID($C19,J$3,1), 音調表!$B$3:$B$12),0)))</f>
        <v/>
      </c>
      <c r="K19" s="16" t="str" cm="1">
        <f t="array" ref="K19" xml:space="preserve"> IF(K$3&lt;&gt;$D19, MID($C19,K$3,1), INDEX(音調表!$D$3:$D$12, MATCH(TRUE, EXACT(MID($C19,K$3,1), 音調表!$B$3:$B$12),0)))</f>
        <v/>
      </c>
      <c r="L19" s="16" t="str" cm="1">
        <f t="array" ref="L19" xml:space="preserve"> IF(L$3&lt;&gt;$D19, MID($C19,L$3,1), INDEX(音調表!$D$3:$D$12, MATCH(TRUE, EXACT(MID($C19,L$3,1), 音調表!$B$3:$B$12),0)))</f>
        <v/>
      </c>
      <c r="M19" s="17" t="str" cm="1">
        <f t="array" ref="M19" xml:space="preserve"> IF(M$3&lt;&gt;$D19, MID($C19,M$3,1), INDEX(音調表!$D$3:$D$12, MATCH(TRUE, EXACT(MID($C19,M$3,1), 音調表!$B$3:$B$12),0)))</f>
        <v/>
      </c>
      <c r="O19" s="2"/>
      <c r="P19" s="2"/>
    </row>
    <row r="20" spans="2:16" x14ac:dyDescent="0.25">
      <c r="B20" s="13" t="s">
        <v>70</v>
      </c>
      <c r="C20" s="14" t="s">
        <v>106</v>
      </c>
      <c r="D20" s="15">
        <f t="shared" si="0"/>
        <v>3</v>
      </c>
      <c r="E20" s="16" t="str" cm="1">
        <f t="array" ref="E20" xml:space="preserve"> IF(E$3&lt;&gt;$D20, MID($C20,E$3,1), INDEX(音調表!$D$3:$D$12, MATCH(TRUE, EXACT(MID($C20,E$3,1), 音調表!$B$3:$B$12),0)))</f>
        <v>i</v>
      </c>
      <c r="F20" s="16" t="str" cm="1">
        <f t="array" ref="F20" xml:space="preserve"> IF(F$3&lt;&gt;$D20, MID($C20,F$3,1), INDEX(音調表!$D$3:$D$12, MATCH(TRUE, EXACT(MID($C20,F$3,1), 音調表!$B$3:$B$12),0)))</f>
        <v>t</v>
      </c>
      <c r="G20" s="16" t="str" cm="1">
        <f t="array" ref="G20" xml:space="preserve"> IF(G$3&lt;&gt;$D20, MID($C20,G$3,1), INDEX(音調表!$D$3:$D$12, MATCH(TRUE, EXACT(MID($C20,G$3,1), 音調表!$B$3:$B$12),0)))</f>
        <v>[</v>
      </c>
      <c r="H20" s="16" t="str" cm="1">
        <f t="array" ref="H20" xml:space="preserve"> IF(H$3&lt;&gt;$D20, MID($C20,H$3,1), INDEX(音調表!$D$3:$D$12, MATCH(TRUE, EXACT(MID($C20,H$3,1), 音調表!$B$3:$B$12),0)))</f>
        <v/>
      </c>
      <c r="I20" s="16" t="str" cm="1">
        <f t="array" ref="I20" xml:space="preserve"> IF(I$3&lt;&gt;$D20, MID($C20,I$3,1), INDEX(音調表!$D$3:$D$12, MATCH(TRUE, EXACT(MID($C20,I$3,1), 音調表!$B$3:$B$12),0)))</f>
        <v/>
      </c>
      <c r="J20" s="16" t="str" cm="1">
        <f t="array" ref="J20" xml:space="preserve"> IF(J$3&lt;&gt;$D20, MID($C20,J$3,1), INDEX(音調表!$D$3:$D$12, MATCH(TRUE, EXACT(MID($C20,J$3,1), 音調表!$B$3:$B$12),0)))</f>
        <v/>
      </c>
      <c r="K20" s="16" t="str" cm="1">
        <f t="array" ref="K20" xml:space="preserve"> IF(K$3&lt;&gt;$D20, MID($C20,K$3,1), INDEX(音調表!$D$3:$D$12, MATCH(TRUE, EXACT(MID($C20,K$3,1), 音調表!$B$3:$B$12),0)))</f>
        <v/>
      </c>
      <c r="L20" s="16" t="str" cm="1">
        <f t="array" ref="L20" xml:space="preserve"> IF(L$3&lt;&gt;$D20, MID($C20,L$3,1), INDEX(音調表!$D$3:$D$12, MATCH(TRUE, EXACT(MID($C20,L$3,1), 音調表!$B$3:$B$12),0)))</f>
        <v/>
      </c>
      <c r="M20" s="17" t="str" cm="1">
        <f t="array" ref="M20" xml:space="preserve"> IF(M$3&lt;&gt;$D20, MID($C20,M$3,1), INDEX(音調表!$D$3:$D$12, MATCH(TRUE, EXACT(MID($C20,M$3,1), 音調表!$B$3:$B$12),0)))</f>
        <v/>
      </c>
      <c r="O20" s="2"/>
      <c r="P20" s="2"/>
    </row>
    <row r="21" spans="2:16" x14ac:dyDescent="0.25">
      <c r="B21" s="13" t="s">
        <v>71</v>
      </c>
      <c r="C21" s="14" t="s">
        <v>107</v>
      </c>
      <c r="D21" s="15">
        <f t="shared" si="0"/>
        <v>6</v>
      </c>
      <c r="E21" s="16" t="str" cm="1">
        <f t="array" ref="E21" xml:space="preserve"> IF(E$3&lt;&gt;$D21, MID($C21,E$3,1), INDEX(音調表!$D$3:$D$12, MATCH(TRUE, EXACT(MID($C21,E$3,1), 音調表!$B$3:$B$12),0)))</f>
        <v>p</v>
      </c>
      <c r="F21" s="16" t="str" cm="1">
        <f t="array" ref="F21" xml:space="preserve"> IF(F$3&lt;&gt;$D21, MID($C21,F$3,1), INDEX(音調表!$D$3:$D$12, MATCH(TRUE, EXACT(MID($C21,F$3,1), 音調表!$B$3:$B$12),0)))</f>
        <v>h</v>
      </c>
      <c r="G21" s="16" t="str" cm="1">
        <f t="array" ref="G21" xml:space="preserve"> IF(G$3&lt;&gt;$D21, MID($C21,G$3,1), INDEX(音調表!$D$3:$D$12, MATCH(TRUE, EXACT(MID($C21,G$3,1), 音調表!$B$3:$B$12),0)))</f>
        <v>i</v>
      </c>
      <c r="H21" s="16" t="str" cm="1">
        <f t="array" ref="H21" xml:space="preserve"> IF(H$3&lt;&gt;$D21, MID($C21,H$3,1), INDEX(音調表!$D$3:$D$12, MATCH(TRUE, EXACT(MID($C21,H$3,1), 音調表!$B$3:$B$12),0)))</f>
        <v>a</v>
      </c>
      <c r="I21" s="16" t="str" cm="1">
        <f t="array" ref="I21" xml:space="preserve"> IF(I$3&lt;&gt;$D21, MID($C21,I$3,1), INDEX(音調表!$D$3:$D$12, MATCH(TRUE, EXACT(MID($C21,I$3,1), 音調表!$B$3:$B$12),0)))</f>
        <v>n</v>
      </c>
      <c r="J21" s="16" t="str" cm="1">
        <f t="array" ref="J21" xml:space="preserve"> IF(J$3&lt;&gt;$D21, MID($C21,J$3,1), INDEX(音調表!$D$3:$D$12, MATCH(TRUE, EXACT(MID($C21,J$3,1), 音調表!$B$3:$B$12),0)))</f>
        <v>_</v>
      </c>
      <c r="K21" s="16" t="str" cm="1">
        <f t="array" ref="K21" xml:space="preserve"> IF(K$3&lt;&gt;$D21, MID($C21,K$3,1), INDEX(音調表!$D$3:$D$12, MATCH(TRUE, EXACT(MID($C21,K$3,1), 音調表!$B$3:$B$12),0)))</f>
        <v/>
      </c>
      <c r="L21" s="16" t="str" cm="1">
        <f t="array" ref="L21" xml:space="preserve"> IF(L$3&lt;&gt;$D21, MID($C21,L$3,1), INDEX(音調表!$D$3:$D$12, MATCH(TRUE, EXACT(MID($C21,L$3,1), 音調表!$B$3:$B$12),0)))</f>
        <v/>
      </c>
      <c r="M21" s="17" t="str" cm="1">
        <f t="array" ref="M21" xml:space="preserve"> IF(M$3&lt;&gt;$D21, MID($C21,M$3,1), INDEX(音調表!$D$3:$D$12, MATCH(TRUE, EXACT(MID($C21,M$3,1), 音調表!$B$3:$B$12),0)))</f>
        <v/>
      </c>
      <c r="O21" s="2"/>
      <c r="P21" s="2"/>
    </row>
    <row r="22" spans="2:16" x14ac:dyDescent="0.25">
      <c r="B22" s="13" t="s">
        <v>72</v>
      </c>
      <c r="C22" s="14" t="s">
        <v>108</v>
      </c>
      <c r="D22" s="15">
        <f t="shared" si="0"/>
        <v>4</v>
      </c>
      <c r="E22" s="16" t="str" cm="1">
        <f t="array" ref="E22" xml:space="preserve"> IF(E$3&lt;&gt;$D22, MID($C22,E$3,1), INDEX(音調表!$D$3:$D$12, MATCH(TRUE, EXACT(MID($C22,E$3,1), 音調表!$B$3:$B$12),0)))</f>
        <v>k</v>
      </c>
      <c r="F22" s="16" t="str" cm="1">
        <f t="array" ref="F22" xml:space="preserve"> IF(F$3&lt;&gt;$D22, MID($C22,F$3,1), INDEX(音調表!$D$3:$D$12, MATCH(TRUE, EXACT(MID($C22,F$3,1), 音調表!$B$3:$B$12),0)))</f>
        <v>o</v>
      </c>
      <c r="G22" s="16" t="str" cm="1">
        <f t="array" ref="G22" xml:space="preserve"> IF(G$3&lt;&gt;$D22, MID($C22,G$3,1), INDEX(音調表!$D$3:$D$12, MATCH(TRUE, EXACT(MID($C22,G$3,1), 音調表!$B$3:$B$12),0)))</f>
        <v>o</v>
      </c>
      <c r="H22" s="16" t="str" cm="1">
        <f t="array" ref="H22" xml:space="preserve"> IF(H$3&lt;&gt;$D22, MID($C22,H$3,1), INDEX(音調表!$D$3:$D$12, MATCH(TRUE, EXACT(MID($C22,H$3,1), 音調表!$B$3:$B$12),0)))</f>
        <v>;</v>
      </c>
      <c r="I22" s="16" t="str" cm="1">
        <f t="array" ref="I22" xml:space="preserve"> IF(I$3&lt;&gt;$D22, MID($C22,I$3,1), INDEX(音調表!$D$3:$D$12, MATCH(TRUE, EXACT(MID($C22,I$3,1), 音調表!$B$3:$B$12),0)))</f>
        <v/>
      </c>
      <c r="J22" s="16" t="str" cm="1">
        <f t="array" ref="J22" xml:space="preserve"> IF(J$3&lt;&gt;$D22, MID($C22,J$3,1), INDEX(音調表!$D$3:$D$12, MATCH(TRUE, EXACT(MID($C22,J$3,1), 音調表!$B$3:$B$12),0)))</f>
        <v/>
      </c>
      <c r="K22" s="16" t="str" cm="1">
        <f t="array" ref="K22" xml:space="preserve"> IF(K$3&lt;&gt;$D22, MID($C22,K$3,1), INDEX(音調表!$D$3:$D$12, MATCH(TRUE, EXACT(MID($C22,K$3,1), 音調表!$B$3:$B$12),0)))</f>
        <v/>
      </c>
      <c r="L22" s="16" t="str" cm="1">
        <f t="array" ref="L22" xml:space="preserve"> IF(L$3&lt;&gt;$D22, MID($C22,L$3,1), INDEX(音調表!$D$3:$D$12, MATCH(TRUE, EXACT(MID($C22,L$3,1), 音調表!$B$3:$B$12),0)))</f>
        <v/>
      </c>
      <c r="M22" s="17" t="str" cm="1">
        <f t="array" ref="M22" xml:space="preserve"> IF(M$3&lt;&gt;$D22, MID($C22,M$3,1), INDEX(音調表!$D$3:$D$12, MATCH(TRUE, EXACT(MID($C22,M$3,1), 音調表!$B$3:$B$12),0)))</f>
        <v/>
      </c>
      <c r="O22" s="2"/>
      <c r="P22" s="2"/>
    </row>
    <row r="23" spans="2:16" x14ac:dyDescent="0.25">
      <c r="B23" s="13" t="s">
        <v>73</v>
      </c>
      <c r="C23" s="14" t="s">
        <v>109</v>
      </c>
      <c r="D23" s="15">
        <f t="shared" si="0"/>
        <v>5</v>
      </c>
      <c r="E23" s="16" t="str" cm="1">
        <f t="array" ref="E23" xml:space="preserve"> IF(E$3&lt;&gt;$D23, MID($C23,E$3,1), INDEX(音調表!$D$3:$D$12, MATCH(TRUE, EXACT(MID($C23,E$3,1), 音調表!$B$3:$B$12),0)))</f>
        <v>s</v>
      </c>
      <c r="F23" s="16" t="str" cm="1">
        <f t="array" ref="F23" xml:space="preserve"> IF(F$3&lt;&gt;$D23, MID($C23,F$3,1), INDEX(音調表!$D$3:$D$12, MATCH(TRUE, EXACT(MID($C23,F$3,1), 音調表!$B$3:$B$12),0)))</f>
        <v>i</v>
      </c>
      <c r="G23" s="16" t="str" cm="1">
        <f t="array" ref="G23" xml:space="preserve"> IF(G$3&lt;&gt;$D23, MID($C23,G$3,1), INDEX(音調表!$D$3:$D$12, MATCH(TRUE, EXACT(MID($C23,G$3,1), 音調表!$B$3:$B$12),0)))</f>
        <v>n</v>
      </c>
      <c r="H23" s="16" t="str" cm="1">
        <f t="array" ref="H23" xml:space="preserve"> IF(H$3&lt;&gt;$D23, MID($C23,H$3,1), INDEX(音調表!$D$3:$D$12, MATCH(TRUE, EXACT(MID($C23,H$3,1), 音調表!$B$3:$B$12),0)))</f>
        <v>g</v>
      </c>
      <c r="I23" s="16" t="str" cm="1">
        <f t="array" ref="I23" xml:space="preserve"> IF(I$3&lt;&gt;$D23, MID($C23,I$3,1), INDEX(音調表!$D$3:$D$12, MATCH(TRUE, EXACT(MID($C23,I$3,1), 音調表!$B$3:$B$12),0)))</f>
        <v>/</v>
      </c>
      <c r="J23" s="16" t="str" cm="1">
        <f t="array" ref="J23" xml:space="preserve"> IF(J$3&lt;&gt;$D23, MID($C23,J$3,1), INDEX(音調表!$D$3:$D$12, MATCH(TRUE, EXACT(MID($C23,J$3,1), 音調表!$B$3:$B$12),0)))</f>
        <v/>
      </c>
      <c r="K23" s="16" t="str" cm="1">
        <f t="array" ref="K23" xml:space="preserve"> IF(K$3&lt;&gt;$D23, MID($C23,K$3,1), INDEX(音調表!$D$3:$D$12, MATCH(TRUE, EXACT(MID($C23,K$3,1), 音調表!$B$3:$B$12),0)))</f>
        <v/>
      </c>
      <c r="L23" s="16" t="str" cm="1">
        <f t="array" ref="L23" xml:space="preserve"> IF(L$3&lt;&gt;$D23, MID($C23,L$3,1), INDEX(音調表!$D$3:$D$12, MATCH(TRUE, EXACT(MID($C23,L$3,1), 音調表!$B$3:$B$12),0)))</f>
        <v/>
      </c>
      <c r="M23" s="17" t="str" cm="1">
        <f t="array" ref="M23" xml:space="preserve"> IF(M$3&lt;&gt;$D23, MID($C23,M$3,1), INDEX(音調表!$D$3:$D$12, MATCH(TRUE, EXACT(MID($C23,M$3,1), 音調表!$B$3:$B$12),0)))</f>
        <v/>
      </c>
      <c r="O23" s="2"/>
      <c r="P23" s="2"/>
    </row>
    <row r="24" spans="2:16" x14ac:dyDescent="0.25">
      <c r="B24" s="13" t="s">
        <v>74</v>
      </c>
      <c r="C24" s="14" t="s">
        <v>110</v>
      </c>
      <c r="D24" s="15">
        <f t="shared" si="0"/>
        <v>4</v>
      </c>
      <c r="E24" s="16" t="str" cm="1">
        <f t="array" ref="E24" xml:space="preserve"> IF(E$3&lt;&gt;$D24, MID($C24,E$3,1), INDEX(音調表!$D$3:$D$12, MATCH(TRUE, EXACT(MID($C24,E$3,1), 音調表!$B$3:$B$12),0)))</f>
        <v>b</v>
      </c>
      <c r="F24" s="16" t="str" cm="1">
        <f t="array" ref="F24" xml:space="preserve"> IF(F$3&lt;&gt;$D24, MID($C24,F$3,1), INDEX(音調表!$D$3:$D$12, MATCH(TRUE, EXACT(MID($C24,F$3,1), 音調表!$B$3:$B$12),0)))</f>
        <v>a</v>
      </c>
      <c r="G24" s="16" t="str" cm="1">
        <f t="array" ref="G24" xml:space="preserve"> IF(G$3&lt;&gt;$D24, MID($C24,G$3,1), INDEX(音調表!$D$3:$D$12, MATCH(TRUE, EXACT(MID($C24,G$3,1), 音調表!$B$3:$B$12),0)))</f>
        <v>n</v>
      </c>
      <c r="H24" s="16" t="str" cm="1">
        <f t="array" ref="H24" xml:space="preserve"> IF(H$3&lt;&gt;$D24, MID($C24,H$3,1), INDEX(音調表!$D$3:$D$12, MATCH(TRUE, EXACT(MID($C24,H$3,1), 音調表!$B$3:$B$12),0)))</f>
        <v>-</v>
      </c>
      <c r="I24" s="16" t="str" cm="1">
        <f t="array" ref="I24" xml:space="preserve"> IF(I$3&lt;&gt;$D24, MID($C24,I$3,1), INDEX(音調表!$D$3:$D$12, MATCH(TRUE, EXACT(MID($C24,I$3,1), 音調表!$B$3:$B$12),0)))</f>
        <v/>
      </c>
      <c r="J24" s="16" t="str" cm="1">
        <f t="array" ref="J24" xml:space="preserve"> IF(J$3&lt;&gt;$D24, MID($C24,J$3,1), INDEX(音調表!$D$3:$D$12, MATCH(TRUE, EXACT(MID($C24,J$3,1), 音調表!$B$3:$B$12),0)))</f>
        <v/>
      </c>
      <c r="K24" s="16" t="str" cm="1">
        <f t="array" ref="K24" xml:space="preserve"> IF(K$3&lt;&gt;$D24, MID($C24,K$3,1), INDEX(音調表!$D$3:$D$12, MATCH(TRUE, EXACT(MID($C24,K$3,1), 音調表!$B$3:$B$12),0)))</f>
        <v/>
      </c>
      <c r="L24" s="16" t="str" cm="1">
        <f t="array" ref="L24" xml:space="preserve"> IF(L$3&lt;&gt;$D24, MID($C24,L$3,1), INDEX(音調表!$D$3:$D$12, MATCH(TRUE, EXACT(MID($C24,L$3,1), 音調表!$B$3:$B$12),0)))</f>
        <v/>
      </c>
      <c r="M24" s="17" t="str" cm="1">
        <f t="array" ref="M24" xml:space="preserve"> IF(M$3&lt;&gt;$D24, MID($C24,M$3,1), INDEX(音調表!$D$3:$D$12, MATCH(TRUE, EXACT(MID($C24,M$3,1), 音調表!$B$3:$B$12),0)))</f>
        <v/>
      </c>
      <c r="O24" s="2"/>
      <c r="P24" s="2"/>
    </row>
    <row r="25" spans="2:16" x14ac:dyDescent="0.25">
      <c r="B25" s="13" t="s">
        <v>75</v>
      </c>
      <c r="C25" s="14" t="s">
        <v>111</v>
      </c>
      <c r="D25" s="15">
        <f t="shared" si="0"/>
        <v>4</v>
      </c>
      <c r="E25" s="16" t="str" cm="1">
        <f t="array" ref="E25" xml:space="preserve"> IF(E$3&lt;&gt;$D25, MID($C25,E$3,1), INDEX(音調表!$D$3:$D$12, MATCH(TRUE, EXACT(MID($C25,E$3,1), 音調表!$B$3:$B$12),0)))</f>
        <v>j</v>
      </c>
      <c r="F25" s="16" t="str" cm="1">
        <f t="array" ref="F25" xml:space="preserve"> IF(F$3&lt;&gt;$D25, MID($C25,F$3,1), INDEX(音調表!$D$3:$D$12, MATCH(TRUE, EXACT(MID($C25,F$3,1), 音調表!$B$3:$B$12),0)))</f>
        <v>i</v>
      </c>
      <c r="G25" s="16" t="str" cm="1">
        <f t="array" ref="G25" xml:space="preserve"> IF(G$3&lt;&gt;$D25, MID($C25,G$3,1), INDEX(音調表!$D$3:$D$12, MATCH(TRUE, EXACT(MID($C25,G$3,1), 音調表!$B$3:$B$12),0)))</f>
        <v>n</v>
      </c>
      <c r="H25" s="16" t="str" cm="1">
        <f t="array" ref="H25" xml:space="preserve"> IF(H$3&lt;&gt;$D25, MID($C25,H$3,1), INDEX(音調表!$D$3:$D$12, MATCH(TRUE, EXACT(MID($C25,H$3,1), 音調表!$B$3:$B$12),0)))</f>
        <v>-</v>
      </c>
      <c r="I25" s="16" t="str" cm="1">
        <f t="array" ref="I25" xml:space="preserve"> IF(I$3&lt;&gt;$D25, MID($C25,I$3,1), INDEX(音調表!$D$3:$D$12, MATCH(TRUE, EXACT(MID($C25,I$3,1), 音調表!$B$3:$B$12),0)))</f>
        <v/>
      </c>
      <c r="J25" s="16" t="str" cm="1">
        <f t="array" ref="J25" xml:space="preserve"> IF(J$3&lt;&gt;$D25, MID($C25,J$3,1), INDEX(音調表!$D$3:$D$12, MATCH(TRUE, EXACT(MID($C25,J$3,1), 音調表!$B$3:$B$12),0)))</f>
        <v/>
      </c>
      <c r="K25" s="16" t="str" cm="1">
        <f t="array" ref="K25" xml:space="preserve"> IF(K$3&lt;&gt;$D25, MID($C25,K$3,1), INDEX(音調表!$D$3:$D$12, MATCH(TRUE, EXACT(MID($C25,K$3,1), 音調表!$B$3:$B$12),0)))</f>
        <v/>
      </c>
      <c r="L25" s="16" t="str" cm="1">
        <f t="array" ref="L25" xml:space="preserve"> IF(L$3&lt;&gt;$D25, MID($C25,L$3,1), INDEX(音調表!$D$3:$D$12, MATCH(TRUE, EXACT(MID($C25,L$3,1), 音調表!$B$3:$B$12),0)))</f>
        <v/>
      </c>
      <c r="M25" s="17" t="str" cm="1">
        <f t="array" ref="M25" xml:space="preserve"> IF(M$3&lt;&gt;$D25, MID($C25,M$3,1), INDEX(音調表!$D$3:$D$12, MATCH(TRUE, EXACT(MID($C25,M$3,1), 音調表!$B$3:$B$12),0)))</f>
        <v/>
      </c>
      <c r="O25" s="2"/>
      <c r="P25" s="2"/>
    </row>
    <row r="26" spans="2:16" x14ac:dyDescent="0.25">
      <c r="B26" s="13" t="s">
        <v>76</v>
      </c>
      <c r="C26" s="14" t="s">
        <v>112</v>
      </c>
      <c r="D26" s="15">
        <f t="shared" si="0"/>
        <v>4</v>
      </c>
      <c r="E26" s="16" t="str" cm="1">
        <f t="array" ref="E26" xml:space="preserve"> IF(E$3&lt;&gt;$D26, MID($C26,E$3,1), INDEX(音調表!$D$3:$D$12, MATCH(TRUE, EXACT(MID($C26,E$3,1), 音調表!$B$3:$B$12),0)))</f>
        <v>s</v>
      </c>
      <c r="F26" s="16" t="str" cm="1">
        <f t="array" ref="F26" xml:space="preserve"> IF(F$3&lt;&gt;$D26, MID($C26,F$3,1), INDEX(音調表!$D$3:$D$12, MATCH(TRUE, EXACT(MID($C26,F$3,1), 音調表!$B$3:$B$12),0)))</f>
        <v>a</v>
      </c>
      <c r="G26" s="16" t="str" cm="1">
        <f t="array" ref="G26" xml:space="preserve"> IF(G$3&lt;&gt;$D26, MID($C26,G$3,1), INDEX(音調表!$D$3:$D$12, MATCH(TRUE, EXACT(MID($C26,G$3,1), 音調表!$B$3:$B$12),0)))</f>
        <v>n</v>
      </c>
      <c r="H26" s="16" t="str" cm="1">
        <f t="array" ref="H26" xml:space="preserve"> IF(H$3&lt;&gt;$D26, MID($C26,H$3,1), INDEX(音調表!$D$3:$D$12, MATCH(TRUE, EXACT(MID($C26,H$3,1), 音調表!$B$3:$B$12),0)))</f>
        <v>;</v>
      </c>
      <c r="I26" s="16" t="str" cm="1">
        <f t="array" ref="I26" xml:space="preserve"> IF(I$3&lt;&gt;$D26, MID($C26,I$3,1), INDEX(音調表!$D$3:$D$12, MATCH(TRUE, EXACT(MID($C26,I$3,1), 音調表!$B$3:$B$12),0)))</f>
        <v/>
      </c>
      <c r="J26" s="16" t="str" cm="1">
        <f t="array" ref="J26" xml:space="preserve"> IF(J$3&lt;&gt;$D26, MID($C26,J$3,1), INDEX(音調表!$D$3:$D$12, MATCH(TRUE, EXACT(MID($C26,J$3,1), 音調表!$B$3:$B$12),0)))</f>
        <v/>
      </c>
      <c r="K26" s="16" t="str" cm="1">
        <f t="array" ref="K26" xml:space="preserve"> IF(K$3&lt;&gt;$D26, MID($C26,K$3,1), INDEX(音調表!$D$3:$D$12, MATCH(TRUE, EXACT(MID($C26,K$3,1), 音調表!$B$3:$B$12),0)))</f>
        <v/>
      </c>
      <c r="L26" s="16" t="str" cm="1">
        <f t="array" ref="L26" xml:space="preserve"> IF(L$3&lt;&gt;$D26, MID($C26,L$3,1), INDEX(音調表!$D$3:$D$12, MATCH(TRUE, EXACT(MID($C26,L$3,1), 音調表!$B$3:$B$12),0)))</f>
        <v/>
      </c>
      <c r="M26" s="17" t="str" cm="1">
        <f t="array" ref="M26" xml:space="preserve"> IF(M$3&lt;&gt;$D26, MID($C26,M$3,1), INDEX(音調表!$D$3:$D$12, MATCH(TRUE, EXACT(MID($C26,M$3,1), 音調表!$B$3:$B$12),0)))</f>
        <v/>
      </c>
      <c r="O26" s="2"/>
      <c r="P26" s="2"/>
    </row>
    <row r="27" spans="2:16" x14ac:dyDescent="0.25">
      <c r="B27" s="13" t="s">
        <v>77</v>
      </c>
      <c r="C27" s="14"/>
      <c r="D27" s="15" t="str">
        <f t="shared" si="0"/>
        <v/>
      </c>
      <c r="E27" s="16" t="s">
        <v>103</v>
      </c>
      <c r="F27" s="16" t="s">
        <v>105</v>
      </c>
      <c r="G27" s="16" t="str" cm="1">
        <f t="array" ref="G27" xml:space="preserve"> IF(G$3&lt;&gt;$D27, MID($C27,G$3,1), INDEX(音調表!$D$3:$D$12, MATCH(TRUE, EXACT(MID($C27,G$3,1), 音調表!$B$3:$B$12),0)))</f>
        <v/>
      </c>
      <c r="H27" s="16" t="str" cm="1">
        <f t="array" ref="H27" xml:space="preserve"> IF(H$3&lt;&gt;$D27, MID($C27,H$3,1), INDEX(音調表!$D$3:$D$12, MATCH(TRUE, EXACT(MID($C27,H$3,1), 音調表!$B$3:$B$12),0)))</f>
        <v/>
      </c>
      <c r="I27" s="16" t="str" cm="1">
        <f t="array" ref="I27" xml:space="preserve"> IF(I$3&lt;&gt;$D27, MID($C27,I$3,1), INDEX(音調表!$D$3:$D$12, MATCH(TRUE, EXACT(MID($C27,I$3,1), 音調表!$B$3:$B$12),0)))</f>
        <v/>
      </c>
      <c r="J27" s="16" t="str" cm="1">
        <f t="array" ref="J27" xml:space="preserve"> IF(J$3&lt;&gt;$D27, MID($C27,J$3,1), INDEX(音調表!$D$3:$D$12, MATCH(TRUE, EXACT(MID($C27,J$3,1), 音調表!$B$3:$B$12),0)))</f>
        <v/>
      </c>
      <c r="K27" s="16" t="str" cm="1">
        <f t="array" ref="K27" xml:space="preserve"> IF(K$3&lt;&gt;$D27, MID($C27,K$3,1), INDEX(音調表!$D$3:$D$12, MATCH(TRUE, EXACT(MID($C27,K$3,1), 音調表!$B$3:$B$12),0)))</f>
        <v/>
      </c>
      <c r="L27" s="16" t="str" cm="1">
        <f t="array" ref="L27" xml:space="preserve"> IF(L$3&lt;&gt;$D27, MID($C27,L$3,1), INDEX(音調表!$D$3:$D$12, MATCH(TRUE, EXACT(MID($C27,L$3,1), 音調表!$B$3:$B$12),0)))</f>
        <v/>
      </c>
      <c r="M27" s="17" t="str" cm="1">
        <f t="array" ref="M27" xml:space="preserve"> IF(M$3&lt;&gt;$D27, MID($C27,M$3,1), INDEX(音調表!$D$3:$D$12, MATCH(TRUE, EXACT(MID($C27,M$3,1), 音調表!$B$3:$B$12),0)))</f>
        <v/>
      </c>
      <c r="O27" s="2"/>
      <c r="P27" s="2"/>
    </row>
    <row r="28" spans="2:16" x14ac:dyDescent="0.25">
      <c r="B28" s="13"/>
      <c r="C28" s="14"/>
      <c r="D28" s="15" t="str">
        <f t="shared" si="0"/>
        <v/>
      </c>
      <c r="E28" s="16" t="str" cm="1">
        <f t="array" ref="E28" xml:space="preserve"> IF(E$3&lt;&gt;$D28, MID($C28,E$3,1), INDEX(音調表!$D$3:$D$12, MATCH(TRUE, EXACT(MID($C28,E$3,1), 音調表!$B$3:$B$12),0)))</f>
        <v/>
      </c>
      <c r="F28" s="16" t="str" cm="1">
        <f t="array" ref="F28" xml:space="preserve"> IF(F$3&lt;&gt;$D28, MID($C28,F$3,1), INDEX(音調表!$D$3:$D$12, MATCH(TRUE, EXACT(MID($C28,F$3,1), 音調表!$B$3:$B$12),0)))</f>
        <v/>
      </c>
      <c r="G28" s="16" t="str" cm="1">
        <f t="array" ref="G28" xml:space="preserve"> IF(G$3&lt;&gt;$D28, MID($C28,G$3,1), INDEX(音調表!$D$3:$D$12, MATCH(TRUE, EXACT(MID($C28,G$3,1), 音調表!$B$3:$B$12),0)))</f>
        <v/>
      </c>
      <c r="H28" s="16" t="str" cm="1">
        <f t="array" ref="H28" xml:space="preserve"> IF(H$3&lt;&gt;$D28, MID($C28,H$3,1), INDEX(音調表!$D$3:$D$12, MATCH(TRUE, EXACT(MID($C28,H$3,1), 音調表!$B$3:$B$12),0)))</f>
        <v/>
      </c>
      <c r="I28" s="16" t="str" cm="1">
        <f t="array" ref="I28" xml:space="preserve"> IF(I$3&lt;&gt;$D28, MID($C28,I$3,1), INDEX(音調表!$D$3:$D$12, MATCH(TRUE, EXACT(MID($C28,I$3,1), 音調表!$B$3:$B$12),0)))</f>
        <v/>
      </c>
      <c r="J28" s="16" t="str" cm="1">
        <f t="array" ref="J28" xml:space="preserve"> IF(J$3&lt;&gt;$D28, MID($C28,J$3,1), INDEX(音調表!$D$3:$D$12, MATCH(TRUE, EXACT(MID($C28,J$3,1), 音調表!$B$3:$B$12),0)))</f>
        <v/>
      </c>
      <c r="K28" s="16" t="str" cm="1">
        <f t="array" ref="K28" xml:space="preserve"> IF(K$3&lt;&gt;$D28, MID($C28,K$3,1), INDEX(音調表!$D$3:$D$12, MATCH(TRUE, EXACT(MID($C28,K$3,1), 音調表!$B$3:$B$12),0)))</f>
        <v/>
      </c>
      <c r="L28" s="16" t="str" cm="1">
        <f t="array" ref="L28" xml:space="preserve"> IF(L$3&lt;&gt;$D28, MID($C28,L$3,1), INDEX(音調表!$D$3:$D$12, MATCH(TRUE, EXACT(MID($C28,L$3,1), 音調表!$B$3:$B$12),0)))</f>
        <v/>
      </c>
      <c r="M28" s="17" t="str" cm="1">
        <f t="array" ref="M28" xml:space="preserve"> IF(M$3&lt;&gt;$D28, MID($C28,M$3,1), INDEX(音調表!$D$3:$D$12, MATCH(TRUE, EXACT(MID($C28,M$3,1), 音調表!$B$3:$B$12),0)))</f>
        <v/>
      </c>
    </row>
    <row r="29" spans="2:16" x14ac:dyDescent="0.25">
      <c r="B29" s="13" t="s">
        <v>78</v>
      </c>
      <c r="C29" s="14" t="s">
        <v>113</v>
      </c>
      <c r="D29" s="15">
        <f t="shared" si="0"/>
        <v>7</v>
      </c>
      <c r="E29" s="16" t="str" cm="1">
        <f t="array" ref="E29" xml:space="preserve"> IF(E$3&lt;&gt;$D29, MID($C29,E$3,1), INDEX(音調表!$D$3:$D$12, MATCH(TRUE, EXACT(MID($C29,E$3,1), 音調表!$B$3:$B$12),0)))</f>
        <v>k</v>
      </c>
      <c r="F29" s="16" t="str" cm="1">
        <f t="array" ref="F29" xml:space="preserve"> IF(F$3&lt;&gt;$D29, MID($C29,F$3,1), INDEX(音調表!$D$3:$D$12, MATCH(TRUE, EXACT(MID($C29,F$3,1), 音調表!$B$3:$B$12),0)))</f>
        <v>h</v>
      </c>
      <c r="G29" s="16" t="str" cm="1">
        <f t="array" ref="G29" xml:space="preserve"> IF(G$3&lt;&gt;$D29, MID($C29,G$3,1), INDEX(音調表!$D$3:$D$12, MATCH(TRUE, EXACT(MID($C29,G$3,1), 音調表!$B$3:$B$12),0)))</f>
        <v>i</v>
      </c>
      <c r="H29" s="16" t="str" cm="1">
        <f t="array" ref="H29" xml:space="preserve"> IF(H$3&lt;&gt;$D29, MID($C29,H$3,1), INDEX(音調表!$D$3:$D$12, MATCH(TRUE, EXACT(MID($C29,H$3,1), 音調表!$B$3:$B$12),0)))</f>
        <v>a</v>
      </c>
      <c r="I29" s="16" t="str" cm="1">
        <f t="array" ref="I29" xml:space="preserve"> IF(I$3&lt;&gt;$D29, MID($C29,I$3,1), INDEX(音調表!$D$3:$D$12, MATCH(TRUE, EXACT(MID($C29,I$3,1), 音調表!$B$3:$B$12),0)))</f>
        <v>n</v>
      </c>
      <c r="J29" s="16" t="str" cm="1">
        <f t="array" ref="J29" xml:space="preserve"> IF(J$3&lt;&gt;$D29, MID($C29,J$3,1), INDEX(音調表!$D$3:$D$12, MATCH(TRUE, EXACT(MID($C29,J$3,1), 音調表!$B$3:$B$12),0)))</f>
        <v>g</v>
      </c>
      <c r="K29" s="16" t="str" cm="1">
        <f t="array" ref="K29" xml:space="preserve"> IF(K$3&lt;&gt;$D29, MID($C29,K$3,1), INDEX(音調表!$D$3:$D$12, MATCH(TRUE, EXACT(MID($C29,K$3,1), 音調表!$B$3:$B$12),0)))</f>
        <v>;</v>
      </c>
      <c r="L29" s="16" t="str" cm="1">
        <f t="array" ref="L29" xml:space="preserve"> IF(L$3&lt;&gt;$D29, MID($C29,L$3,1), INDEX(音調表!$D$3:$D$12, MATCH(TRUE, EXACT(MID($C29,L$3,1), 音調表!$B$3:$B$12),0)))</f>
        <v/>
      </c>
      <c r="M29" s="17" t="str" cm="1">
        <f t="array" ref="M29" xml:space="preserve"> IF(M$3&lt;&gt;$D29, MID($C29,M$3,1), INDEX(音調表!$D$3:$D$12, MATCH(TRUE, EXACT(MID($C29,M$3,1), 音調表!$B$3:$B$12),0)))</f>
        <v/>
      </c>
      <c r="O29" s="2"/>
      <c r="P29" s="2"/>
    </row>
    <row r="30" spans="2:16" x14ac:dyDescent="0.25">
      <c r="B30" s="13" t="s">
        <v>79</v>
      </c>
      <c r="C30" s="14" t="s">
        <v>114</v>
      </c>
      <c r="D30" s="15">
        <f t="shared" si="0"/>
        <v>4</v>
      </c>
      <c r="E30" s="16" t="str" cm="1">
        <f t="array" ref="E30" xml:space="preserve"> IF(E$3&lt;&gt;$D30, MID($C30,E$3,1), INDEX(音調表!$D$3:$D$12, MATCH(TRUE, EXACT(MID($C30,E$3,1), 音調表!$B$3:$B$12),0)))</f>
        <v>t</v>
      </c>
      <c r="F30" s="16" t="str" cm="1">
        <f t="array" ref="F30" xml:space="preserve"> IF(F$3&lt;&gt;$D30, MID($C30,F$3,1), INDEX(音調表!$D$3:$D$12, MATCH(TRUE, EXACT(MID($C30,F$3,1), 音調表!$B$3:$B$12),0)))</f>
        <v>i</v>
      </c>
      <c r="G30" s="16" t="str" cm="1">
        <f t="array" ref="G30" xml:space="preserve"> IF(G$3&lt;&gt;$D30, MID($C30,G$3,1), INDEX(音調表!$D$3:$D$12, MATCH(TRUE, EXACT(MID($C30,G$3,1), 音調表!$B$3:$B$12),0)))</f>
        <v>k</v>
      </c>
      <c r="H30" s="16" t="str" cm="1">
        <f t="array" ref="H30" xml:space="preserve"> IF(H$3&lt;&gt;$D30, MID($C30,H$3,1), INDEX(音調表!$D$3:$D$12, MATCH(TRUE, EXACT(MID($C30,H$3,1), 音調表!$B$3:$B$12),0)))</f>
        <v>]</v>
      </c>
      <c r="I30" s="16" t="str" cm="1">
        <f t="array" ref="I30" xml:space="preserve"> IF(I$3&lt;&gt;$D30, MID($C30,I$3,1), INDEX(音調表!$D$3:$D$12, MATCH(TRUE, EXACT(MID($C30,I$3,1), 音調表!$B$3:$B$12),0)))</f>
        <v/>
      </c>
      <c r="J30" s="16" t="str" cm="1">
        <f t="array" ref="J30" xml:space="preserve"> IF(J$3&lt;&gt;$D30, MID($C30,J$3,1), INDEX(音調表!$D$3:$D$12, MATCH(TRUE, EXACT(MID($C30,J$3,1), 音調表!$B$3:$B$12),0)))</f>
        <v/>
      </c>
      <c r="K30" s="16" t="str" cm="1">
        <f t="array" ref="K30" xml:space="preserve"> IF(K$3&lt;&gt;$D30, MID($C30,K$3,1), INDEX(音調表!$D$3:$D$12, MATCH(TRUE, EXACT(MID($C30,K$3,1), 音調表!$B$3:$B$12),0)))</f>
        <v/>
      </c>
      <c r="L30" s="16" t="str" cm="1">
        <f t="array" ref="L30" xml:space="preserve"> IF(L$3&lt;&gt;$D30, MID($C30,L$3,1), INDEX(音調表!$D$3:$D$12, MATCH(TRUE, EXACT(MID($C30,L$3,1), 音調表!$B$3:$B$12),0)))</f>
        <v/>
      </c>
      <c r="M30" s="17" t="str" cm="1">
        <f t="array" ref="M30" xml:space="preserve"> IF(M$3&lt;&gt;$D30, MID($C30,M$3,1), INDEX(音調表!$D$3:$D$12, MATCH(TRUE, EXACT(MID($C30,M$3,1), 音調表!$B$3:$B$12),0)))</f>
        <v/>
      </c>
      <c r="O30" s="2"/>
      <c r="P30" s="2"/>
    </row>
    <row r="31" spans="2:16" x14ac:dyDescent="0.25">
      <c r="B31" s="13" t="s">
        <v>80</v>
      </c>
      <c r="C31" s="14" t="s">
        <v>96</v>
      </c>
      <c r="D31" s="15">
        <f t="shared" si="0"/>
        <v>3</v>
      </c>
      <c r="E31" s="16" t="str" cm="1">
        <f t="array" ref="E31" xml:space="preserve"> IF(E$3&lt;&gt;$D31, MID($C31,E$3,1), INDEX(音調表!$D$3:$D$12, MATCH(TRUE, EXACT(MID($C31,E$3,1), 音調表!$B$3:$B$12),0)))</f>
        <v>h</v>
      </c>
      <c r="F31" s="16" t="str" cm="1">
        <f t="array" ref="F31" xml:space="preserve"> IF(F$3&lt;&gt;$D31, MID($C31,F$3,1), INDEX(音調表!$D$3:$D$12, MATCH(TRUE, EXACT(MID($C31,F$3,1), 音調表!$B$3:$B$12),0)))</f>
        <v>o</v>
      </c>
      <c r="G31" s="16" t="str" cm="1">
        <f t="array" ref="G31" xml:space="preserve"> IF(G$3&lt;&gt;$D31, MID($C31,G$3,1), INDEX(音調表!$D$3:$D$12, MATCH(TRUE, EXACT(MID($C31,G$3,1), 音調表!$B$3:$B$12),0)))</f>
        <v>/</v>
      </c>
      <c r="H31" s="16" t="str" cm="1">
        <f t="array" ref="H31" xml:space="preserve"> IF(H$3&lt;&gt;$D31, MID($C31,H$3,1), INDEX(音調表!$D$3:$D$12, MATCH(TRUE, EXACT(MID($C31,H$3,1), 音調表!$B$3:$B$12),0)))</f>
        <v/>
      </c>
      <c r="I31" s="16" t="str" cm="1">
        <f t="array" ref="I31" xml:space="preserve"> IF(I$3&lt;&gt;$D31, MID($C31,I$3,1), INDEX(音調表!$D$3:$D$12, MATCH(TRUE, EXACT(MID($C31,I$3,1), 音調表!$B$3:$B$12),0)))</f>
        <v/>
      </c>
      <c r="J31" s="16" t="str" cm="1">
        <f t="array" ref="J31" xml:space="preserve"> IF(J$3&lt;&gt;$D31, MID($C31,J$3,1), INDEX(音調表!$D$3:$D$12, MATCH(TRUE, EXACT(MID($C31,J$3,1), 音調表!$B$3:$B$12),0)))</f>
        <v/>
      </c>
      <c r="K31" s="16" t="str" cm="1">
        <f t="array" ref="K31" xml:space="preserve"> IF(K$3&lt;&gt;$D31, MID($C31,K$3,1), INDEX(音調表!$D$3:$D$12, MATCH(TRUE, EXACT(MID($C31,K$3,1), 音調表!$B$3:$B$12),0)))</f>
        <v/>
      </c>
      <c r="L31" s="16" t="str" cm="1">
        <f t="array" ref="L31" xml:space="preserve"> IF(L$3&lt;&gt;$D31, MID($C31,L$3,1), INDEX(音調表!$D$3:$D$12, MATCH(TRUE, EXACT(MID($C31,L$3,1), 音調表!$B$3:$B$12),0)))</f>
        <v/>
      </c>
      <c r="M31" s="17" t="str" cm="1">
        <f t="array" ref="M31" xml:space="preserve"> IF(M$3&lt;&gt;$D31, MID($C31,M$3,1), INDEX(音調表!$D$3:$D$12, MATCH(TRUE, EXACT(MID($C31,M$3,1), 音調表!$B$3:$B$12),0)))</f>
        <v/>
      </c>
      <c r="O31" s="2"/>
      <c r="P31" s="2"/>
    </row>
    <row r="32" spans="2:16" x14ac:dyDescent="0.25">
      <c r="B32" s="13" t="s">
        <v>81</v>
      </c>
      <c r="C32" s="14" t="s">
        <v>115</v>
      </c>
      <c r="D32" s="15">
        <f t="shared" si="0"/>
        <v>3</v>
      </c>
      <c r="E32" s="16" t="str" cm="1">
        <f t="array" ref="E32" xml:space="preserve"> IF(E$3&lt;&gt;$D32, MID($C32,E$3,1), INDEX(音調表!$D$3:$D$12, MATCH(TRUE, EXACT(MID($C32,E$3,1), 音調表!$B$3:$B$12),0)))</f>
        <v>s</v>
      </c>
      <c r="F32" s="16" t="str" cm="1">
        <f t="array" ref="F32" xml:space="preserve"> IF(F$3&lt;&gt;$D32, MID($C32,F$3,1), INDEX(音調表!$D$3:$D$12, MATCH(TRUE, EXACT(MID($C32,F$3,1), 音調表!$B$3:$B$12),0)))</f>
        <v>u</v>
      </c>
      <c r="G32" s="16" t="str" cm="1">
        <f t="array" ref="G32" xml:space="preserve"> IF(G$3&lt;&gt;$D32, MID($C32,G$3,1), INDEX(音調表!$D$3:$D$12, MATCH(TRUE, EXACT(MID($C32,G$3,1), 音調表!$B$3:$B$12),0)))</f>
        <v>;</v>
      </c>
      <c r="H32" s="16" t="str" cm="1">
        <f t="array" ref="H32" xml:space="preserve"> IF(H$3&lt;&gt;$D32, MID($C32,H$3,1), INDEX(音調表!$D$3:$D$12, MATCH(TRUE, EXACT(MID($C32,H$3,1), 音調表!$B$3:$B$12),0)))</f>
        <v/>
      </c>
      <c r="I32" s="16" t="str" cm="1">
        <f t="array" ref="I32" xml:space="preserve"> IF(I$3&lt;&gt;$D32, MID($C32,I$3,1), INDEX(音調表!$D$3:$D$12, MATCH(TRUE, EXACT(MID($C32,I$3,1), 音調表!$B$3:$B$12),0)))</f>
        <v/>
      </c>
      <c r="J32" s="16" t="str" cm="1">
        <f t="array" ref="J32" xml:space="preserve"> IF(J$3&lt;&gt;$D32, MID($C32,J$3,1), INDEX(音調表!$D$3:$D$12, MATCH(TRUE, EXACT(MID($C32,J$3,1), 音調表!$B$3:$B$12),0)))</f>
        <v/>
      </c>
      <c r="K32" s="16" t="str" cm="1">
        <f t="array" ref="K32" xml:space="preserve"> IF(K$3&lt;&gt;$D32, MID($C32,K$3,1), INDEX(音調表!$D$3:$D$12, MATCH(TRUE, EXACT(MID($C32,K$3,1), 音調表!$B$3:$B$12),0)))</f>
        <v/>
      </c>
      <c r="L32" s="16" t="str" cm="1">
        <f t="array" ref="L32" xml:space="preserve"> IF(L$3&lt;&gt;$D32, MID($C32,L$3,1), INDEX(音調表!$D$3:$D$12, MATCH(TRUE, EXACT(MID($C32,L$3,1), 音調表!$B$3:$B$12),0)))</f>
        <v/>
      </c>
      <c r="M32" s="17" t="str" cm="1">
        <f t="array" ref="M32" xml:space="preserve"> IF(M$3&lt;&gt;$D32, MID($C32,M$3,1), INDEX(音調表!$D$3:$D$12, MATCH(TRUE, EXACT(MID($C32,M$3,1), 音調表!$B$3:$B$12),0)))</f>
        <v/>
      </c>
      <c r="O32" s="2"/>
      <c r="P32" s="2"/>
    </row>
    <row r="33" spans="2:16" x14ac:dyDescent="0.25">
      <c r="B33" s="13" t="s">
        <v>82</v>
      </c>
      <c r="C33" s="14" t="s">
        <v>116</v>
      </c>
      <c r="D33" s="15">
        <f t="shared" si="0"/>
        <v>4</v>
      </c>
      <c r="E33" s="16" t="str" cm="1">
        <f t="array" ref="E33" xml:space="preserve"> IF(E$3&lt;&gt;$D33, MID($C33,E$3,1), INDEX(音調表!$D$3:$D$12, MATCH(TRUE, EXACT(MID($C33,E$3,1), 音調表!$B$3:$B$12),0)))</f>
        <v>u</v>
      </c>
      <c r="F33" s="16" t="str" cm="1">
        <f t="array" ref="F33" xml:space="preserve"> IF(F$3&lt;&gt;$D33, MID($C33,F$3,1), INDEX(音調表!$D$3:$D$12, MATCH(TRUE, EXACT(MID($C33,F$3,1), 音調表!$B$3:$B$12),0)))</f>
        <v>a</v>
      </c>
      <c r="G33" s="16" t="str" cm="1">
        <f t="array" ref="G33" xml:space="preserve"> IF(G$3&lt;&gt;$D33, MID($C33,G$3,1), INDEX(音調表!$D$3:$D$12, MATCH(TRUE, EXACT(MID($C33,G$3,1), 音調表!$B$3:$B$12),0)))</f>
        <v>n</v>
      </c>
      <c r="H33" s="16" t="str" cm="1">
        <f t="array" ref="H33" xml:space="preserve"> IF(H$3&lt;&gt;$D33, MID($C33,H$3,1), INDEX(音調表!$D$3:$D$12, MATCH(TRUE, EXACT(MID($C33,H$3,1), 音調表!$B$3:$B$12),0)))</f>
        <v>_</v>
      </c>
      <c r="I33" s="16" t="str" cm="1">
        <f t="array" ref="I33" xml:space="preserve"> IF(I$3&lt;&gt;$D33, MID($C33,I$3,1), INDEX(音調表!$D$3:$D$12, MATCH(TRUE, EXACT(MID($C33,I$3,1), 音調表!$B$3:$B$12),0)))</f>
        <v/>
      </c>
      <c r="J33" s="16" t="str" cm="1">
        <f t="array" ref="J33" xml:space="preserve"> IF(J$3&lt;&gt;$D33, MID($C33,J$3,1), INDEX(音調表!$D$3:$D$12, MATCH(TRUE, EXACT(MID($C33,J$3,1), 音調表!$B$3:$B$12),0)))</f>
        <v/>
      </c>
      <c r="K33" s="16" t="str" cm="1">
        <f t="array" ref="K33" xml:space="preserve"> IF(K$3&lt;&gt;$D33, MID($C33,K$3,1), INDEX(音調表!$D$3:$D$12, MATCH(TRUE, EXACT(MID($C33,K$3,1), 音調表!$B$3:$B$12),0)))</f>
        <v/>
      </c>
      <c r="L33" s="16" t="str" cm="1">
        <f t="array" ref="L33" xml:space="preserve"> IF(L$3&lt;&gt;$D33, MID($C33,L$3,1), INDEX(音調表!$D$3:$D$12, MATCH(TRUE, EXACT(MID($C33,L$3,1), 音調表!$B$3:$B$12),0)))</f>
        <v/>
      </c>
      <c r="M33" s="17" t="str" cm="1">
        <f t="array" ref="M33" xml:space="preserve"> IF(M$3&lt;&gt;$D33, MID($C33,M$3,1), INDEX(音調表!$D$3:$D$12, MATCH(TRUE, EXACT(MID($C33,M$3,1), 音調表!$B$3:$B$12),0)))</f>
        <v/>
      </c>
      <c r="O33" s="2"/>
      <c r="P33" s="2"/>
    </row>
    <row r="34" spans="2:16" x14ac:dyDescent="0.25">
      <c r="B34" s="13" t="s">
        <v>83</v>
      </c>
      <c r="C34" s="14" t="s">
        <v>117</v>
      </c>
      <c r="D34" s="15">
        <f t="shared" si="0"/>
        <v>5</v>
      </c>
      <c r="E34" s="16" t="str" cm="1">
        <f t="array" ref="E34" xml:space="preserve"> IF(E$3&lt;&gt;$D34, MID($C34,E$3,1), INDEX(音調表!$D$3:$D$12, MATCH(TRUE, EXACT(MID($C34,E$3,1), 音調表!$B$3:$B$12),0)))</f>
        <v>i</v>
      </c>
      <c r="F34" s="16" t="str" cm="1">
        <f t="array" ref="F34" xml:space="preserve"> IF(F$3&lt;&gt;$D34, MID($C34,F$3,1), INDEX(音調表!$D$3:$D$12, MATCH(TRUE, EXACT(MID($C34,F$3,1), 音調表!$B$3:$B$12),0)))</f>
        <v>o</v>
      </c>
      <c r="G34" s="16" t="str" cm="1">
        <f t="array" ref="G34" xml:space="preserve"> IF(G$3&lt;&gt;$D34, MID($C34,G$3,1), INDEX(音調表!$D$3:$D$12, MATCH(TRUE, EXACT(MID($C34,G$3,1), 音調表!$B$3:$B$12),0)))</f>
        <v>n</v>
      </c>
      <c r="H34" s="16" t="str" cm="1">
        <f t="array" ref="H34" xml:space="preserve"> IF(H$3&lt;&gt;$D34, MID($C34,H$3,1), INDEX(音調表!$D$3:$D$12, MATCH(TRUE, EXACT(MID($C34,H$3,1), 音調表!$B$3:$B$12),0)))</f>
        <v>g</v>
      </c>
      <c r="I34" s="16" t="str" cm="1">
        <f t="array" ref="I34" xml:space="preserve"> IF(I$3&lt;&gt;$D34, MID($C34,I$3,1), INDEX(音調表!$D$3:$D$12, MATCH(TRUE, EXACT(MID($C34,I$3,1), 音調表!$B$3:$B$12),0)))</f>
        <v>/</v>
      </c>
      <c r="J34" s="16" t="str" cm="1">
        <f t="array" ref="J34" xml:space="preserve"> IF(J$3&lt;&gt;$D34, MID($C34,J$3,1), INDEX(音調表!$D$3:$D$12, MATCH(TRUE, EXACT(MID($C34,J$3,1), 音調表!$B$3:$B$12),0)))</f>
        <v/>
      </c>
      <c r="K34" s="16" t="str" cm="1">
        <f t="array" ref="K34" xml:space="preserve"> IF(K$3&lt;&gt;$D34, MID($C34,K$3,1), INDEX(音調表!$D$3:$D$12, MATCH(TRUE, EXACT(MID($C34,K$3,1), 音調表!$B$3:$B$12),0)))</f>
        <v/>
      </c>
      <c r="L34" s="16" t="str" cm="1">
        <f t="array" ref="L34" xml:space="preserve"> IF(L$3&lt;&gt;$D34, MID($C34,L$3,1), INDEX(音調表!$D$3:$D$12, MATCH(TRUE, EXACT(MID($C34,L$3,1), 音調表!$B$3:$B$12),0)))</f>
        <v/>
      </c>
      <c r="M34" s="17" t="str" cm="1">
        <f t="array" ref="M34" xml:space="preserve"> IF(M$3&lt;&gt;$D34, MID($C34,M$3,1), INDEX(音調表!$D$3:$D$12, MATCH(TRUE, EXACT(MID($C34,M$3,1), 音調表!$B$3:$B$12),0)))</f>
        <v/>
      </c>
      <c r="O34" s="2"/>
      <c r="P34" s="2"/>
    </row>
    <row r="35" spans="2:16" x14ac:dyDescent="0.25">
      <c r="B35" s="13" t="s">
        <v>84</v>
      </c>
      <c r="C35" s="14" t="s">
        <v>118</v>
      </c>
      <c r="D35" s="15">
        <f t="shared" si="0"/>
        <v>4</v>
      </c>
      <c r="E35" s="16" t="str" cm="1">
        <f t="array" ref="E35" xml:space="preserve"> IF(E$3&lt;&gt;$D35, MID($C35,E$3,1), INDEX(音調表!$D$3:$D$12, MATCH(TRUE, EXACT(MID($C35,E$3,1), 音調表!$B$3:$B$12),0)))</f>
        <v>l</v>
      </c>
      <c r="F35" s="16" t="str" cm="1">
        <f t="array" ref="F35" xml:space="preserve"> IF(F$3&lt;&gt;$D35, MID($C35,F$3,1), INDEX(音調表!$D$3:$D$12, MATCH(TRUE, EXACT(MID($C35,F$3,1), 音調表!$B$3:$B$12),0)))</f>
        <v>i</v>
      </c>
      <c r="G35" s="16" t="str" cm="1">
        <f t="array" ref="G35" xml:space="preserve"> IF(G$3&lt;&gt;$D35, MID($C35,G$3,1), INDEX(音調表!$D$3:$D$12, MATCH(TRUE, EXACT(MID($C35,G$3,1), 音調表!$B$3:$B$12),0)))</f>
        <v>u</v>
      </c>
      <c r="H35" s="16" t="str" cm="1">
        <f t="array" ref="H35" xml:space="preserve"> IF(H$3&lt;&gt;$D35, MID($C35,H$3,1), INDEX(音調表!$D$3:$D$12, MATCH(TRUE, EXACT(MID($C35,H$3,1), 音調表!$B$3:$B$12),0)))</f>
        <v>\</v>
      </c>
      <c r="I35" s="16" t="str" cm="1">
        <f t="array" ref="I35" xml:space="preserve"> IF(I$3&lt;&gt;$D35, MID($C35,I$3,1), INDEX(音調表!$D$3:$D$12, MATCH(TRUE, EXACT(MID($C35,I$3,1), 音調表!$B$3:$B$12),0)))</f>
        <v/>
      </c>
      <c r="J35" s="16" t="str" cm="1">
        <f t="array" ref="J35" xml:space="preserve"> IF(J$3&lt;&gt;$D35, MID($C35,J$3,1), INDEX(音調表!$D$3:$D$12, MATCH(TRUE, EXACT(MID($C35,J$3,1), 音調表!$B$3:$B$12),0)))</f>
        <v/>
      </c>
      <c r="K35" s="16" t="str" cm="1">
        <f t="array" ref="K35" xml:space="preserve"> IF(K$3&lt;&gt;$D35, MID($C35,K$3,1), INDEX(音調表!$D$3:$D$12, MATCH(TRUE, EXACT(MID($C35,K$3,1), 音調表!$B$3:$B$12),0)))</f>
        <v/>
      </c>
      <c r="L35" s="16" t="str" cm="1">
        <f t="array" ref="L35" xml:space="preserve"> IF(L$3&lt;&gt;$D35, MID($C35,L$3,1), INDEX(音調表!$D$3:$D$12, MATCH(TRUE, EXACT(MID($C35,L$3,1), 音調表!$B$3:$B$12),0)))</f>
        <v/>
      </c>
      <c r="M35" s="17" t="str" cm="1">
        <f t="array" ref="M35" xml:space="preserve"> IF(M$3&lt;&gt;$D35, MID($C35,M$3,1), INDEX(音調表!$D$3:$D$12, MATCH(TRUE, EXACT(MID($C35,M$3,1), 音調表!$B$3:$B$12),0)))</f>
        <v/>
      </c>
      <c r="O35" s="2"/>
      <c r="P35" s="2"/>
    </row>
    <row r="36" spans="2:16" x14ac:dyDescent="0.25">
      <c r="B36" s="13" t="s">
        <v>69</v>
      </c>
      <c r="C36" s="14"/>
      <c r="D36" s="15" t="str">
        <f t="shared" si="0"/>
        <v/>
      </c>
      <c r="E36" s="16" t="s">
        <v>103</v>
      </c>
      <c r="F36" s="16" t="s">
        <v>104</v>
      </c>
      <c r="G36" s="16" t="str" cm="1">
        <f t="array" ref="G36" xml:space="preserve"> IF(G$3&lt;&gt;$D36, MID($C36,G$3,1), INDEX(音調表!$D$3:$D$12, MATCH(TRUE, EXACT(MID($C36,G$3,1), 音調表!$B$3:$B$12),0)))</f>
        <v/>
      </c>
      <c r="H36" s="16" t="str" cm="1">
        <f t="array" ref="H36" xml:space="preserve"> IF(H$3&lt;&gt;$D36, MID($C36,H$3,1), INDEX(音調表!$D$3:$D$12, MATCH(TRUE, EXACT(MID($C36,H$3,1), 音調表!$B$3:$B$12),0)))</f>
        <v/>
      </c>
      <c r="I36" s="16" t="str" cm="1">
        <f t="array" ref="I36" xml:space="preserve"> IF(I$3&lt;&gt;$D36, MID($C36,I$3,1), INDEX(音調表!$D$3:$D$12, MATCH(TRUE, EXACT(MID($C36,I$3,1), 音調表!$B$3:$B$12),0)))</f>
        <v/>
      </c>
      <c r="J36" s="16" t="str" cm="1">
        <f t="array" ref="J36" xml:space="preserve"> IF(J$3&lt;&gt;$D36, MID($C36,J$3,1), INDEX(音調表!$D$3:$D$12, MATCH(TRUE, EXACT(MID($C36,J$3,1), 音調表!$B$3:$B$12),0)))</f>
        <v/>
      </c>
      <c r="K36" s="16" t="str" cm="1">
        <f t="array" ref="K36" xml:space="preserve"> IF(K$3&lt;&gt;$D36, MID($C36,K$3,1), INDEX(音調表!$D$3:$D$12, MATCH(TRUE, EXACT(MID($C36,K$3,1), 音調表!$B$3:$B$12),0)))</f>
        <v/>
      </c>
      <c r="L36" s="16" t="str" cm="1">
        <f t="array" ref="L36" xml:space="preserve"> IF(L$3&lt;&gt;$D36, MID($C36,L$3,1), INDEX(音調表!$D$3:$D$12, MATCH(TRUE, EXACT(MID($C36,L$3,1), 音調表!$B$3:$B$12),0)))</f>
        <v/>
      </c>
      <c r="M36" s="17" t="str" cm="1">
        <f t="array" ref="M36" xml:space="preserve"> IF(M$3&lt;&gt;$D36, MID($C36,M$3,1), INDEX(音調表!$D$3:$D$12, MATCH(TRUE, EXACT(MID($C36,M$3,1), 音調表!$B$3:$B$12),0)))</f>
        <v/>
      </c>
      <c r="O36" s="2"/>
      <c r="P36" s="2"/>
    </row>
    <row r="37" spans="2:16" x14ac:dyDescent="0.25">
      <c r="B37" s="13" t="s">
        <v>85</v>
      </c>
      <c r="C37" s="14" t="s">
        <v>119</v>
      </c>
      <c r="D37" s="15">
        <f t="shared" si="0"/>
        <v>4</v>
      </c>
      <c r="E37" s="16" t="str" cm="1">
        <f t="array" ref="E37" xml:space="preserve"> IF(E$3&lt;&gt;$D37, MID($C37,E$3,1), INDEX(音調表!$D$3:$D$12, MATCH(TRUE, EXACT(MID($C37,E$3,1), 音調表!$B$3:$B$12),0)))</f>
        <v>c</v>
      </c>
      <c r="F37" s="16" t="str" cm="1">
        <f t="array" ref="F37" xml:space="preserve"> IF(F$3&lt;&gt;$D37, MID($C37,F$3,1), INDEX(音調表!$D$3:$D$12, MATCH(TRUE, EXACT(MID($C37,F$3,1), 音調表!$B$3:$B$12),0)))</f>
        <v>u</v>
      </c>
      <c r="G37" s="16" t="str" cm="1">
        <f t="array" ref="G37" xml:space="preserve"> IF(G$3&lt;&gt;$D37, MID($C37,G$3,1), INDEX(音調表!$D$3:$D$12, MATCH(TRUE, EXACT(MID($C37,G$3,1), 音調表!$B$3:$B$12),0)))</f>
        <v>n</v>
      </c>
      <c r="H37" s="16" t="str" cm="1">
        <f t="array" ref="H37" xml:space="preserve"> IF(H$3&lt;&gt;$D37, MID($C37,H$3,1), INDEX(音調表!$D$3:$D$12, MATCH(TRUE, EXACT(MID($C37,H$3,1), 音調表!$B$3:$B$12),0)))</f>
        <v>;</v>
      </c>
      <c r="I37" s="16" t="str" cm="1">
        <f t="array" ref="I37" xml:space="preserve"> IF(I$3&lt;&gt;$D37, MID($C37,I$3,1), INDEX(音調表!$D$3:$D$12, MATCH(TRUE, EXACT(MID($C37,I$3,1), 音調表!$B$3:$B$12),0)))</f>
        <v/>
      </c>
      <c r="J37" s="16" t="str" cm="1">
        <f t="array" ref="J37" xml:space="preserve"> IF(J$3&lt;&gt;$D37, MID($C37,J$3,1), INDEX(音調表!$D$3:$D$12, MATCH(TRUE, EXACT(MID($C37,J$3,1), 音調表!$B$3:$B$12),0)))</f>
        <v/>
      </c>
      <c r="K37" s="16" t="str" cm="1">
        <f t="array" ref="K37" xml:space="preserve"> IF(K$3&lt;&gt;$D37, MID($C37,K$3,1), INDEX(音調表!$D$3:$D$12, MATCH(TRUE, EXACT(MID($C37,K$3,1), 音調表!$B$3:$B$12),0)))</f>
        <v/>
      </c>
      <c r="L37" s="16" t="str" cm="1">
        <f t="array" ref="L37" xml:space="preserve"> IF(L$3&lt;&gt;$D37, MID($C37,L$3,1), INDEX(音調表!$D$3:$D$12, MATCH(TRUE, EXACT(MID($C37,L$3,1), 音調表!$B$3:$B$12),0)))</f>
        <v/>
      </c>
      <c r="M37" s="17" t="str" cm="1">
        <f t="array" ref="M37" xml:space="preserve"> IF(M$3&lt;&gt;$D37, MID($C37,M$3,1), INDEX(音調表!$D$3:$D$12, MATCH(TRUE, EXACT(MID($C37,M$3,1), 音調表!$B$3:$B$12),0)))</f>
        <v/>
      </c>
      <c r="O37" s="2"/>
      <c r="P37" s="2"/>
    </row>
    <row r="38" spans="2:16" x14ac:dyDescent="0.25">
      <c r="B38" s="13" t="s">
        <v>86</v>
      </c>
      <c r="C38" s="14" t="s">
        <v>120</v>
      </c>
      <c r="D38" s="15">
        <f t="shared" si="0"/>
        <v>5</v>
      </c>
      <c r="E38" s="16" t="str" cm="1">
        <f t="array" ref="E38" xml:space="preserve"> IF(E$3&lt;&gt;$D38, MID($C38,E$3,1), INDEX(音調表!$D$3:$D$12, MATCH(TRUE, EXACT(MID($C38,E$3,1), 音調表!$B$3:$B$12),0)))</f>
        <v>h</v>
      </c>
      <c r="F38" s="16" t="str" cm="1">
        <f t="array" ref="F38" xml:space="preserve"> IF(F$3&lt;&gt;$D38, MID($C38,F$3,1), INDEX(音調表!$D$3:$D$12, MATCH(TRUE, EXACT(MID($C38,F$3,1), 音調表!$B$3:$B$12),0)))</f>
        <v>o</v>
      </c>
      <c r="G38" s="16" t="str" cm="1">
        <f t="array" ref="G38" xml:space="preserve"> IF(G$3&lt;&gt;$D38, MID($C38,G$3,1), INDEX(音調表!$D$3:$D$12, MATCH(TRUE, EXACT(MID($C38,G$3,1), 音調表!$B$3:$B$12),0)))</f>
        <v>n</v>
      </c>
      <c r="H38" s="16" t="str" cm="1">
        <f t="array" ref="H38" xml:space="preserve"> IF(H$3&lt;&gt;$D38, MID($C38,H$3,1), INDEX(音調表!$D$3:$D$12, MATCH(TRUE, EXACT(MID($C38,H$3,1), 音調表!$B$3:$B$12),0)))</f>
        <v>g</v>
      </c>
      <c r="I38" s="16" t="str" cm="1">
        <f t="array" ref="I38" xml:space="preserve"> IF(I$3&lt;&gt;$D38, MID($C38,I$3,1), INDEX(音調表!$D$3:$D$12, MATCH(TRUE, EXACT(MID($C38,I$3,1), 音調表!$B$3:$B$12),0)))</f>
        <v>;</v>
      </c>
      <c r="J38" s="16" t="str" cm="1">
        <f t="array" ref="J38" xml:space="preserve"> IF(J$3&lt;&gt;$D38, MID($C38,J$3,1), INDEX(音調表!$D$3:$D$12, MATCH(TRUE, EXACT(MID($C38,J$3,1), 音調表!$B$3:$B$12),0)))</f>
        <v/>
      </c>
      <c r="K38" s="16" t="str" cm="1">
        <f t="array" ref="K38" xml:space="preserve"> IF(K$3&lt;&gt;$D38, MID($C38,K$3,1), INDEX(音調表!$D$3:$D$12, MATCH(TRUE, EXACT(MID($C38,K$3,1), 音調表!$B$3:$B$12),0)))</f>
        <v/>
      </c>
      <c r="L38" s="16" t="str" cm="1">
        <f t="array" ref="L38" xml:space="preserve"> IF(L$3&lt;&gt;$D38, MID($C38,L$3,1), INDEX(音調表!$D$3:$D$12, MATCH(TRUE, EXACT(MID($C38,L$3,1), 音調表!$B$3:$B$12),0)))</f>
        <v/>
      </c>
      <c r="M38" s="17" t="str" cm="1">
        <f t="array" ref="M38" xml:space="preserve"> IF(M$3&lt;&gt;$D38, MID($C38,M$3,1), INDEX(音調表!$D$3:$D$12, MATCH(TRUE, EXACT(MID($C38,M$3,1), 音調表!$B$3:$B$12),0)))</f>
        <v/>
      </c>
      <c r="O38" s="2"/>
      <c r="P38" s="2"/>
    </row>
    <row r="39" spans="2:16" x14ac:dyDescent="0.25">
      <c r="B39" s="13" t="s">
        <v>87</v>
      </c>
      <c r="C39" s="14" t="s">
        <v>121</v>
      </c>
      <c r="D39" s="15">
        <f t="shared" si="0"/>
        <v>4</v>
      </c>
      <c r="E39" s="16" t="str" cm="1">
        <f t="array" ref="E39" xml:space="preserve"> IF(E$3&lt;&gt;$D39, MID($C39,E$3,1), INDEX(音調表!$D$3:$D$12, MATCH(TRUE, EXACT(MID($C39,E$3,1), 音調表!$B$3:$B$12),0)))</f>
        <v>p</v>
      </c>
      <c r="F39" s="16" t="str" cm="1">
        <f t="array" ref="F39" xml:space="preserve"> IF(F$3&lt;&gt;$D39, MID($C39,F$3,1), INDEX(音調表!$D$3:$D$12, MATCH(TRUE, EXACT(MID($C39,F$3,1), 音調表!$B$3:$B$12),0)))</f>
        <v>u</v>
      </c>
      <c r="G39" s="16" t="str" cm="1">
        <f t="array" ref="G39" xml:space="preserve"> IF(G$3&lt;&gt;$D39, MID($C39,G$3,1), INDEX(音調表!$D$3:$D$12, MATCH(TRUE, EXACT(MID($C39,G$3,1), 音調表!$B$3:$B$12),0)))</f>
        <v>t</v>
      </c>
      <c r="H39" s="16" t="str" cm="1">
        <f t="array" ref="H39" xml:space="preserve"> IF(H$3&lt;&gt;$D39, MID($C39,H$3,1), INDEX(音調表!$D$3:$D$12, MATCH(TRUE, EXACT(MID($C39,H$3,1), 音調表!$B$3:$B$12),0)))</f>
        <v>[</v>
      </c>
      <c r="I39" s="16" t="str" cm="1">
        <f t="array" ref="I39" xml:space="preserve"> IF(I$3&lt;&gt;$D39, MID($C39,I$3,1), INDEX(音調表!$D$3:$D$12, MATCH(TRUE, EXACT(MID($C39,I$3,1), 音調表!$B$3:$B$12),0)))</f>
        <v/>
      </c>
      <c r="J39" s="16" t="str" cm="1">
        <f t="array" ref="J39" xml:space="preserve"> IF(J$3&lt;&gt;$D39, MID($C39,J$3,1), INDEX(音調表!$D$3:$D$12, MATCH(TRUE, EXACT(MID($C39,J$3,1), 音調表!$B$3:$B$12),0)))</f>
        <v/>
      </c>
      <c r="K39" s="16" t="str" cm="1">
        <f t="array" ref="K39" xml:space="preserve"> IF(K$3&lt;&gt;$D39, MID($C39,K$3,1), INDEX(音調表!$D$3:$D$12, MATCH(TRUE, EXACT(MID($C39,K$3,1), 音調表!$B$3:$B$12),0)))</f>
        <v/>
      </c>
      <c r="L39" s="16" t="str" cm="1">
        <f t="array" ref="L39" xml:space="preserve"> IF(L$3&lt;&gt;$D39, MID($C39,L$3,1), INDEX(音調表!$D$3:$D$12, MATCH(TRUE, EXACT(MID($C39,L$3,1), 音調表!$B$3:$B$12),0)))</f>
        <v/>
      </c>
      <c r="M39" s="17" t="str" cm="1">
        <f t="array" ref="M39" xml:space="preserve"> IF(M$3&lt;&gt;$D39, MID($C39,M$3,1), INDEX(音調表!$D$3:$D$12, MATCH(TRUE, EXACT(MID($C39,M$3,1), 音調表!$B$3:$B$12),0)))</f>
        <v/>
      </c>
      <c r="O39" s="2"/>
      <c r="P39" s="2"/>
    </row>
    <row r="40" spans="2:16" x14ac:dyDescent="0.25">
      <c r="B40" s="13" t="s">
        <v>88</v>
      </c>
      <c r="C40" s="14" t="s">
        <v>122</v>
      </c>
      <c r="D40" s="15">
        <f t="shared" si="0"/>
        <v>4</v>
      </c>
      <c r="E40" s="16" t="str" cm="1">
        <f t="array" ref="E40" xml:space="preserve"> IF(E$3&lt;&gt;$D40, MID($C40,E$3,1), INDEX(音調表!$D$3:$D$12, MATCH(TRUE, EXACT(MID($C40,E$3,1), 音調表!$B$3:$B$12),0)))</f>
        <v>t</v>
      </c>
      <c r="F40" s="16" t="str" cm="1">
        <f t="array" ref="F40" xml:space="preserve"> IF(F$3&lt;&gt;$D40, MID($C40,F$3,1), INDEX(音調表!$D$3:$D$12, MATCH(TRUE, EXACT(MID($C40,F$3,1), 音調表!$B$3:$B$12),0)))</f>
        <v>o</v>
      </c>
      <c r="G40" s="16" t="str" cm="1">
        <f t="array" ref="G40" xml:space="preserve"> IF(G$3&lt;&gt;$D40, MID($C40,G$3,1), INDEX(音調表!$D$3:$D$12, MATCH(TRUE, EXACT(MID($C40,G$3,1), 音調表!$B$3:$B$12),0)))</f>
        <v>o</v>
      </c>
      <c r="H40" s="16" t="str" cm="1">
        <f t="array" ref="H40" xml:space="preserve"> IF(H$3&lt;&gt;$D40, MID($C40,H$3,1), INDEX(音調表!$D$3:$D$12, MATCH(TRUE, EXACT(MID($C40,H$3,1), 音調表!$B$3:$B$12),0)))</f>
        <v>-</v>
      </c>
      <c r="I40" s="16" t="str" cm="1">
        <f t="array" ref="I40" xml:space="preserve"> IF(I$3&lt;&gt;$D40, MID($C40,I$3,1), INDEX(音調表!$D$3:$D$12, MATCH(TRUE, EXACT(MID($C40,I$3,1), 音調表!$B$3:$B$12),0)))</f>
        <v/>
      </c>
      <c r="J40" s="16" t="str" cm="1">
        <f t="array" ref="J40" xml:space="preserve"> IF(J$3&lt;&gt;$D40, MID($C40,J$3,1), INDEX(音調表!$D$3:$D$12, MATCH(TRUE, EXACT(MID($C40,J$3,1), 音調表!$B$3:$B$12),0)))</f>
        <v/>
      </c>
      <c r="K40" s="16" t="str" cm="1">
        <f t="array" ref="K40" xml:space="preserve"> IF(K$3&lt;&gt;$D40, MID($C40,K$3,1), INDEX(音調表!$D$3:$D$12, MATCH(TRUE, EXACT(MID($C40,K$3,1), 音調表!$B$3:$B$12),0)))</f>
        <v/>
      </c>
      <c r="L40" s="16" t="str" cm="1">
        <f t="array" ref="L40" xml:space="preserve"> IF(L$3&lt;&gt;$D40, MID($C40,L$3,1), INDEX(音調表!$D$3:$D$12, MATCH(TRUE, EXACT(MID($C40,L$3,1), 音調表!$B$3:$B$12),0)))</f>
        <v/>
      </c>
      <c r="M40" s="17" t="str" cm="1">
        <f t="array" ref="M40" xml:space="preserve"> IF(M$3&lt;&gt;$D40, MID($C40,M$3,1), INDEX(音調表!$D$3:$D$12, MATCH(TRUE, EXACT(MID($C40,M$3,1), 音調表!$B$3:$B$12),0)))</f>
        <v/>
      </c>
      <c r="O40" s="2"/>
      <c r="P40" s="2"/>
    </row>
    <row r="41" spans="2:16" x14ac:dyDescent="0.25">
      <c r="B41" s="13" t="s">
        <v>89</v>
      </c>
      <c r="C41" s="14" t="s">
        <v>123</v>
      </c>
      <c r="D41" s="15">
        <f t="shared" si="0"/>
        <v>5</v>
      </c>
      <c r="E41" s="16" t="str" cm="1">
        <f t="array" ref="E41" xml:space="preserve"> IF(E$3&lt;&gt;$D41, MID($C41,E$3,1), INDEX(音調表!$D$3:$D$12, MATCH(TRUE, EXACT(MID($C41,E$3,1), 音調表!$B$3:$B$12),0)))</f>
        <v>g</v>
      </c>
      <c r="F41" s="16" t="str" cm="1">
        <f t="array" ref="F41" xml:space="preserve"> IF(F$3&lt;&gt;$D41, MID($C41,F$3,1), INDEX(音調表!$D$3:$D$12, MATCH(TRUE, EXACT(MID($C41,F$3,1), 音調表!$B$3:$B$12),0)))</f>
        <v>i</v>
      </c>
      <c r="G41" s="16" t="str" cm="1">
        <f t="array" ref="G41" xml:space="preserve"> IF(G$3&lt;&gt;$D41, MID($C41,G$3,1), INDEX(音調表!$D$3:$D$12, MATCH(TRUE, EXACT(MID($C41,G$3,1), 音調表!$B$3:$B$12),0)))</f>
        <v>o</v>
      </c>
      <c r="H41" s="16" t="str" cm="1">
        <f t="array" ref="H41" xml:space="preserve"> IF(H$3&lt;&gt;$D41, MID($C41,H$3,1), INDEX(音調表!$D$3:$D$12, MATCH(TRUE, EXACT(MID($C41,H$3,1), 音調表!$B$3:$B$12),0)))</f>
        <v>k</v>
      </c>
      <c r="I41" s="16" t="str" cm="1">
        <f t="array" ref="I41" xml:space="preserve"> IF(I$3&lt;&gt;$D41, MID($C41,I$3,1), INDEX(音調表!$D$3:$D$12, MATCH(TRUE, EXACT(MID($C41,I$3,1), 音調表!$B$3:$B$12),0)))</f>
        <v>]</v>
      </c>
      <c r="J41" s="16" t="str" cm="1">
        <f t="array" ref="J41" xml:space="preserve"> IF(J$3&lt;&gt;$D41, MID($C41,J$3,1), INDEX(音調表!$D$3:$D$12, MATCH(TRUE, EXACT(MID($C41,J$3,1), 音調表!$B$3:$B$12),0)))</f>
        <v/>
      </c>
      <c r="K41" s="16" t="str" cm="1">
        <f t="array" ref="K41" xml:space="preserve"> IF(K$3&lt;&gt;$D41, MID($C41,K$3,1), INDEX(音調表!$D$3:$D$12, MATCH(TRUE, EXACT(MID($C41,K$3,1), 音調表!$B$3:$B$12),0)))</f>
        <v/>
      </c>
      <c r="L41" s="16" t="str" cm="1">
        <f t="array" ref="L41" xml:space="preserve"> IF(L$3&lt;&gt;$D41, MID($C41,L$3,1), INDEX(音調表!$D$3:$D$12, MATCH(TRUE, EXACT(MID($C41,L$3,1), 音調表!$B$3:$B$12),0)))</f>
        <v/>
      </c>
      <c r="M41" s="17" t="str" cm="1">
        <f t="array" ref="M41" xml:space="preserve"> IF(M$3&lt;&gt;$D41, MID($C41,M$3,1), INDEX(音調表!$D$3:$D$12, MATCH(TRUE, EXACT(MID($C41,M$3,1), 音調表!$B$3:$B$12),0)))</f>
        <v/>
      </c>
      <c r="O41" s="2"/>
      <c r="P41" s="2"/>
    </row>
    <row r="42" spans="2:16" x14ac:dyDescent="0.25">
      <c r="B42" s="13" t="s">
        <v>90</v>
      </c>
      <c r="C42" s="14" t="s">
        <v>124</v>
      </c>
      <c r="D42" s="15">
        <f t="shared" si="0"/>
        <v>4</v>
      </c>
      <c r="E42" s="16" t="str" cm="1">
        <f t="array" ref="E42" xml:space="preserve"> IF(E$3&lt;&gt;$D42, MID($C42,E$3,1), INDEX(音調表!$D$3:$D$12, MATCH(TRUE, EXACT(MID($C42,E$3,1), 音調表!$B$3:$B$12),0)))</f>
        <v>b</v>
      </c>
      <c r="F42" s="16" t="str" cm="1">
        <f t="array" ref="F42" xml:space="preserve"> IF(F$3&lt;&gt;$D42, MID($C42,F$3,1), INDEX(音調表!$D$3:$D$12, MATCH(TRUE, EXACT(MID($C42,F$3,1), 音調表!$B$3:$B$12),0)))</f>
        <v>u</v>
      </c>
      <c r="G42" s="16" t="str" cm="1">
        <f t="array" ref="G42" xml:space="preserve"> IF(G$3&lt;&gt;$D42, MID($C42,G$3,1), INDEX(音調表!$D$3:$D$12, MATCH(TRUE, EXACT(MID($C42,G$3,1), 音調表!$B$3:$B$12),0)))</f>
        <v>n</v>
      </c>
      <c r="H42" s="16" t="str" cm="1">
        <f t="array" ref="H42" xml:space="preserve"> IF(H$3&lt;&gt;$D42, MID($C42,H$3,1), INDEX(音調表!$D$3:$D$12, MATCH(TRUE, EXACT(MID($C42,H$3,1), 音調表!$B$3:$B$12),0)))</f>
        <v>/</v>
      </c>
      <c r="I42" s="16" t="str" cm="1">
        <f t="array" ref="I42" xml:space="preserve"> IF(I$3&lt;&gt;$D42, MID($C42,I$3,1), INDEX(音調表!$D$3:$D$12, MATCH(TRUE, EXACT(MID($C42,I$3,1), 音調表!$B$3:$B$12),0)))</f>
        <v/>
      </c>
      <c r="J42" s="16" t="str" cm="1">
        <f t="array" ref="J42" xml:space="preserve"> IF(J$3&lt;&gt;$D42, MID($C42,J$3,1), INDEX(音調表!$D$3:$D$12, MATCH(TRUE, EXACT(MID($C42,J$3,1), 音調表!$B$3:$B$12),0)))</f>
        <v/>
      </c>
      <c r="K42" s="16" t="str" cm="1">
        <f t="array" ref="K42" xml:space="preserve"> IF(K$3&lt;&gt;$D42, MID($C42,K$3,1), INDEX(音調表!$D$3:$D$12, MATCH(TRUE, EXACT(MID($C42,K$3,1), 音調表!$B$3:$B$12),0)))</f>
        <v/>
      </c>
      <c r="L42" s="16" t="str" cm="1">
        <f t="array" ref="L42" xml:space="preserve"> IF(L$3&lt;&gt;$D42, MID($C42,L$3,1), INDEX(音調表!$D$3:$D$12, MATCH(TRUE, EXACT(MID($C42,L$3,1), 音調表!$B$3:$B$12),0)))</f>
        <v/>
      </c>
      <c r="M42" s="17" t="str" cm="1">
        <f t="array" ref="M42" xml:space="preserve"> IF(M$3&lt;&gt;$D42, MID($C42,M$3,1), INDEX(音調表!$D$3:$D$12, MATCH(TRUE, EXACT(MID($C42,M$3,1), 音調表!$B$3:$B$12),0)))</f>
        <v/>
      </c>
      <c r="O42" s="2"/>
      <c r="P42" s="2"/>
    </row>
    <row r="43" spans="2:16" x14ac:dyDescent="0.25">
      <c r="B43" s="13" t="s">
        <v>91</v>
      </c>
      <c r="C43" s="14" t="s">
        <v>125</v>
      </c>
      <c r="D43" s="15">
        <f t="shared" si="0"/>
        <v>5</v>
      </c>
      <c r="E43" s="16" t="str" cm="1">
        <f t="array" ref="E43" xml:space="preserve"> IF(E$3&lt;&gt;$D43, MID($C43,E$3,1), INDEX(音調表!$D$3:$D$12, MATCH(TRUE, EXACT(MID($C43,E$3,1), 音調表!$B$3:$B$12),0)))</f>
        <v>k</v>
      </c>
      <c r="F43" s="16" t="str" cm="1">
        <f t="array" ref="F43" xml:space="preserve"> IF(F$3&lt;&gt;$D43, MID($C43,F$3,1), INDEX(音調表!$D$3:$D$12, MATCH(TRUE, EXACT(MID($C43,F$3,1), 音調表!$B$3:$B$12),0)))</f>
        <v>u</v>
      </c>
      <c r="G43" s="16" t="str" cm="1">
        <f t="array" ref="G43" xml:space="preserve"> IF(G$3&lt;&gt;$D43, MID($C43,G$3,1), INDEX(音調表!$D$3:$D$12, MATCH(TRUE, EXACT(MID($C43,G$3,1), 音調表!$B$3:$B$12),0)))</f>
        <v>a</v>
      </c>
      <c r="H43" s="16" t="str" cm="1">
        <f t="array" ref="H43" xml:space="preserve"> IF(H$3&lt;&gt;$D43, MID($C43,H$3,1), INDEX(音調表!$D$3:$D$12, MATCH(TRUE, EXACT(MID($C43,H$3,1), 音調表!$B$3:$B$12),0)))</f>
        <v>n</v>
      </c>
      <c r="I43" s="16" t="str" cm="1">
        <f t="array" ref="I43" xml:space="preserve"> IF(I$3&lt;&gt;$D43, MID($C43,I$3,1), INDEX(音調表!$D$3:$D$12, MATCH(TRUE, EXACT(MID($C43,I$3,1), 音調表!$B$3:$B$12),0)))</f>
        <v>;</v>
      </c>
      <c r="J43" s="16" t="str" cm="1">
        <f t="array" ref="J43" xml:space="preserve"> IF(J$3&lt;&gt;$D43, MID($C43,J$3,1), INDEX(音調表!$D$3:$D$12, MATCH(TRUE, EXACT(MID($C43,J$3,1), 音調表!$B$3:$B$12),0)))</f>
        <v/>
      </c>
      <c r="K43" s="16" t="str" cm="1">
        <f t="array" ref="K43" xml:space="preserve"> IF(K$3&lt;&gt;$D43, MID($C43,K$3,1), INDEX(音調表!$D$3:$D$12, MATCH(TRUE, EXACT(MID($C43,K$3,1), 音調表!$B$3:$B$12),0)))</f>
        <v/>
      </c>
      <c r="L43" s="16" t="str" cm="1">
        <f t="array" ref="L43" xml:space="preserve"> IF(L$3&lt;&gt;$D43, MID($C43,L$3,1), INDEX(音調表!$D$3:$D$12, MATCH(TRUE, EXACT(MID($C43,L$3,1), 音調表!$B$3:$B$12),0)))</f>
        <v/>
      </c>
      <c r="M43" s="17" t="str" cm="1">
        <f t="array" ref="M43" xml:space="preserve"> IF(M$3&lt;&gt;$D43, MID($C43,M$3,1), INDEX(音調表!$D$3:$D$12, MATCH(TRUE, EXACT(MID($C43,M$3,1), 音調表!$B$3:$B$12),0)))</f>
        <v/>
      </c>
      <c r="O43" s="2"/>
      <c r="P43" s="2"/>
    </row>
    <row r="44" spans="2:16" x14ac:dyDescent="0.25">
      <c r="B44" s="13" t="s">
        <v>77</v>
      </c>
      <c r="C44" s="14"/>
      <c r="D44" s="15" t="str">
        <f t="shared" si="0"/>
        <v/>
      </c>
      <c r="E44" s="16" t="s">
        <v>102</v>
      </c>
      <c r="F44" s="16" t="s">
        <v>41</v>
      </c>
      <c r="G44" s="16" t="str" cm="1">
        <f t="array" ref="G44" xml:space="preserve"> IF(G$3&lt;&gt;$D44, MID($C44,G$3,1), INDEX(音調表!$D$3:$D$12, MATCH(TRUE, EXACT(MID($C44,G$3,1), 音調表!$B$3:$B$12),0)))</f>
        <v/>
      </c>
      <c r="H44" s="16" t="str" cm="1">
        <f t="array" ref="H44" xml:space="preserve"> IF(H$3&lt;&gt;$D44, MID($C44,H$3,1), INDEX(音調表!$D$3:$D$12, MATCH(TRUE, EXACT(MID($C44,H$3,1), 音調表!$B$3:$B$12),0)))</f>
        <v/>
      </c>
      <c r="I44" s="16" t="str" cm="1">
        <f t="array" ref="I44" xml:space="preserve"> IF(I$3&lt;&gt;$D44, MID($C44,I$3,1), INDEX(音調表!$D$3:$D$12, MATCH(TRUE, EXACT(MID($C44,I$3,1), 音調表!$B$3:$B$12),0)))</f>
        <v/>
      </c>
      <c r="J44" s="16" t="str" cm="1">
        <f t="array" ref="J44" xml:space="preserve"> IF(J$3&lt;&gt;$D44, MID($C44,J$3,1), INDEX(音調表!$D$3:$D$12, MATCH(TRUE, EXACT(MID($C44,J$3,1), 音調表!$B$3:$B$12),0)))</f>
        <v/>
      </c>
      <c r="K44" s="16" t="str" cm="1">
        <f t="array" ref="K44" xml:space="preserve"> IF(K$3&lt;&gt;$D44, MID($C44,K$3,1), INDEX(音調表!$D$3:$D$12, MATCH(TRUE, EXACT(MID($C44,K$3,1), 音調表!$B$3:$B$12),0)))</f>
        <v/>
      </c>
      <c r="L44" s="16" t="str" cm="1">
        <f t="array" ref="L44" xml:space="preserve"> IF(L$3&lt;&gt;$D44, MID($C44,L$3,1), INDEX(音調表!$D$3:$D$12, MATCH(TRUE, EXACT(MID($C44,L$3,1), 音調表!$B$3:$B$12),0)))</f>
        <v/>
      </c>
      <c r="M44" s="17" t="str" cm="1">
        <f t="array" ref="M44" xml:space="preserve"> IF(M$3&lt;&gt;$D44, MID($C44,M$3,1), INDEX(音調表!$D$3:$D$12, MATCH(TRUE, EXACT(MID($C44,M$3,1), 音調表!$B$3:$B$12),0)))</f>
        <v/>
      </c>
      <c r="O44" s="2"/>
      <c r="P44" s="2"/>
    </row>
  </sheetData>
  <mergeCells count="4">
    <mergeCell ref="B2:B3"/>
    <mergeCell ref="C2:C3"/>
    <mergeCell ref="D2:D3"/>
    <mergeCell ref="E2:M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2D0F-230B-483E-99E8-31C20596DE31}">
  <dimension ref="B1:G12"/>
  <sheetViews>
    <sheetView workbookViewId="0">
      <selection activeCell="N13" sqref="N13"/>
    </sheetView>
  </sheetViews>
  <sheetFormatPr defaultRowHeight="25.5" x14ac:dyDescent="0.25"/>
  <cols>
    <col min="2" max="2" width="11.25" style="3" customWidth="1"/>
    <col min="3" max="3" width="24.75" style="3" customWidth="1"/>
    <col min="4" max="7" width="16.25" style="3" customWidth="1"/>
  </cols>
  <sheetData>
    <row r="1" spans="2:7" ht="26.25" thickBot="1" x14ac:dyDescent="0.3"/>
    <row r="2" spans="2:7" ht="27" thickBot="1" x14ac:dyDescent="0.3">
      <c r="B2" s="4" t="s">
        <v>9</v>
      </c>
      <c r="C2" s="5" t="s">
        <v>10</v>
      </c>
      <c r="D2" s="4" t="s">
        <v>11</v>
      </c>
      <c r="E2" s="4" t="s">
        <v>3</v>
      </c>
      <c r="F2" s="5" t="s">
        <v>12</v>
      </c>
      <c r="G2" s="5" t="s">
        <v>13</v>
      </c>
    </row>
    <row r="3" spans="2:7" ht="27" thickBot="1" x14ac:dyDescent="0.3">
      <c r="B3" s="6">
        <v>1</v>
      </c>
      <c r="C3" s="7" t="s">
        <v>14</v>
      </c>
      <c r="D3" s="6" t="s">
        <v>15</v>
      </c>
      <c r="E3" s="6" t="s">
        <v>16</v>
      </c>
      <c r="F3" s="7" t="s">
        <v>47</v>
      </c>
      <c r="G3" s="7" t="s">
        <v>53</v>
      </c>
    </row>
    <row r="4" spans="2:7" ht="27" thickBot="1" x14ac:dyDescent="0.3">
      <c r="B4" s="8">
        <v>2</v>
      </c>
      <c r="C4" s="9" t="s">
        <v>17</v>
      </c>
      <c r="D4" s="8" t="s">
        <v>18</v>
      </c>
      <c r="E4" s="8" t="s">
        <v>19</v>
      </c>
      <c r="F4" s="9" t="s">
        <v>48</v>
      </c>
      <c r="G4" s="9" t="s">
        <v>54</v>
      </c>
    </row>
    <row r="5" spans="2:7" ht="27" thickBot="1" x14ac:dyDescent="0.3">
      <c r="B5" s="6">
        <v>3</v>
      </c>
      <c r="C5" s="7" t="s">
        <v>20</v>
      </c>
      <c r="D5" s="6" t="s">
        <v>21</v>
      </c>
      <c r="E5" s="6" t="s">
        <v>22</v>
      </c>
      <c r="F5" s="7" t="s">
        <v>49</v>
      </c>
      <c r="G5" s="7" t="s">
        <v>55</v>
      </c>
    </row>
    <row r="6" spans="2:7" ht="27" thickBot="1" x14ac:dyDescent="0.3">
      <c r="B6" s="8">
        <v>4</v>
      </c>
      <c r="C6" s="9" t="s">
        <v>23</v>
      </c>
      <c r="D6" s="8" t="s">
        <v>24</v>
      </c>
      <c r="E6" s="8" t="s">
        <v>25</v>
      </c>
      <c r="F6" s="9" t="s">
        <v>26</v>
      </c>
      <c r="G6" s="9" t="s">
        <v>56</v>
      </c>
    </row>
    <row r="7" spans="2:7" ht="27" thickBot="1" x14ac:dyDescent="0.3">
      <c r="B7" s="6">
        <v>5</v>
      </c>
      <c r="C7" s="7" t="s">
        <v>27</v>
      </c>
      <c r="D7" s="6" t="s">
        <v>28</v>
      </c>
      <c r="E7" s="6" t="s">
        <v>29</v>
      </c>
      <c r="F7" s="7" t="s">
        <v>50</v>
      </c>
      <c r="G7" s="7" t="s">
        <v>57</v>
      </c>
    </row>
    <row r="8" spans="2:7" ht="27" thickBot="1" x14ac:dyDescent="0.3">
      <c r="B8" s="8">
        <v>6</v>
      </c>
      <c r="C8" s="9" t="s">
        <v>30</v>
      </c>
      <c r="D8" s="8" t="s">
        <v>18</v>
      </c>
      <c r="E8" s="8" t="s">
        <v>31</v>
      </c>
      <c r="F8" s="9" t="s">
        <v>51</v>
      </c>
      <c r="G8" s="9" t="s">
        <v>54</v>
      </c>
    </row>
    <row r="9" spans="2:7" ht="27" thickBot="1" x14ac:dyDescent="0.3">
      <c r="B9" s="6">
        <v>7</v>
      </c>
      <c r="C9" s="7" t="s">
        <v>32</v>
      </c>
      <c r="D9" s="6" t="s">
        <v>33</v>
      </c>
      <c r="E9" s="6" t="s">
        <v>34</v>
      </c>
      <c r="F9" s="7" t="s">
        <v>52</v>
      </c>
      <c r="G9" s="7" t="s">
        <v>58</v>
      </c>
    </row>
    <row r="10" spans="2:7" ht="27" thickBot="1" x14ac:dyDescent="0.3">
      <c r="B10" s="8">
        <v>8</v>
      </c>
      <c r="C10" s="9" t="s">
        <v>35</v>
      </c>
      <c r="D10" s="8" t="s">
        <v>36</v>
      </c>
      <c r="E10" s="8" t="s">
        <v>37</v>
      </c>
      <c r="F10" s="9" t="s">
        <v>38</v>
      </c>
      <c r="G10" s="9" t="s">
        <v>39</v>
      </c>
    </row>
    <row r="11" spans="2:7" ht="27" thickBot="1" x14ac:dyDescent="0.3">
      <c r="B11" s="6">
        <v>0</v>
      </c>
      <c r="C11" s="7" t="s">
        <v>40</v>
      </c>
      <c r="D11" s="6" t="s">
        <v>41</v>
      </c>
      <c r="E11" s="6" t="s">
        <v>25</v>
      </c>
      <c r="F11" s="7" t="s">
        <v>42</v>
      </c>
      <c r="G11" s="7" t="s">
        <v>43</v>
      </c>
    </row>
    <row r="12" spans="2:7" ht="27" thickBot="1" x14ac:dyDescent="0.3">
      <c r="B12" s="8">
        <v>0</v>
      </c>
      <c r="C12" s="9" t="s">
        <v>44</v>
      </c>
      <c r="D12" s="8" t="s">
        <v>41</v>
      </c>
      <c r="E12" s="8" t="s">
        <v>37</v>
      </c>
      <c r="F12" s="9" t="s">
        <v>42</v>
      </c>
      <c r="G12" s="9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打字練習表</vt:lpstr>
      <vt:lpstr>音調表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2025-10-06T03:23:26Z</dcterms:created>
  <dcterms:modified xsi:type="dcterms:W3CDTF">2025-11-18T12:02:42Z</dcterms:modified>
</cp:coreProperties>
</file>