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Keyboard\"/>
    </mc:Choice>
  </mc:AlternateContent>
  <xr:revisionPtr revIDLastSave="0" documentId="13_ncr:1_{27CB7013-64B1-4379-9A04-FD8E13F13B38}" xr6:coauthVersionLast="47" xr6:coauthVersionMax="47" xr10:uidLastSave="{00000000-0000-0000-0000-000000000000}"/>
  <bookViews>
    <workbookView xWindow="28680" yWindow="-120" windowWidth="38640" windowHeight="15720" activeTab="1" xr2:uid="{D1BF9416-9B97-4199-BD50-047AC281BA03}"/>
  </bookViews>
  <sheets>
    <sheet name="工作表1" sheetId="1" r:id="rId1"/>
    <sheet name="注音符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28" i="1" l="1"/>
  <c r="H28" i="1"/>
  <c r="G28" i="1"/>
  <c r="J27" i="1"/>
  <c r="I27" i="1"/>
  <c r="G27" i="1"/>
  <c r="H21" i="1"/>
  <c r="G21" i="1"/>
  <c r="I20" i="1"/>
  <c r="H20" i="1"/>
  <c r="G20" i="1"/>
  <c r="J19" i="1"/>
  <c r="I19" i="1"/>
  <c r="G19" i="1"/>
  <c r="I18" i="1"/>
  <c r="H18" i="1"/>
  <c r="J16" i="1"/>
  <c r="G16" i="1"/>
  <c r="H16" i="1"/>
  <c r="I15" i="1"/>
  <c r="H15" i="1"/>
  <c r="G15" i="1"/>
  <c r="J14" i="1"/>
  <c r="G14" i="1"/>
  <c r="I10" i="1"/>
  <c r="H10" i="1"/>
  <c r="I5" i="1"/>
  <c r="H5" i="1"/>
  <c r="J4" i="1"/>
  <c r="G4" i="1"/>
  <c r="J24" i="1"/>
  <c r="H24" i="1"/>
  <c r="G24" i="1"/>
  <c r="I26" i="1"/>
  <c r="G26" i="1"/>
  <c r="J47" i="1" l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H41" i="1"/>
  <c r="G41" i="1"/>
  <c r="H39" i="1"/>
  <c r="G39" i="1"/>
  <c r="H38" i="1"/>
  <c r="G38" i="1"/>
  <c r="J36" i="1"/>
  <c r="I36" i="1"/>
  <c r="H36" i="1"/>
  <c r="G36" i="1"/>
  <c r="J35" i="1"/>
  <c r="H35" i="1"/>
  <c r="G35" i="1"/>
  <c r="J34" i="1"/>
  <c r="H34" i="1"/>
  <c r="G34" i="1"/>
  <c r="J49" i="1"/>
  <c r="I49" i="1"/>
  <c r="J48" i="1"/>
  <c r="I48" i="1"/>
  <c r="H48" i="1"/>
  <c r="G48" i="1"/>
  <c r="J52" i="1"/>
  <c r="I52" i="1"/>
  <c r="G52" i="1"/>
  <c r="J51" i="1"/>
  <c r="I51" i="1"/>
  <c r="H51" i="1"/>
  <c r="G51" i="1"/>
  <c r="B34" i="1"/>
  <c r="C34" i="1" s="1"/>
  <c r="F34" i="1"/>
  <c r="B35" i="1"/>
  <c r="C35" i="1"/>
  <c r="D35" i="1"/>
  <c r="I35" i="1" s="1"/>
  <c r="E35" i="1"/>
  <c r="F35" i="1"/>
  <c r="B36" i="1"/>
  <c r="C36" i="1" s="1"/>
  <c r="F36" i="1"/>
  <c r="B37" i="1"/>
  <c r="G37" i="1" s="1"/>
  <c r="C37" i="1"/>
  <c r="H37" i="1" s="1"/>
  <c r="D37" i="1"/>
  <c r="I37" i="1" s="1"/>
  <c r="E37" i="1"/>
  <c r="J37" i="1" s="1"/>
  <c r="F37" i="1"/>
  <c r="B38" i="1"/>
  <c r="C38" i="1"/>
  <c r="D38" i="1"/>
  <c r="E38" i="1"/>
  <c r="F38" i="1"/>
  <c r="I38" i="1"/>
  <c r="J38" i="1"/>
  <c r="B39" i="1"/>
  <c r="C39" i="1"/>
  <c r="D39" i="1"/>
  <c r="E39" i="1" s="1"/>
  <c r="J39" i="1" s="1"/>
  <c r="F39" i="1"/>
  <c r="B40" i="1"/>
  <c r="C40" i="1"/>
  <c r="D40" i="1"/>
  <c r="E40" i="1" s="1"/>
  <c r="J40" i="1" s="1"/>
  <c r="F40" i="1"/>
  <c r="G40" i="1"/>
  <c r="H40" i="1"/>
  <c r="I40" i="1"/>
  <c r="B41" i="1"/>
  <c r="C41" i="1" s="1"/>
  <c r="F41" i="1"/>
  <c r="B42" i="1"/>
  <c r="C42" i="1"/>
  <c r="D42" i="1"/>
  <c r="E42" i="1"/>
  <c r="F42" i="1"/>
  <c r="B43" i="1"/>
  <c r="C43" i="1"/>
  <c r="D43" i="1" s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 s="1"/>
  <c r="F48" i="1"/>
  <c r="B49" i="1"/>
  <c r="C49" i="1"/>
  <c r="D49" i="1"/>
  <c r="E49" i="1"/>
  <c r="F49" i="1"/>
  <c r="G49" i="1"/>
  <c r="H49" i="1"/>
  <c r="B50" i="1"/>
  <c r="C50" i="1" s="1"/>
  <c r="F50" i="1"/>
  <c r="B51" i="1"/>
  <c r="C51" i="1"/>
  <c r="D51" i="1"/>
  <c r="E51" i="1"/>
  <c r="F51" i="1"/>
  <c r="B52" i="1"/>
  <c r="C52" i="1" s="1"/>
  <c r="F52" i="1"/>
  <c r="F33" i="1"/>
  <c r="B33" i="1"/>
  <c r="C33" i="1" s="1"/>
  <c r="B4" i="1"/>
  <c r="C4" i="1" s="1"/>
  <c r="F4" i="1"/>
  <c r="B5" i="1"/>
  <c r="G5" i="1" s="1"/>
  <c r="F5" i="1"/>
  <c r="B6" i="1"/>
  <c r="G6" i="1" s="1"/>
  <c r="C6" i="1"/>
  <c r="H6" i="1" s="1"/>
  <c r="D6" i="1"/>
  <c r="I6" i="1" s="1"/>
  <c r="E6" i="1"/>
  <c r="J6" i="1" s="1"/>
  <c r="F6" i="1"/>
  <c r="B7" i="1"/>
  <c r="G7" i="1" s="1"/>
  <c r="F7" i="1"/>
  <c r="B8" i="1"/>
  <c r="G8" i="1" s="1"/>
  <c r="C8" i="1"/>
  <c r="D8" i="1" s="1"/>
  <c r="F8" i="1"/>
  <c r="B9" i="1"/>
  <c r="G9" i="1" s="1"/>
  <c r="F9" i="1"/>
  <c r="B10" i="1"/>
  <c r="C10" i="1" s="1"/>
  <c r="F10" i="1"/>
  <c r="G10" i="1"/>
  <c r="B11" i="1"/>
  <c r="C11" i="1" s="1"/>
  <c r="F11" i="1"/>
  <c r="G11" i="1"/>
  <c r="B12" i="1"/>
  <c r="C12" i="1" s="1"/>
  <c r="F12" i="1"/>
  <c r="G12" i="1"/>
  <c r="B13" i="1"/>
  <c r="G13" i="1" s="1"/>
  <c r="C13" i="1"/>
  <c r="H13" i="1" s="1"/>
  <c r="D13" i="1"/>
  <c r="I13" i="1" s="1"/>
  <c r="E13" i="1"/>
  <c r="J13" i="1" s="1"/>
  <c r="F13" i="1"/>
  <c r="B14" i="1"/>
  <c r="C14" i="1"/>
  <c r="H14" i="1" s="1"/>
  <c r="D14" i="1"/>
  <c r="I14" i="1" s="1"/>
  <c r="E14" i="1"/>
  <c r="F14" i="1"/>
  <c r="B15" i="1"/>
  <c r="C15" i="1"/>
  <c r="D15" i="1"/>
  <c r="E15" i="1" s="1"/>
  <c r="J15" i="1" s="1"/>
  <c r="F15" i="1"/>
  <c r="B16" i="1"/>
  <c r="C16" i="1"/>
  <c r="F16" i="1"/>
  <c r="B17" i="1"/>
  <c r="C17" i="1" s="1"/>
  <c r="F17" i="1"/>
  <c r="B18" i="1"/>
  <c r="C18" i="1"/>
  <c r="D18" i="1" s="1"/>
  <c r="F18" i="1"/>
  <c r="G18" i="1"/>
  <c r="B19" i="1"/>
  <c r="C19" i="1" s="1"/>
  <c r="F19" i="1"/>
  <c r="B20" i="1"/>
  <c r="C20" i="1"/>
  <c r="D20" i="1"/>
  <c r="E20" i="1"/>
  <c r="J20" i="1" s="1"/>
  <c r="F20" i="1"/>
  <c r="B21" i="1"/>
  <c r="F21" i="1"/>
  <c r="B22" i="1"/>
  <c r="G22" i="1" s="1"/>
  <c r="F22" i="1"/>
  <c r="B23" i="1"/>
  <c r="G23" i="1" s="1"/>
  <c r="C23" i="1"/>
  <c r="D23" i="1" s="1"/>
  <c r="F23" i="1"/>
  <c r="B24" i="1"/>
  <c r="F24" i="1"/>
  <c r="B25" i="1"/>
  <c r="C25" i="1" s="1"/>
  <c r="F25" i="1"/>
  <c r="G25" i="1"/>
  <c r="B26" i="1"/>
  <c r="C26" i="1" s="1"/>
  <c r="F26" i="1"/>
  <c r="B27" i="1"/>
  <c r="C27" i="1"/>
  <c r="D27" i="1" s="1"/>
  <c r="F27" i="1"/>
  <c r="H27" i="1"/>
  <c r="B28" i="1"/>
  <c r="C28" i="1"/>
  <c r="D28" i="1"/>
  <c r="E28" i="1"/>
  <c r="J28" i="1" s="1"/>
  <c r="F28" i="1"/>
  <c r="B29" i="1"/>
  <c r="C29" i="1" s="1"/>
  <c r="F29" i="1"/>
  <c r="G29" i="1"/>
  <c r="F3" i="1"/>
  <c r="B3" i="1"/>
  <c r="C3" i="1" s="1"/>
  <c r="D3" i="1" s="1"/>
  <c r="E3" i="1" s="1"/>
  <c r="J3" i="1" s="1"/>
  <c r="D50" i="1" l="1"/>
  <c r="H50" i="1"/>
  <c r="D36" i="1"/>
  <c r="D41" i="1"/>
  <c r="E48" i="1"/>
  <c r="E43" i="1"/>
  <c r="D52" i="1"/>
  <c r="H52" i="1"/>
  <c r="D34" i="1"/>
  <c r="G50" i="1"/>
  <c r="I39" i="1"/>
  <c r="D33" i="1"/>
  <c r="H33" i="1"/>
  <c r="G33" i="1"/>
  <c r="E27" i="1"/>
  <c r="H12" i="1"/>
  <c r="D12" i="1"/>
  <c r="H29" i="1"/>
  <c r="D29" i="1"/>
  <c r="D19" i="1"/>
  <c r="H19" i="1"/>
  <c r="H4" i="1"/>
  <c r="D4" i="1"/>
  <c r="G3" i="1"/>
  <c r="C5" i="1"/>
  <c r="C22" i="1"/>
  <c r="H3" i="1"/>
  <c r="I3" i="1"/>
  <c r="C7" i="1"/>
  <c r="C21" i="1"/>
  <c r="D11" i="1"/>
  <c r="H11" i="1"/>
  <c r="D26" i="1"/>
  <c r="H26" i="1"/>
  <c r="D10" i="1"/>
  <c r="H17" i="1"/>
  <c r="D17" i="1"/>
  <c r="E18" i="1"/>
  <c r="J18" i="1" s="1"/>
  <c r="E8" i="1"/>
  <c r="J8" i="1" s="1"/>
  <c r="I8" i="1"/>
  <c r="D25" i="1"/>
  <c r="H25" i="1"/>
  <c r="I23" i="1"/>
  <c r="E23" i="1"/>
  <c r="J23" i="1" s="1"/>
  <c r="C24" i="1"/>
  <c r="D16" i="1"/>
  <c r="C9" i="1"/>
  <c r="H23" i="1"/>
  <c r="G17" i="1"/>
  <c r="H8" i="1"/>
  <c r="E34" i="1" l="1"/>
  <c r="I34" i="1"/>
  <c r="E52" i="1"/>
  <c r="E41" i="1"/>
  <c r="I41" i="1"/>
  <c r="E36" i="1"/>
  <c r="I50" i="1"/>
  <c r="E50" i="1"/>
  <c r="J50" i="1" s="1"/>
  <c r="I33" i="1"/>
  <c r="E33" i="1"/>
  <c r="J33" i="1" s="1"/>
  <c r="E19" i="1"/>
  <c r="H22" i="1"/>
  <c r="D22" i="1"/>
  <c r="D5" i="1"/>
  <c r="I4" i="1"/>
  <c r="E4" i="1"/>
  <c r="I29" i="1"/>
  <c r="E29" i="1"/>
  <c r="J29" i="1" s="1"/>
  <c r="E12" i="1"/>
  <c r="J12" i="1" s="1"/>
  <c r="I12" i="1"/>
  <c r="D21" i="1"/>
  <c r="H7" i="1"/>
  <c r="D7" i="1"/>
  <c r="E25" i="1"/>
  <c r="J25" i="1" s="1"/>
  <c r="I25" i="1"/>
  <c r="E17" i="1"/>
  <c r="J17" i="1" s="1"/>
  <c r="I17" i="1"/>
  <c r="E10" i="1"/>
  <c r="J10" i="1" s="1"/>
  <c r="H9" i="1"/>
  <c r="D9" i="1"/>
  <c r="I16" i="1"/>
  <c r="E16" i="1"/>
  <c r="E26" i="1"/>
  <c r="J26" i="1" s="1"/>
  <c r="D24" i="1"/>
  <c r="E11" i="1"/>
  <c r="J11" i="1" s="1"/>
  <c r="I11" i="1"/>
  <c r="I21" i="1" l="1"/>
  <c r="E21" i="1"/>
  <c r="J21" i="1" s="1"/>
  <c r="I22" i="1"/>
  <c r="E22" i="1"/>
  <c r="J22" i="1" s="1"/>
  <c r="I7" i="1"/>
  <c r="E7" i="1"/>
  <c r="J7" i="1" s="1"/>
  <c r="E5" i="1"/>
  <c r="J5" i="1" s="1"/>
  <c r="E24" i="1"/>
  <c r="I24" i="1"/>
  <c r="E9" i="1"/>
  <c r="J9" i="1" s="1"/>
  <c r="I9" i="1"/>
</calcChain>
</file>

<file path=xl/sharedStrings.xml><?xml version="1.0" encoding="utf-8"?>
<sst xmlns="http://schemas.openxmlformats.org/spreadsheetml/2006/main" count="346" uniqueCount="219">
  <si>
    <r>
      <t>ㄅ</t>
    </r>
    <r>
      <rPr>
        <b/>
        <sz val="13"/>
        <color rgb="FF101418"/>
        <rFont val="Arial"/>
        <family val="2"/>
      </rPr>
      <t>[b] [p] [p] [b]</t>
    </r>
  </si>
  <si>
    <r>
      <t>ㆠ</t>
    </r>
    <r>
      <rPr>
        <b/>
        <sz val="13"/>
        <color rgb="FF101418"/>
        <rFont val="Arial"/>
        <family val="2"/>
      </rPr>
      <t>[bb] [b] [b] [bb]</t>
    </r>
  </si>
  <si>
    <r>
      <t>ㄆ</t>
    </r>
    <r>
      <rPr>
        <b/>
        <sz val="13"/>
        <color rgb="FF101418"/>
        <rFont val="Arial"/>
        <family val="2"/>
      </rPr>
      <t>[p] [ph] [p'] [p]</t>
    </r>
  </si>
  <si>
    <r>
      <t>ㄇ</t>
    </r>
    <r>
      <rPr>
        <b/>
        <sz val="13"/>
        <color rgb="FF101418"/>
        <rFont val="Arial"/>
        <family val="2"/>
      </rPr>
      <t>[m] [m] [m] [m]</t>
    </r>
  </si>
  <si>
    <r>
      <rPr>
        <b/>
        <sz val="13.5"/>
        <color rgb="FF101418"/>
        <rFont val="新細明體"/>
        <family val="2"/>
        <charset val="136"/>
      </rPr>
      <t>ㄈ</t>
    </r>
    <r>
      <rPr>
        <b/>
        <sz val="13.5"/>
        <color rgb="FF101418"/>
        <rFont val="Arial"/>
        <family val="2"/>
      </rPr>
      <t>[f] [f] [f] [f]</t>
    </r>
    <phoneticPr fontId="3" type="noConversion"/>
  </si>
  <si>
    <r>
      <t>ㄪ</t>
    </r>
    <r>
      <rPr>
        <b/>
        <sz val="13"/>
        <color rgb="FF101418"/>
        <rFont val="Arial"/>
        <family val="2"/>
      </rPr>
      <t>[v] [v] [v] [v]</t>
    </r>
  </si>
  <si>
    <r>
      <t>ㄉ</t>
    </r>
    <r>
      <rPr>
        <b/>
        <sz val="13"/>
        <color rgb="FF101418"/>
        <rFont val="Arial"/>
        <family val="2"/>
      </rPr>
      <t>[d] [t] [t] [d]</t>
    </r>
  </si>
  <si>
    <r>
      <t>ㄊ</t>
    </r>
    <r>
      <rPr>
        <b/>
        <sz val="13"/>
        <color rgb="FF101418"/>
        <rFont val="Arial"/>
        <family val="2"/>
      </rPr>
      <t>[t] [th] [t'] [t]</t>
    </r>
  </si>
  <si>
    <t>ㄋ[n] [n] [n] [n]</t>
  </si>
  <si>
    <r>
      <t>ㄌ</t>
    </r>
    <r>
      <rPr>
        <b/>
        <sz val="13"/>
        <color rgb="FF101418"/>
        <rFont val="Arial"/>
        <family val="2"/>
      </rPr>
      <t>[l] [l] [l] [l]</t>
    </r>
  </si>
  <si>
    <r>
      <t>ㄍ</t>
    </r>
    <r>
      <rPr>
        <b/>
        <sz val="13"/>
        <color rgb="FF101418"/>
        <rFont val="Arial"/>
        <family val="2"/>
      </rPr>
      <t>[g] [k] [k] [g]</t>
    </r>
  </si>
  <si>
    <r>
      <t>ㆣ</t>
    </r>
    <r>
      <rPr>
        <b/>
        <sz val="13"/>
        <color rgb="FF101418"/>
        <rFont val="Arial"/>
        <family val="2"/>
      </rPr>
      <t>[gg] [g] [g] [gg]</t>
    </r>
  </si>
  <si>
    <r>
      <t>ㄎ</t>
    </r>
    <r>
      <rPr>
        <b/>
        <sz val="13"/>
        <color rgb="FF101418"/>
        <rFont val="Arial"/>
        <family val="2"/>
      </rPr>
      <t>[k] [kh] [k'] [k]</t>
    </r>
  </si>
  <si>
    <r>
      <t>ㄫ</t>
    </r>
    <r>
      <rPr>
        <b/>
        <sz val="13"/>
        <color rgb="FF101418"/>
        <rFont val="Arial"/>
        <family val="2"/>
      </rPr>
      <t>[ng] [ng] [ŋ] [ng] [ng]</t>
    </r>
  </si>
  <si>
    <t>ㄏ [h] [h] [h] [h]</t>
  </si>
  <si>
    <r>
      <t>ㄐ</t>
    </r>
    <r>
      <rPr>
        <b/>
        <sz val="13"/>
        <color rgb="FF101418"/>
        <rFont val="Arial"/>
        <family val="2"/>
      </rPr>
      <t> [j] [c(i)] [tɕ ] [j]</t>
    </r>
  </si>
  <si>
    <r>
      <t>ㆢ</t>
    </r>
    <r>
      <rPr>
        <b/>
        <sz val="13"/>
        <color rgb="FF101418"/>
        <rFont val="Arial"/>
        <family val="2"/>
      </rPr>
      <t> [jj] [j] [dʑ ] [jj]</t>
    </r>
  </si>
  <si>
    <r>
      <t>ㄑ</t>
    </r>
    <r>
      <rPr>
        <b/>
        <sz val="13"/>
        <color rgb="FF101418"/>
        <rFont val="Arial"/>
        <family val="2"/>
      </rPr>
      <t> [ch] [ch(i)] [tɕ '] [q]</t>
    </r>
  </si>
  <si>
    <r>
      <t>ㄒ</t>
    </r>
    <r>
      <rPr>
        <b/>
        <sz val="13"/>
        <color rgb="FF101418"/>
        <rFont val="Arial"/>
        <family val="2"/>
      </rPr>
      <t> [si] [s(i)] [ɕ] [x]</t>
    </r>
  </si>
  <si>
    <r>
      <t>ㄓ</t>
    </r>
    <r>
      <rPr>
        <b/>
        <sz val="13"/>
        <color rgb="FF101418"/>
        <rFont val="Arial"/>
        <family val="2"/>
      </rPr>
      <t> [z] [z] [tʂ ] [zh]</t>
    </r>
  </si>
  <si>
    <r>
      <t>ㄔ</t>
    </r>
    <r>
      <rPr>
        <b/>
        <sz val="13"/>
        <color rgb="FF101418"/>
        <rFont val="Arial"/>
        <family val="2"/>
      </rPr>
      <t> [zh] [zh] [tʂ'] [ch]</t>
    </r>
  </si>
  <si>
    <r>
      <rPr>
        <b/>
        <sz val="13.5"/>
        <color rgb="FF101418"/>
        <rFont val="Noto Sans TC"/>
        <family val="2"/>
        <charset val="136"/>
      </rPr>
      <t>ㄕ</t>
    </r>
    <r>
      <rPr>
        <b/>
        <sz val="13.5"/>
        <color rgb="FF101418"/>
        <rFont val="Arial"/>
        <family val="2"/>
      </rPr>
      <t> [sh] [sh] [ʂ ] [sh]</t>
    </r>
    <phoneticPr fontId="3" type="noConversion"/>
  </si>
  <si>
    <r>
      <t>ㄖ</t>
    </r>
    <r>
      <rPr>
        <b/>
        <sz val="13"/>
        <color rgb="FF101418"/>
        <rFont val="Arial"/>
        <family val="2"/>
      </rPr>
      <t> [r] [r] [ʐ ] [r]</t>
    </r>
  </si>
  <si>
    <t>ㄗ [tz] [c] [ts] [z]</t>
  </si>
  <si>
    <r>
      <t>ㆡ</t>
    </r>
    <r>
      <rPr>
        <b/>
        <sz val="13"/>
        <color rgb="FF101418"/>
        <rFont val="Arial"/>
        <family val="2"/>
      </rPr>
      <t> [zz] [j] [dz] [zz]</t>
    </r>
  </si>
  <si>
    <r>
      <t>ㄘ</t>
    </r>
    <r>
      <rPr>
        <b/>
        <sz val="13"/>
        <color rgb="FF101418"/>
        <rFont val="Arial"/>
        <family val="2"/>
      </rPr>
      <t> [ts] [ch] [ts'] [c]</t>
    </r>
  </si>
  <si>
    <r>
      <t>ㄙ</t>
    </r>
    <r>
      <rPr>
        <b/>
        <sz val="13"/>
        <color rgb="FF101418"/>
        <rFont val="Arial"/>
        <family val="2"/>
      </rPr>
      <t> [s] [s] [s] [s]</t>
    </r>
  </si>
  <si>
    <r>
      <rPr>
        <b/>
        <sz val="13.5"/>
        <color rgb="FF101418"/>
        <rFont val="Noto Sans TC"/>
        <family val="2"/>
        <charset val="136"/>
      </rPr>
      <t>ㄚ</t>
    </r>
    <r>
      <rPr>
        <b/>
        <sz val="13.5"/>
        <color rgb="FF101418"/>
        <rFont val="Arial"/>
        <family val="2"/>
      </rPr>
      <t> [a] [a] [a] [a]</t>
    </r>
    <phoneticPr fontId="3" type="noConversion"/>
  </si>
  <si>
    <r>
      <t>ㆩ</t>
    </r>
    <r>
      <rPr>
        <b/>
        <sz val="13"/>
        <color rgb="FF101418"/>
        <rFont val="Arial"/>
        <family val="2"/>
      </rPr>
      <t> [ann] [ann] [ã ] [na]</t>
    </r>
  </si>
  <si>
    <r>
      <t>ㆦ</t>
    </r>
    <r>
      <rPr>
        <b/>
        <sz val="13"/>
        <color rgb="FF101418"/>
        <rFont val="Arial"/>
        <family val="2"/>
      </rPr>
      <t> [oo] [oo] [ɔ ] [oo]</t>
    </r>
  </si>
  <si>
    <r>
      <t>ㆧ</t>
    </r>
    <r>
      <rPr>
        <b/>
        <sz val="13"/>
        <color rgb="FF101418"/>
        <rFont val="Arial"/>
        <family val="2"/>
      </rPr>
      <t> [oonn] [oonn／onn] [ɔ̃ ] [noo]</t>
    </r>
  </si>
  <si>
    <r>
      <t>ㄛ</t>
    </r>
    <r>
      <rPr>
        <b/>
        <sz val="13"/>
        <color rgb="FF101418"/>
        <rFont val="Arial"/>
        <family val="2"/>
      </rPr>
      <t> [o] [o] [o] [o]</t>
    </r>
  </si>
  <si>
    <r>
      <t>ㄜ</t>
    </r>
    <r>
      <rPr>
        <b/>
        <sz val="13"/>
        <color rgb="FF101418"/>
        <rFont val="Arial"/>
        <family val="2"/>
      </rPr>
      <t> [er] [er] [ə ] [e]</t>
    </r>
  </si>
  <si>
    <r>
      <t>ㄝ</t>
    </r>
    <r>
      <rPr>
        <b/>
        <sz val="13"/>
        <color rgb="FF101418"/>
        <rFont val="Arial"/>
        <family val="2"/>
      </rPr>
      <t> [ee] [ee] [ε／ᴇ] [ee]</t>
    </r>
  </si>
  <si>
    <r>
      <rPr>
        <b/>
        <sz val="13.5"/>
        <color rgb="FF101418"/>
        <rFont val="Noto Sans TC"/>
        <family val="2"/>
        <charset val="136"/>
      </rPr>
      <t>ㆤ</t>
    </r>
    <r>
      <rPr>
        <b/>
        <sz val="13"/>
        <color rgb="FF101418"/>
        <rFont val="Arial"/>
        <family val="2"/>
      </rPr>
      <t> [e] [e] [e] [e]</t>
    </r>
    <phoneticPr fontId="3" type="noConversion"/>
  </si>
  <si>
    <r>
      <t>ㆥ</t>
    </r>
    <r>
      <rPr>
        <b/>
        <sz val="13"/>
        <color rgb="FF101418"/>
        <rFont val="Arial"/>
        <family val="2"/>
      </rPr>
      <t> [enn] [enn] [ẽ] [ne]</t>
    </r>
  </si>
  <si>
    <r>
      <t>ㄞ</t>
    </r>
    <r>
      <rPr>
        <b/>
        <sz val="13"/>
        <color rgb="FF101418"/>
        <rFont val="Arial"/>
        <family val="2"/>
      </rPr>
      <t> [ai] [ai] [ai] [ai]</t>
    </r>
  </si>
  <si>
    <r>
      <t>ㆮ</t>
    </r>
    <r>
      <rPr>
        <b/>
        <sz val="13"/>
        <color rgb="FF101418"/>
        <rFont val="Arial"/>
        <family val="2"/>
      </rPr>
      <t> [ainn] [ainn] [aĩ] [nai]</t>
    </r>
  </si>
  <si>
    <r>
      <rPr>
        <b/>
        <sz val="13.5"/>
        <color rgb="FF101418"/>
        <rFont val="Noto Sans TC"/>
        <family val="2"/>
        <charset val="136"/>
      </rPr>
      <t>ㄟ</t>
    </r>
    <r>
      <rPr>
        <b/>
        <sz val="13"/>
        <color rgb="FF101418"/>
        <rFont val="Arial"/>
        <family val="2"/>
      </rPr>
      <t> [ei] [ei] [ei] [ei]</t>
    </r>
    <phoneticPr fontId="3" type="noConversion"/>
  </si>
  <si>
    <r>
      <t>ㄠ</t>
    </r>
    <r>
      <rPr>
        <b/>
        <sz val="13"/>
        <color rgb="FF101418"/>
        <rFont val="Arial"/>
        <family val="2"/>
      </rPr>
      <t> [au] [au] [au] [au]</t>
    </r>
  </si>
  <si>
    <r>
      <t>ㆯ</t>
    </r>
    <r>
      <rPr>
        <b/>
        <sz val="13"/>
        <color rgb="FF101418"/>
        <rFont val="Arial"/>
        <family val="2"/>
      </rPr>
      <t> [aunn] [aunn] [aũ] [nau]</t>
    </r>
  </si>
  <si>
    <r>
      <t>ㄡ</t>
    </r>
    <r>
      <rPr>
        <b/>
        <sz val="13"/>
        <color rgb="FF101418"/>
        <rFont val="Arial"/>
        <family val="2"/>
      </rPr>
      <t> [ou] [ou] [ou] [ou]</t>
    </r>
  </si>
  <si>
    <r>
      <t>ㆰ</t>
    </r>
    <r>
      <rPr>
        <b/>
        <sz val="13"/>
        <color rgb="FF101418"/>
        <rFont val="Arial"/>
        <family val="2"/>
      </rPr>
      <t> [am] [am] [aṃ] [am]</t>
    </r>
  </si>
  <si>
    <r>
      <t>ㆱ</t>
    </r>
    <r>
      <rPr>
        <b/>
        <sz val="13"/>
        <color rgb="FF101418"/>
        <rFont val="Arial"/>
        <family val="2"/>
      </rPr>
      <t> [oom] [oom／om] [ɔṃ] [oom／om]</t>
    </r>
  </si>
  <si>
    <r>
      <t>ㆬ</t>
    </r>
    <r>
      <rPr>
        <b/>
        <sz val="13"/>
        <color rgb="FF101418"/>
        <rFont val="Arial"/>
        <family val="2"/>
      </rPr>
      <t> [m] [m] [ṃ] [m]</t>
    </r>
  </si>
  <si>
    <r>
      <t>ㄢ</t>
    </r>
    <r>
      <rPr>
        <b/>
        <sz val="13"/>
        <color rgb="FF101418"/>
        <rFont val="Arial"/>
        <family val="2"/>
      </rPr>
      <t> [an] [an] [an] [an]</t>
    </r>
  </si>
  <si>
    <r>
      <t>ㄣ</t>
    </r>
    <r>
      <rPr>
        <b/>
        <sz val="13"/>
        <color rgb="FF101418"/>
        <rFont val="Arial"/>
        <family val="2"/>
      </rPr>
      <t> [en] [n(不單用)] [ən] [en]</t>
    </r>
  </si>
  <si>
    <t>1[</t>
    <phoneticPr fontId="3" type="noConversion"/>
  </si>
  <si>
    <t>2[</t>
    <phoneticPr fontId="3" type="noConversion"/>
  </si>
  <si>
    <t>3[</t>
    <phoneticPr fontId="3" type="noConversion"/>
  </si>
  <si>
    <t>4[</t>
    <phoneticPr fontId="3" type="noConversion"/>
  </si>
  <si>
    <t>方音符號</t>
    <phoneticPr fontId="3" type="noConversion"/>
  </si>
  <si>
    <t>台語注音二式</t>
    <phoneticPr fontId="3" type="noConversion"/>
  </si>
  <si>
    <t>MTPA</t>
    <phoneticPr fontId="3" type="noConversion"/>
  </si>
  <si>
    <t>台語音標</t>
    <phoneticPr fontId="3" type="noConversion"/>
  </si>
  <si>
    <t>TLPA</t>
    <phoneticPr fontId="3" type="noConversion"/>
  </si>
  <si>
    <t>TFS</t>
    <phoneticPr fontId="3" type="noConversion"/>
  </si>
  <si>
    <t>IPA</t>
    <phoneticPr fontId="3" type="noConversion"/>
  </si>
  <si>
    <t>國際音標</t>
    <phoneticPr fontId="3" type="noConversion"/>
  </si>
  <si>
    <t>BP</t>
    <phoneticPr fontId="3" type="noConversion"/>
  </si>
  <si>
    <t>閩拼方案</t>
    <phoneticPr fontId="3" type="noConversion"/>
  </si>
  <si>
    <t>ei</t>
  </si>
  <si>
    <t>ㄅ</t>
  </si>
  <si>
    <t>b</t>
  </si>
  <si>
    <t>p</t>
  </si>
  <si>
    <t>ㆠ</t>
  </si>
  <si>
    <t>ㄆ</t>
  </si>
  <si>
    <t>ㄇ</t>
  </si>
  <si>
    <t>m</t>
  </si>
  <si>
    <t>ㄉ</t>
  </si>
  <si>
    <t>d</t>
  </si>
  <si>
    <t>t</t>
  </si>
  <si>
    <t>ㄊ</t>
  </si>
  <si>
    <t>ㄋ</t>
  </si>
  <si>
    <t>n</t>
  </si>
  <si>
    <t>ㄌ</t>
  </si>
  <si>
    <t>l</t>
  </si>
  <si>
    <t>ㄍ</t>
  </si>
  <si>
    <t>g</t>
  </si>
  <si>
    <t>k</t>
  </si>
  <si>
    <t>ㆣ</t>
  </si>
  <si>
    <t>ㄎ</t>
  </si>
  <si>
    <t>ㄫ</t>
  </si>
  <si>
    <t>ㄏ</t>
  </si>
  <si>
    <t>h</t>
  </si>
  <si>
    <t>ㄐ</t>
  </si>
  <si>
    <t>j</t>
  </si>
  <si>
    <t>c</t>
  </si>
  <si>
    <t>ㆢ</t>
  </si>
  <si>
    <t>ㄑ</t>
  </si>
  <si>
    <t>q</t>
  </si>
  <si>
    <t>ㄒ</t>
  </si>
  <si>
    <t>s</t>
  </si>
  <si>
    <t>ɕ</t>
  </si>
  <si>
    <t>x</t>
  </si>
  <si>
    <t>z</t>
  </si>
  <si>
    <t>ㄗ</t>
  </si>
  <si>
    <t>ㆡ</t>
  </si>
  <si>
    <t>ㄘ</t>
  </si>
  <si>
    <t>ㄙ</t>
  </si>
  <si>
    <t>ㄚ</t>
  </si>
  <si>
    <t>a</t>
  </si>
  <si>
    <t>ㆩ</t>
  </si>
  <si>
    <t>ann</t>
  </si>
  <si>
    <t>ã</t>
  </si>
  <si>
    <t>na</t>
  </si>
  <si>
    <t>ㆦ</t>
  </si>
  <si>
    <t>oo</t>
  </si>
  <si>
    <t>ɔ</t>
  </si>
  <si>
    <t>ㆧ</t>
  </si>
  <si>
    <t>oonn</t>
  </si>
  <si>
    <t>onn</t>
  </si>
  <si>
    <t>ɔ̃</t>
  </si>
  <si>
    <t>noo</t>
  </si>
  <si>
    <t>ㄛ</t>
  </si>
  <si>
    <t>o</t>
  </si>
  <si>
    <t>ㄜ</t>
  </si>
  <si>
    <t>er</t>
  </si>
  <si>
    <t>ə</t>
  </si>
  <si>
    <t>e</t>
  </si>
  <si>
    <t>ㄝ</t>
  </si>
  <si>
    <t>ee</t>
  </si>
  <si>
    <t>ε</t>
  </si>
  <si>
    <t>ㆤ</t>
  </si>
  <si>
    <t>ㆥ</t>
  </si>
  <si>
    <t>enn</t>
  </si>
  <si>
    <t>ẽ</t>
  </si>
  <si>
    <t>ne</t>
  </si>
  <si>
    <t>ㄞ</t>
  </si>
  <si>
    <t>ai</t>
  </si>
  <si>
    <t>ㆮ</t>
  </si>
  <si>
    <t>ainn</t>
  </si>
  <si>
    <t>aĩ</t>
  </si>
  <si>
    <t>nai</t>
  </si>
  <si>
    <t>ㄟ</t>
  </si>
  <si>
    <t>ㄠ</t>
  </si>
  <si>
    <t>au</t>
  </si>
  <si>
    <t>ㆯ</t>
  </si>
  <si>
    <t>aunn</t>
  </si>
  <si>
    <t>aũ</t>
  </si>
  <si>
    <t>nau</t>
  </si>
  <si>
    <t>ㄡ</t>
  </si>
  <si>
    <t>ou</t>
  </si>
  <si>
    <t>ㆰ</t>
  </si>
  <si>
    <t>am</t>
  </si>
  <si>
    <t>aṃ</t>
  </si>
  <si>
    <t>ㆱ</t>
  </si>
  <si>
    <t>ɔṃ</t>
  </si>
  <si>
    <t>oom</t>
  </si>
  <si>
    <t>ㆬ</t>
  </si>
  <si>
    <t>ṃ</t>
  </si>
  <si>
    <t>ㄢ</t>
  </si>
  <si>
    <t>an</t>
  </si>
  <si>
    <t>ㄣ</t>
  </si>
  <si>
    <t>en</t>
  </si>
  <si>
    <t>ən</t>
  </si>
  <si>
    <t>聲母</t>
    <phoneticPr fontId="3" type="noConversion"/>
  </si>
  <si>
    <t>韻母</t>
    <phoneticPr fontId="3" type="noConversion"/>
  </si>
  <si>
    <t>NST</t>
    <phoneticPr fontId="3" type="noConversion"/>
  </si>
  <si>
    <t>十五音</t>
    <phoneticPr fontId="3" type="noConversion"/>
  </si>
  <si>
    <t>膠（舒）</t>
  </si>
  <si>
    <t>監（舒）</t>
  </si>
  <si>
    <t>沽（舒）</t>
  </si>
  <si>
    <t>姑（舒）</t>
  </si>
  <si>
    <t/>
  </si>
  <si>
    <t>高（舒）</t>
  </si>
  <si>
    <t>嘉（舒）</t>
  </si>
  <si>
    <t>稽（舒）</t>
  </si>
  <si>
    <t>更（舒）</t>
  </si>
  <si>
    <t>皆（舒）</t>
  </si>
  <si>
    <t>閒（舒）</t>
  </si>
  <si>
    <t>交（舒）</t>
  </si>
  <si>
    <t>爻（舒）</t>
  </si>
  <si>
    <t>甘（舒）</t>
  </si>
  <si>
    <t>箴（舒）</t>
  </si>
  <si>
    <t>姆（舒）</t>
  </si>
  <si>
    <t>干（舒）</t>
  </si>
  <si>
    <t>邊</t>
  </si>
  <si>
    <t>門</t>
  </si>
  <si>
    <t>頗</t>
  </si>
  <si>
    <t>毛</t>
  </si>
  <si>
    <t>地</t>
  </si>
  <si>
    <t>他</t>
  </si>
  <si>
    <t>耐</t>
  </si>
  <si>
    <t>柳</t>
  </si>
  <si>
    <t>求</t>
  </si>
  <si>
    <t>語</t>
  </si>
  <si>
    <t>去</t>
  </si>
  <si>
    <t>雅</t>
  </si>
  <si>
    <t>喜</t>
  </si>
  <si>
    <t>曾</t>
  </si>
  <si>
    <t>入</t>
  </si>
  <si>
    <t>出</t>
  </si>
  <si>
    <t>時</t>
  </si>
  <si>
    <t>檜（舒）</t>
    <phoneticPr fontId="3" type="noConversion"/>
  </si>
  <si>
    <t>ng</t>
  </si>
  <si>
    <t>bb</t>
  </si>
  <si>
    <t>ph</t>
  </si>
  <si>
    <t>p'</t>
  </si>
  <si>
    <t>th</t>
  </si>
  <si>
    <t>t'</t>
  </si>
  <si>
    <t>gg</t>
  </si>
  <si>
    <t>kh</t>
  </si>
  <si>
    <t>k'</t>
  </si>
  <si>
    <t>c(i)</t>
  </si>
  <si>
    <t>tɕ</t>
  </si>
  <si>
    <t>jj</t>
  </si>
  <si>
    <t>dʑ</t>
  </si>
  <si>
    <t>ch</t>
  </si>
  <si>
    <t>ch(i)</t>
  </si>
  <si>
    <t>si</t>
  </si>
  <si>
    <t>s(i)</t>
  </si>
  <si>
    <t>tz</t>
  </si>
  <si>
    <t>ts</t>
  </si>
  <si>
    <t>zz</t>
  </si>
  <si>
    <t>dz</t>
  </si>
  <si>
    <t>ts'</t>
  </si>
  <si>
    <r>
      <rPr>
        <sz val="24"/>
        <color theme="1"/>
        <rFont val="Cascadia Mono"/>
        <family val="3"/>
      </rPr>
      <t>ŋ</t>
    </r>
  </si>
  <si>
    <t>tɕ'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</si>
</sst>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b/>
      <sz val="13.5"/>
      <color rgb="FF101418"/>
      <name val="Arial"/>
      <family val="2"/>
    </font>
    <font>
      <b/>
      <sz val="13"/>
      <color rgb="FF101418"/>
      <name val="Arial"/>
      <family val="2"/>
    </font>
    <font>
      <sz val="9"/>
      <name val="新細明體"/>
      <family val="2"/>
      <charset val="136"/>
      <scheme val="minor"/>
    </font>
    <font>
      <b/>
      <sz val="13.5"/>
      <color rgb="FF101418"/>
      <name val="新細明體"/>
      <family val="2"/>
      <charset val="136"/>
    </font>
    <font>
      <b/>
      <sz val="13.5"/>
      <color rgb="FF101418"/>
      <name val="Inherit"/>
      <family val="2"/>
    </font>
    <font>
      <b/>
      <sz val="13.5"/>
      <color rgb="FF101418"/>
      <name val="Noto Sans TC"/>
      <family val="2"/>
      <charset val="136"/>
    </font>
    <font>
      <b/>
      <sz val="13.5"/>
      <color rgb="FF101418"/>
      <name val="Inherit"/>
      <family val="2"/>
      <charset val="136"/>
    </font>
    <font>
      <b/>
      <sz val="13.5"/>
      <color rgb="FF101418"/>
      <name val="Arial"/>
      <family val="2"/>
      <charset val="136"/>
    </font>
    <font>
      <sz val="12"/>
      <color theme="1"/>
      <name val="Noto Sans TC Medium"/>
      <family val="2"/>
      <charset val="136"/>
    </font>
    <font>
      <sz val="24"/>
      <color theme="1"/>
      <name val="Cascadia Mono"/>
      <family val="3"/>
    </font>
    <font>
      <sz val="20"/>
      <color theme="4"/>
      <name val="Cascadia Mono"/>
      <family val="3"/>
    </font>
    <font>
      <sz val="20"/>
      <color theme="1"/>
      <name val="Noto Sans TC Medium"/>
      <family val="2"/>
      <charset val="136"/>
    </font>
    <font>
      <sz val="20"/>
      <color rgb="FFC00000"/>
      <name val="Noto Sans TC"/>
      <family val="2"/>
      <charset val="136"/>
    </font>
    <font>
      <sz val="24"/>
      <color rgb="FFC00000"/>
      <name val="Cascadia Mono"/>
      <family val="3"/>
    </font>
    <font>
      <sz val="24"/>
      <color theme="1"/>
      <name val="Charis SIL"/>
    </font>
    <font>
      <sz val="24"/>
      <color rgb="FFC00000"/>
      <name val="Charis SIL"/>
    </font>
    <font>
      <sz val="20"/>
      <color rgb="FFC00000"/>
      <name val="Cascadia Mono"/>
      <family val="3"/>
    </font>
    <font>
      <sz val="24"/>
      <color rgb="FF00B0F0"/>
      <name val="Charis SIL"/>
    </font>
    <font>
      <sz val="24"/>
      <color rgb="FF00B0F0"/>
      <name val="Cascadia Mono"/>
      <family val="3"/>
    </font>
    <font>
      <sz val="20"/>
      <color rgb="FF00B0F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4DE3-A5CC-4BA6-8E08-558B57C188FB}">
  <dimension ref="A1:J52"/>
  <sheetViews>
    <sheetView zoomScale="110" zoomScaleNormal="110" workbookViewId="0">
      <pane ySplit="2" topLeftCell="A19" activePane="bottomLeft" state="frozen"/>
      <selection pane="bottomLeft" activeCell="F1" sqref="F1:J29"/>
    </sheetView>
  </sheetViews>
  <sheetFormatPr defaultRowHeight="16.5"/>
  <cols>
    <col min="1" max="1" width="39.25" customWidth="1"/>
    <col min="2" max="5" width="4.625" style="5" hidden="1" customWidth="1"/>
    <col min="6" max="10" width="15" style="5" customWidth="1"/>
  </cols>
  <sheetData>
    <row r="1" spans="1:10" ht="21">
      <c r="F1" s="6" t="s">
        <v>56</v>
      </c>
      <c r="G1" s="6" t="s">
        <v>53</v>
      </c>
      <c r="H1" s="6" t="s">
        <v>55</v>
      </c>
      <c r="I1" s="6" t="s">
        <v>57</v>
      </c>
      <c r="J1" s="6" t="s">
        <v>59</v>
      </c>
    </row>
    <row r="2" spans="1:10" ht="21">
      <c r="B2" s="5" t="s">
        <v>47</v>
      </c>
      <c r="C2" s="5" t="s">
        <v>48</v>
      </c>
      <c r="D2" s="5" t="s">
        <v>49</v>
      </c>
      <c r="E2" s="5" t="s">
        <v>50</v>
      </c>
      <c r="F2" s="6" t="s">
        <v>51</v>
      </c>
      <c r="G2" s="6" t="s">
        <v>52</v>
      </c>
      <c r="H2" s="6" t="s">
        <v>54</v>
      </c>
      <c r="I2" s="6" t="s">
        <v>58</v>
      </c>
      <c r="J2" s="6" t="s">
        <v>60</v>
      </c>
    </row>
    <row r="3" spans="1:10" ht="35.25">
      <c r="A3" s="1" t="s">
        <v>0</v>
      </c>
      <c r="B3" s="5">
        <f xml:space="preserve"> SEARCH("[",$A3)</f>
        <v>2</v>
      </c>
      <c r="C3" s="5">
        <f xml:space="preserve"> SEARCH("[",$A3,B3+1)</f>
        <v>6</v>
      </c>
      <c r="D3" s="5">
        <f t="shared" ref="D3:E3" si="0" xml:space="preserve"> SEARCH("[",$A3,C3+1)</f>
        <v>10</v>
      </c>
      <c r="E3" s="5">
        <f t="shared" si="0"/>
        <v>14</v>
      </c>
      <c r="F3" s="7" t="str">
        <f xml:space="preserve"> LEFT($A3,1)</f>
        <v>ㄅ</v>
      </c>
      <c r="G3" s="7" t="str">
        <f xml:space="preserve"> MID($A3,B3+1,1)</f>
        <v>b</v>
      </c>
      <c r="H3" s="7" t="str">
        <f t="shared" ref="H3:J3" si="1" xml:space="preserve"> MID($A3,C3+1,1)</f>
        <v>p</v>
      </c>
      <c r="I3" s="7" t="str">
        <f t="shared" si="1"/>
        <v>p</v>
      </c>
      <c r="J3" s="7" t="str">
        <f t="shared" si="1"/>
        <v>b</v>
      </c>
    </row>
    <row r="4" spans="1:10" ht="35.25">
      <c r="A4" s="1" t="s">
        <v>1</v>
      </c>
      <c r="B4" s="5">
        <f t="shared" ref="B4:B29" si="2" xml:space="preserve"> SEARCH("[",$A4)</f>
        <v>2</v>
      </c>
      <c r="C4" s="5">
        <f t="shared" ref="C4:E4" si="3" xml:space="preserve"> SEARCH("[",$A4,B4+1)</f>
        <v>7</v>
      </c>
      <c r="D4" s="5">
        <f t="shared" si="3"/>
        <v>11</v>
      </c>
      <c r="E4" s="5">
        <f t="shared" si="3"/>
        <v>15</v>
      </c>
      <c r="F4" s="7" t="str">
        <f t="shared" ref="F4:F29" si="4" xml:space="preserve"> LEFT($A4,1)</f>
        <v>ㆠ</v>
      </c>
      <c r="G4" s="7" t="str">
        <f xml:space="preserve"> MID($A4,B4+1,2)</f>
        <v>bb</v>
      </c>
      <c r="H4" s="7" t="str">
        <f t="shared" ref="H4:H29" si="5" xml:space="preserve"> MID($A4,C4+1,1)</f>
        <v>b</v>
      </c>
      <c r="I4" s="7" t="str">
        <f t="shared" ref="I4:I29" si="6" xml:space="preserve"> MID($A4,D4+1,1)</f>
        <v>b</v>
      </c>
      <c r="J4" s="7" t="str">
        <f xml:space="preserve"> MID($A4,E4+1,2)</f>
        <v>bb</v>
      </c>
    </row>
    <row r="5" spans="1:10" ht="35.25">
      <c r="A5" s="1" t="s">
        <v>2</v>
      </c>
      <c r="B5" s="5">
        <f t="shared" si="2"/>
        <v>2</v>
      </c>
      <c r="C5" s="5">
        <f t="shared" ref="C5:E5" si="7" xml:space="preserve"> SEARCH("[",$A5,B5+1)</f>
        <v>6</v>
      </c>
      <c r="D5" s="5">
        <f t="shared" si="7"/>
        <v>11</v>
      </c>
      <c r="E5" s="5">
        <f t="shared" si="7"/>
        <v>16</v>
      </c>
      <c r="F5" s="7" t="str">
        <f t="shared" si="4"/>
        <v>ㄆ</v>
      </c>
      <c r="G5" s="7" t="str">
        <f t="shared" ref="G4:G29" si="8" xml:space="preserve"> MID($A5,B5+1,1)</f>
        <v>p</v>
      </c>
      <c r="H5" s="7" t="str">
        <f xml:space="preserve"> MID($A5,C5+1,2)</f>
        <v>ph</v>
      </c>
      <c r="I5" s="7" t="str">
        <f xml:space="preserve"> MID($A5,D5+1,2)</f>
        <v>p'</v>
      </c>
      <c r="J5" s="7" t="str">
        <f t="shared" ref="J4:J29" si="9" xml:space="preserve"> MID($A5,E5+1,1)</f>
        <v>p</v>
      </c>
    </row>
    <row r="6" spans="1:10" ht="35.25">
      <c r="A6" s="1" t="s">
        <v>3</v>
      </c>
      <c r="B6" s="5">
        <f t="shared" si="2"/>
        <v>2</v>
      </c>
      <c r="C6" s="5">
        <f t="shared" ref="C6:E6" si="10" xml:space="preserve"> SEARCH("[",$A6,B6+1)</f>
        <v>6</v>
      </c>
      <c r="D6" s="5">
        <f t="shared" si="10"/>
        <v>10</v>
      </c>
      <c r="E6" s="5">
        <f t="shared" si="10"/>
        <v>14</v>
      </c>
      <c r="F6" s="7" t="str">
        <f t="shared" si="4"/>
        <v>ㄇ</v>
      </c>
      <c r="G6" s="7" t="str">
        <f t="shared" si="8"/>
        <v>m</v>
      </c>
      <c r="H6" s="7" t="str">
        <f t="shared" si="5"/>
        <v>m</v>
      </c>
      <c r="I6" s="7" t="str">
        <f t="shared" si="6"/>
        <v>m</v>
      </c>
      <c r="J6" s="7" t="str">
        <f t="shared" si="9"/>
        <v>m</v>
      </c>
    </row>
    <row r="7" spans="1:10" ht="35.25">
      <c r="A7" s="1" t="s">
        <v>4</v>
      </c>
      <c r="B7" s="5">
        <f t="shared" si="2"/>
        <v>2</v>
      </c>
      <c r="C7" s="5">
        <f t="shared" ref="C7:E7" si="11" xml:space="preserve"> SEARCH("[",$A7,B7+1)</f>
        <v>6</v>
      </c>
      <c r="D7" s="5">
        <f t="shared" si="11"/>
        <v>10</v>
      </c>
      <c r="E7" s="5">
        <f t="shared" si="11"/>
        <v>14</v>
      </c>
      <c r="F7" s="7" t="str">
        <f t="shared" si="4"/>
        <v>ㄈ</v>
      </c>
      <c r="G7" s="7" t="str">
        <f t="shared" si="8"/>
        <v>f</v>
      </c>
      <c r="H7" s="7" t="str">
        <f t="shared" si="5"/>
        <v>f</v>
      </c>
      <c r="I7" s="7" t="str">
        <f t="shared" si="6"/>
        <v>f</v>
      </c>
      <c r="J7" s="7" t="str">
        <f t="shared" si="9"/>
        <v>f</v>
      </c>
    </row>
    <row r="8" spans="1:10" ht="35.25">
      <c r="A8" s="1" t="s">
        <v>5</v>
      </c>
      <c r="B8" s="5">
        <f t="shared" si="2"/>
        <v>2</v>
      </c>
      <c r="C8" s="5">
        <f t="shared" ref="C8:E8" si="12" xml:space="preserve"> SEARCH("[",$A8,B8+1)</f>
        <v>6</v>
      </c>
      <c r="D8" s="5">
        <f t="shared" si="12"/>
        <v>10</v>
      </c>
      <c r="E8" s="5">
        <f t="shared" si="12"/>
        <v>14</v>
      </c>
      <c r="F8" s="7" t="str">
        <f t="shared" si="4"/>
        <v>ㄪ</v>
      </c>
      <c r="G8" s="7" t="str">
        <f t="shared" si="8"/>
        <v>v</v>
      </c>
      <c r="H8" s="7" t="str">
        <f t="shared" si="5"/>
        <v>v</v>
      </c>
      <c r="I8" s="7" t="str">
        <f t="shared" si="6"/>
        <v>v</v>
      </c>
      <c r="J8" s="7" t="str">
        <f t="shared" si="9"/>
        <v>v</v>
      </c>
    </row>
    <row r="9" spans="1:10" ht="35.25">
      <c r="A9" s="1" t="s">
        <v>6</v>
      </c>
      <c r="B9" s="5">
        <f t="shared" si="2"/>
        <v>2</v>
      </c>
      <c r="C9" s="5">
        <f t="shared" ref="C9:E9" si="13" xml:space="preserve"> SEARCH("[",$A9,B9+1)</f>
        <v>6</v>
      </c>
      <c r="D9" s="5">
        <f t="shared" si="13"/>
        <v>10</v>
      </c>
      <c r="E9" s="5">
        <f t="shared" si="13"/>
        <v>14</v>
      </c>
      <c r="F9" s="7" t="str">
        <f t="shared" si="4"/>
        <v>ㄉ</v>
      </c>
      <c r="G9" s="7" t="str">
        <f t="shared" si="8"/>
        <v>d</v>
      </c>
      <c r="H9" s="7" t="str">
        <f t="shared" si="5"/>
        <v>t</v>
      </c>
      <c r="I9" s="7" t="str">
        <f t="shared" si="6"/>
        <v>t</v>
      </c>
      <c r="J9" s="7" t="str">
        <f t="shared" si="9"/>
        <v>d</v>
      </c>
    </row>
    <row r="10" spans="1:10" ht="35.25">
      <c r="A10" s="1" t="s">
        <v>7</v>
      </c>
      <c r="B10" s="5">
        <f t="shared" si="2"/>
        <v>2</v>
      </c>
      <c r="C10" s="5">
        <f t="shared" ref="C10:E10" si="14" xml:space="preserve"> SEARCH("[",$A10,B10+1)</f>
        <v>6</v>
      </c>
      <c r="D10" s="5">
        <f t="shared" si="14"/>
        <v>11</v>
      </c>
      <c r="E10" s="5">
        <f t="shared" si="14"/>
        <v>16</v>
      </c>
      <c r="F10" s="7" t="str">
        <f t="shared" si="4"/>
        <v>ㄊ</v>
      </c>
      <c r="G10" s="7" t="str">
        <f t="shared" si="8"/>
        <v>t</v>
      </c>
      <c r="H10" s="7" t="str">
        <f xml:space="preserve"> MID($A10,C10+1,2)</f>
        <v>th</v>
      </c>
      <c r="I10" s="7" t="str">
        <f xml:space="preserve"> MID($A10,D10+1,2)</f>
        <v>t'</v>
      </c>
      <c r="J10" s="7" t="str">
        <f t="shared" si="9"/>
        <v>t</v>
      </c>
    </row>
    <row r="11" spans="1:10" ht="35.25">
      <c r="A11" s="2" t="s">
        <v>8</v>
      </c>
      <c r="B11" s="5">
        <f t="shared" si="2"/>
        <v>2</v>
      </c>
      <c r="C11" s="5">
        <f t="shared" ref="C11:E11" si="15" xml:space="preserve"> SEARCH("[",$A11,B11+1)</f>
        <v>6</v>
      </c>
      <c r="D11" s="5">
        <f t="shared" si="15"/>
        <v>10</v>
      </c>
      <c r="E11" s="5">
        <f t="shared" si="15"/>
        <v>14</v>
      </c>
      <c r="F11" s="7" t="str">
        <f t="shared" si="4"/>
        <v>ㄋ</v>
      </c>
      <c r="G11" s="7" t="str">
        <f t="shared" si="8"/>
        <v>n</v>
      </c>
      <c r="H11" s="7" t="str">
        <f t="shared" si="5"/>
        <v>n</v>
      </c>
      <c r="I11" s="7" t="str">
        <f t="shared" si="6"/>
        <v>n</v>
      </c>
      <c r="J11" s="7" t="str">
        <f t="shared" si="9"/>
        <v>n</v>
      </c>
    </row>
    <row r="12" spans="1:10" ht="35.25">
      <c r="A12" s="1" t="s">
        <v>9</v>
      </c>
      <c r="B12" s="5">
        <f t="shared" si="2"/>
        <v>2</v>
      </c>
      <c r="C12" s="5">
        <f t="shared" ref="C12:E12" si="16" xml:space="preserve"> SEARCH("[",$A12,B12+1)</f>
        <v>6</v>
      </c>
      <c r="D12" s="5">
        <f t="shared" si="16"/>
        <v>10</v>
      </c>
      <c r="E12" s="5">
        <f t="shared" si="16"/>
        <v>14</v>
      </c>
      <c r="F12" s="7" t="str">
        <f t="shared" si="4"/>
        <v>ㄌ</v>
      </c>
      <c r="G12" s="7" t="str">
        <f t="shared" si="8"/>
        <v>l</v>
      </c>
      <c r="H12" s="7" t="str">
        <f t="shared" si="5"/>
        <v>l</v>
      </c>
      <c r="I12" s="7" t="str">
        <f t="shared" si="6"/>
        <v>l</v>
      </c>
      <c r="J12" s="7" t="str">
        <f t="shared" si="9"/>
        <v>l</v>
      </c>
    </row>
    <row r="13" spans="1:10" ht="35.25">
      <c r="A13" s="1" t="s">
        <v>10</v>
      </c>
      <c r="B13" s="5">
        <f t="shared" si="2"/>
        <v>2</v>
      </c>
      <c r="C13" s="5">
        <f t="shared" ref="C13:E13" si="17" xml:space="preserve"> SEARCH("[",$A13,B13+1)</f>
        <v>6</v>
      </c>
      <c r="D13" s="5">
        <f t="shared" si="17"/>
        <v>10</v>
      </c>
      <c r="E13" s="5">
        <f t="shared" si="17"/>
        <v>14</v>
      </c>
      <c r="F13" s="7" t="str">
        <f t="shared" si="4"/>
        <v>ㄍ</v>
      </c>
      <c r="G13" s="7" t="str">
        <f t="shared" si="8"/>
        <v>g</v>
      </c>
      <c r="H13" s="7" t="str">
        <f t="shared" si="5"/>
        <v>k</v>
      </c>
      <c r="I13" s="7" t="str">
        <f t="shared" si="6"/>
        <v>k</v>
      </c>
      <c r="J13" s="7" t="str">
        <f t="shared" si="9"/>
        <v>g</v>
      </c>
    </row>
    <row r="14" spans="1:10" ht="35.25">
      <c r="A14" s="1" t="s">
        <v>11</v>
      </c>
      <c r="B14" s="5">
        <f t="shared" si="2"/>
        <v>2</v>
      </c>
      <c r="C14" s="5">
        <f t="shared" ref="C14:E14" si="18" xml:space="preserve"> SEARCH("[",$A14,B14+1)</f>
        <v>7</v>
      </c>
      <c r="D14" s="5">
        <f t="shared" si="18"/>
        <v>11</v>
      </c>
      <c r="E14" s="5">
        <f t="shared" si="18"/>
        <v>15</v>
      </c>
      <c r="F14" s="7" t="str">
        <f t="shared" si="4"/>
        <v>ㆣ</v>
      </c>
      <c r="G14" s="7" t="str">
        <f xml:space="preserve"> MID($A14,B14+1,2)</f>
        <v>gg</v>
      </c>
      <c r="H14" s="7" t="str">
        <f t="shared" si="5"/>
        <v>g</v>
      </c>
      <c r="I14" s="7" t="str">
        <f t="shared" si="6"/>
        <v>g</v>
      </c>
      <c r="J14" s="7" t="str">
        <f xml:space="preserve"> MID($A14,E14+1,2)</f>
        <v>gg</v>
      </c>
    </row>
    <row r="15" spans="1:10" ht="35.25">
      <c r="A15" s="1" t="s">
        <v>12</v>
      </c>
      <c r="B15" s="5">
        <f t="shared" si="2"/>
        <v>2</v>
      </c>
      <c r="C15" s="5">
        <f t="shared" ref="C15:E15" si="19" xml:space="preserve"> SEARCH("[",$A15,B15+1)</f>
        <v>6</v>
      </c>
      <c r="D15" s="5">
        <f t="shared" si="19"/>
        <v>11</v>
      </c>
      <c r="E15" s="5">
        <f t="shared" si="19"/>
        <v>16</v>
      </c>
      <c r="F15" s="7" t="str">
        <f t="shared" si="4"/>
        <v>ㄎ</v>
      </c>
      <c r="G15" s="7" t="str">
        <f t="shared" si="8"/>
        <v>k</v>
      </c>
      <c r="H15" s="7" t="str">
        <f xml:space="preserve"> MID($A15,C15+1,2)</f>
        <v>kh</v>
      </c>
      <c r="I15" s="7" t="str">
        <f xml:space="preserve"> MID($A15,D15+1,2)</f>
        <v>k'</v>
      </c>
      <c r="J15" s="7" t="str">
        <f t="shared" si="9"/>
        <v>k</v>
      </c>
    </row>
    <row r="16" spans="1:10" ht="35.25">
      <c r="A16" s="1" t="s">
        <v>13</v>
      </c>
      <c r="B16" s="5">
        <f t="shared" si="2"/>
        <v>2</v>
      </c>
      <c r="C16" s="5">
        <f t="shared" ref="C16:E16" si="20" xml:space="preserve"> SEARCH("[",$A16,B16+1)</f>
        <v>7</v>
      </c>
      <c r="D16" s="5">
        <f t="shared" si="20"/>
        <v>12</v>
      </c>
      <c r="E16" s="5">
        <f t="shared" si="20"/>
        <v>16</v>
      </c>
      <c r="F16" s="7" t="str">
        <f t="shared" si="4"/>
        <v>ㄫ</v>
      </c>
      <c r="G16" s="7" t="str">
        <f xml:space="preserve"> MID($A16,B16+1,2)</f>
        <v>ng</v>
      </c>
      <c r="H16" s="7" t="str">
        <f xml:space="preserve"> MID($A16,C16+1,2)</f>
        <v>ng</v>
      </c>
      <c r="I16" s="7" t="str">
        <f t="shared" si="6"/>
        <v>ŋ</v>
      </c>
      <c r="J16" s="7" t="str">
        <f xml:space="preserve"> MID($A16,E16+1,2)</f>
        <v>ng</v>
      </c>
    </row>
    <row r="17" spans="1:10" ht="35.25">
      <c r="A17" s="2" t="s">
        <v>14</v>
      </c>
      <c r="B17" s="5">
        <f t="shared" si="2"/>
        <v>3</v>
      </c>
      <c r="C17" s="5">
        <f t="shared" ref="C17:E17" si="21" xml:space="preserve"> SEARCH("[",$A17,B17+1)</f>
        <v>7</v>
      </c>
      <c r="D17" s="5">
        <f t="shared" si="21"/>
        <v>11</v>
      </c>
      <c r="E17" s="5">
        <f t="shared" si="21"/>
        <v>15</v>
      </c>
      <c r="F17" s="7" t="str">
        <f t="shared" si="4"/>
        <v>ㄏ</v>
      </c>
      <c r="G17" s="7" t="str">
        <f t="shared" si="8"/>
        <v>h</v>
      </c>
      <c r="H17" s="7" t="str">
        <f t="shared" si="5"/>
        <v>h</v>
      </c>
      <c r="I17" s="7" t="str">
        <f t="shared" si="6"/>
        <v>h</v>
      </c>
      <c r="J17" s="7" t="str">
        <f t="shared" si="9"/>
        <v>h</v>
      </c>
    </row>
    <row r="18" spans="1:10" ht="35.25">
      <c r="A18" s="1" t="s">
        <v>15</v>
      </c>
      <c r="B18" s="5">
        <f t="shared" si="2"/>
        <v>3</v>
      </c>
      <c r="C18" s="5">
        <f t="shared" ref="C18:E18" si="22" xml:space="preserve"> SEARCH("[",$A18,B18+1)</f>
        <v>7</v>
      </c>
      <c r="D18" s="5">
        <f t="shared" si="22"/>
        <v>14</v>
      </c>
      <c r="E18" s="5">
        <f t="shared" si="22"/>
        <v>20</v>
      </c>
      <c r="F18" s="7" t="str">
        <f t="shared" si="4"/>
        <v>ㄐ</v>
      </c>
      <c r="G18" s="7" t="str">
        <f t="shared" si="8"/>
        <v>j</v>
      </c>
      <c r="H18" s="7" t="str">
        <f xml:space="preserve"> MID($A18,C18+1,4)</f>
        <v>c(i)</v>
      </c>
      <c r="I18" s="7" t="str">
        <f xml:space="preserve"> MID($A18,D18+1,2)</f>
        <v>tɕ</v>
      </c>
      <c r="J18" s="7" t="str">
        <f t="shared" si="9"/>
        <v>j</v>
      </c>
    </row>
    <row r="19" spans="1:10" ht="35.25">
      <c r="A19" s="1" t="s">
        <v>16</v>
      </c>
      <c r="B19" s="5">
        <f t="shared" si="2"/>
        <v>3</v>
      </c>
      <c r="C19" s="5">
        <f t="shared" ref="C19:E19" si="23" xml:space="preserve"> SEARCH("[",$A19,B19+1)</f>
        <v>8</v>
      </c>
      <c r="D19" s="5">
        <f t="shared" si="23"/>
        <v>12</v>
      </c>
      <c r="E19" s="5">
        <f t="shared" si="23"/>
        <v>18</v>
      </c>
      <c r="F19" s="7" t="str">
        <f t="shared" si="4"/>
        <v>ㆢ</v>
      </c>
      <c r="G19" s="7" t="str">
        <f xml:space="preserve"> MID($A19,B19+1,2)</f>
        <v>jj</v>
      </c>
      <c r="H19" s="7" t="str">
        <f t="shared" si="5"/>
        <v>j</v>
      </c>
      <c r="I19" s="7" t="str">
        <f xml:space="preserve"> MID($A19,D19+1,2)</f>
        <v>dʑ</v>
      </c>
      <c r="J19" s="7" t="str">
        <f xml:space="preserve"> MID($A19,E19+1,2)</f>
        <v>jj</v>
      </c>
    </row>
    <row r="20" spans="1:10" ht="35.25">
      <c r="A20" s="1" t="s">
        <v>17</v>
      </c>
      <c r="B20" s="5">
        <f t="shared" si="2"/>
        <v>3</v>
      </c>
      <c r="C20" s="5">
        <f t="shared" ref="C20:E20" si="24" xml:space="preserve"> SEARCH("[",$A20,B20+1)</f>
        <v>8</v>
      </c>
      <c r="D20" s="5">
        <f t="shared" si="24"/>
        <v>16</v>
      </c>
      <c r="E20" s="5">
        <f t="shared" si="24"/>
        <v>23</v>
      </c>
      <c r="F20" s="7" t="str">
        <f t="shared" si="4"/>
        <v>ㄑ</v>
      </c>
      <c r="G20" s="7" t="str">
        <f xml:space="preserve"> MID($A20,B20+1,2)</f>
        <v>ch</v>
      </c>
      <c r="H20" s="7" t="str">
        <f xml:space="preserve"> MID($A20,C20+1,5)</f>
        <v>ch(i)</v>
      </c>
      <c r="I20" s="7" t="str">
        <f xml:space="preserve"> MID($A20,D20+1,4)</f>
        <v>tɕ '</v>
      </c>
      <c r="J20" s="7" t="str">
        <f t="shared" si="9"/>
        <v>q</v>
      </c>
    </row>
    <row r="21" spans="1:10" ht="35.25">
      <c r="A21" s="1" t="s">
        <v>18</v>
      </c>
      <c r="B21" s="5">
        <f t="shared" si="2"/>
        <v>3</v>
      </c>
      <c r="C21" s="5">
        <f t="shared" ref="C21:E21" si="25" xml:space="preserve"> SEARCH("[",$A21,B21+1)</f>
        <v>8</v>
      </c>
      <c r="D21" s="5">
        <f t="shared" si="25"/>
        <v>15</v>
      </c>
      <c r="E21" s="5">
        <f t="shared" si="25"/>
        <v>19</v>
      </c>
      <c r="F21" s="7" t="str">
        <f t="shared" si="4"/>
        <v>ㄒ</v>
      </c>
      <c r="G21" s="7" t="str">
        <f xml:space="preserve"> MID($A21,B21+1,2)</f>
        <v>si</v>
      </c>
      <c r="H21" s="7" t="str">
        <f xml:space="preserve"> MID($A21,C21+1,4)</f>
        <v>s(i)</v>
      </c>
      <c r="I21" s="7" t="str">
        <f t="shared" si="6"/>
        <v>ɕ</v>
      </c>
      <c r="J21" s="7" t="str">
        <f t="shared" si="9"/>
        <v>x</v>
      </c>
    </row>
    <row r="22" spans="1:10" ht="35.25">
      <c r="A22" s="1" t="s">
        <v>19</v>
      </c>
      <c r="B22" s="5">
        <f t="shared" si="2"/>
        <v>3</v>
      </c>
      <c r="C22" s="5">
        <f t="shared" ref="C22:E22" si="26" xml:space="preserve"> SEARCH("[",$A22,B22+1)</f>
        <v>7</v>
      </c>
      <c r="D22" s="5">
        <f t="shared" si="26"/>
        <v>11</v>
      </c>
      <c r="E22" s="5">
        <f t="shared" si="26"/>
        <v>17</v>
      </c>
      <c r="F22" s="7" t="str">
        <f t="shared" si="4"/>
        <v>ㄓ</v>
      </c>
      <c r="G22" s="7" t="str">
        <f t="shared" si="8"/>
        <v>z</v>
      </c>
      <c r="H22" s="7" t="str">
        <f t="shared" si="5"/>
        <v>z</v>
      </c>
      <c r="I22" s="7" t="str">
        <f t="shared" si="6"/>
        <v>t</v>
      </c>
      <c r="J22" s="7" t="str">
        <f t="shared" si="9"/>
        <v>z</v>
      </c>
    </row>
    <row r="23" spans="1:10" ht="35.25">
      <c r="A23" s="1" t="s">
        <v>20</v>
      </c>
      <c r="B23" s="5">
        <f t="shared" si="2"/>
        <v>3</v>
      </c>
      <c r="C23" s="5">
        <f t="shared" ref="C23:E23" si="27" xml:space="preserve"> SEARCH("[",$A23,B23+1)</f>
        <v>8</v>
      </c>
      <c r="D23" s="5">
        <f t="shared" si="27"/>
        <v>13</v>
      </c>
      <c r="E23" s="5">
        <f t="shared" si="27"/>
        <v>19</v>
      </c>
      <c r="F23" s="7" t="str">
        <f t="shared" si="4"/>
        <v>ㄔ</v>
      </c>
      <c r="G23" s="7" t="str">
        <f t="shared" si="8"/>
        <v>z</v>
      </c>
      <c r="H23" s="7" t="str">
        <f t="shared" si="5"/>
        <v>z</v>
      </c>
      <c r="I23" s="7" t="str">
        <f t="shared" si="6"/>
        <v>t</v>
      </c>
      <c r="J23" s="7" t="str">
        <f t="shared" si="9"/>
        <v>c</v>
      </c>
    </row>
    <row r="24" spans="1:10" ht="35.25">
      <c r="A24" s="3" t="s">
        <v>21</v>
      </c>
      <c r="B24" s="5">
        <f t="shared" si="2"/>
        <v>3</v>
      </c>
      <c r="C24" s="5">
        <f t="shared" ref="C24:E24" si="28" xml:space="preserve"> SEARCH("[",$A24,B24+1)</f>
        <v>8</v>
      </c>
      <c r="D24" s="5">
        <f t="shared" si="28"/>
        <v>13</v>
      </c>
      <c r="E24" s="5">
        <f t="shared" si="28"/>
        <v>18</v>
      </c>
      <c r="F24" s="7" t="str">
        <f t="shared" si="4"/>
        <v>ㄕ</v>
      </c>
      <c r="G24" s="7" t="str">
        <f xml:space="preserve"> MID($A24,B24+1,2)</f>
        <v>sh</v>
      </c>
      <c r="H24" s="7" t="str">
        <f xml:space="preserve"> MID($A24,C24+1,2)</f>
        <v>sh</v>
      </c>
      <c r="I24" s="7" t="str">
        <f t="shared" si="6"/>
        <v>ʂ</v>
      </c>
      <c r="J24" s="7" t="str">
        <f xml:space="preserve"> MID($A24,E24+1,2)</f>
        <v>sh</v>
      </c>
    </row>
    <row r="25" spans="1:10" ht="35.25">
      <c r="A25" s="1" t="s">
        <v>22</v>
      </c>
      <c r="B25" s="5">
        <f t="shared" si="2"/>
        <v>3</v>
      </c>
      <c r="C25" s="5">
        <f t="shared" ref="C25:E25" si="29" xml:space="preserve"> SEARCH("[",$A25,B25+1)</f>
        <v>7</v>
      </c>
      <c r="D25" s="5">
        <f t="shared" si="29"/>
        <v>11</v>
      </c>
      <c r="E25" s="5">
        <f t="shared" si="29"/>
        <v>16</v>
      </c>
      <c r="F25" s="7" t="str">
        <f t="shared" si="4"/>
        <v>ㄖ</v>
      </c>
      <c r="G25" s="7" t="str">
        <f t="shared" si="8"/>
        <v>r</v>
      </c>
      <c r="H25" s="7" t="str">
        <f t="shared" si="5"/>
        <v>r</v>
      </c>
      <c r="I25" s="7" t="str">
        <f t="shared" si="6"/>
        <v>ʐ</v>
      </c>
      <c r="J25" s="7" t="str">
        <f t="shared" si="9"/>
        <v>r</v>
      </c>
    </row>
    <row r="26" spans="1:10" ht="35.25">
      <c r="A26" s="2" t="s">
        <v>23</v>
      </c>
      <c r="B26" s="5">
        <f t="shared" si="2"/>
        <v>3</v>
      </c>
      <c r="C26" s="5">
        <f t="shared" ref="C26:E26" si="30" xml:space="preserve"> SEARCH("[",$A26,B26+1)</f>
        <v>8</v>
      </c>
      <c r="D26" s="5">
        <f t="shared" si="30"/>
        <v>12</v>
      </c>
      <c r="E26" s="5">
        <f t="shared" si="30"/>
        <v>17</v>
      </c>
      <c r="F26" s="7" t="str">
        <f t="shared" si="4"/>
        <v>ㄗ</v>
      </c>
      <c r="G26" s="7" t="str">
        <f xml:space="preserve"> MID($A26,B26+1,2)</f>
        <v>tz</v>
      </c>
      <c r="H26" s="7" t="str">
        <f t="shared" si="5"/>
        <v>c</v>
      </c>
      <c r="I26" s="7" t="str">
        <f xml:space="preserve"> MID($A26,D26+1,2)</f>
        <v>ts</v>
      </c>
      <c r="J26" s="7" t="str">
        <f t="shared" si="9"/>
        <v>z</v>
      </c>
    </row>
    <row r="27" spans="1:10" ht="35.25">
      <c r="A27" s="1" t="s">
        <v>24</v>
      </c>
      <c r="B27" s="5">
        <f t="shared" si="2"/>
        <v>3</v>
      </c>
      <c r="C27" s="5">
        <f t="shared" ref="C27:E27" si="31" xml:space="preserve"> SEARCH("[",$A27,B27+1)</f>
        <v>8</v>
      </c>
      <c r="D27" s="5">
        <f t="shared" si="31"/>
        <v>12</v>
      </c>
      <c r="E27" s="5">
        <f t="shared" si="31"/>
        <v>17</v>
      </c>
      <c r="F27" s="7" t="str">
        <f t="shared" si="4"/>
        <v>ㆡ</v>
      </c>
      <c r="G27" s="7" t="str">
        <f xml:space="preserve"> MID($A27,B27+1,2)</f>
        <v>zz</v>
      </c>
      <c r="H27" s="7" t="str">
        <f t="shared" si="5"/>
        <v>j</v>
      </c>
      <c r="I27" s="7" t="str">
        <f xml:space="preserve"> MID($A27,D27+1,2)</f>
        <v>dz</v>
      </c>
      <c r="J27" s="7" t="str">
        <f xml:space="preserve"> MID($A27,E27+1,2)</f>
        <v>zz</v>
      </c>
    </row>
    <row r="28" spans="1:10" ht="35.25">
      <c r="A28" s="1" t="s">
        <v>25</v>
      </c>
      <c r="B28" s="5">
        <f t="shared" si="2"/>
        <v>3</v>
      </c>
      <c r="C28" s="5">
        <f t="shared" ref="C28:E28" si="32" xml:space="preserve"> SEARCH("[",$A28,B28+1)</f>
        <v>8</v>
      </c>
      <c r="D28" s="5">
        <f t="shared" si="32"/>
        <v>13</v>
      </c>
      <c r="E28" s="5">
        <f t="shared" si="32"/>
        <v>19</v>
      </c>
      <c r="F28" s="7" t="str">
        <f t="shared" si="4"/>
        <v>ㄘ</v>
      </c>
      <c r="G28" s="7" t="str">
        <f xml:space="preserve"> MID($A28,B28+1,2)</f>
        <v>ts</v>
      </c>
      <c r="H28" s="7" t="str">
        <f xml:space="preserve"> MID($A28,C28+1,2)</f>
        <v>ch</v>
      </c>
      <c r="I28" s="7" t="str">
        <f xml:space="preserve"> MID($A28,D28+1,3)</f>
        <v>ts'</v>
      </c>
      <c r="J28" s="7" t="str">
        <f t="shared" si="9"/>
        <v>c</v>
      </c>
    </row>
    <row r="29" spans="1:10" ht="35.25">
      <c r="A29" s="1" t="s">
        <v>26</v>
      </c>
      <c r="B29" s="5">
        <f t="shared" si="2"/>
        <v>3</v>
      </c>
      <c r="C29" s="5">
        <f t="shared" ref="C29:E29" si="33" xml:space="preserve"> SEARCH("[",$A29,B29+1)</f>
        <v>7</v>
      </c>
      <c r="D29" s="5">
        <f t="shared" si="33"/>
        <v>11</v>
      </c>
      <c r="E29" s="5">
        <f t="shared" si="33"/>
        <v>15</v>
      </c>
      <c r="F29" s="7" t="str">
        <f t="shared" si="4"/>
        <v>ㄙ</v>
      </c>
      <c r="G29" s="7" t="str">
        <f t="shared" si="8"/>
        <v>s</v>
      </c>
      <c r="H29" s="7" t="str">
        <f t="shared" si="5"/>
        <v>s</v>
      </c>
      <c r="I29" s="7" t="str">
        <f t="shared" si="6"/>
        <v>s</v>
      </c>
      <c r="J29" s="7" t="str">
        <f t="shared" si="9"/>
        <v>s</v>
      </c>
    </row>
    <row r="33" spans="1:10" ht="35.25">
      <c r="A33" s="3" t="s">
        <v>27</v>
      </c>
      <c r="B33" s="5">
        <f t="shared" ref="B33:B52" si="34" xml:space="preserve"> SEARCH("[",$A33)</f>
        <v>3</v>
      </c>
      <c r="C33" s="5">
        <f t="shared" ref="C33:E33" si="35" xml:space="preserve"> SEARCH("[",$A33,B33+1)</f>
        <v>7</v>
      </c>
      <c r="D33" s="5">
        <f t="shared" si="35"/>
        <v>11</v>
      </c>
      <c r="E33" s="5">
        <f t="shared" si="35"/>
        <v>15</v>
      </c>
      <c r="F33" s="7" t="str">
        <f t="shared" ref="F33:F52" si="36" xml:space="preserve"> LEFT($A33,1)</f>
        <v>ㄚ</v>
      </c>
      <c r="G33" s="7" t="str">
        <f t="shared" ref="G33" si="37" xml:space="preserve"> MID($A33,B33+1,1)</f>
        <v>a</v>
      </c>
      <c r="H33" s="7" t="str">
        <f t="shared" ref="H33" si="38" xml:space="preserve"> MID($A33,C33+1,1)</f>
        <v>a</v>
      </c>
      <c r="I33" s="7" t="str">
        <f t="shared" ref="I33" si="39" xml:space="preserve"> MID($A33,D33+1,1)</f>
        <v>a</v>
      </c>
      <c r="J33" s="7" t="str">
        <f t="shared" ref="J33" si="40" xml:space="preserve"> MID($A33,E33+1,1)</f>
        <v>a</v>
      </c>
    </row>
    <row r="34" spans="1:10" ht="35.25">
      <c r="A34" s="1" t="s">
        <v>28</v>
      </c>
      <c r="B34" s="5">
        <f t="shared" si="34"/>
        <v>3</v>
      </c>
      <c r="C34" s="5">
        <f t="shared" ref="C34:E34" si="41" xml:space="preserve"> SEARCH("[",$A34,B34+1)</f>
        <v>9</v>
      </c>
      <c r="D34" s="5">
        <f t="shared" si="41"/>
        <v>15</v>
      </c>
      <c r="E34" s="5">
        <f t="shared" si="41"/>
        <v>20</v>
      </c>
      <c r="F34" s="7" t="str">
        <f t="shared" si="36"/>
        <v>ㆩ</v>
      </c>
      <c r="G34" s="7" t="str">
        <f xml:space="preserve"> MID($A34,B34+1,3)</f>
        <v>ann</v>
      </c>
      <c r="H34" s="7" t="str">
        <f xml:space="preserve"> MID($A34,C34+1,3)</f>
        <v>ann</v>
      </c>
      <c r="I34" s="7" t="str">
        <f t="shared" ref="I34:I52" si="42" xml:space="preserve"> MID($A34,D34+1,1)</f>
        <v>ã</v>
      </c>
      <c r="J34" s="7" t="str">
        <f xml:space="preserve"> MID($A34,E34+1,2)</f>
        <v>na</v>
      </c>
    </row>
    <row r="35" spans="1:10" ht="35.25">
      <c r="A35" s="1" t="s">
        <v>29</v>
      </c>
      <c r="B35" s="5">
        <f t="shared" si="34"/>
        <v>3</v>
      </c>
      <c r="C35" s="5">
        <f t="shared" ref="C35:E35" si="43" xml:space="preserve"> SEARCH("[",$A35,B35+1)</f>
        <v>8</v>
      </c>
      <c r="D35" s="5">
        <f t="shared" si="43"/>
        <v>13</v>
      </c>
      <c r="E35" s="5">
        <f t="shared" si="43"/>
        <v>18</v>
      </c>
      <c r="F35" s="7" t="str">
        <f t="shared" si="36"/>
        <v>ㆦ</v>
      </c>
      <c r="G35" s="7" t="str">
        <f xml:space="preserve"> MID($A35,B35+1,2)</f>
        <v>oo</v>
      </c>
      <c r="H35" s="7" t="str">
        <f xml:space="preserve"> MID($A35,C35+1,2)</f>
        <v>oo</v>
      </c>
      <c r="I35" s="7" t="str">
        <f t="shared" si="42"/>
        <v>ɔ</v>
      </c>
      <c r="J35" s="7" t="str">
        <f xml:space="preserve"> MID($A35,E35+1,2)</f>
        <v>oo</v>
      </c>
    </row>
    <row r="36" spans="1:10" ht="35.25">
      <c r="A36" s="1" t="s">
        <v>30</v>
      </c>
      <c r="B36" s="5">
        <f t="shared" si="34"/>
        <v>3</v>
      </c>
      <c r="C36" s="5">
        <f t="shared" ref="C36:E36" si="44" xml:space="preserve"> SEARCH("[",$A36,B36+1)</f>
        <v>10</v>
      </c>
      <c r="D36" s="5">
        <f t="shared" si="44"/>
        <v>21</v>
      </c>
      <c r="E36" s="5">
        <f t="shared" si="44"/>
        <v>27</v>
      </c>
      <c r="F36" s="7" t="str">
        <f t="shared" si="36"/>
        <v>ㆧ</v>
      </c>
      <c r="G36" s="7" t="str">
        <f xml:space="preserve"> MID($A36,B36+1,4)</f>
        <v>oonn</v>
      </c>
      <c r="H36" s="7" t="str">
        <f xml:space="preserve"> MID($A36,C36+6,3)</f>
        <v>onn</v>
      </c>
      <c r="I36" s="7" t="str">
        <f xml:space="preserve"> MID($A36,D36+1,2)</f>
        <v>ɔ̃</v>
      </c>
      <c r="J36" s="7" t="str">
        <f xml:space="preserve"> MID($A36,E36+1,3)</f>
        <v>noo</v>
      </c>
    </row>
    <row r="37" spans="1:10" ht="35.25">
      <c r="A37" s="1" t="s">
        <v>31</v>
      </c>
      <c r="B37" s="5">
        <f t="shared" si="34"/>
        <v>3</v>
      </c>
      <c r="C37" s="5">
        <f t="shared" ref="C37:E37" si="45" xml:space="preserve"> SEARCH("[",$A37,B37+1)</f>
        <v>7</v>
      </c>
      <c r="D37" s="5">
        <f t="shared" si="45"/>
        <v>11</v>
      </c>
      <c r="E37" s="5">
        <f t="shared" si="45"/>
        <v>15</v>
      </c>
      <c r="F37" s="7" t="str">
        <f t="shared" si="36"/>
        <v>ㄛ</v>
      </c>
      <c r="G37" s="7" t="str">
        <f t="shared" ref="G34:G52" si="46" xml:space="preserve"> MID($A37,B37+1,1)</f>
        <v>o</v>
      </c>
      <c r="H37" s="7" t="str">
        <f t="shared" ref="H34:H52" si="47" xml:space="preserve"> MID($A37,C37+1,1)</f>
        <v>o</v>
      </c>
      <c r="I37" s="7" t="str">
        <f t="shared" si="42"/>
        <v>o</v>
      </c>
      <c r="J37" s="7" t="str">
        <f t="shared" ref="J34:J52" si="48" xml:space="preserve"> MID($A37,E37+1,1)</f>
        <v>o</v>
      </c>
    </row>
    <row r="38" spans="1:10" ht="35.25">
      <c r="A38" s="1" t="s">
        <v>32</v>
      </c>
      <c r="B38" s="5">
        <f t="shared" si="34"/>
        <v>3</v>
      </c>
      <c r="C38" s="5">
        <f t="shared" ref="C38:E38" si="49" xml:space="preserve"> SEARCH("[",$A38,B38+1)</f>
        <v>8</v>
      </c>
      <c r="D38" s="5">
        <f t="shared" si="49"/>
        <v>13</v>
      </c>
      <c r="E38" s="5">
        <f t="shared" si="49"/>
        <v>18</v>
      </c>
      <c r="F38" s="7" t="str">
        <f t="shared" si="36"/>
        <v>ㄜ</v>
      </c>
      <c r="G38" s="7" t="str">
        <f xml:space="preserve"> MID($A38,B38+1,2)</f>
        <v>er</v>
      </c>
      <c r="H38" s="7" t="str">
        <f xml:space="preserve"> MID($A38,C38+1,2)</f>
        <v>er</v>
      </c>
      <c r="I38" s="7" t="str">
        <f t="shared" si="42"/>
        <v>ə</v>
      </c>
      <c r="J38" s="7" t="str">
        <f t="shared" si="48"/>
        <v>e</v>
      </c>
    </row>
    <row r="39" spans="1:10" ht="35.25">
      <c r="A39" s="1" t="s">
        <v>33</v>
      </c>
      <c r="B39" s="5">
        <f t="shared" si="34"/>
        <v>3</v>
      </c>
      <c r="C39" s="5">
        <f t="shared" ref="C39:E39" si="50" xml:space="preserve"> SEARCH("[",$A39,B39+1)</f>
        <v>8</v>
      </c>
      <c r="D39" s="5">
        <f t="shared" si="50"/>
        <v>13</v>
      </c>
      <c r="E39" s="5">
        <f t="shared" si="50"/>
        <v>19</v>
      </c>
      <c r="F39" s="7" t="str">
        <f t="shared" si="36"/>
        <v>ㄝ</v>
      </c>
      <c r="G39" s="7" t="str">
        <f xml:space="preserve"> MID($A39,B39+1,2)</f>
        <v>ee</v>
      </c>
      <c r="H39" s="7" t="str">
        <f xml:space="preserve"> MID($A39,C39+1,2)</f>
        <v>ee</v>
      </c>
      <c r="I39" s="7" t="str">
        <f t="shared" si="42"/>
        <v>ε</v>
      </c>
      <c r="J39" s="7" t="str">
        <f t="shared" si="48"/>
        <v>e</v>
      </c>
    </row>
    <row r="40" spans="1:10" ht="35.25">
      <c r="A40" s="4" t="s">
        <v>34</v>
      </c>
      <c r="B40" s="5">
        <f t="shared" si="34"/>
        <v>3</v>
      </c>
      <c r="C40" s="5">
        <f t="shared" ref="C40:E40" si="51" xml:space="preserve"> SEARCH("[",$A40,B40+1)</f>
        <v>7</v>
      </c>
      <c r="D40" s="5">
        <f t="shared" si="51"/>
        <v>11</v>
      </c>
      <c r="E40" s="5">
        <f t="shared" si="51"/>
        <v>15</v>
      </c>
      <c r="F40" s="7" t="str">
        <f t="shared" si="36"/>
        <v>ㆤ</v>
      </c>
      <c r="G40" s="7" t="str">
        <f t="shared" si="46"/>
        <v>e</v>
      </c>
      <c r="H40" s="7" t="str">
        <f t="shared" si="47"/>
        <v>e</v>
      </c>
      <c r="I40" s="7" t="str">
        <f t="shared" si="42"/>
        <v>e</v>
      </c>
      <c r="J40" s="7" t="str">
        <f t="shared" si="48"/>
        <v>e</v>
      </c>
    </row>
    <row r="41" spans="1:10" ht="35.25">
      <c r="A41" s="1" t="s">
        <v>35</v>
      </c>
      <c r="B41" s="5">
        <f t="shared" si="34"/>
        <v>3</v>
      </c>
      <c r="C41" s="5">
        <f t="shared" ref="C41:E41" si="52" xml:space="preserve"> SEARCH("[",$A41,B41+1)</f>
        <v>9</v>
      </c>
      <c r="D41" s="5">
        <f t="shared" si="52"/>
        <v>15</v>
      </c>
      <c r="E41" s="5">
        <f t="shared" si="52"/>
        <v>19</v>
      </c>
      <c r="F41" s="7" t="str">
        <f t="shared" si="36"/>
        <v>ㆥ</v>
      </c>
      <c r="G41" s="7" t="str">
        <f xml:space="preserve"> MID($A41,B41+1,3)</f>
        <v>enn</v>
      </c>
      <c r="H41" s="7" t="str">
        <f xml:space="preserve"> MID($A41,C41+1,3)</f>
        <v>enn</v>
      </c>
      <c r="I41" s="7" t="str">
        <f t="shared" si="42"/>
        <v>ẽ</v>
      </c>
      <c r="J41" s="7" t="str">
        <f xml:space="preserve"> MID($A41,E41+1,2)</f>
        <v>ne</v>
      </c>
    </row>
    <row r="42" spans="1:10" ht="35.25">
      <c r="A42" s="1" t="s">
        <v>36</v>
      </c>
      <c r="B42" s="5">
        <f t="shared" si="34"/>
        <v>3</v>
      </c>
      <c r="C42" s="5">
        <f t="shared" ref="C42:E42" si="53" xml:space="preserve"> SEARCH("[",$A42,B42+1)</f>
        <v>8</v>
      </c>
      <c r="D42" s="5">
        <f t="shared" si="53"/>
        <v>13</v>
      </c>
      <c r="E42" s="5">
        <f t="shared" si="53"/>
        <v>18</v>
      </c>
      <c r="F42" s="7" t="str">
        <f t="shared" si="36"/>
        <v>ㄞ</v>
      </c>
      <c r="G42" s="7" t="str">
        <f xml:space="preserve"> MID($A42,B42+1,2)</f>
        <v>ai</v>
      </c>
      <c r="H42" s="7" t="str">
        <f t="shared" ref="H42:J42" si="54" xml:space="preserve"> MID($A42,C42+1,2)</f>
        <v>ai</v>
      </c>
      <c r="I42" s="7" t="str">
        <f t="shared" si="54"/>
        <v>ai</v>
      </c>
      <c r="J42" s="7" t="str">
        <f t="shared" si="54"/>
        <v>ai</v>
      </c>
    </row>
    <row r="43" spans="1:10" ht="35.25">
      <c r="A43" s="1" t="s">
        <v>37</v>
      </c>
      <c r="B43" s="5">
        <f t="shared" si="34"/>
        <v>3</v>
      </c>
      <c r="C43" s="5">
        <f t="shared" ref="C43:E43" si="55" xml:space="preserve"> SEARCH("[",$A43,B43+1)</f>
        <v>10</v>
      </c>
      <c r="D43" s="5">
        <f t="shared" si="55"/>
        <v>17</v>
      </c>
      <c r="E43" s="5">
        <f t="shared" si="55"/>
        <v>22</v>
      </c>
      <c r="F43" s="7" t="str">
        <f t="shared" si="36"/>
        <v>ㆮ</v>
      </c>
      <c r="G43" s="7" t="str">
        <f xml:space="preserve"> MID($A43,B43+1,4)</f>
        <v>ainn</v>
      </c>
      <c r="H43" s="7" t="str">
        <f xml:space="preserve"> MID($A43,C43+1,4)</f>
        <v>ainn</v>
      </c>
      <c r="I43" s="7" t="str">
        <f xml:space="preserve"> MID($A43,D43+1,2)</f>
        <v>aĩ</v>
      </c>
      <c r="J43" s="7" t="str">
        <f xml:space="preserve"> MID($A43,E43+1,3)</f>
        <v>nai</v>
      </c>
    </row>
    <row r="44" spans="1:10" ht="35.25">
      <c r="A44" s="4" t="s">
        <v>38</v>
      </c>
      <c r="B44" s="5">
        <f t="shared" si="34"/>
        <v>3</v>
      </c>
      <c r="C44" s="5">
        <f t="shared" ref="C44:E44" si="56" xml:space="preserve"> SEARCH("[",$A44,B44+1)</f>
        <v>8</v>
      </c>
      <c r="D44" s="5">
        <f t="shared" si="56"/>
        <v>13</v>
      </c>
      <c r="E44" s="5">
        <f t="shared" si="56"/>
        <v>18</v>
      </c>
      <c r="F44" s="7" t="str">
        <f t="shared" si="36"/>
        <v>ㄟ</v>
      </c>
      <c r="G44" s="7" t="str">
        <f xml:space="preserve"> MID($A44,B44+1,2)</f>
        <v>ei</v>
      </c>
      <c r="H44" s="7" t="str">
        <f t="shared" ref="H44:J44" si="57" xml:space="preserve"> MID($A44,C44+1,2)</f>
        <v>ei</v>
      </c>
      <c r="I44" s="7" t="str">
        <f t="shared" si="57"/>
        <v>ei</v>
      </c>
      <c r="J44" s="7" t="str">
        <f t="shared" si="57"/>
        <v>ei</v>
      </c>
    </row>
    <row r="45" spans="1:10" ht="35.25">
      <c r="A45" s="1" t="s">
        <v>39</v>
      </c>
      <c r="B45" s="5">
        <f t="shared" si="34"/>
        <v>3</v>
      </c>
      <c r="C45" s="5">
        <f t="shared" ref="C45:E45" si="58" xml:space="preserve"> SEARCH("[",$A45,B45+1)</f>
        <v>8</v>
      </c>
      <c r="D45" s="5">
        <f t="shared" si="58"/>
        <v>13</v>
      </c>
      <c r="E45" s="5">
        <f t="shared" si="58"/>
        <v>18</v>
      </c>
      <c r="F45" s="7" t="str">
        <f t="shared" si="36"/>
        <v>ㄠ</v>
      </c>
      <c r="G45" s="7" t="str">
        <f xml:space="preserve"> MID($A45,B45+1,2)</f>
        <v>au</v>
      </c>
      <c r="H45" s="7" t="str">
        <f t="shared" ref="H45" si="59" xml:space="preserve"> MID($A45,C45+1,2)</f>
        <v>au</v>
      </c>
      <c r="I45" s="7" t="str">
        <f t="shared" ref="I45" si="60" xml:space="preserve"> MID($A45,D45+1,2)</f>
        <v>au</v>
      </c>
      <c r="J45" s="7" t="str">
        <f t="shared" ref="J45" si="61" xml:space="preserve"> MID($A45,E45+1,2)</f>
        <v>au</v>
      </c>
    </row>
    <row r="46" spans="1:10" ht="35.25">
      <c r="A46" s="1" t="s">
        <v>40</v>
      </c>
      <c r="B46" s="5">
        <f t="shared" si="34"/>
        <v>3</v>
      </c>
      <c r="C46" s="5">
        <f t="shared" ref="C46:E46" si="62" xml:space="preserve"> SEARCH("[",$A46,B46+1)</f>
        <v>10</v>
      </c>
      <c r="D46" s="5">
        <f t="shared" si="62"/>
        <v>17</v>
      </c>
      <c r="E46" s="5">
        <f t="shared" si="62"/>
        <v>22</v>
      </c>
      <c r="F46" s="7" t="str">
        <f t="shared" si="36"/>
        <v>ㆯ</v>
      </c>
      <c r="G46" s="7" t="str">
        <f xml:space="preserve"> MID($A46,B46+1,4)</f>
        <v>aunn</v>
      </c>
      <c r="H46" s="7" t="str">
        <f xml:space="preserve"> MID($A46,C46+1,4)</f>
        <v>aunn</v>
      </c>
      <c r="I46" s="7" t="str">
        <f xml:space="preserve"> MID($A46,D46+1,2)</f>
        <v>aũ</v>
      </c>
      <c r="J46" s="7" t="str">
        <f xml:space="preserve"> MID($A46,E46+1,3)</f>
        <v>nau</v>
      </c>
    </row>
    <row r="47" spans="1:10" ht="35.25">
      <c r="A47" s="1" t="s">
        <v>41</v>
      </c>
      <c r="B47" s="5">
        <f t="shared" si="34"/>
        <v>3</v>
      </c>
      <c r="C47" s="5">
        <f t="shared" ref="C47:E47" si="63" xml:space="preserve"> SEARCH("[",$A47,B47+1)</f>
        <v>8</v>
      </c>
      <c r="D47" s="5">
        <f t="shared" si="63"/>
        <v>13</v>
      </c>
      <c r="E47" s="5">
        <f t="shared" si="63"/>
        <v>18</v>
      </c>
      <c r="F47" s="7" t="str">
        <f t="shared" si="36"/>
        <v>ㄡ</v>
      </c>
      <c r="G47" s="7" t="str">
        <f xml:space="preserve"> MID($A47,B47+1,2)</f>
        <v>ou</v>
      </c>
      <c r="H47" s="7" t="str">
        <f t="shared" ref="H47" si="64" xml:space="preserve"> MID($A47,C47+1,2)</f>
        <v>ou</v>
      </c>
      <c r="I47" s="7" t="str">
        <f t="shared" ref="I47" si="65" xml:space="preserve"> MID($A47,D47+1,2)</f>
        <v>ou</v>
      </c>
      <c r="J47" s="7" t="str">
        <f t="shared" ref="J47" si="66" xml:space="preserve"> MID($A47,E47+1,2)</f>
        <v>ou</v>
      </c>
    </row>
    <row r="48" spans="1:10" ht="35.25">
      <c r="A48" s="1" t="s">
        <v>42</v>
      </c>
      <c r="B48" s="5">
        <f t="shared" si="34"/>
        <v>3</v>
      </c>
      <c r="C48" s="5">
        <f t="shared" ref="C48:E48" si="67" xml:space="preserve"> SEARCH("[",$A48,B48+1)</f>
        <v>8</v>
      </c>
      <c r="D48" s="5">
        <f t="shared" si="67"/>
        <v>13</v>
      </c>
      <c r="E48" s="5">
        <f t="shared" si="67"/>
        <v>18</v>
      </c>
      <c r="F48" s="7" t="str">
        <f t="shared" si="36"/>
        <v>ㆰ</v>
      </c>
      <c r="G48" s="7" t="str">
        <f xml:space="preserve"> MID($A48,B48+1,2)</f>
        <v>am</v>
      </c>
      <c r="H48" s="7" t="str">
        <f t="shared" ref="H48" si="68" xml:space="preserve"> MID($A48,C48+1,2)</f>
        <v>am</v>
      </c>
      <c r="I48" s="7" t="str">
        <f t="shared" ref="I48" si="69" xml:space="preserve"> MID($A48,D48+1,2)</f>
        <v>aṃ</v>
      </c>
      <c r="J48" s="7" t="str">
        <f t="shared" ref="J48" si="70" xml:space="preserve"> MID($A48,E48+1,2)</f>
        <v>am</v>
      </c>
    </row>
    <row r="49" spans="1:10" ht="35.25">
      <c r="A49" s="1" t="s">
        <v>43</v>
      </c>
      <c r="B49" s="5">
        <f t="shared" si="34"/>
        <v>3</v>
      </c>
      <c r="C49" s="5">
        <f t="shared" ref="C49:E49" si="71" xml:space="preserve"> SEARCH("[",$A49,B49+1)</f>
        <v>9</v>
      </c>
      <c r="D49" s="5">
        <f t="shared" si="71"/>
        <v>18</v>
      </c>
      <c r="E49" s="5">
        <f t="shared" si="71"/>
        <v>23</v>
      </c>
      <c r="F49" s="7" t="str">
        <f t="shared" si="36"/>
        <v>ㆱ</v>
      </c>
      <c r="G49" s="7" t="str">
        <f t="shared" si="46"/>
        <v>o</v>
      </c>
      <c r="H49" s="7" t="str">
        <f t="shared" si="47"/>
        <v>o</v>
      </c>
      <c r="I49" s="7" t="str">
        <f xml:space="preserve"> MID($A49,D49+1,2)</f>
        <v>ɔṃ</v>
      </c>
      <c r="J49" s="7" t="str">
        <f xml:space="preserve"> MID($A49,E49+1,3)</f>
        <v>oom</v>
      </c>
    </row>
    <row r="50" spans="1:10" ht="35.25">
      <c r="A50" s="1" t="s">
        <v>44</v>
      </c>
      <c r="B50" s="5">
        <f t="shared" si="34"/>
        <v>3</v>
      </c>
      <c r="C50" s="5">
        <f t="shared" ref="C50:E50" si="72" xml:space="preserve"> SEARCH("[",$A50,B50+1)</f>
        <v>7</v>
      </c>
      <c r="D50" s="5">
        <f t="shared" si="72"/>
        <v>11</v>
      </c>
      <c r="E50" s="5">
        <f t="shared" si="72"/>
        <v>15</v>
      </c>
      <c r="F50" s="7" t="str">
        <f t="shared" si="36"/>
        <v>ㆬ</v>
      </c>
      <c r="G50" s="7" t="str">
        <f t="shared" si="46"/>
        <v>m</v>
      </c>
      <c r="H50" s="7" t="str">
        <f t="shared" si="47"/>
        <v>m</v>
      </c>
      <c r="I50" s="7" t="str">
        <f t="shared" si="42"/>
        <v>ṃ</v>
      </c>
      <c r="J50" s="7" t="str">
        <f t="shared" si="48"/>
        <v>m</v>
      </c>
    </row>
    <row r="51" spans="1:10" ht="35.25">
      <c r="A51" s="1" t="s">
        <v>45</v>
      </c>
      <c r="B51" s="5">
        <f t="shared" si="34"/>
        <v>3</v>
      </c>
      <c r="C51" s="5">
        <f t="shared" ref="C51:E51" si="73" xml:space="preserve"> SEARCH("[",$A51,B51+1)</f>
        <v>8</v>
      </c>
      <c r="D51" s="5">
        <f t="shared" si="73"/>
        <v>13</v>
      </c>
      <c r="E51" s="5">
        <f t="shared" si="73"/>
        <v>18</v>
      </c>
      <c r="F51" s="7" t="str">
        <f t="shared" si="36"/>
        <v>ㄢ</v>
      </c>
      <c r="G51" s="7" t="str">
        <f xml:space="preserve"> MID($A51,B51+1,2)</f>
        <v>an</v>
      </c>
      <c r="H51" s="7" t="str">
        <f t="shared" ref="H51:J51" si="74" xml:space="preserve"> MID($A51,C51+1,2)</f>
        <v>an</v>
      </c>
      <c r="I51" s="7" t="str">
        <f t="shared" si="74"/>
        <v>an</v>
      </c>
      <c r="J51" s="7" t="str">
        <f t="shared" si="74"/>
        <v>an</v>
      </c>
    </row>
    <row r="52" spans="1:10" ht="35.25">
      <c r="A52" s="1" t="s">
        <v>46</v>
      </c>
      <c r="B52" s="5">
        <f t="shared" si="34"/>
        <v>3</v>
      </c>
      <c r="C52" s="5">
        <f t="shared" ref="C52:E52" si="75" xml:space="preserve"> SEARCH("[",$A52,B52+1)</f>
        <v>8</v>
      </c>
      <c r="D52" s="5">
        <f t="shared" si="75"/>
        <v>17</v>
      </c>
      <c r="E52" s="5">
        <f t="shared" si="75"/>
        <v>22</v>
      </c>
      <c r="F52" s="7" t="str">
        <f t="shared" si="36"/>
        <v>ㄣ</v>
      </c>
      <c r="G52" s="7" t="str">
        <f xml:space="preserve"> MID($A52,B52+1,2)</f>
        <v>en</v>
      </c>
      <c r="H52" s="7" t="str">
        <f t="shared" si="47"/>
        <v>n</v>
      </c>
      <c r="I52" s="7" t="str">
        <f xml:space="preserve"> MID($A52,D52+1,2)</f>
        <v>ən</v>
      </c>
      <c r="J52" s="7" t="str">
        <f xml:space="preserve"> MID($A52,E52+1,2)</f>
        <v>en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CA8E-EA89-42DD-B48D-673433BA5D62}">
  <dimension ref="A1:Y48"/>
  <sheetViews>
    <sheetView tabSelected="1" workbookViewId="0">
      <pane ySplit="2" topLeftCell="A3" activePane="bottomLeft" state="frozen"/>
      <selection pane="bottomLeft" activeCell="H21" sqref="H21"/>
    </sheetView>
  </sheetViews>
  <sheetFormatPr defaultRowHeight="16.5"/>
  <cols>
    <col min="1" max="1" width="13.125" customWidth="1"/>
    <col min="2" max="6" width="15" style="5" customWidth="1"/>
    <col min="7" max="7" width="16" customWidth="1"/>
    <col min="10" max="10" width="13.125" customWidth="1"/>
    <col min="11" max="15" width="15" style="5" customWidth="1"/>
    <col min="16" max="16" width="16" customWidth="1"/>
    <col min="19" max="19" width="16" customWidth="1"/>
    <col min="20" max="24" width="15" style="5" customWidth="1"/>
  </cols>
  <sheetData>
    <row r="1" spans="1:24" ht="21" customHeight="1">
      <c r="A1" s="9" t="s">
        <v>156</v>
      </c>
      <c r="B1" s="6" t="s">
        <v>57</v>
      </c>
      <c r="C1" s="6" t="s">
        <v>55</v>
      </c>
      <c r="D1" s="6" t="s">
        <v>53</v>
      </c>
      <c r="E1" s="6" t="s">
        <v>59</v>
      </c>
      <c r="F1" s="6" t="s">
        <v>56</v>
      </c>
      <c r="G1" s="6" t="s">
        <v>158</v>
      </c>
      <c r="J1" s="9" t="s">
        <v>157</v>
      </c>
      <c r="K1" s="6" t="s">
        <v>57</v>
      </c>
      <c r="L1" s="6" t="s">
        <v>55</v>
      </c>
      <c r="M1" s="6" t="s">
        <v>53</v>
      </c>
      <c r="N1" s="6" t="s">
        <v>59</v>
      </c>
      <c r="O1" s="6" t="s">
        <v>56</v>
      </c>
      <c r="P1" s="6" t="s">
        <v>158</v>
      </c>
      <c r="S1" s="6" t="s">
        <v>158</v>
      </c>
      <c r="T1" s="6" t="s">
        <v>56</v>
      </c>
      <c r="U1" s="6" t="s">
        <v>53</v>
      </c>
      <c r="V1" s="6" t="s">
        <v>55</v>
      </c>
      <c r="W1" s="6" t="s">
        <v>57</v>
      </c>
      <c r="X1" s="6" t="s">
        <v>59</v>
      </c>
    </row>
    <row r="2" spans="1:24" ht="21" customHeight="1">
      <c r="A2" s="9"/>
      <c r="B2" s="6" t="s">
        <v>58</v>
      </c>
      <c r="C2" s="6" t="s">
        <v>54</v>
      </c>
      <c r="D2" s="6" t="s">
        <v>52</v>
      </c>
      <c r="E2" s="6" t="s">
        <v>60</v>
      </c>
      <c r="F2" s="6" t="s">
        <v>51</v>
      </c>
      <c r="G2" s="6" t="s">
        <v>159</v>
      </c>
      <c r="J2" s="9"/>
      <c r="K2" s="6" t="s">
        <v>58</v>
      </c>
      <c r="L2" s="6" t="s">
        <v>54</v>
      </c>
      <c r="M2" s="6" t="s">
        <v>52</v>
      </c>
      <c r="N2" s="6" t="s">
        <v>60</v>
      </c>
      <c r="O2" s="6" t="s">
        <v>51</v>
      </c>
      <c r="P2" s="6" t="s">
        <v>159</v>
      </c>
      <c r="S2" s="6" t="s">
        <v>159</v>
      </c>
      <c r="T2" s="6" t="s">
        <v>51</v>
      </c>
      <c r="U2" s="6" t="s">
        <v>52</v>
      </c>
      <c r="V2" s="6" t="s">
        <v>54</v>
      </c>
      <c r="W2" s="6" t="s">
        <v>58</v>
      </c>
      <c r="X2" s="6" t="s">
        <v>60</v>
      </c>
    </row>
    <row r="3" spans="1:24" ht="44.25">
      <c r="A3" s="8">
        <v>1</v>
      </c>
      <c r="B3" s="12" t="s">
        <v>64</v>
      </c>
      <c r="C3" s="13" t="s">
        <v>64</v>
      </c>
      <c r="D3" s="13" t="s">
        <v>63</v>
      </c>
      <c r="E3" s="13" t="s">
        <v>63</v>
      </c>
      <c r="F3" s="7" t="s">
        <v>62</v>
      </c>
      <c r="G3" s="8" t="s">
        <v>177</v>
      </c>
      <c r="J3" s="8">
        <v>1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100</v>
      </c>
      <c r="P3" s="8" t="s">
        <v>160</v>
      </c>
      <c r="S3" s="8"/>
      <c r="T3" s="7"/>
      <c r="U3" s="7"/>
      <c r="V3" s="7"/>
      <c r="W3" s="7"/>
      <c r="X3" s="7"/>
    </row>
    <row r="4" spans="1:24" ht="44.25">
      <c r="A4" s="8">
        <v>2</v>
      </c>
      <c r="B4" s="12" t="s">
        <v>63</v>
      </c>
      <c r="C4" s="13" t="s">
        <v>63</v>
      </c>
      <c r="D4" s="13" t="s">
        <v>196</v>
      </c>
      <c r="E4" s="13" t="s">
        <v>196</v>
      </c>
      <c r="F4" s="7" t="s">
        <v>65</v>
      </c>
      <c r="G4" s="8" t="s">
        <v>178</v>
      </c>
      <c r="J4" s="8">
        <v>2</v>
      </c>
      <c r="K4" s="7" t="s">
        <v>104</v>
      </c>
      <c r="L4" s="7" t="s">
        <v>103</v>
      </c>
      <c r="M4" s="7" t="s">
        <v>103</v>
      </c>
      <c r="N4" s="7" t="s">
        <v>105</v>
      </c>
      <c r="O4" s="7" t="s">
        <v>102</v>
      </c>
      <c r="P4" s="8" t="s">
        <v>161</v>
      </c>
      <c r="S4" s="8"/>
      <c r="T4" s="7"/>
      <c r="U4" s="7"/>
      <c r="V4" s="7"/>
      <c r="W4" s="7"/>
      <c r="X4" s="7"/>
    </row>
    <row r="5" spans="1:24" ht="44.25">
      <c r="A5" s="8">
        <v>3</v>
      </c>
      <c r="B5" s="12" t="s">
        <v>198</v>
      </c>
      <c r="C5" s="13" t="s">
        <v>197</v>
      </c>
      <c r="D5" s="13" t="s">
        <v>64</v>
      </c>
      <c r="E5" s="13" t="s">
        <v>64</v>
      </c>
      <c r="F5" s="7" t="s">
        <v>66</v>
      </c>
      <c r="G5" s="8" t="s">
        <v>179</v>
      </c>
      <c r="J5" s="8">
        <v>3</v>
      </c>
      <c r="K5" s="7" t="s">
        <v>108</v>
      </c>
      <c r="L5" s="7" t="s">
        <v>107</v>
      </c>
      <c r="M5" s="7" t="s">
        <v>107</v>
      </c>
      <c r="N5" s="7" t="s">
        <v>107</v>
      </c>
      <c r="O5" s="7" t="s">
        <v>106</v>
      </c>
      <c r="P5" s="8" t="s">
        <v>162</v>
      </c>
      <c r="R5" s="8" t="s">
        <v>164</v>
      </c>
      <c r="S5" s="8" t="s">
        <v>162</v>
      </c>
      <c r="T5" s="7" t="s">
        <v>141</v>
      </c>
      <c r="U5" s="7" t="s">
        <v>142</v>
      </c>
      <c r="V5" s="7" t="s">
        <v>142</v>
      </c>
      <c r="W5" s="7" t="s">
        <v>142</v>
      </c>
      <c r="X5" s="7" t="s">
        <v>142</v>
      </c>
    </row>
    <row r="6" spans="1:24" ht="44.25">
      <c r="A6" s="8">
        <v>4</v>
      </c>
      <c r="B6" s="12" t="s">
        <v>68</v>
      </c>
      <c r="C6" s="13" t="s">
        <v>68</v>
      </c>
      <c r="D6" s="13" t="s">
        <v>68</v>
      </c>
      <c r="E6" s="13" t="s">
        <v>68</v>
      </c>
      <c r="F6" s="7" t="s">
        <v>67</v>
      </c>
      <c r="G6" s="8" t="s">
        <v>180</v>
      </c>
      <c r="J6" s="8">
        <v>4</v>
      </c>
      <c r="K6" s="7" t="s">
        <v>112</v>
      </c>
      <c r="L6" s="7" t="s">
        <v>111</v>
      </c>
      <c r="M6" s="7" t="s">
        <v>110</v>
      </c>
      <c r="N6" s="7" t="s">
        <v>113</v>
      </c>
      <c r="O6" s="7" t="s">
        <v>109</v>
      </c>
      <c r="P6" s="8" t="s">
        <v>163</v>
      </c>
    </row>
    <row r="7" spans="1:24" ht="44.25">
      <c r="A7" s="8">
        <v>5</v>
      </c>
      <c r="B7" s="12" t="s">
        <v>71</v>
      </c>
      <c r="C7" s="13" t="s">
        <v>71</v>
      </c>
      <c r="D7" s="13" t="s">
        <v>70</v>
      </c>
      <c r="E7" s="13" t="s">
        <v>70</v>
      </c>
      <c r="F7" s="7" t="s">
        <v>69</v>
      </c>
      <c r="G7" s="8" t="s">
        <v>181</v>
      </c>
      <c r="J7" s="8">
        <v>5</v>
      </c>
      <c r="K7" s="7" t="s">
        <v>118</v>
      </c>
      <c r="L7" s="7" t="s">
        <v>117</v>
      </c>
      <c r="M7" s="7" t="s">
        <v>117</v>
      </c>
      <c r="N7" s="7" t="s">
        <v>119</v>
      </c>
      <c r="O7" s="7" t="s">
        <v>116</v>
      </c>
      <c r="P7" s="8" t="s">
        <v>165</v>
      </c>
      <c r="S7" s="8"/>
      <c r="T7" s="7"/>
      <c r="U7" s="7"/>
      <c r="V7" s="7"/>
      <c r="W7" s="7"/>
      <c r="X7" s="7"/>
    </row>
    <row r="8" spans="1:24" ht="44.25">
      <c r="A8" s="8">
        <v>6</v>
      </c>
      <c r="B8" s="12" t="s">
        <v>200</v>
      </c>
      <c r="C8" s="13" t="s">
        <v>199</v>
      </c>
      <c r="D8" s="13" t="s">
        <v>71</v>
      </c>
      <c r="E8" s="13" t="s">
        <v>71</v>
      </c>
      <c r="F8" s="7" t="s">
        <v>72</v>
      </c>
      <c r="G8" s="8" t="s">
        <v>182</v>
      </c>
      <c r="J8" s="8">
        <v>6</v>
      </c>
      <c r="K8" s="7" t="s">
        <v>122</v>
      </c>
      <c r="L8" s="7" t="s">
        <v>121</v>
      </c>
      <c r="M8" s="7" t="s">
        <v>121</v>
      </c>
      <c r="N8" s="7" t="s">
        <v>119</v>
      </c>
      <c r="O8" s="7" t="s">
        <v>120</v>
      </c>
      <c r="P8" s="8" t="s">
        <v>166</v>
      </c>
      <c r="S8" s="7" t="s">
        <v>115</v>
      </c>
      <c r="T8" s="8" t="s">
        <v>164</v>
      </c>
      <c r="U8" s="7" t="s">
        <v>114</v>
      </c>
      <c r="V8" s="7" t="s">
        <v>115</v>
      </c>
      <c r="W8" s="7" t="s">
        <v>115</v>
      </c>
      <c r="X8" s="7" t="s">
        <v>115</v>
      </c>
    </row>
    <row r="9" spans="1:24" ht="44.25">
      <c r="A9" s="8">
        <v>7</v>
      </c>
      <c r="B9" s="12" t="s">
        <v>74</v>
      </c>
      <c r="C9" s="13" t="s">
        <v>74</v>
      </c>
      <c r="D9" s="13" t="s">
        <v>74</v>
      </c>
      <c r="E9" s="13" t="s">
        <v>74</v>
      </c>
      <c r="F9" s="7" t="s">
        <v>73</v>
      </c>
      <c r="G9" s="8" t="s">
        <v>183</v>
      </c>
      <c r="J9" s="8">
        <v>7</v>
      </c>
      <c r="K9" s="7" t="s">
        <v>119</v>
      </c>
      <c r="L9" s="7" t="s">
        <v>119</v>
      </c>
      <c r="M9" s="7" t="s">
        <v>119</v>
      </c>
      <c r="N9" s="7" t="s">
        <v>119</v>
      </c>
      <c r="O9" s="7" t="s">
        <v>123</v>
      </c>
      <c r="P9" s="8" t="s">
        <v>167</v>
      </c>
      <c r="S9" s="8"/>
      <c r="T9" s="7"/>
      <c r="U9" s="7"/>
      <c r="V9" s="7"/>
      <c r="W9" s="7"/>
      <c r="X9" s="7"/>
    </row>
    <row r="10" spans="1:24" ht="44.25">
      <c r="A10" s="8">
        <v>8</v>
      </c>
      <c r="B10" s="12" t="s">
        <v>76</v>
      </c>
      <c r="C10" s="13" t="s">
        <v>76</v>
      </c>
      <c r="D10" s="13" t="s">
        <v>76</v>
      </c>
      <c r="E10" s="13" t="s">
        <v>76</v>
      </c>
      <c r="F10" s="7" t="s">
        <v>75</v>
      </c>
      <c r="G10" s="8" t="s">
        <v>184</v>
      </c>
      <c r="J10" s="8">
        <v>8</v>
      </c>
      <c r="K10" s="7" t="s">
        <v>126</v>
      </c>
      <c r="L10" s="7" t="s">
        <v>125</v>
      </c>
      <c r="M10" s="7" t="s">
        <v>125</v>
      </c>
      <c r="N10" s="7" t="s">
        <v>127</v>
      </c>
      <c r="O10" s="7" t="s">
        <v>124</v>
      </c>
      <c r="P10" s="8" t="s">
        <v>168</v>
      </c>
      <c r="S10" s="8"/>
      <c r="T10" s="7"/>
      <c r="U10" s="7"/>
      <c r="V10" s="7"/>
      <c r="W10" s="7"/>
      <c r="X10" s="7"/>
    </row>
    <row r="11" spans="1:24" ht="44.25">
      <c r="A11" s="8">
        <v>9</v>
      </c>
      <c r="B11" s="12" t="s">
        <v>79</v>
      </c>
      <c r="C11" s="13" t="s">
        <v>79</v>
      </c>
      <c r="D11" s="13" t="s">
        <v>78</v>
      </c>
      <c r="E11" s="13" t="s">
        <v>78</v>
      </c>
      <c r="F11" s="7" t="s">
        <v>77</v>
      </c>
      <c r="G11" s="8" t="s">
        <v>185</v>
      </c>
      <c r="J11" s="8">
        <v>9</v>
      </c>
      <c r="K11" s="7" t="s">
        <v>129</v>
      </c>
      <c r="L11" s="7" t="s">
        <v>129</v>
      </c>
      <c r="M11" s="7" t="s">
        <v>129</v>
      </c>
      <c r="N11" s="7" t="s">
        <v>129</v>
      </c>
      <c r="O11" s="7" t="s">
        <v>128</v>
      </c>
      <c r="P11" s="8" t="s">
        <v>169</v>
      </c>
      <c r="S11" s="8"/>
      <c r="T11" s="7"/>
      <c r="U11" s="7"/>
      <c r="V11" s="7"/>
      <c r="W11" s="7"/>
      <c r="X11" s="7"/>
    </row>
    <row r="12" spans="1:24" ht="44.25">
      <c r="A12" s="8">
        <v>10</v>
      </c>
      <c r="B12" s="12" t="s">
        <v>78</v>
      </c>
      <c r="C12" s="13" t="s">
        <v>78</v>
      </c>
      <c r="D12" s="13" t="s">
        <v>201</v>
      </c>
      <c r="E12" s="13" t="s">
        <v>201</v>
      </c>
      <c r="F12" s="7" t="s">
        <v>80</v>
      </c>
      <c r="G12" s="8" t="s">
        <v>186</v>
      </c>
      <c r="J12" s="8">
        <v>10</v>
      </c>
      <c r="K12" s="7" t="s">
        <v>132</v>
      </c>
      <c r="L12" s="7" t="s">
        <v>131</v>
      </c>
      <c r="M12" s="7" t="s">
        <v>131</v>
      </c>
      <c r="N12" s="7" t="s">
        <v>133</v>
      </c>
      <c r="O12" s="7" t="s">
        <v>130</v>
      </c>
      <c r="P12" s="8" t="s">
        <v>170</v>
      </c>
      <c r="S12" s="8"/>
      <c r="T12" s="7"/>
      <c r="U12" s="7"/>
      <c r="V12" s="7"/>
      <c r="W12" s="7"/>
      <c r="X12" s="7"/>
    </row>
    <row r="13" spans="1:24" ht="44.25">
      <c r="A13" s="8">
        <v>11</v>
      </c>
      <c r="B13" s="12" t="s">
        <v>203</v>
      </c>
      <c r="C13" s="13" t="s">
        <v>202</v>
      </c>
      <c r="D13" s="13" t="s">
        <v>79</v>
      </c>
      <c r="E13" s="13" t="s">
        <v>79</v>
      </c>
      <c r="F13" s="7" t="s">
        <v>81</v>
      </c>
      <c r="G13" s="8" t="s">
        <v>187</v>
      </c>
      <c r="J13" s="8">
        <v>11</v>
      </c>
      <c r="K13" s="11" t="s">
        <v>61</v>
      </c>
      <c r="L13" s="11" t="s">
        <v>61</v>
      </c>
      <c r="M13" s="11" t="s">
        <v>61</v>
      </c>
      <c r="N13" s="11" t="s">
        <v>61</v>
      </c>
      <c r="O13" s="11" t="s">
        <v>134</v>
      </c>
      <c r="P13" s="10" t="s">
        <v>194</v>
      </c>
      <c r="S13" s="8"/>
      <c r="T13" s="7"/>
      <c r="U13" s="7"/>
      <c r="V13" s="7"/>
      <c r="W13" s="7"/>
      <c r="X13" s="7"/>
    </row>
    <row r="14" spans="1:24" ht="44.25">
      <c r="A14" s="8">
        <v>12</v>
      </c>
      <c r="B14" s="12" t="s">
        <v>217</v>
      </c>
      <c r="C14" s="13" t="s">
        <v>195</v>
      </c>
      <c r="D14" s="13" t="s">
        <v>195</v>
      </c>
      <c r="E14" s="13" t="s">
        <v>195</v>
      </c>
      <c r="F14" s="7" t="s">
        <v>82</v>
      </c>
      <c r="G14" s="8" t="s">
        <v>188</v>
      </c>
      <c r="J14" s="8">
        <v>12</v>
      </c>
      <c r="K14" s="7" t="s">
        <v>136</v>
      </c>
      <c r="L14" s="7" t="s">
        <v>136</v>
      </c>
      <c r="M14" s="7" t="s">
        <v>136</v>
      </c>
      <c r="N14" s="7" t="s">
        <v>136</v>
      </c>
      <c r="O14" s="7" t="s">
        <v>135</v>
      </c>
      <c r="P14" s="8" t="s">
        <v>171</v>
      </c>
      <c r="S14" s="8"/>
      <c r="T14" s="7"/>
      <c r="U14" s="7"/>
      <c r="V14" s="7"/>
      <c r="W14" s="7"/>
      <c r="X14" s="7"/>
    </row>
    <row r="15" spans="1:24" ht="44.25">
      <c r="A15" s="8">
        <v>13</v>
      </c>
      <c r="B15" s="12" t="s">
        <v>84</v>
      </c>
      <c r="C15" s="13" t="s">
        <v>84</v>
      </c>
      <c r="D15" s="13" t="s">
        <v>84</v>
      </c>
      <c r="E15" s="13" t="s">
        <v>84</v>
      </c>
      <c r="F15" s="7" t="s">
        <v>83</v>
      </c>
      <c r="G15" s="8" t="s">
        <v>189</v>
      </c>
      <c r="J15" s="8">
        <v>13</v>
      </c>
      <c r="K15" s="7" t="s">
        <v>139</v>
      </c>
      <c r="L15" s="7" t="s">
        <v>138</v>
      </c>
      <c r="M15" s="7" t="s">
        <v>138</v>
      </c>
      <c r="N15" s="7" t="s">
        <v>140</v>
      </c>
      <c r="O15" s="7" t="s">
        <v>137</v>
      </c>
      <c r="P15" s="8" t="s">
        <v>172</v>
      </c>
      <c r="S15" s="10"/>
      <c r="T15" s="11"/>
      <c r="U15" s="11"/>
      <c r="V15" s="11"/>
      <c r="W15" s="11"/>
      <c r="X15" s="11"/>
    </row>
    <row r="16" spans="1:24" ht="44.25">
      <c r="A16" s="8">
        <v>14</v>
      </c>
      <c r="B16" s="17" t="s">
        <v>213</v>
      </c>
      <c r="C16" s="18" t="s">
        <v>87</v>
      </c>
      <c r="D16" s="18" t="s">
        <v>212</v>
      </c>
      <c r="E16" s="18" t="s">
        <v>95</v>
      </c>
      <c r="F16" s="19" t="s">
        <v>96</v>
      </c>
      <c r="G16" s="20" t="s">
        <v>190</v>
      </c>
      <c r="J16" s="8">
        <v>14</v>
      </c>
      <c r="K16" s="7" t="s">
        <v>145</v>
      </c>
      <c r="L16" s="7" t="s">
        <v>144</v>
      </c>
      <c r="M16" s="7" t="s">
        <v>144</v>
      </c>
      <c r="N16" s="7" t="s">
        <v>144</v>
      </c>
      <c r="O16" s="7" t="s">
        <v>143</v>
      </c>
      <c r="P16" s="8" t="s">
        <v>173</v>
      </c>
      <c r="S16" s="8"/>
      <c r="T16" s="7"/>
      <c r="U16" s="7"/>
      <c r="V16" s="7"/>
      <c r="W16" s="7"/>
      <c r="X16" s="7"/>
    </row>
    <row r="17" spans="1:25" ht="44.25">
      <c r="A17" s="8">
        <v>15</v>
      </c>
      <c r="B17" s="17" t="s">
        <v>215</v>
      </c>
      <c r="C17" s="18" t="s">
        <v>86</v>
      </c>
      <c r="D17" s="18" t="s">
        <v>214</v>
      </c>
      <c r="E17" s="18" t="s">
        <v>214</v>
      </c>
      <c r="F17" s="19" t="s">
        <v>97</v>
      </c>
      <c r="G17" s="20" t="s">
        <v>191</v>
      </c>
      <c r="J17" s="8">
        <v>15</v>
      </c>
      <c r="K17" s="7" t="s">
        <v>147</v>
      </c>
      <c r="L17" s="7" t="s">
        <v>115</v>
      </c>
      <c r="M17" s="7" t="s">
        <v>115</v>
      </c>
      <c r="N17" s="7" t="s">
        <v>148</v>
      </c>
      <c r="O17" s="7" t="s">
        <v>146</v>
      </c>
      <c r="P17" s="8" t="s">
        <v>174</v>
      </c>
      <c r="S17" s="8"/>
      <c r="T17" s="7"/>
      <c r="U17" s="7"/>
      <c r="V17" s="7"/>
      <c r="W17" s="7"/>
      <c r="X17" s="7"/>
    </row>
    <row r="18" spans="1:25" ht="44.25">
      <c r="A18" s="8">
        <v>16</v>
      </c>
      <c r="B18" s="17" t="s">
        <v>216</v>
      </c>
      <c r="C18" s="18" t="s">
        <v>208</v>
      </c>
      <c r="D18" s="18" t="s">
        <v>213</v>
      </c>
      <c r="E18" s="18" t="s">
        <v>87</v>
      </c>
      <c r="F18" s="19" t="s">
        <v>98</v>
      </c>
      <c r="G18" s="20" t="s">
        <v>192</v>
      </c>
      <c r="J18" s="8">
        <v>16</v>
      </c>
      <c r="K18" s="7" t="s">
        <v>150</v>
      </c>
      <c r="L18" s="7" t="s">
        <v>68</v>
      </c>
      <c r="M18" s="7" t="s">
        <v>68</v>
      </c>
      <c r="N18" s="7" t="s">
        <v>68</v>
      </c>
      <c r="O18" s="7" t="s">
        <v>149</v>
      </c>
      <c r="P18" s="8" t="s">
        <v>175</v>
      </c>
      <c r="S18" s="8"/>
      <c r="T18" s="7"/>
      <c r="U18" s="7"/>
      <c r="V18" s="7"/>
      <c r="W18" s="7"/>
      <c r="X18" s="7"/>
    </row>
    <row r="19" spans="1:25" ht="44.25">
      <c r="A19" s="8">
        <v>17</v>
      </c>
      <c r="B19" s="17" t="s">
        <v>92</v>
      </c>
      <c r="C19" s="18" t="s">
        <v>92</v>
      </c>
      <c r="D19" s="18" t="s">
        <v>92</v>
      </c>
      <c r="E19" s="18" t="s">
        <v>92</v>
      </c>
      <c r="F19" s="19" t="s">
        <v>99</v>
      </c>
      <c r="G19" s="20" t="s">
        <v>193</v>
      </c>
      <c r="J19" s="8">
        <v>17</v>
      </c>
      <c r="K19" s="7" t="s">
        <v>152</v>
      </c>
      <c r="L19" s="7" t="s">
        <v>152</v>
      </c>
      <c r="M19" s="7" t="s">
        <v>152</v>
      </c>
      <c r="N19" s="7" t="s">
        <v>152</v>
      </c>
      <c r="O19" s="7" t="s">
        <v>151</v>
      </c>
      <c r="P19" s="8" t="s">
        <v>176</v>
      </c>
      <c r="S19" s="8"/>
      <c r="T19" s="7"/>
      <c r="U19" s="7"/>
      <c r="V19" s="7"/>
      <c r="W19" s="7"/>
      <c r="X19" s="7"/>
    </row>
    <row r="20" spans="1:25" ht="44.25">
      <c r="A20" s="8">
        <v>18</v>
      </c>
      <c r="B20" s="14" t="s">
        <v>205</v>
      </c>
      <c r="C20" s="15" t="s">
        <v>204</v>
      </c>
      <c r="D20" s="15" t="s">
        <v>86</v>
      </c>
      <c r="E20" s="15" t="s">
        <v>86</v>
      </c>
      <c r="F20" s="11" t="s">
        <v>85</v>
      </c>
      <c r="G20" s="16" t="s">
        <v>190</v>
      </c>
      <c r="J20" s="8">
        <v>18</v>
      </c>
      <c r="K20" s="7" t="s">
        <v>155</v>
      </c>
      <c r="L20" s="7" t="s">
        <v>74</v>
      </c>
      <c r="M20" s="7" t="s">
        <v>154</v>
      </c>
      <c r="N20" s="7" t="s">
        <v>154</v>
      </c>
      <c r="O20" s="7" t="s">
        <v>153</v>
      </c>
      <c r="P20" s="8" t="s">
        <v>164</v>
      </c>
      <c r="S20" s="8"/>
      <c r="T20" s="7"/>
      <c r="U20" s="7"/>
      <c r="V20" s="7"/>
      <c r="W20" s="7"/>
      <c r="X20" s="7"/>
    </row>
    <row r="21" spans="1:25" ht="44.25">
      <c r="A21" s="8">
        <v>19</v>
      </c>
      <c r="B21" s="14" t="s">
        <v>207</v>
      </c>
      <c r="C21" s="15" t="s">
        <v>86</v>
      </c>
      <c r="D21" s="15" t="s">
        <v>206</v>
      </c>
      <c r="E21" s="15" t="s">
        <v>206</v>
      </c>
      <c r="F21" s="11" t="s">
        <v>88</v>
      </c>
      <c r="G21" s="16" t="s">
        <v>191</v>
      </c>
      <c r="J21" s="8">
        <v>19</v>
      </c>
      <c r="K21" s="7"/>
      <c r="L21" s="7"/>
      <c r="M21" s="7"/>
      <c r="N21" s="7"/>
      <c r="O21" s="7"/>
      <c r="P21" s="8"/>
      <c r="S21" s="8"/>
      <c r="T21" s="7"/>
      <c r="U21" s="7"/>
      <c r="V21" s="7"/>
      <c r="W21" s="7"/>
      <c r="X21" s="7"/>
    </row>
    <row r="22" spans="1:25" ht="44.25">
      <c r="A22" s="8">
        <v>20</v>
      </c>
      <c r="B22" s="14" t="s">
        <v>218</v>
      </c>
      <c r="C22" s="15" t="s">
        <v>209</v>
      </c>
      <c r="D22" s="15" t="s">
        <v>208</v>
      </c>
      <c r="E22" s="15" t="s">
        <v>90</v>
      </c>
      <c r="F22" s="11" t="s">
        <v>89</v>
      </c>
      <c r="G22" s="16" t="s">
        <v>192</v>
      </c>
      <c r="J22" s="8">
        <v>20</v>
      </c>
      <c r="K22" s="7"/>
      <c r="L22" s="7"/>
      <c r="M22" s="7"/>
      <c r="N22" s="7"/>
      <c r="O22" s="7"/>
      <c r="P22" s="8"/>
      <c r="S22" s="8"/>
      <c r="T22" s="7"/>
      <c r="U22" s="7"/>
      <c r="V22" s="7"/>
      <c r="W22" s="7"/>
      <c r="X22" s="7"/>
    </row>
    <row r="23" spans="1:25" ht="44.25">
      <c r="A23" s="8">
        <v>21</v>
      </c>
      <c r="B23" s="14" t="s">
        <v>93</v>
      </c>
      <c r="C23" s="15" t="s">
        <v>211</v>
      </c>
      <c r="D23" s="15" t="s">
        <v>210</v>
      </c>
      <c r="E23" s="15" t="s">
        <v>94</v>
      </c>
      <c r="F23" s="11" t="s">
        <v>91</v>
      </c>
      <c r="G23" s="16" t="s">
        <v>193</v>
      </c>
      <c r="J23" s="8"/>
      <c r="K23" s="7"/>
      <c r="L23" s="7"/>
      <c r="M23" s="7"/>
      <c r="N23" s="7"/>
      <c r="O23" s="7"/>
      <c r="P23" s="8"/>
      <c r="S23" s="8"/>
      <c r="T23" s="7"/>
      <c r="U23" s="7"/>
      <c r="V23" s="7"/>
      <c r="W23" s="7"/>
      <c r="X23" s="7"/>
    </row>
    <row r="24" spans="1:25" ht="35.25">
      <c r="J24" s="8"/>
      <c r="S24" s="8"/>
      <c r="T24" s="7"/>
      <c r="U24" s="7"/>
      <c r="V24" s="7"/>
      <c r="W24" s="7"/>
      <c r="X24" s="7"/>
    </row>
    <row r="25" spans="1:25" ht="35.25">
      <c r="H25" s="5"/>
      <c r="K25" s="8"/>
      <c r="O25"/>
      <c r="P25" s="5"/>
      <c r="Q25" s="5"/>
      <c r="T25" s="8"/>
      <c r="U25" s="7"/>
      <c r="V25" s="7"/>
      <c r="W25" s="7"/>
      <c r="X25" s="7"/>
      <c r="Y25" s="7"/>
    </row>
    <row r="26" spans="1:25">
      <c r="H26" s="5"/>
      <c r="K26"/>
      <c r="O26"/>
      <c r="P26" s="5"/>
      <c r="Q26" s="5"/>
      <c r="T26"/>
      <c r="Y26" s="5"/>
    </row>
    <row r="27" spans="1:25">
      <c r="H27" s="5"/>
      <c r="K27"/>
      <c r="O27"/>
      <c r="P27" s="5"/>
      <c r="Q27" s="5"/>
      <c r="T27"/>
      <c r="Y27" s="5"/>
    </row>
    <row r="28" spans="1:25">
      <c r="H28" s="5"/>
      <c r="K28"/>
      <c r="O28"/>
      <c r="P28" s="5"/>
      <c r="Q28" s="5"/>
      <c r="T28"/>
      <c r="Y28" s="5"/>
    </row>
    <row r="29" spans="1:25">
      <c r="H29" s="5"/>
      <c r="K29"/>
      <c r="O29"/>
      <c r="P29" s="5"/>
      <c r="Q29" s="5"/>
      <c r="T29"/>
      <c r="Y29" s="5"/>
    </row>
    <row r="30" spans="1:25">
      <c r="H30" s="5"/>
      <c r="K30"/>
      <c r="O30"/>
      <c r="P30" s="5"/>
      <c r="Q30" s="5"/>
      <c r="T30"/>
      <c r="Y30" s="5"/>
    </row>
    <row r="31" spans="1:25">
      <c r="H31" s="5"/>
      <c r="K31"/>
      <c r="O31"/>
      <c r="P31" s="5"/>
      <c r="Q31" s="5"/>
      <c r="T31"/>
      <c r="Y31" s="5"/>
    </row>
    <row r="32" spans="1:25">
      <c r="H32" s="5"/>
      <c r="K32"/>
      <c r="O32"/>
      <c r="P32" s="5"/>
      <c r="Q32" s="5"/>
      <c r="T32"/>
      <c r="Y32" s="5"/>
    </row>
    <row r="33" spans="6:25">
      <c r="H33" s="5"/>
      <c r="K33"/>
      <c r="O33"/>
      <c r="P33" s="5"/>
      <c r="Q33" s="5"/>
      <c r="T33"/>
      <c r="Y33" s="5"/>
    </row>
    <row r="34" spans="6:25">
      <c r="H34" s="5"/>
      <c r="K34"/>
      <c r="O34"/>
      <c r="P34" s="5"/>
      <c r="Q34" s="5"/>
      <c r="T34"/>
      <c r="Y34" s="5"/>
    </row>
    <row r="35" spans="6:25">
      <c r="H35" s="5"/>
      <c r="K35"/>
      <c r="O35"/>
      <c r="P35" s="5"/>
      <c r="Q35" s="5"/>
      <c r="T35"/>
      <c r="Y35" s="5"/>
    </row>
    <row r="36" spans="6:25">
      <c r="H36" s="5"/>
      <c r="K36"/>
      <c r="O36"/>
      <c r="P36" s="5"/>
      <c r="Q36" s="5"/>
      <c r="T36"/>
      <c r="Y36" s="5"/>
    </row>
    <row r="37" spans="6:25">
      <c r="H37" s="5"/>
      <c r="K37"/>
      <c r="O37"/>
      <c r="P37" s="5"/>
      <c r="Q37" s="5"/>
      <c r="T37"/>
      <c r="Y37" s="5"/>
    </row>
    <row r="38" spans="6:25">
      <c r="H38" s="5"/>
      <c r="K38"/>
      <c r="O38"/>
      <c r="P38" s="5"/>
      <c r="Q38" s="5"/>
      <c r="T38"/>
      <c r="Y38" s="5"/>
    </row>
    <row r="39" spans="6:25">
      <c r="H39" s="5"/>
      <c r="K39"/>
      <c r="O39"/>
      <c r="P39" s="5"/>
      <c r="Q39" s="5"/>
      <c r="T39"/>
      <c r="Y39" s="5"/>
    </row>
    <row r="40" spans="6:25">
      <c r="H40" s="5"/>
      <c r="K40"/>
      <c r="O40"/>
      <c r="P40" s="5"/>
      <c r="Q40" s="5"/>
      <c r="T40"/>
      <c r="Y40" s="5"/>
    </row>
    <row r="41" spans="6:25">
      <c r="H41" s="5"/>
      <c r="K41"/>
      <c r="O41"/>
      <c r="P41" s="5"/>
      <c r="Q41" s="5"/>
      <c r="T41"/>
      <c r="Y41" s="5"/>
    </row>
    <row r="42" spans="6:25">
      <c r="H42" s="5"/>
      <c r="K42"/>
      <c r="O42"/>
      <c r="P42" s="5"/>
      <c r="Q42" s="5"/>
      <c r="T42"/>
      <c r="Y42" s="5"/>
    </row>
    <row r="43" spans="6:25">
      <c r="H43" s="5"/>
      <c r="K43"/>
      <c r="O43"/>
      <c r="P43" s="5"/>
      <c r="Q43" s="5"/>
      <c r="T43"/>
      <c r="Y43" s="5"/>
    </row>
    <row r="44" spans="6:25">
      <c r="H44" s="5"/>
      <c r="K44"/>
      <c r="O44"/>
      <c r="P44" s="5"/>
      <c r="Q44" s="5"/>
      <c r="T44"/>
      <c r="Y44" s="5"/>
    </row>
    <row r="45" spans="6:25">
      <c r="H45" s="5"/>
      <c r="K45"/>
      <c r="O45"/>
      <c r="P45" s="5"/>
      <c r="Q45" s="5"/>
      <c r="T45"/>
      <c r="Y45" s="5"/>
    </row>
    <row r="46" spans="6:25">
      <c r="H46" s="5"/>
      <c r="K46"/>
      <c r="O46"/>
      <c r="P46" s="5"/>
      <c r="Q46" s="5"/>
      <c r="T46"/>
      <c r="Y46" s="5"/>
    </row>
    <row r="47" spans="6:25">
      <c r="H47" s="5"/>
      <c r="K47"/>
      <c r="O47"/>
      <c r="P47" s="5"/>
      <c r="Q47" s="5"/>
      <c r="T47"/>
      <c r="Y47" s="5"/>
    </row>
    <row r="48" spans="6:25">
      <c r="F48"/>
      <c r="G48" s="5"/>
      <c r="H48" s="5"/>
      <c r="K48"/>
      <c r="O48"/>
      <c r="P48" s="5"/>
      <c r="Q48" s="5"/>
      <c r="T48"/>
      <c r="Y48" s="5"/>
    </row>
  </sheetData>
  <mergeCells count="2">
    <mergeCell ref="A1:A2"/>
    <mergeCell ref="J1:J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注音符號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2026-09-04T11:35:18Z</dcterms:created>
  <dcterms:modified xsi:type="dcterms:W3CDTF">2026-09-04T14:04:33Z</dcterms:modified>
</cp:coreProperties>
</file>