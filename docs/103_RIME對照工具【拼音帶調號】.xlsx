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63DE62CE-21EB-4037-B779-A9B941DE365F}" xr6:coauthVersionLast="47" xr6:coauthVersionMax="47" xr10:uidLastSave="{00000000-0000-0000-0000-000000000000}"/>
  <bookViews>
    <workbookView xWindow="-28920" yWindow="-120" windowWidth="29040" windowHeight="15720" activeTab="1" xr2:uid="{1ECF7FA8-0673-4BE6-8306-9C5F7A600CEF}"/>
  </bookViews>
  <sheets>
    <sheet name="【調】韻母標調" sheetId="1" r:id="rId1"/>
    <sheet name="【調】韻母標調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2" i="2" l="1"/>
  <c r="S22" i="2"/>
  <c r="R22" i="2"/>
  <c r="Q22" i="2"/>
  <c r="P22" i="2"/>
  <c r="O22" i="2"/>
  <c r="N22" i="2"/>
  <c r="M22" i="2"/>
  <c r="L22" i="2"/>
  <c r="K22" i="2"/>
  <c r="T21" i="2"/>
  <c r="S21" i="2"/>
  <c r="R21" i="2"/>
  <c r="Q21" i="2"/>
  <c r="P21" i="2"/>
  <c r="O21" i="2"/>
  <c r="N21" i="2"/>
  <c r="M21" i="2"/>
  <c r="L21" i="2"/>
  <c r="K21" i="2"/>
  <c r="T20" i="2"/>
  <c r="S20" i="2"/>
  <c r="R20" i="2"/>
  <c r="Q20" i="2"/>
  <c r="P20" i="2"/>
  <c r="O20" i="2"/>
  <c r="N20" i="2"/>
  <c r="M20" i="2"/>
  <c r="L20" i="2"/>
  <c r="K20" i="2"/>
  <c r="T19" i="2"/>
  <c r="S19" i="2"/>
  <c r="R19" i="2"/>
  <c r="Q19" i="2"/>
  <c r="P19" i="2"/>
  <c r="O19" i="2"/>
  <c r="N19" i="2"/>
  <c r="M19" i="2"/>
  <c r="L19" i="2"/>
  <c r="K19" i="2"/>
  <c r="T18" i="2"/>
  <c r="S18" i="2"/>
  <c r="R18" i="2"/>
  <c r="Q18" i="2"/>
  <c r="P18" i="2"/>
  <c r="O18" i="2"/>
  <c r="N18" i="2"/>
  <c r="M18" i="2"/>
  <c r="L18" i="2"/>
  <c r="K18" i="2"/>
  <c r="T17" i="2"/>
  <c r="S17" i="2"/>
  <c r="R17" i="2"/>
  <c r="Q17" i="2"/>
  <c r="P17" i="2"/>
  <c r="O17" i="2"/>
  <c r="N17" i="2"/>
  <c r="M17" i="2"/>
  <c r="L17" i="2"/>
  <c r="K17" i="2"/>
  <c r="T16" i="2"/>
  <c r="S16" i="2"/>
  <c r="R16" i="2"/>
  <c r="Q16" i="2"/>
  <c r="P16" i="2"/>
  <c r="O16" i="2"/>
  <c r="N16" i="2"/>
  <c r="M16" i="2"/>
  <c r="L16" i="2"/>
  <c r="K16" i="2"/>
  <c r="AE22" i="2"/>
  <c r="AD22" i="2"/>
  <c r="AC22" i="2"/>
  <c r="AB22" i="2"/>
  <c r="AA22" i="2"/>
  <c r="Z22" i="2"/>
  <c r="Y22" i="2"/>
  <c r="X22" i="2"/>
  <c r="W22" i="2"/>
  <c r="V22" i="2"/>
  <c r="AE21" i="2"/>
  <c r="AD21" i="2"/>
  <c r="AC21" i="2"/>
  <c r="AB21" i="2"/>
  <c r="AA21" i="2"/>
  <c r="Z21" i="2"/>
  <c r="Y21" i="2"/>
  <c r="X21" i="2"/>
  <c r="W21" i="2"/>
  <c r="V21" i="2"/>
  <c r="AE20" i="2"/>
  <c r="AD20" i="2"/>
  <c r="AC20" i="2"/>
  <c r="AB20" i="2"/>
  <c r="AA20" i="2"/>
  <c r="Z20" i="2"/>
  <c r="Y20" i="2"/>
  <c r="X20" i="2"/>
  <c r="W20" i="2"/>
  <c r="V20" i="2"/>
  <c r="AE19" i="2"/>
  <c r="AD19" i="2"/>
  <c r="AC19" i="2"/>
  <c r="AB19" i="2"/>
  <c r="AA19" i="2"/>
  <c r="Z19" i="2"/>
  <c r="Y19" i="2"/>
  <c r="X19" i="2"/>
  <c r="W19" i="2"/>
  <c r="V19" i="2"/>
  <c r="AE18" i="2"/>
  <c r="AD18" i="2"/>
  <c r="AC18" i="2"/>
  <c r="AB18" i="2"/>
  <c r="AA18" i="2"/>
  <c r="Z18" i="2"/>
  <c r="Y18" i="2"/>
  <c r="X18" i="2"/>
  <c r="W18" i="2"/>
  <c r="V18" i="2"/>
  <c r="AE17" i="2"/>
  <c r="AD17" i="2"/>
  <c r="AC17" i="2"/>
  <c r="AB17" i="2"/>
  <c r="AA17" i="2"/>
  <c r="Z17" i="2"/>
  <c r="Y17" i="2"/>
  <c r="X17" i="2"/>
  <c r="W17" i="2"/>
  <c r="V17" i="2"/>
  <c r="AE16" i="2"/>
  <c r="AD16" i="2"/>
  <c r="AC16" i="2"/>
  <c r="AB16" i="2"/>
  <c r="AA16" i="2"/>
  <c r="Z16" i="2"/>
  <c r="Y16" i="2"/>
  <c r="X16" i="2"/>
  <c r="W16" i="2"/>
  <c r="V16" i="2"/>
  <c r="Q13" i="2"/>
  <c r="P13" i="2"/>
  <c r="O13" i="2"/>
  <c r="N13" i="2"/>
  <c r="M13" i="2"/>
  <c r="L13" i="2"/>
  <c r="K13" i="2"/>
  <c r="J13" i="2"/>
  <c r="E13" i="2"/>
  <c r="Q12" i="2"/>
  <c r="P12" i="2"/>
  <c r="O12" i="2"/>
  <c r="N12" i="2"/>
  <c r="M12" i="2"/>
  <c r="L12" i="2"/>
  <c r="K12" i="2"/>
  <c r="J12" i="2"/>
  <c r="E12" i="2"/>
  <c r="Q11" i="2"/>
  <c r="P11" i="2"/>
  <c r="O11" i="2"/>
  <c r="N11" i="2"/>
  <c r="M11" i="2"/>
  <c r="L11" i="2"/>
  <c r="K11" i="2"/>
  <c r="J11" i="2"/>
  <c r="G11" i="2"/>
  <c r="E11" i="2"/>
  <c r="Q10" i="2"/>
  <c r="P10" i="2"/>
  <c r="O10" i="2"/>
  <c r="N10" i="2"/>
  <c r="M10" i="2"/>
  <c r="L10" i="2"/>
  <c r="K10" i="2"/>
  <c r="J10" i="2"/>
  <c r="G10" i="2"/>
  <c r="E10" i="2"/>
  <c r="Q9" i="2"/>
  <c r="P9" i="2"/>
  <c r="O9" i="2"/>
  <c r="N9" i="2"/>
  <c r="M9" i="2"/>
  <c r="L9" i="2"/>
  <c r="K9" i="2"/>
  <c r="J9" i="2"/>
  <c r="G9" i="2"/>
  <c r="E9" i="2"/>
  <c r="Q8" i="2"/>
  <c r="P8" i="2"/>
  <c r="O8" i="2"/>
  <c r="N8" i="2"/>
  <c r="M8" i="2"/>
  <c r="L8" i="2"/>
  <c r="K8" i="2"/>
  <c r="J8" i="2"/>
  <c r="G8" i="2"/>
  <c r="E8" i="2"/>
  <c r="Q7" i="2"/>
  <c r="P7" i="2"/>
  <c r="O7" i="2"/>
  <c r="N7" i="2"/>
  <c r="M7" i="2"/>
  <c r="L7" i="2"/>
  <c r="K7" i="2"/>
  <c r="G7" i="2"/>
  <c r="E7" i="2"/>
  <c r="Q6" i="2"/>
  <c r="P6" i="2"/>
  <c r="O6" i="2"/>
  <c r="N6" i="2"/>
  <c r="M6" i="2"/>
  <c r="L6" i="2"/>
  <c r="K6" i="2"/>
  <c r="J6" i="2"/>
  <c r="G6" i="2"/>
  <c r="E6" i="2"/>
  <c r="Q5" i="2"/>
  <c r="P5" i="2"/>
  <c r="O5" i="2"/>
  <c r="N5" i="2"/>
  <c r="M5" i="2"/>
  <c r="L5" i="2"/>
  <c r="K5" i="2"/>
  <c r="J5" i="2"/>
  <c r="G5" i="2"/>
  <c r="E5" i="2"/>
  <c r="Q4" i="2"/>
  <c r="P4" i="2"/>
  <c r="O4" i="2"/>
  <c r="N4" i="2"/>
  <c r="M4" i="2"/>
  <c r="L4" i="2"/>
  <c r="K4" i="2"/>
  <c r="G4" i="2"/>
  <c r="E4" i="2"/>
  <c r="J3" i="2"/>
  <c r="Q37" i="1"/>
  <c r="P37" i="1"/>
  <c r="O37" i="1"/>
  <c r="N37" i="1"/>
  <c r="M37" i="1"/>
  <c r="L37" i="1"/>
  <c r="K37" i="1"/>
  <c r="I37" i="1"/>
  <c r="H37" i="1"/>
  <c r="E37" i="1"/>
  <c r="Q36" i="1"/>
  <c r="P36" i="1"/>
  <c r="O36" i="1"/>
  <c r="N36" i="1"/>
  <c r="M36" i="1"/>
  <c r="L36" i="1"/>
  <c r="K36" i="1"/>
  <c r="I36" i="1"/>
  <c r="H36" i="1"/>
  <c r="E36" i="1"/>
  <c r="Q35" i="1"/>
  <c r="P35" i="1"/>
  <c r="O35" i="1"/>
  <c r="N35" i="1"/>
  <c r="M35" i="1"/>
  <c r="L35" i="1"/>
  <c r="K35" i="1"/>
  <c r="I35" i="1"/>
  <c r="H35" i="1"/>
  <c r="E35" i="1"/>
  <c r="Q34" i="1"/>
  <c r="P34" i="1"/>
  <c r="O34" i="1"/>
  <c r="N34" i="1"/>
  <c r="M34" i="1"/>
  <c r="L34" i="1"/>
  <c r="K34" i="1"/>
  <c r="I34" i="1"/>
  <c r="H34" i="1"/>
  <c r="E34" i="1"/>
  <c r="Q33" i="1"/>
  <c r="P33" i="1"/>
  <c r="O33" i="1"/>
  <c r="N33" i="1"/>
  <c r="M33" i="1"/>
  <c r="L33" i="1"/>
  <c r="K33" i="1"/>
  <c r="I33" i="1"/>
  <c r="H33" i="1"/>
  <c r="E33" i="1"/>
  <c r="Q32" i="1"/>
  <c r="P32" i="1"/>
  <c r="O32" i="1"/>
  <c r="N32" i="1"/>
  <c r="M32" i="1"/>
  <c r="L32" i="1"/>
  <c r="K32" i="1"/>
  <c r="I32" i="1"/>
  <c r="H32" i="1"/>
  <c r="E32" i="1"/>
  <c r="Q31" i="1"/>
  <c r="P31" i="1"/>
  <c r="O31" i="1"/>
  <c r="N31" i="1"/>
  <c r="M31" i="1"/>
  <c r="L31" i="1"/>
  <c r="K31" i="1"/>
  <c r="I31" i="1"/>
  <c r="H31" i="1"/>
  <c r="E31" i="1"/>
  <c r="Q30" i="1"/>
  <c r="P30" i="1"/>
  <c r="O30" i="1"/>
  <c r="N30" i="1"/>
  <c r="M30" i="1"/>
  <c r="L30" i="1"/>
  <c r="K30" i="1"/>
  <c r="I30" i="1"/>
  <c r="H30" i="1"/>
  <c r="E30" i="1"/>
  <c r="H26" i="1"/>
  <c r="H25" i="1"/>
  <c r="Q24" i="1"/>
  <c r="P24" i="1"/>
  <c r="O24" i="1"/>
  <c r="N24" i="1"/>
  <c r="M24" i="1"/>
  <c r="L24" i="1"/>
  <c r="K24" i="1"/>
  <c r="I24" i="1"/>
  <c r="H24" i="1"/>
  <c r="E24" i="1"/>
  <c r="Q23" i="1"/>
  <c r="P23" i="1"/>
  <c r="O23" i="1"/>
  <c r="N23" i="1"/>
  <c r="M23" i="1"/>
  <c r="L23" i="1"/>
  <c r="K23" i="1"/>
  <c r="I23" i="1"/>
  <c r="H23" i="1"/>
  <c r="E23" i="1"/>
  <c r="Q22" i="1"/>
  <c r="P22" i="1"/>
  <c r="O22" i="1"/>
  <c r="N22" i="1"/>
  <c r="M22" i="1"/>
  <c r="L22" i="1"/>
  <c r="K22" i="1"/>
  <c r="I22" i="1"/>
  <c r="H22" i="1"/>
  <c r="E22" i="1"/>
  <c r="Q21" i="1"/>
  <c r="P21" i="1"/>
  <c r="O21" i="1"/>
  <c r="N21" i="1"/>
  <c r="M21" i="1"/>
  <c r="L21" i="1"/>
  <c r="K21" i="1"/>
  <c r="I21" i="1"/>
  <c r="H21" i="1"/>
  <c r="E21" i="1"/>
  <c r="Q20" i="1"/>
  <c r="P20" i="1"/>
  <c r="O20" i="1"/>
  <c r="N20" i="1"/>
  <c r="M20" i="1"/>
  <c r="L20" i="1"/>
  <c r="K20" i="1"/>
  <c r="I20" i="1"/>
  <c r="H20" i="1"/>
  <c r="E20" i="1"/>
  <c r="Q19" i="1"/>
  <c r="P19" i="1"/>
  <c r="O19" i="1"/>
  <c r="N19" i="1"/>
  <c r="M19" i="1"/>
  <c r="L19" i="1"/>
  <c r="K19" i="1"/>
  <c r="I19" i="1"/>
  <c r="H19" i="1"/>
  <c r="E19" i="1"/>
  <c r="Q18" i="1"/>
  <c r="P18" i="1"/>
  <c r="O18" i="1"/>
  <c r="N18" i="1"/>
  <c r="M18" i="1"/>
  <c r="L18" i="1"/>
  <c r="K18" i="1"/>
  <c r="I18" i="1"/>
  <c r="H18" i="1"/>
  <c r="E18" i="1"/>
  <c r="Q17" i="1"/>
  <c r="P17" i="1"/>
  <c r="O17" i="1"/>
  <c r="N17" i="1"/>
  <c r="M17" i="1"/>
  <c r="L17" i="1"/>
  <c r="K17" i="1"/>
  <c r="I17" i="1"/>
  <c r="H17" i="1"/>
  <c r="E17" i="1"/>
  <c r="R13" i="1"/>
  <c r="Q13" i="1"/>
  <c r="P13" i="1"/>
  <c r="O13" i="1"/>
  <c r="N13" i="1"/>
  <c r="M13" i="1"/>
  <c r="L13" i="1"/>
  <c r="K13" i="1"/>
  <c r="H13" i="1"/>
  <c r="E13" i="1"/>
  <c r="R12" i="1"/>
  <c r="Q12" i="1"/>
  <c r="P12" i="1"/>
  <c r="O12" i="1"/>
  <c r="N12" i="1"/>
  <c r="M12" i="1"/>
  <c r="L12" i="1"/>
  <c r="K12" i="1"/>
  <c r="H12" i="1"/>
  <c r="E12" i="1"/>
  <c r="R11" i="1"/>
  <c r="Q11" i="1"/>
  <c r="P11" i="1"/>
  <c r="O11" i="1"/>
  <c r="N11" i="1"/>
  <c r="M11" i="1"/>
  <c r="L11" i="1"/>
  <c r="K11" i="1"/>
  <c r="H11" i="1"/>
  <c r="G11" i="1"/>
  <c r="E11" i="1"/>
  <c r="R10" i="1"/>
  <c r="Q10" i="1"/>
  <c r="P10" i="1"/>
  <c r="O10" i="1"/>
  <c r="N10" i="1"/>
  <c r="M10" i="1"/>
  <c r="L10" i="1"/>
  <c r="K10" i="1"/>
  <c r="H10" i="1"/>
  <c r="G10" i="1"/>
  <c r="E10" i="1"/>
  <c r="R9" i="1"/>
  <c r="Q9" i="1"/>
  <c r="P9" i="1"/>
  <c r="O9" i="1"/>
  <c r="N9" i="1"/>
  <c r="M9" i="1"/>
  <c r="L9" i="1"/>
  <c r="K9" i="1"/>
  <c r="H9" i="1"/>
  <c r="G9" i="1"/>
  <c r="E9" i="1"/>
  <c r="R8" i="1"/>
  <c r="Q8" i="1"/>
  <c r="P8" i="1"/>
  <c r="O8" i="1"/>
  <c r="N8" i="1"/>
  <c r="M8" i="1"/>
  <c r="L8" i="1"/>
  <c r="K8" i="1"/>
  <c r="H8" i="1"/>
  <c r="G8" i="1"/>
  <c r="E8" i="1"/>
  <c r="R7" i="1"/>
  <c r="Q7" i="1"/>
  <c r="P7" i="1"/>
  <c r="O7" i="1"/>
  <c r="N7" i="1"/>
  <c r="M7" i="1"/>
  <c r="L7" i="1"/>
  <c r="H7" i="1"/>
  <c r="G7" i="1"/>
  <c r="E7" i="1"/>
  <c r="R6" i="1"/>
  <c r="Q6" i="1"/>
  <c r="P6" i="1"/>
  <c r="O6" i="1"/>
  <c r="N6" i="1"/>
  <c r="M6" i="1"/>
  <c r="L6" i="1"/>
  <c r="K6" i="1"/>
  <c r="H6" i="1"/>
  <c r="G6" i="1"/>
  <c r="E6" i="1"/>
  <c r="R5" i="1"/>
  <c r="Q5" i="1"/>
  <c r="P5" i="1"/>
  <c r="O5" i="1"/>
  <c r="N5" i="1"/>
  <c r="M5" i="1"/>
  <c r="L5" i="1"/>
  <c r="K5" i="1"/>
  <c r="H5" i="1"/>
  <c r="G5" i="1"/>
  <c r="E5" i="1"/>
  <c r="R4" i="1"/>
  <c r="Q4" i="1"/>
  <c r="P4" i="1"/>
  <c r="O4" i="1"/>
  <c r="N4" i="1"/>
  <c r="M4" i="1"/>
  <c r="L4" i="1"/>
  <c r="H4" i="1"/>
  <c r="G4" i="1"/>
  <c r="E4" i="1"/>
  <c r="K3" i="1"/>
  <c r="J7" i="2" l="1"/>
  <c r="J4" i="2"/>
  <c r="K4" i="1"/>
  <c r="K7" i="1"/>
</calcChain>
</file>

<file path=xl/sharedStrings.xml><?xml version="1.0" encoding="utf-8"?>
<sst xmlns="http://schemas.openxmlformats.org/spreadsheetml/2006/main" count="174" uniqueCount="41">
  <si>
    <t>調號</t>
  </si>
  <si>
    <t>調名</t>
    <phoneticPr fontId="1" type="noConversion"/>
  </si>
  <si>
    <t>鍵盤按鍵</t>
  </si>
  <si>
    <t>台羅調符編碼</t>
    <phoneticPr fontId="1" type="noConversion"/>
  </si>
  <si>
    <t>台羅拼音</t>
    <phoneticPr fontId="1" type="noConversion"/>
  </si>
  <si>
    <t>閩拼調符編碼</t>
    <phoneticPr fontId="1" type="noConversion"/>
  </si>
  <si>
    <t>閩拼方案</t>
    <phoneticPr fontId="1" type="noConversion"/>
  </si>
  <si>
    <t>a</t>
    <phoneticPr fontId="1" type="noConversion"/>
  </si>
  <si>
    <t>i</t>
    <phoneticPr fontId="1" type="noConversion"/>
  </si>
  <si>
    <t>u</t>
    <phoneticPr fontId="1" type="noConversion"/>
  </si>
  <si>
    <t>e</t>
    <phoneticPr fontId="1" type="noConversion"/>
  </si>
  <si>
    <t>o</t>
    <phoneticPr fontId="1" type="noConversion"/>
  </si>
  <si>
    <t>m</t>
    <phoneticPr fontId="1" type="noConversion"/>
  </si>
  <si>
    <t>n</t>
    <phoneticPr fontId="1" type="noConversion"/>
  </si>
  <si>
    <t>上平</t>
    <phoneticPr fontId="1" type="noConversion"/>
  </si>
  <si>
    <t>;</t>
    <phoneticPr fontId="1" type="noConversion"/>
  </si>
  <si>
    <t>U+0304</t>
  </si>
  <si>
    <t>上聲</t>
    <phoneticPr fontId="1" type="noConversion"/>
  </si>
  <si>
    <t>\</t>
    <phoneticPr fontId="1" type="noConversion"/>
  </si>
  <si>
    <t>U+0301</t>
  </si>
  <si>
    <t>U+030C</t>
    <phoneticPr fontId="1" type="noConversion"/>
  </si>
  <si>
    <t>上去</t>
    <phoneticPr fontId="1" type="noConversion"/>
  </si>
  <si>
    <t>_</t>
  </si>
  <si>
    <t>U+0300</t>
    <phoneticPr fontId="1" type="noConversion"/>
  </si>
  <si>
    <t>上入</t>
    <phoneticPr fontId="1" type="noConversion"/>
  </si>
  <si>
    <t>[</t>
    <phoneticPr fontId="1" type="noConversion"/>
  </si>
  <si>
    <t>U+0304</t>
    <phoneticPr fontId="1" type="noConversion"/>
  </si>
  <si>
    <t>下平</t>
    <phoneticPr fontId="1" type="noConversion"/>
  </si>
  <si>
    <t>/</t>
  </si>
  <si>
    <t>U+0301</t>
    <phoneticPr fontId="1" type="noConversion"/>
  </si>
  <si>
    <t>下入</t>
    <phoneticPr fontId="1" type="noConversion"/>
  </si>
  <si>
    <t>-</t>
    <phoneticPr fontId="1" type="noConversion"/>
  </si>
  <si>
    <t>U+0302</t>
    <phoneticPr fontId="1" type="noConversion"/>
  </si>
  <si>
    <t>下去</t>
    <phoneticPr fontId="1" type="noConversion"/>
  </si>
  <si>
    <t>]</t>
  </si>
  <si>
    <t>U+030D</t>
    <phoneticPr fontId="1" type="noConversion"/>
  </si>
  <si>
    <t>輕聲</t>
    <phoneticPr fontId="1" type="noConversion"/>
  </si>
  <si>
    <t>U+030B</t>
  </si>
  <si>
    <t>U+030A</t>
  </si>
  <si>
    <t>閩拼調符編碼</t>
  </si>
  <si>
    <t>閩拼方案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</si>
</sst>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6"/>
      <color theme="1"/>
      <name val="Noto Sans TC Medium"/>
      <family val="2"/>
      <charset val="136"/>
    </font>
    <font>
      <sz val="9"/>
      <name val="Noto Sans TC Medium"/>
      <family val="2"/>
      <charset val="136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sz val="16"/>
      <color theme="1"/>
      <name val="Charis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 indent="4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left" vertical="center" indent="4"/>
    </xf>
    <xf numFmtId="0" fontId="0" fillId="5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2"/>
    </xf>
    <xf numFmtId="0" fontId="5" fillId="5" borderId="1" xfId="0" applyFont="1" applyFill="1" applyBorder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indent="3"/>
    </xf>
    <xf numFmtId="0" fontId="2" fillId="6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FF0A-E338-4036-8C89-5EC7D62C8ED3}">
  <dimension ref="A3:R37"/>
  <sheetViews>
    <sheetView topLeftCell="C1" workbookViewId="0">
      <selection activeCell="I30" sqref="I30"/>
    </sheetView>
  </sheetViews>
  <sheetFormatPr defaultRowHeight="25.5"/>
  <cols>
    <col min="1" max="3" width="7.33203125" customWidth="1"/>
    <col min="4" max="4" width="11.83203125" bestFit="1" customWidth="1"/>
    <col min="5" max="5" width="7.33203125" customWidth="1"/>
    <col min="6" max="6" width="8.08203125" customWidth="1"/>
    <col min="7" max="7" width="8.08203125" style="19" customWidth="1"/>
    <col min="8" max="8" width="12.4140625" style="19" customWidth="1"/>
    <col min="9" max="9" width="12.4140625" customWidth="1"/>
    <col min="10" max="10" width="2.1640625" bestFit="1" customWidth="1"/>
    <col min="11" max="19" width="7.08203125" customWidth="1"/>
  </cols>
  <sheetData>
    <row r="3" spans="1:18" ht="3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4</v>
      </c>
      <c r="K3" s="2" t="str">
        <f xml:space="preserve"> _xlfn.CONCAT("o", _xlfn.UNICHAR(HEX2DEC(RIGHT("U+0358",4))))</f>
        <v>o͘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</row>
    <row r="4" spans="1:18" ht="30">
      <c r="A4" s="3">
        <v>1</v>
      </c>
      <c r="B4" s="3" t="s">
        <v>14</v>
      </c>
      <c r="C4" s="4" t="s">
        <v>15</v>
      </c>
      <c r="D4" s="5"/>
      <c r="E4" s="6" t="str">
        <f xml:space="preserve"> IFERROR( _xlfn.CONCAT("a"), "")</f>
        <v>a</v>
      </c>
      <c r="F4" s="7" t="s">
        <v>16</v>
      </c>
      <c r="G4" s="8" t="str">
        <f t="shared" ref="G4:G6" si="0" xml:space="preserve"> IFERROR( _xlfn.CONCAT("a", _xlfn.UNICHAR(HEX2DEC(RIGHT(F4,4)))), "")</f>
        <v>ā</v>
      </c>
      <c r="H4" s="9" t="str">
        <f xml:space="preserve"> IFERROR( _xlfn.CONCAT("a"), "")</f>
        <v>a</v>
      </c>
      <c r="J4">
        <v>1</v>
      </c>
      <c r="K4" s="10" t="str">
        <f>IFERROR( _xlfn.CONCAT("o", _xlfn.UNICHAR(HEX2DEC(RIGHT("U+0358",4))), _xlfn.UNICHAR(HEX2DEC(RIGHT(D4,4)))), $K$3)</f>
        <v>o͘</v>
      </c>
      <c r="L4" s="10" t="str">
        <f>IFERROR( _xlfn.CONCAT(L$3, IF($D4="", "", _xlfn.UNICHAR(HEX2DEC(RIGHT($D4,4))))), "")</f>
        <v>a</v>
      </c>
      <c r="M4" s="10" t="str">
        <f t="shared" ref="M4:R4" si="1">IFERROR( _xlfn.CONCAT(M$3, IF($D4="", "", _xlfn.UNICHAR(HEX2DEC(RIGHT($D4,4))))), "")</f>
        <v>i</v>
      </c>
      <c r="N4" s="10" t="str">
        <f t="shared" si="1"/>
        <v>u</v>
      </c>
      <c r="O4" s="10" t="str">
        <f t="shared" si="1"/>
        <v>e</v>
      </c>
      <c r="P4" s="10" t="str">
        <f t="shared" si="1"/>
        <v>o</v>
      </c>
      <c r="Q4" s="10" t="str">
        <f t="shared" si="1"/>
        <v>m</v>
      </c>
      <c r="R4" s="10" t="str">
        <f t="shared" si="1"/>
        <v>n</v>
      </c>
    </row>
    <row r="5" spans="1:18" ht="30">
      <c r="A5" s="3">
        <v>2</v>
      </c>
      <c r="B5" s="3" t="s">
        <v>17</v>
      </c>
      <c r="C5" s="11" t="s">
        <v>18</v>
      </c>
      <c r="D5" s="5" t="s">
        <v>19</v>
      </c>
      <c r="E5" s="6" t="str">
        <f xml:space="preserve"> IFERROR( _xlfn.CONCAT("a", _xlfn.UNICHAR(HEX2DEC(RIGHT($D5,4)))), "")</f>
        <v>á</v>
      </c>
      <c r="F5" s="7" t="s">
        <v>20</v>
      </c>
      <c r="G5" s="8" t="str">
        <f t="shared" si="0"/>
        <v>ǎ</v>
      </c>
      <c r="H5" s="9" t="str">
        <f xml:space="preserve"> IFERROR( _xlfn.CONCAT("a", _xlfn.UNICHAR(HEX2DEC(RIGHT($D5,4)))), "")</f>
        <v>á</v>
      </c>
      <c r="J5">
        <v>2</v>
      </c>
      <c r="K5" s="10" t="str">
        <f>IFERROR( _xlfn.CONCAT("o", _xlfn.UNICHAR(HEX2DEC(RIGHT("U+0358",4))), _xlfn.UNICHAR(HEX2DEC(RIGHT(D5,4)))), $K$3)</f>
        <v>ó͘</v>
      </c>
      <c r="L5" s="10" t="str">
        <f t="shared" ref="L5:R13" si="2">IFERROR( _xlfn.CONCAT(L$3, IF($D5="", "", _xlfn.UNICHAR(HEX2DEC(RIGHT($D5,4))))), "")</f>
        <v>á</v>
      </c>
      <c r="M5" s="10" t="str">
        <f t="shared" si="2"/>
        <v>í</v>
      </c>
      <c r="N5" s="10" t="str">
        <f t="shared" si="2"/>
        <v>ú</v>
      </c>
      <c r="O5" s="10" t="str">
        <f t="shared" si="2"/>
        <v>é</v>
      </c>
      <c r="P5" s="10" t="str">
        <f t="shared" si="2"/>
        <v>ó</v>
      </c>
      <c r="Q5" s="10" t="str">
        <f t="shared" si="2"/>
        <v>ḿ</v>
      </c>
      <c r="R5" s="10" t="str">
        <f t="shared" si="2"/>
        <v>ń</v>
      </c>
    </row>
    <row r="6" spans="1:18" ht="30">
      <c r="A6" s="3">
        <v>3</v>
      </c>
      <c r="B6" s="3" t="s">
        <v>21</v>
      </c>
      <c r="C6" s="11" t="s">
        <v>22</v>
      </c>
      <c r="D6" s="5" t="s">
        <v>23</v>
      </c>
      <c r="E6" s="6" t="str">
        <f t="shared" ref="E6:E13" si="3" xml:space="preserve"> IFERROR( _xlfn.CONCAT("a", _xlfn.UNICHAR(HEX2DEC(RIGHT($D6,4)))), "")</f>
        <v>à</v>
      </c>
      <c r="F6" s="7" t="s">
        <v>23</v>
      </c>
      <c r="G6" s="8" t="str">
        <f t="shared" si="0"/>
        <v>à</v>
      </c>
      <c r="H6" s="9" t="str">
        <f t="shared" ref="H6:H13" si="4" xml:space="preserve"> IFERROR( _xlfn.CONCAT("a", _xlfn.UNICHAR(HEX2DEC(RIGHT($D6,4)))), "")</f>
        <v>à</v>
      </c>
      <c r="J6">
        <v>3</v>
      </c>
      <c r="K6" s="10" t="str">
        <f>IFERROR( _xlfn.CONCAT("o", _xlfn.UNICHAR(HEX2DEC(RIGHT("U+0358",4))), _xlfn.UNICHAR(HEX2DEC(RIGHT(D6,4)))), $K$3)</f>
        <v>ò͘</v>
      </c>
      <c r="L6" s="10" t="str">
        <f t="shared" si="2"/>
        <v>à</v>
      </c>
      <c r="M6" s="10" t="str">
        <f t="shared" si="2"/>
        <v>ì</v>
      </c>
      <c r="N6" s="10" t="str">
        <f t="shared" si="2"/>
        <v>ù</v>
      </c>
      <c r="O6" s="10" t="str">
        <f t="shared" si="2"/>
        <v>è</v>
      </c>
      <c r="P6" s="10" t="str">
        <f t="shared" si="2"/>
        <v>ò</v>
      </c>
      <c r="Q6" s="10" t="str">
        <f t="shared" si="2"/>
        <v>m̀</v>
      </c>
      <c r="R6" s="10" t="str">
        <f t="shared" si="2"/>
        <v>ǹ</v>
      </c>
    </row>
    <row r="7" spans="1:18" ht="30">
      <c r="A7" s="3">
        <v>4</v>
      </c>
      <c r="B7" s="3" t="s">
        <v>24</v>
      </c>
      <c r="C7" s="11" t="s">
        <v>25</v>
      </c>
      <c r="D7" s="5"/>
      <c r="E7" s="6" t="str">
        <f t="shared" si="3"/>
        <v/>
      </c>
      <c r="F7" s="7" t="s">
        <v>26</v>
      </c>
      <c r="G7" s="8" t="str">
        <f xml:space="preserve"> IFERROR( _xlfn.CONCAT("a", _xlfn.UNICHAR(HEX2DEC(RIGHT(F7,4))), "h"), "")</f>
        <v>āh</v>
      </c>
      <c r="H7" s="9" t="str">
        <f t="shared" si="4"/>
        <v/>
      </c>
      <c r="J7">
        <v>4</v>
      </c>
      <c r="K7" s="10" t="str">
        <f>IFERROR( _xlfn.CONCAT("o", _xlfn.UNICHAR(HEX2DEC(RIGHT("U+0358",4))), _xlfn.UNICHAR(HEX2DEC(RIGHT(D7,4)))), $K$3)</f>
        <v>o͘</v>
      </c>
      <c r="L7" s="10" t="str">
        <f t="shared" si="2"/>
        <v>a</v>
      </c>
      <c r="M7" s="10" t="str">
        <f t="shared" si="2"/>
        <v>i</v>
      </c>
      <c r="N7" s="10" t="str">
        <f t="shared" si="2"/>
        <v>u</v>
      </c>
      <c r="O7" s="10" t="str">
        <f t="shared" si="2"/>
        <v>e</v>
      </c>
      <c r="P7" s="10" t="str">
        <f t="shared" si="2"/>
        <v>o</v>
      </c>
      <c r="Q7" s="10" t="str">
        <f t="shared" si="2"/>
        <v>m</v>
      </c>
      <c r="R7" s="10" t="str">
        <f t="shared" si="2"/>
        <v>n</v>
      </c>
    </row>
    <row r="8" spans="1:18" ht="30">
      <c r="A8" s="3">
        <v>5</v>
      </c>
      <c r="B8" s="3" t="s">
        <v>27</v>
      </c>
      <c r="C8" s="11" t="s">
        <v>28</v>
      </c>
      <c r="D8" s="5" t="s">
        <v>20</v>
      </c>
      <c r="E8" s="6" t="str">
        <f t="shared" si="3"/>
        <v>ǎ</v>
      </c>
      <c r="F8" s="7" t="s">
        <v>29</v>
      </c>
      <c r="G8" s="8" t="str">
        <f t="shared" ref="G8:G10" si="5" xml:space="preserve"> IFERROR( _xlfn.CONCAT("a", _xlfn.UNICHAR(HEX2DEC(RIGHT(F8,4)))), "")</f>
        <v>á</v>
      </c>
      <c r="H8" s="9" t="str">
        <f t="shared" si="4"/>
        <v>ǎ</v>
      </c>
      <c r="J8">
        <v>5</v>
      </c>
      <c r="K8" s="10" t="str">
        <f t="shared" ref="K8:K13" si="6">IFERROR( _xlfn.CONCAT("o", _xlfn.UNICHAR(HEX2DEC(RIGHT("U+0358",4))), _xlfn.UNICHAR(HEX2DEC(RIGHT(D8,4)))), "")</f>
        <v>ǒ͘</v>
      </c>
      <c r="L8" s="10" t="str">
        <f t="shared" si="2"/>
        <v>ǎ</v>
      </c>
      <c r="M8" s="10" t="str">
        <f t="shared" si="2"/>
        <v>ǐ</v>
      </c>
      <c r="N8" s="10" t="str">
        <f t="shared" si="2"/>
        <v>ǔ</v>
      </c>
      <c r="O8" s="10" t="str">
        <f t="shared" si="2"/>
        <v>ě</v>
      </c>
      <c r="P8" s="10" t="str">
        <f t="shared" si="2"/>
        <v>ǒ</v>
      </c>
      <c r="Q8" s="10" t="str">
        <f t="shared" si="2"/>
        <v>m̌</v>
      </c>
      <c r="R8" s="10" t="str">
        <f t="shared" si="2"/>
        <v>ň</v>
      </c>
    </row>
    <row r="9" spans="1:18" ht="30">
      <c r="A9" s="12">
        <v>6</v>
      </c>
      <c r="B9" s="3" t="s">
        <v>17</v>
      </c>
      <c r="C9" s="11"/>
      <c r="D9" s="13" t="s">
        <v>29</v>
      </c>
      <c r="E9" s="6" t="str">
        <f t="shared" si="3"/>
        <v>á</v>
      </c>
      <c r="F9" s="14" t="s">
        <v>20</v>
      </c>
      <c r="G9" s="15" t="str">
        <f t="shared" si="5"/>
        <v>ǎ</v>
      </c>
      <c r="H9" s="9" t="str">
        <f t="shared" si="4"/>
        <v>á</v>
      </c>
      <c r="J9">
        <v>6</v>
      </c>
      <c r="K9" s="10" t="str">
        <f t="shared" si="6"/>
        <v>ó͘</v>
      </c>
      <c r="L9" s="10" t="str">
        <f t="shared" si="2"/>
        <v>á</v>
      </c>
      <c r="M9" s="10" t="str">
        <f t="shared" si="2"/>
        <v>í</v>
      </c>
      <c r="N9" s="10" t="str">
        <f t="shared" si="2"/>
        <v>ú</v>
      </c>
      <c r="O9" s="10" t="str">
        <f t="shared" si="2"/>
        <v>é</v>
      </c>
      <c r="P9" s="10" t="str">
        <f t="shared" si="2"/>
        <v>ó</v>
      </c>
      <c r="Q9" s="10" t="str">
        <f t="shared" si="2"/>
        <v>ḿ</v>
      </c>
      <c r="R9" s="10" t="str">
        <f t="shared" si="2"/>
        <v>ń</v>
      </c>
    </row>
    <row r="10" spans="1:18" ht="30">
      <c r="A10" s="3">
        <v>7</v>
      </c>
      <c r="B10" s="3" t="s">
        <v>30</v>
      </c>
      <c r="C10" s="4" t="s">
        <v>31</v>
      </c>
      <c r="D10" s="5" t="s">
        <v>16</v>
      </c>
      <c r="E10" s="6" t="str">
        <f t="shared" si="3"/>
        <v>ā</v>
      </c>
      <c r="F10" s="7" t="s">
        <v>32</v>
      </c>
      <c r="G10" s="8" t="str">
        <f t="shared" si="5"/>
        <v>â</v>
      </c>
      <c r="H10" s="9" t="str">
        <f t="shared" si="4"/>
        <v>ā</v>
      </c>
      <c r="J10">
        <v>7</v>
      </c>
      <c r="K10" s="10" t="str">
        <f t="shared" si="6"/>
        <v>ō͘</v>
      </c>
      <c r="L10" s="10" t="str">
        <f t="shared" si="2"/>
        <v>ā</v>
      </c>
      <c r="M10" s="10" t="str">
        <f t="shared" si="2"/>
        <v>ī</v>
      </c>
      <c r="N10" s="10" t="str">
        <f t="shared" si="2"/>
        <v>ū</v>
      </c>
      <c r="O10" s="10" t="str">
        <f t="shared" si="2"/>
        <v>ē</v>
      </c>
      <c r="P10" s="10" t="str">
        <f t="shared" si="2"/>
        <v>ō</v>
      </c>
      <c r="Q10" s="10" t="str">
        <f t="shared" si="2"/>
        <v>m̄</v>
      </c>
      <c r="R10" s="10" t="str">
        <f t="shared" si="2"/>
        <v>n̄</v>
      </c>
    </row>
    <row r="11" spans="1:18" ht="30">
      <c r="A11" s="3">
        <v>8</v>
      </c>
      <c r="B11" s="3" t="s">
        <v>33</v>
      </c>
      <c r="C11" s="11" t="s">
        <v>34</v>
      </c>
      <c r="D11" s="5" t="s">
        <v>35</v>
      </c>
      <c r="E11" s="6" t="str">
        <f t="shared" si="3"/>
        <v>a̍</v>
      </c>
      <c r="F11" s="7" t="s">
        <v>29</v>
      </c>
      <c r="G11" s="8" t="str">
        <f xml:space="preserve"> IFERROR( _xlfn.CONCAT("a", _xlfn.UNICHAR(HEX2DEC(RIGHT(F11,4))), "h"), "")</f>
        <v>áh</v>
      </c>
      <c r="H11" s="9" t="str">
        <f t="shared" si="4"/>
        <v>a̍</v>
      </c>
      <c r="J11">
        <v>8</v>
      </c>
      <c r="K11" s="10" t="str">
        <f t="shared" si="6"/>
        <v>o̍͘</v>
      </c>
      <c r="L11" s="10" t="str">
        <f t="shared" si="2"/>
        <v>a̍</v>
      </c>
      <c r="M11" s="10" t="str">
        <f t="shared" si="2"/>
        <v>i̍</v>
      </c>
      <c r="N11" s="10" t="str">
        <f t="shared" si="2"/>
        <v>u̍</v>
      </c>
      <c r="O11" s="10" t="str">
        <f t="shared" si="2"/>
        <v>e̍</v>
      </c>
      <c r="P11" s="10" t="str">
        <f t="shared" si="2"/>
        <v>o̍</v>
      </c>
      <c r="Q11" s="10" t="str">
        <f t="shared" si="2"/>
        <v>m̍</v>
      </c>
      <c r="R11" s="10" t="str">
        <f t="shared" si="2"/>
        <v>n̍</v>
      </c>
    </row>
    <row r="12" spans="1:18" ht="30">
      <c r="A12" s="3">
        <v>9</v>
      </c>
      <c r="B12" s="3" t="s">
        <v>36</v>
      </c>
      <c r="C12" s="11"/>
      <c r="D12" s="5" t="s">
        <v>37</v>
      </c>
      <c r="E12" s="6" t="str">
        <f t="shared" si="3"/>
        <v>a̋</v>
      </c>
      <c r="F12" s="7"/>
      <c r="G12" s="16"/>
      <c r="H12" s="9" t="str">
        <f t="shared" si="4"/>
        <v>a̋</v>
      </c>
      <c r="J12">
        <v>9</v>
      </c>
      <c r="K12" s="10" t="str">
        <f t="shared" si="6"/>
        <v>ő͘</v>
      </c>
      <c r="L12" s="10" t="str">
        <f t="shared" si="2"/>
        <v>a̋</v>
      </c>
      <c r="M12" s="10" t="str">
        <f t="shared" si="2"/>
        <v>i̋</v>
      </c>
      <c r="N12" s="10" t="str">
        <f t="shared" si="2"/>
        <v>ű</v>
      </c>
      <c r="O12" s="10" t="str">
        <f t="shared" si="2"/>
        <v>e̋</v>
      </c>
      <c r="P12" s="10" t="str">
        <f t="shared" si="2"/>
        <v>ő</v>
      </c>
      <c r="Q12" s="10" t="str">
        <f t="shared" si="2"/>
        <v>m̋</v>
      </c>
      <c r="R12" s="10" t="str">
        <f t="shared" si="2"/>
        <v>n̋</v>
      </c>
    </row>
    <row r="13" spans="1:18" ht="30">
      <c r="A13" s="3">
        <v>0</v>
      </c>
      <c r="B13" s="3" t="s">
        <v>36</v>
      </c>
      <c r="C13" s="11"/>
      <c r="D13" s="5" t="s">
        <v>38</v>
      </c>
      <c r="E13" s="6" t="str">
        <f t="shared" si="3"/>
        <v>å</v>
      </c>
      <c r="F13" s="7"/>
      <c r="G13" s="16"/>
      <c r="H13" s="9" t="str">
        <f t="shared" si="4"/>
        <v>å</v>
      </c>
      <c r="J13">
        <v>0</v>
      </c>
      <c r="K13" s="10" t="str">
        <f t="shared" si="6"/>
        <v>o̊͘</v>
      </c>
      <c r="L13" s="10" t="str">
        <f t="shared" si="2"/>
        <v>å</v>
      </c>
      <c r="M13" s="10" t="str">
        <f t="shared" si="2"/>
        <v>i̊</v>
      </c>
      <c r="N13" s="10" t="str">
        <f t="shared" si="2"/>
        <v>ů</v>
      </c>
      <c r="O13" s="10" t="str">
        <f t="shared" si="2"/>
        <v>e̊</v>
      </c>
      <c r="P13" s="10" t="str">
        <f t="shared" si="2"/>
        <v>o̊</v>
      </c>
      <c r="Q13" s="10" t="str">
        <f t="shared" si="2"/>
        <v>m̊</v>
      </c>
      <c r="R13" s="10" t="str">
        <f t="shared" si="2"/>
        <v>n̊</v>
      </c>
    </row>
    <row r="16" spans="1:18">
      <c r="A16" s="1" t="s">
        <v>0</v>
      </c>
      <c r="B16" s="1" t="s">
        <v>1</v>
      </c>
      <c r="C16" s="1" t="s">
        <v>2</v>
      </c>
      <c r="D16" s="1" t="s">
        <v>39</v>
      </c>
      <c r="E16" s="1" t="s">
        <v>40</v>
      </c>
      <c r="G16"/>
      <c r="H16"/>
      <c r="K16" s="1" t="s">
        <v>7</v>
      </c>
      <c r="L16" s="1" t="s">
        <v>8</v>
      </c>
      <c r="M16" s="1" t="s">
        <v>9</v>
      </c>
      <c r="N16" s="1" t="s">
        <v>10</v>
      </c>
      <c r="O16" s="1" t="s">
        <v>11</v>
      </c>
      <c r="P16" s="1" t="s">
        <v>12</v>
      </c>
      <c r="Q16" s="1" t="s">
        <v>13</v>
      </c>
    </row>
    <row r="17" spans="1:17" ht="30">
      <c r="A17" s="3">
        <v>1</v>
      </c>
      <c r="B17" s="3" t="s">
        <v>14</v>
      </c>
      <c r="C17" s="4" t="s">
        <v>15</v>
      </c>
      <c r="D17" s="7" t="s">
        <v>16</v>
      </c>
      <c r="E17" s="17" t="str">
        <f t="shared" ref="E17:E22" si="7" xml:space="preserve"> IFERROR( _xlfn.CONCAT("a", _xlfn.UNICHAR(HEX2DEC(RIGHT(D17,4)))), "")</f>
        <v>ā</v>
      </c>
      <c r="G17"/>
      <c r="H17" t="str">
        <f t="shared" ref="H17:H24" si="8" xml:space="preserve"> IFERROR( _xlfn.CONCAT("l", "u", _xlfn.UNICHAR(HEX2DEC(RIGHT($F4,4))), "n"), "")</f>
        <v>lūn</v>
      </c>
      <c r="I17" t="str">
        <f t="shared" ref="I17:I24" si="9" xml:space="preserve"> IFERROR( _xlfn.CONCAT("n", "g", "o", _xlfn.UNICHAR(HEX2DEC(RIGHT($F4,4))), "o"), "")</f>
        <v>ngōo</v>
      </c>
      <c r="J17">
        <v>1</v>
      </c>
      <c r="K17" s="10" t="str">
        <f t="shared" ref="K17:Q24" si="10">IFERROR( _xlfn.CONCAT(L$3, IF($D17="", "", _xlfn.UNICHAR(HEX2DEC(RIGHT($D17,4))))), "")</f>
        <v>ā</v>
      </c>
      <c r="L17" s="10" t="str">
        <f t="shared" si="10"/>
        <v>ī</v>
      </c>
      <c r="M17" s="10" t="str">
        <f t="shared" si="10"/>
        <v>ū</v>
      </c>
      <c r="N17" s="10" t="str">
        <f t="shared" si="10"/>
        <v>ē</v>
      </c>
      <c r="O17" s="10" t="str">
        <f t="shared" si="10"/>
        <v>ō</v>
      </c>
      <c r="P17" s="10" t="str">
        <f t="shared" si="10"/>
        <v>m̄</v>
      </c>
      <c r="Q17" s="10" t="str">
        <f t="shared" si="10"/>
        <v>n̄</v>
      </c>
    </row>
    <row r="18" spans="1:17" ht="30">
      <c r="A18" s="3">
        <v>2</v>
      </c>
      <c r="B18" s="3" t="s">
        <v>27</v>
      </c>
      <c r="C18" s="11" t="s">
        <v>28</v>
      </c>
      <c r="D18" s="7" t="s">
        <v>29</v>
      </c>
      <c r="E18" s="17" t="str">
        <f xml:space="preserve"> IFERROR( _xlfn.CONCAT("a", _xlfn.UNICHAR(HEX2DEC(RIGHT(D18,4)))), "")</f>
        <v>á</v>
      </c>
      <c r="G18"/>
      <c r="H18" t="str">
        <f t="shared" si="8"/>
        <v>lǔn</v>
      </c>
      <c r="I18" t="str">
        <f t="shared" si="9"/>
        <v>ngǒo</v>
      </c>
      <c r="J18">
        <v>2</v>
      </c>
      <c r="K18" s="10" t="str">
        <f t="shared" si="10"/>
        <v>á</v>
      </c>
      <c r="L18" s="10" t="str">
        <f t="shared" si="10"/>
        <v>í</v>
      </c>
      <c r="M18" s="10" t="str">
        <f t="shared" si="10"/>
        <v>ú</v>
      </c>
      <c r="N18" s="10" t="str">
        <f t="shared" si="10"/>
        <v>é</v>
      </c>
      <c r="O18" s="10" t="str">
        <f t="shared" si="10"/>
        <v>ó</v>
      </c>
      <c r="P18" s="10" t="str">
        <f t="shared" si="10"/>
        <v>ḿ</v>
      </c>
      <c r="Q18" s="10" t="str">
        <f t="shared" si="10"/>
        <v>ń</v>
      </c>
    </row>
    <row r="19" spans="1:17" ht="30">
      <c r="A19" s="3">
        <v>3</v>
      </c>
      <c r="B19" s="3" t="s">
        <v>17</v>
      </c>
      <c r="C19" s="11" t="s">
        <v>18</v>
      </c>
      <c r="D19" s="7" t="s">
        <v>20</v>
      </c>
      <c r="E19" s="17" t="str">
        <f t="shared" si="7"/>
        <v>ǎ</v>
      </c>
      <c r="G19"/>
      <c r="H19" t="str">
        <f t="shared" si="8"/>
        <v>lùn</v>
      </c>
      <c r="I19" t="str">
        <f t="shared" si="9"/>
        <v>ngòo</v>
      </c>
      <c r="J19">
        <v>3</v>
      </c>
      <c r="K19" s="10" t="str">
        <f t="shared" si="10"/>
        <v>ǎ</v>
      </c>
      <c r="L19" s="10" t="str">
        <f t="shared" si="10"/>
        <v>ǐ</v>
      </c>
      <c r="M19" s="10" t="str">
        <f t="shared" si="10"/>
        <v>ǔ</v>
      </c>
      <c r="N19" s="10" t="str">
        <f t="shared" si="10"/>
        <v>ě</v>
      </c>
      <c r="O19" s="10" t="str">
        <f t="shared" si="10"/>
        <v>ǒ</v>
      </c>
      <c r="P19" s="10" t="str">
        <f t="shared" si="10"/>
        <v>m̌</v>
      </c>
      <c r="Q19" s="10" t="str">
        <f t="shared" si="10"/>
        <v>ň</v>
      </c>
    </row>
    <row r="20" spans="1:17" ht="30">
      <c r="A20" s="3">
        <v>4</v>
      </c>
      <c r="B20" s="3" t="s">
        <v>17</v>
      </c>
      <c r="C20" s="11"/>
      <c r="D20" s="14" t="s">
        <v>20</v>
      </c>
      <c r="E20" s="18" t="str">
        <f xml:space="preserve"> IFERROR( _xlfn.CONCAT("a", _xlfn.UNICHAR(HEX2DEC(RIGHT(D20,4)))), "")</f>
        <v>ǎ</v>
      </c>
      <c r="G20"/>
      <c r="H20" t="str">
        <f t="shared" si="8"/>
        <v>lūn</v>
      </c>
      <c r="I20" t="str">
        <f t="shared" si="9"/>
        <v>ngōo</v>
      </c>
      <c r="J20">
        <v>4</v>
      </c>
      <c r="K20" s="10" t="str">
        <f t="shared" si="10"/>
        <v>ǎ</v>
      </c>
      <c r="L20" s="10" t="str">
        <f t="shared" si="10"/>
        <v>ǐ</v>
      </c>
      <c r="M20" s="10" t="str">
        <f t="shared" si="10"/>
        <v>ǔ</v>
      </c>
      <c r="N20" s="10" t="str">
        <f t="shared" si="10"/>
        <v>ě</v>
      </c>
      <c r="O20" s="10" t="str">
        <f t="shared" si="10"/>
        <v>ǒ</v>
      </c>
      <c r="P20" s="10" t="str">
        <f t="shared" si="10"/>
        <v>m̌</v>
      </c>
      <c r="Q20" s="10" t="str">
        <f t="shared" si="10"/>
        <v>ň</v>
      </c>
    </row>
    <row r="21" spans="1:17" ht="30">
      <c r="A21" s="3">
        <v>5</v>
      </c>
      <c r="B21" s="3" t="s">
        <v>21</v>
      </c>
      <c r="C21" s="11" t="s">
        <v>22</v>
      </c>
      <c r="D21" s="7" t="s">
        <v>23</v>
      </c>
      <c r="E21" s="17" t="str">
        <f t="shared" si="7"/>
        <v>à</v>
      </c>
      <c r="G21"/>
      <c r="H21" t="str">
        <f t="shared" si="8"/>
        <v>lún</v>
      </c>
      <c r="I21" t="str">
        <f t="shared" si="9"/>
        <v>ngóo</v>
      </c>
      <c r="J21">
        <v>5</v>
      </c>
      <c r="K21" s="10" t="str">
        <f t="shared" si="10"/>
        <v>à</v>
      </c>
      <c r="L21" s="10" t="str">
        <f t="shared" si="10"/>
        <v>ì</v>
      </c>
      <c r="M21" s="10" t="str">
        <f t="shared" si="10"/>
        <v>ù</v>
      </c>
      <c r="N21" s="10" t="str">
        <f t="shared" si="10"/>
        <v>è</v>
      </c>
      <c r="O21" s="10" t="str">
        <f t="shared" si="10"/>
        <v>ò</v>
      </c>
      <c r="P21" s="10" t="str">
        <f t="shared" si="10"/>
        <v>m̀</v>
      </c>
      <c r="Q21" s="10" t="str">
        <f t="shared" si="10"/>
        <v>ǹ</v>
      </c>
    </row>
    <row r="22" spans="1:17" ht="30">
      <c r="A22" s="12">
        <v>6</v>
      </c>
      <c r="B22" s="3" t="s">
        <v>30</v>
      </c>
      <c r="C22" s="4" t="s">
        <v>31</v>
      </c>
      <c r="D22" s="7" t="s">
        <v>32</v>
      </c>
      <c r="E22" s="17" t="str">
        <f t="shared" si="7"/>
        <v>â</v>
      </c>
      <c r="G22"/>
      <c r="H22" t="str">
        <f t="shared" si="8"/>
        <v>lǔn</v>
      </c>
      <c r="I22" t="str">
        <f t="shared" si="9"/>
        <v>ngǒo</v>
      </c>
      <c r="J22">
        <v>6</v>
      </c>
      <c r="K22" s="10" t="str">
        <f t="shared" si="10"/>
        <v>â</v>
      </c>
      <c r="L22" s="10" t="str">
        <f t="shared" si="10"/>
        <v>î</v>
      </c>
      <c r="M22" s="10" t="str">
        <f t="shared" si="10"/>
        <v>û</v>
      </c>
      <c r="N22" s="10" t="str">
        <f t="shared" si="10"/>
        <v>ê</v>
      </c>
      <c r="O22" s="10" t="str">
        <f t="shared" si="10"/>
        <v>ô</v>
      </c>
      <c r="P22" s="10" t="str">
        <f t="shared" si="10"/>
        <v>m̂</v>
      </c>
      <c r="Q22" s="10" t="str">
        <f t="shared" si="10"/>
        <v>n̂</v>
      </c>
    </row>
    <row r="23" spans="1:17" ht="30">
      <c r="A23" s="3">
        <v>7</v>
      </c>
      <c r="B23" s="3" t="s">
        <v>24</v>
      </c>
      <c r="C23" s="11" t="s">
        <v>25</v>
      </c>
      <c r="D23" s="7" t="s">
        <v>26</v>
      </c>
      <c r="E23" s="17" t="str">
        <f xml:space="preserve"> IFERROR( _xlfn.CONCAT("a", _xlfn.UNICHAR(HEX2DEC(RIGHT(D23,4))), "h"), "")</f>
        <v>āh</v>
      </c>
      <c r="G23"/>
      <c r="H23" t="str">
        <f t="shared" si="8"/>
        <v>lûn</v>
      </c>
      <c r="I23" t="str">
        <f t="shared" si="9"/>
        <v>ngôo</v>
      </c>
      <c r="J23">
        <v>7</v>
      </c>
      <c r="K23" s="10" t="str">
        <f t="shared" si="10"/>
        <v>ā</v>
      </c>
      <c r="L23" s="10" t="str">
        <f t="shared" si="10"/>
        <v>ī</v>
      </c>
      <c r="M23" s="10" t="str">
        <f t="shared" si="10"/>
        <v>ū</v>
      </c>
      <c r="N23" s="10" t="str">
        <f t="shared" si="10"/>
        <v>ē</v>
      </c>
      <c r="O23" s="10" t="str">
        <f t="shared" si="10"/>
        <v>ō</v>
      </c>
      <c r="P23" s="10" t="str">
        <f t="shared" si="10"/>
        <v>m̄</v>
      </c>
      <c r="Q23" s="10" t="str">
        <f t="shared" si="10"/>
        <v>n̄</v>
      </c>
    </row>
    <row r="24" spans="1:17" ht="30">
      <c r="A24" s="3">
        <v>8</v>
      </c>
      <c r="B24" s="3" t="s">
        <v>33</v>
      </c>
      <c r="C24" s="11" t="s">
        <v>34</v>
      </c>
      <c r="D24" s="7" t="s">
        <v>29</v>
      </c>
      <c r="E24" s="17" t="str">
        <f xml:space="preserve"> IFERROR( _xlfn.CONCAT("a", _xlfn.UNICHAR(HEX2DEC(RIGHT(D24,4))), "h"), "")</f>
        <v>áh</v>
      </c>
      <c r="G24"/>
      <c r="H24" t="str">
        <f t="shared" si="8"/>
        <v>lún</v>
      </c>
      <c r="I24" t="str">
        <f t="shared" si="9"/>
        <v>ngóo</v>
      </c>
      <c r="J24">
        <v>8</v>
      </c>
      <c r="K24" s="10" t="str">
        <f t="shared" si="10"/>
        <v>á</v>
      </c>
      <c r="L24" s="10" t="str">
        <f t="shared" si="10"/>
        <v>í</v>
      </c>
      <c r="M24" s="10" t="str">
        <f t="shared" si="10"/>
        <v>ú</v>
      </c>
      <c r="N24" s="10" t="str">
        <f t="shared" si="10"/>
        <v>é</v>
      </c>
      <c r="O24" s="10" t="str">
        <f t="shared" si="10"/>
        <v>ó</v>
      </c>
      <c r="P24" s="10" t="str">
        <f t="shared" si="10"/>
        <v>ḿ</v>
      </c>
      <c r="Q24" s="10" t="str">
        <f t="shared" si="10"/>
        <v>ń</v>
      </c>
    </row>
    <row r="25" spans="1:17" ht="30">
      <c r="A25" s="3">
        <v>9</v>
      </c>
      <c r="B25" s="3" t="s">
        <v>36</v>
      </c>
      <c r="C25" s="11"/>
      <c r="D25" s="7"/>
      <c r="E25" s="17"/>
      <c r="G25"/>
      <c r="H25" t="str">
        <f xml:space="preserve"> IFERROR( _xlfn.CONCAT("l", "u", _xlfn.UNICHAR(HEX2DEC(RIGHT(F12,4))), "n"), "")</f>
        <v/>
      </c>
    </row>
    <row r="26" spans="1:17" ht="30">
      <c r="A26" s="3">
        <v>0</v>
      </c>
      <c r="B26" s="3" t="s">
        <v>36</v>
      </c>
      <c r="C26" s="11"/>
      <c r="D26" s="7"/>
      <c r="E26" s="17"/>
      <c r="G26"/>
      <c r="H26" t="str">
        <f xml:space="preserve"> IFERROR( _xlfn.CONCAT("l", "u", _xlfn.UNICHAR(HEX2DEC(RIGHT(F13,4))), "n"), "")</f>
        <v/>
      </c>
    </row>
    <row r="29" spans="1:17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H29" t="s">
        <v>11</v>
      </c>
      <c r="I29" t="s">
        <v>11</v>
      </c>
      <c r="K29" s="1" t="s">
        <v>7</v>
      </c>
      <c r="L29" s="1" t="s">
        <v>8</v>
      </c>
      <c r="M29" s="1" t="s">
        <v>9</v>
      </c>
      <c r="N29" s="1" t="s">
        <v>10</v>
      </c>
      <c r="O29" s="1" t="s">
        <v>11</v>
      </c>
      <c r="P29" s="1" t="s">
        <v>12</v>
      </c>
      <c r="Q29" s="1" t="s">
        <v>13</v>
      </c>
    </row>
    <row r="30" spans="1:17" ht="30">
      <c r="A30" s="3">
        <v>1</v>
      </c>
      <c r="B30" s="3" t="s">
        <v>14</v>
      </c>
      <c r="C30" s="4" t="s">
        <v>15</v>
      </c>
      <c r="D30" s="5"/>
      <c r="E30" s="6" t="str">
        <f xml:space="preserve"> IFERROR( _xlfn.CONCAT("a", IF($D30="", "", _xlfn.UNICHAR(HEX2DEC(RIGHT($D30,4))))), "")</f>
        <v>a</v>
      </c>
      <c r="H30" s="20" t="str">
        <f>IFERROR( _xlfn.CONCAT("l", "o", IF($D30="", "", _xlfn.UNICHAR(HEX2DEC(RIGHT($D30,4))))), "")</f>
        <v>lo</v>
      </c>
      <c r="I30" s="20" t="str">
        <f>IFERROR( _xlfn.CONCAT("l", "o", IF($D30="", "", _xlfn.UNICHAR(HEX2DEC(RIGHT($D30,4)))), "r", IF(OR(J30=4, J30=8), "k", "")), "")</f>
        <v>lor</v>
      </c>
      <c r="J30">
        <v>1</v>
      </c>
      <c r="K30" s="10" t="str">
        <f t="shared" ref="K30:Q37" si="11">IFERROR( _xlfn.CONCAT(L$3, IF($D28="", "", _xlfn.UNICHAR(HEX2DEC(RIGHT($D28,4))))), "")</f>
        <v>a</v>
      </c>
      <c r="L30" s="10" t="str">
        <f t="shared" si="11"/>
        <v>i</v>
      </c>
      <c r="M30" s="10" t="str">
        <f t="shared" si="11"/>
        <v>u</v>
      </c>
      <c r="N30" s="10" t="str">
        <f t="shared" si="11"/>
        <v>e</v>
      </c>
      <c r="O30" s="10" t="str">
        <f t="shared" si="11"/>
        <v>o</v>
      </c>
      <c r="P30" s="10" t="str">
        <f t="shared" si="11"/>
        <v>m</v>
      </c>
      <c r="Q30" s="10" t="str">
        <f t="shared" si="11"/>
        <v>n</v>
      </c>
    </row>
    <row r="31" spans="1:17" ht="30">
      <c r="A31" s="3">
        <v>2</v>
      </c>
      <c r="B31" s="3" t="s">
        <v>27</v>
      </c>
      <c r="C31" s="11" t="s">
        <v>28</v>
      </c>
      <c r="D31" s="5" t="s">
        <v>19</v>
      </c>
      <c r="E31" s="6" t="str">
        <f xml:space="preserve"> IFERROR( _xlfn.CONCAT("a", IF($D31="", "", _xlfn.UNICHAR(HEX2DEC(RIGHT($D31,4))))), "")</f>
        <v>á</v>
      </c>
      <c r="H31" s="20" t="str">
        <f t="shared" ref="H31:H36" si="12">IFERROR( _xlfn.CONCAT("l", "o", IF($D31="", "", _xlfn.UNICHAR(HEX2DEC(RIGHT($D31,4))))), "")</f>
        <v>ló</v>
      </c>
      <c r="I31" s="20" t="str">
        <f t="shared" ref="I31:I37" si="13">IFERROR( _xlfn.CONCAT("l", "o", IF($D31="", "", _xlfn.UNICHAR(HEX2DEC(RIGHT($D31,4)))), "r", IF(OR(J31=4, J31=8), "k", "")), "")</f>
        <v>lór</v>
      </c>
      <c r="J31">
        <v>2</v>
      </c>
      <c r="K31" s="10" t="str">
        <f t="shared" si="11"/>
        <v/>
      </c>
      <c r="L31" s="10" t="str">
        <f t="shared" si="11"/>
        <v/>
      </c>
      <c r="M31" s="10" t="str">
        <f t="shared" si="11"/>
        <v/>
      </c>
      <c r="N31" s="10" t="str">
        <f t="shared" si="11"/>
        <v/>
      </c>
      <c r="O31" s="10" t="str">
        <f t="shared" si="11"/>
        <v/>
      </c>
      <c r="P31" s="10" t="str">
        <f t="shared" si="11"/>
        <v/>
      </c>
      <c r="Q31" s="10" t="str">
        <f t="shared" si="11"/>
        <v/>
      </c>
    </row>
    <row r="32" spans="1:17" ht="30">
      <c r="A32" s="3">
        <v>3</v>
      </c>
      <c r="B32" s="3" t="s">
        <v>17</v>
      </c>
      <c r="C32" s="11" t="s">
        <v>18</v>
      </c>
      <c r="D32" s="5" t="s">
        <v>23</v>
      </c>
      <c r="E32" s="6" t="str">
        <f t="shared" ref="E32:E37" si="14" xml:space="preserve"> IFERROR( _xlfn.CONCAT("a", IF($D32="", "", _xlfn.UNICHAR(HEX2DEC(RIGHT($D32,4))))), "")</f>
        <v>à</v>
      </c>
      <c r="H32" s="20" t="str">
        <f t="shared" si="12"/>
        <v>lò</v>
      </c>
      <c r="I32" s="20" t="str">
        <f t="shared" si="13"/>
        <v>lòr</v>
      </c>
      <c r="J32">
        <v>3</v>
      </c>
      <c r="K32" s="10" t="str">
        <f t="shared" si="11"/>
        <v>a</v>
      </c>
      <c r="L32" s="10" t="str">
        <f t="shared" si="11"/>
        <v>i</v>
      </c>
      <c r="M32" s="10" t="str">
        <f t="shared" si="11"/>
        <v>u</v>
      </c>
      <c r="N32" s="10" t="str">
        <f t="shared" si="11"/>
        <v>e</v>
      </c>
      <c r="O32" s="10" t="str">
        <f t="shared" si="11"/>
        <v>o</v>
      </c>
      <c r="P32" s="10" t="str">
        <f t="shared" si="11"/>
        <v>m</v>
      </c>
      <c r="Q32" s="10" t="str">
        <f t="shared" si="11"/>
        <v>n</v>
      </c>
    </row>
    <row r="33" spans="1:17" ht="30">
      <c r="A33" s="3">
        <v>4</v>
      </c>
      <c r="B33" s="3" t="s">
        <v>17</v>
      </c>
      <c r="C33" s="11"/>
      <c r="D33" s="5"/>
      <c r="E33" s="6" t="str">
        <f t="shared" si="14"/>
        <v>a</v>
      </c>
      <c r="H33" s="20" t="str">
        <f>IFERROR( _xlfn.CONCAT("l", "o", IF($D33="", "", _xlfn.UNICHAR(HEX2DEC(RIGHT($D33,4)))), "k"), "")</f>
        <v>lok</v>
      </c>
      <c r="I33" s="20" t="str">
        <f t="shared" si="13"/>
        <v>lork</v>
      </c>
      <c r="J33">
        <v>4</v>
      </c>
      <c r="K33" s="10" t="str">
        <f t="shared" si="11"/>
        <v>á</v>
      </c>
      <c r="L33" s="10" t="str">
        <f t="shared" si="11"/>
        <v>í</v>
      </c>
      <c r="M33" s="10" t="str">
        <f t="shared" si="11"/>
        <v>ú</v>
      </c>
      <c r="N33" s="10" t="str">
        <f t="shared" si="11"/>
        <v>é</v>
      </c>
      <c r="O33" s="10" t="str">
        <f t="shared" si="11"/>
        <v>ó</v>
      </c>
      <c r="P33" s="10" t="str">
        <f t="shared" si="11"/>
        <v>ḿ</v>
      </c>
      <c r="Q33" s="10" t="str">
        <f t="shared" si="11"/>
        <v>ń</v>
      </c>
    </row>
    <row r="34" spans="1:17" ht="30">
      <c r="A34" s="3">
        <v>5</v>
      </c>
      <c r="B34" s="3" t="s">
        <v>21</v>
      </c>
      <c r="C34" s="11" t="s">
        <v>22</v>
      </c>
      <c r="D34" s="5" t="s">
        <v>20</v>
      </c>
      <c r="E34" s="6" t="str">
        <f t="shared" si="14"/>
        <v>ǎ</v>
      </c>
      <c r="H34" s="20" t="str">
        <f t="shared" si="12"/>
        <v>lǒ</v>
      </c>
      <c r="I34" s="20" t="str">
        <f t="shared" si="13"/>
        <v>lǒr</v>
      </c>
      <c r="J34">
        <v>5</v>
      </c>
      <c r="K34" s="10" t="str">
        <f t="shared" si="11"/>
        <v>à</v>
      </c>
      <c r="L34" s="10" t="str">
        <f t="shared" si="11"/>
        <v>ì</v>
      </c>
      <c r="M34" s="10" t="str">
        <f t="shared" si="11"/>
        <v>ù</v>
      </c>
      <c r="N34" s="10" t="str">
        <f t="shared" si="11"/>
        <v>è</v>
      </c>
      <c r="O34" s="10" t="str">
        <f t="shared" si="11"/>
        <v>ò</v>
      </c>
      <c r="P34" s="10" t="str">
        <f t="shared" si="11"/>
        <v>m̀</v>
      </c>
      <c r="Q34" s="10" t="str">
        <f t="shared" si="11"/>
        <v>ǹ</v>
      </c>
    </row>
    <row r="35" spans="1:17" ht="30">
      <c r="A35" s="12">
        <v>6</v>
      </c>
      <c r="B35" s="3" t="s">
        <v>30</v>
      </c>
      <c r="C35" s="4" t="s">
        <v>31</v>
      </c>
      <c r="D35" s="13" t="s">
        <v>29</v>
      </c>
      <c r="E35" s="6" t="str">
        <f t="shared" si="14"/>
        <v>á</v>
      </c>
      <c r="H35" s="20" t="str">
        <f t="shared" si="12"/>
        <v>ló</v>
      </c>
      <c r="I35" s="20" t="str">
        <f t="shared" si="13"/>
        <v>lór</v>
      </c>
      <c r="J35">
        <v>6</v>
      </c>
      <c r="K35" s="10" t="str">
        <f t="shared" si="11"/>
        <v>a</v>
      </c>
      <c r="L35" s="10" t="str">
        <f t="shared" si="11"/>
        <v>i</v>
      </c>
      <c r="M35" s="10" t="str">
        <f t="shared" si="11"/>
        <v>u</v>
      </c>
      <c r="N35" s="10" t="str">
        <f t="shared" si="11"/>
        <v>e</v>
      </c>
      <c r="O35" s="10" t="str">
        <f t="shared" si="11"/>
        <v>o</v>
      </c>
      <c r="P35" s="10" t="str">
        <f t="shared" si="11"/>
        <v>m</v>
      </c>
      <c r="Q35" s="10" t="str">
        <f t="shared" si="11"/>
        <v>n</v>
      </c>
    </row>
    <row r="36" spans="1:17" ht="30">
      <c r="A36" s="3">
        <v>7</v>
      </c>
      <c r="B36" s="3" t="s">
        <v>24</v>
      </c>
      <c r="C36" s="11" t="s">
        <v>25</v>
      </c>
      <c r="D36" s="5" t="s">
        <v>16</v>
      </c>
      <c r="E36" s="6" t="str">
        <f t="shared" si="14"/>
        <v>ā</v>
      </c>
      <c r="H36" s="20" t="str">
        <f t="shared" si="12"/>
        <v>lō</v>
      </c>
      <c r="I36" s="20" t="str">
        <f t="shared" si="13"/>
        <v>lōr</v>
      </c>
      <c r="J36">
        <v>7</v>
      </c>
      <c r="K36" s="10" t="str">
        <f t="shared" si="11"/>
        <v>ǎ</v>
      </c>
      <c r="L36" s="10" t="str">
        <f t="shared" si="11"/>
        <v>ǐ</v>
      </c>
      <c r="M36" s="10" t="str">
        <f t="shared" si="11"/>
        <v>ǔ</v>
      </c>
      <c r="N36" s="10" t="str">
        <f t="shared" si="11"/>
        <v>ě</v>
      </c>
      <c r="O36" s="10" t="str">
        <f t="shared" si="11"/>
        <v>ǒ</v>
      </c>
      <c r="P36" s="10" t="str">
        <f t="shared" si="11"/>
        <v>m̌</v>
      </c>
      <c r="Q36" s="10" t="str">
        <f t="shared" si="11"/>
        <v>ň</v>
      </c>
    </row>
    <row r="37" spans="1:17" ht="30">
      <c r="A37" s="3">
        <v>8</v>
      </c>
      <c r="B37" s="3" t="s">
        <v>33</v>
      </c>
      <c r="C37" s="11" t="s">
        <v>34</v>
      </c>
      <c r="D37" s="5" t="s">
        <v>35</v>
      </c>
      <c r="E37" s="6" t="str">
        <f t="shared" si="14"/>
        <v>a̍</v>
      </c>
      <c r="H37" s="20" t="str">
        <f>IFERROR( _xlfn.CONCAT("l", "o", IF($D37="", "", _xlfn.UNICHAR(HEX2DEC(RIGHT($D37,4)))), "k"), "")</f>
        <v>lo̍k</v>
      </c>
      <c r="I37" s="20" t="str">
        <f t="shared" si="13"/>
        <v>lo̍rk</v>
      </c>
      <c r="J37">
        <v>8</v>
      </c>
      <c r="K37" s="10" t="str">
        <f t="shared" si="11"/>
        <v>á</v>
      </c>
      <c r="L37" s="10" t="str">
        <f t="shared" si="11"/>
        <v>í</v>
      </c>
      <c r="M37" s="10" t="str">
        <f t="shared" si="11"/>
        <v>ú</v>
      </c>
      <c r="N37" s="10" t="str">
        <f t="shared" si="11"/>
        <v>é</v>
      </c>
      <c r="O37" s="10" t="str">
        <f t="shared" si="11"/>
        <v>ó</v>
      </c>
      <c r="P37" s="10" t="str">
        <f t="shared" si="11"/>
        <v>ḿ</v>
      </c>
      <c r="Q37" s="10" t="str">
        <f t="shared" si="11"/>
        <v>ń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37C4-9716-4D36-BF87-A5F1E4034FE5}">
  <dimension ref="A3:AE22"/>
  <sheetViews>
    <sheetView tabSelected="1" topLeftCell="J6" workbookViewId="0">
      <selection activeCell="K16" sqref="K16:T22"/>
    </sheetView>
  </sheetViews>
  <sheetFormatPr defaultRowHeight="25.5"/>
  <cols>
    <col min="1" max="3" width="7.33203125" customWidth="1"/>
    <col min="4" max="4" width="11.83203125" bestFit="1" customWidth="1"/>
    <col min="5" max="5" width="7.33203125" customWidth="1"/>
    <col min="6" max="6" width="11.83203125" bestFit="1" customWidth="1"/>
    <col min="7" max="7" width="8.08203125" style="19" customWidth="1"/>
    <col min="8" max="8" width="3.5" customWidth="1"/>
    <col min="9" max="9" width="2.1640625" bestFit="1" customWidth="1"/>
    <col min="10" max="18" width="7.08203125" customWidth="1"/>
    <col min="21" max="21" width="4.1640625" customWidth="1"/>
    <col min="22" max="31" width="17.08203125" customWidth="1"/>
  </cols>
  <sheetData>
    <row r="3" spans="1:31" ht="3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J3" s="2" t="str">
        <f xml:space="preserve"> _xlfn.CONCAT("o", _xlfn.UNICHAR(HEX2DEC(RIGHT("U+0358",4))))</f>
        <v>o͘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</row>
    <row r="4" spans="1:31" ht="30">
      <c r="A4" s="3">
        <v>1</v>
      </c>
      <c r="B4" s="3" t="s">
        <v>14</v>
      </c>
      <c r="C4" s="4" t="s">
        <v>15</v>
      </c>
      <c r="D4" s="5"/>
      <c r="E4" s="6" t="str">
        <f xml:space="preserve"> IFERROR( _xlfn.CONCAT("a"), "")</f>
        <v>a</v>
      </c>
      <c r="F4" s="7" t="s">
        <v>16</v>
      </c>
      <c r="G4" s="17" t="str">
        <f t="shared" ref="G4:G6" si="0" xml:space="preserve"> IFERROR( _xlfn.CONCAT("a", _xlfn.UNICHAR(HEX2DEC(RIGHT(F4,4)))), "")</f>
        <v>ā</v>
      </c>
      <c r="I4">
        <v>1</v>
      </c>
      <c r="J4" s="10" t="str">
        <f>IFERROR( _xlfn.CONCAT("o", _xlfn.UNICHAR(HEX2DEC(RIGHT("U+0358",4))), _xlfn.UNICHAR(HEX2DEC(RIGHT(D4,4)))), $J$3)</f>
        <v>o͘</v>
      </c>
      <c r="K4" s="10" t="str">
        <f>IFERROR( _xlfn.CONCAT(K$3, IF($D4="", "", _xlfn.UNICHAR(HEX2DEC(RIGHT($D4,4))))), "")</f>
        <v>a</v>
      </c>
      <c r="L4" s="10" t="str">
        <f t="shared" ref="L4:Q4" si="1">IFERROR( _xlfn.CONCAT(L$3, IF($D4="", "", _xlfn.UNICHAR(HEX2DEC(RIGHT($D4,4))))), "")</f>
        <v>i</v>
      </c>
      <c r="M4" s="10" t="str">
        <f t="shared" si="1"/>
        <v>u</v>
      </c>
      <c r="N4" s="10" t="str">
        <f t="shared" si="1"/>
        <v>e</v>
      </c>
      <c r="O4" s="10" t="str">
        <f t="shared" si="1"/>
        <v>o</v>
      </c>
      <c r="P4" s="10" t="str">
        <f t="shared" si="1"/>
        <v>m</v>
      </c>
      <c r="Q4" s="10" t="str">
        <f t="shared" si="1"/>
        <v>n</v>
      </c>
    </row>
    <row r="5" spans="1:31" ht="30">
      <c r="A5" s="3">
        <v>2</v>
      </c>
      <c r="B5" s="3" t="s">
        <v>17</v>
      </c>
      <c r="C5" s="11" t="s">
        <v>18</v>
      </c>
      <c r="D5" s="5" t="s">
        <v>19</v>
      </c>
      <c r="E5" s="6" t="str">
        <f xml:space="preserve"> IFERROR( _xlfn.CONCAT("a", _xlfn.UNICHAR(HEX2DEC(RIGHT($D5,4)))), "")</f>
        <v>á</v>
      </c>
      <c r="F5" s="7" t="s">
        <v>20</v>
      </c>
      <c r="G5" s="17" t="str">
        <f t="shared" si="0"/>
        <v>ǎ</v>
      </c>
      <c r="I5">
        <v>2</v>
      </c>
      <c r="J5" s="10" t="str">
        <f>IFERROR( _xlfn.CONCAT("o", _xlfn.UNICHAR(HEX2DEC(RIGHT("U+0358",4))), _xlfn.UNICHAR(HEX2DEC(RIGHT(D5,4)))), $J$3)</f>
        <v>ó͘</v>
      </c>
      <c r="K5" s="10" t="str">
        <f t="shared" ref="K5:Q13" si="2">IFERROR( _xlfn.CONCAT(K$3, IF($D5="", "", _xlfn.UNICHAR(HEX2DEC(RIGHT($D5,4))))), "")</f>
        <v>á</v>
      </c>
      <c r="L5" s="10" t="str">
        <f t="shared" si="2"/>
        <v>í</v>
      </c>
      <c r="M5" s="10" t="str">
        <f t="shared" si="2"/>
        <v>ú</v>
      </c>
      <c r="N5" s="10" t="str">
        <f t="shared" si="2"/>
        <v>é</v>
      </c>
      <c r="O5" s="10" t="str">
        <f t="shared" si="2"/>
        <v>ó</v>
      </c>
      <c r="P5" s="10" t="str">
        <f t="shared" si="2"/>
        <v>ḿ</v>
      </c>
      <c r="Q5" s="10" t="str">
        <f t="shared" si="2"/>
        <v>ń</v>
      </c>
    </row>
    <row r="6" spans="1:31" ht="30">
      <c r="A6" s="3">
        <v>3</v>
      </c>
      <c r="B6" s="3" t="s">
        <v>21</v>
      </c>
      <c r="C6" s="11" t="s">
        <v>22</v>
      </c>
      <c r="D6" s="5" t="s">
        <v>23</v>
      </c>
      <c r="E6" s="6" t="str">
        <f t="shared" ref="E6:E13" si="3" xml:space="preserve"> IFERROR( _xlfn.CONCAT("a", _xlfn.UNICHAR(HEX2DEC(RIGHT($D6,4)))), "")</f>
        <v>à</v>
      </c>
      <c r="F6" s="7" t="s">
        <v>23</v>
      </c>
      <c r="G6" s="17" t="str">
        <f t="shared" si="0"/>
        <v>à</v>
      </c>
      <c r="I6">
        <v>3</v>
      </c>
      <c r="J6" s="10" t="str">
        <f>IFERROR( _xlfn.CONCAT("o", _xlfn.UNICHAR(HEX2DEC(RIGHT("U+0358",4))), _xlfn.UNICHAR(HEX2DEC(RIGHT(D6,4)))), $J$3)</f>
        <v>ò͘</v>
      </c>
      <c r="K6" s="10" t="str">
        <f t="shared" si="2"/>
        <v>à</v>
      </c>
      <c r="L6" s="10" t="str">
        <f t="shared" si="2"/>
        <v>ì</v>
      </c>
      <c r="M6" s="10" t="str">
        <f t="shared" si="2"/>
        <v>ù</v>
      </c>
      <c r="N6" s="10" t="str">
        <f t="shared" si="2"/>
        <v>è</v>
      </c>
      <c r="O6" s="10" t="str">
        <f t="shared" si="2"/>
        <v>ò</v>
      </c>
      <c r="P6" s="10" t="str">
        <f t="shared" si="2"/>
        <v>m̀</v>
      </c>
      <c r="Q6" s="10" t="str">
        <f t="shared" si="2"/>
        <v>ǹ</v>
      </c>
    </row>
    <row r="7" spans="1:31" ht="30">
      <c r="A7" s="3">
        <v>4</v>
      </c>
      <c r="B7" s="3" t="s">
        <v>24</v>
      </c>
      <c r="C7" s="11" t="s">
        <v>25</v>
      </c>
      <c r="D7" s="5"/>
      <c r="E7" s="6" t="str">
        <f t="shared" si="3"/>
        <v/>
      </c>
      <c r="F7" s="7" t="s">
        <v>26</v>
      </c>
      <c r="G7" s="17" t="str">
        <f xml:space="preserve"> IFERROR( _xlfn.CONCAT("a", _xlfn.UNICHAR(HEX2DEC(RIGHT(F7,4))), "h"), "")</f>
        <v>āh</v>
      </c>
      <c r="I7">
        <v>4</v>
      </c>
      <c r="J7" s="10" t="str">
        <f>IFERROR( _xlfn.CONCAT("o", _xlfn.UNICHAR(HEX2DEC(RIGHT("U+0358",4))), _xlfn.UNICHAR(HEX2DEC(RIGHT(D7,4)))), $J$3)</f>
        <v>o͘</v>
      </c>
      <c r="K7" s="10" t="str">
        <f t="shared" si="2"/>
        <v>a</v>
      </c>
      <c r="L7" s="10" t="str">
        <f t="shared" si="2"/>
        <v>i</v>
      </c>
      <c r="M7" s="10" t="str">
        <f t="shared" si="2"/>
        <v>u</v>
      </c>
      <c r="N7" s="10" t="str">
        <f t="shared" si="2"/>
        <v>e</v>
      </c>
      <c r="O7" s="10" t="str">
        <f t="shared" si="2"/>
        <v>o</v>
      </c>
      <c r="P7" s="10" t="str">
        <f t="shared" si="2"/>
        <v>m</v>
      </c>
      <c r="Q7" s="10" t="str">
        <f t="shared" si="2"/>
        <v>n</v>
      </c>
    </row>
    <row r="8" spans="1:31" ht="30">
      <c r="A8" s="3">
        <v>5</v>
      </c>
      <c r="B8" s="3" t="s">
        <v>27</v>
      </c>
      <c r="C8" s="11" t="s">
        <v>28</v>
      </c>
      <c r="D8" s="5" t="s">
        <v>32</v>
      </c>
      <c r="E8" s="6" t="str">
        <f t="shared" si="3"/>
        <v>â</v>
      </c>
      <c r="F8" s="7" t="s">
        <v>29</v>
      </c>
      <c r="G8" s="17" t="str">
        <f t="shared" ref="G8:G10" si="4" xml:space="preserve"> IFERROR( _xlfn.CONCAT("a", _xlfn.UNICHAR(HEX2DEC(RIGHT(F8,4)))), "")</f>
        <v>á</v>
      </c>
      <c r="I8">
        <v>5</v>
      </c>
      <c r="J8" s="10" t="str">
        <f>IFERROR( _xlfn.CONCAT("o", _xlfn.UNICHAR(HEX2DEC(RIGHT("U+0358",4))), _xlfn.UNICHAR(HEX2DEC(RIGHT(D8,4)))), "")</f>
        <v>ô͘</v>
      </c>
      <c r="K8" s="10" t="str">
        <f t="shared" si="2"/>
        <v>â</v>
      </c>
      <c r="L8" s="10" t="str">
        <f t="shared" si="2"/>
        <v>î</v>
      </c>
      <c r="M8" s="10" t="str">
        <f t="shared" si="2"/>
        <v>û</v>
      </c>
      <c r="N8" s="10" t="str">
        <f t="shared" si="2"/>
        <v>ê</v>
      </c>
      <c r="O8" s="10" t="str">
        <f t="shared" si="2"/>
        <v>ô</v>
      </c>
      <c r="P8" s="10" t="str">
        <f t="shared" si="2"/>
        <v>m̂</v>
      </c>
      <c r="Q8" s="10" t="str">
        <f t="shared" si="2"/>
        <v>n̂</v>
      </c>
    </row>
    <row r="9" spans="1:31" ht="30">
      <c r="A9" s="12">
        <v>6</v>
      </c>
      <c r="B9" s="3" t="s">
        <v>17</v>
      </c>
      <c r="C9" s="11"/>
      <c r="D9" s="13" t="s">
        <v>29</v>
      </c>
      <c r="E9" s="6" t="str">
        <f t="shared" si="3"/>
        <v>á</v>
      </c>
      <c r="F9" s="14" t="s">
        <v>20</v>
      </c>
      <c r="G9" s="18" t="str">
        <f t="shared" si="4"/>
        <v>ǎ</v>
      </c>
      <c r="I9">
        <v>6</v>
      </c>
      <c r="J9" s="10" t="str">
        <f>IFERROR( _xlfn.CONCAT("o", _xlfn.UNICHAR(HEX2DEC(RIGHT("U+0358",4))), _xlfn.UNICHAR(HEX2DEC(RIGHT(D9,4)))), "")</f>
        <v>ó͘</v>
      </c>
      <c r="K9" s="10" t="str">
        <f t="shared" si="2"/>
        <v>á</v>
      </c>
      <c r="L9" s="10" t="str">
        <f t="shared" si="2"/>
        <v>í</v>
      </c>
      <c r="M9" s="10" t="str">
        <f t="shared" si="2"/>
        <v>ú</v>
      </c>
      <c r="N9" s="10" t="str">
        <f t="shared" si="2"/>
        <v>é</v>
      </c>
      <c r="O9" s="10" t="str">
        <f t="shared" si="2"/>
        <v>ó</v>
      </c>
      <c r="P9" s="10" t="str">
        <f t="shared" si="2"/>
        <v>ḿ</v>
      </c>
      <c r="Q9" s="10" t="str">
        <f t="shared" si="2"/>
        <v>ń</v>
      </c>
    </row>
    <row r="10" spans="1:31" ht="30">
      <c r="A10" s="3">
        <v>7</v>
      </c>
      <c r="B10" s="3" t="s">
        <v>30</v>
      </c>
      <c r="C10" s="4" t="s">
        <v>31</v>
      </c>
      <c r="D10" s="5" t="s">
        <v>16</v>
      </c>
      <c r="E10" s="6" t="str">
        <f t="shared" si="3"/>
        <v>ā</v>
      </c>
      <c r="F10" s="7" t="s">
        <v>32</v>
      </c>
      <c r="G10" s="17" t="str">
        <f t="shared" si="4"/>
        <v>â</v>
      </c>
      <c r="I10">
        <v>7</v>
      </c>
      <c r="J10" s="10" t="str">
        <f>IFERROR( _xlfn.CONCAT("o", _xlfn.UNICHAR(HEX2DEC(RIGHT("U+0358",4))), _xlfn.UNICHAR(HEX2DEC(RIGHT(D10,4)))), "")</f>
        <v>ō͘</v>
      </c>
      <c r="K10" s="10" t="str">
        <f t="shared" si="2"/>
        <v>ā</v>
      </c>
      <c r="L10" s="10" t="str">
        <f t="shared" si="2"/>
        <v>ī</v>
      </c>
      <c r="M10" s="10" t="str">
        <f t="shared" si="2"/>
        <v>ū</v>
      </c>
      <c r="N10" s="10" t="str">
        <f t="shared" si="2"/>
        <v>ē</v>
      </c>
      <c r="O10" s="10" t="str">
        <f t="shared" si="2"/>
        <v>ō</v>
      </c>
      <c r="P10" s="10" t="str">
        <f t="shared" si="2"/>
        <v>m̄</v>
      </c>
      <c r="Q10" s="10" t="str">
        <f t="shared" si="2"/>
        <v>n̄</v>
      </c>
    </row>
    <row r="11" spans="1:31" ht="30">
      <c r="A11" s="3">
        <v>8</v>
      </c>
      <c r="B11" s="3" t="s">
        <v>33</v>
      </c>
      <c r="C11" s="11" t="s">
        <v>34</v>
      </c>
      <c r="D11" s="5" t="s">
        <v>35</v>
      </c>
      <c r="E11" s="6" t="str">
        <f t="shared" si="3"/>
        <v>a̍</v>
      </c>
      <c r="F11" s="7" t="s">
        <v>29</v>
      </c>
      <c r="G11" s="17" t="str">
        <f xml:space="preserve"> IFERROR( _xlfn.CONCAT("a", _xlfn.UNICHAR(HEX2DEC(RIGHT(F11,4))), "h"), "")</f>
        <v>áh</v>
      </c>
      <c r="I11">
        <v>8</v>
      </c>
      <c r="J11" s="10" t="str">
        <f>IFERROR( _xlfn.CONCAT("o", _xlfn.UNICHAR(HEX2DEC(RIGHT("U+0358",4))), _xlfn.UNICHAR(HEX2DEC(RIGHT(D11,4)))), "")</f>
        <v>o̍͘</v>
      </c>
      <c r="K11" s="10" t="str">
        <f t="shared" si="2"/>
        <v>a̍</v>
      </c>
      <c r="L11" s="10" t="str">
        <f t="shared" si="2"/>
        <v>i̍</v>
      </c>
      <c r="M11" s="10" t="str">
        <f t="shared" si="2"/>
        <v>u̍</v>
      </c>
      <c r="N11" s="10" t="str">
        <f t="shared" si="2"/>
        <v>e̍</v>
      </c>
      <c r="O11" s="10" t="str">
        <f t="shared" si="2"/>
        <v>o̍</v>
      </c>
      <c r="P11" s="10" t="str">
        <f t="shared" si="2"/>
        <v>m̍</v>
      </c>
      <c r="Q11" s="10" t="str">
        <f t="shared" si="2"/>
        <v>n̍</v>
      </c>
    </row>
    <row r="12" spans="1:31" ht="30">
      <c r="A12" s="3">
        <v>9</v>
      </c>
      <c r="B12" s="3" t="s">
        <v>36</v>
      </c>
      <c r="C12" s="11"/>
      <c r="D12" s="5" t="s">
        <v>37</v>
      </c>
      <c r="E12" s="6" t="str">
        <f t="shared" si="3"/>
        <v>a̋</v>
      </c>
      <c r="F12" s="7"/>
      <c r="G12" s="17"/>
      <c r="I12">
        <v>9</v>
      </c>
      <c r="J12" s="10" t="str">
        <f>IFERROR( _xlfn.CONCAT("o", _xlfn.UNICHAR(HEX2DEC(RIGHT("U+0358",4))), _xlfn.UNICHAR(HEX2DEC(RIGHT(D12,4)))), "")</f>
        <v>ő͘</v>
      </c>
      <c r="K12" s="10" t="str">
        <f t="shared" si="2"/>
        <v>a̋</v>
      </c>
      <c r="L12" s="10" t="str">
        <f t="shared" si="2"/>
        <v>i̋</v>
      </c>
      <c r="M12" s="10" t="str">
        <f t="shared" si="2"/>
        <v>ű</v>
      </c>
      <c r="N12" s="10" t="str">
        <f t="shared" si="2"/>
        <v>e̋</v>
      </c>
      <c r="O12" s="10" t="str">
        <f t="shared" si="2"/>
        <v>ő</v>
      </c>
      <c r="P12" s="10" t="str">
        <f t="shared" si="2"/>
        <v>m̋</v>
      </c>
      <c r="Q12" s="10" t="str">
        <f t="shared" si="2"/>
        <v>n̋</v>
      </c>
    </row>
    <row r="13" spans="1:31" ht="30">
      <c r="A13" s="3">
        <v>0</v>
      </c>
      <c r="B13" s="3" t="s">
        <v>36</v>
      </c>
      <c r="C13" s="11"/>
      <c r="D13" s="5" t="s">
        <v>38</v>
      </c>
      <c r="E13" s="6" t="str">
        <f t="shared" si="3"/>
        <v>å</v>
      </c>
      <c r="F13" s="7"/>
      <c r="G13" s="17"/>
      <c r="I13">
        <v>0</v>
      </c>
      <c r="J13" s="10" t="str">
        <f>IFERROR( _xlfn.CONCAT("o", _xlfn.UNICHAR(HEX2DEC(RIGHT("U+0358",4))), _xlfn.UNICHAR(HEX2DEC(RIGHT(D13,4)))), "")</f>
        <v>o̊͘</v>
      </c>
      <c r="K13" s="10" t="str">
        <f t="shared" si="2"/>
        <v>å</v>
      </c>
      <c r="L13" s="10" t="str">
        <f t="shared" si="2"/>
        <v>i̊</v>
      </c>
      <c r="M13" s="10" t="str">
        <f t="shared" si="2"/>
        <v>ů</v>
      </c>
      <c r="N13" s="10" t="str">
        <f t="shared" si="2"/>
        <v>e̊</v>
      </c>
      <c r="O13" s="10" t="str">
        <f t="shared" si="2"/>
        <v>o̊</v>
      </c>
      <c r="P13" s="10" t="str">
        <f t="shared" si="2"/>
        <v>m̊</v>
      </c>
      <c r="Q13" s="10" t="str">
        <f t="shared" si="2"/>
        <v>n̊</v>
      </c>
    </row>
    <row r="15" spans="1:31" ht="30">
      <c r="J15" s="21"/>
      <c r="K15" s="21">
        <v>1</v>
      </c>
      <c r="L15" s="21">
        <v>2</v>
      </c>
      <c r="M15" s="21">
        <v>3</v>
      </c>
      <c r="N15" s="21">
        <v>4</v>
      </c>
      <c r="O15" s="21">
        <v>5</v>
      </c>
      <c r="P15" s="21">
        <v>6</v>
      </c>
      <c r="Q15" s="21">
        <v>7</v>
      </c>
      <c r="R15" s="21">
        <v>8</v>
      </c>
      <c r="S15" s="21">
        <v>9</v>
      </c>
      <c r="T15" s="21">
        <v>0</v>
      </c>
    </row>
    <row r="16" spans="1:31" ht="30">
      <c r="J16" s="1" t="s">
        <v>7</v>
      </c>
      <c r="K16" s="10" t="str">
        <f>IFERROR( _xlfn.CONCAT(K$3, IF($D4="", "", _xlfn.UNICHAR(HEX2DEC(RIGHT($D4,4))))), "")</f>
        <v>a</v>
      </c>
      <c r="L16" s="10" t="str">
        <f>IFERROR( _xlfn.CONCAT(K$3, IF($D5="", "", _xlfn.UNICHAR(HEX2DEC(RIGHT($D5,4))))), "")</f>
        <v>á</v>
      </c>
      <c r="M16" s="10" t="str">
        <f>IFERROR( _xlfn.CONCAT(K$3, IF($D6="", "", _xlfn.UNICHAR(HEX2DEC(RIGHT($D6,4))))), "")</f>
        <v>à</v>
      </c>
      <c r="N16" s="10" t="str">
        <f>IFERROR( _xlfn.CONCAT(K$3, IF($D7="", "", _xlfn.UNICHAR(HEX2DEC(RIGHT($D7,4))))), "")</f>
        <v>a</v>
      </c>
      <c r="O16" s="10" t="str">
        <f>IFERROR( _xlfn.CONCAT(K$3, IF($D8="", "", _xlfn.UNICHAR(HEX2DEC(RIGHT($D8,4))))), "")</f>
        <v>â</v>
      </c>
      <c r="P16" s="10" t="str">
        <f>IFERROR( _xlfn.CONCAT(K$3, IF($D9="", "", _xlfn.UNICHAR(HEX2DEC(RIGHT($D9,4))))), "")</f>
        <v>á</v>
      </c>
      <c r="Q16" s="10" t="str">
        <f>IFERROR( _xlfn.CONCAT(K$3, IF($D10="", "", _xlfn.UNICHAR(HEX2DEC(RIGHT($D10,4))))), "")</f>
        <v>ā</v>
      </c>
      <c r="R16" s="10" t="str">
        <f>IFERROR( _xlfn.CONCAT(K$3, IF($D11="", "", _xlfn.UNICHAR(HEX2DEC(RIGHT($D11,4))))), "")</f>
        <v>a̍</v>
      </c>
      <c r="S16" s="10" t="str">
        <f>IFERROR( _xlfn.CONCAT(K$3, IF($D12="", "", _xlfn.UNICHAR(HEX2DEC(RIGHT($D12,4))))), "")</f>
        <v>a̋</v>
      </c>
      <c r="T16" s="10" t="str">
        <f>IFERROR( _xlfn.CONCAT(K$3, IF($D13="", "", _xlfn.UNICHAR(HEX2DEC(RIGHT($D13,4))))), "")</f>
        <v>å</v>
      </c>
      <c r="V16" t="str">
        <f xml:space="preserve"> _xlfn.CONCAT("    - xform/", $J16, K$15, "/",K16,"/")</f>
        <v xml:space="preserve">    - xform/a1/a/</v>
      </c>
      <c r="W16" t="str">
        <f t="shared" ref="W16:AA22" si="5" xml:space="preserve"> _xlfn.CONCAT("    - xform/", $J16, L$15, "/",L16,"/")</f>
        <v xml:space="preserve">    - xform/a2/á/</v>
      </c>
      <c r="X16" t="str">
        <f t="shared" si="5"/>
        <v xml:space="preserve">    - xform/a3/à/</v>
      </c>
      <c r="Y16" t="str">
        <f t="shared" si="5"/>
        <v xml:space="preserve">    - xform/a4/a/</v>
      </c>
      <c r="Z16" t="str">
        <f t="shared" si="5"/>
        <v xml:space="preserve">    - xform/a5/â/</v>
      </c>
      <c r="AA16" t="str">
        <f t="shared" si="5"/>
        <v xml:space="preserve">    - xform/a6/á/</v>
      </c>
      <c r="AB16" t="str">
        <f xml:space="preserve"> _xlfn.CONCAT("    - xform/", $J16, Q$15, "/",Q16,"/")</f>
        <v xml:space="preserve">    - xform/a7/ā/</v>
      </c>
      <c r="AC16" t="str">
        <f t="shared" ref="AC16:AC22" si="6" xml:space="preserve"> _xlfn.CONCAT("    - xform/", $J16, R$15, "/",R16,"/")</f>
        <v xml:space="preserve">    - xform/a8/a̍/</v>
      </c>
      <c r="AD16" t="str">
        <f t="shared" ref="AD16:AD22" si="7" xml:space="preserve"> _xlfn.CONCAT("    - xform/", $J16, S$15, "/",S16,"/")</f>
        <v xml:space="preserve">    - xform/a9/a̋/</v>
      </c>
      <c r="AE16" t="str">
        <f t="shared" ref="AE16:AE22" si="8" xml:space="preserve"> _xlfn.CONCAT("    - xform/", $J16, T$15, "/",T16,"/")</f>
        <v xml:space="preserve">    - xform/a0/å/</v>
      </c>
    </row>
    <row r="17" spans="10:31" ht="30">
      <c r="J17" s="1" t="s">
        <v>8</v>
      </c>
      <c r="K17" s="10" t="str">
        <f>IFERROR( _xlfn.CONCAT(L$3, IF($D4="", "", _xlfn.UNICHAR(HEX2DEC(RIGHT($D4,4))))), "")</f>
        <v>i</v>
      </c>
      <c r="L17" s="10" t="str">
        <f>IFERROR( _xlfn.CONCAT(L$3, IF($D5="", "", _xlfn.UNICHAR(HEX2DEC(RIGHT($D5,4))))), "")</f>
        <v>í</v>
      </c>
      <c r="M17" s="10" t="str">
        <f>IFERROR( _xlfn.CONCAT(L$3, IF($D6="", "", _xlfn.UNICHAR(HEX2DEC(RIGHT($D6,4))))), "")</f>
        <v>ì</v>
      </c>
      <c r="N17" s="10" t="str">
        <f>IFERROR( _xlfn.CONCAT(L$3, IF($D7="", "", _xlfn.UNICHAR(HEX2DEC(RIGHT($D7,4))))), "")</f>
        <v>i</v>
      </c>
      <c r="O17" s="10" t="str">
        <f>IFERROR( _xlfn.CONCAT(L$3, IF($D8="", "", _xlfn.UNICHAR(HEX2DEC(RIGHT($D8,4))))), "")</f>
        <v>î</v>
      </c>
      <c r="P17" s="10" t="str">
        <f>IFERROR( _xlfn.CONCAT(L$3, IF($D9="", "", _xlfn.UNICHAR(HEX2DEC(RIGHT($D9,4))))), "")</f>
        <v>í</v>
      </c>
      <c r="Q17" s="10" t="str">
        <f>IFERROR( _xlfn.CONCAT(L$3, IF($D10="", "", _xlfn.UNICHAR(HEX2DEC(RIGHT($D10,4))))), "")</f>
        <v>ī</v>
      </c>
      <c r="R17" s="10" t="str">
        <f>IFERROR( _xlfn.CONCAT(L$3, IF($D11="", "", _xlfn.UNICHAR(HEX2DEC(RIGHT($D11,4))))), "")</f>
        <v>i̍</v>
      </c>
      <c r="S17" s="10" t="str">
        <f>IFERROR( _xlfn.CONCAT(L$3, IF($D12="", "", _xlfn.UNICHAR(HEX2DEC(RIGHT($D12,4))))), "")</f>
        <v>i̋</v>
      </c>
      <c r="T17" s="10" t="str">
        <f>IFERROR( _xlfn.CONCAT(L$3, IF($D13="", "", _xlfn.UNICHAR(HEX2DEC(RIGHT($D13,4))))), "")</f>
        <v>i̊</v>
      </c>
      <c r="V17" t="str">
        <f t="shared" ref="V17:V22" si="9" xml:space="preserve"> _xlfn.CONCAT("    - xform/", $J17, K$15, "/",K17,"/")</f>
        <v xml:space="preserve">    - xform/i1/i/</v>
      </c>
      <c r="W17" t="str">
        <f t="shared" si="5"/>
        <v xml:space="preserve">    - xform/i2/í/</v>
      </c>
      <c r="X17" t="str">
        <f t="shared" si="5"/>
        <v xml:space="preserve">    - xform/i3/ì/</v>
      </c>
      <c r="Y17" t="str">
        <f t="shared" si="5"/>
        <v xml:space="preserve">    - xform/i4/i/</v>
      </c>
      <c r="Z17" t="str">
        <f t="shared" si="5"/>
        <v xml:space="preserve">    - xform/i5/î/</v>
      </c>
      <c r="AA17" t="str">
        <f t="shared" si="5"/>
        <v xml:space="preserve">    - xform/i6/í/</v>
      </c>
      <c r="AB17" t="str">
        <f t="shared" ref="AB17:AB22" si="10" xml:space="preserve"> _xlfn.CONCAT("    - xform/", $J17, Q$15, "/",Q17,"/")</f>
        <v xml:space="preserve">    - xform/i7/ī/</v>
      </c>
      <c r="AC17" t="str">
        <f t="shared" si="6"/>
        <v xml:space="preserve">    - xform/i8/i̍/</v>
      </c>
      <c r="AD17" t="str">
        <f t="shared" si="7"/>
        <v xml:space="preserve">    - xform/i9/i̋/</v>
      </c>
      <c r="AE17" t="str">
        <f t="shared" si="8"/>
        <v xml:space="preserve">    - xform/i0/i̊/</v>
      </c>
    </row>
    <row r="18" spans="10:31" ht="30">
      <c r="J18" s="1" t="s">
        <v>9</v>
      </c>
      <c r="K18" s="10" t="str">
        <f>IFERROR( _xlfn.CONCAT(M$3, IF($D4="", "", _xlfn.UNICHAR(HEX2DEC(RIGHT($D4,4))))), "")</f>
        <v>u</v>
      </c>
      <c r="L18" s="10" t="str">
        <f>IFERROR( _xlfn.CONCAT(M$3, IF($D5="", "", _xlfn.UNICHAR(HEX2DEC(RIGHT($D5,4))))), "")</f>
        <v>ú</v>
      </c>
      <c r="M18" s="10" t="str">
        <f>IFERROR( _xlfn.CONCAT(M$3, IF($D6="", "", _xlfn.UNICHAR(HEX2DEC(RIGHT($D6,4))))), "")</f>
        <v>ù</v>
      </c>
      <c r="N18" s="10" t="str">
        <f>IFERROR( _xlfn.CONCAT(M$3, IF($D7="", "", _xlfn.UNICHAR(HEX2DEC(RIGHT($D7,4))))), "")</f>
        <v>u</v>
      </c>
      <c r="O18" s="10" t="str">
        <f>IFERROR( _xlfn.CONCAT(M$3, IF($D8="", "", _xlfn.UNICHAR(HEX2DEC(RIGHT($D8,4))))), "")</f>
        <v>û</v>
      </c>
      <c r="P18" s="10" t="str">
        <f>IFERROR( _xlfn.CONCAT(M$3, IF($D9="", "", _xlfn.UNICHAR(HEX2DEC(RIGHT($D9,4))))), "")</f>
        <v>ú</v>
      </c>
      <c r="Q18" s="10" t="str">
        <f>IFERROR( _xlfn.CONCAT(M$3, IF($D10="", "", _xlfn.UNICHAR(HEX2DEC(RIGHT($D10,4))))), "")</f>
        <v>ū</v>
      </c>
      <c r="R18" s="10" t="str">
        <f>IFERROR( _xlfn.CONCAT(M$3, IF($D11="", "", _xlfn.UNICHAR(HEX2DEC(RIGHT($D11,4))))), "")</f>
        <v>u̍</v>
      </c>
      <c r="S18" s="10" t="str">
        <f>IFERROR( _xlfn.CONCAT(M$3, IF($D12="", "", _xlfn.UNICHAR(HEX2DEC(RIGHT($D12,4))))), "")</f>
        <v>ű</v>
      </c>
      <c r="T18" s="10" t="str">
        <f>IFERROR( _xlfn.CONCAT(M$3, IF($D13="", "", _xlfn.UNICHAR(HEX2DEC(RIGHT($D13,4))))), "")</f>
        <v>ů</v>
      </c>
      <c r="V18" t="str">
        <f t="shared" si="9"/>
        <v xml:space="preserve">    - xform/u1/u/</v>
      </c>
      <c r="W18" t="str">
        <f t="shared" si="5"/>
        <v xml:space="preserve">    - xform/u2/ú/</v>
      </c>
      <c r="X18" t="str">
        <f t="shared" si="5"/>
        <v xml:space="preserve">    - xform/u3/ù/</v>
      </c>
      <c r="Y18" t="str">
        <f t="shared" si="5"/>
        <v xml:space="preserve">    - xform/u4/u/</v>
      </c>
      <c r="Z18" t="str">
        <f t="shared" si="5"/>
        <v xml:space="preserve">    - xform/u5/û/</v>
      </c>
      <c r="AA18" t="str">
        <f t="shared" si="5"/>
        <v xml:space="preserve">    - xform/u6/ú/</v>
      </c>
      <c r="AB18" t="str">
        <f t="shared" si="10"/>
        <v xml:space="preserve">    - xform/u7/ū/</v>
      </c>
      <c r="AC18" t="str">
        <f t="shared" si="6"/>
        <v xml:space="preserve">    - xform/u8/u̍/</v>
      </c>
      <c r="AD18" t="str">
        <f t="shared" si="7"/>
        <v xml:space="preserve">    - xform/u9/ű/</v>
      </c>
      <c r="AE18" t="str">
        <f t="shared" si="8"/>
        <v xml:space="preserve">    - xform/u0/ů/</v>
      </c>
    </row>
    <row r="19" spans="10:31" ht="30">
      <c r="J19" s="1" t="s">
        <v>10</v>
      </c>
      <c r="K19" s="10" t="str">
        <f>IFERROR( _xlfn.CONCAT(N$3, IF($D4="", "", _xlfn.UNICHAR(HEX2DEC(RIGHT($D4,4))))), "")</f>
        <v>e</v>
      </c>
      <c r="L19" s="10" t="str">
        <f>IFERROR( _xlfn.CONCAT(N$3, IF($D5="", "", _xlfn.UNICHAR(HEX2DEC(RIGHT($D5,4))))), "")</f>
        <v>é</v>
      </c>
      <c r="M19" s="10" t="str">
        <f>IFERROR( _xlfn.CONCAT(N$3, IF($D6="", "", _xlfn.UNICHAR(HEX2DEC(RIGHT($D6,4))))), "")</f>
        <v>è</v>
      </c>
      <c r="N19" s="10" t="str">
        <f>IFERROR( _xlfn.CONCAT(N$3, IF($D7="", "", _xlfn.UNICHAR(HEX2DEC(RIGHT($D7,4))))), "")</f>
        <v>e</v>
      </c>
      <c r="O19" s="10" t="str">
        <f>IFERROR( _xlfn.CONCAT(N$3, IF($D8="", "", _xlfn.UNICHAR(HEX2DEC(RIGHT($D8,4))))), "")</f>
        <v>ê</v>
      </c>
      <c r="P19" s="10" t="str">
        <f>IFERROR( _xlfn.CONCAT(N$3, IF($D9="", "", _xlfn.UNICHAR(HEX2DEC(RIGHT($D9,4))))), "")</f>
        <v>é</v>
      </c>
      <c r="Q19" s="10" t="str">
        <f>IFERROR( _xlfn.CONCAT(N$3, IF($D10="", "", _xlfn.UNICHAR(HEX2DEC(RIGHT($D10,4))))), "")</f>
        <v>ē</v>
      </c>
      <c r="R19" s="10" t="str">
        <f>IFERROR( _xlfn.CONCAT(N$3, IF($D11="", "", _xlfn.UNICHAR(HEX2DEC(RIGHT($D11,4))))), "")</f>
        <v>e̍</v>
      </c>
      <c r="S19" s="10" t="str">
        <f>IFERROR( _xlfn.CONCAT(N$3, IF($D12="", "", _xlfn.UNICHAR(HEX2DEC(RIGHT($D12,4))))), "")</f>
        <v>e̋</v>
      </c>
      <c r="T19" s="10" t="str">
        <f>IFERROR( _xlfn.CONCAT(N$3, IF($D13="", "", _xlfn.UNICHAR(HEX2DEC(RIGHT($D13,4))))), "")</f>
        <v>e̊</v>
      </c>
      <c r="V19" t="str">
        <f t="shared" si="9"/>
        <v xml:space="preserve">    - xform/e1/e/</v>
      </c>
      <c r="W19" t="str">
        <f t="shared" si="5"/>
        <v xml:space="preserve">    - xform/e2/é/</v>
      </c>
      <c r="X19" t="str">
        <f t="shared" si="5"/>
        <v xml:space="preserve">    - xform/e3/è/</v>
      </c>
      <c r="Y19" t="str">
        <f t="shared" si="5"/>
        <v xml:space="preserve">    - xform/e4/e/</v>
      </c>
      <c r="Z19" t="str">
        <f t="shared" si="5"/>
        <v xml:space="preserve">    - xform/e5/ê/</v>
      </c>
      <c r="AA19" t="str">
        <f t="shared" si="5"/>
        <v xml:space="preserve">    - xform/e6/é/</v>
      </c>
      <c r="AB19" t="str">
        <f t="shared" si="10"/>
        <v xml:space="preserve">    - xform/e7/ē/</v>
      </c>
      <c r="AC19" t="str">
        <f t="shared" si="6"/>
        <v xml:space="preserve">    - xform/e8/e̍/</v>
      </c>
      <c r="AD19" t="str">
        <f t="shared" si="7"/>
        <v xml:space="preserve">    - xform/e9/e̋/</v>
      </c>
      <c r="AE19" t="str">
        <f t="shared" si="8"/>
        <v xml:space="preserve">    - xform/e0/e̊/</v>
      </c>
    </row>
    <row r="20" spans="10:31" ht="30">
      <c r="J20" s="1" t="s">
        <v>11</v>
      </c>
      <c r="K20" s="10" t="str">
        <f>IFERROR( _xlfn.CONCAT(O$3, IF($D4="", "", _xlfn.UNICHAR(HEX2DEC(RIGHT($D4,4))))), "")</f>
        <v>o</v>
      </c>
      <c r="L20" s="10" t="str">
        <f>IFERROR( _xlfn.CONCAT(O$3, IF($D5="", "", _xlfn.UNICHAR(HEX2DEC(RIGHT($D5,4))))), "")</f>
        <v>ó</v>
      </c>
      <c r="M20" s="10" t="str">
        <f>IFERROR( _xlfn.CONCAT(O$3, IF($D6="", "", _xlfn.UNICHAR(HEX2DEC(RIGHT($D6,4))))), "")</f>
        <v>ò</v>
      </c>
      <c r="N20" s="10" t="str">
        <f>IFERROR( _xlfn.CONCAT(O$3, IF($D7="", "", _xlfn.UNICHAR(HEX2DEC(RIGHT($D7,4))))), "")</f>
        <v>o</v>
      </c>
      <c r="O20" s="10" t="str">
        <f>IFERROR( _xlfn.CONCAT(O$3, IF($D8="", "", _xlfn.UNICHAR(HEX2DEC(RIGHT($D8,4))))), "")</f>
        <v>ô</v>
      </c>
      <c r="P20" s="10" t="str">
        <f>IFERROR( _xlfn.CONCAT(O$3, IF($D9="", "", _xlfn.UNICHAR(HEX2DEC(RIGHT($D9,4))))), "")</f>
        <v>ó</v>
      </c>
      <c r="Q20" s="10" t="str">
        <f>IFERROR( _xlfn.CONCAT(O$3, IF($D10="", "", _xlfn.UNICHAR(HEX2DEC(RIGHT($D10,4))))), "")</f>
        <v>ō</v>
      </c>
      <c r="R20" s="10" t="str">
        <f>IFERROR( _xlfn.CONCAT(O$3, IF($D11="", "", _xlfn.UNICHAR(HEX2DEC(RIGHT($D11,4))))), "")</f>
        <v>o̍</v>
      </c>
      <c r="S20" s="10" t="str">
        <f>IFERROR( _xlfn.CONCAT(O$3, IF($D12="", "", _xlfn.UNICHAR(HEX2DEC(RIGHT($D12,4))))), "")</f>
        <v>ő</v>
      </c>
      <c r="T20" s="10" t="str">
        <f>IFERROR( _xlfn.CONCAT(O$3, IF($D13="", "", _xlfn.UNICHAR(HEX2DEC(RIGHT($D13,4))))), "")</f>
        <v>o̊</v>
      </c>
      <c r="V20" t="str">
        <f t="shared" si="9"/>
        <v xml:space="preserve">    - xform/o1/o/</v>
      </c>
      <c r="W20" t="str">
        <f t="shared" si="5"/>
        <v xml:space="preserve">    - xform/o2/ó/</v>
      </c>
      <c r="X20" t="str">
        <f t="shared" si="5"/>
        <v xml:space="preserve">    - xform/o3/ò/</v>
      </c>
      <c r="Y20" t="str">
        <f t="shared" si="5"/>
        <v xml:space="preserve">    - xform/o4/o/</v>
      </c>
      <c r="Z20" t="str">
        <f t="shared" si="5"/>
        <v xml:space="preserve">    - xform/o5/ô/</v>
      </c>
      <c r="AA20" t="str">
        <f t="shared" si="5"/>
        <v xml:space="preserve">    - xform/o6/ó/</v>
      </c>
      <c r="AB20" t="str">
        <f t="shared" si="10"/>
        <v xml:space="preserve">    - xform/o7/ō/</v>
      </c>
      <c r="AC20" t="str">
        <f t="shared" si="6"/>
        <v xml:space="preserve">    - xform/o8/o̍/</v>
      </c>
      <c r="AD20" t="str">
        <f t="shared" si="7"/>
        <v xml:space="preserve">    - xform/o9/ő/</v>
      </c>
      <c r="AE20" t="str">
        <f t="shared" si="8"/>
        <v xml:space="preserve">    - xform/o0/o̊/</v>
      </c>
    </row>
    <row r="21" spans="10:31" ht="30">
      <c r="J21" s="1" t="s">
        <v>12</v>
      </c>
      <c r="K21" s="10" t="str">
        <f>IFERROR( _xlfn.CONCAT(P$3, IF($D4="", "", _xlfn.UNICHAR(HEX2DEC(RIGHT($D4,4))))), "")</f>
        <v>m</v>
      </c>
      <c r="L21" s="10" t="str">
        <f>IFERROR( _xlfn.CONCAT(P$3, IF($D5="", "", _xlfn.UNICHAR(HEX2DEC(RIGHT($D5,4))))), "")</f>
        <v>ḿ</v>
      </c>
      <c r="M21" s="10" t="str">
        <f>IFERROR( _xlfn.CONCAT(P$3, IF($D6="", "", _xlfn.UNICHAR(HEX2DEC(RIGHT($D6,4))))), "")</f>
        <v>m̀</v>
      </c>
      <c r="N21" s="10" t="str">
        <f>IFERROR( _xlfn.CONCAT(P$3, IF($D7="", "", _xlfn.UNICHAR(HEX2DEC(RIGHT($D7,4))))), "")</f>
        <v>m</v>
      </c>
      <c r="O21" s="10" t="str">
        <f>IFERROR( _xlfn.CONCAT(P$3, IF($D8="", "", _xlfn.UNICHAR(HEX2DEC(RIGHT($D8,4))))), "")</f>
        <v>m̂</v>
      </c>
      <c r="P21" s="10" t="str">
        <f>IFERROR( _xlfn.CONCAT(P$3, IF($D9="", "", _xlfn.UNICHAR(HEX2DEC(RIGHT($D9,4))))), "")</f>
        <v>ḿ</v>
      </c>
      <c r="Q21" s="10" t="str">
        <f>IFERROR( _xlfn.CONCAT(P$3, IF($D10="", "", _xlfn.UNICHAR(HEX2DEC(RIGHT($D10,4))))), "")</f>
        <v>m̄</v>
      </c>
      <c r="R21" s="10" t="str">
        <f>IFERROR( _xlfn.CONCAT(P$3, IF($D11="", "", _xlfn.UNICHAR(HEX2DEC(RIGHT($D11,4))))), "")</f>
        <v>m̍</v>
      </c>
      <c r="S21" s="10" t="str">
        <f>IFERROR( _xlfn.CONCAT(P$3, IF($D12="", "", _xlfn.UNICHAR(HEX2DEC(RIGHT($D12,4))))), "")</f>
        <v>m̋</v>
      </c>
      <c r="T21" s="10" t="str">
        <f>IFERROR( _xlfn.CONCAT(P$3, IF($D13="", "", _xlfn.UNICHAR(HEX2DEC(RIGHT($D13,4))))), "")</f>
        <v>m̊</v>
      </c>
      <c r="V21" t="str">
        <f t="shared" si="9"/>
        <v xml:space="preserve">    - xform/m1/m/</v>
      </c>
      <c r="W21" t="str">
        <f t="shared" si="5"/>
        <v xml:space="preserve">    - xform/m2/ḿ/</v>
      </c>
      <c r="X21" t="str">
        <f t="shared" si="5"/>
        <v xml:space="preserve">    - xform/m3/m̀/</v>
      </c>
      <c r="Y21" t="str">
        <f t="shared" si="5"/>
        <v xml:space="preserve">    - xform/m4/m/</v>
      </c>
      <c r="Z21" t="str">
        <f t="shared" si="5"/>
        <v xml:space="preserve">    - xform/m5/m̂/</v>
      </c>
      <c r="AA21" t="str">
        <f t="shared" si="5"/>
        <v xml:space="preserve">    - xform/m6/ḿ/</v>
      </c>
      <c r="AB21" t="str">
        <f t="shared" si="10"/>
        <v xml:space="preserve">    - xform/m7/m̄/</v>
      </c>
      <c r="AC21" t="str">
        <f t="shared" si="6"/>
        <v xml:space="preserve">    - xform/m8/m̍/</v>
      </c>
      <c r="AD21" t="str">
        <f t="shared" si="7"/>
        <v xml:space="preserve">    - xform/m9/m̋/</v>
      </c>
      <c r="AE21" t="str">
        <f t="shared" si="8"/>
        <v xml:space="preserve">    - xform/m0/m̊/</v>
      </c>
    </row>
    <row r="22" spans="10:31" ht="30">
      <c r="J22" s="1" t="s">
        <v>13</v>
      </c>
      <c r="K22" s="10" t="str">
        <f>IFERROR( _xlfn.CONCAT(Q$3, IF($D4="", "", _xlfn.UNICHAR(HEX2DEC(RIGHT($D4,4))))), "")</f>
        <v>n</v>
      </c>
      <c r="L22" s="10" t="str">
        <f>IFERROR( _xlfn.CONCAT(Q$3, IF($D5="", "", _xlfn.UNICHAR(HEX2DEC(RIGHT($D5,4))))), "")</f>
        <v>ń</v>
      </c>
      <c r="M22" s="10" t="str">
        <f>IFERROR( _xlfn.CONCAT(Q$3, IF($D6="", "", _xlfn.UNICHAR(HEX2DEC(RIGHT($D6,4))))), "")</f>
        <v>ǹ</v>
      </c>
      <c r="N22" s="10" t="str">
        <f>IFERROR( _xlfn.CONCAT(Q$3, IF($D7="", "", _xlfn.UNICHAR(HEX2DEC(RIGHT($D7,4))))), "")</f>
        <v>n</v>
      </c>
      <c r="O22" s="10" t="str">
        <f>IFERROR( _xlfn.CONCAT(Q$3, IF($D8="", "", _xlfn.UNICHAR(HEX2DEC(RIGHT($D8,4))))), "")</f>
        <v>n̂</v>
      </c>
      <c r="P22" s="10" t="str">
        <f>IFERROR( _xlfn.CONCAT(Q$3, IF($D9="", "", _xlfn.UNICHAR(HEX2DEC(RIGHT($D9,4))))), "")</f>
        <v>ń</v>
      </c>
      <c r="Q22" s="10" t="str">
        <f>IFERROR( _xlfn.CONCAT(Q$3, IF($D10="", "", _xlfn.UNICHAR(HEX2DEC(RIGHT($D10,4))))), "")</f>
        <v>n̄</v>
      </c>
      <c r="R22" s="10" t="str">
        <f>IFERROR( _xlfn.CONCAT(Q$3, IF($D11="", "", _xlfn.UNICHAR(HEX2DEC(RIGHT($D11,4))))), "")</f>
        <v>n̍</v>
      </c>
      <c r="S22" s="10" t="str">
        <f>IFERROR( _xlfn.CONCAT(Q$3, IF($D12="", "", _xlfn.UNICHAR(HEX2DEC(RIGHT($D12,4))))), "")</f>
        <v>n̋</v>
      </c>
      <c r="T22" s="10" t="str">
        <f>IFERROR( _xlfn.CONCAT(Q$3, IF($D13="", "", _xlfn.UNICHAR(HEX2DEC(RIGHT($D13,4))))), "")</f>
        <v>n̊</v>
      </c>
      <c r="V22" t="str">
        <f t="shared" si="9"/>
        <v xml:space="preserve">    - xform/n1/n/</v>
      </c>
      <c r="W22" t="str">
        <f t="shared" si="5"/>
        <v xml:space="preserve">    - xform/n2/ń/</v>
      </c>
      <c r="X22" t="str">
        <f t="shared" si="5"/>
        <v xml:space="preserve">    - xform/n3/ǹ/</v>
      </c>
      <c r="Y22" t="str">
        <f t="shared" si="5"/>
        <v xml:space="preserve">    - xform/n4/n/</v>
      </c>
      <c r="Z22" t="str">
        <f t="shared" si="5"/>
        <v xml:space="preserve">    - xform/n5/n̂/</v>
      </c>
      <c r="AA22" t="str">
        <f t="shared" si="5"/>
        <v xml:space="preserve">    - xform/n6/ń/</v>
      </c>
      <c r="AB22" t="str">
        <f t="shared" si="10"/>
        <v xml:space="preserve">    - xform/n7/n̄/</v>
      </c>
      <c r="AC22" t="str">
        <f t="shared" si="6"/>
        <v xml:space="preserve">    - xform/n8/n̍/</v>
      </c>
      <c r="AD22" t="str">
        <f t="shared" si="7"/>
        <v xml:space="preserve">    - xform/n9/n̋/</v>
      </c>
      <c r="AE22" t="str">
        <f t="shared" si="8"/>
        <v xml:space="preserve">    - xform/n0/n̊/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【調】韻母標調</vt:lpstr>
      <vt:lpstr>【調】韻母標調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2026-05-24T08:48:24Z</dcterms:created>
  <dcterms:modified xsi:type="dcterms:W3CDTF">2026-05-24T10:24:25Z</dcterms:modified>
</cp:coreProperties>
</file>