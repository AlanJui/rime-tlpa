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rime-tlpa\docs\"/>
    </mc:Choice>
  </mc:AlternateContent>
  <xr:revisionPtr revIDLastSave="0" documentId="13_ncr:1_{D72500C0-6F35-4BEE-B100-C30B51E72960}" xr6:coauthVersionLast="47" xr6:coauthVersionMax="47" xr10:uidLastSave="{00000000-0000-0000-0000-000000000000}"/>
  <bookViews>
    <workbookView xWindow="-120" yWindow="-120" windowWidth="38640" windowHeight="15720" activeTab="2" xr2:uid="{885B8DD4-287C-4F53-95A6-825AF7BB6DE5}"/>
  </bookViews>
  <sheets>
    <sheet name="注音編碼對照表" sheetId="12" r:id="rId1"/>
    <sheet name="按鍵設計" sheetId="22" r:id="rId2"/>
    <sheet name="輸入方案設計規格" sheetId="5" r:id="rId3"/>
    <sheet name="按鍵設計 (2)" sheetId="27" r:id="rId4"/>
    <sheet name="輸入方案設計規格 (2)" sheetId="26" r:id="rId5"/>
    <sheet name="工作表1" sheetId="23" r:id="rId6"/>
    <sheet name="台羅轉換注音二式規則" sheetId="20" r:id="rId7"/>
    <sheet name="ㆦㄜ對映" sheetId="21" r:id="rId8"/>
    <sheet name="台羅轉換注音二式音標字母" sheetId="17" r:id="rId9"/>
    <sheet name="漢字庫" sheetId="19" r:id="rId10"/>
    <sheet name="方音聲母" sheetId="13" r:id="rId11"/>
    <sheet name="方音韻母" sheetId="14" r:id="rId12"/>
    <sheet name=" 所有入聲韻" sheetId="15" r:id="rId13"/>
    <sheet name="拼音鍵盤" sheetId="24" r:id="rId14"/>
    <sheet name="各種台灣語言拼音對照簡表" sheetId="25" r:id="rId15"/>
    <sheet name="參考鍵盤" sheetId="2" r:id="rId16"/>
    <sheet name="參考鍵盤（2）" sheetId="16" r:id="rId17"/>
  </sheets>
  <externalReferences>
    <externalReference r:id="rId18"/>
  </externalReferences>
  <definedNames>
    <definedName name="_xlnm._FilterDatabase" localSheetId="13" hidden="1">拼音鍵盤!#REF!</definedName>
    <definedName name="_xlnm._FilterDatabase" localSheetId="1" hidden="1">按鍵設計!$C$4:$O$61</definedName>
    <definedName name="_xlnm._FilterDatabase" localSheetId="3" hidden="1">'按鍵設計 (2)'!$C$4:$M$61</definedName>
    <definedName name="_xlnm._FilterDatabase" localSheetId="9" hidden="1">漢字庫!$A$1:$G$6895</definedName>
    <definedName name="_xlnm._FilterDatabase" localSheetId="2" hidden="1">輸入方案設計規格!$BP$4:$BU$61</definedName>
    <definedName name="_xlnm._FilterDatabase" localSheetId="4" hidden="1">'輸入方案設計規格 (2)'!$BP$4:$BU$61</definedName>
    <definedName name="_xlnm.Criteria" localSheetId="13">拼音鍵盤!#REF!</definedName>
    <definedName name="_xlnm.Criteria" localSheetId="1">按鍵設計!$U$1:$U$2</definedName>
    <definedName name="_xlnm.Criteria" localSheetId="3">'按鍵設計 (2)'!$U$1:$U$2</definedName>
    <definedName name="_xlnm.Criteria" localSheetId="2">輸入方案設計規格!$BZ$1:$BZ$2</definedName>
    <definedName name="_xlnm.Criteria" localSheetId="4">'輸入方案設計規格 (2)'!$BZ$1:$BZ$2</definedName>
    <definedName name="_xlnm.Extract" localSheetId="13">拼音鍵盤!#REF!</definedName>
    <definedName name="_xlnm.Extract" localSheetId="1">按鍵設計!$U$4:$AB$4</definedName>
    <definedName name="_xlnm.Extract" localSheetId="3">'按鍵設計 (2)'!$U$4:$AB$4</definedName>
    <definedName name="_xlnm.Extract" localSheetId="2">輸入方案設計規格!$BZ$4:$CE$5</definedName>
    <definedName name="_xlnm.Extract" localSheetId="4">'輸入方案設計規格 (2)'!$BZ$4:$CE$5</definedName>
    <definedName name="方音符號" localSheetId="7">#REF!</definedName>
    <definedName name="方音符號" localSheetId="6">#REF!</definedName>
    <definedName name="方音符號" localSheetId="13">#REF!</definedName>
    <definedName name="方音符號" localSheetId="1">#REF!</definedName>
    <definedName name="方音符號" localSheetId="3">#REF!</definedName>
    <definedName name="方音符號" localSheetId="2">#REF!</definedName>
    <definedName name="方音符號" localSheetId="4">#REF!</definedName>
    <definedName name="方音符號">[1]RIME編碼!$AA$3:$AA$45</definedName>
    <definedName name="字典編碼" localSheetId="7">#REF!</definedName>
    <definedName name="字典編碼" localSheetId="6">#REF!</definedName>
    <definedName name="字典編碼" localSheetId="13">#REF!</definedName>
    <definedName name="字典編碼" localSheetId="1">#REF!</definedName>
    <definedName name="字典編碼" localSheetId="3">#REF!</definedName>
    <definedName name="字典編碼" localSheetId="2">#REF!</definedName>
    <definedName name="字典編碼" localSheetId="4">#REF!</definedName>
    <definedName name="字典編碼">[1]RIME編碼!$AB$3:$AB$45</definedName>
    <definedName name="注音符號">#REF!</definedName>
    <definedName name="注音編碼">#REF!</definedName>
    <definedName name="拼音字母" localSheetId="7">#REF!</definedName>
    <definedName name="拼音字母" localSheetId="6">#REF!</definedName>
    <definedName name="拼音字母" localSheetId="13">#REF!</definedName>
    <definedName name="拼音字母" localSheetId="1">#REF!</definedName>
    <definedName name="拼音字母" localSheetId="3">#REF!</definedName>
    <definedName name="拼音字母" localSheetId="2">#REF!</definedName>
    <definedName name="拼音字母" localSheetId="4">#REF!</definedName>
    <definedName name="拼音字母">[1]RIME編碼!$AC$3:$AC$45</definedName>
    <definedName name="鍵盤位置" localSheetId="7">#REF!</definedName>
    <definedName name="鍵盤位置" localSheetId="6">#REF!</definedName>
    <definedName name="鍵盤位置" localSheetId="13">#REF!</definedName>
    <definedName name="鍵盤位置" localSheetId="1">#REF!</definedName>
    <definedName name="鍵盤位置" localSheetId="3">#REF!</definedName>
    <definedName name="鍵盤位置" localSheetId="2">#REF!</definedName>
    <definedName name="鍵盤位置" localSheetId="4">#REF!</definedName>
    <definedName name="鍵盤位置">[1]RIME編碼!$W$3:$W$40</definedName>
    <definedName name="鍵盤按鍵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0" i="27" l="1"/>
  <c r="E70" i="27" s="1"/>
  <c r="D71" i="27"/>
  <c r="E71" i="27" s="1"/>
  <c r="D72" i="27"/>
  <c r="E72" i="27" s="1"/>
  <c r="D73" i="27"/>
  <c r="E73" i="27" s="1"/>
  <c r="I73" i="27"/>
  <c r="J73" i="27" s="1"/>
  <c r="I72" i="27"/>
  <c r="J72" i="27" s="1"/>
  <c r="I71" i="27"/>
  <c r="J71" i="27" s="1"/>
  <c r="I70" i="27"/>
  <c r="J70" i="27" s="1"/>
  <c r="T61" i="27"/>
  <c r="S61" i="27"/>
  <c r="Q61" i="27"/>
  <c r="B61" i="27"/>
  <c r="T60" i="27"/>
  <c r="S60" i="27"/>
  <c r="Q60" i="27"/>
  <c r="B60" i="27"/>
  <c r="T59" i="27"/>
  <c r="S59" i="27"/>
  <c r="Q59" i="27"/>
  <c r="B59" i="27"/>
  <c r="T58" i="27"/>
  <c r="S58" i="27"/>
  <c r="Q58" i="27"/>
  <c r="B58" i="27"/>
  <c r="T57" i="27"/>
  <c r="S57" i="27"/>
  <c r="Q57" i="27"/>
  <c r="B57" i="27"/>
  <c r="T56" i="27"/>
  <c r="S56" i="27"/>
  <c r="Q56" i="27"/>
  <c r="B56" i="27"/>
  <c r="AE55" i="27"/>
  <c r="T55" i="27"/>
  <c r="S55" i="27"/>
  <c r="Q55" i="27"/>
  <c r="B55" i="27"/>
  <c r="T54" i="27"/>
  <c r="S54" i="27"/>
  <c r="Q54" i="27"/>
  <c r="B54" i="27"/>
  <c r="T53" i="27"/>
  <c r="S53" i="27"/>
  <c r="Q53" i="27"/>
  <c r="B53" i="27"/>
  <c r="T52" i="27"/>
  <c r="S52" i="27"/>
  <c r="Q52" i="27"/>
  <c r="B52" i="27"/>
  <c r="T51" i="27"/>
  <c r="S51" i="27"/>
  <c r="Q51" i="27"/>
  <c r="B51" i="27"/>
  <c r="T50" i="27"/>
  <c r="S50" i="27"/>
  <c r="Q50" i="27"/>
  <c r="B50" i="27"/>
  <c r="T49" i="27"/>
  <c r="S49" i="27"/>
  <c r="Q49" i="27"/>
  <c r="B49" i="27"/>
  <c r="T48" i="27"/>
  <c r="S48" i="27"/>
  <c r="Q48" i="27"/>
  <c r="B48" i="27"/>
  <c r="T47" i="27"/>
  <c r="S47" i="27"/>
  <c r="Q47" i="27"/>
  <c r="B47" i="27"/>
  <c r="T46" i="27"/>
  <c r="S46" i="27"/>
  <c r="Q46" i="27"/>
  <c r="B46" i="27"/>
  <c r="T45" i="27"/>
  <c r="S45" i="27"/>
  <c r="Q45" i="27"/>
  <c r="B45" i="27"/>
  <c r="T44" i="27"/>
  <c r="S44" i="27"/>
  <c r="Q44" i="27"/>
  <c r="B44" i="27"/>
  <c r="T43" i="27"/>
  <c r="S43" i="27"/>
  <c r="Q43" i="27"/>
  <c r="B43" i="27"/>
  <c r="T42" i="27"/>
  <c r="S42" i="27"/>
  <c r="Q42" i="27"/>
  <c r="B42" i="27"/>
  <c r="T41" i="27"/>
  <c r="S41" i="27"/>
  <c r="Q41" i="27"/>
  <c r="B41" i="27"/>
  <c r="T40" i="27"/>
  <c r="S40" i="27"/>
  <c r="P40" i="27"/>
  <c r="Q40" i="27"/>
  <c r="B40" i="27"/>
  <c r="T39" i="27"/>
  <c r="S39" i="27"/>
  <c r="Q39" i="27"/>
  <c r="B39" i="27"/>
  <c r="T38" i="27"/>
  <c r="S38" i="27"/>
  <c r="Q38" i="27"/>
  <c r="B38" i="27"/>
  <c r="T37" i="27"/>
  <c r="S37" i="27"/>
  <c r="Q37" i="27"/>
  <c r="B37" i="27"/>
  <c r="T36" i="27"/>
  <c r="S36" i="27"/>
  <c r="B36" i="27"/>
  <c r="T35" i="27"/>
  <c r="S35" i="27"/>
  <c r="Q35" i="27"/>
  <c r="B35" i="27"/>
  <c r="T34" i="27"/>
  <c r="S34" i="27"/>
  <c r="Q34" i="27"/>
  <c r="B34" i="27"/>
  <c r="T33" i="27"/>
  <c r="S33" i="27"/>
  <c r="Q33" i="27"/>
  <c r="B33" i="27"/>
  <c r="T32" i="27"/>
  <c r="S32" i="27"/>
  <c r="Q32" i="27"/>
  <c r="B32" i="27"/>
  <c r="T31" i="27"/>
  <c r="S31" i="27"/>
  <c r="Q31" i="27"/>
  <c r="B31" i="27"/>
  <c r="T30" i="27"/>
  <c r="S30" i="27"/>
  <c r="Q30" i="27"/>
  <c r="B30" i="27"/>
  <c r="T29" i="27"/>
  <c r="S29" i="27"/>
  <c r="Q29" i="27"/>
  <c r="B29" i="27"/>
  <c r="T28" i="27"/>
  <c r="S28" i="27"/>
  <c r="Q28" i="27"/>
  <c r="B28" i="27"/>
  <c r="T27" i="27"/>
  <c r="S27" i="27"/>
  <c r="Q27" i="27"/>
  <c r="B27" i="27"/>
  <c r="T26" i="27"/>
  <c r="S26" i="27"/>
  <c r="Q26" i="27"/>
  <c r="B26" i="27"/>
  <c r="T25" i="27"/>
  <c r="S25" i="27"/>
  <c r="Q25" i="27"/>
  <c r="B25" i="27"/>
  <c r="T24" i="27"/>
  <c r="S24" i="27"/>
  <c r="Q24" i="27"/>
  <c r="B24" i="27"/>
  <c r="T23" i="27"/>
  <c r="S23" i="27"/>
  <c r="Q23" i="27"/>
  <c r="B23" i="27"/>
  <c r="T22" i="27"/>
  <c r="S22" i="27"/>
  <c r="Q22" i="27"/>
  <c r="B22" i="27"/>
  <c r="T21" i="27"/>
  <c r="S21" i="27"/>
  <c r="Q21" i="27"/>
  <c r="B21" i="27"/>
  <c r="T20" i="27"/>
  <c r="S20" i="27"/>
  <c r="Q20" i="27"/>
  <c r="B20" i="27"/>
  <c r="T19" i="27"/>
  <c r="S19" i="27"/>
  <c r="Q19" i="27"/>
  <c r="B19" i="27"/>
  <c r="T18" i="27"/>
  <c r="S18" i="27"/>
  <c r="Q18" i="27"/>
  <c r="B18" i="27"/>
  <c r="T17" i="27"/>
  <c r="S17" i="27"/>
  <c r="Q17" i="27"/>
  <c r="B17" i="27"/>
  <c r="T16" i="27"/>
  <c r="S16" i="27"/>
  <c r="Q16" i="27"/>
  <c r="B16" i="27"/>
  <c r="T15" i="27"/>
  <c r="S15" i="27"/>
  <c r="Q15" i="27"/>
  <c r="B15" i="27"/>
  <c r="T14" i="27"/>
  <c r="S14" i="27"/>
  <c r="Q14" i="27"/>
  <c r="B14" i="27"/>
  <c r="T13" i="27"/>
  <c r="S13" i="27"/>
  <c r="Q13" i="27"/>
  <c r="B13" i="27"/>
  <c r="T12" i="27"/>
  <c r="S12" i="27"/>
  <c r="Q12" i="27"/>
  <c r="B12" i="27"/>
  <c r="T11" i="27"/>
  <c r="S11" i="27"/>
  <c r="Q11" i="27"/>
  <c r="B11" i="27"/>
  <c r="T10" i="27"/>
  <c r="S10" i="27"/>
  <c r="Q10" i="27"/>
  <c r="B10" i="27"/>
  <c r="T9" i="27"/>
  <c r="S9" i="27"/>
  <c r="Q9" i="27"/>
  <c r="B9" i="27"/>
  <c r="T8" i="27"/>
  <c r="S8" i="27"/>
  <c r="Q8" i="27"/>
  <c r="B8" i="27"/>
  <c r="T7" i="27"/>
  <c r="S7" i="27"/>
  <c r="Q7" i="27"/>
  <c r="B7" i="27"/>
  <c r="T6" i="27"/>
  <c r="S6" i="27"/>
  <c r="B6" i="27"/>
  <c r="AK5" i="27"/>
  <c r="T5" i="27"/>
  <c r="S5" i="27"/>
  <c r="Q5" i="27"/>
  <c r="B5" i="27"/>
  <c r="U2" i="27"/>
  <c r="H4" i="5"/>
  <c r="H4" i="26"/>
  <c r="AH10" i="26"/>
  <c r="AH10" i="5"/>
  <c r="CI61" i="26"/>
  <c r="BY61" i="26"/>
  <c r="BO61" i="26"/>
  <c r="BN61" i="26" a="1"/>
  <c r="BN61" i="26" s="1"/>
  <c r="CI60" i="26"/>
  <c r="BY60" i="26"/>
  <c r="BO60" i="26"/>
  <c r="BN60" i="26" a="1"/>
  <c r="BN60" i="26" s="1"/>
  <c r="BM60" i="26" a="1"/>
  <c r="BM60" i="26" s="1"/>
  <c r="CI59" i="26"/>
  <c r="BY59" i="26"/>
  <c r="BO59" i="26"/>
  <c r="BN59" i="26" a="1"/>
  <c r="BN59" i="26" s="1"/>
  <c r="BM59" i="26" a="1"/>
  <c r="BM59" i="26" s="1"/>
  <c r="CI58" i="26"/>
  <c r="BY58" i="26"/>
  <c r="BO58" i="26"/>
  <c r="BN58" i="26" a="1"/>
  <c r="BN58" i="26" s="1"/>
  <c r="BM58" i="26" a="1"/>
  <c r="BM58" i="26" s="1"/>
  <c r="CI57" i="26"/>
  <c r="BY57" i="26"/>
  <c r="BO57" i="26"/>
  <c r="CI56" i="26"/>
  <c r="BY56" i="26"/>
  <c r="BO56" i="26"/>
  <c r="BN56" i="26" a="1"/>
  <c r="BN56" i="26" s="1"/>
  <c r="BM56" i="26" a="1"/>
  <c r="BM56" i="26" s="1"/>
  <c r="DA55" i="26"/>
  <c r="CI55" i="26"/>
  <c r="CG55" i="26"/>
  <c r="BY55" i="26"/>
  <c r="BO55" i="26"/>
  <c r="BN55" i="26" a="1"/>
  <c r="BN55" i="26" s="1"/>
  <c r="BM55" i="26" a="1"/>
  <c r="BM55" i="26" s="1"/>
  <c r="DA54" i="26"/>
  <c r="CI54" i="26"/>
  <c r="CG54" i="26"/>
  <c r="BY54" i="26"/>
  <c r="BO54" i="26"/>
  <c r="BN54" i="26" a="1"/>
  <c r="BN54" i="26" s="1"/>
  <c r="DA53" i="26"/>
  <c r="CI53" i="26"/>
  <c r="CG53" i="26"/>
  <c r="BY53" i="26"/>
  <c r="BO53" i="26"/>
  <c r="BN53" i="26" a="1"/>
  <c r="BN53" i="26" s="1"/>
  <c r="BM53" i="26" a="1"/>
  <c r="BM53" i="26" s="1"/>
  <c r="DA52" i="26"/>
  <c r="CI52" i="26"/>
  <c r="CG52" i="26"/>
  <c r="BY52" i="26"/>
  <c r="BO52" i="26"/>
  <c r="BN52" i="26" a="1"/>
  <c r="BN52" i="26" s="1"/>
  <c r="DA51" i="26"/>
  <c r="CI51" i="26"/>
  <c r="CG51" i="26"/>
  <c r="BY51" i="26"/>
  <c r="BO51" i="26"/>
  <c r="BN51" i="26" a="1"/>
  <c r="BN51" i="26" s="1"/>
  <c r="BM51" i="26" a="1"/>
  <c r="BM51" i="26" s="1"/>
  <c r="B51" i="26"/>
  <c r="DA50" i="26"/>
  <c r="CI50" i="26"/>
  <c r="CG50" i="26"/>
  <c r="BY50" i="26"/>
  <c r="BO50" i="26"/>
  <c r="BN50" i="26" a="1"/>
  <c r="BN50" i="26" s="1"/>
  <c r="DA49" i="26"/>
  <c r="CI49" i="26"/>
  <c r="CG49" i="26"/>
  <c r="BY49" i="26"/>
  <c r="BO49" i="26"/>
  <c r="BN49" i="26" a="1"/>
  <c r="BN49" i="26" s="1"/>
  <c r="DA48" i="26"/>
  <c r="CI48" i="26"/>
  <c r="CG48" i="26"/>
  <c r="BY48" i="26"/>
  <c r="BO48" i="26"/>
  <c r="BN48" i="26" a="1"/>
  <c r="BN48" i="26" s="1"/>
  <c r="DA47" i="26"/>
  <c r="CI47" i="26"/>
  <c r="CG47" i="26"/>
  <c r="BY47" i="26"/>
  <c r="BO47" i="26"/>
  <c r="BN47" i="26" a="1"/>
  <c r="BN47" i="26" s="1"/>
  <c r="DA46" i="26"/>
  <c r="CI46" i="26"/>
  <c r="CG46" i="26"/>
  <c r="BY46" i="26"/>
  <c r="BO46" i="26"/>
  <c r="BN46" i="26" a="1"/>
  <c r="BN46" i="26" s="1"/>
  <c r="DA45" i="26"/>
  <c r="CI45" i="26"/>
  <c r="CG45" i="26"/>
  <c r="BY45" i="26"/>
  <c r="BO45" i="26"/>
  <c r="BN45" i="26" a="1"/>
  <c r="BN45" i="26" s="1"/>
  <c r="BM45" i="26" a="1"/>
  <c r="BM45" i="26" s="1"/>
  <c r="DA44" i="26"/>
  <c r="CI44" i="26"/>
  <c r="CG44" i="26"/>
  <c r="BY44" i="26"/>
  <c r="BO44" i="26"/>
  <c r="BN44" i="26" a="1"/>
  <c r="BN44" i="26" s="1"/>
  <c r="DA43" i="26"/>
  <c r="CI43" i="26"/>
  <c r="CG43" i="26"/>
  <c r="BY43" i="26"/>
  <c r="BO43" i="26"/>
  <c r="BN43" i="26" a="1"/>
  <c r="BN43" i="26" s="1"/>
  <c r="DA42" i="26"/>
  <c r="CI42" i="26"/>
  <c r="CG42" i="26"/>
  <c r="BY42" i="26"/>
  <c r="BO42" i="26"/>
  <c r="BN42" i="26" a="1"/>
  <c r="BN42" i="26" s="1"/>
  <c r="DA41" i="26"/>
  <c r="CI41" i="26"/>
  <c r="CG41" i="26"/>
  <c r="BY41" i="26"/>
  <c r="BO41" i="26"/>
  <c r="BN41" i="26" a="1"/>
  <c r="BN41" i="26" s="1"/>
  <c r="DA40" i="26"/>
  <c r="CI40" i="26"/>
  <c r="CG40" i="26"/>
  <c r="BY40" i="26"/>
  <c r="BO40" i="26"/>
  <c r="BN40" i="26" a="1"/>
  <c r="BN40" i="26" s="1"/>
  <c r="DA39" i="26"/>
  <c r="CI39" i="26"/>
  <c r="CG39" i="26"/>
  <c r="BY39" i="26"/>
  <c r="BO39" i="26"/>
  <c r="BN39" i="26" a="1"/>
  <c r="BN39" i="26" s="1"/>
  <c r="DA38" i="26"/>
  <c r="CI38" i="26"/>
  <c r="CG38" i="26"/>
  <c r="BY38" i="26"/>
  <c r="BO38" i="26"/>
  <c r="BN38" i="26" a="1"/>
  <c r="BN38" i="26" s="1"/>
  <c r="DA37" i="26"/>
  <c r="CI37" i="26"/>
  <c r="CG37" i="26"/>
  <c r="BY37" i="26"/>
  <c r="BO37" i="26"/>
  <c r="BN37" i="26" a="1"/>
  <c r="BN37" i="26" s="1"/>
  <c r="DA36" i="26"/>
  <c r="CI36" i="26"/>
  <c r="CG36" i="26"/>
  <c r="BY36" i="26"/>
  <c r="BO36" i="26"/>
  <c r="BN36" i="26" a="1"/>
  <c r="BN36" i="26" s="1"/>
  <c r="DA35" i="26"/>
  <c r="CI35" i="26"/>
  <c r="CG35" i="26"/>
  <c r="BY35" i="26"/>
  <c r="BO35" i="26"/>
  <c r="BN35" i="26" a="1"/>
  <c r="BN35" i="26" s="1"/>
  <c r="DA34" i="26"/>
  <c r="CI34" i="26"/>
  <c r="CG34" i="26"/>
  <c r="BY34" i="26"/>
  <c r="BO34" i="26"/>
  <c r="BN34" i="26" a="1"/>
  <c r="BN34" i="26" s="1"/>
  <c r="DA33" i="26"/>
  <c r="CI33" i="26"/>
  <c r="CG33" i="26"/>
  <c r="BY33" i="26"/>
  <c r="BO33" i="26"/>
  <c r="BN33" i="26" a="1"/>
  <c r="BN33" i="26" s="1"/>
  <c r="DA32" i="26"/>
  <c r="CI32" i="26"/>
  <c r="CG32" i="26"/>
  <c r="BY32" i="26"/>
  <c r="BO32" i="26"/>
  <c r="BN32" i="26" a="1"/>
  <c r="BN32" i="26" s="1"/>
  <c r="DA31" i="26"/>
  <c r="CI31" i="26"/>
  <c r="CG31" i="26"/>
  <c r="BY31" i="26"/>
  <c r="BO31" i="26"/>
  <c r="BN31" i="26" a="1"/>
  <c r="BN31" i="26" s="1"/>
  <c r="B31" i="26"/>
  <c r="DA30" i="26"/>
  <c r="CI30" i="26"/>
  <c r="CG30" i="26"/>
  <c r="BY30" i="26"/>
  <c r="BO30" i="26"/>
  <c r="BN30" i="26" a="1"/>
  <c r="BN30" i="26" s="1"/>
  <c r="DA29" i="26"/>
  <c r="CI29" i="26"/>
  <c r="CG29" i="26"/>
  <c r="BY29" i="26"/>
  <c r="BO29" i="26"/>
  <c r="BN29" i="26" a="1"/>
  <c r="BN29" i="26" s="1"/>
  <c r="DA28" i="26"/>
  <c r="CI28" i="26"/>
  <c r="CG28" i="26"/>
  <c r="BY28" i="26"/>
  <c r="BO28" i="26"/>
  <c r="BN28" i="26" a="1"/>
  <c r="BN28" i="26" s="1"/>
  <c r="DA27" i="26"/>
  <c r="CI27" i="26"/>
  <c r="CG27" i="26"/>
  <c r="BY27" i="26"/>
  <c r="BO27" i="26"/>
  <c r="BN27" i="26" a="1"/>
  <c r="BN27" i="26" s="1"/>
  <c r="DA26" i="26"/>
  <c r="CI26" i="26"/>
  <c r="CG26" i="26"/>
  <c r="BY26" i="26"/>
  <c r="BO26" i="26"/>
  <c r="BN26" i="26" a="1"/>
  <c r="BN26" i="26" s="1"/>
  <c r="DA25" i="26"/>
  <c r="CI25" i="26"/>
  <c r="BY25" i="26"/>
  <c r="BO25" i="26"/>
  <c r="BN25" i="26" a="1"/>
  <c r="BN25" i="26" s="1"/>
  <c r="DA24" i="26"/>
  <c r="CI24" i="26"/>
  <c r="BY24" i="26"/>
  <c r="BO24" i="26"/>
  <c r="BN24" i="26" a="1"/>
  <c r="BN24" i="26" s="1"/>
  <c r="DA23" i="26"/>
  <c r="CI23" i="26"/>
  <c r="BY23" i="26"/>
  <c r="BO23" i="26"/>
  <c r="BN23" i="26" a="1"/>
  <c r="BN23" i="26" s="1"/>
  <c r="DA22" i="26"/>
  <c r="CI22" i="26"/>
  <c r="BY22" i="26"/>
  <c r="BO22" i="26"/>
  <c r="BN22" i="26" a="1"/>
  <c r="BN22" i="26" s="1"/>
  <c r="DA21" i="26"/>
  <c r="CI21" i="26"/>
  <c r="BY21" i="26"/>
  <c r="BO21" i="26"/>
  <c r="BN21" i="26" a="1"/>
  <c r="BN21" i="26" s="1"/>
  <c r="DA20" i="26"/>
  <c r="CI20" i="26"/>
  <c r="BY20" i="26"/>
  <c r="BO20" i="26"/>
  <c r="BN20" i="26" a="1"/>
  <c r="BN20" i="26" s="1"/>
  <c r="D20" i="26" a="1"/>
  <c r="D20" i="26" s="1"/>
  <c r="BT5" i="26" s="1" a="1"/>
  <c r="DA19" i="26"/>
  <c r="CI19" i="26"/>
  <c r="BY19" i="26"/>
  <c r="BO19" i="26"/>
  <c r="BN19" i="26" a="1"/>
  <c r="BN19" i="26" s="1"/>
  <c r="D19" i="26" a="1"/>
  <c r="DA18" i="26"/>
  <c r="CI18" i="26"/>
  <c r="BY18" i="26"/>
  <c r="BO18" i="26"/>
  <c r="BN18" i="26" a="1"/>
  <c r="BN18" i="26" s="1"/>
  <c r="BJ18" i="26"/>
  <c r="BI18" i="26"/>
  <c r="D18" i="26" a="1"/>
  <c r="DA17" i="26"/>
  <c r="CI17" i="26"/>
  <c r="BY17" i="26"/>
  <c r="BO17" i="26"/>
  <c r="BN17" i="26" a="1"/>
  <c r="BN17" i="26" s="1"/>
  <c r="BM17" i="26" a="1"/>
  <c r="BM17" i="26" s="1"/>
  <c r="D17" i="26" a="1"/>
  <c r="DA16" i="26"/>
  <c r="CI16" i="26"/>
  <c r="BY16" i="26"/>
  <c r="BO16" i="26"/>
  <c r="BN16" i="26" a="1"/>
  <c r="BN16" i="26" s="1"/>
  <c r="BM16" i="26" a="1"/>
  <c r="BM16" i="26" s="1"/>
  <c r="BJ16" i="26" a="1"/>
  <c r="BJ16" i="26" s="1"/>
  <c r="BI16" i="26" a="1"/>
  <c r="BI16" i="26" s="1"/>
  <c r="BH16" i="26" a="1"/>
  <c r="BH16" i="26" s="1"/>
  <c r="BG16" i="26" a="1"/>
  <c r="BG16" i="26" s="1"/>
  <c r="BF16" i="26" a="1"/>
  <c r="BF16" i="26" s="1"/>
  <c r="BE16" i="26" a="1"/>
  <c r="BE16" i="26" s="1"/>
  <c r="BD16" i="26" a="1"/>
  <c r="BD16" i="26" s="1"/>
  <c r="BC16" i="26" a="1"/>
  <c r="BC16" i="26" s="1"/>
  <c r="BB16" i="26" a="1"/>
  <c r="BB16" i="26" s="1"/>
  <c r="BA16" i="26" a="1"/>
  <c r="BA16" i="26" s="1"/>
  <c r="AZ16" i="26" a="1"/>
  <c r="AZ16" i="26" s="1"/>
  <c r="AY16" i="26" a="1"/>
  <c r="AY16" i="26" s="1"/>
  <c r="AX16" i="26" a="1"/>
  <c r="AX16" i="26" s="1"/>
  <c r="AW16" i="26" a="1"/>
  <c r="AW16" i="26" s="1"/>
  <c r="AV16" i="26" a="1"/>
  <c r="AV16" i="26" s="1"/>
  <c r="AU16" i="26" a="1"/>
  <c r="AU16" i="26" s="1"/>
  <c r="AT16" i="26" a="1"/>
  <c r="AT16" i="26" s="1"/>
  <c r="AS16" i="26" a="1"/>
  <c r="AS16" i="26" s="1"/>
  <c r="AR16" i="26" a="1"/>
  <c r="AR16" i="26" s="1"/>
  <c r="AQ16" i="26" a="1"/>
  <c r="AQ16" i="26" s="1"/>
  <c r="AP16" i="26" a="1"/>
  <c r="AP16" i="26" s="1"/>
  <c r="AO16" i="26" a="1"/>
  <c r="AO16" i="26" s="1"/>
  <c r="AN16" i="26" a="1"/>
  <c r="AN16" i="26" s="1"/>
  <c r="AM16" i="26" a="1"/>
  <c r="AM16" i="26" s="1"/>
  <c r="AL16" i="26" a="1"/>
  <c r="AL16" i="26" s="1"/>
  <c r="AK16" i="26" a="1"/>
  <c r="AK16" i="26" s="1"/>
  <c r="AJ16" i="26" a="1"/>
  <c r="AJ16" i="26" s="1"/>
  <c r="AI16" i="26" a="1"/>
  <c r="AI16" i="26" s="1"/>
  <c r="AH16" i="26" a="1"/>
  <c r="AH16" i="26" s="1"/>
  <c r="AG16" i="26" a="1"/>
  <c r="AG16" i="26" s="1"/>
  <c r="AF16" i="26" a="1"/>
  <c r="AF16" i="26" s="1"/>
  <c r="AE16" i="26" a="1"/>
  <c r="AE16" i="26" s="1"/>
  <c r="AD16" i="26" a="1"/>
  <c r="AD16" i="26" s="1"/>
  <c r="AC16" i="26" a="1"/>
  <c r="AC16" i="26" s="1"/>
  <c r="AB16" i="26" a="1"/>
  <c r="AB16" i="26" s="1"/>
  <c r="AA16" i="26" a="1"/>
  <c r="AA16" i="26" s="1"/>
  <c r="Z16" i="26" a="1"/>
  <c r="Z16" i="26" s="1"/>
  <c r="Y16" i="26" a="1"/>
  <c r="Y16" i="26" s="1"/>
  <c r="X16" i="26" a="1"/>
  <c r="X16" i="26" s="1"/>
  <c r="W16" i="26" a="1"/>
  <c r="W16" i="26" s="1"/>
  <c r="V16" i="26" a="1"/>
  <c r="V16" i="26" s="1"/>
  <c r="U16" i="26" a="1"/>
  <c r="U16" i="26" s="1"/>
  <c r="T16" i="26" a="1"/>
  <c r="T16" i="26" s="1"/>
  <c r="S16" i="26" a="1"/>
  <c r="S16" i="26" s="1"/>
  <c r="R16" i="26" a="1"/>
  <c r="R16" i="26" s="1"/>
  <c r="Q16" i="26" a="1"/>
  <c r="Q16" i="26" s="1"/>
  <c r="P16" i="26" a="1"/>
  <c r="P16" i="26" s="1"/>
  <c r="O16" i="26" a="1"/>
  <c r="O16" i="26" s="1"/>
  <c r="N16" i="26" a="1"/>
  <c r="N16" i="26" s="1"/>
  <c r="M16" i="26" a="1"/>
  <c r="M16" i="26" s="1"/>
  <c r="L16" i="26" a="1"/>
  <c r="L16" i="26" s="1"/>
  <c r="K16" i="26" a="1"/>
  <c r="K16" i="26" s="1"/>
  <c r="J16" i="26" a="1"/>
  <c r="J16" i="26" s="1"/>
  <c r="I16" i="26" a="1"/>
  <c r="I16" i="26" s="1"/>
  <c r="H16" i="26" a="1"/>
  <c r="H16" i="26" s="1"/>
  <c r="G16" i="26" a="1"/>
  <c r="G16" i="26" s="1"/>
  <c r="F16" i="26" a="1"/>
  <c r="F16" i="26" s="1"/>
  <c r="E16" i="26" a="1"/>
  <c r="E16" i="26" s="1"/>
  <c r="D16" i="26" a="1"/>
  <c r="D16" i="26" s="1"/>
  <c r="DA15" i="26"/>
  <c r="CI15" i="26"/>
  <c r="BY15" i="26"/>
  <c r="BO15" i="26"/>
  <c r="BN15" i="26" a="1"/>
  <c r="BN15" i="26" s="1"/>
  <c r="DA14" i="26"/>
  <c r="CI14" i="26"/>
  <c r="BY14" i="26"/>
  <c r="BO14" i="26"/>
  <c r="BN14" i="26" a="1"/>
  <c r="BN14" i="26" s="1"/>
  <c r="DA13" i="26"/>
  <c r="CI13" i="26"/>
  <c r="BY13" i="26"/>
  <c r="BO13" i="26"/>
  <c r="BN13" i="26" a="1"/>
  <c r="BN13" i="26" s="1"/>
  <c r="DA12" i="26"/>
  <c r="CI12" i="26"/>
  <c r="BY12" i="26"/>
  <c r="BO12" i="26"/>
  <c r="BN12" i="26" a="1"/>
  <c r="BN12" i="26" s="1"/>
  <c r="DA11" i="26"/>
  <c r="CI11" i="26"/>
  <c r="BY11" i="26"/>
  <c r="BO11" i="26"/>
  <c r="BN11" i="26" a="1"/>
  <c r="BN11" i="26" s="1"/>
  <c r="DA10" i="26"/>
  <c r="CI10" i="26"/>
  <c r="BY10" i="26"/>
  <c r="BO10" i="26"/>
  <c r="BN10" i="26" a="1"/>
  <c r="BN10" i="26" s="1"/>
  <c r="CI9" i="26"/>
  <c r="BY9" i="26"/>
  <c r="BO9" i="26"/>
  <c r="BN9" i="26" a="1"/>
  <c r="BN9" i="26" s="1"/>
  <c r="CI8" i="26"/>
  <c r="BY8" i="26"/>
  <c r="BO8" i="26"/>
  <c r="BN8" i="26" a="1"/>
  <c r="BN8" i="26" s="1"/>
  <c r="CI7" i="26"/>
  <c r="BY7" i="26"/>
  <c r="BO7" i="26"/>
  <c r="BN7" i="26" a="1"/>
  <c r="BN7" i="26" s="1"/>
  <c r="CI6" i="26"/>
  <c r="BY6" i="26"/>
  <c r="BO6" i="26"/>
  <c r="BN6" i="26" a="1"/>
  <c r="BN6" i="26" s="1"/>
  <c r="CI5" i="26"/>
  <c r="BY5" i="26"/>
  <c r="BO5" i="26"/>
  <c r="CX4" i="26"/>
  <c r="CN4" i="26"/>
  <c r="CD4" i="26"/>
  <c r="D20" i="5" a="1"/>
  <c r="D20" i="5" s="1"/>
  <c r="D19" i="5" a="1"/>
  <c r="D19" i="5" s="1"/>
  <c r="E31" i="5" s="1"/>
  <c r="Q36" i="27" l="1"/>
  <c r="P41" i="27"/>
  <c r="P42" i="27"/>
  <c r="P6" i="27"/>
  <c r="Q6" i="27"/>
  <c r="BM57" i="26" a="1"/>
  <c r="BM57" i="26" s="1"/>
  <c r="BN57" i="26" a="1"/>
  <c r="BN57" i="26" s="1"/>
  <c r="BU56" i="26"/>
  <c r="BU57" i="26"/>
  <c r="BU16" i="26"/>
  <c r="BU17" i="26"/>
  <c r="BU21" i="26"/>
  <c r="BU22" i="26"/>
  <c r="BU27" i="26"/>
  <c r="BU28" i="26"/>
  <c r="BU30" i="26"/>
  <c r="BU32" i="26"/>
  <c r="BU33" i="26"/>
  <c r="BU34" i="26"/>
  <c r="BU36" i="26"/>
  <c r="BU39" i="26"/>
  <c r="BU50" i="26"/>
  <c r="BU52" i="26"/>
  <c r="BU58" i="26"/>
  <c r="BU18" i="26"/>
  <c r="BU19" i="26"/>
  <c r="BU24" i="26"/>
  <c r="BU42" i="26"/>
  <c r="BU43" i="26"/>
  <c r="BU44" i="26"/>
  <c r="BU46" i="26"/>
  <c r="BU47" i="26"/>
  <c r="BU48" i="26"/>
  <c r="BT5" i="26"/>
  <c r="BU5" i="26" s="1"/>
  <c r="BU20" i="26"/>
  <c r="BU23" i="26"/>
  <c r="BU25" i="26"/>
  <c r="BU26" i="26"/>
  <c r="BU29" i="26"/>
  <c r="BU31" i="26"/>
  <c r="BU37" i="26"/>
  <c r="BU38" i="26"/>
  <c r="BU40" i="26"/>
  <c r="BU41" i="26"/>
  <c r="BU49" i="26"/>
  <c r="BU6" i="26"/>
  <c r="BU7" i="26"/>
  <c r="BU8" i="26"/>
  <c r="BU9" i="26"/>
  <c r="BU10" i="26"/>
  <c r="BU11" i="26"/>
  <c r="BU12" i="26"/>
  <c r="BU13" i="26"/>
  <c r="BU14" i="26"/>
  <c r="BU15" i="26"/>
  <c r="BU35" i="26"/>
  <c r="BU45" i="26"/>
  <c r="BU59" i="26"/>
  <c r="BU60" i="26"/>
  <c r="BU61" i="26"/>
  <c r="BU51" i="26"/>
  <c r="BU53" i="26"/>
  <c r="BU54" i="26"/>
  <c r="BU55" i="26"/>
  <c r="AN42" i="26"/>
  <c r="AM42" i="26" s="1"/>
  <c r="D19" i="26"/>
  <c r="AZ31" i="26"/>
  <c r="BM35" i="26" a="1"/>
  <c r="BM35" i="26" s="1"/>
  <c r="BM30" i="26" a="1"/>
  <c r="BM30" i="26" s="1"/>
  <c r="BM29" i="26" a="1"/>
  <c r="BM29" i="26" s="1"/>
  <c r="BM52" i="26" a="1"/>
  <c r="BM52" i="26" s="1"/>
  <c r="BM10" i="26" a="1"/>
  <c r="BM10" i="26" s="1"/>
  <c r="BM39" i="26" a="1"/>
  <c r="BM39" i="26" s="1"/>
  <c r="BM9" i="26" a="1"/>
  <c r="BM9" i="26" s="1"/>
  <c r="BM24" i="26" a="1"/>
  <c r="BM24" i="26" s="1"/>
  <c r="BM26" i="26" a="1"/>
  <c r="BM26" i="26" s="1"/>
  <c r="BM11" i="26" a="1"/>
  <c r="BM11" i="26" s="1"/>
  <c r="D18" i="26"/>
  <c r="BM25" i="26" a="1"/>
  <c r="BM25" i="26" s="1"/>
  <c r="BM21" i="26" a="1"/>
  <c r="BM21" i="26" s="1"/>
  <c r="BM23" i="26" a="1"/>
  <c r="BM23" i="26" s="1"/>
  <c r="BM38" i="26" a="1"/>
  <c r="BM38" i="26" s="1"/>
  <c r="BM13" i="26" a="1"/>
  <c r="BM13" i="26" s="1"/>
  <c r="BM18" i="26" a="1"/>
  <c r="BM18" i="26" s="1"/>
  <c r="BM37" i="26" a="1"/>
  <c r="BM37" i="26" s="1"/>
  <c r="BM54" i="26" a="1"/>
  <c r="BM54" i="26" s="1"/>
  <c r="BM19" i="26" a="1"/>
  <c r="BM19" i="26" s="1"/>
  <c r="BM20" i="26" a="1"/>
  <c r="BM20" i="26" s="1"/>
  <c r="BM22" i="26" a="1"/>
  <c r="BM22" i="26" s="1"/>
  <c r="BM27" i="26" a="1"/>
  <c r="BM27" i="26" s="1"/>
  <c r="BM28" i="26" a="1"/>
  <c r="BM28" i="26" s="1"/>
  <c r="BM8" i="26" a="1"/>
  <c r="BM8" i="26" s="1"/>
  <c r="BM31" i="26" a="1"/>
  <c r="BM31" i="26" s="1"/>
  <c r="BM15" i="26" a="1"/>
  <c r="BM15" i="26" s="1"/>
  <c r="BM32" i="26" a="1"/>
  <c r="BM32" i="26" s="1"/>
  <c r="BM14" i="26" a="1"/>
  <c r="BM14" i="26" s="1"/>
  <c r="BM33" i="26" a="1"/>
  <c r="BM33" i="26" s="1"/>
  <c r="BM34" i="26" a="1"/>
  <c r="BM34" i="26" s="1"/>
  <c r="BM7" i="26" a="1"/>
  <c r="BM7" i="26" s="1"/>
  <c r="BM12" i="26" a="1"/>
  <c r="BM12" i="26" s="1"/>
  <c r="BM36" i="26" a="1"/>
  <c r="BM36" i="26" s="1"/>
  <c r="BM6" i="26" a="1"/>
  <c r="BM6" i="26" s="1"/>
  <c r="BM46" i="26" a="1"/>
  <c r="BM46" i="26" s="1"/>
  <c r="BM44" i="26" a="1"/>
  <c r="BM44" i="26" s="1"/>
  <c r="AN41" i="26"/>
  <c r="BM61" i="26" a="1"/>
  <c r="BM61" i="26" s="1"/>
  <c r="BM41" i="26" a="1"/>
  <c r="BM41" i="26" s="1"/>
  <c r="BM48" i="26" a="1"/>
  <c r="BM48" i="26" s="1"/>
  <c r="BM47" i="26" a="1"/>
  <c r="BM47" i="26" s="1"/>
  <c r="BM50" i="26" a="1"/>
  <c r="BM50" i="26" s="1"/>
  <c r="BM40" i="26" a="1"/>
  <c r="BM40" i="26" s="1"/>
  <c r="BM43" i="26" a="1"/>
  <c r="BM43" i="26" s="1"/>
  <c r="BM42" i="26" a="1"/>
  <c r="BM42" i="26" s="1"/>
  <c r="BM49" i="26" a="1"/>
  <c r="BM49" i="26" s="1"/>
  <c r="D17" i="26"/>
  <c r="AZ32" i="26"/>
  <c r="AY32" i="26" s="1"/>
  <c r="B25" i="26"/>
  <c r="E51" i="5"/>
  <c r="AT56" i="5" s="1"/>
  <c r="AC31" i="5"/>
  <c r="AB31" i="5" s="1"/>
  <c r="AA56" i="5"/>
  <c r="D56" i="5"/>
  <c r="AB56" i="5"/>
  <c r="AC56" i="5"/>
  <c r="BA56" i="5"/>
  <c r="R56" i="5"/>
  <c r="AD56" i="5"/>
  <c r="AQ56" i="5"/>
  <c r="H56" i="5"/>
  <c r="T56" i="5"/>
  <c r="AF56" i="5"/>
  <c r="AR56" i="5"/>
  <c r="M56" i="5"/>
  <c r="Y56" i="5"/>
  <c r="AK56" i="5"/>
  <c r="AX56" i="5"/>
  <c r="C56" i="5"/>
  <c r="O56" i="5"/>
  <c r="AM56" i="5"/>
  <c r="AY56" i="5"/>
  <c r="P56" i="5"/>
  <c r="AN56" i="5"/>
  <c r="AZ56" i="5"/>
  <c r="E56" i="5"/>
  <c r="AP56" i="5"/>
  <c r="I56" i="5"/>
  <c r="U56" i="5"/>
  <c r="AG56" i="5"/>
  <c r="AS56" i="5"/>
  <c r="L56" i="5"/>
  <c r="X56" i="5"/>
  <c r="AJ56" i="5"/>
  <c r="AN42" i="5"/>
  <c r="AM42" i="5" s="1"/>
  <c r="I73" i="22"/>
  <c r="J73" i="22" s="1"/>
  <c r="I72" i="22"/>
  <c r="J72" i="22" s="1"/>
  <c r="I71" i="22"/>
  <c r="J71" i="22" s="1"/>
  <c r="I70" i="22"/>
  <c r="J70" i="22" s="1"/>
  <c r="D71" i="22"/>
  <c r="E71" i="22" s="1"/>
  <c r="D72" i="22"/>
  <c r="E72" i="22"/>
  <c r="D73" i="22"/>
  <c r="E73" i="22" s="1"/>
  <c r="E70" i="22"/>
  <c r="D70" i="22"/>
  <c r="P40" i="22"/>
  <c r="G36" i="22"/>
  <c r="P41" i="22" s="1"/>
  <c r="G39" i="22"/>
  <c r="G38" i="22"/>
  <c r="G37" i="22"/>
  <c r="B27" i="26" l="1"/>
  <c r="E31" i="26"/>
  <c r="BS5" i="26" a="1"/>
  <c r="BS5" i="26" s="1"/>
  <c r="AC31" i="26"/>
  <c r="E51" i="26"/>
  <c r="AY31" i="26"/>
  <c r="AZ33" i="26"/>
  <c r="E42" i="26"/>
  <c r="E52" i="26"/>
  <c r="BP5" i="26" a="1"/>
  <c r="BM5" i="26" a="1"/>
  <c r="BM5" i="26" s="1"/>
  <c r="AM41" i="26"/>
  <c r="AN43" i="26"/>
  <c r="BN5" i="26" a="1"/>
  <c r="BN5" i="26" s="1"/>
  <c r="BR5" i="26" a="1"/>
  <c r="B23" i="26"/>
  <c r="B24" i="26"/>
  <c r="E32" i="26"/>
  <c r="AC32" i="26"/>
  <c r="AB32" i="26" s="1"/>
  <c r="E41" i="26"/>
  <c r="AV56" i="5"/>
  <c r="AW56" i="5"/>
  <c r="AU56" i="5"/>
  <c r="AE56" i="5"/>
  <c r="AH56" i="5"/>
  <c r="F56" i="5"/>
  <c r="AL56" i="5"/>
  <c r="S56" i="5"/>
  <c r="V56" i="5"/>
  <c r="AO56" i="5"/>
  <c r="Z56" i="5"/>
  <c r="G56" i="5"/>
  <c r="J56" i="5"/>
  <c r="Q56" i="5"/>
  <c r="N56" i="5"/>
  <c r="BB56" i="5"/>
  <c r="AI56" i="5"/>
  <c r="W56" i="5"/>
  <c r="K56" i="5"/>
  <c r="BJ18" i="5"/>
  <c r="BI18" i="5"/>
  <c r="B58" i="22"/>
  <c r="B59" i="22"/>
  <c r="B60" i="22"/>
  <c r="B61" i="22"/>
  <c r="BI16" i="5" a="1"/>
  <c r="BI16" i="5" s="1"/>
  <c r="BJ16" i="5" a="1"/>
  <c r="BJ16" i="5" s="1"/>
  <c r="D17" i="5" a="1"/>
  <c r="DA10" i="5"/>
  <c r="DA11" i="5"/>
  <c r="DA12" i="5"/>
  <c r="DA13" i="5"/>
  <c r="DA14" i="5"/>
  <c r="DA15" i="5"/>
  <c r="DA16" i="5"/>
  <c r="DA17" i="5"/>
  <c r="DA18" i="5"/>
  <c r="DA19" i="5"/>
  <c r="DA20" i="5"/>
  <c r="DA21" i="5"/>
  <c r="DA22" i="5"/>
  <c r="DA23" i="5"/>
  <c r="DA24" i="5"/>
  <c r="DA25" i="5"/>
  <c r="DA26" i="5"/>
  <c r="DA27" i="5"/>
  <c r="DA28" i="5"/>
  <c r="DA29" i="5"/>
  <c r="DA30" i="5"/>
  <c r="DA31" i="5"/>
  <c r="DA32" i="5"/>
  <c r="DA33" i="5"/>
  <c r="DA34" i="5"/>
  <c r="DA35" i="5"/>
  <c r="DA36" i="5"/>
  <c r="DA37" i="5"/>
  <c r="DA38" i="5"/>
  <c r="DA39" i="5"/>
  <c r="DA40" i="5"/>
  <c r="DA41" i="5"/>
  <c r="DA42" i="5"/>
  <c r="DA43" i="5"/>
  <c r="DA44" i="5"/>
  <c r="DA45" i="5"/>
  <c r="DA46" i="5"/>
  <c r="DA47" i="5"/>
  <c r="DA48" i="5"/>
  <c r="DA49" i="5"/>
  <c r="DA50" i="5"/>
  <c r="DA51" i="5"/>
  <c r="DA52" i="5"/>
  <c r="DA53" i="5"/>
  <c r="DA54" i="5"/>
  <c r="DA55" i="5"/>
  <c r="CG34" i="5"/>
  <c r="CG35" i="5"/>
  <c r="CG36" i="5"/>
  <c r="CG37" i="5"/>
  <c r="CG38" i="5"/>
  <c r="CG39" i="5"/>
  <c r="CG40" i="5"/>
  <c r="CG41" i="5"/>
  <c r="CG42" i="5"/>
  <c r="CG43" i="5"/>
  <c r="CG44" i="5"/>
  <c r="CG45" i="5"/>
  <c r="CG46" i="5"/>
  <c r="CG47" i="5"/>
  <c r="CG48" i="5"/>
  <c r="CG49" i="5"/>
  <c r="CG50" i="5"/>
  <c r="CG51" i="5"/>
  <c r="CG52" i="5"/>
  <c r="CG53" i="5"/>
  <c r="CG54" i="5"/>
  <c r="CG55" i="5"/>
  <c r="BY61" i="5"/>
  <c r="BY60" i="5"/>
  <c r="BY59" i="5"/>
  <c r="BY58" i="5"/>
  <c r="BY57" i="5"/>
  <c r="BY56" i="5"/>
  <c r="BY55" i="5"/>
  <c r="BY54" i="5"/>
  <c r="BY53" i="5"/>
  <c r="BY52" i="5"/>
  <c r="BY51" i="5"/>
  <c r="BY50" i="5"/>
  <c r="BY49" i="5"/>
  <c r="BY48" i="5"/>
  <c r="BY47" i="5"/>
  <c r="BY46" i="5"/>
  <c r="BY45" i="5"/>
  <c r="BY44" i="5"/>
  <c r="BY43" i="5"/>
  <c r="BY42" i="5"/>
  <c r="BY41" i="5"/>
  <c r="BY40" i="5"/>
  <c r="BY39" i="5"/>
  <c r="BY38" i="5"/>
  <c r="BY37" i="5"/>
  <c r="BY36" i="5"/>
  <c r="BY35" i="5"/>
  <c r="BY34" i="5"/>
  <c r="BY33" i="5"/>
  <c r="BY32" i="5"/>
  <c r="BY31" i="5"/>
  <c r="BY30" i="5"/>
  <c r="BY29" i="5"/>
  <c r="BY28" i="5"/>
  <c r="BY27" i="5"/>
  <c r="BY26" i="5"/>
  <c r="BY25" i="5"/>
  <c r="BY24" i="5"/>
  <c r="BY23" i="5"/>
  <c r="BY22" i="5"/>
  <c r="BY21" i="5"/>
  <c r="BY20" i="5"/>
  <c r="BY19" i="5"/>
  <c r="BY18" i="5"/>
  <c r="BY17" i="5"/>
  <c r="BY16" i="5"/>
  <c r="BY15" i="5"/>
  <c r="BY14" i="5"/>
  <c r="BY13" i="5"/>
  <c r="BY12" i="5"/>
  <c r="BY11" i="5"/>
  <c r="BY10" i="5"/>
  <c r="BY9" i="5"/>
  <c r="BY8" i="5"/>
  <c r="BY7" i="5"/>
  <c r="BY6" i="5"/>
  <c r="BY5" i="5"/>
  <c r="CX4" i="5"/>
  <c r="CI61" i="5"/>
  <c r="CI60" i="5"/>
  <c r="CI59" i="5"/>
  <c r="CI58" i="5"/>
  <c r="CI57" i="5"/>
  <c r="CI56" i="5"/>
  <c r="CI55" i="5"/>
  <c r="CI54" i="5"/>
  <c r="CI53" i="5"/>
  <c r="CI52" i="5"/>
  <c r="CI51" i="5"/>
  <c r="CI50" i="5"/>
  <c r="CI49" i="5"/>
  <c r="CI48" i="5"/>
  <c r="CI47" i="5"/>
  <c r="CI46" i="5"/>
  <c r="CI45" i="5"/>
  <c r="CI44" i="5"/>
  <c r="CI43" i="5"/>
  <c r="CI42" i="5"/>
  <c r="CI41" i="5"/>
  <c r="CI40" i="5"/>
  <c r="CI39" i="5"/>
  <c r="CI38" i="5"/>
  <c r="CI37" i="5"/>
  <c r="CI36" i="5"/>
  <c r="CI35" i="5"/>
  <c r="CI34" i="5"/>
  <c r="CI33" i="5"/>
  <c r="CI32" i="5"/>
  <c r="CI31" i="5"/>
  <c r="CI30" i="5"/>
  <c r="CI29" i="5"/>
  <c r="CI28" i="5"/>
  <c r="CI27" i="5"/>
  <c r="CI26" i="5"/>
  <c r="CI25" i="5"/>
  <c r="CI24" i="5"/>
  <c r="CI23" i="5"/>
  <c r="CI22" i="5"/>
  <c r="CI21" i="5"/>
  <c r="CI20" i="5"/>
  <c r="CI19" i="5"/>
  <c r="CI18" i="5"/>
  <c r="CI17" i="5"/>
  <c r="CI16" i="5"/>
  <c r="CI15" i="5"/>
  <c r="CI14" i="5"/>
  <c r="CI13" i="5"/>
  <c r="CI12" i="5"/>
  <c r="CI11" i="5"/>
  <c r="CI10" i="5"/>
  <c r="CI9" i="5"/>
  <c r="CI8" i="5"/>
  <c r="CI7" i="5"/>
  <c r="CI6" i="5"/>
  <c r="CI5" i="5"/>
  <c r="N58" i="22"/>
  <c r="M58" i="22"/>
  <c r="L58" i="22"/>
  <c r="K58" i="22"/>
  <c r="J58" i="22"/>
  <c r="I58" i="22"/>
  <c r="G58" i="22"/>
  <c r="N57" i="22"/>
  <c r="M57" i="22"/>
  <c r="L57" i="22"/>
  <c r="K57" i="22"/>
  <c r="J57" i="22"/>
  <c r="I57" i="22"/>
  <c r="G57" i="22"/>
  <c r="N56" i="22"/>
  <c r="M56" i="22"/>
  <c r="L56" i="22"/>
  <c r="K56" i="22"/>
  <c r="J56" i="22"/>
  <c r="I56" i="22"/>
  <c r="G56" i="22"/>
  <c r="N55" i="22"/>
  <c r="M55" i="22"/>
  <c r="L55" i="22"/>
  <c r="K55" i="22"/>
  <c r="J55" i="22"/>
  <c r="I55" i="22"/>
  <c r="G55" i="22"/>
  <c r="N54" i="22"/>
  <c r="M54" i="22"/>
  <c r="L54" i="22"/>
  <c r="K54" i="22"/>
  <c r="J54" i="22"/>
  <c r="I54" i="22"/>
  <c r="G54" i="22"/>
  <c r="N39" i="22"/>
  <c r="M39" i="22"/>
  <c r="L39" i="22"/>
  <c r="K39" i="22"/>
  <c r="J39" i="22"/>
  <c r="I39" i="22"/>
  <c r="H39" i="22"/>
  <c r="N38" i="22"/>
  <c r="M38" i="22"/>
  <c r="L38" i="22"/>
  <c r="K38" i="22"/>
  <c r="J38" i="22"/>
  <c r="I38" i="22"/>
  <c r="H38" i="22"/>
  <c r="N37" i="22"/>
  <c r="M37" i="22"/>
  <c r="L37" i="22"/>
  <c r="K37" i="22"/>
  <c r="J37" i="22"/>
  <c r="I37" i="22"/>
  <c r="H37" i="22"/>
  <c r="N36" i="22"/>
  <c r="M36" i="22"/>
  <c r="L36" i="22"/>
  <c r="K36" i="22"/>
  <c r="J36" i="22"/>
  <c r="I36" i="22"/>
  <c r="H36" i="22"/>
  <c r="N53" i="22"/>
  <c r="M53" i="22"/>
  <c r="L53" i="22"/>
  <c r="K53" i="22"/>
  <c r="J53" i="22"/>
  <c r="I53" i="22"/>
  <c r="H53" i="22"/>
  <c r="G53" i="22"/>
  <c r="N52" i="22"/>
  <c r="M52" i="22"/>
  <c r="L52" i="22"/>
  <c r="K52" i="22"/>
  <c r="J52" i="22"/>
  <c r="I52" i="22"/>
  <c r="H52" i="22"/>
  <c r="G52" i="22"/>
  <c r="N51" i="22"/>
  <c r="M51" i="22"/>
  <c r="L51" i="22"/>
  <c r="K51" i="22"/>
  <c r="J51" i="22"/>
  <c r="I51" i="22"/>
  <c r="H51" i="22"/>
  <c r="G51" i="22"/>
  <c r="N50" i="22"/>
  <c r="M50" i="22"/>
  <c r="L50" i="22"/>
  <c r="K50" i="22"/>
  <c r="J50" i="22"/>
  <c r="I50" i="22"/>
  <c r="H50" i="22"/>
  <c r="G50" i="22"/>
  <c r="N49" i="22"/>
  <c r="M49" i="22"/>
  <c r="L49" i="22"/>
  <c r="K49" i="22"/>
  <c r="J49" i="22"/>
  <c r="I49" i="22"/>
  <c r="H49" i="22"/>
  <c r="G49" i="22"/>
  <c r="N48" i="22"/>
  <c r="M48" i="22"/>
  <c r="L48" i="22"/>
  <c r="K48" i="22"/>
  <c r="J48" i="22"/>
  <c r="I48" i="22"/>
  <c r="H48" i="22"/>
  <c r="G48" i="22"/>
  <c r="N47" i="22"/>
  <c r="M47" i="22"/>
  <c r="L47" i="22"/>
  <c r="K47" i="22"/>
  <c r="J47" i="22"/>
  <c r="I47" i="22"/>
  <c r="H47" i="22"/>
  <c r="G47" i="22"/>
  <c r="N46" i="22"/>
  <c r="M46" i="22"/>
  <c r="L46" i="22"/>
  <c r="K46" i="22"/>
  <c r="J46" i="22"/>
  <c r="I46" i="22"/>
  <c r="H46" i="22"/>
  <c r="G46" i="22"/>
  <c r="N45" i="22"/>
  <c r="M45" i="22"/>
  <c r="L45" i="22"/>
  <c r="K45" i="22"/>
  <c r="J45" i="22"/>
  <c r="I45" i="22"/>
  <c r="H45" i="22"/>
  <c r="G45" i="22"/>
  <c r="N44" i="22"/>
  <c r="M44" i="22"/>
  <c r="L44" i="22"/>
  <c r="K44" i="22"/>
  <c r="J44" i="22"/>
  <c r="I44" i="22"/>
  <c r="H44" i="22"/>
  <c r="G44" i="22"/>
  <c r="N43" i="22"/>
  <c r="M43" i="22"/>
  <c r="L43" i="22"/>
  <c r="K43" i="22"/>
  <c r="J43" i="22"/>
  <c r="I43" i="22"/>
  <c r="H43" i="22"/>
  <c r="G43" i="22"/>
  <c r="N42" i="22"/>
  <c r="M42" i="22"/>
  <c r="L42" i="22"/>
  <c r="K42" i="22"/>
  <c r="J42" i="22"/>
  <c r="I42" i="22"/>
  <c r="H42" i="22"/>
  <c r="G42" i="22"/>
  <c r="N41" i="22"/>
  <c r="M41" i="22"/>
  <c r="L41" i="22"/>
  <c r="K41" i="22"/>
  <c r="J41" i="22"/>
  <c r="I41" i="22"/>
  <c r="H41" i="22"/>
  <c r="G41" i="22"/>
  <c r="N40" i="22"/>
  <c r="M40" i="22"/>
  <c r="L40" i="22"/>
  <c r="K40" i="22"/>
  <c r="J40" i="22"/>
  <c r="I40" i="22"/>
  <c r="H40" i="22"/>
  <c r="G40" i="22"/>
  <c r="N35" i="22"/>
  <c r="M35" i="22"/>
  <c r="L35" i="22"/>
  <c r="K35" i="22"/>
  <c r="J35" i="22"/>
  <c r="I35" i="22"/>
  <c r="H35" i="22"/>
  <c r="G35" i="22"/>
  <c r="N34" i="22"/>
  <c r="M34" i="22"/>
  <c r="L34" i="22"/>
  <c r="K34" i="22"/>
  <c r="J34" i="22"/>
  <c r="I34" i="22"/>
  <c r="H34" i="22"/>
  <c r="G34" i="22"/>
  <c r="N33" i="22"/>
  <c r="M33" i="22"/>
  <c r="L33" i="22"/>
  <c r="K33" i="22"/>
  <c r="J33" i="22"/>
  <c r="I33" i="22"/>
  <c r="H33" i="22"/>
  <c r="G33" i="22"/>
  <c r="N32" i="22"/>
  <c r="M32" i="22"/>
  <c r="L32" i="22"/>
  <c r="K32" i="22"/>
  <c r="J32" i="22"/>
  <c r="I32" i="22"/>
  <c r="H32" i="22"/>
  <c r="G32" i="22"/>
  <c r="N31" i="22"/>
  <c r="M31" i="22"/>
  <c r="L31" i="22"/>
  <c r="K31" i="22"/>
  <c r="J31" i="22"/>
  <c r="I31" i="22"/>
  <c r="H31" i="22"/>
  <c r="G31" i="22"/>
  <c r="N30" i="22"/>
  <c r="M30" i="22"/>
  <c r="L30" i="22"/>
  <c r="K30" i="22"/>
  <c r="J30" i="22"/>
  <c r="I30" i="22"/>
  <c r="H30" i="22"/>
  <c r="G30" i="22"/>
  <c r="N29" i="22"/>
  <c r="M29" i="22"/>
  <c r="L29" i="22"/>
  <c r="K29" i="22"/>
  <c r="J29" i="22"/>
  <c r="I29" i="22"/>
  <c r="H29" i="22"/>
  <c r="G29" i="22"/>
  <c r="N28" i="22"/>
  <c r="M28" i="22"/>
  <c r="L28" i="22"/>
  <c r="K28" i="22"/>
  <c r="J28" i="22"/>
  <c r="I28" i="22"/>
  <c r="H28" i="22"/>
  <c r="G28" i="22"/>
  <c r="N27" i="22"/>
  <c r="M27" i="22"/>
  <c r="L27" i="22"/>
  <c r="K27" i="22"/>
  <c r="J27" i="22"/>
  <c r="I27" i="22"/>
  <c r="H27" i="22"/>
  <c r="G27" i="22"/>
  <c r="N26" i="22"/>
  <c r="M26" i="22"/>
  <c r="L26" i="22"/>
  <c r="K26" i="22"/>
  <c r="J26" i="22"/>
  <c r="I26" i="22"/>
  <c r="H26" i="22"/>
  <c r="G26" i="22"/>
  <c r="N25" i="22"/>
  <c r="M25" i="22"/>
  <c r="L25" i="22"/>
  <c r="K25" i="22"/>
  <c r="J25" i="22"/>
  <c r="I25" i="22"/>
  <c r="H25" i="22"/>
  <c r="G25" i="22"/>
  <c r="N24" i="22"/>
  <c r="M24" i="22"/>
  <c r="L24" i="22"/>
  <c r="K24" i="22"/>
  <c r="J24" i="22"/>
  <c r="I24" i="22"/>
  <c r="H24" i="22"/>
  <c r="G24" i="22"/>
  <c r="N23" i="22"/>
  <c r="M23" i="22"/>
  <c r="L23" i="22"/>
  <c r="K23" i="22"/>
  <c r="J23" i="22"/>
  <c r="I23" i="22"/>
  <c r="H23" i="22"/>
  <c r="G23" i="22"/>
  <c r="N22" i="22"/>
  <c r="M22" i="22"/>
  <c r="L22" i="22"/>
  <c r="K22" i="22"/>
  <c r="J22" i="22"/>
  <c r="I22" i="22"/>
  <c r="H22" i="22"/>
  <c r="G22" i="22"/>
  <c r="N21" i="22"/>
  <c r="M21" i="22"/>
  <c r="L21" i="22"/>
  <c r="K21" i="22"/>
  <c r="J21" i="22"/>
  <c r="I21" i="22"/>
  <c r="H21" i="22"/>
  <c r="G21" i="22"/>
  <c r="N20" i="22"/>
  <c r="M20" i="22"/>
  <c r="L20" i="22"/>
  <c r="K20" i="22"/>
  <c r="J20" i="22"/>
  <c r="I20" i="22"/>
  <c r="H20" i="22"/>
  <c r="G20" i="22"/>
  <c r="N19" i="22"/>
  <c r="M19" i="22"/>
  <c r="L19" i="22"/>
  <c r="K19" i="22"/>
  <c r="J19" i="22"/>
  <c r="I19" i="22"/>
  <c r="H19" i="22"/>
  <c r="G19" i="22"/>
  <c r="N18" i="22"/>
  <c r="M18" i="22"/>
  <c r="L18" i="22"/>
  <c r="K18" i="22"/>
  <c r="J18" i="22"/>
  <c r="I18" i="22"/>
  <c r="H18" i="22"/>
  <c r="G18" i="22"/>
  <c r="N17" i="22"/>
  <c r="M17" i="22"/>
  <c r="L17" i="22"/>
  <c r="K17" i="22"/>
  <c r="J17" i="22"/>
  <c r="I17" i="22"/>
  <c r="H17" i="22"/>
  <c r="G17" i="22"/>
  <c r="N16" i="22"/>
  <c r="M16" i="22"/>
  <c r="L16" i="22"/>
  <c r="K16" i="22"/>
  <c r="J16" i="22"/>
  <c r="I16" i="22"/>
  <c r="H16" i="22"/>
  <c r="G16" i="22"/>
  <c r="N15" i="22"/>
  <c r="M15" i="22"/>
  <c r="L15" i="22"/>
  <c r="K15" i="22"/>
  <c r="J15" i="22"/>
  <c r="I15" i="22"/>
  <c r="H15" i="22"/>
  <c r="G15" i="22"/>
  <c r="N14" i="22"/>
  <c r="M14" i="22"/>
  <c r="L14" i="22"/>
  <c r="K14" i="22"/>
  <c r="J14" i="22"/>
  <c r="I14" i="22"/>
  <c r="H14" i="22"/>
  <c r="G14" i="22"/>
  <c r="N13" i="22"/>
  <c r="M13" i="22"/>
  <c r="L13" i="22"/>
  <c r="K13" i="22"/>
  <c r="J13" i="22"/>
  <c r="I13" i="22"/>
  <c r="H13" i="22"/>
  <c r="G13" i="22"/>
  <c r="N12" i="22"/>
  <c r="M12" i="22"/>
  <c r="L12" i="22"/>
  <c r="K12" i="22"/>
  <c r="J12" i="22"/>
  <c r="I12" i="22"/>
  <c r="H12" i="22"/>
  <c r="G12" i="22"/>
  <c r="N11" i="22"/>
  <c r="M11" i="22"/>
  <c r="L11" i="22"/>
  <c r="K11" i="22"/>
  <c r="J11" i="22"/>
  <c r="I11" i="22"/>
  <c r="H11" i="22"/>
  <c r="G11" i="22"/>
  <c r="N10" i="22"/>
  <c r="M10" i="22"/>
  <c r="L10" i="22"/>
  <c r="K10" i="22"/>
  <c r="J10" i="22"/>
  <c r="I10" i="22"/>
  <c r="H10" i="22"/>
  <c r="G10" i="22"/>
  <c r="N9" i="22"/>
  <c r="M9" i="22"/>
  <c r="L9" i="22"/>
  <c r="K9" i="22"/>
  <c r="J9" i="22"/>
  <c r="I9" i="22"/>
  <c r="H9" i="22"/>
  <c r="G9" i="22"/>
  <c r="N8" i="22"/>
  <c r="M8" i="22"/>
  <c r="L8" i="22"/>
  <c r="K8" i="22"/>
  <c r="J8" i="22"/>
  <c r="I8" i="22"/>
  <c r="H8" i="22"/>
  <c r="G8" i="22"/>
  <c r="N7" i="22"/>
  <c r="M7" i="22"/>
  <c r="L7" i="22"/>
  <c r="K7" i="22"/>
  <c r="J7" i="22"/>
  <c r="I7" i="22"/>
  <c r="H7" i="22"/>
  <c r="G7" i="22"/>
  <c r="N6" i="22"/>
  <c r="M6" i="22"/>
  <c r="L6" i="22"/>
  <c r="K6" i="22"/>
  <c r="J6" i="22"/>
  <c r="I6" i="22"/>
  <c r="H6" i="22"/>
  <c r="G6" i="22"/>
  <c r="P42" i="22" s="1"/>
  <c r="I61" i="22"/>
  <c r="I60" i="22"/>
  <c r="I59" i="22"/>
  <c r="N5" i="22"/>
  <c r="M5" i="22"/>
  <c r="L5" i="22"/>
  <c r="K5" i="22"/>
  <c r="J5" i="22"/>
  <c r="H5" i="22"/>
  <c r="G5" i="22"/>
  <c r="I5" i="22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1" i="5"/>
  <c r="B31" i="5"/>
  <c r="B54" i="22"/>
  <c r="E49" i="24"/>
  <c r="D49" i="24" s="1"/>
  <c r="E39" i="24"/>
  <c r="BD44" i="24" s="1"/>
  <c r="B18" i="24"/>
  <c r="BH16" i="24" a="1"/>
  <c r="BH16" i="24" s="1"/>
  <c r="BG16" i="24" a="1"/>
  <c r="BG16" i="24" s="1"/>
  <c r="BF16" i="24" a="1"/>
  <c r="BF16" i="24" s="1"/>
  <c r="BE16" i="24" a="1"/>
  <c r="BE16" i="24" s="1"/>
  <c r="BD16" i="24" a="1"/>
  <c r="BD16" i="24" s="1"/>
  <c r="BC16" i="24" a="1"/>
  <c r="BC16" i="24" s="1"/>
  <c r="BB16" i="24" a="1"/>
  <c r="BB16" i="24" s="1"/>
  <c r="BA16" i="24" a="1"/>
  <c r="BA16" i="24" s="1"/>
  <c r="AZ16" i="24" a="1"/>
  <c r="AZ16" i="24" s="1"/>
  <c r="AY16" i="24" a="1"/>
  <c r="AY16" i="24" s="1"/>
  <c r="AX16" i="24" a="1"/>
  <c r="AX16" i="24" s="1"/>
  <c r="AW16" i="24" a="1"/>
  <c r="AW16" i="24" s="1"/>
  <c r="AV16" i="24" a="1"/>
  <c r="AV16" i="24" s="1"/>
  <c r="AU16" i="24" a="1"/>
  <c r="AU16" i="24" s="1"/>
  <c r="AT16" i="24" a="1"/>
  <c r="AT16" i="24" s="1"/>
  <c r="AS16" i="24" a="1"/>
  <c r="AS16" i="24" s="1"/>
  <c r="AR16" i="24" a="1"/>
  <c r="AR16" i="24" s="1"/>
  <c r="AQ16" i="24" a="1"/>
  <c r="AQ16" i="24" s="1"/>
  <c r="AP16" i="24" a="1"/>
  <c r="AP16" i="24" s="1"/>
  <c r="AO16" i="24" a="1"/>
  <c r="AO16" i="24" s="1"/>
  <c r="AN16" i="24" a="1"/>
  <c r="AN16" i="24" s="1"/>
  <c r="AM16" i="24" a="1"/>
  <c r="AM16" i="24" s="1"/>
  <c r="AL16" i="24" a="1"/>
  <c r="AL16" i="24" s="1"/>
  <c r="AK16" i="24" a="1"/>
  <c r="AK16" i="24" s="1"/>
  <c r="AJ16" i="24" a="1"/>
  <c r="AJ16" i="24" s="1"/>
  <c r="AI16" i="24" a="1"/>
  <c r="AI16" i="24" s="1"/>
  <c r="AH16" i="24" a="1"/>
  <c r="AH16" i="24" s="1"/>
  <c r="AG16" i="24" a="1"/>
  <c r="AG16" i="24" s="1"/>
  <c r="AF16" i="24" a="1"/>
  <c r="AF16" i="24" s="1"/>
  <c r="AE16" i="24" a="1"/>
  <c r="AE16" i="24" s="1"/>
  <c r="AD16" i="24" a="1"/>
  <c r="AD16" i="24" s="1"/>
  <c r="AC16" i="24" a="1"/>
  <c r="AC16" i="24" s="1"/>
  <c r="AB16" i="24" a="1"/>
  <c r="AB16" i="24" s="1"/>
  <c r="AA16" i="24" a="1"/>
  <c r="AA16" i="24" s="1"/>
  <c r="Z16" i="24" a="1"/>
  <c r="Z16" i="24" s="1"/>
  <c r="Y16" i="24" a="1"/>
  <c r="Y16" i="24" s="1"/>
  <c r="X16" i="24" a="1"/>
  <c r="X16" i="24" s="1"/>
  <c r="W16" i="24" a="1"/>
  <c r="W16" i="24" s="1"/>
  <c r="V16" i="24" a="1"/>
  <c r="V16" i="24" s="1"/>
  <c r="U16" i="24" a="1"/>
  <c r="U16" i="24" s="1"/>
  <c r="T16" i="24" a="1"/>
  <c r="T16" i="24" s="1"/>
  <c r="S16" i="24" a="1"/>
  <c r="S16" i="24" s="1"/>
  <c r="R16" i="24" a="1"/>
  <c r="R16" i="24" s="1"/>
  <c r="Q16" i="24" a="1"/>
  <c r="Q16" i="24" s="1"/>
  <c r="P16" i="24" a="1"/>
  <c r="P16" i="24" s="1"/>
  <c r="O16" i="24" a="1"/>
  <c r="O16" i="24" s="1"/>
  <c r="N16" i="24" a="1"/>
  <c r="N16" i="24" s="1"/>
  <c r="M16" i="24" a="1"/>
  <c r="M16" i="24" s="1"/>
  <c r="L16" i="24" a="1"/>
  <c r="L16" i="24" s="1"/>
  <c r="K16" i="24" a="1"/>
  <c r="K16" i="24" s="1"/>
  <c r="J16" i="24" a="1"/>
  <c r="J16" i="24" s="1"/>
  <c r="I16" i="24" a="1"/>
  <c r="I16" i="24" s="1"/>
  <c r="H16" i="24" a="1"/>
  <c r="H16" i="24" s="1"/>
  <c r="G16" i="24" a="1"/>
  <c r="G16" i="24" s="1"/>
  <c r="F16" i="24" a="1"/>
  <c r="F16" i="24" s="1"/>
  <c r="E16" i="24" a="1"/>
  <c r="E16" i="24" s="1"/>
  <c r="D16" i="24" a="1"/>
  <c r="D16" i="24" s="1"/>
  <c r="CD4" i="5"/>
  <c r="CN4" i="5"/>
  <c r="M1" i="23"/>
  <c r="J1" i="23"/>
  <c r="I1" i="23"/>
  <c r="H1" i="23"/>
  <c r="G1" i="23"/>
  <c r="A1" i="23"/>
  <c r="B8" i="23"/>
  <c r="C8" i="23" s="1"/>
  <c r="D8" i="23" s="1"/>
  <c r="E8" i="23" s="1"/>
  <c r="F8" i="23" s="1"/>
  <c r="G8" i="23" s="1"/>
  <c r="H8" i="23" s="1"/>
  <c r="I8" i="23" s="1"/>
  <c r="J8" i="23" s="1"/>
  <c r="K8" i="23" s="1"/>
  <c r="L8" i="23" s="1"/>
  <c r="M8" i="23" s="1"/>
  <c r="N8" i="23" s="1"/>
  <c r="O8" i="23" s="1"/>
  <c r="P8" i="23" s="1"/>
  <c r="Q8" i="23" s="1"/>
  <c r="R8" i="23" s="1"/>
  <c r="S8" i="23" s="1"/>
  <c r="T8" i="23" s="1"/>
  <c r="U8" i="23" s="1"/>
  <c r="V8" i="23" s="1"/>
  <c r="W8" i="23" s="1"/>
  <c r="X8" i="23" s="1"/>
  <c r="Y8" i="23" s="1"/>
  <c r="Z8" i="23" s="1"/>
  <c r="Z1" i="23" s="1"/>
  <c r="B9" i="23"/>
  <c r="C9" i="23" s="1"/>
  <c r="A2" i="23"/>
  <c r="B33" i="26" l="1"/>
  <c r="AV36" i="26"/>
  <c r="AZ36" i="26"/>
  <c r="BB36" i="26"/>
  <c r="BD36" i="26"/>
  <c r="BF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K36" i="26"/>
  <c r="AL36" i="26"/>
  <c r="AM36" i="26"/>
  <c r="AN36" i="26"/>
  <c r="AO36" i="26"/>
  <c r="AP36" i="26"/>
  <c r="AQ36" i="26"/>
  <c r="AR36" i="26"/>
  <c r="AS36" i="26"/>
  <c r="D31" i="26"/>
  <c r="AT36" i="26"/>
  <c r="AU36" i="26"/>
  <c r="AW36" i="26"/>
  <c r="AX36" i="26"/>
  <c r="AY36" i="26"/>
  <c r="BA36" i="26"/>
  <c r="BC36" i="26"/>
  <c r="BE36" i="26"/>
  <c r="AB31" i="26"/>
  <c r="AC33" i="26"/>
  <c r="B53" i="26"/>
  <c r="D56" i="26"/>
  <c r="C56" i="26"/>
  <c r="G56" i="26"/>
  <c r="K56" i="26"/>
  <c r="O56" i="26"/>
  <c r="Q56" i="26"/>
  <c r="S56" i="26"/>
  <c r="V56" i="26"/>
  <c r="W56" i="26"/>
  <c r="X56" i="26"/>
  <c r="Y56" i="26"/>
  <c r="AA56" i="26"/>
  <c r="AC56" i="26"/>
  <c r="AG56" i="26"/>
  <c r="AI56" i="26"/>
  <c r="AL56" i="26"/>
  <c r="AN56" i="26"/>
  <c r="AP56" i="26"/>
  <c r="AQ56" i="26"/>
  <c r="AT56" i="26"/>
  <c r="AV56" i="26"/>
  <c r="AY56" i="26"/>
  <c r="BA56" i="26"/>
  <c r="F56" i="26"/>
  <c r="H56" i="26"/>
  <c r="J56" i="26"/>
  <c r="L56" i="26"/>
  <c r="M56" i="26"/>
  <c r="N56" i="26"/>
  <c r="R56" i="26"/>
  <c r="U56" i="26"/>
  <c r="Z56" i="26"/>
  <c r="AB56" i="26"/>
  <c r="AE56" i="26"/>
  <c r="AH56" i="26"/>
  <c r="AK56" i="26"/>
  <c r="AM56" i="26"/>
  <c r="AS56" i="26"/>
  <c r="AU56" i="26"/>
  <c r="AW56" i="26"/>
  <c r="AX56" i="26"/>
  <c r="BB56" i="26"/>
  <c r="D51" i="26"/>
  <c r="B56" i="26"/>
  <c r="E56" i="26"/>
  <c r="I56" i="26"/>
  <c r="P56" i="26"/>
  <c r="T56" i="26"/>
  <c r="AD56" i="26"/>
  <c r="AF56" i="26"/>
  <c r="AJ56" i="26"/>
  <c r="AO56" i="26"/>
  <c r="AR56" i="26"/>
  <c r="AZ56" i="26"/>
  <c r="D47" i="26"/>
  <c r="F47" i="26"/>
  <c r="H47" i="26"/>
  <c r="I47" i="26"/>
  <c r="L47" i="26"/>
  <c r="O47" i="26"/>
  <c r="P47" i="26"/>
  <c r="R47" i="26"/>
  <c r="S47" i="26"/>
  <c r="U47" i="26"/>
  <c r="W47" i="26"/>
  <c r="Z47" i="26"/>
  <c r="AC47" i="26"/>
  <c r="AJ47" i="26"/>
  <c r="AK47" i="26"/>
  <c r="AP47" i="26"/>
  <c r="AR47" i="26"/>
  <c r="AZ47" i="26"/>
  <c r="BC57" i="26"/>
  <c r="BF57" i="26"/>
  <c r="B47" i="26"/>
  <c r="E47" i="26"/>
  <c r="G47" i="26"/>
  <c r="J47" i="26"/>
  <c r="M47" i="26"/>
  <c r="N47" i="26"/>
  <c r="T47" i="26"/>
  <c r="V47" i="26"/>
  <c r="Y47" i="26"/>
  <c r="AA47" i="26"/>
  <c r="AB47" i="26"/>
  <c r="AD47" i="26"/>
  <c r="AE47" i="26"/>
  <c r="AG47" i="26"/>
  <c r="AI47" i="26"/>
  <c r="AL47" i="26"/>
  <c r="AN47" i="26"/>
  <c r="AO47" i="26"/>
  <c r="AQ47" i="26"/>
  <c r="AS47" i="26"/>
  <c r="AT47" i="26"/>
  <c r="AV47" i="26"/>
  <c r="AX47" i="26"/>
  <c r="AY47" i="26"/>
  <c r="BB47" i="26"/>
  <c r="BD47" i="26"/>
  <c r="BE47" i="26"/>
  <c r="D42" i="26"/>
  <c r="C47" i="26"/>
  <c r="K47" i="26"/>
  <c r="Q47" i="26"/>
  <c r="X47" i="26"/>
  <c r="AF47" i="26"/>
  <c r="AH47" i="26"/>
  <c r="AM47" i="26"/>
  <c r="AU47" i="26"/>
  <c r="AW47" i="26"/>
  <c r="BA47" i="26"/>
  <c r="BC47" i="26"/>
  <c r="BF47" i="26"/>
  <c r="BD57" i="26"/>
  <c r="BE57" i="26"/>
  <c r="B57" i="26"/>
  <c r="E57" i="26"/>
  <c r="M57" i="26"/>
  <c r="Q57" i="26"/>
  <c r="V57" i="26"/>
  <c r="X57" i="26"/>
  <c r="AA57" i="26"/>
  <c r="AD57" i="26"/>
  <c r="AF57" i="26"/>
  <c r="AI57" i="26"/>
  <c r="AK57" i="26"/>
  <c r="AO57" i="26"/>
  <c r="AT57" i="26"/>
  <c r="AV57" i="26"/>
  <c r="BA57" i="26"/>
  <c r="D57" i="26"/>
  <c r="J57" i="26"/>
  <c r="L57" i="26"/>
  <c r="N57" i="26"/>
  <c r="U57" i="26"/>
  <c r="W57" i="26"/>
  <c r="Y57" i="26"/>
  <c r="AB57" i="26"/>
  <c r="AH57" i="26"/>
  <c r="AS57" i="26"/>
  <c r="AZ58" i="26"/>
  <c r="D52" i="26"/>
  <c r="C57" i="26"/>
  <c r="G57" i="26"/>
  <c r="I57" i="26"/>
  <c r="K57" i="26"/>
  <c r="O57" i="26"/>
  <c r="R57" i="26"/>
  <c r="S57" i="26"/>
  <c r="AE57" i="26"/>
  <c r="AJ57" i="26"/>
  <c r="AL57" i="26"/>
  <c r="AN57" i="26"/>
  <c r="AR57" i="26"/>
  <c r="AW57" i="26"/>
  <c r="F57" i="26"/>
  <c r="H57" i="26"/>
  <c r="P57" i="26"/>
  <c r="T57" i="26"/>
  <c r="Z57" i="26"/>
  <c r="AC57" i="26"/>
  <c r="AG57" i="26"/>
  <c r="AM57" i="26"/>
  <c r="AP57" i="26"/>
  <c r="AQ57" i="26"/>
  <c r="AU57" i="26"/>
  <c r="AX57" i="26"/>
  <c r="AY57" i="26"/>
  <c r="AZ57" i="26"/>
  <c r="BB57" i="26"/>
  <c r="BP5" i="26"/>
  <c r="BQ5" i="26" s="1"/>
  <c r="BQ18" i="26"/>
  <c r="BQ25" i="26"/>
  <c r="BQ29" i="26"/>
  <c r="BQ42" i="26"/>
  <c r="BQ43" i="26"/>
  <c r="BQ46" i="26"/>
  <c r="BQ47" i="26"/>
  <c r="BQ48" i="26"/>
  <c r="BQ61" i="26"/>
  <c r="BQ21" i="26"/>
  <c r="BQ22" i="26"/>
  <c r="BQ26" i="26"/>
  <c r="BQ27" i="26"/>
  <c r="BQ28" i="26"/>
  <c r="BQ30" i="26"/>
  <c r="BQ31" i="26"/>
  <c r="BQ33" i="26"/>
  <c r="BQ36" i="26"/>
  <c r="BQ44" i="26"/>
  <c r="BQ49" i="26"/>
  <c r="BQ6" i="26"/>
  <c r="BQ7" i="26"/>
  <c r="BQ8" i="26"/>
  <c r="BQ9" i="26"/>
  <c r="BQ10" i="26"/>
  <c r="BQ11" i="26"/>
  <c r="BQ12" i="26"/>
  <c r="BQ13" i="26"/>
  <c r="BQ14" i="26"/>
  <c r="BQ15" i="26"/>
  <c r="BQ35" i="26"/>
  <c r="BQ45" i="26"/>
  <c r="BQ53" i="26"/>
  <c r="BQ59" i="26"/>
  <c r="BQ60" i="26"/>
  <c r="BQ51" i="26"/>
  <c r="BQ52" i="26"/>
  <c r="BQ54" i="26"/>
  <c r="BQ55" i="26"/>
  <c r="BQ57" i="26"/>
  <c r="BQ16" i="26"/>
  <c r="BQ17" i="26"/>
  <c r="BQ19" i="26"/>
  <c r="BQ20" i="26"/>
  <c r="BQ23" i="26"/>
  <c r="BQ24" i="26"/>
  <c r="BQ32" i="26"/>
  <c r="BQ34" i="26"/>
  <c r="BQ37" i="26"/>
  <c r="BQ38" i="26"/>
  <c r="BQ39" i="26"/>
  <c r="BQ40" i="26"/>
  <c r="BQ41" i="26"/>
  <c r="BQ50" i="26"/>
  <c r="BQ56" i="26"/>
  <c r="BQ58" i="26"/>
  <c r="BR5" i="26"/>
  <c r="BW6" i="26" s="1"/>
  <c r="BW53" i="26"/>
  <c r="BW54" i="26"/>
  <c r="BW55" i="26"/>
  <c r="BW56" i="26"/>
  <c r="BW5" i="26"/>
  <c r="BW57" i="26"/>
  <c r="BW16" i="26"/>
  <c r="BW19" i="26"/>
  <c r="BW20" i="26"/>
  <c r="BW23" i="26"/>
  <c r="BW24" i="26"/>
  <c r="BW25" i="26"/>
  <c r="BW28" i="26"/>
  <c r="BW32" i="26"/>
  <c r="BW34" i="26"/>
  <c r="BW37" i="26"/>
  <c r="BW38" i="26"/>
  <c r="BW40" i="26"/>
  <c r="BW58" i="26"/>
  <c r="BW18" i="26"/>
  <c r="BW22" i="26"/>
  <c r="BW26" i="26"/>
  <c r="BW27" i="26"/>
  <c r="BW29" i="26"/>
  <c r="BW42" i="26"/>
  <c r="BW43" i="26"/>
  <c r="BW46" i="26"/>
  <c r="BW47" i="26"/>
  <c r="BW48" i="26"/>
  <c r="BW61" i="26"/>
  <c r="BW60" i="26"/>
  <c r="BW21" i="26"/>
  <c r="BW30" i="26"/>
  <c r="BW31" i="26"/>
  <c r="BW33" i="26"/>
  <c r="BW36" i="26"/>
  <c r="BW39" i="26"/>
  <c r="BW41" i="26"/>
  <c r="BW44" i="26"/>
  <c r="BW49" i="26"/>
  <c r="BW50" i="26"/>
  <c r="BW7" i="26"/>
  <c r="BW8" i="26"/>
  <c r="BW9" i="26"/>
  <c r="BW10" i="26"/>
  <c r="BW11" i="26"/>
  <c r="BW12" i="26"/>
  <c r="BW13" i="26"/>
  <c r="BW14" i="26"/>
  <c r="BW15" i="26"/>
  <c r="BW17" i="26"/>
  <c r="BW35" i="26"/>
  <c r="BW45" i="26"/>
  <c r="BW59" i="26"/>
  <c r="BW51" i="26"/>
  <c r="BW52" i="26"/>
  <c r="B37" i="26"/>
  <c r="D37" i="26"/>
  <c r="I37" i="26"/>
  <c r="K37" i="26"/>
  <c r="M37" i="26"/>
  <c r="O37" i="26"/>
  <c r="Q37" i="26"/>
  <c r="S37" i="26"/>
  <c r="U37" i="26"/>
  <c r="W37" i="26"/>
  <c r="Y37" i="26"/>
  <c r="AB37" i="26"/>
  <c r="AF37" i="26"/>
  <c r="AJ37" i="26"/>
  <c r="AL37" i="26"/>
  <c r="AO37" i="26"/>
  <c r="AV37" i="26"/>
  <c r="AX37" i="26"/>
  <c r="BA37" i="26"/>
  <c r="BE37" i="26"/>
  <c r="C37" i="26"/>
  <c r="E37" i="26"/>
  <c r="F37" i="26"/>
  <c r="G37" i="26"/>
  <c r="H37" i="26"/>
  <c r="J37" i="26"/>
  <c r="L37" i="26"/>
  <c r="N37" i="26"/>
  <c r="P37" i="26"/>
  <c r="R37" i="26"/>
  <c r="T37" i="26"/>
  <c r="V37" i="26"/>
  <c r="X37" i="26"/>
  <c r="Z37" i="26"/>
  <c r="AA37" i="26"/>
  <c r="AC37" i="26"/>
  <c r="AD37" i="26"/>
  <c r="AE37" i="26"/>
  <c r="AG37" i="26"/>
  <c r="AH37" i="26"/>
  <c r="AI37" i="26"/>
  <c r="AK37" i="26"/>
  <c r="AM37" i="26"/>
  <c r="AN37" i="26"/>
  <c r="AP37" i="26"/>
  <c r="AQ37" i="26"/>
  <c r="AR37" i="26"/>
  <c r="AS37" i="26"/>
  <c r="AT37" i="26"/>
  <c r="AU37" i="26"/>
  <c r="AW37" i="26"/>
  <c r="AY37" i="26"/>
  <c r="AZ37" i="26"/>
  <c r="BB37" i="26"/>
  <c r="BC37" i="26"/>
  <c r="BD37" i="26"/>
  <c r="BF37" i="26"/>
  <c r="D32" i="26"/>
  <c r="H46" i="26"/>
  <c r="J46" i="26"/>
  <c r="M46" i="26"/>
  <c r="Q46" i="26"/>
  <c r="S46" i="26"/>
  <c r="Y46" i="26"/>
  <c r="AD46" i="26"/>
  <c r="AJ46" i="26"/>
  <c r="AM46" i="26"/>
  <c r="AT46" i="26"/>
  <c r="B46" i="26"/>
  <c r="C46" i="26"/>
  <c r="D46" i="26"/>
  <c r="E46" i="26"/>
  <c r="F46" i="26"/>
  <c r="BC56" i="26"/>
  <c r="BD56" i="26"/>
  <c r="BF56" i="26"/>
  <c r="D41" i="26"/>
  <c r="G46" i="26"/>
  <c r="K46" i="26"/>
  <c r="N46" i="26"/>
  <c r="P46" i="26"/>
  <c r="T46" i="26"/>
  <c r="W46" i="26"/>
  <c r="Z46" i="26"/>
  <c r="AA46" i="26"/>
  <c r="AC46" i="26"/>
  <c r="AF46" i="26"/>
  <c r="AG46" i="26"/>
  <c r="AH46" i="26"/>
  <c r="AK46" i="26"/>
  <c r="AO46" i="26"/>
  <c r="AQ46" i="26"/>
  <c r="AS46" i="26"/>
  <c r="AV46" i="26"/>
  <c r="AX46" i="26"/>
  <c r="AZ46" i="26"/>
  <c r="BB46" i="26"/>
  <c r="BD46" i="26"/>
  <c r="BF46" i="26"/>
  <c r="BE56" i="26"/>
  <c r="B43" i="26"/>
  <c r="I46" i="26"/>
  <c r="L46" i="26"/>
  <c r="O46" i="26"/>
  <c r="R46" i="26"/>
  <c r="U46" i="26"/>
  <c r="V46" i="26"/>
  <c r="X46" i="26"/>
  <c r="AB46" i="26"/>
  <c r="AE46" i="26"/>
  <c r="AI46" i="26"/>
  <c r="AL46" i="26"/>
  <c r="AN46" i="26"/>
  <c r="AP46" i="26"/>
  <c r="AR46" i="26"/>
  <c r="AU46" i="26"/>
  <c r="AW46" i="26"/>
  <c r="AY46" i="26"/>
  <c r="BA46" i="26"/>
  <c r="BC46" i="26"/>
  <c r="BE46" i="26"/>
  <c r="D18" i="5" a="1"/>
  <c r="D18" i="5" s="1"/>
  <c r="E52" i="5" s="1"/>
  <c r="D17" i="5"/>
  <c r="D39" i="24"/>
  <c r="L44" i="24"/>
  <c r="N44" i="24"/>
  <c r="P44" i="24"/>
  <c r="AC44" i="24"/>
  <c r="AD44" i="24"/>
  <c r="AE44" i="24"/>
  <c r="AT44" i="24"/>
  <c r="AU44" i="24"/>
  <c r="AS44" i="24"/>
  <c r="Q44" i="24"/>
  <c r="AG44" i="24"/>
  <c r="AV44" i="24"/>
  <c r="B44" i="24"/>
  <c r="R44" i="24"/>
  <c r="AH44" i="24"/>
  <c r="AX44" i="24"/>
  <c r="D44" i="24"/>
  <c r="S44" i="24"/>
  <c r="AI44" i="24"/>
  <c r="AZ44" i="24"/>
  <c r="E44" i="24"/>
  <c r="U44" i="24"/>
  <c r="AJ44" i="24"/>
  <c r="BA44" i="24"/>
  <c r="F44" i="24"/>
  <c r="V44" i="24"/>
  <c r="AL44" i="24"/>
  <c r="BB44" i="24"/>
  <c r="G44" i="24"/>
  <c r="W44" i="24"/>
  <c r="AN44" i="24"/>
  <c r="BC44" i="24"/>
  <c r="I44" i="24"/>
  <c r="X44" i="24"/>
  <c r="AO44" i="24"/>
  <c r="BE44" i="24"/>
  <c r="J44" i="24"/>
  <c r="Z44" i="24"/>
  <c r="AP44" i="24"/>
  <c r="BF44" i="24"/>
  <c r="K44" i="24"/>
  <c r="AB44" i="24"/>
  <c r="AQ44" i="24"/>
  <c r="M44" i="24"/>
  <c r="Y44" i="24"/>
  <c r="AK44" i="24"/>
  <c r="AW44" i="24"/>
  <c r="C44" i="24"/>
  <c r="O44" i="24"/>
  <c r="AA44" i="24"/>
  <c r="AM44" i="24"/>
  <c r="AY44" i="24"/>
  <c r="H44" i="24"/>
  <c r="T44" i="24"/>
  <c r="AF44" i="24"/>
  <c r="AR44" i="24"/>
  <c r="O1" i="23"/>
  <c r="Q1" i="23"/>
  <c r="R1" i="23"/>
  <c r="S1" i="23"/>
  <c r="C1" i="23"/>
  <c r="T1" i="23"/>
  <c r="E1" i="23"/>
  <c r="U1" i="23"/>
  <c r="F1" i="23"/>
  <c r="V1" i="23"/>
  <c r="D1" i="23"/>
  <c r="P1" i="23"/>
  <c r="K1" i="23"/>
  <c r="W1" i="23"/>
  <c r="L1" i="23"/>
  <c r="X1" i="23"/>
  <c r="Y1" i="23"/>
  <c r="B1" i="23"/>
  <c r="N1" i="23"/>
  <c r="B2" i="23"/>
  <c r="D9" i="23"/>
  <c r="C2" i="23"/>
  <c r="BO61" i="5"/>
  <c r="BF16" i="5" a="1"/>
  <c r="BF16" i="5" s="1"/>
  <c r="BH20" i="24" a="1"/>
  <c r="BH20" i="24" s="1"/>
  <c r="BH19" i="24" a="1"/>
  <c r="BH19" i="24" s="1"/>
  <c r="BG20" i="24" a="1"/>
  <c r="BG20" i="24" s="1"/>
  <c r="BG19" i="24" a="1"/>
  <c r="BG19" i="24" s="1"/>
  <c r="BE20" i="24" a="1"/>
  <c r="BE20" i="24" s="1"/>
  <c r="BE19" i="24" a="1"/>
  <c r="BE19" i="24" s="1"/>
  <c r="BD20" i="24" a="1"/>
  <c r="BD20" i="24" s="1"/>
  <c r="BD19" i="24" a="1"/>
  <c r="BD19" i="24" s="1"/>
  <c r="BC20" i="24" a="1"/>
  <c r="BC20" i="24" s="1"/>
  <c r="BC19" i="24" a="1"/>
  <c r="BC19" i="24" s="1"/>
  <c r="BB20" i="24" a="1"/>
  <c r="BB20" i="24" s="1"/>
  <c r="BB19" i="24" a="1"/>
  <c r="BB19" i="24" s="1"/>
  <c r="BA20" i="24" a="1"/>
  <c r="BA20" i="24" s="1"/>
  <c r="BA19" i="24" a="1"/>
  <c r="BA19" i="24" s="1"/>
  <c r="AZ20" i="24" a="1"/>
  <c r="AZ20" i="24" s="1"/>
  <c r="AZ19" i="24" a="1"/>
  <c r="AZ19" i="24" s="1"/>
  <c r="AY20" i="24" a="1"/>
  <c r="AY20" i="24" s="1"/>
  <c r="AY19" i="24" a="1"/>
  <c r="AY19" i="24" s="1"/>
  <c r="AX20" i="24" a="1"/>
  <c r="AX20" i="24" s="1"/>
  <c r="AX19" i="24" a="1"/>
  <c r="AX19" i="24" s="1"/>
  <c r="AW20" i="24" a="1"/>
  <c r="AW20" i="24" s="1"/>
  <c r="AW19" i="24" a="1"/>
  <c r="AW19" i="24" s="1"/>
  <c r="AU20" i="24" a="1"/>
  <c r="AU20" i="24" s="1"/>
  <c r="AU19" i="24" a="1"/>
  <c r="AU19" i="24" s="1"/>
  <c r="AT20" i="24" a="1"/>
  <c r="AT20" i="24" s="1"/>
  <c r="AT19" i="24" a="1"/>
  <c r="AT19" i="24" s="1"/>
  <c r="AS20" i="24" a="1"/>
  <c r="AS20" i="24" s="1"/>
  <c r="AS19" i="24" a="1"/>
  <c r="AS19" i="24" s="1"/>
  <c r="AO20" i="24" a="1"/>
  <c r="AO20" i="24" s="1"/>
  <c r="AO19" i="24" a="1"/>
  <c r="AO19" i="24" s="1"/>
  <c r="AQ20" i="24" a="1"/>
  <c r="AQ20" i="24" s="1"/>
  <c r="AQ19" i="24" a="1"/>
  <c r="AQ19" i="24" s="1"/>
  <c r="AP20" i="24" a="1"/>
  <c r="AP20" i="24" s="1"/>
  <c r="AP19" i="24" a="1"/>
  <c r="AP19" i="24" s="1"/>
  <c r="AV20" i="24" a="1"/>
  <c r="AV20" i="24" s="1"/>
  <c r="AV19" i="24" a="1"/>
  <c r="AV19" i="24" s="1"/>
  <c r="AN20" i="24" a="1"/>
  <c r="AN20" i="24" s="1"/>
  <c r="AN19" i="24" a="1"/>
  <c r="AN19" i="24" s="1"/>
  <c r="AR20" i="24" a="1"/>
  <c r="AR20" i="24" s="1"/>
  <c r="AR19" i="24" a="1"/>
  <c r="AR19" i="24" s="1"/>
  <c r="AM20" i="24" a="1"/>
  <c r="AM20" i="24" s="1"/>
  <c r="AM19" i="24" a="1"/>
  <c r="AM19" i="24" s="1"/>
  <c r="AL20" i="24" a="1"/>
  <c r="AL20" i="24" s="1"/>
  <c r="AL19" i="24" a="1"/>
  <c r="AL19" i="24" s="1"/>
  <c r="AK20" i="24" a="1"/>
  <c r="AK20" i="24" s="1"/>
  <c r="AK19" i="24" a="1"/>
  <c r="AK19" i="24" s="1"/>
  <c r="AJ20" i="24" a="1"/>
  <c r="AJ20" i="24" s="1"/>
  <c r="AJ19" i="24" a="1"/>
  <c r="AJ19" i="24" s="1"/>
  <c r="AI20" i="24" a="1"/>
  <c r="AI20" i="24" s="1"/>
  <c r="AI19" i="24" a="1"/>
  <c r="AI19" i="24" s="1"/>
  <c r="AH20" i="24" a="1"/>
  <c r="AH20" i="24" s="1"/>
  <c r="AH19" i="24" a="1"/>
  <c r="AH19" i="24" s="1"/>
  <c r="AG20" i="24" a="1"/>
  <c r="AG20" i="24" s="1"/>
  <c r="AG19" i="24" a="1"/>
  <c r="AG19" i="24" s="1"/>
  <c r="AF20" i="24" a="1"/>
  <c r="AF20" i="24" s="1"/>
  <c r="AF19" i="24" a="1"/>
  <c r="AF19" i="24" s="1"/>
  <c r="AE20" i="24" a="1"/>
  <c r="AE20" i="24" s="1"/>
  <c r="AE19" i="24" a="1"/>
  <c r="AE19" i="24" s="1"/>
  <c r="AD20" i="24" a="1"/>
  <c r="AD20" i="24" s="1"/>
  <c r="AD19" i="24" a="1"/>
  <c r="AD19" i="24" s="1"/>
  <c r="AC20" i="24" a="1"/>
  <c r="AC20" i="24" s="1"/>
  <c r="AC19" i="24" a="1"/>
  <c r="AC19" i="24" s="1"/>
  <c r="AB20" i="24" a="1"/>
  <c r="AB20" i="24" s="1"/>
  <c r="AB19" i="24" a="1"/>
  <c r="AB19" i="24" s="1"/>
  <c r="AA20" i="24" a="1"/>
  <c r="AA20" i="24" s="1"/>
  <c r="AA19" i="24" a="1"/>
  <c r="AA19" i="24" s="1"/>
  <c r="Z20" i="24" a="1"/>
  <c r="Z20" i="24" s="1"/>
  <c r="Z19" i="24" a="1"/>
  <c r="Z19" i="24" s="1"/>
  <c r="Y20" i="24" a="1"/>
  <c r="Y20" i="24" s="1"/>
  <c r="Y19" i="24" a="1"/>
  <c r="Y19" i="24" s="1"/>
  <c r="P20" i="24" a="1"/>
  <c r="P20" i="24" s="1"/>
  <c r="P19" i="24" a="1"/>
  <c r="P19" i="24" s="1"/>
  <c r="O20" i="24" a="1"/>
  <c r="O20" i="24" s="1"/>
  <c r="O19" i="24" a="1"/>
  <c r="O19" i="24" s="1"/>
  <c r="L20" i="24" a="1"/>
  <c r="L20" i="24" s="1"/>
  <c r="L19" i="24" a="1"/>
  <c r="L19" i="24" s="1"/>
  <c r="N20" i="24" a="1"/>
  <c r="N20" i="24" s="1"/>
  <c r="N19" i="24" a="1"/>
  <c r="N19" i="24" s="1"/>
  <c r="M20" i="24" a="1"/>
  <c r="M20" i="24" s="1"/>
  <c r="M19" i="24" a="1"/>
  <c r="M19" i="24" s="1"/>
  <c r="T20" i="24" a="1"/>
  <c r="T20" i="24" s="1"/>
  <c r="T19" i="24" a="1"/>
  <c r="T19" i="24" s="1"/>
  <c r="Q20" i="24" a="1"/>
  <c r="Q20" i="24" s="1"/>
  <c r="Q19" i="24" a="1"/>
  <c r="Q19" i="24" s="1"/>
  <c r="S20" i="24" a="1"/>
  <c r="S20" i="24" s="1"/>
  <c r="S19" i="24" a="1"/>
  <c r="S19" i="24" s="1"/>
  <c r="R20" i="24" a="1"/>
  <c r="R20" i="24" s="1"/>
  <c r="R19" i="24" a="1"/>
  <c r="R19" i="24" s="1"/>
  <c r="X20" i="24" a="1"/>
  <c r="X20" i="24" s="1"/>
  <c r="X19" i="24" a="1"/>
  <c r="X19" i="24" s="1"/>
  <c r="U20" i="24" a="1"/>
  <c r="U20" i="24" s="1"/>
  <c r="U19" i="24" a="1"/>
  <c r="U19" i="24" s="1"/>
  <c r="W20" i="24" a="1"/>
  <c r="W20" i="24" s="1"/>
  <c r="W19" i="24" a="1"/>
  <c r="W19" i="24" s="1"/>
  <c r="V20" i="24" a="1"/>
  <c r="V20" i="24" s="1"/>
  <c r="V19" i="24" a="1"/>
  <c r="V19" i="24" s="1"/>
  <c r="K20" i="24" a="1"/>
  <c r="K20" i="24" s="1"/>
  <c r="K19" i="24" a="1"/>
  <c r="K19" i="24" s="1"/>
  <c r="J20" i="24" a="1"/>
  <c r="J20" i="24" s="1"/>
  <c r="J19" i="24" a="1"/>
  <c r="J19" i="24" s="1"/>
  <c r="I20" i="24" a="1"/>
  <c r="I20" i="24" s="1"/>
  <c r="I19" i="24" a="1"/>
  <c r="I19" i="24" s="1"/>
  <c r="H20" i="24" a="1"/>
  <c r="H20" i="24" s="1"/>
  <c r="H19" i="24" a="1"/>
  <c r="H19" i="24" s="1"/>
  <c r="G20" i="24" a="1"/>
  <c r="G20" i="24" s="1"/>
  <c r="G19" i="24" a="1"/>
  <c r="G19" i="24" s="1"/>
  <c r="D20" i="24" a="1"/>
  <c r="D20" i="24" s="1"/>
  <c r="D19" i="24" a="1"/>
  <c r="D19" i="24" s="1"/>
  <c r="F20" i="24" a="1"/>
  <c r="F20" i="24" s="1"/>
  <c r="F19" i="24" a="1"/>
  <c r="F19" i="24" s="1"/>
  <c r="E20" i="24" a="1"/>
  <c r="E20" i="24" s="1"/>
  <c r="E19" i="24" a="1"/>
  <c r="E19" i="24" s="1"/>
  <c r="S61" i="22"/>
  <c r="T61" i="22"/>
  <c r="BN61" i="5" a="1"/>
  <c r="BZ5" i="26" l="1" a="1"/>
  <c r="CJ5" i="26" a="1"/>
  <c r="CT5" i="26" a="1"/>
  <c r="AN41" i="5"/>
  <c r="AC32" i="5"/>
  <c r="E32" i="5"/>
  <c r="AM41" i="5"/>
  <c r="AN43" i="5"/>
  <c r="BB57" i="5"/>
  <c r="AP57" i="5"/>
  <c r="AD57" i="5"/>
  <c r="R57" i="5"/>
  <c r="F57" i="5"/>
  <c r="BA57" i="5"/>
  <c r="AO57" i="5"/>
  <c r="AC57" i="5"/>
  <c r="Q57" i="5"/>
  <c r="E57" i="5"/>
  <c r="AZ57" i="5"/>
  <c r="AN57" i="5"/>
  <c r="AB57" i="5"/>
  <c r="P57" i="5"/>
  <c r="D57" i="5"/>
  <c r="AS57" i="5"/>
  <c r="AG57" i="5"/>
  <c r="U57" i="5"/>
  <c r="I57" i="5"/>
  <c r="AY57" i="5"/>
  <c r="AM57" i="5"/>
  <c r="AA57" i="5"/>
  <c r="C57" i="5"/>
  <c r="AX57" i="5"/>
  <c r="Z57" i="5"/>
  <c r="AZ58" i="5"/>
  <c r="AK57" i="5"/>
  <c r="M57" i="5"/>
  <c r="AV57" i="5"/>
  <c r="AJ57" i="5"/>
  <c r="L57" i="5"/>
  <c r="AU57" i="5"/>
  <c r="AI57" i="5"/>
  <c r="W57" i="5"/>
  <c r="K57" i="5"/>
  <c r="AR57" i="5"/>
  <c r="AF57" i="5"/>
  <c r="T57" i="5"/>
  <c r="H57" i="5"/>
  <c r="AQ57" i="5"/>
  <c r="AE57" i="5"/>
  <c r="S57" i="5"/>
  <c r="G57" i="5"/>
  <c r="O57" i="5"/>
  <c r="AL57" i="5"/>
  <c r="N57" i="5"/>
  <c r="AW57" i="5"/>
  <c r="Y57" i="5"/>
  <c r="B57" i="5"/>
  <c r="X57" i="5"/>
  <c r="AT57" i="5"/>
  <c r="AH57" i="5"/>
  <c r="V57" i="5"/>
  <c r="J57" i="5"/>
  <c r="B25" i="5"/>
  <c r="AZ31" i="5"/>
  <c r="AY31" i="5" s="1"/>
  <c r="AZ32" i="5"/>
  <c r="AY32" i="5" s="1"/>
  <c r="BN61" i="5"/>
  <c r="BM61" i="5" a="1"/>
  <c r="BM61" i="5" s="1"/>
  <c r="AO23" i="24"/>
  <c r="E48" i="24"/>
  <c r="I18" i="24" a="1"/>
  <c r="I18" i="24" s="1"/>
  <c r="AD18" i="24" a="1"/>
  <c r="AD18" i="24" s="1"/>
  <c r="E18" i="24" a="1"/>
  <c r="E18" i="24" s="1"/>
  <c r="R18" i="24" a="1"/>
  <c r="R18" i="24" s="1"/>
  <c r="AB18" i="24" a="1"/>
  <c r="AB18" i="24" s="1"/>
  <c r="AR18" i="24" a="1"/>
  <c r="AR18" i="24" s="1"/>
  <c r="AZ18" i="24" a="1"/>
  <c r="AZ18" i="24" s="1"/>
  <c r="N18" i="24" a="1"/>
  <c r="N18" i="24" s="1"/>
  <c r="AO18" i="24" a="1"/>
  <c r="AO18" i="24" s="1"/>
  <c r="BE18" i="24" a="1"/>
  <c r="BE18" i="24" s="1"/>
  <c r="U18" i="24" a="1"/>
  <c r="U18" i="24" s="1"/>
  <c r="Z18" i="24" a="1"/>
  <c r="Z18" i="24" s="1"/>
  <c r="AL18" i="24" a="1"/>
  <c r="AL18" i="24" s="1"/>
  <c r="AX18" i="24" a="1"/>
  <c r="AX18" i="24" s="1"/>
  <c r="BC18" i="24" a="1"/>
  <c r="BC18" i="24" s="1"/>
  <c r="AE18" i="24" a="1"/>
  <c r="AE18" i="24" s="1"/>
  <c r="V18" i="24" a="1"/>
  <c r="V18" i="24" s="1"/>
  <c r="AJ18" i="24" a="1"/>
  <c r="AJ18" i="24" s="1"/>
  <c r="AU18" i="24" a="1"/>
  <c r="AU18" i="24" s="1"/>
  <c r="BH18" i="24" a="1"/>
  <c r="BH18" i="24" s="1"/>
  <c r="AP18" i="24" a="1"/>
  <c r="AP18" i="24" s="1"/>
  <c r="P18" i="24" a="1"/>
  <c r="P18" i="24" s="1"/>
  <c r="F18" i="24" a="1"/>
  <c r="F18" i="24" s="1"/>
  <c r="S18" i="24" a="1"/>
  <c r="S18" i="24" s="1"/>
  <c r="AC18" i="24" a="1"/>
  <c r="AC18" i="24" s="1"/>
  <c r="AN18" i="24" a="1"/>
  <c r="AN18" i="24" s="1"/>
  <c r="BA18" i="24" a="1"/>
  <c r="BA18" i="24" s="1"/>
  <c r="BF18" i="24" a="1"/>
  <c r="BF18" i="24" s="1"/>
  <c r="J18" i="24" a="1"/>
  <c r="J18" i="24" s="1"/>
  <c r="L18" i="24" a="1"/>
  <c r="L18" i="24" s="1"/>
  <c r="AS18" i="24" a="1"/>
  <c r="AS18" i="24" s="1"/>
  <c r="X18" i="24" a="1"/>
  <c r="X18" i="24" s="1"/>
  <c r="AA18" i="24" a="1"/>
  <c r="AA18" i="24" s="1"/>
  <c r="AM18" i="24" a="1"/>
  <c r="AM18" i="24" s="1"/>
  <c r="AY18" i="24" a="1"/>
  <c r="AY18" i="24" s="1"/>
  <c r="AG18" i="24" a="1"/>
  <c r="AG18" i="24" s="1"/>
  <c r="AH18" i="24" a="1"/>
  <c r="AH18" i="24" s="1"/>
  <c r="M18" i="24" a="1"/>
  <c r="M18" i="24" s="1"/>
  <c r="AQ18" i="24" a="1"/>
  <c r="AQ18" i="24" s="1"/>
  <c r="BD18" i="24" a="1"/>
  <c r="BD18" i="24" s="1"/>
  <c r="BF19" i="24" a="1"/>
  <c r="BF19" i="24" s="1"/>
  <c r="E28" i="24" s="1"/>
  <c r="H18" i="24" a="1"/>
  <c r="H18" i="24" s="1"/>
  <c r="AF18" i="24" a="1"/>
  <c r="AF18" i="24" s="1"/>
  <c r="W18" i="24" a="1"/>
  <c r="W18" i="24" s="1"/>
  <c r="Y18" i="24" a="1"/>
  <c r="Y18" i="24" s="1"/>
  <c r="AK18" i="24" a="1"/>
  <c r="AK18" i="24" s="1"/>
  <c r="AW18" i="24" a="1"/>
  <c r="AW18" i="24" s="1"/>
  <c r="BF20" i="24" a="1"/>
  <c r="BF20" i="24" s="1"/>
  <c r="E29" i="24" s="1"/>
  <c r="T18" i="24" a="1"/>
  <c r="T18" i="24" s="1"/>
  <c r="AV18" i="24" a="1"/>
  <c r="AV18" i="24" s="1"/>
  <c r="BB18" i="24" a="1"/>
  <c r="BB18" i="24" s="1"/>
  <c r="G18" i="24" a="1"/>
  <c r="G18" i="24" s="1"/>
  <c r="D18" i="24" a="1"/>
  <c r="D18" i="24" s="1"/>
  <c r="Q18" i="24" a="1"/>
  <c r="Q18" i="24" s="1"/>
  <c r="K18" i="24" a="1"/>
  <c r="K18" i="24" s="1"/>
  <c r="O18" i="24" a="1"/>
  <c r="O18" i="24" s="1"/>
  <c r="AI18" i="24" a="1"/>
  <c r="AI18" i="24" s="1"/>
  <c r="AT18" i="24" a="1"/>
  <c r="AT18" i="24" s="1"/>
  <c r="BG18" i="24" a="1"/>
  <c r="BG18" i="24" s="1"/>
  <c r="B50" i="24"/>
  <c r="D48" i="24"/>
  <c r="E9" i="23"/>
  <c r="D2" i="23"/>
  <c r="BO59" i="5"/>
  <c r="BO60" i="5"/>
  <c r="BH16" i="5" a="1"/>
  <c r="BH16" i="5" s="1"/>
  <c r="S60" i="22"/>
  <c r="T60" i="22"/>
  <c r="S59" i="22"/>
  <c r="T59" i="22"/>
  <c r="BA16" i="5" a="1"/>
  <c r="BA16" i="5" s="1"/>
  <c r="BO6" i="5"/>
  <c r="BO7" i="5"/>
  <c r="BO8" i="5"/>
  <c r="BO9" i="5"/>
  <c r="BO10" i="5"/>
  <c r="BO11" i="5"/>
  <c r="BO12" i="5"/>
  <c r="BO13" i="5"/>
  <c r="BO14" i="5"/>
  <c r="BO15" i="5"/>
  <c r="BO16" i="5"/>
  <c r="BO17" i="5"/>
  <c r="BO18" i="5"/>
  <c r="BO19" i="5"/>
  <c r="BO20" i="5"/>
  <c r="BO21" i="5"/>
  <c r="BO22" i="5"/>
  <c r="BO23" i="5"/>
  <c r="BO24" i="5"/>
  <c r="BO25" i="5"/>
  <c r="BO26" i="5"/>
  <c r="BO27" i="5"/>
  <c r="BO28" i="5"/>
  <c r="BO29" i="5"/>
  <c r="BO30" i="5"/>
  <c r="BO31" i="5"/>
  <c r="BO32" i="5"/>
  <c r="BO33" i="5"/>
  <c r="BO34" i="5"/>
  <c r="BO35" i="5"/>
  <c r="BO36" i="5"/>
  <c r="BO37" i="5"/>
  <c r="BO38" i="5"/>
  <c r="BO39" i="5"/>
  <c r="BO40" i="5"/>
  <c r="BO41" i="5"/>
  <c r="BO42" i="5"/>
  <c r="BO43" i="5"/>
  <c r="BO44" i="5"/>
  <c r="BO45" i="5"/>
  <c r="BO46" i="5"/>
  <c r="BO47" i="5"/>
  <c r="BO48" i="5"/>
  <c r="BO49" i="5"/>
  <c r="BO50" i="5"/>
  <c r="BO51" i="5"/>
  <c r="BO52" i="5"/>
  <c r="BO53" i="5"/>
  <c r="BO54" i="5"/>
  <c r="BO55" i="5"/>
  <c r="BO56" i="5"/>
  <c r="BO57" i="5"/>
  <c r="BO58" i="5"/>
  <c r="BO5" i="5"/>
  <c r="T58" i="22"/>
  <c r="T57" i="22"/>
  <c r="T56" i="22"/>
  <c r="T55" i="22"/>
  <c r="T54" i="22"/>
  <c r="T53" i="22"/>
  <c r="T52" i="22"/>
  <c r="T51" i="22"/>
  <c r="T50" i="22"/>
  <c r="T49" i="22"/>
  <c r="T48" i="22"/>
  <c r="T47" i="22"/>
  <c r="T46" i="22"/>
  <c r="T45" i="22"/>
  <c r="T44" i="22"/>
  <c r="T43" i="22"/>
  <c r="T42" i="22"/>
  <c r="T41" i="22"/>
  <c r="T40" i="22"/>
  <c r="T39" i="22"/>
  <c r="T38" i="22"/>
  <c r="T37" i="22"/>
  <c r="T36" i="22"/>
  <c r="T35" i="22"/>
  <c r="T34" i="22"/>
  <c r="T33" i="22"/>
  <c r="T32" i="22"/>
  <c r="T31" i="22"/>
  <c r="T30" i="22"/>
  <c r="T29" i="22"/>
  <c r="T28" i="22"/>
  <c r="T27" i="22"/>
  <c r="T26" i="22"/>
  <c r="T25" i="22"/>
  <c r="T24" i="22"/>
  <c r="T23" i="22"/>
  <c r="T22" i="22"/>
  <c r="T21" i="22"/>
  <c r="T20" i="22"/>
  <c r="T19" i="22"/>
  <c r="T18" i="22"/>
  <c r="T17" i="22"/>
  <c r="T16" i="22"/>
  <c r="T15" i="22"/>
  <c r="T14" i="22"/>
  <c r="T13" i="22"/>
  <c r="T12" i="22"/>
  <c r="T11" i="22"/>
  <c r="T10" i="22"/>
  <c r="T9" i="22"/>
  <c r="T8" i="22"/>
  <c r="T7" i="22"/>
  <c r="T6" i="22"/>
  <c r="T5" i="22"/>
  <c r="B35" i="22"/>
  <c r="B44" i="22"/>
  <c r="B34" i="22"/>
  <c r="B43" i="22"/>
  <c r="B53" i="22"/>
  <c r="B41" i="22"/>
  <c r="B45" i="22"/>
  <c r="B46" i="22"/>
  <c r="B52" i="22"/>
  <c r="B40" i="22"/>
  <c r="B50" i="22"/>
  <c r="B30" i="22"/>
  <c r="B28" i="22"/>
  <c r="B32" i="22"/>
  <c r="B51" i="22"/>
  <c r="B31" i="22"/>
  <c r="B47" i="22"/>
  <c r="B26" i="22"/>
  <c r="B42" i="22"/>
  <c r="B33" i="22"/>
  <c r="B49" i="22"/>
  <c r="B29" i="22"/>
  <c r="B48" i="22"/>
  <c r="B27" i="22"/>
  <c r="B16" i="22"/>
  <c r="B20" i="22"/>
  <c r="B19" i="22"/>
  <c r="B17" i="22"/>
  <c r="B18" i="22"/>
  <c r="B36" i="22"/>
  <c r="B38" i="22"/>
  <c r="B37" i="22"/>
  <c r="B55" i="22"/>
  <c r="B25" i="22"/>
  <c r="B24" i="22"/>
  <c r="B22" i="22"/>
  <c r="B23" i="22"/>
  <c r="B57" i="22"/>
  <c r="B21" i="22"/>
  <c r="B15" i="22"/>
  <c r="B13" i="22"/>
  <c r="B14" i="22"/>
  <c r="B56" i="22"/>
  <c r="B12" i="22"/>
  <c r="B9" i="22"/>
  <c r="B11" i="22"/>
  <c r="B10" i="22"/>
  <c r="B39" i="22"/>
  <c r="B8" i="22"/>
  <c r="B7" i="22"/>
  <c r="B5" i="22"/>
  <c r="B6" i="22"/>
  <c r="Q7" i="22"/>
  <c r="Q56" i="22"/>
  <c r="Q10" i="22"/>
  <c r="Q11" i="22"/>
  <c r="Q9" i="22"/>
  <c r="Q12" i="22"/>
  <c r="Q58" i="22"/>
  <c r="Q14" i="22"/>
  <c r="Q13" i="22"/>
  <c r="Q15" i="22"/>
  <c r="Q25" i="22"/>
  <c r="Q59" i="22"/>
  <c r="Q22" i="22"/>
  <c r="Q21" i="22"/>
  <c r="Q23" i="22"/>
  <c r="Q24" i="22"/>
  <c r="Q57" i="22"/>
  <c r="Q54" i="22"/>
  <c r="Q55" i="22"/>
  <c r="Q53" i="22"/>
  <c r="Q60" i="22"/>
  <c r="Q18" i="22"/>
  <c r="Q17" i="22"/>
  <c r="Q19" i="22"/>
  <c r="Q20" i="22"/>
  <c r="Q61" i="22"/>
  <c r="Q27" i="22"/>
  <c r="Q44" i="22"/>
  <c r="Q28" i="22"/>
  <c r="Q45" i="22"/>
  <c r="Q33" i="22"/>
  <c r="Q38" i="22"/>
  <c r="Q26" i="22"/>
  <c r="Q43" i="22"/>
  <c r="Q30" i="22"/>
  <c r="Q47" i="22"/>
  <c r="Q31" i="22"/>
  <c r="Q32" i="22"/>
  <c r="Q29" i="22"/>
  <c r="Q46" i="22"/>
  <c r="Q36" i="22"/>
  <c r="Q48" i="22"/>
  <c r="Q42" i="22"/>
  <c r="Q41" i="22"/>
  <c r="Q37" i="22"/>
  <c r="Q49" i="22"/>
  <c r="Q39" i="22"/>
  <c r="Q34" i="22"/>
  <c r="Q40" i="22"/>
  <c r="Q35" i="22"/>
  <c r="Q52" i="22"/>
  <c r="Q6" i="22"/>
  <c r="P6" i="22"/>
  <c r="BN50" i="5" a="1"/>
  <c r="BN15" i="5" a="1"/>
  <c r="BN59" i="5" a="1"/>
  <c r="BN19" i="5" a="1"/>
  <c r="BN58" i="5" a="1"/>
  <c r="BN17" i="5" a="1"/>
  <c r="BN31" i="5" a="1"/>
  <c r="BN48" i="5" a="1"/>
  <c r="BN43" i="5" a="1"/>
  <c r="BN55" i="5" a="1"/>
  <c r="BN23" i="5" a="1"/>
  <c r="BN10" i="5" a="1"/>
  <c r="BN7" i="5" a="1"/>
  <c r="BN27" i="5" a="1"/>
  <c r="BN39" i="5" a="1"/>
  <c r="BN29" i="5" a="1"/>
  <c r="BN56" i="5" a="1"/>
  <c r="BN6" i="5" a="1"/>
  <c r="BN26" i="5" a="1"/>
  <c r="BN51" i="5" a="1"/>
  <c r="BN8" i="5" a="1"/>
  <c r="BN60" i="5" a="1"/>
  <c r="BN30" i="5" a="1"/>
  <c r="BN18" i="5" a="1"/>
  <c r="BN9" i="5" a="1"/>
  <c r="BN41" i="5" a="1"/>
  <c r="BN20" i="5" a="1"/>
  <c r="BN52" i="5" a="1"/>
  <c r="BN47" i="5" a="1"/>
  <c r="BN45" i="5" a="1"/>
  <c r="BN57" i="5" a="1"/>
  <c r="BN11" i="5" a="1"/>
  <c r="BN53" i="5" a="1"/>
  <c r="BN32" i="5" a="1"/>
  <c r="BN21" i="5" a="1"/>
  <c r="BN37" i="5" a="1"/>
  <c r="BN12" i="5" a="1"/>
  <c r="BN16" i="5" a="1"/>
  <c r="BN54" i="5" a="1"/>
  <c r="BN42" i="5" a="1"/>
  <c r="BN22" i="5" a="1"/>
  <c r="BN14" i="5" a="1"/>
  <c r="BN28" i="5" a="1"/>
  <c r="BN33" i="5" a="1"/>
  <c r="BN36" i="5" a="1"/>
  <c r="BN13" i="5" a="1"/>
  <c r="BN38" i="5" a="1"/>
  <c r="BN40" i="5" a="1"/>
  <c r="BN25" i="5" a="1"/>
  <c r="BN49" i="5" a="1"/>
  <c r="BN35" i="5" a="1"/>
  <c r="BN44" i="5" a="1"/>
  <c r="BN24" i="5" a="1"/>
  <c r="BN34" i="5" a="1"/>
  <c r="BN46" i="5" a="1"/>
  <c r="CG5" i="26" l="1"/>
  <c r="CG18" i="26"/>
  <c r="CG19" i="26"/>
  <c r="CG21" i="26"/>
  <c r="CG24" i="26"/>
  <c r="CG25" i="26"/>
  <c r="CG22" i="26"/>
  <c r="CG6" i="26"/>
  <c r="CG7" i="26"/>
  <c r="CG8" i="26"/>
  <c r="CG9" i="26"/>
  <c r="CG10" i="26"/>
  <c r="CG11" i="26"/>
  <c r="CG12" i="26"/>
  <c r="CG13" i="26"/>
  <c r="CG14" i="26"/>
  <c r="CG15" i="26"/>
  <c r="BZ5" i="26"/>
  <c r="CG16" i="26"/>
  <c r="CG17" i="26"/>
  <c r="CG20" i="26"/>
  <c r="CG23" i="26"/>
  <c r="CQ22" i="26"/>
  <c r="CQ6" i="26"/>
  <c r="CQ7" i="26"/>
  <c r="CQ8" i="26"/>
  <c r="CQ9" i="26"/>
  <c r="CQ10" i="26"/>
  <c r="CQ11" i="26"/>
  <c r="CQ12" i="26"/>
  <c r="CQ13" i="26"/>
  <c r="CQ14" i="26"/>
  <c r="CQ15" i="26"/>
  <c r="CQ5" i="26"/>
  <c r="CJ5" i="26"/>
  <c r="CQ16" i="26"/>
  <c r="CQ17" i="26"/>
  <c r="CQ19" i="26"/>
  <c r="CQ20" i="26"/>
  <c r="CQ23" i="26"/>
  <c r="CQ25" i="26"/>
  <c r="CQ26" i="26"/>
  <c r="CQ27" i="26"/>
  <c r="CQ18" i="26"/>
  <c r="CQ21" i="26"/>
  <c r="CQ24" i="26"/>
  <c r="CT5" i="26"/>
  <c r="DA5" i="26"/>
  <c r="DA6" i="26"/>
  <c r="DA7" i="26"/>
  <c r="DA8" i="26"/>
  <c r="DA9" i="26"/>
  <c r="AB32" i="5"/>
  <c r="AC33" i="5"/>
  <c r="B27" i="5"/>
  <c r="AZ33" i="5"/>
  <c r="BN48" i="5"/>
  <c r="BN58" i="5"/>
  <c r="BN46" i="5"/>
  <c r="BN34" i="5"/>
  <c r="BN22" i="5"/>
  <c r="BN10" i="5"/>
  <c r="BN21" i="5"/>
  <c r="BN20" i="5"/>
  <c r="BN56" i="5"/>
  <c r="BN32" i="5"/>
  <c r="BN55" i="5"/>
  <c r="BN43" i="5"/>
  <c r="BN31" i="5"/>
  <c r="BN19" i="5"/>
  <c r="BN7" i="5"/>
  <c r="BN24" i="5"/>
  <c r="BN47" i="5"/>
  <c r="BN42" i="5"/>
  <c r="BN60" i="5"/>
  <c r="BN23" i="5"/>
  <c r="BN54" i="5"/>
  <c r="BN53" i="5"/>
  <c r="BN41" i="5"/>
  <c r="BN29" i="5"/>
  <c r="BN17" i="5"/>
  <c r="BN59" i="5"/>
  <c r="BN45" i="5"/>
  <c r="BN44" i="5"/>
  <c r="BN30" i="5"/>
  <c r="BN52" i="5"/>
  <c r="BN40" i="5"/>
  <c r="BN28" i="5"/>
  <c r="BN16" i="5"/>
  <c r="BN11" i="5"/>
  <c r="BN9" i="5"/>
  <c r="BN8" i="5"/>
  <c r="BN39" i="5"/>
  <c r="BN15" i="5"/>
  <c r="BN36" i="5"/>
  <c r="BN35" i="5"/>
  <c r="BN33" i="5"/>
  <c r="BN6" i="5"/>
  <c r="BN38" i="5"/>
  <c r="BN14" i="5"/>
  <c r="BN12" i="5"/>
  <c r="BN57" i="5"/>
  <c r="BN18" i="5"/>
  <c r="BN51" i="5"/>
  <c r="BN27" i="5"/>
  <c r="BN50" i="5"/>
  <c r="BN26" i="5"/>
  <c r="BN49" i="5"/>
  <c r="BN37" i="5"/>
  <c r="BN25" i="5"/>
  <c r="BN13" i="5"/>
  <c r="BM48" i="5" a="1"/>
  <c r="BM48" i="5" s="1"/>
  <c r="BM58" i="5" a="1"/>
  <c r="BM58" i="5" s="1"/>
  <c r="BM46" i="5" a="1"/>
  <c r="BM46" i="5" s="1"/>
  <c r="BM34" i="5" a="1"/>
  <c r="BM34" i="5" s="1"/>
  <c r="BM22" i="5" a="1"/>
  <c r="BM22" i="5" s="1"/>
  <c r="BM10" i="5" a="1"/>
  <c r="BM10" i="5" s="1"/>
  <c r="BM21" i="5" a="1"/>
  <c r="BM21" i="5" s="1"/>
  <c r="BM20" i="5" a="1"/>
  <c r="BM20" i="5" s="1"/>
  <c r="BM56" i="5" a="1"/>
  <c r="BM56" i="5" s="1"/>
  <c r="BM32" i="5" a="1"/>
  <c r="BM32" i="5" s="1"/>
  <c r="BM55" i="5" a="1"/>
  <c r="BM55" i="5" s="1"/>
  <c r="BM43" i="5" a="1"/>
  <c r="BM43" i="5" s="1"/>
  <c r="BM31" i="5" a="1"/>
  <c r="BM31" i="5" s="1"/>
  <c r="BM19" i="5" a="1"/>
  <c r="BM19" i="5" s="1"/>
  <c r="BM7" i="5" a="1"/>
  <c r="BM7" i="5" s="1"/>
  <c r="BM24" i="5" a="1"/>
  <c r="BM24" i="5" s="1"/>
  <c r="BM47" i="5" a="1"/>
  <c r="BM47" i="5" s="1"/>
  <c r="BM42" i="5" a="1"/>
  <c r="BM42" i="5" s="1"/>
  <c r="BM60" i="5" a="1"/>
  <c r="BM60" i="5" s="1"/>
  <c r="BM23" i="5" a="1"/>
  <c r="BM23" i="5" s="1"/>
  <c r="BM54" i="5" a="1"/>
  <c r="BM54" i="5" s="1"/>
  <c r="BM53" i="5" a="1"/>
  <c r="BM53" i="5" s="1"/>
  <c r="BM41" i="5" a="1"/>
  <c r="BM41" i="5" s="1"/>
  <c r="BM29" i="5" a="1"/>
  <c r="BM29" i="5" s="1"/>
  <c r="BM17" i="5" a="1"/>
  <c r="BM17" i="5" s="1"/>
  <c r="BM59" i="5" a="1"/>
  <c r="BM59" i="5" s="1"/>
  <c r="BM45" i="5" a="1"/>
  <c r="BM45" i="5" s="1"/>
  <c r="BM44" i="5" a="1"/>
  <c r="BM44" i="5" s="1"/>
  <c r="BM30" i="5" a="1"/>
  <c r="BM30" i="5" s="1"/>
  <c r="BM52" i="5" a="1"/>
  <c r="BM52" i="5" s="1"/>
  <c r="BM40" i="5" a="1"/>
  <c r="BM40" i="5" s="1"/>
  <c r="BM28" i="5" a="1"/>
  <c r="BM28" i="5" s="1"/>
  <c r="BM16" i="5" a="1"/>
  <c r="BM16" i="5" s="1"/>
  <c r="BM11" i="5" a="1"/>
  <c r="BM11" i="5" s="1"/>
  <c r="BM9" i="5" a="1"/>
  <c r="BM9" i="5" s="1"/>
  <c r="BM8" i="5" a="1"/>
  <c r="BM8" i="5" s="1"/>
  <c r="BM39" i="5" a="1"/>
  <c r="BM39" i="5" s="1"/>
  <c r="BM15" i="5" a="1"/>
  <c r="BM15" i="5" s="1"/>
  <c r="BM36" i="5" a="1"/>
  <c r="BM36" i="5" s="1"/>
  <c r="BM35" i="5" a="1"/>
  <c r="BM35" i="5" s="1"/>
  <c r="BM33" i="5" a="1"/>
  <c r="BM33" i="5" s="1"/>
  <c r="BM6" i="5" a="1"/>
  <c r="BM6" i="5" s="1"/>
  <c r="BM38" i="5" a="1"/>
  <c r="BM38" i="5" s="1"/>
  <c r="BM14" i="5" a="1"/>
  <c r="BM14" i="5" s="1"/>
  <c r="BM12" i="5" a="1"/>
  <c r="BM12" i="5" s="1"/>
  <c r="BM57" i="5" a="1"/>
  <c r="BM57" i="5" s="1"/>
  <c r="BM18" i="5" a="1"/>
  <c r="BM18" i="5" s="1"/>
  <c r="BM51" i="5" a="1"/>
  <c r="BM51" i="5" s="1"/>
  <c r="BM27" i="5" a="1"/>
  <c r="BM27" i="5" s="1"/>
  <c r="BM50" i="5" a="1"/>
  <c r="BM50" i="5" s="1"/>
  <c r="BM26" i="5" a="1"/>
  <c r="BM26" i="5" s="1"/>
  <c r="BM49" i="5" a="1"/>
  <c r="BM49" i="5" s="1"/>
  <c r="BM37" i="5" a="1"/>
  <c r="BM37" i="5" s="1"/>
  <c r="BM25" i="5" a="1"/>
  <c r="BM25" i="5" s="1"/>
  <c r="BM13" i="5" a="1"/>
  <c r="BM13" i="5" s="1"/>
  <c r="E38" i="24"/>
  <c r="AC43" i="24" s="1"/>
  <c r="B24" i="24"/>
  <c r="AY33" i="24"/>
  <c r="Y33" i="24"/>
  <c r="AT33" i="24"/>
  <c r="AF33" i="24"/>
  <c r="F33" i="24"/>
  <c r="BA33" i="24"/>
  <c r="B30" i="24"/>
  <c r="AM33" i="24"/>
  <c r="M33" i="24"/>
  <c r="AH33" i="24"/>
  <c r="T33" i="24"/>
  <c r="AA33" i="24"/>
  <c r="V33" i="24"/>
  <c r="H33" i="24"/>
  <c r="AO33" i="24"/>
  <c r="O33" i="24"/>
  <c r="AV33" i="24"/>
  <c r="J33" i="24"/>
  <c r="BC33" i="24"/>
  <c r="AC33" i="24"/>
  <c r="C33" i="24"/>
  <c r="AJ33" i="24"/>
  <c r="BE33" i="24"/>
  <c r="AQ33" i="24"/>
  <c r="Q33" i="24"/>
  <c r="AX33" i="24"/>
  <c r="X33" i="24"/>
  <c r="AS33" i="24"/>
  <c r="AE33" i="24"/>
  <c r="L33" i="24"/>
  <c r="S33" i="24"/>
  <c r="AZ33" i="24"/>
  <c r="Z33" i="24"/>
  <c r="AU33" i="24"/>
  <c r="U33" i="24"/>
  <c r="G33" i="24"/>
  <c r="AK33" i="24"/>
  <c r="AG33" i="24"/>
  <c r="AN33" i="24"/>
  <c r="N33" i="24"/>
  <c r="AI33" i="24"/>
  <c r="I33" i="24"/>
  <c r="BB33" i="24"/>
  <c r="AB33" i="24"/>
  <c r="B33" i="24"/>
  <c r="W33" i="24"/>
  <c r="D28" i="24"/>
  <c r="AP33" i="24"/>
  <c r="R33" i="24"/>
  <c r="AL33" i="24"/>
  <c r="P33" i="24"/>
  <c r="AW33" i="24"/>
  <c r="K33" i="24"/>
  <c r="BD33" i="24"/>
  <c r="AD33" i="24"/>
  <c r="D33" i="24"/>
  <c r="BF33" i="24"/>
  <c r="AR33" i="24"/>
  <c r="E33" i="24"/>
  <c r="S34" i="24"/>
  <c r="AZ34" i="24"/>
  <c r="Z34" i="24"/>
  <c r="AU34" i="24"/>
  <c r="U34" i="24"/>
  <c r="BB34" i="24"/>
  <c r="G34" i="24"/>
  <c r="AN34" i="24"/>
  <c r="N34" i="24"/>
  <c r="AI34" i="24"/>
  <c r="I34" i="24"/>
  <c r="AB34" i="24"/>
  <c r="B34" i="24"/>
  <c r="W34" i="24"/>
  <c r="AP34" i="24"/>
  <c r="P34" i="24"/>
  <c r="D29" i="24"/>
  <c r="K34" i="24"/>
  <c r="BD34" i="24"/>
  <c r="AD34" i="24"/>
  <c r="D34" i="24"/>
  <c r="AW34" i="24"/>
  <c r="BF34" i="24"/>
  <c r="AR34" i="24"/>
  <c r="R34" i="24"/>
  <c r="AY34" i="24"/>
  <c r="AK34" i="24"/>
  <c r="AT34" i="24"/>
  <c r="AF34" i="24"/>
  <c r="F34" i="24"/>
  <c r="AM34" i="24"/>
  <c r="Y34" i="24"/>
  <c r="AH34" i="24"/>
  <c r="T34" i="24"/>
  <c r="BA34" i="24"/>
  <c r="AA34" i="24"/>
  <c r="M34" i="24"/>
  <c r="V34" i="24"/>
  <c r="H34" i="24"/>
  <c r="AO34" i="24"/>
  <c r="O34" i="24"/>
  <c r="AV34" i="24"/>
  <c r="J34" i="24"/>
  <c r="BC34" i="24"/>
  <c r="AC34" i="24"/>
  <c r="C34" i="24"/>
  <c r="AJ34" i="24"/>
  <c r="BE34" i="24"/>
  <c r="AG34" i="24"/>
  <c r="AQ34" i="24"/>
  <c r="Q34" i="24"/>
  <c r="AX34" i="24"/>
  <c r="X34" i="24"/>
  <c r="AS34" i="24"/>
  <c r="AE34" i="24"/>
  <c r="E34" i="24"/>
  <c r="AL34" i="24"/>
  <c r="L34" i="24"/>
  <c r="B23" i="24"/>
  <c r="E2" i="23"/>
  <c r="F9" i="23"/>
  <c r="Q16" i="22"/>
  <c r="BG16" i="5" a="1"/>
  <c r="BG16" i="5" s="1"/>
  <c r="BE16" i="5" a="1"/>
  <c r="BE16" i="5" s="1"/>
  <c r="S11" i="22"/>
  <c r="S5" i="22"/>
  <c r="S33" i="22"/>
  <c r="S49" i="22"/>
  <c r="S23" i="22"/>
  <c r="S28" i="22"/>
  <c r="S16" i="22"/>
  <c r="S15" i="22"/>
  <c r="S25" i="22"/>
  <c r="S48" i="22"/>
  <c r="S17" i="22"/>
  <c r="S45" i="22"/>
  <c r="S34" i="22"/>
  <c r="S46" i="22"/>
  <c r="S21" i="22"/>
  <c r="S35" i="22"/>
  <c r="S43" i="22"/>
  <c r="S57" i="22"/>
  <c r="S10" i="22"/>
  <c r="S37" i="22"/>
  <c r="S44" i="22"/>
  <c r="S30" i="22"/>
  <c r="S20" i="22"/>
  <c r="S13" i="22"/>
  <c r="S32" i="22"/>
  <c r="S12" i="22"/>
  <c r="S19" i="22"/>
  <c r="S54" i="22"/>
  <c r="S39" i="22"/>
  <c r="S58" i="22"/>
  <c r="S22" i="22"/>
  <c r="S9" i="22"/>
  <c r="S53" i="22"/>
  <c r="S26" i="22"/>
  <c r="S38" i="22"/>
  <c r="S50" i="22"/>
  <c r="S18" i="22"/>
  <c r="S51" i="22"/>
  <c r="S31" i="22"/>
  <c r="S42" i="22"/>
  <c r="S55" i="22"/>
  <c r="S41" i="22"/>
  <c r="S47" i="22"/>
  <c r="S7" i="22"/>
  <c r="S8" i="22"/>
  <c r="S6" i="22"/>
  <c r="S36" i="22"/>
  <c r="S14" i="22"/>
  <c r="S52" i="22"/>
  <c r="S40" i="22"/>
  <c r="S27" i="22"/>
  <c r="S29" i="22"/>
  <c r="S56" i="22"/>
  <c r="S24" i="22"/>
  <c r="AE55" i="22"/>
  <c r="AK5" i="22"/>
  <c r="B48" i="20"/>
  <c r="B47" i="20"/>
  <c r="B46" i="20"/>
  <c r="B45" i="20"/>
  <c r="B44" i="20"/>
  <c r="B43" i="20"/>
  <c r="B42" i="20"/>
  <c r="B41" i="20"/>
  <c r="B40" i="20"/>
  <c r="B39" i="20"/>
  <c r="B38" i="20"/>
  <c r="B37" i="20"/>
  <c r="B36" i="20"/>
  <c r="B35" i="20"/>
  <c r="B34" i="20"/>
  <c r="B33" i="20"/>
  <c r="B32" i="20"/>
  <c r="B31" i="20"/>
  <c r="B30" i="20"/>
  <c r="B29" i="20"/>
  <c r="B28" i="20"/>
  <c r="B27" i="20"/>
  <c r="B26" i="20"/>
  <c r="B25" i="20"/>
  <c r="B24" i="20"/>
  <c r="B23" i="20"/>
  <c r="B22" i="20"/>
  <c r="B21" i="20"/>
  <c r="B20" i="20"/>
  <c r="B19" i="20"/>
  <c r="B18" i="20"/>
  <c r="B17" i="20"/>
  <c r="B16" i="20"/>
  <c r="B15" i="20"/>
  <c r="B14" i="20"/>
  <c r="B13" i="20"/>
  <c r="B12" i="20"/>
  <c r="B11" i="20"/>
  <c r="B10" i="20"/>
  <c r="B9" i="20"/>
  <c r="B8" i="20"/>
  <c r="B7" i="20"/>
  <c r="B6" i="20"/>
  <c r="B5" i="20"/>
  <c r="B4" i="20"/>
  <c r="B3" i="20"/>
  <c r="I16" i="17" a="1"/>
  <c r="I16" i="17" s="1"/>
  <c r="I15" i="17" a="1"/>
  <c r="I15" i="17" s="1"/>
  <c r="I14" i="17" a="1"/>
  <c r="I14" i="17" s="1"/>
  <c r="I13" i="17" a="1"/>
  <c r="I13" i="17" s="1"/>
  <c r="I12" i="17" a="1"/>
  <c r="I12" i="17" s="1"/>
  <c r="I11" i="17" a="1"/>
  <c r="I11" i="17" s="1"/>
  <c r="I10" i="17" a="1"/>
  <c r="I10" i="17" s="1"/>
  <c r="I9" i="17" a="1"/>
  <c r="I9" i="17" s="1"/>
  <c r="I8" i="17" a="1"/>
  <c r="I8" i="17" s="1"/>
  <c r="I7" i="17" a="1"/>
  <c r="I7" i="17" s="1"/>
  <c r="I6" i="17" a="1"/>
  <c r="I6" i="17" s="1"/>
  <c r="I5" i="17" a="1"/>
  <c r="I5" i="17" s="1"/>
  <c r="I4" i="17" a="1"/>
  <c r="I4" i="17" s="1"/>
  <c r="I3" i="17" a="1"/>
  <c r="I3" i="17" s="1"/>
  <c r="B48" i="17"/>
  <c r="B47" i="17"/>
  <c r="B46" i="17"/>
  <c r="B45" i="17"/>
  <c r="B44" i="17"/>
  <c r="B43" i="17"/>
  <c r="B42" i="17"/>
  <c r="B41" i="17"/>
  <c r="B40" i="17"/>
  <c r="B39" i="17"/>
  <c r="B38" i="17"/>
  <c r="B37" i="17"/>
  <c r="B36" i="17"/>
  <c r="B35" i="17"/>
  <c r="B34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B10" i="17"/>
  <c r="B9" i="17"/>
  <c r="B8" i="17"/>
  <c r="B7" i="17"/>
  <c r="B6" i="17"/>
  <c r="B5" i="17"/>
  <c r="B4" i="17"/>
  <c r="B3" i="17"/>
  <c r="CH5" i="26" l="1" a="1"/>
  <c r="CH5" i="26" s="1"/>
  <c r="CR5" i="26" a="1"/>
  <c r="CR5" i="26" s="1"/>
  <c r="BB43" i="24"/>
  <c r="P43" i="24"/>
  <c r="AK43" i="24"/>
  <c r="T43" i="24"/>
  <c r="AP43" i="24"/>
  <c r="D43" i="24"/>
  <c r="AJ43" i="24"/>
  <c r="BE43" i="24"/>
  <c r="C43" i="24"/>
  <c r="AQ43" i="24"/>
  <c r="Y43" i="24"/>
  <c r="AZ43" i="24"/>
  <c r="N43" i="24"/>
  <c r="W43" i="24"/>
  <c r="AN43" i="24"/>
  <c r="B43" i="24"/>
  <c r="K43" i="24"/>
  <c r="AR43" i="24"/>
  <c r="AF43" i="24"/>
  <c r="BD43" i="24"/>
  <c r="AH43" i="24"/>
  <c r="M43" i="24"/>
  <c r="V43" i="24"/>
  <c r="BC43" i="24"/>
  <c r="R43" i="24"/>
  <c r="AM43" i="24"/>
  <c r="B40" i="24"/>
  <c r="AT43" i="24"/>
  <c r="J43" i="24"/>
  <c r="AE43" i="24"/>
  <c r="F43" i="24"/>
  <c r="AB43" i="24"/>
  <c r="H43" i="24"/>
  <c r="AA43" i="24"/>
  <c r="AW43" i="24"/>
  <c r="AD43" i="24"/>
  <c r="AV43" i="24"/>
  <c r="BF43" i="24"/>
  <c r="AY43" i="24"/>
  <c r="S43" i="24"/>
  <c r="BA43" i="24"/>
  <c r="O43" i="24"/>
  <c r="X43" i="24"/>
  <c r="AG43" i="24"/>
  <c r="G43" i="24"/>
  <c r="Q43" i="24"/>
  <c r="AL43" i="24"/>
  <c r="AU43" i="24"/>
  <c r="I43" i="24"/>
  <c r="AS43" i="24"/>
  <c r="E43" i="24"/>
  <c r="AX43" i="24"/>
  <c r="Z43" i="24"/>
  <c r="L43" i="24"/>
  <c r="AI43" i="24"/>
  <c r="D38" i="24"/>
  <c r="AO43" i="24"/>
  <c r="U43" i="24"/>
  <c r="G9" i="23"/>
  <c r="F2" i="23"/>
  <c r="Q50" i="22"/>
  <c r="Q51" i="22"/>
  <c r="U2" i="22"/>
  <c r="H9" i="23" l="1"/>
  <c r="G2" i="23"/>
  <c r="H2" i="23" l="1"/>
  <c r="I9" i="23"/>
  <c r="W16" i="5" a="1"/>
  <c r="W16" i="5" s="1"/>
  <c r="BD16" i="5" a="1"/>
  <c r="BD16" i="5" s="1"/>
  <c r="BC16" i="5" a="1"/>
  <c r="BC16" i="5" s="1"/>
  <c r="BB16" i="5" a="1"/>
  <c r="BB16" i="5" s="1"/>
  <c r="AZ16" i="5" a="1"/>
  <c r="AZ16" i="5" s="1"/>
  <c r="AY16" i="5" a="1"/>
  <c r="AY16" i="5" s="1"/>
  <c r="AX16" i="5" a="1"/>
  <c r="AX16" i="5" s="1"/>
  <c r="AW16" i="5" a="1"/>
  <c r="AW16" i="5" s="1"/>
  <c r="AV16" i="5" a="1"/>
  <c r="AV16" i="5" s="1"/>
  <c r="AU16" i="5" a="1"/>
  <c r="AU16" i="5" s="1"/>
  <c r="AT16" i="5" a="1"/>
  <c r="AT16" i="5" s="1"/>
  <c r="AS16" i="5" a="1"/>
  <c r="AS16" i="5" s="1"/>
  <c r="AR16" i="5" a="1"/>
  <c r="AR16" i="5" s="1"/>
  <c r="AQ16" i="5" a="1"/>
  <c r="AQ16" i="5" s="1"/>
  <c r="AP16" i="5" a="1"/>
  <c r="AP16" i="5" s="1"/>
  <c r="AO16" i="5" a="1"/>
  <c r="AO16" i="5" s="1"/>
  <c r="AN16" i="5" a="1"/>
  <c r="AN16" i="5" s="1"/>
  <c r="AM16" i="5" a="1"/>
  <c r="AM16" i="5" s="1"/>
  <c r="AL16" i="5" a="1"/>
  <c r="AL16" i="5" s="1"/>
  <c r="AK16" i="5" a="1"/>
  <c r="AK16" i="5" s="1"/>
  <c r="AJ16" i="5" a="1"/>
  <c r="AJ16" i="5" s="1"/>
  <c r="AI16" i="5" a="1"/>
  <c r="AI16" i="5" s="1"/>
  <c r="AH16" i="5" a="1"/>
  <c r="AH16" i="5" s="1"/>
  <c r="AG16" i="5" a="1"/>
  <c r="AG16" i="5" s="1"/>
  <c r="AF16" i="5" a="1"/>
  <c r="AF16" i="5" s="1"/>
  <c r="AE16" i="5" a="1"/>
  <c r="AE16" i="5" s="1"/>
  <c r="AD16" i="5" a="1"/>
  <c r="AD16" i="5" s="1"/>
  <c r="AC16" i="5" a="1"/>
  <c r="AC16" i="5" s="1"/>
  <c r="AB16" i="5" a="1"/>
  <c r="AB16" i="5" s="1"/>
  <c r="AA16" i="5" a="1"/>
  <c r="AA16" i="5" s="1"/>
  <c r="Z16" i="5" a="1"/>
  <c r="Z16" i="5" s="1"/>
  <c r="Y16" i="5" a="1"/>
  <c r="Y16" i="5" s="1"/>
  <c r="X16" i="5" a="1"/>
  <c r="X16" i="5" s="1"/>
  <c r="V16" i="5" a="1"/>
  <c r="V16" i="5" s="1"/>
  <c r="U16" i="5" a="1"/>
  <c r="U16" i="5" s="1"/>
  <c r="T16" i="5" a="1"/>
  <c r="T16" i="5" s="1"/>
  <c r="S16" i="5" a="1"/>
  <c r="S16" i="5" s="1"/>
  <c r="R16" i="5" a="1"/>
  <c r="R16" i="5" s="1"/>
  <c r="Q16" i="5" a="1"/>
  <c r="Q16" i="5" s="1"/>
  <c r="P16" i="5" a="1"/>
  <c r="P16" i="5" s="1"/>
  <c r="O16" i="5" a="1"/>
  <c r="O16" i="5" s="1"/>
  <c r="N16" i="5" a="1"/>
  <c r="N16" i="5" s="1"/>
  <c r="M16" i="5" a="1"/>
  <c r="M16" i="5" s="1"/>
  <c r="L16" i="5" a="1"/>
  <c r="L16" i="5" s="1"/>
  <c r="K16" i="5" a="1"/>
  <c r="K16" i="5" s="1"/>
  <c r="J16" i="5" a="1"/>
  <c r="J16" i="5" s="1"/>
  <c r="I16" i="5" a="1"/>
  <c r="I16" i="5" s="1"/>
  <c r="H16" i="5" a="1"/>
  <c r="H16" i="5" s="1"/>
  <c r="G16" i="5" a="1"/>
  <c r="G16" i="5" s="1"/>
  <c r="F16" i="5" a="1"/>
  <c r="F16" i="5" s="1"/>
  <c r="E16" i="5" a="1"/>
  <c r="E16" i="5" s="1"/>
  <c r="D16" i="5" a="1"/>
  <c r="D16" i="5" s="1"/>
  <c r="I2" i="23" l="1"/>
  <c r="J9" i="23"/>
  <c r="J2" i="23" l="1"/>
  <c r="K9" i="23"/>
  <c r="L9" i="23" l="1"/>
  <c r="K2" i="23"/>
  <c r="M9" i="23" l="1"/>
  <c r="L2" i="23"/>
  <c r="N9" i="23" l="1"/>
  <c r="M2" i="23"/>
  <c r="N2" i="23" l="1"/>
  <c r="O9" i="23"/>
  <c r="P9" i="23" l="1"/>
  <c r="O2" i="23"/>
  <c r="Q9" i="23" l="1"/>
  <c r="P2" i="23"/>
  <c r="Q2" i="23" l="1"/>
  <c r="R9" i="23"/>
  <c r="R2" i="23" l="1"/>
  <c r="S9" i="23"/>
  <c r="T9" i="23" l="1"/>
  <c r="S2" i="23"/>
  <c r="T2" i="23" l="1"/>
  <c r="U9" i="23"/>
  <c r="V9" i="23" l="1"/>
  <c r="U2" i="23"/>
  <c r="V2" i="23" l="1"/>
  <c r="W9" i="23"/>
  <c r="X9" i="23" l="1"/>
  <c r="W2" i="23"/>
  <c r="Y9" i="23" l="1"/>
  <c r="X2" i="23"/>
  <c r="Y2" i="23" l="1"/>
  <c r="Z9" i="23"/>
  <c r="Z2" i="23" s="1"/>
  <c r="Q5" i="22" l="1"/>
  <c r="Q8" i="22" l="1"/>
  <c r="V37" i="5"/>
  <c r="BR5" i="5" a="1"/>
  <c r="BT5" i="5" a="1"/>
  <c r="E41" i="5"/>
  <c r="BD56" i="5" s="1"/>
  <c r="Q46" i="5" l="1"/>
  <c r="AY46" i="5"/>
  <c r="L46" i="5"/>
  <c r="N46" i="5"/>
  <c r="AD46" i="5"/>
  <c r="W37" i="5"/>
  <c r="N37" i="5"/>
  <c r="AQ37" i="5"/>
  <c r="H46" i="5"/>
  <c r="AI46" i="5"/>
  <c r="AS37" i="5"/>
  <c r="M37" i="5"/>
  <c r="AQ46" i="5"/>
  <c r="AG46" i="5"/>
  <c r="BT5" i="5"/>
  <c r="BU5" i="5" s="1"/>
  <c r="BU26" i="5"/>
  <c r="BU34" i="5"/>
  <c r="BU36" i="5"/>
  <c r="BU50" i="5"/>
  <c r="BU18" i="5"/>
  <c r="BU40" i="5"/>
  <c r="BU25" i="5"/>
  <c r="BU60" i="5"/>
  <c r="BU9" i="5"/>
  <c r="BU24" i="5"/>
  <c r="BU14" i="5"/>
  <c r="BU19" i="5"/>
  <c r="BU53" i="5"/>
  <c r="BU30" i="5"/>
  <c r="BU6" i="5"/>
  <c r="BU49" i="5"/>
  <c r="BU15" i="5"/>
  <c r="BU17" i="5"/>
  <c r="BU43" i="5"/>
  <c r="BU54" i="5"/>
  <c r="BU58" i="5"/>
  <c r="BU39" i="5"/>
  <c r="BU33" i="5"/>
  <c r="BU37" i="5"/>
  <c r="BU29" i="5"/>
  <c r="BU59" i="5"/>
  <c r="BU31" i="5"/>
  <c r="BU35" i="5"/>
  <c r="BU45" i="5"/>
  <c r="BU20" i="5"/>
  <c r="BU11" i="5"/>
  <c r="BU55" i="5"/>
  <c r="BU23" i="5"/>
  <c r="BU61" i="5"/>
  <c r="BU57" i="5"/>
  <c r="BU28" i="5"/>
  <c r="BU38" i="5"/>
  <c r="BU13" i="5"/>
  <c r="BU27" i="5"/>
  <c r="BU47" i="5"/>
  <c r="BU46" i="5"/>
  <c r="BU32" i="5"/>
  <c r="BU16" i="5"/>
  <c r="BU52" i="5"/>
  <c r="BU12" i="5"/>
  <c r="BU41" i="5"/>
  <c r="BU7" i="5"/>
  <c r="BU8" i="5"/>
  <c r="BU22" i="5"/>
  <c r="BU21" i="5"/>
  <c r="BU10" i="5"/>
  <c r="BU56" i="5"/>
  <c r="BU42" i="5"/>
  <c r="BU44" i="5"/>
  <c r="BU51" i="5"/>
  <c r="BU48" i="5"/>
  <c r="F36" i="5"/>
  <c r="AB36" i="5"/>
  <c r="BE36" i="5"/>
  <c r="AH36" i="5"/>
  <c r="AC36" i="5"/>
  <c r="AS36" i="5"/>
  <c r="B33" i="5"/>
  <c r="AP36" i="5"/>
  <c r="AJ36" i="5"/>
  <c r="AL36" i="5"/>
  <c r="G36" i="5"/>
  <c r="T36" i="5"/>
  <c r="AU36" i="5"/>
  <c r="V36" i="5"/>
  <c r="AF36" i="5"/>
  <c r="X36" i="5"/>
  <c r="S36" i="5"/>
  <c r="I36" i="5"/>
  <c r="Q36" i="5"/>
  <c r="O36" i="5"/>
  <c r="Z36" i="5"/>
  <c r="AK36" i="5"/>
  <c r="R36" i="5"/>
  <c r="M36" i="5"/>
  <c r="Y36" i="5"/>
  <c r="AE36" i="5"/>
  <c r="BC36" i="5"/>
  <c r="AR36" i="5"/>
  <c r="AM36" i="5"/>
  <c r="AA36" i="5"/>
  <c r="AT36" i="5"/>
  <c r="P36" i="5"/>
  <c r="AV36" i="5"/>
  <c r="W36" i="5"/>
  <c r="AN36" i="5"/>
  <c r="BD36" i="5"/>
  <c r="U36" i="5"/>
  <c r="AG36" i="5"/>
  <c r="BF36" i="5"/>
  <c r="AI36" i="5"/>
  <c r="C36" i="5"/>
  <c r="J36" i="5"/>
  <c r="BB36" i="5"/>
  <c r="D31" i="5"/>
  <c r="D36" i="5"/>
  <c r="AW36" i="5"/>
  <c r="AQ36" i="5"/>
  <c r="AD36" i="5"/>
  <c r="BA36" i="5"/>
  <c r="AY36" i="5"/>
  <c r="AO36" i="5"/>
  <c r="B36" i="5"/>
  <c r="N36" i="5"/>
  <c r="H36" i="5"/>
  <c r="AZ36" i="5"/>
  <c r="E36" i="5"/>
  <c r="K36" i="5"/>
  <c r="L36" i="5"/>
  <c r="AX36" i="5"/>
  <c r="AK37" i="5"/>
  <c r="AR37" i="5"/>
  <c r="AD37" i="5"/>
  <c r="Z37" i="5"/>
  <c r="R37" i="5"/>
  <c r="BD46" i="5"/>
  <c r="S46" i="5"/>
  <c r="AP46" i="5"/>
  <c r="BA46" i="5"/>
  <c r="AT46" i="5"/>
  <c r="I37" i="5"/>
  <c r="O37" i="5"/>
  <c r="AH37" i="5"/>
  <c r="AC37" i="5"/>
  <c r="BE37" i="5"/>
  <c r="Z46" i="5"/>
  <c r="AN46" i="5"/>
  <c r="BC56" i="5"/>
  <c r="AJ46" i="5"/>
  <c r="X46" i="5"/>
  <c r="J46" i="5"/>
  <c r="AX37" i="5"/>
  <c r="BD37" i="5"/>
  <c r="H37" i="5"/>
  <c r="X37" i="5"/>
  <c r="S37" i="5"/>
  <c r="BE46" i="5"/>
  <c r="AW46" i="5"/>
  <c r="AZ46" i="5"/>
  <c r="D41" i="5"/>
  <c r="AU46" i="5"/>
  <c r="F46" i="5"/>
  <c r="J37" i="5"/>
  <c r="BA37" i="5"/>
  <c r="BB37" i="5"/>
  <c r="BC37" i="5"/>
  <c r="E37" i="5"/>
  <c r="G46" i="5"/>
  <c r="C46" i="5"/>
  <c r="AB46" i="5"/>
  <c r="V46" i="5"/>
  <c r="BR5" i="5"/>
  <c r="AE37" i="5"/>
  <c r="AT37" i="5"/>
  <c r="AV37" i="5"/>
  <c r="AJ37" i="5"/>
  <c r="T37" i="5"/>
  <c r="D46" i="5"/>
  <c r="T46" i="5"/>
  <c r="AS46" i="5"/>
  <c r="M46" i="5"/>
  <c r="R46" i="5"/>
  <c r="D32" i="5"/>
  <c r="AZ37" i="5"/>
  <c r="B37" i="5"/>
  <c r="AM37" i="5"/>
  <c r="AN37" i="5"/>
  <c r="BF56" i="5"/>
  <c r="Y46" i="5"/>
  <c r="AA46" i="5"/>
  <c r="BB46" i="5"/>
  <c r="AM46" i="5"/>
  <c r="AF46" i="5"/>
  <c r="B46" i="5"/>
  <c r="D37" i="5"/>
  <c r="K37" i="5"/>
  <c r="AF37" i="5"/>
  <c r="AL37" i="5"/>
  <c r="AO46" i="5"/>
  <c r="W46" i="5"/>
  <c r="P46" i="5"/>
  <c r="O46" i="5"/>
  <c r="AP37" i="5"/>
  <c r="BF37" i="5"/>
  <c r="F37" i="5"/>
  <c r="Y37" i="5"/>
  <c r="Q37" i="5"/>
  <c r="BS5" i="5" a="1"/>
  <c r="BS5" i="5" s="1"/>
  <c r="AE46" i="5"/>
  <c r="AV46" i="5"/>
  <c r="AK46" i="5"/>
  <c r="K46" i="5"/>
  <c r="AC46" i="5"/>
  <c r="AU37" i="5"/>
  <c r="AW37" i="5"/>
  <c r="G37" i="5"/>
  <c r="AA37" i="5"/>
  <c r="AH46" i="5"/>
  <c r="I46" i="5"/>
  <c r="E46" i="5"/>
  <c r="BE56" i="5"/>
  <c r="U46" i="5"/>
  <c r="AY37" i="5"/>
  <c r="L37" i="5"/>
  <c r="C37" i="5"/>
  <c r="AO37" i="5"/>
  <c r="U37" i="5"/>
  <c r="BF46" i="5"/>
  <c r="BC46" i="5"/>
  <c r="AR46" i="5"/>
  <c r="AL46" i="5"/>
  <c r="AX46" i="5"/>
  <c r="AG37" i="5"/>
  <c r="P37" i="5"/>
  <c r="AB37" i="5"/>
  <c r="AI37" i="5"/>
  <c r="B24" i="5"/>
  <c r="B23" i="5"/>
  <c r="BN5" i="5" a="1"/>
  <c r="BN5" i="5" l="1"/>
  <c r="B56" i="5"/>
  <c r="D51" i="5"/>
  <c r="E42" i="5"/>
  <c r="BM5" i="5" a="1"/>
  <c r="BM5" i="5" s="1"/>
  <c r="BP5" i="5" a="1"/>
  <c r="BQ55" i="5" l="1"/>
  <c r="BQ39" i="5"/>
  <c r="BQ37" i="5"/>
  <c r="BQ35" i="5"/>
  <c r="BQ59" i="5"/>
  <c r="BQ26" i="5"/>
  <c r="BQ52" i="5"/>
  <c r="BQ24" i="5"/>
  <c r="BQ16" i="5"/>
  <c r="BQ15" i="5"/>
  <c r="BQ36" i="5"/>
  <c r="BQ10" i="5"/>
  <c r="BQ46" i="5"/>
  <c r="BQ13" i="5"/>
  <c r="BQ22" i="5"/>
  <c r="BQ40" i="5"/>
  <c r="BQ17" i="5"/>
  <c r="BQ61" i="5"/>
  <c r="BQ48" i="5"/>
  <c r="BQ41" i="5"/>
  <c r="BQ6" i="5"/>
  <c r="BQ19" i="5"/>
  <c r="BW26" i="5"/>
  <c r="BW32" i="5"/>
  <c r="BW42" i="5"/>
  <c r="BW35" i="5"/>
  <c r="BP5" i="5"/>
  <c r="BQ8" i="5"/>
  <c r="BQ32" i="5"/>
  <c r="BQ30" i="5"/>
  <c r="BQ54" i="5"/>
  <c r="BQ45" i="5"/>
  <c r="BQ31" i="5"/>
  <c r="BQ7" i="5"/>
  <c r="BQ9" i="5"/>
  <c r="BQ34" i="5"/>
  <c r="BQ58" i="5"/>
  <c r="BQ56" i="5"/>
  <c r="BQ21" i="5"/>
  <c r="BQ12" i="5"/>
  <c r="BQ29" i="5"/>
  <c r="BQ33" i="5"/>
  <c r="BQ60" i="5"/>
  <c r="BQ25" i="5"/>
  <c r="BQ23" i="5"/>
  <c r="BQ47" i="5"/>
  <c r="BQ38" i="5"/>
  <c r="BQ14" i="5"/>
  <c r="BQ43" i="5"/>
  <c r="BQ28" i="5"/>
  <c r="BQ11" i="5"/>
  <c r="BQ27" i="5"/>
  <c r="BQ51" i="5"/>
  <c r="BQ49" i="5"/>
  <c r="BW27" i="5"/>
  <c r="BW12" i="5"/>
  <c r="BW28" i="5"/>
  <c r="BW17" i="5"/>
  <c r="BW20" i="5"/>
  <c r="BQ53" i="5"/>
  <c r="BQ42" i="5"/>
  <c r="BW9" i="5"/>
  <c r="BW57" i="5"/>
  <c r="BW15" i="5"/>
  <c r="BW45" i="5"/>
  <c r="BW38" i="5"/>
  <c r="BQ20" i="5"/>
  <c r="BQ18" i="5"/>
  <c r="BQ57" i="5"/>
  <c r="BQ50" i="5"/>
  <c r="BW25" i="5"/>
  <c r="BW46" i="5"/>
  <c r="BW58" i="5"/>
  <c r="BW59" i="5"/>
  <c r="BW11" i="5"/>
  <c r="BQ44" i="5"/>
  <c r="BW31" i="5"/>
  <c r="BW44" i="5"/>
  <c r="BW55" i="5"/>
  <c r="BW16" i="5"/>
  <c r="BW60" i="5"/>
  <c r="BW24" i="5"/>
  <c r="BW50" i="5"/>
  <c r="BW49" i="5"/>
  <c r="BW61" i="5"/>
  <c r="BW54" i="5"/>
  <c r="BW30" i="5"/>
  <c r="BW53" i="5"/>
  <c r="BW43" i="5"/>
  <c r="BW14" i="5"/>
  <c r="BW7" i="5"/>
  <c r="BW39" i="5"/>
  <c r="BW37" i="5"/>
  <c r="BW5" i="5"/>
  <c r="BW36" i="5"/>
  <c r="BW21" i="5"/>
  <c r="BW18" i="5"/>
  <c r="BW8" i="5"/>
  <c r="BW13" i="5"/>
  <c r="BW41" i="5"/>
  <c r="BW48" i="5"/>
  <c r="BW52" i="5"/>
  <c r="BW22" i="5"/>
  <c r="BW33" i="5"/>
  <c r="BW29" i="5"/>
  <c r="BW34" i="5"/>
  <c r="BW51" i="5"/>
  <c r="BW40" i="5"/>
  <c r="BW19" i="5"/>
  <c r="BW56" i="5"/>
  <c r="BW10" i="5"/>
  <c r="BW23" i="5"/>
  <c r="BW47" i="5"/>
  <c r="D52" i="5"/>
  <c r="AG47" i="5"/>
  <c r="AI47" i="5"/>
  <c r="BF47" i="5"/>
  <c r="R47" i="5"/>
  <c r="B47" i="5"/>
  <c r="G47" i="5"/>
  <c r="AO47" i="5"/>
  <c r="BC47" i="5"/>
  <c r="E47" i="5"/>
  <c r="BB47" i="5"/>
  <c r="AH47" i="5"/>
  <c r="AM47" i="5"/>
  <c r="AX47" i="5"/>
  <c r="I47" i="5"/>
  <c r="AF47" i="5"/>
  <c r="AY47" i="5"/>
  <c r="V47" i="5"/>
  <c r="BA47" i="5"/>
  <c r="M47" i="5"/>
  <c r="AB47" i="5"/>
  <c r="P47" i="5"/>
  <c r="F47" i="5"/>
  <c r="AW47" i="5"/>
  <c r="AL47" i="5"/>
  <c r="AQ47" i="5"/>
  <c r="AD47" i="5"/>
  <c r="H47" i="5"/>
  <c r="BD57" i="5"/>
  <c r="Z47" i="5"/>
  <c r="D42" i="5"/>
  <c r="AU47" i="5"/>
  <c r="O47" i="5"/>
  <c r="D47" i="5"/>
  <c r="J47" i="5"/>
  <c r="BE57" i="5"/>
  <c r="BE47" i="5"/>
  <c r="AR47" i="5"/>
  <c r="AK47" i="5"/>
  <c r="AJ47" i="5"/>
  <c r="U47" i="5"/>
  <c r="Q47" i="5"/>
  <c r="Y47" i="5"/>
  <c r="AE47" i="5"/>
  <c r="BF57" i="5"/>
  <c r="BC57" i="5"/>
  <c r="C47" i="5"/>
  <c r="T47" i="5"/>
  <c r="BD47" i="5"/>
  <c r="AC47" i="5"/>
  <c r="AA47" i="5"/>
  <c r="N47" i="5"/>
  <c r="AT47" i="5"/>
  <c r="AN47" i="5"/>
  <c r="AS47" i="5"/>
  <c r="W47" i="5"/>
  <c r="X47" i="5"/>
  <c r="L47" i="5"/>
  <c r="AP47" i="5"/>
  <c r="AV47" i="5"/>
  <c r="K47" i="5"/>
  <c r="AZ47" i="5"/>
  <c r="S47" i="5"/>
  <c r="B43" i="5"/>
  <c r="B53" i="5"/>
  <c r="BQ5" i="5" l="1"/>
  <c r="BW6" i="5"/>
  <c r="CT5" i="5" l="1" a="1"/>
  <c r="BZ5" i="5" a="1"/>
  <c r="CJ5" i="5" a="1"/>
  <c r="CQ26" i="5" l="1"/>
  <c r="CQ27" i="5"/>
  <c r="CG29" i="5"/>
  <c r="CG30" i="5"/>
  <c r="CG31" i="5"/>
  <c r="CG32" i="5"/>
  <c r="CG33" i="5"/>
  <c r="CG26" i="5"/>
  <c r="CG28" i="5"/>
  <c r="CG27" i="5"/>
  <c r="CG17" i="5"/>
  <c r="CG13" i="5"/>
  <c r="CG21" i="5"/>
  <c r="CG14" i="5"/>
  <c r="CG25" i="5"/>
  <c r="CG18" i="5"/>
  <c r="CG8" i="5"/>
  <c r="CG23" i="5"/>
  <c r="CG7" i="5"/>
  <c r="CG16" i="5"/>
  <c r="CG12" i="5"/>
  <c r="CG6" i="5"/>
  <c r="CG15" i="5"/>
  <c r="CG11" i="5"/>
  <c r="CG22" i="5"/>
  <c r="CG24" i="5"/>
  <c r="CG10" i="5"/>
  <c r="CG20" i="5"/>
  <c r="BZ5" i="5"/>
  <c r="CG5" i="5" s="1"/>
  <c r="CG19" i="5"/>
  <c r="CG9" i="5"/>
  <c r="CQ16" i="5"/>
  <c r="CQ8" i="5"/>
  <c r="CQ20" i="5"/>
  <c r="CQ19" i="5"/>
  <c r="CQ13" i="5"/>
  <c r="CQ18" i="5"/>
  <c r="CQ11" i="5"/>
  <c r="CQ12" i="5"/>
  <c r="CQ25" i="5"/>
  <c r="CQ6" i="5"/>
  <c r="CQ24" i="5"/>
  <c r="CQ14" i="5"/>
  <c r="CQ9" i="5"/>
  <c r="CQ17" i="5"/>
  <c r="CJ5" i="5"/>
  <c r="CQ5" i="5" s="1"/>
  <c r="CQ15" i="5"/>
  <c r="CQ22" i="5"/>
  <c r="CQ7" i="5"/>
  <c r="CQ23" i="5"/>
  <c r="CQ10" i="5"/>
  <c r="CQ21" i="5"/>
  <c r="DA8" i="5"/>
  <c r="DA9" i="5"/>
  <c r="CT5" i="5"/>
  <c r="DA5" i="5" s="1"/>
  <c r="DA6" i="5"/>
  <c r="DA7" i="5"/>
  <c r="CH5" i="5" l="1" a="1"/>
  <c r="CH5" i="5" s="1"/>
  <c r="CR5" i="5" a="1"/>
  <c r="CR5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<sst xmlns="http://schemas.openxmlformats.org/spreadsheetml/2006/main" count="25395" uniqueCount="8655">
  <si>
    <t>聲母與韻母表</t>
    <phoneticPr fontId="7" type="noConversion"/>
  </si>
  <si>
    <t>鍵盤按鍵</t>
  </si>
  <si>
    <t>序號</t>
  </si>
  <si>
    <t>注音符號</t>
  </si>
  <si>
    <t>鍵盤按鍵</t>
    <phoneticPr fontId="7" type="noConversion"/>
  </si>
  <si>
    <t>ㄅ</t>
  </si>
  <si>
    <t>p</t>
    <phoneticPr fontId="7" type="noConversion"/>
  </si>
  <si>
    <t>ㄆ</t>
  </si>
  <si>
    <t>ph</t>
    <phoneticPr fontId="7" type="noConversion"/>
  </si>
  <si>
    <t>ㆠ</t>
  </si>
  <si>
    <t>b</t>
    <phoneticPr fontId="7" type="noConversion"/>
  </si>
  <si>
    <t>ㄉ</t>
  </si>
  <si>
    <t>t</t>
  </si>
  <si>
    <t>ㄊ</t>
  </si>
  <si>
    <t>th</t>
  </si>
  <si>
    <t>ㄋ</t>
  </si>
  <si>
    <t>n</t>
  </si>
  <si>
    <t>ㄍ</t>
  </si>
  <si>
    <t>k</t>
  </si>
  <si>
    <t>ㄎ</t>
  </si>
  <si>
    <t>kh</t>
    <phoneticPr fontId="7" type="noConversion"/>
  </si>
  <si>
    <t>ㆣ</t>
  </si>
  <si>
    <t>g</t>
    <phoneticPr fontId="7" type="noConversion"/>
  </si>
  <si>
    <t>ㄗ</t>
  </si>
  <si>
    <t>ts</t>
  </si>
  <si>
    <t>ㄘ</t>
  </si>
  <si>
    <t>tsh</t>
    <phoneticPr fontId="7" type="noConversion"/>
  </si>
  <si>
    <t>ㆡ</t>
  </si>
  <si>
    <t>j</t>
    <phoneticPr fontId="7" type="noConversion"/>
  </si>
  <si>
    <t>ㄙ</t>
  </si>
  <si>
    <t>s</t>
    <phoneticPr fontId="7" type="noConversion"/>
  </si>
  <si>
    <t>ㄏ</t>
  </si>
  <si>
    <t>h</t>
    <phoneticPr fontId="7" type="noConversion"/>
  </si>
  <si>
    <t>ㄧ</t>
  </si>
  <si>
    <t>i</t>
    <phoneticPr fontId="7" type="noConversion"/>
  </si>
  <si>
    <t>ㄨ</t>
  </si>
  <si>
    <t>u</t>
    <phoneticPr fontId="7" type="noConversion"/>
  </si>
  <si>
    <t>ㄚ</t>
  </si>
  <si>
    <t>a</t>
    <phoneticPr fontId="7" type="noConversion"/>
  </si>
  <si>
    <t>ㆤ</t>
  </si>
  <si>
    <t>e</t>
    <phoneticPr fontId="7" type="noConversion"/>
  </si>
  <si>
    <t>o</t>
  </si>
  <si>
    <t>o</t>
    <phoneticPr fontId="7" type="noConversion"/>
  </si>
  <si>
    <t>ㆦ</t>
  </si>
  <si>
    <t>oo</t>
    <phoneticPr fontId="7" type="noConversion"/>
  </si>
  <si>
    <t>O</t>
    <phoneticPr fontId="7" type="noConversion"/>
  </si>
  <si>
    <t>ai</t>
    <phoneticPr fontId="7" type="noConversion"/>
  </si>
  <si>
    <t>ㄠ</t>
  </si>
  <si>
    <t>ㆭ</t>
  </si>
  <si>
    <t>-ng</t>
    <phoneticPr fontId="7" type="noConversion"/>
  </si>
  <si>
    <t>ㄣ</t>
  </si>
  <si>
    <t>-n</t>
    <phoneticPr fontId="7" type="noConversion"/>
  </si>
  <si>
    <t>-m</t>
    <phoneticPr fontId="7" type="noConversion"/>
  </si>
  <si>
    <t>-</t>
    <phoneticPr fontId="7" type="noConversion"/>
  </si>
  <si>
    <t>ㄇ</t>
  </si>
  <si>
    <t>m</t>
    <phoneticPr fontId="7" type="noConversion"/>
  </si>
  <si>
    <t>ㄌ</t>
  </si>
  <si>
    <t>l</t>
  </si>
  <si>
    <t>ㄫ</t>
  </si>
  <si>
    <t>ng</t>
    <phoneticPr fontId="7" type="noConversion"/>
  </si>
  <si>
    <t>ㄐ</t>
  </si>
  <si>
    <t>tsi</t>
    <phoneticPr fontId="7" type="noConversion"/>
  </si>
  <si>
    <t>ㄑ</t>
  </si>
  <si>
    <t>si</t>
    <phoneticPr fontId="7" type="noConversion"/>
  </si>
  <si>
    <t>ㄤ</t>
  </si>
  <si>
    <t>ang</t>
    <phoneticPr fontId="7" type="noConversion"/>
  </si>
  <si>
    <t>ㄢ</t>
  </si>
  <si>
    <t>an</t>
    <phoneticPr fontId="7" type="noConversion"/>
  </si>
  <si>
    <t>ㆰ</t>
  </si>
  <si>
    <t>am</t>
    <phoneticPr fontId="7" type="noConversion"/>
  </si>
  <si>
    <t>ㆲ</t>
  </si>
  <si>
    <t>ong</t>
    <phoneticPr fontId="7" type="noConversion"/>
  </si>
  <si>
    <t>ˋ</t>
  </si>
  <si>
    <t>˪</t>
  </si>
  <si>
    <t>ˊ</t>
  </si>
  <si>
    <t>˫</t>
  </si>
  <si>
    <t>˙</t>
  </si>
  <si>
    <t>ㆢ</t>
  </si>
  <si>
    <t>ji</t>
    <phoneticPr fontId="7" type="noConversion"/>
  </si>
  <si>
    <t>ㆪ</t>
  </si>
  <si>
    <t>ㆫ</t>
  </si>
  <si>
    <t>ㆩ</t>
  </si>
  <si>
    <t>ㆮ</t>
  </si>
  <si>
    <t>ㆥ</t>
  </si>
  <si>
    <t>enn</t>
    <phoneticPr fontId="7" type="noConversion"/>
  </si>
  <si>
    <t>ㆧ</t>
  </si>
  <si>
    <t>ㆯ</t>
  </si>
  <si>
    <t>ㆱ</t>
  </si>
  <si>
    <t>om</t>
    <phoneticPr fontId="7" type="noConversion"/>
  </si>
  <si>
    <t>ㄥ</t>
  </si>
  <si>
    <t>ㆴ</t>
  </si>
  <si>
    <t>ㆵ</t>
  </si>
  <si>
    <t>ㆻ</t>
  </si>
  <si>
    <t>ㆷ</t>
  </si>
  <si>
    <t>ng</t>
  </si>
  <si>
    <t>G</t>
  </si>
  <si>
    <t>m</t>
  </si>
  <si>
    <t>B</t>
  </si>
  <si>
    <t>ㆬ</t>
  </si>
  <si>
    <t>uang</t>
  </si>
  <si>
    <t>iong</t>
  </si>
  <si>
    <t>ㄧㆲ</t>
  </si>
  <si>
    <t>ing</t>
  </si>
  <si>
    <t>ㄧㄥ</t>
  </si>
  <si>
    <t>iang</t>
  </si>
  <si>
    <t>ㄧㄤ</t>
  </si>
  <si>
    <t>ong</t>
  </si>
  <si>
    <t>ang</t>
  </si>
  <si>
    <t>7</t>
  </si>
  <si>
    <t>uan</t>
  </si>
  <si>
    <t>ㄨㄢ</t>
  </si>
  <si>
    <t>5</t>
  </si>
  <si>
    <t>ian</t>
  </si>
  <si>
    <t>ㄧㄢ</t>
  </si>
  <si>
    <t>6</t>
  </si>
  <si>
    <t>an</t>
  </si>
  <si>
    <t>z</t>
  </si>
  <si>
    <t>un</t>
  </si>
  <si>
    <t>ㄨㄣ</t>
  </si>
  <si>
    <t>g</t>
  </si>
  <si>
    <t>in</t>
  </si>
  <si>
    <t>ㄧㄣ</t>
  </si>
  <si>
    <t>D</t>
  </si>
  <si>
    <t>b</t>
  </si>
  <si>
    <t>3</t>
  </si>
  <si>
    <t>4</t>
  </si>
  <si>
    <t>u</t>
  </si>
  <si>
    <t>-</t>
  </si>
  <si>
    <t>iam</t>
  </si>
  <si>
    <t>/</t>
  </si>
  <si>
    <t>om</t>
  </si>
  <si>
    <t>am</t>
  </si>
  <si>
    <t>;</t>
  </si>
  <si>
    <t>im</t>
  </si>
  <si>
    <t>p</t>
  </si>
  <si>
    <t>0</t>
  </si>
  <si>
    <t>&lt;</t>
  </si>
  <si>
    <t>,</t>
  </si>
  <si>
    <t>ㄨㆮ</t>
  </si>
  <si>
    <t>U</t>
    <phoneticPr fontId="7" type="noConversion"/>
  </si>
  <si>
    <t>L</t>
  </si>
  <si>
    <t>uann</t>
  </si>
  <si>
    <t>ㄨㆩ</t>
  </si>
  <si>
    <t>I</t>
    <phoneticPr fontId="7" type="noConversion"/>
  </si>
  <si>
    <t>(</t>
  </si>
  <si>
    <t>ㄞ</t>
  </si>
  <si>
    <t>ㄧㆯ</t>
  </si>
  <si>
    <t>J</t>
  </si>
  <si>
    <t>ionn</t>
  </si>
  <si>
    <t>ㄧㆧ</t>
  </si>
  <si>
    <t>j</t>
  </si>
  <si>
    <t>iann</t>
  </si>
  <si>
    <t>ㄧㆩ</t>
  </si>
  <si>
    <t>U</t>
  </si>
  <si>
    <t>iunn</t>
  </si>
  <si>
    <t>ㄧㆫ</t>
  </si>
  <si>
    <t>9</t>
  </si>
  <si>
    <t>aunn</t>
  </si>
  <si>
    <t>O</t>
  </si>
  <si>
    <t>ainn</t>
  </si>
  <si>
    <t>enn</t>
  </si>
  <si>
    <t>onn</t>
  </si>
  <si>
    <t>I</t>
  </si>
  <si>
    <t>ann</t>
  </si>
  <si>
    <t>i</t>
  </si>
  <si>
    <t>*</t>
  </si>
  <si>
    <t>r</t>
  </si>
  <si>
    <t>ㄒ</t>
  </si>
  <si>
    <t>韻母</t>
    <phoneticPr fontId="7" type="noConversion"/>
  </si>
  <si>
    <t>C</t>
    <phoneticPr fontId="7" type="noConversion"/>
  </si>
  <si>
    <t>c</t>
    <phoneticPr fontId="7" type="noConversion"/>
  </si>
  <si>
    <t>uai</t>
  </si>
  <si>
    <t>ㄨㄞ</t>
  </si>
  <si>
    <t>ue</t>
  </si>
  <si>
    <t>ua</t>
  </si>
  <si>
    <t>ㄨㄚ</t>
  </si>
  <si>
    <t>ui</t>
  </si>
  <si>
    <t>ㄨㄧ</t>
  </si>
  <si>
    <t>iau</t>
  </si>
  <si>
    <t>ㄧㄠ</t>
  </si>
  <si>
    <t>c</t>
  </si>
  <si>
    <t>io</t>
  </si>
  <si>
    <t>ㄧㄜㆷ</t>
  </si>
  <si>
    <t>ㄧㄜ</t>
  </si>
  <si>
    <t>d</t>
  </si>
  <si>
    <t>ia</t>
  </si>
  <si>
    <t>ㄧㄚ</t>
  </si>
  <si>
    <t>K</t>
    <phoneticPr fontId="7" type="noConversion"/>
  </si>
  <si>
    <t>iu</t>
  </si>
  <si>
    <t>ㄧㄨ</t>
  </si>
  <si>
    <t>k</t>
    <phoneticPr fontId="7" type="noConversion"/>
  </si>
  <si>
    <t>E</t>
  </si>
  <si>
    <t>at</t>
  </si>
  <si>
    <t>au</t>
  </si>
  <si>
    <t>d</t>
    <phoneticPr fontId="7" type="noConversion"/>
  </si>
  <si>
    <t>e</t>
  </si>
  <si>
    <t>ai</t>
  </si>
  <si>
    <t>x</t>
  </si>
  <si>
    <t>ap</t>
  </si>
  <si>
    <t>ㆦㆷ</t>
  </si>
  <si>
    <t>T</t>
    <phoneticPr fontId="7" type="noConversion"/>
  </si>
  <si>
    <t>s</t>
  </si>
  <si>
    <t>t</t>
    <phoneticPr fontId="7" type="noConversion"/>
  </si>
  <si>
    <t>w</t>
  </si>
  <si>
    <t>按鍵字元</t>
  </si>
  <si>
    <t>oo</t>
  </si>
  <si>
    <t>2</t>
  </si>
  <si>
    <t>ã</t>
    <phoneticPr fontId="7" type="noConversion"/>
  </si>
  <si>
    <t>a</t>
  </si>
  <si>
    <t>q</t>
  </si>
  <si>
    <t>台羅拼音</t>
  </si>
  <si>
    <t>ah</t>
  </si>
  <si>
    <t>P</t>
    <phoneticPr fontId="7" type="noConversion"/>
  </si>
  <si>
    <t>1</t>
  </si>
  <si>
    <t>國際音標</t>
    <phoneticPr fontId="7" type="noConversion"/>
  </si>
  <si>
    <t xml:space="preserve"> </t>
    <phoneticPr fontId="7" type="noConversion"/>
  </si>
  <si>
    <t>z</t>
    <phoneticPr fontId="7" type="noConversion"/>
  </si>
  <si>
    <t>Z</t>
    <phoneticPr fontId="7" type="noConversion"/>
  </si>
  <si>
    <t>J</t>
    <phoneticPr fontId="7" type="noConversion"/>
  </si>
  <si>
    <t>S</t>
    <phoneticPr fontId="7" type="noConversion"/>
  </si>
  <si>
    <t>y</t>
    <phoneticPr fontId="7" type="noConversion"/>
  </si>
  <si>
    <t>n</t>
    <phoneticPr fontId="7" type="noConversion"/>
  </si>
  <si>
    <t>Y</t>
    <phoneticPr fontId="7" type="noConversion"/>
  </si>
  <si>
    <t>H</t>
    <phoneticPr fontId="7" type="noConversion"/>
  </si>
  <si>
    <t>注音符號</t>
    <phoneticPr fontId="7" type="noConversion"/>
  </si>
  <si>
    <t>台語音標</t>
    <phoneticPr fontId="7" type="noConversion"/>
  </si>
  <si>
    <t>!</t>
    <phoneticPr fontId="7" type="noConversion"/>
  </si>
  <si>
    <t>ph</t>
  </si>
  <si>
    <t>!</t>
  </si>
  <si>
    <t>Q</t>
    <phoneticPr fontId="7" type="noConversion"/>
  </si>
  <si>
    <t>[m]</t>
  </si>
  <si>
    <t>P</t>
  </si>
  <si>
    <t>A</t>
    <phoneticPr fontId="7" type="noConversion"/>
  </si>
  <si>
    <t>@</t>
    <phoneticPr fontId="7" type="noConversion"/>
  </si>
  <si>
    <t>T</t>
  </si>
  <si>
    <t>W</t>
    <phoneticPr fontId="7" type="noConversion"/>
  </si>
  <si>
    <t>[n]</t>
  </si>
  <si>
    <t>x</t>
    <phoneticPr fontId="7" type="noConversion"/>
  </si>
  <si>
    <t>X</t>
    <phoneticPr fontId="7" type="noConversion"/>
  </si>
  <si>
    <t>kh</t>
  </si>
  <si>
    <t>E</t>
    <phoneticPr fontId="7" type="noConversion"/>
  </si>
  <si>
    <t>h</t>
  </si>
  <si>
    <t>K</t>
  </si>
  <si>
    <t>ci</t>
  </si>
  <si>
    <t>chi</t>
  </si>
  <si>
    <t>si</t>
  </si>
  <si>
    <t>r</t>
    <phoneticPr fontId="7" type="noConversion"/>
  </si>
  <si>
    <t>R</t>
    <phoneticPr fontId="7" type="noConversion"/>
  </si>
  <si>
    <t>f</t>
    <phoneticPr fontId="7" type="noConversion"/>
  </si>
  <si>
    <t>F</t>
    <phoneticPr fontId="7" type="noConversion"/>
  </si>
  <si>
    <t>[ŋ]</t>
  </si>
  <si>
    <t>ㆡ</t>
    <phoneticPr fontId="7" type="noConversion"/>
  </si>
  <si>
    <t>v</t>
    <phoneticPr fontId="7" type="noConversion"/>
  </si>
  <si>
    <t>V</t>
    <phoneticPr fontId="7" type="noConversion"/>
  </si>
  <si>
    <t>ji</t>
  </si>
  <si>
    <t>Y</t>
  </si>
  <si>
    <t>Z</t>
  </si>
  <si>
    <t>H</t>
  </si>
  <si>
    <t>C</t>
  </si>
  <si>
    <t>S</t>
  </si>
  <si>
    <t>ch</t>
  </si>
  <si>
    <t>ㄧ</t>
    <phoneticPr fontId="7" type="noConversion"/>
  </si>
  <si>
    <t>[i]</t>
  </si>
  <si>
    <t>[u]</t>
  </si>
  <si>
    <t>[m̩]</t>
  </si>
  <si>
    <t>[a]</t>
  </si>
  <si>
    <t>ㄜ</t>
  </si>
  <si>
    <t>[ɔ]</t>
  </si>
  <si>
    <t>[ə]</t>
  </si>
  <si>
    <t>[e]</t>
  </si>
  <si>
    <t>*</t>
    <phoneticPr fontId="7" type="noConversion"/>
  </si>
  <si>
    <t>(</t>
    <phoneticPr fontId="7" type="noConversion"/>
  </si>
  <si>
    <t>-ng</t>
  </si>
  <si>
    <t>l</t>
    <phoneticPr fontId="7" type="noConversion"/>
  </si>
  <si>
    <t>L</t>
    <phoneticPr fontId="7" type="noConversion"/>
  </si>
  <si>
    <t>[ŋ̍]</t>
  </si>
  <si>
    <t>.</t>
    <phoneticPr fontId="7" type="noConversion"/>
  </si>
  <si>
    <t>:</t>
    <phoneticPr fontId="7" type="noConversion"/>
  </si>
  <si>
    <t>;</t>
    <phoneticPr fontId="7" type="noConversion"/>
  </si>
  <si>
    <t>inn</t>
  </si>
  <si>
    <t>/</t>
    <phoneticPr fontId="7" type="noConversion"/>
  </si>
  <si>
    <t>unn</t>
  </si>
  <si>
    <t>ir</t>
  </si>
  <si>
    <t>M</t>
  </si>
  <si>
    <t>=</t>
    <phoneticPr fontId="7" type="noConversion"/>
  </si>
  <si>
    <t>ˉ</t>
  </si>
  <si>
    <t>1 !</t>
  </si>
  <si>
    <t>2 @</t>
  </si>
  <si>
    <t>3 #</t>
  </si>
  <si>
    <t>4 $</t>
  </si>
  <si>
    <t>6 ^</t>
  </si>
  <si>
    <t>7 &amp;</t>
  </si>
  <si>
    <t>8 *</t>
  </si>
  <si>
    <t>9 (</t>
  </si>
  <si>
    <t>0 )</t>
  </si>
  <si>
    <t>- _</t>
  </si>
  <si>
    <t>= +</t>
  </si>
  <si>
    <t>對映總表</t>
  </si>
  <si>
    <t>陰去</t>
  </si>
  <si>
    <t>上声</t>
  </si>
  <si>
    <t>陽去</t>
  </si>
  <si>
    <t>陽平</t>
  </si>
  <si>
    <t>·</t>
  </si>
  <si>
    <t>入声</t>
  </si>
  <si>
    <t>Q</t>
  </si>
  <si>
    <t>W</t>
  </si>
  <si>
    <t>R</t>
  </si>
  <si>
    <t>[ {</t>
  </si>
  <si>
    <t>] }</t>
  </si>
  <si>
    <t>\ |</t>
  </si>
  <si>
    <t>F</t>
  </si>
  <si>
    <t>; :</t>
  </si>
  <si>
    <t>' "</t>
  </si>
  <si>
    <t>X</t>
  </si>
  <si>
    <t>V</t>
  </si>
  <si>
    <t>N</t>
  </si>
  <si>
    <t>, &lt;</t>
  </si>
  <si>
    <t>. &gt;</t>
  </si>
  <si>
    <t>/ ?</t>
  </si>
  <si>
    <r>
      <rPr>
        <sz val="28"/>
        <color theme="8"/>
        <rFont val="Microsoft JhengHei"/>
        <family val="2"/>
        <charset val="136"/>
      </rPr>
      <t>拚音碼與鍵盤對映 (</t>
    </r>
    <r>
      <rPr>
        <sz val="28"/>
        <color theme="8"/>
        <rFont val="Calibri"/>
        <family val="2"/>
      </rPr>
      <t>speller)</t>
    </r>
    <phoneticPr fontId="7" type="noConversion"/>
  </si>
  <si>
    <r>
      <t xml:space="preserve">    # </t>
    </r>
    <r>
      <rPr>
        <sz val="18"/>
        <color rgb="FF000000"/>
        <rFont val="SimSun"/>
        <charset val="134"/>
      </rPr>
      <t>設定「字典編碼」與「鍵盤位置」的對映關係：字典檔案中，漢字的</t>
    </r>
    <r>
      <rPr>
        <sz val="18"/>
        <color rgb="FF000000"/>
        <rFont val="BopomofoRuby1909-v1"/>
        <family val="3"/>
        <charset val="136"/>
      </rPr>
      <t xml:space="preserve"> '拼音字母' ，轉成 '字典編碼' </t>
    </r>
    <r>
      <rPr>
        <sz val="18"/>
        <color rgb="FF000000"/>
        <rFont val="SimSun"/>
        <charset val="134"/>
      </rPr>
      <t>，並與</t>
    </r>
    <r>
      <rPr>
        <sz val="18"/>
        <color rgb="FF000000"/>
        <rFont val="BopomofoRuby1909-v1"/>
        <family val="3"/>
        <charset val="136"/>
      </rPr>
      <t>‘鍵盤位置’建立對映關聯</t>
    </r>
    <phoneticPr fontId="7" type="noConversion"/>
  </si>
  <si>
    <r>
      <t xml:space="preserve">  # </t>
    </r>
    <r>
      <rPr>
        <sz val="18"/>
        <color rgb="FF000000"/>
        <rFont val="Microsoft JhengHei"/>
        <family val="2"/>
        <charset val="136"/>
      </rPr>
      <t>設定「鍵盤位置」與「注音符號」的對映關係：</t>
    </r>
    <r>
      <rPr>
        <sz val="18"/>
        <color rgb="FF000000"/>
        <rFont val="Arial"/>
        <family val="2"/>
      </rPr>
      <t xml:space="preserve">RIME </t>
    </r>
    <r>
      <rPr>
        <sz val="18"/>
        <color rgb="FF000000"/>
        <rFont val="Microsoft JhengHei"/>
        <family val="2"/>
        <charset val="136"/>
      </rPr>
      <t>輸入法平台於接收到「鍵盤按鍵」輸入，依此規範於螢幕顯示</t>
    </r>
    <r>
      <rPr>
        <sz val="18"/>
        <color rgb="FF000000"/>
        <rFont val="SimSun"/>
        <charset val="134"/>
      </rPr>
      <t>ㄅㄆㄇ注音符號</t>
    </r>
    <phoneticPr fontId="7" type="noConversion"/>
  </si>
  <si>
    <t>候選字清單漢字與注音符號的對映 (comment_format)</t>
    <phoneticPr fontId="7" type="noConversion"/>
  </si>
  <si>
    <t>y</t>
  </si>
  <si>
    <t>8</t>
  </si>
  <si>
    <t>ㆨ</t>
  </si>
  <si>
    <t>ng-</t>
    <phoneticPr fontId="7" type="noConversion"/>
  </si>
  <si>
    <t>f</t>
  </si>
  <si>
    <t>v</t>
  </si>
  <si>
    <t>音標字母</t>
    <phoneticPr fontId="7" type="noConversion"/>
  </si>
  <si>
    <t>th</t>
    <phoneticPr fontId="7" type="noConversion"/>
  </si>
  <si>
    <t>-m</t>
  </si>
  <si>
    <t>[48]</t>
  </si>
  <si>
    <t>A</t>
  </si>
  <si>
    <t>ng-</t>
  </si>
  <si>
    <t>@</t>
  </si>
  <si>
    <t>]</t>
  </si>
  <si>
    <t>使用按鍵設定</t>
    <phoneticPr fontId="7" type="noConversion"/>
  </si>
  <si>
    <t>-p0</t>
    <phoneticPr fontId="7" type="noConversion"/>
  </si>
  <si>
    <t>-t0</t>
    <phoneticPr fontId="7" type="noConversion"/>
  </si>
  <si>
    <t>-k0</t>
    <phoneticPr fontId="7" type="noConversion"/>
  </si>
  <si>
    <t>-h0</t>
    <phoneticPr fontId="7" type="noConversion"/>
  </si>
  <si>
    <t>ㄫ</t>
    <phoneticPr fontId="7" type="noConversion"/>
  </si>
  <si>
    <t>ㄥ</t>
    <phoneticPr fontId="7" type="noConversion"/>
  </si>
  <si>
    <t>ㆷ</t>
    <phoneticPr fontId="7" type="noConversion"/>
  </si>
  <si>
    <t>聲母</t>
  </si>
  <si>
    <t>塞音(不送氣)</t>
  </si>
  <si>
    <t>塞音(送氣)</t>
  </si>
  <si>
    <t>濁音</t>
  </si>
  <si>
    <t>鼻音</t>
  </si>
  <si>
    <t>擦音</t>
  </si>
  <si>
    <t>邊音</t>
  </si>
  <si>
    <t>唇音</t>
  </si>
  <si>
    <t>ㄅ /p/</t>
  </si>
  <si>
    <t>ㄆ /pʰ/</t>
  </si>
  <si>
    <t>ㆠ /b/</t>
  </si>
  <si>
    <t>ㄇ /m/</t>
  </si>
  <si>
    <t>舌尖音</t>
  </si>
  <si>
    <t>ㄉ /t/</t>
  </si>
  <si>
    <t>ㄊ /tʰ/</t>
  </si>
  <si>
    <t>ㄋ /n/</t>
  </si>
  <si>
    <t>ㄌ /l/</t>
  </si>
  <si>
    <t>舌齒音</t>
  </si>
  <si>
    <t>ㄗ /ʦ/</t>
  </si>
  <si>
    <t>ㄘ /ʦʰ/</t>
  </si>
  <si>
    <t>ㆡ /ʣ/</t>
  </si>
  <si>
    <t>ㄙ /s/</t>
  </si>
  <si>
    <t>齦顎音</t>
  </si>
  <si>
    <t>ㄐ /ʨ/</t>
  </si>
  <si>
    <t>ㄑ /ʨʰ/</t>
  </si>
  <si>
    <t>ㆢ /ʥ/</t>
  </si>
  <si>
    <t>ㄒ /ɕ/</t>
  </si>
  <si>
    <t>舌根音</t>
  </si>
  <si>
    <t>ㄍ /k/</t>
  </si>
  <si>
    <t>ㄎ /kʰ/</t>
  </si>
  <si>
    <t>ㆣ /g/</t>
  </si>
  <si>
    <t>ㄫ /ŋ/</t>
  </si>
  <si>
    <t>喉音</t>
  </si>
  <si>
    <t>ㄏ /h/</t>
  </si>
  <si>
    <t>發音部位</t>
    <phoneticPr fontId="7" type="noConversion"/>
  </si>
  <si>
    <t>韻母</t>
  </si>
  <si>
    <t>韻腹</t>
  </si>
  <si>
    <t>ə</t>
  </si>
  <si>
    <t>陰聲韻</t>
  </si>
  <si>
    <t>ㄧㆦ</t>
  </si>
  <si>
    <t>ㄨㆤ</t>
  </si>
  <si>
    <t>鼻化韻</t>
  </si>
  <si>
    <t>ㄧㆬ</t>
  </si>
  <si>
    <t>ㄧㆰ</t>
  </si>
  <si>
    <t>-ŋ</t>
    <phoneticPr fontId="7" type="noConversion"/>
  </si>
  <si>
    <r>
      <rPr>
        <sz val="20"/>
        <color rgb="FF000000"/>
        <rFont val="新細明體"/>
        <family val="1"/>
        <charset val="136"/>
      </rPr>
      <t>ɪɔ</t>
    </r>
  </si>
  <si>
    <r>
      <rPr>
        <sz val="20"/>
        <color rgb="FF000000"/>
        <rFont val="新細明體"/>
        <family val="1"/>
        <charset val="136"/>
      </rPr>
      <t>ɔ</t>
    </r>
  </si>
  <si>
    <r>
      <t>ua</t>
    </r>
    <r>
      <rPr>
        <sz val="20"/>
        <color rgb="FF000000"/>
        <rFont val="新細明體"/>
        <family val="1"/>
        <charset val="136"/>
      </rPr>
      <t>ɪ</t>
    </r>
  </si>
  <si>
    <t>ʦʰ</t>
    <phoneticPr fontId="7" type="noConversion"/>
  </si>
  <si>
    <t>ts</t>
    <phoneticPr fontId="7" type="noConversion"/>
  </si>
  <si>
    <t>ʣ</t>
    <phoneticPr fontId="7" type="noConversion"/>
  </si>
  <si>
    <t>pʰ</t>
    <phoneticPr fontId="7" type="noConversion"/>
  </si>
  <si>
    <t>tʰ</t>
    <phoneticPr fontId="7" type="noConversion"/>
  </si>
  <si>
    <t>kʰ</t>
    <phoneticPr fontId="7" type="noConversion"/>
  </si>
  <si>
    <r>
      <rPr>
        <b/>
        <sz val="20"/>
        <color theme="8"/>
        <rFont val="芫荽 0.94"/>
        <family val="3"/>
        <charset val="136"/>
      </rPr>
      <t>ŋ</t>
    </r>
    <phoneticPr fontId="7" type="noConversion"/>
  </si>
  <si>
    <t>ɔ</t>
    <phoneticPr fontId="7" type="noConversion"/>
  </si>
  <si>
    <t>ə</t>
    <phoneticPr fontId="7" type="noConversion"/>
  </si>
  <si>
    <t>ai̯</t>
    <phoneticPr fontId="7" type="noConversion"/>
  </si>
  <si>
    <t>ɑu̯</t>
    <phoneticPr fontId="7" type="noConversion"/>
  </si>
  <si>
    <t>ɑŋ</t>
    <phoneticPr fontId="7" type="noConversion"/>
  </si>
  <si>
    <t>ũ</t>
    <phoneticPr fontId="7" type="noConversion"/>
  </si>
  <si>
    <t>ĩ</t>
    <phoneticPr fontId="7" type="noConversion"/>
  </si>
  <si>
    <t>ẽ</t>
    <phoneticPr fontId="7" type="noConversion"/>
  </si>
  <si>
    <t>ɔ̃</t>
    <phoneticPr fontId="7" type="noConversion"/>
  </si>
  <si>
    <r>
      <t>a</t>
    </r>
    <r>
      <rPr>
        <sz val="20"/>
        <color rgb="FF000000"/>
        <rFont val="Times New Roman"/>
        <family val="1"/>
      </rPr>
      <t>ɪ</t>
    </r>
    <phoneticPr fontId="7" type="noConversion"/>
  </si>
  <si>
    <r>
      <t>a</t>
    </r>
    <r>
      <rPr>
        <sz val="20"/>
        <color rgb="FF000000"/>
        <rFont val="Times New Roman"/>
        <family val="1"/>
      </rPr>
      <t>ʊ</t>
    </r>
    <phoneticPr fontId="7" type="noConversion"/>
  </si>
  <si>
    <r>
      <rPr>
        <sz val="20"/>
        <color rgb="FF000000"/>
        <rFont val="新細明體"/>
        <family val="1"/>
        <charset val="136"/>
      </rPr>
      <t>ɪ</t>
    </r>
    <r>
      <rPr>
        <sz val="20"/>
        <color rgb="FF000000"/>
        <rFont val="Noto Sans"/>
        <family val="2"/>
      </rPr>
      <t>a</t>
    </r>
    <phoneticPr fontId="7" type="noConversion"/>
  </si>
  <si>
    <r>
      <rPr>
        <sz val="20"/>
        <color rgb="FF000000"/>
        <rFont val="新細明體"/>
        <family val="1"/>
        <charset val="136"/>
      </rPr>
      <t>ɪ</t>
    </r>
    <r>
      <rPr>
        <sz val="20"/>
        <color rgb="FF000000"/>
        <rFont val="Noto Sans"/>
        <family val="2"/>
      </rPr>
      <t>ə</t>
    </r>
  </si>
  <si>
    <r>
      <rPr>
        <sz val="20"/>
        <color rgb="FF000000"/>
        <rFont val="新細明體"/>
        <family val="1"/>
        <charset val="136"/>
      </rPr>
      <t>ɪ</t>
    </r>
    <r>
      <rPr>
        <sz val="20"/>
        <color rgb="FF000000"/>
        <rFont val="Noto Sans"/>
        <family val="2"/>
        <charset val="136"/>
      </rPr>
      <t>a</t>
    </r>
    <r>
      <rPr>
        <sz val="20"/>
        <color rgb="FF000000"/>
        <rFont val="新細明體"/>
        <family val="1"/>
        <charset val="136"/>
      </rPr>
      <t>ʊ</t>
    </r>
    <phoneticPr fontId="7" type="noConversion"/>
  </si>
  <si>
    <t>en</t>
    <phoneticPr fontId="7" type="noConversion"/>
  </si>
  <si>
    <t>ㄣ</t>
    <phoneticPr fontId="7" type="noConversion"/>
  </si>
  <si>
    <t>ɔŋ</t>
    <phoneticPr fontId="7" type="noConversion"/>
  </si>
  <si>
    <t>ãĩ</t>
    <phoneticPr fontId="7" type="noConversion"/>
  </si>
  <si>
    <t>ãũ</t>
    <phoneticPr fontId="7" type="noConversion"/>
  </si>
  <si>
    <t>m̩</t>
    <phoneticPr fontId="7" type="noConversion"/>
  </si>
  <si>
    <t>ŋ̍</t>
    <phoneticPr fontId="7" type="noConversion"/>
  </si>
  <si>
    <t>p̚</t>
    <phoneticPr fontId="7" type="noConversion"/>
  </si>
  <si>
    <t>t̚</t>
    <phoneticPr fontId="7" type="noConversion"/>
  </si>
  <si>
    <t>k̚</t>
    <phoneticPr fontId="7" type="noConversion"/>
  </si>
  <si>
    <t>ʔ</t>
    <phoneticPr fontId="7" type="noConversion"/>
  </si>
  <si>
    <t>ɨ</t>
    <phoneticPr fontId="7" type="noConversion"/>
  </si>
  <si>
    <t>陽聲韻</t>
  </si>
  <si>
    <t>入聲韻</t>
  </si>
  <si>
    <t>[p̚]</t>
  </si>
  <si>
    <t>[t̚]</t>
  </si>
  <si>
    <t>[k̚]</t>
  </si>
  <si>
    <t>[ʔ]</t>
  </si>
  <si>
    <t>ak</t>
  </si>
  <si>
    <t>annh</t>
  </si>
  <si>
    <t>[aɪ]</t>
  </si>
  <si>
    <t>aih</t>
  </si>
  <si>
    <t>ainnh</t>
  </si>
  <si>
    <t>[aʊ]</t>
  </si>
  <si>
    <t>auh</t>
  </si>
  <si>
    <t>aunnh</t>
  </si>
  <si>
    <t>[ɛ]</t>
  </si>
  <si>
    <t>ee</t>
  </si>
  <si>
    <t>eng</t>
  </si>
  <si>
    <t>ek</t>
  </si>
  <si>
    <t>eeh</t>
  </si>
  <si>
    <t>eh</t>
  </si>
  <si>
    <t>ennh</t>
  </si>
  <si>
    <t>ip</t>
  </si>
  <si>
    <t>it</t>
  </si>
  <si>
    <t>ik</t>
  </si>
  <si>
    <t>ih</t>
  </si>
  <si>
    <t>innh</t>
  </si>
  <si>
    <t>[ɪa]</t>
  </si>
  <si>
    <t>iap</t>
  </si>
  <si>
    <t>iat</t>
  </si>
  <si>
    <t>iak</t>
  </si>
  <si>
    <t>iah</t>
  </si>
  <si>
    <t>iannh</t>
  </si>
  <si>
    <t>[ɪaʊ]</t>
  </si>
  <si>
    <t>iaunn</t>
  </si>
  <si>
    <t>iauh</t>
  </si>
  <si>
    <t>[io]</t>
  </si>
  <si>
    <t>ioh</t>
  </si>
  <si>
    <t>[iɔ]</t>
  </si>
  <si>
    <t>ioo</t>
  </si>
  <si>
    <t>iok</t>
  </si>
  <si>
    <t>iooh</t>
  </si>
  <si>
    <t>[iu]</t>
  </si>
  <si>
    <t>iuh</t>
  </si>
  <si>
    <t>iunnh</t>
  </si>
  <si>
    <t>er</t>
  </si>
  <si>
    <t>erh</t>
  </si>
  <si>
    <t>[o]</t>
  </si>
  <si>
    <t>oh</t>
  </si>
  <si>
    <t>op</t>
  </si>
  <si>
    <t>ok</t>
  </si>
  <si>
    <t>ooh</t>
  </si>
  <si>
    <t>onnh</t>
  </si>
  <si>
    <t>[ɯ]</t>
  </si>
  <si>
    <t>irm</t>
  </si>
  <si>
    <t>irn</t>
  </si>
  <si>
    <t>irng</t>
  </si>
  <si>
    <t>irp</t>
  </si>
  <si>
    <t>irt</t>
  </si>
  <si>
    <t>irk</t>
  </si>
  <si>
    <t>irh</t>
  </si>
  <si>
    <t>ut</t>
  </si>
  <si>
    <t>uh</t>
  </si>
  <si>
    <t>[ua]</t>
  </si>
  <si>
    <t>uat</t>
  </si>
  <si>
    <t>uah</t>
  </si>
  <si>
    <t>[uai]</t>
  </si>
  <si>
    <t>uainn</t>
  </si>
  <si>
    <t>[uɛ]</t>
  </si>
  <si>
    <t>uee</t>
  </si>
  <si>
    <t>ueeh</t>
  </si>
  <si>
    <t>[ue]</t>
  </si>
  <si>
    <t>ueh</t>
  </si>
  <si>
    <t>[ui]</t>
  </si>
  <si>
    <t>[ɯi]</t>
  </si>
  <si>
    <t>irinn</t>
  </si>
  <si>
    <t>[əe]</t>
  </si>
  <si>
    <t>ere</t>
  </si>
  <si>
    <t>ereh</t>
  </si>
  <si>
    <t>－</t>
  </si>
  <si>
    <t>mh</t>
  </si>
  <si>
    <t>ngh</t>
  </si>
  <si>
    <t>台羅音標</t>
    <phoneticPr fontId="7" type="noConversion"/>
  </si>
  <si>
    <t>注音二式</t>
    <phoneticPr fontId="7" type="noConversion"/>
  </si>
  <si>
    <t>bb</t>
  </si>
  <si>
    <t>bb</t>
    <phoneticPr fontId="7" type="noConversion"/>
  </si>
  <si>
    <t>gg</t>
  </si>
  <si>
    <t>gg</t>
    <phoneticPr fontId="7" type="noConversion"/>
  </si>
  <si>
    <t>ci</t>
    <phoneticPr fontId="7" type="noConversion"/>
  </si>
  <si>
    <t>zz</t>
  </si>
  <si>
    <t>zz</t>
    <phoneticPr fontId="7" type="noConversion"/>
  </si>
  <si>
    <t>oonn</t>
  </si>
  <si>
    <t>or</t>
  </si>
  <si>
    <t>按鍵編碼</t>
    <phoneticPr fontId="7" type="noConversion"/>
  </si>
  <si>
    <t>[</t>
  </si>
  <si>
    <t>'</t>
  </si>
  <si>
    <t>\</t>
  </si>
  <si>
    <r>
      <rPr>
        <b/>
        <sz val="20"/>
        <color theme="8"/>
        <rFont val="細明體"/>
        <family val="3"/>
        <charset val="136"/>
      </rPr>
      <t>i</t>
    </r>
    <r>
      <rPr>
        <b/>
        <sz val="20"/>
        <color theme="8"/>
        <rFont val="Times New Roman"/>
        <family val="3"/>
        <charset val="136"/>
      </rPr>
      <t>ŋ</t>
    </r>
    <phoneticPr fontId="7" type="noConversion"/>
  </si>
  <si>
    <t>-ing</t>
    <phoneticPr fontId="7" type="noConversion"/>
  </si>
  <si>
    <t>ʦʰi</t>
    <phoneticPr fontId="7" type="noConversion"/>
  </si>
  <si>
    <t>ʣi</t>
    <phoneticPr fontId="7" type="noConversion"/>
  </si>
  <si>
    <t>zi</t>
    <phoneticPr fontId="7" type="noConversion"/>
  </si>
  <si>
    <t>zzi</t>
    <phoneticPr fontId="7" type="noConversion"/>
  </si>
  <si>
    <t>b0</t>
    <phoneticPr fontId="7" type="noConversion"/>
  </si>
  <si>
    <t>g0</t>
    <phoneticPr fontId="7" type="noConversion"/>
  </si>
  <si>
    <t>d0</t>
    <phoneticPr fontId="7" type="noConversion"/>
  </si>
  <si>
    <t>h0</t>
    <phoneticPr fontId="7" type="noConversion"/>
  </si>
  <si>
    <t>轉換順序</t>
    <phoneticPr fontId="7" type="noConversion"/>
  </si>
  <si>
    <t>台羅音標</t>
  </si>
  <si>
    <t>TH</t>
    <phoneticPr fontId="7" type="noConversion"/>
  </si>
  <si>
    <t>KH</t>
    <phoneticPr fontId="7" type="noConversion"/>
  </si>
  <si>
    <t>PH</t>
    <phoneticPr fontId="7" type="noConversion"/>
  </si>
  <si>
    <t>符號類別</t>
    <phoneticPr fontId="7" type="noConversion"/>
  </si>
  <si>
    <t>声母</t>
    <phoneticPr fontId="7" type="noConversion"/>
  </si>
  <si>
    <t>ㄧㄥ</t>
    <phoneticPr fontId="7" type="noConversion"/>
  </si>
  <si>
    <t>ing</t>
    <phoneticPr fontId="7" type="noConversion"/>
  </si>
  <si>
    <t>識別號</t>
  </si>
  <si>
    <t>漢字</t>
  </si>
  <si>
    <t>常用度</t>
  </si>
  <si>
    <t>九</t>
  </si>
  <si>
    <t>kau2</t>
  </si>
  <si>
    <t>NA</t>
  </si>
  <si>
    <t>了</t>
  </si>
  <si>
    <t>liau2</t>
  </si>
  <si>
    <t>八</t>
  </si>
  <si>
    <t>pat4</t>
  </si>
  <si>
    <t>刁</t>
  </si>
  <si>
    <t>tiau1</t>
  </si>
  <si>
    <t>thiau1</t>
  </si>
  <si>
    <t>力</t>
  </si>
  <si>
    <t>lat8</t>
  </si>
  <si>
    <t>十</t>
  </si>
  <si>
    <t>tsap8</t>
  </si>
  <si>
    <t>三</t>
  </si>
  <si>
    <t>sann1</t>
  </si>
  <si>
    <t>sam1</t>
  </si>
  <si>
    <t>sam3</t>
  </si>
  <si>
    <t>下</t>
  </si>
  <si>
    <t>ha7</t>
  </si>
  <si>
    <t>千</t>
  </si>
  <si>
    <t>tshainn1</t>
  </si>
  <si>
    <t>叉</t>
  </si>
  <si>
    <t>tsha1</t>
  </si>
  <si>
    <t>口</t>
  </si>
  <si>
    <t>khau2</t>
  </si>
  <si>
    <t>大</t>
  </si>
  <si>
    <t>tai7</t>
  </si>
  <si>
    <t>小</t>
  </si>
  <si>
    <t>siau2</t>
  </si>
  <si>
    <t>山</t>
  </si>
  <si>
    <t>san1</t>
  </si>
  <si>
    <t>工</t>
  </si>
  <si>
    <t>kang1</t>
  </si>
  <si>
    <t>干</t>
  </si>
  <si>
    <t>kan1</t>
  </si>
  <si>
    <t>才</t>
  </si>
  <si>
    <t>tsai5</t>
  </si>
  <si>
    <t>丐</t>
  </si>
  <si>
    <t>kai3</t>
  </si>
  <si>
    <t>丹</t>
  </si>
  <si>
    <t>tan1</t>
  </si>
  <si>
    <t>仆</t>
  </si>
  <si>
    <t>phak4</t>
  </si>
  <si>
    <t>今</t>
  </si>
  <si>
    <t>tann1</t>
  </si>
  <si>
    <t>介</t>
  </si>
  <si>
    <t>內</t>
  </si>
  <si>
    <t>lai7</t>
  </si>
  <si>
    <t>公</t>
  </si>
  <si>
    <t>六</t>
  </si>
  <si>
    <t>lak8</t>
  </si>
  <si>
    <t>冇</t>
  </si>
  <si>
    <t>phann3</t>
  </si>
  <si>
    <t>勾</t>
  </si>
  <si>
    <t>kau1</t>
  </si>
  <si>
    <t>卞</t>
  </si>
  <si>
    <t>pian7</t>
  </si>
  <si>
    <t>反</t>
  </si>
  <si>
    <t>painn2</t>
  </si>
  <si>
    <t>天</t>
  </si>
  <si>
    <t>thian1</t>
  </si>
  <si>
    <t>太</t>
  </si>
  <si>
    <t>thai3</t>
  </si>
  <si>
    <t>夭</t>
  </si>
  <si>
    <t>iau2</t>
  </si>
  <si>
    <t>歲壽 短, 屈落, at折, 夭壽, 同 chit字 殀 字.</t>
  </si>
  <si>
    <t>孔</t>
  </si>
  <si>
    <t>khang1</t>
  </si>
  <si>
    <t>少</t>
  </si>
  <si>
    <t>濟濟 ê 對反, 幫贊, 少少, 減少.</t>
  </si>
  <si>
    <t>siau3</t>
  </si>
  <si>
    <t xml:space="preserve">少歲, iáu-kú 幼茈, 細漢; 幫贊, 字姓, 少年.	</t>
  </si>
  <si>
    <t>巴</t>
  </si>
  <si>
    <t>pa1</t>
  </si>
  <si>
    <t>廿</t>
  </si>
  <si>
    <t>jiap8</t>
  </si>
  <si>
    <t>弔</t>
  </si>
  <si>
    <t>tiau3</t>
  </si>
  <si>
    <t>扎</t>
  </si>
  <si>
    <t>tsah4</t>
  </si>
  <si>
    <t>tsat4</t>
  </si>
  <si>
    <t>斗</t>
  </si>
  <si>
    <t>tau2</t>
  </si>
  <si>
    <t>木</t>
  </si>
  <si>
    <t>bak8</t>
  </si>
  <si>
    <t>欠</t>
  </si>
  <si>
    <t>khiam3</t>
  </si>
  <si>
    <t>歹</t>
  </si>
  <si>
    <t>phai2</t>
  </si>
  <si>
    <t>phainn2</t>
  </si>
  <si>
    <t>tai2</t>
  </si>
  <si>
    <t>爪</t>
  </si>
  <si>
    <t>tsau2</t>
  </si>
  <si>
    <t>jiau2</t>
  </si>
  <si>
    <t>爻</t>
  </si>
  <si>
    <t>gau5</t>
  </si>
  <si>
    <t>ngau5</t>
  </si>
  <si>
    <t>爿</t>
  </si>
  <si>
    <t>painn5</t>
  </si>
  <si>
    <t>片</t>
  </si>
  <si>
    <t>phian3</t>
  </si>
  <si>
    <t>牙</t>
  </si>
  <si>
    <t>ga5</t>
  </si>
  <si>
    <t>且</t>
  </si>
  <si>
    <t>tshiann2</t>
  </si>
  <si>
    <t>丙</t>
  </si>
  <si>
    <t>piann2</t>
  </si>
  <si>
    <t>乍</t>
  </si>
  <si>
    <t>tsa7</t>
  </si>
  <si>
    <t>乏</t>
  </si>
  <si>
    <t>hat8</t>
  </si>
  <si>
    <t>仔</t>
  </si>
  <si>
    <t>a2</t>
  </si>
  <si>
    <t>他</t>
  </si>
  <si>
    <t>thann1</t>
  </si>
  <si>
    <t>仝</t>
  </si>
  <si>
    <t>kang7</t>
  </si>
  <si>
    <t>代</t>
  </si>
  <si>
    <t>兄</t>
  </si>
  <si>
    <t>hiann1</t>
  </si>
  <si>
    <t>冉</t>
  </si>
  <si>
    <t>jiam2</t>
  </si>
  <si>
    <t>冬</t>
  </si>
  <si>
    <t>tang1</t>
  </si>
  <si>
    <t>凹</t>
  </si>
  <si>
    <t>nah4</t>
  </si>
  <si>
    <t>刊</t>
  </si>
  <si>
    <t>khan1</t>
  </si>
  <si>
    <t>功</t>
  </si>
  <si>
    <t>加</t>
  </si>
  <si>
    <t>ka1</t>
  </si>
  <si>
    <t>包</t>
  </si>
  <si>
    <t>pau1</t>
  </si>
  <si>
    <t>北</t>
  </si>
  <si>
    <t>pak4</t>
  </si>
  <si>
    <t>卌</t>
  </si>
  <si>
    <t>siap4</t>
  </si>
  <si>
    <t>占</t>
  </si>
  <si>
    <t>tsiam1</t>
  </si>
  <si>
    <t>卡</t>
  </si>
  <si>
    <t>khah4</t>
  </si>
  <si>
    <t>khah8</t>
  </si>
  <si>
    <t>卯</t>
  </si>
  <si>
    <t>bau2</t>
  </si>
  <si>
    <t>叫</t>
  </si>
  <si>
    <t>kiau3</t>
  </si>
  <si>
    <t>召</t>
  </si>
  <si>
    <t>台</t>
  </si>
  <si>
    <t>thai1</t>
  </si>
  <si>
    <t>史</t>
  </si>
  <si>
    <t>sai2</t>
  </si>
  <si>
    <t>史項, 史項 路頭; 就是 廈門 路頭 ê 名; 字姓.</t>
  </si>
  <si>
    <t>司</t>
  </si>
  <si>
    <t>sai1</t>
  </si>
  <si>
    <t>職業或職業人ê接尾詞表示尊敬。</t>
  </si>
  <si>
    <t>尻</t>
  </si>
  <si>
    <t>kha1</t>
  </si>
  <si>
    <t>巧</t>
  </si>
  <si>
    <t>kha2</t>
  </si>
  <si>
    <t>khiau2</t>
  </si>
  <si>
    <t>平</t>
  </si>
  <si>
    <t>piann5</t>
  </si>
  <si>
    <t>平聲, 平仄, 上平, 下平; 有 平仄.</t>
  </si>
  <si>
    <t>phiann5</t>
  </si>
  <si>
    <t>打</t>
  </si>
  <si>
    <t>tann2</t>
  </si>
  <si>
    <t>旦</t>
  </si>
  <si>
    <t>tan3</t>
  </si>
  <si>
    <t>札</t>
  </si>
  <si>
    <t>正</t>
  </si>
  <si>
    <t>tsiann1</t>
  </si>
  <si>
    <t>tsiann3</t>
  </si>
  <si>
    <t>汁</t>
  </si>
  <si>
    <t>tsiap4</t>
  </si>
  <si>
    <t>tsap4</t>
  </si>
  <si>
    <t>甘</t>
  </si>
  <si>
    <t>kam1</t>
  </si>
  <si>
    <t>田</t>
  </si>
  <si>
    <t>tshan5</t>
  </si>
  <si>
    <t>tian5</t>
  </si>
  <si>
    <t>甲</t>
  </si>
  <si>
    <t>kah4</t>
  </si>
  <si>
    <t>kap4</t>
  </si>
  <si>
    <t>目</t>
  </si>
  <si>
    <t>矛</t>
  </si>
  <si>
    <t>bau5</t>
  </si>
  <si>
    <t>mau5</t>
  </si>
  <si>
    <t>交</t>
  </si>
  <si>
    <t>kiau1</t>
  </si>
  <si>
    <t>亥</t>
  </si>
  <si>
    <t>hai6</t>
  </si>
  <si>
    <t>件</t>
  </si>
  <si>
    <t>kiann6</t>
  </si>
  <si>
    <t>兆</t>
  </si>
  <si>
    <t>tiau6</t>
  </si>
  <si>
    <t>先</t>
  </si>
  <si>
    <t>sing1</t>
  </si>
  <si>
    <t>頭先, 起先; tāi先, 先來; 先借; 生hō͘伊.</t>
  </si>
  <si>
    <t>共</t>
  </si>
  <si>
    <t>ka7</t>
  </si>
  <si>
    <t>再</t>
  </si>
  <si>
    <t>tsai3</t>
  </si>
  <si>
    <t>列</t>
  </si>
  <si>
    <t>liat8</t>
  </si>
  <si>
    <t>合</t>
  </si>
  <si>
    <t>hah8</t>
  </si>
  <si>
    <t>hap8</t>
  </si>
  <si>
    <t>吊</t>
  </si>
  <si>
    <t>同</t>
  </si>
  <si>
    <t>tang5</t>
  </si>
  <si>
    <t>和同, 相同, 對同, 同心, 同伴, 同姒, 同門.</t>
  </si>
  <si>
    <t>名</t>
  </si>
  <si>
    <t>mia5</t>
  </si>
  <si>
    <t>向</t>
  </si>
  <si>
    <t>ann3</t>
  </si>
  <si>
    <t>hiann3</t>
  </si>
  <si>
    <t>囝</t>
  </si>
  <si>
    <t>kiann2</t>
  </si>
  <si>
    <t>kann2</t>
  </si>
  <si>
    <t>在</t>
  </si>
  <si>
    <t>tsai7</t>
  </si>
  <si>
    <t>奸</t>
  </si>
  <si>
    <t>安</t>
  </si>
  <si>
    <t>an1</t>
  </si>
  <si>
    <t>尖</t>
  </si>
  <si>
    <t>帆</t>
  </si>
  <si>
    <t>phang5</t>
  </si>
  <si>
    <t>年</t>
  </si>
  <si>
    <t>lian5</t>
  </si>
  <si>
    <t>忙</t>
  </si>
  <si>
    <t>bang5</t>
  </si>
  <si>
    <t>成</t>
  </si>
  <si>
    <t>tsiann5</t>
  </si>
  <si>
    <t>tshiann5</t>
  </si>
  <si>
    <t>siann5</t>
  </si>
  <si>
    <t>扛</t>
  </si>
  <si>
    <t>扣</t>
  </si>
  <si>
    <t>khauh</t>
  </si>
  <si>
    <t>早</t>
  </si>
  <si>
    <t>tsa2</t>
  </si>
  <si>
    <t>曲</t>
  </si>
  <si>
    <t>khiau1</t>
  </si>
  <si>
    <t>曲曲, 曲痀, 拗曲, 手曲.</t>
  </si>
  <si>
    <t>khik4</t>
  </si>
  <si>
    <t>歌曲, 曲調, 曲譜, 聽曲; 唱曲.</t>
  </si>
  <si>
    <t>汕</t>
  </si>
  <si>
    <t>san3</t>
  </si>
  <si>
    <t>汗</t>
  </si>
  <si>
    <t>han5</t>
  </si>
  <si>
    <t>han7</t>
  </si>
  <si>
    <t>江</t>
  </si>
  <si>
    <t>百</t>
  </si>
  <si>
    <t>pah4</t>
  </si>
  <si>
    <t>老</t>
  </si>
  <si>
    <t>lau2</t>
  </si>
  <si>
    <t>老練, 熟老老, 老 腔口; 老將; 老實.</t>
  </si>
  <si>
    <t>lau3</t>
  </si>
  <si>
    <t>熟 làu-làu, 就是 真熟 ê 意思.</t>
  </si>
  <si>
    <t>肉</t>
  </si>
  <si>
    <t>bah4</t>
  </si>
  <si>
    <t>艾</t>
  </si>
  <si>
    <t>gai7</t>
  </si>
  <si>
    <t>hiann7</t>
  </si>
  <si>
    <t>行</t>
  </si>
  <si>
    <t>hang5</t>
  </si>
  <si>
    <t>排列 成逝, 行伍, 排行, (讀hāng)=勇猛, 好膽, 次序.</t>
  </si>
  <si>
    <t>kiann5</t>
  </si>
  <si>
    <t>西</t>
  </si>
  <si>
    <t>似</t>
  </si>
  <si>
    <t>sai7</t>
  </si>
  <si>
    <t>伽</t>
  </si>
  <si>
    <t>佃</t>
  </si>
  <si>
    <t>tian7</t>
  </si>
  <si>
    <t>但</t>
  </si>
  <si>
    <t>na7</t>
  </si>
  <si>
    <t>tan7</t>
  </si>
  <si>
    <t>佔</t>
  </si>
  <si>
    <t>tsiam3</t>
  </si>
  <si>
    <t>克</t>
  </si>
  <si>
    <t>khat4</t>
  </si>
  <si>
    <t>免</t>
  </si>
  <si>
    <t>bian2</t>
  </si>
  <si>
    <t>兵</t>
  </si>
  <si>
    <t>piann1</t>
  </si>
  <si>
    <t>刣</t>
  </si>
  <si>
    <t>thai5</t>
  </si>
  <si>
    <t>別</t>
  </si>
  <si>
    <t>pat8</t>
  </si>
  <si>
    <t>piat8</t>
  </si>
  <si>
    <t>刨</t>
  </si>
  <si>
    <t>pau5</t>
  </si>
  <si>
    <t>利</t>
  </si>
  <si>
    <t>刪</t>
  </si>
  <si>
    <t>劫</t>
  </si>
  <si>
    <t>kiap4</t>
  </si>
  <si>
    <t>劭</t>
  </si>
  <si>
    <t>siau7</t>
  </si>
  <si>
    <t>匣</t>
  </si>
  <si>
    <t>即</t>
  </si>
  <si>
    <t>tsiah4</t>
  </si>
  <si>
    <t>吧</t>
  </si>
  <si>
    <t>含</t>
  </si>
  <si>
    <t>kann5</t>
  </si>
  <si>
    <t>kam5</t>
  </si>
  <si>
    <t>ham5</t>
  </si>
  <si>
    <t>吵</t>
  </si>
  <si>
    <t>tsha2</t>
  </si>
  <si>
    <t>tshau2</t>
  </si>
  <si>
    <t>吶</t>
  </si>
  <si>
    <t>吼</t>
  </si>
  <si>
    <t>hau2</t>
  </si>
  <si>
    <t>呆</t>
  </si>
  <si>
    <t>tai1</t>
  </si>
  <si>
    <t>圾</t>
  </si>
  <si>
    <t>sap4</t>
  </si>
  <si>
    <t>坍</t>
  </si>
  <si>
    <t>tham1</t>
  </si>
  <si>
    <t>坎</t>
  </si>
  <si>
    <t>kham2</t>
  </si>
  <si>
    <t>夾</t>
  </si>
  <si>
    <t>妖</t>
  </si>
  <si>
    <t>iau1</t>
  </si>
  <si>
    <t>妙</t>
  </si>
  <si>
    <t>biau7</t>
  </si>
  <si>
    <t>miau7</t>
  </si>
  <si>
    <t>孝</t>
  </si>
  <si>
    <t>ha3</t>
  </si>
  <si>
    <t>hau3</t>
  </si>
  <si>
    <t>尪</t>
  </si>
  <si>
    <t>ang1</t>
  </si>
  <si>
    <t>弄</t>
  </si>
  <si>
    <t>lang7</t>
  </si>
  <si>
    <t>忐</t>
  </si>
  <si>
    <t>tham2</t>
  </si>
  <si>
    <t>戒</t>
  </si>
  <si>
    <t>扮</t>
  </si>
  <si>
    <t>pan7</t>
  </si>
  <si>
    <t>扳</t>
  </si>
  <si>
    <t>pan1</t>
  </si>
  <si>
    <t>找</t>
  </si>
  <si>
    <t>tsau6</t>
  </si>
  <si>
    <t>抄</t>
  </si>
  <si>
    <t>tshau1</t>
  </si>
  <si>
    <t>把</t>
  </si>
  <si>
    <t>pa2</t>
  </si>
  <si>
    <t>抐</t>
  </si>
  <si>
    <t>la6</t>
  </si>
  <si>
    <t>抓</t>
  </si>
  <si>
    <t>jiau3</t>
  </si>
  <si>
    <t>投</t>
  </si>
  <si>
    <t>tau5</t>
  </si>
  <si>
    <t>改</t>
  </si>
  <si>
    <t>kai2</t>
  </si>
  <si>
    <t>旱</t>
  </si>
  <si>
    <t>han6</t>
  </si>
  <si>
    <t>杆</t>
  </si>
  <si>
    <t>杉</t>
  </si>
  <si>
    <t>材</t>
  </si>
  <si>
    <t>汰</t>
  </si>
  <si>
    <t>汴</t>
  </si>
  <si>
    <t>沃</t>
  </si>
  <si>
    <t>ak4</t>
  </si>
  <si>
    <t>沉</t>
  </si>
  <si>
    <t>tiam5</t>
  </si>
  <si>
    <t>沐</t>
  </si>
  <si>
    <t>bak4</t>
  </si>
  <si>
    <t>沙</t>
  </si>
  <si>
    <t>sa1</t>
  </si>
  <si>
    <t>沛</t>
  </si>
  <si>
    <t>phai3</t>
  </si>
  <si>
    <t>灶</t>
  </si>
  <si>
    <t>tsau3</t>
  </si>
  <si>
    <t>災</t>
  </si>
  <si>
    <t>tsai1</t>
  </si>
  <si>
    <t>牢</t>
  </si>
  <si>
    <t>tiau5</t>
  </si>
  <si>
    <t>男</t>
  </si>
  <si>
    <t>lam5</t>
  </si>
  <si>
    <t>甸</t>
  </si>
  <si>
    <t>矣</t>
  </si>
  <si>
    <t>ah0</t>
  </si>
  <si>
    <t>私</t>
  </si>
  <si>
    <t>私奇, 就是 自己 所 積聚 ê 錢.</t>
  </si>
  <si>
    <t>罕</t>
  </si>
  <si>
    <t>han2</t>
  </si>
  <si>
    <t>肖</t>
  </si>
  <si>
    <t>肝</t>
  </si>
  <si>
    <t>芒</t>
  </si>
  <si>
    <t>角</t>
  </si>
  <si>
    <t>kak4</t>
  </si>
  <si>
    <t>豆</t>
  </si>
  <si>
    <t>tau7</t>
  </si>
  <si>
    <t>走</t>
  </si>
  <si>
    <t>那</t>
  </si>
  <si>
    <t>na2</t>
  </si>
  <si>
    <t>邦</t>
  </si>
  <si>
    <t>pang1</t>
  </si>
  <si>
    <t>阪</t>
  </si>
  <si>
    <t>pan2</t>
  </si>
  <si>
    <t>䀐</t>
  </si>
  <si>
    <t>siam1</t>
  </si>
  <si>
    <t>亞</t>
  </si>
  <si>
    <t>a1</t>
  </si>
  <si>
    <t>京</t>
  </si>
  <si>
    <t>kiann1</t>
  </si>
  <si>
    <t>佬</t>
  </si>
  <si>
    <t>佮</t>
  </si>
  <si>
    <t>佳</t>
  </si>
  <si>
    <t>kai1</t>
  </si>
  <si>
    <t>佻</t>
  </si>
  <si>
    <t>tiau2</t>
  </si>
  <si>
    <t>佼</t>
  </si>
  <si>
    <t>使</t>
  </si>
  <si>
    <t>差使, 使唆; m̄使, 乜使; 使 色水; 使派 , 使 目尾.</t>
  </si>
  <si>
    <t>sai3</t>
  </si>
  <si>
    <t>差使, 天使, 做官 做使, 公使 大臣; 公使館.</t>
  </si>
  <si>
    <t>侃</t>
  </si>
  <si>
    <t>khan2</t>
  </si>
  <si>
    <t>來</t>
  </si>
  <si>
    <t>lai5</t>
  </si>
  <si>
    <t>侍</t>
  </si>
  <si>
    <t>典</t>
  </si>
  <si>
    <t>tian2</t>
  </si>
  <si>
    <t>冽</t>
  </si>
  <si>
    <t>函</t>
  </si>
  <si>
    <t>到</t>
  </si>
  <si>
    <t>tau3</t>
  </si>
  <si>
    <t>kau3</t>
  </si>
  <si>
    <t>匼</t>
  </si>
  <si>
    <t>khap4</t>
  </si>
  <si>
    <t>協</t>
  </si>
  <si>
    <t>hiap8</t>
  </si>
  <si>
    <t>呻</t>
  </si>
  <si>
    <t>tshan1</t>
  </si>
  <si>
    <t>命</t>
  </si>
  <si>
    <t>mia7</t>
  </si>
  <si>
    <t>呾</t>
  </si>
  <si>
    <t>tann3</t>
  </si>
  <si>
    <t>咍</t>
  </si>
  <si>
    <t>hai1</t>
  </si>
  <si>
    <t>咖</t>
  </si>
  <si>
    <t>坦</t>
  </si>
  <si>
    <t>than2</t>
  </si>
  <si>
    <t>坩</t>
  </si>
  <si>
    <t>khann1</t>
  </si>
  <si>
    <t>坪</t>
  </si>
  <si>
    <t>垃</t>
  </si>
  <si>
    <t>lap4</t>
  </si>
  <si>
    <t>奄</t>
  </si>
  <si>
    <t>iam2</t>
  </si>
  <si>
    <t>奅</t>
  </si>
  <si>
    <t>phann7</t>
  </si>
  <si>
    <t>奈</t>
  </si>
  <si>
    <t>ta1</t>
  </si>
  <si>
    <t>妲</t>
  </si>
  <si>
    <t>tat4</t>
  </si>
  <si>
    <t>妾</t>
  </si>
  <si>
    <t>tshiap4</t>
  </si>
  <si>
    <t>姍</t>
  </si>
  <si>
    <t>姒</t>
  </si>
  <si>
    <t>定</t>
  </si>
  <si>
    <t>tiann7</t>
  </si>
  <si>
    <t>屄</t>
  </si>
  <si>
    <t>bai1</t>
  </si>
  <si>
    <t>屆</t>
  </si>
  <si>
    <t>岩</t>
  </si>
  <si>
    <t>na5</t>
  </si>
  <si>
    <t>nga5</t>
  </si>
  <si>
    <t>gam5</t>
  </si>
  <si>
    <t>giam5</t>
  </si>
  <si>
    <t>岱</t>
  </si>
  <si>
    <t>岳</t>
  </si>
  <si>
    <t>gak8</t>
  </si>
  <si>
    <t>岸</t>
  </si>
  <si>
    <t>gan7</t>
  </si>
  <si>
    <t>帕</t>
  </si>
  <si>
    <t>pha3</t>
  </si>
  <si>
    <t>帖</t>
  </si>
  <si>
    <t>thiap4</t>
  </si>
  <si>
    <t>帙</t>
  </si>
  <si>
    <t>tiat8</t>
  </si>
  <si>
    <t>庖</t>
  </si>
  <si>
    <t>店</t>
  </si>
  <si>
    <t>tainn3</t>
  </si>
  <si>
    <t>tiam3</t>
  </si>
  <si>
    <t>延</t>
  </si>
  <si>
    <t>ian5</t>
  </si>
  <si>
    <t>忝</t>
  </si>
  <si>
    <t>thiam2</t>
  </si>
  <si>
    <t>念</t>
  </si>
  <si>
    <t>liam7</t>
  </si>
  <si>
    <t>怕</t>
  </si>
  <si>
    <t>怯</t>
  </si>
  <si>
    <t>khiap4</t>
  </si>
  <si>
    <t>房</t>
  </si>
  <si>
    <t>pang5</t>
  </si>
  <si>
    <t>抨</t>
  </si>
  <si>
    <t>phiann1</t>
  </si>
  <si>
    <t>押</t>
  </si>
  <si>
    <t>ah4</t>
  </si>
  <si>
    <t>ap4</t>
  </si>
  <si>
    <t>拉</t>
  </si>
  <si>
    <t>la1</t>
  </si>
  <si>
    <t>lah4</t>
  </si>
  <si>
    <t>拋</t>
  </si>
  <si>
    <t>pha1</t>
  </si>
  <si>
    <t>phau1</t>
  </si>
  <si>
    <t>拍</t>
  </si>
  <si>
    <t>phah4</t>
  </si>
  <si>
    <t>拗</t>
  </si>
  <si>
    <t>au2</t>
  </si>
  <si>
    <t>auh4</t>
  </si>
  <si>
    <t>拚</t>
  </si>
  <si>
    <t>piann3</t>
  </si>
  <si>
    <t>招</t>
  </si>
  <si>
    <t>tsiau1</t>
  </si>
  <si>
    <t>放</t>
  </si>
  <si>
    <t>pang3</t>
  </si>
  <si>
    <t>於</t>
  </si>
  <si>
    <t>u1</t>
  </si>
  <si>
    <t>u5</t>
  </si>
  <si>
    <t>明</t>
  </si>
  <si>
    <t>杭</t>
  </si>
  <si>
    <t>東</t>
  </si>
  <si>
    <t>杳</t>
  </si>
  <si>
    <t>杷</t>
  </si>
  <si>
    <t>pa5</t>
  </si>
  <si>
    <t>板</t>
  </si>
  <si>
    <t>枋</t>
  </si>
  <si>
    <t>林</t>
  </si>
  <si>
    <t>氓</t>
  </si>
  <si>
    <t>沓</t>
  </si>
  <si>
    <t>tauh8</t>
  </si>
  <si>
    <t>tap8</t>
  </si>
  <si>
    <t>沼</t>
  </si>
  <si>
    <t>tsiau2</t>
  </si>
  <si>
    <t>沾</t>
  </si>
  <si>
    <t>tam1</t>
  </si>
  <si>
    <t>tiam1</t>
  </si>
  <si>
    <t>沿</t>
  </si>
  <si>
    <t>泔</t>
  </si>
  <si>
    <t>am2</t>
  </si>
  <si>
    <t>泡</t>
  </si>
  <si>
    <t>phau3</t>
  </si>
  <si>
    <t>炎</t>
  </si>
  <si>
    <t>iam7</t>
  </si>
  <si>
    <t>炒</t>
  </si>
  <si>
    <t>爸</t>
  </si>
  <si>
    <t>pa7</t>
  </si>
  <si>
    <t>版</t>
  </si>
  <si>
    <t>狗</t>
  </si>
  <si>
    <t>玠</t>
  </si>
  <si>
    <t>疝</t>
  </si>
  <si>
    <t>知</t>
  </si>
  <si>
    <t>矸</t>
  </si>
  <si>
    <t>祀</t>
  </si>
  <si>
    <t>tshai7</t>
  </si>
  <si>
    <t>空</t>
  </si>
  <si>
    <t>肨</t>
  </si>
  <si>
    <t>hang3</t>
  </si>
  <si>
    <t>肩</t>
  </si>
  <si>
    <t>kainn1</t>
  </si>
  <si>
    <t>肴</t>
  </si>
  <si>
    <t>芡</t>
  </si>
  <si>
    <t>芥</t>
  </si>
  <si>
    <t>芫</t>
  </si>
  <si>
    <t>芭</t>
  </si>
  <si>
    <t>芳</t>
  </si>
  <si>
    <t>phang1</t>
  </si>
  <si>
    <t>芽</t>
  </si>
  <si>
    <t>表</t>
  </si>
  <si>
    <t>piau2</t>
  </si>
  <si>
    <t>軋</t>
  </si>
  <si>
    <t>at4</t>
  </si>
  <si>
    <t>迎</t>
  </si>
  <si>
    <t>ngia5</t>
  </si>
  <si>
    <t>邰</t>
  </si>
  <si>
    <t>邵</t>
  </si>
  <si>
    <t>采</t>
  </si>
  <si>
    <t>tshai2</t>
  </si>
  <si>
    <t>阿</t>
  </si>
  <si>
    <t>亭</t>
  </si>
  <si>
    <t>tan5</t>
  </si>
  <si>
    <t>侯</t>
  </si>
  <si>
    <t>hau5</t>
  </si>
  <si>
    <t>便</t>
  </si>
  <si>
    <t>現現, 隨意, 順便, 合宜, 順順, 就是, 沓沓, 辯論.</t>
  </si>
  <si>
    <t>俏</t>
  </si>
  <si>
    <t>tshiau3</t>
  </si>
  <si>
    <t>俠</t>
  </si>
  <si>
    <t>前</t>
  </si>
  <si>
    <t>tsun5</t>
  </si>
  <si>
    <t>前年, 落前年, 就是 指 過去 了 ê 年.</t>
  </si>
  <si>
    <t>剎</t>
  </si>
  <si>
    <t>sat4</t>
  </si>
  <si>
    <t>勉</t>
  </si>
  <si>
    <t>南</t>
  </si>
  <si>
    <t>厚</t>
  </si>
  <si>
    <t>kau6</t>
  </si>
  <si>
    <t>咤</t>
  </si>
  <si>
    <t>ta3</t>
  </si>
  <si>
    <t>咬</t>
  </si>
  <si>
    <t>ka6</t>
  </si>
  <si>
    <t>咯</t>
  </si>
  <si>
    <t>khak8</t>
  </si>
  <si>
    <t>khiak8</t>
  </si>
  <si>
    <t>咱</t>
  </si>
  <si>
    <t>lan2</t>
  </si>
  <si>
    <t>咸</t>
  </si>
  <si>
    <t>咽</t>
  </si>
  <si>
    <t>ian1</t>
  </si>
  <si>
    <t>哀</t>
  </si>
  <si>
    <t>ai1</t>
  </si>
  <si>
    <t>哄</t>
  </si>
  <si>
    <t>hann2</t>
  </si>
  <si>
    <t>hang2</t>
  </si>
  <si>
    <t>哈</t>
  </si>
  <si>
    <t>hah4</t>
  </si>
  <si>
    <t>ha1</t>
  </si>
  <si>
    <t>哉</t>
  </si>
  <si>
    <t>哎</t>
  </si>
  <si>
    <t>垓</t>
  </si>
  <si>
    <t>垢</t>
  </si>
  <si>
    <t>城</t>
  </si>
  <si>
    <t>奏</t>
  </si>
  <si>
    <t>奒</t>
  </si>
  <si>
    <t>姚</t>
  </si>
  <si>
    <t>iau5</t>
  </si>
  <si>
    <t>姣</t>
  </si>
  <si>
    <t>姦</t>
  </si>
  <si>
    <t>kan3</t>
  </si>
  <si>
    <t>孩</t>
  </si>
  <si>
    <t>hai5</t>
  </si>
  <si>
    <t>封</t>
  </si>
  <si>
    <t>屎</t>
  </si>
  <si>
    <t>峇</t>
  </si>
  <si>
    <t>ba7</t>
  </si>
  <si>
    <t>巷</t>
  </si>
  <si>
    <t>hang7</t>
  </si>
  <si>
    <t>彥</t>
  </si>
  <si>
    <t>待</t>
  </si>
  <si>
    <t>thai7</t>
  </si>
  <si>
    <t>後</t>
  </si>
  <si>
    <t>au6</t>
  </si>
  <si>
    <t>hau7</t>
  </si>
  <si>
    <t>怠</t>
  </si>
  <si>
    <t>tai6</t>
  </si>
  <si>
    <t>恬</t>
  </si>
  <si>
    <t>tiam6</t>
  </si>
  <si>
    <t>恰</t>
  </si>
  <si>
    <t>扁</t>
  </si>
  <si>
    <t>pian2</t>
  </si>
  <si>
    <t>拜</t>
  </si>
  <si>
    <t>pai3</t>
  </si>
  <si>
    <t>拹</t>
  </si>
  <si>
    <t>指</t>
  </si>
  <si>
    <t>tsainn2</t>
  </si>
  <si>
    <t>按</t>
  </si>
  <si>
    <t>an2</t>
  </si>
  <si>
    <t>an3</t>
  </si>
  <si>
    <t>挑</t>
  </si>
  <si>
    <t>挓</t>
  </si>
  <si>
    <t>tha3</t>
  </si>
  <si>
    <t>挔</t>
  </si>
  <si>
    <t>hiannh4</t>
  </si>
  <si>
    <t>星</t>
  </si>
  <si>
    <t>零星, 就是 m̄成物 所chhun-ê ê 意思.</t>
  </si>
  <si>
    <t>昨</t>
  </si>
  <si>
    <t>昭</t>
  </si>
  <si>
    <t>曷</t>
  </si>
  <si>
    <t>ah8</t>
  </si>
  <si>
    <t>（替）何必、何須、哪。反問語，表示疑問。 表示強調的語氣。</t>
  </si>
  <si>
    <t>枵</t>
  </si>
  <si>
    <t>架</t>
  </si>
  <si>
    <t>ka3</t>
  </si>
  <si>
    <t>柑</t>
  </si>
  <si>
    <t>染</t>
  </si>
  <si>
    <t>查</t>
  </si>
  <si>
    <t>tsa1</t>
  </si>
  <si>
    <t>tsha5</t>
  </si>
  <si>
    <t>柬</t>
  </si>
  <si>
    <t>kan2</t>
  </si>
  <si>
    <t>柰</t>
  </si>
  <si>
    <t>柱</t>
  </si>
  <si>
    <t>thiau7</t>
  </si>
  <si>
    <t>殄</t>
  </si>
  <si>
    <t>tian6</t>
  </si>
  <si>
    <t>殆</t>
  </si>
  <si>
    <t>毒</t>
  </si>
  <si>
    <t>thau7</t>
  </si>
  <si>
    <t>tak8</t>
  </si>
  <si>
    <t>洪</t>
  </si>
  <si>
    <t>ang5</t>
  </si>
  <si>
    <t>洽</t>
  </si>
  <si>
    <t>kap8</t>
  </si>
  <si>
    <t>派</t>
  </si>
  <si>
    <t>流</t>
  </si>
  <si>
    <t>lau5</t>
  </si>
  <si>
    <t>炮</t>
  </si>
  <si>
    <t>phauh4</t>
  </si>
  <si>
    <t>炸</t>
  </si>
  <si>
    <t>tsa3</t>
  </si>
  <si>
    <t>狡</t>
  </si>
  <si>
    <t>玷</t>
  </si>
  <si>
    <t>珊</t>
  </si>
  <si>
    <t>界</t>
  </si>
  <si>
    <t>皆</t>
  </si>
  <si>
    <t>相</t>
  </si>
  <si>
    <t>盼</t>
  </si>
  <si>
    <t>phan3</t>
  </si>
  <si>
    <t>眈</t>
  </si>
  <si>
    <t>眉</t>
  </si>
  <si>
    <t>bai5</t>
  </si>
  <si>
    <t>看</t>
  </si>
  <si>
    <t>khan3</t>
  </si>
  <si>
    <t>砍</t>
  </si>
  <si>
    <t>研</t>
  </si>
  <si>
    <t>ngai2</t>
  </si>
  <si>
    <t>秒</t>
  </si>
  <si>
    <t>biau2</t>
  </si>
  <si>
    <t>竿</t>
  </si>
  <si>
    <t>紅</t>
  </si>
  <si>
    <t>耍</t>
  </si>
  <si>
    <t>sa2</t>
  </si>
  <si>
    <t>耐</t>
  </si>
  <si>
    <t>胎</t>
  </si>
  <si>
    <t>胛</t>
  </si>
  <si>
    <t>胞</t>
  </si>
  <si>
    <t>苒</t>
  </si>
  <si>
    <t>jiam5</t>
  </si>
  <si>
    <t>苔</t>
  </si>
  <si>
    <t>苗</t>
  </si>
  <si>
    <t>biau5</t>
  </si>
  <si>
    <t>苞</t>
  </si>
  <si>
    <t>若</t>
  </si>
  <si>
    <t>茄</t>
  </si>
  <si>
    <t>茅</t>
  </si>
  <si>
    <t>茆</t>
  </si>
  <si>
    <t>虼</t>
  </si>
  <si>
    <t>衍</t>
  </si>
  <si>
    <t>ian2</t>
  </si>
  <si>
    <t>衫</t>
  </si>
  <si>
    <t>要</t>
  </si>
  <si>
    <t>iau3</t>
  </si>
  <si>
    <t>趴</t>
  </si>
  <si>
    <t>迢</t>
  </si>
  <si>
    <t>迦</t>
  </si>
  <si>
    <t>迨</t>
  </si>
  <si>
    <t>迭</t>
  </si>
  <si>
    <t>郊</t>
  </si>
  <si>
    <t>重</t>
  </si>
  <si>
    <t>tang7</t>
  </si>
  <si>
    <t>降</t>
  </si>
  <si>
    <t>kang5</t>
  </si>
  <si>
    <t>hong5</t>
  </si>
  <si>
    <t>限</t>
  </si>
  <si>
    <t>an6</t>
  </si>
  <si>
    <t>面</t>
  </si>
  <si>
    <t>bian7</t>
  </si>
  <si>
    <t>𢼌</t>
  </si>
  <si>
    <t>𥐵</t>
  </si>
  <si>
    <t>phiat4</t>
  </si>
  <si>
    <t>㾀</t>
  </si>
  <si>
    <t>俳</t>
  </si>
  <si>
    <t>pai1</t>
  </si>
  <si>
    <t>pai5</t>
  </si>
  <si>
    <t>俺</t>
  </si>
  <si>
    <t>候</t>
  </si>
  <si>
    <t>倩</t>
  </si>
  <si>
    <t>tshiann3</t>
  </si>
  <si>
    <t>值</t>
  </si>
  <si>
    <t>tah8</t>
  </si>
  <si>
    <t>兼</t>
  </si>
  <si>
    <t>kiam1</t>
  </si>
  <si>
    <t>凋</t>
  </si>
  <si>
    <t>凍</t>
  </si>
  <si>
    <t>tang3</t>
  </si>
  <si>
    <t>剔</t>
  </si>
  <si>
    <t>thak4</t>
  </si>
  <si>
    <t>剝</t>
  </si>
  <si>
    <t>哨</t>
  </si>
  <si>
    <t>sau3</t>
  </si>
  <si>
    <t>哪</t>
  </si>
  <si>
    <t>哭</t>
  </si>
  <si>
    <t>khau3</t>
  </si>
  <si>
    <t>哮</t>
  </si>
  <si>
    <t>哲</t>
  </si>
  <si>
    <t>tiat4</t>
  </si>
  <si>
    <t>唅</t>
  </si>
  <si>
    <t>hannh4</t>
  </si>
  <si>
    <t>hann5</t>
  </si>
  <si>
    <t>唉</t>
  </si>
  <si>
    <t>埃</t>
  </si>
  <si>
    <t>埋</t>
  </si>
  <si>
    <t>tai5</t>
  </si>
  <si>
    <t>埕</t>
  </si>
  <si>
    <t>tiann5</t>
  </si>
  <si>
    <t>夏</t>
  </si>
  <si>
    <t>娘</t>
  </si>
  <si>
    <t>nia5</t>
  </si>
  <si>
    <t>娜</t>
  </si>
  <si>
    <t>宰</t>
  </si>
  <si>
    <t>tsai2</t>
  </si>
  <si>
    <t>害</t>
  </si>
  <si>
    <t>hai7</t>
  </si>
  <si>
    <t>宴</t>
  </si>
  <si>
    <t>ian3</t>
  </si>
  <si>
    <t>宵</t>
  </si>
  <si>
    <t>siau1</t>
  </si>
  <si>
    <t>家</t>
  </si>
  <si>
    <t>展</t>
  </si>
  <si>
    <t>峭</t>
  </si>
  <si>
    <t>峽</t>
  </si>
  <si>
    <t>崁</t>
  </si>
  <si>
    <t>kham3</t>
  </si>
  <si>
    <t>差</t>
  </si>
  <si>
    <t>tshai1</t>
  </si>
  <si>
    <t>師</t>
  </si>
  <si>
    <t>庭</t>
  </si>
  <si>
    <t>悄</t>
  </si>
  <si>
    <t>tshiau2</t>
  </si>
  <si>
    <t>悅</t>
  </si>
  <si>
    <t>iat8</t>
  </si>
  <si>
    <t>悍</t>
  </si>
  <si>
    <t>拿</t>
  </si>
  <si>
    <t>挨</t>
  </si>
  <si>
    <t>挺</t>
  </si>
  <si>
    <t>thann2</t>
  </si>
  <si>
    <t>挽</t>
  </si>
  <si>
    <t>ban2</t>
  </si>
  <si>
    <t>挾</t>
  </si>
  <si>
    <t>giap4</t>
  </si>
  <si>
    <t>捀</t>
  </si>
  <si>
    <t>捌</t>
  </si>
  <si>
    <t>bat4</t>
  </si>
  <si>
    <t xml:space="preserve"> #异 </t>
  </si>
  <si>
    <t>捍</t>
  </si>
  <si>
    <t>捎</t>
  </si>
  <si>
    <t>sau1</t>
  </si>
  <si>
    <t>捏</t>
  </si>
  <si>
    <t>liap8</t>
  </si>
  <si>
    <t>捐</t>
  </si>
  <si>
    <t>捒</t>
  </si>
  <si>
    <t>sak4</t>
  </si>
  <si>
    <t>捔</t>
  </si>
  <si>
    <t>kak8</t>
  </si>
  <si>
    <t>效</t>
  </si>
  <si>
    <t>料</t>
  </si>
  <si>
    <t>liau7</t>
  </si>
  <si>
    <t>晁</t>
  </si>
  <si>
    <t>晏</t>
  </si>
  <si>
    <t>晟</t>
  </si>
  <si>
    <t>柴</t>
  </si>
  <si>
    <t>tshai5</t>
  </si>
  <si>
    <t>栗</t>
  </si>
  <si>
    <t>校</t>
  </si>
  <si>
    <t>栽</t>
  </si>
  <si>
    <t>案</t>
  </si>
  <si>
    <t>泰</t>
  </si>
  <si>
    <t>海</t>
  </si>
  <si>
    <t>hai2</t>
  </si>
  <si>
    <t>涅</t>
  </si>
  <si>
    <t>liap4</t>
  </si>
  <si>
    <t>水底 烏土, lâ-sâm; 染 烏色, 染色.</t>
  </si>
  <si>
    <t>消</t>
  </si>
  <si>
    <t>涉</t>
  </si>
  <si>
    <t>siap8</t>
  </si>
  <si>
    <t>烈</t>
  </si>
  <si>
    <t>烘</t>
  </si>
  <si>
    <t>hang1</t>
  </si>
  <si>
    <t>狹</t>
  </si>
  <si>
    <t>班</t>
  </si>
  <si>
    <t>留</t>
  </si>
  <si>
    <t>疱</t>
  </si>
  <si>
    <t>pha6</t>
  </si>
  <si>
    <t>疸</t>
  </si>
  <si>
    <t>疼</t>
  </si>
  <si>
    <t>thiann3</t>
  </si>
  <si>
    <t>眠</t>
  </si>
  <si>
    <t>bian5</t>
  </si>
  <si>
    <t>眨</t>
  </si>
  <si>
    <t>砧</t>
  </si>
  <si>
    <t>砲</t>
  </si>
  <si>
    <t>秩</t>
  </si>
  <si>
    <t>窈</t>
  </si>
  <si>
    <t>站</t>
  </si>
  <si>
    <t>tsam6</t>
  </si>
  <si>
    <t>笆</t>
  </si>
  <si>
    <t>笑</t>
  </si>
  <si>
    <t>納</t>
  </si>
  <si>
    <t>lap8</t>
  </si>
  <si>
    <t>紗</t>
  </si>
  <si>
    <t>紡</t>
  </si>
  <si>
    <t>phang2</t>
  </si>
  <si>
    <t>翁</t>
  </si>
  <si>
    <t>耽</t>
  </si>
  <si>
    <t>tann5</t>
  </si>
  <si>
    <t>胭</t>
  </si>
  <si>
    <t>胴</t>
  </si>
  <si>
    <t>胶</t>
  </si>
  <si>
    <t>脅</t>
  </si>
  <si>
    <t>臭</t>
  </si>
  <si>
    <t>tshau3</t>
  </si>
  <si>
    <t>舨</t>
  </si>
  <si>
    <t>航</t>
  </si>
  <si>
    <t>茫</t>
  </si>
  <si>
    <t>茭</t>
  </si>
  <si>
    <t>草</t>
  </si>
  <si>
    <t>荏</t>
  </si>
  <si>
    <t>lam2</t>
  </si>
  <si>
    <t>荔</t>
  </si>
  <si>
    <t>nai7</t>
  </si>
  <si>
    <t>荖</t>
  </si>
  <si>
    <t>蚌</t>
  </si>
  <si>
    <t>pang7</t>
  </si>
  <si>
    <t>蚣</t>
  </si>
  <si>
    <t>蚤</t>
  </si>
  <si>
    <t>蚧</t>
  </si>
  <si>
    <t>豹</t>
  </si>
  <si>
    <t>pa3</t>
  </si>
  <si>
    <t>pau3</t>
  </si>
  <si>
    <t>豺</t>
  </si>
  <si>
    <t>財</t>
  </si>
  <si>
    <t>迵</t>
  </si>
  <si>
    <t>thang3</t>
  </si>
  <si>
    <t>送</t>
  </si>
  <si>
    <t>sang3</t>
  </si>
  <si>
    <t>釗</t>
  </si>
  <si>
    <t>釘</t>
  </si>
  <si>
    <t>針</t>
  </si>
  <si>
    <t>tsam1</t>
  </si>
  <si>
    <t>閃</t>
  </si>
  <si>
    <t>siam2</t>
  </si>
  <si>
    <t>陝</t>
  </si>
  <si>
    <t>馬</t>
  </si>
  <si>
    <t>ma2</t>
  </si>
  <si>
    <t>鬥</t>
  </si>
  <si>
    <t>𣁳</t>
  </si>
  <si>
    <t>䘥</t>
  </si>
  <si>
    <t>乾</t>
  </si>
  <si>
    <t>偃</t>
  </si>
  <si>
    <t>假</t>
  </si>
  <si>
    <t>ka2</t>
  </si>
  <si>
    <t>偏</t>
  </si>
  <si>
    <t>phian1</t>
  </si>
  <si>
    <t>偕</t>
  </si>
  <si>
    <t>健</t>
  </si>
  <si>
    <t>kiann7</t>
  </si>
  <si>
    <t>偷</t>
  </si>
  <si>
    <t>thau1</t>
  </si>
  <si>
    <t>兜</t>
  </si>
  <si>
    <t>tau1</t>
  </si>
  <si>
    <t>冕</t>
  </si>
  <si>
    <t>動</t>
  </si>
  <si>
    <t>tong7</t>
  </si>
  <si>
    <t>勘</t>
  </si>
  <si>
    <t>kham5</t>
  </si>
  <si>
    <t>匾</t>
  </si>
  <si>
    <t>區</t>
  </si>
  <si>
    <t>au1</t>
  </si>
  <si>
    <t>參</t>
  </si>
  <si>
    <t>tsham1</t>
  </si>
  <si>
    <t>唌</t>
  </si>
  <si>
    <t>唸</t>
  </si>
  <si>
    <t>啊</t>
  </si>
  <si>
    <t>a0</t>
  </si>
  <si>
    <t>啖</t>
  </si>
  <si>
    <t>tam6</t>
  </si>
  <si>
    <t>啞</t>
  </si>
  <si>
    <t>啥</t>
  </si>
  <si>
    <t>siann2</t>
  </si>
  <si>
    <t>啦</t>
  </si>
  <si>
    <t>la0</t>
  </si>
  <si>
    <t>lah0</t>
  </si>
  <si>
    <t>啪</t>
  </si>
  <si>
    <t>夠</t>
  </si>
  <si>
    <t>婊</t>
  </si>
  <si>
    <t>婕</t>
  </si>
  <si>
    <t>tsiap8</t>
  </si>
  <si>
    <t>婪</t>
  </si>
  <si>
    <t>密</t>
  </si>
  <si>
    <t>bat8</t>
  </si>
  <si>
    <t>崖</t>
  </si>
  <si>
    <t>gai5</t>
  </si>
  <si>
    <t>崗</t>
  </si>
  <si>
    <t>崩</t>
  </si>
  <si>
    <t>巢</t>
  </si>
  <si>
    <t>tsau5</t>
  </si>
  <si>
    <t>帶</t>
  </si>
  <si>
    <t>tai3</t>
  </si>
  <si>
    <t>庵</t>
  </si>
  <si>
    <t>am1</t>
  </si>
  <si>
    <t>彩</t>
  </si>
  <si>
    <t>徘</t>
  </si>
  <si>
    <t>情</t>
  </si>
  <si>
    <t>捷</t>
  </si>
  <si>
    <t>捺</t>
  </si>
  <si>
    <t>捻</t>
  </si>
  <si>
    <t>liam3</t>
  </si>
  <si>
    <t>掃</t>
  </si>
  <si>
    <t>掉</t>
  </si>
  <si>
    <t>tiau7</t>
  </si>
  <si>
    <t>排</t>
  </si>
  <si>
    <t>掜</t>
  </si>
  <si>
    <t>採</t>
  </si>
  <si>
    <t>探</t>
  </si>
  <si>
    <t>tham3</t>
  </si>
  <si>
    <t>接</t>
  </si>
  <si>
    <t>控</t>
  </si>
  <si>
    <t>khang2</t>
  </si>
  <si>
    <t>掩</t>
  </si>
  <si>
    <t>敗</t>
  </si>
  <si>
    <t>pai7</t>
  </si>
  <si>
    <t>教</t>
  </si>
  <si>
    <t>斬</t>
  </si>
  <si>
    <t>tsann2</t>
  </si>
  <si>
    <t>tsam2</t>
  </si>
  <si>
    <t>晝</t>
  </si>
  <si>
    <t>曼</t>
  </si>
  <si>
    <t>ban7</t>
  </si>
  <si>
    <t>望</t>
  </si>
  <si>
    <t>bang7</t>
  </si>
  <si>
    <t>桶</t>
  </si>
  <si>
    <t>thang2</t>
  </si>
  <si>
    <t>條</t>
  </si>
  <si>
    <t>liau5</t>
  </si>
  <si>
    <t>梟</t>
  </si>
  <si>
    <t>hiau1</t>
  </si>
  <si>
    <t>梢</t>
  </si>
  <si>
    <t>梨</t>
  </si>
  <si>
    <t>械</t>
  </si>
  <si>
    <t>殍</t>
  </si>
  <si>
    <t>piau6</t>
  </si>
  <si>
    <t>殺</t>
  </si>
  <si>
    <t>涯</t>
  </si>
  <si>
    <t>涵</t>
  </si>
  <si>
    <t>ann5</t>
  </si>
  <si>
    <t>am5</t>
  </si>
  <si>
    <t>淀</t>
  </si>
  <si>
    <t>淋</t>
  </si>
  <si>
    <t>淡</t>
  </si>
  <si>
    <t>tann6</t>
  </si>
  <si>
    <t>淵</t>
  </si>
  <si>
    <t>添</t>
  </si>
  <si>
    <t>thiam1</t>
  </si>
  <si>
    <t>焉</t>
  </si>
  <si>
    <t>牽</t>
  </si>
  <si>
    <t>猜</t>
  </si>
  <si>
    <t>瓶</t>
  </si>
  <si>
    <t>pan5</t>
  </si>
  <si>
    <t>甜</t>
  </si>
  <si>
    <t>產</t>
  </si>
  <si>
    <t>san2</t>
  </si>
  <si>
    <t>皎</t>
  </si>
  <si>
    <t>kiau2</t>
  </si>
  <si>
    <t>盒</t>
  </si>
  <si>
    <t>ap8</t>
  </si>
  <si>
    <t>眼</t>
  </si>
  <si>
    <t>ging2</t>
  </si>
  <si>
    <t>龍眼</t>
  </si>
  <si>
    <t>gan2</t>
  </si>
  <si>
    <t>票</t>
  </si>
  <si>
    <t>phiau3</t>
  </si>
  <si>
    <t>窒</t>
  </si>
  <si>
    <t>that4</t>
  </si>
  <si>
    <t>窕</t>
  </si>
  <si>
    <t>thiau2</t>
  </si>
  <si>
    <t>笛</t>
  </si>
  <si>
    <t>tat8</t>
  </si>
  <si>
    <t>粒</t>
  </si>
  <si>
    <t>粘</t>
  </si>
  <si>
    <t>liam5</t>
  </si>
  <si>
    <t>紮</t>
  </si>
  <si>
    <t>紹</t>
  </si>
  <si>
    <t>聊</t>
  </si>
  <si>
    <t>脬</t>
  </si>
  <si>
    <t>脰</t>
  </si>
  <si>
    <t>舵</t>
  </si>
  <si>
    <t>舺</t>
  </si>
  <si>
    <t>莎</t>
  </si>
  <si>
    <t>莧</t>
  </si>
  <si>
    <t>hainn7</t>
  </si>
  <si>
    <t>蚱</t>
  </si>
  <si>
    <t>蚶</t>
  </si>
  <si>
    <t>ham1</t>
  </si>
  <si>
    <t>蛋</t>
  </si>
  <si>
    <t>袈</t>
  </si>
  <si>
    <t>袋</t>
  </si>
  <si>
    <t>袍</t>
  </si>
  <si>
    <t>phau5</t>
  </si>
  <si>
    <t>覓</t>
  </si>
  <si>
    <t>bai7</t>
  </si>
  <si>
    <t>訝</t>
  </si>
  <si>
    <t>ga7</t>
  </si>
  <si>
    <t>nga7</t>
  </si>
  <si>
    <t>貧</t>
  </si>
  <si>
    <t>貪</t>
  </si>
  <si>
    <t>逍</t>
  </si>
  <si>
    <t>透</t>
  </si>
  <si>
    <t>thau3</t>
  </si>
  <si>
    <t>逐</t>
  </si>
  <si>
    <t>通</t>
  </si>
  <si>
    <t>thang1</t>
  </si>
  <si>
    <t>連</t>
  </si>
  <si>
    <t>釣</t>
  </si>
  <si>
    <t>釵</t>
  </si>
  <si>
    <t>陰</t>
  </si>
  <si>
    <t>iam1</t>
  </si>
  <si>
    <t>陳</t>
  </si>
  <si>
    <t>陷</t>
  </si>
  <si>
    <t>ham7</t>
  </si>
  <si>
    <t>鳥</t>
  </si>
  <si>
    <t>niau2</t>
  </si>
  <si>
    <t>麻</t>
  </si>
  <si>
    <t>ba5</t>
  </si>
  <si>
    <t>𤶃</t>
  </si>
  <si>
    <t>thiau5</t>
  </si>
  <si>
    <t>㴙</t>
  </si>
  <si>
    <t>tshap8</t>
  </si>
  <si>
    <t>傀</t>
  </si>
  <si>
    <t>傘</t>
  </si>
  <si>
    <t>凱</t>
  </si>
  <si>
    <t>khai2</t>
  </si>
  <si>
    <t>割</t>
  </si>
  <si>
    <t>kat4</t>
  </si>
  <si>
    <t>喇</t>
  </si>
  <si>
    <t>喉</t>
  </si>
  <si>
    <t>au5</t>
  </si>
  <si>
    <t>喊</t>
  </si>
  <si>
    <t>ham2</t>
  </si>
  <si>
    <t>hiam3</t>
  </si>
  <si>
    <t>喢</t>
  </si>
  <si>
    <t>sannh4</t>
  </si>
  <si>
    <t>喬</t>
  </si>
  <si>
    <t>kiau5</t>
  </si>
  <si>
    <t>單</t>
  </si>
  <si>
    <t>喳</t>
  </si>
  <si>
    <t>喵</t>
  </si>
  <si>
    <t>miau1</t>
  </si>
  <si>
    <t>堪</t>
  </si>
  <si>
    <t>kham1</t>
  </si>
  <si>
    <t>堯</t>
  </si>
  <si>
    <t>giau5</t>
  </si>
  <si>
    <t>奠</t>
  </si>
  <si>
    <t>婿</t>
  </si>
  <si>
    <t>媌</t>
  </si>
  <si>
    <t>孱</t>
  </si>
  <si>
    <t>寒</t>
  </si>
  <si>
    <t>嵌</t>
  </si>
  <si>
    <t>khann2</t>
  </si>
  <si>
    <t>嵐</t>
  </si>
  <si>
    <t>幄</t>
  </si>
  <si>
    <t>幅</t>
  </si>
  <si>
    <t>惶</t>
  </si>
  <si>
    <t>hiann5</t>
  </si>
  <si>
    <t>愜</t>
  </si>
  <si>
    <t>慨</t>
  </si>
  <si>
    <t>khai3</t>
  </si>
  <si>
    <t>揀</t>
  </si>
  <si>
    <t>kainn2</t>
  </si>
  <si>
    <t>揌</t>
  </si>
  <si>
    <t>描</t>
  </si>
  <si>
    <t>插</t>
  </si>
  <si>
    <t>tshah4</t>
  </si>
  <si>
    <t>tshap4</t>
  </si>
  <si>
    <t>揜</t>
  </si>
  <si>
    <t>iap4</t>
  </si>
  <si>
    <t>揞</t>
  </si>
  <si>
    <t>揠</t>
  </si>
  <si>
    <t>握</t>
  </si>
  <si>
    <t>揲</t>
  </si>
  <si>
    <t>tiap8</t>
  </si>
  <si>
    <t>摒</t>
  </si>
  <si>
    <t>敢</t>
  </si>
  <si>
    <t>kam2</t>
  </si>
  <si>
    <t>kiam2</t>
  </si>
  <si>
    <t xml:space="preserve">异 </t>
  </si>
  <si>
    <t>散</t>
  </si>
  <si>
    <t>敨</t>
  </si>
  <si>
    <t>thau2</t>
  </si>
  <si>
    <t>斑</t>
  </si>
  <si>
    <t>曾</t>
  </si>
  <si>
    <t>tsan1</t>
  </si>
  <si>
    <t>朝</t>
  </si>
  <si>
    <t>棉</t>
  </si>
  <si>
    <t>棑</t>
  </si>
  <si>
    <t>棒</t>
  </si>
  <si>
    <t>pang6</t>
  </si>
  <si>
    <t>棕</t>
  </si>
  <si>
    <t>tsang1</t>
  </si>
  <si>
    <t>棧</t>
  </si>
  <si>
    <t>tsan3</t>
  </si>
  <si>
    <t>棹</t>
  </si>
  <si>
    <t>tsau7</t>
  </si>
  <si>
    <t>椒</t>
  </si>
  <si>
    <t>殘</t>
  </si>
  <si>
    <t>tsan5</t>
  </si>
  <si>
    <t>殼</t>
  </si>
  <si>
    <t>khak4</t>
  </si>
  <si>
    <t>毯</t>
  </si>
  <si>
    <t>淼</t>
  </si>
  <si>
    <t>減</t>
  </si>
  <si>
    <t>渥</t>
  </si>
  <si>
    <t>港</t>
  </si>
  <si>
    <t>kang2</t>
  </si>
  <si>
    <t>渴</t>
  </si>
  <si>
    <t>渺</t>
  </si>
  <si>
    <t>湃</t>
  </si>
  <si>
    <t>湛</t>
  </si>
  <si>
    <t>湳</t>
  </si>
  <si>
    <t>lam3</t>
  </si>
  <si>
    <t>溉</t>
  </si>
  <si>
    <t>焦</t>
  </si>
  <si>
    <t>焰</t>
  </si>
  <si>
    <t>焱</t>
  </si>
  <si>
    <t>牌</t>
  </si>
  <si>
    <t>犀</t>
  </si>
  <si>
    <t>犅</t>
  </si>
  <si>
    <t>猴</t>
  </si>
  <si>
    <t>kau5</t>
  </si>
  <si>
    <t>猶</t>
  </si>
  <si>
    <t>琰</t>
  </si>
  <si>
    <t>琶</t>
  </si>
  <si>
    <t>痘</t>
  </si>
  <si>
    <t>痛</t>
  </si>
  <si>
    <t>痛到 入骨, 疼痛, 疼惜, 相疼; 生痛.</t>
  </si>
  <si>
    <t>痟</t>
  </si>
  <si>
    <t>硝</t>
  </si>
  <si>
    <t>稈</t>
  </si>
  <si>
    <t>程</t>
  </si>
  <si>
    <t>thiann5</t>
  </si>
  <si>
    <t>稍</t>
  </si>
  <si>
    <t>窖</t>
  </si>
  <si>
    <t>窗</t>
  </si>
  <si>
    <t>童</t>
  </si>
  <si>
    <t>筅</t>
  </si>
  <si>
    <t>tshainn2</t>
  </si>
  <si>
    <t>等</t>
  </si>
  <si>
    <t>tan2</t>
  </si>
  <si>
    <t>筊</t>
  </si>
  <si>
    <t>筒</t>
  </si>
  <si>
    <t>答</t>
  </si>
  <si>
    <t>tah4</t>
  </si>
  <si>
    <t>tap4</t>
  </si>
  <si>
    <t>結</t>
  </si>
  <si>
    <t>絚</t>
  </si>
  <si>
    <t>an5</t>
  </si>
  <si>
    <t>絞</t>
  </si>
  <si>
    <t>絳</t>
  </si>
  <si>
    <t>kang3</t>
  </si>
  <si>
    <t>翕</t>
  </si>
  <si>
    <t>hap4</t>
  </si>
  <si>
    <t>耋</t>
  </si>
  <si>
    <t>腆</t>
  </si>
  <si>
    <t>thian2</t>
  </si>
  <si>
    <t>腌</t>
  </si>
  <si>
    <t>菊</t>
  </si>
  <si>
    <t>kik4</t>
  </si>
  <si>
    <t>菜</t>
  </si>
  <si>
    <t>tshai3</t>
  </si>
  <si>
    <t>萊</t>
  </si>
  <si>
    <t>著</t>
  </si>
  <si>
    <t>tio0</t>
  </si>
  <si>
    <t>tio2</t>
  </si>
  <si>
    <t>蛟</t>
  </si>
  <si>
    <t>蛤</t>
  </si>
  <si>
    <t>裁</t>
  </si>
  <si>
    <t>裂</t>
  </si>
  <si>
    <t>覃</t>
  </si>
  <si>
    <t>tham5</t>
  </si>
  <si>
    <t>詐</t>
  </si>
  <si>
    <t>詔</t>
  </si>
  <si>
    <t>tsiau3</t>
  </si>
  <si>
    <t>貂</t>
  </si>
  <si>
    <t>貶</t>
  </si>
  <si>
    <t>貸</t>
  </si>
  <si>
    <t>貺</t>
  </si>
  <si>
    <t>貼</t>
  </si>
  <si>
    <t>貿</t>
  </si>
  <si>
    <t>bau7</t>
  </si>
  <si>
    <t>bauh8</t>
  </si>
  <si>
    <t>趁</t>
  </si>
  <si>
    <t>than3</t>
  </si>
  <si>
    <t>超</t>
  </si>
  <si>
    <t>tshiau1</t>
  </si>
  <si>
    <t>跌</t>
  </si>
  <si>
    <t>跑</t>
  </si>
  <si>
    <t>phau2</t>
  </si>
  <si>
    <t>跚</t>
  </si>
  <si>
    <t>跛</t>
  </si>
  <si>
    <t>pai2</t>
  </si>
  <si>
    <t>逮</t>
  </si>
  <si>
    <t>酣</t>
  </si>
  <si>
    <t>鈐</t>
  </si>
  <si>
    <t>khiam5</t>
  </si>
  <si>
    <t>鈔</t>
  </si>
  <si>
    <t>開</t>
  </si>
  <si>
    <t>khai1</t>
  </si>
  <si>
    <t>閐</t>
  </si>
  <si>
    <t>閑</t>
  </si>
  <si>
    <t>閒</t>
  </si>
  <si>
    <t>ainn5</t>
  </si>
  <si>
    <t>間</t>
  </si>
  <si>
    <t>king1</t>
  </si>
  <si>
    <t>(1)房間。 (2)算厝或房間ê助數詞。 (3)店。</t>
  </si>
  <si>
    <t>間隔，期間，關係。</t>
  </si>
  <si>
    <t>分開, 隔斷, 遠遠; 空縫; 輪流; 相送, 病好.</t>
  </si>
  <si>
    <t>階</t>
  </si>
  <si>
    <t>雁</t>
  </si>
  <si>
    <t>雅</t>
  </si>
  <si>
    <t>nga2</t>
  </si>
  <si>
    <t>項</t>
  </si>
  <si>
    <t>hang6</t>
  </si>
  <si>
    <t>頇</t>
  </si>
  <si>
    <t>han1</t>
  </si>
  <si>
    <t>馮</t>
  </si>
  <si>
    <t>㝥</t>
  </si>
  <si>
    <t>bai2</t>
  </si>
  <si>
    <t>債</t>
  </si>
  <si>
    <t>剾</t>
  </si>
  <si>
    <t>khau1</t>
  </si>
  <si>
    <t>剿</t>
  </si>
  <si>
    <t>嗄</t>
  </si>
  <si>
    <t>sa3</t>
  </si>
  <si>
    <t>嗑</t>
  </si>
  <si>
    <t>嗕</t>
  </si>
  <si>
    <t>nauh4</t>
  </si>
  <si>
    <t>嗨</t>
  </si>
  <si>
    <t>塌</t>
  </si>
  <si>
    <t>thap4</t>
  </si>
  <si>
    <t>塔</t>
  </si>
  <si>
    <t>thah4</t>
  </si>
  <si>
    <t>塞</t>
  </si>
  <si>
    <t>交界 ê 所在; 曠野; 搬戲 ê 器具; 字姓.</t>
  </si>
  <si>
    <t>窒密, 窒斷, 窒密去, 塞路, 塞空, 補塞, 塞額.</t>
  </si>
  <si>
    <t>填</t>
  </si>
  <si>
    <t>thiam7</t>
  </si>
  <si>
    <t>媽</t>
  </si>
  <si>
    <t>ma5</t>
  </si>
  <si>
    <t>嫁</t>
  </si>
  <si>
    <t>嫌</t>
  </si>
  <si>
    <t>hiam5</t>
  </si>
  <si>
    <t>寘</t>
  </si>
  <si>
    <t>幹</t>
  </si>
  <si>
    <t>kann3</t>
  </si>
  <si>
    <t>廈</t>
  </si>
  <si>
    <t>ha6</t>
  </si>
  <si>
    <t>廉</t>
  </si>
  <si>
    <t>愛</t>
  </si>
  <si>
    <t>ai3</t>
  </si>
  <si>
    <t>感</t>
  </si>
  <si>
    <t>愷</t>
  </si>
  <si>
    <t>愾</t>
  </si>
  <si>
    <t>慄</t>
  </si>
  <si>
    <t>搖</t>
  </si>
  <si>
    <t>搜</t>
  </si>
  <si>
    <t>搦</t>
  </si>
  <si>
    <t>搭</t>
  </si>
  <si>
    <t>暇</t>
  </si>
  <si>
    <t>暗</t>
  </si>
  <si>
    <t>am3</t>
  </si>
  <si>
    <t>楂</t>
  </si>
  <si>
    <t>楝</t>
  </si>
  <si>
    <t>lian7</t>
  </si>
  <si>
    <t>楠</t>
  </si>
  <si>
    <t>楣</t>
  </si>
  <si>
    <t>業</t>
  </si>
  <si>
    <t>giap8</t>
  </si>
  <si>
    <t>楷</t>
  </si>
  <si>
    <t>概</t>
  </si>
  <si>
    <t>歁</t>
  </si>
  <si>
    <t>殿</t>
  </si>
  <si>
    <t>溝</t>
  </si>
  <si>
    <t>滅</t>
  </si>
  <si>
    <t>biat8</t>
  </si>
  <si>
    <t>滇</t>
  </si>
  <si>
    <t>tian1</t>
  </si>
  <si>
    <t>滓</t>
  </si>
  <si>
    <t>煉</t>
  </si>
  <si>
    <t>煙</t>
  </si>
  <si>
    <t>煞</t>
  </si>
  <si>
    <t>煠</t>
  </si>
  <si>
    <t>sah8</t>
  </si>
  <si>
    <t>照</t>
  </si>
  <si>
    <t>牒</t>
  </si>
  <si>
    <t>獅</t>
  </si>
  <si>
    <t>瑕</t>
  </si>
  <si>
    <t>ha5</t>
  </si>
  <si>
    <t>當</t>
  </si>
  <si>
    <t>痰</t>
  </si>
  <si>
    <t>盞</t>
  </si>
  <si>
    <t>tsan2</t>
  </si>
  <si>
    <t>睞</t>
  </si>
  <si>
    <t>睫</t>
  </si>
  <si>
    <t>矮</t>
  </si>
  <si>
    <t>ai2</t>
  </si>
  <si>
    <t>碇</t>
  </si>
  <si>
    <t>tiann3</t>
  </si>
  <si>
    <t>碡</t>
  </si>
  <si>
    <t>筧</t>
  </si>
  <si>
    <t>節</t>
  </si>
  <si>
    <t>綁</t>
  </si>
  <si>
    <t>pang2</t>
  </si>
  <si>
    <t>罨</t>
  </si>
  <si>
    <t>罩</t>
  </si>
  <si>
    <t>聖</t>
  </si>
  <si>
    <t>siann3</t>
  </si>
  <si>
    <t>腦</t>
  </si>
  <si>
    <t>nau2</t>
  </si>
  <si>
    <t>腩</t>
  </si>
  <si>
    <t>腰</t>
  </si>
  <si>
    <t>腹</t>
  </si>
  <si>
    <t>萬</t>
  </si>
  <si>
    <t>落</t>
  </si>
  <si>
    <t>lauh8</t>
  </si>
  <si>
    <t>lak4</t>
  </si>
  <si>
    <t>葉</t>
  </si>
  <si>
    <t>iap8</t>
  </si>
  <si>
    <t>葛</t>
  </si>
  <si>
    <t>董</t>
  </si>
  <si>
    <t>tang2</t>
  </si>
  <si>
    <t>葩</t>
  </si>
  <si>
    <t>葭</t>
  </si>
  <si>
    <t>蜂</t>
  </si>
  <si>
    <t>蜊</t>
  </si>
  <si>
    <t>la5</t>
  </si>
  <si>
    <t>衙</t>
  </si>
  <si>
    <t>解</t>
  </si>
  <si>
    <t>詫</t>
  </si>
  <si>
    <t>該</t>
  </si>
  <si>
    <t>誠</t>
  </si>
  <si>
    <t>賈</t>
  </si>
  <si>
    <t>賊</t>
  </si>
  <si>
    <t>tsat8</t>
  </si>
  <si>
    <t>tshat8</t>
  </si>
  <si>
    <t>跤</t>
  </si>
  <si>
    <t>跳</t>
  </si>
  <si>
    <t>thiau3</t>
  </si>
  <si>
    <t>較</t>
  </si>
  <si>
    <t>載</t>
  </si>
  <si>
    <t>遍</t>
  </si>
  <si>
    <t>遏</t>
  </si>
  <si>
    <t>達</t>
  </si>
  <si>
    <t>鈿</t>
  </si>
  <si>
    <t>鉀</t>
  </si>
  <si>
    <t>鉎</t>
  </si>
  <si>
    <t>鉗</t>
  </si>
  <si>
    <t>鉛</t>
  </si>
  <si>
    <t>鉤</t>
  </si>
  <si>
    <t>閘</t>
  </si>
  <si>
    <t>tsah8</t>
  </si>
  <si>
    <t>隘</t>
  </si>
  <si>
    <t>零</t>
  </si>
  <si>
    <t>lan5</t>
  </si>
  <si>
    <t>電</t>
  </si>
  <si>
    <t>頒</t>
  </si>
  <si>
    <t>飽</t>
  </si>
  <si>
    <t>pau2</t>
  </si>
  <si>
    <t>鼎</t>
  </si>
  <si>
    <t>tiann2</t>
  </si>
  <si>
    <t>𠢕</t>
  </si>
  <si>
    <t>㾪</t>
  </si>
  <si>
    <t>䈄</t>
  </si>
  <si>
    <t>僑</t>
  </si>
  <si>
    <t>僚</t>
  </si>
  <si>
    <t>僥</t>
  </si>
  <si>
    <t>僭</t>
  </si>
  <si>
    <t>tshiam3</t>
  </si>
  <si>
    <t>厭</t>
  </si>
  <si>
    <t>iam3</t>
  </si>
  <si>
    <t>嗽</t>
  </si>
  <si>
    <t>嗾</t>
  </si>
  <si>
    <t>tsak8</t>
  </si>
  <si>
    <t>嘆</t>
  </si>
  <si>
    <t>嘈</t>
  </si>
  <si>
    <t>tshauh8</t>
  </si>
  <si>
    <t>嘉</t>
  </si>
  <si>
    <t>嘐</t>
  </si>
  <si>
    <t>hau1</t>
  </si>
  <si>
    <t>嘔</t>
  </si>
  <si>
    <t>嘛</t>
  </si>
  <si>
    <t>ma0</t>
  </si>
  <si>
    <t>ma6</t>
  </si>
  <si>
    <t>塹</t>
  </si>
  <si>
    <t>墊</t>
  </si>
  <si>
    <t>tiam7</t>
  </si>
  <si>
    <t>夢</t>
  </si>
  <si>
    <t>嫖</t>
  </si>
  <si>
    <t>phiau5</t>
  </si>
  <si>
    <t>嫚</t>
  </si>
  <si>
    <t>嫣</t>
  </si>
  <si>
    <t>察</t>
  </si>
  <si>
    <t>tshat4</t>
  </si>
  <si>
    <t>實</t>
  </si>
  <si>
    <t>寨</t>
  </si>
  <si>
    <t>嶄</t>
  </si>
  <si>
    <t>廖</t>
  </si>
  <si>
    <t>徹</t>
  </si>
  <si>
    <t>thiat4</t>
  </si>
  <si>
    <t>態</t>
  </si>
  <si>
    <t>慘</t>
  </si>
  <si>
    <t>tsham2</t>
  </si>
  <si>
    <t>慚</t>
  </si>
  <si>
    <t>tsham5</t>
  </si>
  <si>
    <t>慢</t>
  </si>
  <si>
    <t>摠</t>
  </si>
  <si>
    <t>tsang2</t>
  </si>
  <si>
    <t>摻</t>
  </si>
  <si>
    <t>撇</t>
  </si>
  <si>
    <t>phiat8</t>
  </si>
  <si>
    <t>撤</t>
  </si>
  <si>
    <t>敲</t>
  </si>
  <si>
    <t>kha3</t>
  </si>
  <si>
    <t>榨</t>
  </si>
  <si>
    <t>榻</t>
  </si>
  <si>
    <t>歉</t>
  </si>
  <si>
    <t>khiam2</t>
  </si>
  <si>
    <t>滲</t>
  </si>
  <si>
    <t>siam3</t>
  </si>
  <si>
    <t>漂</t>
  </si>
  <si>
    <t>phiau1</t>
  </si>
  <si>
    <t>漆</t>
  </si>
  <si>
    <t>漏</t>
  </si>
  <si>
    <t>lau7</t>
  </si>
  <si>
    <t>演</t>
  </si>
  <si>
    <t>漖</t>
  </si>
  <si>
    <t>漚</t>
  </si>
  <si>
    <t>au3</t>
  </si>
  <si>
    <t>漢</t>
  </si>
  <si>
    <t>han3</t>
  </si>
  <si>
    <t>漣</t>
  </si>
  <si>
    <t>漫</t>
  </si>
  <si>
    <t>漸</t>
  </si>
  <si>
    <t>tsiam6</t>
  </si>
  <si>
    <t>澈</t>
  </si>
  <si>
    <t>熁</t>
  </si>
  <si>
    <t>爾</t>
  </si>
  <si>
    <t>nia7</t>
  </si>
  <si>
    <t>獃</t>
  </si>
  <si>
    <t>獄</t>
  </si>
  <si>
    <t>瑤</t>
  </si>
  <si>
    <t>瑪</t>
  </si>
  <si>
    <t>監</t>
  </si>
  <si>
    <t>kann1</t>
  </si>
  <si>
    <t>kam3</t>
  </si>
  <si>
    <t>睰</t>
  </si>
  <si>
    <t>niah4</t>
  </si>
  <si>
    <t>碟</t>
  </si>
  <si>
    <t>筵</t>
  </si>
  <si>
    <t>粽</t>
  </si>
  <si>
    <t>tsang3</t>
  </si>
  <si>
    <t>精</t>
  </si>
  <si>
    <t>網</t>
  </si>
  <si>
    <t>bang6</t>
  </si>
  <si>
    <t>綵</t>
  </si>
  <si>
    <t>綻</t>
  </si>
  <si>
    <t>綿</t>
  </si>
  <si>
    <t>肇</t>
  </si>
  <si>
    <t>膋</t>
  </si>
  <si>
    <t>臺</t>
  </si>
  <si>
    <t>艋</t>
  </si>
  <si>
    <t>bang2</t>
  </si>
  <si>
    <t>蓋</t>
  </si>
  <si>
    <t>用 草 khàm 厝頂; thang 遮日 雨; 遮掩, 罩密, 庇佑.</t>
  </si>
  <si>
    <t>蜒</t>
  </si>
  <si>
    <t>裱</t>
  </si>
  <si>
    <t>誡</t>
  </si>
  <si>
    <t>貌</t>
  </si>
  <si>
    <t>mau7</t>
  </si>
  <si>
    <t>趕</t>
  </si>
  <si>
    <t>趙</t>
  </si>
  <si>
    <t>輒</t>
  </si>
  <si>
    <t>tiap4</t>
  </si>
  <si>
    <t>辣</t>
  </si>
  <si>
    <t>遙</t>
  </si>
  <si>
    <t>酵</t>
  </si>
  <si>
    <t>鉸</t>
  </si>
  <si>
    <t>鉼</t>
  </si>
  <si>
    <t>phiann2</t>
  </si>
  <si>
    <t>銅</t>
  </si>
  <si>
    <t>閩</t>
  </si>
  <si>
    <t>ban5</t>
  </si>
  <si>
    <t>靼</t>
  </si>
  <si>
    <t>韶</t>
  </si>
  <si>
    <t>siau5</t>
  </si>
  <si>
    <t>頕</t>
  </si>
  <si>
    <t>tam3</t>
  </si>
  <si>
    <t>領</t>
  </si>
  <si>
    <t>nia2</t>
  </si>
  <si>
    <t>颯</t>
  </si>
  <si>
    <t>颱</t>
  </si>
  <si>
    <t>餃</t>
  </si>
  <si>
    <t>餅</t>
  </si>
  <si>
    <t>駁</t>
  </si>
  <si>
    <t>骰</t>
  </si>
  <si>
    <t>骱</t>
  </si>
  <si>
    <t>鳶</t>
  </si>
  <si>
    <t>𧌄</t>
  </si>
  <si>
    <t>㨻</t>
  </si>
  <si>
    <t>tsann7</t>
  </si>
  <si>
    <t>價</t>
  </si>
  <si>
    <t>儂</t>
  </si>
  <si>
    <t>lang5</t>
  </si>
  <si>
    <t>儉</t>
  </si>
  <si>
    <t>khiam6</t>
  </si>
  <si>
    <t>劉</t>
  </si>
  <si>
    <t>劍</t>
  </si>
  <si>
    <t>kiam3</t>
  </si>
  <si>
    <t>勰</t>
  </si>
  <si>
    <t>嘯</t>
  </si>
  <si>
    <t>嘹</t>
  </si>
  <si>
    <t>噎</t>
  </si>
  <si>
    <t>iat4</t>
  </si>
  <si>
    <t>墨</t>
  </si>
  <si>
    <t>嫻</t>
  </si>
  <si>
    <t>嬈</t>
  </si>
  <si>
    <t>hiau5</t>
  </si>
  <si>
    <t>jiau5</t>
  </si>
  <si>
    <t>嬌</t>
  </si>
  <si>
    <t>寮</t>
  </si>
  <si>
    <t>層</t>
  </si>
  <si>
    <t>屧</t>
  </si>
  <si>
    <t>嶕</t>
  </si>
  <si>
    <t>tsiau5</t>
  </si>
  <si>
    <t>廟</t>
  </si>
  <si>
    <t>彈</t>
  </si>
  <si>
    <t>tan6</t>
  </si>
  <si>
    <t>影</t>
  </si>
  <si>
    <t>iann2</t>
  </si>
  <si>
    <t>憋</t>
  </si>
  <si>
    <t>piat4</t>
  </si>
  <si>
    <t>憐</t>
  </si>
  <si>
    <t>憔</t>
  </si>
  <si>
    <t>憚</t>
  </si>
  <si>
    <t>撒</t>
  </si>
  <si>
    <t>撚</t>
  </si>
  <si>
    <t>lian2</t>
  </si>
  <si>
    <t>撟</t>
  </si>
  <si>
    <t>kiau6</t>
  </si>
  <si>
    <t>撨</t>
  </si>
  <si>
    <t>tshiau5</t>
  </si>
  <si>
    <t>tshau5</t>
  </si>
  <si>
    <t>撩</t>
  </si>
  <si>
    <t>數</t>
  </si>
  <si>
    <t>數額, 數簿, 數目, 數條; 數櫃, 管數; 好 腳數.</t>
  </si>
  <si>
    <t>暫</t>
  </si>
  <si>
    <t>tsiam7</t>
  </si>
  <si>
    <t>樂</t>
  </si>
  <si>
    <t>gau7</t>
  </si>
  <si>
    <t>ngau7</t>
  </si>
  <si>
    <t>樂 宴樂, 意愛, hàuⁿ, 樂 燒酒.</t>
  </si>
  <si>
    <t>樊</t>
  </si>
  <si>
    <t>樓</t>
  </si>
  <si>
    <t>標</t>
  </si>
  <si>
    <t>piau1</t>
  </si>
  <si>
    <t>歐</t>
  </si>
  <si>
    <t>潛</t>
  </si>
  <si>
    <t>tsiam5</t>
  </si>
  <si>
    <t>tshiam5</t>
  </si>
  <si>
    <t>潭</t>
  </si>
  <si>
    <t>潮</t>
  </si>
  <si>
    <t>潲</t>
  </si>
  <si>
    <t>潺</t>
  </si>
  <si>
    <t>澗</t>
  </si>
  <si>
    <t>熥</t>
  </si>
  <si>
    <t>獠</t>
  </si>
  <si>
    <t>皚</t>
  </si>
  <si>
    <t>皺</t>
  </si>
  <si>
    <t>確</t>
  </si>
  <si>
    <t>碼</t>
  </si>
  <si>
    <t>碾</t>
  </si>
  <si>
    <t>磕</t>
  </si>
  <si>
    <t>khap8</t>
  </si>
  <si>
    <t>稼</t>
  </si>
  <si>
    <t>箬</t>
  </si>
  <si>
    <t>範</t>
  </si>
  <si>
    <t>篇</t>
  </si>
  <si>
    <t>緘</t>
  </si>
  <si>
    <t>緣</t>
  </si>
  <si>
    <t>鑲袞, 袞條; 相接, 因為, 順趁, 順路, 緣故, 姻緣.</t>
  </si>
  <si>
    <t>編</t>
  </si>
  <si>
    <t>pian1</t>
  </si>
  <si>
    <t>緬</t>
  </si>
  <si>
    <t>練</t>
  </si>
  <si>
    <t>罵</t>
  </si>
  <si>
    <t>ma7</t>
  </si>
  <si>
    <t>罷</t>
  </si>
  <si>
    <t>pa6</t>
  </si>
  <si>
    <t>翩</t>
  </si>
  <si>
    <t>膘</t>
  </si>
  <si>
    <t>膠</t>
  </si>
  <si>
    <t>蓮</t>
  </si>
  <si>
    <t>nai5</t>
  </si>
  <si>
    <t>蓼</t>
  </si>
  <si>
    <t>蔑</t>
  </si>
  <si>
    <t>蔓</t>
  </si>
  <si>
    <t>蔔</t>
  </si>
  <si>
    <t>pak8</t>
  </si>
  <si>
    <t>蔡</t>
  </si>
  <si>
    <t>蔥</t>
  </si>
  <si>
    <t>tshang1</t>
  </si>
  <si>
    <t>蝙</t>
  </si>
  <si>
    <t>蝦</t>
  </si>
  <si>
    <t>蝨</t>
  </si>
  <si>
    <t>蝶</t>
  </si>
  <si>
    <t>誕</t>
  </si>
  <si>
    <t>調</t>
  </si>
  <si>
    <t>諂</t>
  </si>
  <si>
    <t>談</t>
  </si>
  <si>
    <t>tam5</t>
  </si>
  <si>
    <t>請</t>
  </si>
  <si>
    <t>諸</t>
  </si>
  <si>
    <t>tsu1</t>
  </si>
  <si>
    <t>踏</t>
  </si>
  <si>
    <t>踢</t>
  </si>
  <si>
    <t>踩</t>
  </si>
  <si>
    <t>踮</t>
  </si>
  <si>
    <t>輦</t>
  </si>
  <si>
    <t>輪</t>
  </si>
  <si>
    <t>1931 臺日新辭書</t>
  </si>
  <si>
    <t>醃</t>
  </si>
  <si>
    <t>銷</t>
  </si>
  <si>
    <t>鋏</t>
  </si>
  <si>
    <t>閬</t>
  </si>
  <si>
    <t>lang3</t>
  </si>
  <si>
    <t>閱</t>
  </si>
  <si>
    <t>霄</t>
  </si>
  <si>
    <t>霆</t>
  </si>
  <si>
    <t>霈</t>
  </si>
  <si>
    <t>鞋</t>
  </si>
  <si>
    <t>鞍</t>
  </si>
  <si>
    <t>頦</t>
  </si>
  <si>
    <t>駕</t>
  </si>
  <si>
    <t>駛</t>
  </si>
  <si>
    <t>髫</t>
  </si>
  <si>
    <t>髯</t>
  </si>
  <si>
    <t>鬧</t>
  </si>
  <si>
    <t>la7</t>
  </si>
  <si>
    <t>nau7</t>
  </si>
  <si>
    <t>魴</t>
  </si>
  <si>
    <t>鴉</t>
  </si>
  <si>
    <t>𡢃</t>
  </si>
  <si>
    <t>𡳞</t>
  </si>
  <si>
    <t>lan6</t>
  </si>
  <si>
    <t>𩛩</t>
  </si>
  <si>
    <t>kauh4</t>
  </si>
  <si>
    <t>儑</t>
  </si>
  <si>
    <t>gam6</t>
  </si>
  <si>
    <t>儕</t>
  </si>
  <si>
    <t>凝</t>
  </si>
  <si>
    <t>gan5</t>
  </si>
  <si>
    <t>噭</t>
  </si>
  <si>
    <t>噶</t>
  </si>
  <si>
    <t>噹</t>
  </si>
  <si>
    <t>墼</t>
  </si>
  <si>
    <t>壇</t>
  </si>
  <si>
    <t>嬡</t>
  </si>
  <si>
    <t>學</t>
  </si>
  <si>
    <t>hak8</t>
  </si>
  <si>
    <t>憨</t>
  </si>
  <si>
    <t>憾</t>
  </si>
  <si>
    <t>懈</t>
  </si>
  <si>
    <t>貧惰, 無 致意, 慢慢, 懶惰; 拖喋.</t>
  </si>
  <si>
    <t>懊</t>
  </si>
  <si>
    <t>撼</t>
  </si>
  <si>
    <t>操</t>
  </si>
  <si>
    <t>擔</t>
  </si>
  <si>
    <t>擛</t>
  </si>
  <si>
    <t>曄</t>
  </si>
  <si>
    <t>曆</t>
  </si>
  <si>
    <t>lah8</t>
  </si>
  <si>
    <t>曉</t>
  </si>
  <si>
    <t>hiau2</t>
  </si>
  <si>
    <t>樵</t>
  </si>
  <si>
    <t>橂</t>
  </si>
  <si>
    <t>tainn7</t>
  </si>
  <si>
    <t>橄</t>
  </si>
  <si>
    <t>橇</t>
  </si>
  <si>
    <t>橋</t>
  </si>
  <si>
    <t>橙</t>
  </si>
  <si>
    <t>tshiang5</t>
  </si>
  <si>
    <t>siam5</t>
  </si>
  <si>
    <t xml:space="preserve"> #懒 </t>
  </si>
  <si>
    <t>氅</t>
  </si>
  <si>
    <t>tshang2</t>
  </si>
  <si>
    <t>澱</t>
  </si>
  <si>
    <t>澹</t>
  </si>
  <si>
    <t>濁</t>
  </si>
  <si>
    <t>濂</t>
  </si>
  <si>
    <t>燁</t>
  </si>
  <si>
    <t>燃</t>
  </si>
  <si>
    <t>燄</t>
  </si>
  <si>
    <t>燒</t>
  </si>
  <si>
    <t>燕</t>
  </si>
  <si>
    <t>獨</t>
  </si>
  <si>
    <t>甌</t>
  </si>
  <si>
    <t>瞥</t>
  </si>
  <si>
    <t>磟</t>
  </si>
  <si>
    <t>窵</t>
  </si>
  <si>
    <t>篤</t>
  </si>
  <si>
    <t>tauh4</t>
  </si>
  <si>
    <t>篩</t>
  </si>
  <si>
    <t>縖</t>
  </si>
  <si>
    <t>縛</t>
  </si>
  <si>
    <t>翰</t>
  </si>
  <si>
    <t>蕉</t>
  </si>
  <si>
    <t>蕭</t>
  </si>
  <si>
    <t>螞</t>
  </si>
  <si>
    <t>諜</t>
  </si>
  <si>
    <t>諞</t>
  </si>
  <si>
    <t>諧</t>
  </si>
  <si>
    <t>諫</t>
  </si>
  <si>
    <t>諳</t>
  </si>
  <si>
    <t>諺</t>
  </si>
  <si>
    <t>諾</t>
  </si>
  <si>
    <t>hann3</t>
  </si>
  <si>
    <t>謁</t>
  </si>
  <si>
    <t>貓</t>
  </si>
  <si>
    <t>niau1</t>
  </si>
  <si>
    <t>賴</t>
  </si>
  <si>
    <t>蹁</t>
  </si>
  <si>
    <t>phian5</t>
  </si>
  <si>
    <t>辦</t>
  </si>
  <si>
    <t>辨</t>
  </si>
  <si>
    <t>pian6</t>
  </si>
  <si>
    <t>遼</t>
  </si>
  <si>
    <t>鄴</t>
  </si>
  <si>
    <t>錚</t>
  </si>
  <si>
    <t>tshann3</t>
  </si>
  <si>
    <t>錠</t>
  </si>
  <si>
    <t>tiann6</t>
  </si>
  <si>
    <t>錶</t>
  </si>
  <si>
    <t>閹</t>
  </si>
  <si>
    <t>險</t>
  </si>
  <si>
    <t>hiam2</t>
  </si>
  <si>
    <t>雕</t>
  </si>
  <si>
    <t>霎</t>
  </si>
  <si>
    <t>鞘</t>
  </si>
  <si>
    <t>頭</t>
  </si>
  <si>
    <t>thau5</t>
  </si>
  <si>
    <t>頰</t>
  </si>
  <si>
    <t>頷</t>
  </si>
  <si>
    <t>am6</t>
  </si>
  <si>
    <t>飙</t>
  </si>
  <si>
    <t>餐</t>
  </si>
  <si>
    <t>餡</t>
  </si>
  <si>
    <t>ann7</t>
  </si>
  <si>
    <t>駢</t>
  </si>
  <si>
    <t>pian5</t>
  </si>
  <si>
    <t>駭</t>
  </si>
  <si>
    <t>骸</t>
  </si>
  <si>
    <t>腳 下節 ê 骨, 骨頭, 骨肉, 骨骸.</t>
  </si>
  <si>
    <t>骿</t>
  </si>
  <si>
    <t>魽</t>
  </si>
  <si>
    <t>鮑</t>
  </si>
  <si>
    <t>鮘</t>
  </si>
  <si>
    <t>鴨</t>
  </si>
  <si>
    <t>黔</t>
  </si>
  <si>
    <t>䆀</t>
  </si>
  <si>
    <t>嚇</t>
  </si>
  <si>
    <t>壏</t>
  </si>
  <si>
    <t>na3</t>
  </si>
  <si>
    <t>壓</t>
  </si>
  <si>
    <t>嬤</t>
  </si>
  <si>
    <t>嶺</t>
  </si>
  <si>
    <t>嶽</t>
  </si>
  <si>
    <t>幫</t>
  </si>
  <si>
    <t>懂</t>
  </si>
  <si>
    <t>戴</t>
  </si>
  <si>
    <t>擦</t>
  </si>
  <si>
    <t>斂</t>
  </si>
  <si>
    <t>liam2</t>
  </si>
  <si>
    <t>曖</t>
  </si>
  <si>
    <t>檀</t>
  </si>
  <si>
    <t>檐</t>
  </si>
  <si>
    <t>檢</t>
  </si>
  <si>
    <t>殮</t>
  </si>
  <si>
    <t>澀</t>
  </si>
  <si>
    <t>濫</t>
  </si>
  <si>
    <t>lam7</t>
  </si>
  <si>
    <t>營</t>
  </si>
  <si>
    <t>iann5</t>
  </si>
  <si>
    <t>燦</t>
  </si>
  <si>
    <t>tshan3</t>
  </si>
  <si>
    <t>燮</t>
  </si>
  <si>
    <t>璦</t>
  </si>
  <si>
    <t>璨</t>
  </si>
  <si>
    <t>療</t>
  </si>
  <si>
    <t>癌</t>
  </si>
  <si>
    <t>瞧</t>
  </si>
  <si>
    <t>瞭</t>
  </si>
  <si>
    <t>瞰</t>
  </si>
  <si>
    <t>矯</t>
  </si>
  <si>
    <t>礁</t>
  </si>
  <si>
    <t>篠</t>
  </si>
  <si>
    <t>篷</t>
  </si>
  <si>
    <t>篾</t>
  </si>
  <si>
    <t>糝</t>
  </si>
  <si>
    <t>sam2</t>
  </si>
  <si>
    <t>糟</t>
  </si>
  <si>
    <t>tsau1</t>
  </si>
  <si>
    <t>縫</t>
  </si>
  <si>
    <t>phang7</t>
  </si>
  <si>
    <t>縵</t>
  </si>
  <si>
    <t>罾</t>
  </si>
  <si>
    <t>聯</t>
  </si>
  <si>
    <t>聲</t>
  </si>
  <si>
    <t>siann1</t>
  </si>
  <si>
    <t>聳</t>
  </si>
  <si>
    <t>tshang3</t>
  </si>
  <si>
    <t>膽</t>
  </si>
  <si>
    <t>tam2</t>
  </si>
  <si>
    <t>膿</t>
  </si>
  <si>
    <t>臉</t>
  </si>
  <si>
    <t>臊</t>
  </si>
  <si>
    <t>tsho1</t>
  </si>
  <si>
    <t>臨</t>
  </si>
  <si>
    <t>艱</t>
  </si>
  <si>
    <t>薅</t>
  </si>
  <si>
    <t>薟</t>
  </si>
  <si>
    <t>hiam1</t>
  </si>
  <si>
    <t>褿</t>
  </si>
  <si>
    <t>謙</t>
  </si>
  <si>
    <t>khiam1</t>
  </si>
  <si>
    <t>講</t>
  </si>
  <si>
    <t>謠</t>
  </si>
  <si>
    <t>賺</t>
  </si>
  <si>
    <t>tann7</t>
  </si>
  <si>
    <t>tam7</t>
  </si>
  <si>
    <t>賽</t>
  </si>
  <si>
    <t>輾</t>
  </si>
  <si>
    <t>lian3</t>
  </si>
  <si>
    <t>轄</t>
  </si>
  <si>
    <t>邀</t>
  </si>
  <si>
    <t>邂</t>
  </si>
  <si>
    <t>還</t>
  </si>
  <si>
    <t>hainn5</t>
  </si>
  <si>
    <t>錨</t>
  </si>
  <si>
    <t>鍊</t>
  </si>
  <si>
    <t>鍘</t>
  </si>
  <si>
    <t>鍬</t>
  </si>
  <si>
    <t>闆</t>
  </si>
  <si>
    <t>闇</t>
  </si>
  <si>
    <t>霞</t>
  </si>
  <si>
    <t>韓</t>
  </si>
  <si>
    <t>鴿</t>
  </si>
  <si>
    <t>鵁</t>
  </si>
  <si>
    <t>黏</t>
  </si>
  <si>
    <t>黛</t>
  </si>
  <si>
    <t>點</t>
  </si>
  <si>
    <t>tiam2</t>
  </si>
  <si>
    <t>鼾</t>
  </si>
  <si>
    <t>齋</t>
  </si>
  <si>
    <t>擲</t>
  </si>
  <si>
    <t>擸</t>
  </si>
  <si>
    <t>擺</t>
  </si>
  <si>
    <t>擽</t>
  </si>
  <si>
    <t>ngiau1</t>
  </si>
  <si>
    <t>擾</t>
  </si>
  <si>
    <t>攆</t>
  </si>
  <si>
    <t>曜</t>
  </si>
  <si>
    <t>iau7</t>
  </si>
  <si>
    <t>檯</t>
  </si>
  <si>
    <t>燿</t>
  </si>
  <si>
    <t>爁</t>
  </si>
  <si>
    <t>獵</t>
  </si>
  <si>
    <t>甕</t>
  </si>
  <si>
    <t>ang3</t>
  </si>
  <si>
    <t>瞻</t>
  </si>
  <si>
    <t>礐</t>
  </si>
  <si>
    <t>竅</t>
  </si>
  <si>
    <t>khiau3</t>
  </si>
  <si>
    <t>簡</t>
  </si>
  <si>
    <t>簪</t>
  </si>
  <si>
    <t>簫</t>
  </si>
  <si>
    <t>繚</t>
  </si>
  <si>
    <t>繞</t>
  </si>
  <si>
    <t>罈</t>
  </si>
  <si>
    <t>翹</t>
  </si>
  <si>
    <t>聶</t>
  </si>
  <si>
    <t>臍</t>
  </si>
  <si>
    <t>薩</t>
  </si>
  <si>
    <t>藃</t>
  </si>
  <si>
    <t>haunnh</t>
  </si>
  <si>
    <t>藍</t>
  </si>
  <si>
    <t>藏</t>
  </si>
  <si>
    <t>藐</t>
  </si>
  <si>
    <t>蟧</t>
  </si>
  <si>
    <t>蟯</t>
  </si>
  <si>
    <t>ngiauh8</t>
  </si>
  <si>
    <t>蟲</t>
  </si>
  <si>
    <t>thang5</t>
  </si>
  <si>
    <t>襇</t>
  </si>
  <si>
    <t>覆</t>
  </si>
  <si>
    <t>仆落, 頭殼 仆落; 覆手, 手覆; 覆模, 坦覆.</t>
  </si>
  <si>
    <t>謲</t>
  </si>
  <si>
    <t>謾</t>
  </si>
  <si>
    <t>蹔</t>
  </si>
  <si>
    <t>tsam3</t>
  </si>
  <si>
    <t>蹧</t>
  </si>
  <si>
    <t>轍</t>
  </si>
  <si>
    <t>鎧</t>
  </si>
  <si>
    <t>闔</t>
  </si>
  <si>
    <t>雜</t>
  </si>
  <si>
    <t>鞭</t>
  </si>
  <si>
    <t>顏</t>
  </si>
  <si>
    <t>顑</t>
  </si>
  <si>
    <t>ham3</t>
  </si>
  <si>
    <t>颺</t>
  </si>
  <si>
    <t>iann6</t>
  </si>
  <si>
    <t>餮</t>
  </si>
  <si>
    <t>鬃</t>
  </si>
  <si>
    <t>鬆</t>
  </si>
  <si>
    <t>sang1</t>
  </si>
  <si>
    <t>黠</t>
  </si>
  <si>
    <t>儳</t>
  </si>
  <si>
    <t>sam5</t>
  </si>
  <si>
    <t>嚥</t>
  </si>
  <si>
    <t>嚨</t>
  </si>
  <si>
    <t>懶</t>
  </si>
  <si>
    <t>攀</t>
  </si>
  <si>
    <t>phan1</t>
  </si>
  <si>
    <t>攏</t>
  </si>
  <si>
    <t>lang2</t>
  </si>
  <si>
    <t>曝</t>
  </si>
  <si>
    <t>phak8</t>
  </si>
  <si>
    <t>瀚</t>
  </si>
  <si>
    <t>瀟</t>
  </si>
  <si>
    <t>瓣</t>
  </si>
  <si>
    <t>礙</t>
  </si>
  <si>
    <t>簽</t>
  </si>
  <si>
    <t>tshiam1</t>
  </si>
  <si>
    <t>簾</t>
  </si>
  <si>
    <t>繳</t>
  </si>
  <si>
    <t>繵</t>
  </si>
  <si>
    <t>臘</t>
  </si>
  <si>
    <t>藕</t>
  </si>
  <si>
    <t>ngau6</t>
  </si>
  <si>
    <t>蟶</t>
  </si>
  <si>
    <t>than1</t>
  </si>
  <si>
    <t>蟹</t>
  </si>
  <si>
    <t>蟾</t>
  </si>
  <si>
    <t>譀</t>
  </si>
  <si>
    <t>譚</t>
  </si>
  <si>
    <t>贊</t>
  </si>
  <si>
    <t>蹺</t>
  </si>
  <si>
    <t>邊</t>
  </si>
  <si>
    <t>醮</t>
  </si>
  <si>
    <t>鏟</t>
  </si>
  <si>
    <t>tshan2</t>
  </si>
  <si>
    <t>鏡</t>
  </si>
  <si>
    <t>kiann3</t>
  </si>
  <si>
    <t>鏨</t>
  </si>
  <si>
    <t>難</t>
  </si>
  <si>
    <t>lan7</t>
  </si>
  <si>
    <t>顛</t>
  </si>
  <si>
    <t>騙</t>
  </si>
  <si>
    <t>鯪</t>
  </si>
  <si>
    <t>鵪</t>
  </si>
  <si>
    <t>鶆</t>
  </si>
  <si>
    <t>龐</t>
  </si>
  <si>
    <t>㿺</t>
  </si>
  <si>
    <t>pauh4</t>
  </si>
  <si>
    <t>䭕</t>
  </si>
  <si>
    <t>tsiann2</t>
  </si>
  <si>
    <t>嚴</t>
  </si>
  <si>
    <t>懺</t>
  </si>
  <si>
    <t>tsham3</t>
  </si>
  <si>
    <t>攔</t>
  </si>
  <si>
    <t>攕</t>
  </si>
  <si>
    <t>tshiam2</t>
  </si>
  <si>
    <t>攙</t>
  </si>
  <si>
    <t>櫳</t>
  </si>
  <si>
    <t>lang1</t>
  </si>
  <si>
    <t>瀾</t>
  </si>
  <si>
    <t>籃</t>
  </si>
  <si>
    <t>耀</t>
  </si>
  <si>
    <t>艦</t>
  </si>
  <si>
    <t>藹</t>
  </si>
  <si>
    <t>蠓</t>
  </si>
  <si>
    <t>襤</t>
  </si>
  <si>
    <t>覺</t>
  </si>
  <si>
    <t>觸</t>
  </si>
  <si>
    <t>tak4</t>
  </si>
  <si>
    <t>贍</t>
  </si>
  <si>
    <t>siam7</t>
  </si>
  <si>
    <t>贏</t>
  </si>
  <si>
    <t>躂</t>
  </si>
  <si>
    <t>辮</t>
  </si>
  <si>
    <t>顢</t>
  </si>
  <si>
    <t>飄</t>
  </si>
  <si>
    <t>饒</t>
  </si>
  <si>
    <t>鹹</t>
  </si>
  <si>
    <t>kiam5</t>
  </si>
  <si>
    <t>麵</t>
  </si>
  <si>
    <t>囂</t>
  </si>
  <si>
    <t>懾</t>
  </si>
  <si>
    <t>攝</t>
  </si>
  <si>
    <t>欄</t>
  </si>
  <si>
    <t>殲</t>
  </si>
  <si>
    <t>灇</t>
  </si>
  <si>
    <t>tsang5</t>
  </si>
  <si>
    <t>爛</t>
  </si>
  <si>
    <t>癩</t>
  </si>
  <si>
    <t>thai2</t>
  </si>
  <si>
    <t>礱</t>
  </si>
  <si>
    <t>纏</t>
  </si>
  <si>
    <t>蘭</t>
  </si>
  <si>
    <t>蠟</t>
  </si>
  <si>
    <t>覽</t>
  </si>
  <si>
    <t>辯</t>
  </si>
  <si>
    <t>鐮</t>
  </si>
  <si>
    <t>鐵</t>
  </si>
  <si>
    <t>霸</t>
  </si>
  <si>
    <t>鬖</t>
  </si>
  <si>
    <t>鰨</t>
  </si>
  <si>
    <t>黯</t>
  </si>
  <si>
    <t>儼</t>
  </si>
  <si>
    <t>giam2</t>
  </si>
  <si>
    <t>攤</t>
  </si>
  <si>
    <t>欉</t>
  </si>
  <si>
    <t>灑</t>
  </si>
  <si>
    <t>灘</t>
  </si>
  <si>
    <t>疊</t>
  </si>
  <si>
    <t>柴塔, kih塔, 就是 柴條 疊 橫直 來 做 塔 ê 意思.</t>
  </si>
  <si>
    <t>thah8</t>
  </si>
  <si>
    <t>疊疊, 相疊, 相連疊, 疊樓, 成疊紙.</t>
  </si>
  <si>
    <t>籗</t>
  </si>
  <si>
    <t>籠</t>
  </si>
  <si>
    <t>lang6</t>
  </si>
  <si>
    <t>聽</t>
  </si>
  <si>
    <t>thiann1</t>
  </si>
  <si>
    <t>聾</t>
  </si>
  <si>
    <t>襯</t>
  </si>
  <si>
    <t>讀</t>
  </si>
  <si>
    <t>句讀, 好 句讀, m̄成 句讀.</t>
  </si>
  <si>
    <t>thak8</t>
  </si>
  <si>
    <t>鑑</t>
  </si>
  <si>
    <t>霾</t>
  </si>
  <si>
    <t>韃</t>
  </si>
  <si>
    <t>驍</t>
  </si>
  <si>
    <t>驕</t>
  </si>
  <si>
    <t>鰱</t>
  </si>
  <si>
    <t>鱉</t>
  </si>
  <si>
    <t>齪</t>
  </si>
  <si>
    <t>tsak4</t>
  </si>
  <si>
    <t>龕</t>
  </si>
  <si>
    <t>攪</t>
  </si>
  <si>
    <t>竊</t>
  </si>
  <si>
    <t>籤</t>
  </si>
  <si>
    <t>纓</t>
  </si>
  <si>
    <t>iann1</t>
  </si>
  <si>
    <t>纔</t>
  </si>
  <si>
    <t>纖</t>
  </si>
  <si>
    <t>臢</t>
  </si>
  <si>
    <t>變</t>
  </si>
  <si>
    <t>pian3</t>
  </si>
  <si>
    <t>鑣</t>
  </si>
  <si>
    <t>顯</t>
  </si>
  <si>
    <t>hiann2</t>
  </si>
  <si>
    <t>驗</t>
  </si>
  <si>
    <t>giam7</t>
  </si>
  <si>
    <t>驚</t>
  </si>
  <si>
    <t>體</t>
  </si>
  <si>
    <t>thue2</t>
  </si>
  <si>
    <t>身體; 體型, cha-bó͘體, 體剔, 供體.</t>
  </si>
  <si>
    <t>鱗</t>
  </si>
  <si>
    <t>𠖫</t>
  </si>
  <si>
    <t>壩</t>
  </si>
  <si>
    <t>攬</t>
  </si>
  <si>
    <t>癲</t>
  </si>
  <si>
    <t>艷</t>
  </si>
  <si>
    <t>蠶</t>
  </si>
  <si>
    <t>贛</t>
  </si>
  <si>
    <t>魘</t>
  </si>
  <si>
    <t>鱟</t>
  </si>
  <si>
    <t>鹼</t>
  </si>
  <si>
    <t>鹽</t>
  </si>
  <si>
    <t>iam5</t>
  </si>
  <si>
    <t>齷</t>
  </si>
  <si>
    <t>廳</t>
  </si>
  <si>
    <t>欖</t>
  </si>
  <si>
    <t>籮</t>
  </si>
  <si>
    <t>糶</t>
  </si>
  <si>
    <t>蠻</t>
  </si>
  <si>
    <t>饞</t>
  </si>
  <si>
    <t>sai5</t>
  </si>
  <si>
    <t>齻</t>
  </si>
  <si>
    <t>讚</t>
  </si>
  <si>
    <t>鑷</t>
  </si>
  <si>
    <t>纜</t>
  </si>
  <si>
    <t>豔</t>
  </si>
  <si>
    <t>鑿</t>
  </si>
  <si>
    <t>tshak8</t>
  </si>
  <si>
    <t>灩</t>
  </si>
  <si>
    <t>渝</t>
  </si>
  <si>
    <t>榆</t>
  </si>
  <si>
    <t>瑜</t>
  </si>
  <si>
    <t>試</t>
  </si>
  <si>
    <t>si3</t>
  </si>
  <si>
    <t>逾</t>
  </si>
  <si>
    <t>一</t>
  </si>
  <si>
    <t>it4</t>
  </si>
  <si>
    <t>tsit8</t>
  </si>
  <si>
    <t>乙</t>
  </si>
  <si>
    <t>丁</t>
  </si>
  <si>
    <t>ting1</t>
  </si>
  <si>
    <t>七</t>
  </si>
  <si>
    <t>tshit4</t>
  </si>
  <si>
    <t>乃</t>
  </si>
  <si>
    <t>nai2</t>
  </si>
  <si>
    <t>kiu2</t>
  </si>
  <si>
    <t>二</t>
  </si>
  <si>
    <t>ji7</t>
  </si>
  <si>
    <t>人</t>
  </si>
  <si>
    <t>jin5</t>
  </si>
  <si>
    <t>入</t>
  </si>
  <si>
    <t>jip8</t>
  </si>
  <si>
    <t>pereh4</t>
  </si>
  <si>
    <t>peh4</t>
  </si>
  <si>
    <t>几</t>
  </si>
  <si>
    <t>ki1</t>
  </si>
  <si>
    <t>刀</t>
  </si>
  <si>
    <t>to1</t>
  </si>
  <si>
    <t>lik8</t>
  </si>
  <si>
    <t>匕</t>
  </si>
  <si>
    <t>pi2</t>
  </si>
  <si>
    <t>sip8</t>
  </si>
  <si>
    <t>卜</t>
  </si>
  <si>
    <t>poh4</t>
  </si>
  <si>
    <t>pok4</t>
  </si>
  <si>
    <t>又</t>
  </si>
  <si>
    <t>iu7</t>
  </si>
  <si>
    <t>丈</t>
  </si>
  <si>
    <t>tiang6</t>
  </si>
  <si>
    <t>tiunn6</t>
  </si>
  <si>
    <t>tng6</t>
  </si>
  <si>
    <t>上</t>
  </si>
  <si>
    <t>siang6</t>
  </si>
  <si>
    <t>siang7</t>
  </si>
  <si>
    <t>tsiunn6</t>
  </si>
  <si>
    <t>tshiunn6</t>
  </si>
  <si>
    <t>siong7</t>
  </si>
  <si>
    <t>ee6</t>
  </si>
  <si>
    <t>ee7</t>
  </si>
  <si>
    <t>khee6</t>
  </si>
  <si>
    <t>hee6</t>
  </si>
  <si>
    <t>e7</t>
  </si>
  <si>
    <t>个</t>
  </si>
  <si>
    <t>e5</t>
  </si>
  <si>
    <t>丸</t>
  </si>
  <si>
    <t>uan5</t>
  </si>
  <si>
    <t>inn5</t>
  </si>
  <si>
    <t>久</t>
  </si>
  <si>
    <t>ku2</t>
  </si>
  <si>
    <t>么</t>
  </si>
  <si>
    <t>io1</t>
  </si>
  <si>
    <t>乞</t>
  </si>
  <si>
    <t>khit4</t>
  </si>
  <si>
    <t>也</t>
  </si>
  <si>
    <t>ia7</t>
  </si>
  <si>
    <t>ia3</t>
  </si>
  <si>
    <t>于</t>
  </si>
  <si>
    <t>ir1</t>
  </si>
  <si>
    <t>亡</t>
  </si>
  <si>
    <t>bong5</t>
  </si>
  <si>
    <t>兀</t>
  </si>
  <si>
    <t>gut8</t>
  </si>
  <si>
    <t>凡</t>
  </si>
  <si>
    <t>huan5</t>
  </si>
  <si>
    <t>刃</t>
  </si>
  <si>
    <t>jim7</t>
  </si>
  <si>
    <t>tshian1</t>
  </si>
  <si>
    <t>tshee1</t>
  </si>
  <si>
    <t>khio2</t>
  </si>
  <si>
    <t>土</t>
  </si>
  <si>
    <t>thoo2</t>
  </si>
  <si>
    <t>士</t>
  </si>
  <si>
    <t>sur6</t>
  </si>
  <si>
    <t>su7</t>
  </si>
  <si>
    <t>夕</t>
  </si>
  <si>
    <t>sik8</t>
  </si>
  <si>
    <t>tua7</t>
  </si>
  <si>
    <t>女</t>
  </si>
  <si>
    <t>lir2</t>
  </si>
  <si>
    <t>子</t>
  </si>
  <si>
    <t>tsi2</t>
  </si>
  <si>
    <t>tsur2</t>
  </si>
  <si>
    <t>tsu2</t>
  </si>
  <si>
    <t>孑</t>
  </si>
  <si>
    <t>kiat4</t>
  </si>
  <si>
    <t>寸</t>
  </si>
  <si>
    <t>tshun3</t>
  </si>
  <si>
    <t>sio2</t>
  </si>
  <si>
    <t>尸</t>
  </si>
  <si>
    <t>si1</t>
  </si>
  <si>
    <t>tshi1</t>
  </si>
  <si>
    <t>suann1</t>
  </si>
  <si>
    <t>川</t>
  </si>
  <si>
    <t>tshuan1</t>
  </si>
  <si>
    <t>tshuinn1</t>
  </si>
  <si>
    <t>kong1</t>
  </si>
  <si>
    <t>己</t>
  </si>
  <si>
    <t>ki2</t>
  </si>
  <si>
    <t>本身, 家己; 起來; 記載, 次序, 中央 ê 皇宮, 自己, 守己</t>
  </si>
  <si>
    <t>ki7</t>
  </si>
  <si>
    <t>家己, 就是 ka-tī ê 意思.</t>
  </si>
  <si>
    <t>已</t>
  </si>
  <si>
    <t>i2</t>
  </si>
  <si>
    <t>巳</t>
  </si>
  <si>
    <t>巾</t>
  </si>
  <si>
    <t>kun1</t>
  </si>
  <si>
    <t>弓</t>
  </si>
  <si>
    <t>不</t>
  </si>
  <si>
    <t>put4</t>
  </si>
  <si>
    <t>m7</t>
  </si>
  <si>
    <t>bue7</t>
  </si>
  <si>
    <t>丑</t>
  </si>
  <si>
    <t>thiu2</t>
  </si>
  <si>
    <t>中</t>
  </si>
  <si>
    <t>ting3</t>
  </si>
  <si>
    <t>tiong1</t>
  </si>
  <si>
    <t>之</t>
  </si>
  <si>
    <t>tsi1</t>
  </si>
  <si>
    <t>予</t>
  </si>
  <si>
    <t>ir2</t>
  </si>
  <si>
    <t>u2</t>
  </si>
  <si>
    <t>就是 hō͘人, 賞賜 ê 意思.</t>
  </si>
  <si>
    <t>我, 阮, 我ê.</t>
  </si>
  <si>
    <t>云</t>
  </si>
  <si>
    <t>un5</t>
  </si>
  <si>
    <t>互</t>
  </si>
  <si>
    <t>hoo7</t>
  </si>
  <si>
    <t>五</t>
  </si>
  <si>
    <t>goo7</t>
  </si>
  <si>
    <t>ngoo2</t>
  </si>
  <si>
    <t>漢樂的音調</t>
  </si>
  <si>
    <t>井</t>
  </si>
  <si>
    <t>tsenn2</t>
  </si>
  <si>
    <t>tsing2</t>
  </si>
  <si>
    <t>亢</t>
  </si>
  <si>
    <t>khong3</t>
  </si>
  <si>
    <t>什</t>
  </si>
  <si>
    <t>仁</t>
  </si>
  <si>
    <t>仄</t>
  </si>
  <si>
    <t>tseeh4</t>
  </si>
  <si>
    <t>仇</t>
  </si>
  <si>
    <t>kiu5</t>
  </si>
  <si>
    <t>siu5</t>
  </si>
  <si>
    <t>kim1</t>
  </si>
  <si>
    <t>kin1</t>
  </si>
  <si>
    <t>仍</t>
  </si>
  <si>
    <t>jing5</t>
  </si>
  <si>
    <t>允</t>
  </si>
  <si>
    <t>un2</t>
  </si>
  <si>
    <t>元</t>
  </si>
  <si>
    <t>guan5</t>
  </si>
  <si>
    <t>lue7</t>
  </si>
  <si>
    <t>兮</t>
  </si>
  <si>
    <t>he5</t>
  </si>
  <si>
    <t>冗</t>
  </si>
  <si>
    <t>ling7</t>
  </si>
  <si>
    <t>凶</t>
  </si>
  <si>
    <t>hiong1</t>
  </si>
  <si>
    <t>分</t>
  </si>
  <si>
    <t>pun1</t>
  </si>
  <si>
    <t>hun1</t>
  </si>
  <si>
    <t>hun7</t>
  </si>
  <si>
    <t>切</t>
  </si>
  <si>
    <t>tshiat4</t>
  </si>
  <si>
    <t>tshe3</t>
  </si>
  <si>
    <t>刈</t>
  </si>
  <si>
    <t>gue7</t>
  </si>
  <si>
    <t>勻</t>
  </si>
  <si>
    <t>勼</t>
  </si>
  <si>
    <t>kiu1</t>
  </si>
  <si>
    <t>kio1</t>
  </si>
  <si>
    <t>勿</t>
  </si>
  <si>
    <t>but8</t>
  </si>
  <si>
    <t>化</t>
  </si>
  <si>
    <t>hua3</t>
  </si>
  <si>
    <t>huee3</t>
  </si>
  <si>
    <t>匹</t>
  </si>
  <si>
    <t>phit4</t>
  </si>
  <si>
    <t>升</t>
  </si>
  <si>
    <t>tsin1</t>
  </si>
  <si>
    <t>午</t>
  </si>
  <si>
    <t>goo6</t>
  </si>
  <si>
    <t>厄</t>
  </si>
  <si>
    <t>eeh4</t>
  </si>
  <si>
    <t>ik4</t>
  </si>
  <si>
    <t>及</t>
  </si>
  <si>
    <t>kip8</t>
  </si>
  <si>
    <t>友</t>
  </si>
  <si>
    <t>iu2</t>
  </si>
  <si>
    <t>huan2</t>
  </si>
  <si>
    <t>壬</t>
  </si>
  <si>
    <t>jim5</t>
  </si>
  <si>
    <t>thinn1</t>
  </si>
  <si>
    <t>夫</t>
  </si>
  <si>
    <t>hu1</t>
  </si>
  <si>
    <t>tsio2</t>
  </si>
  <si>
    <t>尤</t>
  </si>
  <si>
    <t>iu5</t>
  </si>
  <si>
    <t>尹</t>
  </si>
  <si>
    <t>尺</t>
  </si>
  <si>
    <t>tshe6</t>
  </si>
  <si>
    <t>tshik4</t>
  </si>
  <si>
    <t>tshioh4</t>
  </si>
  <si>
    <t>屯</t>
  </si>
  <si>
    <t>tun1</t>
  </si>
  <si>
    <t>tun5</t>
  </si>
  <si>
    <t>幻</t>
  </si>
  <si>
    <t>huan3</t>
  </si>
  <si>
    <t>引</t>
  </si>
  <si>
    <t>in2</t>
  </si>
  <si>
    <t>心</t>
  </si>
  <si>
    <t>sim1</t>
  </si>
  <si>
    <t>戈</t>
  </si>
  <si>
    <t>ko1</t>
  </si>
  <si>
    <t>戶</t>
  </si>
  <si>
    <t>hoo6</t>
  </si>
  <si>
    <t>手</t>
  </si>
  <si>
    <t>tshiu2</t>
  </si>
  <si>
    <t>siu2</t>
  </si>
  <si>
    <t>支</t>
  </si>
  <si>
    <t>文</t>
  </si>
  <si>
    <t>bun5</t>
  </si>
  <si>
    <t>斤</t>
  </si>
  <si>
    <t>方</t>
  </si>
  <si>
    <t>puinn1</t>
  </si>
  <si>
    <t>hong1</t>
  </si>
  <si>
    <t>hng1</t>
  </si>
  <si>
    <t>日</t>
  </si>
  <si>
    <t>jit8</t>
  </si>
  <si>
    <t>曰</t>
  </si>
  <si>
    <t>uat8</t>
  </si>
  <si>
    <t>月</t>
  </si>
  <si>
    <t>guat8</t>
  </si>
  <si>
    <t>gerh8</t>
  </si>
  <si>
    <t>gueh8</t>
  </si>
  <si>
    <t>bok8</t>
  </si>
  <si>
    <t>止</t>
  </si>
  <si>
    <t>毋</t>
  </si>
  <si>
    <t>比</t>
  </si>
  <si>
    <t>毛</t>
  </si>
  <si>
    <t>moo5</t>
  </si>
  <si>
    <t>mng5</t>
  </si>
  <si>
    <t>氏</t>
  </si>
  <si>
    <t>si6</t>
  </si>
  <si>
    <t>水</t>
  </si>
  <si>
    <t>tsui2</t>
  </si>
  <si>
    <t>sui2</t>
  </si>
  <si>
    <t>火</t>
  </si>
  <si>
    <t>her2</t>
  </si>
  <si>
    <t>honn2</t>
  </si>
  <si>
    <t>父</t>
  </si>
  <si>
    <t>pee6</t>
  </si>
  <si>
    <t>hu6</t>
  </si>
  <si>
    <t>phinn3</t>
  </si>
  <si>
    <t>gee5</t>
  </si>
  <si>
    <t>牛</t>
  </si>
  <si>
    <t>gu5</t>
  </si>
  <si>
    <t>giu5</t>
  </si>
  <si>
    <t>犬</t>
  </si>
  <si>
    <t>khian2</t>
  </si>
  <si>
    <t>王</t>
  </si>
  <si>
    <t>ong5</t>
  </si>
  <si>
    <t>丕</t>
  </si>
  <si>
    <t>phi1</t>
  </si>
  <si>
    <t>世</t>
  </si>
  <si>
    <t>se3</t>
  </si>
  <si>
    <t>丘</t>
  </si>
  <si>
    <t>khu1</t>
  </si>
  <si>
    <t>khiu1</t>
  </si>
  <si>
    <t>ping2</t>
  </si>
  <si>
    <t>主</t>
  </si>
  <si>
    <t>乎</t>
  </si>
  <si>
    <t>hoo5</t>
  </si>
  <si>
    <t>huat8</t>
  </si>
  <si>
    <t>仕</t>
  </si>
  <si>
    <t>仗</t>
  </si>
  <si>
    <t>tiang7</t>
  </si>
  <si>
    <t>付</t>
  </si>
  <si>
    <t>hu3</t>
  </si>
  <si>
    <t>仙</t>
  </si>
  <si>
    <t>sian1</t>
  </si>
  <si>
    <t>仞</t>
  </si>
  <si>
    <t>jin7</t>
  </si>
  <si>
    <t>仡</t>
  </si>
  <si>
    <t>ter7</t>
  </si>
  <si>
    <t>令</t>
  </si>
  <si>
    <t>以</t>
  </si>
  <si>
    <t>hing1</t>
  </si>
  <si>
    <t>充</t>
  </si>
  <si>
    <t>tshiong1</t>
  </si>
  <si>
    <t>冊</t>
  </si>
  <si>
    <t>tsheeh4</t>
  </si>
  <si>
    <t>tong1</t>
  </si>
  <si>
    <t>凸</t>
  </si>
  <si>
    <t>tut8</t>
  </si>
  <si>
    <t>出</t>
  </si>
  <si>
    <t>tshut4</t>
  </si>
  <si>
    <t>kee1</t>
  </si>
  <si>
    <t>匆</t>
  </si>
  <si>
    <t>tshong1</t>
  </si>
  <si>
    <t>卉</t>
  </si>
  <si>
    <t>hui3</t>
  </si>
  <si>
    <t>半</t>
  </si>
  <si>
    <t>puann3</t>
  </si>
  <si>
    <t>puan3</t>
  </si>
  <si>
    <t>去</t>
  </si>
  <si>
    <t>khir3</t>
  </si>
  <si>
    <t>khi3</t>
  </si>
  <si>
    <t>khu2</t>
  </si>
  <si>
    <t>khu3</t>
  </si>
  <si>
    <t>古</t>
  </si>
  <si>
    <t>koo2</t>
  </si>
  <si>
    <t>句</t>
  </si>
  <si>
    <t>ku3</t>
  </si>
  <si>
    <t>另</t>
  </si>
  <si>
    <t>叨</t>
  </si>
  <si>
    <t>tho1</t>
  </si>
  <si>
    <t>叩</t>
  </si>
  <si>
    <t>khio3</t>
  </si>
  <si>
    <t>只</t>
  </si>
  <si>
    <t>kio3</t>
  </si>
  <si>
    <t>叮</t>
  </si>
  <si>
    <t>可</t>
  </si>
  <si>
    <t>khua2</t>
  </si>
  <si>
    <t>khonn2</t>
  </si>
  <si>
    <t>kho2</t>
  </si>
  <si>
    <t>叱</t>
  </si>
  <si>
    <t>sur2</t>
  </si>
  <si>
    <t>右</t>
  </si>
  <si>
    <t>sur1</t>
  </si>
  <si>
    <t>囚</t>
  </si>
  <si>
    <t>四</t>
  </si>
  <si>
    <t>sur3</t>
  </si>
  <si>
    <t>外</t>
  </si>
  <si>
    <t>gua7</t>
  </si>
  <si>
    <t>央</t>
  </si>
  <si>
    <t>iang1</t>
  </si>
  <si>
    <t>ng1</t>
  </si>
  <si>
    <t>失</t>
  </si>
  <si>
    <t>sit4</t>
  </si>
  <si>
    <t>奴</t>
  </si>
  <si>
    <t>loo5</t>
  </si>
  <si>
    <t>奶</t>
  </si>
  <si>
    <t>nee1</t>
  </si>
  <si>
    <t>lin1</t>
  </si>
  <si>
    <t>ling1</t>
  </si>
  <si>
    <t>孕</t>
  </si>
  <si>
    <t>in7</t>
  </si>
  <si>
    <t>尼</t>
  </si>
  <si>
    <t>ni5</t>
  </si>
  <si>
    <t>左</t>
  </si>
  <si>
    <t>tso2</t>
  </si>
  <si>
    <t>tsoo2</t>
  </si>
  <si>
    <t>巨</t>
  </si>
  <si>
    <t>kir6</t>
  </si>
  <si>
    <t>市</t>
  </si>
  <si>
    <t>tshi6</t>
  </si>
  <si>
    <t>布</t>
  </si>
  <si>
    <t>poo3</t>
  </si>
  <si>
    <t>penn5</t>
  </si>
  <si>
    <t>phenn5</t>
  </si>
  <si>
    <t>pinn5</t>
  </si>
  <si>
    <t xml:space="preserve">	平平, 平大; 平等; 平正; 公平, 鋪平, 平棒.</t>
  </si>
  <si>
    <t>phinn5</t>
  </si>
  <si>
    <t>平角á; 平釘; 平土; 討平; kap 伊 討平.</t>
  </si>
  <si>
    <t>ping5</t>
  </si>
  <si>
    <t>幼</t>
  </si>
  <si>
    <t>iu3</t>
  </si>
  <si>
    <t>必</t>
  </si>
  <si>
    <t>pit4</t>
  </si>
  <si>
    <t>戊</t>
  </si>
  <si>
    <t>boo7</t>
  </si>
  <si>
    <t>扏</t>
  </si>
  <si>
    <t>hiu3</t>
  </si>
  <si>
    <t>扒</t>
  </si>
  <si>
    <t>pee1</t>
  </si>
  <si>
    <t>pee5</t>
  </si>
  <si>
    <t>斥</t>
  </si>
  <si>
    <t>thik4</t>
  </si>
  <si>
    <t>tuann3</t>
  </si>
  <si>
    <t>未</t>
  </si>
  <si>
    <t>bi7</t>
  </si>
  <si>
    <t>be7</t>
  </si>
  <si>
    <t>漳</t>
  </si>
  <si>
    <t>末</t>
  </si>
  <si>
    <t>buah8</t>
  </si>
  <si>
    <t>buat8</t>
  </si>
  <si>
    <t>本</t>
  </si>
  <si>
    <t>puinn2</t>
  </si>
  <si>
    <t>pun2</t>
  </si>
  <si>
    <t>朮</t>
  </si>
  <si>
    <t>tsut8</t>
  </si>
  <si>
    <t>tsing1</t>
  </si>
  <si>
    <t>tsing3</t>
  </si>
  <si>
    <t>母</t>
  </si>
  <si>
    <t>bio2</t>
  </si>
  <si>
    <t>bu2</t>
  </si>
  <si>
    <t>bo2</t>
  </si>
  <si>
    <t xml:space="preserve"> 10 #漳 </t>
  </si>
  <si>
    <t>氐</t>
  </si>
  <si>
    <t>te1</t>
  </si>
  <si>
    <t>民</t>
  </si>
  <si>
    <t>bin5</t>
  </si>
  <si>
    <t>永</t>
  </si>
  <si>
    <t>ing2</t>
  </si>
  <si>
    <t>犯</t>
  </si>
  <si>
    <t>huan7</t>
  </si>
  <si>
    <t>玄</t>
  </si>
  <si>
    <t>hian5</t>
  </si>
  <si>
    <t>玉</t>
  </si>
  <si>
    <t>gik8</t>
  </si>
  <si>
    <t>giok8</t>
  </si>
  <si>
    <t>瓜</t>
  </si>
  <si>
    <t>kua1</t>
  </si>
  <si>
    <t>kuee1</t>
  </si>
  <si>
    <t>瓦</t>
  </si>
  <si>
    <t>gua2</t>
  </si>
  <si>
    <t>生</t>
  </si>
  <si>
    <t>senn1</t>
  </si>
  <si>
    <t>serng1</t>
  </si>
  <si>
    <t>用</t>
  </si>
  <si>
    <t>ing7</t>
  </si>
  <si>
    <t>由</t>
  </si>
  <si>
    <t>申</t>
  </si>
  <si>
    <t>sin1</t>
  </si>
  <si>
    <t>白</t>
  </si>
  <si>
    <t>peeh8</t>
  </si>
  <si>
    <t>pik8</t>
  </si>
  <si>
    <t>peh8</t>
  </si>
  <si>
    <t>皮</t>
  </si>
  <si>
    <t>phi5</t>
  </si>
  <si>
    <t>pher5</t>
  </si>
  <si>
    <t>皿</t>
  </si>
  <si>
    <t>bing2</t>
  </si>
  <si>
    <t>矢</t>
  </si>
  <si>
    <t>si2</t>
  </si>
  <si>
    <t>石</t>
  </si>
  <si>
    <t>tsioh8</t>
  </si>
  <si>
    <t>示</t>
  </si>
  <si>
    <t>si7</t>
  </si>
  <si>
    <t>禾</t>
  </si>
  <si>
    <t>ho5</t>
  </si>
  <si>
    <t>穴</t>
  </si>
  <si>
    <t>hiat8</t>
  </si>
  <si>
    <t>立</t>
  </si>
  <si>
    <t>lip8</t>
  </si>
  <si>
    <t>丞</t>
  </si>
  <si>
    <t>sing5</t>
  </si>
  <si>
    <t>丟</t>
  </si>
  <si>
    <t>tiu1</t>
  </si>
  <si>
    <t>乒</t>
  </si>
  <si>
    <t>phin1</t>
  </si>
  <si>
    <t>乓</t>
  </si>
  <si>
    <t>phong1</t>
  </si>
  <si>
    <t>乩</t>
  </si>
  <si>
    <t>亦</t>
  </si>
  <si>
    <t>ik8</t>
  </si>
  <si>
    <t>iah8</t>
  </si>
  <si>
    <t>仰</t>
  </si>
  <si>
    <t>giang2</t>
  </si>
  <si>
    <t>giong2</t>
  </si>
  <si>
    <t>iong2</t>
  </si>
  <si>
    <t>仵</t>
  </si>
  <si>
    <t>kian6</t>
  </si>
  <si>
    <t>任</t>
  </si>
  <si>
    <t>份</t>
  </si>
  <si>
    <t>仿</t>
  </si>
  <si>
    <t>hong2</t>
  </si>
  <si>
    <t>企</t>
  </si>
  <si>
    <t>伉</t>
  </si>
  <si>
    <t>伊</t>
  </si>
  <si>
    <t>i1</t>
  </si>
  <si>
    <t>伍</t>
  </si>
  <si>
    <t>伎</t>
  </si>
  <si>
    <t>ki6</t>
  </si>
  <si>
    <t>伏</t>
  </si>
  <si>
    <t>hok8</t>
  </si>
  <si>
    <t>坦倒, 跪覆; bih, 收khǹg, 承受; 降伏, 屈伏, 埋伏.</t>
  </si>
  <si>
    <t>hu7</t>
  </si>
  <si>
    <t>bih, 收khǹg; 孵卵, 孵 雞卵, 孵 鴨卵.</t>
  </si>
  <si>
    <t>伐</t>
  </si>
  <si>
    <t>huah8</t>
  </si>
  <si>
    <t>休</t>
  </si>
  <si>
    <t>hiu1</t>
  </si>
  <si>
    <t>伙</t>
  </si>
  <si>
    <t>光</t>
  </si>
  <si>
    <t>kng1</t>
  </si>
  <si>
    <t>全</t>
  </si>
  <si>
    <t>tsuan5</t>
  </si>
  <si>
    <t>tsuinn5</t>
  </si>
  <si>
    <t>冰</t>
  </si>
  <si>
    <t>ping1</t>
  </si>
  <si>
    <t>刎</t>
  </si>
  <si>
    <t>bun2</t>
  </si>
  <si>
    <t>刑</t>
  </si>
  <si>
    <t>hing5</t>
  </si>
  <si>
    <t>划</t>
  </si>
  <si>
    <t>ko3</t>
  </si>
  <si>
    <t>劣</t>
  </si>
  <si>
    <t>luat8</t>
  </si>
  <si>
    <t>匠</t>
  </si>
  <si>
    <t>tshiunn7</t>
  </si>
  <si>
    <t>匡</t>
  </si>
  <si>
    <t>khong1</t>
  </si>
  <si>
    <t>印</t>
  </si>
  <si>
    <t>in3</t>
  </si>
  <si>
    <t>危</t>
  </si>
  <si>
    <t>gui5</t>
  </si>
  <si>
    <t>厾</t>
  </si>
  <si>
    <t>tuh4</t>
  </si>
  <si>
    <t>吁</t>
  </si>
  <si>
    <t>吃</t>
  </si>
  <si>
    <t>各</t>
  </si>
  <si>
    <t>每。</t>
  </si>
  <si>
    <t>kok4</t>
  </si>
  <si>
    <t>吉</t>
  </si>
  <si>
    <t>kit4</t>
  </si>
  <si>
    <t>吋</t>
  </si>
  <si>
    <t>tong5</t>
  </si>
  <si>
    <t>bing5</t>
  </si>
  <si>
    <t>后</t>
  </si>
  <si>
    <t>hio6</t>
  </si>
  <si>
    <t>吏</t>
  </si>
  <si>
    <t>li7</t>
  </si>
  <si>
    <t>吐</t>
  </si>
  <si>
    <t>thoo3</t>
  </si>
  <si>
    <t>hiong3</t>
  </si>
  <si>
    <t>ng3</t>
  </si>
  <si>
    <t>相向, ǹg望, 向天, 向頓, 向北, 無向.</t>
  </si>
  <si>
    <t>回</t>
  </si>
  <si>
    <t>hue5</t>
  </si>
  <si>
    <t>her5</t>
  </si>
  <si>
    <t>囟</t>
  </si>
  <si>
    <t>sin3</t>
  </si>
  <si>
    <t>因</t>
  </si>
  <si>
    <t>in1</t>
  </si>
  <si>
    <t>囡</t>
  </si>
  <si>
    <t>kin2</t>
  </si>
  <si>
    <t>gin2</t>
  </si>
  <si>
    <t>圭</t>
  </si>
  <si>
    <t>kui1</t>
  </si>
  <si>
    <t>地</t>
  </si>
  <si>
    <t>te7</t>
  </si>
  <si>
    <t>ti7</t>
  </si>
  <si>
    <t>ter3</t>
  </si>
  <si>
    <t>tere7</t>
  </si>
  <si>
    <t>圳</t>
  </si>
  <si>
    <t>tsun3</t>
  </si>
  <si>
    <t>多</t>
  </si>
  <si>
    <t>too1</t>
  </si>
  <si>
    <t>夷</t>
  </si>
  <si>
    <t>i5</t>
  </si>
  <si>
    <t>好</t>
  </si>
  <si>
    <t>honn3</t>
  </si>
  <si>
    <t>ho2</t>
  </si>
  <si>
    <t>如</t>
  </si>
  <si>
    <t>jir5</t>
  </si>
  <si>
    <t>ju5</t>
  </si>
  <si>
    <t>妃</t>
  </si>
  <si>
    <t>hui1</t>
  </si>
  <si>
    <t>妄</t>
  </si>
  <si>
    <t>bong7</t>
  </si>
  <si>
    <t>字</t>
  </si>
  <si>
    <t>tsur7</t>
  </si>
  <si>
    <t>存</t>
  </si>
  <si>
    <t>tshun5</t>
  </si>
  <si>
    <t>宅</t>
  </si>
  <si>
    <t>theeh8</t>
  </si>
  <si>
    <t>tik8</t>
  </si>
  <si>
    <t>宇</t>
  </si>
  <si>
    <t>守</t>
  </si>
  <si>
    <t>tsiu2</t>
  </si>
  <si>
    <t>uann1</t>
  </si>
  <si>
    <t>寺</t>
  </si>
  <si>
    <t>屹</t>
  </si>
  <si>
    <t>州</t>
  </si>
  <si>
    <t>tsiu1</t>
  </si>
  <si>
    <t>并</t>
  </si>
  <si>
    <t>ping3</t>
  </si>
  <si>
    <t>庄</t>
  </si>
  <si>
    <t>tsng1</t>
  </si>
  <si>
    <t>式</t>
  </si>
  <si>
    <t>sik4</t>
  </si>
  <si>
    <t>弛</t>
  </si>
  <si>
    <t>si5</t>
  </si>
  <si>
    <t>忖</t>
  </si>
  <si>
    <t>tshun2</t>
  </si>
  <si>
    <t>戌</t>
  </si>
  <si>
    <t>sut4</t>
  </si>
  <si>
    <t>戍</t>
  </si>
  <si>
    <t>su3</t>
  </si>
  <si>
    <t>托</t>
  </si>
  <si>
    <t>thok4</t>
  </si>
  <si>
    <t>thuh4</t>
  </si>
  <si>
    <t>扝</t>
  </si>
  <si>
    <t>oo2</t>
  </si>
  <si>
    <t>扞</t>
  </si>
  <si>
    <t>huann7</t>
  </si>
  <si>
    <t>收</t>
  </si>
  <si>
    <t>siu1</t>
  </si>
  <si>
    <t>旨</t>
  </si>
  <si>
    <t>旬</t>
  </si>
  <si>
    <t>sun5</t>
  </si>
  <si>
    <t>khiok4</t>
  </si>
  <si>
    <t>有</t>
  </si>
  <si>
    <t>u6</t>
  </si>
  <si>
    <t>u7</t>
  </si>
  <si>
    <t>朱</t>
  </si>
  <si>
    <t>朽</t>
  </si>
  <si>
    <t>hiu2</t>
  </si>
  <si>
    <t>次</t>
  </si>
  <si>
    <t>tshur3</t>
  </si>
  <si>
    <t>此</t>
  </si>
  <si>
    <t>tshur2</t>
  </si>
  <si>
    <t>死</t>
  </si>
  <si>
    <t>su2</t>
  </si>
  <si>
    <t>汐</t>
  </si>
  <si>
    <t>汔</t>
  </si>
  <si>
    <t>kit8</t>
  </si>
  <si>
    <t>suann3</t>
  </si>
  <si>
    <t>kuann7</t>
  </si>
  <si>
    <t>汛</t>
  </si>
  <si>
    <t>汝</t>
  </si>
  <si>
    <t>ju2</t>
  </si>
  <si>
    <t>li2</t>
  </si>
  <si>
    <t>lu2</t>
  </si>
  <si>
    <t>池</t>
  </si>
  <si>
    <t>ti5</t>
  </si>
  <si>
    <t>污</t>
  </si>
  <si>
    <t>灰</t>
  </si>
  <si>
    <t>hue1</t>
  </si>
  <si>
    <t>her1</t>
  </si>
  <si>
    <t>牝</t>
  </si>
  <si>
    <t>pin6</t>
  </si>
  <si>
    <t>牟</t>
  </si>
  <si>
    <t>bio5</t>
  </si>
  <si>
    <t>甪</t>
  </si>
  <si>
    <t>lut4</t>
  </si>
  <si>
    <t>peeh4</t>
  </si>
  <si>
    <t>pik4</t>
  </si>
  <si>
    <t>竹</t>
  </si>
  <si>
    <t>tik4</t>
  </si>
  <si>
    <t>米</t>
  </si>
  <si>
    <t>bi2</t>
  </si>
  <si>
    <t>羊</t>
  </si>
  <si>
    <t>iang5</t>
  </si>
  <si>
    <t>iunn5</t>
  </si>
  <si>
    <t>羽</t>
  </si>
  <si>
    <t>臭老, 張老, 老本; 老大, 太老, 老人, 老母.</t>
  </si>
  <si>
    <t>lo2</t>
  </si>
  <si>
    <t>noo2</t>
  </si>
  <si>
    <t>考</t>
  </si>
  <si>
    <t>而</t>
  </si>
  <si>
    <t>ji5</t>
  </si>
  <si>
    <t>耳</t>
  </si>
  <si>
    <t>hi6</t>
  </si>
  <si>
    <t>hinn6</t>
  </si>
  <si>
    <t>异</t>
  </si>
  <si>
    <t>ni2</t>
  </si>
  <si>
    <t>聿</t>
  </si>
  <si>
    <t>ut8</t>
  </si>
  <si>
    <t>jiok8</t>
  </si>
  <si>
    <t>肋</t>
  </si>
  <si>
    <t>肌</t>
  </si>
  <si>
    <t>臣</t>
  </si>
  <si>
    <t>sin5</t>
  </si>
  <si>
    <t>自</t>
  </si>
  <si>
    <t>至</t>
  </si>
  <si>
    <t>tsi3</t>
  </si>
  <si>
    <t>臼</t>
  </si>
  <si>
    <t>khu6</t>
  </si>
  <si>
    <t>kiu6</t>
  </si>
  <si>
    <t>舌</t>
  </si>
  <si>
    <t>siat8</t>
  </si>
  <si>
    <t>tsih8</t>
  </si>
  <si>
    <t>舟</t>
  </si>
  <si>
    <t>艮</t>
  </si>
  <si>
    <t>kun3</t>
  </si>
  <si>
    <t>色</t>
  </si>
  <si>
    <t>ge7</t>
  </si>
  <si>
    <t>血</t>
  </si>
  <si>
    <t>hiat4</t>
  </si>
  <si>
    <t>huih4</t>
  </si>
  <si>
    <t>伐 進前, 去, 路, 做 tāi-chì, 講話, 行路, 五行.</t>
  </si>
  <si>
    <t>hing7</t>
  </si>
  <si>
    <t>衣</t>
  </si>
  <si>
    <t>ui1</t>
  </si>
  <si>
    <t>se1</t>
  </si>
  <si>
    <t>阡</t>
  </si>
  <si>
    <t>㤉</t>
  </si>
  <si>
    <t>ger5</t>
  </si>
  <si>
    <t>串</t>
  </si>
  <si>
    <t>tshuan3</t>
  </si>
  <si>
    <t>tshuinn3</t>
  </si>
  <si>
    <t>亨</t>
  </si>
  <si>
    <t>伯</t>
  </si>
  <si>
    <t>phik4</t>
  </si>
  <si>
    <t>估</t>
  </si>
  <si>
    <t>伴</t>
  </si>
  <si>
    <t>phuann6</t>
  </si>
  <si>
    <t>phuan6</t>
  </si>
  <si>
    <t>伶</t>
  </si>
  <si>
    <t>ling2</t>
  </si>
  <si>
    <t>ling5</t>
  </si>
  <si>
    <t>伸</t>
  </si>
  <si>
    <t>tshun1</t>
  </si>
  <si>
    <t>tshng1</t>
  </si>
  <si>
    <t>伺</t>
  </si>
  <si>
    <t>佂</t>
  </si>
  <si>
    <t>佇</t>
  </si>
  <si>
    <t>tir6</t>
  </si>
  <si>
    <t>佈</t>
  </si>
  <si>
    <t>佉</t>
  </si>
  <si>
    <t>khir1</t>
  </si>
  <si>
    <t>位</t>
  </si>
  <si>
    <t>ui7</t>
  </si>
  <si>
    <t>低</t>
  </si>
  <si>
    <t>ke7</t>
  </si>
  <si>
    <t>住</t>
  </si>
  <si>
    <t>tsu7</t>
  </si>
  <si>
    <t>tiu7</t>
  </si>
  <si>
    <t>tua3</t>
  </si>
  <si>
    <t>佐</t>
  </si>
  <si>
    <t>tso3</t>
  </si>
  <si>
    <t>佑</t>
  </si>
  <si>
    <t>何</t>
  </si>
  <si>
    <t>ua5</t>
  </si>
  <si>
    <t>佗</t>
  </si>
  <si>
    <t>to2</t>
  </si>
  <si>
    <t>余</t>
  </si>
  <si>
    <t>ir5</t>
  </si>
  <si>
    <t>佚</t>
  </si>
  <si>
    <t>it8</t>
  </si>
  <si>
    <t>佛</t>
  </si>
  <si>
    <t>put8</t>
  </si>
  <si>
    <t>hut8</t>
  </si>
  <si>
    <t>作</t>
  </si>
  <si>
    <t>tserh4</t>
  </si>
  <si>
    <t>tsoh4</t>
  </si>
  <si>
    <t>tsok4</t>
  </si>
  <si>
    <t>佞</t>
  </si>
  <si>
    <t>佟</t>
  </si>
  <si>
    <t>你</t>
  </si>
  <si>
    <t>兌</t>
  </si>
  <si>
    <t>tue7</t>
  </si>
  <si>
    <t>冷</t>
  </si>
  <si>
    <t>刜</t>
  </si>
  <si>
    <t>phut4</t>
  </si>
  <si>
    <t>判</t>
  </si>
  <si>
    <t>phuann3</t>
  </si>
  <si>
    <t>phuan3</t>
  </si>
  <si>
    <t>le7</t>
  </si>
  <si>
    <t>助</t>
  </si>
  <si>
    <t>tsoo7</t>
  </si>
  <si>
    <t>努</t>
  </si>
  <si>
    <t>loo6</t>
  </si>
  <si>
    <t>tsit4</t>
  </si>
  <si>
    <t>tsik4</t>
  </si>
  <si>
    <t>卵</t>
  </si>
  <si>
    <t>luan2</t>
  </si>
  <si>
    <t>nui6</t>
  </si>
  <si>
    <t>君</t>
  </si>
  <si>
    <t>吝</t>
  </si>
  <si>
    <t>lin7</t>
  </si>
  <si>
    <t>吞</t>
  </si>
  <si>
    <t>thun1</t>
  </si>
  <si>
    <t>吟</t>
  </si>
  <si>
    <t>gim5</t>
  </si>
  <si>
    <t>吠</t>
  </si>
  <si>
    <t>pui7</t>
  </si>
  <si>
    <t>hui7</t>
  </si>
  <si>
    <t>否</t>
  </si>
  <si>
    <t>phi2</t>
  </si>
  <si>
    <t>hoo2</t>
  </si>
  <si>
    <t>m̄是; m̄-thang; 無, m̄准; 問 ê 話, 抑無, 抑m̄是.</t>
  </si>
  <si>
    <t>吩</t>
  </si>
  <si>
    <t>huan1</t>
  </si>
  <si>
    <t>吪</t>
  </si>
  <si>
    <t>ngoo5</t>
  </si>
  <si>
    <t>go5</t>
  </si>
  <si>
    <t>吭</t>
  </si>
  <si>
    <t>khngh4</t>
  </si>
  <si>
    <t>吮</t>
  </si>
  <si>
    <t>tshuinn2</t>
  </si>
  <si>
    <t>sun6</t>
  </si>
  <si>
    <t>吱</t>
  </si>
  <si>
    <t>吳</t>
  </si>
  <si>
    <t>goo5</t>
  </si>
  <si>
    <t>吸</t>
  </si>
  <si>
    <t>khip4</t>
  </si>
  <si>
    <t>吹</t>
  </si>
  <si>
    <t>tshui1</t>
  </si>
  <si>
    <t>tsher1</t>
  </si>
  <si>
    <t>tshue1</t>
  </si>
  <si>
    <t>吻</t>
  </si>
  <si>
    <t>吾</t>
  </si>
  <si>
    <t>呂</t>
  </si>
  <si>
    <t>lir6</t>
  </si>
  <si>
    <t>呃</t>
  </si>
  <si>
    <t>erh4</t>
  </si>
  <si>
    <t>呅</t>
  </si>
  <si>
    <t>bun1</t>
  </si>
  <si>
    <t>呈</t>
  </si>
  <si>
    <t>thing5</t>
  </si>
  <si>
    <t>告</t>
  </si>
  <si>
    <t>牛 觸 柴 通知 人 ê 款式; 報名; 序細 稟 序大; 開拆; 告示.</t>
  </si>
  <si>
    <t>khok4</t>
  </si>
  <si>
    <t>請令 kā 父母 講.</t>
  </si>
  <si>
    <t>呛</t>
  </si>
  <si>
    <t>tshiunn3</t>
  </si>
  <si>
    <t>囤</t>
  </si>
  <si>
    <t>tun2</t>
  </si>
  <si>
    <t>囥</t>
  </si>
  <si>
    <t>khng3</t>
  </si>
  <si>
    <t>囪</t>
  </si>
  <si>
    <t>囫</t>
  </si>
  <si>
    <t>hut4</t>
  </si>
  <si>
    <t>困</t>
  </si>
  <si>
    <t>khun3</t>
  </si>
  <si>
    <t>圿</t>
  </si>
  <si>
    <t>kereh4</t>
  </si>
  <si>
    <t>址</t>
  </si>
  <si>
    <t>坂</t>
  </si>
  <si>
    <t>puann2</t>
  </si>
  <si>
    <t>均</t>
  </si>
  <si>
    <t>坉</t>
  </si>
  <si>
    <t>thun7</t>
  </si>
  <si>
    <t>坊</t>
  </si>
  <si>
    <t>坐</t>
  </si>
  <si>
    <t>tser6</t>
  </si>
  <si>
    <t>tso7</t>
  </si>
  <si>
    <t>坑</t>
  </si>
  <si>
    <t>khenn1</t>
  </si>
  <si>
    <t>khing1</t>
  </si>
  <si>
    <t>壯</t>
  </si>
  <si>
    <t>tsong3</t>
  </si>
  <si>
    <t>gereh4</t>
  </si>
  <si>
    <t>ngereh4</t>
  </si>
  <si>
    <t>ngeh4</t>
  </si>
  <si>
    <t>妊</t>
  </si>
  <si>
    <t>妍</t>
  </si>
  <si>
    <t>gian2</t>
  </si>
  <si>
    <t>妒</t>
  </si>
  <si>
    <t>too3</t>
  </si>
  <si>
    <t>妓</t>
  </si>
  <si>
    <t>妗</t>
  </si>
  <si>
    <t>kim6</t>
  </si>
  <si>
    <t>妝</t>
  </si>
  <si>
    <t>tsong1</t>
  </si>
  <si>
    <t>妣</t>
  </si>
  <si>
    <t>妤</t>
  </si>
  <si>
    <t>妥</t>
  </si>
  <si>
    <t>tho3</t>
  </si>
  <si>
    <t>妨</t>
  </si>
  <si>
    <t>孜</t>
  </si>
  <si>
    <t>tsur1</t>
  </si>
  <si>
    <t>宋</t>
  </si>
  <si>
    <t>song3</t>
  </si>
  <si>
    <t>完</t>
  </si>
  <si>
    <t>宏</t>
  </si>
  <si>
    <t>尾</t>
  </si>
  <si>
    <t>ber2</t>
  </si>
  <si>
    <t>尿</t>
  </si>
  <si>
    <t>jio7</t>
  </si>
  <si>
    <t>局</t>
  </si>
  <si>
    <t>kik8</t>
  </si>
  <si>
    <t>屁</t>
  </si>
  <si>
    <t>phi3</t>
  </si>
  <si>
    <t>phui3</t>
  </si>
  <si>
    <t>岐</t>
  </si>
  <si>
    <t>ki5</t>
  </si>
  <si>
    <t>岑</t>
  </si>
  <si>
    <t>tshim5</t>
  </si>
  <si>
    <t>巡</t>
  </si>
  <si>
    <t>巫</t>
  </si>
  <si>
    <t>bu5</t>
  </si>
  <si>
    <t>希</t>
  </si>
  <si>
    <t>hi1</t>
  </si>
  <si>
    <t>庇</t>
  </si>
  <si>
    <t>pi3</t>
  </si>
  <si>
    <t>床</t>
  </si>
  <si>
    <t>tshong5</t>
  </si>
  <si>
    <t>tshng5</t>
  </si>
  <si>
    <t>sng5</t>
  </si>
  <si>
    <t>序</t>
  </si>
  <si>
    <t>sir6</t>
  </si>
  <si>
    <t>廷</t>
  </si>
  <si>
    <t>ting5</t>
  </si>
  <si>
    <t>long7</t>
  </si>
  <si>
    <t>弟</t>
  </si>
  <si>
    <t>形</t>
  </si>
  <si>
    <t>彤</t>
  </si>
  <si>
    <t>彷</t>
  </si>
  <si>
    <t>役</t>
  </si>
  <si>
    <t>忌</t>
  </si>
  <si>
    <t>khi7</t>
  </si>
  <si>
    <t>忍</t>
  </si>
  <si>
    <t>jim2</t>
  </si>
  <si>
    <t>lun2</t>
  </si>
  <si>
    <t>忑</t>
  </si>
  <si>
    <t>therk4</t>
  </si>
  <si>
    <t>忒</t>
  </si>
  <si>
    <t>志</t>
  </si>
  <si>
    <t>忘</t>
  </si>
  <si>
    <t>忤</t>
  </si>
  <si>
    <t>goo2</t>
  </si>
  <si>
    <t>快</t>
  </si>
  <si>
    <t>khuai3</t>
  </si>
  <si>
    <t>khuann3</t>
  </si>
  <si>
    <t>khue3</t>
  </si>
  <si>
    <t>kere7</t>
  </si>
  <si>
    <t>忳</t>
  </si>
  <si>
    <t>thun3</t>
  </si>
  <si>
    <t>我</t>
  </si>
  <si>
    <t>扭</t>
  </si>
  <si>
    <t>liu2</t>
  </si>
  <si>
    <t>ngiu2</t>
  </si>
  <si>
    <t>扯</t>
  </si>
  <si>
    <t>tshe2</t>
  </si>
  <si>
    <t>扱</t>
  </si>
  <si>
    <t>khip8</t>
  </si>
  <si>
    <t>扴</t>
  </si>
  <si>
    <t>keeh8</t>
  </si>
  <si>
    <t>扶</t>
  </si>
  <si>
    <t>phoo5</t>
  </si>
  <si>
    <t>hu5</t>
  </si>
  <si>
    <t>批</t>
  </si>
  <si>
    <t>phe1</t>
  </si>
  <si>
    <t>phere1</t>
  </si>
  <si>
    <t>扼</t>
  </si>
  <si>
    <t>kirh8</t>
  </si>
  <si>
    <t>技</t>
  </si>
  <si>
    <t>抅</t>
  </si>
  <si>
    <t>niuh4</t>
  </si>
  <si>
    <t>抉</t>
  </si>
  <si>
    <t>kuat4</t>
  </si>
  <si>
    <t>pee2</t>
  </si>
  <si>
    <t>抌</t>
  </si>
  <si>
    <t>tim3</t>
  </si>
  <si>
    <t>thim3</t>
  </si>
  <si>
    <t>抑</t>
  </si>
  <si>
    <t>抒</t>
  </si>
  <si>
    <t>sir1</t>
  </si>
  <si>
    <t>抔</t>
  </si>
  <si>
    <t>tio5</t>
  </si>
  <si>
    <t>抗</t>
  </si>
  <si>
    <t>折</t>
  </si>
  <si>
    <t>tsiat4</t>
  </si>
  <si>
    <t>攸</t>
  </si>
  <si>
    <t>kere2</t>
  </si>
  <si>
    <t>攻</t>
  </si>
  <si>
    <t>uann6</t>
  </si>
  <si>
    <t>更</t>
  </si>
  <si>
    <t>kenn1</t>
  </si>
  <si>
    <t>king3</t>
  </si>
  <si>
    <t>kerng1</t>
  </si>
  <si>
    <t>kerng3</t>
  </si>
  <si>
    <t>kuainn1</t>
  </si>
  <si>
    <t>李</t>
  </si>
  <si>
    <t>杏</t>
  </si>
  <si>
    <t>hing6</t>
  </si>
  <si>
    <t>村</t>
  </si>
  <si>
    <t>杖</t>
  </si>
  <si>
    <t>tiong7</t>
  </si>
  <si>
    <t>thng7</t>
  </si>
  <si>
    <t>杜</t>
  </si>
  <si>
    <t>too6</t>
  </si>
  <si>
    <t>杞</t>
  </si>
  <si>
    <t>束</t>
  </si>
  <si>
    <t>sok4</t>
  </si>
  <si>
    <t>步</t>
  </si>
  <si>
    <t>poo7</t>
  </si>
  <si>
    <t>每</t>
  </si>
  <si>
    <t>mui2</t>
  </si>
  <si>
    <t>求</t>
  </si>
  <si>
    <t>汩</t>
  </si>
  <si>
    <t>khuh8</t>
  </si>
  <si>
    <t>汪</t>
  </si>
  <si>
    <t>ong1</t>
  </si>
  <si>
    <t>thua7</t>
  </si>
  <si>
    <t>汲</t>
  </si>
  <si>
    <t>kip4</t>
  </si>
  <si>
    <t>汶</t>
  </si>
  <si>
    <t>bun7</t>
  </si>
  <si>
    <t>決</t>
  </si>
  <si>
    <t>汽</t>
  </si>
  <si>
    <t>汾</t>
  </si>
  <si>
    <t>hun5</t>
  </si>
  <si>
    <t>沁</t>
  </si>
  <si>
    <t>tshim3</t>
  </si>
  <si>
    <t>沂</t>
  </si>
  <si>
    <t>gun5</t>
  </si>
  <si>
    <t>ok4</t>
  </si>
  <si>
    <t>沈</t>
  </si>
  <si>
    <t>sim2</t>
  </si>
  <si>
    <t>tim5</t>
  </si>
  <si>
    <t>沌</t>
  </si>
  <si>
    <t>tun6</t>
  </si>
  <si>
    <t>沒</t>
  </si>
  <si>
    <t>沖</t>
  </si>
  <si>
    <t>sua1</t>
  </si>
  <si>
    <t>沢</t>
  </si>
  <si>
    <t>灸</t>
  </si>
  <si>
    <t>灼</t>
  </si>
  <si>
    <t>tsiok4</t>
  </si>
  <si>
    <t>tser1</t>
  </si>
  <si>
    <t>牡</t>
  </si>
  <si>
    <t>boo2</t>
  </si>
  <si>
    <t>lo5</t>
  </si>
  <si>
    <t>狂</t>
  </si>
  <si>
    <t>kong5</t>
  </si>
  <si>
    <t>狄</t>
  </si>
  <si>
    <t>玖</t>
  </si>
  <si>
    <t>甫</t>
  </si>
  <si>
    <t>hu2</t>
  </si>
  <si>
    <t>町</t>
  </si>
  <si>
    <t>疕</t>
  </si>
  <si>
    <t>皂</t>
  </si>
  <si>
    <t>tso6</t>
  </si>
  <si>
    <t>禿</t>
  </si>
  <si>
    <t>thut4</t>
  </si>
  <si>
    <t>秀</t>
  </si>
  <si>
    <t>siu3</t>
  </si>
  <si>
    <t>究</t>
  </si>
  <si>
    <t>kiu3</t>
  </si>
  <si>
    <t>系</t>
  </si>
  <si>
    <t>he7</t>
  </si>
  <si>
    <t>肘</t>
  </si>
  <si>
    <t>tiu5</t>
  </si>
  <si>
    <t>肚</t>
  </si>
  <si>
    <t>too2</t>
  </si>
  <si>
    <t>kuann1</t>
  </si>
  <si>
    <t>育</t>
  </si>
  <si>
    <t>良</t>
  </si>
  <si>
    <t>liang5</t>
  </si>
  <si>
    <t>liong5</t>
  </si>
  <si>
    <t>芊</t>
  </si>
  <si>
    <t>芋</t>
  </si>
  <si>
    <t>oo7</t>
  </si>
  <si>
    <t>mee5</t>
  </si>
  <si>
    <t>見</t>
  </si>
  <si>
    <t>kian3</t>
  </si>
  <si>
    <t>kinn3</t>
  </si>
  <si>
    <t>言</t>
  </si>
  <si>
    <t>gian5</t>
  </si>
  <si>
    <t>谷</t>
  </si>
  <si>
    <t>tio7</t>
  </si>
  <si>
    <t>豸</t>
  </si>
  <si>
    <t>thua6</t>
  </si>
  <si>
    <t>ti6</t>
  </si>
  <si>
    <t>貝</t>
  </si>
  <si>
    <t>pue3</t>
  </si>
  <si>
    <t>赤</t>
  </si>
  <si>
    <t>足</t>
  </si>
  <si>
    <t>身</t>
  </si>
  <si>
    <t>車</t>
  </si>
  <si>
    <t>kir1</t>
  </si>
  <si>
    <t>辛</t>
  </si>
  <si>
    <t>辰</t>
  </si>
  <si>
    <t>迂</t>
  </si>
  <si>
    <t>迄</t>
  </si>
  <si>
    <t>hit4</t>
  </si>
  <si>
    <t>gut4</t>
  </si>
  <si>
    <t>迅</t>
  </si>
  <si>
    <t>邑</t>
  </si>
  <si>
    <t>ip4</t>
  </si>
  <si>
    <t>邢</t>
  </si>
  <si>
    <t>酉</t>
  </si>
  <si>
    <t>里</t>
  </si>
  <si>
    <t>阮</t>
  </si>
  <si>
    <t>guan2</t>
  </si>
  <si>
    <t>ng2</t>
  </si>
  <si>
    <t>gun2</t>
  </si>
  <si>
    <t>阱</t>
  </si>
  <si>
    <t>防</t>
  </si>
  <si>
    <t>㧒</t>
  </si>
  <si>
    <t>並</t>
  </si>
  <si>
    <t>phing7</t>
  </si>
  <si>
    <t>乖</t>
  </si>
  <si>
    <t>kuai1</t>
  </si>
  <si>
    <t>乳</t>
  </si>
  <si>
    <t>事</t>
  </si>
  <si>
    <t>sur7</t>
  </si>
  <si>
    <t>享</t>
  </si>
  <si>
    <t>hiang2</t>
  </si>
  <si>
    <t>佩</t>
  </si>
  <si>
    <t>pue7</t>
  </si>
  <si>
    <t>佯</t>
  </si>
  <si>
    <t>tenn3</t>
  </si>
  <si>
    <t>併</t>
  </si>
  <si>
    <t>佾</t>
  </si>
  <si>
    <t>lai0</t>
  </si>
  <si>
    <t>侈</t>
  </si>
  <si>
    <t>tshi2</t>
  </si>
  <si>
    <t>例</t>
  </si>
  <si>
    <t>侑</t>
  </si>
  <si>
    <t>侖</t>
  </si>
  <si>
    <t>lun5</t>
  </si>
  <si>
    <t>侗</t>
  </si>
  <si>
    <t>siang5</t>
  </si>
  <si>
    <t>sang5</t>
  </si>
  <si>
    <t>供</t>
  </si>
  <si>
    <t>依</t>
  </si>
  <si>
    <t>兒</t>
  </si>
  <si>
    <t>li5</t>
  </si>
  <si>
    <t>兔</t>
  </si>
  <si>
    <t>兩</t>
  </si>
  <si>
    <t>liang2</t>
  </si>
  <si>
    <t>noo6</t>
  </si>
  <si>
    <t>niu2</t>
  </si>
  <si>
    <t>nng6</t>
  </si>
  <si>
    <t>其</t>
  </si>
  <si>
    <t>指 所講 ê 人, 物; in, 伊, hit-ê, tio̍h； 敢敢, 語助詞.</t>
  </si>
  <si>
    <t>具</t>
  </si>
  <si>
    <t>khu7</t>
  </si>
  <si>
    <t>ku7</t>
  </si>
  <si>
    <t>初</t>
  </si>
  <si>
    <t>tshere1</t>
  </si>
  <si>
    <t>tshoo1</t>
  </si>
  <si>
    <t>刮</t>
  </si>
  <si>
    <t>khue1</t>
  </si>
  <si>
    <t>kuih4</t>
  </si>
  <si>
    <t>to3</t>
  </si>
  <si>
    <t>制</t>
  </si>
  <si>
    <t>tse3</t>
  </si>
  <si>
    <t>刷</t>
  </si>
  <si>
    <t>suat4</t>
  </si>
  <si>
    <t>券</t>
  </si>
  <si>
    <t>kuan3</t>
  </si>
  <si>
    <t>kuinn3</t>
  </si>
  <si>
    <t>刺</t>
  </si>
  <si>
    <t>tshi3</t>
  </si>
  <si>
    <t>刻</t>
  </si>
  <si>
    <t>剁</t>
  </si>
  <si>
    <t>tok4</t>
  </si>
  <si>
    <t>劾</t>
  </si>
  <si>
    <t>hik8</t>
  </si>
  <si>
    <t>卑</t>
  </si>
  <si>
    <t>pi1</t>
  </si>
  <si>
    <t>卒</t>
  </si>
  <si>
    <t>tsut4</t>
  </si>
  <si>
    <t>卓</t>
  </si>
  <si>
    <t>toh4</t>
  </si>
  <si>
    <t>卦</t>
  </si>
  <si>
    <t>kua3</t>
  </si>
  <si>
    <t>卷</t>
  </si>
  <si>
    <t>kuan2</t>
  </si>
  <si>
    <t>kuinn2</t>
  </si>
  <si>
    <t>叔</t>
  </si>
  <si>
    <t>取</t>
  </si>
  <si>
    <t>tshu2</t>
  </si>
  <si>
    <t>受</t>
  </si>
  <si>
    <t>siu7</t>
  </si>
  <si>
    <t>相 交付; 承接, 得tio̍h, 容允; 領袖; 承受; 受罪, 受苦.</t>
  </si>
  <si>
    <t>呢</t>
  </si>
  <si>
    <t>neeh0</t>
  </si>
  <si>
    <t>周</t>
  </si>
  <si>
    <t>呱</t>
  </si>
  <si>
    <t>味</t>
  </si>
  <si>
    <t>呵</t>
  </si>
  <si>
    <t>o1</t>
  </si>
  <si>
    <t>呸</t>
  </si>
  <si>
    <t>呼</t>
  </si>
  <si>
    <t>khoo1</t>
  </si>
  <si>
    <t>hoo1</t>
  </si>
  <si>
    <t>bing7</t>
  </si>
  <si>
    <t>呿</t>
  </si>
  <si>
    <t>khuh4</t>
  </si>
  <si>
    <t>咀</t>
  </si>
  <si>
    <t>tsir2</t>
  </si>
  <si>
    <t>咄</t>
  </si>
  <si>
    <t>tut4</t>
  </si>
  <si>
    <t>和</t>
  </si>
  <si>
    <t>咎</t>
  </si>
  <si>
    <t>kiu7</t>
  </si>
  <si>
    <t>咐</t>
  </si>
  <si>
    <t>咒</t>
  </si>
  <si>
    <t>tsiu3</t>
  </si>
  <si>
    <t>咕</t>
  </si>
  <si>
    <t>koo1</t>
  </si>
  <si>
    <t>kuh8</t>
  </si>
  <si>
    <t>固</t>
  </si>
  <si>
    <t>koo3</t>
  </si>
  <si>
    <t>坡</t>
  </si>
  <si>
    <t>pho1</t>
  </si>
  <si>
    <t>坤</t>
  </si>
  <si>
    <t>khun1</t>
  </si>
  <si>
    <t>phing5</t>
  </si>
  <si>
    <t>坯</t>
  </si>
  <si>
    <t>phue1</t>
  </si>
  <si>
    <t>pher1</t>
  </si>
  <si>
    <t>坱</t>
  </si>
  <si>
    <t>ing1</t>
  </si>
  <si>
    <t>坵</t>
  </si>
  <si>
    <t>坷</t>
  </si>
  <si>
    <t>夜</t>
  </si>
  <si>
    <t>奇</t>
  </si>
  <si>
    <t>奉</t>
  </si>
  <si>
    <t>hong7</t>
  </si>
  <si>
    <t>奔</t>
  </si>
  <si>
    <t>phun1</t>
  </si>
  <si>
    <t>妮</t>
  </si>
  <si>
    <t>妹</t>
  </si>
  <si>
    <t>muai7</t>
  </si>
  <si>
    <t>mue7</t>
  </si>
  <si>
    <t>ber7</t>
  </si>
  <si>
    <t>妻</t>
  </si>
  <si>
    <t>tshe1</t>
  </si>
  <si>
    <t>姆</t>
  </si>
  <si>
    <t>m2</t>
  </si>
  <si>
    <t>姊</t>
  </si>
  <si>
    <t>始</t>
  </si>
  <si>
    <t>姑</t>
  </si>
  <si>
    <t>姓</t>
  </si>
  <si>
    <t>senn3</t>
  </si>
  <si>
    <t>sing3</t>
  </si>
  <si>
    <t>委</t>
  </si>
  <si>
    <t>ui2</t>
  </si>
  <si>
    <t>孟</t>
  </si>
  <si>
    <t>季</t>
  </si>
  <si>
    <t>kui3</t>
  </si>
  <si>
    <t>孤</t>
  </si>
  <si>
    <t>宓</t>
  </si>
  <si>
    <t>bit8</t>
  </si>
  <si>
    <t>宗</t>
  </si>
  <si>
    <t>官</t>
  </si>
  <si>
    <t>kuan1</t>
  </si>
  <si>
    <t>宙</t>
  </si>
  <si>
    <t>tiu6</t>
  </si>
  <si>
    <t>ting7</t>
  </si>
  <si>
    <t>宛</t>
  </si>
  <si>
    <t>uan2</t>
  </si>
  <si>
    <t>宜</t>
  </si>
  <si>
    <t>gi5</t>
  </si>
  <si>
    <t>尚</t>
  </si>
  <si>
    <t>siunn7</t>
  </si>
  <si>
    <t>居</t>
  </si>
  <si>
    <t>屈</t>
  </si>
  <si>
    <t>khut4</t>
  </si>
  <si>
    <t>岡</t>
  </si>
  <si>
    <t>岫</t>
  </si>
  <si>
    <t>岷</t>
  </si>
  <si>
    <t>phee3</t>
  </si>
  <si>
    <t>帚</t>
  </si>
  <si>
    <t>帛</t>
  </si>
  <si>
    <t>幸</t>
  </si>
  <si>
    <t>底</t>
  </si>
  <si>
    <t>te2</t>
  </si>
  <si>
    <t>tere2</t>
  </si>
  <si>
    <t>庚</t>
  </si>
  <si>
    <t>府</t>
  </si>
  <si>
    <t>tshian5</t>
  </si>
  <si>
    <t>弦</t>
  </si>
  <si>
    <t>弧</t>
  </si>
  <si>
    <t>oo5</t>
  </si>
  <si>
    <t>弩</t>
  </si>
  <si>
    <t>彼</t>
  </si>
  <si>
    <t>he1</t>
  </si>
  <si>
    <t>彿</t>
  </si>
  <si>
    <t>往</t>
  </si>
  <si>
    <t>ong2</t>
  </si>
  <si>
    <t>征</t>
  </si>
  <si>
    <t>忽</t>
  </si>
  <si>
    <t>忿</t>
  </si>
  <si>
    <t>hun3</t>
  </si>
  <si>
    <t>怐</t>
  </si>
  <si>
    <t>khoo3</t>
  </si>
  <si>
    <t>怔</t>
  </si>
  <si>
    <t>怖</t>
  </si>
  <si>
    <t>怙</t>
  </si>
  <si>
    <t>koo6</t>
  </si>
  <si>
    <t>怡</t>
  </si>
  <si>
    <t>怢</t>
  </si>
  <si>
    <t>thuh8</t>
  </si>
  <si>
    <t>怦</t>
  </si>
  <si>
    <t>phenn7</t>
  </si>
  <si>
    <t>phing1</t>
  </si>
  <si>
    <t>性</t>
  </si>
  <si>
    <t>怪</t>
  </si>
  <si>
    <t>kuai3</t>
  </si>
  <si>
    <t>kuee3</t>
  </si>
  <si>
    <t>怫</t>
  </si>
  <si>
    <t>或</t>
  </si>
  <si>
    <t>戽</t>
  </si>
  <si>
    <t>hoo3</t>
  </si>
  <si>
    <t>戾</t>
  </si>
  <si>
    <t>pong5</t>
  </si>
  <si>
    <t>所</t>
  </si>
  <si>
    <t>soo2</t>
  </si>
  <si>
    <t>承</t>
  </si>
  <si>
    <t>披</t>
  </si>
  <si>
    <t>抱</t>
  </si>
  <si>
    <t>pho7</t>
  </si>
  <si>
    <t>抵</t>
  </si>
  <si>
    <t>ti2</t>
  </si>
  <si>
    <t>抹</t>
  </si>
  <si>
    <t>buah4</t>
  </si>
  <si>
    <t>buat4</t>
  </si>
  <si>
    <t>抽</t>
  </si>
  <si>
    <t>thiu1</t>
  </si>
  <si>
    <t>抾</t>
  </si>
  <si>
    <t>khioh4</t>
  </si>
  <si>
    <t>抿</t>
  </si>
  <si>
    <t>bin2</t>
  </si>
  <si>
    <t>拂</t>
  </si>
  <si>
    <t>拄</t>
  </si>
  <si>
    <t>tu2</t>
  </si>
  <si>
    <t>拇</t>
  </si>
  <si>
    <t>拈</t>
  </si>
  <si>
    <t>phua1</t>
  </si>
  <si>
    <t>拌</t>
  </si>
  <si>
    <t>puann6</t>
  </si>
  <si>
    <t>puan6</t>
  </si>
  <si>
    <t>拐</t>
  </si>
  <si>
    <t>kuai2</t>
  </si>
  <si>
    <t>拑</t>
  </si>
  <si>
    <t>khinn5</t>
  </si>
  <si>
    <t>拒</t>
  </si>
  <si>
    <t>拓</t>
  </si>
  <si>
    <t>拔</t>
  </si>
  <si>
    <t>puat8</t>
  </si>
  <si>
    <t>puih8</t>
  </si>
  <si>
    <t>拖</t>
  </si>
  <si>
    <t>thua1</t>
  </si>
  <si>
    <t>拙</t>
  </si>
  <si>
    <t>tsuat4</t>
  </si>
  <si>
    <t>tsio1</t>
  </si>
  <si>
    <t>hong3</t>
  </si>
  <si>
    <t>斧</t>
  </si>
  <si>
    <t>poo2</t>
  </si>
  <si>
    <t>旺</t>
  </si>
  <si>
    <t>ong7</t>
  </si>
  <si>
    <t>旻</t>
  </si>
  <si>
    <t>昂</t>
  </si>
  <si>
    <t>gong5</t>
  </si>
  <si>
    <t>昆</t>
  </si>
  <si>
    <t>昇</t>
  </si>
  <si>
    <t>昊</t>
  </si>
  <si>
    <t>ho6</t>
  </si>
  <si>
    <t>昌</t>
  </si>
  <si>
    <t>tshiang1</t>
  </si>
  <si>
    <t>mua5</t>
  </si>
  <si>
    <t>昏</t>
  </si>
  <si>
    <t>huinn1</t>
  </si>
  <si>
    <t>易</t>
  </si>
  <si>
    <t>i7</t>
  </si>
  <si>
    <t>昔</t>
  </si>
  <si>
    <t>朋</t>
  </si>
  <si>
    <t>服</t>
  </si>
  <si>
    <t>杮</t>
  </si>
  <si>
    <t>pher3</t>
  </si>
  <si>
    <t>杯</t>
  </si>
  <si>
    <t>pue1</t>
  </si>
  <si>
    <t>杰</t>
  </si>
  <si>
    <t>kiat8</t>
  </si>
  <si>
    <t>杵</t>
  </si>
  <si>
    <t>thir2</t>
  </si>
  <si>
    <t>杼</t>
  </si>
  <si>
    <t>松</t>
  </si>
  <si>
    <t>song5</t>
  </si>
  <si>
    <t>松同; 松膠=松膠, 就是 thang 做 黏物 ê 路用.</t>
  </si>
  <si>
    <t>tshing5</t>
  </si>
  <si>
    <t>松柏, 松柏 類; 松糊, 松奶.</t>
  </si>
  <si>
    <t>枇</t>
  </si>
  <si>
    <t>pi5</t>
  </si>
  <si>
    <t>枉</t>
  </si>
  <si>
    <t>析</t>
  </si>
  <si>
    <t>枕</t>
  </si>
  <si>
    <t>tsim2</t>
  </si>
  <si>
    <t>lim5</t>
  </si>
  <si>
    <t>果</t>
  </si>
  <si>
    <t>ker2</t>
  </si>
  <si>
    <t>ko2</t>
  </si>
  <si>
    <t>枝</t>
  </si>
  <si>
    <t>武</t>
  </si>
  <si>
    <t>歧</t>
  </si>
  <si>
    <t>歿</t>
  </si>
  <si>
    <t>氛</t>
  </si>
  <si>
    <t>沫</t>
  </si>
  <si>
    <t>pherh8</t>
  </si>
  <si>
    <t>沬</t>
  </si>
  <si>
    <t>沮</t>
  </si>
  <si>
    <t>tsir6</t>
  </si>
  <si>
    <t>沱</t>
  </si>
  <si>
    <t>to5</t>
  </si>
  <si>
    <t>河</t>
  </si>
  <si>
    <t>沸</t>
  </si>
  <si>
    <t>pui3</t>
  </si>
  <si>
    <t>油</t>
  </si>
  <si>
    <t>治</t>
  </si>
  <si>
    <t>水 ê 名, 料理 到 好勢; 太平, 字姓, 治理, 醫治, 處治.</t>
  </si>
  <si>
    <t>沽</t>
  </si>
  <si>
    <t>況</t>
  </si>
  <si>
    <t>泄</t>
  </si>
  <si>
    <t>siat4</t>
  </si>
  <si>
    <t>tshua7</t>
  </si>
  <si>
    <t>泅</t>
  </si>
  <si>
    <t>泊</t>
  </si>
  <si>
    <t>pok8</t>
  </si>
  <si>
    <t>泏</t>
  </si>
  <si>
    <t>tsuah4</t>
  </si>
  <si>
    <t>法</t>
  </si>
  <si>
    <t>huat4</t>
  </si>
  <si>
    <t>泛</t>
  </si>
  <si>
    <t>波</t>
  </si>
  <si>
    <t>泣</t>
  </si>
  <si>
    <t>泥</t>
  </si>
  <si>
    <t>注</t>
  </si>
  <si>
    <t>tu3</t>
  </si>
  <si>
    <t>tsu3</t>
  </si>
  <si>
    <t>泮</t>
  </si>
  <si>
    <t>泯</t>
  </si>
  <si>
    <t>泱</t>
  </si>
  <si>
    <t>泳</t>
  </si>
  <si>
    <t>炅</t>
  </si>
  <si>
    <t>炊</t>
  </si>
  <si>
    <t>炕</t>
  </si>
  <si>
    <t>爬</t>
  </si>
  <si>
    <t>爭</t>
  </si>
  <si>
    <t>tsenn1</t>
  </si>
  <si>
    <t>tsinn1</t>
  </si>
  <si>
    <t>tserng1</t>
  </si>
  <si>
    <t>牧</t>
  </si>
  <si>
    <t>物</t>
  </si>
  <si>
    <t>mih8</t>
  </si>
  <si>
    <t>mngh8</t>
  </si>
  <si>
    <t>狀</t>
  </si>
  <si>
    <t>tsiang7</t>
  </si>
  <si>
    <t>tsong7</t>
  </si>
  <si>
    <t>tsng7</t>
  </si>
  <si>
    <t>狐</t>
  </si>
  <si>
    <t>kio2</t>
  </si>
  <si>
    <t>狙</t>
  </si>
  <si>
    <t>tshir1</t>
  </si>
  <si>
    <t>玥</t>
  </si>
  <si>
    <t>玩</t>
  </si>
  <si>
    <t>玫</t>
  </si>
  <si>
    <t>mue5</t>
  </si>
  <si>
    <t>疚</t>
  </si>
  <si>
    <t>的</t>
  </si>
  <si>
    <t>盂</t>
  </si>
  <si>
    <t>盲</t>
  </si>
  <si>
    <t>直</t>
  </si>
  <si>
    <t>tit8</t>
  </si>
  <si>
    <t>ti1</t>
  </si>
  <si>
    <t>矽</t>
  </si>
  <si>
    <t>祁</t>
  </si>
  <si>
    <t>秉</t>
  </si>
  <si>
    <t>糾</t>
  </si>
  <si>
    <t>罔</t>
  </si>
  <si>
    <t>bong2</t>
  </si>
  <si>
    <t>羌</t>
  </si>
  <si>
    <t>khiang1</t>
  </si>
  <si>
    <t>kiunn1</t>
  </si>
  <si>
    <t>者</t>
  </si>
  <si>
    <t>tsia2</t>
  </si>
  <si>
    <t>股</t>
  </si>
  <si>
    <t>肢</t>
  </si>
  <si>
    <t>肥</t>
  </si>
  <si>
    <t>pui5</t>
  </si>
  <si>
    <t>hui5</t>
  </si>
  <si>
    <t>kian1</t>
  </si>
  <si>
    <t>肯</t>
  </si>
  <si>
    <t>khin2</t>
  </si>
  <si>
    <t>khing2</t>
  </si>
  <si>
    <t>kherng2</t>
  </si>
  <si>
    <t>肱</t>
  </si>
  <si>
    <t>肺</t>
  </si>
  <si>
    <t>臥</t>
  </si>
  <si>
    <t>ngoo7</t>
  </si>
  <si>
    <t>人臣, àⁿ腰 敬 君王; soah, 歇, 降服, 變化, 倒teh 睏.</t>
  </si>
  <si>
    <t>go7</t>
  </si>
  <si>
    <t>倒teh, 撐teh, 睏, 睏 ê 所在.</t>
  </si>
  <si>
    <t>歇睏, khiā睏, 睏 飽, 早睏, 愛睏; 睏夢.</t>
  </si>
  <si>
    <t>臾</t>
  </si>
  <si>
    <t>芙</t>
  </si>
  <si>
    <t>phu5</t>
  </si>
  <si>
    <t>芝</t>
  </si>
  <si>
    <t>芬</t>
  </si>
  <si>
    <t>芯</t>
  </si>
  <si>
    <t>花</t>
  </si>
  <si>
    <t>hua1</t>
  </si>
  <si>
    <t>huee1</t>
  </si>
  <si>
    <t>芷</t>
  </si>
  <si>
    <t>芸</t>
  </si>
  <si>
    <t>芹</t>
  </si>
  <si>
    <t>khun5</t>
  </si>
  <si>
    <t>虎</t>
  </si>
  <si>
    <t>虯</t>
  </si>
  <si>
    <t>khiu5</t>
  </si>
  <si>
    <t>pio2</t>
  </si>
  <si>
    <t>迌</t>
  </si>
  <si>
    <t>tho5</t>
  </si>
  <si>
    <t>ging5</t>
  </si>
  <si>
    <t>近</t>
  </si>
  <si>
    <t>kun6</t>
  </si>
  <si>
    <t>返</t>
  </si>
  <si>
    <t>邱</t>
  </si>
  <si>
    <t>sio7</t>
  </si>
  <si>
    <t>邸</t>
  </si>
  <si>
    <t>金</t>
  </si>
  <si>
    <t>長</t>
  </si>
  <si>
    <t>tiang2</t>
  </si>
  <si>
    <t>tiang3</t>
  </si>
  <si>
    <t>tiang5</t>
  </si>
  <si>
    <t>tiong5</t>
  </si>
  <si>
    <t>tiunn2</t>
  </si>
  <si>
    <t>tng5</t>
  </si>
  <si>
    <t>tng7</t>
  </si>
  <si>
    <t>tsiang2</t>
  </si>
  <si>
    <t>銀 過長, 米 過長, 就是 起價 ê 意思.</t>
  </si>
  <si>
    <t>門</t>
  </si>
  <si>
    <t>mui5</t>
  </si>
  <si>
    <t>阜</t>
  </si>
  <si>
    <t>阻</t>
  </si>
  <si>
    <t>陀</t>
  </si>
  <si>
    <t>too5</t>
  </si>
  <si>
    <t>附</t>
  </si>
  <si>
    <t>雨</t>
  </si>
  <si>
    <t>青</t>
  </si>
  <si>
    <t>tshenn1</t>
  </si>
  <si>
    <t>tshing1</t>
  </si>
  <si>
    <t>非</t>
  </si>
  <si>
    <t>𤆬</t>
  </si>
  <si>
    <t>𨑨</t>
  </si>
  <si>
    <t>thit4</t>
  </si>
  <si>
    <t>㧣</t>
  </si>
  <si>
    <t>tu1</t>
  </si>
  <si>
    <t>亮</t>
  </si>
  <si>
    <t>liang7</t>
  </si>
  <si>
    <t>侮</t>
  </si>
  <si>
    <t>hio5</t>
  </si>
  <si>
    <t>侵</t>
  </si>
  <si>
    <t>tshim1</t>
  </si>
  <si>
    <t>侶</t>
  </si>
  <si>
    <t>係</t>
  </si>
  <si>
    <t>促</t>
  </si>
  <si>
    <t>俄</t>
  </si>
  <si>
    <t>俊</t>
  </si>
  <si>
    <t>俎</t>
  </si>
  <si>
    <t>tshio3</t>
  </si>
  <si>
    <t>俐</t>
  </si>
  <si>
    <t>俚</t>
  </si>
  <si>
    <t>保</t>
  </si>
  <si>
    <t>po2</t>
  </si>
  <si>
    <t>俞</t>
  </si>
  <si>
    <t>俟</t>
  </si>
  <si>
    <t>信</t>
  </si>
  <si>
    <t>冑</t>
  </si>
  <si>
    <t>冒</t>
  </si>
  <si>
    <t>moo7</t>
  </si>
  <si>
    <t>冠</t>
  </si>
  <si>
    <t>剃</t>
  </si>
  <si>
    <t>thi3</t>
  </si>
  <si>
    <t>thih4</t>
  </si>
  <si>
    <t>則</t>
  </si>
  <si>
    <t>tserk4</t>
  </si>
  <si>
    <t>剉</t>
  </si>
  <si>
    <t>tsho3</t>
  </si>
  <si>
    <t>剋</t>
  </si>
  <si>
    <t>tsian5</t>
  </si>
  <si>
    <t>tsing5</t>
  </si>
  <si>
    <t>前後, 面前, 早前, 前日, 進前, 前面, 前人kiáⁿ.</t>
  </si>
  <si>
    <t>勁</t>
  </si>
  <si>
    <t>勃</t>
  </si>
  <si>
    <t>匍</t>
  </si>
  <si>
    <t>poo5</t>
  </si>
  <si>
    <t>匧</t>
  </si>
  <si>
    <t>khereh4</t>
  </si>
  <si>
    <t>卻</t>
  </si>
  <si>
    <t>khiak4</t>
  </si>
  <si>
    <t>厘</t>
  </si>
  <si>
    <t>叛</t>
  </si>
  <si>
    <t>puan7</t>
  </si>
  <si>
    <t>咠</t>
  </si>
  <si>
    <t>tship4</t>
  </si>
  <si>
    <t>咧</t>
  </si>
  <si>
    <t>leeh4</t>
  </si>
  <si>
    <t>terh4</t>
  </si>
  <si>
    <t>lerh4</t>
  </si>
  <si>
    <t>咨</t>
  </si>
  <si>
    <t>咩</t>
  </si>
  <si>
    <t>meeh4</t>
  </si>
  <si>
    <t>咪</t>
  </si>
  <si>
    <t>bi1</t>
  </si>
  <si>
    <t>咫</t>
  </si>
  <si>
    <t>咿</t>
  </si>
  <si>
    <t>品</t>
  </si>
  <si>
    <t>phin2</t>
  </si>
  <si>
    <t>哂</t>
  </si>
  <si>
    <t>sin2</t>
  </si>
  <si>
    <t>哆</t>
  </si>
  <si>
    <t>哇</t>
  </si>
  <si>
    <t>ua1</t>
  </si>
  <si>
    <t>囿</t>
  </si>
  <si>
    <t>垂</t>
  </si>
  <si>
    <t>se5</t>
  </si>
  <si>
    <t>sui5</t>
  </si>
  <si>
    <t>ser5</t>
  </si>
  <si>
    <t>型</t>
  </si>
  <si>
    <t>垠</t>
  </si>
  <si>
    <t>奎</t>
  </si>
  <si>
    <t>ke1</t>
  </si>
  <si>
    <t>tsio3</t>
  </si>
  <si>
    <t>奐</t>
  </si>
  <si>
    <t>契</t>
  </si>
  <si>
    <t>khe3</t>
  </si>
  <si>
    <t>khiat4</t>
  </si>
  <si>
    <t>勤苦, 勤儉, 開闊; 刻削, 絕斷; 戲謔.</t>
  </si>
  <si>
    <t>契父, 契母, 契kiáⁿ, 契兄; 田契, 厝契, 討契兄.</t>
  </si>
  <si>
    <t>奕</t>
  </si>
  <si>
    <t>i6</t>
  </si>
  <si>
    <t>姘</t>
  </si>
  <si>
    <t>phing3</t>
  </si>
  <si>
    <t>io5</t>
  </si>
  <si>
    <t>姜</t>
  </si>
  <si>
    <t>khiunn1</t>
  </si>
  <si>
    <t>姝</t>
  </si>
  <si>
    <t>su1</t>
  </si>
  <si>
    <t>姨</t>
  </si>
  <si>
    <t>姪</t>
  </si>
  <si>
    <t>姻</t>
  </si>
  <si>
    <t>姼</t>
  </si>
  <si>
    <t>姿</t>
  </si>
  <si>
    <t>威</t>
  </si>
  <si>
    <t>娃</t>
  </si>
  <si>
    <t>客</t>
  </si>
  <si>
    <t>kheeh4</t>
  </si>
  <si>
    <t>宣</t>
  </si>
  <si>
    <t>suan1</t>
  </si>
  <si>
    <t>室</t>
  </si>
  <si>
    <t>宥</t>
  </si>
  <si>
    <t>屋</t>
  </si>
  <si>
    <t>屍</t>
  </si>
  <si>
    <t>屏</t>
  </si>
  <si>
    <t>pin5</t>
  </si>
  <si>
    <t>峋</t>
  </si>
  <si>
    <t>sun1</t>
  </si>
  <si>
    <t>峙</t>
  </si>
  <si>
    <t>帝</t>
  </si>
  <si>
    <t>te3</t>
  </si>
  <si>
    <t>帥</t>
  </si>
  <si>
    <t>sue3</t>
  </si>
  <si>
    <t>幽</t>
  </si>
  <si>
    <t>iu1</t>
  </si>
  <si>
    <t>度</t>
  </si>
  <si>
    <t>too7</t>
  </si>
  <si>
    <t>tok8</t>
  </si>
  <si>
    <t>phah算, 量比, 測度, chhē度, 鑒勘.</t>
  </si>
  <si>
    <t>建</t>
  </si>
  <si>
    <t>弈</t>
  </si>
  <si>
    <t>弭</t>
  </si>
  <si>
    <t>很</t>
  </si>
  <si>
    <t>hun2</t>
  </si>
  <si>
    <t>徊</t>
  </si>
  <si>
    <t>huai5</t>
  </si>
  <si>
    <t>律</t>
  </si>
  <si>
    <t>lut8</t>
  </si>
  <si>
    <t>au7</t>
  </si>
  <si>
    <t>怎</t>
  </si>
  <si>
    <t>tsuann2</t>
  </si>
  <si>
    <t>怒</t>
  </si>
  <si>
    <t>noo7</t>
  </si>
  <si>
    <t>思</t>
  </si>
  <si>
    <t>急</t>
  </si>
  <si>
    <t>怨</t>
  </si>
  <si>
    <t>uan3</t>
  </si>
  <si>
    <t>怹</t>
  </si>
  <si>
    <t>恂</t>
  </si>
  <si>
    <t>sun2</t>
  </si>
  <si>
    <t>恃</t>
  </si>
  <si>
    <t>恆</t>
  </si>
  <si>
    <t>恍</t>
  </si>
  <si>
    <t>恢</t>
  </si>
  <si>
    <t>恤</t>
  </si>
  <si>
    <t>恨</t>
  </si>
  <si>
    <t>hin7</t>
  </si>
  <si>
    <t>恪</t>
  </si>
  <si>
    <t>pinn2</t>
  </si>
  <si>
    <t>括</t>
  </si>
  <si>
    <t>kuah4</t>
  </si>
  <si>
    <t>拭</t>
  </si>
  <si>
    <t>拮</t>
  </si>
  <si>
    <t>拯</t>
  </si>
  <si>
    <t>tsin2</t>
  </si>
  <si>
    <t>拱</t>
  </si>
  <si>
    <t>kiong2</t>
  </si>
  <si>
    <t>拴</t>
  </si>
  <si>
    <t>拷</t>
  </si>
  <si>
    <t>拼</t>
  </si>
  <si>
    <t>拾</t>
  </si>
  <si>
    <t>持</t>
  </si>
  <si>
    <t>tshi5</t>
  </si>
  <si>
    <t>挂</t>
  </si>
  <si>
    <t>挃</t>
  </si>
  <si>
    <t>tih8</t>
  </si>
  <si>
    <t>tsng2</t>
  </si>
  <si>
    <t>thio1</t>
  </si>
  <si>
    <t>挕</t>
  </si>
  <si>
    <t>hinn3</t>
  </si>
  <si>
    <t>挖</t>
  </si>
  <si>
    <t>uat4</t>
  </si>
  <si>
    <t>uih4</t>
  </si>
  <si>
    <t>政</t>
  </si>
  <si>
    <t>故</t>
  </si>
  <si>
    <t>施</t>
  </si>
  <si>
    <t>既</t>
  </si>
  <si>
    <t>ki3</t>
  </si>
  <si>
    <t>映</t>
  </si>
  <si>
    <t>iann3</t>
  </si>
  <si>
    <t>春</t>
  </si>
  <si>
    <t>昧</t>
  </si>
  <si>
    <t>mui7</t>
  </si>
  <si>
    <t>無 出日, 無明, 暗暗 ê 意思</t>
  </si>
  <si>
    <t>tsoh8</t>
  </si>
  <si>
    <t>tsok8</t>
  </si>
  <si>
    <t>是</t>
  </si>
  <si>
    <t>枯</t>
  </si>
  <si>
    <t>枴</t>
  </si>
  <si>
    <t>kee3</t>
  </si>
  <si>
    <t>枷</t>
  </si>
  <si>
    <t>kee5</t>
  </si>
  <si>
    <t>枸</t>
  </si>
  <si>
    <t>柄</t>
  </si>
  <si>
    <t>penn3</t>
  </si>
  <si>
    <t>柏</t>
  </si>
  <si>
    <t>某</t>
  </si>
  <si>
    <t>柔</t>
  </si>
  <si>
    <t>jiu5</t>
  </si>
  <si>
    <t>柚</t>
  </si>
  <si>
    <t>柩</t>
  </si>
  <si>
    <t>柯</t>
  </si>
  <si>
    <t>kho1</t>
  </si>
  <si>
    <t>柳</t>
  </si>
  <si>
    <t>柿</t>
  </si>
  <si>
    <t>khi6</t>
  </si>
  <si>
    <t>歪</t>
  </si>
  <si>
    <t>uai1</t>
  </si>
  <si>
    <t>殃</t>
  </si>
  <si>
    <t>段</t>
  </si>
  <si>
    <t>tuann7</t>
  </si>
  <si>
    <t>tuan7</t>
  </si>
  <si>
    <t>毗</t>
  </si>
  <si>
    <t>泉</t>
  </si>
  <si>
    <t>tsuann5</t>
  </si>
  <si>
    <t>泵</t>
  </si>
  <si>
    <t>pong3</t>
  </si>
  <si>
    <t>洋</t>
  </si>
  <si>
    <t>洒</t>
  </si>
  <si>
    <t>洗</t>
  </si>
  <si>
    <t>se2</t>
  </si>
  <si>
    <t>sere2</t>
  </si>
  <si>
    <t>洘</t>
  </si>
  <si>
    <t>洛</t>
  </si>
  <si>
    <t>loh8</t>
  </si>
  <si>
    <t>lok8</t>
  </si>
  <si>
    <t>洞</t>
  </si>
  <si>
    <t>津</t>
  </si>
  <si>
    <t>tin1</t>
  </si>
  <si>
    <t>洲</t>
  </si>
  <si>
    <t>洵</t>
  </si>
  <si>
    <t>活</t>
  </si>
  <si>
    <t>uah8</t>
  </si>
  <si>
    <t>liu5</t>
  </si>
  <si>
    <t>炣</t>
  </si>
  <si>
    <t>炫</t>
  </si>
  <si>
    <t>hian7</t>
  </si>
  <si>
    <t>炬</t>
  </si>
  <si>
    <t>炭</t>
  </si>
  <si>
    <t>thuann3</t>
  </si>
  <si>
    <t>炯</t>
  </si>
  <si>
    <t>king2</t>
  </si>
  <si>
    <t>炰</t>
  </si>
  <si>
    <t>pu5</t>
  </si>
  <si>
    <t>為</t>
  </si>
  <si>
    <t>ui5</t>
  </si>
  <si>
    <t>牁</t>
  </si>
  <si>
    <t>牯</t>
  </si>
  <si>
    <t>牲</t>
  </si>
  <si>
    <t>狠</t>
  </si>
  <si>
    <t>狩</t>
  </si>
  <si>
    <t>玲</t>
  </si>
  <si>
    <t>玻</t>
  </si>
  <si>
    <t>po1</t>
  </si>
  <si>
    <t>珀</t>
  </si>
  <si>
    <t>珂</t>
  </si>
  <si>
    <t>珍</t>
  </si>
  <si>
    <t>甚</t>
  </si>
  <si>
    <t>sim7</t>
  </si>
  <si>
    <t>大 安樂, 不止, 過頭, 傷重, koh-khah, 深深, 太甚.</t>
  </si>
  <si>
    <t>啥事, 有 啥事, 做啥事; 無 啥知, 無 啥風, 無啥人.</t>
  </si>
  <si>
    <t>kere3</t>
  </si>
  <si>
    <t>畏</t>
  </si>
  <si>
    <t>ui3</t>
  </si>
  <si>
    <t>疫</t>
  </si>
  <si>
    <t>癸</t>
  </si>
  <si>
    <t>kui2</t>
  </si>
  <si>
    <t>皇</t>
  </si>
  <si>
    <t>皈</t>
  </si>
  <si>
    <t>盃</t>
  </si>
  <si>
    <t>盆</t>
  </si>
  <si>
    <t>phun5</t>
  </si>
  <si>
    <t>盈</t>
  </si>
  <si>
    <t>ing5</t>
  </si>
  <si>
    <t>siang1</t>
  </si>
  <si>
    <t>siang3</t>
  </si>
  <si>
    <t>sio1</t>
  </si>
  <si>
    <t>siunn1</t>
  </si>
  <si>
    <t>相, 相思, 相思 病, 病 相思.</t>
  </si>
  <si>
    <t>siunn3</t>
  </si>
  <si>
    <t>丞相; 相公; 樣相; 舊相; 清氣相; 鄙相, 譴相, 生相.</t>
  </si>
  <si>
    <t>siong3</t>
  </si>
  <si>
    <t>詳細 看; 幫贊; 引chhoā; 扶持; 治理, 揀選, 相相, 宰相.</t>
  </si>
  <si>
    <t>siong1</t>
  </si>
  <si>
    <t>省察 teh看; 交陪, 相合; 相爭; 相同; 相會.</t>
  </si>
  <si>
    <t>盾</t>
  </si>
  <si>
    <t>省</t>
  </si>
  <si>
    <t>senn2</t>
  </si>
  <si>
    <t>sing2</t>
  </si>
  <si>
    <t>bi5</t>
  </si>
  <si>
    <t>矜</t>
  </si>
  <si>
    <t>矧</t>
  </si>
  <si>
    <t>砂</t>
  </si>
  <si>
    <t>see1</t>
  </si>
  <si>
    <t>砌</t>
  </si>
  <si>
    <t>kih4</t>
  </si>
  <si>
    <t>砒</t>
  </si>
  <si>
    <t>祇</t>
  </si>
  <si>
    <t>祈</t>
  </si>
  <si>
    <t>祉</t>
  </si>
  <si>
    <t>禹</t>
  </si>
  <si>
    <t>秋</t>
  </si>
  <si>
    <t>tshiu1</t>
  </si>
  <si>
    <t>科</t>
  </si>
  <si>
    <t>kher1</t>
  </si>
  <si>
    <t>穿</t>
  </si>
  <si>
    <t>tshing7</t>
  </si>
  <si>
    <t>突</t>
  </si>
  <si>
    <t>竽</t>
  </si>
  <si>
    <t>紀</t>
  </si>
  <si>
    <t>紂</t>
  </si>
  <si>
    <t>約</t>
  </si>
  <si>
    <t>iak4</t>
  </si>
  <si>
    <t>紈</t>
  </si>
  <si>
    <t>缸</t>
  </si>
  <si>
    <t>美</t>
  </si>
  <si>
    <t>sng2</t>
  </si>
  <si>
    <t>胃</t>
  </si>
  <si>
    <t>胄</t>
  </si>
  <si>
    <t>背</t>
  </si>
  <si>
    <t>per7</t>
  </si>
  <si>
    <t>phainn7</t>
  </si>
  <si>
    <t>ther1</t>
  </si>
  <si>
    <t>胘</t>
  </si>
  <si>
    <t>胚</t>
  </si>
  <si>
    <t>胡</t>
  </si>
  <si>
    <t>胤</t>
  </si>
  <si>
    <t>胥</t>
  </si>
  <si>
    <t>致</t>
  </si>
  <si>
    <t>ti3</t>
  </si>
  <si>
    <t>苑</t>
  </si>
  <si>
    <t>thi5</t>
  </si>
  <si>
    <t>苛</t>
  </si>
  <si>
    <t>ho1</t>
  </si>
  <si>
    <t>苟</t>
  </si>
  <si>
    <t>jiak8</t>
  </si>
  <si>
    <t>苦</t>
  </si>
  <si>
    <t>khoo2</t>
  </si>
  <si>
    <t>苧</t>
  </si>
  <si>
    <t>tere6</t>
  </si>
  <si>
    <t>英</t>
  </si>
  <si>
    <t>苴</t>
  </si>
  <si>
    <t>苹</t>
  </si>
  <si>
    <t>茂</t>
  </si>
  <si>
    <t>范</t>
  </si>
  <si>
    <t>huan6</t>
  </si>
  <si>
    <t>kio5</t>
  </si>
  <si>
    <t>hm5</t>
  </si>
  <si>
    <t>茉</t>
  </si>
  <si>
    <t>虐</t>
  </si>
  <si>
    <t>gioh8</t>
  </si>
  <si>
    <t>虹</t>
  </si>
  <si>
    <t>khing6</t>
  </si>
  <si>
    <t>訂</t>
  </si>
  <si>
    <t>訃</t>
  </si>
  <si>
    <t>計</t>
  </si>
  <si>
    <t>ke3</t>
  </si>
  <si>
    <t>貞</t>
  </si>
  <si>
    <t>負</t>
  </si>
  <si>
    <t>赴</t>
  </si>
  <si>
    <t>軌</t>
  </si>
  <si>
    <t>khui2</t>
  </si>
  <si>
    <t>軍</t>
  </si>
  <si>
    <t>迤</t>
  </si>
  <si>
    <t>迪</t>
  </si>
  <si>
    <t>迫</t>
  </si>
  <si>
    <t>述</t>
  </si>
  <si>
    <t>sut8</t>
  </si>
  <si>
    <t>郎</t>
  </si>
  <si>
    <t>long5</t>
  </si>
  <si>
    <t>nng5</t>
  </si>
  <si>
    <t>酋</t>
  </si>
  <si>
    <t>重倍, 重頭, 重koh, 重重 疊疊, 重換, 重耽.</t>
  </si>
  <si>
    <t>閂</t>
  </si>
  <si>
    <t>tshuann3</t>
  </si>
  <si>
    <t>陋</t>
  </si>
  <si>
    <t>lio7</t>
  </si>
  <si>
    <t>陌</t>
  </si>
  <si>
    <t>bik8</t>
  </si>
  <si>
    <t>bin7</t>
  </si>
  <si>
    <t>革</t>
  </si>
  <si>
    <t>韋</t>
  </si>
  <si>
    <t>韭</t>
  </si>
  <si>
    <t>音</t>
  </si>
  <si>
    <t>im1</t>
  </si>
  <si>
    <t>頁</t>
  </si>
  <si>
    <t>風</t>
  </si>
  <si>
    <t>huang1</t>
  </si>
  <si>
    <t>飛</t>
  </si>
  <si>
    <t>per1</t>
  </si>
  <si>
    <t>食</t>
  </si>
  <si>
    <t>sit8</t>
  </si>
  <si>
    <t>就是 米糧, 飯菜, 養飼.</t>
  </si>
  <si>
    <t>首</t>
  </si>
  <si>
    <t>香</t>
  </si>
  <si>
    <t>hiang1</t>
  </si>
  <si>
    <t>hiunn1</t>
  </si>
  <si>
    <t>hionn1</t>
  </si>
  <si>
    <t>乘</t>
  </si>
  <si>
    <t>sing7</t>
  </si>
  <si>
    <t>修</t>
  </si>
  <si>
    <t>俯</t>
  </si>
  <si>
    <t>俱</t>
  </si>
  <si>
    <t>ku1</t>
  </si>
  <si>
    <t>俸</t>
  </si>
  <si>
    <t>倉</t>
  </si>
  <si>
    <t>個</t>
  </si>
  <si>
    <t>倍</t>
  </si>
  <si>
    <t>pue6</t>
  </si>
  <si>
    <t>per6</t>
  </si>
  <si>
    <t>們</t>
  </si>
  <si>
    <t>倒</t>
  </si>
  <si>
    <t>倔</t>
  </si>
  <si>
    <t>kut8</t>
  </si>
  <si>
    <t>倖</t>
  </si>
  <si>
    <t>hio7</t>
  </si>
  <si>
    <t>倚</t>
  </si>
  <si>
    <t>ua2</t>
  </si>
  <si>
    <t>倜</t>
  </si>
  <si>
    <t>借</t>
  </si>
  <si>
    <t>tsioh4</t>
  </si>
  <si>
    <t>倡</t>
  </si>
  <si>
    <t>tshiang3</t>
  </si>
  <si>
    <t>倣</t>
  </si>
  <si>
    <t>倥</t>
  </si>
  <si>
    <t>倦</t>
  </si>
  <si>
    <t>kuan7</t>
  </si>
  <si>
    <t>倨</t>
  </si>
  <si>
    <t>kir3</t>
  </si>
  <si>
    <t>tshian3</t>
  </si>
  <si>
    <t>倪</t>
  </si>
  <si>
    <t>ge5</t>
  </si>
  <si>
    <t>gere5</t>
  </si>
  <si>
    <t>倫</t>
  </si>
  <si>
    <t>倭</t>
  </si>
  <si>
    <t>er1</t>
  </si>
  <si>
    <t>倯</t>
  </si>
  <si>
    <t>冤</t>
  </si>
  <si>
    <t>uan1</t>
  </si>
  <si>
    <t>冥</t>
  </si>
  <si>
    <t>准</t>
  </si>
  <si>
    <t>tsun2</t>
  </si>
  <si>
    <t>凊</t>
  </si>
  <si>
    <t>tshin3</t>
  </si>
  <si>
    <t>tshing3</t>
  </si>
  <si>
    <t>凌</t>
  </si>
  <si>
    <t>tong3</t>
  </si>
  <si>
    <t>剖</t>
  </si>
  <si>
    <t>phio2</t>
  </si>
  <si>
    <t>剛</t>
  </si>
  <si>
    <t>勍</t>
  </si>
  <si>
    <t>匪</t>
  </si>
  <si>
    <t>hui2</t>
  </si>
  <si>
    <t>卿</t>
  </si>
  <si>
    <t>厝</t>
  </si>
  <si>
    <t>tshu3</t>
  </si>
  <si>
    <t>原</t>
  </si>
  <si>
    <t>叟</t>
  </si>
  <si>
    <t>員</t>
  </si>
  <si>
    <t>哥</t>
  </si>
  <si>
    <t>哦</t>
  </si>
  <si>
    <t>guah4</t>
  </si>
  <si>
    <t>哩</t>
  </si>
  <si>
    <t>li1</t>
  </si>
  <si>
    <t>aunn1</t>
  </si>
  <si>
    <t>哺</t>
  </si>
  <si>
    <t>哼</t>
  </si>
  <si>
    <t>henn1</t>
  </si>
  <si>
    <t>hngh4</t>
  </si>
  <si>
    <t>哽</t>
  </si>
  <si>
    <t>kenn2</t>
  </si>
  <si>
    <t>唁</t>
  </si>
  <si>
    <t>gian7</t>
  </si>
  <si>
    <t>唆</t>
  </si>
  <si>
    <t>so1</t>
  </si>
  <si>
    <t>唇</t>
  </si>
  <si>
    <t>唏</t>
  </si>
  <si>
    <t>唐</t>
  </si>
  <si>
    <t>唔</t>
  </si>
  <si>
    <t>onn1</t>
  </si>
  <si>
    <t>唚</t>
  </si>
  <si>
    <t>tsim1</t>
  </si>
  <si>
    <t>圃</t>
  </si>
  <si>
    <t>phoo2</t>
  </si>
  <si>
    <t>埔</t>
  </si>
  <si>
    <t>poo1</t>
  </si>
  <si>
    <t>hee7</t>
  </si>
  <si>
    <t>套</t>
  </si>
  <si>
    <t>奘</t>
  </si>
  <si>
    <t>tsong6</t>
  </si>
  <si>
    <t>奚</t>
  </si>
  <si>
    <t>姬</t>
  </si>
  <si>
    <t>娉</t>
  </si>
  <si>
    <t>娌</t>
  </si>
  <si>
    <t>娑</t>
  </si>
  <si>
    <t>niu5</t>
  </si>
  <si>
    <t>娛</t>
  </si>
  <si>
    <t>娟</t>
  </si>
  <si>
    <t>娠</t>
  </si>
  <si>
    <t>娣</t>
  </si>
  <si>
    <t>te6</t>
  </si>
  <si>
    <t>娥</t>
  </si>
  <si>
    <t>孫</t>
  </si>
  <si>
    <t>suinn1</t>
  </si>
  <si>
    <t>宮</t>
  </si>
  <si>
    <t>宸</t>
  </si>
  <si>
    <t>容</t>
  </si>
  <si>
    <t>iong5</t>
  </si>
  <si>
    <t>射</t>
  </si>
  <si>
    <t>sia7</t>
  </si>
  <si>
    <t>屑</t>
  </si>
  <si>
    <t>seeh4</t>
  </si>
  <si>
    <t>峨</t>
  </si>
  <si>
    <t>峰</t>
  </si>
  <si>
    <t>島</t>
  </si>
  <si>
    <t>峻</t>
  </si>
  <si>
    <t>tshur1</t>
  </si>
  <si>
    <t>席</t>
  </si>
  <si>
    <t>座</t>
  </si>
  <si>
    <t>庫</t>
  </si>
  <si>
    <t>弱</t>
  </si>
  <si>
    <t>徐</t>
  </si>
  <si>
    <t>tshir5</t>
  </si>
  <si>
    <t>sir5</t>
  </si>
  <si>
    <t>徑</t>
  </si>
  <si>
    <t>徒</t>
  </si>
  <si>
    <t>恁</t>
  </si>
  <si>
    <t>lin2</t>
  </si>
  <si>
    <t>恕</t>
  </si>
  <si>
    <t>sir3</t>
  </si>
  <si>
    <t>恙</t>
  </si>
  <si>
    <t>iang7</t>
  </si>
  <si>
    <t>恣</t>
  </si>
  <si>
    <t>tsur3</t>
  </si>
  <si>
    <t>恥</t>
  </si>
  <si>
    <t>thi2</t>
  </si>
  <si>
    <t>恩</t>
  </si>
  <si>
    <t>un1</t>
  </si>
  <si>
    <t>息</t>
  </si>
  <si>
    <t>悌</t>
  </si>
  <si>
    <t>悔</t>
  </si>
  <si>
    <t>hue2</t>
  </si>
  <si>
    <t>悖</t>
  </si>
  <si>
    <t>悟</t>
  </si>
  <si>
    <t>扇</t>
  </si>
  <si>
    <t>sian3</t>
  </si>
  <si>
    <t>sinn3</t>
  </si>
  <si>
    <t>拳</t>
  </si>
  <si>
    <t>kuan5</t>
  </si>
  <si>
    <t>kun5</t>
  </si>
  <si>
    <t>挐</t>
  </si>
  <si>
    <t>ere1</t>
  </si>
  <si>
    <t>挩</t>
  </si>
  <si>
    <t>thuah4</t>
  </si>
  <si>
    <t>挪</t>
  </si>
  <si>
    <t>noo5</t>
  </si>
  <si>
    <t>挫</t>
  </si>
  <si>
    <t>振</t>
  </si>
  <si>
    <t>tin2</t>
  </si>
  <si>
    <t>挵</t>
  </si>
  <si>
    <t>long3</t>
  </si>
  <si>
    <t>挹</t>
  </si>
  <si>
    <t>thing2</t>
  </si>
  <si>
    <t>挼</t>
  </si>
  <si>
    <t>jer5</t>
  </si>
  <si>
    <t>kueh8</t>
  </si>
  <si>
    <t>gereh8</t>
  </si>
  <si>
    <t>ngereh8</t>
  </si>
  <si>
    <t>ngeh8</t>
  </si>
  <si>
    <t>捅</t>
  </si>
  <si>
    <t>thong2</t>
  </si>
  <si>
    <t>捆</t>
  </si>
  <si>
    <t>khun2</t>
  </si>
  <si>
    <t>捋</t>
  </si>
  <si>
    <t>luah8</t>
  </si>
  <si>
    <t>tenn7</t>
  </si>
  <si>
    <t>nih8</t>
  </si>
  <si>
    <t>捕</t>
  </si>
  <si>
    <t>捗</t>
  </si>
  <si>
    <t>捘</t>
  </si>
  <si>
    <t>tsun6</t>
  </si>
  <si>
    <t>揤</t>
  </si>
  <si>
    <t>tshih8</t>
  </si>
  <si>
    <t>旁</t>
  </si>
  <si>
    <t>旅</t>
  </si>
  <si>
    <t>時</t>
  </si>
  <si>
    <t>晃</t>
  </si>
  <si>
    <t>hong6</t>
  </si>
  <si>
    <t>晉</t>
  </si>
  <si>
    <t>tsin3</t>
  </si>
  <si>
    <t>uann3</t>
  </si>
  <si>
    <t>書</t>
  </si>
  <si>
    <t>tsir1</t>
  </si>
  <si>
    <t>朔</t>
  </si>
  <si>
    <t>朕</t>
  </si>
  <si>
    <t>tim6</t>
  </si>
  <si>
    <t>朗</t>
  </si>
  <si>
    <t>long2</t>
  </si>
  <si>
    <t>栓</t>
  </si>
  <si>
    <t>lit8</t>
  </si>
  <si>
    <t>栩</t>
  </si>
  <si>
    <t>株</t>
  </si>
  <si>
    <t>栱</t>
  </si>
  <si>
    <t>kong2</t>
  </si>
  <si>
    <t>核</t>
  </si>
  <si>
    <t>根</t>
  </si>
  <si>
    <t>格</t>
  </si>
  <si>
    <t>keeh4</t>
  </si>
  <si>
    <t>桀</t>
  </si>
  <si>
    <t>桂</t>
  </si>
  <si>
    <t>桃</t>
  </si>
  <si>
    <t>桅</t>
  </si>
  <si>
    <t>框</t>
  </si>
  <si>
    <t>桌</t>
  </si>
  <si>
    <t>桎</t>
  </si>
  <si>
    <t>桐</t>
  </si>
  <si>
    <t>桑</t>
  </si>
  <si>
    <t>song1</t>
  </si>
  <si>
    <t>sng1</t>
  </si>
  <si>
    <t>桓</t>
  </si>
  <si>
    <t>桔</t>
  </si>
  <si>
    <t>kit4白</t>
  </si>
  <si>
    <t>梳</t>
  </si>
  <si>
    <t>sere1</t>
  </si>
  <si>
    <t>soo1</t>
  </si>
  <si>
    <t>欱</t>
  </si>
  <si>
    <t>hop4</t>
  </si>
  <si>
    <t>殉</t>
  </si>
  <si>
    <t>sun7</t>
  </si>
  <si>
    <t>殊</t>
  </si>
  <si>
    <t>su5</t>
  </si>
  <si>
    <t>殷</t>
  </si>
  <si>
    <t>氣</t>
  </si>
  <si>
    <t>khui3</t>
  </si>
  <si>
    <t>氧</t>
  </si>
  <si>
    <t>iang2</t>
  </si>
  <si>
    <t>thua3</t>
  </si>
  <si>
    <t>浙</t>
  </si>
  <si>
    <t>浚</t>
  </si>
  <si>
    <t>浡</t>
  </si>
  <si>
    <t>phu7</t>
  </si>
  <si>
    <t>phuh8</t>
  </si>
  <si>
    <t>浣</t>
  </si>
  <si>
    <t>uan6</t>
  </si>
  <si>
    <t>浦</t>
  </si>
  <si>
    <t>phuh4</t>
  </si>
  <si>
    <t>浩</t>
  </si>
  <si>
    <t>ho7</t>
  </si>
  <si>
    <t>浪</t>
  </si>
  <si>
    <t>浮</t>
  </si>
  <si>
    <t>浴</t>
  </si>
  <si>
    <t>浸</t>
  </si>
  <si>
    <t>tsim3</t>
  </si>
  <si>
    <t>涂</t>
  </si>
  <si>
    <t>thoo5</t>
  </si>
  <si>
    <t>涓</t>
  </si>
  <si>
    <t>涕</t>
  </si>
  <si>
    <t>the3</t>
  </si>
  <si>
    <t>涗</t>
  </si>
  <si>
    <t>烌</t>
  </si>
  <si>
    <t>烏</t>
  </si>
  <si>
    <t>oo1</t>
  </si>
  <si>
    <t>烙</t>
  </si>
  <si>
    <t>lo6</t>
  </si>
  <si>
    <t>烞</t>
  </si>
  <si>
    <t>烤</t>
  </si>
  <si>
    <t>特</t>
  </si>
  <si>
    <t>terk8</t>
  </si>
  <si>
    <t>狸</t>
  </si>
  <si>
    <t>ereh8</t>
  </si>
  <si>
    <t>狼</t>
  </si>
  <si>
    <t>狽</t>
  </si>
  <si>
    <t>珠</t>
  </si>
  <si>
    <t>珣</t>
  </si>
  <si>
    <t>珮</t>
  </si>
  <si>
    <t>琉</t>
  </si>
  <si>
    <t>畔</t>
  </si>
  <si>
    <t>畚</t>
  </si>
  <si>
    <t>pun3</t>
  </si>
  <si>
    <t>畜</t>
  </si>
  <si>
    <t>畝</t>
  </si>
  <si>
    <t>疲</t>
  </si>
  <si>
    <t>疶</t>
  </si>
  <si>
    <t>tshuah4</t>
  </si>
  <si>
    <t>疹</t>
  </si>
  <si>
    <t>疾</t>
  </si>
  <si>
    <t>痀</t>
  </si>
  <si>
    <t>病</t>
  </si>
  <si>
    <t>penn7</t>
  </si>
  <si>
    <t>ping7</t>
  </si>
  <si>
    <t>症</t>
  </si>
  <si>
    <t>皋</t>
  </si>
  <si>
    <t>益</t>
  </si>
  <si>
    <t>眐</t>
  </si>
  <si>
    <t>真</t>
  </si>
  <si>
    <t>眩</t>
  </si>
  <si>
    <t>hin5</t>
  </si>
  <si>
    <t>矩</t>
  </si>
  <si>
    <t>kir2</t>
  </si>
  <si>
    <t>砰</t>
  </si>
  <si>
    <t>phiang3</t>
  </si>
  <si>
    <t>破</t>
  </si>
  <si>
    <t>phua3</t>
  </si>
  <si>
    <t>pho3</t>
  </si>
  <si>
    <t>phoo3</t>
  </si>
  <si>
    <t>祐</t>
  </si>
  <si>
    <t>祖</t>
  </si>
  <si>
    <t>祛</t>
  </si>
  <si>
    <t>神</t>
  </si>
  <si>
    <t>祟</t>
  </si>
  <si>
    <t>sui3</t>
  </si>
  <si>
    <t>祠</t>
  </si>
  <si>
    <t>sur5</t>
  </si>
  <si>
    <t>秘</t>
  </si>
  <si>
    <t>租</t>
  </si>
  <si>
    <t>tsoo1</t>
  </si>
  <si>
    <t>秤</t>
  </si>
  <si>
    <t>秦</t>
  </si>
  <si>
    <t>tsin5</t>
  </si>
  <si>
    <t>秧</t>
  </si>
  <si>
    <t>秫</t>
  </si>
  <si>
    <t>窄</t>
  </si>
  <si>
    <t>笈</t>
  </si>
  <si>
    <t>粅</t>
  </si>
  <si>
    <t>but4</t>
  </si>
  <si>
    <t>粉</t>
  </si>
  <si>
    <t>紊</t>
  </si>
  <si>
    <t>紋</t>
  </si>
  <si>
    <t>紐</t>
  </si>
  <si>
    <t>紓</t>
  </si>
  <si>
    <t>純</t>
  </si>
  <si>
    <t>紕</t>
  </si>
  <si>
    <t>紙</t>
  </si>
  <si>
    <t>tsua2</t>
  </si>
  <si>
    <t>級</t>
  </si>
  <si>
    <t>紛</t>
  </si>
  <si>
    <t>紜</t>
  </si>
  <si>
    <t>素</t>
  </si>
  <si>
    <t>soo3</t>
  </si>
  <si>
    <t>索</t>
  </si>
  <si>
    <t>soh4</t>
  </si>
  <si>
    <t>缺</t>
  </si>
  <si>
    <t>khuat4</t>
  </si>
  <si>
    <t>khih4</t>
  </si>
  <si>
    <t>kherh4</t>
  </si>
  <si>
    <t>羔</t>
  </si>
  <si>
    <t>翅</t>
  </si>
  <si>
    <t>耄</t>
  </si>
  <si>
    <t>耕</t>
  </si>
  <si>
    <t>耗</t>
  </si>
  <si>
    <t>耘</t>
  </si>
  <si>
    <t>耙</t>
  </si>
  <si>
    <t>耿</t>
  </si>
  <si>
    <t>胯</t>
  </si>
  <si>
    <t>khua3</t>
  </si>
  <si>
    <t>胰</t>
  </si>
  <si>
    <t>胱</t>
  </si>
  <si>
    <t>胳</t>
  </si>
  <si>
    <t>koh4</t>
  </si>
  <si>
    <t>胸</t>
  </si>
  <si>
    <t>能</t>
  </si>
  <si>
    <t>lerng5</t>
  </si>
  <si>
    <t>胿</t>
  </si>
  <si>
    <t>脂</t>
  </si>
  <si>
    <t>脆</t>
  </si>
  <si>
    <t>tshui3</t>
  </si>
  <si>
    <t>tsher3</t>
  </si>
  <si>
    <t>脈</t>
  </si>
  <si>
    <t>beeh8</t>
  </si>
  <si>
    <t>meeh8</t>
  </si>
  <si>
    <t>脊</t>
  </si>
  <si>
    <t>tshiu3</t>
  </si>
  <si>
    <t>舀</t>
  </si>
  <si>
    <t>io2</t>
  </si>
  <si>
    <t>iunn2</t>
  </si>
  <si>
    <t>舐</t>
  </si>
  <si>
    <t>tsi6</t>
  </si>
  <si>
    <t>tsinn6</t>
  </si>
  <si>
    <t>舫</t>
  </si>
  <si>
    <t>般</t>
  </si>
  <si>
    <t>puann1</t>
  </si>
  <si>
    <t>puan1</t>
  </si>
  <si>
    <t>puat4</t>
  </si>
  <si>
    <t>茈</t>
  </si>
  <si>
    <t>tsinn2</t>
  </si>
  <si>
    <t>茗</t>
  </si>
  <si>
    <t>茜</t>
  </si>
  <si>
    <t>茱</t>
  </si>
  <si>
    <t>茲</t>
  </si>
  <si>
    <t>茵</t>
  </si>
  <si>
    <t>茶</t>
  </si>
  <si>
    <t>tee5</t>
  </si>
  <si>
    <t>茹</t>
  </si>
  <si>
    <t>荀</t>
  </si>
  <si>
    <t>荇</t>
  </si>
  <si>
    <t>tsho2</t>
  </si>
  <si>
    <t>荊</t>
  </si>
  <si>
    <t>荍</t>
  </si>
  <si>
    <t>sio5</t>
  </si>
  <si>
    <t>荐</t>
  </si>
  <si>
    <t>tsian7</t>
  </si>
  <si>
    <t>荒</t>
  </si>
  <si>
    <t>虔</t>
  </si>
  <si>
    <t>khian5</t>
  </si>
  <si>
    <t>蚊</t>
  </si>
  <si>
    <t>蚓</t>
  </si>
  <si>
    <t>衰</t>
  </si>
  <si>
    <t>sue1</t>
  </si>
  <si>
    <t>袁</t>
  </si>
  <si>
    <t>袂</t>
  </si>
  <si>
    <t>bere6</t>
  </si>
  <si>
    <t>訊</t>
  </si>
  <si>
    <t>討</t>
  </si>
  <si>
    <t>tho2</t>
  </si>
  <si>
    <t>訓</t>
  </si>
  <si>
    <t>訕</t>
  </si>
  <si>
    <t>訖</t>
  </si>
  <si>
    <t>講話了/盡</t>
  </si>
  <si>
    <t>託</t>
  </si>
  <si>
    <t>記</t>
  </si>
  <si>
    <t>豈</t>
  </si>
  <si>
    <t>khi2</t>
  </si>
  <si>
    <t>貢</t>
  </si>
  <si>
    <t>kong3</t>
  </si>
  <si>
    <t>起</t>
  </si>
  <si>
    <t>軒</t>
  </si>
  <si>
    <t>hian1</t>
  </si>
  <si>
    <t>軔</t>
  </si>
  <si>
    <t>迴</t>
  </si>
  <si>
    <t>迷</t>
  </si>
  <si>
    <t>be5</t>
  </si>
  <si>
    <t>迸</t>
  </si>
  <si>
    <t>piang3</t>
  </si>
  <si>
    <t>追</t>
  </si>
  <si>
    <t>tui1</t>
  </si>
  <si>
    <t>退</t>
  </si>
  <si>
    <t>thue3</t>
  </si>
  <si>
    <t>ther3</t>
  </si>
  <si>
    <t>逃</t>
  </si>
  <si>
    <t>逅</t>
  </si>
  <si>
    <t>逆</t>
  </si>
  <si>
    <t>郝</t>
  </si>
  <si>
    <t>hok4</t>
  </si>
  <si>
    <t>郡</t>
  </si>
  <si>
    <t>kun7</t>
  </si>
  <si>
    <t>郢</t>
  </si>
  <si>
    <t>配</t>
  </si>
  <si>
    <t>phue3</t>
  </si>
  <si>
    <t>酒</t>
  </si>
  <si>
    <t>釜</t>
  </si>
  <si>
    <t>陛</t>
  </si>
  <si>
    <t>pe7</t>
  </si>
  <si>
    <t>院</t>
  </si>
  <si>
    <t>uan7</t>
  </si>
  <si>
    <t>inn7</t>
  </si>
  <si>
    <t>陣</t>
  </si>
  <si>
    <t>tin7</t>
  </si>
  <si>
    <t>tsun7</t>
  </si>
  <si>
    <t>除</t>
  </si>
  <si>
    <t>tir5</t>
  </si>
  <si>
    <t>隻</t>
  </si>
  <si>
    <t>飢</t>
  </si>
  <si>
    <t>bee2</t>
  </si>
  <si>
    <t>骨</t>
  </si>
  <si>
    <t>kut4</t>
  </si>
  <si>
    <t>高</t>
  </si>
  <si>
    <t>tio3</t>
  </si>
  <si>
    <t>鬼</t>
  </si>
  <si>
    <t>㧻</t>
  </si>
  <si>
    <t>䋎</t>
  </si>
  <si>
    <t>thinn7</t>
  </si>
  <si>
    <t>kee2</t>
  </si>
  <si>
    <t>偈</t>
  </si>
  <si>
    <t>偉</t>
  </si>
  <si>
    <t>偌</t>
  </si>
  <si>
    <t>jua6</t>
  </si>
  <si>
    <t>phinn1</t>
  </si>
  <si>
    <t>做</t>
  </si>
  <si>
    <t>tsue3</t>
  </si>
  <si>
    <t>停</t>
  </si>
  <si>
    <t>偝</t>
  </si>
  <si>
    <t>iannh8</t>
  </si>
  <si>
    <t>ainn7</t>
  </si>
  <si>
    <t>kian7</t>
  </si>
  <si>
    <t>側</t>
  </si>
  <si>
    <t>偵</t>
  </si>
  <si>
    <t>偶</t>
  </si>
  <si>
    <t>gio2</t>
  </si>
  <si>
    <t>偽</t>
  </si>
  <si>
    <t>gui7</t>
  </si>
  <si>
    <t>凰</t>
  </si>
  <si>
    <t>剪</t>
  </si>
  <si>
    <t>tsian2</t>
  </si>
  <si>
    <t>jian2</t>
  </si>
  <si>
    <t>副</t>
  </si>
  <si>
    <t>勒</t>
  </si>
  <si>
    <t>lik4</t>
  </si>
  <si>
    <t>務</t>
  </si>
  <si>
    <t>bu7</t>
  </si>
  <si>
    <t>匏</t>
  </si>
  <si>
    <t>匐</t>
  </si>
  <si>
    <t>匙</t>
  </si>
  <si>
    <t>匿</t>
  </si>
  <si>
    <t>som1</t>
  </si>
  <si>
    <t>唬</t>
  </si>
  <si>
    <t>售</t>
  </si>
  <si>
    <t>唯</t>
  </si>
  <si>
    <t>唱</t>
  </si>
  <si>
    <t>唼</t>
  </si>
  <si>
    <t>tsip4</t>
  </si>
  <si>
    <t>啄</t>
  </si>
  <si>
    <t>商</t>
  </si>
  <si>
    <t>啉</t>
  </si>
  <si>
    <t>lim1</t>
  </si>
  <si>
    <t>問</t>
  </si>
  <si>
    <t>mng7</t>
  </si>
  <si>
    <t>ee2</t>
  </si>
  <si>
    <t>啟</t>
  </si>
  <si>
    <t>khe2</t>
  </si>
  <si>
    <t>啡</t>
  </si>
  <si>
    <t>啤</t>
  </si>
  <si>
    <t>啹</t>
  </si>
  <si>
    <t>kiuh8</t>
  </si>
  <si>
    <t>圇</t>
  </si>
  <si>
    <t>lun1</t>
  </si>
  <si>
    <t>圈</t>
  </si>
  <si>
    <t>khuan1</t>
  </si>
  <si>
    <t>國</t>
  </si>
  <si>
    <t>域</t>
  </si>
  <si>
    <t>埠</t>
  </si>
  <si>
    <t>埤</t>
  </si>
  <si>
    <t>埭</t>
  </si>
  <si>
    <t>執</t>
  </si>
  <si>
    <t>培</t>
  </si>
  <si>
    <t>pue5</t>
  </si>
  <si>
    <t>基</t>
  </si>
  <si>
    <t>埽</t>
  </si>
  <si>
    <t>so3</t>
  </si>
  <si>
    <t>堀</t>
  </si>
  <si>
    <t>堂</t>
  </si>
  <si>
    <t>堅</t>
  </si>
  <si>
    <t>堆</t>
  </si>
  <si>
    <t>堵</t>
  </si>
  <si>
    <t>娶</t>
  </si>
  <si>
    <t>娼</t>
  </si>
  <si>
    <t>婁</t>
  </si>
  <si>
    <t>lio5</t>
  </si>
  <si>
    <t>婆</t>
  </si>
  <si>
    <t>po5</t>
  </si>
  <si>
    <t>婉</t>
  </si>
  <si>
    <t>婚</t>
  </si>
  <si>
    <t>婢</t>
  </si>
  <si>
    <t>pi6</t>
  </si>
  <si>
    <t>婦</t>
  </si>
  <si>
    <t>pu6</t>
  </si>
  <si>
    <t>宿</t>
  </si>
  <si>
    <t>siok4</t>
  </si>
  <si>
    <t>hioh4</t>
  </si>
  <si>
    <t>寂</t>
  </si>
  <si>
    <t>tsik8</t>
  </si>
  <si>
    <t>sioh8</t>
  </si>
  <si>
    <t>寄</t>
  </si>
  <si>
    <t>寅</t>
  </si>
  <si>
    <t>in5</t>
  </si>
  <si>
    <t>寇</t>
  </si>
  <si>
    <t>將</t>
  </si>
  <si>
    <t>tsiang1</t>
  </si>
  <si>
    <t>tsiang3</t>
  </si>
  <si>
    <t>老將, 漢將, 好漢 將, 將爺, 大將.</t>
  </si>
  <si>
    <t>tsiong1</t>
  </si>
  <si>
    <t>用, 誠實, 送, 大, 跟tè, 序大.</t>
  </si>
  <si>
    <t>tsiong3</t>
  </si>
  <si>
    <t>頭人, 倡首, 將軍, 大將.</t>
  </si>
  <si>
    <t>專</t>
  </si>
  <si>
    <t>tsuan1</t>
  </si>
  <si>
    <t>尉</t>
  </si>
  <si>
    <t>ut4</t>
  </si>
  <si>
    <t>屜</t>
  </si>
  <si>
    <t>屠</t>
  </si>
  <si>
    <t>崇</t>
  </si>
  <si>
    <t>tsong5</t>
  </si>
  <si>
    <t>崑</t>
  </si>
  <si>
    <t>崔</t>
  </si>
  <si>
    <t>崙</t>
  </si>
  <si>
    <t>崛</t>
  </si>
  <si>
    <t>崢</t>
  </si>
  <si>
    <t>帳</t>
  </si>
  <si>
    <t>tiunn3</t>
  </si>
  <si>
    <t>帷</t>
  </si>
  <si>
    <t>常</t>
  </si>
  <si>
    <t>庶</t>
  </si>
  <si>
    <t>康</t>
  </si>
  <si>
    <t>khng1</t>
  </si>
  <si>
    <t>庾</t>
  </si>
  <si>
    <t>張</t>
  </si>
  <si>
    <t>tsiang</t>
  </si>
  <si>
    <t>躗張, 就是 固執 愛 趁 家己 ê 意思.</t>
  </si>
  <si>
    <t>tiunn1</t>
  </si>
  <si>
    <t>人 ê 字姓, 張三 李四, 張 天書, 張 天君, 張佑, 張掇.</t>
  </si>
  <si>
    <t>強</t>
  </si>
  <si>
    <t>kiang2</t>
  </si>
  <si>
    <t>kiang5</t>
  </si>
  <si>
    <t>kiang6</t>
  </si>
  <si>
    <t>kiong5</t>
  </si>
  <si>
    <t>彗</t>
  </si>
  <si>
    <t>彪</t>
  </si>
  <si>
    <t>piu1</t>
  </si>
  <si>
    <t>彬</t>
  </si>
  <si>
    <t>pin1</t>
  </si>
  <si>
    <t>得</t>
  </si>
  <si>
    <t>tit4</t>
  </si>
  <si>
    <t>terk4</t>
  </si>
  <si>
    <t>徙</t>
  </si>
  <si>
    <t>sua2</t>
  </si>
  <si>
    <t>從</t>
  </si>
  <si>
    <t>tsng5</t>
  </si>
  <si>
    <t>御</t>
  </si>
  <si>
    <t>gir7</t>
  </si>
  <si>
    <t>悉</t>
  </si>
  <si>
    <t>悠</t>
  </si>
  <si>
    <t>患</t>
  </si>
  <si>
    <t>悴</t>
  </si>
  <si>
    <t>tsui7</t>
  </si>
  <si>
    <t>悻</t>
  </si>
  <si>
    <t>悼</t>
  </si>
  <si>
    <t>to7</t>
  </si>
  <si>
    <t>悽</t>
  </si>
  <si>
    <t>悾</t>
  </si>
  <si>
    <t>惆</t>
  </si>
  <si>
    <t>惇</t>
  </si>
  <si>
    <t>惋</t>
  </si>
  <si>
    <t>惕</t>
  </si>
  <si>
    <t>惘</t>
  </si>
  <si>
    <t>惚</t>
  </si>
  <si>
    <t>惜</t>
  </si>
  <si>
    <t>sioh4</t>
  </si>
  <si>
    <t>惝</t>
  </si>
  <si>
    <t>tshiang2</t>
  </si>
  <si>
    <t>惟</t>
  </si>
  <si>
    <t>戚</t>
  </si>
  <si>
    <t>扈</t>
  </si>
  <si>
    <t>挲</t>
  </si>
  <si>
    <t>捧</t>
  </si>
  <si>
    <t>phong2</t>
  </si>
  <si>
    <t>捩</t>
  </si>
  <si>
    <t>捫</t>
  </si>
  <si>
    <t>据</t>
  </si>
  <si>
    <t>捲</t>
  </si>
  <si>
    <t>捽</t>
  </si>
  <si>
    <t>捾</t>
  </si>
  <si>
    <t>kuann6</t>
  </si>
  <si>
    <t>掀</t>
  </si>
  <si>
    <t>掂</t>
  </si>
  <si>
    <t>掄</t>
  </si>
  <si>
    <t>掇</t>
  </si>
  <si>
    <t>tuah4</t>
  </si>
  <si>
    <t>tuat4</t>
  </si>
  <si>
    <t>授</t>
  </si>
  <si>
    <t>掘</t>
  </si>
  <si>
    <t>掙</t>
  </si>
  <si>
    <t>掛</t>
  </si>
  <si>
    <t>掝</t>
  </si>
  <si>
    <t>hit8</t>
  </si>
  <si>
    <t>掠</t>
  </si>
  <si>
    <t>liak8</t>
  </si>
  <si>
    <t>tsih4</t>
  </si>
  <si>
    <t>推</t>
  </si>
  <si>
    <t>thui1</t>
  </si>
  <si>
    <t>om1</t>
  </si>
  <si>
    <t>措</t>
  </si>
  <si>
    <t>tshoo3</t>
  </si>
  <si>
    <t>敏</t>
  </si>
  <si>
    <t>救</t>
  </si>
  <si>
    <t>敕</t>
  </si>
  <si>
    <t>敘</t>
  </si>
  <si>
    <t>敝</t>
  </si>
  <si>
    <t>斜</t>
  </si>
  <si>
    <t>tshuah8</t>
  </si>
  <si>
    <t>旋</t>
  </si>
  <si>
    <t>suan5</t>
  </si>
  <si>
    <t>tsuinn7</t>
  </si>
  <si>
    <t>旌</t>
  </si>
  <si>
    <t>族</t>
  </si>
  <si>
    <t>晚</t>
  </si>
  <si>
    <t>buan2</t>
  </si>
  <si>
    <t>晞</t>
  </si>
  <si>
    <t>晡</t>
  </si>
  <si>
    <t>晤</t>
  </si>
  <si>
    <t>晦</t>
  </si>
  <si>
    <t>hue3</t>
  </si>
  <si>
    <t>晨</t>
  </si>
  <si>
    <t>曹</t>
  </si>
  <si>
    <t>tso5</t>
  </si>
  <si>
    <t>桮</t>
  </si>
  <si>
    <t>桸</t>
  </si>
  <si>
    <t>梁</t>
  </si>
  <si>
    <t>梅</t>
  </si>
  <si>
    <t>m5</t>
  </si>
  <si>
    <t>梓</t>
  </si>
  <si>
    <t>梔</t>
  </si>
  <si>
    <t>梗</t>
  </si>
  <si>
    <t>梧</t>
  </si>
  <si>
    <t>le5</t>
  </si>
  <si>
    <t>梭</t>
  </si>
  <si>
    <t>梯</t>
  </si>
  <si>
    <t>the1</t>
  </si>
  <si>
    <t>梵</t>
  </si>
  <si>
    <t>棄</t>
  </si>
  <si>
    <t>欲</t>
  </si>
  <si>
    <t>berh4</t>
  </si>
  <si>
    <t>beh4</t>
  </si>
  <si>
    <t>boh4</t>
  </si>
  <si>
    <t>欶</t>
  </si>
  <si>
    <t>suh4</t>
  </si>
  <si>
    <t>毫</t>
  </si>
  <si>
    <t>毬</t>
  </si>
  <si>
    <t>涎</t>
  </si>
  <si>
    <t>sian5</t>
  </si>
  <si>
    <t>液</t>
  </si>
  <si>
    <t>涸</t>
  </si>
  <si>
    <t>涼</t>
  </si>
  <si>
    <t>淄</t>
  </si>
  <si>
    <t>淒</t>
  </si>
  <si>
    <t>淘</t>
  </si>
  <si>
    <t>淚</t>
  </si>
  <si>
    <t>lui7</t>
  </si>
  <si>
    <t>淨</t>
  </si>
  <si>
    <t>tsing7</t>
  </si>
  <si>
    <t>淪</t>
  </si>
  <si>
    <t>淫</t>
  </si>
  <si>
    <t>im5</t>
  </si>
  <si>
    <t>淬</t>
  </si>
  <si>
    <t>淮</t>
  </si>
  <si>
    <t>深</t>
  </si>
  <si>
    <t>淳</t>
  </si>
  <si>
    <t>混</t>
  </si>
  <si>
    <t>hun6</t>
  </si>
  <si>
    <t>淹</t>
  </si>
  <si>
    <t>淺</t>
  </si>
  <si>
    <t>tshian2</t>
  </si>
  <si>
    <t>清</t>
  </si>
  <si>
    <t>tshinn1</t>
  </si>
  <si>
    <t>烰</t>
  </si>
  <si>
    <t>烹</t>
  </si>
  <si>
    <t>烽</t>
  </si>
  <si>
    <t>焄</t>
  </si>
  <si>
    <t>焊</t>
  </si>
  <si>
    <t>爽</t>
  </si>
  <si>
    <t>song2</t>
  </si>
  <si>
    <t>khian1</t>
  </si>
  <si>
    <t>犁</t>
  </si>
  <si>
    <t>lere5</t>
  </si>
  <si>
    <t>猊</t>
  </si>
  <si>
    <t>猖</t>
  </si>
  <si>
    <t>猛</t>
  </si>
  <si>
    <t>mee2</t>
  </si>
  <si>
    <t>猝</t>
  </si>
  <si>
    <t>率</t>
  </si>
  <si>
    <t>現</t>
  </si>
  <si>
    <t>球</t>
  </si>
  <si>
    <t>琅</t>
  </si>
  <si>
    <t>理</t>
  </si>
  <si>
    <t>琇</t>
  </si>
  <si>
    <t>瓷</t>
  </si>
  <si>
    <t>tinn1</t>
  </si>
  <si>
    <t>畢</t>
  </si>
  <si>
    <t>略</t>
  </si>
  <si>
    <t>lioh8</t>
  </si>
  <si>
    <t>liok8</t>
  </si>
  <si>
    <t>畦</t>
  </si>
  <si>
    <t>異</t>
  </si>
  <si>
    <t>疏</t>
  </si>
  <si>
    <t>疵</t>
  </si>
  <si>
    <t>痔</t>
  </si>
  <si>
    <t>痕</t>
  </si>
  <si>
    <t>盔</t>
  </si>
  <si>
    <t>盗</t>
  </si>
  <si>
    <t>盛</t>
  </si>
  <si>
    <t>眯</t>
  </si>
  <si>
    <t>眶</t>
  </si>
  <si>
    <t>眷</t>
  </si>
  <si>
    <t>眸</t>
  </si>
  <si>
    <t>眾</t>
  </si>
  <si>
    <t>硃</t>
  </si>
  <si>
    <t>硫</t>
  </si>
  <si>
    <t>祥</t>
  </si>
  <si>
    <t>phio3</t>
  </si>
  <si>
    <t>祭</t>
  </si>
  <si>
    <t>移</t>
  </si>
  <si>
    <t>竟</t>
  </si>
  <si>
    <t>章</t>
  </si>
  <si>
    <t>tsiunn1</t>
  </si>
  <si>
    <t>竡</t>
  </si>
  <si>
    <t>笙</t>
  </si>
  <si>
    <t>笠</t>
  </si>
  <si>
    <t>lereh8</t>
  </si>
  <si>
    <t>符</t>
  </si>
  <si>
    <t>笨</t>
  </si>
  <si>
    <t>pun6</t>
  </si>
  <si>
    <t>第</t>
  </si>
  <si>
    <t>笱</t>
  </si>
  <si>
    <t>ko5</t>
  </si>
  <si>
    <t>粕</t>
  </si>
  <si>
    <t>phoh4</t>
  </si>
  <si>
    <t>phok4</t>
  </si>
  <si>
    <t>粗</t>
  </si>
  <si>
    <t>粙</t>
  </si>
  <si>
    <t>紬</t>
  </si>
  <si>
    <t>累</t>
  </si>
  <si>
    <t>lui2</t>
  </si>
  <si>
    <t>細</t>
  </si>
  <si>
    <t>sere3</t>
  </si>
  <si>
    <t>紲</t>
  </si>
  <si>
    <t>sua3</t>
  </si>
  <si>
    <t>紳</t>
  </si>
  <si>
    <t>終</t>
  </si>
  <si>
    <t>絃</t>
  </si>
  <si>
    <t>組</t>
  </si>
  <si>
    <t>絆</t>
  </si>
  <si>
    <t>統</t>
  </si>
  <si>
    <t>缽</t>
  </si>
  <si>
    <t>puah4</t>
  </si>
  <si>
    <t>罣</t>
  </si>
  <si>
    <t>羚</t>
  </si>
  <si>
    <t>羞</t>
  </si>
  <si>
    <t>翌</t>
  </si>
  <si>
    <t>翎</t>
  </si>
  <si>
    <t>習</t>
  </si>
  <si>
    <t>聆</t>
  </si>
  <si>
    <t>脣</t>
  </si>
  <si>
    <t>脩</t>
  </si>
  <si>
    <t>脫</t>
  </si>
  <si>
    <t>thuat4</t>
  </si>
  <si>
    <t>thut8</t>
  </si>
  <si>
    <t>脯</t>
  </si>
  <si>
    <t>舂</t>
  </si>
  <si>
    <t>to6</t>
  </si>
  <si>
    <t>舶</t>
  </si>
  <si>
    <t>舷</t>
  </si>
  <si>
    <t>船</t>
  </si>
  <si>
    <t>荳</t>
  </si>
  <si>
    <t>荷</t>
  </si>
  <si>
    <t>荼</t>
  </si>
  <si>
    <t>荽</t>
  </si>
  <si>
    <t>sui1</t>
  </si>
  <si>
    <t>莆</t>
  </si>
  <si>
    <t>莊</t>
  </si>
  <si>
    <t>莓</t>
  </si>
  <si>
    <t>莖</t>
  </si>
  <si>
    <t>莞</t>
  </si>
  <si>
    <t>莠</t>
  </si>
  <si>
    <t>莢</t>
  </si>
  <si>
    <t>莫</t>
  </si>
  <si>
    <t>boh8</t>
  </si>
  <si>
    <t>莽</t>
  </si>
  <si>
    <t>處</t>
  </si>
  <si>
    <t>tshir2</t>
  </si>
  <si>
    <t>tshir3</t>
  </si>
  <si>
    <t>蚵</t>
  </si>
  <si>
    <t>o5</t>
  </si>
  <si>
    <t>蚻</t>
  </si>
  <si>
    <t>tsuah8</t>
  </si>
  <si>
    <t>蛀</t>
  </si>
  <si>
    <t>蛄</t>
  </si>
  <si>
    <t>蛆</t>
  </si>
  <si>
    <t>蛇</t>
  </si>
  <si>
    <t>tsua5</t>
  </si>
  <si>
    <t>術</t>
  </si>
  <si>
    <t>袒</t>
  </si>
  <si>
    <t>袖</t>
  </si>
  <si>
    <t>袚</t>
  </si>
  <si>
    <t>phuah8</t>
  </si>
  <si>
    <t>袞</t>
  </si>
  <si>
    <t>kun2</t>
  </si>
  <si>
    <t>被</t>
  </si>
  <si>
    <t>pher6</t>
  </si>
  <si>
    <t>規</t>
  </si>
  <si>
    <t>mai7</t>
  </si>
  <si>
    <t>訣</t>
  </si>
  <si>
    <t>訪</t>
  </si>
  <si>
    <t>設</t>
  </si>
  <si>
    <t>許</t>
  </si>
  <si>
    <t>hir2</t>
  </si>
  <si>
    <t>就是 人 ê 字姓, 許 真人.</t>
  </si>
  <si>
    <t>豉</t>
  </si>
  <si>
    <t>sinn7</t>
  </si>
  <si>
    <t>豚</t>
  </si>
  <si>
    <t>thun5</t>
  </si>
  <si>
    <t>貨</t>
  </si>
  <si>
    <t>her3</t>
  </si>
  <si>
    <t>販</t>
  </si>
  <si>
    <t>貫</t>
  </si>
  <si>
    <t>責</t>
  </si>
  <si>
    <t>趺</t>
  </si>
  <si>
    <t>趾</t>
  </si>
  <si>
    <t>跂</t>
  </si>
  <si>
    <t>軟</t>
  </si>
  <si>
    <t>nui2</t>
  </si>
  <si>
    <t>thio3</t>
  </si>
  <si>
    <t>逑</t>
  </si>
  <si>
    <t>途</t>
  </si>
  <si>
    <t>逕</t>
  </si>
  <si>
    <t>這</t>
  </si>
  <si>
    <t>tse1</t>
  </si>
  <si>
    <t>thong1</t>
  </si>
  <si>
    <t>逝</t>
  </si>
  <si>
    <t>tsua7</t>
  </si>
  <si>
    <t>se7</t>
  </si>
  <si>
    <t>逞</t>
  </si>
  <si>
    <t>速</t>
  </si>
  <si>
    <t>造</t>
  </si>
  <si>
    <t>逢</t>
  </si>
  <si>
    <t>部</t>
  </si>
  <si>
    <t>poo6</t>
  </si>
  <si>
    <t>phoo6</t>
  </si>
  <si>
    <t>郭</t>
  </si>
  <si>
    <t>kerh4</t>
  </si>
  <si>
    <t>都</t>
  </si>
  <si>
    <t>there1</t>
  </si>
  <si>
    <t>閉</t>
  </si>
  <si>
    <t>pe3</t>
  </si>
  <si>
    <t>陪</t>
  </si>
  <si>
    <t>tin5</t>
  </si>
  <si>
    <t>陵</t>
  </si>
  <si>
    <t>陶</t>
  </si>
  <si>
    <t>雀</t>
  </si>
  <si>
    <t>tshiak4</t>
  </si>
  <si>
    <t>雩</t>
  </si>
  <si>
    <t>雪</t>
  </si>
  <si>
    <t>serh4</t>
  </si>
  <si>
    <t>頂</t>
  </si>
  <si>
    <t>ting2</t>
  </si>
  <si>
    <t>頃</t>
  </si>
  <si>
    <t>馗</t>
  </si>
  <si>
    <t>kui5</t>
  </si>
  <si>
    <t>魚</t>
  </si>
  <si>
    <t>gir5</t>
  </si>
  <si>
    <t>hir5</t>
  </si>
  <si>
    <t>鹵</t>
  </si>
  <si>
    <t>loo2</t>
  </si>
  <si>
    <t>鹿</t>
  </si>
  <si>
    <t>麥</t>
  </si>
  <si>
    <t>䖳</t>
  </si>
  <si>
    <t>thee7</t>
  </si>
  <si>
    <t>傅</t>
  </si>
  <si>
    <t>傍</t>
  </si>
  <si>
    <t>pong7</t>
  </si>
  <si>
    <t>png7</t>
  </si>
  <si>
    <t>傑</t>
  </si>
  <si>
    <t>備</t>
  </si>
  <si>
    <t>pi7</t>
  </si>
  <si>
    <t>剩</t>
  </si>
  <si>
    <t>sin7</t>
  </si>
  <si>
    <t>創</t>
  </si>
  <si>
    <t>tshong3</t>
  </si>
  <si>
    <t>勛</t>
  </si>
  <si>
    <t>勝</t>
  </si>
  <si>
    <t>勞</t>
  </si>
  <si>
    <t>博</t>
  </si>
  <si>
    <t>厥</t>
  </si>
  <si>
    <t>唾</t>
  </si>
  <si>
    <t>啼</t>
  </si>
  <si>
    <t>the5</t>
  </si>
  <si>
    <t>啾</t>
  </si>
  <si>
    <t>喂</t>
  </si>
  <si>
    <t>ue1</t>
  </si>
  <si>
    <t>善</t>
  </si>
  <si>
    <t>sian7</t>
  </si>
  <si>
    <t>喌</t>
  </si>
  <si>
    <t>tsiuh4</t>
  </si>
  <si>
    <t>喔</t>
  </si>
  <si>
    <t>ooh4</t>
  </si>
  <si>
    <t>喘</t>
  </si>
  <si>
    <t>tshuan2</t>
  </si>
  <si>
    <t>喙</t>
  </si>
  <si>
    <t>喚</t>
  </si>
  <si>
    <t>喜</t>
  </si>
  <si>
    <t>hi2</t>
  </si>
  <si>
    <t>喝</t>
  </si>
  <si>
    <t>huah4</t>
  </si>
  <si>
    <t>喧</t>
  </si>
  <si>
    <t>喨</t>
  </si>
  <si>
    <t>liang1</t>
  </si>
  <si>
    <t>喪</t>
  </si>
  <si>
    <t>sian6</t>
  </si>
  <si>
    <t>tuann1</t>
  </si>
  <si>
    <t>喲</t>
  </si>
  <si>
    <t>喻</t>
  </si>
  <si>
    <t>ju7</t>
  </si>
  <si>
    <t>圍</t>
  </si>
  <si>
    <t>堝</t>
  </si>
  <si>
    <t>堡</t>
  </si>
  <si>
    <t>堤</t>
  </si>
  <si>
    <t>報</t>
  </si>
  <si>
    <t>po3</t>
  </si>
  <si>
    <t>場</t>
  </si>
  <si>
    <t>tiunn5</t>
  </si>
  <si>
    <t>壹</t>
  </si>
  <si>
    <t>壺</t>
  </si>
  <si>
    <t>婷</t>
  </si>
  <si>
    <t>媒</t>
  </si>
  <si>
    <t>媚</t>
  </si>
  <si>
    <t>媛</t>
  </si>
  <si>
    <t>媠</t>
  </si>
  <si>
    <t>媧</t>
  </si>
  <si>
    <t>富</t>
  </si>
  <si>
    <t>pu3</t>
  </si>
  <si>
    <t>寐</t>
  </si>
  <si>
    <t>kuann5</t>
  </si>
  <si>
    <t>寓</t>
  </si>
  <si>
    <t>gu7</t>
  </si>
  <si>
    <t>尊</t>
  </si>
  <si>
    <t>tsun1</t>
  </si>
  <si>
    <t>尋</t>
  </si>
  <si>
    <t>sim5</t>
  </si>
  <si>
    <t>就</t>
  </si>
  <si>
    <t>tsiu7</t>
  </si>
  <si>
    <t>崴</t>
  </si>
  <si>
    <t>uainn2</t>
  </si>
  <si>
    <t>uainnh4</t>
  </si>
  <si>
    <t>嵋</t>
  </si>
  <si>
    <t>嵙</t>
  </si>
  <si>
    <t>巽</t>
  </si>
  <si>
    <t>sun3</t>
  </si>
  <si>
    <t>帽</t>
  </si>
  <si>
    <t>bo7</t>
  </si>
  <si>
    <t>幾</t>
  </si>
  <si>
    <t>廁</t>
  </si>
  <si>
    <t>tshee3</t>
  </si>
  <si>
    <t>廂</t>
  </si>
  <si>
    <t>廊</t>
  </si>
  <si>
    <t>弼</t>
  </si>
  <si>
    <t>pit8</t>
  </si>
  <si>
    <t>彘</t>
  </si>
  <si>
    <t>彭</t>
  </si>
  <si>
    <t>復</t>
  </si>
  <si>
    <t>往來; 興起; 倒tńg; 應答; 白白; 覆命; 引魂 倒來; 復倒.</t>
  </si>
  <si>
    <t>循</t>
  </si>
  <si>
    <t>悲</t>
  </si>
  <si>
    <t>悶</t>
  </si>
  <si>
    <t>惑</t>
  </si>
  <si>
    <t>惠</t>
  </si>
  <si>
    <t>惡</t>
  </si>
  <si>
    <t>oo3</t>
  </si>
  <si>
    <t>惰</t>
  </si>
  <si>
    <t>tuann6</t>
  </si>
  <si>
    <t>惱</t>
  </si>
  <si>
    <t>惺</t>
  </si>
  <si>
    <t>惻</t>
  </si>
  <si>
    <t>愉</t>
  </si>
  <si>
    <t>愎</t>
  </si>
  <si>
    <t>愕</t>
  </si>
  <si>
    <t>gok8</t>
  </si>
  <si>
    <t>愖</t>
  </si>
  <si>
    <t>戟</t>
  </si>
  <si>
    <t>扉</t>
  </si>
  <si>
    <t>捶</t>
  </si>
  <si>
    <t>tui5</t>
  </si>
  <si>
    <t>掌</t>
  </si>
  <si>
    <t>tsiunn2</t>
  </si>
  <si>
    <t>掔</t>
  </si>
  <si>
    <t>掣</t>
  </si>
  <si>
    <t>掰</t>
  </si>
  <si>
    <t>per2</t>
  </si>
  <si>
    <t>揆</t>
  </si>
  <si>
    <t>揉</t>
  </si>
  <si>
    <t>揋</t>
  </si>
  <si>
    <t>ere3</t>
  </si>
  <si>
    <t>提</t>
  </si>
  <si>
    <t>揖</t>
  </si>
  <si>
    <t>揚</t>
  </si>
  <si>
    <t>換</t>
  </si>
  <si>
    <t>uann7</t>
  </si>
  <si>
    <t>揣</t>
  </si>
  <si>
    <t>tsher7</t>
  </si>
  <si>
    <t>揬</t>
  </si>
  <si>
    <t>tuh8</t>
  </si>
  <si>
    <t>揭</t>
  </si>
  <si>
    <t>揮</t>
  </si>
  <si>
    <t>援</t>
  </si>
  <si>
    <t>揻</t>
  </si>
  <si>
    <t>suann2</t>
  </si>
  <si>
    <t>敦</t>
  </si>
  <si>
    <t>敧</t>
  </si>
  <si>
    <t>khi1</t>
  </si>
  <si>
    <t>斌</t>
  </si>
  <si>
    <t>斐</t>
  </si>
  <si>
    <t>斯</t>
  </si>
  <si>
    <t>破開, 白, 下賤; chit-ê, 這, hit-ê; 按呢, 即時, 字姓斯, 斯文.</t>
  </si>
  <si>
    <t>晬</t>
  </si>
  <si>
    <t>tser3</t>
  </si>
  <si>
    <t>普</t>
  </si>
  <si>
    <t>景</t>
  </si>
  <si>
    <t>晰</t>
  </si>
  <si>
    <t>晴</t>
  </si>
  <si>
    <t>晶</t>
  </si>
  <si>
    <t>智</t>
  </si>
  <si>
    <t>晾</t>
  </si>
  <si>
    <t>nee5</t>
  </si>
  <si>
    <t>暀</t>
  </si>
  <si>
    <t>暑</t>
  </si>
  <si>
    <t>sir2</t>
  </si>
  <si>
    <t>tserng5</t>
  </si>
  <si>
    <t>替</t>
  </si>
  <si>
    <t>there3</t>
  </si>
  <si>
    <t>最</t>
  </si>
  <si>
    <t>期</t>
  </si>
  <si>
    <t>mi5</t>
  </si>
  <si>
    <t>棋</t>
  </si>
  <si>
    <t>棍</t>
  </si>
  <si>
    <t>棗</t>
  </si>
  <si>
    <t>棘</t>
  </si>
  <si>
    <t>棚</t>
  </si>
  <si>
    <t>棟</t>
  </si>
  <si>
    <t>棠</t>
  </si>
  <si>
    <t>棣</t>
  </si>
  <si>
    <t>棨</t>
  </si>
  <si>
    <t>森</t>
  </si>
  <si>
    <t>棲</t>
  </si>
  <si>
    <t>棺</t>
  </si>
  <si>
    <t>椅</t>
  </si>
  <si>
    <t>植</t>
  </si>
  <si>
    <t>椎</t>
  </si>
  <si>
    <t>tsui1</t>
  </si>
  <si>
    <t>欺</t>
  </si>
  <si>
    <t>欽</t>
  </si>
  <si>
    <t>khim1</t>
  </si>
  <si>
    <t>款</t>
  </si>
  <si>
    <t>khuann2</t>
  </si>
  <si>
    <t>khuan2</t>
  </si>
  <si>
    <t>殕</t>
  </si>
  <si>
    <t>phu2</t>
  </si>
  <si>
    <t>殖</t>
  </si>
  <si>
    <t>渙</t>
  </si>
  <si>
    <t>渠</t>
  </si>
  <si>
    <t>kir5</t>
  </si>
  <si>
    <t>渡</t>
  </si>
  <si>
    <t>渣</t>
  </si>
  <si>
    <t>tsee1</t>
  </si>
  <si>
    <t>渤</t>
  </si>
  <si>
    <t>渧</t>
  </si>
  <si>
    <t>測</t>
  </si>
  <si>
    <t>渭</t>
  </si>
  <si>
    <t>khuah4</t>
  </si>
  <si>
    <t>游</t>
  </si>
  <si>
    <t>渾</t>
  </si>
  <si>
    <t>湄</t>
  </si>
  <si>
    <t>湊</t>
  </si>
  <si>
    <t>湍</t>
  </si>
  <si>
    <t>thuan1</t>
  </si>
  <si>
    <t>湖</t>
  </si>
  <si>
    <t>湘</t>
  </si>
  <si>
    <t>湠</t>
  </si>
  <si>
    <t>湧</t>
  </si>
  <si>
    <t>湯</t>
  </si>
  <si>
    <t>thng1</t>
  </si>
  <si>
    <t>滋</t>
  </si>
  <si>
    <t>焙</t>
  </si>
  <si>
    <t>焚</t>
  </si>
  <si>
    <t>焠</t>
  </si>
  <si>
    <t>tshuh4</t>
  </si>
  <si>
    <t>無</t>
  </si>
  <si>
    <t>bo5</t>
  </si>
  <si>
    <t>焮</t>
  </si>
  <si>
    <t>khian3</t>
  </si>
  <si>
    <t>然</t>
  </si>
  <si>
    <t>jian5</t>
  </si>
  <si>
    <t>煮</t>
  </si>
  <si>
    <t>牚</t>
  </si>
  <si>
    <t>thenn3</t>
  </si>
  <si>
    <t>猌</t>
  </si>
  <si>
    <t>gin7</t>
  </si>
  <si>
    <t>猥</t>
  </si>
  <si>
    <t>猩</t>
  </si>
  <si>
    <t>琛</t>
  </si>
  <si>
    <t>thim1</t>
  </si>
  <si>
    <t>琢</t>
  </si>
  <si>
    <t>琤</t>
  </si>
  <si>
    <t>琥</t>
  </si>
  <si>
    <t>琦</t>
  </si>
  <si>
    <t>琨</t>
  </si>
  <si>
    <t>琪</t>
  </si>
  <si>
    <t>琬</t>
  </si>
  <si>
    <t>琮</t>
  </si>
  <si>
    <t>琳</t>
  </si>
  <si>
    <t>琴</t>
  </si>
  <si>
    <t>khim5</t>
  </si>
  <si>
    <t>琵</t>
  </si>
  <si>
    <t>pe5</t>
  </si>
  <si>
    <t>甥</t>
  </si>
  <si>
    <t>甦</t>
  </si>
  <si>
    <t>甯</t>
  </si>
  <si>
    <t>番</t>
  </si>
  <si>
    <t>畫</t>
  </si>
  <si>
    <t>hua7</t>
  </si>
  <si>
    <t>uee7</t>
  </si>
  <si>
    <t>ueeh8</t>
  </si>
  <si>
    <t>thong3</t>
  </si>
  <si>
    <t>痞</t>
  </si>
  <si>
    <t>痠</t>
  </si>
  <si>
    <t>痣</t>
  </si>
  <si>
    <t>痧</t>
  </si>
  <si>
    <t>sua</t>
  </si>
  <si>
    <t>登</t>
  </si>
  <si>
    <t>發</t>
  </si>
  <si>
    <t>puh4</t>
  </si>
  <si>
    <t>皓</t>
  </si>
  <si>
    <t>皖</t>
  </si>
  <si>
    <t>盜</t>
  </si>
  <si>
    <t>睇</t>
  </si>
  <si>
    <t>睏</t>
  </si>
  <si>
    <t>短</t>
  </si>
  <si>
    <t>tuan2</t>
  </si>
  <si>
    <t>ter2</t>
  </si>
  <si>
    <t>硞</t>
  </si>
  <si>
    <t>kok8</t>
  </si>
  <si>
    <t>khok8</t>
  </si>
  <si>
    <t>硩</t>
  </si>
  <si>
    <t>teeh4</t>
  </si>
  <si>
    <t>硬</t>
  </si>
  <si>
    <t>ngee6</t>
  </si>
  <si>
    <t>ging6</t>
  </si>
  <si>
    <t>硯</t>
  </si>
  <si>
    <t>hinn7</t>
  </si>
  <si>
    <t>稀</t>
  </si>
  <si>
    <t>稅</t>
  </si>
  <si>
    <t>ser3</t>
  </si>
  <si>
    <t>窘</t>
  </si>
  <si>
    <t>竣</t>
  </si>
  <si>
    <t>筆</t>
  </si>
  <si>
    <t>terng2</t>
  </si>
  <si>
    <t>筋</t>
  </si>
  <si>
    <t>筍</t>
  </si>
  <si>
    <t>筐</t>
  </si>
  <si>
    <t>策</t>
  </si>
  <si>
    <t>粞</t>
  </si>
  <si>
    <t>tshere3</t>
  </si>
  <si>
    <t>粟</t>
  </si>
  <si>
    <t>粥</t>
  </si>
  <si>
    <t>iok8</t>
  </si>
  <si>
    <t>紫</t>
  </si>
  <si>
    <t>絕</t>
  </si>
  <si>
    <t>tsuat8</t>
  </si>
  <si>
    <t>tserh8</t>
  </si>
  <si>
    <t>絝</t>
  </si>
  <si>
    <t>絡</t>
  </si>
  <si>
    <t>le1</t>
  </si>
  <si>
    <t>絢</t>
  </si>
  <si>
    <t>給</t>
  </si>
  <si>
    <t>絮</t>
  </si>
  <si>
    <t>絲</t>
  </si>
  <si>
    <t>翔</t>
  </si>
  <si>
    <t>hip4</t>
  </si>
  <si>
    <t>肅</t>
  </si>
  <si>
    <t>脹</t>
  </si>
  <si>
    <t>脾</t>
  </si>
  <si>
    <t>腀</t>
  </si>
  <si>
    <t>腋</t>
  </si>
  <si>
    <t>腎</t>
  </si>
  <si>
    <t>腑</t>
  </si>
  <si>
    <t>腔</t>
  </si>
  <si>
    <t>腕</t>
  </si>
  <si>
    <t>uann2</t>
  </si>
  <si>
    <t>舒</t>
  </si>
  <si>
    <t>舜</t>
  </si>
  <si>
    <t>菀</t>
  </si>
  <si>
    <t>菁</t>
  </si>
  <si>
    <t>菅</t>
  </si>
  <si>
    <t>菇</t>
  </si>
  <si>
    <t>菌</t>
  </si>
  <si>
    <t>菏</t>
  </si>
  <si>
    <t>菝</t>
  </si>
  <si>
    <t>菠</t>
  </si>
  <si>
    <t>菩</t>
  </si>
  <si>
    <t>華</t>
  </si>
  <si>
    <t>草木 ê 名, 人 ê 字姓.</t>
  </si>
  <si>
    <t>hua5</t>
  </si>
  <si>
    <t>花 媠, 花草 ām; 文理, 粉幼, 德行, 白頭毛.</t>
  </si>
  <si>
    <t>菱</t>
  </si>
  <si>
    <t>菲</t>
  </si>
  <si>
    <t>萃</t>
  </si>
  <si>
    <t>萄</t>
  </si>
  <si>
    <t>萌</t>
  </si>
  <si>
    <t>萍</t>
  </si>
  <si>
    <t>萎</t>
  </si>
  <si>
    <t>tir3</t>
  </si>
  <si>
    <t>tiok8</t>
  </si>
  <si>
    <t>tioh8</t>
  </si>
  <si>
    <t>虛</t>
  </si>
  <si>
    <t>hir1</t>
  </si>
  <si>
    <t>蛙</t>
  </si>
  <si>
    <t>蛛</t>
  </si>
  <si>
    <t>街</t>
  </si>
  <si>
    <t>kere1</t>
  </si>
  <si>
    <t>袱</t>
  </si>
  <si>
    <t>lih8</t>
  </si>
  <si>
    <t>覕</t>
  </si>
  <si>
    <t>bih4</t>
  </si>
  <si>
    <t>視</t>
  </si>
  <si>
    <t>訴</t>
  </si>
  <si>
    <t>訶</t>
  </si>
  <si>
    <t>受氣; 大聲; 責備.</t>
  </si>
  <si>
    <t>診</t>
  </si>
  <si>
    <t>註</t>
  </si>
  <si>
    <t>証</t>
  </si>
  <si>
    <t>詈</t>
  </si>
  <si>
    <t>lere2</t>
  </si>
  <si>
    <t>評</t>
  </si>
  <si>
    <t>詛</t>
  </si>
  <si>
    <t>tsoo3</t>
  </si>
  <si>
    <t>詞</t>
  </si>
  <si>
    <t>詠</t>
  </si>
  <si>
    <t>象</t>
  </si>
  <si>
    <t>貯</t>
  </si>
  <si>
    <t>貴</t>
  </si>
  <si>
    <t>買</t>
  </si>
  <si>
    <t>bere2</t>
  </si>
  <si>
    <t>費</t>
  </si>
  <si>
    <t>貽</t>
  </si>
  <si>
    <t>bio7</t>
  </si>
  <si>
    <t>賀</t>
  </si>
  <si>
    <t>趄</t>
  </si>
  <si>
    <t>越</t>
  </si>
  <si>
    <t>跋</t>
  </si>
  <si>
    <t>puah8</t>
  </si>
  <si>
    <t>跍</t>
  </si>
  <si>
    <t>khu5</t>
  </si>
  <si>
    <t>跎</t>
  </si>
  <si>
    <t>跔</t>
  </si>
  <si>
    <t>跙</t>
  </si>
  <si>
    <t>tshu6</t>
  </si>
  <si>
    <t>距</t>
  </si>
  <si>
    <t>軸</t>
  </si>
  <si>
    <t>軻</t>
  </si>
  <si>
    <t>軼</t>
  </si>
  <si>
    <t>辜</t>
  </si>
  <si>
    <t>進</t>
  </si>
  <si>
    <t>逵</t>
  </si>
  <si>
    <t>逶</t>
  </si>
  <si>
    <t>逸</t>
  </si>
  <si>
    <t>郵</t>
  </si>
  <si>
    <t>鄉</t>
  </si>
  <si>
    <t>酥</t>
  </si>
  <si>
    <t>量</t>
  </si>
  <si>
    <t>niu7</t>
  </si>
  <si>
    <t>鈃</t>
  </si>
  <si>
    <t>giang1</t>
  </si>
  <si>
    <t>鈍</t>
  </si>
  <si>
    <t>tun7</t>
  </si>
  <si>
    <t>鈕</t>
  </si>
  <si>
    <t>鈞</t>
  </si>
  <si>
    <t>khui1</t>
  </si>
  <si>
    <t>閏</t>
  </si>
  <si>
    <t>閔</t>
  </si>
  <si>
    <t>陽</t>
  </si>
  <si>
    <t>隅</t>
  </si>
  <si>
    <t>隊</t>
  </si>
  <si>
    <t>tui7</t>
  </si>
  <si>
    <t>隋</t>
  </si>
  <si>
    <t>隍</t>
  </si>
  <si>
    <t>雄</t>
  </si>
  <si>
    <t>hiong5</t>
  </si>
  <si>
    <t>集</t>
  </si>
  <si>
    <t>tsip8</t>
  </si>
  <si>
    <t>雇</t>
  </si>
  <si>
    <t>雯</t>
  </si>
  <si>
    <t>雰</t>
  </si>
  <si>
    <t>雲</t>
  </si>
  <si>
    <t>韌</t>
  </si>
  <si>
    <t>順</t>
  </si>
  <si>
    <t>須</t>
  </si>
  <si>
    <t>飪</t>
  </si>
  <si>
    <t>飫</t>
  </si>
  <si>
    <t>ir3</t>
  </si>
  <si>
    <t>飯</t>
  </si>
  <si>
    <t>飲</t>
  </si>
  <si>
    <t>im2</t>
  </si>
  <si>
    <t>馭</t>
  </si>
  <si>
    <t>黃</t>
  </si>
  <si>
    <t>ng5</t>
  </si>
  <si>
    <t>黍</t>
  </si>
  <si>
    <t>黑</t>
  </si>
  <si>
    <t>hik4</t>
  </si>
  <si>
    <t>𠞄</t>
  </si>
  <si>
    <t>𢯾</t>
  </si>
  <si>
    <t>mooh4</t>
  </si>
  <si>
    <t>㜅</t>
  </si>
  <si>
    <t>㽎</t>
  </si>
  <si>
    <t>sim3</t>
  </si>
  <si>
    <t>亂</t>
  </si>
  <si>
    <t>luan7</t>
  </si>
  <si>
    <t>催</t>
  </si>
  <si>
    <t>傲</t>
  </si>
  <si>
    <t>傳</t>
  </si>
  <si>
    <t>所傳 ê 冊, 經傳; 福音傳; 左傳, 春秋傳.</t>
  </si>
  <si>
    <t>thuan5</t>
  </si>
  <si>
    <t>相續, 報揚, 交互, 召來, 流傳, 傳道.</t>
  </si>
  <si>
    <t>tuinn5</t>
  </si>
  <si>
    <t>thuinn5</t>
  </si>
  <si>
    <t>tsee3</t>
  </si>
  <si>
    <t>傷</t>
  </si>
  <si>
    <t>傾</t>
  </si>
  <si>
    <t>僅</t>
  </si>
  <si>
    <t>kin7</t>
  </si>
  <si>
    <t>僆</t>
  </si>
  <si>
    <t>nua7</t>
  </si>
  <si>
    <t>剷</t>
  </si>
  <si>
    <t>thuann2</t>
  </si>
  <si>
    <t>剸</t>
  </si>
  <si>
    <t>tuan5</t>
  </si>
  <si>
    <t>剺</t>
  </si>
  <si>
    <t>leeh8</t>
  </si>
  <si>
    <t>募</t>
  </si>
  <si>
    <t>勢</t>
  </si>
  <si>
    <t>勤</t>
  </si>
  <si>
    <t>勥</t>
  </si>
  <si>
    <t>khiang3</t>
  </si>
  <si>
    <t>匯</t>
  </si>
  <si>
    <t>hue7</t>
  </si>
  <si>
    <t>嗅</t>
  </si>
  <si>
    <t>嗇</t>
  </si>
  <si>
    <t>嗔</t>
  </si>
  <si>
    <t>tshin1</t>
  </si>
  <si>
    <t>嗙</t>
  </si>
  <si>
    <t>phngh4</t>
  </si>
  <si>
    <t>嗚</t>
  </si>
  <si>
    <t>嗜</t>
  </si>
  <si>
    <t>嗣</t>
  </si>
  <si>
    <t>嗤</t>
  </si>
  <si>
    <t>嗯</t>
  </si>
  <si>
    <t>ngh8</t>
  </si>
  <si>
    <t>園</t>
  </si>
  <si>
    <t>huinn5</t>
  </si>
  <si>
    <t>圓</t>
  </si>
  <si>
    <t>塊</t>
  </si>
  <si>
    <t>塑</t>
  </si>
  <si>
    <t>塗</t>
  </si>
  <si>
    <t>塘</t>
  </si>
  <si>
    <t>thūn密, 隔斷, 不通, 阻止, 充滿, 忠直, 無安穩.</t>
  </si>
  <si>
    <t>serk4</t>
  </si>
  <si>
    <t>塢</t>
  </si>
  <si>
    <t>塭</t>
  </si>
  <si>
    <t>un3</t>
  </si>
  <si>
    <t>奧</t>
  </si>
  <si>
    <t>o3</t>
  </si>
  <si>
    <t>媲</t>
  </si>
  <si>
    <t>phe3</t>
  </si>
  <si>
    <t>媳</t>
  </si>
  <si>
    <t>媵</t>
  </si>
  <si>
    <t>thin7</t>
  </si>
  <si>
    <t>嫂</t>
  </si>
  <si>
    <t>so2</t>
  </si>
  <si>
    <t>嫉</t>
  </si>
  <si>
    <t>幌</t>
  </si>
  <si>
    <t>弒</t>
  </si>
  <si>
    <t>彙</t>
  </si>
  <si>
    <t>徬</t>
  </si>
  <si>
    <t>微</t>
  </si>
  <si>
    <t>bui1</t>
  </si>
  <si>
    <t>ber5</t>
  </si>
  <si>
    <t>想</t>
  </si>
  <si>
    <t>siang2</t>
  </si>
  <si>
    <t>愁</t>
  </si>
  <si>
    <t>tshiu5</t>
  </si>
  <si>
    <t>愆</t>
  </si>
  <si>
    <t>愈</t>
  </si>
  <si>
    <t>ji2</t>
  </si>
  <si>
    <t>意</t>
  </si>
  <si>
    <t>i3</t>
  </si>
  <si>
    <t>愚</t>
  </si>
  <si>
    <t>愧</t>
  </si>
  <si>
    <t>愴</t>
  </si>
  <si>
    <t>慈</t>
  </si>
  <si>
    <t>tsur5</t>
  </si>
  <si>
    <t>慌</t>
  </si>
  <si>
    <t>慍</t>
  </si>
  <si>
    <t>慎</t>
  </si>
  <si>
    <t>戥</t>
  </si>
  <si>
    <t>揫</t>
  </si>
  <si>
    <t>損</t>
  </si>
  <si>
    <t>搏</t>
  </si>
  <si>
    <t>搐</t>
  </si>
  <si>
    <t>tiuh4</t>
  </si>
  <si>
    <t>搓</t>
  </si>
  <si>
    <t>搔</t>
  </si>
  <si>
    <t>搝</t>
  </si>
  <si>
    <t>khiu2</t>
  </si>
  <si>
    <t>giu2</t>
  </si>
  <si>
    <t>搣</t>
  </si>
  <si>
    <t>mee1</t>
  </si>
  <si>
    <t>搧</t>
  </si>
  <si>
    <t>搬</t>
  </si>
  <si>
    <t>搵</t>
  </si>
  <si>
    <t>搶</t>
  </si>
  <si>
    <t>tshiunn2</t>
  </si>
  <si>
    <t>摁</t>
  </si>
  <si>
    <t>hmh4</t>
  </si>
  <si>
    <t>摃</t>
  </si>
  <si>
    <t>敬</t>
  </si>
  <si>
    <t>斟</t>
  </si>
  <si>
    <t>thin5</t>
  </si>
  <si>
    <t>新</t>
  </si>
  <si>
    <t>暄</t>
  </si>
  <si>
    <t>暈</t>
  </si>
  <si>
    <t>uinn7</t>
  </si>
  <si>
    <t>un7</t>
  </si>
  <si>
    <t>暖</t>
  </si>
  <si>
    <t>會</t>
  </si>
  <si>
    <t>kue3</t>
  </si>
  <si>
    <t xml:space="preserve">算數, 數項, 數額.	</t>
  </si>
  <si>
    <t>her7</t>
  </si>
  <si>
    <t>會頭, 招會, 會長, 搖會, tè會; 教會, 下會.</t>
  </si>
  <si>
    <t>能、會</t>
  </si>
  <si>
    <t>椿</t>
  </si>
  <si>
    <t>楊</t>
  </si>
  <si>
    <t>tshiunn5</t>
  </si>
  <si>
    <t>楓</t>
  </si>
  <si>
    <t>png1</t>
  </si>
  <si>
    <t>楔</t>
  </si>
  <si>
    <t>sereh4</t>
  </si>
  <si>
    <t>楗</t>
  </si>
  <si>
    <t>king6</t>
  </si>
  <si>
    <t>楚</t>
  </si>
  <si>
    <t>tshoo2</t>
  </si>
  <si>
    <t>ling6</t>
  </si>
  <si>
    <t>楫</t>
  </si>
  <si>
    <t>極</t>
  </si>
  <si>
    <t>楹</t>
  </si>
  <si>
    <t>enn5</t>
  </si>
  <si>
    <t>榔</t>
  </si>
  <si>
    <t>歇</t>
  </si>
  <si>
    <t>歲</t>
  </si>
  <si>
    <t>毀</t>
  </si>
  <si>
    <t>毽</t>
  </si>
  <si>
    <t>源</t>
  </si>
  <si>
    <t>準</t>
  </si>
  <si>
    <t>溜</t>
  </si>
  <si>
    <t>liu1</t>
  </si>
  <si>
    <t>溡</t>
  </si>
  <si>
    <t>溢</t>
  </si>
  <si>
    <t>溧</t>
  </si>
  <si>
    <t>溪</t>
  </si>
  <si>
    <t>khe1</t>
  </si>
  <si>
    <t>khere1</t>
  </si>
  <si>
    <t>溫</t>
  </si>
  <si>
    <t>溯</t>
  </si>
  <si>
    <t>溶</t>
  </si>
  <si>
    <t>溺</t>
  </si>
  <si>
    <t>滂</t>
  </si>
  <si>
    <t>滄</t>
  </si>
  <si>
    <t>tinn6</t>
  </si>
  <si>
    <t>滑</t>
  </si>
  <si>
    <t>煌</t>
  </si>
  <si>
    <t>煎</t>
  </si>
  <si>
    <t>tsian1</t>
  </si>
  <si>
    <t>tsuann1</t>
  </si>
  <si>
    <t>煏</t>
  </si>
  <si>
    <t>piak4</t>
  </si>
  <si>
    <t>suah4</t>
  </si>
  <si>
    <t>煡</t>
  </si>
  <si>
    <t>煤</t>
  </si>
  <si>
    <t>煥</t>
  </si>
  <si>
    <t>煦</t>
  </si>
  <si>
    <t>u3</t>
  </si>
  <si>
    <t>煨</t>
  </si>
  <si>
    <t>煩</t>
  </si>
  <si>
    <t>猷</t>
  </si>
  <si>
    <t>猾</t>
  </si>
  <si>
    <t>猿</t>
  </si>
  <si>
    <t>瑗</t>
  </si>
  <si>
    <t>瑙</t>
  </si>
  <si>
    <t>瑚</t>
  </si>
  <si>
    <t>瑛</t>
  </si>
  <si>
    <t>瑞</t>
  </si>
  <si>
    <t>sui7</t>
  </si>
  <si>
    <t>瑟</t>
  </si>
  <si>
    <t>瑯</t>
  </si>
  <si>
    <t>long1</t>
  </si>
  <si>
    <t>tng1</t>
  </si>
  <si>
    <t>tng3</t>
  </si>
  <si>
    <t>痱</t>
  </si>
  <si>
    <t>痴</t>
  </si>
  <si>
    <t>痹</t>
  </si>
  <si>
    <t>瘁</t>
  </si>
  <si>
    <t>盟</t>
  </si>
  <si>
    <t>睛</t>
  </si>
  <si>
    <t>督</t>
  </si>
  <si>
    <t>睦</t>
  </si>
  <si>
    <t>睨</t>
  </si>
  <si>
    <t>gin5</t>
  </si>
  <si>
    <t>睭</t>
  </si>
  <si>
    <t>睹</t>
  </si>
  <si>
    <t>ere2</t>
  </si>
  <si>
    <t>碁</t>
  </si>
  <si>
    <t>碌</t>
  </si>
  <si>
    <t>碎</t>
  </si>
  <si>
    <t>碑</t>
  </si>
  <si>
    <t>碓</t>
  </si>
  <si>
    <t>tui3</t>
  </si>
  <si>
    <t>碖</t>
  </si>
  <si>
    <t>碗</t>
  </si>
  <si>
    <t>碰</t>
  </si>
  <si>
    <t>phong3</t>
  </si>
  <si>
    <t>祿</t>
  </si>
  <si>
    <t>禁</t>
  </si>
  <si>
    <t>kim3</t>
  </si>
  <si>
    <t>禽</t>
  </si>
  <si>
    <t>稗</t>
  </si>
  <si>
    <t>phere7</t>
  </si>
  <si>
    <t>稚</t>
  </si>
  <si>
    <t>稟</t>
  </si>
  <si>
    <t>pin2</t>
  </si>
  <si>
    <t>稠</t>
  </si>
  <si>
    <t>窟</t>
  </si>
  <si>
    <t>窠</t>
  </si>
  <si>
    <t>窣</t>
  </si>
  <si>
    <t>筠</t>
  </si>
  <si>
    <t>kian2</t>
  </si>
  <si>
    <t>筮</t>
  </si>
  <si>
    <t>筷</t>
  </si>
  <si>
    <t>tsereh4</t>
  </si>
  <si>
    <t>粱</t>
  </si>
  <si>
    <t>粵</t>
  </si>
  <si>
    <t>絹</t>
  </si>
  <si>
    <t>kin3</t>
  </si>
  <si>
    <t>綏</t>
  </si>
  <si>
    <t>經</t>
  </si>
  <si>
    <t>罪</t>
  </si>
  <si>
    <t>tsue7</t>
  </si>
  <si>
    <t>置</t>
  </si>
  <si>
    <t>署</t>
  </si>
  <si>
    <t>群</t>
  </si>
  <si>
    <t>羨</t>
  </si>
  <si>
    <t>義</t>
  </si>
  <si>
    <t>gi7</t>
  </si>
  <si>
    <t>聘</t>
  </si>
  <si>
    <t>肄</t>
  </si>
  <si>
    <t>肆</t>
  </si>
  <si>
    <t>腡</t>
  </si>
  <si>
    <t>ler5</t>
  </si>
  <si>
    <t>腥</t>
  </si>
  <si>
    <t>腫</t>
  </si>
  <si>
    <t>腱</t>
  </si>
  <si>
    <t>腳</t>
  </si>
  <si>
    <t>kiak4</t>
  </si>
  <si>
    <t>kioh4</t>
  </si>
  <si>
    <t>腸</t>
  </si>
  <si>
    <t>舅</t>
  </si>
  <si>
    <t>ku6</t>
  </si>
  <si>
    <t>艇</t>
  </si>
  <si>
    <t>萩</t>
  </si>
  <si>
    <t>萱</t>
  </si>
  <si>
    <t>萵</t>
  </si>
  <si>
    <t>萼</t>
  </si>
  <si>
    <t>loh4</t>
  </si>
  <si>
    <t>hioh8</t>
  </si>
  <si>
    <t>葚</t>
  </si>
  <si>
    <t>sim6</t>
  </si>
  <si>
    <t>葡</t>
  </si>
  <si>
    <t>tong2</t>
  </si>
  <si>
    <t>葦</t>
  </si>
  <si>
    <t>葫</t>
  </si>
  <si>
    <t>葬</t>
  </si>
  <si>
    <t>葵</t>
  </si>
  <si>
    <t>kher5</t>
  </si>
  <si>
    <t>葷</t>
  </si>
  <si>
    <t>葺</t>
  </si>
  <si>
    <t>蒂</t>
  </si>
  <si>
    <t>虜</t>
  </si>
  <si>
    <t>虞</t>
  </si>
  <si>
    <t>號</t>
  </si>
  <si>
    <t>蛻</t>
  </si>
  <si>
    <t>蛾</t>
  </si>
  <si>
    <t>蜀</t>
  </si>
  <si>
    <t>siok8</t>
  </si>
  <si>
    <t>蜃</t>
  </si>
  <si>
    <t>sin6</t>
  </si>
  <si>
    <t>蜅</t>
  </si>
  <si>
    <t>蜈</t>
  </si>
  <si>
    <t>gia5</t>
  </si>
  <si>
    <t>蜉</t>
  </si>
  <si>
    <t>蜍</t>
  </si>
  <si>
    <t>tsir5</t>
  </si>
  <si>
    <t>裏</t>
  </si>
  <si>
    <t>裔</t>
  </si>
  <si>
    <t>裕</t>
  </si>
  <si>
    <t>裘</t>
  </si>
  <si>
    <t>hiu5</t>
  </si>
  <si>
    <t>裙</t>
  </si>
  <si>
    <t>補</t>
  </si>
  <si>
    <t>裝</t>
  </si>
  <si>
    <t>裟</t>
  </si>
  <si>
    <t>裡</t>
  </si>
  <si>
    <t>li0</t>
  </si>
  <si>
    <t>ler3</t>
  </si>
  <si>
    <t>nng0</t>
  </si>
  <si>
    <t>詡</t>
  </si>
  <si>
    <t>詢</t>
  </si>
  <si>
    <t>詣</t>
  </si>
  <si>
    <t>詩</t>
  </si>
  <si>
    <t>詭</t>
  </si>
  <si>
    <t>詮</t>
  </si>
  <si>
    <t>詰</t>
  </si>
  <si>
    <t>話</t>
  </si>
  <si>
    <t>詳</t>
  </si>
  <si>
    <t>詼</t>
  </si>
  <si>
    <t>誅</t>
  </si>
  <si>
    <t>誇</t>
  </si>
  <si>
    <t>khua1</t>
  </si>
  <si>
    <t>賂</t>
  </si>
  <si>
    <t>lo7</t>
  </si>
  <si>
    <t>loo7</t>
  </si>
  <si>
    <t>賃</t>
  </si>
  <si>
    <t>lim7</t>
  </si>
  <si>
    <t>賄</t>
  </si>
  <si>
    <t>資</t>
  </si>
  <si>
    <t>tserk8</t>
  </si>
  <si>
    <t>趒</t>
  </si>
  <si>
    <t>跟</t>
  </si>
  <si>
    <t>跡</t>
  </si>
  <si>
    <t>跨</t>
  </si>
  <si>
    <t>跩</t>
  </si>
  <si>
    <t>tsuai6</t>
  </si>
  <si>
    <t>跪</t>
  </si>
  <si>
    <t>kui6</t>
  </si>
  <si>
    <t>路</t>
  </si>
  <si>
    <t>軾</t>
  </si>
  <si>
    <t>辟</t>
  </si>
  <si>
    <t>農</t>
  </si>
  <si>
    <t>逼</t>
  </si>
  <si>
    <t>遁</t>
  </si>
  <si>
    <t>遂</t>
  </si>
  <si>
    <t>遇</t>
  </si>
  <si>
    <t>遊</t>
  </si>
  <si>
    <t>運</t>
  </si>
  <si>
    <t>過</t>
  </si>
  <si>
    <t>ker3</t>
  </si>
  <si>
    <t>道</t>
  </si>
  <si>
    <t>違</t>
  </si>
  <si>
    <t>鄒</t>
  </si>
  <si>
    <t>鄔</t>
  </si>
  <si>
    <t>酬</t>
  </si>
  <si>
    <t>鈴</t>
  </si>
  <si>
    <t>鈷</t>
  </si>
  <si>
    <t>鈸</t>
  </si>
  <si>
    <t>鉉</t>
  </si>
  <si>
    <t>銃</t>
  </si>
  <si>
    <t>隔</t>
  </si>
  <si>
    <t>keh4</t>
  </si>
  <si>
    <t>隕</t>
  </si>
  <si>
    <t>雉</t>
  </si>
  <si>
    <t>thi6</t>
  </si>
  <si>
    <t>雋</t>
  </si>
  <si>
    <t>tsuan6</t>
  </si>
  <si>
    <t>雷</t>
  </si>
  <si>
    <t>lui5</t>
  </si>
  <si>
    <t>靖</t>
  </si>
  <si>
    <t>靳</t>
  </si>
  <si>
    <t>靴</t>
  </si>
  <si>
    <t>hio1</t>
  </si>
  <si>
    <t>靶</t>
  </si>
  <si>
    <t>預</t>
  </si>
  <si>
    <t>ir7</t>
  </si>
  <si>
    <t>頑</t>
  </si>
  <si>
    <t>頓</t>
  </si>
  <si>
    <t>tun3</t>
  </si>
  <si>
    <t>飼</t>
  </si>
  <si>
    <t>tshi7</t>
  </si>
  <si>
    <t>飾</t>
  </si>
  <si>
    <t>馱</t>
  </si>
  <si>
    <t>馳</t>
  </si>
  <si>
    <t>馴</t>
  </si>
  <si>
    <t>髡</t>
  </si>
  <si>
    <t>鳩</t>
  </si>
  <si>
    <t>鼓</t>
  </si>
  <si>
    <t>鼠</t>
  </si>
  <si>
    <t>𠞩</t>
  </si>
  <si>
    <t>tsui5</t>
  </si>
  <si>
    <t>𩚨</t>
  </si>
  <si>
    <t>khiu7</t>
  </si>
  <si>
    <t>䘼</t>
  </si>
  <si>
    <t>uinn2</t>
  </si>
  <si>
    <t>䘿</t>
  </si>
  <si>
    <t>khut8</t>
  </si>
  <si>
    <t>像</t>
  </si>
  <si>
    <t>僐</t>
  </si>
  <si>
    <t>僕</t>
  </si>
  <si>
    <t>僧</t>
  </si>
  <si>
    <t>僫</t>
  </si>
  <si>
    <t>oh4</t>
  </si>
  <si>
    <t>僱</t>
  </si>
  <si>
    <t>兢</t>
  </si>
  <si>
    <t>凳</t>
  </si>
  <si>
    <t>劃</t>
  </si>
  <si>
    <t>uih8</t>
  </si>
  <si>
    <t>匱</t>
  </si>
  <si>
    <t>kui7</t>
  </si>
  <si>
    <t>嘓</t>
  </si>
  <si>
    <t>嘖</t>
  </si>
  <si>
    <t>嘗</t>
  </si>
  <si>
    <t>siong5</t>
  </si>
  <si>
    <t>試 滋味, 啖覓, 試看, bat 按呢, 平素, 常常, 字姓.</t>
  </si>
  <si>
    <t>嘣</t>
  </si>
  <si>
    <t>piang1</t>
  </si>
  <si>
    <t>圖</t>
  </si>
  <si>
    <t>團</t>
  </si>
  <si>
    <t>thngh8</t>
  </si>
  <si>
    <t>塵</t>
  </si>
  <si>
    <t>境</t>
  </si>
  <si>
    <t>墅</t>
  </si>
  <si>
    <t>墓</t>
  </si>
  <si>
    <t>墘</t>
  </si>
  <si>
    <t>kinn5</t>
  </si>
  <si>
    <t>壽</t>
  </si>
  <si>
    <t>夥</t>
  </si>
  <si>
    <t>嫡</t>
  </si>
  <si>
    <t>嫦</t>
  </si>
  <si>
    <t>嫩</t>
  </si>
  <si>
    <t>lun7</t>
  </si>
  <si>
    <t>孵</t>
  </si>
  <si>
    <t>寞</t>
  </si>
  <si>
    <t>寡</t>
  </si>
  <si>
    <t>kua2</t>
  </si>
  <si>
    <t>寢</t>
  </si>
  <si>
    <t>tshim2</t>
  </si>
  <si>
    <t>寤</t>
  </si>
  <si>
    <t>寧</t>
  </si>
  <si>
    <t>tsee7</t>
  </si>
  <si>
    <t>對</t>
  </si>
  <si>
    <t>屢</t>
  </si>
  <si>
    <t>嶇</t>
  </si>
  <si>
    <t>幔</t>
  </si>
  <si>
    <t>mua1</t>
  </si>
  <si>
    <t>幕</t>
  </si>
  <si>
    <t>幗</t>
  </si>
  <si>
    <t>幣</t>
  </si>
  <si>
    <t>廍</t>
  </si>
  <si>
    <t>phoo7</t>
  </si>
  <si>
    <t>廓</t>
  </si>
  <si>
    <t>廕</t>
  </si>
  <si>
    <t>im3</t>
  </si>
  <si>
    <t>彰</t>
  </si>
  <si>
    <t>theeh4</t>
  </si>
  <si>
    <t>愿</t>
  </si>
  <si>
    <t>guan7</t>
  </si>
  <si>
    <t>慂</t>
  </si>
  <si>
    <t>sing6</t>
  </si>
  <si>
    <t>慒</t>
  </si>
  <si>
    <t>tso1</t>
  </si>
  <si>
    <t>慟</t>
  </si>
  <si>
    <t>慣</t>
  </si>
  <si>
    <t>kuainn3</t>
  </si>
  <si>
    <t>慷</t>
  </si>
  <si>
    <t>khong2</t>
  </si>
  <si>
    <t>截</t>
  </si>
  <si>
    <t>tsiat8</t>
  </si>
  <si>
    <t>tsereh8</t>
  </si>
  <si>
    <t>摑</t>
  </si>
  <si>
    <t>摔</t>
  </si>
  <si>
    <t>摕</t>
  </si>
  <si>
    <t>thereh8</t>
  </si>
  <si>
    <t>摘</t>
  </si>
  <si>
    <t>摧</t>
  </si>
  <si>
    <t>摵</t>
  </si>
  <si>
    <t>tshik8</t>
  </si>
  <si>
    <t>摸</t>
  </si>
  <si>
    <t>boo1</t>
  </si>
  <si>
    <t>boo5</t>
  </si>
  <si>
    <t>bong1</t>
  </si>
  <si>
    <t>摺</t>
  </si>
  <si>
    <t>摽</t>
  </si>
  <si>
    <t>pio1</t>
  </si>
  <si>
    <t>phuat4</t>
  </si>
  <si>
    <t>斡</t>
  </si>
  <si>
    <t>旗</t>
  </si>
  <si>
    <t>暝</t>
  </si>
  <si>
    <t>暢</t>
  </si>
  <si>
    <t>thiang3</t>
  </si>
  <si>
    <t>暨</t>
  </si>
  <si>
    <t>榕</t>
  </si>
  <si>
    <t>榛</t>
  </si>
  <si>
    <t>榜</t>
  </si>
  <si>
    <t>pong2</t>
  </si>
  <si>
    <t>png2</t>
  </si>
  <si>
    <t>tsuann3</t>
  </si>
  <si>
    <t>榫</t>
  </si>
  <si>
    <t>榮</t>
  </si>
  <si>
    <t>榴</t>
  </si>
  <si>
    <t>槃</t>
  </si>
  <si>
    <t>puan5</t>
  </si>
  <si>
    <t>就是 歡喜, 運轉, 盤旋.</t>
  </si>
  <si>
    <t>構</t>
  </si>
  <si>
    <t>槌</t>
  </si>
  <si>
    <t>thui5</t>
  </si>
  <si>
    <t>槍</t>
  </si>
  <si>
    <t>tshiunn1</t>
  </si>
  <si>
    <t>槐</t>
  </si>
  <si>
    <t>槓</t>
  </si>
  <si>
    <t>kng3</t>
  </si>
  <si>
    <t>歌</t>
  </si>
  <si>
    <t>殞</t>
  </si>
  <si>
    <t>毃</t>
  </si>
  <si>
    <t>滌</t>
  </si>
  <si>
    <t>滬</t>
  </si>
  <si>
    <t>滯</t>
  </si>
  <si>
    <t>滴</t>
  </si>
  <si>
    <t>tih4</t>
  </si>
  <si>
    <t>滷</t>
  </si>
  <si>
    <t>滸</t>
  </si>
  <si>
    <t>滾</t>
  </si>
  <si>
    <t>滿</t>
  </si>
  <si>
    <t>mua2</t>
  </si>
  <si>
    <t>漁</t>
  </si>
  <si>
    <t>漈</t>
  </si>
  <si>
    <t>tshua3</t>
  </si>
  <si>
    <t>漉</t>
  </si>
  <si>
    <t>lok4</t>
  </si>
  <si>
    <t>漓</t>
  </si>
  <si>
    <t>漠</t>
  </si>
  <si>
    <t>漪</t>
  </si>
  <si>
    <t>漲</t>
  </si>
  <si>
    <t>tng2</t>
  </si>
  <si>
    <t>tsing1#泉</t>
  </si>
  <si>
    <t>漾</t>
  </si>
  <si>
    <t>煽</t>
  </si>
  <si>
    <t>熄</t>
  </si>
  <si>
    <t>熊</t>
  </si>
  <si>
    <t>him5</t>
  </si>
  <si>
    <t>熏</t>
  </si>
  <si>
    <t>熒</t>
  </si>
  <si>
    <t>熔</t>
  </si>
  <si>
    <t>熗</t>
  </si>
  <si>
    <t>熙</t>
  </si>
  <si>
    <t>ni6</t>
  </si>
  <si>
    <t>犒</t>
  </si>
  <si>
    <t>kho3</t>
  </si>
  <si>
    <t>瑣</t>
  </si>
  <si>
    <t>瑰</t>
  </si>
  <si>
    <t>甄</t>
  </si>
  <si>
    <t>疑</t>
  </si>
  <si>
    <t>瘋</t>
  </si>
  <si>
    <t>瘍</t>
  </si>
  <si>
    <t>siunn5</t>
  </si>
  <si>
    <t>瘕</t>
  </si>
  <si>
    <t>hee1</t>
  </si>
  <si>
    <t>盡</t>
  </si>
  <si>
    <t>tsin6</t>
  </si>
  <si>
    <t>tsin7</t>
  </si>
  <si>
    <t>睡</t>
  </si>
  <si>
    <t>tser7</t>
  </si>
  <si>
    <t>nih4</t>
  </si>
  <si>
    <t>睿</t>
  </si>
  <si>
    <t>jue7</t>
  </si>
  <si>
    <t>碧</t>
  </si>
  <si>
    <t>碩</t>
  </si>
  <si>
    <t>碭</t>
  </si>
  <si>
    <t>磁</t>
  </si>
  <si>
    <t>禍</t>
  </si>
  <si>
    <t>er6</t>
  </si>
  <si>
    <t>福</t>
  </si>
  <si>
    <t>種</t>
  </si>
  <si>
    <t>稱</t>
  </si>
  <si>
    <t>窨</t>
  </si>
  <si>
    <t>窩</t>
  </si>
  <si>
    <t>竭</t>
  </si>
  <si>
    <t>端</t>
  </si>
  <si>
    <t>tuan1</t>
  </si>
  <si>
    <t>箋</t>
  </si>
  <si>
    <t>箍</t>
  </si>
  <si>
    <t>箏</t>
  </si>
  <si>
    <t>箔</t>
  </si>
  <si>
    <t>poh8</t>
  </si>
  <si>
    <t>箕</t>
  </si>
  <si>
    <t>算</t>
  </si>
  <si>
    <t>suan3</t>
  </si>
  <si>
    <t>sng3</t>
  </si>
  <si>
    <t>管</t>
  </si>
  <si>
    <t>箸</t>
  </si>
  <si>
    <t>tir7</t>
  </si>
  <si>
    <t>粹</t>
  </si>
  <si>
    <t>粿</t>
  </si>
  <si>
    <t>綜</t>
  </si>
  <si>
    <t>綠</t>
  </si>
  <si>
    <t>綢</t>
  </si>
  <si>
    <t>綣</t>
  </si>
  <si>
    <t>綬</t>
  </si>
  <si>
    <t>維</t>
  </si>
  <si>
    <t>綰</t>
  </si>
  <si>
    <t>綱</t>
  </si>
  <si>
    <t>綴</t>
  </si>
  <si>
    <t>tue3</t>
  </si>
  <si>
    <t>綸</t>
  </si>
  <si>
    <t>綹</t>
  </si>
  <si>
    <t>綺</t>
  </si>
  <si>
    <t>綽</t>
  </si>
  <si>
    <t>綾</t>
  </si>
  <si>
    <t>緄</t>
  </si>
  <si>
    <t>緊</t>
  </si>
  <si>
    <t>緒</t>
  </si>
  <si>
    <t>罰</t>
  </si>
  <si>
    <t>翟</t>
  </si>
  <si>
    <t>翠</t>
  </si>
  <si>
    <t>翡</t>
  </si>
  <si>
    <t>聚</t>
  </si>
  <si>
    <t>tsu6</t>
  </si>
  <si>
    <t>聞</t>
  </si>
  <si>
    <t>腐</t>
  </si>
  <si>
    <t>腿</t>
  </si>
  <si>
    <t>thui2</t>
  </si>
  <si>
    <t>膀</t>
  </si>
  <si>
    <t>膈</t>
  </si>
  <si>
    <t>膎</t>
  </si>
  <si>
    <t>kere5</t>
  </si>
  <si>
    <t>膏</t>
  </si>
  <si>
    <t>臧</t>
  </si>
  <si>
    <t>與</t>
  </si>
  <si>
    <t>舞</t>
  </si>
  <si>
    <t>蒙</t>
  </si>
  <si>
    <t>蒜</t>
  </si>
  <si>
    <t>蒞</t>
  </si>
  <si>
    <t>蒨</t>
  </si>
  <si>
    <t>蒲</t>
  </si>
  <si>
    <t>蒸</t>
  </si>
  <si>
    <t>蒼</t>
  </si>
  <si>
    <t>蒿</t>
  </si>
  <si>
    <t>蓀</t>
  </si>
  <si>
    <t>蓁</t>
  </si>
  <si>
    <t>草á 充盛, 積聚, 濟濟; 頭殼 戴物.</t>
  </si>
  <si>
    <t>蓆</t>
  </si>
  <si>
    <t>tshioh8</t>
  </si>
  <si>
    <t>蓑</t>
  </si>
  <si>
    <t>蓓</t>
  </si>
  <si>
    <t>蜘</t>
  </si>
  <si>
    <t>蜜</t>
  </si>
  <si>
    <t>蜞</t>
  </si>
  <si>
    <t>khi5</t>
  </si>
  <si>
    <t>蜢</t>
  </si>
  <si>
    <t>蜷</t>
  </si>
  <si>
    <t>蜻</t>
  </si>
  <si>
    <t>蜿</t>
  </si>
  <si>
    <t>蝕</t>
  </si>
  <si>
    <t>sih8</t>
  </si>
  <si>
    <t>裳</t>
  </si>
  <si>
    <t>tsiunn5</t>
  </si>
  <si>
    <t>裴</t>
  </si>
  <si>
    <t>裸</t>
  </si>
  <si>
    <t>裹</t>
  </si>
  <si>
    <t>製</t>
  </si>
  <si>
    <t>裾</t>
  </si>
  <si>
    <t>褂</t>
  </si>
  <si>
    <t>褚</t>
  </si>
  <si>
    <t>誌</t>
  </si>
  <si>
    <t>認</t>
  </si>
  <si>
    <t>誓</t>
  </si>
  <si>
    <t>誘</t>
  </si>
  <si>
    <t>語</t>
  </si>
  <si>
    <t>gir2</t>
  </si>
  <si>
    <t>誣</t>
  </si>
  <si>
    <t>誤</t>
  </si>
  <si>
    <t>誥</t>
  </si>
  <si>
    <t>誨</t>
  </si>
  <si>
    <t>說</t>
  </si>
  <si>
    <t>豪</t>
  </si>
  <si>
    <t>賑</t>
  </si>
  <si>
    <t>賓</t>
  </si>
  <si>
    <t>赫</t>
  </si>
  <si>
    <t>kuann2</t>
  </si>
  <si>
    <t>趖</t>
  </si>
  <si>
    <t>so5</t>
  </si>
  <si>
    <t>tio6</t>
  </si>
  <si>
    <t>踅</t>
  </si>
  <si>
    <t>serh8</t>
  </si>
  <si>
    <t>輔</t>
  </si>
  <si>
    <t>輕</t>
  </si>
  <si>
    <t>khin1</t>
  </si>
  <si>
    <t>遛</t>
  </si>
  <si>
    <t>遜</t>
  </si>
  <si>
    <t>遞</t>
  </si>
  <si>
    <t>遠</t>
  </si>
  <si>
    <t>huinn6</t>
  </si>
  <si>
    <t>hng7</t>
  </si>
  <si>
    <t>遣</t>
  </si>
  <si>
    <t>鄙</t>
  </si>
  <si>
    <t>鄞</t>
  </si>
  <si>
    <t>酷</t>
  </si>
  <si>
    <t>酸</t>
  </si>
  <si>
    <t>酹</t>
  </si>
  <si>
    <t>酺</t>
  </si>
  <si>
    <t>銀</t>
  </si>
  <si>
    <t>銎</t>
  </si>
  <si>
    <t>銘</t>
  </si>
  <si>
    <t>銚</t>
  </si>
  <si>
    <t>閣</t>
  </si>
  <si>
    <t>閥</t>
  </si>
  <si>
    <t>閨</t>
  </si>
  <si>
    <t>隙</t>
  </si>
  <si>
    <t>際</t>
  </si>
  <si>
    <t>障</t>
  </si>
  <si>
    <t>雌</t>
  </si>
  <si>
    <t>需</t>
  </si>
  <si>
    <t>鞅</t>
  </si>
  <si>
    <t>頗</t>
  </si>
  <si>
    <t>pho2</t>
  </si>
  <si>
    <t>餉</t>
  </si>
  <si>
    <t>餌</t>
  </si>
  <si>
    <t>髦</t>
  </si>
  <si>
    <t>魁</t>
  </si>
  <si>
    <t>魂</t>
  </si>
  <si>
    <t>鳳</t>
  </si>
  <si>
    <t>鳴</t>
  </si>
  <si>
    <t>麼</t>
  </si>
  <si>
    <t>moo2</t>
  </si>
  <si>
    <t>鼻</t>
  </si>
  <si>
    <t>phi7</t>
  </si>
  <si>
    <t>phinn7</t>
  </si>
  <si>
    <t>齊</t>
  </si>
  <si>
    <t>tse5</t>
  </si>
  <si>
    <t>tsere5</t>
  </si>
  <si>
    <t>𢲸</t>
  </si>
  <si>
    <t>𩑾</t>
  </si>
  <si>
    <t>tshih4</t>
  </si>
  <si>
    <t>tshirh4</t>
  </si>
  <si>
    <t>僵</t>
  </si>
  <si>
    <t>kiang1</t>
  </si>
  <si>
    <t>儀</t>
  </si>
  <si>
    <t>億</t>
  </si>
  <si>
    <t>儆</t>
  </si>
  <si>
    <t>凜</t>
  </si>
  <si>
    <t>lim2</t>
  </si>
  <si>
    <t>劇</t>
  </si>
  <si>
    <t>kiak8</t>
  </si>
  <si>
    <t>劈</t>
  </si>
  <si>
    <t>厲</t>
  </si>
  <si>
    <t>嘩</t>
  </si>
  <si>
    <t>嘴</t>
  </si>
  <si>
    <t>嘻</t>
  </si>
  <si>
    <t>嘿</t>
  </si>
  <si>
    <t>heeh4</t>
  </si>
  <si>
    <t>噁</t>
  </si>
  <si>
    <t>uh4</t>
  </si>
  <si>
    <t>噓</t>
  </si>
  <si>
    <t>噗</t>
  </si>
  <si>
    <t>phok8</t>
  </si>
  <si>
    <t>噴</t>
  </si>
  <si>
    <t>phun3</t>
  </si>
  <si>
    <t>墜</t>
  </si>
  <si>
    <t>thui7</t>
  </si>
  <si>
    <t>增</t>
  </si>
  <si>
    <t>墟</t>
  </si>
  <si>
    <t>墩</t>
  </si>
  <si>
    <t>墮</t>
  </si>
  <si>
    <t>墳</t>
  </si>
  <si>
    <t>嬉</t>
  </si>
  <si>
    <t>嬋</t>
  </si>
  <si>
    <t>審</t>
  </si>
  <si>
    <t>寬</t>
  </si>
  <si>
    <t>khuann1</t>
  </si>
  <si>
    <t>履</t>
  </si>
  <si>
    <t>嶙</t>
  </si>
  <si>
    <t>lin5</t>
  </si>
  <si>
    <t>幟</t>
  </si>
  <si>
    <t>幢</t>
  </si>
  <si>
    <t>廚</t>
  </si>
  <si>
    <t>tu5</t>
  </si>
  <si>
    <t>廠</t>
  </si>
  <si>
    <t>廢</t>
  </si>
  <si>
    <t>廣</t>
  </si>
  <si>
    <t>kng2</t>
  </si>
  <si>
    <t>tuann5</t>
  </si>
  <si>
    <t>蔭影, 歇蔭, 人á影, 火影, 傍人 涼傘 影.</t>
  </si>
  <si>
    <t>徵</t>
  </si>
  <si>
    <t>德</t>
  </si>
  <si>
    <t>慕</t>
  </si>
  <si>
    <t>慧</t>
  </si>
  <si>
    <t>慮</t>
  </si>
  <si>
    <t>lir7</t>
  </si>
  <si>
    <t>慰</t>
  </si>
  <si>
    <t>慶</t>
  </si>
  <si>
    <t>khing3</t>
  </si>
  <si>
    <t>慼</t>
  </si>
  <si>
    <t>tshereh4</t>
  </si>
  <si>
    <t>憂</t>
  </si>
  <si>
    <t>憎</t>
  </si>
  <si>
    <t>憤</t>
  </si>
  <si>
    <t>憫</t>
  </si>
  <si>
    <t>憬</t>
  </si>
  <si>
    <t>摩</t>
  </si>
  <si>
    <t>摸, 挲, 磨, lù, 滅, 佛 ê 名, chhē摩.</t>
  </si>
  <si>
    <t>摯</t>
  </si>
  <si>
    <t>摹</t>
  </si>
  <si>
    <t>撆</t>
  </si>
  <si>
    <t>pih4</t>
  </si>
  <si>
    <t>撋</t>
  </si>
  <si>
    <t>nua2</t>
  </si>
  <si>
    <t>撐</t>
  </si>
  <si>
    <t>thing1</t>
  </si>
  <si>
    <t>therng1</t>
  </si>
  <si>
    <t>撙</t>
  </si>
  <si>
    <t>撜</t>
  </si>
  <si>
    <t>撞</t>
  </si>
  <si>
    <t>撥</t>
  </si>
  <si>
    <t>撫</t>
  </si>
  <si>
    <t>摸, 搓, 手扞, 捋, 安慰, 料理, 順順, 緊急.</t>
  </si>
  <si>
    <t>手按, 摸, 嗦; 安慰, 勉勵; 順順, 緊急; 彈 樂器; 撫台, 撫養.</t>
  </si>
  <si>
    <t>播</t>
  </si>
  <si>
    <t>撮</t>
  </si>
  <si>
    <t>tshuat4</t>
  </si>
  <si>
    <t>撰</t>
  </si>
  <si>
    <t>撲</t>
  </si>
  <si>
    <t>敵</t>
  </si>
  <si>
    <t>敷</t>
  </si>
  <si>
    <t>暮</t>
  </si>
  <si>
    <t>暱</t>
  </si>
  <si>
    <t>暴</t>
  </si>
  <si>
    <t>po7</t>
  </si>
  <si>
    <t>槳</t>
  </si>
  <si>
    <t>槽</t>
  </si>
  <si>
    <t>樁</t>
  </si>
  <si>
    <t>樑</t>
  </si>
  <si>
    <t>樞</t>
  </si>
  <si>
    <t>tshu1</t>
  </si>
  <si>
    <t>樟</t>
  </si>
  <si>
    <t>模</t>
  </si>
  <si>
    <t>樣</t>
  </si>
  <si>
    <t>iunn7</t>
  </si>
  <si>
    <t>殤</t>
  </si>
  <si>
    <t>毅</t>
  </si>
  <si>
    <t>毆</t>
  </si>
  <si>
    <t>滕</t>
  </si>
  <si>
    <t>漿</t>
  </si>
  <si>
    <t>潑</t>
  </si>
  <si>
    <t>phuah4</t>
  </si>
  <si>
    <t>潔</t>
  </si>
  <si>
    <t>潘</t>
  </si>
  <si>
    <t>phuann1</t>
  </si>
  <si>
    <t>phuan1</t>
  </si>
  <si>
    <t>潤</t>
  </si>
  <si>
    <t>潰</t>
  </si>
  <si>
    <t>澄</t>
  </si>
  <si>
    <t>澍</t>
  </si>
  <si>
    <t>澎</t>
  </si>
  <si>
    <t>熟</t>
  </si>
  <si>
    <t>熨</t>
  </si>
  <si>
    <t>熬</t>
  </si>
  <si>
    <t>熱</t>
  </si>
  <si>
    <t>jiat8</t>
  </si>
  <si>
    <t>犟</t>
  </si>
  <si>
    <t>kiunn7</t>
  </si>
  <si>
    <t>獎</t>
  </si>
  <si>
    <t>瑾</t>
  </si>
  <si>
    <t>璃</t>
  </si>
  <si>
    <t>璇</t>
  </si>
  <si>
    <t>畿</t>
  </si>
  <si>
    <t>瘟</t>
  </si>
  <si>
    <t>瘡</t>
  </si>
  <si>
    <t>瘤</t>
  </si>
  <si>
    <t>瘦</t>
  </si>
  <si>
    <t>sio3</t>
  </si>
  <si>
    <t>盤</t>
  </si>
  <si>
    <t>puann5</t>
  </si>
  <si>
    <t>phuann5</t>
  </si>
  <si>
    <t>phuan5</t>
  </si>
  <si>
    <t>瞋</t>
  </si>
  <si>
    <t>thí開 目睭; 受氣; 無 歡喜 teh 看 ê 意思.</t>
  </si>
  <si>
    <t>瞌</t>
  </si>
  <si>
    <t>磅</t>
  </si>
  <si>
    <t>磊</t>
  </si>
  <si>
    <t>磐</t>
  </si>
  <si>
    <t>稷</t>
  </si>
  <si>
    <t>稻</t>
  </si>
  <si>
    <t>稽</t>
  </si>
  <si>
    <t>稿</t>
  </si>
  <si>
    <t>穀</t>
  </si>
  <si>
    <t>窮</t>
  </si>
  <si>
    <t>king5</t>
  </si>
  <si>
    <t>窮散, 窮鬼, 窮 死死; 交 官 窮.</t>
  </si>
  <si>
    <t>khing5</t>
  </si>
  <si>
    <t>窮零, 窮額, 窮數; 窮真.</t>
  </si>
  <si>
    <t>窯</t>
  </si>
  <si>
    <t>箠</t>
  </si>
  <si>
    <t>tsher5</t>
  </si>
  <si>
    <t>箭</t>
  </si>
  <si>
    <t>tsian3</t>
  </si>
  <si>
    <t>tsinn3</t>
  </si>
  <si>
    <t>箱</t>
  </si>
  <si>
    <t>箴</t>
  </si>
  <si>
    <t>篆</t>
  </si>
  <si>
    <t>tuan6</t>
  </si>
  <si>
    <t>thuan3</t>
  </si>
  <si>
    <t>篋</t>
  </si>
  <si>
    <t>糊</t>
  </si>
  <si>
    <t>koo5</t>
  </si>
  <si>
    <t>khoo5</t>
  </si>
  <si>
    <t>糋</t>
  </si>
  <si>
    <t>糍</t>
  </si>
  <si>
    <t>tsi5</t>
  </si>
  <si>
    <t>線</t>
  </si>
  <si>
    <t>緝</t>
  </si>
  <si>
    <t>jip4</t>
  </si>
  <si>
    <t>緞</t>
  </si>
  <si>
    <t>締</t>
  </si>
  <si>
    <t>緩</t>
  </si>
  <si>
    <t>緯</t>
  </si>
  <si>
    <t>緹</t>
  </si>
  <si>
    <t>緻</t>
  </si>
  <si>
    <t>mee7</t>
  </si>
  <si>
    <t>羯</t>
  </si>
  <si>
    <t>膚</t>
  </si>
  <si>
    <t>膜</t>
  </si>
  <si>
    <t>mooh8</t>
  </si>
  <si>
    <t>膝</t>
  </si>
  <si>
    <t>膣</t>
  </si>
  <si>
    <t>舖</t>
  </si>
  <si>
    <t>蓬</t>
  </si>
  <si>
    <t>phong5</t>
  </si>
  <si>
    <t>蓽</t>
  </si>
  <si>
    <t>蔚</t>
  </si>
  <si>
    <t>蔣</t>
  </si>
  <si>
    <t>蔬</t>
  </si>
  <si>
    <t>蔭</t>
  </si>
  <si>
    <t>蔻</t>
  </si>
  <si>
    <t>蔽</t>
  </si>
  <si>
    <t>蝛</t>
  </si>
  <si>
    <t>蝠</t>
  </si>
  <si>
    <t>蝣</t>
  </si>
  <si>
    <t>hee5</t>
  </si>
  <si>
    <t>蝴</t>
  </si>
  <si>
    <t>螂</t>
  </si>
  <si>
    <t>衛</t>
  </si>
  <si>
    <t>ue7</t>
  </si>
  <si>
    <t>衝</t>
  </si>
  <si>
    <t>複</t>
  </si>
  <si>
    <t>褒</t>
  </si>
  <si>
    <t>褓</t>
  </si>
  <si>
    <t>褙</t>
  </si>
  <si>
    <t>per3</t>
  </si>
  <si>
    <t>誰</t>
  </si>
  <si>
    <t>課</t>
  </si>
  <si>
    <t>kher3</t>
  </si>
  <si>
    <t>誹</t>
  </si>
  <si>
    <t>誼</t>
  </si>
  <si>
    <t>諄</t>
  </si>
  <si>
    <t>tshing2</t>
  </si>
  <si>
    <t>諍</t>
  </si>
  <si>
    <t>tsenn3</t>
  </si>
  <si>
    <t>阻止 人 ê m̄-tio̍h, 相爭, 相告.</t>
  </si>
  <si>
    <t>tserng3</t>
  </si>
  <si>
    <t>諒</t>
  </si>
  <si>
    <t>論</t>
  </si>
  <si>
    <t>諛</t>
  </si>
  <si>
    <t>豎</t>
  </si>
  <si>
    <t>豬</t>
  </si>
  <si>
    <t>tir1</t>
  </si>
  <si>
    <t>賜</t>
  </si>
  <si>
    <t>賞</t>
  </si>
  <si>
    <t>siunn2</t>
  </si>
  <si>
    <t>賠</t>
  </si>
  <si>
    <t>per5</t>
  </si>
  <si>
    <t>賢</t>
  </si>
  <si>
    <t>賣</t>
  </si>
  <si>
    <t>bere7</t>
  </si>
  <si>
    <t>賤</t>
  </si>
  <si>
    <t>賦</t>
  </si>
  <si>
    <t>質</t>
  </si>
  <si>
    <t>賭</t>
  </si>
  <si>
    <t>趣</t>
  </si>
  <si>
    <t>踐</t>
  </si>
  <si>
    <t>踔</t>
  </si>
  <si>
    <t>tshiak8</t>
  </si>
  <si>
    <t>踖</t>
  </si>
  <si>
    <t>踞</t>
  </si>
  <si>
    <t>踦</t>
  </si>
  <si>
    <t>ih4</t>
  </si>
  <si>
    <t>躼</t>
  </si>
  <si>
    <t>lio3</t>
  </si>
  <si>
    <t>lo3</t>
  </si>
  <si>
    <t>輛</t>
  </si>
  <si>
    <t>輝</t>
  </si>
  <si>
    <t>輟</t>
  </si>
  <si>
    <t>輩</t>
  </si>
  <si>
    <t>伸勻, 就是 人 厭𤺪 腳手 伸直 ê 意思.</t>
  </si>
  <si>
    <t>車 ê 圓環; 圓箍, gô, kō, 圓; 闊, 大, 車輪, 轉輪, 研輪.</t>
  </si>
  <si>
    <t>遨</t>
  </si>
  <si>
    <t>適</t>
  </si>
  <si>
    <t>遭</t>
  </si>
  <si>
    <t>遮</t>
  </si>
  <si>
    <t>jia1</t>
  </si>
  <si>
    <t>tsia1</t>
  </si>
  <si>
    <t>ann2</t>
  </si>
  <si>
    <t>遷</t>
  </si>
  <si>
    <t>鄧</t>
  </si>
  <si>
    <t>鄭</t>
  </si>
  <si>
    <t>鄰</t>
  </si>
  <si>
    <t>醇</t>
  </si>
  <si>
    <t>醉</t>
  </si>
  <si>
    <t>tsui3</t>
  </si>
  <si>
    <t>醋</t>
  </si>
  <si>
    <t>銳</t>
  </si>
  <si>
    <t>銼</t>
  </si>
  <si>
    <t>鋁</t>
  </si>
  <si>
    <t>鋒</t>
  </si>
  <si>
    <t>鋤</t>
  </si>
  <si>
    <t>thir5</t>
  </si>
  <si>
    <t>鋪</t>
  </si>
  <si>
    <t>phoo1</t>
  </si>
  <si>
    <t>閭</t>
  </si>
  <si>
    <t>lir5</t>
  </si>
  <si>
    <t>震</t>
  </si>
  <si>
    <t>靚</t>
  </si>
  <si>
    <t>靠</t>
  </si>
  <si>
    <t>ere5</t>
  </si>
  <si>
    <t>養</t>
  </si>
  <si>
    <t>餒</t>
  </si>
  <si>
    <t>lue2</t>
  </si>
  <si>
    <t>餓</t>
  </si>
  <si>
    <t>餘</t>
  </si>
  <si>
    <t>食 了 有 chhun ê 物, 充足, 有chhun, 字姓, 其餘.</t>
  </si>
  <si>
    <t>考 餘丁, 就是 過考 來 做 武兵 ê 意思.</t>
  </si>
  <si>
    <t>駐</t>
  </si>
  <si>
    <t>tu7</t>
  </si>
  <si>
    <t>駒</t>
  </si>
  <si>
    <t>駝</t>
  </si>
  <si>
    <t>駟</t>
  </si>
  <si>
    <t>髮</t>
  </si>
  <si>
    <t>魄</t>
  </si>
  <si>
    <t>魅</t>
  </si>
  <si>
    <t>魯</t>
  </si>
  <si>
    <t>鴆</t>
  </si>
  <si>
    <t>tim7</t>
  </si>
  <si>
    <t>鴇</t>
  </si>
  <si>
    <t>麩</t>
  </si>
  <si>
    <t>麾</t>
  </si>
  <si>
    <t>黎</t>
  </si>
  <si>
    <t>齒</t>
  </si>
  <si>
    <t>𥰔</t>
  </si>
  <si>
    <t>𪐞</t>
  </si>
  <si>
    <t>儒</t>
  </si>
  <si>
    <t>儔</t>
  </si>
  <si>
    <t>儘</t>
  </si>
  <si>
    <t>冀</t>
  </si>
  <si>
    <t>劑</t>
  </si>
  <si>
    <t>勳</t>
  </si>
  <si>
    <t>叡</t>
  </si>
  <si>
    <t>噤</t>
  </si>
  <si>
    <t>kim7</t>
  </si>
  <si>
    <t>khiunn7</t>
  </si>
  <si>
    <t>器</t>
  </si>
  <si>
    <t>噩</t>
  </si>
  <si>
    <t>噪</t>
  </si>
  <si>
    <t>噬</t>
  </si>
  <si>
    <t>噸</t>
  </si>
  <si>
    <t>圜</t>
  </si>
  <si>
    <t>墾</t>
  </si>
  <si>
    <t>壁</t>
  </si>
  <si>
    <t>壅</t>
  </si>
  <si>
    <t>ing3</t>
  </si>
  <si>
    <t>奮</t>
  </si>
  <si>
    <t>嬙</t>
  </si>
  <si>
    <t>oh8</t>
  </si>
  <si>
    <t>寰</t>
  </si>
  <si>
    <t>導</t>
  </si>
  <si>
    <t>憑</t>
  </si>
  <si>
    <t>憩</t>
  </si>
  <si>
    <t>憲</t>
  </si>
  <si>
    <t>hian3</t>
  </si>
  <si>
    <t>憶</t>
  </si>
  <si>
    <t>懍</t>
  </si>
  <si>
    <t>戰</t>
  </si>
  <si>
    <t>撾</t>
  </si>
  <si>
    <t>擁</t>
  </si>
  <si>
    <t>擅</t>
  </si>
  <si>
    <t>擇</t>
  </si>
  <si>
    <t>擋</t>
  </si>
  <si>
    <t>擒</t>
  </si>
  <si>
    <t>擗</t>
  </si>
  <si>
    <t>phiak8</t>
  </si>
  <si>
    <t>據</t>
  </si>
  <si>
    <t>整</t>
  </si>
  <si>
    <t>樸</t>
  </si>
  <si>
    <t>樹</t>
  </si>
  <si>
    <t>tshiu7</t>
  </si>
  <si>
    <t>樺</t>
  </si>
  <si>
    <t>樽</t>
  </si>
  <si>
    <t>橐</t>
  </si>
  <si>
    <t>lop4</t>
  </si>
  <si>
    <t>機</t>
  </si>
  <si>
    <t>橡</t>
  </si>
  <si>
    <t>橫</t>
  </si>
  <si>
    <t>huainn5</t>
  </si>
  <si>
    <t>歕</t>
  </si>
  <si>
    <t>pun5</t>
  </si>
  <si>
    <t>歷</t>
  </si>
  <si>
    <t>澡</t>
  </si>
  <si>
    <t>澤</t>
  </si>
  <si>
    <t>澧</t>
  </si>
  <si>
    <t>le2</t>
  </si>
  <si>
    <t>澳</t>
  </si>
  <si>
    <t>激</t>
  </si>
  <si>
    <t>濃</t>
  </si>
  <si>
    <t>熹</t>
  </si>
  <si>
    <t>熻</t>
  </si>
  <si>
    <t>熾</t>
  </si>
  <si>
    <t>燈</t>
  </si>
  <si>
    <t>燉</t>
  </si>
  <si>
    <t>燐</t>
  </si>
  <si>
    <t>inn3</t>
  </si>
  <si>
    <t>燖</t>
  </si>
  <si>
    <t>燙</t>
  </si>
  <si>
    <t>thng3</t>
  </si>
  <si>
    <t>燜</t>
  </si>
  <si>
    <t>璞</t>
  </si>
  <si>
    <t>璣</t>
  </si>
  <si>
    <t>瓢</t>
  </si>
  <si>
    <t>phio5</t>
  </si>
  <si>
    <t>甍</t>
  </si>
  <si>
    <t>bong3</t>
  </si>
  <si>
    <t>瘰</t>
  </si>
  <si>
    <t>lui3</t>
  </si>
  <si>
    <t>瘸</t>
  </si>
  <si>
    <t>瘼</t>
  </si>
  <si>
    <t>盥</t>
  </si>
  <si>
    <t>盧</t>
  </si>
  <si>
    <t>瞞</t>
  </si>
  <si>
    <t>buan5</t>
  </si>
  <si>
    <t>瞠</t>
  </si>
  <si>
    <t>磚</t>
  </si>
  <si>
    <t>tsuinn1</t>
  </si>
  <si>
    <t>磨</t>
  </si>
  <si>
    <t>bua5</t>
  </si>
  <si>
    <t>禦</t>
  </si>
  <si>
    <t>穆</t>
  </si>
  <si>
    <t>穌</t>
  </si>
  <si>
    <t>積</t>
  </si>
  <si>
    <t>穎</t>
  </si>
  <si>
    <t>inn2</t>
  </si>
  <si>
    <t>窺</t>
  </si>
  <si>
    <t>篙</t>
  </si>
  <si>
    <t>篡</t>
  </si>
  <si>
    <t>糕</t>
  </si>
  <si>
    <t>糖</t>
  </si>
  <si>
    <t>thong5</t>
  </si>
  <si>
    <t>thng5</t>
  </si>
  <si>
    <t>縈</t>
  </si>
  <si>
    <t>inn1</t>
  </si>
  <si>
    <t>縊</t>
  </si>
  <si>
    <t>e3</t>
  </si>
  <si>
    <t>縐</t>
  </si>
  <si>
    <t>縒</t>
  </si>
  <si>
    <t>縝</t>
  </si>
  <si>
    <t>縣</t>
  </si>
  <si>
    <t>kuainn7</t>
  </si>
  <si>
    <t>罹</t>
  </si>
  <si>
    <t>羲</t>
  </si>
  <si>
    <t>翱</t>
  </si>
  <si>
    <t>ko6</t>
  </si>
  <si>
    <t>耨</t>
  </si>
  <si>
    <t>膨</t>
  </si>
  <si>
    <t>膩</t>
  </si>
  <si>
    <t>膳</t>
  </si>
  <si>
    <t>臻</t>
  </si>
  <si>
    <t>興</t>
  </si>
  <si>
    <t>hing3</t>
  </si>
  <si>
    <t>艙</t>
  </si>
  <si>
    <t>蕃</t>
  </si>
  <si>
    <t>蕊</t>
  </si>
  <si>
    <t>蕓</t>
  </si>
  <si>
    <t>蕙</t>
  </si>
  <si>
    <t>蕨</t>
  </si>
  <si>
    <t>蕩</t>
  </si>
  <si>
    <t>tong6</t>
  </si>
  <si>
    <t>薌</t>
  </si>
  <si>
    <t>蝹</t>
  </si>
  <si>
    <t>螟</t>
  </si>
  <si>
    <t>衡</t>
  </si>
  <si>
    <t>褪</t>
  </si>
  <si>
    <t>thuinn3</t>
  </si>
  <si>
    <t>褫</t>
  </si>
  <si>
    <t>褲</t>
  </si>
  <si>
    <t>覦</t>
  </si>
  <si>
    <t>親</t>
  </si>
  <si>
    <t>觱</t>
  </si>
  <si>
    <t>諡</t>
  </si>
  <si>
    <t>諦</t>
  </si>
  <si>
    <t>諭</t>
  </si>
  <si>
    <t>諮</t>
  </si>
  <si>
    <t>諱</t>
  </si>
  <si>
    <t>諷</t>
  </si>
  <si>
    <t>謀</t>
  </si>
  <si>
    <t>謂</t>
  </si>
  <si>
    <t>豫</t>
  </si>
  <si>
    <t>賰</t>
  </si>
  <si>
    <t>tshun6</t>
  </si>
  <si>
    <t>lua7</t>
  </si>
  <si>
    <t>踱</t>
  </si>
  <si>
    <t>thoh8</t>
  </si>
  <si>
    <t>蹂</t>
  </si>
  <si>
    <t>蹄</t>
  </si>
  <si>
    <t>te5</t>
  </si>
  <si>
    <t>tere5</t>
  </si>
  <si>
    <t>輯</t>
  </si>
  <si>
    <t>輸</t>
  </si>
  <si>
    <t>遲</t>
  </si>
  <si>
    <t>遵</t>
  </si>
  <si>
    <t>選</t>
  </si>
  <si>
    <t>suan2</t>
  </si>
  <si>
    <t>遹</t>
  </si>
  <si>
    <t>遺</t>
  </si>
  <si>
    <t>醐</t>
  </si>
  <si>
    <t>醒</t>
  </si>
  <si>
    <t>tshenn2</t>
  </si>
  <si>
    <t>tshinn2</t>
  </si>
  <si>
    <t>鋸</t>
  </si>
  <si>
    <t>鋼</t>
  </si>
  <si>
    <t>錄</t>
  </si>
  <si>
    <t>錐</t>
  </si>
  <si>
    <t>錙</t>
  </si>
  <si>
    <t>ting6</t>
  </si>
  <si>
    <t>錢</t>
  </si>
  <si>
    <t>tsinn5</t>
  </si>
  <si>
    <t>錦</t>
  </si>
  <si>
    <t>kim2</t>
  </si>
  <si>
    <t>gim2</t>
  </si>
  <si>
    <t>錫</t>
  </si>
  <si>
    <t>錮</t>
  </si>
  <si>
    <t>錯</t>
  </si>
  <si>
    <t>tshok4</t>
  </si>
  <si>
    <t>隧</t>
  </si>
  <si>
    <t>隨</t>
  </si>
  <si>
    <t>霍</t>
  </si>
  <si>
    <t>霏</t>
  </si>
  <si>
    <t>霓</t>
  </si>
  <si>
    <t>霖</t>
  </si>
  <si>
    <t>靜</t>
  </si>
  <si>
    <t>tsenn7</t>
  </si>
  <si>
    <t>頤</t>
  </si>
  <si>
    <t>thio5</t>
  </si>
  <si>
    <t>頸</t>
  </si>
  <si>
    <t>頹</t>
  </si>
  <si>
    <t>tue5</t>
  </si>
  <si>
    <t>頻</t>
  </si>
  <si>
    <t>餛</t>
  </si>
  <si>
    <t>餞</t>
  </si>
  <si>
    <t>館</t>
  </si>
  <si>
    <t>駱</t>
  </si>
  <si>
    <t>骼</t>
  </si>
  <si>
    <t>髻</t>
  </si>
  <si>
    <t>鮕</t>
  </si>
  <si>
    <t>鴒</t>
  </si>
  <si>
    <t>鴛</t>
  </si>
  <si>
    <t>鴞</t>
  </si>
  <si>
    <t>鴟</t>
  </si>
  <si>
    <t>鴦</t>
  </si>
  <si>
    <t>iunn1</t>
  </si>
  <si>
    <t>默</t>
  </si>
  <si>
    <t>hmh8</t>
  </si>
  <si>
    <t>龍</t>
  </si>
  <si>
    <t>龜</t>
  </si>
  <si>
    <t>䫌</t>
  </si>
  <si>
    <t>phue2</t>
  </si>
  <si>
    <t>償</t>
  </si>
  <si>
    <t>儡</t>
  </si>
  <si>
    <t>ler2</t>
  </si>
  <si>
    <t>優</t>
  </si>
  <si>
    <t>儲</t>
  </si>
  <si>
    <t>勵</t>
  </si>
  <si>
    <t>壎</t>
  </si>
  <si>
    <t>壑</t>
  </si>
  <si>
    <t>壕</t>
  </si>
  <si>
    <t>嬪</t>
  </si>
  <si>
    <t>嬰</t>
  </si>
  <si>
    <t>enn1</t>
  </si>
  <si>
    <t>孺</t>
  </si>
  <si>
    <t>嶸</t>
  </si>
  <si>
    <t>嶼</t>
  </si>
  <si>
    <t>彌</t>
  </si>
  <si>
    <t>徽</t>
  </si>
  <si>
    <t>懇</t>
  </si>
  <si>
    <t>應</t>
  </si>
  <si>
    <t>懋</t>
  </si>
  <si>
    <t>懦</t>
  </si>
  <si>
    <t>戲</t>
  </si>
  <si>
    <t>hi3</t>
  </si>
  <si>
    <t>擊</t>
  </si>
  <si>
    <t>擎</t>
  </si>
  <si>
    <t>擘</t>
  </si>
  <si>
    <t>擠</t>
  </si>
  <si>
    <t>擢</t>
  </si>
  <si>
    <t>tioh4</t>
  </si>
  <si>
    <t>擤</t>
  </si>
  <si>
    <t>tshngh8</t>
  </si>
  <si>
    <t>擬</t>
  </si>
  <si>
    <t>gi2</t>
  </si>
  <si>
    <t>斃</t>
  </si>
  <si>
    <t>曙</t>
  </si>
  <si>
    <t>sir7</t>
  </si>
  <si>
    <t>檔</t>
  </si>
  <si>
    <t>檜</t>
  </si>
  <si>
    <t>檨</t>
  </si>
  <si>
    <t>suainn7</t>
  </si>
  <si>
    <t>suan7</t>
  </si>
  <si>
    <t>殭</t>
  </si>
  <si>
    <t>氈</t>
  </si>
  <si>
    <t>濕</t>
  </si>
  <si>
    <t>sip4</t>
  </si>
  <si>
    <t>濘</t>
  </si>
  <si>
    <t>濛</t>
  </si>
  <si>
    <t>濟</t>
  </si>
  <si>
    <t>tsere7</t>
  </si>
  <si>
    <t>濠</t>
  </si>
  <si>
    <t>濡</t>
  </si>
  <si>
    <t>濤</t>
  </si>
  <si>
    <t>濬</t>
  </si>
  <si>
    <t>濯</t>
  </si>
  <si>
    <t>濰</t>
  </si>
  <si>
    <t>濱</t>
  </si>
  <si>
    <t>燥</t>
  </si>
  <si>
    <t>燧</t>
  </si>
  <si>
    <t>燭</t>
  </si>
  <si>
    <t>爵</t>
  </si>
  <si>
    <t>tsiak4</t>
  </si>
  <si>
    <t>牆</t>
  </si>
  <si>
    <t>獲</t>
  </si>
  <si>
    <t>璐</t>
  </si>
  <si>
    <t>璩</t>
  </si>
  <si>
    <t>環</t>
  </si>
  <si>
    <t>khuan5</t>
  </si>
  <si>
    <t>癀</t>
  </si>
  <si>
    <t>癆</t>
  </si>
  <si>
    <t>盪</t>
  </si>
  <si>
    <t>瞪</t>
  </si>
  <si>
    <t>thenn5</t>
  </si>
  <si>
    <t>瞬</t>
  </si>
  <si>
    <t>lio2</t>
  </si>
  <si>
    <t>瞳</t>
  </si>
  <si>
    <t>磷</t>
  </si>
  <si>
    <t>磺</t>
  </si>
  <si>
    <t>uinn5</t>
  </si>
  <si>
    <t>禪</t>
  </si>
  <si>
    <t>穗</t>
  </si>
  <si>
    <t>篱</t>
  </si>
  <si>
    <t>bih8</t>
  </si>
  <si>
    <t>簇</t>
  </si>
  <si>
    <t>簍</t>
  </si>
  <si>
    <t>糙</t>
  </si>
  <si>
    <t>糜</t>
  </si>
  <si>
    <t>muai5</t>
  </si>
  <si>
    <t>糞</t>
  </si>
  <si>
    <t>糠</t>
  </si>
  <si>
    <t>縭</t>
  </si>
  <si>
    <t>縮</t>
  </si>
  <si>
    <t>縷</t>
  </si>
  <si>
    <t>總</t>
  </si>
  <si>
    <t>tsong2</t>
  </si>
  <si>
    <t>績</t>
  </si>
  <si>
    <t>繁</t>
  </si>
  <si>
    <t>繆</t>
  </si>
  <si>
    <t>biu7</t>
  </si>
  <si>
    <t>罅</t>
  </si>
  <si>
    <t>翳</t>
  </si>
  <si>
    <t>翼</t>
  </si>
  <si>
    <t>聰</t>
  </si>
  <si>
    <t>膺</t>
  </si>
  <si>
    <t>膾</t>
  </si>
  <si>
    <t>臀</t>
  </si>
  <si>
    <t>臂</t>
  </si>
  <si>
    <t>臆</t>
  </si>
  <si>
    <t>ioh4</t>
  </si>
  <si>
    <t>舉</t>
  </si>
  <si>
    <t>艚</t>
  </si>
  <si>
    <t>蕗</t>
  </si>
  <si>
    <t>蕹</t>
  </si>
  <si>
    <t>蕾</t>
  </si>
  <si>
    <t>薄</t>
  </si>
  <si>
    <t>薇</t>
  </si>
  <si>
    <t>薏</t>
  </si>
  <si>
    <t>薐</t>
  </si>
  <si>
    <t>薑</t>
  </si>
  <si>
    <t>薔</t>
  </si>
  <si>
    <t>薛</t>
  </si>
  <si>
    <t>sih4</t>
  </si>
  <si>
    <t>薦</t>
  </si>
  <si>
    <t>薪</t>
  </si>
  <si>
    <t>薯</t>
  </si>
  <si>
    <t>虧</t>
  </si>
  <si>
    <t>螫</t>
  </si>
  <si>
    <t>螳</t>
  </si>
  <si>
    <t>螺</t>
  </si>
  <si>
    <t>螿</t>
  </si>
  <si>
    <t>蟀</t>
  </si>
  <si>
    <t>蟄</t>
  </si>
  <si>
    <t>tip8</t>
  </si>
  <si>
    <t>蟋</t>
  </si>
  <si>
    <t>蟒</t>
  </si>
  <si>
    <t>褸</t>
  </si>
  <si>
    <t>褻</t>
  </si>
  <si>
    <t>襀</t>
  </si>
  <si>
    <t>襄</t>
  </si>
  <si>
    <t>覬</t>
  </si>
  <si>
    <t>觳</t>
  </si>
  <si>
    <t>謄</t>
  </si>
  <si>
    <t>謊</t>
  </si>
  <si>
    <t>謎</t>
  </si>
  <si>
    <t>謐</t>
  </si>
  <si>
    <t>謗</t>
  </si>
  <si>
    <t>khiang2</t>
  </si>
  <si>
    <t>豁</t>
  </si>
  <si>
    <t>hat4</t>
  </si>
  <si>
    <t>tsuan2</t>
  </si>
  <si>
    <t>購</t>
  </si>
  <si>
    <t>趨</t>
  </si>
  <si>
    <t>蹇</t>
  </si>
  <si>
    <t>蹈</t>
  </si>
  <si>
    <t>蹉</t>
  </si>
  <si>
    <t>蹊</t>
  </si>
  <si>
    <t>蹋</t>
  </si>
  <si>
    <t>蹌</t>
  </si>
  <si>
    <t>lin3</t>
  </si>
  <si>
    <t>轅</t>
  </si>
  <si>
    <t>遽</t>
  </si>
  <si>
    <t>kir7</t>
  </si>
  <si>
    <t>避</t>
  </si>
  <si>
    <t>醜</t>
  </si>
  <si>
    <t>醞</t>
  </si>
  <si>
    <t>錘</t>
  </si>
  <si>
    <t>鍋</t>
  </si>
  <si>
    <t>鍍</t>
  </si>
  <si>
    <t>鍛</t>
  </si>
  <si>
    <t>tuan3</t>
  </si>
  <si>
    <t>鍥</t>
  </si>
  <si>
    <t>鍵</t>
  </si>
  <si>
    <t>闊</t>
  </si>
  <si>
    <t>隱</t>
  </si>
  <si>
    <t>隸</t>
  </si>
  <si>
    <t>雖</t>
  </si>
  <si>
    <t>霜</t>
  </si>
  <si>
    <t>駿</t>
  </si>
  <si>
    <t>騁</t>
  </si>
  <si>
    <t>魉</t>
  </si>
  <si>
    <t>鮪</t>
  </si>
  <si>
    <t>鮮</t>
  </si>
  <si>
    <t>sian2</t>
  </si>
  <si>
    <t>鴻</t>
  </si>
  <si>
    <t>黜</t>
  </si>
  <si>
    <t>黝</t>
  </si>
  <si>
    <t>huann5</t>
  </si>
  <si>
    <t>𦉎</t>
  </si>
  <si>
    <t>䉔</t>
  </si>
  <si>
    <t>tshuann1</t>
  </si>
  <si>
    <t>䖙</t>
  </si>
  <si>
    <t>䠡</t>
  </si>
  <si>
    <t>tshere5</t>
  </si>
  <si>
    <t>䭔</t>
  </si>
  <si>
    <t>ter1</t>
  </si>
  <si>
    <t>叢</t>
  </si>
  <si>
    <t>嚮</t>
  </si>
  <si>
    <t>hiang3</t>
  </si>
  <si>
    <t>壘</t>
  </si>
  <si>
    <t>壙</t>
  </si>
  <si>
    <t>嬸</t>
  </si>
  <si>
    <t>彝</t>
  </si>
  <si>
    <t>懟</t>
  </si>
  <si>
    <t>戳</t>
  </si>
  <si>
    <t>擴</t>
  </si>
  <si>
    <t>攄</t>
  </si>
  <si>
    <t>thir1</t>
  </si>
  <si>
    <t>lu1</t>
  </si>
  <si>
    <t>斷</t>
  </si>
  <si>
    <t>tuinn6</t>
  </si>
  <si>
    <t>朦</t>
  </si>
  <si>
    <t>檬</t>
  </si>
  <si>
    <t>檳</t>
  </si>
  <si>
    <t>櫃</t>
  </si>
  <si>
    <t>歟</t>
  </si>
  <si>
    <t>歸</t>
  </si>
  <si>
    <t>殯</t>
  </si>
  <si>
    <t>pin3</t>
  </si>
  <si>
    <t>濺</t>
  </si>
  <si>
    <t>tsuann6</t>
  </si>
  <si>
    <t>濾</t>
  </si>
  <si>
    <t>瀆</t>
  </si>
  <si>
    <t>瀋</t>
  </si>
  <si>
    <t>瀏</t>
  </si>
  <si>
    <t>瀑</t>
  </si>
  <si>
    <t>燻</t>
  </si>
  <si>
    <t>璧</t>
  </si>
  <si>
    <t>瞽</t>
  </si>
  <si>
    <t>瞿</t>
  </si>
  <si>
    <t>禮</t>
  </si>
  <si>
    <t>穡</t>
  </si>
  <si>
    <t>穢</t>
  </si>
  <si>
    <t>ue3</t>
  </si>
  <si>
    <t>er3</t>
  </si>
  <si>
    <t>竄</t>
  </si>
  <si>
    <t>簧</t>
  </si>
  <si>
    <t>糧</t>
  </si>
  <si>
    <t>繏</t>
  </si>
  <si>
    <t>suinn3</t>
  </si>
  <si>
    <t>sngh4</t>
  </si>
  <si>
    <t>織</t>
  </si>
  <si>
    <t>繕</t>
  </si>
  <si>
    <t>繡</t>
  </si>
  <si>
    <t>翻</t>
  </si>
  <si>
    <t>職</t>
  </si>
  <si>
    <t>舊</t>
  </si>
  <si>
    <t>薰</t>
  </si>
  <si>
    <t>薸</t>
  </si>
  <si>
    <t>藉</t>
  </si>
  <si>
    <t>蟠</t>
  </si>
  <si>
    <t>蟬</t>
  </si>
  <si>
    <t>蟮</t>
  </si>
  <si>
    <t>蟳</t>
  </si>
  <si>
    <t>tsim5</t>
  </si>
  <si>
    <t>覲</t>
  </si>
  <si>
    <t>謨</t>
  </si>
  <si>
    <t>謫</t>
  </si>
  <si>
    <t>謬</t>
  </si>
  <si>
    <t>謳</t>
  </si>
  <si>
    <t>謹</t>
  </si>
  <si>
    <t>豐</t>
  </si>
  <si>
    <t>贅</t>
  </si>
  <si>
    <t>蹛</t>
  </si>
  <si>
    <t>蹟</t>
  </si>
  <si>
    <t>蹠</t>
  </si>
  <si>
    <t>蹤</t>
  </si>
  <si>
    <t>軀</t>
  </si>
  <si>
    <t>軁</t>
  </si>
  <si>
    <t>nui3</t>
  </si>
  <si>
    <t>轆</t>
  </si>
  <si>
    <t>轉</t>
  </si>
  <si>
    <t>tuinn2</t>
  </si>
  <si>
    <t>邃</t>
  </si>
  <si>
    <t>邇</t>
  </si>
  <si>
    <t>邈</t>
  </si>
  <si>
    <t>醪</t>
  </si>
  <si>
    <t>醫</t>
  </si>
  <si>
    <t>醬</t>
  </si>
  <si>
    <t>tsiunn3</t>
  </si>
  <si>
    <t>釐</t>
  </si>
  <si>
    <t>鎊</t>
  </si>
  <si>
    <t>pong6</t>
  </si>
  <si>
    <t>鎖</t>
  </si>
  <si>
    <t>鎢</t>
  </si>
  <si>
    <t>鎬</t>
  </si>
  <si>
    <t>鎮</t>
  </si>
  <si>
    <t>tin3</t>
  </si>
  <si>
    <t>闕</t>
  </si>
  <si>
    <t>闖</t>
  </si>
  <si>
    <t>雙</t>
  </si>
  <si>
    <t>雛</t>
  </si>
  <si>
    <t>tsoo5</t>
  </si>
  <si>
    <t>雞</t>
  </si>
  <si>
    <t>離</t>
  </si>
  <si>
    <t>鞦</t>
  </si>
  <si>
    <t>pinn1</t>
  </si>
  <si>
    <t>題</t>
  </si>
  <si>
    <t>額</t>
  </si>
  <si>
    <t>顎</t>
  </si>
  <si>
    <t>顓</t>
  </si>
  <si>
    <t>餾</t>
  </si>
  <si>
    <t>liu7</t>
  </si>
  <si>
    <t>馥</t>
  </si>
  <si>
    <t>騎</t>
  </si>
  <si>
    <t>鬩</t>
  </si>
  <si>
    <t>魍</t>
  </si>
  <si>
    <t>魏</t>
  </si>
  <si>
    <t>鯉</t>
  </si>
  <si>
    <t>鯊</t>
  </si>
  <si>
    <t>鯽</t>
  </si>
  <si>
    <t>鵑</t>
  </si>
  <si>
    <t>鵝</t>
  </si>
  <si>
    <t>鼬</t>
  </si>
  <si>
    <t>𪁎</t>
  </si>
  <si>
    <t>tshio1</t>
  </si>
  <si>
    <t>壢</t>
  </si>
  <si>
    <t>寵</t>
  </si>
  <si>
    <t>thiong2</t>
  </si>
  <si>
    <t>廬</t>
  </si>
  <si>
    <t>懵</t>
  </si>
  <si>
    <t>懷</t>
  </si>
  <si>
    <t>曠</t>
  </si>
  <si>
    <t>櫓</t>
  </si>
  <si>
    <t>櫝</t>
  </si>
  <si>
    <t>櫥</t>
  </si>
  <si>
    <t>瀛</t>
  </si>
  <si>
    <t>瀝</t>
  </si>
  <si>
    <t>瀧</t>
  </si>
  <si>
    <t>瀨</t>
  </si>
  <si>
    <t>爆</t>
  </si>
  <si>
    <t>爍</t>
  </si>
  <si>
    <t>牘</t>
  </si>
  <si>
    <t>犢</t>
  </si>
  <si>
    <t>獸</t>
  </si>
  <si>
    <t>獺</t>
  </si>
  <si>
    <t>璽</t>
  </si>
  <si>
    <t>瓊</t>
  </si>
  <si>
    <t>疆</t>
  </si>
  <si>
    <t>疇</t>
  </si>
  <si>
    <t>癡</t>
  </si>
  <si>
    <t>矇</t>
  </si>
  <si>
    <t>禱</t>
  </si>
  <si>
    <t>穩</t>
  </si>
  <si>
    <t>穫</t>
  </si>
  <si>
    <t>簷</t>
  </si>
  <si>
    <t>簸</t>
  </si>
  <si>
    <t>pua3</t>
  </si>
  <si>
    <t>簿</t>
  </si>
  <si>
    <t>繩</t>
  </si>
  <si>
    <t>繪</t>
  </si>
  <si>
    <t>繫</t>
  </si>
  <si>
    <t>繭</t>
  </si>
  <si>
    <t>羅</t>
  </si>
  <si>
    <t>羶</t>
  </si>
  <si>
    <t>羹</t>
  </si>
  <si>
    <t>藝</t>
  </si>
  <si>
    <t>gere7</t>
  </si>
  <si>
    <t>藠</t>
  </si>
  <si>
    <t>gio6</t>
  </si>
  <si>
    <t>藤</t>
  </si>
  <si>
    <t>藥</t>
  </si>
  <si>
    <t>iak8</t>
  </si>
  <si>
    <t>ioh8</t>
  </si>
  <si>
    <t>here6</t>
  </si>
  <si>
    <t>蟻</t>
  </si>
  <si>
    <t>蠅</t>
  </si>
  <si>
    <t>蠍</t>
  </si>
  <si>
    <t>襖</t>
  </si>
  <si>
    <t>o2</t>
  </si>
  <si>
    <t>襞</t>
  </si>
  <si>
    <t>襟</t>
  </si>
  <si>
    <t>證</t>
  </si>
  <si>
    <t>譎</t>
  </si>
  <si>
    <t>譏</t>
  </si>
  <si>
    <t>識</t>
  </si>
  <si>
    <t>譜</t>
  </si>
  <si>
    <t>贈</t>
  </si>
  <si>
    <t>蹬</t>
  </si>
  <si>
    <t>tenn1</t>
  </si>
  <si>
    <t>蹭</t>
  </si>
  <si>
    <t>tsherng3</t>
  </si>
  <si>
    <t>蹲</t>
  </si>
  <si>
    <t>蹶</t>
  </si>
  <si>
    <t>蹾</t>
  </si>
  <si>
    <t>thun2</t>
  </si>
  <si>
    <t>躇</t>
  </si>
  <si>
    <t>轎</t>
  </si>
  <si>
    <t>kio7</t>
  </si>
  <si>
    <t>辭</t>
  </si>
  <si>
    <t>鏢</t>
  </si>
  <si>
    <t>鏹</t>
  </si>
  <si>
    <t>khiang6</t>
  </si>
  <si>
    <t>關</t>
  </si>
  <si>
    <t>霧</t>
  </si>
  <si>
    <t>韜</t>
  </si>
  <si>
    <t>韻</t>
  </si>
  <si>
    <t>願</t>
  </si>
  <si>
    <t>顝</t>
  </si>
  <si>
    <t>類</t>
  </si>
  <si>
    <t>饈</t>
  </si>
  <si>
    <t>鯗</t>
  </si>
  <si>
    <t>鯤</t>
  </si>
  <si>
    <t>鯧</t>
  </si>
  <si>
    <t>鯨</t>
  </si>
  <si>
    <t>鵡</t>
  </si>
  <si>
    <t>鵬</t>
  </si>
  <si>
    <t>鵰</t>
  </si>
  <si>
    <t>tiaunn1</t>
  </si>
  <si>
    <t>鵲</t>
  </si>
  <si>
    <t>tshiok4</t>
  </si>
  <si>
    <t>麒</t>
  </si>
  <si>
    <t>麗</t>
  </si>
  <si>
    <t>勸</t>
  </si>
  <si>
    <t>khuan3</t>
  </si>
  <si>
    <t>khuinn3</t>
  </si>
  <si>
    <t>嚶</t>
  </si>
  <si>
    <t>嚷</t>
  </si>
  <si>
    <t>jiang2</t>
  </si>
  <si>
    <t>嚼</t>
  </si>
  <si>
    <t>tsiak8</t>
  </si>
  <si>
    <t>壤</t>
  </si>
  <si>
    <t>孀</t>
  </si>
  <si>
    <t>孽</t>
  </si>
  <si>
    <t>giat8</t>
  </si>
  <si>
    <t>寶</t>
  </si>
  <si>
    <t>懸</t>
  </si>
  <si>
    <t>kuainn5</t>
  </si>
  <si>
    <t>nua5</t>
  </si>
  <si>
    <t>曦</t>
  </si>
  <si>
    <t>瀳</t>
  </si>
  <si>
    <t>tshinn5</t>
  </si>
  <si>
    <t>爐</t>
  </si>
  <si>
    <t>獻</t>
  </si>
  <si>
    <t>瓏</t>
  </si>
  <si>
    <t>癢</t>
  </si>
  <si>
    <t>礦</t>
  </si>
  <si>
    <t>礪</t>
  </si>
  <si>
    <t>lere3</t>
  </si>
  <si>
    <t>礫</t>
  </si>
  <si>
    <t>竇</t>
  </si>
  <si>
    <t>競</t>
  </si>
  <si>
    <t>king7</t>
  </si>
  <si>
    <t>籌</t>
  </si>
  <si>
    <t>籍</t>
  </si>
  <si>
    <t>繼</t>
  </si>
  <si>
    <t>繽</t>
  </si>
  <si>
    <t>繾</t>
  </si>
  <si>
    <t>纂</t>
  </si>
  <si>
    <t>tshio7</t>
  </si>
  <si>
    <t>藺</t>
  </si>
  <si>
    <t>藻</t>
  </si>
  <si>
    <t>蘆</t>
  </si>
  <si>
    <t>蘇</t>
  </si>
  <si>
    <t>蘊</t>
  </si>
  <si>
    <t>蘋</t>
  </si>
  <si>
    <t>蘑</t>
  </si>
  <si>
    <t>蠐</t>
  </si>
  <si>
    <t>蠕</t>
  </si>
  <si>
    <t>蠘</t>
  </si>
  <si>
    <t>警</t>
  </si>
  <si>
    <t>譬</t>
  </si>
  <si>
    <t>譯</t>
  </si>
  <si>
    <t>議</t>
  </si>
  <si>
    <t>躁</t>
  </si>
  <si>
    <t>pinn6</t>
  </si>
  <si>
    <t>醴</t>
  </si>
  <si>
    <t>釋</t>
  </si>
  <si>
    <t>鏽</t>
  </si>
  <si>
    <t>鐘</t>
  </si>
  <si>
    <t>鐙</t>
  </si>
  <si>
    <t>闡</t>
  </si>
  <si>
    <t>饋</t>
  </si>
  <si>
    <t>饌</t>
  </si>
  <si>
    <t>馨</t>
  </si>
  <si>
    <t>騫</t>
  </si>
  <si>
    <t>騰</t>
  </si>
  <si>
    <t>騷</t>
  </si>
  <si>
    <t>鰇</t>
  </si>
  <si>
    <t>鰓</t>
  </si>
  <si>
    <t>鶖</t>
  </si>
  <si>
    <t>鶿</t>
  </si>
  <si>
    <t>mi7</t>
  </si>
  <si>
    <t>黨</t>
  </si>
  <si>
    <t>齡</t>
  </si>
  <si>
    <t>齣</t>
  </si>
  <si>
    <t>儷</t>
  </si>
  <si>
    <t>嚾</t>
  </si>
  <si>
    <t>uang1</t>
  </si>
  <si>
    <t>巍</t>
  </si>
  <si>
    <t>懼</t>
  </si>
  <si>
    <t>攜</t>
  </si>
  <si>
    <t>櫻</t>
  </si>
  <si>
    <t>櫼</t>
  </si>
  <si>
    <t>灌</t>
  </si>
  <si>
    <t>犧</t>
  </si>
  <si>
    <t>瓔</t>
  </si>
  <si>
    <t>礴</t>
  </si>
  <si>
    <t>tinn5</t>
  </si>
  <si>
    <t>蠢</t>
  </si>
  <si>
    <t>襪</t>
  </si>
  <si>
    <t>berh8</t>
  </si>
  <si>
    <t>譴</t>
  </si>
  <si>
    <t>護</t>
  </si>
  <si>
    <t>譽</t>
  </si>
  <si>
    <t>贐</t>
  </si>
  <si>
    <t>贓</t>
  </si>
  <si>
    <t>躊</t>
  </si>
  <si>
    <t>躍</t>
  </si>
  <si>
    <t>轟</t>
  </si>
  <si>
    <t>酆</t>
  </si>
  <si>
    <t>鐳</t>
  </si>
  <si>
    <t>lui1</t>
  </si>
  <si>
    <t>鐸</t>
  </si>
  <si>
    <t>鐺</t>
  </si>
  <si>
    <t>露</t>
  </si>
  <si>
    <t>霹</t>
  </si>
  <si>
    <t>響</t>
  </si>
  <si>
    <t>顥</t>
  </si>
  <si>
    <t>顧</t>
  </si>
  <si>
    <t>饗</t>
  </si>
  <si>
    <t>騾</t>
  </si>
  <si>
    <t>驅</t>
  </si>
  <si>
    <t>魑</t>
  </si>
  <si>
    <t>thi1</t>
  </si>
  <si>
    <t>魔</t>
  </si>
  <si>
    <t>鰡</t>
  </si>
  <si>
    <t>鰥</t>
  </si>
  <si>
    <t>鰭</t>
  </si>
  <si>
    <t>鶴</t>
  </si>
  <si>
    <t>hoh8</t>
  </si>
  <si>
    <t>齦</t>
  </si>
  <si>
    <t>齧</t>
  </si>
  <si>
    <t>khere3</t>
  </si>
  <si>
    <t>囉</t>
  </si>
  <si>
    <t>loo0</t>
  </si>
  <si>
    <t>loh0</t>
  </si>
  <si>
    <t>lo1</t>
  </si>
  <si>
    <t>囊</t>
  </si>
  <si>
    <t>巒</t>
  </si>
  <si>
    <t>luan5</t>
  </si>
  <si>
    <t>彎</t>
  </si>
  <si>
    <t>懿</t>
  </si>
  <si>
    <t>攢</t>
  </si>
  <si>
    <t>tshuan5</t>
  </si>
  <si>
    <t>thuann1</t>
  </si>
  <si>
    <t>權</t>
  </si>
  <si>
    <t>歡</t>
  </si>
  <si>
    <t>huann1</t>
  </si>
  <si>
    <t>瓤</t>
  </si>
  <si>
    <t>jiang5</t>
  </si>
  <si>
    <t>thiap8</t>
  </si>
  <si>
    <t>疊起來, 疊好, 疊懸, 疊 成堆; 腳疊環.</t>
  </si>
  <si>
    <t>癬</t>
  </si>
  <si>
    <t>癮</t>
  </si>
  <si>
    <t>gian3</t>
  </si>
  <si>
    <t>糴</t>
  </si>
  <si>
    <t>thing3</t>
  </si>
  <si>
    <t>臟</t>
  </si>
  <si>
    <t>襲</t>
  </si>
  <si>
    <t>thok8</t>
  </si>
  <si>
    <t>唸冊, 字姓 讀, 讀冊.</t>
  </si>
  <si>
    <t>鑄</t>
  </si>
  <si>
    <t>顫</t>
  </si>
  <si>
    <t>饕</t>
  </si>
  <si>
    <t>鬚</t>
  </si>
  <si>
    <t>鰻</t>
  </si>
  <si>
    <t>鰾</t>
  </si>
  <si>
    <t>pio6</t>
  </si>
  <si>
    <t>鷗</t>
  </si>
  <si>
    <t>龔</t>
  </si>
  <si>
    <t>戀</t>
  </si>
  <si>
    <t>蠱</t>
  </si>
  <si>
    <t>pinn3</t>
  </si>
  <si>
    <t>躘</t>
  </si>
  <si>
    <t>ling3</t>
  </si>
  <si>
    <t>邏</t>
  </si>
  <si>
    <t>鑢</t>
  </si>
  <si>
    <t>lere7</t>
  </si>
  <si>
    <t>lu3</t>
  </si>
  <si>
    <t>hian2</t>
  </si>
  <si>
    <t>驛</t>
  </si>
  <si>
    <t>髓</t>
  </si>
  <si>
    <t>tsher2</t>
  </si>
  <si>
    <t>the2</t>
  </si>
  <si>
    <t>there2</t>
  </si>
  <si>
    <t>鬟</t>
  </si>
  <si>
    <t>鱔</t>
  </si>
  <si>
    <t>鱖</t>
  </si>
  <si>
    <t>鷥</t>
  </si>
  <si>
    <t>鷲</t>
  </si>
  <si>
    <t>鷸</t>
  </si>
  <si>
    <t>麟</t>
  </si>
  <si>
    <t>黐</t>
  </si>
  <si>
    <t>囍</t>
  </si>
  <si>
    <t>囓</t>
  </si>
  <si>
    <t>giat4</t>
  </si>
  <si>
    <t>罐</t>
  </si>
  <si>
    <t>蠹</t>
  </si>
  <si>
    <t>衢</t>
  </si>
  <si>
    <t>ku5</t>
  </si>
  <si>
    <t>讓</t>
  </si>
  <si>
    <t>jiang7</t>
  </si>
  <si>
    <t>釀</t>
  </si>
  <si>
    <t>靂</t>
  </si>
  <si>
    <t>靈</t>
  </si>
  <si>
    <t>韆</t>
  </si>
  <si>
    <t>顰</t>
  </si>
  <si>
    <t>驟</t>
  </si>
  <si>
    <t>tsio7</t>
  </si>
  <si>
    <t>鬢</t>
  </si>
  <si>
    <t>鷹</t>
  </si>
  <si>
    <t>鷺</t>
  </si>
  <si>
    <t>sinn5</t>
  </si>
  <si>
    <t>鼇</t>
  </si>
  <si>
    <t>齴</t>
  </si>
  <si>
    <t>giang3</t>
  </si>
  <si>
    <t>齶</t>
  </si>
  <si>
    <t>灣</t>
  </si>
  <si>
    <t>uainn1</t>
  </si>
  <si>
    <t>籬</t>
  </si>
  <si>
    <t>lua5</t>
  </si>
  <si>
    <t>觀</t>
  </si>
  <si>
    <t>躡</t>
  </si>
  <si>
    <t>neeh4</t>
  </si>
  <si>
    <t>釁</t>
  </si>
  <si>
    <t>鑰</t>
  </si>
  <si>
    <t>鑲</t>
  </si>
  <si>
    <t>驢</t>
  </si>
  <si>
    <t>驥</t>
  </si>
  <si>
    <t>躪</t>
  </si>
  <si>
    <t>鑽</t>
  </si>
  <si>
    <t>tsuinn3</t>
  </si>
  <si>
    <t>顴</t>
  </si>
  <si>
    <t>鱷</t>
  </si>
  <si>
    <t>鱸</t>
  </si>
  <si>
    <t>鸕</t>
  </si>
  <si>
    <t>𧮙</t>
  </si>
  <si>
    <t>tshoh4</t>
  </si>
  <si>
    <t>戇</t>
  </si>
  <si>
    <t>gong7</t>
  </si>
  <si>
    <t>tshok8</t>
  </si>
  <si>
    <t>鸚</t>
  </si>
  <si>
    <t>鬱</t>
  </si>
  <si>
    <t>鱺</t>
  </si>
  <si>
    <t>鸞</t>
  </si>
  <si>
    <t>𢪱</t>
  </si>
  <si>
    <t>𤺪</t>
  </si>
  <si>
    <t>舍</t>
  </si>
  <si>
    <t>sia2</t>
  </si>
  <si>
    <t>數次 (sò͘-pái), 無數次; 就是與這(kap chit)字【回】相像.</t>
  </si>
  <si>
    <t>次序, 就是 創物 到 好勢, 齊嶄的意思.</t>
  </si>
  <si>
    <t>分別, 料理; 約束, 定tio̍h, 路用, 調處, 處和.</t>
  </si>
  <si>
    <t>彼地, 彼位, 勢面, 所在; 位處.</t>
  </si>
  <si>
    <t>tse7</t>
  </si>
  <si>
    <t>tshe7</t>
  </si>
  <si>
    <t>1895《臺灣語》</t>
  </si>
  <si>
    <t>欣慕, 愛, 貪, beh, teh-beh; 婉轉 ê 款式; 私慾, 情慾</t>
  </si>
  <si>
    <t>試看māi。</t>
  </si>
  <si>
    <t>liong7</t>
  </si>
  <si>
    <t>《韻會》俯(hu2)九(kiu2)切，音缶(hiu2)。與可否之否通。《說文》鳥飛上翔，不下來也。从一，一猶天也。象形。　</t>
  </si>
  <si>
    <t>西方極樂世界</t>
  </si>
  <si>
    <t>耶</t>
  </si>
  <si>
    <t>ia5</t>
  </si>
  <si>
    <t>消tháu, tháu開, 預先tháu, 透鼓, tháu結, tháu竅.</t>
  </si>
  <si>
    <t>iā=ia̍h, 也好, 也無; 有 也好 無 也好</t>
  </si>
  <si>
    <t>iong7</t>
  </si>
  <si>
    <t>甚物, 就是 問人 ê 意思.</t>
  </si>
  <si>
    <t>今世做, 今世修, 就是 現做 現 擔當 ê 意思.</t>
  </si>
  <si>
    <t>tha1</t>
  </si>
  <si>
    <t>洹</t>
  </si>
  <si>
    <t>liu3</t>
  </si>
  <si>
    <t>按呢生, 就是 kā人 講 決斷 定tio̍h ê 意思.</t>
  </si>
  <si>
    <t>頭路, 食 頭路, 文文 有路; m̄知 頭.</t>
  </si>
  <si>
    <t>苦勸, 諫諍 王 ê m̄-tio̍h, suah tāi-chì.</t>
  </si>
  <si>
    <t>阿彌陀佛</t>
  </si>
  <si>
    <t>冊句 點明, 句讀, 讀點, 句讀.</t>
  </si>
  <si>
    <t>koh再, 霎霎, 積累, 車名, 字姓, 重倍, 幾若 重.</t>
  </si>
  <si>
    <t>輕 ê 對反; 艱過, 尊貴, 要緊, 厚, 好,koh再, 濟濟; 星, 山.</t>
  </si>
  <si>
    <t>辱</t>
  </si>
  <si>
    <t>thian5</t>
  </si>
  <si>
    <t>thí開 目睭; 無 歡喜 teh 看 ê 意思; 受氣.</t>
  </si>
  <si>
    <t>誦</t>
  </si>
  <si>
    <t>誑</t>
  </si>
  <si>
    <t>gu2</t>
  </si>
  <si>
    <t>寫</t>
  </si>
  <si>
    <t>空空, 貧惰; 寬容, 安然 恬靜; 相近, 閒閒; 閒暇.</t>
  </si>
  <si>
    <t>恭</t>
  </si>
  <si>
    <t>kiong1</t>
  </si>
  <si>
    <t>遶</t>
  </si>
  <si>
    <t>服事</t>
  </si>
  <si>
    <t>tāi-chì, 好代, pháiⁿ代, 無 我 ê 代, 無 啥代, 無tī代.</t>
  </si>
  <si>
    <t>算數, 記數, 結數, kap chit字 數siàu 字 同.</t>
  </si>
  <si>
    <t>播 種子, 作穡, 播揚, 生湠, 栽種.</t>
  </si>
  <si>
    <t>tsiong2</t>
  </si>
  <si>
    <t>草木 所結 ê 子, 種子, 種類.</t>
  </si>
  <si>
    <t>ian7</t>
  </si>
  <si>
    <t>鑲 袞緣, 緣領; 緣衫褲.</t>
  </si>
  <si>
    <t>邪</t>
  </si>
  <si>
    <t>sia5</t>
  </si>
  <si>
    <t>斜斜 ê 意思; 無 正經, 奸邪.</t>
  </si>
  <si>
    <t>所在 kap 物 ê 名; 幫贊 ê 話, 疑騃 ê 意思, 怎樣.</t>
  </si>
  <si>
    <t>hi5</t>
  </si>
  <si>
    <t>tiok4</t>
  </si>
  <si>
    <t>屬</t>
  </si>
  <si>
    <t>tsiok</t>
  </si>
  <si>
    <t>吩咐, 託仗, 憐憫, 堅固, 充足.</t>
  </si>
  <si>
    <t>連續, 同類; 聚集, 親像; 近oá, 下屬; 眷屬.</t>
  </si>
  <si>
    <t>sue5</t>
  </si>
  <si>
    <t>佁</t>
  </si>
  <si>
    <t>tsiah8</t>
  </si>
  <si>
    <t>piah4</t>
  </si>
  <si>
    <t>歎</t>
  </si>
  <si>
    <t>便宜, 就是 物 俗 ê 意思.</t>
  </si>
  <si>
    <t>欣</t>
  </si>
  <si>
    <t>him1</t>
  </si>
  <si>
    <t>稧</t>
  </si>
  <si>
    <t>he3</t>
  </si>
  <si>
    <t>《廣韻》胡計切：稧事，換秧。</t>
  </si>
  <si>
    <t>禊</t>
  </si>
  <si>
    <t>除去 罪惡 ê 祭獻; 也 讀 做 Khè.</t>
  </si>
  <si>
    <t>羣</t>
  </si>
  <si>
    <t>結黨, 成群, 羊 kui群; 羊群, kui群.</t>
  </si>
  <si>
    <t>iong3</t>
  </si>
  <si>
    <t>觴</t>
  </si>
  <si>
    <t>gap4</t>
  </si>
  <si>
    <t>phau7</t>
  </si>
  <si>
    <t>kia3</t>
  </si>
  <si>
    <t>腳 大步拇 ê 毛.</t>
  </si>
  <si>
    <t>無siâng, 相siâng; siâng款, siâng款式; siâng 這樣, siâng心.</t>
  </si>
  <si>
    <t>怏</t>
  </si>
  <si>
    <t>恨神 人, 心 無 滿足, 鬱卒</t>
  </si>
  <si>
    <t>試滋味等。</t>
  </si>
  <si>
    <t>嗟</t>
  </si>
  <si>
    <t>吐氣, 吐氣 ê 聲, 哀傷, 哀慘.</t>
  </si>
  <si>
    <t xml:space="preserve"> sio2</t>
  </si>
  <si>
    <t>hng5</t>
  </si>
  <si>
    <t>囑</t>
  </si>
  <si>
    <t>siong2</t>
  </si>
  <si>
    <t>nng7</t>
  </si>
  <si>
    <t>度食, 度 一嘴食, 度飽, 四界度 四界當.</t>
  </si>
  <si>
    <t>thueh8</t>
  </si>
  <si>
    <t>the̍h 起來, the̍h來 the̍h去; 偷the̍h, the̍h定.</t>
  </si>
  <si>
    <t>ta̍t-mō͘=達摩, 就是 釋迦 ê 一個 名.</t>
  </si>
  <si>
    <t>tī時, tī這日, tī倒落, tī tah-lo̍h, tī tah-lo̍h 一個.</t>
  </si>
  <si>
    <t>我ê, 伊ê, 人 ê 腳; 好ê, 金ê, hit-ê, chit-ê.</t>
  </si>
  <si>
    <t>胎神, 胎毛, 頭胎, 翻胎, 落胎; gín-á 胎; 猴á 胎.</t>
  </si>
  <si>
    <t>面桶, 貯物 ê 盤, 也 kap chit字 盤 相像.</t>
  </si>
  <si>
    <t xml:space="preserve">koh, koh再 ê 意思.	</t>
  </si>
  <si>
    <t>koh再, 又koh, koh活, koh來, 各樣.</t>
  </si>
  <si>
    <t>歡喜 ê 面色; 媠, 茈, 軟, 少年, iáu-kú 茈; 茂盛 ê 款式, 災禍.</t>
  </si>
  <si>
    <t>剖做 兩爿; 草木 ê 莓; 媠, 好看.</t>
  </si>
  <si>
    <t>幫贊 ê 字, 論到, 屬tī我, chí, chiah, tī.</t>
  </si>
  <si>
    <t>蕡</t>
  </si>
  <si>
    <t>草木 濟濟 籽, 樹木 茂盛; 插雜 ê 芳草.</t>
  </si>
  <si>
    <t>靡</t>
  </si>
  <si>
    <t>奢華, 媠, 盡頭, 無, 偃倒; 披開, 四散; 敗陣, 拚落.</t>
  </si>
  <si>
    <t>玁</t>
  </si>
  <si>
    <t>匈奴 ê 別號; 夷狄; 長嘴 狗, 烏狗, 黃頷.</t>
  </si>
  <si>
    <t>狁</t>
  </si>
  <si>
    <t>就是 匈奴 ê 別名; 番 ê 號.</t>
  </si>
  <si>
    <t>遑</t>
  </si>
  <si>
    <t>無 tāi-chì, 閒閒, 無 要緊; 遑遑, 就是 tāi-chì 濟, 趕緊.</t>
  </si>
  <si>
    <t>盬</t>
  </si>
  <si>
    <t xml:space="preserve">出 鹽 ê 所在; 無 堅固, 暫時; 罔, koh; 趕緊; chhìn-chhái.	</t>
  </si>
  <si>
    <t>tshia1</t>
  </si>
  <si>
    <t>戎</t>
  </si>
  <si>
    <t>jiong5</t>
  </si>
  <si>
    <t>腓</t>
  </si>
  <si>
    <t>腳 肚肉; 閃避, 遮閘; 破病, 變換.</t>
  </si>
  <si>
    <t>seh4</t>
  </si>
  <si>
    <t>騤</t>
  </si>
  <si>
    <t>馬 teh 行 ê 威形; 勇壯, 無soah.</t>
  </si>
  <si>
    <t>筏</t>
  </si>
  <si>
    <t>捨</t>
  </si>
  <si>
    <t>放捒, hiat-ka̍k, hō͘人, 字姓, 捨, 捨施.</t>
  </si>
  <si>
    <t>tshue7</t>
  </si>
  <si>
    <t>he2</t>
  </si>
  <si>
    <t>hoonn3</t>
  </si>
  <si>
    <t>目睭 chhāi-chhāi; 頷頸 chhāi-chhāi; chhāi佛.</t>
  </si>
  <si>
    <t>嵇</t>
  </si>
  <si>
    <t>就是 山 ê 名; 字姓.</t>
  </si>
  <si>
    <t>就是 山 ê 名, 字姓, 也 讀 khe1 字.</t>
  </si>
  <si>
    <t>hueh4</t>
  </si>
  <si>
    <t>睢</t>
  </si>
  <si>
    <t>受氣 ê 款式, 攑目 看, 縣名.</t>
  </si>
  <si>
    <t>leh8</t>
  </si>
  <si>
    <t>sinn1</t>
  </si>
  <si>
    <t>鑊</t>
  </si>
  <si>
    <t>闐</t>
  </si>
  <si>
    <t>皁</t>
  </si>
  <si>
    <t>phiah8</t>
  </si>
  <si>
    <t>水名, 水 小khoá 流出; 就是; 字姓.</t>
  </si>
  <si>
    <t>阻止, soah, 懍懾, 半遂, 敗壞, 漏出.</t>
  </si>
  <si>
    <t>洳</t>
  </si>
  <si>
    <t>南郡 ê 水名; 浸水.</t>
  </si>
  <si>
    <t>長樂, 就是 縣 ê 名, 離 福州 城 無 偌遠.</t>
  </si>
  <si>
    <t xml:space="preserve">啥事, 甚物, beh-thái, 啥事 m̄, 阻止, 哄; 忍凹, 怎樣.	</t>
  </si>
  <si>
    <t>問 ê 意思; beh-thái; 甚物, 啥事; 阻止; 哄.</t>
  </si>
  <si>
    <t>ueh8</t>
  </si>
  <si>
    <t>phiah4</t>
  </si>
  <si>
    <t>ta̍k-pái, 一 poàⁿ-pái; 三pái; chêng-pái, 後回（āu-pái）; 好 lâu-pái.</t>
  </si>
  <si>
    <t>thiong3</t>
  </si>
  <si>
    <t>jiah4</t>
  </si>
  <si>
    <t>与</t>
  </si>
  <si>
    <t>謝</t>
  </si>
  <si>
    <t>tsia7</t>
  </si>
  <si>
    <t>贖</t>
  </si>
  <si>
    <t>衿</t>
  </si>
  <si>
    <t>呦</t>
  </si>
  <si>
    <t>野</t>
  </si>
  <si>
    <t>ia2</t>
  </si>
  <si>
    <t>tsiong5</t>
  </si>
  <si>
    <t>讌</t>
  </si>
  <si>
    <t>講話, 筵席, 快活, 安歇, 安穩, 靜靜.</t>
  </si>
  <si>
    <t>匝</t>
  </si>
  <si>
    <t>運轉, 周圍; 變滿, 周至成逝.</t>
  </si>
  <si>
    <t>殂</t>
  </si>
  <si>
    <t>弊</t>
  </si>
  <si>
    <t>忠</t>
  </si>
  <si>
    <t>物 顛倒 khàm, 蓋笑, 坦蓋.</t>
  </si>
  <si>
    <t>弘</t>
  </si>
  <si>
    <t>陟</t>
  </si>
  <si>
    <t>序大人, 辦 tāi-chì, 掌管, 跟tè, 行 職份, 縣, 份, 字姓, 有司官.</t>
  </si>
  <si>
    <t>kueh4</t>
  </si>
  <si>
    <t>褘</t>
  </si>
  <si>
    <t>lu7</t>
  </si>
  <si>
    <t>裨</t>
  </si>
  <si>
    <t>淑</t>
  </si>
  <si>
    <t>giah8</t>
  </si>
  <si>
    <t>隆</t>
  </si>
  <si>
    <t>躬</t>
  </si>
  <si>
    <t>剉柴 ê 聲; 眾人 出力 ê 聲.</t>
  </si>
  <si>
    <t>應答 ê 聲, 應允, 趁意, 振起, ǹg望; 信, 和好, 濟濟, 不止.</t>
  </si>
  <si>
    <t>容允, 應允, 相允伨, 允准.</t>
  </si>
  <si>
    <t>遮khàm, 攔閘, 埋伏.</t>
  </si>
  <si>
    <t>teh4</t>
  </si>
  <si>
    <t>phak teh khùn（覆在睏）</t>
  </si>
  <si>
    <t>夙</t>
  </si>
  <si>
    <t>恐</t>
  </si>
  <si>
    <t>khiong2</t>
  </si>
  <si>
    <t>khing</t>
  </si>
  <si>
    <t>瀘</t>
  </si>
  <si>
    <t>駑</t>
  </si>
  <si>
    <t>攘</t>
  </si>
  <si>
    <t>jiong2</t>
  </si>
  <si>
    <t>攪擾, 攪吵; phah亂, 亂亂.</t>
  </si>
  <si>
    <t>牽來 捒去; 偷the̍h; 推辭; 遏止, 除去.</t>
  </si>
  <si>
    <t>酌</t>
  </si>
  <si>
    <t>掌管, 料理, 治理, 管轄 ê 意思.</t>
  </si>
  <si>
    <t>chē-kòa=罪過; 受罪; 洗罪; 死罪.</t>
  </si>
  <si>
    <t>諏</t>
  </si>
  <si>
    <t>禕</t>
  </si>
  <si>
    <t>kue1</t>
  </si>
  <si>
    <t>蕪</t>
  </si>
  <si>
    <t xml:space="preserve">大爺, 門口 大爺; 將爺.	</t>
  </si>
  <si>
    <t>差役, 衙役, 散役, 外役, 吏役.</t>
  </si>
  <si>
    <t>悵</t>
  </si>
  <si>
    <t>tiong3</t>
  </si>
  <si>
    <t>僮</t>
  </si>
  <si>
    <t>迎=ngiâ, 迎接, 就是 接接 ê 意思.</t>
  </si>
  <si>
    <t>ging7</t>
  </si>
  <si>
    <t>去 人兜 迎接 伊; 親迎.</t>
  </si>
  <si>
    <t>kiok4</t>
  </si>
  <si>
    <t>眄</t>
  </si>
  <si>
    <t>遐</t>
  </si>
  <si>
    <t>遠遠, 長長, 福氣 ê 意思.</t>
  </si>
  <si>
    <t>崎</t>
  </si>
  <si>
    <t>曲 ê 岸, 長長 趨趨, 崎á, 岑崎.</t>
  </si>
  <si>
    <t>山路 磡硈, 無平, 危險.</t>
  </si>
  <si>
    <t>kia7</t>
  </si>
  <si>
    <t>耔</t>
  </si>
  <si>
    <t>臯</t>
  </si>
  <si>
    <t>用 禮數 來 o-ló, 牽 長聲; 懸; 上 厝頂 喝聲; 水墘, 慢慢.</t>
  </si>
  <si>
    <t>俗字 就是 kap 号 字 相像.</t>
  </si>
  <si>
    <t>憑據; 兆頭; 俗字 就是 kap chit字 號 相像.</t>
  </si>
  <si>
    <t>盍</t>
  </si>
  <si>
    <t>摘要說明</t>
    <phoneticPr fontId="7" type="noConversion"/>
  </si>
  <si>
    <t>更新時間</t>
  </si>
  <si>
    <t>注音編碼</t>
  </si>
  <si>
    <t>國際音標</t>
  </si>
  <si>
    <t>音標種類</t>
  </si>
  <si>
    <t>注音二式</t>
  </si>
  <si>
    <t>附註</t>
  </si>
  <si>
    <t>pʰ</t>
  </si>
  <si>
    <t>此時的 m 出現於拼音首字</t>
  </si>
  <si>
    <t>tʰ</t>
  </si>
  <si>
    <t>此時的 n 出現於拼音首字</t>
  </si>
  <si>
    <t>kʰ</t>
  </si>
  <si>
    <t>ŋ</t>
  </si>
  <si>
    <t>此時的 ng 出現於拼音首字</t>
  </si>
  <si>
    <t>ʨ</t>
  </si>
  <si>
    <t>tsi</t>
  </si>
  <si>
    <t>ʥ</t>
  </si>
  <si>
    <t>jji</t>
  </si>
  <si>
    <t>ʨʰ</t>
  </si>
  <si>
    <t>tshi</t>
  </si>
  <si>
    <t>ɕ</t>
  </si>
  <si>
    <t>shi</t>
  </si>
  <si>
    <t>ʣ</t>
  </si>
  <si>
    <t>ʦʰ</t>
  </si>
  <si>
    <t>tsh</t>
  </si>
  <si>
    <t>ã</t>
  </si>
  <si>
    <t>ĩ</t>
  </si>
  <si>
    <t>ũ</t>
  </si>
  <si>
    <t>ẽ</t>
  </si>
  <si>
    <t>ɔ</t>
  </si>
  <si>
    <t>ɔ̃</t>
  </si>
  <si>
    <t>ãĩ</t>
  </si>
  <si>
    <t>ãũ</t>
  </si>
  <si>
    <t>ɨ</t>
  </si>
  <si>
    <t>ɔm</t>
  </si>
  <si>
    <t>此時的 m 出現於拼音尾部，m 之後會緊接【調號】數值：[012345678]</t>
  </si>
  <si>
    <t>此時的 n 出現於拼音尾部，n 之後會緊接【調號】數值：[012345678]</t>
  </si>
  <si>
    <t>aŋ</t>
  </si>
  <si>
    <t>ɔŋ</t>
  </si>
  <si>
    <t>此時的 ng 出現於拼音尾部，ng 之後會緊接【調號】數值：[012345678]</t>
  </si>
  <si>
    <t>ㄧㆤ</t>
  </si>
  <si>
    <t>iek</t>
  </si>
  <si>
    <t>編號</t>
  </si>
  <si>
    <t>國際音標附註</t>
  </si>
  <si>
    <t>前置處理</t>
  </si>
  <si>
    <t>oo發 [ɔ] 音</t>
  </si>
  <si>
    <t>bboo2</t>
  </si>
  <si>
    <t>ㆠㆦˋ</t>
  </si>
  <si>
    <t>oonnh</t>
  </si>
  <si>
    <t>On</t>
  </si>
  <si>
    <t>hioonn1</t>
  </si>
  <si>
    <t>ㄏㄧㆧ</t>
  </si>
  <si>
    <t>Oh</t>
  </si>
  <si>
    <t>嚄</t>
  </si>
  <si>
    <t>hooh</t>
  </si>
  <si>
    <t>ㄏㆦㆷ</t>
  </si>
  <si>
    <t>ㆧㆷ</t>
  </si>
  <si>
    <t>Onnh</t>
  </si>
  <si>
    <t>𠳝</t>
  </si>
  <si>
    <t>honnh</t>
  </si>
  <si>
    <t>hoonnh</t>
  </si>
  <si>
    <t>ㄏㆧㆷ</t>
  </si>
  <si>
    <t>oom</t>
  </si>
  <si>
    <t>此處o發 [ɔ] 音</t>
  </si>
  <si>
    <t>Om</t>
  </si>
  <si>
    <t>hom4</t>
  </si>
  <si>
    <t>hoom4</t>
  </si>
  <si>
    <t>ㄏㆱ</t>
  </si>
  <si>
    <t>Ong</t>
  </si>
  <si>
    <t>bbong1</t>
  </si>
  <si>
    <t>ㆠㆲ</t>
  </si>
  <si>
    <t>oop</t>
  </si>
  <si>
    <t>ㆦㆴ</t>
  </si>
  <si>
    <t>Op</t>
  </si>
  <si>
    <t>hoop4</t>
  </si>
  <si>
    <t>ㄏㆦㆴ</t>
  </si>
  <si>
    <t>ook</t>
  </si>
  <si>
    <t>ㆦ</t>
  </si>
  <si>
    <t>Ok</t>
  </si>
  <si>
    <t>bok4</t>
  </si>
  <si>
    <t>bbook4</t>
  </si>
  <si>
    <t>ㆠㆦ</t>
  </si>
  <si>
    <t>iO</t>
  </si>
  <si>
    <t>吳守禮字典無參考例</t>
  </si>
  <si>
    <t>ioonn</t>
  </si>
  <si>
    <t>iOnn</t>
  </si>
  <si>
    <t>ionn1</t>
  </si>
  <si>
    <t>ioonn1</t>
  </si>
  <si>
    <t>ㄧㆦㆷ</t>
  </si>
  <si>
    <t>iOh</t>
  </si>
  <si>
    <t>hionn2</t>
  </si>
  <si>
    <t>hioonn2</t>
  </si>
  <si>
    <t>ㄏㄧㆧˋ</t>
  </si>
  <si>
    <t>iOng</t>
  </si>
  <si>
    <t>iook</t>
  </si>
  <si>
    <t>ㄧㆦ</t>
  </si>
  <si>
    <t>iOk</t>
  </si>
  <si>
    <t>ㄍㄧㆲˋ</t>
  </si>
  <si>
    <t>此處o發 [o] 音</t>
  </si>
  <si>
    <t>ggiook8</t>
  </si>
  <si>
    <t>ㆣㄧㆦ˙</t>
  </si>
  <si>
    <t>orh</t>
  </si>
  <si>
    <t>ㄜㆷ</t>
  </si>
  <si>
    <t>bbor2</t>
  </si>
  <si>
    <t>ㆠㄜˋ</t>
  </si>
  <si>
    <t>ior</t>
  </si>
  <si>
    <t>bborh4</t>
  </si>
  <si>
    <t>ㆠㄜㆷ</t>
  </si>
  <si>
    <t>iorh</t>
  </si>
  <si>
    <t>bbior2</t>
  </si>
  <si>
    <t>ㆠㄧㄜˋ</t>
  </si>
  <si>
    <t>ggiorh8</t>
  </si>
  <si>
    <t>ㆣㄧㄜㆷ˙</t>
  </si>
  <si>
    <t>en</t>
  </si>
  <si>
    <t>(i)ng</t>
  </si>
  <si>
    <t>zi</t>
  </si>
  <si>
    <t>Zi</t>
  </si>
  <si>
    <t>b0</t>
  </si>
  <si>
    <t>d0</t>
  </si>
  <si>
    <t>g0</t>
  </si>
  <si>
    <t>h0</t>
  </si>
  <si>
    <t>ㆠ</t>
    <phoneticPr fontId="7" type="noConversion"/>
  </si>
  <si>
    <t/>
  </si>
  <si>
    <t>公式準則</t>
    <phoneticPr fontId="7" type="noConversion"/>
  </si>
  <si>
    <t>符號編碼</t>
    <phoneticPr fontId="3" type="noConversion"/>
  </si>
  <si>
    <t>字母長度</t>
    <phoneticPr fontId="7" type="noConversion"/>
  </si>
  <si>
    <t>聲韻調</t>
    <phoneticPr fontId="7" type="noConversion"/>
  </si>
  <si>
    <t>聲</t>
    <phoneticPr fontId="7" type="noConversion"/>
  </si>
  <si>
    <t>調</t>
    <phoneticPr fontId="7" type="noConversion"/>
  </si>
  <si>
    <t>韻</t>
    <phoneticPr fontId="7" type="noConversion"/>
  </si>
  <si>
    <t>ŋ</t>
    <phoneticPr fontId="7" type="noConversion"/>
  </si>
  <si>
    <t>入聲韻母輸入鍵</t>
    <phoneticPr fontId="7" type="noConversion"/>
  </si>
  <si>
    <t>韻尾</t>
    <phoneticPr fontId="7" type="noConversion"/>
  </si>
  <si>
    <t>&lt;&gt;韻尾</t>
    <phoneticPr fontId="7" type="noConversion"/>
  </si>
  <si>
    <t>m鼻音韻尾編碼：【M】</t>
    <phoneticPr fontId="7" type="noConversion"/>
  </si>
  <si>
    <t>n鼻音韻尾編碼：【N】</t>
    <phoneticPr fontId="7" type="noConversion"/>
  </si>
  <si>
    <t>h入聲韻尾編碼：【H】</t>
    <phoneticPr fontId="7" type="noConversion"/>
  </si>
  <si>
    <t>p入聲韻尾編碼：【P】</t>
    <phoneticPr fontId="7" type="noConversion"/>
  </si>
  <si>
    <t>t入聲韻尾</t>
    <phoneticPr fontId="7" type="noConversion"/>
  </si>
  <si>
    <t>k入聲韻尾</t>
    <phoneticPr fontId="7" type="noConversion"/>
  </si>
  <si>
    <t>p入聲韻尾</t>
    <phoneticPr fontId="7" type="noConversion"/>
  </si>
  <si>
    <t>h入聲韻尾</t>
    <phoneticPr fontId="7" type="noConversion"/>
  </si>
  <si>
    <t>k入聲編碼：【K】</t>
    <phoneticPr fontId="7" type="noConversion"/>
  </si>
  <si>
    <t>t入聲韻尾編碼：【T】</t>
    <phoneticPr fontId="7" type="noConversion"/>
  </si>
  <si>
    <t>jj</t>
  </si>
  <si>
    <t>sh</t>
  </si>
  <si>
    <t>台語拼音</t>
    <phoneticPr fontId="7" type="noConversion"/>
  </si>
  <si>
    <t>原用【H】；ang【f】；ong【F】</t>
  </si>
  <si>
    <t>【ㆱ】共用【m】按鍵；【編碼】=【v】</t>
  </si>
  <si>
    <t>nn</t>
    <phoneticPr fontId="7" type="noConversion"/>
  </si>
  <si>
    <t>鍵盤按鍵</t>
    <phoneticPr fontId="7" type="noConversion"/>
  </si>
  <si>
    <t>t0</t>
    <phoneticPr fontId="7" type="noConversion"/>
  </si>
  <si>
    <t>k0</t>
    <phoneticPr fontId="7" type="noConversion"/>
  </si>
  <si>
    <t>p0</t>
    <phoneticPr fontId="7" type="noConversion"/>
  </si>
  <si>
    <t>h0</t>
    <phoneticPr fontId="7" type="noConversion"/>
  </si>
  <si>
    <t>-</t>
    <phoneticPr fontId="7" type="noConversion"/>
  </si>
  <si>
    <t>-n</t>
    <phoneticPr fontId="7" type="noConversion"/>
  </si>
  <si>
    <t>ng鼻音韻尾編碼：【G】</t>
  </si>
  <si>
    <t>鍵</t>
    <phoneticPr fontId="7" type="noConversion"/>
  </si>
  <si>
    <t>ptkh</t>
  </si>
  <si>
    <t>ㄚ</t>
    <phoneticPr fontId="7" type="noConversion"/>
  </si>
  <si>
    <t>*nn</t>
    <phoneticPr fontId="7" type="noConversion"/>
  </si>
  <si>
    <t>ñ</t>
    <phoneticPr fontId="7" type="noConversion"/>
  </si>
  <si>
    <t>Ƞ</t>
    <phoneticPr fontId="7" type="noConversion"/>
  </si>
  <si>
    <t>ñ</t>
  </si>
  <si>
    <t>nn</t>
  </si>
  <si>
    <t>入</t>
    <phoneticPr fontId="7" type="noConversion"/>
  </si>
  <si>
    <t>閩拼方案</t>
    <phoneticPr fontId="7" type="noConversion"/>
  </si>
  <si>
    <t>bbn</t>
    <phoneticPr fontId="7" type="noConversion"/>
  </si>
  <si>
    <t>ln</t>
    <phoneticPr fontId="7" type="noConversion"/>
  </si>
  <si>
    <t>ggn</t>
    <phoneticPr fontId="7" type="noConversion"/>
  </si>
  <si>
    <t>ni</t>
    <phoneticPr fontId="7" type="noConversion"/>
  </si>
  <si>
    <t>nu</t>
    <phoneticPr fontId="7" type="noConversion"/>
  </si>
  <si>
    <t>na</t>
    <phoneticPr fontId="7" type="noConversion"/>
  </si>
  <si>
    <t>noo</t>
    <phoneticPr fontId="7" type="noConversion"/>
  </si>
  <si>
    <t>eu</t>
    <phoneticPr fontId="7" type="noConversion"/>
  </si>
  <si>
    <t>ne</t>
    <phoneticPr fontId="7" type="noConversion"/>
  </si>
  <si>
    <t>nai</t>
    <phoneticPr fontId="7" type="noConversion"/>
  </si>
  <si>
    <t>ao</t>
    <phoneticPr fontId="7" type="noConversion"/>
  </si>
  <si>
    <t>nao</t>
    <phoneticPr fontId="7" type="noConversion"/>
  </si>
  <si>
    <t>輸入【鼻化韻母】的【前綴符號】</t>
    <phoneticPr fontId="7" type="noConversion"/>
  </si>
  <si>
    <t>十五音</t>
    <phoneticPr fontId="7" type="noConversion"/>
  </si>
  <si>
    <t>邊</t>
    <phoneticPr fontId="7" type="noConversion"/>
  </si>
  <si>
    <t>頗</t>
    <phoneticPr fontId="7" type="noConversion"/>
  </si>
  <si>
    <t>門</t>
    <phoneticPr fontId="7" type="noConversion"/>
  </si>
  <si>
    <t>地</t>
    <phoneticPr fontId="7" type="noConversion"/>
  </si>
  <si>
    <t>他</t>
    <phoneticPr fontId="7" type="noConversion"/>
  </si>
  <si>
    <t>柳</t>
    <phoneticPr fontId="7" type="noConversion"/>
  </si>
  <si>
    <t>求</t>
    <phoneticPr fontId="7" type="noConversion"/>
  </si>
  <si>
    <t>氣</t>
    <phoneticPr fontId="7" type="noConversion"/>
  </si>
  <si>
    <t>語</t>
    <phoneticPr fontId="7" type="noConversion"/>
  </si>
  <si>
    <t>曾</t>
    <phoneticPr fontId="7" type="noConversion"/>
  </si>
  <si>
    <t>出</t>
    <phoneticPr fontId="7" type="noConversion"/>
  </si>
  <si>
    <t>時</t>
    <phoneticPr fontId="7" type="noConversion"/>
  </si>
  <si>
    <t>喜</t>
    <phoneticPr fontId="7" type="noConversion"/>
  </si>
  <si>
    <t>鍵盤與注音符號對映 (preedit_format)</t>
  </si>
  <si>
    <t xml:space="preserve">  # 設定「候選字清單」中，字典漢字與注音符號的對映</t>
  </si>
  <si>
    <t>w</t>
    <phoneticPr fontId="7" type="noConversion"/>
  </si>
  <si>
    <t>Noo</t>
    <phoneticPr fontId="7" type="noConversion"/>
  </si>
  <si>
    <t>Na</t>
    <phoneticPr fontId="7" type="noConversion"/>
  </si>
  <si>
    <t>Ni</t>
    <phoneticPr fontId="7" type="noConversion"/>
  </si>
  <si>
    <t>Nu</t>
    <phoneticPr fontId="7" type="noConversion"/>
  </si>
  <si>
    <t>Ne</t>
    <phoneticPr fontId="7" type="noConversion"/>
  </si>
  <si>
    <t>N</t>
    <phoneticPr fontId="7" type="noConversion"/>
  </si>
  <si>
    <t>M</t>
    <phoneticPr fontId="7" type="noConversion"/>
  </si>
  <si>
    <t>au</t>
    <phoneticPr fontId="7" type="noConversion"/>
  </si>
  <si>
    <t>Nai</t>
    <phoneticPr fontId="7" type="noConversion"/>
  </si>
  <si>
    <t>Nau</t>
    <phoneticPr fontId="7" type="noConversion"/>
  </si>
  <si>
    <t>q</t>
    <phoneticPr fontId="7" type="noConversion"/>
  </si>
  <si>
    <t>B</t>
    <phoneticPr fontId="7" type="noConversion"/>
  </si>
  <si>
    <r>
      <rPr>
        <vertAlign val="subscript"/>
        <sz val="26"/>
        <color rgb="FFFF0000"/>
        <rFont val="Noto Sans TC"/>
        <family val="2"/>
      </rPr>
      <t>ㄥ</t>
    </r>
    <r>
      <rPr>
        <sz val="26"/>
        <color rgb="FFFF0000"/>
        <rFont val="Noto Sans TC"/>
        <family val="2"/>
        <charset val="136"/>
      </rPr>
      <t>ㄚ</t>
    </r>
    <phoneticPr fontId="7" type="noConversion"/>
  </si>
  <si>
    <r>
      <rPr>
        <vertAlign val="superscript"/>
        <sz val="20"/>
        <color theme="4"/>
        <rFont val="Arial"/>
        <family val="2"/>
      </rPr>
      <t>n</t>
    </r>
    <r>
      <rPr>
        <sz val="20"/>
        <color theme="4"/>
        <rFont val="Arial"/>
        <family val="2"/>
      </rPr>
      <t>a</t>
    </r>
    <phoneticPr fontId="7" type="noConversion"/>
  </si>
  <si>
    <t>*nn</t>
  </si>
  <si>
    <t>˫</t>
    <phoneticPr fontId="7" type="noConversion"/>
  </si>
  <si>
    <t>[7] 中音調</t>
    <phoneticPr fontId="7" type="noConversion"/>
  </si>
  <si>
    <t>[3] 低音調</t>
    <phoneticPr fontId="7" type="noConversion"/>
  </si>
  <si>
    <t>˪</t>
    <phoneticPr fontId="7" type="noConversion"/>
  </si>
  <si>
    <t>˙</t>
    <phoneticPr fontId="7" type="noConversion"/>
  </si>
  <si>
    <t>[2] 高降調</t>
    <phoneticPr fontId="7" type="noConversion"/>
  </si>
  <si>
    <t>[1] 高音調</t>
    <phoneticPr fontId="7" type="noConversion"/>
  </si>
  <si>
    <t>[5] 低升調</t>
    <phoneticPr fontId="7" type="noConversion"/>
  </si>
  <si>
    <t>[0] 入聲韻尾</t>
    <phoneticPr fontId="7" type="noConversion"/>
  </si>
  <si>
    <t>(bb)</t>
  </si>
  <si>
    <t>ㄈ</t>
  </si>
  <si>
    <t>(l)</t>
  </si>
  <si>
    <t>chh</t>
  </si>
  <si>
    <t>chhi</t>
  </si>
  <si>
    <t>ㄓ</t>
  </si>
  <si>
    <t>jh</t>
  </si>
  <si>
    <t>ㄔ</t>
  </si>
  <si>
    <t>ㄕ</t>
  </si>
  <si>
    <t>（ㄖ）</t>
  </si>
  <si>
    <t>bh</t>
  </si>
  <si>
    <t>gh</t>
  </si>
  <si>
    <t>(gg)</t>
  </si>
  <si>
    <t>ㄛ</t>
  </si>
  <si>
    <t>ㄝ</t>
  </si>
  <si>
    <t>ê</t>
  </si>
  <si>
    <t>ㄦ</t>
  </si>
  <si>
    <t>i,yi</t>
  </si>
  <si>
    <t>u,wu</t>
  </si>
  <si>
    <t>ㄩ</t>
  </si>
  <si>
    <t>yu</t>
  </si>
  <si>
    <t>零韻</t>
  </si>
  <si>
    <t>ii</t>
  </si>
  <si>
    <t>鼻化</t>
  </si>
  <si>
    <t>n-</t>
  </si>
  <si>
    <t>-nn</t>
  </si>
  <si>
    <t>入聲</t>
  </si>
  <si>
    <t>p,t,k</t>
  </si>
  <si>
    <t>p,t,k,h</t>
  </si>
  <si>
    <t>據台灣通用語言協會2003年製表並補「閩南方言拼音方案」 、「改良式TLPA」及「臺羅拼音」</t>
  </si>
  <si>
    <t>（zh）</t>
  </si>
  <si>
    <t>（ch）</t>
  </si>
  <si>
    <t>（sh）</t>
  </si>
  <si>
    <t>（rh）</t>
  </si>
  <si>
    <t>o.</t>
  </si>
  <si>
    <t>台灣華語</t>
    <phoneticPr fontId="7" type="noConversion"/>
  </si>
  <si>
    <t>客語通用</t>
    <phoneticPr fontId="7" type="noConversion"/>
  </si>
  <si>
    <t>台語通用</t>
    <phoneticPr fontId="7" type="noConversion"/>
  </si>
  <si>
    <t>教羅台語</t>
    <phoneticPr fontId="7" type="noConversion"/>
  </si>
  <si>
    <t>TLPA閩南語</t>
    <phoneticPr fontId="7" type="noConversion"/>
  </si>
  <si>
    <t>改良式TLPA</t>
    <phoneticPr fontId="7" type="noConversion"/>
  </si>
  <si>
    <t>臺羅拼音</t>
    <phoneticPr fontId="7" type="noConversion"/>
  </si>
  <si>
    <t>閩南方言
拼音方案</t>
    <phoneticPr fontId="7" type="noConversion"/>
  </si>
  <si>
    <t>聲母</t>
    <phoneticPr fontId="7" type="noConversion"/>
  </si>
  <si>
    <t>-nn</t>
    <phoneticPr fontId="7" type="noConversion"/>
  </si>
  <si>
    <t>-N</t>
    <phoneticPr fontId="7" type="noConversion"/>
  </si>
  <si>
    <r>
      <t>-nn=-</t>
    </r>
    <r>
      <rPr>
        <vertAlign val="superscript"/>
        <sz val="16"/>
        <color rgb="FF000000"/>
        <rFont val="新細明體"/>
        <family val="1"/>
        <charset val="136"/>
        <scheme val="minor"/>
      </rPr>
      <t>n</t>
    </r>
    <phoneticPr fontId="7" type="noConversion"/>
  </si>
  <si>
    <t>[8] 高促調</t>
    <phoneticPr fontId="7" type="noConversion"/>
  </si>
  <si>
    <t>[4] 低促調</t>
    <phoneticPr fontId="7" type="noConversion"/>
  </si>
  <si>
    <t>字典編碼</t>
    <phoneticPr fontId="7" type="noConversion"/>
  </si>
  <si>
    <t>【鼻化韻母】的【前綴識別符號】</t>
    <phoneticPr fontId="7" type="noConversion"/>
  </si>
  <si>
    <t>p</t>
    <phoneticPr fontId="7" type="noConversion"/>
  </si>
  <si>
    <t>t</t>
    <phoneticPr fontId="7" type="noConversion"/>
  </si>
  <si>
    <t>g</t>
    <phoneticPr fontId="7" type="noConversion"/>
  </si>
  <si>
    <t>b</t>
    <phoneticPr fontId="7" type="noConversion"/>
  </si>
  <si>
    <t>k</t>
    <phoneticPr fontId="7" type="noConversion"/>
  </si>
  <si>
    <t>s</t>
    <phoneticPr fontId="7" type="noConversion"/>
  </si>
  <si>
    <t>h</t>
    <phoneticPr fontId="7" type="noConversion"/>
  </si>
  <si>
    <t>a</t>
    <phoneticPr fontId="7" type="noConversion"/>
  </si>
  <si>
    <t>i</t>
    <phoneticPr fontId="7" type="noConversion"/>
  </si>
  <si>
    <t>u</t>
    <phoneticPr fontId="7" type="noConversion"/>
  </si>
  <si>
    <t>e</t>
    <phoneticPr fontId="7" type="noConversion"/>
  </si>
  <si>
    <t>o</t>
    <phoneticPr fontId="7" type="noConversion"/>
  </si>
  <si>
    <t>La</t>
  </si>
  <si>
    <t>Li</t>
  </si>
  <si>
    <t>Lu</t>
  </si>
  <si>
    <t>Le</t>
  </si>
  <si>
    <t>Lo</t>
  </si>
  <si>
    <t>aM</t>
  </si>
  <si>
    <t>aN</t>
  </si>
  <si>
    <t>oM</t>
  </si>
  <si>
    <t>oG</t>
  </si>
  <si>
    <t>LI</t>
  </si>
  <si>
    <t>LU</t>
  </si>
  <si>
    <t>n</t>
    <phoneticPr fontId="7" type="noConversion"/>
  </si>
  <si>
    <t>-nn</t>
    <phoneticPr fontId="7" type="noConversion"/>
  </si>
  <si>
    <t>-n-</t>
    <phoneticPr fontId="7" type="noConversion"/>
  </si>
  <si>
    <t>台羅拼音</t>
    <phoneticPr fontId="7" type="noConversion"/>
  </si>
  <si>
    <t>白話字</t>
    <phoneticPr fontId="7" type="noConversion"/>
  </si>
  <si>
    <t>ts</t>
    <phoneticPr fontId="7" type="noConversion"/>
  </si>
  <si>
    <t>tsh</t>
    <phoneticPr fontId="7" type="noConversion"/>
  </si>
  <si>
    <t>ch</t>
    <phoneticPr fontId="7" type="noConversion"/>
  </si>
  <si>
    <t>chh</t>
    <phoneticPr fontId="7" type="noConversion"/>
  </si>
  <si>
    <t>ji-</t>
  </si>
  <si>
    <t>zi-</t>
  </si>
  <si>
    <t>ci-</t>
  </si>
  <si>
    <t>si-</t>
  </si>
  <si>
    <t>國際音標</t>
    <phoneticPr fontId="7" type="noConversion"/>
  </si>
  <si>
    <r>
      <t>p</t>
    </r>
    <r>
      <rPr>
        <sz val="18"/>
        <rFont val="Segoe UI"/>
        <family val="1"/>
        <charset val="1"/>
      </rPr>
      <t>ʰ</t>
    </r>
    <phoneticPr fontId="7" type="noConversion"/>
  </si>
  <si>
    <t>m</t>
    <phoneticPr fontId="7" type="noConversion"/>
  </si>
  <si>
    <r>
      <t>t</t>
    </r>
    <r>
      <rPr>
        <sz val="18"/>
        <rFont val="Segoe UI"/>
        <family val="1"/>
        <charset val="1"/>
      </rPr>
      <t>ʰ</t>
    </r>
    <phoneticPr fontId="7" type="noConversion"/>
  </si>
  <si>
    <t>l</t>
    <phoneticPr fontId="7" type="noConversion"/>
  </si>
  <si>
    <r>
      <t>k</t>
    </r>
    <r>
      <rPr>
        <sz val="18"/>
        <rFont val="Segoe UI"/>
        <family val="1"/>
        <charset val="1"/>
      </rPr>
      <t>ʰ</t>
    </r>
    <phoneticPr fontId="7" type="noConversion"/>
  </si>
  <si>
    <t>ŋ</t>
    <phoneticPr fontId="7" type="noConversion"/>
  </si>
  <si>
    <r>
      <t>t</t>
    </r>
    <r>
      <rPr>
        <sz val="18"/>
        <rFont val="Segoe UI"/>
        <family val="1"/>
      </rPr>
      <t>͡</t>
    </r>
    <r>
      <rPr>
        <sz val="18"/>
        <rFont val="Noto Serif TC Medium"/>
        <family val="1"/>
        <charset val="136"/>
      </rPr>
      <t>s</t>
    </r>
    <phoneticPr fontId="7" type="noConversion"/>
  </si>
  <si>
    <r>
      <t>t</t>
    </r>
    <r>
      <rPr>
        <sz val="18"/>
        <rFont val="Segoe UI"/>
        <family val="1"/>
      </rPr>
      <t>͡</t>
    </r>
    <r>
      <rPr>
        <sz val="18"/>
        <rFont val="Noto Serif TC Medium"/>
        <family val="1"/>
        <charset val="136"/>
      </rPr>
      <t>s</t>
    </r>
    <r>
      <rPr>
        <sz val="18"/>
        <rFont val="Segoe UI"/>
        <family val="1"/>
        <charset val="1"/>
      </rPr>
      <t>ʰ</t>
    </r>
    <phoneticPr fontId="7" type="noConversion"/>
  </si>
  <si>
    <r>
      <t>d</t>
    </r>
    <r>
      <rPr>
        <sz val="18"/>
        <rFont val="Segoe UI"/>
        <family val="1"/>
      </rPr>
      <t>͡</t>
    </r>
    <r>
      <rPr>
        <sz val="18"/>
        <rFont val="Noto Serif TC Medium"/>
        <family val="1"/>
        <charset val="136"/>
      </rPr>
      <t>z</t>
    </r>
    <phoneticPr fontId="7" type="noConversion"/>
  </si>
  <si>
    <r>
      <t>t</t>
    </r>
    <r>
      <rPr>
        <sz val="18"/>
        <rFont val="Segoe UI"/>
        <family val="1"/>
      </rPr>
      <t>͡</t>
    </r>
    <r>
      <rPr>
        <sz val="18"/>
        <rFont val="Segoe UI"/>
        <family val="1"/>
        <charset val="1"/>
      </rPr>
      <t>ɕ</t>
    </r>
    <phoneticPr fontId="7" type="noConversion"/>
  </si>
  <si>
    <r>
      <t>t</t>
    </r>
    <r>
      <rPr>
        <sz val="18"/>
        <rFont val="Segoe UI"/>
        <family val="1"/>
      </rPr>
      <t>͡</t>
    </r>
    <r>
      <rPr>
        <sz val="18"/>
        <rFont val="Segoe UI"/>
        <family val="1"/>
        <charset val="1"/>
      </rPr>
      <t>ɕʰ</t>
    </r>
    <phoneticPr fontId="7" type="noConversion"/>
  </si>
  <si>
    <r>
      <t>d</t>
    </r>
    <r>
      <rPr>
        <sz val="18"/>
        <rFont val="Segoe UI"/>
        <family val="1"/>
      </rPr>
      <t>͡</t>
    </r>
    <r>
      <rPr>
        <sz val="18"/>
        <rFont val="Segoe UI"/>
        <family val="1"/>
        <charset val="1"/>
      </rPr>
      <t>ʑ</t>
    </r>
    <phoneticPr fontId="7" type="noConversion"/>
  </si>
  <si>
    <t>ɕ</t>
    <phoneticPr fontId="7" type="noConversion"/>
  </si>
  <si>
    <t>ø</t>
  </si>
  <si>
    <r>
      <t>p</t>
    </r>
    <r>
      <rPr>
        <sz val="18"/>
        <rFont val="Segoe UI"/>
        <family val="1"/>
      </rPr>
      <t>̚</t>
    </r>
    <phoneticPr fontId="7" type="noConversion"/>
  </si>
  <si>
    <r>
      <t>t</t>
    </r>
    <r>
      <rPr>
        <sz val="18"/>
        <rFont val="Segoe UI"/>
        <family val="1"/>
      </rPr>
      <t>̚</t>
    </r>
    <phoneticPr fontId="7" type="noConversion"/>
  </si>
  <si>
    <r>
      <t>k</t>
    </r>
    <r>
      <rPr>
        <sz val="18"/>
        <rFont val="Segoe UI"/>
        <family val="1"/>
      </rPr>
      <t>̚</t>
    </r>
    <phoneticPr fontId="7" type="noConversion"/>
  </si>
  <si>
    <t>ʔ</t>
    <phoneticPr fontId="7" type="noConversion"/>
  </si>
  <si>
    <t xml:space="preserve">	ã</t>
    <phoneticPr fontId="7" type="noConversion"/>
  </si>
  <si>
    <t>ĩ</t>
    <phoneticPr fontId="7" type="noConversion"/>
  </si>
  <si>
    <r>
      <rPr>
        <sz val="18"/>
        <rFont val="Segoe UI"/>
        <family val="1"/>
        <charset val="1"/>
      </rPr>
      <t>ɔ</t>
    </r>
    <r>
      <rPr>
        <sz val="18"/>
        <rFont val="Segoe UI"/>
        <family val="1"/>
      </rPr>
      <t>̃</t>
    </r>
    <phoneticPr fontId="7" type="noConversion"/>
  </si>
  <si>
    <t>ẽ</t>
    <phoneticPr fontId="7" type="noConversion"/>
  </si>
  <si>
    <t>ãĩ</t>
    <phoneticPr fontId="7" type="noConversion"/>
  </si>
  <si>
    <t>ĩũ</t>
    <phoneticPr fontId="7" type="noConversion"/>
  </si>
  <si>
    <t>ũ</t>
    <phoneticPr fontId="7" type="noConversion"/>
  </si>
  <si>
    <t>am</t>
    <phoneticPr fontId="7" type="noConversion"/>
  </si>
  <si>
    <t>an</t>
    <phoneticPr fontId="7" type="noConversion"/>
  </si>
  <si>
    <r>
      <t>a</t>
    </r>
    <r>
      <rPr>
        <sz val="18"/>
        <rFont val="Segoe UI"/>
        <family val="1"/>
        <charset val="238"/>
      </rPr>
      <t>ŋ</t>
    </r>
    <phoneticPr fontId="7" type="noConversion"/>
  </si>
  <si>
    <t>ai</t>
    <phoneticPr fontId="7" type="noConversion"/>
  </si>
  <si>
    <r>
      <t>m</t>
    </r>
    <r>
      <rPr>
        <sz val="18"/>
        <rFont val="Segoe UI"/>
        <family val="1"/>
      </rPr>
      <t>̩</t>
    </r>
    <phoneticPr fontId="7" type="noConversion"/>
  </si>
  <si>
    <t>ŋ̍</t>
    <phoneticPr fontId="7" type="noConversion"/>
  </si>
  <si>
    <r>
      <t>a</t>
    </r>
    <r>
      <rPr>
        <sz val="18"/>
        <rFont val="Segoe UI"/>
        <family val="1"/>
        <charset val="1"/>
      </rPr>
      <t>ʊ</t>
    </r>
    <phoneticPr fontId="7" type="noConversion"/>
  </si>
  <si>
    <t>ɯ</t>
    <phoneticPr fontId="7" type="noConversion"/>
  </si>
  <si>
    <t>ɔ</t>
    <phoneticPr fontId="7" type="noConversion"/>
  </si>
  <si>
    <t>ɔŋ</t>
    <phoneticPr fontId="7" type="noConversion"/>
  </si>
  <si>
    <r>
      <rPr>
        <sz val="18"/>
        <rFont val="Segoe UI"/>
        <family val="1"/>
        <charset val="1"/>
      </rPr>
      <t>ɔ</t>
    </r>
    <r>
      <rPr>
        <sz val="18"/>
        <rFont val="Noto Serif TC Medium"/>
        <family val="1"/>
        <charset val="136"/>
      </rPr>
      <t>m</t>
    </r>
    <phoneticPr fontId="7" type="noConversion"/>
  </si>
  <si>
    <t>˙</t>
    <phoneticPr fontId="7" type="noConversion"/>
  </si>
  <si>
    <t>.</t>
    <phoneticPr fontId="7" type="noConversion"/>
  </si>
  <si>
    <t>入聲韻母輸入鍵（英文句點）</t>
    <phoneticPr fontId="7" type="noConversion"/>
  </si>
  <si>
    <t>國語注音符號輕聲按鍵</t>
    <phoneticPr fontId="7" type="noConversion"/>
  </si>
  <si>
    <t>&amp;</t>
  </si>
  <si>
    <t>&amp;</t>
    <phoneticPr fontId="7" type="noConversion"/>
  </si>
  <si>
    <t>顯示所有【入聲韻尾】</t>
    <phoneticPr fontId="7" type="noConversion"/>
  </si>
  <si>
    <t>顯示所有【鼻音韻母】</t>
    <phoneticPr fontId="7" type="noConversion"/>
  </si>
  <si>
    <t>漢字例</t>
  </si>
  <si>
    <t>幫</t>
    <phoneticPr fontId="153" type="noConversion"/>
  </si>
  <si>
    <t>泥</t>
    <phoneticPr fontId="153" type="noConversion"/>
  </si>
  <si>
    <t>端</t>
    <phoneticPr fontId="153" type="noConversion"/>
  </si>
  <si>
    <t>透</t>
    <phoneticPr fontId="153" type="noConversion"/>
  </si>
  <si>
    <t>來</t>
    <phoneticPr fontId="153" type="noConversion"/>
  </si>
  <si>
    <t>疑</t>
    <phoneticPr fontId="153" type="noConversion"/>
  </si>
  <si>
    <t>熱</t>
    <phoneticPr fontId="153" type="noConversion"/>
  </si>
  <si>
    <t>初</t>
    <phoneticPr fontId="153" type="noConversion"/>
  </si>
  <si>
    <t>疏</t>
    <phoneticPr fontId="153" type="noConversion"/>
  </si>
  <si>
    <t>日</t>
    <phoneticPr fontId="153" type="noConversion"/>
  </si>
  <si>
    <t>精</t>
    <phoneticPr fontId="153" type="noConversion"/>
  </si>
  <si>
    <t>清</t>
    <phoneticPr fontId="153" type="noConversion"/>
  </si>
  <si>
    <t>心</t>
    <phoneticPr fontId="153" type="noConversion"/>
  </si>
  <si>
    <t>吳</t>
    <phoneticPr fontId="153" type="noConversion"/>
  </si>
  <si>
    <t>名</t>
    <phoneticPr fontId="153" type="noConversion"/>
  </si>
  <si>
    <t>眉</t>
    <phoneticPr fontId="153" type="noConversion"/>
  </si>
  <si>
    <t>裝</t>
    <phoneticPr fontId="153" type="noConversion"/>
  </si>
  <si>
    <t>雨</t>
    <phoneticPr fontId="153" type="noConversion"/>
  </si>
  <si>
    <t>門/毛</t>
    <phoneticPr fontId="7" type="noConversion"/>
  </si>
  <si>
    <t>柳/耐</t>
    <phoneticPr fontId="7" type="noConversion"/>
  </si>
  <si>
    <t>語/雅</t>
    <phoneticPr fontId="7" type="noConversion"/>
  </si>
  <si>
    <t>膠</t>
    <phoneticPr fontId="153" type="noConversion"/>
  </si>
  <si>
    <t>監</t>
    <phoneticPr fontId="153" type="noConversion"/>
  </si>
  <si>
    <t>甘</t>
    <phoneticPr fontId="153" type="noConversion"/>
  </si>
  <si>
    <t>干</t>
    <phoneticPr fontId="153" type="noConversion"/>
  </si>
  <si>
    <t>江</t>
    <phoneticPr fontId="153" type="noConversion"/>
  </si>
  <si>
    <t>居</t>
    <phoneticPr fontId="153" type="noConversion"/>
  </si>
  <si>
    <t>艍</t>
    <phoneticPr fontId="153" type="noConversion"/>
  </si>
  <si>
    <t>伽</t>
    <phoneticPr fontId="153" type="noConversion"/>
  </si>
  <si>
    <t>猪</t>
    <phoneticPr fontId="153" type="noConversion"/>
  </si>
  <si>
    <t>恩</t>
    <phoneticPr fontId="153" type="noConversion"/>
  </si>
  <si>
    <t>楊</t>
    <phoneticPr fontId="153" type="noConversion"/>
  </si>
  <si>
    <t>閂</t>
    <phoneticPr fontId="153" type="noConversion"/>
  </si>
  <si>
    <t>丼</t>
  </si>
  <si>
    <t>伊</t>
    <phoneticPr fontId="153" type="noConversion"/>
  </si>
  <si>
    <t>ㆨ</t>
    <phoneticPr fontId="7" type="noConversion"/>
  </si>
  <si>
    <t>,</t>
    <phoneticPr fontId="7" type="noConversion"/>
  </si>
  <si>
    <t>ng鼻音韻尾編碼：【W】</t>
    <phoneticPr fontId="7" type="noConversion"/>
  </si>
  <si>
    <t>9</t>
    <phoneticPr fontId="7" type="noConversion"/>
  </si>
  <si>
    <t>0</t>
    <phoneticPr fontId="7" type="noConversion"/>
  </si>
  <si>
    <t>【ㆱ】共用【m】按鍵；【編碼】=【v】</t>
    <phoneticPr fontId="7" type="noConversion"/>
  </si>
  <si>
    <t>&lt;</t>
    <phoneticPr fontId="7" type="noConversion"/>
  </si>
  <si>
    <t>原用【H】；ang【f】；ong【F】</t>
    <phoneticPr fontId="7" type="noConversion"/>
  </si>
  <si>
    <t>ㆬ</t>
    <phoneticPr fontId="153" type="noConversion"/>
  </si>
  <si>
    <t>極簡編碼</t>
    <phoneticPr fontId="7" type="noConversion"/>
  </si>
  <si>
    <t>台語音標</t>
    <phoneticPr fontId="7" type="noConversion"/>
  </si>
  <si>
    <t>10進制Unicode</t>
  </si>
  <si>
    <t>10進制Unicode</t>
    <phoneticPr fontId="7" type="noConversion"/>
  </si>
  <si>
    <t>哈沓</t>
  </si>
  <si>
    <t>叭別</t>
  </si>
  <si>
    <t>德俗</t>
  </si>
  <si>
    <t>佰薄</t>
  </si>
  <si>
    <t>R</t>
    <phoneticPr fontId="7" type="noConversion"/>
  </si>
  <si>
    <t>F</t>
    <phoneticPr fontId="7" type="noConversion"/>
  </si>
  <si>
    <t>V</t>
    <phoneticPr fontId="7" type="noConversion"/>
  </si>
  <si>
    <t>?</t>
    <phoneticPr fontId="7" type="noConversion"/>
  </si>
  <si>
    <t>-p</t>
  </si>
  <si>
    <t>-p</t>
    <phoneticPr fontId="153" type="noConversion"/>
  </si>
  <si>
    <t>-t</t>
  </si>
  <si>
    <t>-t</t>
    <phoneticPr fontId="153" type="noConversion"/>
  </si>
  <si>
    <t>-k</t>
  </si>
  <si>
    <t>-k</t>
    <phoneticPr fontId="153" type="noConversion"/>
  </si>
  <si>
    <t>-m</t>
    <phoneticPr fontId="153" type="noConversion"/>
  </si>
  <si>
    <t>-n</t>
  </si>
  <si>
    <t>-n</t>
    <phoneticPr fontId="153" type="noConversion"/>
  </si>
  <si>
    <t>-ng</t>
    <phoneticPr fontId="153" type="noConversion"/>
  </si>
  <si>
    <t>陰平</t>
    <phoneticPr fontId="7" type="noConversion"/>
  </si>
  <si>
    <t>陰入</t>
    <phoneticPr fontId="7" type="noConversion"/>
  </si>
  <si>
    <t>陽入</t>
    <phoneticPr fontId="7" type="noConversion"/>
  </si>
  <si>
    <t>¯</t>
    <phoneticPr fontId="7" type="noConversion"/>
  </si>
  <si>
    <t>bbn</t>
  </si>
  <si>
    <t>ln</t>
  </si>
  <si>
    <t>ggn</t>
  </si>
  <si>
    <t>猪</t>
  </si>
  <si>
    <t>eu</t>
  </si>
  <si>
    <t>艍</t>
  </si>
  <si>
    <t>韻尾</t>
  </si>
  <si>
    <t>ao</t>
  </si>
  <si>
    <t>na</t>
  </si>
  <si>
    <t>ni</t>
  </si>
  <si>
    <t>nu</t>
  </si>
  <si>
    <t>ne</t>
  </si>
  <si>
    <t>noo</t>
  </si>
  <si>
    <t>nai</t>
  </si>
  <si>
    <t>nao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</si>
</sst>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General;;\(&quot;空&quot;&quot;白&quot;&quot;字&quot;&quot;元&quot;\)"/>
    <numFmt numFmtId="177" formatCode="General;;"/>
  </numFmts>
  <fonts count="174">
    <font>
      <sz val="16"/>
      <color rgb="FF000000"/>
      <name val="新細明體"/>
      <family val="1"/>
      <charset val="136"/>
      <scheme val="minor"/>
    </font>
    <font>
      <sz val="12"/>
      <name val="宋体"/>
      <family val="3"/>
      <charset val="136"/>
    </font>
    <font>
      <sz val="18"/>
      <color rgb="FFFF0000"/>
      <name val="Arial"/>
      <family val="2"/>
    </font>
    <font>
      <sz val="9"/>
      <name val="BopomofoRuby1909-v1"/>
      <family val="3"/>
      <charset val="136"/>
    </font>
    <font>
      <sz val="18"/>
      <name val="宋体"/>
      <charset val="136"/>
    </font>
    <font>
      <sz val="18"/>
      <color rgb="FFFF0000"/>
      <name val="BopomofoRuby1909-v1"/>
      <family val="2"/>
      <charset val="136"/>
    </font>
    <font>
      <b/>
      <sz val="16"/>
      <color rgb="FFC00000"/>
      <name val="Noto Sans TC"/>
      <family val="2"/>
      <charset val="136"/>
    </font>
    <font>
      <sz val="9"/>
      <name val="新細明體"/>
      <family val="1"/>
      <charset val="136"/>
      <scheme val="minor"/>
    </font>
    <font>
      <sz val="24"/>
      <color rgb="FF000000"/>
      <name val="Iansui 094"/>
      <family val="3"/>
      <charset val="136"/>
    </font>
    <font>
      <b/>
      <sz val="18"/>
      <color rgb="FFC00000"/>
      <name val="Noto Serif TC Medium"/>
      <family val="1"/>
      <charset val="136"/>
    </font>
    <font>
      <sz val="18"/>
      <name val="Noto Serif TC Medium"/>
      <family val="1"/>
      <charset val="136"/>
    </font>
    <font>
      <sz val="18"/>
      <color rgb="FFFF0000"/>
      <name val="Iansui 094"/>
      <family val="3"/>
      <charset val="136"/>
    </font>
    <font>
      <b/>
      <sz val="18"/>
      <color rgb="FFFF0000"/>
      <name val="Iansui 094"/>
      <family val="3"/>
      <charset val="136"/>
    </font>
    <font>
      <sz val="18"/>
      <color theme="8"/>
      <name val="Noto Serif TC Medium"/>
      <family val="1"/>
      <charset val="136"/>
    </font>
    <font>
      <sz val="24"/>
      <color rgb="FFFF0000"/>
      <name val="Iansui 094"/>
      <family val="3"/>
      <charset val="136"/>
    </font>
    <font>
      <sz val="18"/>
      <color rgb="FFFF0000"/>
      <name val="Noto Serif TC Medium"/>
      <family val="1"/>
      <charset val="136"/>
    </font>
    <font>
      <sz val="18"/>
      <color rgb="FFFF0000"/>
      <name val="Microsoft JhengHei"/>
      <family val="2"/>
      <charset val="136"/>
    </font>
    <font>
      <sz val="18"/>
      <name val="Microsoft JhengHei"/>
      <family val="2"/>
      <charset val="136"/>
    </font>
    <font>
      <sz val="16"/>
      <name val="Iansui 094"/>
      <family val="3"/>
      <charset val="136"/>
    </font>
    <font>
      <sz val="10"/>
      <color rgb="FF000000"/>
      <name val="Noto Serif TC Medium"/>
      <family val="1"/>
      <charset val="136"/>
    </font>
    <font>
      <sz val="10"/>
      <color rgb="FF000000"/>
      <name val="新細明體"/>
      <family val="1"/>
      <charset val="136"/>
      <scheme val="minor"/>
    </font>
    <font>
      <sz val="20"/>
      <color rgb="FF000000"/>
      <name val="新細明體"/>
      <family val="1"/>
      <charset val="136"/>
      <scheme val="minor"/>
    </font>
    <font>
      <sz val="18"/>
      <color rgb="FF0070C0"/>
      <name val="新細明體"/>
      <family val="1"/>
      <charset val="136"/>
      <scheme val="minor"/>
    </font>
    <font>
      <sz val="18"/>
      <color rgb="FF000000"/>
      <name val="新細明體"/>
      <family val="1"/>
      <charset val="136"/>
      <scheme val="minor"/>
    </font>
    <font>
      <sz val="18"/>
      <color rgb="FF000000"/>
      <name val="Arial"/>
      <family val="2"/>
    </font>
    <font>
      <sz val="20"/>
      <name val="宋体"/>
      <charset val="136"/>
    </font>
    <font>
      <sz val="16"/>
      <color rgb="FF000000"/>
      <name val="Arial"/>
      <family val="2"/>
    </font>
    <font>
      <sz val="20"/>
      <color rgb="FF000000"/>
      <name val="Iansui 094"/>
      <family val="3"/>
      <charset val="136"/>
    </font>
    <font>
      <b/>
      <sz val="20"/>
      <color rgb="FF000000"/>
      <name val="宋体"/>
      <charset val="136"/>
    </font>
    <font>
      <b/>
      <sz val="20"/>
      <color rgb="FF000000"/>
      <name val="Times New Roman"/>
      <family val="1"/>
    </font>
    <font>
      <b/>
      <sz val="20"/>
      <color rgb="FF000000"/>
      <name val="SimSun"/>
      <charset val="134"/>
    </font>
    <font>
      <sz val="20"/>
      <color rgb="FF000000"/>
      <name val="宋体"/>
      <charset val="136"/>
    </font>
    <font>
      <b/>
      <sz val="24"/>
      <color theme="7" tint="-0.249977111117893"/>
      <name val="Times New Roman"/>
      <family val="1"/>
    </font>
    <font>
      <b/>
      <sz val="20"/>
      <color rgb="FF000000"/>
      <name val="Arial"/>
      <family val="2"/>
    </font>
    <font>
      <sz val="26"/>
      <color rgb="FFFF0000"/>
      <name val="KangXiZiDian.com 康熙字典體常用版"/>
      <charset val="136"/>
    </font>
    <font>
      <sz val="26"/>
      <color theme="7" tint="-0.249977111117893"/>
      <name val="KangXiZiDian.com 康熙字典體常用版"/>
      <charset val="136"/>
    </font>
    <font>
      <sz val="20"/>
      <color theme="4"/>
      <name val="Arial"/>
      <family val="2"/>
    </font>
    <font>
      <sz val="36"/>
      <color rgb="FFFF0000"/>
      <name val="KangXiZiDian.com 康熙字典體常用版"/>
      <charset val="136"/>
    </font>
    <font>
      <sz val="16"/>
      <color rgb="FFFF0000"/>
      <name val="KangXiZiDian.com 康熙字典體常用版"/>
      <charset val="136"/>
    </font>
    <font>
      <sz val="18"/>
      <name val="Arial"/>
      <family val="2"/>
    </font>
    <font>
      <sz val="20"/>
      <color rgb="FFFF0000"/>
      <name val="Iansui 094"/>
      <family val="3"/>
      <charset val="136"/>
    </font>
    <font>
      <sz val="18"/>
      <color theme="4"/>
      <name val="Microsoft JhengHei UI"/>
      <family val="2"/>
      <charset val="136"/>
    </font>
    <font>
      <b/>
      <sz val="24"/>
      <color rgb="FF00B050"/>
      <name val="Times New Roman"/>
      <family val="1"/>
    </font>
    <font>
      <sz val="18"/>
      <color rgb="FF0070C0"/>
      <name val="宋体"/>
      <charset val="136"/>
    </font>
    <font>
      <sz val="18"/>
      <color rgb="FF0070C0"/>
      <name val="LXGW WenKai Mono"/>
      <family val="3"/>
      <charset val="136"/>
    </font>
    <font>
      <sz val="18"/>
      <color rgb="FF00B0F0"/>
      <name val="Arial"/>
      <family val="2"/>
    </font>
    <font>
      <b/>
      <sz val="18"/>
      <color theme="8" tint="0.39997558519241921"/>
      <name val="Arial"/>
      <family val="2"/>
    </font>
    <font>
      <sz val="18"/>
      <name val="LXGW WenKai Mono"/>
      <family val="3"/>
      <charset val="136"/>
    </font>
    <font>
      <sz val="20"/>
      <name val="Arial"/>
      <family val="2"/>
    </font>
    <font>
      <sz val="18"/>
      <color rgb="FFFFFF00"/>
      <name val="LXGW WenKai Mono"/>
      <family val="3"/>
      <charset val="136"/>
    </font>
    <font>
      <sz val="18"/>
      <color theme="0"/>
      <name val="LXGW WenKai Mono"/>
      <family val="3"/>
      <charset val="136"/>
    </font>
    <font>
      <sz val="24"/>
      <color theme="0"/>
      <name val="Iansui 094"/>
      <family val="3"/>
      <charset val="136"/>
    </font>
    <font>
      <sz val="28"/>
      <color theme="8"/>
      <name val="Noto Serif TC Bold"/>
      <family val="2"/>
      <charset val="136"/>
    </font>
    <font>
      <sz val="28"/>
      <color theme="8"/>
      <name val="Microsoft JhengHei"/>
      <family val="2"/>
      <charset val="136"/>
    </font>
    <font>
      <sz val="28"/>
      <color theme="8"/>
      <name val="Calibri"/>
      <family val="2"/>
    </font>
    <font>
      <sz val="18"/>
      <color rgb="FF000000"/>
      <name val="SimSun"/>
      <charset val="134"/>
    </font>
    <font>
      <sz val="18"/>
      <color rgb="FF000000"/>
      <name val="BopomofoRuby1909-v1"/>
      <family val="3"/>
      <charset val="136"/>
    </font>
    <font>
      <b/>
      <sz val="18"/>
      <color rgb="FFFF0000"/>
      <name val="Microsoft JhengHei"/>
      <family val="2"/>
      <charset val="136"/>
    </font>
    <font>
      <sz val="18"/>
      <color rgb="FF444444"/>
      <name val="Arial"/>
      <family val="2"/>
    </font>
    <font>
      <sz val="18"/>
      <color rgb="FF000000"/>
      <name val="Microsoft JhengHei"/>
      <family val="2"/>
      <charset val="136"/>
    </font>
    <font>
      <sz val="18"/>
      <color rgb="FF000000"/>
      <name val="PMingLiU"/>
      <family val="1"/>
      <charset val="136"/>
    </font>
    <font>
      <sz val="18"/>
      <color theme="0"/>
      <name val="Arial"/>
      <family val="2"/>
    </font>
    <font>
      <sz val="16"/>
      <color rgb="FFFF0000"/>
      <name val="新細明體"/>
      <family val="1"/>
      <charset val="136"/>
      <scheme val="minor"/>
    </font>
    <font>
      <sz val="18"/>
      <name val="Times New Roman"/>
      <family val="1"/>
    </font>
    <font>
      <b/>
      <sz val="18"/>
      <color theme="5" tint="-0.249977111117893"/>
      <name val="Noto Serif TC Medium"/>
      <family val="1"/>
      <charset val="136"/>
    </font>
    <font>
      <b/>
      <sz val="24"/>
      <color theme="5" tint="-0.249977111117893"/>
      <name val="Iansui 094"/>
      <family val="3"/>
      <charset val="136"/>
    </font>
    <font>
      <b/>
      <sz val="18"/>
      <color theme="5" tint="-0.249977111117893"/>
      <name val="Times New Roman"/>
      <family val="1"/>
    </font>
    <font>
      <sz val="18"/>
      <color theme="7" tint="-0.499984740745262"/>
      <name val="Noto Serif TC Medium"/>
      <family val="1"/>
      <charset val="136"/>
    </font>
    <font>
      <sz val="24"/>
      <color theme="7" tint="-0.499984740745262"/>
      <name val="Iansui 094"/>
      <family val="3"/>
      <charset val="136"/>
    </font>
    <font>
      <sz val="18"/>
      <color theme="7" tint="-0.499984740745262"/>
      <name val="Times New Roman"/>
      <family val="1"/>
    </font>
    <font>
      <sz val="18"/>
      <color rgb="FFFF0000"/>
      <name val="Times New Roman"/>
      <family val="1"/>
    </font>
    <font>
      <sz val="18"/>
      <name val="細明體"/>
      <family val="3"/>
      <charset val="136"/>
    </font>
    <font>
      <b/>
      <sz val="24"/>
      <color rgb="FFC00000"/>
      <name val="Iansui 094"/>
      <family val="3"/>
      <charset val="136"/>
    </font>
    <font>
      <b/>
      <sz val="18"/>
      <color rgb="FFC00000"/>
      <name val="Times New Roman"/>
      <family val="1"/>
    </font>
    <font>
      <sz val="16"/>
      <color rgb="FF000000"/>
      <name val="芫荽 0.94"/>
      <family val="3"/>
      <charset val="136"/>
    </font>
    <font>
      <sz val="24"/>
      <color theme="1"/>
      <name val="Iansui 094"/>
      <family val="3"/>
      <charset val="136"/>
    </font>
    <font>
      <sz val="20"/>
      <color rgb="FF000000"/>
      <name val="Times New Roman"/>
      <family val="1"/>
    </font>
    <font>
      <sz val="20"/>
      <color rgb="FF000000"/>
      <name val="新細明體"/>
      <family val="1"/>
      <charset val="136"/>
    </font>
    <font>
      <b/>
      <sz val="20"/>
      <color theme="8"/>
      <name val="Times New Roman"/>
      <family val="1"/>
    </font>
    <font>
      <b/>
      <sz val="20"/>
      <color theme="8"/>
      <name val="芫荽 0.94"/>
      <family val="3"/>
      <charset val="136"/>
    </font>
    <font>
      <b/>
      <sz val="20"/>
      <color theme="8"/>
      <name val="芫荽 0.94"/>
      <family val="1"/>
      <charset val="136"/>
    </font>
    <font>
      <sz val="20"/>
      <color rgb="FF000000"/>
      <name val="Noto Sans"/>
      <family val="2"/>
    </font>
    <font>
      <sz val="20"/>
      <color rgb="FF000000"/>
      <name val="Noto Sans"/>
      <family val="1"/>
      <charset val="136"/>
    </font>
    <font>
      <sz val="20"/>
      <color rgb="FF000000"/>
      <name val="Noto Sans"/>
      <family val="2"/>
      <charset val="136"/>
    </font>
    <font>
      <sz val="16"/>
      <color rgb="FFFF0000"/>
      <name val="芫荽 0.94"/>
      <family val="3"/>
      <charset val="136"/>
    </font>
    <font>
      <sz val="24"/>
      <name val="Iansui 094"/>
      <family val="3"/>
      <charset val="136"/>
    </font>
    <font>
      <sz val="24"/>
      <color theme="8"/>
      <name val="Iansui 094"/>
      <family val="3"/>
      <charset val="136"/>
    </font>
    <font>
      <b/>
      <sz val="20"/>
      <color theme="8"/>
      <name val="Times New Roman"/>
      <family val="3"/>
      <charset val="136"/>
    </font>
    <font>
      <b/>
      <sz val="20"/>
      <color theme="8"/>
      <name val="細明體"/>
      <family val="3"/>
      <charset val="136"/>
    </font>
    <font>
      <b/>
      <sz val="12"/>
      <name val="Noto Sans TC"/>
      <family val="2"/>
    </font>
    <font>
      <sz val="16"/>
      <color rgb="FF000000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sz val="22"/>
      <color theme="1"/>
      <name val="新細明體"/>
      <family val="1"/>
      <scheme val="minor"/>
    </font>
    <font>
      <b/>
      <sz val="22"/>
      <name val="新細明體"/>
      <family val="1"/>
      <charset val="136"/>
    </font>
    <font>
      <sz val="22"/>
      <color theme="1"/>
      <name val="Noto Sans TC"/>
      <family val="2"/>
      <charset val="136"/>
    </font>
    <font>
      <sz val="22"/>
      <color rgb="FFFF0000"/>
      <name val="新細明體"/>
      <family val="1"/>
      <scheme val="minor"/>
    </font>
    <font>
      <sz val="22"/>
      <color rgb="FFFF0000"/>
      <name val="Noto Sans TC"/>
      <family val="2"/>
      <charset val="136"/>
    </font>
    <font>
      <sz val="22"/>
      <color rgb="FFFF0000"/>
      <name val="Noto Sans TC"/>
      <family val="1"/>
      <charset val="134"/>
    </font>
    <font>
      <b/>
      <sz val="22"/>
      <color rgb="FFFF0000"/>
      <name val="新細明體"/>
      <family val="1"/>
      <charset val="136"/>
      <scheme val="minor"/>
    </font>
    <font>
      <sz val="22"/>
      <color theme="1"/>
      <name val="新細明體"/>
      <family val="1"/>
      <charset val="136"/>
      <scheme val="minor"/>
    </font>
    <font>
      <sz val="22"/>
      <color theme="1"/>
      <name val="新細明體"/>
      <family val="2"/>
      <charset val="136"/>
      <scheme val="minor"/>
    </font>
    <font>
      <b/>
      <sz val="12"/>
      <color theme="0"/>
      <name val="Noto Sans TC"/>
      <family val="2"/>
    </font>
    <font>
      <b/>
      <sz val="16"/>
      <color theme="0"/>
      <name val="Noto Sans TC"/>
      <family val="2"/>
    </font>
    <font>
      <sz val="16"/>
      <color theme="1"/>
      <name val="Iansui 094"/>
      <family val="3"/>
      <charset val="136"/>
    </font>
    <font>
      <sz val="28"/>
      <name val="Noto Serif TC Medium"/>
      <family val="1"/>
      <charset val="136"/>
    </font>
    <font>
      <sz val="22"/>
      <color rgb="FF000000"/>
      <name val="Noto Sans TC Light"/>
      <family val="2"/>
      <charset val="136"/>
    </font>
    <font>
      <b/>
      <sz val="18"/>
      <color rgb="FF000000"/>
      <name val="Arial"/>
      <family val="2"/>
    </font>
    <font>
      <sz val="16"/>
      <color rgb="FFFF0000"/>
      <name val="Iansui 094"/>
      <family val="3"/>
      <charset val="136"/>
    </font>
    <font>
      <sz val="22"/>
      <name val="宋体"/>
      <family val="3"/>
      <charset val="136"/>
    </font>
    <font>
      <sz val="22"/>
      <color rgb="FFFF0000"/>
      <name val="Arial"/>
      <family val="2"/>
    </font>
    <font>
      <sz val="22"/>
      <color rgb="FF000000"/>
      <name val="Arial"/>
      <family val="2"/>
    </font>
    <font>
      <sz val="22"/>
      <color rgb="FFFF0000"/>
      <name val="Iansui 094"/>
      <family val="3"/>
      <charset val="136"/>
    </font>
    <font>
      <sz val="16"/>
      <name val="新細明體"/>
      <family val="1"/>
      <charset val="136"/>
      <scheme val="minor"/>
    </font>
    <font>
      <sz val="18"/>
      <color rgb="FF000000"/>
      <name val="Noto Sans TC"/>
      <family val="2"/>
      <charset val="136"/>
    </font>
    <font>
      <sz val="18"/>
      <color theme="0"/>
      <name val="Noto Sans TC"/>
      <family val="2"/>
      <charset val="136"/>
    </font>
    <font>
      <b/>
      <sz val="16"/>
      <name val="Noto Sans TC"/>
      <family val="2"/>
    </font>
    <font>
      <sz val="20"/>
      <color theme="0"/>
      <name val="Iansui 094"/>
      <family val="3"/>
      <charset val="136"/>
    </font>
    <font>
      <sz val="26"/>
      <color rgb="FFFF0000"/>
      <name val="Noto Sans TC"/>
      <family val="2"/>
      <charset val="136"/>
    </font>
    <font>
      <b/>
      <sz val="24"/>
      <color theme="8"/>
      <name val="Microsoft JhengHei"/>
      <family val="2"/>
    </font>
    <font>
      <sz val="24"/>
      <name val="Noto Serif TC Medium"/>
      <family val="1"/>
      <charset val="136"/>
    </font>
    <font>
      <sz val="24"/>
      <name val="Noto Serif TC Medium"/>
      <family val="1"/>
    </font>
    <font>
      <sz val="24"/>
      <color rgb="FFFF0000"/>
      <name val="Noto Serif TC Medium"/>
      <family val="1"/>
    </font>
    <font>
      <b/>
      <sz val="24"/>
      <color rgb="FFFF0000"/>
      <name val="Noto Serif TC Medium"/>
      <family val="1"/>
    </font>
    <font>
      <sz val="24"/>
      <color theme="8"/>
      <name val="Noto Serif TC Medium"/>
      <family val="1"/>
    </font>
    <font>
      <sz val="18"/>
      <color rgb="FF444444"/>
      <name val="霞鶩文楷等寬 TC"/>
      <family val="3"/>
      <charset val="136"/>
    </font>
    <font>
      <sz val="18"/>
      <color rgb="FF000000"/>
      <name val="霞鶩文楷等寬 TC"/>
      <family val="3"/>
      <charset val="136"/>
    </font>
    <font>
      <sz val="24"/>
      <color rgb="FF000000"/>
      <name val="霞鶩文楷等寬 TC"/>
      <family val="3"/>
      <charset val="136"/>
    </font>
    <font>
      <b/>
      <sz val="24"/>
      <color rgb="FFFF0000"/>
      <name val="霞鶩文楷等寬 TC"/>
      <family val="3"/>
      <charset val="136"/>
    </font>
    <font>
      <sz val="24"/>
      <color theme="0"/>
      <name val="霞鶩文楷等寬 TC"/>
      <family val="3"/>
      <charset val="136"/>
    </font>
    <font>
      <sz val="16"/>
      <color rgb="FF000000"/>
      <name val="Noto Sans TC SemiBold"/>
      <family val="2"/>
      <charset val="136"/>
    </font>
    <font>
      <b/>
      <sz val="20"/>
      <color theme="0"/>
      <name val="Iansui 094"/>
      <family val="3"/>
      <charset val="136"/>
    </font>
    <font>
      <b/>
      <sz val="18"/>
      <name val="Microsoft JhengHei"/>
      <family val="2"/>
      <charset val="136"/>
    </font>
    <font>
      <b/>
      <sz val="18"/>
      <name val="Noto Serif TC Medium"/>
      <family val="1"/>
      <charset val="136"/>
    </font>
    <font>
      <vertAlign val="subscript"/>
      <sz val="26"/>
      <color rgb="FFFF0000"/>
      <name val="Noto Sans TC"/>
      <family val="2"/>
    </font>
    <font>
      <sz val="26"/>
      <color rgb="FFFF0000"/>
      <name val="Noto Sans TC"/>
      <family val="2"/>
    </font>
    <font>
      <vertAlign val="superscript"/>
      <sz val="20"/>
      <color theme="4"/>
      <name val="Arial"/>
      <family val="2"/>
    </font>
    <font>
      <sz val="28"/>
      <name val="Noto Sans TC SemiBold"/>
      <family val="2"/>
      <charset val="136"/>
    </font>
    <font>
      <sz val="28"/>
      <color rgb="FFFF0000"/>
      <name val="Noto Sans TC SemiBold"/>
      <family val="2"/>
      <charset val="136"/>
    </font>
    <font>
      <sz val="22"/>
      <color rgb="FFFF0000"/>
      <name val="宋体"/>
      <family val="3"/>
      <charset val="136"/>
    </font>
    <font>
      <sz val="22"/>
      <color rgb="FFFF0000"/>
      <name val="宋体"/>
      <charset val="136"/>
    </font>
    <font>
      <sz val="22"/>
      <color rgb="FFFF0000"/>
      <name val="新細明體"/>
      <family val="1"/>
      <charset val="136"/>
      <scheme val="minor"/>
    </font>
    <font>
      <b/>
      <sz val="36"/>
      <color rgb="FFFF0000"/>
      <name val="Segoe UI"/>
      <family val="2"/>
    </font>
    <font>
      <b/>
      <sz val="20"/>
      <color rgb="FFFF0000"/>
      <name val="Noto Sans TC SemiBold"/>
      <family val="2"/>
      <charset val="136"/>
    </font>
    <font>
      <b/>
      <sz val="20"/>
      <color rgb="FF000000"/>
      <name val="Noto Sans TC SemiBold"/>
      <family val="2"/>
      <charset val="136"/>
    </font>
    <font>
      <sz val="26"/>
      <color rgb="FFFF0000"/>
      <name val="Noto Sans TC SemiBold"/>
      <family val="2"/>
      <charset val="136"/>
    </font>
    <font>
      <vertAlign val="superscript"/>
      <sz val="16"/>
      <color rgb="FF000000"/>
      <name val="新細明體"/>
      <family val="1"/>
      <charset val="136"/>
      <scheme val="minor"/>
    </font>
    <font>
      <b/>
      <sz val="24"/>
      <color rgb="FFFFC000"/>
      <name val="Iansui 094"/>
      <family val="3"/>
      <charset val="136"/>
    </font>
    <font>
      <sz val="18"/>
      <name val="Segoe UI"/>
      <family val="1"/>
      <charset val="1"/>
    </font>
    <font>
      <sz val="18"/>
      <name val="Segoe UI"/>
      <family val="1"/>
      <charset val="238"/>
    </font>
    <font>
      <sz val="18"/>
      <name val="Segoe UI"/>
      <family val="1"/>
    </font>
    <font>
      <sz val="18"/>
      <color rgb="FFFF0000"/>
      <name val="Segoe UI"/>
      <family val="1"/>
      <charset val="1"/>
    </font>
    <font>
      <sz val="18"/>
      <name val="Noto Serif TC Medium"/>
      <family val="1"/>
      <charset val="1"/>
    </font>
    <font>
      <sz val="16"/>
      <color theme="1"/>
      <name val="Iansui 094"/>
      <family val="1"/>
      <charset val="136"/>
    </font>
    <font>
      <sz val="9"/>
      <name val="新細明體"/>
      <family val="2"/>
      <charset val="136"/>
      <scheme val="minor"/>
    </font>
    <font>
      <sz val="36"/>
      <color rgb="FF000000"/>
      <name val="吳守禮細明台語注音"/>
      <family val="1"/>
      <charset val="136"/>
    </font>
    <font>
      <sz val="36"/>
      <color rgb="FF000000"/>
      <name val="吳守禮細明台語破音02"/>
      <family val="1"/>
      <charset val="136"/>
    </font>
    <font>
      <sz val="36"/>
      <color rgb="FF000000"/>
      <name val="吳守禮細明台語破音01"/>
      <family val="1"/>
      <charset val="136"/>
    </font>
    <font>
      <sz val="36"/>
      <color rgb="FFFF0000"/>
      <name val="吳守禮細明台語注音"/>
      <family val="1"/>
      <charset val="136"/>
    </font>
    <font>
      <sz val="36"/>
      <color rgb="FFFF0000"/>
      <name val="吳守禮細明台語破音03"/>
      <family val="1"/>
      <charset val="136"/>
    </font>
    <font>
      <sz val="36"/>
      <color theme="1"/>
      <name val="吳守禮細明台語注音"/>
      <family val="1"/>
      <charset val="136"/>
    </font>
    <font>
      <sz val="36"/>
      <color theme="1"/>
      <name val="吳守禮細明台語破音02"/>
      <family val="1"/>
      <charset val="136"/>
    </font>
    <font>
      <sz val="24"/>
      <color theme="1"/>
      <name val="Microsoft YaHei"/>
      <family val="3"/>
      <charset val="134"/>
    </font>
    <font>
      <sz val="36"/>
      <color theme="1"/>
      <name val="吳守禮細明台語破音04"/>
      <family val="1"/>
      <charset val="136"/>
    </font>
    <font>
      <sz val="36"/>
      <name val="吳守禮細明台語注音"/>
      <family val="1"/>
      <charset val="136"/>
    </font>
    <font>
      <sz val="20"/>
      <color theme="2" tint="-9.9978637043366805E-2"/>
      <name val="新細明體"/>
      <family val="1"/>
      <charset val="136"/>
      <scheme val="minor"/>
    </font>
    <font>
      <b/>
      <sz val="18"/>
      <color rgb="FFFF0000"/>
      <name val="Noto Serif TC Medium"/>
      <family val="1"/>
      <charset val="136"/>
    </font>
    <font>
      <b/>
      <sz val="20"/>
      <color rgb="FFFF0000"/>
      <name val="Arial"/>
      <family val="2"/>
    </font>
    <font>
      <b/>
      <sz val="22"/>
      <color theme="3" tint="0.249977111117893"/>
      <name val="Noto Sans TC Light"/>
      <family val="2"/>
      <charset val="136"/>
    </font>
    <font>
      <sz val="24"/>
      <color theme="1"/>
      <name val="吳守禮細明台語注音"/>
      <family val="1"/>
      <charset val="136"/>
    </font>
    <font>
      <sz val="20"/>
      <color theme="1"/>
      <name val="吳守禮細明台語注音"/>
      <family val="1"/>
      <charset val="136"/>
    </font>
    <font>
      <sz val="22"/>
      <color rgb="FF000000"/>
      <name val="Noto Sans TC Medium"/>
      <family val="2"/>
      <charset val="136"/>
    </font>
    <font>
      <sz val="20"/>
      <color rgb="FFFF0000"/>
      <name val="Noto Sans TC Black"/>
      <family val="2"/>
      <charset val="136"/>
    </font>
    <font>
      <b/>
      <sz val="20"/>
      <color rgb="FFFF0000"/>
      <name val="Noto Sans TC Black"/>
      <family val="2"/>
      <charset val="136"/>
    </font>
    <font>
      <sz val="20"/>
      <color rgb="FFFF0000"/>
      <name val="Noto Sans TC Medium"/>
      <family val="2"/>
      <charset val="136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CE6F1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8E4BC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</fills>
  <borders count="3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medium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4" tint="0.39997558519241921"/>
      </bottom>
      <diagonal/>
    </border>
  </borders>
  <cellStyleXfs count="6">
    <xf numFmtId="0" fontId="0" fillId="0" borderId="0"/>
    <xf numFmtId="0" fontId="1" fillId="0" borderId="0"/>
    <xf numFmtId="0" fontId="20" fillId="0" borderId="0"/>
    <xf numFmtId="0" fontId="90" fillId="0" borderId="0"/>
    <xf numFmtId="0" fontId="91" fillId="0" borderId="0"/>
    <xf numFmtId="0" fontId="90" fillId="0" borderId="0"/>
  </cellStyleXfs>
  <cellXfs count="503">
    <xf numFmtId="0" fontId="0" fillId="0" borderId="0" xfId="0"/>
    <xf numFmtId="0" fontId="2" fillId="0" borderId="0" xfId="1" applyFont="1"/>
    <xf numFmtId="0" fontId="4" fillId="0" borderId="0" xfId="1" applyFont="1"/>
    <xf numFmtId="0" fontId="5" fillId="0" borderId="0" xfId="1" applyFont="1"/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left" vertical="center" indent="3"/>
    </xf>
    <xf numFmtId="0" fontId="10" fillId="7" borderId="10" xfId="0" applyFont="1" applyFill="1" applyBorder="1" applyAlignment="1">
      <alignment horizontal="center" vertical="center"/>
    </xf>
    <xf numFmtId="0" fontId="13" fillId="9" borderId="12" xfId="0" applyFont="1" applyFill="1" applyBorder="1" applyAlignment="1">
      <alignment horizontal="left" vertical="center" indent="1"/>
    </xf>
    <xf numFmtId="0" fontId="13" fillId="2" borderId="12" xfId="0" applyFont="1" applyFill="1" applyBorder="1" applyAlignment="1">
      <alignment horizontal="left" vertical="center" indent="1"/>
    </xf>
    <xf numFmtId="0" fontId="19" fillId="0" borderId="0" xfId="0" applyFont="1" applyAlignment="1">
      <alignment horizontal="center" vertical="center"/>
    </xf>
    <xf numFmtId="0" fontId="20" fillId="0" borderId="0" xfId="2"/>
    <xf numFmtId="0" fontId="21" fillId="0" borderId="0" xfId="2" applyFont="1"/>
    <xf numFmtId="0" fontId="22" fillId="0" borderId="0" xfId="2" applyFont="1"/>
    <xf numFmtId="0" fontId="23" fillId="0" borderId="0" xfId="2" applyFont="1"/>
    <xf numFmtId="0" fontId="24" fillId="0" borderId="0" xfId="2" applyFont="1"/>
    <xf numFmtId="0" fontId="1" fillId="0" borderId="0" xfId="2" applyFont="1" applyAlignment="1">
      <alignment horizontal="center"/>
    </xf>
    <xf numFmtId="0" fontId="25" fillId="0" borderId="0" xfId="2" applyFont="1"/>
    <xf numFmtId="0" fontId="20" fillId="0" borderId="0" xfId="2" applyAlignment="1">
      <alignment horizontal="left" vertical="center"/>
    </xf>
    <xf numFmtId="0" fontId="27" fillId="0" borderId="0" xfId="0" applyFont="1"/>
    <xf numFmtId="0" fontId="28" fillId="0" borderId="0" xfId="2" applyFont="1" applyAlignment="1">
      <alignment horizontal="center"/>
    </xf>
    <xf numFmtId="0" fontId="31" fillId="0" borderId="0" xfId="2" applyFont="1"/>
    <xf numFmtId="0" fontId="4" fillId="0" borderId="0" xfId="1" applyFont="1" applyAlignment="1">
      <alignment horizontal="left" vertical="center"/>
    </xf>
    <xf numFmtId="0" fontId="27" fillId="0" borderId="0" xfId="2" applyFont="1"/>
    <xf numFmtId="177" fontId="32" fillId="6" borderId="16" xfId="2" applyNumberFormat="1" applyFont="1" applyFill="1" applyBorder="1" applyAlignment="1">
      <alignment horizontal="center" vertical="center"/>
    </xf>
    <xf numFmtId="177" fontId="32" fillId="7" borderId="16" xfId="2" applyNumberFormat="1" applyFont="1" applyFill="1" applyBorder="1" applyAlignment="1">
      <alignment horizontal="center" vertical="center"/>
    </xf>
    <xf numFmtId="0" fontId="1" fillId="0" borderId="0" xfId="2" applyFont="1" applyAlignment="1">
      <alignment horizontal="center" vertical="center"/>
    </xf>
    <xf numFmtId="177" fontId="34" fillId="6" borderId="18" xfId="2" applyNumberFormat="1" applyFont="1" applyFill="1" applyBorder="1" applyAlignment="1">
      <alignment horizontal="center" vertical="center"/>
    </xf>
    <xf numFmtId="177" fontId="35" fillId="6" borderId="19" xfId="2" applyNumberFormat="1" applyFont="1" applyFill="1" applyBorder="1" applyAlignment="1">
      <alignment vertical="center"/>
    </xf>
    <xf numFmtId="0" fontId="36" fillId="6" borderId="20" xfId="2" applyFont="1" applyFill="1" applyBorder="1" applyAlignment="1">
      <alignment horizontal="center" vertical="center" wrapText="1"/>
    </xf>
    <xf numFmtId="0" fontId="36" fillId="6" borderId="20" xfId="2" applyFont="1" applyFill="1" applyBorder="1" applyAlignment="1">
      <alignment horizontal="center" vertical="center"/>
    </xf>
    <xf numFmtId="0" fontId="38" fillId="10" borderId="20" xfId="2" applyFont="1" applyFill="1" applyBorder="1" applyAlignment="1">
      <alignment vertical="center"/>
    </xf>
    <xf numFmtId="177" fontId="34" fillId="7" borderId="18" xfId="2" applyNumberFormat="1" applyFont="1" applyFill="1" applyBorder="1" applyAlignment="1">
      <alignment horizontal="center" vertical="center"/>
    </xf>
    <xf numFmtId="177" fontId="35" fillId="7" borderId="19" xfId="2" applyNumberFormat="1" applyFont="1" applyFill="1" applyBorder="1" applyAlignment="1">
      <alignment vertical="center"/>
    </xf>
    <xf numFmtId="177" fontId="36" fillId="7" borderId="20" xfId="2" applyNumberFormat="1" applyFont="1" applyFill="1" applyBorder="1" applyAlignment="1">
      <alignment horizontal="center" vertical="center" wrapText="1"/>
    </xf>
    <xf numFmtId="0" fontId="34" fillId="7" borderId="19" xfId="2" applyFont="1" applyFill="1" applyBorder="1" applyAlignment="1">
      <alignment vertical="center"/>
    </xf>
    <xf numFmtId="177" fontId="36" fillId="7" borderId="20" xfId="2" applyNumberFormat="1" applyFont="1" applyFill="1" applyBorder="1" applyAlignment="1">
      <alignment horizontal="center" vertical="center"/>
    </xf>
    <xf numFmtId="0" fontId="39" fillId="0" borderId="0" xfId="1" applyFont="1"/>
    <xf numFmtId="0" fontId="40" fillId="0" borderId="0" xfId="0" applyFont="1"/>
    <xf numFmtId="177" fontId="34" fillId="6" borderId="18" xfId="2" applyNumberFormat="1" applyFont="1" applyFill="1" applyBorder="1" applyAlignment="1">
      <alignment vertical="center"/>
    </xf>
    <xf numFmtId="177" fontId="36" fillId="6" borderId="20" xfId="2" applyNumberFormat="1" applyFont="1" applyFill="1" applyBorder="1" applyAlignment="1">
      <alignment horizontal="center" vertical="center"/>
    </xf>
    <xf numFmtId="0" fontId="29" fillId="0" borderId="0" xfId="2" applyFont="1" applyAlignment="1">
      <alignment horizontal="center"/>
    </xf>
    <xf numFmtId="177" fontId="42" fillId="7" borderId="16" xfId="2" applyNumberFormat="1" applyFont="1" applyFill="1" applyBorder="1" applyAlignment="1">
      <alignment horizontal="center" vertical="center"/>
    </xf>
    <xf numFmtId="0" fontId="43" fillId="0" borderId="0" xfId="2" applyFont="1" applyAlignment="1">
      <alignment horizontal="center" vertical="center"/>
    </xf>
    <xf numFmtId="0" fontId="44" fillId="3" borderId="9" xfId="2" applyFont="1" applyFill="1" applyBorder="1" applyAlignment="1">
      <alignment vertical="center"/>
    </xf>
    <xf numFmtId="0" fontId="44" fillId="3" borderId="11" xfId="2" applyFont="1" applyFill="1" applyBorder="1" applyAlignment="1">
      <alignment vertical="center"/>
    </xf>
    <xf numFmtId="0" fontId="45" fillId="9" borderId="12" xfId="2" applyFont="1" applyFill="1" applyBorder="1" applyAlignment="1">
      <alignment horizontal="center" vertical="center"/>
    </xf>
    <xf numFmtId="0" fontId="2" fillId="9" borderId="12" xfId="2" applyFont="1" applyFill="1" applyBorder="1" applyAlignment="1">
      <alignment horizontal="center" vertical="center"/>
    </xf>
    <xf numFmtId="0" fontId="46" fillId="9" borderId="12" xfId="2" applyFont="1" applyFill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47" fillId="7" borderId="9" xfId="2" applyFont="1" applyFill="1" applyBorder="1" applyAlignment="1">
      <alignment vertical="center"/>
    </xf>
    <xf numFmtId="0" fontId="47" fillId="7" borderId="11" xfId="2" applyFont="1" applyFill="1" applyBorder="1" applyAlignment="1">
      <alignment vertical="center"/>
    </xf>
    <xf numFmtId="0" fontId="48" fillId="7" borderId="12" xfId="2" applyFont="1" applyFill="1" applyBorder="1" applyAlignment="1">
      <alignment horizontal="center" vertical="center"/>
    </xf>
    <xf numFmtId="0" fontId="47" fillId="12" borderId="11" xfId="2" applyFont="1" applyFill="1" applyBorder="1" applyAlignment="1">
      <alignment vertical="center"/>
    </xf>
    <xf numFmtId="0" fontId="48" fillId="12" borderId="12" xfId="2" applyFont="1" applyFill="1" applyBorder="1" applyAlignment="1">
      <alignment horizontal="center" vertical="center"/>
    </xf>
    <xf numFmtId="0" fontId="47" fillId="5" borderId="9" xfId="2" applyFont="1" applyFill="1" applyBorder="1" applyAlignment="1">
      <alignment vertical="center"/>
    </xf>
    <xf numFmtId="0" fontId="47" fillId="5" borderId="11" xfId="2" applyFont="1" applyFill="1" applyBorder="1" applyAlignment="1">
      <alignment vertical="center"/>
    </xf>
    <xf numFmtId="0" fontId="48" fillId="5" borderId="12" xfId="2" applyFont="1" applyFill="1" applyBorder="1" applyAlignment="1">
      <alignment horizontal="center" vertical="center"/>
    </xf>
    <xf numFmtId="0" fontId="24" fillId="0" borderId="0" xfId="2" applyFont="1" applyAlignment="1">
      <alignment vertical="center"/>
    </xf>
    <xf numFmtId="0" fontId="52" fillId="0" borderId="0" xfId="1" applyFont="1"/>
    <xf numFmtId="0" fontId="24" fillId="0" borderId="0" xfId="1" applyFont="1"/>
    <xf numFmtId="0" fontId="24" fillId="0" borderId="0" xfId="1" applyFont="1" applyAlignment="1">
      <alignment vertical="center"/>
    </xf>
    <xf numFmtId="0" fontId="57" fillId="0" borderId="0" xfId="1" applyFont="1" applyAlignment="1">
      <alignment vertical="center"/>
    </xf>
    <xf numFmtId="0" fontId="55" fillId="13" borderId="0" xfId="2" applyFont="1" applyFill="1" applyAlignment="1">
      <alignment vertical="center"/>
    </xf>
    <xf numFmtId="0" fontId="24" fillId="13" borderId="0" xfId="2" applyFont="1" applyFill="1" applyAlignment="1">
      <alignment vertical="center"/>
    </xf>
    <xf numFmtId="0" fontId="58" fillId="13" borderId="0" xfId="2" applyFont="1" applyFill="1" applyAlignment="1">
      <alignment vertical="center"/>
    </xf>
    <xf numFmtId="0" fontId="24" fillId="14" borderId="0" xfId="2" applyFont="1" applyFill="1" applyAlignment="1">
      <alignment vertical="center"/>
    </xf>
    <xf numFmtId="0" fontId="58" fillId="14" borderId="0" xfId="2" applyFont="1" applyFill="1" applyAlignment="1">
      <alignment vertical="center"/>
    </xf>
    <xf numFmtId="0" fontId="24" fillId="15" borderId="0" xfId="2" applyFont="1" applyFill="1" applyAlignment="1">
      <alignment vertical="center"/>
    </xf>
    <xf numFmtId="0" fontId="24" fillId="15" borderId="0" xfId="2" applyFont="1" applyFill="1"/>
    <xf numFmtId="0" fontId="11" fillId="2" borderId="0" xfId="1" applyFont="1" applyFill="1" applyAlignment="1">
      <alignment vertical="center"/>
    </xf>
    <xf numFmtId="0" fontId="24" fillId="2" borderId="0" xfId="1" applyFont="1" applyFill="1" applyAlignment="1">
      <alignment vertical="center"/>
    </xf>
    <xf numFmtId="0" fontId="11" fillId="15" borderId="0" xfId="1" applyFont="1" applyFill="1" applyAlignment="1">
      <alignment vertical="center"/>
    </xf>
    <xf numFmtId="0" fontId="24" fillId="15" borderId="0" xfId="1" applyFont="1" applyFill="1" applyAlignment="1">
      <alignment vertical="center"/>
    </xf>
    <xf numFmtId="0" fontId="52" fillId="0" borderId="0" xfId="1" applyFont="1" applyAlignment="1">
      <alignment vertical="center"/>
    </xf>
    <xf numFmtId="0" fontId="60" fillId="14" borderId="0" xfId="1" applyFont="1" applyFill="1" applyAlignment="1">
      <alignment vertical="center"/>
    </xf>
    <xf numFmtId="0" fontId="24" fillId="14" borderId="0" xfId="1" applyFont="1" applyFill="1" applyAlignment="1">
      <alignment horizontal="center" vertical="center"/>
    </xf>
    <xf numFmtId="0" fontId="24" fillId="14" borderId="0" xfId="1" applyFont="1" applyFill="1" applyAlignment="1">
      <alignment vertical="center"/>
    </xf>
    <xf numFmtId="0" fontId="61" fillId="11" borderId="0" xfId="1" applyFont="1" applyFill="1" applyAlignment="1">
      <alignment vertical="center"/>
    </xf>
    <xf numFmtId="0" fontId="61" fillId="11" borderId="0" xfId="1" applyFont="1" applyFill="1" applyAlignment="1">
      <alignment horizontal="center" vertical="center"/>
    </xf>
    <xf numFmtId="0" fontId="2" fillId="2" borderId="0" xfId="1" applyFont="1" applyFill="1" applyAlignment="1">
      <alignment vertical="center"/>
    </xf>
    <xf numFmtId="0" fontId="20" fillId="0" borderId="0" xfId="2" applyAlignment="1">
      <alignment vertical="center"/>
    </xf>
    <xf numFmtId="0" fontId="50" fillId="16" borderId="9" xfId="2" applyFont="1" applyFill="1" applyBorder="1" applyAlignment="1">
      <alignment vertical="center"/>
    </xf>
    <xf numFmtId="0" fontId="49" fillId="16" borderId="11" xfId="2" applyFont="1" applyFill="1" applyBorder="1" applyAlignment="1">
      <alignment vertical="center"/>
    </xf>
    <xf numFmtId="0" fontId="51" fillId="16" borderId="12" xfId="2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6" fillId="17" borderId="0" xfId="0" applyFont="1" applyFill="1"/>
    <xf numFmtId="0" fontId="4" fillId="0" borderId="0" xfId="1" applyFont="1" applyAlignment="1">
      <alignment horizontal="left" vertical="center" indent="1"/>
    </xf>
    <xf numFmtId="0" fontId="4" fillId="0" borderId="0" xfId="1" applyFont="1" applyAlignment="1">
      <alignment vertical="center"/>
    </xf>
    <xf numFmtId="0" fontId="21" fillId="0" borderId="0" xfId="0" applyFont="1"/>
    <xf numFmtId="0" fontId="21" fillId="0" borderId="11" xfId="0" applyFont="1" applyBorder="1"/>
    <xf numFmtId="0" fontId="21" fillId="0" borderId="6" xfId="0" applyFont="1" applyBorder="1"/>
    <xf numFmtId="0" fontId="21" fillId="0" borderId="2" xfId="0" applyFont="1" applyBorder="1"/>
    <xf numFmtId="0" fontId="21" fillId="0" borderId="6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12" xfId="0" applyFont="1" applyBorder="1" applyAlignment="1">
      <alignment horizontal="left" indent="1"/>
    </xf>
    <xf numFmtId="0" fontId="21" fillId="0" borderId="9" xfId="0" applyFont="1" applyBorder="1" applyAlignment="1">
      <alignment horizontal="left" indent="1"/>
    </xf>
    <xf numFmtId="0" fontId="21" fillId="0" borderId="22" xfId="0" applyFont="1" applyBorder="1" applyAlignment="1">
      <alignment horizontal="left" indent="1"/>
    </xf>
    <xf numFmtId="0" fontId="21" fillId="0" borderId="3" xfId="0" applyFont="1" applyBorder="1" applyAlignment="1">
      <alignment horizontal="left" indent="1"/>
    </xf>
    <xf numFmtId="0" fontId="21" fillId="0" borderId="12" xfId="0" applyFont="1" applyBorder="1" applyAlignment="1">
      <alignment horizontal="left" indent="3"/>
    </xf>
    <xf numFmtId="0" fontId="21" fillId="0" borderId="9" xfId="0" applyFont="1" applyBorder="1" applyAlignment="1">
      <alignment horizontal="left" indent="3"/>
    </xf>
    <xf numFmtId="0" fontId="21" fillId="0" borderId="22" xfId="0" applyFont="1" applyBorder="1" applyAlignment="1">
      <alignment horizontal="left" indent="3"/>
    </xf>
    <xf numFmtId="0" fontId="21" fillId="0" borderId="3" xfId="0" applyFont="1" applyBorder="1" applyAlignment="1">
      <alignment horizontal="left" indent="3"/>
    </xf>
    <xf numFmtId="0" fontId="21" fillId="0" borderId="11" xfId="0" quotePrefix="1" applyFont="1" applyBorder="1" applyAlignment="1">
      <alignment horizontal="right"/>
    </xf>
    <xf numFmtId="0" fontId="21" fillId="0" borderId="2" xfId="0" quotePrefix="1" applyFont="1" applyBorder="1" applyAlignment="1">
      <alignment horizontal="right"/>
    </xf>
    <xf numFmtId="0" fontId="74" fillId="0" borderId="0" xfId="0" applyFont="1" applyAlignment="1">
      <alignment horizontal="center" vertical="center"/>
    </xf>
    <xf numFmtId="0" fontId="81" fillId="0" borderId="21" xfId="0" applyFont="1" applyBorder="1" applyAlignment="1">
      <alignment horizontal="center" vertical="center"/>
    </xf>
    <xf numFmtId="0" fontId="82" fillId="0" borderId="21" xfId="0" applyFont="1" applyBorder="1" applyAlignment="1">
      <alignment horizontal="center" vertical="center"/>
    </xf>
    <xf numFmtId="0" fontId="75" fillId="4" borderId="4" xfId="0" applyFont="1" applyFill="1" applyBorder="1" applyAlignment="1">
      <alignment horizontal="center" vertical="center"/>
    </xf>
    <xf numFmtId="0" fontId="78" fillId="5" borderId="4" xfId="0" applyFont="1" applyFill="1" applyBorder="1" applyAlignment="1">
      <alignment horizontal="center" vertical="center"/>
    </xf>
    <xf numFmtId="0" fontId="74" fillId="0" borderId="12" xfId="0" applyFont="1" applyBorder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2" fillId="2" borderId="12" xfId="0" applyFont="1" applyFill="1" applyBorder="1" applyAlignment="1">
      <alignment horizontal="center" vertical="center"/>
    </xf>
    <xf numFmtId="0" fontId="84" fillId="2" borderId="12" xfId="0" applyFont="1" applyFill="1" applyBorder="1"/>
    <xf numFmtId="0" fontId="71" fillId="12" borderId="9" xfId="2" applyFont="1" applyFill="1" applyBorder="1" applyAlignment="1">
      <alignment vertical="center"/>
    </xf>
    <xf numFmtId="177" fontId="36" fillId="6" borderId="20" xfId="2" applyNumberFormat="1" applyFont="1" applyFill="1" applyBorder="1" applyAlignment="1">
      <alignment horizontal="center" vertical="center" wrapText="1"/>
    </xf>
    <xf numFmtId="0" fontId="29" fillId="6" borderId="17" xfId="2" applyFont="1" applyFill="1" applyBorder="1" applyAlignment="1">
      <alignment horizontal="center" vertical="center"/>
    </xf>
    <xf numFmtId="0" fontId="29" fillId="6" borderId="0" xfId="2" applyFont="1" applyFill="1" applyAlignment="1">
      <alignment horizontal="center" vertical="center"/>
    </xf>
    <xf numFmtId="0" fontId="33" fillId="6" borderId="17" xfId="2" applyFont="1" applyFill="1" applyBorder="1" applyAlignment="1">
      <alignment horizontal="center" vertical="center"/>
    </xf>
    <xf numFmtId="0" fontId="29" fillId="6" borderId="16" xfId="2" applyFont="1" applyFill="1" applyBorder="1" applyAlignment="1">
      <alignment horizontal="center" vertical="center"/>
    </xf>
    <xf numFmtId="0" fontId="29" fillId="10" borderId="16" xfId="2" applyFont="1" applyFill="1" applyBorder="1" applyAlignment="1">
      <alignment horizontal="center" vertical="center"/>
    </xf>
    <xf numFmtId="0" fontId="29" fillId="10" borderId="0" xfId="2" applyFont="1" applyFill="1" applyAlignment="1">
      <alignment horizontal="center" vertical="center"/>
    </xf>
    <xf numFmtId="0" fontId="29" fillId="10" borderId="17" xfId="2" applyFont="1" applyFill="1" applyBorder="1" applyAlignment="1">
      <alignment horizontal="center" vertical="center"/>
    </xf>
    <xf numFmtId="9" fontId="29" fillId="10" borderId="16" xfId="2" applyNumberFormat="1" applyFont="1" applyFill="1" applyBorder="1" applyAlignment="1">
      <alignment horizontal="center" vertical="center"/>
    </xf>
    <xf numFmtId="9" fontId="29" fillId="10" borderId="0" xfId="2" applyNumberFormat="1" applyFont="1" applyFill="1" applyAlignment="1">
      <alignment horizontal="center" vertical="center"/>
    </xf>
    <xf numFmtId="9" fontId="29" fillId="10" borderId="17" xfId="2" applyNumberFormat="1" applyFont="1" applyFill="1" applyBorder="1" applyAlignment="1">
      <alignment horizontal="center" vertical="center"/>
    </xf>
    <xf numFmtId="0" fontId="29" fillId="7" borderId="0" xfId="2" applyFont="1" applyFill="1" applyAlignment="1">
      <alignment horizontal="center" vertical="center"/>
    </xf>
    <xf numFmtId="177" fontId="33" fillId="7" borderId="17" xfId="2" applyNumberFormat="1" applyFont="1" applyFill="1" applyBorder="1" applyAlignment="1">
      <alignment horizontal="center" vertical="center"/>
    </xf>
    <xf numFmtId="177" fontId="29" fillId="7" borderId="0" xfId="2" applyNumberFormat="1" applyFont="1" applyFill="1" applyAlignment="1">
      <alignment horizontal="center" vertical="center"/>
    </xf>
    <xf numFmtId="0" fontId="29" fillId="7" borderId="16" xfId="2" applyFont="1" applyFill="1" applyBorder="1" applyAlignment="1">
      <alignment horizontal="center" vertical="center"/>
    </xf>
    <xf numFmtId="0" fontId="29" fillId="7" borderId="17" xfId="2" applyFont="1" applyFill="1" applyBorder="1" applyAlignment="1">
      <alignment horizontal="center" vertical="center"/>
    </xf>
    <xf numFmtId="0" fontId="30" fillId="7" borderId="16" xfId="2" applyFont="1" applyFill="1" applyBorder="1" applyAlignment="1">
      <alignment horizontal="center" vertical="center"/>
    </xf>
    <xf numFmtId="0" fontId="30" fillId="7" borderId="0" xfId="2" applyFont="1" applyFill="1" applyAlignment="1">
      <alignment horizontal="center" vertical="center"/>
    </xf>
    <xf numFmtId="0" fontId="30" fillId="7" borderId="17" xfId="2" applyFont="1" applyFill="1" applyBorder="1" applyAlignment="1">
      <alignment horizontal="center" vertical="center"/>
    </xf>
    <xf numFmtId="177" fontId="29" fillId="6" borderId="16" xfId="2" applyNumberFormat="1" applyFont="1" applyFill="1" applyBorder="1" applyAlignment="1">
      <alignment horizontal="center" vertical="center"/>
    </xf>
    <xf numFmtId="177" fontId="29" fillId="6" borderId="17" xfId="2" applyNumberFormat="1" applyFont="1" applyFill="1" applyBorder="1" applyAlignment="1">
      <alignment horizontal="center" vertical="center"/>
    </xf>
    <xf numFmtId="177" fontId="29" fillId="6" borderId="0" xfId="2" applyNumberFormat="1" applyFont="1" applyFill="1" applyAlignment="1">
      <alignment horizontal="center" vertical="center"/>
    </xf>
    <xf numFmtId="177" fontId="29" fillId="7" borderId="0" xfId="2" applyNumberFormat="1" applyFont="1" applyFill="1" applyAlignment="1">
      <alignment horizontal="right" vertical="center"/>
    </xf>
    <xf numFmtId="177" fontId="33" fillId="7" borderId="17" xfId="2" applyNumberFormat="1" applyFont="1" applyFill="1" applyBorder="1" applyAlignment="1">
      <alignment horizontal="right" vertical="center"/>
    </xf>
    <xf numFmtId="0" fontId="8" fillId="0" borderId="0" xfId="2" applyFont="1"/>
    <xf numFmtId="0" fontId="8" fillId="2" borderId="0" xfId="2" applyFont="1" applyFill="1"/>
    <xf numFmtId="0" fontId="89" fillId="3" borderId="28" xfId="0" applyFont="1" applyFill="1" applyBorder="1" applyAlignment="1">
      <alignment horizontal="center" vertical="center"/>
    </xf>
    <xf numFmtId="0" fontId="89" fillId="5" borderId="23" xfId="0" applyFont="1" applyFill="1" applyBorder="1" applyAlignment="1">
      <alignment horizontal="center" vertical="center"/>
    </xf>
    <xf numFmtId="0" fontId="89" fillId="4" borderId="23" xfId="0" applyFont="1" applyFill="1" applyBorder="1" applyAlignment="1">
      <alignment horizontal="center" vertical="center"/>
    </xf>
    <xf numFmtId="0" fontId="26" fillId="17" borderId="0" xfId="0" applyFont="1" applyFill="1" applyAlignment="1">
      <alignment horizontal="center" vertical="center"/>
    </xf>
    <xf numFmtId="0" fontId="26" fillId="8" borderId="0" xfId="0" applyFont="1" applyFill="1" applyAlignment="1">
      <alignment horizontal="center" vertical="center"/>
    </xf>
    <xf numFmtId="0" fontId="26" fillId="8" borderId="0" xfId="0" applyFont="1" applyFill="1"/>
    <xf numFmtId="0" fontId="89" fillId="3" borderId="12" xfId="0" applyFont="1" applyFill="1" applyBorder="1" applyAlignment="1">
      <alignment horizontal="center" vertical="center"/>
    </xf>
    <xf numFmtId="0" fontId="89" fillId="4" borderId="12" xfId="0" applyFont="1" applyFill="1" applyBorder="1" applyAlignment="1">
      <alignment horizontal="center" vertical="center"/>
    </xf>
    <xf numFmtId="0" fontId="89" fillId="5" borderId="12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left" vertical="center" indent="1"/>
    </xf>
    <xf numFmtId="0" fontId="75" fillId="4" borderId="12" xfId="0" applyFont="1" applyFill="1" applyBorder="1" applyAlignment="1">
      <alignment horizontal="center" vertical="center"/>
    </xf>
    <xf numFmtId="0" fontId="78" fillId="5" borderId="12" xfId="0" applyFont="1" applyFill="1" applyBorder="1" applyAlignment="1">
      <alignment horizontal="left" vertical="center" indent="2"/>
    </xf>
    <xf numFmtId="0" fontId="63" fillId="5" borderId="12" xfId="0" applyFont="1" applyFill="1" applyBorder="1" applyAlignment="1">
      <alignment horizontal="left" vertical="center" indent="1"/>
    </xf>
    <xf numFmtId="0" fontId="75" fillId="4" borderId="12" xfId="0" applyFont="1" applyFill="1" applyBorder="1" applyAlignment="1">
      <alignment horizontal="left" vertical="center"/>
    </xf>
    <xf numFmtId="0" fontId="65" fillId="4" borderId="12" xfId="0" applyFont="1" applyFill="1" applyBorder="1" applyAlignment="1">
      <alignment horizontal="center" vertical="center"/>
    </xf>
    <xf numFmtId="0" fontId="66" fillId="5" borderId="12" xfId="0" applyFont="1" applyFill="1" applyBorder="1" applyAlignment="1">
      <alignment horizontal="left" vertical="center" indent="1"/>
    </xf>
    <xf numFmtId="0" fontId="65" fillId="4" borderId="12" xfId="0" applyFont="1" applyFill="1" applyBorder="1" applyAlignment="1">
      <alignment horizontal="left" vertical="center"/>
    </xf>
    <xf numFmtId="0" fontId="86" fillId="4" borderId="12" xfId="0" applyFont="1" applyFill="1" applyBorder="1" applyAlignment="1">
      <alignment horizontal="center" vertical="center"/>
    </xf>
    <xf numFmtId="0" fontId="78" fillId="5" borderId="12" xfId="0" applyFont="1" applyFill="1" applyBorder="1" applyAlignment="1">
      <alignment horizontal="center" vertical="center"/>
    </xf>
    <xf numFmtId="0" fontId="85" fillId="4" borderId="12" xfId="0" applyFont="1" applyFill="1" applyBorder="1" applyAlignment="1">
      <alignment horizontal="left" vertical="center"/>
    </xf>
    <xf numFmtId="0" fontId="72" fillId="4" borderId="12" xfId="0" applyFont="1" applyFill="1" applyBorder="1" applyAlignment="1">
      <alignment horizontal="center" vertical="center"/>
    </xf>
    <xf numFmtId="0" fontId="80" fillId="5" borderId="12" xfId="0" applyFont="1" applyFill="1" applyBorder="1" applyAlignment="1">
      <alignment horizontal="center" vertical="center"/>
    </xf>
    <xf numFmtId="0" fontId="73" fillId="5" borderId="12" xfId="0" applyFont="1" applyFill="1" applyBorder="1" applyAlignment="1">
      <alignment horizontal="left" vertical="center" indent="1"/>
    </xf>
    <xf numFmtId="0" fontId="72" fillId="4" borderId="12" xfId="0" applyFont="1" applyFill="1" applyBorder="1" applyAlignment="1">
      <alignment horizontal="left" vertical="center"/>
    </xf>
    <xf numFmtId="0" fontId="75" fillId="4" borderId="12" xfId="0" quotePrefix="1" applyFont="1" applyFill="1" applyBorder="1" applyAlignment="1">
      <alignment horizontal="left" vertical="center"/>
    </xf>
    <xf numFmtId="0" fontId="87" fillId="5" borderId="12" xfId="0" applyFont="1" applyFill="1" applyBorder="1" applyAlignment="1">
      <alignment horizontal="left" vertical="center" indent="2"/>
    </xf>
    <xf numFmtId="0" fontId="66" fillId="5" borderId="12" xfId="0" quotePrefix="1" applyFont="1" applyFill="1" applyBorder="1" applyAlignment="1">
      <alignment horizontal="left" vertical="center" indent="1"/>
    </xf>
    <xf numFmtId="22" fontId="0" fillId="0" borderId="0" xfId="0" applyNumberFormat="1"/>
    <xf numFmtId="9" fontId="0" fillId="0" borderId="0" xfId="0" applyNumberFormat="1"/>
    <xf numFmtId="16" fontId="0" fillId="0" borderId="0" xfId="0" applyNumberFormat="1"/>
    <xf numFmtId="0" fontId="90" fillId="0" borderId="0" xfId="3"/>
    <xf numFmtId="0" fontId="9" fillId="2" borderId="24" xfId="3" applyFont="1" applyFill="1" applyBorder="1" applyAlignment="1">
      <alignment horizontal="left" vertical="center" indent="1"/>
    </xf>
    <xf numFmtId="0" fontId="10" fillId="7" borderId="23" xfId="3" applyFont="1" applyFill="1" applyBorder="1" applyAlignment="1">
      <alignment horizontal="center" vertical="center"/>
    </xf>
    <xf numFmtId="0" fontId="63" fillId="6" borderId="23" xfId="3" applyFont="1" applyFill="1" applyBorder="1" applyAlignment="1">
      <alignment horizontal="center" vertical="center"/>
    </xf>
    <xf numFmtId="0" fontId="78" fillId="5" borderId="23" xfId="3" applyFont="1" applyFill="1" applyBorder="1" applyAlignment="1">
      <alignment horizontal="left" vertical="center" indent="2"/>
    </xf>
    <xf numFmtId="0" fontId="9" fillId="2" borderId="25" xfId="3" applyFont="1" applyFill="1" applyBorder="1" applyAlignment="1">
      <alignment horizontal="left" vertical="center" indent="1"/>
    </xf>
    <xf numFmtId="0" fontId="10" fillId="7" borderId="4" xfId="3" applyFont="1" applyFill="1" applyBorder="1" applyAlignment="1">
      <alignment horizontal="center" vertical="center"/>
    </xf>
    <xf numFmtId="0" fontId="63" fillId="6" borderId="4" xfId="3" applyFont="1" applyFill="1" applyBorder="1" applyAlignment="1">
      <alignment horizontal="center" vertical="center"/>
    </xf>
    <xf numFmtId="0" fontId="78" fillId="5" borderId="4" xfId="3" applyFont="1" applyFill="1" applyBorder="1" applyAlignment="1">
      <alignment horizontal="left" vertical="center" indent="2"/>
    </xf>
    <xf numFmtId="0" fontId="9" fillId="2" borderId="26" xfId="3" applyFont="1" applyFill="1" applyBorder="1" applyAlignment="1">
      <alignment horizontal="left" vertical="center" indent="1"/>
    </xf>
    <xf numFmtId="0" fontId="10" fillId="7" borderId="27" xfId="3" applyFont="1" applyFill="1" applyBorder="1" applyAlignment="1">
      <alignment horizontal="center" vertical="center"/>
    </xf>
    <xf numFmtId="0" fontId="63" fillId="6" borderId="27" xfId="3" applyFont="1" applyFill="1" applyBorder="1" applyAlignment="1">
      <alignment horizontal="center" vertical="center"/>
    </xf>
    <xf numFmtId="0" fontId="78" fillId="5" borderId="27" xfId="3" applyFont="1" applyFill="1" applyBorder="1" applyAlignment="1">
      <alignment horizontal="left" vertical="center" indent="2"/>
    </xf>
    <xf numFmtId="0" fontId="64" fillId="7" borderId="27" xfId="3" applyFont="1" applyFill="1" applyBorder="1" applyAlignment="1">
      <alignment horizontal="center" vertical="center"/>
    </xf>
    <xf numFmtId="0" fontId="66" fillId="6" borderId="27" xfId="3" applyFont="1" applyFill="1" applyBorder="1" applyAlignment="1">
      <alignment horizontal="center" vertical="center"/>
    </xf>
    <xf numFmtId="0" fontId="67" fillId="7" borderId="23" xfId="3" applyFont="1" applyFill="1" applyBorder="1" applyAlignment="1">
      <alignment horizontal="center" vertical="center"/>
    </xf>
    <xf numFmtId="0" fontId="69" fillId="6" borderId="23" xfId="3" applyFont="1" applyFill="1" applyBorder="1" applyAlignment="1">
      <alignment horizontal="center" vertical="center"/>
    </xf>
    <xf numFmtId="0" fontId="64" fillId="7" borderId="23" xfId="3" applyFont="1" applyFill="1" applyBorder="1" applyAlignment="1">
      <alignment horizontal="center" vertical="center"/>
    </xf>
    <xf numFmtId="0" fontId="66" fillId="6" borderId="23" xfId="3" applyFont="1" applyFill="1" applyBorder="1" applyAlignment="1">
      <alignment horizontal="center" vertical="center"/>
    </xf>
    <xf numFmtId="0" fontId="64" fillId="7" borderId="4" xfId="3" applyFont="1" applyFill="1" applyBorder="1" applyAlignment="1">
      <alignment horizontal="center" vertical="center"/>
    </xf>
    <xf numFmtId="0" fontId="66" fillId="6" borderId="4" xfId="3" applyFont="1" applyFill="1" applyBorder="1" applyAlignment="1">
      <alignment horizontal="center" vertical="center"/>
    </xf>
    <xf numFmtId="0" fontId="13" fillId="9" borderId="24" xfId="3" applyFont="1" applyFill="1" applyBorder="1" applyAlignment="1">
      <alignment horizontal="left" vertical="center" indent="1"/>
    </xf>
    <xf numFmtId="0" fontId="78" fillId="5" borderId="23" xfId="3" applyFont="1" applyFill="1" applyBorder="1" applyAlignment="1">
      <alignment horizontal="center" vertical="center"/>
    </xf>
    <xf numFmtId="0" fontId="13" fillId="9" borderId="25" xfId="3" applyFont="1" applyFill="1" applyBorder="1" applyAlignment="1">
      <alignment horizontal="left" vertical="center" indent="1"/>
    </xf>
    <xf numFmtId="0" fontId="78" fillId="5" borderId="4" xfId="3" applyFont="1" applyFill="1" applyBorder="1" applyAlignment="1">
      <alignment horizontal="center" vertical="center"/>
    </xf>
    <xf numFmtId="0" fontId="13" fillId="9" borderId="7" xfId="3" applyFont="1" applyFill="1" applyBorder="1" applyAlignment="1">
      <alignment horizontal="left" vertical="center" indent="1"/>
    </xf>
    <xf numFmtId="0" fontId="16" fillId="7" borderId="4" xfId="3" applyFont="1" applyFill="1" applyBorder="1" applyAlignment="1">
      <alignment horizontal="center" vertical="center"/>
    </xf>
    <xf numFmtId="176" fontId="70" fillId="6" borderId="4" xfId="3" applyNumberFormat="1" applyFont="1" applyFill="1" applyBorder="1" applyAlignment="1">
      <alignment horizontal="center" vertical="center"/>
    </xf>
    <xf numFmtId="0" fontId="9" fillId="7" borderId="4" xfId="3" applyFont="1" applyFill="1" applyBorder="1" applyAlignment="1">
      <alignment horizontal="center" vertical="center"/>
    </xf>
    <xf numFmtId="0" fontId="73" fillId="6" borderId="4" xfId="3" applyFont="1" applyFill="1" applyBorder="1" applyAlignment="1">
      <alignment horizontal="center" vertical="center"/>
    </xf>
    <xf numFmtId="0" fontId="80" fillId="5" borderId="4" xfId="3" applyFont="1" applyFill="1" applyBorder="1" applyAlignment="1">
      <alignment horizontal="center" vertical="center"/>
    </xf>
    <xf numFmtId="0" fontId="13" fillId="9" borderId="26" xfId="3" applyFont="1" applyFill="1" applyBorder="1" applyAlignment="1">
      <alignment horizontal="left" vertical="center" indent="1"/>
    </xf>
    <xf numFmtId="0" fontId="78" fillId="5" borderId="27" xfId="3" applyFont="1" applyFill="1" applyBorder="1" applyAlignment="1">
      <alignment horizontal="center" vertical="center"/>
    </xf>
    <xf numFmtId="0" fontId="10" fillId="7" borderId="4" xfId="3" quotePrefix="1" applyFont="1" applyFill="1" applyBorder="1" applyAlignment="1">
      <alignment horizontal="center" vertical="center"/>
    </xf>
    <xf numFmtId="0" fontId="90" fillId="0" borderId="0" xfId="3" applyAlignment="1">
      <alignment horizontal="left" vertical="center"/>
    </xf>
    <xf numFmtId="0" fontId="92" fillId="0" borderId="12" xfId="4" applyFont="1" applyBorder="1"/>
    <xf numFmtId="0" fontId="93" fillId="0" borderId="12" xfId="4" applyFont="1" applyBorder="1" applyAlignment="1">
      <alignment horizontal="center" vertical="center"/>
    </xf>
    <xf numFmtId="0" fontId="92" fillId="0" borderId="0" xfId="4" applyFont="1"/>
    <xf numFmtId="0" fontId="94" fillId="0" borderId="0" xfId="4" applyFont="1"/>
    <xf numFmtId="0" fontId="95" fillId="0" borderId="0" xfId="4" applyFont="1"/>
    <xf numFmtId="0" fontId="96" fillId="0" borderId="0" xfId="4" applyFont="1"/>
    <xf numFmtId="0" fontId="97" fillId="0" borderId="0" xfId="4" applyFont="1"/>
    <xf numFmtId="0" fontId="98" fillId="0" borderId="0" xfId="4" applyFont="1"/>
    <xf numFmtId="0" fontId="92" fillId="18" borderId="0" xfId="4" applyFont="1" applyFill="1"/>
    <xf numFmtId="0" fontId="94" fillId="18" borderId="0" xfId="4" applyFont="1" applyFill="1"/>
    <xf numFmtId="0" fontId="99" fillId="0" borderId="0" xfId="4" applyFont="1"/>
    <xf numFmtId="0" fontId="100" fillId="0" borderId="0" xfId="4" applyFont="1"/>
    <xf numFmtId="0" fontId="75" fillId="19" borderId="23" xfId="3" applyFont="1" applyFill="1" applyBorder="1" applyAlignment="1">
      <alignment horizontal="center" vertical="center"/>
    </xf>
    <xf numFmtId="0" fontId="75" fillId="19" borderId="23" xfId="3" applyFont="1" applyFill="1" applyBorder="1" applyAlignment="1">
      <alignment horizontal="left" vertical="center"/>
    </xf>
    <xf numFmtId="0" fontId="75" fillId="19" borderId="4" xfId="3" applyFont="1" applyFill="1" applyBorder="1" applyAlignment="1">
      <alignment horizontal="center" vertical="center"/>
    </xf>
    <xf numFmtId="0" fontId="75" fillId="19" borderId="4" xfId="3" applyFont="1" applyFill="1" applyBorder="1" applyAlignment="1">
      <alignment horizontal="left" vertical="center"/>
    </xf>
    <xf numFmtId="0" fontId="75" fillId="19" borderId="27" xfId="3" applyFont="1" applyFill="1" applyBorder="1" applyAlignment="1">
      <alignment horizontal="center" vertical="center"/>
    </xf>
    <xf numFmtId="0" fontId="75" fillId="19" borderId="27" xfId="3" applyFont="1" applyFill="1" applyBorder="1" applyAlignment="1">
      <alignment horizontal="left" vertical="center"/>
    </xf>
    <xf numFmtId="0" fontId="65" fillId="19" borderId="27" xfId="3" applyFont="1" applyFill="1" applyBorder="1" applyAlignment="1">
      <alignment horizontal="center" vertical="center"/>
    </xf>
    <xf numFmtId="0" fontId="68" fillId="19" borderId="23" xfId="3" applyFont="1" applyFill="1" applyBorder="1" applyAlignment="1">
      <alignment horizontal="center" vertical="center"/>
    </xf>
    <xf numFmtId="0" fontId="68" fillId="19" borderId="23" xfId="3" applyFont="1" applyFill="1" applyBorder="1" applyAlignment="1">
      <alignment horizontal="left" vertical="center"/>
    </xf>
    <xf numFmtId="0" fontId="65" fillId="19" borderId="23" xfId="3" applyFont="1" applyFill="1" applyBorder="1" applyAlignment="1">
      <alignment horizontal="center" vertical="center"/>
    </xf>
    <xf numFmtId="0" fontId="65" fillId="19" borderId="23" xfId="3" applyFont="1" applyFill="1" applyBorder="1" applyAlignment="1">
      <alignment horizontal="left" vertical="center"/>
    </xf>
    <xf numFmtId="0" fontId="65" fillId="19" borderId="4" xfId="3" applyFont="1" applyFill="1" applyBorder="1" applyAlignment="1">
      <alignment horizontal="center" vertical="center"/>
    </xf>
    <xf numFmtId="0" fontId="65" fillId="19" borderId="4" xfId="3" applyFont="1" applyFill="1" applyBorder="1" applyAlignment="1">
      <alignment horizontal="left" vertical="center"/>
    </xf>
    <xf numFmtId="0" fontId="65" fillId="19" borderId="27" xfId="3" applyFont="1" applyFill="1" applyBorder="1" applyAlignment="1">
      <alignment horizontal="left" vertical="center"/>
    </xf>
    <xf numFmtId="0" fontId="72" fillId="19" borderId="4" xfId="3" applyFont="1" applyFill="1" applyBorder="1" applyAlignment="1">
      <alignment horizontal="center" vertical="center"/>
    </xf>
    <xf numFmtId="0" fontId="72" fillId="19" borderId="4" xfId="3" applyFont="1" applyFill="1" applyBorder="1" applyAlignment="1">
      <alignment horizontal="left" vertical="center"/>
    </xf>
    <xf numFmtId="0" fontId="14" fillId="19" borderId="4" xfId="3" applyFont="1" applyFill="1" applyBorder="1" applyAlignment="1">
      <alignment horizontal="center" vertical="center"/>
    </xf>
    <xf numFmtId="0" fontId="14" fillId="19" borderId="4" xfId="3" applyFont="1" applyFill="1" applyBorder="1" applyAlignment="1">
      <alignment horizontal="left" vertical="center"/>
    </xf>
    <xf numFmtId="0" fontId="101" fillId="20" borderId="28" xfId="3" applyFont="1" applyFill="1" applyBorder="1" applyAlignment="1">
      <alignment horizontal="center" vertical="center"/>
    </xf>
    <xf numFmtId="0" fontId="101" fillId="20" borderId="23" xfId="3" applyFont="1" applyFill="1" applyBorder="1" applyAlignment="1">
      <alignment horizontal="center" vertical="center"/>
    </xf>
    <xf numFmtId="0" fontId="101" fillId="16" borderId="23" xfId="3" applyFont="1" applyFill="1" applyBorder="1" applyAlignment="1">
      <alignment horizontal="center" vertical="center"/>
    </xf>
    <xf numFmtId="0" fontId="75" fillId="19" borderId="31" xfId="3" applyFont="1" applyFill="1" applyBorder="1" applyAlignment="1">
      <alignment horizontal="center" vertical="center"/>
    </xf>
    <xf numFmtId="0" fontId="10" fillId="7" borderId="31" xfId="3" applyFont="1" applyFill="1" applyBorder="1" applyAlignment="1">
      <alignment horizontal="center" vertical="center"/>
    </xf>
    <xf numFmtId="0" fontId="75" fillId="19" borderId="30" xfId="3" applyFont="1" applyFill="1" applyBorder="1" applyAlignment="1">
      <alignment horizontal="center" vertical="center"/>
    </xf>
    <xf numFmtId="0" fontId="75" fillId="2" borderId="23" xfId="3" applyFont="1" applyFill="1" applyBorder="1" applyAlignment="1">
      <alignment horizontal="center" vertical="center"/>
    </xf>
    <xf numFmtId="0" fontId="75" fillId="2" borderId="4" xfId="3" applyFont="1" applyFill="1" applyBorder="1" applyAlignment="1">
      <alignment horizontal="center" vertical="center"/>
    </xf>
    <xf numFmtId="0" fontId="75" fillId="2" borderId="31" xfId="3" applyFont="1" applyFill="1" applyBorder="1" applyAlignment="1">
      <alignment horizontal="center" vertical="center"/>
    </xf>
    <xf numFmtId="0" fontId="63" fillId="6" borderId="4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63" fillId="5" borderId="8" xfId="0" applyFont="1" applyFill="1" applyBorder="1" applyAlignment="1">
      <alignment horizontal="left" vertical="center" indent="1"/>
    </xf>
    <xf numFmtId="0" fontId="78" fillId="5" borderId="4" xfId="0" quotePrefix="1" applyFont="1" applyFill="1" applyBorder="1" applyAlignment="1">
      <alignment horizontal="center" vertical="center"/>
    </xf>
    <xf numFmtId="0" fontId="63" fillId="5" borderId="8" xfId="0" quotePrefix="1" applyFont="1" applyFill="1" applyBorder="1" applyAlignment="1">
      <alignment horizontal="left" vertical="center" indent="1"/>
    </xf>
    <xf numFmtId="0" fontId="102" fillId="16" borderId="23" xfId="3" applyFont="1" applyFill="1" applyBorder="1" applyAlignment="1">
      <alignment horizontal="center" vertical="center"/>
    </xf>
    <xf numFmtId="0" fontId="103" fillId="19" borderId="23" xfId="3" applyFont="1" applyFill="1" applyBorder="1" applyAlignment="1">
      <alignment horizontal="left" vertical="center"/>
    </xf>
    <xf numFmtId="0" fontId="103" fillId="19" borderId="4" xfId="3" applyFont="1" applyFill="1" applyBorder="1" applyAlignment="1">
      <alignment horizontal="left" vertical="center"/>
    </xf>
    <xf numFmtId="0" fontId="103" fillId="19" borderId="31" xfId="3" applyFont="1" applyFill="1" applyBorder="1" applyAlignment="1">
      <alignment horizontal="left" vertical="center"/>
    </xf>
    <xf numFmtId="0" fontId="103" fillId="19" borderId="30" xfId="3" applyFont="1" applyFill="1" applyBorder="1" applyAlignment="1">
      <alignment horizontal="left" vertical="center"/>
    </xf>
    <xf numFmtId="0" fontId="89" fillId="6" borderId="23" xfId="0" applyFont="1" applyFill="1" applyBorder="1" applyAlignment="1">
      <alignment horizontal="center" vertical="center"/>
    </xf>
    <xf numFmtId="0" fontId="89" fillId="7" borderId="23" xfId="0" applyFont="1" applyFill="1" applyBorder="1" applyAlignment="1">
      <alignment horizontal="center" vertical="center"/>
    </xf>
    <xf numFmtId="0" fontId="89" fillId="5" borderId="29" xfId="0" applyFont="1" applyFill="1" applyBorder="1" applyAlignment="1">
      <alignment horizontal="center" vertical="center"/>
    </xf>
    <xf numFmtId="0" fontId="102" fillId="0" borderId="0" xfId="3" applyFont="1" applyAlignment="1">
      <alignment horizontal="center" vertical="center"/>
    </xf>
    <xf numFmtId="0" fontId="103" fillId="0" borderId="0" xfId="3" applyFont="1" applyAlignment="1">
      <alignment horizontal="left" vertical="center"/>
    </xf>
    <xf numFmtId="0" fontId="101" fillId="20" borderId="12" xfId="3" applyFont="1" applyFill="1" applyBorder="1" applyAlignment="1">
      <alignment horizontal="center" vertical="center"/>
    </xf>
    <xf numFmtId="0" fontId="90" fillId="0" borderId="12" xfId="3" quotePrefix="1" applyBorder="1"/>
    <xf numFmtId="0" fontId="37" fillId="10" borderId="18" xfId="2" applyFont="1" applyFill="1" applyBorder="1" applyAlignment="1">
      <alignment vertical="center"/>
    </xf>
    <xf numFmtId="0" fontId="37" fillId="10" borderId="19" xfId="2" applyFont="1" applyFill="1" applyBorder="1" applyAlignment="1">
      <alignment vertical="center"/>
    </xf>
    <xf numFmtId="0" fontId="12" fillId="10" borderId="18" xfId="2" applyFont="1" applyFill="1" applyBorder="1" applyAlignment="1">
      <alignment vertical="center"/>
    </xf>
    <xf numFmtId="0" fontId="12" fillId="10" borderId="19" xfId="2" applyFont="1" applyFill="1" applyBorder="1" applyAlignment="1">
      <alignment vertical="center"/>
    </xf>
    <xf numFmtId="0" fontId="29" fillId="6" borderId="13" xfId="2" applyFont="1" applyFill="1" applyBorder="1" applyAlignment="1">
      <alignment horizontal="centerContinuous"/>
    </xf>
    <xf numFmtId="0" fontId="29" fillId="6" borderId="14" xfId="2" applyFont="1" applyFill="1" applyBorder="1" applyAlignment="1">
      <alignment horizontal="centerContinuous"/>
    </xf>
    <xf numFmtId="0" fontId="29" fillId="6" borderId="15" xfId="2" applyFont="1" applyFill="1" applyBorder="1" applyAlignment="1">
      <alignment horizontal="centerContinuous"/>
    </xf>
    <xf numFmtId="0" fontId="29" fillId="10" borderId="13" xfId="2" applyFont="1" applyFill="1" applyBorder="1" applyAlignment="1">
      <alignment horizontal="centerContinuous"/>
    </xf>
    <xf numFmtId="0" fontId="29" fillId="10" borderId="14" xfId="2" applyFont="1" applyFill="1" applyBorder="1" applyAlignment="1">
      <alignment horizontal="centerContinuous"/>
    </xf>
    <xf numFmtId="0" fontId="29" fillId="10" borderId="15" xfId="2" applyFont="1" applyFill="1" applyBorder="1" applyAlignment="1">
      <alignment horizontal="centerContinuous"/>
    </xf>
    <xf numFmtId="9" fontId="29" fillId="10" borderId="13" xfId="2" applyNumberFormat="1" applyFont="1" applyFill="1" applyBorder="1" applyAlignment="1">
      <alignment horizontal="centerContinuous"/>
    </xf>
    <xf numFmtId="9" fontId="29" fillId="10" borderId="14" xfId="2" applyNumberFormat="1" applyFont="1" applyFill="1" applyBorder="1" applyAlignment="1">
      <alignment horizontal="centerContinuous"/>
    </xf>
    <xf numFmtId="9" fontId="29" fillId="10" borderId="15" xfId="2" applyNumberFormat="1" applyFont="1" applyFill="1" applyBorder="1" applyAlignment="1">
      <alignment horizontal="centerContinuous"/>
    </xf>
    <xf numFmtId="0" fontId="29" fillId="7" borderId="13" xfId="2" applyFont="1" applyFill="1" applyBorder="1" applyAlignment="1">
      <alignment horizontal="centerContinuous"/>
    </xf>
    <xf numFmtId="0" fontId="29" fillId="7" borderId="14" xfId="2" applyFont="1" applyFill="1" applyBorder="1" applyAlignment="1">
      <alignment horizontal="centerContinuous"/>
    </xf>
    <xf numFmtId="0" fontId="29" fillId="7" borderId="15" xfId="2" applyFont="1" applyFill="1" applyBorder="1" applyAlignment="1">
      <alignment horizontal="centerContinuous"/>
    </xf>
    <xf numFmtId="0" fontId="30" fillId="7" borderId="13" xfId="2" applyFont="1" applyFill="1" applyBorder="1" applyAlignment="1">
      <alignment horizontal="centerContinuous"/>
    </xf>
    <xf numFmtId="0" fontId="30" fillId="7" borderId="14" xfId="2" applyFont="1" applyFill="1" applyBorder="1" applyAlignment="1">
      <alignment horizontal="centerContinuous"/>
    </xf>
    <xf numFmtId="0" fontId="30" fillId="7" borderId="15" xfId="2" applyFont="1" applyFill="1" applyBorder="1" applyAlignment="1">
      <alignment horizontal="centerContinuous"/>
    </xf>
    <xf numFmtId="0" fontId="21" fillId="0" borderId="12" xfId="2" applyFont="1" applyBorder="1"/>
    <xf numFmtId="0" fontId="105" fillId="0" borderId="0" xfId="2" applyFont="1"/>
    <xf numFmtId="0" fontId="20" fillId="0" borderId="0" xfId="2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82" fillId="0" borderId="5" xfId="0" applyFont="1" applyBorder="1" applyAlignment="1">
      <alignment horizontal="center" vertical="center"/>
    </xf>
    <xf numFmtId="0" fontId="14" fillId="19" borderId="31" xfId="3" applyFont="1" applyFill="1" applyBorder="1" applyAlignment="1">
      <alignment horizontal="center" vertical="center"/>
    </xf>
    <xf numFmtId="0" fontId="107" fillId="19" borderId="23" xfId="3" applyFont="1" applyFill="1" applyBorder="1" applyAlignment="1">
      <alignment horizontal="left" vertical="center"/>
    </xf>
    <xf numFmtId="0" fontId="108" fillId="0" borderId="0" xfId="2" applyFont="1" applyAlignment="1">
      <alignment horizontal="center" vertical="center"/>
    </xf>
    <xf numFmtId="0" fontId="109" fillId="21" borderId="0" xfId="0" applyFont="1" applyFill="1" applyAlignment="1">
      <alignment horizontal="left" vertical="center"/>
    </xf>
    <xf numFmtId="0" fontId="110" fillId="0" borderId="0" xfId="2" applyFont="1"/>
    <xf numFmtId="0" fontId="110" fillId="0" borderId="0" xfId="2" applyFont="1" applyAlignment="1">
      <alignment vertical="center"/>
    </xf>
    <xf numFmtId="0" fontId="111" fillId="0" borderId="0" xfId="0" applyFont="1"/>
    <xf numFmtId="0" fontId="10" fillId="7" borderId="12" xfId="3" applyFont="1" applyFill="1" applyBorder="1" applyAlignment="1">
      <alignment horizontal="center" vertical="center"/>
    </xf>
    <xf numFmtId="0" fontId="71" fillId="5" borderId="9" xfId="2" applyFont="1" applyFill="1" applyBorder="1" applyAlignment="1">
      <alignment vertical="center"/>
    </xf>
    <xf numFmtId="0" fontId="29" fillId="6" borderId="17" xfId="2" quotePrefix="1" applyFont="1" applyFill="1" applyBorder="1" applyAlignment="1">
      <alignment horizontal="center" vertical="center"/>
    </xf>
    <xf numFmtId="177" fontId="36" fillId="7" borderId="20" xfId="2" quotePrefix="1" applyNumberFormat="1" applyFont="1" applyFill="1" applyBorder="1" applyAlignment="1">
      <alignment horizontal="center" vertical="center"/>
    </xf>
    <xf numFmtId="0" fontId="113" fillId="14" borderId="0" xfId="2" applyFont="1" applyFill="1" applyAlignment="1">
      <alignment vertical="center"/>
    </xf>
    <xf numFmtId="0" fontId="114" fillId="11" borderId="0" xfId="1" applyFont="1" applyFill="1" applyAlignment="1">
      <alignment vertical="center"/>
    </xf>
    <xf numFmtId="0" fontId="112" fillId="0" borderId="0" xfId="3" applyFont="1" applyAlignment="1">
      <alignment horizontal="left" vertical="center"/>
    </xf>
    <xf numFmtId="0" fontId="115" fillId="0" borderId="0" xfId="3" applyFont="1" applyAlignment="1">
      <alignment horizontal="center" vertical="center"/>
    </xf>
    <xf numFmtId="0" fontId="104" fillId="7" borderId="10" xfId="0" applyFont="1" applyFill="1" applyBorder="1" applyAlignment="1">
      <alignment horizontal="center" vertical="center"/>
    </xf>
    <xf numFmtId="0" fontId="10" fillId="5" borderId="11" xfId="0" applyFont="1" applyFill="1" applyBorder="1" applyAlignment="1">
      <alignment horizontal="left" vertical="center" indent="3"/>
    </xf>
    <xf numFmtId="0" fontId="17" fillId="5" borderId="10" xfId="0" applyFont="1" applyFill="1" applyBorder="1" applyAlignment="1">
      <alignment horizontal="center" vertical="center"/>
    </xf>
    <xf numFmtId="0" fontId="17" fillId="6" borderId="10" xfId="0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center" vertical="center"/>
    </xf>
    <xf numFmtId="177" fontId="117" fillId="7" borderId="18" xfId="2" applyNumberFormat="1" applyFont="1" applyFill="1" applyBorder="1" applyAlignment="1">
      <alignment horizontal="center" vertical="center"/>
    </xf>
    <xf numFmtId="177" fontId="118" fillId="7" borderId="16" xfId="2" applyNumberFormat="1" applyFont="1" applyFill="1" applyBorder="1" applyAlignment="1">
      <alignment horizontal="center" vertical="center"/>
    </xf>
    <xf numFmtId="0" fontId="78" fillId="7" borderId="0" xfId="2" applyFont="1" applyFill="1" applyAlignment="1">
      <alignment horizontal="center" vertical="center"/>
    </xf>
    <xf numFmtId="0" fontId="78" fillId="7" borderId="17" xfId="2" applyFont="1" applyFill="1" applyBorder="1" applyAlignment="1">
      <alignment horizontal="center" vertical="center"/>
    </xf>
    <xf numFmtId="0" fontId="13" fillId="7" borderId="31" xfId="3" applyFont="1" applyFill="1" applyBorder="1" applyAlignment="1">
      <alignment horizontal="center" vertical="center"/>
    </xf>
    <xf numFmtId="0" fontId="86" fillId="19" borderId="31" xfId="3" applyFont="1" applyFill="1" applyBorder="1" applyAlignment="1">
      <alignment horizontal="center" vertical="center"/>
    </xf>
    <xf numFmtId="0" fontId="119" fillId="7" borderId="23" xfId="3" applyFont="1" applyFill="1" applyBorder="1" applyAlignment="1">
      <alignment horizontal="center" vertical="center"/>
    </xf>
    <xf numFmtId="0" fontId="120" fillId="7" borderId="4" xfId="3" applyFont="1" applyFill="1" applyBorder="1" applyAlignment="1">
      <alignment horizontal="center" vertical="center"/>
    </xf>
    <xf numFmtId="0" fontId="120" fillId="7" borderId="31" xfId="3" applyFont="1" applyFill="1" applyBorder="1" applyAlignment="1">
      <alignment horizontal="center" vertical="center"/>
    </xf>
    <xf numFmtId="0" fontId="121" fillId="7" borderId="31" xfId="3" applyFont="1" applyFill="1" applyBorder="1" applyAlignment="1">
      <alignment horizontal="center" vertical="center"/>
    </xf>
    <xf numFmtId="0" fontId="122" fillId="7" borderId="31" xfId="3" applyFont="1" applyFill="1" applyBorder="1" applyAlignment="1">
      <alignment horizontal="center" vertical="center"/>
    </xf>
    <xf numFmtId="0" fontId="123" fillId="7" borderId="31" xfId="3" applyFont="1" applyFill="1" applyBorder="1" applyAlignment="1">
      <alignment horizontal="center" vertical="center"/>
    </xf>
    <xf numFmtId="0" fontId="124" fillId="13" borderId="0" xfId="2" applyFont="1" applyFill="1" applyAlignment="1">
      <alignment vertical="center"/>
    </xf>
    <xf numFmtId="0" fontId="125" fillId="13" borderId="0" xfId="2" applyFont="1" applyFill="1" applyAlignment="1">
      <alignment vertical="center"/>
    </xf>
    <xf numFmtId="0" fontId="124" fillId="14" borderId="0" xfId="2" applyFont="1" applyFill="1" applyAlignment="1">
      <alignment vertical="center"/>
    </xf>
    <xf numFmtId="0" fontId="125" fillId="14" borderId="0" xfId="2" applyFont="1" applyFill="1" applyAlignment="1">
      <alignment vertical="center"/>
    </xf>
    <xf numFmtId="0" fontId="126" fillId="0" borderId="12" xfId="1" applyFont="1" applyBorder="1" applyAlignment="1">
      <alignment horizontal="center" vertical="center"/>
    </xf>
    <xf numFmtId="0" fontId="127" fillId="0" borderId="12" xfId="1" applyFont="1" applyBorder="1" applyAlignment="1">
      <alignment horizontal="center" vertical="center"/>
    </xf>
    <xf numFmtId="0" fontId="126" fillId="0" borderId="12" xfId="2" applyFont="1" applyBorder="1" applyAlignment="1">
      <alignment horizontal="center" vertical="center"/>
    </xf>
    <xf numFmtId="0" fontId="126" fillId="0" borderId="12" xfId="2" applyFont="1" applyBorder="1" applyAlignment="1">
      <alignment horizontal="center"/>
    </xf>
    <xf numFmtId="0" fontId="126" fillId="14" borderId="12" xfId="1" applyFont="1" applyFill="1" applyBorder="1" applyAlignment="1">
      <alignment horizontal="center" vertical="center"/>
    </xf>
    <xf numFmtId="0" fontId="128" fillId="22" borderId="12" xfId="1" applyFont="1" applyFill="1" applyBorder="1" applyAlignment="1">
      <alignment horizontal="center" vertical="center"/>
    </xf>
    <xf numFmtId="0" fontId="126" fillId="8" borderId="12" xfId="1" applyFont="1" applyFill="1" applyBorder="1" applyAlignment="1">
      <alignment horizontal="center" vertical="center"/>
    </xf>
    <xf numFmtId="177" fontId="41" fillId="6" borderId="20" xfId="2" applyNumberFormat="1" applyFont="1" applyFill="1" applyBorder="1" applyAlignment="1">
      <alignment horizontal="center" vertical="center" wrapText="1"/>
    </xf>
    <xf numFmtId="0" fontId="129" fillId="0" borderId="0" xfId="0" applyFont="1" applyAlignment="1">
      <alignment horizontal="center" vertical="center"/>
    </xf>
    <xf numFmtId="0" fontId="129" fillId="8" borderId="0" xfId="0" applyFont="1" applyFill="1" applyAlignment="1">
      <alignment horizontal="center" vertical="center"/>
    </xf>
    <xf numFmtId="0" fontId="129" fillId="23" borderId="0" xfId="0" applyFont="1" applyFill="1" applyAlignment="1">
      <alignment horizontal="center" vertical="center"/>
    </xf>
    <xf numFmtId="0" fontId="129" fillId="0" borderId="0" xfId="0" quotePrefix="1" applyFont="1" applyAlignment="1">
      <alignment horizontal="center" vertical="center"/>
    </xf>
    <xf numFmtId="0" fontId="129" fillId="24" borderId="0" xfId="0" applyFont="1" applyFill="1" applyAlignment="1">
      <alignment horizontal="center" vertical="center"/>
    </xf>
    <xf numFmtId="0" fontId="129" fillId="17" borderId="0" xfId="0" applyFont="1" applyFill="1" applyAlignment="1">
      <alignment horizontal="center" vertical="center"/>
    </xf>
    <xf numFmtId="0" fontId="129" fillId="25" borderId="0" xfId="0" applyFont="1" applyFill="1" applyAlignment="1">
      <alignment horizontal="center" vertical="center"/>
    </xf>
    <xf numFmtId="0" fontId="129" fillId="26" borderId="0" xfId="0" applyFont="1" applyFill="1" applyAlignment="1">
      <alignment horizontal="center" vertical="center"/>
    </xf>
    <xf numFmtId="0" fontId="129" fillId="2" borderId="0" xfId="0" applyFont="1" applyFill="1" applyAlignment="1">
      <alignment horizontal="center" vertical="center"/>
    </xf>
    <xf numFmtId="0" fontId="129" fillId="27" borderId="0" xfId="0" applyFont="1" applyFill="1" applyAlignment="1">
      <alignment horizontal="center" vertical="center"/>
    </xf>
    <xf numFmtId="0" fontId="129" fillId="18" borderId="0" xfId="0" applyFont="1" applyFill="1" applyAlignment="1">
      <alignment horizontal="center" vertical="center"/>
    </xf>
    <xf numFmtId="0" fontId="104" fillId="7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 indent="3"/>
    </xf>
    <xf numFmtId="0" fontId="131" fillId="5" borderId="1" xfId="0" applyFont="1" applyFill="1" applyBorder="1" applyAlignment="1">
      <alignment horizontal="center" vertical="center"/>
    </xf>
    <xf numFmtId="0" fontId="132" fillId="7" borderId="1" xfId="0" applyFont="1" applyFill="1" applyBorder="1" applyAlignment="1">
      <alignment horizontal="center" vertical="center"/>
    </xf>
    <xf numFmtId="0" fontId="131" fillId="6" borderId="1" xfId="0" applyFont="1" applyFill="1" applyBorder="1" applyAlignment="1">
      <alignment horizontal="center" vertical="center"/>
    </xf>
    <xf numFmtId="0" fontId="131" fillId="5" borderId="2" xfId="0" applyFont="1" applyFill="1" applyBorder="1" applyAlignment="1">
      <alignment horizontal="center" vertical="center"/>
    </xf>
    <xf numFmtId="0" fontId="51" fillId="16" borderId="3" xfId="2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left" vertical="center" indent="3"/>
    </xf>
    <xf numFmtId="0" fontId="51" fillId="16" borderId="9" xfId="2" applyFont="1" applyFill="1" applyBorder="1" applyAlignment="1">
      <alignment horizontal="center" vertical="center"/>
    </xf>
    <xf numFmtId="0" fontId="130" fillId="16" borderId="12" xfId="2" applyFont="1" applyFill="1" applyBorder="1" applyAlignment="1">
      <alignment horizontal="center" vertical="center"/>
    </xf>
    <xf numFmtId="0" fontId="116" fillId="16" borderId="12" xfId="2" applyFont="1" applyFill="1" applyBorder="1" applyAlignment="1">
      <alignment horizontal="center" vertical="center"/>
    </xf>
    <xf numFmtId="177" fontId="134" fillId="7" borderId="18" xfId="2" applyNumberFormat="1" applyFont="1" applyFill="1" applyBorder="1" applyAlignment="1">
      <alignment horizontal="center" vertical="center"/>
    </xf>
    <xf numFmtId="0" fontId="34" fillId="7" borderId="19" xfId="2" applyFont="1" applyFill="1" applyBorder="1" applyAlignment="1">
      <alignment horizontal="center" vertical="center"/>
    </xf>
    <xf numFmtId="0" fontId="37" fillId="7" borderId="18" xfId="2" applyFont="1" applyFill="1" applyBorder="1" applyAlignment="1">
      <alignment horizontal="center"/>
    </xf>
    <xf numFmtId="0" fontId="136" fillId="0" borderId="0" xfId="2" applyFont="1" applyAlignment="1">
      <alignment horizontal="center" vertical="center"/>
    </xf>
    <xf numFmtId="0" fontId="137" fillId="28" borderId="0" xfId="2" applyFont="1" applyFill="1" applyAlignment="1">
      <alignment horizontal="left" vertical="center"/>
    </xf>
    <xf numFmtId="0" fontId="138" fillId="28" borderId="0" xfId="2" applyFont="1" applyFill="1" applyAlignment="1">
      <alignment horizontal="center" vertical="center"/>
    </xf>
    <xf numFmtId="0" fontId="139" fillId="28" borderId="0" xfId="2" applyFont="1" applyFill="1"/>
    <xf numFmtId="0" fontId="140" fillId="28" borderId="0" xfId="2" applyFont="1" applyFill="1"/>
    <xf numFmtId="0" fontId="109" fillId="28" borderId="0" xfId="2" applyFont="1" applyFill="1"/>
    <xf numFmtId="0" fontId="141" fillId="7" borderId="17" xfId="2" applyFont="1" applyFill="1" applyBorder="1" applyAlignment="1">
      <alignment horizontal="center" vertical="center"/>
    </xf>
    <xf numFmtId="177" fontId="141" fillId="7" borderId="20" xfId="2" applyNumberFormat="1" applyFont="1" applyFill="1" applyBorder="1" applyAlignment="1">
      <alignment horizontal="center" vertical="center"/>
    </xf>
    <xf numFmtId="0" fontId="142" fillId="7" borderId="16" xfId="2" applyFont="1" applyFill="1" applyBorder="1" applyAlignment="1">
      <alignment horizontal="left" vertical="center"/>
    </xf>
    <xf numFmtId="0" fontId="143" fillId="7" borderId="0" xfId="2" applyFont="1" applyFill="1" applyAlignment="1">
      <alignment horizontal="center" vertical="center"/>
    </xf>
    <xf numFmtId="0" fontId="144" fillId="7" borderId="19" xfId="2" applyFont="1" applyFill="1" applyBorder="1" applyAlignment="1">
      <alignment horizontal="center" vertical="center"/>
    </xf>
    <xf numFmtId="0" fontId="142" fillId="7" borderId="18" xfId="2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vertical="center"/>
    </xf>
    <xf numFmtId="0" fontId="0" fillId="0" borderId="12" xfId="0" quotePrefix="1" applyBorder="1" applyAlignment="1">
      <alignment horizontal="center" vertical="center"/>
    </xf>
    <xf numFmtId="0" fontId="75" fillId="2" borderId="30" xfId="3" applyFont="1" applyFill="1" applyBorder="1" applyAlignment="1">
      <alignment horizontal="center" vertical="center"/>
    </xf>
    <xf numFmtId="0" fontId="10" fillId="7" borderId="30" xfId="3" applyFont="1" applyFill="1" applyBorder="1" applyAlignment="1">
      <alignment horizontal="center" vertical="center"/>
    </xf>
    <xf numFmtId="0" fontId="75" fillId="19" borderId="0" xfId="3" applyFont="1" applyFill="1" applyAlignment="1">
      <alignment horizontal="center" vertical="center"/>
    </xf>
    <xf numFmtId="0" fontId="103" fillId="19" borderId="0" xfId="3" applyFont="1" applyFill="1" applyAlignment="1">
      <alignment horizontal="left" vertical="center"/>
    </xf>
    <xf numFmtId="0" fontId="75" fillId="2" borderId="0" xfId="3" applyFont="1" applyFill="1" applyAlignment="1">
      <alignment horizontal="center" vertical="center"/>
    </xf>
    <xf numFmtId="0" fontId="10" fillId="7" borderId="0" xfId="3" applyFont="1" applyFill="1" applyAlignment="1">
      <alignment horizontal="center" vertical="center"/>
    </xf>
    <xf numFmtId="0" fontId="107" fillId="19" borderId="0" xfId="3" applyFont="1" applyFill="1" applyAlignment="1">
      <alignment horizontal="left" vertical="center"/>
    </xf>
    <xf numFmtId="0" fontId="101" fillId="16" borderId="0" xfId="3" applyFont="1" applyFill="1" applyAlignment="1">
      <alignment horizontal="center" vertical="center"/>
    </xf>
    <xf numFmtId="0" fontId="101" fillId="20" borderId="0" xfId="3" applyFont="1" applyFill="1" applyAlignment="1">
      <alignment horizontal="center" vertical="center"/>
    </xf>
    <xf numFmtId="0" fontId="102" fillId="16" borderId="0" xfId="3" applyFont="1" applyFill="1" applyAlignment="1">
      <alignment horizontal="center" vertical="center"/>
    </xf>
    <xf numFmtId="0" fontId="75" fillId="19" borderId="0" xfId="3" quotePrefix="1" applyFont="1" applyFill="1" applyAlignment="1">
      <alignment horizontal="center" vertical="center"/>
    </xf>
    <xf numFmtId="0" fontId="75" fillId="2" borderId="19" xfId="3" applyFont="1" applyFill="1" applyBorder="1" applyAlignment="1">
      <alignment horizontal="center" vertical="center"/>
    </xf>
    <xf numFmtId="0" fontId="10" fillId="7" borderId="19" xfId="3" applyFont="1" applyFill="1" applyBorder="1" applyAlignment="1">
      <alignment horizontal="center" vertical="center"/>
    </xf>
    <xf numFmtId="0" fontId="75" fillId="19" borderId="19" xfId="3" applyFont="1" applyFill="1" applyBorder="1" applyAlignment="1">
      <alignment horizontal="center" vertical="center"/>
    </xf>
    <xf numFmtId="0" fontId="103" fillId="19" borderId="19" xfId="3" applyFont="1" applyFill="1" applyBorder="1" applyAlignment="1">
      <alignment horizontal="left" vertical="center"/>
    </xf>
    <xf numFmtId="0" fontId="75" fillId="2" borderId="14" xfId="3" applyFont="1" applyFill="1" applyBorder="1" applyAlignment="1">
      <alignment horizontal="center" vertical="center"/>
    </xf>
    <xf numFmtId="0" fontId="10" fillId="7" borderId="14" xfId="3" applyFont="1" applyFill="1" applyBorder="1" applyAlignment="1">
      <alignment horizontal="center" vertical="center"/>
    </xf>
    <xf numFmtId="0" fontId="75" fillId="19" borderId="14" xfId="3" applyFont="1" applyFill="1" applyBorder="1" applyAlignment="1">
      <alignment horizontal="center" vertical="center"/>
    </xf>
    <xf numFmtId="0" fontId="103" fillId="19" borderId="14" xfId="3" applyFont="1" applyFill="1" applyBorder="1" applyAlignment="1">
      <alignment horizontal="left" vertical="center"/>
    </xf>
    <xf numFmtId="0" fontId="75" fillId="19" borderId="14" xfId="3" quotePrefix="1" applyFont="1" applyFill="1" applyBorder="1" applyAlignment="1">
      <alignment horizontal="center" vertical="center"/>
    </xf>
    <xf numFmtId="0" fontId="75" fillId="19" borderId="19" xfId="3" quotePrefix="1" applyFont="1" applyFill="1" applyBorder="1" applyAlignment="1">
      <alignment horizontal="center" vertical="center"/>
    </xf>
    <xf numFmtId="0" fontId="75" fillId="2" borderId="36" xfId="3" applyFont="1" applyFill="1" applyBorder="1" applyAlignment="1">
      <alignment horizontal="center" vertical="center"/>
    </xf>
    <xf numFmtId="0" fontId="10" fillId="7" borderId="36" xfId="3" applyFont="1" applyFill="1" applyBorder="1" applyAlignment="1">
      <alignment horizontal="center" vertical="center"/>
    </xf>
    <xf numFmtId="0" fontId="75" fillId="19" borderId="36" xfId="3" applyFont="1" applyFill="1" applyBorder="1" applyAlignment="1">
      <alignment horizontal="center" vertical="center"/>
    </xf>
    <xf numFmtId="0" fontId="103" fillId="19" borderId="36" xfId="3" applyFont="1" applyFill="1" applyBorder="1" applyAlignment="1">
      <alignment horizontal="left" vertical="center"/>
    </xf>
    <xf numFmtId="0" fontId="75" fillId="2" borderId="37" xfId="3" applyFont="1" applyFill="1" applyBorder="1" applyAlignment="1">
      <alignment horizontal="center" vertical="center"/>
    </xf>
    <xf numFmtId="0" fontId="10" fillId="7" borderId="37" xfId="3" applyFont="1" applyFill="1" applyBorder="1" applyAlignment="1">
      <alignment horizontal="center" vertical="center"/>
    </xf>
    <xf numFmtId="0" fontId="75" fillId="19" borderId="37" xfId="3" applyFont="1" applyFill="1" applyBorder="1" applyAlignment="1">
      <alignment horizontal="center" vertical="center"/>
    </xf>
    <xf numFmtId="0" fontId="103" fillId="19" borderId="37" xfId="3" applyFont="1" applyFill="1" applyBorder="1" applyAlignment="1">
      <alignment horizontal="left" vertical="center"/>
    </xf>
    <xf numFmtId="0" fontId="75" fillId="2" borderId="34" xfId="3" applyFont="1" applyFill="1" applyBorder="1" applyAlignment="1">
      <alignment horizontal="center" vertical="center"/>
    </xf>
    <xf numFmtId="0" fontId="10" fillId="7" borderId="34" xfId="3" applyFont="1" applyFill="1" applyBorder="1" applyAlignment="1">
      <alignment horizontal="center" vertical="center"/>
    </xf>
    <xf numFmtId="0" fontId="75" fillId="19" borderId="34" xfId="3" applyFont="1" applyFill="1" applyBorder="1" applyAlignment="1">
      <alignment horizontal="center" vertical="center"/>
    </xf>
    <xf numFmtId="0" fontId="103" fillId="19" borderId="34" xfId="3" applyFont="1" applyFill="1" applyBorder="1" applyAlignment="1">
      <alignment horizontal="left" vertical="center"/>
    </xf>
    <xf numFmtId="0" fontId="13" fillId="7" borderId="0" xfId="3" applyFont="1" applyFill="1" applyAlignment="1">
      <alignment horizontal="center" vertical="center"/>
    </xf>
    <xf numFmtId="0" fontId="86" fillId="19" borderId="0" xfId="3" applyFont="1" applyFill="1" applyAlignment="1">
      <alignment horizontal="center" vertical="center"/>
    </xf>
    <xf numFmtId="0" fontId="14" fillId="19" borderId="19" xfId="3" applyFont="1" applyFill="1" applyBorder="1" applyAlignment="1">
      <alignment horizontal="center" vertical="center"/>
    </xf>
    <xf numFmtId="0" fontId="14" fillId="19" borderId="19" xfId="3" quotePrefix="1" applyFont="1" applyFill="1" applyBorder="1" applyAlignment="1">
      <alignment horizontal="center" vertical="center"/>
    </xf>
    <xf numFmtId="0" fontId="107" fillId="19" borderId="19" xfId="3" applyFont="1" applyFill="1" applyBorder="1" applyAlignment="1">
      <alignment horizontal="left" vertical="center"/>
    </xf>
    <xf numFmtId="0" fontId="146" fillId="19" borderId="0" xfId="3" applyFont="1" applyFill="1" applyAlignment="1">
      <alignment horizontal="center" vertical="center"/>
    </xf>
    <xf numFmtId="0" fontId="146" fillId="19" borderId="19" xfId="3" applyFont="1" applyFill="1" applyBorder="1" applyAlignment="1">
      <alignment horizontal="center" vertical="center"/>
    </xf>
    <xf numFmtId="0" fontId="148" fillId="7" borderId="19" xfId="3" applyFont="1" applyFill="1" applyBorder="1" applyAlignment="1">
      <alignment horizontal="center" vertical="center"/>
    </xf>
    <xf numFmtId="0" fontId="147" fillId="7" borderId="19" xfId="3" applyFont="1" applyFill="1" applyBorder="1" applyAlignment="1">
      <alignment horizontal="center" vertical="center"/>
    </xf>
    <xf numFmtId="0" fontId="147" fillId="7" borderId="0" xfId="3" applyFont="1" applyFill="1" applyAlignment="1">
      <alignment horizontal="center" vertical="center"/>
    </xf>
    <xf numFmtId="0" fontId="148" fillId="7" borderId="34" xfId="3" applyFont="1" applyFill="1" applyBorder="1" applyAlignment="1">
      <alignment horizontal="center" vertical="center"/>
    </xf>
    <xf numFmtId="0" fontId="147" fillId="7" borderId="31" xfId="3" applyFont="1" applyFill="1" applyBorder="1" applyAlignment="1">
      <alignment horizontal="center" vertical="center"/>
    </xf>
    <xf numFmtId="0" fontId="150" fillId="7" borderId="19" xfId="3" applyFont="1" applyFill="1" applyBorder="1" applyAlignment="1">
      <alignment horizontal="center" vertical="center"/>
    </xf>
    <xf numFmtId="0" fontId="151" fillId="7" borderId="14" xfId="3" applyFont="1" applyFill="1" applyBorder="1" applyAlignment="1">
      <alignment horizontal="center" vertical="center"/>
    </xf>
    <xf numFmtId="0" fontId="152" fillId="19" borderId="19" xfId="3" applyFont="1" applyFill="1" applyBorder="1" applyAlignment="1">
      <alignment horizontal="left" vertical="center"/>
    </xf>
    <xf numFmtId="0" fontId="154" fillId="19" borderId="0" xfId="5" applyFont="1" applyFill="1" applyAlignment="1">
      <alignment horizontal="center" vertical="center"/>
    </xf>
    <xf numFmtId="0" fontId="154" fillId="19" borderId="19" xfId="5" applyFont="1" applyFill="1" applyBorder="1" applyAlignment="1">
      <alignment horizontal="center" vertical="center"/>
    </xf>
    <xf numFmtId="0" fontId="158" fillId="19" borderId="0" xfId="5" applyFont="1" applyFill="1" applyAlignment="1">
      <alignment horizontal="center" vertical="center"/>
    </xf>
    <xf numFmtId="0" fontId="156" fillId="19" borderId="0" xfId="5" applyFont="1" applyFill="1" applyAlignment="1">
      <alignment horizontal="center" vertical="center"/>
    </xf>
    <xf numFmtId="0" fontId="161" fillId="19" borderId="31" xfId="3" applyFont="1" applyFill="1" applyBorder="1" applyAlignment="1">
      <alignment horizontal="center" vertical="center"/>
    </xf>
    <xf numFmtId="0" fontId="75" fillId="29" borderId="31" xfId="3" applyFont="1" applyFill="1" applyBorder="1" applyAlignment="1">
      <alignment horizontal="center" vertical="center"/>
    </xf>
    <xf numFmtId="0" fontId="75" fillId="29" borderId="0" xfId="3" applyFont="1" applyFill="1" applyAlignment="1">
      <alignment horizontal="center" vertical="center"/>
    </xf>
    <xf numFmtId="0" fontId="159" fillId="19" borderId="31" xfId="3" applyFont="1" applyFill="1" applyBorder="1" applyAlignment="1">
      <alignment horizontal="center" vertical="center"/>
    </xf>
    <xf numFmtId="0" fontId="159" fillId="19" borderId="34" xfId="3" applyFont="1" applyFill="1" applyBorder="1" applyAlignment="1">
      <alignment horizontal="center" vertical="center"/>
    </xf>
    <xf numFmtId="0" fontId="159" fillId="19" borderId="14" xfId="3" applyFont="1" applyFill="1" applyBorder="1" applyAlignment="1">
      <alignment horizontal="center" vertical="center"/>
    </xf>
    <xf numFmtId="0" fontId="159" fillId="19" borderId="0" xfId="3" applyFont="1" applyFill="1" applyAlignment="1">
      <alignment horizontal="center" vertical="center"/>
    </xf>
    <xf numFmtId="0" fontId="159" fillId="19" borderId="19" xfId="3" applyFont="1" applyFill="1" applyBorder="1" applyAlignment="1">
      <alignment horizontal="center" vertical="center"/>
    </xf>
    <xf numFmtId="0" fontId="157" fillId="19" borderId="19" xfId="3" applyFont="1" applyFill="1" applyBorder="1" applyAlignment="1">
      <alignment horizontal="center" vertical="center"/>
    </xf>
    <xf numFmtId="0" fontId="160" fillId="19" borderId="14" xfId="3" applyFont="1" applyFill="1" applyBorder="1" applyAlignment="1">
      <alignment horizontal="center" vertical="center"/>
    </xf>
    <xf numFmtId="0" fontId="160" fillId="19" borderId="0" xfId="3" applyFont="1" applyFill="1" applyAlignment="1">
      <alignment horizontal="center" vertical="center"/>
    </xf>
    <xf numFmtId="0" fontId="162" fillId="19" borderId="0" xfId="3" applyFont="1" applyFill="1" applyAlignment="1">
      <alignment horizontal="center" vertical="center"/>
    </xf>
    <xf numFmtId="0" fontId="85" fillId="19" borderId="37" xfId="3" applyFont="1" applyFill="1" applyBorder="1" applyAlignment="1">
      <alignment horizontal="center" vertical="center"/>
    </xf>
    <xf numFmtId="0" fontId="163" fillId="19" borderId="14" xfId="3" applyFont="1" applyFill="1" applyBorder="1" applyAlignment="1">
      <alignment horizontal="center" vertical="center"/>
    </xf>
    <xf numFmtId="0" fontId="85" fillId="19" borderId="14" xfId="3" applyFont="1" applyFill="1" applyBorder="1" applyAlignment="1">
      <alignment horizontal="center" vertical="center"/>
    </xf>
    <xf numFmtId="0" fontId="18" fillId="19" borderId="14" xfId="3" applyFont="1" applyFill="1" applyBorder="1" applyAlignment="1">
      <alignment horizontal="left" vertical="center"/>
    </xf>
    <xf numFmtId="0" fontId="164" fillId="0" borderId="0" xfId="2" applyFont="1" applyAlignment="1">
      <alignment horizontal="center" vertical="center"/>
    </xf>
    <xf numFmtId="0" fontId="155" fillId="19" borderId="0" xfId="5" applyFont="1" applyFill="1" applyAlignment="1">
      <alignment horizontal="center" vertical="center"/>
    </xf>
    <xf numFmtId="0" fontId="75" fillId="29" borderId="19" xfId="3" quotePrefix="1" applyFont="1" applyFill="1" applyBorder="1" applyAlignment="1">
      <alignment horizontal="center" vertical="center"/>
    </xf>
    <xf numFmtId="0" fontId="75" fillId="29" borderId="14" xfId="3" applyFont="1" applyFill="1" applyBorder="1" applyAlignment="1">
      <alignment horizontal="center" vertical="center"/>
    </xf>
    <xf numFmtId="0" fontId="75" fillId="29" borderId="19" xfId="3" applyFont="1" applyFill="1" applyBorder="1" applyAlignment="1">
      <alignment horizontal="center" vertical="center"/>
    </xf>
    <xf numFmtId="0" fontId="146" fillId="19" borderId="36" xfId="3" applyFont="1" applyFill="1" applyBorder="1" applyAlignment="1">
      <alignment horizontal="center" vertical="center"/>
    </xf>
    <xf numFmtId="0" fontId="154" fillId="19" borderId="36" xfId="5" applyFont="1" applyFill="1" applyBorder="1" applyAlignment="1">
      <alignment horizontal="center" vertical="center"/>
    </xf>
    <xf numFmtId="0" fontId="75" fillId="29" borderId="37" xfId="3" applyFont="1" applyFill="1" applyBorder="1" applyAlignment="1">
      <alignment horizontal="center" vertical="center"/>
    </xf>
    <xf numFmtId="0" fontId="165" fillId="7" borderId="12" xfId="3" applyFont="1" applyFill="1" applyBorder="1" applyAlignment="1">
      <alignment horizontal="center" vertical="center"/>
    </xf>
    <xf numFmtId="0" fontId="166" fillId="12" borderId="12" xfId="2" applyFont="1" applyFill="1" applyBorder="1" applyAlignment="1">
      <alignment horizontal="center" vertical="center"/>
    </xf>
    <xf numFmtId="0" fontId="166" fillId="5" borderId="12" xfId="2" applyFont="1" applyFill="1" applyBorder="1" applyAlignment="1">
      <alignment horizontal="center" vertical="center"/>
    </xf>
    <xf numFmtId="0" fontId="165" fillId="7" borderId="12" xfId="3" quotePrefix="1" applyFont="1" applyFill="1" applyBorder="1" applyAlignment="1">
      <alignment horizontal="center" vertical="center"/>
    </xf>
    <xf numFmtId="0" fontId="167" fillId="0" borderId="0" xfId="2" applyFont="1"/>
    <xf numFmtId="0" fontId="21" fillId="0" borderId="12" xfId="2" applyFont="1" applyBorder="1" applyAlignment="1">
      <alignment horizontal="center" vertical="center"/>
    </xf>
    <xf numFmtId="0" fontId="24" fillId="28" borderId="0" xfId="2" applyFont="1" applyFill="1" applyAlignment="1">
      <alignment horizontal="left" vertical="center" readingOrder="1"/>
    </xf>
    <xf numFmtId="0" fontId="10" fillId="7" borderId="0" xfId="3" quotePrefix="1" applyFont="1" applyFill="1" applyAlignment="1">
      <alignment horizontal="center" vertical="center"/>
    </xf>
    <xf numFmtId="0" fontId="75" fillId="2" borderId="7" xfId="3" applyFont="1" applyFill="1" applyBorder="1" applyAlignment="1">
      <alignment horizontal="center" vertical="center"/>
    </xf>
    <xf numFmtId="0" fontId="103" fillId="19" borderId="8" xfId="3" applyFont="1" applyFill="1" applyBorder="1" applyAlignment="1">
      <alignment horizontal="left" vertical="center"/>
    </xf>
    <xf numFmtId="0" fontId="75" fillId="2" borderId="33" xfId="3" applyFont="1" applyFill="1" applyBorder="1" applyAlignment="1">
      <alignment horizontal="center" vertical="center"/>
    </xf>
    <xf numFmtId="0" fontId="15" fillId="7" borderId="34" xfId="3" applyFont="1" applyFill="1" applyBorder="1" applyAlignment="1">
      <alignment horizontal="center" vertical="center"/>
    </xf>
    <xf numFmtId="0" fontId="14" fillId="19" borderId="34" xfId="3" applyFont="1" applyFill="1" applyBorder="1" applyAlignment="1">
      <alignment horizontal="center" vertical="center"/>
    </xf>
    <xf numFmtId="0" fontId="107" fillId="19" borderId="35" xfId="3" applyFont="1" applyFill="1" applyBorder="1" applyAlignment="1">
      <alignment horizontal="left" vertical="center"/>
    </xf>
    <xf numFmtId="0" fontId="112" fillId="0" borderId="0" xfId="0" applyFont="1"/>
    <xf numFmtId="0" fontId="90" fillId="0" borderId="0" xfId="3" applyAlignment="1">
      <alignment vertical="center"/>
    </xf>
    <xf numFmtId="0" fontId="90" fillId="0" borderId="0" xfId="3" applyAlignment="1">
      <alignment horizontal="center" vertical="center"/>
    </xf>
    <xf numFmtId="0" fontId="90" fillId="2" borderId="0" xfId="3" applyFill="1"/>
    <xf numFmtId="0" fontId="0" fillId="2" borderId="0" xfId="0" applyFill="1" applyAlignment="1">
      <alignment horizontal="center" vertical="center"/>
    </xf>
    <xf numFmtId="0" fontId="168" fillId="19" borderId="19" xfId="3" applyFont="1" applyFill="1" applyBorder="1" applyAlignment="1">
      <alignment horizontal="center" vertical="center"/>
    </xf>
    <xf numFmtId="0" fontId="168" fillId="19" borderId="0" xfId="3" applyFont="1" applyFill="1" applyAlignment="1">
      <alignment horizontal="center" vertical="center"/>
    </xf>
    <xf numFmtId="0" fontId="169" fillId="19" borderId="0" xfId="3" applyFont="1" applyFill="1" applyAlignment="1">
      <alignment horizontal="center" vertical="center"/>
    </xf>
    <xf numFmtId="0" fontId="169" fillId="19" borderId="31" xfId="3" applyFont="1" applyFill="1" applyBorder="1" applyAlignment="1">
      <alignment horizontal="center" vertical="center"/>
    </xf>
    <xf numFmtId="0" fontId="169" fillId="19" borderId="34" xfId="3" applyFont="1" applyFill="1" applyBorder="1" applyAlignment="1">
      <alignment horizontal="center" vertical="center"/>
    </xf>
    <xf numFmtId="0" fontId="24" fillId="2" borderId="0" xfId="2" applyFont="1" applyFill="1"/>
    <xf numFmtId="0" fontId="24" fillId="2" borderId="0" xfId="2" applyFont="1" applyFill="1" applyAlignment="1">
      <alignment vertical="center"/>
    </xf>
    <xf numFmtId="0" fontId="170" fillId="28" borderId="0" xfId="2" applyFont="1" applyFill="1" applyAlignment="1">
      <alignment horizontal="left" vertical="center" readingOrder="1"/>
    </xf>
    <xf numFmtId="0" fontId="110" fillId="2" borderId="0" xfId="2" applyFont="1" applyFill="1"/>
    <xf numFmtId="0" fontId="85" fillId="19" borderId="37" xfId="3" quotePrefix="1" applyFont="1" applyFill="1" applyBorder="1" applyAlignment="1">
      <alignment horizontal="center" vertical="center"/>
    </xf>
    <xf numFmtId="0" fontId="75" fillId="19" borderId="31" xfId="3" quotePrefix="1" applyFont="1" applyFill="1" applyBorder="1" applyAlignment="1">
      <alignment horizontal="center" vertical="center"/>
    </xf>
    <xf numFmtId="0" fontId="75" fillId="19" borderId="34" xfId="3" quotePrefix="1" applyFont="1" applyFill="1" applyBorder="1" applyAlignment="1">
      <alignment horizontal="center" vertical="center"/>
    </xf>
    <xf numFmtId="177" fontId="33" fillId="7" borderId="0" xfId="2" applyNumberFormat="1" applyFont="1" applyFill="1" applyAlignment="1">
      <alignment horizontal="right" vertical="center"/>
    </xf>
    <xf numFmtId="177" fontId="33" fillId="7" borderId="17" xfId="2" applyNumberFormat="1" applyFont="1" applyFill="1" applyBorder="1" applyAlignment="1">
      <alignment horizontal="right" vertical="center"/>
    </xf>
    <xf numFmtId="177" fontId="106" fillId="7" borderId="0" xfId="2" applyNumberFormat="1" applyFont="1" applyFill="1" applyAlignment="1">
      <alignment horizontal="right" vertical="center"/>
    </xf>
    <xf numFmtId="177" fontId="106" fillId="7" borderId="17" xfId="2" applyNumberFormat="1" applyFont="1" applyFill="1" applyBorder="1" applyAlignment="1">
      <alignment horizontal="right" vertical="center"/>
    </xf>
    <xf numFmtId="0" fontId="0" fillId="0" borderId="12" xfId="0" applyBorder="1" applyAlignment="1">
      <alignment horizontal="center" vertical="center"/>
    </xf>
    <xf numFmtId="0" fontId="62" fillId="2" borderId="9" xfId="0" applyFont="1" applyFill="1" applyBorder="1" applyAlignment="1">
      <alignment horizontal="center" vertical="center"/>
    </xf>
    <xf numFmtId="0" fontId="62" fillId="2" borderId="11" xfId="0" applyFont="1" applyFill="1" applyBorder="1" applyAlignment="1">
      <alignment horizontal="center" vertical="center"/>
    </xf>
    <xf numFmtId="0" fontId="62" fillId="2" borderId="1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textRotation="255"/>
    </xf>
    <xf numFmtId="0" fontId="0" fillId="0" borderId="22" xfId="0" applyBorder="1" applyAlignment="1">
      <alignment horizontal="center" vertical="center" textRotation="255"/>
    </xf>
    <xf numFmtId="0" fontId="0" fillId="0" borderId="32" xfId="0" applyBorder="1" applyAlignment="1">
      <alignment horizontal="center" vertical="center" textRotation="255"/>
    </xf>
    <xf numFmtId="0" fontId="0" fillId="0" borderId="21" xfId="0" applyBorder="1" applyAlignment="1">
      <alignment horizontal="center" vertical="center" textRotation="255"/>
    </xf>
    <xf numFmtId="0" fontId="171" fillId="10" borderId="18" xfId="2" applyFont="1" applyFill="1" applyBorder="1" applyAlignment="1">
      <alignment vertical="center"/>
    </xf>
    <xf numFmtId="0" fontId="171" fillId="10" borderId="19" xfId="2" applyFont="1" applyFill="1" applyBorder="1" applyAlignment="1">
      <alignment vertical="center"/>
    </xf>
    <xf numFmtId="0" fontId="172" fillId="10" borderId="18" xfId="2" applyFont="1" applyFill="1" applyBorder="1" applyAlignment="1">
      <alignment vertical="center"/>
    </xf>
    <xf numFmtId="0" fontId="172" fillId="10" borderId="19" xfId="2" applyFont="1" applyFill="1" applyBorder="1" applyAlignment="1">
      <alignment vertical="center"/>
    </xf>
    <xf numFmtId="0" fontId="173" fillId="10" borderId="20" xfId="2" applyFont="1" applyFill="1" applyBorder="1" applyAlignment="1">
      <alignment vertical="center"/>
    </xf>
  </cellXfs>
  <cellStyles count="6">
    <cellStyle name="一般" xfId="0" builtinId="0"/>
    <cellStyle name="一般 2" xfId="3" xr:uid="{69583AAF-7D73-4774-AEFE-CA00E081136C}"/>
    <cellStyle name="一般 3" xfId="4" xr:uid="{4B66882D-17A5-4AD2-A0E1-6D55FEB1FFEB}"/>
    <cellStyle name="一般 3 2" xfId="2" xr:uid="{703AF641-2554-41E3-A1E3-F082EFEA06AE}"/>
    <cellStyle name="一般 4" xfId="1" xr:uid="{D00E67AF-1809-4A9B-A488-D9A10688594D}"/>
    <cellStyle name="一般 6" xfId="5" xr:uid="{0EB6897E-7F93-446D-9B79-8E5A8DB70129}"/>
  </cellStyles>
  <dxfs count="98"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Iansui 094"/>
        <family val="3"/>
        <charset val="136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Iansui 094"/>
        <family val="3"/>
        <charset val="136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Iansui 094"/>
        <family val="3"/>
        <charset val="136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Iansui 094"/>
        <family val="3"/>
        <charset val="136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Iansui 094"/>
        <family val="3"/>
        <charset val="136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Iansui 094"/>
        <family val="3"/>
        <charset val="136"/>
        <scheme val="none"/>
      </font>
      <fill>
        <patternFill patternType="solid">
          <fgColor indexed="64"/>
          <bgColor theme="3" tint="0.89999084444715716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Iansui 094"/>
        <family val="3"/>
        <charset val="136"/>
        <scheme val="none"/>
      </font>
      <numFmt numFmtId="0" formatCode="General"/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Iansui 094"/>
        <family val="3"/>
        <charset val="136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Iansui 094"/>
        <family val="3"/>
        <charset val="136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Iansui 094"/>
        <family val="3"/>
        <charset val="136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Iansui 094"/>
        <family val="3"/>
        <charset val="136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Iansui 094"/>
        <family val="3"/>
        <charset val="136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Noto Serif TC Medium"/>
        <family val="1"/>
        <charset val="136"/>
        <scheme val="none"/>
      </font>
      <fill>
        <patternFill patternType="solid">
          <fgColor rgb="FF000000"/>
          <bgColor rgb="FFFDE9D9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Iansui 094"/>
        <family val="3"/>
        <charset val="136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rgb="FF44B3E1"/>
        </bottom>
      </border>
    </dxf>
    <dxf>
      <border outline="0">
        <top style="thin">
          <color rgb="FF000000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rgb="FF000000"/>
        <name val="Iansui 094"/>
        <family val="3"/>
        <charset val="136"/>
        <scheme val="none"/>
      </font>
      <fill>
        <patternFill patternType="solid">
          <fgColor rgb="FF000000"/>
          <bgColor rgb="FFDAE9F8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Noto Sans TC"/>
        <family val="2"/>
        <scheme val="none"/>
      </font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</font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rgb="FF000000"/>
        <family val="1"/>
      </font>
      <alignment horizontal="left" vertical="bottom" textRotation="0" wrapText="0" indent="1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新細明體"/>
        <family val="1"/>
        <charset val="136"/>
        <scheme val="minor"/>
      </font>
      <alignment horizontal="left" vertical="bottom" textRotation="0" wrapText="0" relativeIndent="1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新細明體"/>
        <family val="1"/>
        <charset val="136"/>
        <scheme val="minor"/>
      </font>
      <alignment horizontal="left" vertical="bottom" textRotation="0" wrapText="0" relativeIndent="1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新細明體"/>
        <family val="1"/>
        <charset val="136"/>
        <scheme val="minor"/>
      </font>
      <alignment horizontal="left" vertical="bottom" textRotation="0" wrapText="0" relativeIndent="1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新細明體"/>
        <family val="1"/>
        <charset val="136"/>
        <scheme val="minor"/>
      </font>
      <alignment horizontal="left" vertical="bottom" textRotation="0" wrapText="0" relativeIndent="1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新細明體"/>
        <family val="1"/>
        <charset val="136"/>
        <scheme val="minor"/>
      </font>
      <alignment horizontal="left" vertical="bottom" textRotation="0" wrapText="0" relativeIndent="1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新細明體"/>
        <family val="1"/>
        <charset val="136"/>
        <scheme val="minor"/>
      </font>
      <alignment horizontal="left" vertical="bottom" textRotation="0" wrapText="0" relativeIndent="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新細明體"/>
        <family val="1"/>
        <charset val="136"/>
        <scheme val="minor"/>
      </font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新細明體"/>
        <family val="1"/>
        <charset val="136"/>
        <scheme val="minor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新細明體"/>
        <family val="1"/>
        <charset val="136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Iansui 094"/>
        <family val="3"/>
        <charset val="136"/>
        <scheme val="none"/>
      </font>
      <fill>
        <patternFill patternType="solid">
          <fgColor indexed="64"/>
          <bgColor theme="3" tint="0.89999084444715716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Iansui 094"/>
        <family val="3"/>
        <charset val="136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Iansui 094"/>
        <family val="3"/>
        <charset val="136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Iansui 094"/>
        <family val="3"/>
        <charset val="136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Iansui 094"/>
        <family val="3"/>
        <charset val="136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Iansui 094"/>
        <family val="3"/>
        <charset val="136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Iansui 094"/>
        <family val="3"/>
        <charset val="136"/>
        <scheme val="none"/>
      </font>
      <numFmt numFmtId="0" formatCode="General"/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Iansui 094"/>
        <family val="3"/>
        <charset val="136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Iansui 094"/>
        <family val="3"/>
        <charset val="136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Iansui 094"/>
        <family val="3"/>
        <charset val="136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Iansui 094"/>
        <family val="3"/>
        <charset val="136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Noto Serif TC Medium"/>
        <family val="1"/>
        <charset val="136"/>
        <scheme val="none"/>
      </font>
      <fill>
        <patternFill patternType="solid">
          <fgColor rgb="FF000000"/>
          <bgColor rgb="FFFDE9D9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Iansui 094"/>
        <family val="3"/>
        <charset val="136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Iansui 094"/>
        <family val="3"/>
        <charset val="136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Noto Sans TC"/>
        <family val="2"/>
        <scheme val="none"/>
      </font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Iansui 094"/>
        <family val="3"/>
        <charset val="136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Iansui 094"/>
        <family val="3"/>
        <charset val="136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Iansui 094"/>
        <family val="3"/>
        <charset val="136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Iansui 094"/>
        <family val="3"/>
        <charset val="136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Iansui 094"/>
        <family val="3"/>
        <charset val="136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Times New Roman"/>
        <family val="1"/>
        <scheme val="none"/>
      </font>
      <fill>
        <patternFill patternType="solid">
          <fgColor rgb="FF000000"/>
          <bgColor rgb="FFD8E4BC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8"/>
        <name val="Iansui 094"/>
        <family val="3"/>
        <charset val="136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8"/>
        <name val="Times New Roman"/>
        <family val="1"/>
        <scheme val="none"/>
      </font>
      <fill>
        <patternFill patternType="solid">
          <fgColor rgb="FF000000"/>
          <bgColor rgb="FFD8E4BC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Iansui 094"/>
        <family val="3"/>
        <charset val="136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Iansui 094"/>
        <family val="3"/>
        <charset val="136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Noto Serif TC Medium"/>
        <family val="1"/>
        <charset val="136"/>
        <scheme val="none"/>
      </font>
      <fill>
        <patternFill patternType="solid">
          <fgColor rgb="FF000000"/>
          <bgColor rgb="FFFDE9D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/>
        <name val="Noto Serif TC Medium"/>
        <family val="1"/>
        <charset val="136"/>
        <scheme val="none"/>
      </font>
      <numFmt numFmtId="0" formatCode="General"/>
      <fill>
        <patternFill patternType="solid">
          <fgColor indexed="64"/>
          <bgColor theme="2"/>
        </patternFill>
      </fill>
      <alignment horizontal="left" vertical="center" textRotation="0" wrapText="0" indent="1" justifyLastLine="0" shrinkToFit="0" readingOrder="0"/>
    </dxf>
    <dxf>
      <border outline="0">
        <top style="thin">
          <color indexed="64"/>
        </top>
      </border>
    </dxf>
    <dxf>
      <border outline="0">
        <bottom style="double">
          <color indexed="64"/>
        </bottom>
      </border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16</xdr:col>
      <xdr:colOff>600075</xdr:colOff>
      <xdr:row>22</xdr:row>
      <xdr:rowOff>190500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83482B94-4074-4BE0-B2EF-BB05443C4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266700"/>
          <a:ext cx="13173075" cy="579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266699</xdr:rowOff>
    </xdr:from>
    <xdr:to>
      <xdr:col>10</xdr:col>
      <xdr:colOff>487244</xdr:colOff>
      <xdr:row>13</xdr:row>
      <xdr:rowOff>85724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FD3E5373-57E5-867F-CDCE-2F8686A64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266699"/>
          <a:ext cx="8031044" cy="3286125"/>
        </a:xfrm>
        <a:prstGeom prst="rect">
          <a:avLst/>
        </a:prstGeom>
      </xdr:spPr>
    </xdr:pic>
    <xdr:clientData/>
  </xdr:twoCellAnchor>
  <xdr:twoCellAnchor editAs="oneCell">
    <xdr:from>
      <xdr:col>12</xdr:col>
      <xdr:colOff>9524</xdr:colOff>
      <xdr:row>0</xdr:row>
      <xdr:rowOff>234147</xdr:rowOff>
    </xdr:from>
    <xdr:to>
      <xdr:col>21</xdr:col>
      <xdr:colOff>485775</xdr:colOff>
      <xdr:row>15</xdr:row>
      <xdr:rowOff>28575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ED326ACD-4427-6445-E660-7E03E8768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67924" y="234147"/>
          <a:ext cx="8020051" cy="37949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work/rime-tlpa/docs/&#37749;&#30436;&#35373;&#35336;&#35215;&#26684;_&#27827;&#27931;&#26041;&#38899;.xlsx" TargetMode="External"/><Relationship Id="rId2" Type="http://schemas.openxmlformats.org/officeDocument/2006/relationships/externalLinkPath" Target="file:///Z:\home\alanjui\workspace\rime\rime-tlpa\docs\&#37749;&#30436;&#35373;&#35336;&#35215;&#26684;_&#27827;&#27931;&#26041;&#38899;.xlsx" TargetMode="External"/><Relationship Id="rId1" Type="http://schemas.openxmlformats.org/officeDocument/2006/relationships/externalLinkPath" Target="/work/rime-tlpa/docs/&#37749;&#30436;&#35373;&#35336;&#35215;&#26684;_&#27827;&#27931;&#26041;&#3889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鍵盤圖"/>
      <sheetName val="工作表1"/>
      <sheetName val="聲韻母"/>
      <sheetName val="RIME編碼"/>
      <sheetName val="RIME編碼 (2)"/>
      <sheetName val="RIME對映編碼"/>
      <sheetName val="說明"/>
      <sheetName val="原方音鍵盤圖"/>
      <sheetName val="工作表3"/>
      <sheetName val="RIME對映編碼 (Schema解析)"/>
      <sheetName val=" 河洛方音鍵盤設計"/>
      <sheetName val="RIME解析(BoPoMoFo)"/>
      <sheetName val="RIME對映編碼 (BoPoMoFo)"/>
      <sheetName val="RIME對映編碼 (萌台語)"/>
      <sheetName val="RIME對映編碼 (台語方音)"/>
      <sheetName val="RIME對映編碼 (注音符號)"/>
      <sheetName val="RIME對映編碼 (注音符號V2)"/>
      <sheetName val="RIME對映編碼 (台語方音V3)"/>
      <sheetName val="注音符號字典編碼"/>
      <sheetName val="RIME對映編碼 (原設計)"/>
      <sheetName val="RIME指令 (與漢字拼音相容版)"/>
      <sheetName val="工作表2"/>
      <sheetName val=" 河洛方音鍵盤設計 (V1)"/>
      <sheetName val="RIME對映編碼 (河洛方音)"/>
    </sheetNames>
    <sheetDataSet>
      <sheetData sheetId="0" refreshError="1"/>
      <sheetData sheetId="1" refreshError="1"/>
      <sheetData sheetId="2" refreshError="1"/>
      <sheetData sheetId="3" refreshError="1">
        <row r="3">
          <cell r="W3" t="str">
            <v>1</v>
          </cell>
          <cell r="AA3" t="str">
            <v>ㄅ</v>
          </cell>
          <cell r="AB3" t="str">
            <v>p</v>
          </cell>
          <cell r="AC3" t="str">
            <v>p</v>
          </cell>
        </row>
        <row r="4">
          <cell r="W4" t="str">
            <v>q</v>
          </cell>
          <cell r="AA4" t="str">
            <v>ㄆ</v>
          </cell>
          <cell r="AB4" t="str">
            <v>P</v>
          </cell>
          <cell r="AC4" t="str">
            <v>ph</v>
          </cell>
        </row>
        <row r="5">
          <cell r="W5" t="str">
            <v>a</v>
          </cell>
          <cell r="AA5" t="str">
            <v>ㄇ</v>
          </cell>
          <cell r="AB5" t="str">
            <v>m</v>
          </cell>
          <cell r="AC5" t="str">
            <v>m</v>
          </cell>
        </row>
        <row r="6">
          <cell r="W6" t="str">
            <v>z</v>
          </cell>
          <cell r="AA6" t="str">
            <v>ﾟ</v>
          </cell>
          <cell r="AB6">
            <v>0</v>
          </cell>
          <cell r="AC6" t="str">
            <v>Z</v>
          </cell>
        </row>
        <row r="7">
          <cell r="W7" t="str">
            <v>2</v>
          </cell>
          <cell r="AA7" t="str">
            <v>ㄉ</v>
          </cell>
          <cell r="AB7" t="str">
            <v>t</v>
          </cell>
          <cell r="AC7" t="str">
            <v>t</v>
          </cell>
        </row>
        <row r="8">
          <cell r="W8" t="str">
            <v>w</v>
          </cell>
          <cell r="AA8" t="str">
            <v>ㄊ</v>
          </cell>
          <cell r="AB8" t="str">
            <v>T</v>
          </cell>
          <cell r="AC8" t="str">
            <v>th</v>
          </cell>
        </row>
        <row r="9">
          <cell r="W9" t="str">
            <v>s</v>
          </cell>
          <cell r="AA9" t="str">
            <v>ㄋ</v>
          </cell>
          <cell r="AB9" t="str">
            <v>n</v>
          </cell>
          <cell r="AC9" t="str">
            <v>n</v>
          </cell>
        </row>
        <row r="10">
          <cell r="W10" t="str">
            <v>x</v>
          </cell>
          <cell r="AA10" t="str">
            <v>ㄌ</v>
          </cell>
          <cell r="AB10" t="str">
            <v>l</v>
          </cell>
          <cell r="AC10" t="str">
            <v>l</v>
          </cell>
        </row>
        <row r="11">
          <cell r="W11">
            <v>3</v>
          </cell>
          <cell r="AA11" t="str">
            <v>˪</v>
          </cell>
          <cell r="AB11">
            <v>3</v>
          </cell>
          <cell r="AC11">
            <v>3</v>
          </cell>
        </row>
        <row r="12">
          <cell r="W12" t="str">
            <v>e</v>
          </cell>
          <cell r="AA12" t="str">
            <v>ㄍ</v>
          </cell>
          <cell r="AB12" t="str">
            <v>k</v>
          </cell>
          <cell r="AC12" t="str">
            <v>k</v>
          </cell>
        </row>
        <row r="13">
          <cell r="W13" t="str">
            <v>d</v>
          </cell>
          <cell r="AA13" t="str">
            <v>ㄎ</v>
          </cell>
          <cell r="AB13" t="str">
            <v>K</v>
          </cell>
          <cell r="AC13" t="str">
            <v>kh</v>
          </cell>
        </row>
        <row r="14">
          <cell r="W14" t="str">
            <v>c</v>
          </cell>
          <cell r="AA14" t="str">
            <v>ㄏ</v>
          </cell>
          <cell r="AB14" t="str">
            <v>h</v>
          </cell>
          <cell r="AC14" t="str">
            <v>h</v>
          </cell>
        </row>
        <row r="15">
          <cell r="W15">
            <v>4</v>
          </cell>
          <cell r="AA15" t="str">
            <v>ˋ</v>
          </cell>
          <cell r="AB15">
            <v>2</v>
          </cell>
          <cell r="AC15">
            <v>2</v>
          </cell>
        </row>
        <row r="16">
          <cell r="W16" t="str">
            <v>r</v>
          </cell>
          <cell r="AB16" t="str">
            <v/>
          </cell>
        </row>
        <row r="17">
          <cell r="W17" t="str">
            <v>f</v>
          </cell>
          <cell r="AB17" t="str">
            <v/>
          </cell>
        </row>
        <row r="18">
          <cell r="W18" t="str">
            <v>v</v>
          </cell>
          <cell r="AA18" t="str">
            <v>ㄫ</v>
          </cell>
          <cell r="AB18" t="str">
            <v>f</v>
          </cell>
          <cell r="AC18" t="str">
            <v>ng</v>
          </cell>
        </row>
        <row r="19">
          <cell r="W19">
            <v>5</v>
          </cell>
          <cell r="AB19" t="str">
            <v/>
          </cell>
        </row>
        <row r="20">
          <cell r="W20" t="str">
            <v>t</v>
          </cell>
          <cell r="AA20" t="str">
            <v>ㆠ</v>
          </cell>
          <cell r="AB20" t="str">
            <v>b</v>
          </cell>
          <cell r="AC20" t="str">
            <v>b</v>
          </cell>
        </row>
        <row r="21">
          <cell r="W21" t="str">
            <v>g</v>
          </cell>
          <cell r="AA21" t="str">
            <v>ㆣ</v>
          </cell>
          <cell r="AB21" t="str">
            <v>g</v>
          </cell>
          <cell r="AC21" t="str">
            <v>g</v>
          </cell>
        </row>
        <row r="22">
          <cell r="W22" t="str">
            <v>b</v>
          </cell>
          <cell r="AA22" t="str">
            <v>ㆡ</v>
          </cell>
          <cell r="AB22" t="str">
            <v>j</v>
          </cell>
          <cell r="AC22" t="str">
            <v>j</v>
          </cell>
        </row>
        <row r="23">
          <cell r="W23">
            <v>6</v>
          </cell>
          <cell r="AA23" t="str">
            <v>ˊ</v>
          </cell>
          <cell r="AB23">
            <v>5</v>
          </cell>
          <cell r="AC23">
            <v>5</v>
          </cell>
        </row>
        <row r="24">
          <cell r="W24" t="str">
            <v>y</v>
          </cell>
          <cell r="AA24" t="str">
            <v>ㄗ</v>
          </cell>
          <cell r="AB24" t="str">
            <v>c</v>
          </cell>
          <cell r="AC24" t="str">
            <v>c</v>
          </cell>
        </row>
        <row r="25">
          <cell r="W25" t="str">
            <v>h</v>
          </cell>
          <cell r="AA25" t="str">
            <v>ㄘ</v>
          </cell>
          <cell r="AB25" t="str">
            <v>C</v>
          </cell>
          <cell r="AC25" t="str">
            <v>ch</v>
          </cell>
        </row>
        <row r="26">
          <cell r="W26" t="str">
            <v>n</v>
          </cell>
          <cell r="AA26" t="str">
            <v>ㄙ</v>
          </cell>
          <cell r="AB26" t="str">
            <v>s</v>
          </cell>
          <cell r="AC26" t="str">
            <v>s</v>
          </cell>
        </row>
        <row r="27">
          <cell r="W27">
            <v>7</v>
          </cell>
          <cell r="AA27" t="str">
            <v>˫</v>
          </cell>
          <cell r="AB27">
            <v>7</v>
          </cell>
          <cell r="AC27">
            <v>7</v>
          </cell>
        </row>
        <row r="28">
          <cell r="W28" t="str">
            <v>u</v>
          </cell>
          <cell r="AA28" t="str">
            <v>ㄧ</v>
          </cell>
          <cell r="AB28" t="str">
            <v>i</v>
          </cell>
          <cell r="AC28" t="str">
            <v>i</v>
          </cell>
        </row>
        <row r="29">
          <cell r="W29" t="str">
            <v>j</v>
          </cell>
          <cell r="AA29" t="str">
            <v>ㄨ</v>
          </cell>
          <cell r="AB29" t="str">
            <v>u</v>
          </cell>
          <cell r="AC29" t="str">
            <v>u</v>
          </cell>
        </row>
        <row r="30">
          <cell r="W30" t="str">
            <v>m</v>
          </cell>
          <cell r="AA30" t="str">
            <v>ㆬ</v>
          </cell>
          <cell r="AB30" t="str">
            <v>Ｍ</v>
          </cell>
          <cell r="AC30" t="str">
            <v>M</v>
          </cell>
        </row>
        <row r="31">
          <cell r="W31">
            <v>8</v>
          </cell>
          <cell r="AA31" t="str">
            <v>ㄚ</v>
          </cell>
          <cell r="AB31" t="str">
            <v>a</v>
          </cell>
          <cell r="AC31" t="str">
            <v>a</v>
          </cell>
        </row>
        <row r="32">
          <cell r="W32" t="str">
            <v>i</v>
          </cell>
          <cell r="AA32" t="str">
            <v>ㆦ</v>
          </cell>
          <cell r="AB32" t="str">
            <v>O</v>
          </cell>
          <cell r="AC32" t="str">
            <v>oo</v>
          </cell>
        </row>
        <row r="33">
          <cell r="W33" t="str">
            <v>k</v>
          </cell>
          <cell r="AA33" t="str">
            <v>ㄜ</v>
          </cell>
          <cell r="AB33" t="str">
            <v>o</v>
          </cell>
          <cell r="AC33" t="str">
            <v>o</v>
          </cell>
        </row>
        <row r="34">
          <cell r="W34" t="str">
            <v>,</v>
          </cell>
          <cell r="AA34" t="str">
            <v>ㄝ</v>
          </cell>
          <cell r="AB34" t="str">
            <v>e</v>
          </cell>
          <cell r="AC34" t="str">
            <v>e</v>
          </cell>
        </row>
        <row r="35">
          <cell r="W35">
            <v>9</v>
          </cell>
        </row>
        <row r="36">
          <cell r="W36" t="str">
            <v>o</v>
          </cell>
          <cell r="AA36" t="str">
            <v>Ｐ</v>
          </cell>
          <cell r="AB36" t="str">
            <v>P</v>
          </cell>
          <cell r="AC36" t="str">
            <v>P</v>
          </cell>
        </row>
        <row r="37">
          <cell r="W37" t="str">
            <v>l</v>
          </cell>
          <cell r="AA37" t="str">
            <v>Ｌ</v>
          </cell>
          <cell r="AB37" t="str">
            <v>L</v>
          </cell>
          <cell r="AC37" t="str">
            <v>L</v>
          </cell>
        </row>
        <row r="38">
          <cell r="W38" t="str">
            <v>.</v>
          </cell>
          <cell r="AA38" t="str">
            <v>ㄥ</v>
          </cell>
          <cell r="AB38" t="str">
            <v>F</v>
          </cell>
          <cell r="AC38" t="str">
            <v>ng</v>
          </cell>
        </row>
        <row r="39">
          <cell r="W39">
            <v>0</v>
          </cell>
          <cell r="AB39" t="str">
            <v/>
          </cell>
        </row>
        <row r="40">
          <cell r="W40" t="str">
            <v>p</v>
          </cell>
          <cell r="AA40" t="str">
            <v>ㄣ</v>
          </cell>
          <cell r="AB40" t="str">
            <v>N</v>
          </cell>
          <cell r="AC40" t="str">
            <v>N</v>
          </cell>
        </row>
        <row r="41">
          <cell r="AB41" t="str">
            <v/>
          </cell>
        </row>
        <row r="42">
          <cell r="AB42" t="str">
            <v/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79076CF-6DEF-4E4E-89FE-E37B7352A3DC}" name="注音編碼對照表" displayName="注音編碼對照表" ref="B2:M56" totalsRowShown="0" headerRowBorderDxfId="97" tableBorderDxfId="96">
  <autoFilter ref="B2:M56" xr:uid="{779076CF-6DEF-4E4E-89FE-E37B7352A3DC}"/>
  <tableColumns count="12">
    <tableColumn id="1" xr3:uid="{7ED75D5E-652B-4A3F-A63F-E28CD639A2D8}" name="序號" dataDxfId="95">
      <calculatedColumnFormula xml:space="preserve"> ROW() - 2</calculatedColumnFormula>
    </tableColumn>
    <tableColumn id="2" xr3:uid="{A7CD0E37-FA88-4B7F-9344-02DCFD03CA57}" name="國際音標" dataDxfId="94">
      <calculatedColumnFormula array="1">IFERROR( INDEX(按鍵設計!$U$5:$U$61, MATCH(TRUE, EXACT(注音編碼對照表[[#This Row],[聲韻調]], 按鍵設計!$V$5:$V$61),0)), "")</calculatedColumnFormula>
    </tableColumn>
    <tableColumn id="11" xr3:uid="{BB39CDFB-3D3E-45A5-916C-D2BE21BAE0DF}" name="台語音標" dataDxfId="93" dataCellStyle="一般 2"/>
    <tableColumn id="5" xr3:uid="{D8D8222D-C8AE-4DF4-A34E-931893A344C9}" name="注音符號" dataDxfId="92">
      <calculatedColumnFormula array="1">IFERROR( INDEX(按鍵設計!$AA$5:$AA$61, MATCH(TRUE, EXACT(注音編碼對照表[[#This Row],[聲韻調]], 按鍵設計!$V$5:$V$61),0)), "")</calculatedColumnFormula>
    </tableColumn>
    <tableColumn id="7" xr3:uid="{F4C14CB4-A82C-41D9-AF30-BE553CA46FA3}" name="漢字例" dataDxfId="91"/>
    <tableColumn id="4" xr3:uid="{529434D2-88AB-4124-93AE-208E9AF52CB4}" name="聲韻調" dataDxfId="90"/>
    <tableColumn id="6" xr3:uid="{5020FE3A-F6A8-4B02-9B83-6BADE97A0BE0}" name="十五音" dataDxfId="89"/>
    <tableColumn id="14" xr3:uid="{E15C63A2-8D81-44BC-BC9D-967FBCA1E70F}" name="台羅拼音" dataDxfId="88" dataCellStyle="一般 2"/>
    <tableColumn id="15" xr3:uid="{EBF5310D-AC07-4DFD-8654-08DE56842C18}" name="白話字" dataDxfId="87" dataCellStyle="一般 2"/>
    <tableColumn id="16" xr3:uid="{E6110744-4B43-4FF7-A580-16DF8A2D4934}" name="閩拼方案" dataDxfId="86" dataCellStyle="一般 2"/>
    <tableColumn id="13" xr3:uid="{CD72C934-516E-4A85-A669-DBC115EDF44A}" name="注音二式" dataDxfId="85" dataCellStyle="一般 2"/>
    <tableColumn id="12" xr3:uid="{2C8F8A8E-1170-4D24-8D47-F113A13A2975}" name="附註" dataDxfId="84" dataCellStyle="一般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53A84B1-F045-4CD4-B00E-3B483CD1E9BC}" name="按鍵設計表" displayName="按鍵設計表" ref="B4:O61" totalsRowShown="0" headerRowDxfId="83" dataDxfId="81" headerRowBorderDxfId="82" tableBorderDxfId="80" headerRowCellStyle="一般 2" dataCellStyle="一般 2">
  <autoFilter ref="B4:O61" xr:uid="{653A84B1-F045-4CD4-B00E-3B483CD1E9BC}"/>
  <tableColumns count="14">
    <tableColumn id="1" xr3:uid="{423B74D9-3D3F-4B2B-8D68-A4E9171D5CB7}" name="序號" dataDxfId="79" dataCellStyle="一般 2"/>
    <tableColumn id="2" xr3:uid="{396D49D7-AA99-4DEA-9619-65E7FD5D39AB}" name="鍵盤按鍵" dataDxfId="78" dataCellStyle="一般 2"/>
    <tableColumn id="10" xr3:uid="{2D2B98EC-C142-4468-A128-24EC2D6326D3}" name="台語音標" dataDxfId="77" dataCellStyle="一般 2"/>
    <tableColumn id="11" xr3:uid="{DFD3657A-74DA-43AF-B274-26D7D83B84BD}" name="字典編碼" dataDxfId="76" dataCellStyle="一般 2"/>
    <tableColumn id="32" xr3:uid="{2EBF262A-59FA-4CEA-9FE9-A9C33BBB94D3}" name="極簡編碼"/>
    <tableColumn id="4" xr3:uid="{235A3757-E71F-4A17-A84D-41CE930C6F69}" name="注音符號" dataDxfId="75" dataCellStyle="一般 2">
      <calculatedColumnFormula array="1" xml:space="preserve"> IFERROR( INDEX(AG5:$AG$54, MATCH(TRUE, EXACT($C5, $AE$5:$AE$54), 0)), "")</calculatedColumnFormula>
    </tableColumn>
    <tableColumn id="31" xr3:uid="{94119C55-586E-48AD-B200-53B896969860}" name="漢字例" dataDxfId="74" dataCellStyle="一般 2"/>
    <tableColumn id="7" xr3:uid="{F1056CD8-A3DD-470F-BA01-3A47106881E2}" name="聲韻調" dataDxfId="73" dataCellStyle="一般 2">
      <calculatedColumnFormula xml:space="preserve"> _xlfn.XLOOKUP(按鍵設計表[[#This Row],[台語音標]], 注音編碼對照表[台語音標], 注音編碼對照表[聲韻調], "")</calculatedColumnFormula>
    </tableColumn>
    <tableColumn id="6" xr3:uid="{43C98D01-F75F-4F2F-A863-AE225770CCD0}" name="十五音" dataDxfId="72" dataCellStyle="一般 2"/>
    <tableColumn id="5" xr3:uid="{FD87CD5D-A668-47A2-81A3-7C73ADB50A00}" name="注音二式" dataDxfId="71" dataCellStyle="一般 2"/>
    <tableColumn id="12" xr3:uid="{85B04DFC-B9DC-4CB5-A240-0A7FBF19873E}" name="台羅拼音" dataDxfId="70" dataCellStyle="一般 2"/>
    <tableColumn id="13" xr3:uid="{F7DD5DEF-4DC1-4CDA-8A57-1F34D99CFDFB}" name="白話字" dataDxfId="69" dataCellStyle="一般 2"/>
    <tableColumn id="9" xr3:uid="{1BE92F35-2EAF-44ED-BB09-073437BE620F}" name="閩拼方案" dataDxfId="68" dataCellStyle="一般 2"/>
    <tableColumn id="8" xr3:uid="{283E1CF3-6561-41D8-B4DF-0A3C621707B0}" name="附註" dataDxfId="67" dataCellStyle="一般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9C67F0-0505-4DE9-8A20-03C4C1AB3D2B}" name="按鍵設計表2" displayName="按鍵設計表2" ref="B4:O61" totalsRowShown="0" headerRowDxfId="29" dataDxfId="28" headerRowBorderDxfId="26" tableBorderDxfId="27" headerRowCellStyle="一般 2" dataCellStyle="一般 2">
  <autoFilter ref="B4:O61" xr:uid="{653A84B1-F045-4CD4-B00E-3B483CD1E9BC}"/>
  <tableColumns count="14">
    <tableColumn id="1" xr3:uid="{87CEB613-088F-436D-9CD9-800AF3CB2CE5}" name="序號" dataDxfId="25" dataCellStyle="一般 2">
      <calculatedColumnFormula xml:space="preserve"> ROW() - 4</calculatedColumnFormula>
    </tableColumn>
    <tableColumn id="2" xr3:uid="{6CD4FCB7-BDC7-4761-BDAC-BA64A3B9651C}" name="鍵盤按鍵" dataDxfId="24" dataCellStyle="一般 2"/>
    <tableColumn id="4" xr3:uid="{DA7D745D-2EC6-41BD-8E02-16A4D53D5E2B}" name="注音符號" dataDxfId="15" dataCellStyle="一般 2"/>
    <tableColumn id="10" xr3:uid="{7ECE8DDD-EBE5-4BE4-8718-68AAAD0E49CE}" name="台語音標" dataDxfId="13" dataCellStyle="一般 2"/>
    <tableColumn id="11" xr3:uid="{D541884B-7096-41AA-B0D8-0C14BE6C60C5}" name="字典編碼" dataDxfId="12" dataCellStyle="一般 2"/>
    <tableColumn id="6" xr3:uid="{75CA73BD-5BB7-4272-85C4-FC7621834618}" name="十五音" dataDxfId="14" dataCellStyle="一般 2"/>
    <tableColumn id="31" xr3:uid="{CBA5149C-9A03-4599-9A74-04D59E23B25F}" name="漢字例" dataDxfId="16" dataCellStyle="一般 2"/>
    <tableColumn id="8" xr3:uid="{F3DAA75C-94C6-451A-A953-D75D02A22C2E}" name="附註" dataDxfId="17" dataCellStyle="一般 2"/>
    <tableColumn id="5" xr3:uid="{542E9DD1-FC55-4933-A19B-C6385D5B0020}" name="注音二式" dataDxfId="23" dataCellStyle="一般 2"/>
    <tableColumn id="12" xr3:uid="{9C1C105A-16AC-4BFA-A0C3-AEBE3E54DC3E}" name="台羅拼音" dataDxfId="22" dataCellStyle="一般 2"/>
    <tableColumn id="13" xr3:uid="{FB451DC7-E3E5-43D1-849B-EFA3D7CFE17E}" name="白話字" dataDxfId="21" dataCellStyle="一般 2"/>
    <tableColumn id="9" xr3:uid="{D651FD97-939B-404F-9F2F-D680FBCE58D2}" name="閩拼方案" dataDxfId="20" dataCellStyle="一般 2"/>
    <tableColumn id="7" xr3:uid="{695F8048-FC5F-423A-8123-DDECB515E837}" name="聲韻調" dataDxfId="18" dataCellStyle="一般 2"/>
    <tableColumn id="32" xr3:uid="{B9E76F5E-E103-4F18-908A-57F42310374C}" name="極簡編碼" dataDxfId="19" dataCellStyle="一般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332761-5FFA-4AA1-A510-7EB68827E47D}" name="方音聲母表格" displayName="方音聲母表格" ref="B3:H9" totalsRowShown="0" headerRowDxfId="66" dataDxfId="64" headerRowBorderDxfId="65" tableBorderDxfId="63" totalsRowBorderDxfId="62">
  <autoFilter ref="B3:H9" xr:uid="{CB332761-5FFA-4AA1-A510-7EB68827E47D}"/>
  <tableColumns count="7">
    <tableColumn id="1" xr3:uid="{D99DF20F-51FB-47D5-B4CC-DA04A48AAC2D}" name="發音部位" dataDxfId="61"/>
    <tableColumn id="2" xr3:uid="{6BC15A71-E0D5-404C-A6A6-8B01367E9B89}" name="塞音(不送氣)" dataDxfId="60"/>
    <tableColumn id="3" xr3:uid="{44295C3E-0304-4D25-AA15-E5C51BA36FD4}" name="塞音(送氣)" dataDxfId="59"/>
    <tableColumn id="4" xr3:uid="{F4CC72CD-7170-4DE4-8D5A-C18C426CA527}" name="濁音" dataDxfId="58"/>
    <tableColumn id="5" xr3:uid="{CE151E5C-E9DA-4A02-AD63-353CCFA6087C}" name="鼻音" dataDxfId="57"/>
    <tableColumn id="6" xr3:uid="{69AB656D-E99F-4EEB-9854-42DF77ECEB05}" name="擦音" dataDxfId="56"/>
    <tableColumn id="7" xr3:uid="{F61BA027-9E56-47A1-8224-3F0734C11F32}" name="邊音" dataDxfId="5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79C6517-7F6D-480E-B1F2-0C6C64BD340C}" name="方音韻母表格" displayName="方音韻母表格" ref="B3:U8" totalsRowShown="0" headerRowDxfId="54" dataDxfId="52" headerRowBorderDxfId="53" tableBorderDxfId="51" totalsRowBorderDxfId="50">
  <tableColumns count="20">
    <tableColumn id="1" xr3:uid="{D5BB5D32-B8B3-4985-99FE-4CAE416F8896}" name="韻腹" dataDxfId="49"/>
    <tableColumn id="2" xr3:uid="{2E75F452-C9EB-485A-898D-31B0B52F386A}" name="a" dataDxfId="48"/>
    <tableColumn id="3" xr3:uid="{232D45FA-6A65-4DC6-83E0-957B07FDBA26}" name="aɪ" dataDxfId="47"/>
    <tableColumn id="4" xr3:uid="{70955649-D6B5-40D6-8690-B978B91DB6A6}" name="aʊ" dataDxfId="46"/>
    <tableColumn id="5" xr3:uid="{17517C7F-5843-41D1-B4A0-D822E2A05A3F}" name="e" dataDxfId="45"/>
    <tableColumn id="6" xr3:uid="{A32FB388-F51D-4A09-8143-A8FE8C2735DE}" name="i" dataDxfId="44"/>
    <tableColumn id="7" xr3:uid="{0E349367-F4AB-4C53-8AD3-78E3A14DA801}" name="ɪa" dataDxfId="43"/>
    <tableColumn id="8" xr3:uid="{79DEC6A5-E8D0-4D21-9F9D-F46FE120B69D}" name="ɪaʊ" dataDxfId="42"/>
    <tableColumn id="9" xr3:uid="{9744BF02-11F5-4A49-94C9-F7ABD46F3CF7}" name="ɪə" dataDxfId="41"/>
    <tableColumn id="10" xr3:uid="{7ECBA68D-4E2D-4AE6-95E9-14B150FB60F3}" name="ɪɔ" dataDxfId="40"/>
    <tableColumn id="11" xr3:uid="{AA74AB0B-66F4-4084-A3FE-D313C4537337}" name="iu" dataDxfId="39"/>
    <tableColumn id="12" xr3:uid="{952CA3C9-B72B-4B4A-8975-0116A219DC35}" name="ə" dataDxfId="38"/>
    <tableColumn id="13" xr3:uid="{889BAAAD-336F-4D7B-A274-546C3C9BAC2F}" name="ɔ" dataDxfId="37"/>
    <tableColumn id="14" xr3:uid="{91C2AF01-8439-4A47-A026-6CDF055DF255}" name="u" dataDxfId="36"/>
    <tableColumn id="15" xr3:uid="{5AC88F01-3D1A-4AB5-A9A0-C569C4DDA3AA}" name="ua" dataDxfId="35"/>
    <tableColumn id="16" xr3:uid="{53FD8BAA-0AD0-4BA5-A488-E8FBF6E3B776}" name="uaɪ" dataDxfId="34"/>
    <tableColumn id="17" xr3:uid="{AA997DB6-667B-42B6-9983-F5C6536CECFC}" name="ue" dataDxfId="33"/>
    <tableColumn id="18" xr3:uid="{07146182-EDC0-48F7-B098-DF65D5099290}" name="ui" dataDxfId="32"/>
    <tableColumn id="19" xr3:uid="{C0F0792E-1F02-4269-AD48-9C7CAC2FFDA8}" name="m" dataDxfId="31"/>
    <tableColumn id="20" xr3:uid="{CC92EBF2-6977-48AE-A3D3-E116BF9C29F9}" name="ŋ" dataDxfId="3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80C3127-2387-46C7-904F-747EF6C757D3}">
  <we:reference id="wa200007447" version="1.1.6.7" store="zh-TW" storeType="OMEX"/>
  <we:alternateReferences>
    <we:reference id="WA200007447" version="1.1.6.7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9A970-BE57-43FE-A6CF-9D1B3551DB21}">
  <sheetPr>
    <tabColor rgb="FFFF0000"/>
  </sheetPr>
  <dimension ref="B1:AA73"/>
  <sheetViews>
    <sheetView topLeftCell="B1" workbookViewId="0">
      <pane ySplit="2" topLeftCell="A41" activePane="bottomLeft" state="frozen"/>
      <selection pane="bottomLeft" activeCell="D43" sqref="D43"/>
    </sheetView>
  </sheetViews>
  <sheetFormatPr defaultRowHeight="23.25" outlineLevelCol="1"/>
  <cols>
    <col min="1" max="1" width="3.296875" customWidth="1"/>
    <col min="2" max="2" width="8.296875" style="2" customWidth="1"/>
    <col min="3" max="3" width="8.296875" customWidth="1" outlineLevel="1"/>
    <col min="4" max="4" width="9" customWidth="1"/>
    <col min="5" max="5" width="9" style="90" customWidth="1"/>
    <col min="6" max="6" width="11.3984375" style="6" customWidth="1"/>
    <col min="7" max="7" width="9" style="90" customWidth="1"/>
    <col min="8" max="12" width="9" style="108" customWidth="1"/>
    <col min="13" max="13" width="43.09765625" style="108" customWidth="1"/>
    <col min="14" max="14" width="33.8984375" style="108" customWidth="1"/>
    <col min="16" max="16" width="10.69921875" style="90" customWidth="1"/>
    <col min="19" max="19" width="10.69921875" customWidth="1"/>
    <col min="21" max="22" width="10.59765625" style="90" customWidth="1"/>
    <col min="24" max="24" width="10.59765625" style="6" customWidth="1"/>
    <col min="27" max="27" width="10.59765625" style="89" customWidth="1"/>
    <col min="31" max="36" width="9.69921875" customWidth="1"/>
  </cols>
  <sheetData>
    <row r="1" spans="2:27" ht="32.25">
      <c r="B1" s="4" t="s">
        <v>0</v>
      </c>
      <c r="C1" s="12"/>
      <c r="D1" s="12"/>
      <c r="E1" s="5"/>
      <c r="F1" s="5"/>
      <c r="G1" s="5"/>
      <c r="H1"/>
      <c r="I1"/>
      <c r="J1"/>
      <c r="K1"/>
      <c r="L1"/>
      <c r="M1"/>
      <c r="N1"/>
      <c r="P1"/>
      <c r="U1"/>
      <c r="V1"/>
      <c r="X1"/>
      <c r="AA1"/>
    </row>
    <row r="2" spans="2:27" ht="42.75" customHeight="1">
      <c r="B2" s="386" t="s">
        <v>2</v>
      </c>
      <c r="C2" s="387" t="s">
        <v>8524</v>
      </c>
      <c r="D2" s="386" t="s">
        <v>225</v>
      </c>
      <c r="E2" s="386" t="s">
        <v>3</v>
      </c>
      <c r="F2" s="386" t="s">
        <v>8569</v>
      </c>
      <c r="G2" s="386" t="s">
        <v>8341</v>
      </c>
      <c r="H2" s="386" t="s">
        <v>8396</v>
      </c>
      <c r="I2" s="386" t="s">
        <v>8514</v>
      </c>
      <c r="J2" s="386" t="s">
        <v>8515</v>
      </c>
      <c r="K2" s="386" t="s">
        <v>8382</v>
      </c>
      <c r="L2" s="386" t="s">
        <v>8220</v>
      </c>
      <c r="M2" s="388" t="s">
        <v>8221</v>
      </c>
      <c r="N2"/>
      <c r="P2"/>
      <c r="Q2" s="90"/>
      <c r="U2"/>
      <c r="V2"/>
      <c r="X2"/>
      <c r="AA2"/>
    </row>
    <row r="3" spans="2:27" ht="43.5">
      <c r="B3" s="383">
        <f t="shared" ref="B3:B34" si="0" xml:space="preserve"> ROW() - 2</f>
        <v>1</v>
      </c>
      <c r="C3" s="384" t="s">
        <v>8491</v>
      </c>
      <c r="D3" s="381" t="s">
        <v>123</v>
      </c>
      <c r="E3" s="381" t="s">
        <v>9</v>
      </c>
      <c r="F3" s="427" t="s">
        <v>8585</v>
      </c>
      <c r="G3" s="381" t="s">
        <v>2451</v>
      </c>
      <c r="H3" s="381" t="s">
        <v>8399</v>
      </c>
      <c r="I3" s="381" t="s">
        <v>123</v>
      </c>
      <c r="J3" s="381" t="s">
        <v>123</v>
      </c>
      <c r="K3" s="381" t="s">
        <v>509</v>
      </c>
      <c r="L3" s="381" t="s">
        <v>509</v>
      </c>
      <c r="M3" s="382"/>
      <c r="N3"/>
      <c r="P3"/>
      <c r="Q3" s="90"/>
      <c r="U3"/>
      <c r="V3"/>
      <c r="X3"/>
      <c r="AA3"/>
    </row>
    <row r="4" spans="2:27" ht="43.5">
      <c r="B4" s="383">
        <f t="shared" si="0"/>
        <v>2</v>
      </c>
      <c r="C4" s="384" t="s">
        <v>8488</v>
      </c>
      <c r="D4" s="381" t="s">
        <v>134</v>
      </c>
      <c r="E4" s="381" t="s">
        <v>5</v>
      </c>
      <c r="F4" s="427" t="s">
        <v>8570</v>
      </c>
      <c r="G4" s="381" t="s">
        <v>8342</v>
      </c>
      <c r="H4" s="381" t="s">
        <v>8397</v>
      </c>
      <c r="I4" s="381" t="s">
        <v>134</v>
      </c>
      <c r="J4" s="381" t="s">
        <v>134</v>
      </c>
      <c r="K4" s="381" t="s">
        <v>123</v>
      </c>
      <c r="L4" s="381" t="s">
        <v>123</v>
      </c>
      <c r="M4" s="385"/>
      <c r="N4"/>
      <c r="P4"/>
      <c r="Q4" s="90"/>
      <c r="U4"/>
      <c r="V4"/>
      <c r="X4"/>
      <c r="AA4"/>
    </row>
    <row r="5" spans="2:27" ht="43.5">
      <c r="B5" s="383">
        <f t="shared" si="0"/>
        <v>3</v>
      </c>
      <c r="C5" s="384" t="s">
        <v>8525</v>
      </c>
      <c r="D5" s="381" t="s">
        <v>227</v>
      </c>
      <c r="E5" s="381" t="s">
        <v>7</v>
      </c>
      <c r="F5" s="427" t="s">
        <v>5772</v>
      </c>
      <c r="G5" s="381" t="s">
        <v>2451</v>
      </c>
      <c r="H5" s="381" t="s">
        <v>8398</v>
      </c>
      <c r="I5" s="381" t="s">
        <v>227</v>
      </c>
      <c r="J5" s="381" t="s">
        <v>227</v>
      </c>
      <c r="K5" s="381" t="s">
        <v>134</v>
      </c>
      <c r="L5" s="381" t="s">
        <v>134</v>
      </c>
      <c r="M5" s="382"/>
      <c r="N5"/>
      <c r="P5"/>
      <c r="Q5" s="90"/>
      <c r="U5"/>
      <c r="V5"/>
      <c r="X5"/>
      <c r="AA5"/>
    </row>
    <row r="6" spans="2:27" ht="44.25" thickBot="1">
      <c r="B6" s="390">
        <f t="shared" si="0"/>
        <v>4</v>
      </c>
      <c r="C6" s="391" t="s">
        <v>8526</v>
      </c>
      <c r="D6" s="392" t="s">
        <v>96</v>
      </c>
      <c r="E6" s="392" t="s">
        <v>54</v>
      </c>
      <c r="F6" s="428" t="s">
        <v>8584</v>
      </c>
      <c r="G6" s="392" t="s">
        <v>2451</v>
      </c>
      <c r="H6" s="392" t="s">
        <v>8399</v>
      </c>
      <c r="I6" s="392" t="s">
        <v>96</v>
      </c>
      <c r="J6" s="392" t="s">
        <v>96</v>
      </c>
      <c r="K6" s="392" t="s">
        <v>8383</v>
      </c>
      <c r="L6" s="392" t="s">
        <v>96</v>
      </c>
      <c r="M6" s="393" t="s">
        <v>8588</v>
      </c>
      <c r="N6"/>
      <c r="P6"/>
      <c r="Q6" s="90"/>
      <c r="U6"/>
      <c r="V6"/>
      <c r="X6"/>
      <c r="AA6"/>
    </row>
    <row r="7" spans="2:27" ht="43.5">
      <c r="B7" s="383">
        <f t="shared" si="0"/>
        <v>5</v>
      </c>
      <c r="C7" s="384" t="s">
        <v>8511</v>
      </c>
      <c r="D7" s="381" t="s">
        <v>16</v>
      </c>
      <c r="E7" s="381" t="s">
        <v>15</v>
      </c>
      <c r="F7" s="448" t="s">
        <v>8571</v>
      </c>
      <c r="G7" s="381" t="s">
        <v>2451</v>
      </c>
      <c r="H7" s="381" t="s">
        <v>8402</v>
      </c>
      <c r="I7" s="381" t="s">
        <v>16</v>
      </c>
      <c r="J7" s="381" t="s">
        <v>16</v>
      </c>
      <c r="K7" s="381" t="s">
        <v>8384</v>
      </c>
      <c r="L7" s="381" t="s">
        <v>16</v>
      </c>
      <c r="M7" s="382" t="s">
        <v>8589</v>
      </c>
      <c r="N7"/>
      <c r="P7"/>
      <c r="Q7" s="90"/>
      <c r="U7"/>
      <c r="V7"/>
      <c r="X7"/>
      <c r="AA7"/>
    </row>
    <row r="8" spans="2:27" ht="43.5">
      <c r="B8" s="383">
        <f t="shared" si="0"/>
        <v>6</v>
      </c>
      <c r="C8" s="384" t="s">
        <v>8489</v>
      </c>
      <c r="D8" s="381" t="s">
        <v>12</v>
      </c>
      <c r="E8" s="381" t="s">
        <v>11</v>
      </c>
      <c r="F8" s="427" t="s">
        <v>8572</v>
      </c>
      <c r="G8" s="381" t="s">
        <v>2451</v>
      </c>
      <c r="H8" s="381" t="s">
        <v>8400</v>
      </c>
      <c r="I8" s="381" t="s">
        <v>12</v>
      </c>
      <c r="J8" s="381" t="s">
        <v>12</v>
      </c>
      <c r="K8" s="381" t="s">
        <v>194</v>
      </c>
      <c r="L8" s="381" t="s">
        <v>184</v>
      </c>
      <c r="M8" s="385"/>
      <c r="N8"/>
      <c r="P8"/>
      <c r="Q8" s="90"/>
      <c r="U8"/>
      <c r="V8"/>
      <c r="X8"/>
      <c r="AA8"/>
    </row>
    <row r="9" spans="2:27" ht="43.5">
      <c r="B9" s="383">
        <f t="shared" si="0"/>
        <v>7</v>
      </c>
      <c r="C9" s="384" t="s">
        <v>8527</v>
      </c>
      <c r="D9" s="381" t="s">
        <v>14</v>
      </c>
      <c r="E9" s="381" t="s">
        <v>13</v>
      </c>
      <c r="F9" s="427" t="s">
        <v>8573</v>
      </c>
      <c r="G9" s="381" t="s">
        <v>2451</v>
      </c>
      <c r="H9" s="381" t="s">
        <v>8401</v>
      </c>
      <c r="I9" s="381" t="s">
        <v>14</v>
      </c>
      <c r="J9" s="381" t="s">
        <v>14</v>
      </c>
      <c r="K9" s="381" t="s">
        <v>202</v>
      </c>
      <c r="L9" s="381" t="s">
        <v>12</v>
      </c>
      <c r="M9" s="382"/>
      <c r="N9"/>
      <c r="P9"/>
      <c r="Q9" s="90"/>
      <c r="U9"/>
      <c r="V9"/>
      <c r="X9"/>
      <c r="AA9"/>
    </row>
    <row r="10" spans="2:27" ht="44.25" thickBot="1">
      <c r="B10" s="390">
        <f t="shared" si="0"/>
        <v>8</v>
      </c>
      <c r="C10" s="391" t="s">
        <v>8528</v>
      </c>
      <c r="D10" s="392" t="s">
        <v>57</v>
      </c>
      <c r="E10" s="392" t="s">
        <v>56</v>
      </c>
      <c r="F10" s="428" t="s">
        <v>8574</v>
      </c>
      <c r="G10" s="392" t="s">
        <v>2451</v>
      </c>
      <c r="H10" s="392" t="s">
        <v>8402</v>
      </c>
      <c r="I10" s="392" t="s">
        <v>57</v>
      </c>
      <c r="J10" s="392" t="s">
        <v>57</v>
      </c>
      <c r="K10" s="392" t="s">
        <v>273</v>
      </c>
      <c r="L10" s="392" t="s">
        <v>57</v>
      </c>
      <c r="M10" s="393"/>
      <c r="N10"/>
      <c r="P10"/>
      <c r="Q10" s="90"/>
      <c r="U10"/>
      <c r="V10"/>
      <c r="X10"/>
      <c r="AA10"/>
    </row>
    <row r="11" spans="2:27" ht="43.5">
      <c r="B11" s="394">
        <f t="shared" si="0"/>
        <v>9</v>
      </c>
      <c r="C11" s="384" t="s">
        <v>8490</v>
      </c>
      <c r="D11" s="396" t="s">
        <v>119</v>
      </c>
      <c r="E11" s="396" t="s">
        <v>21</v>
      </c>
      <c r="F11" s="427" t="s">
        <v>8575</v>
      </c>
      <c r="G11" s="396" t="s">
        <v>2451</v>
      </c>
      <c r="H11" s="396" t="s">
        <v>8405</v>
      </c>
      <c r="I11" s="396" t="s">
        <v>119</v>
      </c>
      <c r="J11" s="396" t="s">
        <v>119</v>
      </c>
      <c r="K11" s="396" t="s">
        <v>512</v>
      </c>
      <c r="L11" s="396" t="s">
        <v>511</v>
      </c>
      <c r="M11" s="397"/>
      <c r="N11"/>
      <c r="P11"/>
      <c r="U11"/>
      <c r="V11"/>
      <c r="X11"/>
      <c r="AA11"/>
    </row>
    <row r="12" spans="2:27" ht="43.5">
      <c r="B12" s="383">
        <f t="shared" si="0"/>
        <v>10</v>
      </c>
      <c r="C12" s="384" t="s">
        <v>8492</v>
      </c>
      <c r="D12" s="381" t="s">
        <v>18</v>
      </c>
      <c r="E12" s="381" t="s">
        <v>17</v>
      </c>
      <c r="F12" s="427" t="s">
        <v>3791</v>
      </c>
      <c r="G12" s="381" t="s">
        <v>2451</v>
      </c>
      <c r="H12" s="381" t="s">
        <v>8403</v>
      </c>
      <c r="I12" s="381" t="s">
        <v>18</v>
      </c>
      <c r="J12" s="381" t="s">
        <v>18</v>
      </c>
      <c r="K12" s="381" t="s">
        <v>22</v>
      </c>
      <c r="L12" s="381" t="s">
        <v>119</v>
      </c>
      <c r="M12" s="382"/>
      <c r="N12"/>
      <c r="P12"/>
      <c r="U12"/>
      <c r="V12"/>
      <c r="X12"/>
      <c r="AA12"/>
    </row>
    <row r="13" spans="2:27" ht="43.5">
      <c r="B13" s="383">
        <f t="shared" si="0"/>
        <v>11</v>
      </c>
      <c r="C13" s="384" t="s">
        <v>8529</v>
      </c>
      <c r="D13" s="381" t="s">
        <v>239</v>
      </c>
      <c r="E13" s="381" t="s">
        <v>19</v>
      </c>
      <c r="F13" s="427" t="s">
        <v>6222</v>
      </c>
      <c r="G13" s="381" t="s">
        <v>2451</v>
      </c>
      <c r="H13" s="381" t="s">
        <v>8404</v>
      </c>
      <c r="I13" s="381" t="s">
        <v>239</v>
      </c>
      <c r="J13" s="381" t="s">
        <v>239</v>
      </c>
      <c r="K13" s="381" t="s">
        <v>190</v>
      </c>
      <c r="L13" s="381" t="s">
        <v>18</v>
      </c>
      <c r="M13" s="382"/>
      <c r="N13"/>
      <c r="P13"/>
      <c r="U13"/>
      <c r="V13"/>
      <c r="X13"/>
      <c r="AA13"/>
    </row>
    <row r="14" spans="2:27" ht="44.25" thickBot="1">
      <c r="B14" s="390">
        <f t="shared" si="0"/>
        <v>12</v>
      </c>
      <c r="C14" s="419" t="s">
        <v>8530</v>
      </c>
      <c r="D14" s="392" t="s">
        <v>94</v>
      </c>
      <c r="E14" s="392" t="s">
        <v>58</v>
      </c>
      <c r="F14" s="428" t="s">
        <v>8583</v>
      </c>
      <c r="G14" s="392" t="s">
        <v>2451</v>
      </c>
      <c r="H14" s="392" t="s">
        <v>8405</v>
      </c>
      <c r="I14" s="392" t="s">
        <v>94</v>
      </c>
      <c r="J14" s="392" t="s">
        <v>94</v>
      </c>
      <c r="K14" s="392" t="s">
        <v>8385</v>
      </c>
      <c r="L14" s="392" t="s">
        <v>94</v>
      </c>
      <c r="M14" s="393" t="s">
        <v>8590</v>
      </c>
      <c r="N14"/>
      <c r="P14"/>
      <c r="U14"/>
      <c r="V14"/>
      <c r="X14"/>
      <c r="AA14"/>
    </row>
    <row r="15" spans="2:27" ht="43.5">
      <c r="B15" s="394">
        <f t="shared" si="0"/>
        <v>13</v>
      </c>
      <c r="C15" s="395" t="s">
        <v>8533</v>
      </c>
      <c r="D15" s="396" t="s">
        <v>150</v>
      </c>
      <c r="E15" s="396" t="s">
        <v>27</v>
      </c>
      <c r="F15" s="429" t="s">
        <v>8576</v>
      </c>
      <c r="G15" s="396" t="s">
        <v>2451</v>
      </c>
      <c r="H15" s="396" t="s">
        <v>8381</v>
      </c>
      <c r="I15" s="396" t="s">
        <v>150</v>
      </c>
      <c r="J15" s="396" t="s">
        <v>150</v>
      </c>
      <c r="K15" s="396" t="s">
        <v>515</v>
      </c>
      <c r="L15" s="396" t="s">
        <v>514</v>
      </c>
      <c r="M15" s="397"/>
      <c r="N15"/>
      <c r="P15"/>
      <c r="U15"/>
      <c r="V15"/>
      <c r="X15"/>
      <c r="AA15"/>
    </row>
    <row r="16" spans="2:27" ht="43.5">
      <c r="B16" s="383">
        <f t="shared" si="0"/>
        <v>14</v>
      </c>
      <c r="C16" s="384" t="s">
        <v>8531</v>
      </c>
      <c r="D16" s="381" t="s">
        <v>116</v>
      </c>
      <c r="E16" s="381" t="s">
        <v>23</v>
      </c>
      <c r="F16" s="427" t="s">
        <v>8586</v>
      </c>
      <c r="G16" s="381" t="s">
        <v>2451</v>
      </c>
      <c r="H16" s="381" t="s">
        <v>8406</v>
      </c>
      <c r="I16" s="381" t="s">
        <v>8516</v>
      </c>
      <c r="J16" s="381" t="s">
        <v>8518</v>
      </c>
      <c r="K16" s="381" t="s">
        <v>216</v>
      </c>
      <c r="L16" s="381" t="s">
        <v>116</v>
      </c>
      <c r="M16" s="382"/>
      <c r="N16"/>
      <c r="P16"/>
      <c r="U16"/>
      <c r="V16"/>
      <c r="X16"/>
      <c r="AA16"/>
    </row>
    <row r="17" spans="2:27" ht="43.5">
      <c r="B17" s="383">
        <f t="shared" si="0"/>
        <v>15</v>
      </c>
      <c r="C17" s="384" t="s">
        <v>8532</v>
      </c>
      <c r="D17" s="381" t="s">
        <v>180</v>
      </c>
      <c r="E17" s="381" t="s">
        <v>25</v>
      </c>
      <c r="F17" s="427" t="s">
        <v>8577</v>
      </c>
      <c r="G17" s="381" t="s">
        <v>2451</v>
      </c>
      <c r="H17" s="381" t="s">
        <v>8407</v>
      </c>
      <c r="I17" s="381" t="s">
        <v>8517</v>
      </c>
      <c r="J17" s="381" t="s">
        <v>8519</v>
      </c>
      <c r="K17" s="381" t="s">
        <v>170</v>
      </c>
      <c r="L17" s="381" t="s">
        <v>180</v>
      </c>
      <c r="M17" s="382"/>
      <c r="N17"/>
      <c r="P17"/>
      <c r="U17"/>
      <c r="V17"/>
      <c r="X17"/>
      <c r="AA17"/>
    </row>
    <row r="18" spans="2:27" ht="44.25" thickBot="1">
      <c r="B18" s="390">
        <f t="shared" si="0"/>
        <v>16</v>
      </c>
      <c r="C18" s="391" t="s">
        <v>8493</v>
      </c>
      <c r="D18" s="392" t="s">
        <v>201</v>
      </c>
      <c r="E18" s="392" t="s">
        <v>29</v>
      </c>
      <c r="F18" s="428" t="s">
        <v>8578</v>
      </c>
      <c r="G18" s="392" t="s">
        <v>2451</v>
      </c>
      <c r="H18" s="392" t="s">
        <v>8408</v>
      </c>
      <c r="I18" s="392" t="s">
        <v>201</v>
      </c>
      <c r="J18" s="392" t="s">
        <v>201</v>
      </c>
      <c r="K18" s="392" t="s">
        <v>30</v>
      </c>
      <c r="L18" s="392" t="s">
        <v>201</v>
      </c>
      <c r="M18" s="393"/>
      <c r="N18"/>
      <c r="P18"/>
      <c r="U18"/>
      <c r="V18"/>
      <c r="X18"/>
      <c r="AA18"/>
    </row>
    <row r="19" spans="2:27" ht="44.25" thickBot="1">
      <c r="B19" s="400">
        <f t="shared" si="0"/>
        <v>17</v>
      </c>
      <c r="C19" s="401" t="s">
        <v>8494</v>
      </c>
      <c r="D19" s="402" t="s">
        <v>241</v>
      </c>
      <c r="E19" s="402" t="s">
        <v>31</v>
      </c>
      <c r="F19" s="428" t="s">
        <v>8587</v>
      </c>
      <c r="G19" s="402" t="s">
        <v>2451</v>
      </c>
      <c r="H19" s="402" t="s">
        <v>8409</v>
      </c>
      <c r="I19" s="402" t="s">
        <v>241</v>
      </c>
      <c r="J19" s="402" t="s">
        <v>241</v>
      </c>
      <c r="K19" s="402" t="s">
        <v>32</v>
      </c>
      <c r="L19" s="402" t="s">
        <v>241</v>
      </c>
      <c r="M19" s="403" t="s">
        <v>8351</v>
      </c>
      <c r="N19"/>
      <c r="P19"/>
      <c r="U19"/>
      <c r="V19"/>
      <c r="X19"/>
      <c r="AA19"/>
    </row>
    <row r="20" spans="2:27" ht="43.5">
      <c r="B20" s="394">
        <f t="shared" si="0"/>
        <v>18</v>
      </c>
      <c r="C20" s="395" t="s">
        <v>8536</v>
      </c>
      <c r="D20" s="396" t="s">
        <v>254</v>
      </c>
      <c r="E20" s="396" t="s">
        <v>77</v>
      </c>
      <c r="F20" s="430" t="s">
        <v>8579</v>
      </c>
      <c r="G20" s="396" t="s">
        <v>2451</v>
      </c>
      <c r="H20" s="398" t="s">
        <v>2761</v>
      </c>
      <c r="I20" s="396" t="s">
        <v>254</v>
      </c>
      <c r="J20" s="396" t="s">
        <v>254</v>
      </c>
      <c r="K20" s="396"/>
      <c r="L20" s="396" t="s">
        <v>8359</v>
      </c>
      <c r="M20" s="397"/>
      <c r="N20"/>
      <c r="P20"/>
      <c r="U20"/>
      <c r="V20"/>
      <c r="X20"/>
      <c r="AA20"/>
    </row>
    <row r="21" spans="2:27" ht="43.5">
      <c r="B21" s="383">
        <f t="shared" si="0"/>
        <v>19</v>
      </c>
      <c r="C21" s="384" t="s">
        <v>8534</v>
      </c>
      <c r="D21" s="381" t="s">
        <v>8330</v>
      </c>
      <c r="E21" s="381" t="s">
        <v>60</v>
      </c>
      <c r="F21" s="427" t="s">
        <v>8580</v>
      </c>
      <c r="G21" s="381" t="s">
        <v>2451</v>
      </c>
      <c r="H21" s="389" t="s">
        <v>1726</v>
      </c>
      <c r="I21" s="381" t="s">
        <v>8330</v>
      </c>
      <c r="J21" s="381" t="s">
        <v>8330</v>
      </c>
      <c r="K21" s="381"/>
      <c r="L21" s="381" t="s">
        <v>150</v>
      </c>
      <c r="M21" s="382"/>
      <c r="N21"/>
      <c r="P21"/>
      <c r="U21"/>
      <c r="V21"/>
      <c r="X21"/>
      <c r="AA21"/>
    </row>
    <row r="22" spans="2:27" ht="43.5">
      <c r="B22" s="383">
        <f t="shared" si="0"/>
        <v>20</v>
      </c>
      <c r="C22" s="384" t="s">
        <v>8535</v>
      </c>
      <c r="D22" s="381" t="s">
        <v>243</v>
      </c>
      <c r="E22" s="381" t="s">
        <v>62</v>
      </c>
      <c r="F22" s="427" t="s">
        <v>8581</v>
      </c>
      <c r="G22" s="381" t="s">
        <v>2451</v>
      </c>
      <c r="H22" s="389" t="s">
        <v>3046</v>
      </c>
      <c r="I22" s="381" t="s">
        <v>243</v>
      </c>
      <c r="J22" s="381" t="s">
        <v>243</v>
      </c>
      <c r="K22" s="381"/>
      <c r="L22" s="381" t="s">
        <v>260</v>
      </c>
      <c r="M22" s="382"/>
      <c r="N22"/>
      <c r="P22"/>
      <c r="U22"/>
      <c r="V22"/>
      <c r="X22"/>
      <c r="AA22"/>
    </row>
    <row r="23" spans="2:27" ht="44.25" thickBot="1">
      <c r="B23" s="390">
        <f t="shared" si="0"/>
        <v>21</v>
      </c>
      <c r="C23" s="420" t="s">
        <v>8537</v>
      </c>
      <c r="D23" s="392" t="s">
        <v>245</v>
      </c>
      <c r="E23" s="392" t="s">
        <v>167</v>
      </c>
      <c r="F23" s="428" t="s">
        <v>8582</v>
      </c>
      <c r="G23" s="392" t="s">
        <v>2451</v>
      </c>
      <c r="H23" s="399" t="s">
        <v>4866</v>
      </c>
      <c r="I23" s="392" t="s">
        <v>245</v>
      </c>
      <c r="J23" s="392" t="s">
        <v>245</v>
      </c>
      <c r="K23" s="392"/>
      <c r="L23" s="392" t="s">
        <v>8360</v>
      </c>
      <c r="M23" s="393"/>
      <c r="N23"/>
      <c r="P23"/>
      <c r="U23"/>
      <c r="V23"/>
      <c r="X23"/>
      <c r="AA23"/>
    </row>
    <row r="24" spans="2:27" ht="43.5">
      <c r="B24" s="404">
        <f t="shared" si="0"/>
        <v>22</v>
      </c>
      <c r="C24" s="405" t="s">
        <v>8495</v>
      </c>
      <c r="D24" s="406" t="s">
        <v>208</v>
      </c>
      <c r="E24" s="406" t="s">
        <v>37</v>
      </c>
      <c r="F24" s="427" t="s">
        <v>1125</v>
      </c>
      <c r="G24" s="406" t="s">
        <v>7734</v>
      </c>
      <c r="H24" s="406" t="s">
        <v>8591</v>
      </c>
      <c r="I24" s="406" t="s">
        <v>208</v>
      </c>
      <c r="J24" s="406" t="s">
        <v>208</v>
      </c>
      <c r="K24" s="406" t="s">
        <v>38</v>
      </c>
      <c r="L24" s="406" t="s">
        <v>208</v>
      </c>
      <c r="M24" s="407"/>
      <c r="N24"/>
      <c r="P24"/>
      <c r="U24"/>
      <c r="V24"/>
      <c r="X24"/>
      <c r="AA24"/>
    </row>
    <row r="25" spans="2:27" ht="44.25" thickBot="1">
      <c r="B25" s="390">
        <f t="shared" si="0"/>
        <v>23</v>
      </c>
      <c r="C25" s="420" t="s">
        <v>8496</v>
      </c>
      <c r="D25" s="392" t="s">
        <v>164</v>
      </c>
      <c r="E25" s="392" t="s">
        <v>261</v>
      </c>
      <c r="F25" s="428" t="s">
        <v>8604</v>
      </c>
      <c r="G25" s="392" t="s">
        <v>8344</v>
      </c>
      <c r="H25" s="399" t="s">
        <v>8596</v>
      </c>
      <c r="I25" s="392" t="s">
        <v>164</v>
      </c>
      <c r="J25" s="392" t="s">
        <v>164</v>
      </c>
      <c r="K25" s="392" t="s">
        <v>34</v>
      </c>
      <c r="L25" s="392" t="s">
        <v>164</v>
      </c>
      <c r="M25" s="393"/>
      <c r="N25"/>
      <c r="P25"/>
      <c r="U25"/>
      <c r="V25"/>
      <c r="X25"/>
      <c r="AA25"/>
    </row>
    <row r="26" spans="2:27" ht="44.25" thickBot="1">
      <c r="B26" s="390">
        <f t="shared" si="0"/>
        <v>24</v>
      </c>
      <c r="C26" s="420" t="s">
        <v>8557</v>
      </c>
      <c r="D26" s="392" t="s">
        <v>282</v>
      </c>
      <c r="E26" s="392" t="s">
        <v>8605</v>
      </c>
      <c r="F26" s="428" t="s">
        <v>8599</v>
      </c>
      <c r="G26" s="392" t="s">
        <v>8344</v>
      </c>
      <c r="H26" s="449"/>
      <c r="I26" s="392" t="s">
        <v>282</v>
      </c>
      <c r="J26" s="392" t="s">
        <v>282</v>
      </c>
      <c r="K26" s="392" t="s">
        <v>8390</v>
      </c>
      <c r="L26" s="392" t="s">
        <v>282</v>
      </c>
      <c r="M26" s="393"/>
      <c r="N26"/>
      <c r="P26"/>
      <c r="U26"/>
      <c r="V26"/>
      <c r="X26"/>
      <c r="AA26"/>
    </row>
    <row r="27" spans="2:27" ht="43.5">
      <c r="B27" s="250">
        <f t="shared" si="0"/>
        <v>25</v>
      </c>
      <c r="C27" s="246" t="s">
        <v>8497</v>
      </c>
      <c r="D27" s="245" t="s">
        <v>126</v>
      </c>
      <c r="E27" s="245" t="s">
        <v>35</v>
      </c>
      <c r="F27" s="434" t="s">
        <v>3379</v>
      </c>
      <c r="G27" s="245" t="s">
        <v>7734</v>
      </c>
      <c r="H27" s="431" t="s">
        <v>8597</v>
      </c>
      <c r="I27" s="245" t="s">
        <v>126</v>
      </c>
      <c r="J27" s="245" t="s">
        <v>126</v>
      </c>
      <c r="K27" s="245" t="s">
        <v>36</v>
      </c>
      <c r="L27" s="245" t="s">
        <v>126</v>
      </c>
      <c r="M27" s="259"/>
      <c r="N27"/>
      <c r="P27"/>
      <c r="U27"/>
      <c r="V27"/>
      <c r="X27"/>
      <c r="AA27"/>
    </row>
    <row r="28" spans="2:27" ht="43.5">
      <c r="B28" s="249">
        <f t="shared" si="0"/>
        <v>26</v>
      </c>
      <c r="C28" s="183" t="s">
        <v>8498</v>
      </c>
      <c r="D28" s="226" t="s">
        <v>195</v>
      </c>
      <c r="E28" s="226" t="s">
        <v>39</v>
      </c>
      <c r="F28" s="434" t="s">
        <v>6951</v>
      </c>
      <c r="G28" s="245" t="s">
        <v>7734</v>
      </c>
      <c r="H28" s="292" t="s">
        <v>8598</v>
      </c>
      <c r="I28" s="226" t="s">
        <v>195</v>
      </c>
      <c r="J28" s="226" t="s">
        <v>195</v>
      </c>
      <c r="K28" s="226" t="s">
        <v>40</v>
      </c>
      <c r="L28" s="226" t="s">
        <v>195</v>
      </c>
      <c r="M28" s="259"/>
      <c r="N28"/>
      <c r="P28"/>
      <c r="U28"/>
      <c r="V28"/>
      <c r="X28"/>
      <c r="AA28"/>
    </row>
    <row r="29" spans="2:27" ht="43.5">
      <c r="B29" s="250">
        <f t="shared" si="0"/>
        <v>27</v>
      </c>
      <c r="C29" s="423" t="s">
        <v>8558</v>
      </c>
      <c r="D29" s="245" t="s">
        <v>205</v>
      </c>
      <c r="E29" s="245" t="s">
        <v>43</v>
      </c>
      <c r="F29" s="434" t="s">
        <v>4941</v>
      </c>
      <c r="G29" s="245" t="s">
        <v>7734</v>
      </c>
      <c r="H29" s="245" t="s">
        <v>4142</v>
      </c>
      <c r="I29" s="245" t="s">
        <v>205</v>
      </c>
      <c r="J29" s="245" t="s">
        <v>205</v>
      </c>
      <c r="K29" s="245" t="s">
        <v>44</v>
      </c>
      <c r="L29" s="245" t="s">
        <v>205</v>
      </c>
      <c r="M29" s="259"/>
      <c r="N29"/>
      <c r="P29"/>
      <c r="U29"/>
      <c r="V29"/>
      <c r="X29"/>
      <c r="AA29"/>
    </row>
    <row r="30" spans="2:27" ht="44.25" thickBot="1">
      <c r="B30" s="408">
        <f t="shared" si="0"/>
        <v>28</v>
      </c>
      <c r="C30" s="409" t="s">
        <v>8499</v>
      </c>
      <c r="D30" s="410" t="s">
        <v>41</v>
      </c>
      <c r="E30" s="410" t="s">
        <v>266</v>
      </c>
      <c r="F30" s="435" t="s">
        <v>5539</v>
      </c>
      <c r="G30" s="410" t="s">
        <v>7734</v>
      </c>
      <c r="H30" s="410" t="s">
        <v>5146</v>
      </c>
      <c r="I30" s="410" t="s">
        <v>41</v>
      </c>
      <c r="J30" s="410" t="s">
        <v>41</v>
      </c>
      <c r="K30" s="410" t="s">
        <v>42</v>
      </c>
      <c r="L30" s="410" t="s">
        <v>517</v>
      </c>
      <c r="M30" s="411"/>
      <c r="N30"/>
      <c r="P30"/>
      <c r="U30"/>
      <c r="V30"/>
      <c r="X30"/>
      <c r="AA30"/>
    </row>
    <row r="31" spans="2:27" ht="43.5">
      <c r="B31" s="404">
        <f t="shared" si="0"/>
        <v>29</v>
      </c>
      <c r="C31" s="405" t="s">
        <v>8554</v>
      </c>
      <c r="D31" s="483" t="s">
        <v>8632</v>
      </c>
      <c r="E31" s="443" t="s">
        <v>8613</v>
      </c>
      <c r="F31" s="444" t="s">
        <v>3959</v>
      </c>
      <c r="G31" s="445" t="s">
        <v>7734</v>
      </c>
      <c r="H31" s="445" t="s">
        <v>3959</v>
      </c>
      <c r="I31" s="443" t="s">
        <v>96</v>
      </c>
      <c r="J31" s="443" t="s">
        <v>96</v>
      </c>
      <c r="K31" s="443" t="s">
        <v>55</v>
      </c>
      <c r="L31" s="443" t="s">
        <v>96</v>
      </c>
      <c r="M31" s="446"/>
      <c r="N31"/>
      <c r="P31"/>
      <c r="U31"/>
      <c r="V31"/>
      <c r="X31"/>
      <c r="AA31"/>
    </row>
    <row r="32" spans="2:27" ht="43.5">
      <c r="B32" s="250">
        <f t="shared" si="0"/>
        <v>30</v>
      </c>
      <c r="C32" s="246" t="s">
        <v>8511</v>
      </c>
      <c r="D32" s="484" t="s">
        <v>8634</v>
      </c>
      <c r="E32" s="245" t="s">
        <v>50</v>
      </c>
      <c r="F32" s="434" t="s">
        <v>8600</v>
      </c>
      <c r="G32" s="245" t="s">
        <v>7734</v>
      </c>
      <c r="H32" s="432"/>
      <c r="I32" s="245" t="s">
        <v>16</v>
      </c>
      <c r="J32" s="245" t="s">
        <v>16</v>
      </c>
      <c r="K32" s="245" t="s">
        <v>221</v>
      </c>
      <c r="L32" s="245" t="s">
        <v>16</v>
      </c>
      <c r="M32" s="259" t="s">
        <v>8350</v>
      </c>
      <c r="N32"/>
      <c r="P32"/>
      <c r="U32"/>
      <c r="V32"/>
      <c r="X32"/>
      <c r="AA32"/>
    </row>
    <row r="33" spans="2:27" ht="44.25" thickBot="1">
      <c r="B33" s="408">
        <f t="shared" si="0"/>
        <v>31</v>
      </c>
      <c r="C33" s="422" t="s">
        <v>8555</v>
      </c>
      <c r="D33" s="485" t="s">
        <v>8635</v>
      </c>
      <c r="E33" s="410" t="s">
        <v>48</v>
      </c>
      <c r="F33" s="435" t="s">
        <v>5000</v>
      </c>
      <c r="G33" s="410" t="s">
        <v>7734</v>
      </c>
      <c r="H33" s="410" t="s">
        <v>7293</v>
      </c>
      <c r="I33" s="410" t="s">
        <v>94</v>
      </c>
      <c r="J33" s="410" t="s">
        <v>94</v>
      </c>
      <c r="K33" s="410" t="s">
        <v>59</v>
      </c>
      <c r="L33" s="410" t="s">
        <v>94</v>
      </c>
      <c r="M33" s="411" t="s">
        <v>8372</v>
      </c>
      <c r="N33"/>
      <c r="P33"/>
      <c r="U33"/>
      <c r="V33"/>
      <c r="X33"/>
      <c r="AA33"/>
    </row>
    <row r="34" spans="2:27" ht="43.5">
      <c r="B34" s="394">
        <f t="shared" si="0"/>
        <v>32</v>
      </c>
      <c r="C34" s="395" t="s">
        <v>8553</v>
      </c>
      <c r="D34" s="396" t="s">
        <v>196</v>
      </c>
      <c r="E34" s="396" t="s">
        <v>145</v>
      </c>
      <c r="F34" s="436" t="s">
        <v>1156</v>
      </c>
      <c r="G34" s="396" t="s">
        <v>7734</v>
      </c>
      <c r="H34" s="396" t="s">
        <v>1251</v>
      </c>
      <c r="I34" s="396" t="s">
        <v>196</v>
      </c>
      <c r="J34" s="396" t="s">
        <v>196</v>
      </c>
      <c r="K34" s="396" t="s">
        <v>46</v>
      </c>
      <c r="L34" s="396" t="s">
        <v>196</v>
      </c>
      <c r="M34" s="397"/>
      <c r="N34"/>
      <c r="P34"/>
      <c r="U34"/>
      <c r="V34"/>
      <c r="X34"/>
      <c r="AA34"/>
    </row>
    <row r="35" spans="2:27" ht="43.5">
      <c r="B35" s="383">
        <f t="shared" ref="B35:B56" si="1" xml:space="preserve"> ROW() - 2</f>
        <v>33</v>
      </c>
      <c r="C35" s="384" t="s">
        <v>8556</v>
      </c>
      <c r="D35" s="381" t="s">
        <v>193</v>
      </c>
      <c r="E35" s="381" t="s">
        <v>47</v>
      </c>
      <c r="F35" s="437" t="s">
        <v>2340</v>
      </c>
      <c r="G35" s="381" t="s">
        <v>7734</v>
      </c>
      <c r="H35" s="381" t="s">
        <v>732</v>
      </c>
      <c r="I35" s="381" t="s">
        <v>193</v>
      </c>
      <c r="J35" s="381" t="s">
        <v>193</v>
      </c>
      <c r="K35" s="381" t="s">
        <v>8393</v>
      </c>
      <c r="L35" s="381" t="s">
        <v>193</v>
      </c>
      <c r="M35" s="382"/>
      <c r="N35"/>
      <c r="O35" s="90"/>
      <c r="P35"/>
      <c r="U35"/>
      <c r="V35"/>
      <c r="X35"/>
      <c r="AA35"/>
    </row>
    <row r="36" spans="2:27" ht="43.5">
      <c r="B36" s="383">
        <f t="shared" si="1"/>
        <v>34</v>
      </c>
      <c r="C36" s="384" t="s">
        <v>8550</v>
      </c>
      <c r="D36" s="381" t="s">
        <v>131</v>
      </c>
      <c r="E36" s="381" t="s">
        <v>68</v>
      </c>
      <c r="F36" s="437" t="s">
        <v>1535</v>
      </c>
      <c r="G36" s="381" t="s">
        <v>7734</v>
      </c>
      <c r="H36" s="381" t="s">
        <v>8593</v>
      </c>
      <c r="I36" s="381" t="s">
        <v>131</v>
      </c>
      <c r="J36" s="381" t="s">
        <v>131</v>
      </c>
      <c r="K36" s="381" t="s">
        <v>69</v>
      </c>
      <c r="L36" s="381" t="s">
        <v>131</v>
      </c>
      <c r="M36" s="382" t="s">
        <v>8363</v>
      </c>
      <c r="N36"/>
      <c r="O36" s="90"/>
      <c r="P36"/>
      <c r="U36"/>
      <c r="V36"/>
      <c r="X36"/>
      <c r="AA36"/>
    </row>
    <row r="37" spans="2:27" ht="43.5">
      <c r="B37" s="383">
        <f t="shared" si="1"/>
        <v>35</v>
      </c>
      <c r="C37" s="384" t="s">
        <v>8551</v>
      </c>
      <c r="D37" s="381" t="s">
        <v>115</v>
      </c>
      <c r="E37" s="381" t="s">
        <v>66</v>
      </c>
      <c r="F37" s="437" t="s">
        <v>767</v>
      </c>
      <c r="G37" s="381" t="s">
        <v>7734</v>
      </c>
      <c r="H37" s="381" t="s">
        <v>8594</v>
      </c>
      <c r="I37" s="381" t="s">
        <v>115</v>
      </c>
      <c r="J37" s="381" t="s">
        <v>115</v>
      </c>
      <c r="K37" s="381" t="s">
        <v>67</v>
      </c>
      <c r="L37" s="381" t="s">
        <v>115</v>
      </c>
      <c r="M37" s="382"/>
      <c r="N37"/>
      <c r="P37"/>
      <c r="U37"/>
      <c r="V37"/>
      <c r="X37"/>
      <c r="AA37"/>
    </row>
    <row r="38" spans="2:27" ht="44.25" thickBot="1">
      <c r="B38" s="390">
        <f t="shared" si="1"/>
        <v>36</v>
      </c>
      <c r="C38" s="391" t="s">
        <v>8552</v>
      </c>
      <c r="D38" s="392" t="s">
        <v>107</v>
      </c>
      <c r="E38" s="392" t="s">
        <v>64</v>
      </c>
      <c r="F38" s="438" t="s">
        <v>873</v>
      </c>
      <c r="G38" s="392" t="s">
        <v>7734</v>
      </c>
      <c r="H38" s="392" t="s">
        <v>8595</v>
      </c>
      <c r="I38" s="392" t="s">
        <v>107</v>
      </c>
      <c r="J38" s="392" t="s">
        <v>107</v>
      </c>
      <c r="K38" s="392" t="s">
        <v>65</v>
      </c>
      <c r="L38" s="392" t="s">
        <v>107</v>
      </c>
      <c r="M38" s="393"/>
      <c r="N38"/>
      <c r="P38"/>
      <c r="U38"/>
      <c r="V38"/>
      <c r="X38"/>
      <c r="AA38"/>
    </row>
    <row r="39" spans="2:27" ht="43.5">
      <c r="B39" s="394">
        <f t="shared" si="1"/>
        <v>37</v>
      </c>
      <c r="C39" s="425" t="s">
        <v>8560</v>
      </c>
      <c r="D39" s="396" t="s">
        <v>130</v>
      </c>
      <c r="E39" s="396" t="s">
        <v>87</v>
      </c>
      <c r="F39" s="440" t="s">
        <v>8603</v>
      </c>
      <c r="G39" s="396" t="s">
        <v>7734</v>
      </c>
      <c r="H39" s="396" t="s">
        <v>6966</v>
      </c>
      <c r="I39" s="396" t="s">
        <v>130</v>
      </c>
      <c r="J39" s="396" t="s">
        <v>130</v>
      </c>
      <c r="K39" s="396" t="s">
        <v>53</v>
      </c>
      <c r="L39" s="396" t="s">
        <v>130</v>
      </c>
      <c r="M39" s="397" t="s">
        <v>8363</v>
      </c>
      <c r="N39"/>
      <c r="P39"/>
      <c r="U39"/>
      <c r="V39"/>
      <c r="X39"/>
      <c r="AA39"/>
    </row>
    <row r="40" spans="2:27" ht="44.25" thickBot="1">
      <c r="B40" s="390">
        <f t="shared" si="1"/>
        <v>38</v>
      </c>
      <c r="C40" s="424" t="s">
        <v>8559</v>
      </c>
      <c r="D40" s="415" t="s">
        <v>106</v>
      </c>
      <c r="E40" s="414" t="s">
        <v>70</v>
      </c>
      <c r="F40" s="439" t="s">
        <v>3728</v>
      </c>
      <c r="G40" s="414" t="s">
        <v>7734</v>
      </c>
      <c r="H40" s="414" t="s">
        <v>593</v>
      </c>
      <c r="I40" s="415" t="s">
        <v>106</v>
      </c>
      <c r="J40" s="415" t="s">
        <v>106</v>
      </c>
      <c r="K40" s="415" t="s">
        <v>71</v>
      </c>
      <c r="L40" s="415" t="s">
        <v>106</v>
      </c>
      <c r="M40" s="416" t="s">
        <v>8362</v>
      </c>
      <c r="N40"/>
      <c r="P40"/>
      <c r="U40"/>
      <c r="V40"/>
      <c r="X40"/>
      <c r="AA40"/>
    </row>
    <row r="41" spans="2:27" ht="43.5">
      <c r="B41" s="394">
        <f t="shared" si="1"/>
        <v>39</v>
      </c>
      <c r="C41" s="395" t="s">
        <v>8543</v>
      </c>
      <c r="D41" s="396" t="s">
        <v>163</v>
      </c>
      <c r="E41" s="396" t="s">
        <v>81</v>
      </c>
      <c r="F41" s="436" t="s">
        <v>2390</v>
      </c>
      <c r="G41" s="396" t="s">
        <v>7734</v>
      </c>
      <c r="H41" s="396" t="s">
        <v>8592</v>
      </c>
      <c r="I41" s="396" t="s">
        <v>163</v>
      </c>
      <c r="J41" s="396" t="s">
        <v>163</v>
      </c>
      <c r="K41" s="396" t="s">
        <v>8388</v>
      </c>
      <c r="L41" s="396" t="s">
        <v>163</v>
      </c>
      <c r="M41" s="397"/>
      <c r="N41"/>
      <c r="P41"/>
      <c r="U41"/>
      <c r="V41"/>
      <c r="X41"/>
      <c r="AA41"/>
    </row>
    <row r="42" spans="2:27" ht="43.5">
      <c r="B42" s="383">
        <f t="shared" si="1"/>
        <v>40</v>
      </c>
      <c r="C42" s="384" t="s">
        <v>8544</v>
      </c>
      <c r="D42" s="381" t="s">
        <v>279</v>
      </c>
      <c r="E42" s="381" t="s">
        <v>79</v>
      </c>
      <c r="F42" s="437" t="s">
        <v>2338</v>
      </c>
      <c r="G42" s="381" t="s">
        <v>7734</v>
      </c>
      <c r="H42" s="381" t="s">
        <v>5380</v>
      </c>
      <c r="I42" s="381" t="s">
        <v>279</v>
      </c>
      <c r="J42" s="381" t="s">
        <v>279</v>
      </c>
      <c r="K42" s="381" t="s">
        <v>8386</v>
      </c>
      <c r="L42" s="381" t="s">
        <v>279</v>
      </c>
      <c r="M42" s="382"/>
      <c r="N42"/>
      <c r="P42"/>
      <c r="U42"/>
      <c r="V42"/>
      <c r="X42"/>
      <c r="AA42"/>
    </row>
    <row r="43" spans="2:27" ht="43.5">
      <c r="B43" s="383">
        <f t="shared" si="1"/>
        <v>41</v>
      </c>
      <c r="C43" s="384" t="s">
        <v>8549</v>
      </c>
      <c r="D43" s="381" t="s">
        <v>281</v>
      </c>
      <c r="E43" s="381" t="s">
        <v>80</v>
      </c>
      <c r="F43" s="437" t="s">
        <v>8601</v>
      </c>
      <c r="G43" s="381" t="s">
        <v>7734</v>
      </c>
      <c r="H43" s="433"/>
      <c r="I43" s="381" t="s">
        <v>281</v>
      </c>
      <c r="J43" s="381" t="s">
        <v>281</v>
      </c>
      <c r="K43" s="381" t="s">
        <v>8387</v>
      </c>
      <c r="L43" s="381" t="s">
        <v>281</v>
      </c>
      <c r="M43" s="382"/>
      <c r="N43"/>
      <c r="P43"/>
      <c r="U43"/>
      <c r="V43"/>
      <c r="X43"/>
      <c r="AA43"/>
    </row>
    <row r="44" spans="2:27" ht="43.5">
      <c r="B44" s="383">
        <f t="shared" si="1"/>
        <v>42</v>
      </c>
      <c r="C44" s="384" t="s">
        <v>8546</v>
      </c>
      <c r="D44" s="381" t="s">
        <v>160</v>
      </c>
      <c r="E44" s="381" t="s">
        <v>83</v>
      </c>
      <c r="F44" s="437" t="s">
        <v>7350</v>
      </c>
      <c r="G44" s="381" t="s">
        <v>7734</v>
      </c>
      <c r="H44" s="381" t="s">
        <v>3703</v>
      </c>
      <c r="I44" s="381" t="s">
        <v>160</v>
      </c>
      <c r="J44" s="381" t="s">
        <v>160</v>
      </c>
      <c r="K44" s="381" t="s">
        <v>8391</v>
      </c>
      <c r="L44" s="381" t="s">
        <v>160</v>
      </c>
      <c r="M44" s="382"/>
      <c r="N44"/>
      <c r="P44"/>
      <c r="U44"/>
      <c r="V44"/>
      <c r="X44"/>
      <c r="AA44"/>
    </row>
    <row r="45" spans="2:27" ht="43.5">
      <c r="B45" s="383">
        <f t="shared" si="1"/>
        <v>43</v>
      </c>
      <c r="C45" s="421" t="s">
        <v>8545</v>
      </c>
      <c r="D45" s="381" t="s">
        <v>161</v>
      </c>
      <c r="E45" s="381" t="s">
        <v>85</v>
      </c>
      <c r="F45" s="441" t="s">
        <v>3303</v>
      </c>
      <c r="G45" s="381" t="s">
        <v>7734</v>
      </c>
      <c r="H45" s="381" t="s">
        <v>3963</v>
      </c>
      <c r="I45" s="381" t="s">
        <v>161</v>
      </c>
      <c r="J45" s="381" t="s">
        <v>161</v>
      </c>
      <c r="K45" s="381" t="s">
        <v>8389</v>
      </c>
      <c r="L45" s="381" t="s">
        <v>516</v>
      </c>
      <c r="M45" s="382"/>
      <c r="N45"/>
      <c r="P45"/>
      <c r="U45"/>
      <c r="V45"/>
      <c r="X45"/>
      <c r="AA45"/>
    </row>
    <row r="46" spans="2:27" ht="43.5">
      <c r="B46" s="383">
        <f t="shared" si="1"/>
        <v>44</v>
      </c>
      <c r="C46" s="384" t="s">
        <v>8547</v>
      </c>
      <c r="D46" s="381" t="s">
        <v>159</v>
      </c>
      <c r="E46" s="381" t="s">
        <v>82</v>
      </c>
      <c r="F46" s="442" t="s">
        <v>8602</v>
      </c>
      <c r="G46" s="381" t="s">
        <v>7734</v>
      </c>
      <c r="H46" s="381" t="s">
        <v>1845</v>
      </c>
      <c r="I46" s="381" t="s">
        <v>159</v>
      </c>
      <c r="J46" s="381" t="s">
        <v>159</v>
      </c>
      <c r="K46" s="381" t="s">
        <v>8392</v>
      </c>
      <c r="L46" s="381" t="s">
        <v>159</v>
      </c>
      <c r="M46" s="382"/>
      <c r="N46"/>
      <c r="P46"/>
      <c r="U46"/>
      <c r="V46"/>
      <c r="X46"/>
      <c r="AA46"/>
    </row>
    <row r="47" spans="2:27" ht="44.25" thickBot="1">
      <c r="B47" s="390">
        <f t="shared" si="1"/>
        <v>45</v>
      </c>
      <c r="C47" s="391" t="s">
        <v>8548</v>
      </c>
      <c r="D47" s="392" t="s">
        <v>157</v>
      </c>
      <c r="E47" s="392" t="s">
        <v>86</v>
      </c>
      <c r="F47" s="438" t="s">
        <v>639</v>
      </c>
      <c r="G47" s="392" t="s">
        <v>7734</v>
      </c>
      <c r="H47" s="392" t="s">
        <v>639</v>
      </c>
      <c r="I47" s="392" t="s">
        <v>157</v>
      </c>
      <c r="J47" s="392" t="s">
        <v>157</v>
      </c>
      <c r="K47" s="392" t="s">
        <v>8394</v>
      </c>
      <c r="L47" s="392" t="s">
        <v>157</v>
      </c>
      <c r="M47" s="393"/>
      <c r="N47"/>
      <c r="P47"/>
      <c r="U47"/>
      <c r="V47"/>
      <c r="X47"/>
      <c r="AA47"/>
    </row>
    <row r="48" spans="2:27" ht="32.25">
      <c r="B48" s="394">
        <f t="shared" si="1"/>
        <v>46</v>
      </c>
      <c r="C48" s="395" t="s">
        <v>8539</v>
      </c>
      <c r="D48" s="398" t="s">
        <v>8627</v>
      </c>
      <c r="E48" s="396" t="s">
        <v>90</v>
      </c>
      <c r="F48" s="475" t="s">
        <v>8618</v>
      </c>
      <c r="G48" s="396" t="s">
        <v>8347</v>
      </c>
      <c r="H48" s="450"/>
      <c r="I48" s="396" t="s">
        <v>134</v>
      </c>
      <c r="J48" s="396" t="s">
        <v>134</v>
      </c>
      <c r="K48" s="396" t="s">
        <v>6</v>
      </c>
      <c r="L48" s="396" t="s">
        <v>134</v>
      </c>
      <c r="M48" s="397" t="s">
        <v>8355</v>
      </c>
      <c r="N48"/>
      <c r="P48"/>
      <c r="U48"/>
      <c r="V48"/>
      <c r="X48"/>
      <c r="AA48"/>
    </row>
    <row r="49" spans="2:27" ht="32.25">
      <c r="B49" s="383">
        <f t="shared" si="1"/>
        <v>47</v>
      </c>
      <c r="C49" s="384" t="s">
        <v>8540</v>
      </c>
      <c r="D49" s="389" t="s">
        <v>8629</v>
      </c>
      <c r="E49" s="381" t="s">
        <v>91</v>
      </c>
      <c r="F49" s="475" t="s">
        <v>8619</v>
      </c>
      <c r="G49" s="381" t="s">
        <v>8347</v>
      </c>
      <c r="H49" s="433"/>
      <c r="I49" s="381" t="s">
        <v>12</v>
      </c>
      <c r="J49" s="381" t="s">
        <v>12</v>
      </c>
      <c r="K49" s="381" t="s">
        <v>202</v>
      </c>
      <c r="L49" s="381" t="s">
        <v>12</v>
      </c>
      <c r="M49" s="382" t="s">
        <v>8353</v>
      </c>
      <c r="N49"/>
      <c r="P49"/>
      <c r="U49"/>
      <c r="V49"/>
      <c r="X49"/>
      <c r="AA49"/>
    </row>
    <row r="50" spans="2:27" ht="32.25">
      <c r="B50" s="383">
        <f t="shared" si="1"/>
        <v>48</v>
      </c>
      <c r="C50" s="384" t="s">
        <v>8541</v>
      </c>
      <c r="D50" s="389" t="s">
        <v>8631</v>
      </c>
      <c r="E50" s="381" t="s">
        <v>92</v>
      </c>
      <c r="F50" s="475" t="s">
        <v>8620</v>
      </c>
      <c r="G50" s="381" t="s">
        <v>8347</v>
      </c>
      <c r="H50" s="433"/>
      <c r="I50" s="381" t="s">
        <v>18</v>
      </c>
      <c r="J50" s="381" t="s">
        <v>18</v>
      </c>
      <c r="K50" s="381" t="s">
        <v>190</v>
      </c>
      <c r="L50" s="381" t="s">
        <v>18</v>
      </c>
      <c r="M50" s="382" t="s">
        <v>8354</v>
      </c>
      <c r="N50"/>
      <c r="P50"/>
      <c r="U50"/>
      <c r="V50"/>
      <c r="X50"/>
      <c r="AA50"/>
    </row>
    <row r="51" spans="2:27" ht="33" thickBot="1">
      <c r="B51" s="390">
        <f t="shared" si="1"/>
        <v>49</v>
      </c>
      <c r="C51" s="420" t="s">
        <v>8542</v>
      </c>
      <c r="D51" s="399" t="s">
        <v>8631</v>
      </c>
      <c r="E51" s="392" t="s">
        <v>93</v>
      </c>
      <c r="F51" s="474" t="s">
        <v>8621</v>
      </c>
      <c r="G51" s="392" t="s">
        <v>8347</v>
      </c>
      <c r="H51" s="451"/>
      <c r="I51" s="392" t="s">
        <v>241</v>
      </c>
      <c r="J51" s="392" t="s">
        <v>241</v>
      </c>
      <c r="K51" s="392" t="s">
        <v>32</v>
      </c>
      <c r="L51" s="392" t="s">
        <v>241</v>
      </c>
      <c r="M51" s="393" t="s">
        <v>8356</v>
      </c>
      <c r="N51"/>
      <c r="P51"/>
      <c r="U51"/>
      <c r="V51"/>
      <c r="X51"/>
      <c r="AA51"/>
    </row>
    <row r="52" spans="2:27" ht="32.25">
      <c r="B52" s="394">
        <f t="shared" si="1"/>
        <v>50</v>
      </c>
      <c r="C52" s="405"/>
      <c r="D52" s="406">
        <v>0</v>
      </c>
      <c r="E52" s="406" t="s">
        <v>8561</v>
      </c>
      <c r="F52" s="247"/>
      <c r="G52" s="406" t="s">
        <v>2251</v>
      </c>
      <c r="H52" s="454"/>
      <c r="I52" s="406">
        <v>0</v>
      </c>
      <c r="J52" s="406">
        <v>0</v>
      </c>
      <c r="K52" s="406">
        <v>0</v>
      </c>
      <c r="L52" s="406">
        <v>0</v>
      </c>
      <c r="M52" s="407" t="s">
        <v>8564</v>
      </c>
      <c r="N52"/>
      <c r="P52"/>
      <c r="U52"/>
      <c r="V52"/>
      <c r="X52"/>
      <c r="AA52"/>
    </row>
    <row r="53" spans="2:27" ht="32.25">
      <c r="B53" s="383">
        <f t="shared" si="1"/>
        <v>51</v>
      </c>
      <c r="C53" s="384"/>
      <c r="D53" s="381">
        <v>7</v>
      </c>
      <c r="E53" s="381" t="s">
        <v>75</v>
      </c>
      <c r="F53" s="381"/>
      <c r="G53" s="381" t="s">
        <v>8343</v>
      </c>
      <c r="H53" s="433"/>
      <c r="I53" s="381">
        <v>7</v>
      </c>
      <c r="J53" s="381">
        <v>7</v>
      </c>
      <c r="K53" s="381">
        <v>6</v>
      </c>
      <c r="L53" s="381">
        <v>7</v>
      </c>
      <c r="M53" s="382"/>
      <c r="N53"/>
      <c r="P53"/>
      <c r="U53"/>
      <c r="V53"/>
      <c r="X53"/>
      <c r="AA53"/>
    </row>
    <row r="54" spans="2:27" ht="32.25">
      <c r="B54" s="383">
        <f t="shared" si="1"/>
        <v>52</v>
      </c>
      <c r="C54" s="384"/>
      <c r="D54" s="381">
        <v>3</v>
      </c>
      <c r="E54" s="381" t="s">
        <v>73</v>
      </c>
      <c r="F54" s="381"/>
      <c r="G54" s="381" t="s">
        <v>8343</v>
      </c>
      <c r="H54" s="433"/>
      <c r="I54" s="381">
        <v>3</v>
      </c>
      <c r="J54" s="381">
        <v>3</v>
      </c>
      <c r="K54" s="381">
        <v>5</v>
      </c>
      <c r="L54" s="381">
        <v>3</v>
      </c>
      <c r="M54" s="382"/>
      <c r="N54"/>
      <c r="P54"/>
      <c r="U54"/>
      <c r="V54"/>
      <c r="X54"/>
      <c r="AA54"/>
    </row>
    <row r="55" spans="2:27" ht="32.25">
      <c r="B55" s="383">
        <f t="shared" si="1"/>
        <v>53</v>
      </c>
      <c r="C55" s="384"/>
      <c r="D55" s="381">
        <v>2</v>
      </c>
      <c r="E55" s="381" t="s">
        <v>72</v>
      </c>
      <c r="F55" s="381"/>
      <c r="G55" s="381" t="s">
        <v>8343</v>
      </c>
      <c r="H55" s="433"/>
      <c r="I55" s="381">
        <v>2</v>
      </c>
      <c r="J55" s="381">
        <v>2</v>
      </c>
      <c r="K55" s="381">
        <v>3</v>
      </c>
      <c r="L55" s="381">
        <v>2</v>
      </c>
      <c r="M55" s="382"/>
      <c r="N55"/>
      <c r="P55"/>
      <c r="U55"/>
      <c r="V55"/>
      <c r="X55"/>
      <c r="AA55"/>
    </row>
    <row r="56" spans="2:27" ht="33" thickBot="1">
      <c r="B56" s="390">
        <f t="shared" si="1"/>
        <v>54</v>
      </c>
      <c r="C56" s="391"/>
      <c r="D56" s="392">
        <v>5</v>
      </c>
      <c r="E56" s="392" t="s">
        <v>74</v>
      </c>
      <c r="F56" s="392"/>
      <c r="G56" s="392" t="s">
        <v>2251</v>
      </c>
      <c r="H56" s="451"/>
      <c r="I56" s="392">
        <v>5</v>
      </c>
      <c r="J56" s="392">
        <v>5</v>
      </c>
      <c r="K56" s="392">
        <v>2</v>
      </c>
      <c r="L56" s="392">
        <v>5</v>
      </c>
      <c r="M56" s="393"/>
      <c r="N56"/>
      <c r="P56"/>
      <c r="U56"/>
      <c r="V56"/>
      <c r="X56"/>
      <c r="AA56"/>
    </row>
    <row r="57" spans="2:27">
      <c r="H57"/>
      <c r="I57"/>
      <c r="J57"/>
      <c r="K57"/>
      <c r="L57"/>
      <c r="M57"/>
      <c r="N57"/>
      <c r="P57"/>
      <c r="U57"/>
      <c r="V57"/>
      <c r="X57"/>
      <c r="AA57"/>
    </row>
    <row r="58" spans="2:27">
      <c r="U58"/>
      <c r="V58"/>
      <c r="X58"/>
      <c r="AA58"/>
    </row>
    <row r="59" spans="2:27">
      <c r="U59"/>
      <c r="V59"/>
      <c r="X59"/>
      <c r="AA59"/>
    </row>
    <row r="60" spans="2:27">
      <c r="U60"/>
      <c r="V60"/>
      <c r="X60"/>
      <c r="AA60"/>
    </row>
    <row r="61" spans="2:27">
      <c r="U61"/>
      <c r="V61"/>
      <c r="X61"/>
      <c r="AA61"/>
    </row>
    <row r="62" spans="2:27">
      <c r="U62"/>
      <c r="V62"/>
      <c r="X62"/>
      <c r="AA62"/>
    </row>
    <row r="63" spans="2:27">
      <c r="U63"/>
      <c r="V63"/>
      <c r="X63"/>
      <c r="AA63"/>
    </row>
    <row r="64" spans="2:27">
      <c r="U64"/>
      <c r="V64"/>
      <c r="X64"/>
      <c r="AA64"/>
    </row>
    <row r="65" spans="2:27">
      <c r="U65"/>
      <c r="V65"/>
      <c r="X65"/>
      <c r="AA65"/>
    </row>
    <row r="66" spans="2:27">
      <c r="U66"/>
      <c r="V66"/>
      <c r="X66"/>
      <c r="AA66"/>
    </row>
    <row r="67" spans="2:27">
      <c r="U67"/>
      <c r="V67"/>
      <c r="X67"/>
      <c r="AA67"/>
    </row>
    <row r="68" spans="2:27">
      <c r="U68"/>
      <c r="V68"/>
      <c r="X68"/>
      <c r="AA68"/>
    </row>
    <row r="69" spans="2:27">
      <c r="U69"/>
      <c r="V69"/>
      <c r="X69"/>
      <c r="AA69"/>
    </row>
    <row r="72" spans="2:27" ht="22.5">
      <c r="B72"/>
      <c r="E72"/>
      <c r="F72"/>
      <c r="G72"/>
    </row>
    <row r="73" spans="2:27" ht="22.5">
      <c r="B73"/>
      <c r="E73"/>
      <c r="F73"/>
      <c r="G73"/>
    </row>
  </sheetData>
  <phoneticPr fontId="153" type="noConversion"/>
  <conditionalFormatting sqref="B3:M56">
    <cfRule type="cellIs" dxfId="11" priority="4" operator="equal">
      <formula>CHAR(32)</formula>
    </cfRule>
  </conditionalFormatting>
  <pageMargins left="0.7" right="0.7" top="0.75" bottom="0.75" header="0.3" footer="0.3"/>
  <ignoredErrors>
    <ignoredError sqref="C3" calculatedColum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E795E-49B8-46FA-B052-338BC0E85999}">
  <sheetPr>
    <tabColor rgb="FFFF0000"/>
  </sheetPr>
  <dimension ref="B1:AO73"/>
  <sheetViews>
    <sheetView topLeftCell="A4" workbookViewId="0">
      <pane ySplit="1" topLeftCell="A39" activePane="bottomLeft" state="frozen"/>
      <selection activeCell="A4" sqref="A4"/>
      <selection pane="bottomLeft" activeCell="C45" sqref="C45"/>
    </sheetView>
  </sheetViews>
  <sheetFormatPr defaultRowHeight="21"/>
  <cols>
    <col min="1" max="1" width="1.8984375" style="177" customWidth="1"/>
    <col min="2" max="2" width="6.69921875" style="177" customWidth="1"/>
    <col min="4" max="4" width="10.296875" style="177" customWidth="1"/>
    <col min="5" max="6" width="8.59765625" style="177" customWidth="1"/>
    <col min="8" max="8" width="9.5" style="177" customWidth="1"/>
    <col min="9" max="10" width="10.296875" style="177" customWidth="1"/>
    <col min="12" max="12" width="8.59765625" style="177" customWidth="1"/>
    <col min="15" max="15" width="40.8984375" style="177" customWidth="1"/>
    <col min="16" max="16" width="13.3984375" style="469" customWidth="1"/>
    <col min="17" max="17" width="8.796875" customWidth="1"/>
    <col min="18" max="18" width="23.59765625" customWidth="1"/>
    <col min="20" max="20" width="6.19921875" style="177" bestFit="1" customWidth="1"/>
    <col min="22" max="22" width="4.19921875" bestFit="1" customWidth="1"/>
    <col min="23" max="23" width="5.59765625" style="177" bestFit="1" customWidth="1"/>
    <col min="24" max="24" width="6.296875" style="211" customWidth="1"/>
    <col min="25" max="25" width="9" style="305" customWidth="1"/>
    <col min="26" max="26" width="19.19921875" style="211" customWidth="1"/>
    <col min="27" max="28" width="5.09765625" style="211" customWidth="1"/>
    <col min="29" max="35" width="7.59765625" style="211" customWidth="1"/>
    <col min="36" max="36" width="33.8984375" style="211" customWidth="1"/>
    <col min="37" max="37" width="39.09765625" style="211" customWidth="1"/>
    <col min="38" max="38" width="4.8984375" style="211" customWidth="1"/>
    <col min="39" max="39" width="6.19921875" style="177" bestFit="1" customWidth="1"/>
    <col min="40" max="43" width="11.09765625" style="177" bestFit="1" customWidth="1"/>
    <col min="44" max="46" width="6.3984375" style="177" customWidth="1"/>
    <col min="47" max="16384" width="8.796875" style="177"/>
  </cols>
  <sheetData>
    <row r="1" spans="2:41">
      <c r="C1" s="177"/>
      <c r="G1" s="177"/>
      <c r="K1" s="177"/>
      <c r="M1" s="177"/>
      <c r="N1" s="177"/>
      <c r="O1" s="211"/>
      <c r="P1" s="305"/>
      <c r="Q1" s="305"/>
      <c r="R1" s="211"/>
      <c r="S1" s="211"/>
      <c r="T1" s="211"/>
      <c r="U1" s="266" t="s">
        <v>8338</v>
      </c>
      <c r="V1" s="177"/>
      <c r="X1" s="177"/>
      <c r="Y1" s="177"/>
      <c r="Z1" s="177"/>
      <c r="AA1" s="177"/>
      <c r="AB1" s="177"/>
      <c r="AD1" s="177"/>
      <c r="AE1" s="177"/>
      <c r="AF1" s="177"/>
      <c r="AG1" s="177"/>
      <c r="AH1" s="177"/>
      <c r="AI1" s="177"/>
      <c r="AJ1" s="177"/>
      <c r="AK1" s="177"/>
      <c r="AL1" s="177"/>
    </row>
    <row r="2" spans="2:41">
      <c r="C2" s="177"/>
      <c r="G2" s="177"/>
      <c r="K2" s="177"/>
      <c r="M2" s="177"/>
      <c r="N2" s="177"/>
      <c r="O2" s="211"/>
      <c r="P2" s="305"/>
      <c r="Q2" s="305"/>
      <c r="R2" s="211"/>
      <c r="S2" s="211"/>
      <c r="T2" s="211"/>
      <c r="U2" s="267" t="e">
        <f>LEN(#REF!)&gt;0</f>
        <v>#REF!</v>
      </c>
      <c r="V2" s="177"/>
      <c r="X2" s="177"/>
      <c r="Y2" s="177"/>
      <c r="Z2" s="177"/>
      <c r="AA2" s="177"/>
      <c r="AB2" s="177"/>
      <c r="AD2" s="177"/>
      <c r="AE2" s="177"/>
      <c r="AF2" s="177"/>
      <c r="AG2" s="177"/>
      <c r="AH2" s="177"/>
      <c r="AI2" s="177"/>
      <c r="AJ2" s="177"/>
      <c r="AK2" s="177"/>
      <c r="AL2" s="177"/>
    </row>
    <row r="3" spans="2:41">
      <c r="C3" s="177"/>
      <c r="G3" s="177"/>
      <c r="K3" s="177"/>
      <c r="M3" s="177"/>
      <c r="N3" s="177"/>
      <c r="O3" s="211"/>
      <c r="P3" s="305"/>
      <c r="Q3" s="305"/>
      <c r="R3" s="211"/>
      <c r="S3" s="211"/>
      <c r="T3" s="211"/>
      <c r="U3" s="211"/>
      <c r="V3" s="211"/>
      <c r="W3" s="211"/>
      <c r="Y3" s="211"/>
      <c r="AD3" s="177"/>
      <c r="AE3" s="177"/>
      <c r="AF3" s="177"/>
      <c r="AG3" s="177"/>
      <c r="AH3" s="177"/>
      <c r="AI3" s="177"/>
      <c r="AJ3" s="177"/>
      <c r="AK3" s="177"/>
      <c r="AL3" s="177"/>
    </row>
    <row r="4" spans="2:41" ht="25.5">
      <c r="B4" s="386" t="s">
        <v>2</v>
      </c>
      <c r="C4" s="387" t="s">
        <v>1</v>
      </c>
      <c r="D4" s="386" t="s">
        <v>225</v>
      </c>
      <c r="E4" s="386" t="s">
        <v>8486</v>
      </c>
      <c r="F4" s="386" t="s">
        <v>8614</v>
      </c>
      <c r="G4" s="386" t="s">
        <v>3</v>
      </c>
      <c r="H4" s="386" t="s">
        <v>8569</v>
      </c>
      <c r="I4" s="386" t="s">
        <v>8341</v>
      </c>
      <c r="J4" s="386" t="s">
        <v>8396</v>
      </c>
      <c r="K4" s="386" t="s">
        <v>8220</v>
      </c>
      <c r="L4" s="386" t="s">
        <v>8514</v>
      </c>
      <c r="M4" s="386" t="s">
        <v>8515</v>
      </c>
      <c r="N4" s="386" t="s">
        <v>8382</v>
      </c>
      <c r="O4" s="388" t="s">
        <v>8221</v>
      </c>
      <c r="P4" s="306"/>
      <c r="Q4" s="306"/>
      <c r="R4" s="264"/>
      <c r="S4" s="264"/>
      <c r="T4" s="244" t="s">
        <v>2</v>
      </c>
      <c r="U4" s="243" t="s">
        <v>1</v>
      </c>
      <c r="V4" s="244" t="s">
        <v>3</v>
      </c>
      <c r="W4" s="243" t="s">
        <v>8217</v>
      </c>
      <c r="X4" s="244" t="s">
        <v>8220</v>
      </c>
      <c r="Y4" s="244" t="s">
        <v>8382</v>
      </c>
      <c r="Z4" s="244" t="s">
        <v>8361</v>
      </c>
      <c r="AA4" s="244" t="s">
        <v>8341</v>
      </c>
      <c r="AB4" s="256" t="s">
        <v>8221</v>
      </c>
      <c r="AC4" s="264"/>
      <c r="AD4" s="46" t="s">
        <v>2</v>
      </c>
      <c r="AE4" s="52" t="s">
        <v>204</v>
      </c>
      <c r="AF4" s="120" t="s">
        <v>518</v>
      </c>
      <c r="AG4" s="84" t="s">
        <v>224</v>
      </c>
      <c r="AH4" s="57" t="s">
        <v>329</v>
      </c>
      <c r="AI4" s="177"/>
      <c r="AJ4" s="261" t="s">
        <v>518</v>
      </c>
      <c r="AK4" s="262" t="s">
        <v>4</v>
      </c>
      <c r="AL4" s="148" t="s">
        <v>214</v>
      </c>
      <c r="AM4" s="149" t="s">
        <v>3</v>
      </c>
      <c r="AN4" s="149" t="s">
        <v>508</v>
      </c>
      <c r="AO4" s="263" t="s">
        <v>225</v>
      </c>
    </row>
    <row r="5" spans="2:41" ht="43.5">
      <c r="B5" s="383">
        <f t="shared" ref="B5:B61" si="0" xml:space="preserve"> ROW() - 4</f>
        <v>1</v>
      </c>
      <c r="C5" s="384" t="s">
        <v>226</v>
      </c>
      <c r="D5" s="381" t="s">
        <v>123</v>
      </c>
      <c r="E5" s="417" t="s">
        <v>123</v>
      </c>
      <c r="F5" s="417" t="s">
        <v>123</v>
      </c>
      <c r="G5" s="381" t="str">
        <f xml:space="preserve"> _xlfn.XLOOKUP(按鍵設計表[[#This Row],[台語音標]], 注音編碼對照表[台語音標], 注音編碼對照表[注音符號], "")</f>
        <v>ㆠ</v>
      </c>
      <c r="H5" s="427" t="str">
        <f xml:space="preserve"> _xlfn.XLOOKUP(按鍵設計表[[#This Row],[台語音標]], 注音編碼對照表[台語音標], 注音編碼對照表[漢字例], "")</f>
        <v>眉</v>
      </c>
      <c r="I5" s="381" t="str">
        <f xml:space="preserve"> _xlfn.XLOOKUP(按鍵設計表[[#This Row],[台語音標]], 注音編碼對照表[台語音標], 注音編碼對照表[聲韻調], "")</f>
        <v>聲</v>
      </c>
      <c r="J5" s="381" t="str">
        <f xml:space="preserve"> _xlfn.XLOOKUP(按鍵設計表[[#This Row],[台語音標]], 注音編碼對照表[台語音標], 注音編碼對照表[十五音], "")</f>
        <v>門</v>
      </c>
      <c r="K5" s="381" t="str">
        <f xml:space="preserve"> _xlfn.XLOOKUP(按鍵設計表[[#This Row],[台語音標]], 注音編碼對照表[台語音標], 注音編碼對照表[注音二式], "")</f>
        <v>bb</v>
      </c>
      <c r="L5" s="381" t="str">
        <f xml:space="preserve"> _xlfn.XLOOKUP(按鍵設計表[[#This Row],[台語音標]], 注音編碼對照表[台語音標], 注音編碼對照表[台羅拼音], "")</f>
        <v>b</v>
      </c>
      <c r="M5" s="381" t="str">
        <f xml:space="preserve"> _xlfn.XLOOKUP(按鍵設計表[[#This Row],[台語音標]], 注音編碼對照表[台語音標], 注音編碼對照表[白話字], "")</f>
        <v>b</v>
      </c>
      <c r="N5" s="381" t="str">
        <f xml:space="preserve"> _xlfn.XLOOKUP(按鍵設計表[[#This Row],[台語音標]], 注音編碼對照表[台語音標], 注音編碼對照表[閩拼方案], "")</f>
        <v>bb</v>
      </c>
      <c r="O5" s="382"/>
      <c r="P5" s="306"/>
      <c r="Q5" s="306">
        <f>LEN(按鍵設計表[[#This Row],[注音符號]])</f>
        <v>1</v>
      </c>
      <c r="R5" s="264"/>
      <c r="S5" s="265">
        <f t="shared" ref="S5:S36" si="1">ROW() - 4</f>
        <v>1</v>
      </c>
      <c r="T5" s="248">
        <f xml:space="preserve"> ROW() - 4</f>
        <v>1</v>
      </c>
      <c r="U5" s="179" t="s">
        <v>213</v>
      </c>
      <c r="V5" s="224" t="s">
        <v>5</v>
      </c>
      <c r="W5" s="318" t="s">
        <v>6</v>
      </c>
      <c r="X5" s="224" t="s">
        <v>123</v>
      </c>
      <c r="Y5" s="224" t="s">
        <v>123</v>
      </c>
      <c r="Z5" s="224" t="s">
        <v>134</v>
      </c>
      <c r="AA5" s="224" t="s">
        <v>8342</v>
      </c>
      <c r="AB5" s="293" t="s">
        <v>8352</v>
      </c>
      <c r="AC5" s="265"/>
      <c r="AD5" s="48">
        <v>1</v>
      </c>
      <c r="AE5" s="54" t="s">
        <v>213</v>
      </c>
      <c r="AF5" s="56" t="s">
        <v>123</v>
      </c>
      <c r="AG5" s="86" t="s">
        <v>5</v>
      </c>
      <c r="AH5" s="59" t="s">
        <v>123</v>
      </c>
      <c r="AI5" s="177"/>
      <c r="AJ5" s="251" t="s">
        <v>213</v>
      </c>
      <c r="AK5" s="252" t="str">
        <f xml:space="preserve"> CHAR(32)</f>
        <v xml:space="preserve"> </v>
      </c>
      <c r="AL5" s="112"/>
      <c r="AM5" s="111" t="s">
        <v>285</v>
      </c>
      <c r="AN5" s="111">
        <v>1</v>
      </c>
      <c r="AO5" s="253">
        <v>1</v>
      </c>
    </row>
    <row r="6" spans="2:41" ht="43.5">
      <c r="B6" s="383">
        <f xml:space="preserve"> ROW() - 4</f>
        <v>2</v>
      </c>
      <c r="C6" s="384" t="s">
        <v>213</v>
      </c>
      <c r="D6" s="381" t="s">
        <v>134</v>
      </c>
      <c r="E6" s="417" t="s">
        <v>134</v>
      </c>
      <c r="F6" s="417" t="s">
        <v>134</v>
      </c>
      <c r="G6" s="381" t="str">
        <f xml:space="preserve"> _xlfn.XLOOKUP(按鍵設計表[[#This Row],[台語音標]], 注音編碼對照表[台語音標], 注音編碼對照表[注音符號], "")</f>
        <v>ㄅ</v>
      </c>
      <c r="H6" s="427" t="str">
        <f xml:space="preserve"> _xlfn.XLOOKUP(按鍵設計表[[#This Row],[台語音標]], 注音編碼對照表[台語音標], 注音編碼對照表[漢字例], "")</f>
        <v>幫</v>
      </c>
      <c r="I6" s="381" t="str">
        <f xml:space="preserve"> _xlfn.XLOOKUP(按鍵設計表[[#This Row],[台語音標]], 注音編碼對照表[台語音標], 注音編碼對照表[聲韻調], "")</f>
        <v>聲</v>
      </c>
      <c r="J6" s="381" t="str">
        <f xml:space="preserve"> _xlfn.XLOOKUP(按鍵設計表[[#This Row],[台語音標]], 注音編碼對照表[台語音標], 注音編碼對照表[十五音], "")</f>
        <v>邊</v>
      </c>
      <c r="K6" s="381" t="str">
        <f xml:space="preserve"> _xlfn.XLOOKUP(按鍵設計表[[#This Row],[台語音標]], 注音編碼對照表[台語音標], 注音編碼對照表[注音二式], "")</f>
        <v>b</v>
      </c>
      <c r="L6" s="381" t="str">
        <f xml:space="preserve"> _xlfn.XLOOKUP(按鍵設計表[[#This Row],[台語音標]], 注音編碼對照表[台語音標], 注音編碼對照表[台羅拼音], "")</f>
        <v>p</v>
      </c>
      <c r="M6" s="381" t="str">
        <f xml:space="preserve"> _xlfn.XLOOKUP(按鍵設計表[[#This Row],[台語音標]], 注音編碼對照表[台語音標], 注音編碼對照表[白話字], "")</f>
        <v>p</v>
      </c>
      <c r="N6" s="381" t="str">
        <f xml:space="preserve"> _xlfn.XLOOKUP(按鍵設計表[[#This Row],[台語音標]], 注音編碼對照表[台語音標], 注音編碼對照表[閩拼方案], "")</f>
        <v>b</v>
      </c>
      <c r="O6" s="385" t="s">
        <v>8352</v>
      </c>
      <c r="P6" s="306" t="b">
        <f xml:space="preserve"> ISBLANK(按鍵設計表[[#This Row],[注音符號]])</f>
        <v>0</v>
      </c>
      <c r="Q6" s="306">
        <f>LEN(按鍵設計表[[#This Row],[注音符號]])</f>
        <v>1</v>
      </c>
      <c r="R6" s="264"/>
      <c r="S6" s="265">
        <f t="shared" si="1"/>
        <v>2</v>
      </c>
      <c r="T6" s="249">
        <f t="shared" ref="T6:T61" si="2" xml:space="preserve"> ROW() - 4</f>
        <v>2</v>
      </c>
      <c r="U6" s="183" t="s">
        <v>226</v>
      </c>
      <c r="V6" s="226" t="s">
        <v>9</v>
      </c>
      <c r="W6" s="319" t="s">
        <v>10</v>
      </c>
      <c r="X6" s="226" t="s">
        <v>509</v>
      </c>
      <c r="Y6" s="226" t="s">
        <v>509</v>
      </c>
      <c r="Z6" s="226" t="s">
        <v>123</v>
      </c>
      <c r="AA6" s="226" t="s">
        <v>2451</v>
      </c>
      <c r="AB6" s="258"/>
      <c r="AC6" s="265"/>
      <c r="AD6" s="48">
        <v>2</v>
      </c>
      <c r="AE6" s="54" t="s">
        <v>228</v>
      </c>
      <c r="AF6" s="56" t="s">
        <v>97</v>
      </c>
      <c r="AG6" s="86" t="s">
        <v>8336</v>
      </c>
      <c r="AH6" s="59" t="s">
        <v>509</v>
      </c>
      <c r="AI6" s="177"/>
      <c r="AJ6" s="251" t="s">
        <v>206</v>
      </c>
      <c r="AK6" s="252" t="s">
        <v>125</v>
      </c>
      <c r="AL6" s="112"/>
      <c r="AM6" s="111" t="s">
        <v>72</v>
      </c>
      <c r="AN6" s="111">
        <v>2</v>
      </c>
      <c r="AO6" s="253">
        <v>2</v>
      </c>
    </row>
    <row r="7" spans="2:41" ht="43.5">
      <c r="B7" s="383">
        <f t="shared" si="0"/>
        <v>3</v>
      </c>
      <c r="C7" s="384" t="s">
        <v>209</v>
      </c>
      <c r="D7" s="381" t="s">
        <v>227</v>
      </c>
      <c r="E7" s="417" t="s">
        <v>231</v>
      </c>
      <c r="F7" s="417" t="s">
        <v>231</v>
      </c>
      <c r="G7" s="381" t="str">
        <f xml:space="preserve"> _xlfn.XLOOKUP(按鍵設計表[[#This Row],[台語音標]], 注音編碼對照表[台語音標], 注音編碼對照表[注音符號], "")</f>
        <v>ㄆ</v>
      </c>
      <c r="H7" s="427" t="str">
        <f xml:space="preserve"> _xlfn.XLOOKUP(按鍵設計表[[#This Row],[台語音標]], 注音編碼對照表[台語音標], 注音編碼對照表[漢字例], "")</f>
        <v>普</v>
      </c>
      <c r="I7" s="381" t="str">
        <f xml:space="preserve"> _xlfn.XLOOKUP(按鍵設計表[[#This Row],[台語音標]], 注音編碼對照表[台語音標], 注音編碼對照表[聲韻調], "")</f>
        <v>聲</v>
      </c>
      <c r="J7" s="381" t="str">
        <f xml:space="preserve"> _xlfn.XLOOKUP(按鍵設計表[[#This Row],[台語音標]], 注音編碼對照表[台語音標], 注音編碼對照表[十五音], "")</f>
        <v>頗</v>
      </c>
      <c r="K7" s="381" t="str">
        <f xml:space="preserve"> _xlfn.XLOOKUP(按鍵設計表[[#This Row],[台語音標]], 注音編碼對照表[台語音標], 注音編碼對照表[注音二式], "")</f>
        <v>p</v>
      </c>
      <c r="L7" s="381" t="str">
        <f xml:space="preserve"> _xlfn.XLOOKUP(按鍵設計表[[#This Row],[台語音標]], 注音編碼對照表[台語音標], 注音編碼對照表[台羅拼音], "")</f>
        <v>ph</v>
      </c>
      <c r="M7" s="381" t="str">
        <f xml:space="preserve"> _xlfn.XLOOKUP(按鍵設計表[[#This Row],[台語音標]], 注音編碼對照表[台語音標], 注音編碼對照表[白話字], "")</f>
        <v>ph</v>
      </c>
      <c r="N7" s="381" t="str">
        <f xml:space="preserve"> _xlfn.XLOOKUP(按鍵設計表[[#This Row],[台語音標]], 注音編碼對照表[台語音標], 注音編碼對照表[閩拼方案], "")</f>
        <v>p</v>
      </c>
      <c r="O7" s="382"/>
      <c r="P7" s="306"/>
      <c r="Q7" s="306">
        <f>LEN(按鍵設計表[[#This Row],[注音符號]])</f>
        <v>1</v>
      </c>
      <c r="R7" s="264"/>
      <c r="S7" s="265">
        <f t="shared" si="1"/>
        <v>3</v>
      </c>
      <c r="T7" s="249">
        <f t="shared" si="2"/>
        <v>3</v>
      </c>
      <c r="U7" s="183" t="s">
        <v>209</v>
      </c>
      <c r="V7" s="226" t="s">
        <v>7</v>
      </c>
      <c r="W7" s="319" t="s">
        <v>212</v>
      </c>
      <c r="X7" s="226" t="s">
        <v>134</v>
      </c>
      <c r="Y7" s="226" t="s">
        <v>134</v>
      </c>
      <c r="Z7" s="226" t="s">
        <v>227</v>
      </c>
      <c r="AA7" s="226" t="s">
        <v>2451</v>
      </c>
      <c r="AB7" s="258"/>
      <c r="AC7" s="265"/>
      <c r="AD7" s="48">
        <v>3</v>
      </c>
      <c r="AE7" s="54" t="s">
        <v>209</v>
      </c>
      <c r="AF7" s="56" t="s">
        <v>134</v>
      </c>
      <c r="AG7" s="86" t="s">
        <v>7</v>
      </c>
      <c r="AH7" s="59" t="s">
        <v>134</v>
      </c>
      <c r="AI7" s="177"/>
      <c r="AJ7" s="251" t="s">
        <v>124</v>
      </c>
      <c r="AK7" s="252" t="s">
        <v>124</v>
      </c>
      <c r="AL7" s="112"/>
      <c r="AM7" s="111" t="s">
        <v>73</v>
      </c>
      <c r="AN7" s="111">
        <v>3</v>
      </c>
      <c r="AO7" s="253">
        <v>3</v>
      </c>
    </row>
    <row r="8" spans="2:41" ht="44.25" thickBot="1">
      <c r="B8" s="390">
        <f t="shared" si="0"/>
        <v>4</v>
      </c>
      <c r="C8" s="391" t="s">
        <v>208</v>
      </c>
      <c r="D8" s="392" t="s">
        <v>96</v>
      </c>
      <c r="E8" s="418" t="s">
        <v>55</v>
      </c>
      <c r="F8" s="418" t="s">
        <v>123</v>
      </c>
      <c r="G8" s="392" t="str">
        <f xml:space="preserve"> _xlfn.XLOOKUP(按鍵設計表[[#This Row],[台語音標]], 注音編碼對照表[台語音標], 注音編碼對照表[注音符號], "")</f>
        <v>ㄇ</v>
      </c>
      <c r="H8" s="428" t="str">
        <f xml:space="preserve"> _xlfn.XLOOKUP(按鍵設計表[[#This Row],[台語音標]], 注音編碼對照表[台語音標], 注音編碼對照表[漢字例], "")</f>
        <v>名</v>
      </c>
      <c r="I8" s="392" t="str">
        <f xml:space="preserve"> _xlfn.XLOOKUP(按鍵設計表[[#This Row],[台語音標]], 注音編碼對照表[台語音標], 注音編碼對照表[聲韻調], "")</f>
        <v>聲</v>
      </c>
      <c r="J8" s="392" t="str">
        <f xml:space="preserve"> _xlfn.XLOOKUP(按鍵設計表[[#This Row],[台語音標]], 注音編碼對照表[台語音標], 注音編碼對照表[十五音], "")</f>
        <v>門</v>
      </c>
      <c r="K8" s="392" t="str">
        <f xml:space="preserve"> _xlfn.XLOOKUP(按鍵設計表[[#This Row],[台語音標]], 注音編碼對照表[台語音標], 注音編碼對照表[注音二式], "")</f>
        <v>m</v>
      </c>
      <c r="L8" s="392" t="str">
        <f xml:space="preserve"> _xlfn.XLOOKUP(按鍵設計表[[#This Row],[台語音標]], 注音編碼對照表[台語音標], 注音編碼對照表[台羅拼音], "")</f>
        <v>m</v>
      </c>
      <c r="M8" s="392" t="str">
        <f xml:space="preserve"> _xlfn.XLOOKUP(按鍵設計表[[#This Row],[台語音標]], 注音編碼對照表[台語音標], 注音編碼對照表[白話字], "")</f>
        <v>m</v>
      </c>
      <c r="N8" s="392" t="str">
        <f xml:space="preserve"> _xlfn.XLOOKUP(按鍵設計表[[#This Row],[台語音標]], 注音編碼對照表[台語音標], 注音編碼對照表[閩拼方案], "")</f>
        <v>bbn</v>
      </c>
      <c r="O8" s="393" t="s">
        <v>8349</v>
      </c>
      <c r="P8" s="306"/>
      <c r="Q8" s="306">
        <f>LEN(按鍵設計表[[#This Row],[注音符號]])</f>
        <v>1</v>
      </c>
      <c r="R8" s="264"/>
      <c r="S8" s="265">
        <f t="shared" si="1"/>
        <v>4</v>
      </c>
      <c r="T8" s="250">
        <f t="shared" si="2"/>
        <v>4</v>
      </c>
      <c r="U8" s="246" t="s">
        <v>208</v>
      </c>
      <c r="V8" s="245" t="s">
        <v>54</v>
      </c>
      <c r="W8" s="320" t="s">
        <v>96</v>
      </c>
      <c r="X8" s="245" t="s">
        <v>96</v>
      </c>
      <c r="Y8" s="245" t="s">
        <v>8383</v>
      </c>
      <c r="Z8" s="245" t="s">
        <v>96</v>
      </c>
      <c r="AA8" s="245" t="s">
        <v>2451</v>
      </c>
      <c r="AB8" s="259" t="s">
        <v>8349</v>
      </c>
      <c r="AC8" s="265"/>
      <c r="AD8" s="48">
        <v>4</v>
      </c>
      <c r="AE8" s="54" t="s">
        <v>208</v>
      </c>
      <c r="AF8" s="56" t="s">
        <v>96</v>
      </c>
      <c r="AG8" s="86" t="s">
        <v>54</v>
      </c>
      <c r="AH8" s="59" t="s">
        <v>96</v>
      </c>
      <c r="AI8" s="177"/>
      <c r="AJ8" s="251" t="s">
        <v>111</v>
      </c>
      <c r="AK8" s="252" t="s">
        <v>114</v>
      </c>
      <c r="AL8" s="112"/>
      <c r="AM8" s="111" t="s">
        <v>74</v>
      </c>
      <c r="AN8" s="111">
        <v>5</v>
      </c>
      <c r="AO8" s="253">
        <v>5</v>
      </c>
    </row>
    <row r="9" spans="2:41" ht="43.5">
      <c r="B9" s="383">
        <f t="shared" si="0"/>
        <v>5</v>
      </c>
      <c r="C9" s="384" t="s">
        <v>30</v>
      </c>
      <c r="D9" s="381" t="s">
        <v>16</v>
      </c>
      <c r="E9" s="417" t="s">
        <v>16</v>
      </c>
      <c r="F9" s="417" t="s">
        <v>16</v>
      </c>
      <c r="G9" s="381" t="str">
        <f xml:space="preserve"> _xlfn.XLOOKUP(按鍵設計表[[#This Row],[台語音標]], 注音編碼對照表[台語音標], 注音編碼對照表[注音符號], "")</f>
        <v>ㄋ</v>
      </c>
      <c r="H9" s="427" t="str">
        <f xml:space="preserve"> _xlfn.XLOOKUP(按鍵設計表[[#This Row],[台語音標]], 注音編碼對照表[台語音標], 注音編碼對照表[漢字例], "")</f>
        <v>泥</v>
      </c>
      <c r="I9" s="381" t="str">
        <f xml:space="preserve"> _xlfn.XLOOKUP(按鍵設計表[[#This Row],[台語音標]], 注音編碼對照表[台語音標], 注音編碼對照表[聲韻調], "")</f>
        <v>聲</v>
      </c>
      <c r="J9" s="381" t="str">
        <f xml:space="preserve"> _xlfn.XLOOKUP(按鍵設計表[[#This Row],[台語音標]], 注音編碼對照表[台語音標], 注音編碼對照表[十五音], "")</f>
        <v>柳</v>
      </c>
      <c r="K9" s="381" t="str">
        <f xml:space="preserve"> _xlfn.XLOOKUP(按鍵設計表[[#This Row],[台語音標]], 注音編碼對照表[台語音標], 注音編碼對照表[注音二式], "")</f>
        <v>n</v>
      </c>
      <c r="L9" s="381" t="str">
        <f xml:space="preserve"> _xlfn.XLOOKUP(按鍵設計表[[#This Row],[台語音標]], 注音編碼對照表[台語音標], 注音編碼對照表[台羅拼音], "")</f>
        <v>n</v>
      </c>
      <c r="M9" s="381" t="str">
        <f xml:space="preserve"> _xlfn.XLOOKUP(按鍵設計表[[#This Row],[台語音標]], 注音編碼對照表[台語音標], 注音編碼對照表[白話字], "")</f>
        <v>n</v>
      </c>
      <c r="N9" s="381" t="str">
        <f xml:space="preserve"> _xlfn.XLOOKUP(按鍵設計表[[#This Row],[台語音標]], 注音編碼對照表[台語音標], 注音編碼對照表[閩拼方案], "")</f>
        <v>ln</v>
      </c>
      <c r="O9" s="382" t="s">
        <v>8350</v>
      </c>
      <c r="P9" s="306"/>
      <c r="Q9" s="306">
        <f>LEN(按鍵設計表[[#This Row],[注音符號]])</f>
        <v>1</v>
      </c>
      <c r="R9" s="264"/>
      <c r="S9" s="265">
        <f t="shared" si="1"/>
        <v>5</v>
      </c>
      <c r="T9" s="250">
        <f t="shared" si="2"/>
        <v>5</v>
      </c>
      <c r="U9" s="246" t="s">
        <v>216</v>
      </c>
      <c r="V9" s="245" t="s">
        <v>93</v>
      </c>
      <c r="W9" s="320" t="s">
        <v>328</v>
      </c>
      <c r="X9" s="245" t="s">
        <v>241</v>
      </c>
      <c r="Y9" s="245" t="s">
        <v>32</v>
      </c>
      <c r="Z9" s="245" t="s">
        <v>241</v>
      </c>
      <c r="AA9" s="245" t="s">
        <v>8347</v>
      </c>
      <c r="AB9" s="259" t="s">
        <v>8356</v>
      </c>
      <c r="AC9" s="265"/>
      <c r="AD9" s="48">
        <v>5</v>
      </c>
      <c r="AE9" s="54" t="s">
        <v>206</v>
      </c>
      <c r="AF9" s="56" t="s">
        <v>184</v>
      </c>
      <c r="AG9" s="86" t="s">
        <v>11</v>
      </c>
      <c r="AH9" s="59" t="s">
        <v>184</v>
      </c>
      <c r="AI9" s="177"/>
      <c r="AJ9" s="251" t="s">
        <v>108</v>
      </c>
      <c r="AK9" s="252" t="s">
        <v>111</v>
      </c>
      <c r="AL9" s="112"/>
      <c r="AM9" s="111" t="s">
        <v>75</v>
      </c>
      <c r="AN9" s="111">
        <v>7</v>
      </c>
      <c r="AO9" s="253">
        <v>7</v>
      </c>
    </row>
    <row r="10" spans="2:41" ht="43.5">
      <c r="B10" s="383">
        <f t="shared" si="0"/>
        <v>6</v>
      </c>
      <c r="C10" s="384" t="s">
        <v>206</v>
      </c>
      <c r="D10" s="381" t="s">
        <v>12</v>
      </c>
      <c r="E10" s="417" t="s">
        <v>12</v>
      </c>
      <c r="F10" s="417" t="s">
        <v>12</v>
      </c>
      <c r="G10" s="381" t="str">
        <f xml:space="preserve"> _xlfn.XLOOKUP(按鍵設計表[[#This Row],[台語音標]], 注音編碼對照表[台語音標], 注音編碼對照表[注音符號], "")</f>
        <v>ㄉ</v>
      </c>
      <c r="H10" s="427" t="str">
        <f xml:space="preserve"> _xlfn.XLOOKUP(按鍵設計表[[#This Row],[台語音標]], 注音編碼對照表[台語音標], 注音編碼對照表[漢字例], "")</f>
        <v>端</v>
      </c>
      <c r="I10" s="381" t="str">
        <f xml:space="preserve"> _xlfn.XLOOKUP(按鍵設計表[[#This Row],[台語音標]], 注音編碼對照表[台語音標], 注音編碼對照表[聲韻調], "")</f>
        <v>聲</v>
      </c>
      <c r="J10" s="381" t="str">
        <f xml:space="preserve"> _xlfn.XLOOKUP(按鍵設計表[[#This Row],[台語音標]], 注音編碼對照表[台語音標], 注音編碼對照表[十五音], "")</f>
        <v>地</v>
      </c>
      <c r="K10" s="381" t="str">
        <f xml:space="preserve"> _xlfn.XLOOKUP(按鍵設計表[[#This Row],[台語音標]], 注音編碼對照表[台語音標], 注音編碼對照表[注音二式], "")</f>
        <v>d</v>
      </c>
      <c r="L10" s="381" t="str">
        <f xml:space="preserve"> _xlfn.XLOOKUP(按鍵設計表[[#This Row],[台語音標]], 注音編碼對照表[台語音標], 注音編碼對照表[台羅拼音], "")</f>
        <v>t</v>
      </c>
      <c r="M10" s="381" t="str">
        <f xml:space="preserve"> _xlfn.XLOOKUP(按鍵設計表[[#This Row],[台語音標]], 注音編碼對照表[台語音標], 注音編碼對照表[白話字], "")</f>
        <v>t</v>
      </c>
      <c r="N10" s="381" t="str">
        <f xml:space="preserve"> _xlfn.XLOOKUP(按鍵設計表[[#This Row],[台語音標]], 注音編碼對照表[台語音標], 注音編碼對照表[閩拼方案], "")</f>
        <v>d</v>
      </c>
      <c r="O10" s="385" t="s">
        <v>8358</v>
      </c>
      <c r="P10" s="306"/>
      <c r="Q10" s="306">
        <f>LEN(按鍵設計表[[#This Row],[注音符號]])</f>
        <v>1</v>
      </c>
      <c r="R10" s="264"/>
      <c r="S10" s="265">
        <f t="shared" si="1"/>
        <v>6</v>
      </c>
      <c r="T10" s="248">
        <f t="shared" si="2"/>
        <v>6</v>
      </c>
      <c r="U10" s="179" t="s">
        <v>206</v>
      </c>
      <c r="V10" s="224" t="s">
        <v>11</v>
      </c>
      <c r="W10" s="318" t="s">
        <v>202</v>
      </c>
      <c r="X10" s="224" t="s">
        <v>184</v>
      </c>
      <c r="Y10" s="224" t="s">
        <v>194</v>
      </c>
      <c r="Z10" s="224" t="s">
        <v>12</v>
      </c>
      <c r="AA10" s="224" t="s">
        <v>2451</v>
      </c>
      <c r="AB10" s="293" t="s">
        <v>8358</v>
      </c>
      <c r="AC10" s="265"/>
      <c r="AD10" s="48">
        <v>6</v>
      </c>
      <c r="AE10" s="54" t="s">
        <v>203</v>
      </c>
      <c r="AF10" s="56" t="s">
        <v>12</v>
      </c>
      <c r="AG10" s="86" t="s">
        <v>13</v>
      </c>
      <c r="AH10" s="59" t="s">
        <v>12</v>
      </c>
      <c r="AI10" s="177"/>
      <c r="AJ10" s="251" t="s">
        <v>135</v>
      </c>
      <c r="AK10" s="252" t="s">
        <v>108</v>
      </c>
      <c r="AL10" s="112"/>
      <c r="AM10" s="111" t="s">
        <v>76</v>
      </c>
      <c r="AN10" s="111">
        <v>48</v>
      </c>
      <c r="AO10" s="253" t="s">
        <v>332</v>
      </c>
    </row>
    <row r="11" spans="2:41" ht="43.5">
      <c r="B11" s="383">
        <f t="shared" si="0"/>
        <v>7</v>
      </c>
      <c r="C11" s="384" t="s">
        <v>203</v>
      </c>
      <c r="D11" s="381" t="s">
        <v>14</v>
      </c>
      <c r="E11" s="417" t="s">
        <v>234</v>
      </c>
      <c r="F11" s="417" t="s">
        <v>234</v>
      </c>
      <c r="G11" s="381" t="str">
        <f xml:space="preserve"> _xlfn.XLOOKUP(按鍵設計表[[#This Row],[台語音標]], 注音編碼對照表[台語音標], 注音編碼對照表[注音符號], "")</f>
        <v>ㄊ</v>
      </c>
      <c r="H11" s="427" t="str">
        <f xml:space="preserve"> _xlfn.XLOOKUP(按鍵設計表[[#This Row],[台語音標]], 注音編碼對照表[台語音標], 注音編碼對照表[漢字例], "")</f>
        <v>透</v>
      </c>
      <c r="I11" s="381" t="str">
        <f xml:space="preserve"> _xlfn.XLOOKUP(按鍵設計表[[#This Row],[台語音標]], 注音編碼對照表[台語音標], 注音編碼對照表[聲韻調], "")</f>
        <v>聲</v>
      </c>
      <c r="J11" s="381" t="str">
        <f xml:space="preserve"> _xlfn.XLOOKUP(按鍵設計表[[#This Row],[台語音標]], 注音編碼對照表[台語音標], 注音編碼對照表[十五音], "")</f>
        <v>他</v>
      </c>
      <c r="K11" s="381" t="str">
        <f xml:space="preserve"> _xlfn.XLOOKUP(按鍵設計表[[#This Row],[台語音標]], 注音編碼對照表[台語音標], 注音編碼對照表[注音二式], "")</f>
        <v>t</v>
      </c>
      <c r="L11" s="381" t="str">
        <f xml:space="preserve"> _xlfn.XLOOKUP(按鍵設計表[[#This Row],[台語音標]], 注音編碼對照表[台語音標], 注音編碼對照表[台羅拼音], "")</f>
        <v>th</v>
      </c>
      <c r="M11" s="381" t="str">
        <f xml:space="preserve"> _xlfn.XLOOKUP(按鍵設計表[[#This Row],[台語音標]], 注音編碼對照表[台語音標], 注音編碼對照表[白話字], "")</f>
        <v>th</v>
      </c>
      <c r="N11" s="381" t="str">
        <f xml:space="preserve"> _xlfn.XLOOKUP(按鍵設計表[[#This Row],[台語音標]], 注音編碼對照表[台語音標], 注音編碼對照表[閩拼方案], "")</f>
        <v>t</v>
      </c>
      <c r="O11" s="382"/>
      <c r="P11" s="306"/>
      <c r="Q11" s="306">
        <f>LEN(按鍵設計表[[#This Row],[注音符號]])</f>
        <v>1</v>
      </c>
      <c r="R11" s="264"/>
      <c r="S11" s="265">
        <f t="shared" si="1"/>
        <v>7</v>
      </c>
      <c r="T11" s="249">
        <f t="shared" si="2"/>
        <v>7</v>
      </c>
      <c r="U11" s="183" t="s">
        <v>203</v>
      </c>
      <c r="V11" s="226" t="s">
        <v>13</v>
      </c>
      <c r="W11" s="319" t="s">
        <v>200</v>
      </c>
      <c r="X11" s="226" t="s">
        <v>12</v>
      </c>
      <c r="Y11" s="226" t="s">
        <v>202</v>
      </c>
      <c r="Z11" s="226" t="s">
        <v>14</v>
      </c>
      <c r="AA11" s="226" t="s">
        <v>2451</v>
      </c>
      <c r="AB11" s="258"/>
      <c r="AC11" s="265"/>
      <c r="AD11" s="48">
        <v>7</v>
      </c>
      <c r="AE11" s="54" t="s">
        <v>201</v>
      </c>
      <c r="AF11" s="56" t="s">
        <v>16</v>
      </c>
      <c r="AG11" s="86" t="s">
        <v>15</v>
      </c>
      <c r="AH11" s="59" t="s">
        <v>16</v>
      </c>
      <c r="AI11" s="177"/>
      <c r="AJ11" s="251" t="s">
        <v>247</v>
      </c>
      <c r="AK11" s="252" t="s">
        <v>10</v>
      </c>
      <c r="AL11" s="254" t="s">
        <v>421</v>
      </c>
      <c r="AM11" s="111" t="s">
        <v>90</v>
      </c>
      <c r="AN11" s="111" t="s">
        <v>528</v>
      </c>
      <c r="AO11" s="255" t="s">
        <v>338</v>
      </c>
    </row>
    <row r="12" spans="2:41" ht="44.25" thickBot="1">
      <c r="B12" s="390">
        <f t="shared" si="0"/>
        <v>8</v>
      </c>
      <c r="C12" s="391" t="s">
        <v>237</v>
      </c>
      <c r="D12" s="392" t="s">
        <v>57</v>
      </c>
      <c r="E12" s="418" t="s">
        <v>273</v>
      </c>
      <c r="F12" s="418" t="s">
        <v>16</v>
      </c>
      <c r="G12" s="392" t="str">
        <f xml:space="preserve"> _xlfn.XLOOKUP(按鍵設計表[[#This Row],[台語音標]], 注音編碼對照表[台語音標], 注音編碼對照表[注音符號], "")</f>
        <v>ㄌ</v>
      </c>
      <c r="H12" s="428" t="str">
        <f xml:space="preserve"> _xlfn.XLOOKUP(按鍵設計表[[#This Row],[台語音標]], 注音編碼對照表[台語音標], 注音編碼對照表[漢字例], "")</f>
        <v>來</v>
      </c>
      <c r="I12" s="392" t="str">
        <f xml:space="preserve"> _xlfn.XLOOKUP(按鍵設計表[[#This Row],[台語音標]], 注音編碼對照表[台語音標], 注音編碼對照表[聲韻調], "")</f>
        <v>聲</v>
      </c>
      <c r="J12" s="392" t="str">
        <f xml:space="preserve"> _xlfn.XLOOKUP(按鍵設計表[[#This Row],[台語音標]], 注音編碼對照表[台語音標], 注音編碼對照表[十五音], "")</f>
        <v>柳</v>
      </c>
      <c r="K12" s="392" t="str">
        <f xml:space="preserve"> _xlfn.XLOOKUP(按鍵設計表[[#This Row],[台語音標]], 注音編碼對照表[台語音標], 注音編碼對照表[注音二式], "")</f>
        <v>l</v>
      </c>
      <c r="L12" s="392" t="str">
        <f xml:space="preserve"> _xlfn.XLOOKUP(按鍵設計表[[#This Row],[台語音標]], 注音編碼對照表[台語音標], 注音編碼對照表[台羅拼音], "")</f>
        <v>l</v>
      </c>
      <c r="M12" s="392" t="str">
        <f xml:space="preserve"> _xlfn.XLOOKUP(按鍵設計表[[#This Row],[台語音標]], 注音編碼對照表[台語音標], 注音編碼對照表[白話字], "")</f>
        <v>l</v>
      </c>
      <c r="N12" s="392" t="str">
        <f xml:space="preserve"> _xlfn.XLOOKUP(按鍵設計表[[#This Row],[台語音標]], 注音編碼對照表[台語音標], 注音編碼對照表[閩拼方案], "")</f>
        <v>l</v>
      </c>
      <c r="O12" s="393"/>
      <c r="P12" s="306"/>
      <c r="Q12" s="306">
        <f>LEN(按鍵設計表[[#This Row],[注音符號]])</f>
        <v>1</v>
      </c>
      <c r="R12" s="264"/>
      <c r="S12" s="265">
        <f t="shared" si="1"/>
        <v>8</v>
      </c>
      <c r="T12" s="250">
        <f t="shared" si="2"/>
        <v>8</v>
      </c>
      <c r="U12" s="246" t="s">
        <v>201</v>
      </c>
      <c r="V12" s="245" t="s">
        <v>15</v>
      </c>
      <c r="W12" s="320" t="s">
        <v>16</v>
      </c>
      <c r="X12" s="245" t="s">
        <v>16</v>
      </c>
      <c r="Y12" s="245" t="s">
        <v>8384</v>
      </c>
      <c r="Z12" s="245" t="s">
        <v>16</v>
      </c>
      <c r="AA12" s="245" t="s">
        <v>2451</v>
      </c>
      <c r="AB12" s="259" t="s">
        <v>8350</v>
      </c>
      <c r="AC12" s="265"/>
      <c r="AD12" s="48">
        <v>8</v>
      </c>
      <c r="AE12" s="54" t="s">
        <v>197</v>
      </c>
      <c r="AF12" s="56" t="s">
        <v>57</v>
      </c>
      <c r="AG12" s="86" t="s">
        <v>56</v>
      </c>
      <c r="AH12" s="59" t="s">
        <v>57</v>
      </c>
      <c r="AI12" s="177"/>
      <c r="AJ12" s="251" t="s">
        <v>249</v>
      </c>
      <c r="AK12" s="252" t="s">
        <v>202</v>
      </c>
      <c r="AL12" s="254" t="s">
        <v>422</v>
      </c>
      <c r="AM12" s="111" t="s">
        <v>91</v>
      </c>
      <c r="AN12" s="111" t="s">
        <v>530</v>
      </c>
      <c r="AO12" s="255" t="s">
        <v>339</v>
      </c>
    </row>
    <row r="13" spans="2:41" ht="43.5">
      <c r="B13" s="383">
        <f t="shared" si="0"/>
        <v>9</v>
      </c>
      <c r="C13" s="384" t="s">
        <v>240</v>
      </c>
      <c r="D13" s="381" t="s">
        <v>119</v>
      </c>
      <c r="E13" s="417" t="s">
        <v>8423</v>
      </c>
      <c r="F13" s="417" t="s">
        <v>119</v>
      </c>
      <c r="G13" s="381" t="str">
        <f xml:space="preserve"> _xlfn.XLOOKUP(按鍵設計表[[#This Row],[台語音標]], 注音編碼對照表[台語音標], 注音編碼對照表[注音符號], "")</f>
        <v>ㆣ</v>
      </c>
      <c r="H13" s="427" t="str">
        <f xml:space="preserve"> _xlfn.XLOOKUP(按鍵設計表[[#This Row],[台語音標]], 注音編碼對照表[台語音標], 注音編碼對照表[漢字例], "")</f>
        <v>疑</v>
      </c>
      <c r="I13" s="381" t="str">
        <f xml:space="preserve"> _xlfn.XLOOKUP(按鍵設計表[[#This Row],[台語音標]], 注音編碼對照表[台語音標], 注音編碼對照表[聲韻調], "")</f>
        <v>聲</v>
      </c>
      <c r="J13" s="381" t="str">
        <f xml:space="preserve"> _xlfn.XLOOKUP(按鍵設計表[[#This Row],[台語音標]], 注音編碼對照表[台語音標], 注音編碼對照表[十五音], "")</f>
        <v>語</v>
      </c>
      <c r="K13" s="381" t="str">
        <f xml:space="preserve"> _xlfn.XLOOKUP(按鍵設計表[[#This Row],[台語音標]], 注音編碼對照表[台語音標], 注音編碼對照表[注音二式], "")</f>
        <v>gg</v>
      </c>
      <c r="L13" s="381" t="str">
        <f xml:space="preserve"> _xlfn.XLOOKUP(按鍵設計表[[#This Row],[台語音標]], 注音編碼對照表[台語音標], 注音編碼對照表[台羅拼音], "")</f>
        <v>g</v>
      </c>
      <c r="M13" s="381" t="str">
        <f xml:space="preserve"> _xlfn.XLOOKUP(按鍵設計表[[#This Row],[台語音標]], 注音編碼對照表[台語音標], 注音編碼對照表[白話字], "")</f>
        <v>g</v>
      </c>
      <c r="N13" s="381" t="str">
        <f xml:space="preserve"> _xlfn.XLOOKUP(按鍵設計表[[#This Row],[台語音標]], 注音編碼對照表[台語音標], 注音編碼對照表[閩拼方案], "")</f>
        <v>gg</v>
      </c>
      <c r="O13" s="382"/>
      <c r="P13" s="306"/>
      <c r="Q13" s="306">
        <f>LEN(按鍵設計表[[#This Row],[注音符號]])</f>
        <v>1</v>
      </c>
      <c r="R13" s="264"/>
      <c r="S13" s="265">
        <f t="shared" si="1"/>
        <v>9</v>
      </c>
      <c r="T13" s="250">
        <f t="shared" si="2"/>
        <v>9</v>
      </c>
      <c r="U13" s="246" t="s">
        <v>237</v>
      </c>
      <c r="V13" s="245" t="s">
        <v>56</v>
      </c>
      <c r="W13" s="320" t="s">
        <v>57</v>
      </c>
      <c r="X13" s="245" t="s">
        <v>57</v>
      </c>
      <c r="Y13" s="245" t="s">
        <v>273</v>
      </c>
      <c r="Z13" s="245" t="s">
        <v>57</v>
      </c>
      <c r="AA13" s="245" t="s">
        <v>2451</v>
      </c>
      <c r="AB13" s="259"/>
      <c r="AC13" s="265"/>
      <c r="AD13" s="48">
        <v>9</v>
      </c>
      <c r="AE13" s="54" t="s">
        <v>195</v>
      </c>
      <c r="AF13" s="56" t="s">
        <v>119</v>
      </c>
      <c r="AG13" s="86" t="s">
        <v>17</v>
      </c>
      <c r="AH13" s="59" t="s">
        <v>119</v>
      </c>
      <c r="AI13" s="177"/>
      <c r="AJ13" s="251" t="s">
        <v>253</v>
      </c>
      <c r="AK13" s="252" t="s">
        <v>22</v>
      </c>
      <c r="AL13" s="254" t="s">
        <v>423</v>
      </c>
      <c r="AM13" s="111" t="s">
        <v>92</v>
      </c>
      <c r="AN13" s="111" t="s">
        <v>529</v>
      </c>
      <c r="AO13" s="255" t="s">
        <v>340</v>
      </c>
    </row>
    <row r="14" spans="2:41" ht="43.5">
      <c r="B14" s="383">
        <f t="shared" si="0"/>
        <v>10</v>
      </c>
      <c r="C14" s="384" t="s">
        <v>195</v>
      </c>
      <c r="D14" s="381" t="s">
        <v>18</v>
      </c>
      <c r="E14" s="417" t="s">
        <v>18</v>
      </c>
      <c r="F14" s="417" t="s">
        <v>18</v>
      </c>
      <c r="G14" s="381" t="str">
        <f xml:space="preserve"> _xlfn.XLOOKUP(按鍵設計表[[#This Row],[台語音標]], 注音編碼對照表[台語音標], 注音編碼對照表[注音符號], "")</f>
        <v>ㄍ</v>
      </c>
      <c r="H14" s="427" t="str">
        <f xml:space="preserve"> _xlfn.XLOOKUP(按鍵設計表[[#This Row],[台語音標]], 注音編碼對照表[台語音標], 注音編碼對照表[漢字例], "")</f>
        <v>見</v>
      </c>
      <c r="I14" s="381" t="str">
        <f xml:space="preserve"> _xlfn.XLOOKUP(按鍵設計表[[#This Row],[台語音標]], 注音編碼對照表[台語音標], 注音編碼對照表[聲韻調], "")</f>
        <v>聲</v>
      </c>
      <c r="J14" s="381" t="str">
        <f xml:space="preserve"> _xlfn.XLOOKUP(按鍵設計表[[#This Row],[台語音標]], 注音編碼對照表[台語音標], 注音編碼對照表[十五音], "")</f>
        <v>求</v>
      </c>
      <c r="K14" s="381" t="str">
        <f xml:space="preserve"> _xlfn.XLOOKUP(按鍵設計表[[#This Row],[台語音標]], 注音編碼對照表[台語音標], 注音編碼對照表[注音二式], "")</f>
        <v>g</v>
      </c>
      <c r="L14" s="381" t="str">
        <f xml:space="preserve"> _xlfn.XLOOKUP(按鍵設計表[[#This Row],[台語音標]], 注音編碼對照表[台語音標], 注音編碼對照表[台羅拼音], "")</f>
        <v>k</v>
      </c>
      <c r="M14" s="381" t="str">
        <f xml:space="preserve"> _xlfn.XLOOKUP(按鍵設計表[[#This Row],[台語音標]], 注音編碼對照表[台語音標], 注音編碼對照表[白話字], "")</f>
        <v>k</v>
      </c>
      <c r="N14" s="381" t="str">
        <f xml:space="preserve"> _xlfn.XLOOKUP(按鍵設計表[[#This Row],[台語音標]], 注音編碼對照表[台語音標], 注音編碼對照表[閩拼方案], "")</f>
        <v>g</v>
      </c>
      <c r="O14" s="385" t="s">
        <v>8357</v>
      </c>
      <c r="P14" s="306"/>
      <c r="Q14" s="306">
        <f>LEN(按鍵設計表[[#This Row],[注音符號]])</f>
        <v>1</v>
      </c>
      <c r="R14" s="264"/>
      <c r="S14" s="265">
        <f t="shared" si="1"/>
        <v>10</v>
      </c>
      <c r="T14" s="248">
        <f t="shared" si="2"/>
        <v>10</v>
      </c>
      <c r="U14" s="179">
        <v>3</v>
      </c>
      <c r="V14" s="224" t="s">
        <v>73</v>
      </c>
      <c r="W14" s="318" t="s">
        <v>124</v>
      </c>
      <c r="X14" s="224">
        <v>3</v>
      </c>
      <c r="Y14" s="224">
        <v>5</v>
      </c>
      <c r="Z14" s="224">
        <v>3</v>
      </c>
      <c r="AA14" s="224" t="s">
        <v>8343</v>
      </c>
      <c r="AB14" s="257"/>
      <c r="AC14" s="265"/>
      <c r="AD14" s="48">
        <v>10</v>
      </c>
      <c r="AE14" s="54" t="s">
        <v>191</v>
      </c>
      <c r="AF14" s="56" t="s">
        <v>95</v>
      </c>
      <c r="AG14" s="86" t="s">
        <v>21</v>
      </c>
      <c r="AH14" s="59" t="s">
        <v>511</v>
      </c>
      <c r="AI14" s="177"/>
      <c r="AJ14" s="251" t="s">
        <v>169</v>
      </c>
      <c r="AK14" s="252" t="s">
        <v>169</v>
      </c>
      <c r="AL14" s="254" t="s">
        <v>424</v>
      </c>
      <c r="AM14" s="111" t="s">
        <v>344</v>
      </c>
      <c r="AN14" s="111" t="s">
        <v>531</v>
      </c>
      <c r="AO14" s="255" t="s">
        <v>341</v>
      </c>
    </row>
    <row r="15" spans="2:41" ht="43.5">
      <c r="B15" s="383">
        <f t="shared" si="0"/>
        <v>11</v>
      </c>
      <c r="C15" s="384" t="s">
        <v>194</v>
      </c>
      <c r="D15" s="381" t="s">
        <v>239</v>
      </c>
      <c r="E15" s="417" t="s">
        <v>242</v>
      </c>
      <c r="F15" s="417" t="s">
        <v>242</v>
      </c>
      <c r="G15" s="381" t="str">
        <f xml:space="preserve"> _xlfn.XLOOKUP(按鍵設計表[[#This Row],[台語音標]], 注音編碼對照表[台語音標], 注音編碼對照表[注音符號], "")</f>
        <v>ㄎ</v>
      </c>
      <c r="H15" s="427" t="str">
        <f xml:space="preserve"> _xlfn.XLOOKUP(按鍵設計表[[#This Row],[台語音標]], 注音編碼對照表[台語音標], 注音編碼對照表[漢字例], "")</f>
        <v>溪</v>
      </c>
      <c r="I15" s="381" t="str">
        <f xml:space="preserve"> _xlfn.XLOOKUP(按鍵設計表[[#This Row],[台語音標]], 注音編碼對照表[台語音標], 注音編碼對照表[聲韻調], "")</f>
        <v>聲</v>
      </c>
      <c r="J15" s="381" t="str">
        <f xml:space="preserve"> _xlfn.XLOOKUP(按鍵設計表[[#This Row],[台語音標]], 注音編碼對照表[台語音標], 注音編碼對照表[十五音], "")</f>
        <v>氣</v>
      </c>
      <c r="K15" s="381" t="str">
        <f xml:space="preserve"> _xlfn.XLOOKUP(按鍵設計表[[#This Row],[台語音標]], 注音編碼對照表[台語音標], 注音編碼對照表[注音二式], "")</f>
        <v>k</v>
      </c>
      <c r="L15" s="381" t="str">
        <f xml:space="preserve"> _xlfn.XLOOKUP(按鍵設計表[[#This Row],[台語音標]], 注音編碼對照表[台語音標], 注音編碼對照表[台羅拼音], "")</f>
        <v>kh</v>
      </c>
      <c r="M15" s="381" t="str">
        <f xml:space="preserve"> _xlfn.XLOOKUP(按鍵設計表[[#This Row],[台語音標]], 注音編碼對照表[台語音標], 注音編碼對照表[白話字], "")</f>
        <v>kh</v>
      </c>
      <c r="N15" s="381" t="str">
        <f xml:space="preserve"> _xlfn.XLOOKUP(按鍵設計表[[#This Row],[台語音標]], 注音編碼對照表[台語音標], 注音編碼對照表[閩拼方案], "")</f>
        <v>k</v>
      </c>
      <c r="O15" s="382"/>
      <c r="P15" s="306"/>
      <c r="Q15" s="306">
        <f>LEN(按鍵設計表[[#This Row],[注音符號]])</f>
        <v>1</v>
      </c>
      <c r="R15" s="264"/>
      <c r="S15" s="265">
        <f t="shared" si="1"/>
        <v>11</v>
      </c>
      <c r="T15" s="249">
        <f t="shared" si="2"/>
        <v>11</v>
      </c>
      <c r="U15" s="183" t="s">
        <v>195</v>
      </c>
      <c r="V15" s="226" t="s">
        <v>17</v>
      </c>
      <c r="W15" s="319" t="s">
        <v>190</v>
      </c>
      <c r="X15" s="226" t="s">
        <v>119</v>
      </c>
      <c r="Y15" s="226" t="s">
        <v>22</v>
      </c>
      <c r="Z15" s="226" t="s">
        <v>18</v>
      </c>
      <c r="AA15" s="226" t="s">
        <v>2451</v>
      </c>
      <c r="AB15" s="258" t="s">
        <v>8357</v>
      </c>
      <c r="AC15" s="265"/>
      <c r="AD15" s="48">
        <v>11</v>
      </c>
      <c r="AE15" s="54" t="s">
        <v>184</v>
      </c>
      <c r="AF15" s="56" t="s">
        <v>18</v>
      </c>
      <c r="AG15" s="86" t="s">
        <v>19</v>
      </c>
      <c r="AH15" s="59" t="s">
        <v>18</v>
      </c>
      <c r="AI15" s="177"/>
      <c r="AJ15" s="177"/>
      <c r="AK15" s="177"/>
      <c r="AL15" s="177"/>
    </row>
    <row r="16" spans="2:41" ht="44.25" thickBot="1">
      <c r="B16" s="390">
        <f t="shared" si="0"/>
        <v>12</v>
      </c>
      <c r="C16" s="391" t="s">
        <v>8625</v>
      </c>
      <c r="D16" s="392" t="s">
        <v>94</v>
      </c>
      <c r="E16" s="418" t="s">
        <v>119</v>
      </c>
      <c r="F16" s="418" t="s">
        <v>119</v>
      </c>
      <c r="G16" s="392" t="str">
        <f xml:space="preserve"> _xlfn.XLOOKUP(按鍵設計表[[#This Row],[台語音標]], 注音編碼對照表[台語音標], 注音編碼對照表[注音符號], "")</f>
        <v>ㄫ</v>
      </c>
      <c r="H16" s="428" t="str">
        <f xml:space="preserve"> _xlfn.XLOOKUP(按鍵設計表[[#This Row],[台語音標]], 注音編碼對照表[台語音標], 注音編碼對照表[漢字例], "")</f>
        <v>吳</v>
      </c>
      <c r="I16" s="392" t="str">
        <f xml:space="preserve"> _xlfn.XLOOKUP(按鍵設計表[[#This Row],[台語音標]], 注音編碼對照表[台語音標], 注音編碼對照表[聲韻調], "")</f>
        <v>聲</v>
      </c>
      <c r="J16" s="392" t="str">
        <f xml:space="preserve"> _xlfn.XLOOKUP(按鍵設計表[[#This Row],[台語音標]], 注音編碼對照表[台語音標], 注音編碼對照表[十五音], "")</f>
        <v>語</v>
      </c>
      <c r="K16" s="392" t="str">
        <f xml:space="preserve"> _xlfn.XLOOKUP(按鍵設計表[[#This Row],[台語音標]], 注音編碼對照表[台語音標], 注音編碼對照表[注音二式], "")</f>
        <v>ng</v>
      </c>
      <c r="L16" s="392" t="str">
        <f xml:space="preserve"> _xlfn.XLOOKUP(按鍵設計表[[#This Row],[台語音標]], 注音編碼對照表[台語音標], 注音編碼對照表[台羅拼音], "")</f>
        <v>ng</v>
      </c>
      <c r="M16" s="392" t="str">
        <f xml:space="preserve"> _xlfn.XLOOKUP(按鍵設計表[[#This Row],[台語音標]], 注音編碼對照表[台語音標], 注音編碼對照表[白話字], "")</f>
        <v>ng</v>
      </c>
      <c r="N16" s="392" t="str">
        <f xml:space="preserve"> _xlfn.XLOOKUP(按鍵設計表[[#This Row],[台語音標]], 注音編碼對照表[台語音標], 注音編碼對照表[閩拼方案], "")</f>
        <v>ggn</v>
      </c>
      <c r="O16" s="393" t="s">
        <v>8607</v>
      </c>
      <c r="P16" s="306"/>
      <c r="Q16" s="306">
        <f>LEN(按鍵設計表[[#This Row],[注音符號]])</f>
        <v>1</v>
      </c>
      <c r="R16" s="264"/>
      <c r="S16" s="265">
        <f t="shared" si="1"/>
        <v>12</v>
      </c>
      <c r="T16" s="250">
        <f t="shared" si="2"/>
        <v>12</v>
      </c>
      <c r="U16" s="246" t="s">
        <v>240</v>
      </c>
      <c r="V16" s="245" t="s">
        <v>21</v>
      </c>
      <c r="W16" s="320" t="s">
        <v>22</v>
      </c>
      <c r="X16" s="245" t="s">
        <v>511</v>
      </c>
      <c r="Y16" s="245" t="s">
        <v>512</v>
      </c>
      <c r="Z16" s="245" t="s">
        <v>119</v>
      </c>
      <c r="AA16" s="245" t="s">
        <v>2451</v>
      </c>
      <c r="AB16" s="259"/>
      <c r="AC16" s="265"/>
      <c r="AD16" s="48">
        <v>12</v>
      </c>
      <c r="AE16" s="54" t="s">
        <v>116</v>
      </c>
      <c r="AF16" s="56" t="s">
        <v>203</v>
      </c>
      <c r="AG16" s="86" t="s">
        <v>58</v>
      </c>
      <c r="AH16" s="59" t="s">
        <v>334</v>
      </c>
      <c r="AI16" s="177"/>
      <c r="AJ16" s="177"/>
      <c r="AK16" s="177"/>
      <c r="AL16" s="177"/>
    </row>
    <row r="17" spans="2:38" ht="43.5">
      <c r="B17" s="383">
        <f t="shared" si="0"/>
        <v>13</v>
      </c>
      <c r="C17" s="384" t="s">
        <v>222</v>
      </c>
      <c r="D17" s="381" t="s">
        <v>150</v>
      </c>
      <c r="E17" s="417" t="s">
        <v>150</v>
      </c>
      <c r="F17" s="417" t="s">
        <v>150</v>
      </c>
      <c r="G17" s="381" t="str">
        <f xml:space="preserve"> _xlfn.XLOOKUP(按鍵設計表[[#This Row],[台語音標]], 注音編碼對照表[台語音標], 注音編碼對照表[注音符號], "")</f>
        <v>ㆡ</v>
      </c>
      <c r="H17" s="427" t="str">
        <f xml:space="preserve"> _xlfn.XLOOKUP(按鍵設計表[[#This Row],[台語音標]], 注音編碼對照表[台語音標], 注音編碼對照表[漢字例], "")</f>
        <v>熱</v>
      </c>
      <c r="I17" s="381" t="str">
        <f xml:space="preserve"> _xlfn.XLOOKUP(按鍵設計表[[#This Row],[台語音標]], 注音編碼對照表[台語音標], 注音編碼對照表[聲韻調], "")</f>
        <v>聲</v>
      </c>
      <c r="J17" s="381" t="str">
        <f xml:space="preserve"> _xlfn.XLOOKUP(按鍵設計表[[#This Row],[台語音標]], 注音編碼對照表[台語音標], 注音編碼對照表[十五音], "")</f>
        <v>入</v>
      </c>
      <c r="K17" s="381" t="str">
        <f xml:space="preserve"> _xlfn.XLOOKUP(按鍵設計表[[#This Row],[台語音標]], 注音編碼對照表[台語音標], 注音編碼對照表[注音二式], "")</f>
        <v>zz</v>
      </c>
      <c r="L17" s="381" t="str">
        <f xml:space="preserve"> _xlfn.XLOOKUP(按鍵設計表[[#This Row],[台語音標]], 注音編碼對照表[台語音標], 注音編碼對照表[台羅拼音], "")</f>
        <v>j</v>
      </c>
      <c r="M17" s="381" t="str">
        <f xml:space="preserve"> _xlfn.XLOOKUP(按鍵設計表[[#This Row],[台語音標]], 注音編碼對照表[台語音標], 注音編碼對照表[白話字], "")</f>
        <v>j</v>
      </c>
      <c r="N17" s="381" t="str">
        <f xml:space="preserve"> _xlfn.XLOOKUP(按鍵設計表[[#This Row],[台語音標]], 注音編碼對照表[台語音標], 注音編碼對照表[閩拼方案], "")</f>
        <v>zz</v>
      </c>
      <c r="O17" s="382"/>
      <c r="P17" s="306"/>
      <c r="Q17" s="306">
        <f>LEN(按鍵設計表[[#This Row],[注音符號]])</f>
        <v>1</v>
      </c>
      <c r="R17" s="264"/>
      <c r="S17" s="265">
        <f t="shared" si="1"/>
        <v>13</v>
      </c>
      <c r="T17" s="250">
        <f t="shared" si="2"/>
        <v>13</v>
      </c>
      <c r="U17" s="246" t="s">
        <v>194</v>
      </c>
      <c r="V17" s="245" t="s">
        <v>19</v>
      </c>
      <c r="W17" s="320" t="s">
        <v>187</v>
      </c>
      <c r="X17" s="245" t="s">
        <v>18</v>
      </c>
      <c r="Y17" s="245" t="s">
        <v>190</v>
      </c>
      <c r="Z17" s="245" t="s">
        <v>239</v>
      </c>
      <c r="AA17" s="245" t="s">
        <v>2451</v>
      </c>
      <c r="AB17" s="259"/>
      <c r="AC17" s="265"/>
      <c r="AD17" s="48">
        <v>13</v>
      </c>
      <c r="AE17" s="54" t="s">
        <v>180</v>
      </c>
      <c r="AF17" s="56" t="s">
        <v>241</v>
      </c>
      <c r="AG17" s="86" t="s">
        <v>31</v>
      </c>
      <c r="AH17" s="59" t="s">
        <v>241</v>
      </c>
      <c r="AI17" s="177"/>
      <c r="AJ17" s="177"/>
      <c r="AK17" s="177"/>
      <c r="AL17" s="177"/>
    </row>
    <row r="18" spans="2:38" ht="43.5">
      <c r="B18" s="383">
        <f t="shared" si="0"/>
        <v>14</v>
      </c>
      <c r="C18" s="384" t="s">
        <v>220</v>
      </c>
      <c r="D18" s="381" t="s">
        <v>116</v>
      </c>
      <c r="E18" s="417" t="s">
        <v>116</v>
      </c>
      <c r="F18" s="417" t="s">
        <v>116</v>
      </c>
      <c r="G18" s="381" t="str">
        <f xml:space="preserve"> _xlfn.XLOOKUP(按鍵設計表[[#This Row],[台語音標]], 注音編碼對照表[台語音標], 注音編碼對照表[注音符號], "")</f>
        <v>ㄗ</v>
      </c>
      <c r="H18" s="427" t="str">
        <f xml:space="preserve"> _xlfn.XLOOKUP(按鍵設計表[[#This Row],[台語音標]], 注音編碼對照表[台語音標], 注音編碼對照表[漢字例], "")</f>
        <v>裝</v>
      </c>
      <c r="I18" s="381" t="str">
        <f xml:space="preserve"> _xlfn.XLOOKUP(按鍵設計表[[#This Row],[台語音標]], 注音編碼對照表[台語音標], 注音編碼對照表[聲韻調], "")</f>
        <v>聲</v>
      </c>
      <c r="J18" s="381" t="str">
        <f xml:space="preserve"> _xlfn.XLOOKUP(按鍵設計表[[#This Row],[台語音標]], 注音編碼對照表[台語音標], 注音編碼對照表[十五音], "")</f>
        <v>曾</v>
      </c>
      <c r="K18" s="381" t="str">
        <f xml:space="preserve"> _xlfn.XLOOKUP(按鍵設計表[[#This Row],[台語音標]], 注音編碼對照表[台語音標], 注音編碼對照表[注音二式], "")</f>
        <v>z</v>
      </c>
      <c r="L18" s="381" t="str">
        <f xml:space="preserve"> _xlfn.XLOOKUP(按鍵設計表[[#This Row],[台語音標]], 注音編碼對照表[台語音標], 注音編碼對照表[台羅拼音], "")</f>
        <v>ts</v>
      </c>
      <c r="M18" s="381" t="str">
        <f xml:space="preserve"> _xlfn.XLOOKUP(按鍵設計表[[#This Row],[台語音標]], 注音編碼對照表[台語音標], 注音編碼對照表[白話字], "")</f>
        <v>ch</v>
      </c>
      <c r="N18" s="381" t="str">
        <f xml:space="preserve"> _xlfn.XLOOKUP(按鍵設計表[[#This Row],[台語音標]], 注音編碼對照表[台語音標], 注音編碼對照表[閩拼方案], "")</f>
        <v>z</v>
      </c>
      <c r="O18" s="385"/>
      <c r="P18" s="306"/>
      <c r="Q18" s="306">
        <f>LEN(按鍵設計表[[#This Row],[注音符號]])</f>
        <v>1</v>
      </c>
      <c r="R18" s="264"/>
      <c r="S18" s="265">
        <f t="shared" si="1"/>
        <v>14</v>
      </c>
      <c r="T18" s="250">
        <f t="shared" si="2"/>
        <v>14</v>
      </c>
      <c r="U18" s="246" t="s">
        <v>170</v>
      </c>
      <c r="V18" s="245" t="s">
        <v>31</v>
      </c>
      <c r="W18" s="320" t="s">
        <v>241</v>
      </c>
      <c r="X18" s="245" t="s">
        <v>241</v>
      </c>
      <c r="Y18" s="245" t="s">
        <v>32</v>
      </c>
      <c r="Z18" s="245" t="s">
        <v>241</v>
      </c>
      <c r="AA18" s="245" t="s">
        <v>2451</v>
      </c>
      <c r="AB18" s="259" t="s">
        <v>8351</v>
      </c>
      <c r="AC18" s="265"/>
      <c r="AD18" s="48">
        <v>14</v>
      </c>
      <c r="AE18" s="54" t="s">
        <v>166</v>
      </c>
      <c r="AF18" s="56" t="s">
        <v>8330</v>
      </c>
      <c r="AG18" s="86" t="s">
        <v>60</v>
      </c>
      <c r="AH18" s="59" t="s">
        <v>254</v>
      </c>
      <c r="AI18" s="177"/>
      <c r="AJ18" s="177"/>
      <c r="AK18" s="177"/>
      <c r="AL18" s="177"/>
    </row>
    <row r="19" spans="2:38" ht="43.5">
      <c r="B19" s="383">
        <f t="shared" si="0"/>
        <v>15</v>
      </c>
      <c r="C19" s="384" t="s">
        <v>32</v>
      </c>
      <c r="D19" s="381" t="s">
        <v>180</v>
      </c>
      <c r="E19" s="417" t="s">
        <v>180</v>
      </c>
      <c r="F19" s="417" t="s">
        <v>180</v>
      </c>
      <c r="G19" s="381" t="str">
        <f xml:space="preserve"> _xlfn.XLOOKUP(按鍵設計表[[#This Row],[台語音標]], 注音編碼對照表[台語音標], 注音編碼對照表[注音符號], "")</f>
        <v>ㄘ</v>
      </c>
      <c r="H19" s="427" t="str">
        <f xml:space="preserve"> _xlfn.XLOOKUP(按鍵設計表[[#This Row],[台語音標]], 注音編碼對照表[台語音標], 注音編碼對照表[漢字例], "")</f>
        <v>初</v>
      </c>
      <c r="I19" s="381" t="str">
        <f xml:space="preserve"> _xlfn.XLOOKUP(按鍵設計表[[#This Row],[台語音標]], 注音編碼對照表[台語音標], 注音編碼對照表[聲韻調], "")</f>
        <v>聲</v>
      </c>
      <c r="J19" s="381" t="str">
        <f xml:space="preserve"> _xlfn.XLOOKUP(按鍵設計表[[#This Row],[台語音標]], 注音編碼對照表[台語音標], 注音編碼對照表[十五音], "")</f>
        <v>出</v>
      </c>
      <c r="K19" s="381" t="str">
        <f xml:space="preserve"> _xlfn.XLOOKUP(按鍵設計表[[#This Row],[台語音標]], 注音編碼對照表[台語音標], 注音編碼對照表[注音二式], "")</f>
        <v>c</v>
      </c>
      <c r="L19" s="381" t="str">
        <f xml:space="preserve"> _xlfn.XLOOKUP(按鍵設計表[[#This Row],[台語音標]], 注音編碼對照表[台語音標], 注音編碼對照表[台羅拼音], "")</f>
        <v>tsh</v>
      </c>
      <c r="M19" s="381" t="str">
        <f xml:space="preserve"> _xlfn.XLOOKUP(按鍵設計表[[#This Row],[台語音標]], 注音編碼對照表[台語音標], 注音編碼對照表[白話字], "")</f>
        <v>chh</v>
      </c>
      <c r="N19" s="381" t="str">
        <f xml:space="preserve"> _xlfn.XLOOKUP(按鍵設計表[[#This Row],[台語音標]], 注音編碼對照表[台語音標], 注音編碼對照表[閩拼方案], "")</f>
        <v>c</v>
      </c>
      <c r="O19" s="382"/>
      <c r="P19" s="306"/>
      <c r="Q19" s="306">
        <f>LEN(按鍵設計表[[#This Row],[注音符號]])</f>
        <v>1</v>
      </c>
      <c r="R19" s="264"/>
      <c r="S19" s="265">
        <f t="shared" si="1"/>
        <v>15</v>
      </c>
      <c r="T19" s="248">
        <f t="shared" si="2"/>
        <v>15</v>
      </c>
      <c r="U19" s="179">
        <v>4</v>
      </c>
      <c r="V19" s="224" t="s">
        <v>72</v>
      </c>
      <c r="W19" s="318" t="s">
        <v>206</v>
      </c>
      <c r="X19" s="224">
        <v>2</v>
      </c>
      <c r="Y19" s="224">
        <v>3</v>
      </c>
      <c r="Z19" s="224">
        <v>2</v>
      </c>
      <c r="AA19" s="224" t="s">
        <v>8343</v>
      </c>
      <c r="AB19" s="257"/>
      <c r="AC19" s="265"/>
      <c r="AD19" s="48">
        <v>15</v>
      </c>
      <c r="AE19" s="54" t="s">
        <v>306</v>
      </c>
      <c r="AF19" s="56" t="s">
        <v>8331</v>
      </c>
      <c r="AG19" s="86" t="s">
        <v>77</v>
      </c>
      <c r="AH19" s="59" t="s">
        <v>8232</v>
      </c>
      <c r="AI19" s="177"/>
      <c r="AJ19" s="177"/>
      <c r="AK19" s="177"/>
      <c r="AL19" s="177"/>
    </row>
    <row r="20" spans="2:38" ht="44.25" thickBot="1">
      <c r="B20" s="390">
        <f t="shared" si="0"/>
        <v>16</v>
      </c>
      <c r="C20" s="391" t="s">
        <v>16</v>
      </c>
      <c r="D20" s="392" t="s">
        <v>201</v>
      </c>
      <c r="E20" s="418" t="s">
        <v>201</v>
      </c>
      <c r="F20" s="418" t="s">
        <v>201</v>
      </c>
      <c r="G20" s="392" t="str">
        <f xml:space="preserve"> _xlfn.XLOOKUP(按鍵設計表[[#This Row],[台語音標]], 注音編碼對照表[台語音標], 注音編碼對照表[注音符號], "")</f>
        <v>ㄙ</v>
      </c>
      <c r="H20" s="428" t="str">
        <f xml:space="preserve"> _xlfn.XLOOKUP(按鍵設計表[[#This Row],[台語音標]], 注音編碼對照表[台語音標], 注音編碼對照表[漢字例], "")</f>
        <v>疏</v>
      </c>
      <c r="I20" s="392" t="str">
        <f xml:space="preserve"> _xlfn.XLOOKUP(按鍵設計表[[#This Row],[台語音標]], 注音編碼對照表[台語音標], 注音編碼對照表[聲韻調], "")</f>
        <v>聲</v>
      </c>
      <c r="J20" s="392" t="str">
        <f xml:space="preserve"> _xlfn.XLOOKUP(按鍵設計表[[#This Row],[台語音標]], 注音編碼對照表[台語音標], 注音編碼對照表[十五音], "")</f>
        <v>時</v>
      </c>
      <c r="K20" s="392" t="str">
        <f xml:space="preserve"> _xlfn.XLOOKUP(按鍵設計表[[#This Row],[台語音標]], 注音編碼對照表[台語音標], 注音編碼對照表[注音二式], "")</f>
        <v>s</v>
      </c>
      <c r="L20" s="392" t="str">
        <f xml:space="preserve"> _xlfn.XLOOKUP(按鍵設計表[[#This Row],[台語音標]], 注音編碼對照表[台語音標], 注音編碼對照表[台羅拼音], "")</f>
        <v>s</v>
      </c>
      <c r="M20" s="392" t="str">
        <f xml:space="preserve"> _xlfn.XLOOKUP(按鍵設計表[[#This Row],[台語音標]], 注音編碼對照表[台語音標], 注音編碼對照表[白話字], "")</f>
        <v>s</v>
      </c>
      <c r="N20" s="392" t="str">
        <f xml:space="preserve"> _xlfn.XLOOKUP(按鍵設計表[[#This Row],[台語音標]], 注音編碼對照表[台語音標], 注音編碼對照表[閩拼方案], "")</f>
        <v>s</v>
      </c>
      <c r="O20" s="393"/>
      <c r="P20" s="306"/>
      <c r="Q20" s="306">
        <f>LEN(按鍵設計表[[#This Row],[注音符號]])</f>
        <v>1</v>
      </c>
      <c r="R20" s="264"/>
      <c r="S20" s="265">
        <f t="shared" si="1"/>
        <v>16</v>
      </c>
      <c r="T20" s="250">
        <f t="shared" si="2"/>
        <v>16</v>
      </c>
      <c r="U20" s="246" t="s">
        <v>246</v>
      </c>
      <c r="V20" s="245" t="s">
        <v>60</v>
      </c>
      <c r="W20" s="321" t="s">
        <v>217</v>
      </c>
      <c r="X20" s="245" t="s">
        <v>150</v>
      </c>
      <c r="Y20" s="245"/>
      <c r="Z20" s="245" t="s">
        <v>8330</v>
      </c>
      <c r="AA20" s="245" t="s">
        <v>2451</v>
      </c>
      <c r="AB20" s="259"/>
      <c r="AC20" s="265"/>
      <c r="AD20" s="48">
        <v>16</v>
      </c>
      <c r="AE20" s="54" t="s">
        <v>327</v>
      </c>
      <c r="AF20" s="56" t="s">
        <v>243</v>
      </c>
      <c r="AG20" s="86" t="s">
        <v>62</v>
      </c>
      <c r="AH20" s="59" t="s">
        <v>244</v>
      </c>
      <c r="AI20" s="177"/>
      <c r="AJ20" s="177"/>
      <c r="AK20" s="177"/>
      <c r="AL20" s="177"/>
    </row>
    <row r="21" spans="2:38" ht="44.25" thickBot="1">
      <c r="B21" s="400">
        <f t="shared" si="0"/>
        <v>17</v>
      </c>
      <c r="C21" s="401" t="s">
        <v>170</v>
      </c>
      <c r="D21" s="402" t="s">
        <v>241</v>
      </c>
      <c r="E21" s="452" t="s">
        <v>241</v>
      </c>
      <c r="F21" s="452" t="s">
        <v>241</v>
      </c>
      <c r="G21" s="402" t="str">
        <f xml:space="preserve"> _xlfn.XLOOKUP(按鍵設計表[[#This Row],[台語音標]], 注音編碼對照表[台語音標], 注音編碼對照表[注音符號], "")</f>
        <v>ㄏ</v>
      </c>
      <c r="H21" s="453" t="str">
        <f xml:space="preserve"> _xlfn.XLOOKUP(按鍵設計表[[#This Row],[台語音標]], 注音編碼對照表[台語音標], 注音編碼對照表[漢字例], "")</f>
        <v>雨</v>
      </c>
      <c r="I21" s="402" t="str">
        <f xml:space="preserve"> _xlfn.XLOOKUP(按鍵設計表[[#This Row],[台語音標]], 注音編碼對照表[台語音標], 注音編碼對照表[聲韻調], "")</f>
        <v>聲</v>
      </c>
      <c r="J21" s="402" t="str">
        <f xml:space="preserve"> _xlfn.XLOOKUP(按鍵設計表[[#This Row],[台語音標]], 注音編碼對照表[台語音標], 注音編碼對照表[十五音], "")</f>
        <v>喜</v>
      </c>
      <c r="K21" s="402" t="str">
        <f xml:space="preserve"> _xlfn.XLOOKUP(按鍵設計表[[#This Row],[台語音標]], 注音編碼對照表[台語音標], 注音編碼對照表[注音二式], "")</f>
        <v>h</v>
      </c>
      <c r="L21" s="402" t="str">
        <f xml:space="preserve"> _xlfn.XLOOKUP(按鍵設計表[[#This Row],[台語音標]], 注音編碼對照表[台語音標], 注音編碼對照表[台羅拼音], "")</f>
        <v>h</v>
      </c>
      <c r="M21" s="402" t="str">
        <f xml:space="preserve"> _xlfn.XLOOKUP(按鍵設計表[[#This Row],[台語音標]], 注音編碼對照表[台語音標], 注音編碼對照表[白話字], "")</f>
        <v>h</v>
      </c>
      <c r="N21" s="402" t="str">
        <f xml:space="preserve"> _xlfn.XLOOKUP(按鍵設計表[[#This Row],[台語音標]], 注音編碼對照表[台語音標], 注音編碼對照表[閩拼方案], "")</f>
        <v>h</v>
      </c>
      <c r="O21" s="403" t="s">
        <v>8351</v>
      </c>
      <c r="P21" s="306"/>
      <c r="Q21" s="306">
        <f>LEN(按鍵設計表[[#This Row],[注音符號]])</f>
        <v>1</v>
      </c>
      <c r="R21" s="264"/>
      <c r="S21" s="265">
        <f t="shared" si="1"/>
        <v>17</v>
      </c>
      <c r="T21" s="250">
        <f t="shared" si="2"/>
        <v>17</v>
      </c>
      <c r="U21" s="246" t="s">
        <v>247</v>
      </c>
      <c r="V21" s="245" t="s">
        <v>77</v>
      </c>
      <c r="W21" s="322" t="s">
        <v>147</v>
      </c>
      <c r="X21" s="245" t="s">
        <v>8359</v>
      </c>
      <c r="Y21" s="245"/>
      <c r="Z21" s="245" t="s">
        <v>254</v>
      </c>
      <c r="AA21" s="245" t="s">
        <v>2451</v>
      </c>
      <c r="AB21" s="259"/>
      <c r="AC21" s="265"/>
      <c r="AD21" s="48">
        <v>17</v>
      </c>
      <c r="AE21" s="54" t="s">
        <v>328</v>
      </c>
      <c r="AF21" s="56" t="s">
        <v>245</v>
      </c>
      <c r="AG21" s="86" t="s">
        <v>167</v>
      </c>
      <c r="AH21" s="59" t="s">
        <v>8236</v>
      </c>
      <c r="AI21" s="177"/>
      <c r="AJ21" s="177"/>
      <c r="AK21" s="177"/>
      <c r="AL21" s="177"/>
    </row>
    <row r="22" spans="2:38" ht="43.5">
      <c r="B22" s="383">
        <f t="shared" si="0"/>
        <v>18</v>
      </c>
      <c r="C22" s="384" t="s">
        <v>247</v>
      </c>
      <c r="D22" s="381" t="s">
        <v>254</v>
      </c>
      <c r="E22" s="381" t="s">
        <v>218</v>
      </c>
      <c r="F22" s="381" t="s">
        <v>8520</v>
      </c>
      <c r="G22" s="381" t="str">
        <f xml:space="preserve"> _xlfn.XLOOKUP(按鍵設計表[[#This Row],[台語音標]], 注音編碼對照表[台語音標], 注音編碼對照表[注音符號], "")</f>
        <v>ㆢ</v>
      </c>
      <c r="H22" s="430" t="str">
        <f xml:space="preserve"> _xlfn.XLOOKUP(按鍵設計表[[#This Row],[台語音標]], 注音編碼對照表[台語音標], 注音編碼對照表[漢字例], "")</f>
        <v>日</v>
      </c>
      <c r="I22" s="381" t="str">
        <f xml:space="preserve"> _xlfn.XLOOKUP(按鍵設計表[[#This Row],[台語音標]], 注音編碼對照表[台語音標], 注音編碼對照表[聲韻調], "")</f>
        <v>聲</v>
      </c>
      <c r="J22" s="381" t="str">
        <f xml:space="preserve"> _xlfn.XLOOKUP(按鍵設計表[[#This Row],[台語音標]], 注音編碼對照表[台語音標], 注音編碼對照表[十五音], "")</f>
        <v>入</v>
      </c>
      <c r="K22" s="381" t="str">
        <f xml:space="preserve"> _xlfn.XLOOKUP(按鍵設計表[[#This Row],[台語音標]], 注音編碼對照表[台語音標], 注音編碼對照表[注音二式], "")</f>
        <v>jj</v>
      </c>
      <c r="L22" s="381" t="str">
        <f xml:space="preserve"> _xlfn.XLOOKUP(按鍵設計表[[#This Row],[台語音標]], 注音編碼對照表[台語音標], 注音編碼對照表[台羅拼音], "")</f>
        <v>ji</v>
      </c>
      <c r="M22" s="381" t="str">
        <f xml:space="preserve"> _xlfn.XLOOKUP(按鍵設計表[[#This Row],[台語音標]], 注音編碼對照表[台語音標], 注音編碼對照表[白話字], "")</f>
        <v>ji</v>
      </c>
      <c r="N22" s="381">
        <f xml:space="preserve"> _xlfn.XLOOKUP(按鍵設計表[[#This Row],[台語音標]], 注音編碼對照表[台語音標], 注音編碼對照表[閩拼方案], "")</f>
        <v>0</v>
      </c>
      <c r="O22" s="382"/>
      <c r="P22" s="306"/>
      <c r="Q22" s="306">
        <f>LEN(按鍵設計表[[#This Row],[注音符號]])</f>
        <v>1</v>
      </c>
      <c r="R22" s="264"/>
      <c r="S22" s="265">
        <f t="shared" si="1"/>
        <v>18</v>
      </c>
      <c r="T22" s="250">
        <f t="shared" si="2"/>
        <v>18</v>
      </c>
      <c r="U22" s="246" t="s">
        <v>248</v>
      </c>
      <c r="V22" s="245" t="s">
        <v>62</v>
      </c>
      <c r="W22" s="322" t="s">
        <v>258</v>
      </c>
      <c r="X22" s="245" t="s">
        <v>260</v>
      </c>
      <c r="Y22" s="245"/>
      <c r="Z22" s="245" t="s">
        <v>243</v>
      </c>
      <c r="AA22" s="245" t="s">
        <v>2451</v>
      </c>
      <c r="AB22" s="259"/>
      <c r="AC22" s="265"/>
      <c r="AD22" s="48">
        <v>18</v>
      </c>
      <c r="AE22" s="54" t="s">
        <v>323</v>
      </c>
      <c r="AF22" s="56" t="s">
        <v>116</v>
      </c>
      <c r="AG22" s="86" t="s">
        <v>23</v>
      </c>
      <c r="AH22" s="59" t="s">
        <v>116</v>
      </c>
      <c r="AI22" s="177"/>
      <c r="AJ22" s="177"/>
      <c r="AK22" s="177"/>
      <c r="AL22" s="177"/>
    </row>
    <row r="23" spans="2:38" ht="43.5">
      <c r="B23" s="383">
        <f t="shared" si="0"/>
        <v>19</v>
      </c>
      <c r="C23" s="384" t="s">
        <v>246</v>
      </c>
      <c r="D23" s="381" t="s">
        <v>8330</v>
      </c>
      <c r="E23" s="381" t="s">
        <v>217</v>
      </c>
      <c r="F23" s="381" t="s">
        <v>8521</v>
      </c>
      <c r="G23" s="381" t="str">
        <f xml:space="preserve"> _xlfn.XLOOKUP(按鍵設計表[[#This Row],[台語音標]], 注音編碼對照表[台語音標], 注音編碼對照表[注音符號], "")</f>
        <v>ㄐ</v>
      </c>
      <c r="H23" s="427" t="str">
        <f xml:space="preserve"> _xlfn.XLOOKUP(按鍵設計表[[#This Row],[台語音標]], 注音編碼對照表[台語音標], 注音編碼對照表[漢字例], "")</f>
        <v>精</v>
      </c>
      <c r="I23" s="381" t="str">
        <f xml:space="preserve"> _xlfn.XLOOKUP(按鍵設計表[[#This Row],[台語音標]], 注音編碼對照表[台語音標], 注音編碼對照表[聲韻調], "")</f>
        <v>聲</v>
      </c>
      <c r="J23" s="381" t="str">
        <f xml:space="preserve"> _xlfn.XLOOKUP(按鍵設計表[[#This Row],[台語音標]], 注音編碼對照表[台語音標], 注音編碼對照表[十五音], "")</f>
        <v>曾</v>
      </c>
      <c r="K23" s="381" t="str">
        <f xml:space="preserve"> _xlfn.XLOOKUP(按鍵設計表[[#This Row],[台語音標]], 注音編碼對照表[台語音標], 注音編碼對照表[注音二式], "")</f>
        <v>j</v>
      </c>
      <c r="L23" s="381" t="str">
        <f xml:space="preserve"> _xlfn.XLOOKUP(按鍵設計表[[#This Row],[台語音標]], 注音編碼對照表[台語音標], 注音編碼對照表[台羅拼音], "")</f>
        <v>zi</v>
      </c>
      <c r="M23" s="381" t="str">
        <f xml:space="preserve"> _xlfn.XLOOKUP(按鍵設計表[[#This Row],[台語音標]], 注音編碼對照表[台語音標], 注音編碼對照表[白話字], "")</f>
        <v>zi</v>
      </c>
      <c r="N23" s="381">
        <f xml:space="preserve"> _xlfn.XLOOKUP(按鍵設計表[[#This Row],[台語音標]], 注音編碼對照表[台語音標], 注音編碼對照表[閩拼方案], "")</f>
        <v>0</v>
      </c>
      <c r="O23" s="382"/>
      <c r="P23" s="306"/>
      <c r="Q23" s="306">
        <f>LEN(按鍵設計表[[#This Row],[注音符號]])</f>
        <v>1</v>
      </c>
      <c r="R23" s="264"/>
      <c r="S23" s="265">
        <f t="shared" si="1"/>
        <v>19</v>
      </c>
      <c r="T23" s="250">
        <f t="shared" si="2"/>
        <v>19</v>
      </c>
      <c r="U23" s="246" t="s">
        <v>252</v>
      </c>
      <c r="V23" s="245" t="s">
        <v>167</v>
      </c>
      <c r="W23" s="322" t="s">
        <v>259</v>
      </c>
      <c r="X23" s="245" t="s">
        <v>8360</v>
      </c>
      <c r="Y23" s="245"/>
      <c r="Z23" s="245" t="s">
        <v>245</v>
      </c>
      <c r="AA23" s="245" t="s">
        <v>2451</v>
      </c>
      <c r="AB23" s="259"/>
      <c r="AC23" s="265"/>
      <c r="AD23" s="48">
        <v>19</v>
      </c>
      <c r="AE23" s="54" t="s">
        <v>255</v>
      </c>
      <c r="AF23" s="56" t="s">
        <v>256</v>
      </c>
      <c r="AG23" s="86" t="s">
        <v>27</v>
      </c>
      <c r="AH23" s="59" t="s">
        <v>514</v>
      </c>
      <c r="AI23" s="177"/>
      <c r="AJ23" s="177"/>
      <c r="AK23" s="177"/>
      <c r="AL23" s="177"/>
    </row>
    <row r="24" spans="2:38" ht="43.5">
      <c r="B24" s="383">
        <f t="shared" si="0"/>
        <v>20</v>
      </c>
      <c r="C24" s="384" t="s">
        <v>248</v>
      </c>
      <c r="D24" s="381" t="s">
        <v>243</v>
      </c>
      <c r="E24" s="381" t="s">
        <v>169</v>
      </c>
      <c r="F24" s="381" t="s">
        <v>8522</v>
      </c>
      <c r="G24" s="381" t="str">
        <f xml:space="preserve"> _xlfn.XLOOKUP(按鍵設計表[[#This Row],[台語音標]], 注音編碼對照表[台語音標], 注音編碼對照表[注音符號], "")</f>
        <v>ㄑ</v>
      </c>
      <c r="H24" s="427" t="str">
        <f xml:space="preserve"> _xlfn.XLOOKUP(按鍵設計表[[#This Row],[台語音標]], 注音編碼對照表[台語音標], 注音編碼對照表[漢字例], "")</f>
        <v>清</v>
      </c>
      <c r="I24" s="381" t="str">
        <f xml:space="preserve"> _xlfn.XLOOKUP(按鍵設計表[[#This Row],[台語音標]], 注音編碼對照表[台語音標], 注音編碼對照表[聲韻調], "")</f>
        <v>聲</v>
      </c>
      <c r="J24" s="381" t="str">
        <f xml:space="preserve"> _xlfn.XLOOKUP(按鍵設計表[[#This Row],[台語音標]], 注音編碼對照表[台語音標], 注音編碼對照表[十五音], "")</f>
        <v>出</v>
      </c>
      <c r="K24" s="381" t="str">
        <f xml:space="preserve"> _xlfn.XLOOKUP(按鍵設計表[[#This Row],[台語音標]], 注音編碼對照表[台語音標], 注音編碼對照表[注音二式], "")</f>
        <v>ch</v>
      </c>
      <c r="L24" s="381" t="str">
        <f xml:space="preserve"> _xlfn.XLOOKUP(按鍵設計表[[#This Row],[台語音標]], 注音編碼對照表[台語音標], 注音編碼對照表[台羅拼音], "")</f>
        <v>ci</v>
      </c>
      <c r="M24" s="381" t="str">
        <f xml:space="preserve"> _xlfn.XLOOKUP(按鍵設計表[[#This Row],[台語音標]], 注音編碼對照表[台語音標], 注音編碼對照表[白話字], "")</f>
        <v>ci</v>
      </c>
      <c r="N24" s="381">
        <f xml:space="preserve"> _xlfn.XLOOKUP(按鍵設計表[[#This Row],[台語音標]], 注音編碼對照表[台語音標], 注音編碼對照表[閩拼方案], "")</f>
        <v>0</v>
      </c>
      <c r="O24" s="382"/>
      <c r="P24" s="306"/>
      <c r="Q24" s="306">
        <f>LEN(按鍵設計表[[#This Row],[注音符號]])</f>
        <v>1</v>
      </c>
      <c r="R24" s="264"/>
      <c r="S24" s="265">
        <f t="shared" si="1"/>
        <v>20</v>
      </c>
      <c r="T24" s="248">
        <f t="shared" si="2"/>
        <v>20</v>
      </c>
      <c r="U24" s="179">
        <v>5</v>
      </c>
      <c r="V24" s="224" t="s">
        <v>75</v>
      </c>
      <c r="W24" s="318">
        <v>7</v>
      </c>
      <c r="X24" s="224">
        <v>7</v>
      </c>
      <c r="Y24" s="224">
        <v>6</v>
      </c>
      <c r="Z24" s="224">
        <v>7</v>
      </c>
      <c r="AA24" s="224" t="s">
        <v>8343</v>
      </c>
      <c r="AB24" s="257"/>
      <c r="AC24" s="265"/>
      <c r="AD24" s="48">
        <v>20</v>
      </c>
      <c r="AE24" s="54" t="s">
        <v>241</v>
      </c>
      <c r="AF24" s="56" t="s">
        <v>180</v>
      </c>
      <c r="AG24" s="86" t="s">
        <v>25</v>
      </c>
      <c r="AH24" s="59" t="s">
        <v>180</v>
      </c>
      <c r="AI24" s="177"/>
      <c r="AJ24" s="177"/>
      <c r="AK24" s="177"/>
      <c r="AL24" s="177"/>
    </row>
    <row r="25" spans="2:38" ht="44.25" thickBot="1">
      <c r="B25" s="390">
        <f t="shared" si="0"/>
        <v>21</v>
      </c>
      <c r="C25" s="391" t="s">
        <v>252</v>
      </c>
      <c r="D25" s="392" t="s">
        <v>245</v>
      </c>
      <c r="E25" s="392" t="s">
        <v>219</v>
      </c>
      <c r="F25" s="392" t="s">
        <v>8523</v>
      </c>
      <c r="G25" s="392" t="str">
        <f xml:space="preserve"> _xlfn.XLOOKUP(按鍵設計表[[#This Row],[台語音標]], 注音編碼對照表[台語音標], 注音編碼對照表[注音符號], "")</f>
        <v>ㄒ</v>
      </c>
      <c r="H25" s="428" t="str">
        <f xml:space="preserve"> _xlfn.XLOOKUP(按鍵設計表[[#This Row],[台語音標]], 注音編碼對照表[台語音標], 注音編碼對照表[漢字例], "")</f>
        <v>心</v>
      </c>
      <c r="I25" s="392" t="str">
        <f xml:space="preserve"> _xlfn.XLOOKUP(按鍵設計表[[#This Row],[台語音標]], 注音編碼對照表[台語音標], 注音編碼對照表[聲韻調], "")</f>
        <v>聲</v>
      </c>
      <c r="J25" s="392" t="str">
        <f xml:space="preserve"> _xlfn.XLOOKUP(按鍵設計表[[#This Row],[台語音標]], 注音編碼對照表[台語音標], 注音編碼對照表[十五音], "")</f>
        <v>時</v>
      </c>
      <c r="K25" s="392" t="str">
        <f xml:space="preserve"> _xlfn.XLOOKUP(按鍵設計表[[#This Row],[台語音標]], 注音編碼對照表[台語音標], 注音編碼對照表[注音二式], "")</f>
        <v>sh</v>
      </c>
      <c r="L25" s="392" t="str">
        <f xml:space="preserve"> _xlfn.XLOOKUP(按鍵設計表[[#This Row],[台語音標]], 注音編碼對照表[台語音標], 注音編碼對照表[台羅拼音], "")</f>
        <v>si</v>
      </c>
      <c r="M25" s="392" t="str">
        <f xml:space="preserve"> _xlfn.XLOOKUP(按鍵設計表[[#This Row],[台語音標]], 注音編碼對照表[台語音標], 注音編碼對照表[白話字], "")</f>
        <v>si</v>
      </c>
      <c r="N25" s="392">
        <f xml:space="preserve"> _xlfn.XLOOKUP(按鍵設計表[[#This Row],[台語音標]], 注音編碼對照表[台語音標], 注音編碼對照表[閩拼方案], "")</f>
        <v>0</v>
      </c>
      <c r="O25" s="393"/>
      <c r="P25" s="306"/>
      <c r="Q25" s="306">
        <f>LEN(按鍵設計表[[#This Row],[注音符號]])</f>
        <v>1</v>
      </c>
      <c r="R25" s="264"/>
      <c r="S25" s="265">
        <f t="shared" si="1"/>
        <v>21</v>
      </c>
      <c r="T25" s="250">
        <f t="shared" si="2"/>
        <v>21</v>
      </c>
      <c r="U25" s="246" t="s">
        <v>202</v>
      </c>
      <c r="V25" s="245" t="s">
        <v>91</v>
      </c>
      <c r="W25" s="320" t="s">
        <v>327</v>
      </c>
      <c r="X25" s="245" t="s">
        <v>12</v>
      </c>
      <c r="Y25" s="245" t="s">
        <v>202</v>
      </c>
      <c r="Z25" s="245" t="s">
        <v>12</v>
      </c>
      <c r="AA25" s="245" t="s">
        <v>8347</v>
      </c>
      <c r="AB25" s="259" t="s">
        <v>8353</v>
      </c>
      <c r="AC25" s="265"/>
      <c r="AD25" s="48">
        <v>21</v>
      </c>
      <c r="AE25" s="54" t="s">
        <v>16</v>
      </c>
      <c r="AF25" s="56" t="s">
        <v>201</v>
      </c>
      <c r="AG25" s="86" t="s">
        <v>29</v>
      </c>
      <c r="AH25" s="59" t="s">
        <v>201</v>
      </c>
      <c r="AI25" s="177"/>
      <c r="AJ25" s="177"/>
      <c r="AK25" s="177"/>
      <c r="AL25" s="177"/>
    </row>
    <row r="26" spans="2:38" ht="43.5">
      <c r="B26" s="379">
        <f t="shared" si="0"/>
        <v>22</v>
      </c>
      <c r="C26" s="380" t="s">
        <v>324</v>
      </c>
      <c r="D26" s="381" t="s">
        <v>208</v>
      </c>
      <c r="E26" s="247" t="s">
        <v>208</v>
      </c>
      <c r="F26" s="247" t="s">
        <v>208</v>
      </c>
      <c r="G26" s="247" t="str">
        <f xml:space="preserve"> _xlfn.XLOOKUP(按鍵設計表[[#This Row],[台語音標]], 注音編碼對照表[台語音標], 注音編碼對照表[注音符號], "")</f>
        <v>ㄚ</v>
      </c>
      <c r="H26" s="427" t="str">
        <f xml:space="preserve"> _xlfn.XLOOKUP(按鍵設計表[[#This Row],[台語音標]], 注音編碼對照表[台語音標], 注音編碼對照表[漢字例], "")</f>
        <v>阿</v>
      </c>
      <c r="I26" s="381" t="str">
        <f xml:space="preserve"> _xlfn.XLOOKUP(按鍵設計表[[#This Row],[台語音標]], 注音編碼對照表[台語音標], 注音編碼對照表[聲韻調], "")</f>
        <v>韻</v>
      </c>
      <c r="J26" s="247" t="str">
        <f xml:space="preserve"> _xlfn.XLOOKUP(按鍵設計表[[#This Row],[台語音標]], 注音編碼對照表[台語音標], 注音編碼對照表[十五音], "")</f>
        <v>膠</v>
      </c>
      <c r="K26" s="247" t="str">
        <f xml:space="preserve"> _xlfn.XLOOKUP(按鍵設計表[[#This Row],[台語音標]], 注音編碼對照表[台語音標], 注音編碼對照表[注音二式], "")</f>
        <v>a</v>
      </c>
      <c r="L26" s="247" t="str">
        <f xml:space="preserve"> _xlfn.XLOOKUP(按鍵設計表[[#This Row],[台語音標]], 注音編碼對照表[台語音標], 注音編碼對照表[台羅拼音], "")</f>
        <v>a</v>
      </c>
      <c r="M26" s="247" t="str">
        <f xml:space="preserve"> _xlfn.XLOOKUP(按鍵設計表[[#This Row],[台語音標]], 注音編碼對照表[台語音標], 注音編碼對照表[白話字], "")</f>
        <v>a</v>
      </c>
      <c r="N26" s="247" t="str">
        <f xml:space="preserve"> _xlfn.XLOOKUP(按鍵設計表[[#This Row],[台語音標]], 注音編碼對照表[台語音標], 注音編碼對照表[閩拼方案], "")</f>
        <v>a</v>
      </c>
      <c r="O26" s="260"/>
      <c r="P26" s="306"/>
      <c r="Q26" s="306">
        <f>LEN(按鍵設計表[[#This Row],[注音符號]])</f>
        <v>1</v>
      </c>
      <c r="R26" s="264"/>
      <c r="S26" s="265">
        <f t="shared" si="1"/>
        <v>22</v>
      </c>
      <c r="T26" s="250">
        <f t="shared" si="2"/>
        <v>22</v>
      </c>
      <c r="U26" s="246" t="s">
        <v>22</v>
      </c>
      <c r="V26" s="245" t="s">
        <v>92</v>
      </c>
      <c r="W26" s="320" t="s">
        <v>209</v>
      </c>
      <c r="X26" s="245" t="s">
        <v>18</v>
      </c>
      <c r="Y26" s="245" t="s">
        <v>190</v>
      </c>
      <c r="Z26" s="245" t="s">
        <v>18</v>
      </c>
      <c r="AA26" s="245" t="s">
        <v>8347</v>
      </c>
      <c r="AB26" s="259" t="s">
        <v>8354</v>
      </c>
      <c r="AC26" s="265"/>
      <c r="AD26" s="48">
        <v>22</v>
      </c>
      <c r="AE26" s="54" t="s">
        <v>126</v>
      </c>
      <c r="AF26" s="56" t="s">
        <v>164</v>
      </c>
      <c r="AG26" s="86" t="s">
        <v>33</v>
      </c>
      <c r="AH26" s="59" t="s">
        <v>164</v>
      </c>
      <c r="AI26" s="177"/>
      <c r="AJ26" s="177"/>
      <c r="AK26" s="177"/>
      <c r="AL26" s="177"/>
    </row>
    <row r="27" spans="2:38" ht="43.5">
      <c r="B27" s="250">
        <f t="shared" si="0"/>
        <v>23</v>
      </c>
      <c r="C27" s="246" t="s">
        <v>36</v>
      </c>
      <c r="D27" s="381" t="s">
        <v>164</v>
      </c>
      <c r="E27" s="245" t="s">
        <v>164</v>
      </c>
      <c r="F27" s="245" t="s">
        <v>164</v>
      </c>
      <c r="G27" s="245" t="str">
        <f xml:space="preserve"> _xlfn.XLOOKUP(按鍵設計表[[#This Row],[台語音標]], 注音編碼對照表[台語音標], 注音編碼對照表[注音符號], "")</f>
        <v>ㄧ</v>
      </c>
      <c r="H27" s="434" t="str">
        <f xml:space="preserve"> _xlfn.XLOOKUP(按鍵設計表[[#This Row],[台語音標]], 注音編碼對照表[台語音標], 注音編碼對照表[漢字例], "")</f>
        <v>伊</v>
      </c>
      <c r="I27" s="381" t="str">
        <f xml:space="preserve"> _xlfn.XLOOKUP(按鍵設計表[[#This Row],[台語音標]], 注音編碼對照表[台語音標], 注音編碼對照表[聲韻調], "")</f>
        <v>韻</v>
      </c>
      <c r="J27" s="245" t="str">
        <f xml:space="preserve"> _xlfn.XLOOKUP(按鍵設計表[[#This Row],[台語音標]], 注音編碼對照表[台語音標], 注音編碼對照表[十五音], "")</f>
        <v>居</v>
      </c>
      <c r="K27" s="245" t="str">
        <f xml:space="preserve"> _xlfn.XLOOKUP(按鍵設計表[[#This Row],[台語音標]], 注音編碼對照表[台語音標], 注音編碼對照表[注音二式], "")</f>
        <v>i</v>
      </c>
      <c r="L27" s="245" t="str">
        <f xml:space="preserve"> _xlfn.XLOOKUP(按鍵設計表[[#This Row],[台語音標]], 注音編碼對照表[台語音標], 注音編碼對照表[台羅拼音], "")</f>
        <v>i</v>
      </c>
      <c r="M27" s="245" t="str">
        <f xml:space="preserve"> _xlfn.XLOOKUP(按鍵設計表[[#This Row],[台語音標]], 注音編碼對照表[台語音標], 注音編碼對照表[白話字], "")</f>
        <v>i</v>
      </c>
      <c r="N27" s="245" t="str">
        <f xml:space="preserve"> _xlfn.XLOOKUP(按鍵設計表[[#This Row],[台語音標]], 注音編碼對照表[台語音標], 注音編碼對照表[閩拼方案], "")</f>
        <v>i</v>
      </c>
      <c r="O27" s="259"/>
      <c r="P27" s="306"/>
      <c r="Q27" s="306">
        <f>LEN(按鍵設計表[[#This Row],[注音符號]])</f>
        <v>1</v>
      </c>
      <c r="R27" s="264"/>
      <c r="S27" s="265">
        <f t="shared" si="1"/>
        <v>23</v>
      </c>
      <c r="T27" s="249">
        <f t="shared" si="2"/>
        <v>23</v>
      </c>
      <c r="U27" s="183" t="s">
        <v>123</v>
      </c>
      <c r="V27" s="226" t="s">
        <v>90</v>
      </c>
      <c r="W27" s="319" t="s">
        <v>166</v>
      </c>
      <c r="X27" s="226" t="s">
        <v>134</v>
      </c>
      <c r="Y27" s="226" t="s">
        <v>6</v>
      </c>
      <c r="Z27" s="226" t="s">
        <v>134</v>
      </c>
      <c r="AA27" s="245" t="s">
        <v>8347</v>
      </c>
      <c r="AB27" s="259" t="s">
        <v>8355</v>
      </c>
      <c r="AC27" s="265"/>
      <c r="AD27" s="48">
        <v>23</v>
      </c>
      <c r="AE27" s="54" t="s">
        <v>153</v>
      </c>
      <c r="AF27" s="56" t="s">
        <v>162</v>
      </c>
      <c r="AG27" s="86" t="s">
        <v>79</v>
      </c>
      <c r="AH27" s="59" t="s">
        <v>279</v>
      </c>
      <c r="AI27" s="177"/>
      <c r="AJ27" s="177"/>
      <c r="AK27" s="177"/>
      <c r="AL27" s="177"/>
    </row>
    <row r="28" spans="2:38" ht="43.5">
      <c r="B28" s="250">
        <f t="shared" si="0"/>
        <v>24</v>
      </c>
      <c r="C28" s="246" t="s">
        <v>187</v>
      </c>
      <c r="D28" s="381" t="s">
        <v>282</v>
      </c>
      <c r="E28" s="245" t="s">
        <v>203</v>
      </c>
      <c r="F28" s="245" t="s">
        <v>203</v>
      </c>
      <c r="G28" s="245" t="str">
        <f xml:space="preserve"> _xlfn.XLOOKUP(按鍵設計表[[#This Row],[台語音標]], 注音編碼對照表[台語音標], 注音編碼對照表[注音符號], "")</f>
        <v>ㆨ</v>
      </c>
      <c r="H28" s="434" t="str">
        <f xml:space="preserve"> _xlfn.XLOOKUP(按鍵設計表[[#This Row],[台語音標]], 注音編碼對照表[台語音標], 注音編碼對照表[漢字例], "")</f>
        <v>猪</v>
      </c>
      <c r="I28" s="381" t="str">
        <f xml:space="preserve"> _xlfn.XLOOKUP(按鍵設計表[[#This Row],[台語音標]], 注音編碼對照表[台語音標], 注音編碼對照表[聲韻調], "")</f>
        <v>韻</v>
      </c>
      <c r="J28" s="245">
        <f xml:space="preserve"> _xlfn.XLOOKUP(按鍵設計表[[#This Row],[台語音標]], 注音編碼對照表[台語音標], 注音編碼對照表[十五音], "")</f>
        <v>0</v>
      </c>
      <c r="K28" s="245" t="str">
        <f xml:space="preserve"> _xlfn.XLOOKUP(按鍵設計表[[#This Row],[台語音標]], 注音編碼對照表[台語音標], 注音編碼對照表[注音二式], "")</f>
        <v>ir</v>
      </c>
      <c r="L28" s="245" t="str">
        <f xml:space="preserve"> _xlfn.XLOOKUP(按鍵設計表[[#This Row],[台語音標]], 注音編碼對照表[台語音標], 注音編碼對照表[台羅拼音], "")</f>
        <v>ir</v>
      </c>
      <c r="M28" s="245" t="str">
        <f xml:space="preserve"> _xlfn.XLOOKUP(按鍵設計表[[#This Row],[台語音標]], 注音編碼對照表[台語音標], 注音編碼對照表[白話字], "")</f>
        <v>ir</v>
      </c>
      <c r="N28" s="245" t="str">
        <f xml:space="preserve"> _xlfn.XLOOKUP(按鍵設計表[[#This Row],[台語音標]], 注音編碼對照表[台語音標], 注音編碼對照表[閩拼方案], "")</f>
        <v>eu</v>
      </c>
      <c r="O28" s="259"/>
      <c r="P28" s="306"/>
      <c r="Q28" s="306">
        <f>LEN(按鍵設計表[[#This Row],[注音符號]])</f>
        <v>1</v>
      </c>
      <c r="R28" s="264"/>
      <c r="S28" s="265">
        <f t="shared" si="1"/>
        <v>24</v>
      </c>
      <c r="T28" s="249">
        <f t="shared" si="2"/>
        <v>24</v>
      </c>
      <c r="U28" s="183">
        <v>6</v>
      </c>
      <c r="V28" s="226" t="s">
        <v>74</v>
      </c>
      <c r="W28" s="319" t="s">
        <v>111</v>
      </c>
      <c r="X28" s="226">
        <v>5</v>
      </c>
      <c r="Y28" s="226">
        <v>2</v>
      </c>
      <c r="Z28" s="226">
        <v>5</v>
      </c>
      <c r="AA28" s="245" t="s">
        <v>8343</v>
      </c>
      <c r="AB28" s="259"/>
      <c r="AC28" s="265"/>
      <c r="AD28" s="48">
        <v>24</v>
      </c>
      <c r="AE28" s="54" t="s">
        <v>150</v>
      </c>
      <c r="AF28" s="56" t="s">
        <v>126</v>
      </c>
      <c r="AG28" s="86" t="s">
        <v>35</v>
      </c>
      <c r="AH28" s="59" t="s">
        <v>126</v>
      </c>
      <c r="AI28" s="177"/>
      <c r="AJ28" s="177"/>
      <c r="AK28" s="177"/>
      <c r="AL28" s="177"/>
    </row>
    <row r="29" spans="2:38" ht="43.5">
      <c r="B29" s="250">
        <f t="shared" si="0"/>
        <v>25</v>
      </c>
      <c r="C29" s="246" t="s">
        <v>28</v>
      </c>
      <c r="D29" s="381" t="s">
        <v>126</v>
      </c>
      <c r="E29" s="245" t="s">
        <v>126</v>
      </c>
      <c r="F29" s="245" t="s">
        <v>126</v>
      </c>
      <c r="G29" s="245" t="str">
        <f xml:space="preserve"> _xlfn.XLOOKUP(按鍵設計表[[#This Row],[台語音標]], 注音編碼對照表[台語音標], 注音編碼對照表[注音符號], "")</f>
        <v>ㄨ</v>
      </c>
      <c r="H29" s="434" t="str">
        <f xml:space="preserve"> _xlfn.XLOOKUP(按鍵設計表[[#This Row],[台語音標]], 注音編碼對照表[台語音標], 注音編碼對照表[漢字例], "")</f>
        <v>污</v>
      </c>
      <c r="I29" s="381" t="str">
        <f xml:space="preserve"> _xlfn.XLOOKUP(按鍵設計表[[#This Row],[台語音標]], 注音編碼對照表[台語音標], 注音編碼對照表[聲韻調], "")</f>
        <v>韻</v>
      </c>
      <c r="J29" s="245" t="str">
        <f xml:space="preserve"> _xlfn.XLOOKUP(按鍵設計表[[#This Row],[台語音標]], 注音編碼對照表[台語音標], 注音編碼對照表[十五音], "")</f>
        <v>艍</v>
      </c>
      <c r="K29" s="245" t="str">
        <f xml:space="preserve"> _xlfn.XLOOKUP(按鍵設計表[[#This Row],[台語音標]], 注音編碼對照表[台語音標], 注音編碼對照表[注音二式], "")</f>
        <v>u</v>
      </c>
      <c r="L29" s="245" t="str">
        <f xml:space="preserve"> _xlfn.XLOOKUP(按鍵設計表[[#This Row],[台語音標]], 注音編碼對照表[台語音標], 注音編碼對照表[台羅拼音], "")</f>
        <v>u</v>
      </c>
      <c r="M29" s="245" t="str">
        <f xml:space="preserve"> _xlfn.XLOOKUP(按鍵設計表[[#This Row],[台語音標]], 注音編碼對照表[台語音標], 注音編碼對照表[白話字], "")</f>
        <v>u</v>
      </c>
      <c r="N29" s="245" t="str">
        <f xml:space="preserve"> _xlfn.XLOOKUP(按鍵設計表[[#This Row],[台語音標]], 注音編碼對照表[台語音標], 注音編碼對照表[閩拼方案], "")</f>
        <v>u</v>
      </c>
      <c r="O29" s="259"/>
      <c r="P29" s="306"/>
      <c r="Q29" s="306">
        <f>LEN(按鍵設計表[[#This Row],[注音符號]])</f>
        <v>1</v>
      </c>
      <c r="R29" s="264"/>
      <c r="S29" s="265">
        <f t="shared" si="1"/>
        <v>25</v>
      </c>
      <c r="T29" s="249">
        <f t="shared" si="2"/>
        <v>25</v>
      </c>
      <c r="U29" s="183" t="s">
        <v>220</v>
      </c>
      <c r="V29" s="226" t="s">
        <v>23</v>
      </c>
      <c r="W29" s="319" t="s">
        <v>116</v>
      </c>
      <c r="X29" s="226" t="s">
        <v>116</v>
      </c>
      <c r="Y29" s="226" t="s">
        <v>216</v>
      </c>
      <c r="Z29" s="226" t="s">
        <v>116</v>
      </c>
      <c r="AA29" s="245" t="s">
        <v>8342</v>
      </c>
      <c r="AB29" s="259"/>
      <c r="AC29" s="265"/>
      <c r="AD29" s="48">
        <v>25</v>
      </c>
      <c r="AE29" s="54" t="s">
        <v>147</v>
      </c>
      <c r="AF29" s="56" t="s">
        <v>153</v>
      </c>
      <c r="AG29" s="86" t="s">
        <v>80</v>
      </c>
      <c r="AH29" s="59" t="s">
        <v>281</v>
      </c>
      <c r="AI29" s="177"/>
      <c r="AJ29" s="177"/>
      <c r="AK29" s="177"/>
      <c r="AL29" s="177"/>
    </row>
    <row r="30" spans="2:38" ht="43.5">
      <c r="B30" s="250">
        <f t="shared" si="0"/>
        <v>26</v>
      </c>
      <c r="C30" s="246" t="s">
        <v>8606</v>
      </c>
      <c r="D30" s="381" t="s">
        <v>195</v>
      </c>
      <c r="E30" s="245" t="s">
        <v>195</v>
      </c>
      <c r="F30" s="245" t="s">
        <v>195</v>
      </c>
      <c r="G30" s="245" t="str">
        <f xml:space="preserve"> _xlfn.XLOOKUP(按鍵設計表[[#This Row],[台語音標]], 注音編碼對照表[台語音標], 注音編碼對照表[注音符號], "")</f>
        <v>ㆤ</v>
      </c>
      <c r="H30" s="434" t="str">
        <f xml:space="preserve"> _xlfn.XLOOKUP(按鍵設計表[[#This Row],[台語音標]], 注音編碼對照表[台語音標], 注音編碼對照表[漢字例], "")</f>
        <v>稽</v>
      </c>
      <c r="I30" s="381" t="str">
        <f xml:space="preserve"> _xlfn.XLOOKUP(按鍵設計表[[#This Row],[台語音標]], 注音編碼對照表[台語音標], 注音編碼對照表[聲韻調], "")</f>
        <v>韻</v>
      </c>
      <c r="J30" s="245" t="str">
        <f xml:space="preserve"> _xlfn.XLOOKUP(按鍵設計表[[#This Row],[台語音標]], 注音編碼對照表[台語音標], 注音編碼對照表[十五音], "")</f>
        <v>伽</v>
      </c>
      <c r="K30" s="245" t="str">
        <f xml:space="preserve"> _xlfn.XLOOKUP(按鍵設計表[[#This Row],[台語音標]], 注音編碼對照表[台語音標], 注音編碼對照表[注音二式], "")</f>
        <v>e</v>
      </c>
      <c r="L30" s="245" t="str">
        <f xml:space="preserve"> _xlfn.XLOOKUP(按鍵設計表[[#This Row],[台語音標]], 注音編碼對照表[台語音標], 注音編碼對照表[台羅拼音], "")</f>
        <v>e</v>
      </c>
      <c r="M30" s="245" t="str">
        <f xml:space="preserve"> _xlfn.XLOOKUP(按鍵設計表[[#This Row],[台語音標]], 注音編碼對照表[台語音標], 注音編碼對照表[白話字], "")</f>
        <v>e</v>
      </c>
      <c r="N30" s="245" t="str">
        <f xml:space="preserve"> _xlfn.XLOOKUP(按鍵設計表[[#This Row],[台語音標]], 注音編碼對照表[台語音標], 注音編碼對照表[閩拼方案], "")</f>
        <v>e</v>
      </c>
      <c r="O30" s="259"/>
      <c r="P30" s="306"/>
      <c r="Q30" s="306">
        <f>LEN(按鍵設計表[[#This Row],[注音符號]])</f>
        <v>1</v>
      </c>
      <c r="R30" s="264"/>
      <c r="S30" s="265">
        <f t="shared" si="1"/>
        <v>26</v>
      </c>
      <c r="T30" s="249">
        <f t="shared" si="2"/>
        <v>26</v>
      </c>
      <c r="U30" s="183" t="s">
        <v>222</v>
      </c>
      <c r="V30" s="226" t="s">
        <v>27</v>
      </c>
      <c r="W30" s="319" t="s">
        <v>28</v>
      </c>
      <c r="X30" s="226" t="s">
        <v>514</v>
      </c>
      <c r="Y30" s="226" t="s">
        <v>515</v>
      </c>
      <c r="Z30" s="226" t="s">
        <v>150</v>
      </c>
      <c r="AA30" s="245" t="s">
        <v>8342</v>
      </c>
      <c r="AB30" s="259"/>
      <c r="AC30" s="265"/>
      <c r="AD30" s="48">
        <v>26</v>
      </c>
      <c r="AE30" s="54" t="s">
        <v>324</v>
      </c>
      <c r="AF30" s="56" t="s">
        <v>208</v>
      </c>
      <c r="AG30" s="86" t="s">
        <v>37</v>
      </c>
      <c r="AH30" s="59" t="s">
        <v>208</v>
      </c>
      <c r="AI30" s="177"/>
      <c r="AJ30" s="177"/>
      <c r="AK30" s="177"/>
      <c r="AL30" s="177"/>
    </row>
    <row r="31" spans="2:38" ht="43.5">
      <c r="B31" s="250">
        <f t="shared" si="0"/>
        <v>27</v>
      </c>
      <c r="C31" s="246" t="s">
        <v>34</v>
      </c>
      <c r="D31" s="381" t="s">
        <v>205</v>
      </c>
      <c r="E31" s="245" t="s">
        <v>41</v>
      </c>
      <c r="F31" s="245" t="s">
        <v>41</v>
      </c>
      <c r="G31" s="245" t="str">
        <f xml:space="preserve"> _xlfn.XLOOKUP(按鍵設計表[[#This Row],[台語音標]], 注音編碼對照表[台語音標], 注音編碼對照表[注音符號], "")</f>
        <v>ㆦ</v>
      </c>
      <c r="H31" s="434" t="str">
        <f xml:space="preserve"> _xlfn.XLOOKUP(按鍵設計表[[#This Row],[台語音標]], 注音編碼對照表[台語音標], 注音編碼對照表[漢字例], "")</f>
        <v>烏</v>
      </c>
      <c r="I31" s="381" t="str">
        <f xml:space="preserve"> _xlfn.XLOOKUP(按鍵設計表[[#This Row],[台語音標]], 注音編碼對照表[台語音標], 注音編碼對照表[聲韻調], "")</f>
        <v>韻</v>
      </c>
      <c r="J31" s="245" t="str">
        <f xml:space="preserve"> _xlfn.XLOOKUP(按鍵設計表[[#This Row],[台語音標]], 注音編碼對照表[台語音標], 注音編碼對照表[十五音], "")</f>
        <v>沽</v>
      </c>
      <c r="K31" s="245" t="str">
        <f xml:space="preserve"> _xlfn.XLOOKUP(按鍵設計表[[#This Row],[台語音標]], 注音編碼對照表[台語音標], 注音編碼對照表[注音二式], "")</f>
        <v>oo</v>
      </c>
      <c r="L31" s="245" t="str">
        <f xml:space="preserve"> _xlfn.XLOOKUP(按鍵設計表[[#This Row],[台語音標]], 注音編碼對照表[台語音標], 注音編碼對照表[台羅拼音], "")</f>
        <v>oo</v>
      </c>
      <c r="M31" s="245" t="str">
        <f xml:space="preserve"> _xlfn.XLOOKUP(按鍵設計表[[#This Row],[台語音標]], 注音編碼對照表[台語音標], 注音編碼對照表[白話字], "")</f>
        <v>oo</v>
      </c>
      <c r="N31" s="245" t="str">
        <f xml:space="preserve"> _xlfn.XLOOKUP(按鍵設計表[[#This Row],[台語音標]], 注音編碼對照表[台語音標], 注音編碼對照表[閩拼方案], "")</f>
        <v>oo</v>
      </c>
      <c r="O31" s="259"/>
      <c r="P31" s="306"/>
      <c r="Q31" s="306">
        <f>LEN(按鍵設計表[[#This Row],[注音符號]])</f>
        <v>1</v>
      </c>
      <c r="R31" s="264"/>
      <c r="S31" s="265">
        <f t="shared" si="1"/>
        <v>27</v>
      </c>
      <c r="T31" s="249">
        <f t="shared" si="2"/>
        <v>27</v>
      </c>
      <c r="U31" s="183" t="s">
        <v>32</v>
      </c>
      <c r="V31" s="226" t="s">
        <v>25</v>
      </c>
      <c r="W31" s="319" t="s">
        <v>180</v>
      </c>
      <c r="X31" s="226" t="s">
        <v>180</v>
      </c>
      <c r="Y31" s="226" t="s">
        <v>170</v>
      </c>
      <c r="Z31" s="226" t="s">
        <v>180</v>
      </c>
      <c r="AA31" s="245" t="s">
        <v>8342</v>
      </c>
      <c r="AB31" s="259"/>
      <c r="AC31" s="265"/>
      <c r="AD31" s="48">
        <v>27</v>
      </c>
      <c r="AE31" s="54" t="s">
        <v>165</v>
      </c>
      <c r="AF31" s="56" t="s">
        <v>333</v>
      </c>
      <c r="AG31" s="86" t="s">
        <v>81</v>
      </c>
      <c r="AH31" s="59" t="s">
        <v>163</v>
      </c>
      <c r="AI31" s="177"/>
      <c r="AJ31" s="177"/>
      <c r="AK31" s="177"/>
      <c r="AL31" s="177"/>
    </row>
    <row r="32" spans="2:38" ht="44.25" thickBot="1">
      <c r="B32" s="408">
        <f t="shared" si="0"/>
        <v>28</v>
      </c>
      <c r="C32" s="409" t="s">
        <v>190</v>
      </c>
      <c r="D32" s="392" t="s">
        <v>41</v>
      </c>
      <c r="E32" s="410" t="s">
        <v>8538</v>
      </c>
      <c r="F32" s="410" t="s">
        <v>8538</v>
      </c>
      <c r="G32" s="410" t="str">
        <f xml:space="preserve"> _xlfn.XLOOKUP(按鍵設計表[[#This Row],[台語音標]], 注音編碼對照表[台語音標], 注音編碼對照表[注音符號], "")</f>
        <v>ㄜ</v>
      </c>
      <c r="H32" s="435" t="str">
        <f xml:space="preserve"> _xlfn.XLOOKUP(按鍵設計表[[#This Row],[台語音標]], 注音編碼對照表[台語音標], 注音編碼對照表[漢字例], "")</f>
        <v>蚵</v>
      </c>
      <c r="I32" s="392" t="str">
        <f xml:space="preserve"> _xlfn.XLOOKUP(按鍵設計表[[#This Row],[台語音標]], 注音編碼對照表[台語音標], 注音編碼對照表[聲韻調], "")</f>
        <v>韻</v>
      </c>
      <c r="J32" s="410" t="str">
        <f xml:space="preserve"> _xlfn.XLOOKUP(按鍵設計表[[#This Row],[台語音標]], 注音編碼對照表[台語音標], 注音編碼對照表[十五音], "")</f>
        <v>高</v>
      </c>
      <c r="K32" s="410" t="str">
        <f xml:space="preserve"> _xlfn.XLOOKUP(按鍵設計表[[#This Row],[台語音標]], 注音編碼對照表[台語音標], 注音編碼對照表[注音二式], "")</f>
        <v>or</v>
      </c>
      <c r="L32" s="410" t="str">
        <f xml:space="preserve"> _xlfn.XLOOKUP(按鍵設計表[[#This Row],[台語音標]], 注音編碼對照表[台語音標], 注音編碼對照表[台羅拼音], "")</f>
        <v>o</v>
      </c>
      <c r="M32" s="410" t="str">
        <f xml:space="preserve"> _xlfn.XLOOKUP(按鍵設計表[[#This Row],[台語音標]], 注音編碼對照表[台語音標], 注音編碼對照表[白話字], "")</f>
        <v>o</v>
      </c>
      <c r="N32" s="410" t="str">
        <f xml:space="preserve"> _xlfn.XLOOKUP(按鍵設計表[[#This Row],[台語音標]], 注音編碼對照表[台語音標], 注音編碼對照表[閩拼方案], "")</f>
        <v>o</v>
      </c>
      <c r="O32" s="411"/>
      <c r="P32" s="306"/>
      <c r="Q32" s="306">
        <f>LEN(按鍵設計表[[#This Row],[注音符號]])</f>
        <v>1</v>
      </c>
      <c r="R32" s="264"/>
      <c r="S32" s="265">
        <f t="shared" si="1"/>
        <v>28</v>
      </c>
      <c r="T32" s="249">
        <f t="shared" si="2"/>
        <v>28</v>
      </c>
      <c r="U32" s="183" t="s">
        <v>16</v>
      </c>
      <c r="V32" s="226" t="s">
        <v>29</v>
      </c>
      <c r="W32" s="319" t="s">
        <v>201</v>
      </c>
      <c r="X32" s="226" t="s">
        <v>201</v>
      </c>
      <c r="Y32" s="226" t="s">
        <v>30</v>
      </c>
      <c r="Z32" s="226" t="s">
        <v>201</v>
      </c>
      <c r="AA32" s="245" t="s">
        <v>8342</v>
      </c>
      <c r="AB32" s="259"/>
      <c r="AC32" s="265"/>
      <c r="AD32" s="48">
        <v>28</v>
      </c>
      <c r="AE32" s="54" t="s">
        <v>164</v>
      </c>
      <c r="AF32" s="56" t="s">
        <v>158</v>
      </c>
      <c r="AG32" s="86" t="s">
        <v>43</v>
      </c>
      <c r="AH32" s="59" t="s">
        <v>205</v>
      </c>
      <c r="AI32" s="177"/>
      <c r="AJ32" s="177"/>
      <c r="AK32" s="177"/>
      <c r="AL32" s="177"/>
    </row>
    <row r="33" spans="2:38" ht="43.5">
      <c r="B33" s="383">
        <f t="shared" si="0"/>
        <v>29</v>
      </c>
      <c r="C33" s="384" t="s">
        <v>55</v>
      </c>
      <c r="D33" s="381" t="s">
        <v>331</v>
      </c>
      <c r="E33" s="381" t="s">
        <v>283</v>
      </c>
      <c r="F33" s="381" t="s">
        <v>283</v>
      </c>
      <c r="G33" s="381" t="str">
        <f xml:space="preserve"> _xlfn.XLOOKUP(按鍵設計表[[#This Row],[台語音標]], 注音編碼對照表[台語音標], 注音編碼對照表[注音符號], "")</f>
        <v>ㆬ</v>
      </c>
      <c r="H33" s="437" t="str">
        <f xml:space="preserve"> _xlfn.XLOOKUP(按鍵設計表[[#This Row],[台語音標]], 注音編碼對照表[台語音標], 注音編碼對照表[漢字例], "")</f>
        <v>姆</v>
      </c>
      <c r="I33" s="381" t="str">
        <f xml:space="preserve"> _xlfn.XLOOKUP(按鍵設計表[[#This Row],[台語音標]], 注音編碼對照表[台語音標], 注音編碼對照表[聲韻調], "")</f>
        <v>韻</v>
      </c>
      <c r="J33" s="381" t="str">
        <f xml:space="preserve"> _xlfn.XLOOKUP(按鍵設計表[[#This Row],[台語音標]], 注音編碼對照表[台語音標], 注音編碼對照表[十五音], "")</f>
        <v>姆</v>
      </c>
      <c r="K33" s="381" t="str">
        <f xml:space="preserve"> _xlfn.XLOOKUP(按鍵設計表[[#This Row],[台語音標]], 注音編碼對照表[台語音標], 注音編碼對照表[注音二式], "")</f>
        <v>m</v>
      </c>
      <c r="L33" s="381" t="str">
        <f xml:space="preserve"> _xlfn.XLOOKUP(按鍵設計表[[#This Row],[台語音標]], 注音編碼對照表[台語音標], 注音編碼對照表[台羅拼音], "")</f>
        <v>m</v>
      </c>
      <c r="M33" s="381" t="str">
        <f xml:space="preserve"> _xlfn.XLOOKUP(按鍵設計表[[#This Row],[台語音標]], 注音編碼對照表[台語音標], 注音編碼對照表[白話字], "")</f>
        <v>m</v>
      </c>
      <c r="N33" s="381" t="str">
        <f xml:space="preserve"> _xlfn.XLOOKUP(按鍵設計表[[#This Row],[台語音標]], 注音編碼對照表[台語音標], 注音編碼對照表[閩拼方案], "")</f>
        <v>m</v>
      </c>
      <c r="O33" s="382"/>
      <c r="P33" s="306"/>
      <c r="Q33" s="306">
        <f>LEN(按鍵設計表[[#This Row],[注音符號]])</f>
        <v>1</v>
      </c>
      <c r="R33" s="264"/>
      <c r="S33" s="265">
        <f t="shared" si="1"/>
        <v>29</v>
      </c>
      <c r="T33" s="249">
        <f t="shared" si="2"/>
        <v>29</v>
      </c>
      <c r="U33" s="183" t="s">
        <v>315</v>
      </c>
      <c r="V33" s="226" t="s">
        <v>58</v>
      </c>
      <c r="W33" s="319" t="s">
        <v>203</v>
      </c>
      <c r="X33" s="226" t="s">
        <v>94</v>
      </c>
      <c r="Y33" s="226" t="s">
        <v>8385</v>
      </c>
      <c r="Z33" s="226" t="s">
        <v>94</v>
      </c>
      <c r="AA33" s="245" t="s">
        <v>8342</v>
      </c>
      <c r="AB33" s="259" t="s">
        <v>8607</v>
      </c>
      <c r="AC33" s="265"/>
      <c r="AD33" s="48">
        <v>29</v>
      </c>
      <c r="AE33" s="54" t="s">
        <v>162</v>
      </c>
      <c r="AF33" s="56" t="s">
        <v>304</v>
      </c>
      <c r="AG33" s="86" t="s">
        <v>85</v>
      </c>
      <c r="AH33" s="59" t="s">
        <v>516</v>
      </c>
      <c r="AI33" s="177"/>
      <c r="AJ33" s="177"/>
      <c r="AK33" s="177"/>
      <c r="AL33" s="177"/>
    </row>
    <row r="34" spans="2:38" ht="43.5">
      <c r="B34" s="250">
        <f t="shared" ref="B34:B53" si="3" xml:space="preserve"> ROW() - 4</f>
        <v>30</v>
      </c>
      <c r="C34" s="246" t="s">
        <v>6</v>
      </c>
      <c r="D34" s="381" t="s">
        <v>8633</v>
      </c>
      <c r="E34" s="245" t="s">
        <v>315</v>
      </c>
      <c r="F34" s="245" t="s">
        <v>315</v>
      </c>
      <c r="G34" s="245" t="str">
        <f xml:space="preserve"> _xlfn.XLOOKUP(按鍵設計表[[#This Row],[台語音標]], 注音編碼對照表[台語音標], 注音編碼對照表[注音符號], "")</f>
        <v>ㄣ</v>
      </c>
      <c r="H34" s="434" t="str">
        <f xml:space="preserve"> _xlfn.XLOOKUP(按鍵設計表[[#This Row],[台語音標]], 注音編碼對照表[台語音標], 注音編碼對照表[漢字例], "")</f>
        <v>恩</v>
      </c>
      <c r="I34" s="381" t="str">
        <f xml:space="preserve"> _xlfn.XLOOKUP(按鍵設計表[[#This Row],[台語音標]], 注音編碼對照表[台語音標], 注音編碼對照表[聲韻調], "")</f>
        <v>韻</v>
      </c>
      <c r="J34" s="245">
        <f xml:space="preserve"> _xlfn.XLOOKUP(按鍵設計表[[#This Row],[台語音標]], 注音編碼對照表[台語音標], 注音編碼對照表[十五音], "")</f>
        <v>0</v>
      </c>
      <c r="K34" s="245" t="str">
        <f xml:space="preserve"> _xlfn.XLOOKUP(按鍵設計表[[#This Row],[台語音標]], 注音編碼對照表[台語音標], 注音編碼對照表[注音二式], "")</f>
        <v>n</v>
      </c>
      <c r="L34" s="245" t="str">
        <f xml:space="preserve"> _xlfn.XLOOKUP(按鍵設計表[[#This Row],[台語音標]], 注音編碼對照表[台語音標], 注音編碼對照表[台羅拼音], "")</f>
        <v>n</v>
      </c>
      <c r="M34" s="245" t="str">
        <f xml:space="preserve"> _xlfn.XLOOKUP(按鍵設計表[[#This Row],[台語音標]], 注音編碼對照表[台語音標], 注音編碼對照表[白話字], "")</f>
        <v>n</v>
      </c>
      <c r="N34" s="245" t="str">
        <f xml:space="preserve"> _xlfn.XLOOKUP(按鍵設計表[[#This Row],[台語音標]], 注音編碼對照表[台語音標], 注音編碼對照表[閩拼方案], "")</f>
        <v>n</v>
      </c>
      <c r="O34" s="259" t="s">
        <v>8350</v>
      </c>
      <c r="P34" s="306"/>
      <c r="Q34" s="306">
        <f>LEN(按鍵設計表[[#This Row],[注音符號]])</f>
        <v>1</v>
      </c>
      <c r="R34" s="264"/>
      <c r="S34" s="265">
        <f t="shared" si="1"/>
        <v>30</v>
      </c>
      <c r="T34" s="249">
        <f t="shared" si="2"/>
        <v>30</v>
      </c>
      <c r="U34" s="183">
        <v>7</v>
      </c>
      <c r="V34" s="226" t="s">
        <v>76</v>
      </c>
      <c r="W34" s="319">
        <v>8</v>
      </c>
      <c r="X34" s="226">
        <v>8</v>
      </c>
      <c r="Y34" s="226">
        <v>8</v>
      </c>
      <c r="Z34" s="226">
        <v>8</v>
      </c>
      <c r="AA34" s="245" t="s">
        <v>8343</v>
      </c>
      <c r="AB34" s="259" t="s">
        <v>8346</v>
      </c>
      <c r="AC34" s="265"/>
      <c r="AD34" s="48">
        <v>30</v>
      </c>
      <c r="AE34" s="54" t="s">
        <v>18</v>
      </c>
      <c r="AF34" s="56" t="s">
        <v>41</v>
      </c>
      <c r="AG34" s="86" t="s">
        <v>266</v>
      </c>
      <c r="AH34" s="59" t="s">
        <v>517</v>
      </c>
      <c r="AI34" s="177"/>
      <c r="AJ34" s="177"/>
      <c r="AK34" s="177"/>
      <c r="AL34" s="177"/>
    </row>
    <row r="35" spans="2:38" ht="44.25" thickBot="1">
      <c r="B35" s="408">
        <f t="shared" si="3"/>
        <v>31</v>
      </c>
      <c r="C35" s="409" t="s">
        <v>280</v>
      </c>
      <c r="D35" s="392" t="s">
        <v>272</v>
      </c>
      <c r="E35" s="410" t="s">
        <v>95</v>
      </c>
      <c r="F35" s="410" t="s">
        <v>95</v>
      </c>
      <c r="G35" s="410" t="str">
        <f xml:space="preserve"> _xlfn.XLOOKUP(按鍵設計表[[#This Row],[台語音標]], 注音編碼對照表[台語音標], 注音編碼對照表[注音符號], "")</f>
        <v>ㆭ</v>
      </c>
      <c r="H35" s="435" t="str">
        <f xml:space="preserve"> _xlfn.XLOOKUP(按鍵設計表[[#This Row],[台語音標]], 注音編碼對照表[台語音標], 注音編碼對照表[漢字例], "")</f>
        <v>秧</v>
      </c>
      <c r="I35" s="392" t="str">
        <f xml:space="preserve"> _xlfn.XLOOKUP(按鍵設計表[[#This Row],[台語音標]], 注音編碼對照表[台語音標], 注音編碼對照表[聲韻調], "")</f>
        <v>韻</v>
      </c>
      <c r="J35" s="410" t="str">
        <f xml:space="preserve"> _xlfn.XLOOKUP(按鍵設計表[[#This Row],[台語音標]], 注音編碼對照表[台語音標], 注音編碼對照表[十五音], "")</f>
        <v>鋼</v>
      </c>
      <c r="K35" s="410" t="str">
        <f xml:space="preserve"> _xlfn.XLOOKUP(按鍵設計表[[#This Row],[台語音標]], 注音編碼對照表[台語音標], 注音編碼對照表[注音二式], "")</f>
        <v>ng</v>
      </c>
      <c r="L35" s="410" t="str">
        <f xml:space="preserve"> _xlfn.XLOOKUP(按鍵設計表[[#This Row],[台語音標]], 注音編碼對照表[台語音標], 注音編碼對照表[台羅拼音], "")</f>
        <v>ng</v>
      </c>
      <c r="M35" s="410" t="str">
        <f xml:space="preserve"> _xlfn.XLOOKUP(按鍵設計表[[#This Row],[台語音標]], 注音編碼對照表[台語音標], 注音編碼對照表[白話字], "")</f>
        <v>ng</v>
      </c>
      <c r="N35" s="410" t="str">
        <f xml:space="preserve"> _xlfn.XLOOKUP(按鍵設計表[[#This Row],[台語音標]], 注音編碼對照表[台語音標], 注音編碼對照表[閩拼方案], "")</f>
        <v>ng</v>
      </c>
      <c r="O35" s="411" t="s">
        <v>8372</v>
      </c>
      <c r="P35" s="306"/>
      <c r="Q35" s="306">
        <f>LEN(按鍵設計表[[#This Row],[注音符號]])</f>
        <v>1</v>
      </c>
      <c r="R35" s="264"/>
      <c r="S35" s="265">
        <f t="shared" si="1"/>
        <v>31</v>
      </c>
      <c r="T35" s="249">
        <f t="shared" si="2"/>
        <v>31</v>
      </c>
      <c r="U35" s="183" t="s">
        <v>36</v>
      </c>
      <c r="V35" s="226" t="s">
        <v>261</v>
      </c>
      <c r="W35" s="319" t="s">
        <v>164</v>
      </c>
      <c r="X35" s="226" t="s">
        <v>164</v>
      </c>
      <c r="Y35" s="226" t="s">
        <v>34</v>
      </c>
      <c r="Z35" s="226" t="s">
        <v>164</v>
      </c>
      <c r="AA35" s="245" t="s">
        <v>8344</v>
      </c>
      <c r="AB35" s="259"/>
      <c r="AC35" s="265"/>
      <c r="AD35" s="48">
        <v>31</v>
      </c>
      <c r="AE35" s="54" t="s">
        <v>137</v>
      </c>
      <c r="AF35" s="56" t="s">
        <v>195</v>
      </c>
      <c r="AG35" s="86" t="s">
        <v>39</v>
      </c>
      <c r="AH35" s="59" t="s">
        <v>195</v>
      </c>
      <c r="AI35" s="177"/>
      <c r="AJ35" s="177"/>
      <c r="AK35" s="177"/>
      <c r="AL35" s="177"/>
    </row>
    <row r="36" spans="2:38" ht="39">
      <c r="B36" s="383">
        <f t="shared" si="0"/>
        <v>32</v>
      </c>
      <c r="C36" s="384" t="s">
        <v>10</v>
      </c>
      <c r="D36" s="381" t="s">
        <v>8626</v>
      </c>
      <c r="E36" s="381" t="s">
        <v>8622</v>
      </c>
      <c r="F36" s="381" t="s">
        <v>8</v>
      </c>
      <c r="G36" s="381" t="str">
        <f xml:space="preserve"> _xlfn.XLOOKUP(按鍵設計表[[#This Row],[台語音標]], 注音編碼對照表[台語音標], 注音編碼對照表[注音符號], "",0,  1 )</f>
        <v>ㆴ</v>
      </c>
      <c r="H36" s="476" t="str">
        <f xml:space="preserve"> _xlfn.XLOOKUP(按鍵設計表[[#This Row],[台語音標]], 注音編碼對照表[台語音標], 注音編碼對照表[漢字例], "")</f>
        <v>哈沓</v>
      </c>
      <c r="I36" s="381" t="str">
        <f xml:space="preserve"> _xlfn.XLOOKUP(按鍵設計表[[#This Row],[台語音標]], 注音編碼對照表[台語音標], 注音編碼對照表[聲韻調], "")</f>
        <v>韻尾</v>
      </c>
      <c r="J36" s="381">
        <f xml:space="preserve"> _xlfn.XLOOKUP(按鍵設計表[[#This Row],[台語音標]], 注音編碼對照表[台語音標], 注音編碼對照表[十五音], "")</f>
        <v>0</v>
      </c>
      <c r="K36" s="381" t="str">
        <f xml:space="preserve"> _xlfn.XLOOKUP(按鍵設計表[[#This Row],[台語音標]], 注音編碼對照表[台語音標], 注音編碼對照表[注音二式], "")</f>
        <v>p</v>
      </c>
      <c r="L36" s="381" t="str">
        <f xml:space="preserve"> _xlfn.XLOOKUP(按鍵設計表[[#This Row],[台語音標]], 注音編碼對照表[台語音標], 注音編碼對照表[台羅拼音], "")</f>
        <v>p</v>
      </c>
      <c r="M36" s="381" t="str">
        <f xml:space="preserve"> _xlfn.XLOOKUP(按鍵設計表[[#This Row],[台語音標]], 注音編碼對照表[台語音標], 注音編碼對照表[白話字], "")</f>
        <v>p</v>
      </c>
      <c r="N36" s="381" t="str">
        <f xml:space="preserve"> _xlfn.XLOOKUP(按鍵設計表[[#This Row],[台語音標]], 注音編碼對照表[台語音標], 注音編碼對照表[閩拼方案], "")</f>
        <v>p</v>
      </c>
      <c r="O36" s="382" t="s">
        <v>8355</v>
      </c>
      <c r="P36" s="306" t="s">
        <v>90</v>
      </c>
      <c r="Q36" s="306">
        <f>LEN(按鍵設計表[[#This Row],[注音符號]])</f>
        <v>1</v>
      </c>
      <c r="R36" s="264"/>
      <c r="S36" s="265">
        <f t="shared" si="1"/>
        <v>32</v>
      </c>
      <c r="T36" s="249">
        <f t="shared" si="2"/>
        <v>32</v>
      </c>
      <c r="U36" s="183" t="s">
        <v>139</v>
      </c>
      <c r="V36" s="226" t="s">
        <v>79</v>
      </c>
      <c r="W36" s="319" t="s">
        <v>162</v>
      </c>
      <c r="X36" s="226" t="s">
        <v>279</v>
      </c>
      <c r="Y36" s="226" t="s">
        <v>8386</v>
      </c>
      <c r="Z36" s="226" t="s">
        <v>279</v>
      </c>
      <c r="AA36" s="245" t="s">
        <v>8344</v>
      </c>
      <c r="AB36" s="259"/>
      <c r="AC36" s="265"/>
      <c r="AD36" s="48">
        <v>32</v>
      </c>
      <c r="AE36" s="54" t="s">
        <v>136</v>
      </c>
      <c r="AF36" s="56" t="s">
        <v>191</v>
      </c>
      <c r="AG36" s="86" t="s">
        <v>83</v>
      </c>
      <c r="AH36" s="59" t="s">
        <v>160</v>
      </c>
      <c r="AI36" s="177"/>
      <c r="AJ36" s="177"/>
      <c r="AK36" s="177"/>
      <c r="AL36" s="177"/>
    </row>
    <row r="37" spans="2:38" ht="39">
      <c r="B37" s="250">
        <f t="shared" si="0"/>
        <v>33</v>
      </c>
      <c r="C37" s="246" t="s">
        <v>202</v>
      </c>
      <c r="D37" s="381" t="s">
        <v>8628</v>
      </c>
      <c r="E37" s="245" t="s">
        <v>8623</v>
      </c>
      <c r="F37" s="245" t="s">
        <v>330</v>
      </c>
      <c r="G37" s="381" t="str">
        <f xml:space="preserve"> _xlfn.XLOOKUP(按鍵設計表[[#This Row],[台語音標]], 注音編碼對照表[台語音標], 注音編碼對照表[注音符號], "")</f>
        <v>ㆵ</v>
      </c>
      <c r="H37" s="477" t="str">
        <f xml:space="preserve"> _xlfn.XLOOKUP(按鍵設計表[[#This Row],[台語音標]], 注音編碼對照表[台語音標], 注音編碼對照表[漢字例], "")</f>
        <v>叭別</v>
      </c>
      <c r="I37" s="381" t="str">
        <f xml:space="preserve"> _xlfn.XLOOKUP(按鍵設計表[[#This Row],[台語音標]], 注音編碼對照表[台語音標], 注音編碼對照表[聲韻調], "")</f>
        <v>韻尾</v>
      </c>
      <c r="J37" s="245">
        <f xml:space="preserve"> _xlfn.XLOOKUP(按鍵設計表[[#This Row],[台語音標]], 注音編碼對照表[台語音標], 注音編碼對照表[十五音], "")</f>
        <v>0</v>
      </c>
      <c r="K37" s="245" t="str">
        <f xml:space="preserve"> _xlfn.XLOOKUP(按鍵設計表[[#This Row],[台語音標]], 注音編碼對照表[台語音標], 注音編碼對照表[注音二式], "")</f>
        <v>t</v>
      </c>
      <c r="L37" s="245" t="str">
        <f xml:space="preserve"> _xlfn.XLOOKUP(按鍵設計表[[#This Row],[台語音標]], 注音編碼對照表[台語音標], 注音編碼對照表[台羅拼音], "")</f>
        <v>t</v>
      </c>
      <c r="M37" s="245" t="str">
        <f xml:space="preserve"> _xlfn.XLOOKUP(按鍵設計表[[#This Row],[台語音標]], 注音編碼對照表[台語音標], 注音編碼對照表[白話字], "")</f>
        <v>t</v>
      </c>
      <c r="N37" s="245" t="str">
        <f xml:space="preserve"> _xlfn.XLOOKUP(按鍵設計表[[#This Row],[台語音標]], 注音編碼對照表[台語音標], 注音編碼對照表[閩拼方案], "")</f>
        <v>t</v>
      </c>
      <c r="O37" s="259" t="s">
        <v>8353</v>
      </c>
      <c r="P37" s="306" t="s">
        <v>91</v>
      </c>
      <c r="Q37" s="306">
        <f>LEN(按鍵設計表[[#This Row],[注音符號]])</f>
        <v>1</v>
      </c>
      <c r="R37" s="264"/>
      <c r="S37" s="265">
        <f t="shared" ref="S37:S61" si="4">ROW() - 4</f>
        <v>33</v>
      </c>
      <c r="T37" s="249">
        <f t="shared" si="2"/>
        <v>33</v>
      </c>
      <c r="U37" s="183" t="s">
        <v>28</v>
      </c>
      <c r="V37" s="226" t="s">
        <v>35</v>
      </c>
      <c r="W37" s="319" t="s">
        <v>126</v>
      </c>
      <c r="X37" s="226" t="s">
        <v>126</v>
      </c>
      <c r="Y37" s="226" t="s">
        <v>36</v>
      </c>
      <c r="Z37" s="226" t="s">
        <v>126</v>
      </c>
      <c r="AA37" s="245" t="s">
        <v>8344</v>
      </c>
      <c r="AB37" s="259"/>
      <c r="AC37" s="265"/>
      <c r="AD37" s="48">
        <v>33</v>
      </c>
      <c r="AE37" s="54" t="s">
        <v>156</v>
      </c>
      <c r="AF37" s="56" t="s">
        <v>197</v>
      </c>
      <c r="AG37" s="86" t="s">
        <v>145</v>
      </c>
      <c r="AH37" s="59" t="s">
        <v>196</v>
      </c>
      <c r="AI37" s="177"/>
      <c r="AJ37" s="177"/>
      <c r="AK37" s="177"/>
      <c r="AL37" s="177"/>
    </row>
    <row r="38" spans="2:38" ht="39">
      <c r="B38" s="250">
        <f t="shared" si="0"/>
        <v>34</v>
      </c>
      <c r="C38" s="246" t="s">
        <v>22</v>
      </c>
      <c r="D38" s="381" t="s">
        <v>8630</v>
      </c>
      <c r="E38" s="245" t="s">
        <v>229</v>
      </c>
      <c r="F38" s="245" t="s">
        <v>20</v>
      </c>
      <c r="G38" s="245" t="str">
        <f xml:space="preserve"> _xlfn.XLOOKUP(按鍵設計表[[#This Row],[台語音標]], 注音編碼對照表[台語音標], 注音編碼對照表[注音符號], "")</f>
        <v>ㆻ</v>
      </c>
      <c r="H38" s="477" t="str">
        <f xml:space="preserve"> _xlfn.XLOOKUP(按鍵設計表[[#This Row],[台語音標]], 注音編碼對照表[台語音標], 注音編碼對照表[漢字例], "")</f>
        <v>德俗</v>
      </c>
      <c r="I38" s="381" t="str">
        <f xml:space="preserve"> _xlfn.XLOOKUP(按鍵設計表[[#This Row],[台語音標]], 注音編碼對照表[台語音標], 注音編碼對照表[聲韻調], "")</f>
        <v>韻尾</v>
      </c>
      <c r="J38" s="245">
        <f xml:space="preserve"> _xlfn.XLOOKUP(按鍵設計表[[#This Row],[台語音標]], 注音編碼對照表[台語音標], 注音編碼對照表[十五音], "")</f>
        <v>0</v>
      </c>
      <c r="K38" s="245" t="str">
        <f xml:space="preserve"> _xlfn.XLOOKUP(按鍵設計表[[#This Row],[台語音標]], 注音編碼對照表[台語音標], 注音編碼對照表[注音二式], "")</f>
        <v>k</v>
      </c>
      <c r="L38" s="245" t="str">
        <f xml:space="preserve"> _xlfn.XLOOKUP(按鍵設計表[[#This Row],[台語音標]], 注音編碼對照表[台語音標], 注音編碼對照表[台羅拼音], "")</f>
        <v>k</v>
      </c>
      <c r="M38" s="245" t="str">
        <f xml:space="preserve"> _xlfn.XLOOKUP(按鍵設計表[[#This Row],[台語音標]], 注音編碼對照表[台語音標], 注音編碼對照表[白話字], "")</f>
        <v>k</v>
      </c>
      <c r="N38" s="245" t="str">
        <f xml:space="preserve"> _xlfn.XLOOKUP(按鍵設計表[[#This Row],[台語音標]], 注音編碼對照表[台語音標], 注音編碼對照表[閩拼方案], "")</f>
        <v>k</v>
      </c>
      <c r="O38" s="259" t="s">
        <v>8354</v>
      </c>
      <c r="P38" s="306" t="s">
        <v>92</v>
      </c>
      <c r="Q38" s="306">
        <f>LEN(按鍵設計表[[#This Row],[注音符號]])</f>
        <v>1</v>
      </c>
      <c r="R38" s="264"/>
      <c r="S38" s="265">
        <f t="shared" si="4"/>
        <v>34</v>
      </c>
      <c r="T38" s="249">
        <f t="shared" si="2"/>
        <v>34</v>
      </c>
      <c r="U38" s="183" t="s">
        <v>218</v>
      </c>
      <c r="V38" s="226" t="s">
        <v>80</v>
      </c>
      <c r="W38" s="319" t="s">
        <v>153</v>
      </c>
      <c r="X38" s="226" t="s">
        <v>281</v>
      </c>
      <c r="Y38" s="226" t="s">
        <v>8387</v>
      </c>
      <c r="Z38" s="226" t="s">
        <v>281</v>
      </c>
      <c r="AA38" s="245" t="s">
        <v>8344</v>
      </c>
      <c r="AB38" s="259"/>
      <c r="AC38" s="265"/>
      <c r="AD38" s="48">
        <v>34</v>
      </c>
      <c r="AE38" s="54" t="s">
        <v>144</v>
      </c>
      <c r="AF38" s="56" t="s">
        <v>313</v>
      </c>
      <c r="AG38" s="86" t="s">
        <v>82</v>
      </c>
      <c r="AH38" s="59" t="s">
        <v>159</v>
      </c>
      <c r="AI38" s="177"/>
      <c r="AJ38" s="177"/>
      <c r="AK38" s="177"/>
      <c r="AL38" s="177"/>
    </row>
    <row r="39" spans="2:38" ht="39.75" thickBot="1">
      <c r="B39" s="408">
        <f t="shared" si="0"/>
        <v>35</v>
      </c>
      <c r="C39" s="409" t="s">
        <v>216</v>
      </c>
      <c r="D39" s="392" t="s">
        <v>8630</v>
      </c>
      <c r="E39" s="410" t="s">
        <v>8624</v>
      </c>
      <c r="F39" s="410" t="s">
        <v>32</v>
      </c>
      <c r="G39" s="410" t="str">
        <f xml:space="preserve"> _xlfn.XLOOKUP(按鍵設計表[[#This Row],[台語音標]], 注音編碼對照表[台語音標], 注音編碼對照表[注音符號], "")</f>
        <v>ㆻ</v>
      </c>
      <c r="H39" s="478" t="str">
        <f xml:space="preserve"> _xlfn.XLOOKUP(按鍵設計表[[#This Row],[台語音標]], 注音編碼對照表[台語音標], 注音編碼對照表[漢字例], "")</f>
        <v>德俗</v>
      </c>
      <c r="I39" s="392" t="str">
        <f xml:space="preserve"> _xlfn.XLOOKUP(按鍵設計表[[#This Row],[台語音標]], 注音編碼對照表[台語音標], 注音編碼對照表[聲韻調], "")</f>
        <v>韻尾</v>
      </c>
      <c r="J39" s="410">
        <f xml:space="preserve"> _xlfn.XLOOKUP(按鍵設計表[[#This Row],[台語音標]], 注音編碼對照表[台語音標], 注音編碼對照表[十五音], "")</f>
        <v>0</v>
      </c>
      <c r="K39" s="410" t="str">
        <f xml:space="preserve"> _xlfn.XLOOKUP(按鍵設計表[[#This Row],[台語音標]], 注音編碼對照表[台語音標], 注音編碼對照表[注音二式], "")</f>
        <v>k</v>
      </c>
      <c r="L39" s="410" t="str">
        <f xml:space="preserve"> _xlfn.XLOOKUP(按鍵設計表[[#This Row],[台語音標]], 注音編碼對照表[台語音標], 注音編碼對照表[台羅拼音], "")</f>
        <v>k</v>
      </c>
      <c r="M39" s="410" t="str">
        <f xml:space="preserve"> _xlfn.XLOOKUP(按鍵設計表[[#This Row],[台語音標]], 注音編碼對照表[台語音標], 注音編碼對照表[白話字], "")</f>
        <v>k</v>
      </c>
      <c r="N39" s="410" t="str">
        <f xml:space="preserve"> _xlfn.XLOOKUP(按鍵設計表[[#This Row],[台語音標]], 注音編碼對照表[台語音標], 注音編碼對照表[閩拼方案], "")</f>
        <v>k</v>
      </c>
      <c r="O39" s="411" t="s">
        <v>8356</v>
      </c>
      <c r="P39" s="306" t="s">
        <v>93</v>
      </c>
      <c r="Q39" s="306">
        <f>LEN(按鍵設計表[[#This Row],[注音符號]])</f>
        <v>1</v>
      </c>
      <c r="R39" s="264"/>
      <c r="S39" s="265">
        <f t="shared" si="4"/>
        <v>35</v>
      </c>
      <c r="T39" s="249">
        <f t="shared" si="2"/>
        <v>35</v>
      </c>
      <c r="U39" s="183" t="s">
        <v>96</v>
      </c>
      <c r="V39" s="226" t="s">
        <v>98</v>
      </c>
      <c r="W39" s="319" t="s">
        <v>283</v>
      </c>
      <c r="X39" s="226" t="s">
        <v>96</v>
      </c>
      <c r="Y39" s="226" t="s">
        <v>55</v>
      </c>
      <c r="Z39" s="226" t="s">
        <v>96</v>
      </c>
      <c r="AA39" s="245" t="s">
        <v>8344</v>
      </c>
      <c r="AB39" s="259"/>
      <c r="AC39" s="265"/>
      <c r="AD39" s="48">
        <v>35</v>
      </c>
      <c r="AE39" s="54" t="s">
        <v>57</v>
      </c>
      <c r="AF39" s="56" t="s">
        <v>323</v>
      </c>
      <c r="AG39" s="86" t="s">
        <v>47</v>
      </c>
      <c r="AH39" s="59" t="s">
        <v>193</v>
      </c>
      <c r="AI39" s="177"/>
      <c r="AJ39" s="177"/>
      <c r="AK39" s="177"/>
      <c r="AL39" s="177"/>
    </row>
    <row r="40" spans="2:38" ht="43.5">
      <c r="B40" s="383">
        <f t="shared" si="0"/>
        <v>36</v>
      </c>
      <c r="C40" s="384" t="s">
        <v>8608</v>
      </c>
      <c r="D40" s="381" t="s">
        <v>196</v>
      </c>
      <c r="E40" s="381" t="s">
        <v>162</v>
      </c>
      <c r="F40" s="381" t="s">
        <v>162</v>
      </c>
      <c r="G40" s="381" t="str">
        <f xml:space="preserve"> _xlfn.XLOOKUP(按鍵設計表[[#This Row],[台語音標]], 注音編碼對照表[台語音標], 注音編碼對照表[注音符號], "")</f>
        <v>ㄞ</v>
      </c>
      <c r="H40" s="437" t="str">
        <f xml:space="preserve"> _xlfn.XLOOKUP(按鍵設計表[[#This Row],[台語音標]], 注音編碼對照表[台語音標], 注音編碼對照表[漢字例], "")</f>
        <v>哀</v>
      </c>
      <c r="I40" s="381" t="str">
        <f xml:space="preserve"> _xlfn.XLOOKUP(按鍵設計表[[#This Row],[台語音標]], 注音編碼對照表[台語音標], 注音編碼對照表[聲韻調], "")</f>
        <v>韻</v>
      </c>
      <c r="J40" s="381" t="str">
        <f xml:space="preserve"> _xlfn.XLOOKUP(按鍵設計表[[#This Row],[台語音標]], 注音編碼對照表[台語音標], 注音編碼對照表[十五音], "")</f>
        <v>皆</v>
      </c>
      <c r="K40" s="381" t="str">
        <f xml:space="preserve"> _xlfn.XLOOKUP(按鍵設計表[[#This Row],[台語音標]], 注音編碼對照表[台語音標], 注音編碼對照表[注音二式], "")</f>
        <v>ai</v>
      </c>
      <c r="L40" s="381" t="str">
        <f xml:space="preserve"> _xlfn.XLOOKUP(按鍵設計表[[#This Row],[台語音標]], 注音編碼對照表[台語音標], 注音編碼對照表[台羅拼音], "")</f>
        <v>ai</v>
      </c>
      <c r="M40" s="381" t="str">
        <f xml:space="preserve"> _xlfn.XLOOKUP(按鍵設計表[[#This Row],[台語音標]], 注音編碼對照表[台語音標], 注音編碼對照表[白話字], "")</f>
        <v>ai</v>
      </c>
      <c r="N40" s="381" t="str">
        <f xml:space="preserve"> _xlfn.XLOOKUP(按鍵設計表[[#This Row],[台語音標]], 注音編碼對照表[台語音標], 注音編碼對照表[閩拼方案], "")</f>
        <v>ai</v>
      </c>
      <c r="O40" s="382"/>
      <c r="P40" s="306">
        <f xml:space="preserve"> _xlfn.UNICODE(P36)</f>
        <v>12724</v>
      </c>
      <c r="Q40" s="306">
        <f>LEN(按鍵設計表[[#This Row],[注音符號]])</f>
        <v>1</v>
      </c>
      <c r="R40" s="264"/>
      <c r="S40" s="265">
        <f t="shared" si="4"/>
        <v>36</v>
      </c>
      <c r="T40" s="249">
        <f t="shared" si="2"/>
        <v>36</v>
      </c>
      <c r="U40" s="183" t="s">
        <v>283</v>
      </c>
      <c r="V40" s="226" t="s">
        <v>68</v>
      </c>
      <c r="W40" s="319" t="s">
        <v>314</v>
      </c>
      <c r="X40" s="226" t="s">
        <v>131</v>
      </c>
      <c r="Y40" s="226" t="s">
        <v>69</v>
      </c>
      <c r="Z40" s="226" t="s">
        <v>131</v>
      </c>
      <c r="AA40" s="245" t="s">
        <v>8344</v>
      </c>
      <c r="AB40" s="259" t="s">
        <v>8610</v>
      </c>
      <c r="AC40" s="265"/>
      <c r="AD40" s="48">
        <v>36</v>
      </c>
      <c r="AE40" s="54" t="s">
        <v>140</v>
      </c>
      <c r="AF40" s="56" t="s">
        <v>255</v>
      </c>
      <c r="AG40" s="86" t="s">
        <v>86</v>
      </c>
      <c r="AH40" s="59" t="s">
        <v>157</v>
      </c>
      <c r="AI40" s="177"/>
      <c r="AJ40" s="177"/>
      <c r="AK40" s="177"/>
      <c r="AL40" s="177"/>
    </row>
    <row r="41" spans="2:38" ht="43.5">
      <c r="B41" s="250">
        <f t="shared" si="3"/>
        <v>37</v>
      </c>
      <c r="C41" s="246" t="s">
        <v>273</v>
      </c>
      <c r="D41" s="381" t="s">
        <v>193</v>
      </c>
      <c r="E41" s="245" t="s">
        <v>153</v>
      </c>
      <c r="F41" s="245" t="s">
        <v>153</v>
      </c>
      <c r="G41" s="245" t="str">
        <f xml:space="preserve"> _xlfn.XLOOKUP(按鍵設計表[[#This Row],[台語音標]], 注音編碼對照表[台語音標], 注音編碼對照表[注音符號], "")</f>
        <v>ㄠ</v>
      </c>
      <c r="H41" s="434" t="str">
        <f xml:space="preserve"> _xlfn.XLOOKUP(按鍵設計表[[#This Row],[台語音標]], 注音編碼對照表[台語音標], 注音編碼對照表[漢字例], "")</f>
        <v>甌</v>
      </c>
      <c r="I41" s="381" t="str">
        <f xml:space="preserve"> _xlfn.XLOOKUP(按鍵設計表[[#This Row],[台語音標]], 注音編碼對照表[台語音標], 注音編碼對照表[聲韻調], "")</f>
        <v>韻</v>
      </c>
      <c r="J41" s="245" t="str">
        <f xml:space="preserve"> _xlfn.XLOOKUP(按鍵設計表[[#This Row],[台語音標]], 注音編碼對照表[台語音標], 注音編碼對照表[十五音], "")</f>
        <v>交</v>
      </c>
      <c r="K41" s="245" t="str">
        <f xml:space="preserve"> _xlfn.XLOOKUP(按鍵設計表[[#This Row],[台語音標]], 注音編碼對照表[台語音標], 注音編碼對照表[注音二式], "")</f>
        <v>au</v>
      </c>
      <c r="L41" s="245" t="str">
        <f xml:space="preserve"> _xlfn.XLOOKUP(按鍵設計表[[#This Row],[台語音標]], 注音編碼對照表[台語音標], 注音編碼對照表[台羅拼音], "")</f>
        <v>au</v>
      </c>
      <c r="M41" s="245" t="str">
        <f xml:space="preserve"> _xlfn.XLOOKUP(按鍵設計表[[#This Row],[台語音標]], 注音編碼對照表[台語音標], 注音編碼對照表[白話字], "")</f>
        <v>au</v>
      </c>
      <c r="N41" s="245" t="str">
        <f xml:space="preserve"> _xlfn.XLOOKUP(按鍵設計表[[#This Row],[台語音標]], 注音編碼對照表[台語音標], 注音編碼對照表[閩拼方案], "")</f>
        <v>ao</v>
      </c>
      <c r="O41" s="259"/>
      <c r="P41" s="306">
        <f xml:space="preserve"> _xlfn.UNICODE(G36)</f>
        <v>12724</v>
      </c>
      <c r="Q41" s="306">
        <f>LEN(按鍵設計表[[#This Row],[注音符號]])</f>
        <v>1</v>
      </c>
      <c r="R41" s="264"/>
      <c r="S41" s="265">
        <f t="shared" si="4"/>
        <v>37</v>
      </c>
      <c r="T41" s="249">
        <f t="shared" si="2"/>
        <v>37</v>
      </c>
      <c r="U41" s="183" t="s">
        <v>324</v>
      </c>
      <c r="V41" s="226" t="s">
        <v>37</v>
      </c>
      <c r="W41" s="319" t="s">
        <v>208</v>
      </c>
      <c r="X41" s="226" t="s">
        <v>208</v>
      </c>
      <c r="Y41" s="226" t="s">
        <v>38</v>
      </c>
      <c r="Z41" s="226" t="s">
        <v>208</v>
      </c>
      <c r="AA41" s="245" t="s">
        <v>8344</v>
      </c>
      <c r="AB41" s="259"/>
      <c r="AC41" s="265"/>
      <c r="AD41" s="48">
        <v>37</v>
      </c>
      <c r="AE41" s="54" t="s">
        <v>135</v>
      </c>
      <c r="AF41" s="56" t="s">
        <v>335</v>
      </c>
      <c r="AG41" s="86" t="s">
        <v>66</v>
      </c>
      <c r="AH41" s="59" t="s">
        <v>115</v>
      </c>
      <c r="AI41" s="177"/>
      <c r="AJ41" s="177"/>
      <c r="AK41" s="177"/>
      <c r="AL41" s="177"/>
    </row>
    <row r="42" spans="2:38" ht="43.5">
      <c r="B42" s="250">
        <f t="shared" si="0"/>
        <v>38</v>
      </c>
      <c r="C42" s="246" t="s">
        <v>8419</v>
      </c>
      <c r="D42" s="381" t="s">
        <v>131</v>
      </c>
      <c r="E42" s="245" t="s">
        <v>222</v>
      </c>
      <c r="F42" s="245" t="s">
        <v>8505</v>
      </c>
      <c r="G42" s="245" t="str">
        <f xml:space="preserve"> _xlfn.XLOOKUP(按鍵設計表[[#This Row],[台語音標]], 注音編碼對照表[台語音標], 注音編碼對照表[注音符號], "")</f>
        <v>ㆰ</v>
      </c>
      <c r="H42" s="434" t="str">
        <f xml:space="preserve"> _xlfn.XLOOKUP(按鍵設計表[[#This Row],[台語音標]], 注音編碼對照表[台語音標], 注音編碼對照表[漢字例], "")</f>
        <v>庵</v>
      </c>
      <c r="I42" s="381" t="str">
        <f xml:space="preserve"> _xlfn.XLOOKUP(按鍵設計表[[#This Row],[台語音標]], 注音編碼對照表[台語音標], 注音編碼對照表[聲韻調], "")</f>
        <v>韻</v>
      </c>
      <c r="J42" s="245" t="str">
        <f xml:space="preserve"> _xlfn.XLOOKUP(按鍵設計表[[#This Row],[台語音標]], 注音編碼對照表[台語音標], 注音編碼對照表[十五音], "")</f>
        <v>甘</v>
      </c>
      <c r="K42" s="245" t="str">
        <f xml:space="preserve"> _xlfn.XLOOKUP(按鍵設計表[[#This Row],[台語音標]], 注音編碼對照表[台語音標], 注音編碼對照表[注音二式], "")</f>
        <v>am</v>
      </c>
      <c r="L42" s="245" t="str">
        <f xml:space="preserve"> _xlfn.XLOOKUP(按鍵設計表[[#This Row],[台語音標]], 注音編碼對照表[台語音標], 注音編碼對照表[台羅拼音], "")</f>
        <v>am</v>
      </c>
      <c r="M42" s="245" t="str">
        <f xml:space="preserve"> _xlfn.XLOOKUP(按鍵設計表[[#This Row],[台語音標]], 注音編碼對照表[台語音標], 注音編碼對照表[白話字], "")</f>
        <v>am</v>
      </c>
      <c r="N42" s="245" t="str">
        <f xml:space="preserve"> _xlfn.XLOOKUP(按鍵設計表[[#This Row],[台語音標]], 注音編碼對照表[台語音標], 注音編碼對照表[閩拼方案], "")</f>
        <v>am</v>
      </c>
      <c r="O42" s="259" t="s">
        <v>8363</v>
      </c>
      <c r="P42" s="306">
        <f xml:space="preserve"> _xlfn.UNICODE(G6)</f>
        <v>12549</v>
      </c>
      <c r="Q42" s="306">
        <f>LEN(按鍵設計表[[#This Row],[注音符號]])</f>
        <v>1</v>
      </c>
      <c r="R42" s="264"/>
      <c r="S42" s="265">
        <f t="shared" si="4"/>
        <v>38</v>
      </c>
      <c r="T42" s="249">
        <f t="shared" si="2"/>
        <v>38</v>
      </c>
      <c r="U42" s="183" t="s">
        <v>270</v>
      </c>
      <c r="V42" s="226" t="s">
        <v>81</v>
      </c>
      <c r="W42" s="319" t="s">
        <v>333</v>
      </c>
      <c r="X42" s="226" t="s">
        <v>163</v>
      </c>
      <c r="Y42" s="226" t="s">
        <v>8388</v>
      </c>
      <c r="Z42" s="226" t="s">
        <v>163</v>
      </c>
      <c r="AA42" s="245" t="s">
        <v>8344</v>
      </c>
      <c r="AB42" s="259"/>
      <c r="AC42" s="265"/>
      <c r="AD42" s="48">
        <v>38</v>
      </c>
      <c r="AE42" s="54" t="s">
        <v>134</v>
      </c>
      <c r="AF42" s="56" t="s">
        <v>315</v>
      </c>
      <c r="AG42" s="86" t="s">
        <v>50</v>
      </c>
      <c r="AH42" s="59" t="s">
        <v>8328</v>
      </c>
      <c r="AI42" s="177"/>
      <c r="AJ42" s="177"/>
      <c r="AK42" s="177"/>
      <c r="AL42" s="177"/>
    </row>
    <row r="43" spans="2:38" ht="43.5">
      <c r="B43" s="250">
        <f t="shared" si="3"/>
        <v>39</v>
      </c>
      <c r="C43" s="246" t="s">
        <v>8609</v>
      </c>
      <c r="D43" s="381" t="s">
        <v>115</v>
      </c>
      <c r="E43" s="245" t="s">
        <v>233</v>
      </c>
      <c r="F43" s="245" t="s">
        <v>8506</v>
      </c>
      <c r="G43" s="245" t="str">
        <f xml:space="preserve"> _xlfn.XLOOKUP(按鍵設計表[[#This Row],[台語音標]], 注音編碼對照表[台語音標], 注音編碼對照表[注音符號], "")</f>
        <v>ㄢ</v>
      </c>
      <c r="H43" s="434" t="str">
        <f xml:space="preserve"> _xlfn.XLOOKUP(按鍵設計表[[#This Row],[台語音標]], 注音編碼對照表[台語音標], 注音編碼對照表[漢字例], "")</f>
        <v>安</v>
      </c>
      <c r="I43" s="381" t="str">
        <f xml:space="preserve"> _xlfn.XLOOKUP(按鍵設計表[[#This Row],[台語音標]], 注音編碼對照表[台語音標], 注音編碼對照表[聲韻調], "")</f>
        <v>韻</v>
      </c>
      <c r="J43" s="245" t="str">
        <f xml:space="preserve"> _xlfn.XLOOKUP(按鍵設計表[[#This Row],[台語音標]], 注音編碼對照表[台語音標], 注音編碼對照表[十五音], "")</f>
        <v>干</v>
      </c>
      <c r="K43" s="245" t="str">
        <f xml:space="preserve"> _xlfn.XLOOKUP(按鍵設計表[[#This Row],[台語音標]], 注音編碼對照表[台語音標], 注音編碼對照表[注音二式], "")</f>
        <v>an</v>
      </c>
      <c r="L43" s="245" t="str">
        <f xml:space="preserve"> _xlfn.XLOOKUP(按鍵設計表[[#This Row],[台語音標]], 注音編碼對照表[台語音標], 注音編碼對照表[台羅拼音], "")</f>
        <v>an</v>
      </c>
      <c r="M43" s="245" t="str">
        <f xml:space="preserve"> _xlfn.XLOOKUP(按鍵設計表[[#This Row],[台語音標]], 注音編碼對照表[台語音標], 注音編碼對照表[白話字], "")</f>
        <v>an</v>
      </c>
      <c r="N43" s="245" t="str">
        <f xml:space="preserve"> _xlfn.XLOOKUP(按鍵設計表[[#This Row],[台語音標]], 注音編碼對照表[台語音標], 注音編碼對照表[閩拼方案], "")</f>
        <v>an</v>
      </c>
      <c r="O43" s="259"/>
      <c r="P43" s="306"/>
      <c r="Q43" s="306">
        <f>LEN(按鍵設計表[[#This Row],[注音符號]])</f>
        <v>1</v>
      </c>
      <c r="R43" s="264"/>
      <c r="S43" s="265">
        <f t="shared" si="4"/>
        <v>39</v>
      </c>
      <c r="T43" s="249">
        <f t="shared" si="2"/>
        <v>39</v>
      </c>
      <c r="U43" s="183" t="s">
        <v>34</v>
      </c>
      <c r="V43" s="226" t="s">
        <v>43</v>
      </c>
      <c r="W43" s="319" t="s">
        <v>158</v>
      </c>
      <c r="X43" s="226" t="s">
        <v>205</v>
      </c>
      <c r="Y43" s="226" t="s">
        <v>44</v>
      </c>
      <c r="Z43" s="226" t="s">
        <v>205</v>
      </c>
      <c r="AA43" s="245" t="s">
        <v>8344</v>
      </c>
      <c r="AB43" s="259"/>
      <c r="AC43" s="265"/>
      <c r="AD43" s="48">
        <v>39</v>
      </c>
      <c r="AE43" s="54" t="s">
        <v>132</v>
      </c>
      <c r="AF43" s="56" t="s">
        <v>95</v>
      </c>
      <c r="AG43" s="86" t="s">
        <v>64</v>
      </c>
      <c r="AH43" s="59" t="s">
        <v>107</v>
      </c>
      <c r="AI43" s="177"/>
      <c r="AJ43" s="177"/>
      <c r="AK43" s="177"/>
      <c r="AL43" s="177"/>
    </row>
    <row r="44" spans="2:38" ht="43.5">
      <c r="B44" s="250">
        <f t="shared" si="3"/>
        <v>40</v>
      </c>
      <c r="C44" s="246" t="s">
        <v>278</v>
      </c>
      <c r="D44" s="381" t="s">
        <v>107</v>
      </c>
      <c r="E44" s="245" t="s">
        <v>232</v>
      </c>
      <c r="F44" s="245" t="s">
        <v>310</v>
      </c>
      <c r="G44" s="245" t="str">
        <f xml:space="preserve"> _xlfn.XLOOKUP(按鍵設計表[[#This Row],[台語音標]], 注音編碼對照表[台語音標], 注音編碼對照表[注音符號], "")</f>
        <v>ㄤ</v>
      </c>
      <c r="H44" s="434" t="str">
        <f xml:space="preserve"> _xlfn.XLOOKUP(按鍵設計表[[#This Row],[台語音標]], 注音編碼對照表[台語音標], 注音編碼對照表[漢字例], "")</f>
        <v>尪</v>
      </c>
      <c r="I44" s="381" t="str">
        <f xml:space="preserve"> _xlfn.XLOOKUP(按鍵設計表[[#This Row],[台語音標]], 注音編碼對照表[台語音標], 注音編碼對照表[聲韻調], "")</f>
        <v>韻</v>
      </c>
      <c r="J44" s="245" t="str">
        <f xml:space="preserve"> _xlfn.XLOOKUP(按鍵設計表[[#This Row],[台語音標]], 注音編碼對照表[台語音標], 注音編碼對照表[十五音], "")</f>
        <v>江</v>
      </c>
      <c r="K44" s="245" t="str">
        <f xml:space="preserve"> _xlfn.XLOOKUP(按鍵設計表[[#This Row],[台語音標]], 注音編碼對照表[台語音標], 注音編碼對照表[注音二式], "")</f>
        <v>ang</v>
      </c>
      <c r="L44" s="245" t="str">
        <f xml:space="preserve"> _xlfn.XLOOKUP(按鍵設計表[[#This Row],[台語音標]], 注音編碼對照表[台語音標], 注音編碼對照表[台羅拼音], "")</f>
        <v>ang</v>
      </c>
      <c r="M44" s="245" t="str">
        <f xml:space="preserve"> _xlfn.XLOOKUP(按鍵設計表[[#This Row],[台語音標]], 注音編碼對照表[台語音標], 注音編碼對照表[白話字], "")</f>
        <v>ang</v>
      </c>
      <c r="N44" s="245" t="str">
        <f xml:space="preserve"> _xlfn.XLOOKUP(按鍵設計表[[#This Row],[台語音標]], 注音編碼對照表[台語音標], 注音編碼對照表[閩拼方案], "")</f>
        <v>ang</v>
      </c>
      <c r="O44" s="259"/>
      <c r="P44" s="306"/>
      <c r="Q44" s="306">
        <f>LEN(按鍵設計表[[#This Row],[注音符號]])</f>
        <v>1</v>
      </c>
      <c r="R44" s="264"/>
      <c r="S44" s="265">
        <f t="shared" si="4"/>
        <v>40</v>
      </c>
      <c r="T44" s="249">
        <f t="shared" si="2"/>
        <v>40</v>
      </c>
      <c r="U44" s="183" t="s">
        <v>143</v>
      </c>
      <c r="V44" s="226" t="s">
        <v>85</v>
      </c>
      <c r="W44" s="319" t="s">
        <v>304</v>
      </c>
      <c r="X44" s="226" t="s">
        <v>516</v>
      </c>
      <c r="Y44" s="226" t="s">
        <v>8389</v>
      </c>
      <c r="Z44" s="226" t="s">
        <v>161</v>
      </c>
      <c r="AA44" s="245" t="s">
        <v>8344</v>
      </c>
      <c r="AB44" s="259"/>
      <c r="AC44" s="265"/>
      <c r="AD44" s="48">
        <v>40</v>
      </c>
      <c r="AE44" s="54" t="s">
        <v>127</v>
      </c>
      <c r="AF44" s="56" t="s">
        <v>306</v>
      </c>
      <c r="AG44" s="86" t="s">
        <v>325</v>
      </c>
      <c r="AH44" s="59" t="s">
        <v>282</v>
      </c>
      <c r="AI44" s="177"/>
      <c r="AJ44" s="177"/>
      <c r="AK44" s="177"/>
      <c r="AL44" s="177"/>
    </row>
    <row r="45" spans="2:38" ht="43.5">
      <c r="B45" s="250">
        <f t="shared" si="3"/>
        <v>41</v>
      </c>
      <c r="C45" s="246" t="s">
        <v>45</v>
      </c>
      <c r="D45" s="381" t="s">
        <v>130</v>
      </c>
      <c r="E45" s="245" t="s">
        <v>235</v>
      </c>
      <c r="F45" s="245" t="s">
        <v>8507</v>
      </c>
      <c r="G45" s="245" t="str">
        <f xml:space="preserve"> _xlfn.XLOOKUP(按鍵設計表[[#This Row],[台語音標]], 注音編碼對照表[台語音標], 注音編碼對照表[注音符號], "")</f>
        <v>ㆱ</v>
      </c>
      <c r="H45" s="434" t="str">
        <f xml:space="preserve"> _xlfn.XLOOKUP(按鍵設計表[[#This Row],[台語音標]], 注音編碼對照表[台語音標], 注音編碼對照表[漢字例], "")</f>
        <v>丼</v>
      </c>
      <c r="I45" s="381" t="str">
        <f xml:space="preserve"> _xlfn.XLOOKUP(按鍵設計表[[#This Row],[台語音標]], 注音編碼對照表[台語音標], 注音編碼對照表[聲韻調], "")</f>
        <v>韻</v>
      </c>
      <c r="J45" s="245" t="str">
        <f xml:space="preserve"> _xlfn.XLOOKUP(按鍵設計表[[#This Row],[台語音標]], 注音編碼對照表[台語音標], 注音編碼對照表[十五音], "")</f>
        <v>箴</v>
      </c>
      <c r="K45" s="245" t="str">
        <f xml:space="preserve"> _xlfn.XLOOKUP(按鍵設計表[[#This Row],[台語音標]], 注音編碼對照表[台語音標], 注音編碼對照表[注音二式], "")</f>
        <v>om</v>
      </c>
      <c r="L45" s="245" t="str">
        <f xml:space="preserve"> _xlfn.XLOOKUP(按鍵設計表[[#This Row],[台語音標]], 注音編碼對照表[台語音標], 注音編碼對照表[台羅拼音], "")</f>
        <v>om</v>
      </c>
      <c r="M45" s="245" t="str">
        <f xml:space="preserve"> _xlfn.XLOOKUP(按鍵設計表[[#This Row],[台語音標]], 注音編碼對照表[台語音標], 注音編碼對照表[白話字], "")</f>
        <v>om</v>
      </c>
      <c r="N45" s="245" t="str">
        <f xml:space="preserve"> _xlfn.XLOOKUP(按鍵設計表[[#This Row],[台語音標]], 注音編碼對照表[台語音標], 注音編碼對照表[閩拼方案], "")</f>
        <v>-</v>
      </c>
      <c r="O45" s="259" t="s">
        <v>8363</v>
      </c>
      <c r="P45" s="306"/>
      <c r="Q45" s="306">
        <f>LEN(按鍵設計表[[#This Row],[注音符號]])</f>
        <v>1</v>
      </c>
      <c r="R45" s="264"/>
      <c r="S45" s="265">
        <f t="shared" si="4"/>
        <v>41</v>
      </c>
      <c r="T45" s="249">
        <f t="shared" si="2"/>
        <v>41</v>
      </c>
      <c r="U45" s="183" t="s">
        <v>190</v>
      </c>
      <c r="V45" s="226" t="s">
        <v>266</v>
      </c>
      <c r="W45" s="319" t="s">
        <v>41</v>
      </c>
      <c r="X45" s="226" t="s">
        <v>517</v>
      </c>
      <c r="Y45" s="226" t="s">
        <v>42</v>
      </c>
      <c r="Z45" s="226" t="s">
        <v>41</v>
      </c>
      <c r="AA45" s="245" t="s">
        <v>8344</v>
      </c>
      <c r="AB45" s="259"/>
      <c r="AC45" s="265"/>
      <c r="AD45" s="48">
        <v>41</v>
      </c>
      <c r="AE45" s="54" t="s">
        <v>519</v>
      </c>
      <c r="AF45" s="56" t="s">
        <v>519</v>
      </c>
      <c r="AG45" s="86" t="s">
        <v>68</v>
      </c>
      <c r="AH45" s="59" t="s">
        <v>131</v>
      </c>
      <c r="AI45" s="177"/>
      <c r="AJ45" s="177"/>
      <c r="AK45" s="177"/>
      <c r="AL45" s="177"/>
    </row>
    <row r="46" spans="2:38" ht="44.25" thickBot="1">
      <c r="B46" s="408">
        <f t="shared" si="3"/>
        <v>42</v>
      </c>
      <c r="C46" s="409" t="s">
        <v>42</v>
      </c>
      <c r="D46" s="392" t="s">
        <v>106</v>
      </c>
      <c r="E46" s="410" t="s">
        <v>223</v>
      </c>
      <c r="F46" s="410" t="s">
        <v>8508</v>
      </c>
      <c r="G46" s="410" t="str">
        <f xml:space="preserve"> _xlfn.XLOOKUP(按鍵設計表[[#This Row],[台語音標]], 注音編碼對照表[台語音標], 注音編碼對照表[注音符號], "")</f>
        <v>ㆲ</v>
      </c>
      <c r="H46" s="435" t="str">
        <f xml:space="preserve"> _xlfn.XLOOKUP(按鍵設計表[[#This Row],[台語音標]], 注音編碼對照表[台語音標], 注音編碼對照表[漢字例], "")</f>
        <v>汪</v>
      </c>
      <c r="I46" s="392" t="str">
        <f xml:space="preserve"> _xlfn.XLOOKUP(按鍵設計表[[#This Row],[台語音標]], 注音編碼對照表[台語音標], 注音編碼對照表[聲韻調], "")</f>
        <v>韻</v>
      </c>
      <c r="J46" s="410" t="str">
        <f xml:space="preserve"> _xlfn.XLOOKUP(按鍵設計表[[#This Row],[台語音標]], 注音編碼對照表[台語音標], 注音編碼對照表[十五音], "")</f>
        <v>公</v>
      </c>
      <c r="K46" s="410" t="str">
        <f xml:space="preserve"> _xlfn.XLOOKUP(按鍵設計表[[#This Row],[台語音標]], 注音編碼對照表[台語音標], 注音編碼對照表[注音二式], "")</f>
        <v>ong</v>
      </c>
      <c r="L46" s="410" t="str">
        <f xml:space="preserve"> _xlfn.XLOOKUP(按鍵設計表[[#This Row],[台語音標]], 注音編碼對照表[台語音標], 注音編碼對照表[台羅拼音], "")</f>
        <v>ong</v>
      </c>
      <c r="M46" s="410" t="str">
        <f xml:space="preserve"> _xlfn.XLOOKUP(按鍵設計表[[#This Row],[台語音標]], 注音編碼對照表[台語音標], 注音編碼對照表[白話字], "")</f>
        <v>ong</v>
      </c>
      <c r="N46" s="410" t="str">
        <f xml:space="preserve"> _xlfn.XLOOKUP(按鍵設計表[[#This Row],[台語音標]], 注音編碼對照表[台語音標], 注音編碼對照表[閩拼方案], "")</f>
        <v>ong</v>
      </c>
      <c r="O46" s="411" t="s">
        <v>8362</v>
      </c>
      <c r="P46" s="306"/>
      <c r="Q46" s="306">
        <f>LEN(按鍵設計表[[#This Row],[注音符號]])</f>
        <v>1</v>
      </c>
      <c r="R46" s="264"/>
      <c r="S46" s="265">
        <f t="shared" si="4"/>
        <v>42</v>
      </c>
      <c r="T46" s="249">
        <f t="shared" si="2"/>
        <v>42</v>
      </c>
      <c r="U46" s="183" t="s">
        <v>187</v>
      </c>
      <c r="V46" s="226" t="s">
        <v>325</v>
      </c>
      <c r="W46" s="319" t="s">
        <v>306</v>
      </c>
      <c r="X46" s="226" t="s">
        <v>282</v>
      </c>
      <c r="Y46" s="226" t="s">
        <v>8390</v>
      </c>
      <c r="Z46" s="226" t="s">
        <v>282</v>
      </c>
      <c r="AA46" s="245" t="s">
        <v>8347</v>
      </c>
      <c r="AB46" s="259"/>
      <c r="AC46" s="265"/>
      <c r="AD46" s="48">
        <v>42</v>
      </c>
      <c r="AE46" s="54" t="s">
        <v>336</v>
      </c>
      <c r="AF46" s="56" t="s">
        <v>336</v>
      </c>
      <c r="AG46" s="86" t="s">
        <v>87</v>
      </c>
      <c r="AH46" s="59" t="s">
        <v>130</v>
      </c>
      <c r="AI46" s="177"/>
      <c r="AJ46" s="177"/>
      <c r="AK46" s="177"/>
      <c r="AL46" s="177"/>
    </row>
    <row r="47" spans="2:38" ht="43.5">
      <c r="B47" s="383">
        <f t="shared" si="0"/>
        <v>43</v>
      </c>
      <c r="C47" s="384" t="s">
        <v>270</v>
      </c>
      <c r="D47" s="381" t="s">
        <v>163</v>
      </c>
      <c r="E47" s="381" t="s">
        <v>8500</v>
      </c>
      <c r="F47" s="381" t="s">
        <v>8500</v>
      </c>
      <c r="G47" s="381" t="str">
        <f xml:space="preserve"> _xlfn.XLOOKUP(按鍵設計表[[#This Row],[台語音標]], 注音編碼對照表[台語音標], 注音編碼對照表[注音符號], "")</f>
        <v>ㆩ</v>
      </c>
      <c r="H47" s="437" t="str">
        <f xml:space="preserve"> _xlfn.XLOOKUP(按鍵設計表[[#This Row],[台語音標]], 注音編碼對照表[台語音標], 注音編碼對照表[漢字例], "")</f>
        <v>餡</v>
      </c>
      <c r="I47" s="381" t="str">
        <f xml:space="preserve"> _xlfn.XLOOKUP(按鍵設計表[[#This Row],[台語音標]], 注音編碼對照表[台語音標], 注音編碼對照表[聲韻調], "")</f>
        <v>韻</v>
      </c>
      <c r="J47" s="381" t="str">
        <f xml:space="preserve"> _xlfn.XLOOKUP(按鍵設計表[[#This Row],[台語音標]], 注音編碼對照表[台語音標], 注音編碼對照表[十五音], "")</f>
        <v>監</v>
      </c>
      <c r="K47" s="381" t="str">
        <f xml:space="preserve"> _xlfn.XLOOKUP(按鍵設計表[[#This Row],[台語音標]], 注音編碼對照表[台語音標], 注音編碼對照表[注音二式], "")</f>
        <v>ann</v>
      </c>
      <c r="L47" s="381" t="str">
        <f xml:space="preserve"> _xlfn.XLOOKUP(按鍵設計表[[#This Row],[台語音標]], 注音編碼對照表[台語音標], 注音編碼對照表[台羅拼音], "")</f>
        <v>ann</v>
      </c>
      <c r="M47" s="381" t="str">
        <f xml:space="preserve"> _xlfn.XLOOKUP(按鍵設計表[[#This Row],[台語音標]], 注音編碼對照表[台語音標], 注音編碼對照表[白話字], "")</f>
        <v>ann</v>
      </c>
      <c r="N47" s="381" t="str">
        <f xml:space="preserve"> _xlfn.XLOOKUP(按鍵設計表[[#This Row],[台語音標]], 注音編碼對照表[台語音標], 注音編碼對照表[閩拼方案], "")</f>
        <v>na</v>
      </c>
      <c r="O47" s="382"/>
      <c r="P47" s="306"/>
      <c r="Q47" s="306">
        <f>LEN(按鍵設計表[[#This Row],[注音符號]])</f>
        <v>1</v>
      </c>
      <c r="R47" s="264"/>
      <c r="S47" s="265">
        <f t="shared" si="4"/>
        <v>43</v>
      </c>
      <c r="T47" s="249">
        <f t="shared" si="2"/>
        <v>43</v>
      </c>
      <c r="U47" s="183" t="s">
        <v>137</v>
      </c>
      <c r="V47" s="226" t="s">
        <v>39</v>
      </c>
      <c r="W47" s="319" t="s">
        <v>195</v>
      </c>
      <c r="X47" s="226" t="s">
        <v>195</v>
      </c>
      <c r="Y47" s="226" t="s">
        <v>40</v>
      </c>
      <c r="Z47" s="226" t="s">
        <v>195</v>
      </c>
      <c r="AA47" s="245" t="s">
        <v>8344</v>
      </c>
      <c r="AB47" s="259"/>
      <c r="AC47" s="265"/>
      <c r="AD47" s="48">
        <v>43</v>
      </c>
      <c r="AE47" s="54" t="s">
        <v>520</v>
      </c>
      <c r="AF47" s="56" t="s">
        <v>257</v>
      </c>
      <c r="AG47" s="86" t="s">
        <v>70</v>
      </c>
      <c r="AH47" s="59" t="s">
        <v>106</v>
      </c>
      <c r="AI47" s="177"/>
      <c r="AJ47" s="177"/>
      <c r="AK47" s="177"/>
      <c r="AL47" s="177"/>
    </row>
    <row r="48" spans="2:38" ht="43.5">
      <c r="B48" s="250">
        <f t="shared" si="0"/>
        <v>44</v>
      </c>
      <c r="C48" s="246" t="s">
        <v>139</v>
      </c>
      <c r="D48" s="381" t="s">
        <v>279</v>
      </c>
      <c r="E48" s="245" t="s">
        <v>8501</v>
      </c>
      <c r="F48" s="245" t="s">
        <v>8501</v>
      </c>
      <c r="G48" s="245" t="str">
        <f xml:space="preserve"> _xlfn.XLOOKUP(按鍵設計表[[#This Row],[台語音標]], 注音編碼對照表[台語音標], 注音編碼對照表[注音符號], "")</f>
        <v>ㆪ</v>
      </c>
      <c r="H48" s="434" t="str">
        <f xml:space="preserve"> _xlfn.XLOOKUP(按鍵設計表[[#This Row],[台語音標]], 注音編碼對照表[台語音標], 注音編碼對照表[漢字例], "")</f>
        <v>燕</v>
      </c>
      <c r="I48" s="381" t="str">
        <f xml:space="preserve"> _xlfn.XLOOKUP(按鍵設計表[[#This Row],[台語音標]], 注音編碼對照表[台語音標], 注音編碼對照表[聲韻調], "")</f>
        <v>韻</v>
      </c>
      <c r="J48" s="245" t="str">
        <f xml:space="preserve"> _xlfn.XLOOKUP(按鍵設計表[[#This Row],[台語音標]], 注音編碼對照表[台語音標], 注音編碼對照表[十五音], "")</f>
        <v>梔</v>
      </c>
      <c r="K48" s="245" t="str">
        <f xml:space="preserve"> _xlfn.XLOOKUP(按鍵設計表[[#This Row],[台語音標]], 注音編碼對照表[台語音標], 注音編碼對照表[注音二式], "")</f>
        <v>inn</v>
      </c>
      <c r="L48" s="245" t="str">
        <f xml:space="preserve"> _xlfn.XLOOKUP(按鍵設計表[[#This Row],[台語音標]], 注音編碼對照表[台語音標], 注音編碼對照表[台羅拼音], "")</f>
        <v>inn</v>
      </c>
      <c r="M48" s="245" t="str">
        <f xml:space="preserve"> _xlfn.XLOOKUP(按鍵設計表[[#This Row],[台語音標]], 注音編碼對照表[台語音標], 注音編碼對照表[白話字], "")</f>
        <v>inn</v>
      </c>
      <c r="N48" s="245" t="str">
        <f xml:space="preserve"> _xlfn.XLOOKUP(按鍵設計表[[#This Row],[台語音標]], 注音編碼對照表[台語音標], 注音編碼對照表[閩拼方案], "")</f>
        <v>ni</v>
      </c>
      <c r="O48" s="259"/>
      <c r="P48" s="306"/>
      <c r="Q48" s="306">
        <f>LEN(按鍵設計表[[#This Row],[注音符號]])</f>
        <v>1</v>
      </c>
      <c r="R48" s="264"/>
      <c r="S48" s="265">
        <f t="shared" si="4"/>
        <v>44</v>
      </c>
      <c r="T48" s="249">
        <f t="shared" si="2"/>
        <v>44</v>
      </c>
      <c r="U48" s="183" t="s">
        <v>136</v>
      </c>
      <c r="V48" s="226" t="s">
        <v>83</v>
      </c>
      <c r="W48" s="319" t="s">
        <v>191</v>
      </c>
      <c r="X48" s="226" t="s">
        <v>160</v>
      </c>
      <c r="Y48" s="226" t="s">
        <v>8391</v>
      </c>
      <c r="Z48" s="226" t="s">
        <v>160</v>
      </c>
      <c r="AA48" s="245" t="s">
        <v>8344</v>
      </c>
      <c r="AB48" s="259"/>
      <c r="AC48" s="265"/>
      <c r="AD48" s="48">
        <v>44</v>
      </c>
      <c r="AE48" s="54" t="s">
        <v>521</v>
      </c>
      <c r="AF48" s="56" t="s">
        <v>305</v>
      </c>
      <c r="AG48" s="86" t="s">
        <v>48</v>
      </c>
      <c r="AH48" s="59" t="s">
        <v>272</v>
      </c>
      <c r="AI48" s="177"/>
      <c r="AJ48" s="177"/>
      <c r="AK48" s="177"/>
      <c r="AL48" s="177"/>
    </row>
    <row r="49" spans="2:38" ht="43.5">
      <c r="B49" s="250">
        <f t="shared" si="0"/>
        <v>45</v>
      </c>
      <c r="C49" s="246" t="s">
        <v>218</v>
      </c>
      <c r="D49" s="381" t="s">
        <v>281</v>
      </c>
      <c r="E49" s="245" t="s">
        <v>8502</v>
      </c>
      <c r="F49" s="245" t="s">
        <v>8502</v>
      </c>
      <c r="G49" s="245" t="str">
        <f xml:space="preserve"> _xlfn.XLOOKUP(按鍵設計表[[#This Row],[台語音標]], 注音編碼對照表[台語音標], 注音編碼對照表[注音符號], "")</f>
        <v>ㆫ</v>
      </c>
      <c r="H49" s="434" t="str">
        <f xml:space="preserve"> _xlfn.XLOOKUP(按鍵設計表[[#This Row],[台語音標]], 注音編碼對照表[台語音標], 注音編碼對照表[漢字例], "")</f>
        <v>楊</v>
      </c>
      <c r="I49" s="381" t="str">
        <f xml:space="preserve"> _xlfn.XLOOKUP(按鍵設計表[[#This Row],[台語音標]], 注音編碼對照表[台語音標], 注音編碼對照表[聲韻調], "")</f>
        <v>韻</v>
      </c>
      <c r="J49" s="245">
        <f xml:space="preserve"> _xlfn.XLOOKUP(按鍵設計表[[#This Row],[台語音標]], 注音編碼對照表[台語音標], 注音編碼對照表[十五音], "")</f>
        <v>0</v>
      </c>
      <c r="K49" s="245" t="str">
        <f xml:space="preserve"> _xlfn.XLOOKUP(按鍵設計表[[#This Row],[台語音標]], 注音編碼對照表[台語音標], 注音編碼對照表[注音二式], "")</f>
        <v>unn</v>
      </c>
      <c r="L49" s="245" t="str">
        <f xml:space="preserve"> _xlfn.XLOOKUP(按鍵設計表[[#This Row],[台語音標]], 注音編碼對照表[台語音標], 注音編碼對照表[台羅拼音], "")</f>
        <v>unn</v>
      </c>
      <c r="M49" s="245" t="str">
        <f xml:space="preserve"> _xlfn.XLOOKUP(按鍵設計表[[#This Row],[台語音標]], 注音編碼對照表[台語音標], 注音編碼對照表[白話字], "")</f>
        <v>unn</v>
      </c>
      <c r="N49" s="245" t="str">
        <f xml:space="preserve"> _xlfn.XLOOKUP(按鍵設計表[[#This Row],[台語音標]], 注音編碼對照表[台語音標], 注音編碼對照表[閩拼方案], "")</f>
        <v>nu</v>
      </c>
      <c r="O49" s="259"/>
      <c r="P49" s="306"/>
      <c r="Q49" s="306">
        <f>LEN(按鍵設計表[[#This Row],[注音符號]])</f>
        <v>1</v>
      </c>
      <c r="R49" s="264"/>
      <c r="S49" s="265">
        <f t="shared" si="4"/>
        <v>45</v>
      </c>
      <c r="T49" s="249">
        <f t="shared" si="2"/>
        <v>45</v>
      </c>
      <c r="U49" s="183" t="s">
        <v>156</v>
      </c>
      <c r="V49" s="226" t="s">
        <v>145</v>
      </c>
      <c r="W49" s="319" t="s">
        <v>197</v>
      </c>
      <c r="X49" s="226" t="s">
        <v>196</v>
      </c>
      <c r="Y49" s="226" t="s">
        <v>46</v>
      </c>
      <c r="Z49" s="226" t="s">
        <v>196</v>
      </c>
      <c r="AA49" s="245" t="s">
        <v>8344</v>
      </c>
      <c r="AB49" s="259"/>
      <c r="AC49" s="265"/>
      <c r="AD49" s="48">
        <v>45</v>
      </c>
      <c r="AE49" s="54" t="s">
        <v>129</v>
      </c>
      <c r="AF49" s="56" t="s">
        <v>140</v>
      </c>
      <c r="AG49" s="86" t="s">
        <v>89</v>
      </c>
      <c r="AH49" s="59" t="s">
        <v>8329</v>
      </c>
      <c r="AI49" s="177"/>
      <c r="AJ49" s="177"/>
      <c r="AK49" s="177"/>
      <c r="AL49" s="177"/>
    </row>
    <row r="50" spans="2:38" ht="43.5">
      <c r="B50" s="250">
        <f t="shared" si="0"/>
        <v>46</v>
      </c>
      <c r="C50" s="246" t="s">
        <v>8611</v>
      </c>
      <c r="D50" s="381" t="s">
        <v>160</v>
      </c>
      <c r="E50" s="245" t="s">
        <v>8503</v>
      </c>
      <c r="F50" s="245" t="s">
        <v>8503</v>
      </c>
      <c r="G50" s="245" t="str">
        <f xml:space="preserve"> _xlfn.XLOOKUP(按鍵設計表[[#This Row],[台語音標]], 注音編碼對照表[台語音標], 注音編碼對照表[注音符號], "")</f>
        <v>ㆥ</v>
      </c>
      <c r="H50" s="434" t="str">
        <f xml:space="preserve"> _xlfn.XLOOKUP(按鍵設計表[[#This Row],[台語音標]], 注音編碼對照表[台語音標], 注音編碼對照表[漢字例], "")</f>
        <v>嬰</v>
      </c>
      <c r="I50" s="381" t="str">
        <f xml:space="preserve"> _xlfn.XLOOKUP(按鍵設計表[[#This Row],[台語音標]], 注音編碼對照表[台語音標], 注音編碼對照表[聲韻調], "")</f>
        <v>韻</v>
      </c>
      <c r="J50" s="245" t="str">
        <f xml:space="preserve"> _xlfn.XLOOKUP(按鍵設計表[[#This Row],[台語音標]], 注音編碼對照表[台語音標], 注音編碼對照表[十五音], "")</f>
        <v>更</v>
      </c>
      <c r="K50" s="245" t="str">
        <f xml:space="preserve"> _xlfn.XLOOKUP(按鍵設計表[[#This Row],[台語音標]], 注音編碼對照表[台語音標], 注音編碼對照表[注音二式], "")</f>
        <v>enn</v>
      </c>
      <c r="L50" s="245" t="str">
        <f xml:space="preserve"> _xlfn.XLOOKUP(按鍵設計表[[#This Row],[台語音標]], 注音編碼對照表[台語音標], 注音編碼對照表[台羅拼音], "")</f>
        <v>enn</v>
      </c>
      <c r="M50" s="245" t="str">
        <f xml:space="preserve"> _xlfn.XLOOKUP(按鍵設計表[[#This Row],[台語音標]], 注音編碼對照表[台語音標], 注音編碼對照表[白話字], "")</f>
        <v>enn</v>
      </c>
      <c r="N50" s="245" t="str">
        <f xml:space="preserve"> _xlfn.XLOOKUP(按鍵設計表[[#This Row],[台語音標]], 注音編碼對照表[台語音標], 注音編碼對照表[閩拼方案], "")</f>
        <v>ne</v>
      </c>
      <c r="O50" s="259"/>
      <c r="P50" s="306"/>
      <c r="Q50" s="306">
        <f>LEN(按鍵設計表[[#This Row],[注音符號]])</f>
        <v>1</v>
      </c>
      <c r="R50" s="264"/>
      <c r="S50" s="265">
        <f t="shared" si="4"/>
        <v>46</v>
      </c>
      <c r="T50" s="249">
        <f t="shared" si="2"/>
        <v>46</v>
      </c>
      <c r="U50" s="183" t="s">
        <v>271</v>
      </c>
      <c r="V50" s="226" t="s">
        <v>82</v>
      </c>
      <c r="W50" s="319" t="s">
        <v>313</v>
      </c>
      <c r="X50" s="226" t="s">
        <v>159</v>
      </c>
      <c r="Y50" s="226" t="s">
        <v>8392</v>
      </c>
      <c r="Z50" s="226" t="s">
        <v>159</v>
      </c>
      <c r="AA50" s="245" t="s">
        <v>8344</v>
      </c>
      <c r="AB50" s="259"/>
      <c r="AC50" s="265"/>
      <c r="AD50" s="48">
        <v>46</v>
      </c>
      <c r="AE50" s="54" t="s">
        <v>96</v>
      </c>
      <c r="AF50" s="56" t="s">
        <v>283</v>
      </c>
      <c r="AG50" s="86" t="s">
        <v>98</v>
      </c>
      <c r="AH50" s="59" t="s">
        <v>96</v>
      </c>
      <c r="AI50" s="177"/>
      <c r="AJ50" s="177"/>
      <c r="AK50" s="177"/>
      <c r="AL50" s="177"/>
    </row>
    <row r="51" spans="2:38" ht="43.5">
      <c r="B51" s="250">
        <f t="shared" si="0"/>
        <v>47</v>
      </c>
      <c r="C51" s="246" t="s">
        <v>143</v>
      </c>
      <c r="D51" s="381" t="s">
        <v>161</v>
      </c>
      <c r="E51" s="245" t="s">
        <v>8504</v>
      </c>
      <c r="F51" s="245" t="s">
        <v>8504</v>
      </c>
      <c r="G51" s="245" t="str">
        <f xml:space="preserve"> _xlfn.XLOOKUP(按鍵設計表[[#This Row],[台語音標]], 注音編碼對照表[台語音標], 注音編碼對照表[注音符號], "")</f>
        <v>ㆧ</v>
      </c>
      <c r="H51" s="434" t="str">
        <f xml:space="preserve"> _xlfn.XLOOKUP(按鍵設計表[[#This Row],[台語音標]], 注音編碼對照表[台語音標], 注音編碼對照表[漢字例], "")</f>
        <v>好</v>
      </c>
      <c r="I51" s="381" t="str">
        <f xml:space="preserve"> _xlfn.XLOOKUP(按鍵設計表[[#This Row],[台語音標]], 注音編碼對照表[台語音標], 注音編碼對照表[聲韻調], "")</f>
        <v>韻</v>
      </c>
      <c r="J51" s="245" t="str">
        <f xml:space="preserve"> _xlfn.XLOOKUP(按鍵設計表[[#This Row],[台語音標]], 注音編碼對照表[台語音標], 注音編碼對照表[十五音], "")</f>
        <v>姑</v>
      </c>
      <c r="K51" s="245" t="str">
        <f xml:space="preserve"> _xlfn.XLOOKUP(按鍵設計表[[#This Row],[台語音標]], 注音編碼對照表[台語音標], 注音編碼對照表[注音二式], "")</f>
        <v>oonn</v>
      </c>
      <c r="L51" s="245" t="str">
        <f xml:space="preserve"> _xlfn.XLOOKUP(按鍵設計表[[#This Row],[台語音標]], 注音編碼對照表[台語音標], 注音編碼對照表[台羅拼音], "")</f>
        <v>onn</v>
      </c>
      <c r="M51" s="245" t="str">
        <f xml:space="preserve"> _xlfn.XLOOKUP(按鍵設計表[[#This Row],[台語音標]], 注音編碼對照表[台語音標], 注音編碼對照表[白話字], "")</f>
        <v>onn</v>
      </c>
      <c r="N51" s="245" t="str">
        <f xml:space="preserve"> _xlfn.XLOOKUP(按鍵設計表[[#This Row],[台語音標]], 注音編碼對照表[台語音標], 注音編碼對照表[閩拼方案], "")</f>
        <v>noo</v>
      </c>
      <c r="O51" s="259"/>
      <c r="P51" s="306"/>
      <c r="Q51" s="306">
        <f>LEN(按鍵設計表[[#This Row],[注音符號]])</f>
        <v>1</v>
      </c>
      <c r="R51" s="264"/>
      <c r="S51" s="265">
        <f t="shared" si="4"/>
        <v>47</v>
      </c>
      <c r="T51" s="249">
        <f t="shared" si="2"/>
        <v>47</v>
      </c>
      <c r="U51" s="183" t="s">
        <v>42</v>
      </c>
      <c r="V51" s="226" t="s">
        <v>70</v>
      </c>
      <c r="W51" s="319" t="s">
        <v>257</v>
      </c>
      <c r="X51" s="226" t="s">
        <v>106</v>
      </c>
      <c r="Y51" s="226" t="s">
        <v>71</v>
      </c>
      <c r="Z51" s="226" t="s">
        <v>106</v>
      </c>
      <c r="AA51" s="245" t="s">
        <v>8344</v>
      </c>
      <c r="AB51" s="259" t="s">
        <v>8612</v>
      </c>
      <c r="AC51" s="265"/>
      <c r="AD51" s="48">
        <v>47</v>
      </c>
      <c r="AE51" s="54" t="s">
        <v>123</v>
      </c>
      <c r="AF51" s="56" t="s">
        <v>306</v>
      </c>
      <c r="AG51" s="86" t="s">
        <v>90</v>
      </c>
      <c r="AH51" s="59" t="s">
        <v>8332</v>
      </c>
      <c r="AI51" s="177"/>
      <c r="AJ51" s="177"/>
      <c r="AK51" s="177"/>
      <c r="AL51" s="177"/>
    </row>
    <row r="52" spans="2:38" ht="43.5">
      <c r="B52" s="250">
        <f t="shared" si="3"/>
        <v>48</v>
      </c>
      <c r="C52" s="246" t="s">
        <v>271</v>
      </c>
      <c r="D52" s="381" t="s">
        <v>159</v>
      </c>
      <c r="E52" s="245" t="s">
        <v>8509</v>
      </c>
      <c r="F52" s="245" t="s">
        <v>8509</v>
      </c>
      <c r="G52" s="245" t="str">
        <f xml:space="preserve"> _xlfn.XLOOKUP(按鍵設計表[[#This Row],[台語音標]], 注音編碼對照表[台語音標], 注音編碼對照表[注音符號], "")</f>
        <v>ㆮ</v>
      </c>
      <c r="H52" s="434" t="str">
        <f xml:space="preserve"> _xlfn.XLOOKUP(按鍵設計表[[#This Row],[台語音標]], 注音編碼對照表[台語音標], 注音編碼對照表[漢字例], "")</f>
        <v>閂</v>
      </c>
      <c r="I52" s="381" t="str">
        <f xml:space="preserve"> _xlfn.XLOOKUP(按鍵設計表[[#This Row],[台語音標]], 注音編碼對照表[台語音標], 注音編碼對照表[聲韻調], "")</f>
        <v>韻</v>
      </c>
      <c r="J52" s="245" t="str">
        <f xml:space="preserve"> _xlfn.XLOOKUP(按鍵設計表[[#This Row],[台語音標]], 注音編碼對照表[台語音標], 注音編碼對照表[十五音], "")</f>
        <v>閒</v>
      </c>
      <c r="K52" s="245" t="str">
        <f xml:space="preserve"> _xlfn.XLOOKUP(按鍵設計表[[#This Row],[台語音標]], 注音編碼對照表[台語音標], 注音編碼對照表[注音二式], "")</f>
        <v>ainn</v>
      </c>
      <c r="L52" s="245" t="str">
        <f xml:space="preserve"> _xlfn.XLOOKUP(按鍵設計表[[#This Row],[台語音標]], 注音編碼對照表[台語音標], 注音編碼對照表[台羅拼音], "")</f>
        <v>ainn</v>
      </c>
      <c r="M52" s="245" t="str">
        <f xml:space="preserve"> _xlfn.XLOOKUP(按鍵設計表[[#This Row],[台語音標]], 注音編碼對照表[台語音標], 注音編碼對照表[白話字], "")</f>
        <v>ainn</v>
      </c>
      <c r="N52" s="245" t="str">
        <f xml:space="preserve"> _xlfn.XLOOKUP(按鍵設計表[[#This Row],[台語音標]], 注音編碼對照表[台語音標], 注音編碼對照表[閩拼方案], "")</f>
        <v>nai</v>
      </c>
      <c r="O52" s="259"/>
      <c r="P52" s="306"/>
      <c r="Q52" s="306">
        <f>LEN(按鍵設計表[[#This Row],[注音符號]])</f>
        <v>1</v>
      </c>
      <c r="R52" s="264"/>
      <c r="S52" s="265">
        <f t="shared" si="4"/>
        <v>48</v>
      </c>
      <c r="T52" s="249">
        <f t="shared" si="2"/>
        <v>48</v>
      </c>
      <c r="U52" s="183" t="s">
        <v>45</v>
      </c>
      <c r="V52" s="226" t="s">
        <v>87</v>
      </c>
      <c r="W52" s="319" t="s">
        <v>8424</v>
      </c>
      <c r="X52" s="226" t="s">
        <v>130</v>
      </c>
      <c r="Y52" s="226" t="s">
        <v>53</v>
      </c>
      <c r="Z52" s="226" t="s">
        <v>130</v>
      </c>
      <c r="AA52" s="245" t="s">
        <v>8344</v>
      </c>
      <c r="AB52" s="259" t="s">
        <v>8610</v>
      </c>
      <c r="AC52" s="265"/>
      <c r="AD52" s="48">
        <v>48</v>
      </c>
      <c r="AE52" s="54" t="s">
        <v>12</v>
      </c>
      <c r="AF52" s="56" t="s">
        <v>310</v>
      </c>
      <c r="AG52" s="86" t="s">
        <v>91</v>
      </c>
      <c r="AH52" s="59" t="s">
        <v>8333</v>
      </c>
      <c r="AI52" s="177"/>
      <c r="AJ52" s="177"/>
      <c r="AK52" s="177"/>
      <c r="AL52" s="177"/>
    </row>
    <row r="53" spans="2:38" ht="44.25" thickBot="1">
      <c r="B53" s="408">
        <f t="shared" si="3"/>
        <v>49</v>
      </c>
      <c r="C53" s="409" t="s">
        <v>274</v>
      </c>
      <c r="D53" s="392" t="s">
        <v>157</v>
      </c>
      <c r="E53" s="410" t="s">
        <v>8510</v>
      </c>
      <c r="F53" s="410" t="s">
        <v>8510</v>
      </c>
      <c r="G53" s="410" t="str">
        <f xml:space="preserve"> _xlfn.XLOOKUP(按鍵設計表[[#This Row],[台語音標]], 注音編碼對照表[台語音標], 注音編碼對照表[注音符號], "")</f>
        <v>ㆯ</v>
      </c>
      <c r="H53" s="435" t="str">
        <f xml:space="preserve"> _xlfn.XLOOKUP(按鍵設計表[[#This Row],[台語音標]], 注音編碼對照表[台語音標], 注音編碼對照表[漢字例], "")</f>
        <v>爻</v>
      </c>
      <c r="I53" s="392" t="str">
        <f xml:space="preserve"> _xlfn.XLOOKUP(按鍵設計表[[#This Row],[台語音標]], 注音編碼對照表[台語音標], 注音編碼對照表[聲韻調], "")</f>
        <v>韻</v>
      </c>
      <c r="J53" s="410" t="str">
        <f xml:space="preserve"> _xlfn.XLOOKUP(按鍵設計表[[#This Row],[台語音標]], 注音編碼對照表[台語音標], 注音編碼對照表[十五音], "")</f>
        <v>爻</v>
      </c>
      <c r="K53" s="410" t="str">
        <f xml:space="preserve"> _xlfn.XLOOKUP(按鍵設計表[[#This Row],[台語音標]], 注音編碼對照表[台語音標], 注音編碼對照表[注音二式], "")</f>
        <v>aunn</v>
      </c>
      <c r="L53" s="410" t="str">
        <f xml:space="preserve"> _xlfn.XLOOKUP(按鍵設計表[[#This Row],[台語音標]], 注音編碼對照表[台語音標], 注音編碼對照表[台羅拼音], "")</f>
        <v>aunn</v>
      </c>
      <c r="M53" s="410" t="str">
        <f xml:space="preserve"> _xlfn.XLOOKUP(按鍵設計表[[#This Row],[台語音標]], 注音編碼對照表[台語音標], 注音編碼對照表[白話字], "")</f>
        <v>aunn</v>
      </c>
      <c r="N53" s="410" t="str">
        <f xml:space="preserve"> _xlfn.XLOOKUP(按鍵設計表[[#This Row],[台語音標]], 注音編碼對照表[台語音標], 注音編碼對照表[閩拼方案], "")</f>
        <v>nao</v>
      </c>
      <c r="O53" s="411"/>
      <c r="P53" s="306"/>
      <c r="Q53" s="306">
        <f>LEN(按鍵設計表[[#This Row],[注音符號]])</f>
        <v>1</v>
      </c>
      <c r="R53" s="264"/>
      <c r="S53" s="265">
        <f t="shared" si="4"/>
        <v>49</v>
      </c>
      <c r="T53" s="249">
        <f t="shared" si="2"/>
        <v>49</v>
      </c>
      <c r="U53" s="183" t="s">
        <v>273</v>
      </c>
      <c r="V53" s="226" t="s">
        <v>47</v>
      </c>
      <c r="W53" s="319" t="s">
        <v>323</v>
      </c>
      <c r="X53" s="226" t="s">
        <v>193</v>
      </c>
      <c r="Y53" s="226" t="s">
        <v>8393</v>
      </c>
      <c r="Z53" s="226" t="s">
        <v>193</v>
      </c>
      <c r="AA53" s="245" t="s">
        <v>8344</v>
      </c>
      <c r="AB53" s="259"/>
      <c r="AC53" s="265"/>
      <c r="AD53" s="48">
        <v>49</v>
      </c>
      <c r="AE53" s="54" t="s">
        <v>119</v>
      </c>
      <c r="AF53" s="56" t="s">
        <v>314</v>
      </c>
      <c r="AG53" s="86" t="s">
        <v>92</v>
      </c>
      <c r="AH53" s="59" t="s">
        <v>8334</v>
      </c>
      <c r="AI53" s="177"/>
      <c r="AJ53" s="177"/>
      <c r="AK53" s="177"/>
      <c r="AL53" s="177"/>
    </row>
    <row r="54" spans="2:38" ht="43.5">
      <c r="B54" s="383">
        <f t="shared" si="0"/>
        <v>50</v>
      </c>
      <c r="C54" s="384">
        <v>7</v>
      </c>
      <c r="D54" s="381">
        <v>0</v>
      </c>
      <c r="E54" s="381">
        <v>0</v>
      </c>
      <c r="F54" s="381"/>
      <c r="G54" s="381" t="str">
        <f xml:space="preserve"> _xlfn.XLOOKUP(按鍵設計表[[#This Row],[台語音標]], 注音編碼對照表[台語音標], 注音編碼對照表[注音符號], "")</f>
        <v>˙</v>
      </c>
      <c r="H54" s="437"/>
      <c r="I54" s="381" t="str">
        <f xml:space="preserve"> _xlfn.XLOOKUP(按鍵設計表[[#This Row],[台語音標]], 注音編碼對照表[台語音標], 注音編碼對照表[聲韻調], "")</f>
        <v>調</v>
      </c>
      <c r="J54" s="381">
        <f xml:space="preserve"> _xlfn.XLOOKUP(按鍵設計表[[#This Row],[台語音標]], 注音編碼對照表[台語音標], 注音編碼對照表[十五音], "")</f>
        <v>0</v>
      </c>
      <c r="K54" s="381">
        <f xml:space="preserve"> _xlfn.XLOOKUP(按鍵設計表[[#This Row],[台語音標]], 注音編碼對照表[台語音標], 注音編碼對照表[注音二式], "")</f>
        <v>0</v>
      </c>
      <c r="L54" s="381">
        <f xml:space="preserve"> _xlfn.XLOOKUP(按鍵設計表[[#This Row],[台語音標]], 注音編碼對照表[台語音標], 注音編碼對照表[台羅拼音], "")</f>
        <v>0</v>
      </c>
      <c r="M54" s="381">
        <f xml:space="preserve"> _xlfn.XLOOKUP(按鍵設計表[[#This Row],[台語音標]], 注音編碼對照表[台語音標], 注音編碼對照表[白話字], "")</f>
        <v>0</v>
      </c>
      <c r="N54" s="381">
        <f xml:space="preserve"> _xlfn.XLOOKUP(按鍵設計表[[#This Row],[台語音標]], 注音編碼對照表[台語音標], 注音編碼對照表[閩拼方案], "")</f>
        <v>0</v>
      </c>
      <c r="O54" s="382" t="s">
        <v>8564</v>
      </c>
      <c r="P54" s="306"/>
      <c r="Q54" s="306">
        <f>LEN(按鍵設計表[[#This Row],[注音符號]])</f>
        <v>1</v>
      </c>
      <c r="R54" s="264"/>
      <c r="S54" s="265">
        <f t="shared" si="4"/>
        <v>50</v>
      </c>
      <c r="T54" s="249">
        <f t="shared" si="2"/>
        <v>50</v>
      </c>
      <c r="U54" s="183" t="s">
        <v>274</v>
      </c>
      <c r="V54" s="226" t="s">
        <v>86</v>
      </c>
      <c r="W54" s="319" t="s">
        <v>255</v>
      </c>
      <c r="X54" s="226" t="s">
        <v>157</v>
      </c>
      <c r="Y54" s="226" t="s">
        <v>8394</v>
      </c>
      <c r="Z54" s="226" t="s">
        <v>157</v>
      </c>
      <c r="AA54" s="245" t="s">
        <v>8344</v>
      </c>
      <c r="AB54" s="259"/>
      <c r="AC54" s="265"/>
      <c r="AD54" s="48">
        <v>50</v>
      </c>
      <c r="AE54" s="54" t="s">
        <v>258</v>
      </c>
      <c r="AF54" s="56" t="s">
        <v>258</v>
      </c>
      <c r="AG54" s="86" t="s">
        <v>93</v>
      </c>
      <c r="AH54" s="59" t="s">
        <v>8335</v>
      </c>
      <c r="AI54" s="177"/>
      <c r="AJ54" s="177"/>
      <c r="AK54" s="177"/>
      <c r="AL54" s="177"/>
    </row>
    <row r="55" spans="2:38" ht="39">
      <c r="B55" s="383">
        <f t="shared" si="0"/>
        <v>51</v>
      </c>
      <c r="C55" s="384">
        <v>5</v>
      </c>
      <c r="D55" s="381">
        <v>7</v>
      </c>
      <c r="E55" s="381">
        <v>7</v>
      </c>
      <c r="F55" s="381"/>
      <c r="G55" s="381" t="str">
        <f xml:space="preserve"> _xlfn.XLOOKUP(按鍵設計表[[#This Row],[台語音標]], 注音編碼對照表[台語音標], 注音編碼對照表[注音符號], "")</f>
        <v>˫</v>
      </c>
      <c r="H55" s="381"/>
      <c r="I55" s="381" t="str">
        <f xml:space="preserve"> _xlfn.XLOOKUP(按鍵設計表[[#This Row],[台語音標]], 注音編碼對照表[台語音標], 注音編碼對照表[聲韻調], "")</f>
        <v>調</v>
      </c>
      <c r="J55" s="381">
        <f xml:space="preserve"> _xlfn.XLOOKUP(按鍵設計表[[#This Row],[台語音標]], 注音編碼對照表[台語音標], 注音編碼對照表[十五音], "")</f>
        <v>0</v>
      </c>
      <c r="K55" s="381">
        <f xml:space="preserve"> _xlfn.XLOOKUP(按鍵設計表[[#This Row],[台語音標]], 注音編碼對照表[台語音標], 注音編碼對照表[注音二式], "")</f>
        <v>7</v>
      </c>
      <c r="L55" s="381">
        <f xml:space="preserve"> _xlfn.XLOOKUP(按鍵設計表[[#This Row],[台語音標]], 注音編碼對照表[台語音標], 注音編碼對照表[台羅拼音], "")</f>
        <v>7</v>
      </c>
      <c r="M55" s="381">
        <f xml:space="preserve"> _xlfn.XLOOKUP(按鍵設計表[[#This Row],[台語音標]], 注音編碼對照表[台語音標], 注音編碼對照表[白話字], "")</f>
        <v>7</v>
      </c>
      <c r="N55" s="381">
        <f xml:space="preserve"> _xlfn.XLOOKUP(按鍵設計表[[#This Row],[台語音標]], 注音編碼對照表[台語音標], 注音編碼對照表[閩拼方案], "")</f>
        <v>6</v>
      </c>
      <c r="O55" s="382"/>
      <c r="P55" s="306"/>
      <c r="Q55" s="306">
        <f>LEN(按鍵設計表[[#This Row],[注音符號]])</f>
        <v>1</v>
      </c>
      <c r="R55" s="264"/>
      <c r="S55" s="265">
        <f t="shared" si="4"/>
        <v>51</v>
      </c>
      <c r="T55" s="250">
        <f t="shared" si="2"/>
        <v>51</v>
      </c>
      <c r="U55" s="316" t="s">
        <v>276</v>
      </c>
      <c r="V55" s="317" t="s">
        <v>8381</v>
      </c>
      <c r="W55" s="323">
        <v>0</v>
      </c>
      <c r="X55" s="317">
        <v>0</v>
      </c>
      <c r="Y55" s="317">
        <v>0</v>
      </c>
      <c r="Z55" s="317">
        <v>0</v>
      </c>
      <c r="AA55" s="317" t="s">
        <v>8373</v>
      </c>
      <c r="AB55" s="259"/>
      <c r="AC55" s="265"/>
      <c r="AD55" s="48">
        <v>53</v>
      </c>
      <c r="AE55" s="252" t="str">
        <f xml:space="preserve"> CHAR(32)</f>
        <v xml:space="preserve"> </v>
      </c>
      <c r="AF55" s="56">
        <v>1</v>
      </c>
      <c r="AG55" s="86" t="s">
        <v>285</v>
      </c>
      <c r="AH55" s="59">
        <v>1</v>
      </c>
      <c r="AI55" s="177"/>
      <c r="AJ55" s="177"/>
      <c r="AK55" s="177"/>
      <c r="AL55" s="177"/>
    </row>
    <row r="56" spans="2:38" ht="39">
      <c r="B56" s="383">
        <f t="shared" si="0"/>
        <v>52</v>
      </c>
      <c r="C56" s="384">
        <v>3</v>
      </c>
      <c r="D56" s="381">
        <v>3</v>
      </c>
      <c r="E56" s="381" t="s">
        <v>124</v>
      </c>
      <c r="F56" s="381"/>
      <c r="G56" s="381" t="str">
        <f xml:space="preserve"> _xlfn.XLOOKUP(按鍵設計表[[#This Row],[台語音標]], 注音編碼對照表[台語音標], 注音編碼對照表[注音符號], "")</f>
        <v>˪</v>
      </c>
      <c r="H56" s="381"/>
      <c r="I56" s="381" t="str">
        <f xml:space="preserve"> _xlfn.XLOOKUP(按鍵設計表[[#This Row],[台語音標]], 注音編碼對照表[台語音標], 注音編碼對照表[聲韻調], "")</f>
        <v>調</v>
      </c>
      <c r="J56" s="381">
        <f xml:space="preserve"> _xlfn.XLOOKUP(按鍵設計表[[#This Row],[台語音標]], 注音編碼對照表[台語音標], 注音編碼對照表[十五音], "")</f>
        <v>0</v>
      </c>
      <c r="K56" s="381">
        <f xml:space="preserve"> _xlfn.XLOOKUP(按鍵設計表[[#This Row],[台語音標]], 注音編碼對照表[台語音標], 注音編碼對照表[注音二式], "")</f>
        <v>3</v>
      </c>
      <c r="L56" s="381">
        <f xml:space="preserve"> _xlfn.XLOOKUP(按鍵設計表[[#This Row],[台語音標]], 注音編碼對照表[台語音標], 注音編碼對照表[台羅拼音], "")</f>
        <v>3</v>
      </c>
      <c r="M56" s="381">
        <f xml:space="preserve"> _xlfn.XLOOKUP(按鍵設計表[[#This Row],[台語音標]], 注音編碼對照表[台語音標], 注音編碼對照表[白話字], "")</f>
        <v>3</v>
      </c>
      <c r="N56" s="381">
        <f xml:space="preserve"> _xlfn.XLOOKUP(按鍵設計表[[#This Row],[台語音標]], 注音編碼對照表[台語音標], 注音編碼對照表[閩拼方案], "")</f>
        <v>5</v>
      </c>
      <c r="O56" s="382"/>
      <c r="P56" s="306"/>
      <c r="Q56" s="306">
        <f>LEN(按鍵設計表[[#This Row],[注音符號]])</f>
        <v>1</v>
      </c>
      <c r="R56" s="264"/>
      <c r="S56" s="265">
        <f t="shared" si="4"/>
        <v>52</v>
      </c>
      <c r="T56" s="250">
        <f t="shared" si="2"/>
        <v>52</v>
      </c>
      <c r="U56" s="179" t="s">
        <v>135</v>
      </c>
      <c r="V56" s="224" t="s">
        <v>66</v>
      </c>
      <c r="W56" s="318" t="s">
        <v>335</v>
      </c>
      <c r="X56" s="224" t="s">
        <v>115</v>
      </c>
      <c r="Y56" s="224" t="s">
        <v>67</v>
      </c>
      <c r="Z56" s="224" t="s">
        <v>115</v>
      </c>
      <c r="AA56" s="224" t="s">
        <v>7734</v>
      </c>
      <c r="AB56" s="257"/>
      <c r="AC56" s="265"/>
      <c r="AD56" s="48">
        <v>54</v>
      </c>
      <c r="AE56" s="54" t="s">
        <v>125</v>
      </c>
      <c r="AF56" s="56">
        <v>2</v>
      </c>
      <c r="AG56" s="86" t="s">
        <v>72</v>
      </c>
      <c r="AH56" s="59">
        <v>2</v>
      </c>
      <c r="AI56" s="177"/>
      <c r="AJ56" s="177"/>
      <c r="AK56" s="177"/>
      <c r="AL56" s="177"/>
    </row>
    <row r="57" spans="2:38" ht="39">
      <c r="B57" s="383">
        <f t="shared" si="0"/>
        <v>53</v>
      </c>
      <c r="C57" s="384">
        <v>4</v>
      </c>
      <c r="D57" s="381">
        <v>2</v>
      </c>
      <c r="E57" s="381" t="s">
        <v>206</v>
      </c>
      <c r="F57" s="381"/>
      <c r="G57" s="381" t="str">
        <f xml:space="preserve"> _xlfn.XLOOKUP(按鍵設計表[[#This Row],[台語音標]], 注音編碼對照表[台語音標], 注音編碼對照表[注音符號], "")</f>
        <v>ˋ</v>
      </c>
      <c r="H57" s="381"/>
      <c r="I57" s="381" t="str">
        <f xml:space="preserve"> _xlfn.XLOOKUP(按鍵設計表[[#This Row],[台語音標]], 注音編碼對照表[台語音標], 注音編碼對照表[聲韻調], "")</f>
        <v>調</v>
      </c>
      <c r="J57" s="381">
        <f xml:space="preserve"> _xlfn.XLOOKUP(按鍵設計表[[#This Row],[台語音標]], 注音編碼對照表[台語音標], 注音編碼對照表[十五音], "")</f>
        <v>0</v>
      </c>
      <c r="K57" s="381">
        <f xml:space="preserve"> _xlfn.XLOOKUP(按鍵設計表[[#This Row],[台語音標]], 注音編碼對照表[台語音標], 注音編碼對照表[注音二式], "")</f>
        <v>2</v>
      </c>
      <c r="L57" s="381">
        <f xml:space="preserve"> _xlfn.XLOOKUP(按鍵設計表[[#This Row],[台語音標]], 注音編碼對照表[台語音標], 注音編碼對照表[台羅拼音], "")</f>
        <v>2</v>
      </c>
      <c r="M57" s="381">
        <f xml:space="preserve"> _xlfn.XLOOKUP(按鍵設計表[[#This Row],[台語音標]], 注音編碼對照表[台語音標], 注音編碼對照表[白話字], "")</f>
        <v>2</v>
      </c>
      <c r="N57" s="381">
        <f xml:space="preserve"> _xlfn.XLOOKUP(按鍵設計表[[#This Row],[台語音標]], 注音編碼對照表[台語音標], 注音編碼對照表[閩拼方案], "")</f>
        <v>3</v>
      </c>
      <c r="O57" s="382"/>
      <c r="P57" s="306"/>
      <c r="Q57" s="306">
        <f>LEN(按鍵設計表[[#This Row],[注音符號]])</f>
        <v>1</v>
      </c>
      <c r="R57" s="264"/>
      <c r="S57" s="265">
        <f t="shared" si="4"/>
        <v>53</v>
      </c>
      <c r="T57" s="249">
        <f t="shared" si="2"/>
        <v>53</v>
      </c>
      <c r="U57" s="246" t="s">
        <v>6</v>
      </c>
      <c r="V57" s="245" t="s">
        <v>50</v>
      </c>
      <c r="W57" s="320" t="s">
        <v>315</v>
      </c>
      <c r="X57" s="245" t="s">
        <v>16</v>
      </c>
      <c r="Y57" s="245" t="s">
        <v>221</v>
      </c>
      <c r="Z57" s="245" t="s">
        <v>16</v>
      </c>
      <c r="AA57" s="245" t="s">
        <v>7734</v>
      </c>
      <c r="AB57" s="259" t="s">
        <v>8350</v>
      </c>
      <c r="AC57" s="265"/>
      <c r="AD57" s="48">
        <v>55</v>
      </c>
      <c r="AE57" s="54" t="s">
        <v>124</v>
      </c>
      <c r="AF57" s="56">
        <v>3</v>
      </c>
      <c r="AG57" s="86" t="s">
        <v>73</v>
      </c>
      <c r="AH57" s="59">
        <v>3</v>
      </c>
      <c r="AI57" s="177"/>
      <c r="AJ57" s="177"/>
      <c r="AK57" s="177"/>
      <c r="AL57" s="177"/>
    </row>
    <row r="58" spans="2:38" ht="39">
      <c r="B58" s="383">
        <f t="shared" si="0"/>
        <v>54</v>
      </c>
      <c r="C58" s="384">
        <v>6</v>
      </c>
      <c r="D58" s="381">
        <v>5</v>
      </c>
      <c r="E58" s="381" t="s">
        <v>111</v>
      </c>
      <c r="F58" s="381"/>
      <c r="G58" s="381" t="str">
        <f xml:space="preserve"> _xlfn.XLOOKUP(按鍵設計表[[#This Row],[台語音標]], 注音編碼對照表[台語音標], 注音編碼對照表[注音符號], "")</f>
        <v>ˊ</v>
      </c>
      <c r="H58" s="381"/>
      <c r="I58" s="381" t="str">
        <f xml:space="preserve"> _xlfn.XLOOKUP(按鍵設計表[[#This Row],[台語音標]], 注音編碼對照表[台語音標], 注音編碼對照表[聲韻調], "")</f>
        <v>調</v>
      </c>
      <c r="J58" s="381">
        <f xml:space="preserve"> _xlfn.XLOOKUP(按鍵設計表[[#This Row],[台語音標]], 注音編碼對照表[台語音標], 注音編碼對照表[十五音], "")</f>
        <v>0</v>
      </c>
      <c r="K58" s="381">
        <f xml:space="preserve"> _xlfn.XLOOKUP(按鍵設計表[[#This Row],[台語音標]], 注音編碼對照表[台語音標], 注音編碼對照表[注音二式], "")</f>
        <v>5</v>
      </c>
      <c r="L58" s="381">
        <f xml:space="preserve"> _xlfn.XLOOKUP(按鍵設計表[[#This Row],[台語音標]], 注音編碼對照表[台語音標], 注音編碼對照表[台羅拼音], "")</f>
        <v>5</v>
      </c>
      <c r="M58" s="381">
        <f xml:space="preserve"> _xlfn.XLOOKUP(按鍵設計表[[#This Row],[台語音標]], 注音編碼對照表[台語音標], 注音編碼對照表[白話字], "")</f>
        <v>5</v>
      </c>
      <c r="N58" s="381">
        <f xml:space="preserve"> _xlfn.XLOOKUP(按鍵設計表[[#This Row],[台語音標]], 注音編碼對照表[台語音標], 注音編碼對照表[閩拼方案], "")</f>
        <v>2</v>
      </c>
      <c r="O58" s="382"/>
      <c r="P58" s="306"/>
      <c r="Q58" s="306">
        <f>LEN(按鍵設計表[[#This Row],[注音符號]])</f>
        <v>1</v>
      </c>
      <c r="R58" s="264"/>
      <c r="S58" s="265">
        <f t="shared" si="4"/>
        <v>54</v>
      </c>
      <c r="T58" s="249">
        <f t="shared" si="2"/>
        <v>54</v>
      </c>
      <c r="U58" s="246" t="s">
        <v>278</v>
      </c>
      <c r="V58" s="245" t="s">
        <v>64</v>
      </c>
      <c r="W58" s="322" t="s">
        <v>249</v>
      </c>
      <c r="X58" s="245" t="s">
        <v>107</v>
      </c>
      <c r="Y58" s="245" t="s">
        <v>65</v>
      </c>
      <c r="Z58" s="245" t="s">
        <v>107</v>
      </c>
      <c r="AA58" s="245" t="s">
        <v>7734</v>
      </c>
      <c r="AB58" s="259"/>
      <c r="AC58" s="265"/>
      <c r="AD58" s="48">
        <v>56</v>
      </c>
      <c r="AE58" s="54" t="s">
        <v>114</v>
      </c>
      <c r="AF58" s="56">
        <v>5</v>
      </c>
      <c r="AG58" s="86" t="s">
        <v>74</v>
      </c>
      <c r="AH58" s="59">
        <v>5</v>
      </c>
      <c r="AI58" s="177"/>
      <c r="AJ58" s="177"/>
      <c r="AK58" s="177"/>
      <c r="AL58" s="177"/>
    </row>
    <row r="59" spans="2:38" ht="39">
      <c r="B59" s="383">
        <f t="shared" si="0"/>
        <v>55</v>
      </c>
      <c r="C59" s="462" t="s">
        <v>8418</v>
      </c>
      <c r="D59" s="381"/>
      <c r="E59" s="381" t="s">
        <v>165</v>
      </c>
      <c r="F59" s="381"/>
      <c r="G59" s="381" t="s">
        <v>89</v>
      </c>
      <c r="H59" s="381"/>
      <c r="I59" s="381" t="str">
        <f xml:space="preserve"> _xlfn.XLOOKUP(按鍵設計表[[#This Row],[台語音標]], 注音編碼對照表[台語音標], 注音編碼對照表[聲韻調], "")</f>
        <v/>
      </c>
      <c r="J59" s="389" t="s">
        <v>8512</v>
      </c>
      <c r="K59" s="389" t="s">
        <v>8512</v>
      </c>
      <c r="L59" s="389" t="s">
        <v>8462</v>
      </c>
      <c r="M59" s="389" t="s">
        <v>8462</v>
      </c>
      <c r="N59" s="389" t="s">
        <v>8513</v>
      </c>
      <c r="O59" s="385" t="s">
        <v>8487</v>
      </c>
      <c r="P59" s="306"/>
      <c r="Q59" s="306">
        <f>LEN(按鍵設計表[[#This Row],[注音符號]])</f>
        <v>1</v>
      </c>
      <c r="R59" s="264"/>
      <c r="S59" s="265">
        <f t="shared" si="4"/>
        <v>55</v>
      </c>
      <c r="T59" s="249">
        <f t="shared" si="2"/>
        <v>55</v>
      </c>
      <c r="U59" s="183" t="s">
        <v>280</v>
      </c>
      <c r="V59" s="226" t="s">
        <v>48</v>
      </c>
      <c r="W59" s="319" t="s">
        <v>305</v>
      </c>
      <c r="X59" s="226" t="s">
        <v>94</v>
      </c>
      <c r="Y59" s="226" t="s">
        <v>59</v>
      </c>
      <c r="Z59" s="226" t="s">
        <v>94</v>
      </c>
      <c r="AA59" s="226" t="s">
        <v>7734</v>
      </c>
      <c r="AB59" s="258" t="s">
        <v>8372</v>
      </c>
      <c r="AC59" s="265"/>
      <c r="AD59" s="48">
        <v>57</v>
      </c>
      <c r="AE59" s="54" t="s">
        <v>111</v>
      </c>
      <c r="AF59" s="56">
        <v>7</v>
      </c>
      <c r="AG59" s="86" t="s">
        <v>75</v>
      </c>
      <c r="AH59" s="59">
        <v>7</v>
      </c>
      <c r="AI59" s="177"/>
      <c r="AJ59" s="177"/>
      <c r="AK59" s="177"/>
      <c r="AL59" s="177"/>
    </row>
    <row r="60" spans="2:38" ht="39">
      <c r="B60" s="383">
        <f t="shared" si="0"/>
        <v>56</v>
      </c>
      <c r="C60" s="412" t="s">
        <v>276</v>
      </c>
      <c r="D60" s="413"/>
      <c r="E60" s="413" t="s">
        <v>8566</v>
      </c>
      <c r="F60" s="413"/>
      <c r="G60" s="413" t="s">
        <v>8381</v>
      </c>
      <c r="H60" s="413"/>
      <c r="I60" s="381" t="str">
        <f xml:space="preserve"> _xlfn.XLOOKUP(按鍵設計表[[#This Row],[台語音標]], 注音編碼對照表[台語音標], 注音編碼對照表[聲韻調], "")</f>
        <v/>
      </c>
      <c r="J60" s="413">
        <v>0</v>
      </c>
      <c r="K60" s="413">
        <v>0</v>
      </c>
      <c r="L60" s="413">
        <v>0</v>
      </c>
      <c r="M60" s="413">
        <v>0</v>
      </c>
      <c r="N60" s="413">
        <v>0</v>
      </c>
      <c r="O60" s="382" t="s">
        <v>8567</v>
      </c>
      <c r="P60" s="306"/>
      <c r="Q60" s="306">
        <f>LEN(按鍵設計表[[#This Row],[注音符號]])</f>
        <v>1</v>
      </c>
      <c r="R60" s="264"/>
      <c r="S60" s="265">
        <f t="shared" si="4"/>
        <v>56</v>
      </c>
      <c r="T60" s="249">
        <f t="shared" si="2"/>
        <v>56</v>
      </c>
      <c r="U60" s="179" t="s">
        <v>53</v>
      </c>
      <c r="V60" s="224" t="s">
        <v>8377</v>
      </c>
      <c r="W60" s="318" t="s">
        <v>270</v>
      </c>
      <c r="X60" s="224" t="s">
        <v>8376</v>
      </c>
      <c r="Y60" s="224" t="s">
        <v>8376</v>
      </c>
      <c r="Z60" s="224" t="s">
        <v>8376</v>
      </c>
      <c r="AA60" s="224" t="s">
        <v>7510</v>
      </c>
      <c r="AB60" s="257" t="s">
        <v>8378</v>
      </c>
      <c r="AC60" s="265"/>
      <c r="AD60" s="48">
        <v>58</v>
      </c>
      <c r="AE60" s="54" t="s">
        <v>108</v>
      </c>
      <c r="AF60" s="56">
        <v>0</v>
      </c>
      <c r="AG60" s="86" t="s">
        <v>76</v>
      </c>
      <c r="AH60" s="59">
        <v>48</v>
      </c>
      <c r="AI60" s="177"/>
      <c r="AJ60" s="177"/>
      <c r="AK60" s="177"/>
      <c r="AL60" s="177"/>
    </row>
    <row r="61" spans="2:38" ht="39.75" thickBot="1">
      <c r="B61" s="383">
        <f t="shared" si="0"/>
        <v>57</v>
      </c>
      <c r="C61" s="391" t="s">
        <v>8370</v>
      </c>
      <c r="D61" s="392"/>
      <c r="E61" s="392"/>
      <c r="F61" s="392"/>
      <c r="G61" s="392" t="s">
        <v>8377</v>
      </c>
      <c r="H61" s="392"/>
      <c r="I61" s="381" t="str">
        <f xml:space="preserve"> _xlfn.XLOOKUP(按鍵設計表[[#This Row],[台語音標]], 注音編碼對照表[台語音標], 注音編碼對照表[聲韻調], "")</f>
        <v/>
      </c>
      <c r="J61" s="392" t="s">
        <v>8376</v>
      </c>
      <c r="K61" s="392" t="s">
        <v>8376</v>
      </c>
      <c r="L61" s="392" t="s">
        <v>8427</v>
      </c>
      <c r="M61" s="392" t="s">
        <v>8427</v>
      </c>
      <c r="N61" s="392" t="s">
        <v>8376</v>
      </c>
      <c r="O61" s="426" t="s">
        <v>8568</v>
      </c>
      <c r="P61" s="306"/>
      <c r="Q61" s="306">
        <f>LEN(按鍵設計表[[#This Row],[注音符號]])</f>
        <v>1</v>
      </c>
      <c r="R61" s="264"/>
      <c r="S61" s="265">
        <f t="shared" si="4"/>
        <v>57</v>
      </c>
      <c r="T61" s="249">
        <f t="shared" si="2"/>
        <v>57</v>
      </c>
      <c r="U61" s="179" t="s">
        <v>284</v>
      </c>
      <c r="V61" s="224" t="s">
        <v>89</v>
      </c>
      <c r="W61" s="318" t="s">
        <v>140</v>
      </c>
      <c r="X61" s="224" t="s">
        <v>8380</v>
      </c>
      <c r="Y61" s="224" t="s">
        <v>8364</v>
      </c>
      <c r="Z61" s="224" t="s">
        <v>8380</v>
      </c>
      <c r="AA61" s="224" t="s">
        <v>7510</v>
      </c>
      <c r="AB61" s="257" t="s">
        <v>8395</v>
      </c>
      <c r="AC61" s="265"/>
      <c r="AD61" s="177"/>
      <c r="AE61" s="177"/>
      <c r="AF61" s="177"/>
      <c r="AG61" s="177"/>
      <c r="AH61" s="177"/>
      <c r="AI61" s="177"/>
      <c r="AJ61" s="177"/>
      <c r="AK61" s="177"/>
      <c r="AL61" s="177"/>
    </row>
    <row r="62" spans="2:38" ht="25.5">
      <c r="P62" s="306"/>
      <c r="Q62" s="306"/>
      <c r="R62" s="264"/>
      <c r="S62" s="265"/>
      <c r="T62" s="211"/>
      <c r="U62" s="211"/>
      <c r="V62" s="211"/>
      <c r="W62" s="211"/>
      <c r="Y62" s="211"/>
      <c r="AC62" s="265"/>
      <c r="AD62" s="177"/>
      <c r="AE62" s="177"/>
      <c r="AF62" s="177"/>
      <c r="AG62" s="177"/>
      <c r="AH62" s="177"/>
      <c r="AI62" s="177"/>
      <c r="AJ62" s="177"/>
      <c r="AK62" s="177"/>
      <c r="AL62" s="177"/>
    </row>
    <row r="63" spans="2:38" ht="25.5">
      <c r="P63" s="306"/>
      <c r="Q63" s="306"/>
      <c r="R63" s="264"/>
      <c r="S63" s="265"/>
      <c r="T63" s="211"/>
      <c r="U63" s="211"/>
      <c r="V63" s="211"/>
      <c r="W63" s="211"/>
      <c r="Y63" s="211"/>
      <c r="AC63" s="265"/>
      <c r="AD63" s="177"/>
      <c r="AE63" s="177"/>
      <c r="AF63" s="177"/>
      <c r="AG63" s="177"/>
      <c r="AH63" s="177"/>
      <c r="AI63" s="177"/>
      <c r="AJ63" s="177"/>
      <c r="AK63" s="177"/>
      <c r="AL63" s="177"/>
    </row>
    <row r="65" spans="2:15" ht="32.25">
      <c r="B65" s="463">
        <v>55</v>
      </c>
      <c r="C65" s="183" t="s">
        <v>8562</v>
      </c>
      <c r="D65" s="226">
        <v>4</v>
      </c>
      <c r="E65" s="226" t="s">
        <v>8565</v>
      </c>
      <c r="F65" s="226"/>
      <c r="G65" s="226" t="s">
        <v>8337</v>
      </c>
      <c r="H65" s="226" t="s">
        <v>8337</v>
      </c>
      <c r="I65" s="226" t="s">
        <v>8337</v>
      </c>
      <c r="J65" s="226" t="s">
        <v>8337</v>
      </c>
      <c r="K65" s="226" t="s">
        <v>8337</v>
      </c>
      <c r="L65" s="226" t="s">
        <v>8337</v>
      </c>
      <c r="M65" s="226" t="s">
        <v>8337</v>
      </c>
      <c r="N65" s="226" t="s">
        <v>8337</v>
      </c>
      <c r="O65" s="464"/>
    </row>
    <row r="66" spans="2:15" ht="33" thickBot="1">
      <c r="B66" s="465">
        <v>56</v>
      </c>
      <c r="C66" s="466" t="s">
        <v>8562</v>
      </c>
      <c r="D66" s="467">
        <v>8</v>
      </c>
      <c r="E66" s="467" t="s">
        <v>8565</v>
      </c>
      <c r="F66" s="467"/>
      <c r="G66" s="467" t="s">
        <v>8337</v>
      </c>
      <c r="H66" s="467" t="s">
        <v>8337</v>
      </c>
      <c r="I66" s="410" t="s">
        <v>8337</v>
      </c>
      <c r="J66" s="467" t="s">
        <v>8337</v>
      </c>
      <c r="K66" s="467" t="s">
        <v>8337</v>
      </c>
      <c r="L66" s="467" t="s">
        <v>8337</v>
      </c>
      <c r="M66" s="467" t="s">
        <v>8337</v>
      </c>
      <c r="N66" s="467" t="s">
        <v>8337</v>
      </c>
      <c r="O66" s="468" t="s">
        <v>8563</v>
      </c>
    </row>
    <row r="69" spans="2:15">
      <c r="D69" s="177" t="s">
        <v>8617</v>
      </c>
      <c r="I69" s="177" t="s">
        <v>8616</v>
      </c>
    </row>
    <row r="70" spans="2:15">
      <c r="C70" s="473" t="s">
        <v>5</v>
      </c>
      <c r="D70" s="470">
        <f xml:space="preserve"> _xlfn.UNICODE(C70)</f>
        <v>12549</v>
      </c>
      <c r="E70" s="471" t="str">
        <f xml:space="preserve"> _xlfn.UNICHAR(D70)</f>
        <v>ㄅ</v>
      </c>
      <c r="H70" s="472" t="s">
        <v>90</v>
      </c>
      <c r="I70" s="177">
        <f xml:space="preserve"> _xlfn.UNICODE(H70)</f>
        <v>12724</v>
      </c>
      <c r="J70" s="177" t="str">
        <f xml:space="preserve"> _xlfn.UNICHAR(I70)</f>
        <v>ㆴ</v>
      </c>
    </row>
    <row r="71" spans="2:15">
      <c r="C71" s="473" t="s">
        <v>11</v>
      </c>
      <c r="D71" s="470">
        <f t="shared" ref="D71:D73" si="5" xml:space="preserve"> _xlfn.UNICODE(C71)</f>
        <v>12553</v>
      </c>
      <c r="E71" s="471" t="str">
        <f t="shared" ref="E71:E73" si="6" xml:space="preserve"> _xlfn.UNICHAR(D71)</f>
        <v>ㄉ</v>
      </c>
      <c r="H71" s="472" t="s">
        <v>91</v>
      </c>
      <c r="I71" s="177">
        <f t="shared" ref="I71:I73" si="7" xml:space="preserve"> _xlfn.UNICODE(H71)</f>
        <v>12725</v>
      </c>
      <c r="J71" s="177" t="str">
        <f t="shared" ref="J71:J73" si="8" xml:space="preserve"> _xlfn.UNICHAR(I71)</f>
        <v>ㆵ</v>
      </c>
    </row>
    <row r="72" spans="2:15">
      <c r="C72" s="473" t="s">
        <v>17</v>
      </c>
      <c r="D72" s="470">
        <f t="shared" si="5"/>
        <v>12557</v>
      </c>
      <c r="E72" s="471" t="str">
        <f t="shared" si="6"/>
        <v>ㄍ</v>
      </c>
      <c r="H72" s="472" t="s">
        <v>92</v>
      </c>
      <c r="I72" s="177">
        <f t="shared" si="7"/>
        <v>12731</v>
      </c>
      <c r="J72" s="177" t="str">
        <f t="shared" si="8"/>
        <v>ㆻ</v>
      </c>
    </row>
    <row r="73" spans="2:15">
      <c r="C73" s="473" t="s">
        <v>31</v>
      </c>
      <c r="D73" s="470">
        <f t="shared" si="5"/>
        <v>12559</v>
      </c>
      <c r="E73" s="471" t="str">
        <f t="shared" si="6"/>
        <v>ㄏ</v>
      </c>
      <c r="H73" s="472" t="s">
        <v>93</v>
      </c>
      <c r="I73" s="177">
        <f t="shared" si="7"/>
        <v>12727</v>
      </c>
      <c r="J73" s="177" t="str">
        <f t="shared" si="8"/>
        <v>ㆷ</v>
      </c>
    </row>
  </sheetData>
  <sortState xmlns:xlrd2="http://schemas.microsoft.com/office/spreadsheetml/2017/richdata2" ref="S5:AB59">
    <sortCondition ref="T5:T59"/>
  </sortState>
  <phoneticPr fontId="7" type="noConversion"/>
  <conditionalFormatting sqref="B5:O37 S5:S63 AC5:AC63 B38:F38 H38:O38 B39:O61">
    <cfRule type="cellIs" dxfId="10" priority="8" operator="equal">
      <formula>CHAR(32)</formula>
    </cfRule>
  </conditionalFormatting>
  <conditionalFormatting sqref="B65:O66">
    <cfRule type="cellIs" dxfId="9" priority="2" operator="equal">
      <formula>CHAR(32)</formula>
    </cfRule>
  </conditionalFormatting>
  <conditionalFormatting sqref="G38">
    <cfRule type="cellIs" dxfId="8" priority="1" operator="equal">
      <formula>CHAR(32)</formula>
    </cfRule>
  </conditionalFormatting>
  <conditionalFormatting sqref="AE55">
    <cfRule type="cellIs" dxfId="7" priority="6" operator="equal">
      <formula>CHAR(32)</formula>
    </cfRule>
  </conditionalFormatting>
  <conditionalFormatting sqref="AJ5:AN14">
    <cfRule type="cellIs" dxfId="6" priority="7" operator="equal">
      <formula>CHAR(32)</formula>
    </cfRule>
  </conditionalFormatting>
  <pageMargins left="0.7" right="0.7" top="0.75" bottom="0.75" header="0.3" footer="0.3"/>
  <pageSetup paperSize="9" orientation="portrait" horizontalDpi="200" verticalDpi="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3E999-75E3-4E19-90D8-DB3A33B9C175}">
  <sheetPr>
    <tabColor rgb="FFFF0000"/>
  </sheetPr>
  <dimension ref="A1:DA75"/>
  <sheetViews>
    <sheetView tabSelected="1" topLeftCell="A42" zoomScale="70" zoomScaleNormal="70" workbookViewId="0">
      <selection activeCell="AV52" sqref="AV52"/>
    </sheetView>
  </sheetViews>
  <sheetFormatPr defaultColWidth="7.19921875" defaultRowHeight="36"/>
  <cols>
    <col min="1" max="1" width="2" style="13" customWidth="1"/>
    <col min="2" max="58" width="6.59765625" style="13" customWidth="1"/>
    <col min="59" max="64" width="5.796875" style="13" customWidth="1"/>
    <col min="65" max="66" width="7.19921875" style="13"/>
    <col min="67" max="67" width="6.19921875" style="13" customWidth="1"/>
    <col min="68" max="68" width="13.69921875" style="20" customWidth="1"/>
    <col min="69" max="69" width="13.69921875" style="289" customWidth="1"/>
    <col min="70" max="73" width="13.69921875" style="13" customWidth="1"/>
    <col min="74" max="74" width="7.19921875" style="13"/>
    <col min="75" max="75" width="62.296875" style="145" customWidth="1"/>
    <col min="76" max="76" width="7.19921875" style="21" customWidth="1"/>
    <col min="78" max="78" width="15.19921875" customWidth="1"/>
    <col min="79" max="83" width="15.19921875" style="13" customWidth="1"/>
    <col min="84" max="84" width="7.19921875" style="13"/>
    <col min="85" max="85" width="43.19921875" style="288" customWidth="1"/>
    <col min="86" max="86" width="63.19921875" style="459" customWidth="1"/>
    <col min="88" max="88" width="15.19921875" style="13" customWidth="1"/>
    <col min="89" max="89" width="15.19921875" customWidth="1"/>
    <col min="90" max="93" width="15.19921875" style="13" customWidth="1"/>
    <col min="94" max="94" width="7.19921875" style="13"/>
    <col min="95" max="95" width="52.19921875" style="288" customWidth="1"/>
    <col min="96" max="96" width="63.19921875" style="459" customWidth="1"/>
    <col min="97" max="97" width="7.19921875" style="13"/>
    <col min="98" max="98" width="15.19921875" customWidth="1"/>
    <col min="99" max="103" width="15.19921875" style="13" customWidth="1"/>
    <col min="104" max="104" width="7.19921875" style="13"/>
    <col min="105" max="105" width="52.19921875" style="288" customWidth="1"/>
    <col min="106" max="16384" width="7.19921875" style="13"/>
  </cols>
  <sheetData>
    <row r="1" spans="1:105" ht="45" customHeight="1" thickBo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9"/>
      <c r="AS1" s="19"/>
      <c r="AT1" s="18"/>
      <c r="AU1" s="18"/>
      <c r="AV1" s="18"/>
      <c r="BZ1" s="290" t="s">
        <v>8341</v>
      </c>
      <c r="CA1" s="14"/>
      <c r="CF1" s="288"/>
      <c r="CG1" s="459"/>
      <c r="CJ1" s="290" t="s">
        <v>8341</v>
      </c>
      <c r="CK1" s="290" t="s">
        <v>8341</v>
      </c>
      <c r="CP1" s="288"/>
      <c r="CQ1" s="13"/>
      <c r="CT1" s="290" t="s">
        <v>8341</v>
      </c>
      <c r="CU1" s="14"/>
      <c r="CZ1" s="288"/>
      <c r="DA1" s="13"/>
    </row>
    <row r="2" spans="1:105" s="14" customFormat="1" ht="45" customHeight="1">
      <c r="A2" s="22"/>
      <c r="B2" s="272" t="s">
        <v>286</v>
      </c>
      <c r="C2" s="273"/>
      <c r="D2" s="274"/>
      <c r="E2" s="272" t="s">
        <v>287</v>
      </c>
      <c r="F2" s="273"/>
      <c r="G2" s="274"/>
      <c r="H2" s="275" t="s">
        <v>288</v>
      </c>
      <c r="I2" s="276"/>
      <c r="J2" s="277"/>
      <c r="K2" s="275" t="s">
        <v>289</v>
      </c>
      <c r="L2" s="276"/>
      <c r="M2" s="277"/>
      <c r="N2" s="278">
        <v>0.05</v>
      </c>
      <c r="O2" s="279"/>
      <c r="P2" s="280"/>
      <c r="Q2" s="275" t="s">
        <v>290</v>
      </c>
      <c r="R2" s="276"/>
      <c r="S2" s="277"/>
      <c r="T2" s="275" t="s">
        <v>291</v>
      </c>
      <c r="U2" s="276"/>
      <c r="V2" s="277"/>
      <c r="W2" s="281" t="s">
        <v>292</v>
      </c>
      <c r="X2" s="282"/>
      <c r="Y2" s="283"/>
      <c r="Z2" s="281" t="s">
        <v>293</v>
      </c>
      <c r="AA2" s="282"/>
      <c r="AB2" s="283"/>
      <c r="AC2" s="281" t="s">
        <v>294</v>
      </c>
      <c r="AD2" s="282"/>
      <c r="AE2" s="283"/>
      <c r="AF2" s="284" t="s">
        <v>295</v>
      </c>
      <c r="AG2" s="285"/>
      <c r="AH2" s="286"/>
      <c r="AI2" s="284" t="s">
        <v>296</v>
      </c>
      <c r="AJ2" s="285"/>
      <c r="AK2" s="286"/>
      <c r="AL2" s="22"/>
      <c r="AM2" s="22"/>
      <c r="AN2" s="22"/>
      <c r="AO2" s="22"/>
      <c r="AP2" s="22"/>
      <c r="AQ2" s="22"/>
      <c r="AR2" s="23"/>
      <c r="AS2" s="23"/>
      <c r="AT2" s="22"/>
      <c r="AU2" s="22"/>
      <c r="AV2" s="22"/>
      <c r="BO2" s="13"/>
      <c r="BP2" s="20"/>
      <c r="BQ2" s="289"/>
      <c r="BR2" s="13"/>
      <c r="BS2" s="13"/>
      <c r="BT2" s="13"/>
      <c r="BU2" s="13"/>
      <c r="BV2" s="13"/>
      <c r="BW2" s="145"/>
      <c r="BX2" s="21"/>
      <c r="BZ2" s="287" t="s">
        <v>8342</v>
      </c>
      <c r="CF2" s="288"/>
      <c r="CG2" s="459"/>
      <c r="CH2" s="459"/>
      <c r="CJ2" s="287" t="s">
        <v>8344</v>
      </c>
      <c r="CK2" s="287" t="s">
        <v>8348</v>
      </c>
      <c r="CP2" s="288"/>
      <c r="CR2" s="459"/>
      <c r="CS2" s="13"/>
      <c r="CT2" s="460" t="s">
        <v>8343</v>
      </c>
      <c r="CZ2" s="288"/>
    </row>
    <row r="3" spans="1:105" s="14" customFormat="1" ht="45" customHeight="1">
      <c r="A3" s="22"/>
      <c r="B3" s="26" t="s">
        <v>9</v>
      </c>
      <c r="C3" s="123"/>
      <c r="D3" s="124" t="s">
        <v>123</v>
      </c>
      <c r="E3" s="125"/>
      <c r="F3" s="123"/>
      <c r="G3" s="122"/>
      <c r="H3" s="126"/>
      <c r="I3" s="127"/>
      <c r="J3" s="128"/>
      <c r="K3" s="126"/>
      <c r="L3" s="127"/>
      <c r="M3" s="128"/>
      <c r="N3" s="129"/>
      <c r="O3" s="130"/>
      <c r="P3" s="131"/>
      <c r="Q3" s="126"/>
      <c r="R3" s="127"/>
      <c r="S3" s="128"/>
      <c r="T3" s="126"/>
      <c r="U3" s="127"/>
      <c r="V3" s="128"/>
      <c r="W3" s="27" t="s">
        <v>81</v>
      </c>
      <c r="X3" s="132"/>
      <c r="Y3" s="133" t="s">
        <v>163</v>
      </c>
      <c r="Z3" s="27" t="s">
        <v>82</v>
      </c>
      <c r="AA3" s="134">
        <v>0</v>
      </c>
      <c r="AB3" s="133" t="s">
        <v>159</v>
      </c>
      <c r="AC3" s="135"/>
      <c r="AD3" s="132"/>
      <c r="AE3" s="136"/>
      <c r="AF3" s="137"/>
      <c r="AG3" s="138"/>
      <c r="AH3" s="139"/>
      <c r="AI3" s="137"/>
      <c r="AJ3" s="138"/>
      <c r="AK3" s="139"/>
      <c r="AL3" s="22"/>
      <c r="AM3" s="22"/>
      <c r="AN3" s="22"/>
      <c r="AO3" s="22"/>
      <c r="AP3" s="22"/>
      <c r="AQ3" s="22"/>
      <c r="AR3" s="23"/>
      <c r="AS3" s="23"/>
      <c r="AT3" s="22"/>
      <c r="AU3" s="22"/>
      <c r="AV3" s="22"/>
      <c r="BO3" s="3" t="s">
        <v>297</v>
      </c>
      <c r="BP3" s="24"/>
      <c r="BQ3" s="6"/>
      <c r="BR3" s="6"/>
      <c r="BS3" s="13"/>
      <c r="BT3" s="6"/>
      <c r="BU3" s="6"/>
      <c r="BW3" s="145"/>
      <c r="BX3" s="25"/>
      <c r="CG3" s="288"/>
      <c r="CH3" s="459"/>
      <c r="CQ3" s="288"/>
      <c r="CR3" s="459"/>
      <c r="CS3" s="13"/>
      <c r="DA3" s="288"/>
    </row>
    <row r="4" spans="1:105" ht="45" customHeight="1" thickBot="1">
      <c r="A4" s="28"/>
      <c r="B4" s="29" t="s">
        <v>5</v>
      </c>
      <c r="C4" s="30"/>
      <c r="D4" s="31" t="s">
        <v>134</v>
      </c>
      <c r="E4" s="29" t="s">
        <v>11</v>
      </c>
      <c r="F4" s="30"/>
      <c r="G4" s="32" t="s">
        <v>202</v>
      </c>
      <c r="H4" s="498" t="str">
        <f xml:space="preserve"> _xlfn.UNICHAR(HEX2DEC(RIGHT("U+02EA",4)))</f>
        <v>˪</v>
      </c>
      <c r="I4" s="499"/>
      <c r="J4" s="502" t="s">
        <v>298</v>
      </c>
      <c r="K4" s="500" t="s">
        <v>72</v>
      </c>
      <c r="L4" s="501"/>
      <c r="M4" s="502" t="s">
        <v>299</v>
      </c>
      <c r="N4" s="498" t="s">
        <v>75</v>
      </c>
      <c r="O4" s="499"/>
      <c r="P4" s="502" t="s">
        <v>300</v>
      </c>
      <c r="Q4" s="500" t="s">
        <v>74</v>
      </c>
      <c r="R4" s="501"/>
      <c r="S4" s="502" t="s">
        <v>301</v>
      </c>
      <c r="T4" s="500" t="s">
        <v>302</v>
      </c>
      <c r="U4" s="499"/>
      <c r="V4" s="502" t="s">
        <v>303</v>
      </c>
      <c r="W4" s="312" t="s">
        <v>8375</v>
      </c>
      <c r="X4" s="35"/>
      <c r="Y4" s="36" t="s">
        <v>208</v>
      </c>
      <c r="Z4" s="34" t="s">
        <v>145</v>
      </c>
      <c r="AA4" s="37"/>
      <c r="AB4" s="38" t="s">
        <v>196</v>
      </c>
      <c r="AC4" s="34" t="s">
        <v>66</v>
      </c>
      <c r="AD4" s="35">
        <v>0</v>
      </c>
      <c r="AE4" s="36" t="s">
        <v>115</v>
      </c>
      <c r="AF4" s="362" t="s">
        <v>8379</v>
      </c>
      <c r="AG4" s="361"/>
      <c r="AH4" s="38" t="s">
        <v>8427</v>
      </c>
      <c r="AI4" s="360" t="s">
        <v>8425</v>
      </c>
      <c r="AJ4" s="35"/>
      <c r="AK4" s="38" t="s">
        <v>8426</v>
      </c>
      <c r="AL4" s="28"/>
      <c r="AM4" s="28"/>
      <c r="AN4" s="28"/>
      <c r="AO4" s="28"/>
      <c r="AP4" s="28"/>
      <c r="AQ4" s="28"/>
      <c r="AR4" s="19"/>
      <c r="AS4" s="19"/>
      <c r="AT4" s="28"/>
      <c r="AU4" s="28"/>
      <c r="AV4" s="28"/>
      <c r="BO4" s="2"/>
      <c r="BP4" s="358" t="s">
        <v>3</v>
      </c>
      <c r="BQ4" s="350" t="s">
        <v>8341</v>
      </c>
      <c r="BR4" s="351" t="s">
        <v>8365</v>
      </c>
      <c r="BS4" s="352" t="s">
        <v>8486</v>
      </c>
      <c r="BT4" s="350" t="s">
        <v>225</v>
      </c>
      <c r="BU4" s="353" t="s">
        <v>8340</v>
      </c>
      <c r="BV4" s="14"/>
      <c r="BX4" s="25"/>
      <c r="BZ4" s="359" t="s">
        <v>3</v>
      </c>
      <c r="CA4" s="309" t="s">
        <v>8341</v>
      </c>
      <c r="CB4" s="9" t="s">
        <v>8365</v>
      </c>
      <c r="CC4" s="310" t="s">
        <v>8217</v>
      </c>
      <c r="CD4" s="309" t="str">
        <f>輸入方案設計規格!$BT$4</f>
        <v>台語音標</v>
      </c>
      <c r="CE4" s="311" t="s">
        <v>8340</v>
      </c>
      <c r="CJ4" s="359" t="s">
        <v>3</v>
      </c>
      <c r="CK4" s="309" t="s">
        <v>8341</v>
      </c>
      <c r="CL4" s="9" t="s">
        <v>8365</v>
      </c>
      <c r="CM4" s="310" t="s">
        <v>8217</v>
      </c>
      <c r="CN4" s="309" t="str">
        <f>輸入方案設計規格!$BT$4</f>
        <v>台語音標</v>
      </c>
      <c r="CO4" s="311" t="s">
        <v>8340</v>
      </c>
      <c r="CT4" s="359" t="s">
        <v>3</v>
      </c>
      <c r="CU4" s="309" t="s">
        <v>8341</v>
      </c>
      <c r="CV4" s="9" t="s">
        <v>4</v>
      </c>
      <c r="CW4" s="310" t="s">
        <v>8217</v>
      </c>
      <c r="CX4" s="309" t="str">
        <f>輸入方案設計規格!$BT$4</f>
        <v>台語音標</v>
      </c>
      <c r="CY4" s="311" t="s">
        <v>8340</v>
      </c>
    </row>
    <row r="5" spans="1:105" s="14" customFormat="1" ht="45" customHeight="1">
      <c r="A5" s="22"/>
      <c r="B5" s="22"/>
      <c r="C5" s="272" t="s">
        <v>304</v>
      </c>
      <c r="D5" s="273"/>
      <c r="E5" s="274"/>
      <c r="F5" s="272" t="s">
        <v>305</v>
      </c>
      <c r="G5" s="273"/>
      <c r="H5" s="274"/>
      <c r="I5" s="272" t="s">
        <v>191</v>
      </c>
      <c r="J5" s="273"/>
      <c r="K5" s="274"/>
      <c r="L5" s="272" t="s">
        <v>306</v>
      </c>
      <c r="M5" s="273"/>
      <c r="N5" s="274"/>
      <c r="O5" s="272" t="s">
        <v>234</v>
      </c>
      <c r="P5" s="273"/>
      <c r="Q5" s="274"/>
      <c r="R5" s="272" t="s">
        <v>255</v>
      </c>
      <c r="S5" s="273"/>
      <c r="T5" s="274"/>
      <c r="U5" s="281" t="s">
        <v>153</v>
      </c>
      <c r="V5" s="282"/>
      <c r="W5" s="283"/>
      <c r="X5" s="281" t="s">
        <v>162</v>
      </c>
      <c r="Y5" s="282"/>
      <c r="Z5" s="283"/>
      <c r="AA5" s="281" t="s">
        <v>158</v>
      </c>
      <c r="AB5" s="282"/>
      <c r="AC5" s="283"/>
      <c r="AD5" s="281" t="s">
        <v>231</v>
      </c>
      <c r="AE5" s="282"/>
      <c r="AF5" s="283"/>
      <c r="AG5" s="275" t="s">
        <v>307</v>
      </c>
      <c r="AH5" s="276"/>
      <c r="AI5" s="277"/>
      <c r="AJ5" s="275" t="s">
        <v>308</v>
      </c>
      <c r="AK5" s="276"/>
      <c r="AL5" s="277"/>
      <c r="AM5" s="284" t="s">
        <v>309</v>
      </c>
      <c r="AN5" s="285"/>
      <c r="AO5" s="286"/>
      <c r="AP5" s="22"/>
      <c r="AQ5" s="22"/>
      <c r="AR5" s="23"/>
      <c r="AS5" s="23"/>
      <c r="AT5" s="22"/>
      <c r="AU5" s="22"/>
      <c r="AV5" s="22"/>
      <c r="BM5" s="447" t="str" cm="1">
        <f t="array" ref="BM5">INDEX($D$18:$BH$18, 1, $BO5)</f>
        <v>ㆠ</v>
      </c>
      <c r="BN5" s="447" t="str" cm="1">
        <f t="array" aca="1" ref="BN5" ca="1">INDIRECT(ADDRESS(17, COLUMN($D$18) + $BO5 - 1))</f>
        <v>!</v>
      </c>
      <c r="BO5" s="39">
        <f xml:space="preserve"> ROW() - 4</f>
        <v>1</v>
      </c>
      <c r="BP5" s="354" t="str" cm="1">
        <f t="array" ref="BP5:BP61">TRANSPOSE($D$18:$BH$18)</f>
        <v>ㆠ</v>
      </c>
      <c r="BQ5" s="355" t="str">
        <f xml:space="preserve"> _xlfn.XLOOKUP(BP5, 按鍵設計表[注音符號], 按鍵設計表[聲韻調], "")</f>
        <v>聲</v>
      </c>
      <c r="BR5" s="347" t="str" cm="1">
        <f t="array" ref="BR5:BR61">TRANSPOSE($D$17:$BH$17)</f>
        <v>!</v>
      </c>
      <c r="BS5" s="348" t="str" cm="1">
        <f t="array" ref="BS5:BS61">TRANSPOSE($D$19:$BH$19)</f>
        <v>b</v>
      </c>
      <c r="BT5" s="349" t="str" cm="1">
        <f t="array" ref="BT5:BT61">TRANSPOSE($D$20:$BH$20)</f>
        <v>b</v>
      </c>
      <c r="BU5" s="356">
        <f xml:space="preserve"> LEN(BT5)</f>
        <v>1</v>
      </c>
      <c r="BV5" s="13"/>
      <c r="BW5" s="146" t="str">
        <f xml:space="preserve"> "    """ &amp; BR6 &amp; """: { commit: """ &amp; BP6 &amp; """ }" &amp; "  # " &amp; "/" &amp; BT6 &amp; "/ ==&gt; " &amp; BS6</f>
        <v xml:space="preserve">    "1": { commit: "ㄅ" }  # /p/ ==&gt; p</v>
      </c>
      <c r="BX5" s="40"/>
      <c r="BY5" s="39">
        <f xml:space="preserve"> ROW() - 4</f>
        <v>1</v>
      </c>
      <c r="BZ5" s="354" t="str" cm="1">
        <f t="array" ref="BZ5:CE25" xml:space="preserve"> _xlfn._xlws.FILTER(BP5:BU61,(BQ5:BQ61=BZ2))</f>
        <v>ㆠ</v>
      </c>
      <c r="CA5" s="355" t="str">
        <v>聲</v>
      </c>
      <c r="CB5" s="347" t="str">
        <v>!</v>
      </c>
      <c r="CC5" s="348" t="str">
        <v>b</v>
      </c>
      <c r="CD5" s="349" t="str">
        <v>b</v>
      </c>
      <c r="CE5" s="356">
        <v>1</v>
      </c>
      <c r="CG5" s="288" t="str">
        <f xml:space="preserve"> IF( OR(CD5=0, CC5=CD5), "", "    - xform/^" &amp; CD5 &amp; "/" &amp; CC5 &amp; "/    # " &amp; BZ5 &amp; " [ " &amp; CD5 &amp; "]")</f>
        <v/>
      </c>
      <c r="CH5" s="459" t="str" cm="1">
        <f t="array" ref="CH5:CH13">_xlfn._xlws.FILTER(CG5:CG61, CG5:CG61&lt;&gt;"")</f>
        <v xml:space="preserve">    - xform/^ph/P/    # ㄆ [ ph]</v>
      </c>
      <c r="CI5" s="39">
        <f xml:space="preserve"> ROW() - 4</f>
        <v>1</v>
      </c>
      <c r="CJ5" s="354" t="str" cm="1">
        <f t="array" ref="CJ5:CO28" xml:space="preserve"> _xlfn._xlws.FILTER(BP5:BU61,(BQ5:BQ61=CJ2)*(BQ5:BQ61&lt;&gt;CK2))</f>
        <v>ㄚ</v>
      </c>
      <c r="CK5" s="355" t="str">
        <v>韻</v>
      </c>
      <c r="CL5" s="347" t="str">
        <v>8</v>
      </c>
      <c r="CM5" s="348" t="str">
        <v>a</v>
      </c>
      <c r="CN5" s="349" t="str">
        <v>a</v>
      </c>
      <c r="CO5" s="356">
        <v>1</v>
      </c>
      <c r="CQ5" s="288" t="str">
        <f xml:space="preserve"> IFERROR( IF(OR(CN5=0, CM5=CN5), "", IF(CL5=CM5, "", "    - xform/" &amp; CN5 &amp; "/" &amp; CM5 &amp; "/  # " &amp; CJ5 &amp; " [" &amp; CP5 &amp; CN5 &amp; "]")), "")</f>
        <v/>
      </c>
      <c r="CR5" s="459" t="str" cm="1">
        <f t="array" ref="CR5:CR22">_xlfn._xlws.FILTER(CQ5:CQ61, CQ5:CQ61&lt;&gt;"")</f>
        <v xml:space="preserve">    - xform/ir/w/  # ㆨ [ir]</v>
      </c>
      <c r="CT5" s="354" t="str" cm="1">
        <f t="array" ref="CT5:CY9" xml:space="preserve"> _xlfn._xlws.FILTER(BP5:BU61,(BQ5:BQ61=CT2))</f>
        <v>˙</v>
      </c>
      <c r="CU5" s="355" t="str">
        <v>調</v>
      </c>
      <c r="CV5" s="347">
        <v>7</v>
      </c>
      <c r="CW5" s="348">
        <v>0</v>
      </c>
      <c r="CX5" s="349">
        <v>0</v>
      </c>
      <c r="CY5" s="356">
        <v>1</v>
      </c>
      <c r="DA5" s="288" t="str">
        <f xml:space="preserve"> IF(CX5=0, "", "    - xform/" &amp; CX5 &amp; "/" &amp; CT5 &amp; "/    # 按鍵：" &amp; CV5 &amp; " [ 第 " &amp; CX5 &amp; " 調 ]")</f>
        <v/>
      </c>
    </row>
    <row r="6" spans="1:105" s="14" customFormat="1" ht="45" customHeight="1">
      <c r="A6" s="22"/>
      <c r="B6" s="22"/>
      <c r="C6" s="125"/>
      <c r="D6" s="123"/>
      <c r="E6" s="122"/>
      <c r="F6" s="125"/>
      <c r="G6" s="123"/>
      <c r="H6" s="122"/>
      <c r="I6" s="26" t="s">
        <v>21</v>
      </c>
      <c r="J6" s="123"/>
      <c r="K6" s="122" t="s">
        <v>22</v>
      </c>
      <c r="L6" s="140" t="s">
        <v>77</v>
      </c>
      <c r="M6" s="123"/>
      <c r="N6" s="141" t="s">
        <v>218</v>
      </c>
      <c r="O6" s="140"/>
      <c r="P6" s="142"/>
      <c r="Q6" s="141"/>
      <c r="R6" s="140" t="s">
        <v>27</v>
      </c>
      <c r="S6" s="123"/>
      <c r="T6" s="141" t="s">
        <v>28</v>
      </c>
      <c r="U6" s="27" t="s">
        <v>79</v>
      </c>
      <c r="V6" s="132"/>
      <c r="W6" s="133" t="s">
        <v>279</v>
      </c>
      <c r="X6" s="27" t="s">
        <v>85</v>
      </c>
      <c r="Y6" s="488" t="s">
        <v>516</v>
      </c>
      <c r="Z6" s="489"/>
      <c r="AA6" s="27" t="s">
        <v>87</v>
      </c>
      <c r="AB6" s="132"/>
      <c r="AC6" s="133" t="s">
        <v>130</v>
      </c>
      <c r="AD6" s="135"/>
      <c r="AE6" s="132"/>
      <c r="AF6" s="136"/>
      <c r="AG6" s="126"/>
      <c r="AH6" s="127"/>
      <c r="AI6" s="128"/>
      <c r="AJ6" s="126"/>
      <c r="AK6" s="127"/>
      <c r="AL6" s="128"/>
      <c r="AM6" s="27"/>
      <c r="AN6" s="143"/>
      <c r="AO6" s="144"/>
      <c r="AP6" s="22"/>
      <c r="AQ6" s="22"/>
      <c r="AR6" s="23"/>
      <c r="AS6" s="23"/>
      <c r="AT6" s="22"/>
      <c r="AU6" s="22"/>
      <c r="AV6" s="22"/>
      <c r="BM6" s="447" t="str" cm="1">
        <f t="array" ref="BM6">INDEX($D$18:$BH$18, 1, $BO6)</f>
        <v>ㄅ</v>
      </c>
      <c r="BN6" s="447" t="str" cm="1">
        <f t="array" aca="1" ref="BN6" ca="1">INDIRECT(ADDRESS(17, COLUMN($D$18) + $BO6 - 1))</f>
        <v>1</v>
      </c>
      <c r="BO6" s="39">
        <f t="shared" ref="BO6:BO61" si="0" xml:space="preserve"> ROW() - 4</f>
        <v>2</v>
      </c>
      <c r="BP6" s="354" t="str">
        <v>ㄅ</v>
      </c>
      <c r="BQ6" s="355" t="str">
        <f xml:space="preserve"> _xlfn.XLOOKUP(BP6, 按鍵設計表[注音符號], 按鍵設計表[聲韻調], "")</f>
        <v>聲</v>
      </c>
      <c r="BR6" s="347" t="str">
        <v>1</v>
      </c>
      <c r="BS6" s="348" t="str">
        <v>p</v>
      </c>
      <c r="BT6" s="349" t="str">
        <v>p</v>
      </c>
      <c r="BU6" s="356">
        <f t="shared" ref="BU6:BU58" si="1" xml:space="preserve"> LEN(BT6)</f>
        <v>1</v>
      </c>
      <c r="BW6" s="146" t="str">
        <f xml:space="preserve"> "    """ &amp; BR5 &amp; """: { commit: """ &amp; BP5 &amp; """ }" &amp; "  # " &amp; "/" &amp; BT5 &amp; "/ ==&gt; " &amp; BS5</f>
        <v xml:space="preserve">    "!": { commit: "ㆠ" }  # /b/ ==&gt; b</v>
      </c>
      <c r="BX6" s="40"/>
      <c r="BY6" s="39">
        <f t="shared" ref="BY6:BY61" si="2" xml:space="preserve"> ROW() - 4</f>
        <v>2</v>
      </c>
      <c r="BZ6" s="354" t="str">
        <v>ㄅ</v>
      </c>
      <c r="CA6" s="355" t="str">
        <v>聲</v>
      </c>
      <c r="CB6" s="347" t="str">
        <v>1</v>
      </c>
      <c r="CC6" s="348" t="str">
        <v>p</v>
      </c>
      <c r="CD6" s="349" t="str">
        <v>p</v>
      </c>
      <c r="CE6" s="356">
        <v>1</v>
      </c>
      <c r="CG6" s="288" t="str">
        <f t="shared" ref="CG6:CG55" si="3" xml:space="preserve"> IF( OR(CD6=0, CC6=CD6), "", "    - xform/^" &amp; CD6 &amp; "/" &amp; CC6 &amp; "/    # " &amp; BZ6 &amp; " [ " &amp; CD6 &amp; "]")</f>
        <v/>
      </c>
      <c r="CH6" s="459" t="str">
        <v xml:space="preserve">    - xform/^th/T/    # ㄊ [ th]</v>
      </c>
      <c r="CI6" s="39">
        <f t="shared" ref="CI6:CI61" si="4" xml:space="preserve"> ROW() - 4</f>
        <v>2</v>
      </c>
      <c r="CJ6" s="354" t="str">
        <v>ㄧ</v>
      </c>
      <c r="CK6" s="355" t="str">
        <v>韻</v>
      </c>
      <c r="CL6" s="347" t="str">
        <v>u</v>
      </c>
      <c r="CM6" s="348" t="str">
        <v>i</v>
      </c>
      <c r="CN6" s="349" t="str">
        <v>i</v>
      </c>
      <c r="CO6" s="356">
        <v>1</v>
      </c>
      <c r="CQ6" s="288" t="str">
        <f t="shared" ref="CQ6:CQ27" si="5" xml:space="preserve"> IFERROR( IF(OR(CN6=0, CM6=CN6), "", IF(CL6=CM6, "", "    - xform/" &amp; CN6 &amp; "/" &amp; CM6 &amp; "/  # " &amp; CJ6 &amp; " [" &amp; CP6 &amp; CN6 &amp; "]")), "")</f>
        <v/>
      </c>
      <c r="CR6" s="459" t="str">
        <v xml:space="preserve">    - xform/oo/o/  # ㆦ [oo]</v>
      </c>
      <c r="CT6" s="354" t="str">
        <v>˫</v>
      </c>
      <c r="CU6" s="355" t="str">
        <v>調</v>
      </c>
      <c r="CV6" s="347">
        <v>5</v>
      </c>
      <c r="CW6" s="348">
        <v>7</v>
      </c>
      <c r="CX6" s="349">
        <v>7</v>
      </c>
      <c r="CY6" s="356">
        <v>1</v>
      </c>
      <c r="DA6" s="288" t="str">
        <f t="shared" ref="DA6:DA55" si="6" xml:space="preserve"> IF(CX6=0, "", "    - xform/" &amp; CX6 &amp; "/" &amp; CT6 &amp; "/    # 按鍵：" &amp; CV6 &amp; " [ 第 " &amp; CX6 &amp; " 調 ]")</f>
        <v xml:space="preserve">    - xform/7/˫/    # 按鍵：5 [ 第 7 調 ]</v>
      </c>
    </row>
    <row r="7" spans="1:105" ht="45" customHeight="1" thickBot="1">
      <c r="A7" s="28"/>
      <c r="B7" s="28"/>
      <c r="C7" s="29" t="s">
        <v>7</v>
      </c>
      <c r="D7" s="30"/>
      <c r="E7" s="32" t="s">
        <v>227</v>
      </c>
      <c r="F7" s="29" t="s">
        <v>13</v>
      </c>
      <c r="G7" s="30"/>
      <c r="H7" s="32" t="s">
        <v>330</v>
      </c>
      <c r="I7" s="29" t="s">
        <v>17</v>
      </c>
      <c r="J7" s="30">
        <v>0</v>
      </c>
      <c r="K7" s="121" t="s">
        <v>190</v>
      </c>
      <c r="L7" s="41" t="s">
        <v>60</v>
      </c>
      <c r="M7" s="30"/>
      <c r="N7" s="335" t="s">
        <v>217</v>
      </c>
      <c r="O7" s="29" t="s">
        <v>91</v>
      </c>
      <c r="P7" s="30"/>
      <c r="Q7" s="121" t="s">
        <v>8366</v>
      </c>
      <c r="R7" s="41" t="s">
        <v>23</v>
      </c>
      <c r="S7" s="30"/>
      <c r="T7" s="42" t="s">
        <v>116</v>
      </c>
      <c r="U7" s="34" t="s">
        <v>33</v>
      </c>
      <c r="V7" s="35"/>
      <c r="W7" s="38" t="s">
        <v>164</v>
      </c>
      <c r="X7" s="34" t="s">
        <v>43</v>
      </c>
      <c r="Y7" s="35"/>
      <c r="Z7" s="38" t="s">
        <v>205</v>
      </c>
      <c r="AA7" s="34" t="s">
        <v>70</v>
      </c>
      <c r="AB7" s="35"/>
      <c r="AC7" s="38" t="s">
        <v>106</v>
      </c>
      <c r="AD7" s="34" t="s">
        <v>50</v>
      </c>
      <c r="AE7" s="37"/>
      <c r="AF7" s="302" t="s">
        <v>8371</v>
      </c>
      <c r="AG7" s="498"/>
      <c r="AH7" s="499"/>
      <c r="AI7" s="502" t="s">
        <v>8637</v>
      </c>
      <c r="AJ7" s="498" t="s">
        <v>302</v>
      </c>
      <c r="AK7" s="499"/>
      <c r="AL7" s="502" t="s">
        <v>8638</v>
      </c>
      <c r="AM7" s="34"/>
      <c r="AN7" s="37"/>
      <c r="AO7" s="38"/>
      <c r="AP7" s="28"/>
      <c r="AQ7" s="28"/>
      <c r="AR7" s="19"/>
      <c r="AS7" s="19"/>
      <c r="AT7" s="28"/>
      <c r="AU7" s="28"/>
      <c r="AV7" s="28"/>
      <c r="BM7" s="447" t="str" cm="1">
        <f t="array" ref="BM7">INDEX($D$18:$BH$18, 1, $BO7)</f>
        <v>ㄆ</v>
      </c>
      <c r="BN7" s="447" t="str" cm="1">
        <f t="array" aca="1" ref="BN7" ca="1">INDIRECT(ADDRESS(17, COLUMN($D$18) + $BO7 - 1))</f>
        <v>q</v>
      </c>
      <c r="BO7" s="39">
        <f t="shared" si="0"/>
        <v>3</v>
      </c>
      <c r="BP7" s="354" t="str">
        <v>ㄆ</v>
      </c>
      <c r="BQ7" s="355" t="str">
        <f xml:space="preserve"> _xlfn.XLOOKUP(BP7, 按鍵設計表[注音符號], 按鍵設計表[聲韻調], "")</f>
        <v>聲</v>
      </c>
      <c r="BR7" s="347" t="str">
        <v>q</v>
      </c>
      <c r="BS7" s="348" t="str">
        <v>P</v>
      </c>
      <c r="BT7" s="349" t="str">
        <v>ph</v>
      </c>
      <c r="BU7" s="356">
        <f t="shared" si="1"/>
        <v>2</v>
      </c>
      <c r="BV7" s="14"/>
      <c r="BW7" s="146" t="str">
        <f t="shared" ref="BW7:BW12" si="7" xml:space="preserve"> "    """ &amp; BR7 &amp; """: { commit: """ &amp; BP7 &amp; """ }" &amp; "  # " &amp; "/" &amp; BT7 &amp; "/ ==&gt; " &amp; BS7</f>
        <v xml:space="preserve">    "q": { commit: "ㄆ" }  # /ph/ ==&gt; P</v>
      </c>
      <c r="BX7" s="40"/>
      <c r="BY7" s="39">
        <f t="shared" si="2"/>
        <v>3</v>
      </c>
      <c r="BZ7" s="354" t="str">
        <v>ㄆ</v>
      </c>
      <c r="CA7" s="355" t="str">
        <v>聲</v>
      </c>
      <c r="CB7" s="347" t="str">
        <v>q</v>
      </c>
      <c r="CC7" s="348" t="str">
        <v>P</v>
      </c>
      <c r="CD7" s="349" t="str">
        <v>ph</v>
      </c>
      <c r="CE7" s="356">
        <v>2</v>
      </c>
      <c r="CG7" s="288" t="str">
        <f t="shared" si="3"/>
        <v xml:space="preserve">    - xform/^ph/P/    # ㄆ [ ph]</v>
      </c>
      <c r="CH7" s="459" t="str">
        <v xml:space="preserve">    - xform/^g/q/    # ㆣ [ g]</v>
      </c>
      <c r="CI7" s="39">
        <f t="shared" si="4"/>
        <v>3</v>
      </c>
      <c r="CJ7" s="354" t="str">
        <v>ㆨ</v>
      </c>
      <c r="CK7" s="355" t="str">
        <v>韻</v>
      </c>
      <c r="CL7" s="347" t="str">
        <v>K</v>
      </c>
      <c r="CM7" s="348" t="str">
        <v>w</v>
      </c>
      <c r="CN7" s="349" t="str">
        <v>ir</v>
      </c>
      <c r="CO7" s="356">
        <v>2</v>
      </c>
      <c r="CQ7" s="288" t="str">
        <f t="shared" si="5"/>
        <v xml:space="preserve">    - xform/ir/w/  # ㆨ [ir]</v>
      </c>
      <c r="CR7" s="459" t="str">
        <v xml:space="preserve">    - xform/o/ø/  # ㄜ [o]</v>
      </c>
      <c r="CT7" s="354" t="str">
        <v>˪</v>
      </c>
      <c r="CU7" s="355" t="str">
        <v>調</v>
      </c>
      <c r="CV7" s="347">
        <v>3</v>
      </c>
      <c r="CW7" s="348" t="str">
        <v>3</v>
      </c>
      <c r="CX7" s="349">
        <v>3</v>
      </c>
      <c r="CY7" s="356">
        <v>1</v>
      </c>
      <c r="DA7" s="288" t="str">
        <f t="shared" si="6"/>
        <v xml:space="preserve">    - xform/3/˪/    # 按鍵：3 [ 第 3 調 ]</v>
      </c>
    </row>
    <row r="8" spans="1:105" s="14" customFormat="1" ht="45" customHeight="1">
      <c r="A8" s="22"/>
      <c r="B8" s="22"/>
      <c r="C8" s="43"/>
      <c r="D8" s="272" t="s">
        <v>333</v>
      </c>
      <c r="E8" s="273"/>
      <c r="F8" s="274"/>
      <c r="G8" s="272" t="s">
        <v>259</v>
      </c>
      <c r="H8" s="273"/>
      <c r="I8" s="274"/>
      <c r="J8" s="272" t="s">
        <v>122</v>
      </c>
      <c r="K8" s="273"/>
      <c r="L8" s="274"/>
      <c r="M8" s="272" t="s">
        <v>310</v>
      </c>
      <c r="N8" s="273"/>
      <c r="O8" s="274"/>
      <c r="P8" s="272" t="s">
        <v>95</v>
      </c>
      <c r="Q8" s="273"/>
      <c r="R8" s="274"/>
      <c r="S8" s="272" t="s">
        <v>257</v>
      </c>
      <c r="T8" s="273"/>
      <c r="U8" s="274"/>
      <c r="V8" s="281" t="s">
        <v>147</v>
      </c>
      <c r="W8" s="282"/>
      <c r="X8" s="283"/>
      <c r="Y8" s="281" t="s">
        <v>242</v>
      </c>
      <c r="Z8" s="282"/>
      <c r="AA8" s="283"/>
      <c r="AB8" s="281" t="s">
        <v>140</v>
      </c>
      <c r="AC8" s="282"/>
      <c r="AD8" s="283"/>
      <c r="AE8" s="281" t="s">
        <v>311</v>
      </c>
      <c r="AF8" s="282"/>
      <c r="AG8" s="283"/>
      <c r="AH8" s="275" t="s">
        <v>312</v>
      </c>
      <c r="AI8" s="276"/>
      <c r="AJ8" s="277"/>
      <c r="AK8" s="22"/>
      <c r="AL8" s="22"/>
      <c r="AM8" s="22"/>
      <c r="AN8" s="22"/>
      <c r="AO8" s="22"/>
      <c r="AP8" s="22"/>
      <c r="AQ8" s="22"/>
      <c r="AR8" s="23"/>
      <c r="AS8" s="23"/>
      <c r="AT8" s="22"/>
      <c r="AU8" s="22"/>
      <c r="AV8" s="22"/>
      <c r="BM8" s="447" t="str" cm="1">
        <f t="array" ref="BM8">INDEX($D$18:$BH$18, 1, $BO8)</f>
        <v>ㄇ</v>
      </c>
      <c r="BN8" s="447" t="str" cm="1">
        <f t="array" aca="1" ref="BN8" ca="1">INDIRECT(ADDRESS(17, COLUMN($D$18) + $BO8 - 1))</f>
        <v>a</v>
      </c>
      <c r="BO8" s="39">
        <f t="shared" si="0"/>
        <v>4</v>
      </c>
      <c r="BP8" s="354" t="str">
        <v>ㄇ</v>
      </c>
      <c r="BQ8" s="355" t="str">
        <f xml:space="preserve"> _xlfn.XLOOKUP(BP8, 按鍵設計表[注音符號], 按鍵設計表[聲韻調], "")</f>
        <v>聲</v>
      </c>
      <c r="BR8" s="347" t="str">
        <v>a</v>
      </c>
      <c r="BS8" s="348" t="str">
        <v>m</v>
      </c>
      <c r="BT8" s="349" t="str">
        <v>m</v>
      </c>
      <c r="BU8" s="356">
        <f t="shared" si="1"/>
        <v>1</v>
      </c>
      <c r="BV8" s="13"/>
      <c r="BW8" s="146" t="str">
        <f t="shared" si="7"/>
        <v xml:space="preserve">    "a": { commit: "ㄇ" }  # /m/ ==&gt; m</v>
      </c>
      <c r="BX8" s="40"/>
      <c r="BY8" s="39">
        <f t="shared" si="2"/>
        <v>4</v>
      </c>
      <c r="BZ8" s="354" t="str">
        <v>ㄇ</v>
      </c>
      <c r="CA8" s="355" t="str">
        <v>聲</v>
      </c>
      <c r="CB8" s="347" t="str">
        <v>a</v>
      </c>
      <c r="CC8" s="348" t="str">
        <v>m</v>
      </c>
      <c r="CD8" s="349" t="str">
        <v>m</v>
      </c>
      <c r="CE8" s="356">
        <v>1</v>
      </c>
      <c r="CG8" s="288" t="str">
        <f t="shared" si="3"/>
        <v/>
      </c>
      <c r="CH8" s="459" t="str">
        <v xml:space="preserve">    - xform/^kh/K/    # ㄎ [ kh]</v>
      </c>
      <c r="CI8" s="39">
        <f t="shared" si="4"/>
        <v>4</v>
      </c>
      <c r="CJ8" s="354" t="str">
        <v>ㄨ</v>
      </c>
      <c r="CK8" s="355" t="str">
        <v>韻</v>
      </c>
      <c r="CL8" s="347" t="str">
        <v>j</v>
      </c>
      <c r="CM8" s="348" t="str">
        <v>u</v>
      </c>
      <c r="CN8" s="349" t="str">
        <v>u</v>
      </c>
      <c r="CO8" s="356">
        <v>1</v>
      </c>
      <c r="CQ8" s="288" t="str">
        <f t="shared" si="5"/>
        <v/>
      </c>
      <c r="CR8" s="459" t="str">
        <v xml:space="preserve">    - xform/-n/N/  # ㄣ [-n]</v>
      </c>
      <c r="CT8" s="354" t="str">
        <v>ˋ</v>
      </c>
      <c r="CU8" s="355" t="str">
        <v>調</v>
      </c>
      <c r="CV8" s="347">
        <v>4</v>
      </c>
      <c r="CW8" s="348" t="str">
        <v>2</v>
      </c>
      <c r="CX8" s="349">
        <v>2</v>
      </c>
      <c r="CY8" s="356">
        <v>1</v>
      </c>
      <c r="DA8" s="288" t="str">
        <f t="shared" si="6"/>
        <v xml:space="preserve">    - xform/2/ˋ/    # 按鍵：4 [ 第 2 調 ]</v>
      </c>
    </row>
    <row r="9" spans="1:105" s="14" customFormat="1" ht="45" customHeight="1">
      <c r="A9" s="22"/>
      <c r="B9" s="22"/>
      <c r="C9" s="43"/>
      <c r="D9" s="26"/>
      <c r="E9" s="123"/>
      <c r="F9" s="301"/>
      <c r="G9" s="125"/>
      <c r="H9" s="123"/>
      <c r="I9" s="122"/>
      <c r="J9" s="125"/>
      <c r="K9" s="123"/>
      <c r="L9" s="122"/>
      <c r="M9" s="125"/>
      <c r="N9" s="123"/>
      <c r="O9" s="122"/>
      <c r="P9" s="125"/>
      <c r="Q9" s="123"/>
      <c r="R9" s="122"/>
      <c r="S9" s="140"/>
      <c r="T9" s="123"/>
      <c r="U9" s="141"/>
      <c r="V9" s="27" t="s">
        <v>80</v>
      </c>
      <c r="W9" s="134">
        <v>0</v>
      </c>
      <c r="X9" s="133" t="s">
        <v>281</v>
      </c>
      <c r="Y9" s="135" t="s">
        <v>325</v>
      </c>
      <c r="Z9" s="132"/>
      <c r="AA9" s="136" t="s">
        <v>282</v>
      </c>
      <c r="AB9" s="27" t="s">
        <v>86</v>
      </c>
      <c r="AC9" s="486" t="s">
        <v>157</v>
      </c>
      <c r="AD9" s="487"/>
      <c r="AE9" s="27"/>
      <c r="AF9" s="132"/>
      <c r="AG9" s="133"/>
      <c r="AH9" s="126"/>
      <c r="AI9" s="127"/>
      <c r="AJ9" s="128"/>
      <c r="AK9" s="22"/>
      <c r="AL9" s="22"/>
      <c r="AM9" s="22"/>
      <c r="AN9" s="22"/>
      <c r="AO9" s="22"/>
      <c r="AP9" s="22"/>
      <c r="AQ9" s="22"/>
      <c r="AR9" s="23"/>
      <c r="AS9" s="23"/>
      <c r="AT9" s="22"/>
      <c r="AU9" s="22"/>
      <c r="AV9" s="22"/>
      <c r="BM9" s="447" t="str" cm="1">
        <f t="array" ref="BM9">INDEX($D$18:$BH$18, 1, $BO9)</f>
        <v>ㄋ</v>
      </c>
      <c r="BN9" s="447" t="str" cm="1">
        <f t="array" aca="1" ref="BN9" ca="1">INDIRECT(ADDRESS(17, COLUMN($D$18) + $BO9 - 1))</f>
        <v>s</v>
      </c>
      <c r="BO9" s="39">
        <f t="shared" si="0"/>
        <v>5</v>
      </c>
      <c r="BP9" s="354" t="str">
        <v>ㄋ</v>
      </c>
      <c r="BQ9" s="355" t="str">
        <f xml:space="preserve"> _xlfn.XLOOKUP(BP9, 按鍵設計表[注音符號], 按鍵設計表[聲韻調], "")</f>
        <v>聲</v>
      </c>
      <c r="BR9" s="347" t="str">
        <v>s</v>
      </c>
      <c r="BS9" s="348" t="str">
        <v>n</v>
      </c>
      <c r="BT9" s="349" t="str">
        <v>n</v>
      </c>
      <c r="BU9" s="356">
        <f t="shared" si="1"/>
        <v>1</v>
      </c>
      <c r="BW9" s="146" t="str">
        <f t="shared" si="7"/>
        <v xml:space="preserve">    "s": { commit: "ㄋ" }  # /n/ ==&gt; n</v>
      </c>
      <c r="BX9" s="40"/>
      <c r="BY9" s="39">
        <f t="shared" si="2"/>
        <v>5</v>
      </c>
      <c r="BZ9" s="354" t="str">
        <v>ㄋ</v>
      </c>
      <c r="CA9" s="355" t="str">
        <v>聲</v>
      </c>
      <c r="CB9" s="347" t="str">
        <v>s</v>
      </c>
      <c r="CC9" s="348" t="str">
        <v>n</v>
      </c>
      <c r="CD9" s="349" t="str">
        <v>n</v>
      </c>
      <c r="CE9" s="356">
        <v>1</v>
      </c>
      <c r="CG9" s="288" t="str">
        <f t="shared" si="3"/>
        <v/>
      </c>
      <c r="CH9" s="459" t="str">
        <v xml:space="preserve">    - xform/^ng/g/    # ㄫ [ ng]</v>
      </c>
      <c r="CI9" s="39">
        <f t="shared" si="4"/>
        <v>5</v>
      </c>
      <c r="CJ9" s="354" t="str">
        <v>ㆤ</v>
      </c>
      <c r="CK9" s="355" t="str">
        <v>韻</v>
      </c>
      <c r="CL9" s="347" t="str">
        <v>,</v>
      </c>
      <c r="CM9" s="348" t="str">
        <v>e</v>
      </c>
      <c r="CN9" s="349" t="str">
        <v>e</v>
      </c>
      <c r="CO9" s="356">
        <v>1</v>
      </c>
      <c r="CQ9" s="288" t="str">
        <f t="shared" si="5"/>
        <v/>
      </c>
      <c r="CR9" s="459" t="str">
        <v xml:space="preserve">    - xform/-ng/G/  # ㆭ [-ng]</v>
      </c>
      <c r="CT9" s="354" t="str">
        <v>ˊ</v>
      </c>
      <c r="CU9" s="355" t="str">
        <v>調</v>
      </c>
      <c r="CV9" s="347">
        <v>6</v>
      </c>
      <c r="CW9" s="348" t="str">
        <v>5</v>
      </c>
      <c r="CX9" s="349">
        <v>5</v>
      </c>
      <c r="CY9" s="356">
        <v>1</v>
      </c>
      <c r="DA9" s="288" t="str">
        <f t="shared" si="6"/>
        <v xml:space="preserve">    - xform/5/ˊ/    # 按鍵：6 [ 第 5 調 ]</v>
      </c>
    </row>
    <row r="10" spans="1:105" ht="45" customHeight="1" thickBot="1">
      <c r="A10" s="28"/>
      <c r="B10" s="28"/>
      <c r="C10" s="28"/>
      <c r="D10" s="29" t="s">
        <v>54</v>
      </c>
      <c r="E10" s="30"/>
      <c r="F10" s="32" t="s">
        <v>55</v>
      </c>
      <c r="G10" s="29" t="s">
        <v>15</v>
      </c>
      <c r="H10" s="30"/>
      <c r="I10" s="32" t="s">
        <v>221</v>
      </c>
      <c r="J10" s="29" t="s">
        <v>19</v>
      </c>
      <c r="K10" s="30">
        <v>0</v>
      </c>
      <c r="L10" s="42" t="s">
        <v>20</v>
      </c>
      <c r="M10" s="29" t="s">
        <v>62</v>
      </c>
      <c r="N10" s="30"/>
      <c r="O10" s="42" t="s">
        <v>169</v>
      </c>
      <c r="P10" s="41" t="s">
        <v>92</v>
      </c>
      <c r="Q10" s="30"/>
      <c r="R10" s="42" t="s">
        <v>8367</v>
      </c>
      <c r="S10" s="41" t="s">
        <v>25</v>
      </c>
      <c r="T10" s="30"/>
      <c r="U10" s="42" t="s">
        <v>180</v>
      </c>
      <c r="V10" s="34" t="s">
        <v>35</v>
      </c>
      <c r="W10" s="35"/>
      <c r="X10" s="38" t="s">
        <v>126</v>
      </c>
      <c r="Y10" s="34" t="s">
        <v>266</v>
      </c>
      <c r="Z10" s="35"/>
      <c r="AA10" s="38" t="s">
        <v>517</v>
      </c>
      <c r="AB10" s="34" t="s">
        <v>47</v>
      </c>
      <c r="AC10" s="35"/>
      <c r="AD10" s="38" t="s">
        <v>193</v>
      </c>
      <c r="AE10" s="34" t="s">
        <v>64</v>
      </c>
      <c r="AF10" s="37"/>
      <c r="AG10" s="38" t="s">
        <v>107</v>
      </c>
      <c r="AH10" s="498" t="str">
        <f xml:space="preserve"> _xlfn.UNICHAR(HEX2DEC(RIGHT("U+00AF",4)))</f>
        <v>¯</v>
      </c>
      <c r="AI10" s="499"/>
      <c r="AJ10" s="502" t="s">
        <v>8636</v>
      </c>
      <c r="AK10" s="28"/>
      <c r="AL10" s="28"/>
      <c r="AM10" s="28"/>
      <c r="AN10" s="28"/>
      <c r="AO10" s="28"/>
      <c r="AP10" s="28"/>
      <c r="AQ10" s="22"/>
      <c r="AR10" s="19" t="s">
        <v>8639</v>
      </c>
      <c r="AS10" s="19"/>
      <c r="AT10" s="28"/>
      <c r="AU10" s="28"/>
      <c r="AV10" s="28"/>
      <c r="BM10" s="447" t="str" cm="1">
        <f t="array" ref="BM10">INDEX($D$18:$BH$18, 1, $BO10)</f>
        <v>ㄉ</v>
      </c>
      <c r="BN10" s="447" t="str" cm="1">
        <f t="array" aca="1" ref="BN10" ca="1">INDIRECT(ADDRESS(17, COLUMN($D$18) + $BO10 - 1))</f>
        <v>2</v>
      </c>
      <c r="BO10" s="39">
        <f t="shared" si="0"/>
        <v>6</v>
      </c>
      <c r="BP10" s="354" t="str">
        <v>ㄉ</v>
      </c>
      <c r="BQ10" s="355" t="str">
        <f xml:space="preserve"> _xlfn.XLOOKUP(BP10, 按鍵設計表[注音符號], 按鍵設計表[聲韻調], "")</f>
        <v>聲</v>
      </c>
      <c r="BR10" s="347" t="str">
        <v>2</v>
      </c>
      <c r="BS10" s="348" t="str">
        <v>t</v>
      </c>
      <c r="BT10" s="349" t="str">
        <v>t</v>
      </c>
      <c r="BU10" s="356">
        <f t="shared" si="1"/>
        <v>1</v>
      </c>
      <c r="BV10" s="14"/>
      <c r="BW10" s="146" t="str">
        <f t="shared" si="7"/>
        <v xml:space="preserve">    "2": { commit: "ㄉ" }  # /t/ ==&gt; t</v>
      </c>
      <c r="BX10" s="40"/>
      <c r="BY10" s="39">
        <f t="shared" si="2"/>
        <v>6</v>
      </c>
      <c r="BZ10" s="354" t="str">
        <v>ㄉ</v>
      </c>
      <c r="CA10" s="355" t="str">
        <v>聲</v>
      </c>
      <c r="CB10" s="347" t="str">
        <v>2</v>
      </c>
      <c r="CC10" s="348" t="str">
        <v>t</v>
      </c>
      <c r="CD10" s="349" t="str">
        <v>t</v>
      </c>
      <c r="CE10" s="356">
        <v>1</v>
      </c>
      <c r="CG10" s="288" t="str">
        <f t="shared" si="3"/>
        <v/>
      </c>
      <c r="CH10" s="459" t="str">
        <v xml:space="preserve">    - xform/^ji/J/    # ㆢ [ ji]</v>
      </c>
      <c r="CI10" s="39">
        <f t="shared" si="4"/>
        <v>6</v>
      </c>
      <c r="CJ10" s="354" t="str">
        <v>ㆦ</v>
      </c>
      <c r="CK10" s="355" t="str">
        <v>韻</v>
      </c>
      <c r="CL10" s="347" t="str">
        <v>i</v>
      </c>
      <c r="CM10" s="348" t="str">
        <v>o</v>
      </c>
      <c r="CN10" s="349" t="str">
        <v>oo</v>
      </c>
      <c r="CO10" s="356">
        <v>2</v>
      </c>
      <c r="CQ10" s="288" t="str">
        <f t="shared" si="5"/>
        <v xml:space="preserve">    - xform/oo/o/  # ㆦ [oo]</v>
      </c>
      <c r="CR10" s="459" t="str">
        <v xml:space="preserve">    - xform/ai/I/  # ㄞ [ai]</v>
      </c>
      <c r="CT10" s="354"/>
      <c r="CU10" s="355"/>
      <c r="CV10" s="347"/>
      <c r="CW10" s="348"/>
      <c r="CX10" s="349"/>
      <c r="CY10" s="356"/>
      <c r="DA10" s="288" t="str">
        <f t="shared" si="6"/>
        <v/>
      </c>
    </row>
    <row r="11" spans="1:105" s="14" customFormat="1" ht="45" customHeight="1">
      <c r="A11" s="22"/>
      <c r="B11" s="22"/>
      <c r="C11" s="22"/>
      <c r="D11" s="22"/>
      <c r="E11" s="272" t="s">
        <v>256</v>
      </c>
      <c r="F11" s="273"/>
      <c r="G11" s="274"/>
      <c r="H11" s="272" t="s">
        <v>313</v>
      </c>
      <c r="I11" s="273"/>
      <c r="J11" s="274"/>
      <c r="K11" s="272" t="s">
        <v>258</v>
      </c>
      <c r="L11" s="273"/>
      <c r="M11" s="274"/>
      <c r="N11" s="272" t="s">
        <v>314</v>
      </c>
      <c r="O11" s="273"/>
      <c r="P11" s="274"/>
      <c r="Q11" s="272" t="s">
        <v>97</v>
      </c>
      <c r="R11" s="273"/>
      <c r="S11" s="274"/>
      <c r="T11" s="272" t="s">
        <v>315</v>
      </c>
      <c r="U11" s="273"/>
      <c r="V11" s="274"/>
      <c r="W11" s="281" t="s">
        <v>283</v>
      </c>
      <c r="X11" s="282"/>
      <c r="Y11" s="283"/>
      <c r="Z11" s="281" t="s">
        <v>316</v>
      </c>
      <c r="AA11" s="282"/>
      <c r="AB11" s="283"/>
      <c r="AC11" s="281" t="s">
        <v>317</v>
      </c>
      <c r="AD11" s="282"/>
      <c r="AE11" s="283"/>
      <c r="AF11" s="284" t="s">
        <v>318</v>
      </c>
      <c r="AG11" s="285"/>
      <c r="AH11" s="286"/>
      <c r="AI11" s="22"/>
      <c r="AJ11" s="22"/>
      <c r="AK11" s="22"/>
      <c r="AL11" s="22"/>
      <c r="AM11" s="22"/>
      <c r="AN11" s="22"/>
      <c r="AO11" s="22"/>
      <c r="AP11" s="22"/>
      <c r="AQ11" s="22"/>
      <c r="AR11" s="23"/>
      <c r="AS11" s="23"/>
      <c r="AT11" s="22"/>
      <c r="AU11" s="22"/>
      <c r="AV11" s="22"/>
      <c r="BM11" s="447" t="str" cm="1">
        <f t="array" ref="BM11">INDEX($D$18:$BH$18, 1, $BO11)</f>
        <v>ㄊ</v>
      </c>
      <c r="BN11" s="447" t="str" cm="1">
        <f t="array" aca="1" ref="BN11" ca="1">INDIRECT(ADDRESS(17, COLUMN($D$18) + $BO11 - 1))</f>
        <v>w</v>
      </c>
      <c r="BO11" s="39">
        <f t="shared" si="0"/>
        <v>7</v>
      </c>
      <c r="BP11" s="354" t="str">
        <v>ㄊ</v>
      </c>
      <c r="BQ11" s="355" t="str">
        <f xml:space="preserve"> _xlfn.XLOOKUP(BP11, 按鍵設計表[注音符號], 按鍵設計表[聲韻調], "")</f>
        <v>聲</v>
      </c>
      <c r="BR11" s="347" t="str">
        <v>w</v>
      </c>
      <c r="BS11" s="348" t="str">
        <v>T</v>
      </c>
      <c r="BT11" s="349" t="str">
        <v>th</v>
      </c>
      <c r="BU11" s="356">
        <f t="shared" si="1"/>
        <v>2</v>
      </c>
      <c r="BV11" s="13"/>
      <c r="BW11" s="146" t="str">
        <f t="shared" si="7"/>
        <v xml:space="preserve">    "w": { commit: "ㄊ" }  # /th/ ==&gt; T</v>
      </c>
      <c r="BX11" s="40"/>
      <c r="BY11" s="39">
        <f t="shared" si="2"/>
        <v>7</v>
      </c>
      <c r="BZ11" s="354" t="str">
        <v>ㄊ</v>
      </c>
      <c r="CA11" s="355" t="str">
        <v>聲</v>
      </c>
      <c r="CB11" s="347" t="str">
        <v>w</v>
      </c>
      <c r="CC11" s="348" t="str">
        <v>T</v>
      </c>
      <c r="CD11" s="349" t="str">
        <v>th</v>
      </c>
      <c r="CE11" s="356">
        <v>2</v>
      </c>
      <c r="CG11" s="288" t="str">
        <f t="shared" si="3"/>
        <v xml:space="preserve">    - xform/^th/T/    # ㄊ [ th]</v>
      </c>
      <c r="CH11" s="459" t="str">
        <v xml:space="preserve">    - xform/^zi/Z/    # ㄐ [ zi]</v>
      </c>
      <c r="CI11" s="39">
        <f t="shared" si="4"/>
        <v>7</v>
      </c>
      <c r="CJ11" s="354" t="str">
        <v>ㄜ</v>
      </c>
      <c r="CK11" s="355" t="str">
        <v>韻</v>
      </c>
      <c r="CL11" s="347" t="str">
        <v>k</v>
      </c>
      <c r="CM11" s="348" t="str">
        <v>ø</v>
      </c>
      <c r="CN11" s="349" t="str">
        <v>o</v>
      </c>
      <c r="CO11" s="356">
        <v>1</v>
      </c>
      <c r="CQ11" s="288" t="str">
        <f t="shared" si="5"/>
        <v xml:space="preserve">    - xform/o/ø/  # ㄜ [o]</v>
      </c>
      <c r="CR11" s="459" t="str">
        <v xml:space="preserve">    - xform/au/U/  # ㄠ [au]</v>
      </c>
      <c r="CT11" s="354"/>
      <c r="CU11" s="355"/>
      <c r="CV11" s="347"/>
      <c r="CW11" s="348"/>
      <c r="CX11" s="349"/>
      <c r="CY11" s="356"/>
      <c r="DA11" s="288" t="str">
        <f t="shared" si="6"/>
        <v/>
      </c>
    </row>
    <row r="12" spans="1:105" s="14" customFormat="1" ht="45" customHeight="1">
      <c r="A12" s="22"/>
      <c r="B12" s="22"/>
      <c r="C12" s="22"/>
      <c r="D12" s="22"/>
      <c r="E12" s="125"/>
      <c r="F12" s="123"/>
      <c r="G12" s="122"/>
      <c r="H12" s="125"/>
      <c r="I12" s="123"/>
      <c r="J12" s="122"/>
      <c r="K12" s="125"/>
      <c r="L12" s="123"/>
      <c r="M12" s="122"/>
      <c r="N12" s="125"/>
      <c r="O12" s="123"/>
      <c r="P12" s="122"/>
      <c r="Q12" s="140"/>
      <c r="R12" s="123"/>
      <c r="S12" s="141"/>
      <c r="T12" s="26" t="s">
        <v>58</v>
      </c>
      <c r="U12" s="123"/>
      <c r="V12" s="122" t="s">
        <v>59</v>
      </c>
      <c r="W12" s="27" t="s">
        <v>68</v>
      </c>
      <c r="X12" s="132"/>
      <c r="Y12" s="133" t="s">
        <v>131</v>
      </c>
      <c r="Z12" s="27" t="s">
        <v>83</v>
      </c>
      <c r="AA12" s="134">
        <v>0</v>
      </c>
      <c r="AB12" s="133" t="s">
        <v>160</v>
      </c>
      <c r="AC12" s="313"/>
      <c r="AD12" s="314"/>
      <c r="AE12" s="315"/>
      <c r="AF12" s="44"/>
      <c r="AG12" s="132"/>
      <c r="AH12" s="133"/>
      <c r="AI12" s="22"/>
      <c r="AJ12" s="22"/>
      <c r="AK12" s="22"/>
      <c r="AL12" s="22"/>
      <c r="AM12" s="22"/>
      <c r="AN12" s="22"/>
      <c r="AO12" s="22"/>
      <c r="AP12" s="22"/>
      <c r="AQ12" s="22" t="s">
        <v>215</v>
      </c>
      <c r="AR12" s="23"/>
      <c r="AS12" s="23"/>
      <c r="AT12" s="22"/>
      <c r="AU12" s="22"/>
      <c r="AV12" s="22"/>
      <c r="BM12" s="447" t="str" cm="1">
        <f t="array" ref="BM12">INDEX($D$18:$BH$18, 1, $BO12)</f>
        <v>ㄌ</v>
      </c>
      <c r="BN12" s="447" t="str" cm="1">
        <f t="array" aca="1" ref="BN12" ca="1">INDIRECT(ADDRESS(17, COLUMN($D$18) + $BO12 - 1))</f>
        <v>x</v>
      </c>
      <c r="BO12" s="39">
        <f t="shared" si="0"/>
        <v>8</v>
      </c>
      <c r="BP12" s="354" t="str">
        <v>ㄌ</v>
      </c>
      <c r="BQ12" s="355" t="str">
        <f xml:space="preserve"> _xlfn.XLOOKUP(BP12, 按鍵設計表[注音符號], 按鍵設計表[聲韻調], "")</f>
        <v>聲</v>
      </c>
      <c r="BR12" s="347" t="str">
        <v>x</v>
      </c>
      <c r="BS12" s="348" t="str">
        <v>l</v>
      </c>
      <c r="BT12" s="349" t="str">
        <v>l</v>
      </c>
      <c r="BU12" s="356">
        <f t="shared" si="1"/>
        <v>1</v>
      </c>
      <c r="BW12" s="146" t="str">
        <f t="shared" si="7"/>
        <v xml:space="preserve">    "x": { commit: "ㄌ" }  # /l/ ==&gt; l</v>
      </c>
      <c r="BX12" s="40"/>
      <c r="BY12" s="39">
        <f t="shared" si="2"/>
        <v>8</v>
      </c>
      <c r="BZ12" s="354" t="str">
        <v>ㄌ</v>
      </c>
      <c r="CA12" s="355" t="str">
        <v>聲</v>
      </c>
      <c r="CB12" s="347" t="str">
        <v>x</v>
      </c>
      <c r="CC12" s="348" t="str">
        <v>l</v>
      </c>
      <c r="CD12" s="349" t="str">
        <v>l</v>
      </c>
      <c r="CE12" s="356">
        <v>1</v>
      </c>
      <c r="CG12" s="288" t="str">
        <f t="shared" si="3"/>
        <v/>
      </c>
      <c r="CH12" s="459" t="str">
        <v xml:space="preserve">    - xform/^ci/C/    # ㄑ [ ci]</v>
      </c>
      <c r="CI12" s="39">
        <f t="shared" si="4"/>
        <v>8</v>
      </c>
      <c r="CJ12" s="354" t="str">
        <v>ㆬ</v>
      </c>
      <c r="CK12" s="355" t="str">
        <v>韻</v>
      </c>
      <c r="CL12" s="347" t="str">
        <v>m</v>
      </c>
      <c r="CM12" s="348" t="str">
        <v>M</v>
      </c>
      <c r="CN12" s="349" t="str">
        <v>-m</v>
      </c>
      <c r="CO12" s="356">
        <v>2</v>
      </c>
      <c r="CQ12" s="288" t="str">
        <f t="shared" si="5"/>
        <v/>
      </c>
      <c r="CR12" s="459" t="str">
        <v xml:space="preserve">    - xform/am/Y/  # ㆰ [am]</v>
      </c>
      <c r="CT12" s="354"/>
      <c r="CU12" s="355"/>
      <c r="CV12" s="347"/>
      <c r="CW12" s="348"/>
      <c r="CX12" s="349"/>
      <c r="CY12" s="356"/>
      <c r="DA12" s="288" t="str">
        <f t="shared" si="6"/>
        <v/>
      </c>
    </row>
    <row r="13" spans="1:105" ht="45" customHeight="1" thickBot="1">
      <c r="A13" s="28"/>
      <c r="B13" s="28"/>
      <c r="C13" s="28"/>
      <c r="D13" s="28"/>
      <c r="E13" s="41" t="s">
        <v>93</v>
      </c>
      <c r="F13" s="30"/>
      <c r="G13" s="42" t="s">
        <v>8369</v>
      </c>
      <c r="H13" s="29" t="s">
        <v>56</v>
      </c>
      <c r="I13" s="30"/>
      <c r="J13" s="32" t="s">
        <v>57</v>
      </c>
      <c r="K13" s="29" t="s">
        <v>31</v>
      </c>
      <c r="L13" s="30"/>
      <c r="M13" s="42" t="s">
        <v>241</v>
      </c>
      <c r="N13" s="29" t="s">
        <v>167</v>
      </c>
      <c r="O13" s="30"/>
      <c r="P13" s="42" t="s">
        <v>219</v>
      </c>
      <c r="Q13" s="41" t="s">
        <v>90</v>
      </c>
      <c r="R13" s="30"/>
      <c r="S13" s="42" t="s">
        <v>8368</v>
      </c>
      <c r="T13" s="29" t="s">
        <v>29</v>
      </c>
      <c r="U13" s="30"/>
      <c r="V13" s="42" t="s">
        <v>201</v>
      </c>
      <c r="W13" s="34" t="s">
        <v>98</v>
      </c>
      <c r="X13" s="35"/>
      <c r="Y13" s="38" t="s">
        <v>331</v>
      </c>
      <c r="Z13" s="34" t="s">
        <v>39</v>
      </c>
      <c r="AA13" s="35">
        <v>0</v>
      </c>
      <c r="AB13" s="38" t="s">
        <v>195</v>
      </c>
      <c r="AC13" s="360" t="s">
        <v>2761</v>
      </c>
      <c r="AD13" s="35"/>
      <c r="AE13" s="38" t="s">
        <v>8374</v>
      </c>
      <c r="AF13" s="34" t="s">
        <v>48</v>
      </c>
      <c r="AG13" s="35"/>
      <c r="AH13" s="38" t="s">
        <v>272</v>
      </c>
      <c r="AI13" s="28"/>
      <c r="AJ13" s="28"/>
      <c r="AK13" s="28"/>
      <c r="AL13" s="28"/>
      <c r="AM13" s="28"/>
      <c r="AN13" s="28"/>
      <c r="AO13" s="28"/>
      <c r="AP13" s="28"/>
      <c r="AQ13" s="28"/>
      <c r="AR13" s="19"/>
      <c r="AS13" s="19"/>
      <c r="AT13" s="28"/>
      <c r="AU13" s="28"/>
      <c r="AV13" s="28"/>
      <c r="BJ13" s="14"/>
      <c r="BK13" s="14"/>
      <c r="BL13" s="14"/>
      <c r="BM13" s="447" t="str" cm="1">
        <f t="array" ref="BM13">INDEX($D$18:$BH$18, 1, $BO13)</f>
        <v>ㆣ</v>
      </c>
      <c r="BN13" s="447" t="str" cm="1">
        <f t="array" aca="1" ref="BN13" ca="1">INDIRECT(ADDRESS(17, COLUMN($D$18) + $BO13 - 1))</f>
        <v>E</v>
      </c>
      <c r="BO13" s="39">
        <f t="shared" si="0"/>
        <v>9</v>
      </c>
      <c r="BP13" s="354" t="str">
        <v>ㆣ</v>
      </c>
      <c r="BQ13" s="355" t="str">
        <f xml:space="preserve"> _xlfn.XLOOKUP(BP13, 按鍵設計表[注音符號], 按鍵設計表[聲韻調], "")</f>
        <v>聲</v>
      </c>
      <c r="BR13" s="347" t="str">
        <v>E</v>
      </c>
      <c r="BS13" s="348" t="str">
        <v>q</v>
      </c>
      <c r="BT13" s="349" t="str">
        <v>g</v>
      </c>
      <c r="BU13" s="356">
        <f xml:space="preserve"> LEN(BT13)</f>
        <v>1</v>
      </c>
      <c r="BV13" s="14"/>
      <c r="BW13" s="146" t="str">
        <f xml:space="preserve"> "    """ &amp; BR14 &amp; """: { commit: """ &amp; BP14 &amp; """ }" &amp; "  # " &amp; "/" &amp; BT14 &amp; "/ ==&gt; " &amp; BS14</f>
        <v xml:space="preserve">    "e": { commit: "ㄍ" }  # /k/ ==&gt; k</v>
      </c>
      <c r="BX13" s="40"/>
      <c r="BY13" s="39">
        <f t="shared" si="2"/>
        <v>9</v>
      </c>
      <c r="BZ13" s="354" t="str">
        <v>ㆣ</v>
      </c>
      <c r="CA13" s="355" t="str">
        <v>聲</v>
      </c>
      <c r="CB13" s="347" t="str">
        <v>E</v>
      </c>
      <c r="CC13" s="348" t="str">
        <v>q</v>
      </c>
      <c r="CD13" s="349" t="str">
        <v>g</v>
      </c>
      <c r="CE13" s="356">
        <v>1</v>
      </c>
      <c r="CG13" s="288" t="str">
        <f t="shared" si="3"/>
        <v xml:space="preserve">    - xform/^g/q/    # ㆣ [ g]</v>
      </c>
      <c r="CH13" s="459" t="str">
        <v xml:space="preserve">    - xform/^si/S/    # ㄒ [ si]</v>
      </c>
      <c r="CI13" s="39">
        <f t="shared" si="4"/>
        <v>9</v>
      </c>
      <c r="CJ13" s="354" t="str">
        <v>ㄣ</v>
      </c>
      <c r="CK13" s="355" t="str">
        <v>韻</v>
      </c>
      <c r="CL13" s="347" t="str">
        <v>p</v>
      </c>
      <c r="CM13" s="348" t="str">
        <v>N</v>
      </c>
      <c r="CN13" s="349" t="str">
        <v>-n</v>
      </c>
      <c r="CO13" s="356">
        <v>2</v>
      </c>
      <c r="CQ13" s="288" t="str">
        <f t="shared" si="5"/>
        <v xml:space="preserve">    - xform/-n/N/  # ㄣ [-n]</v>
      </c>
      <c r="CR13" s="459" t="str">
        <v xml:space="preserve">    - xform/an/@/  # ㄢ [an]</v>
      </c>
      <c r="CT13" s="354"/>
      <c r="CU13" s="355"/>
      <c r="CV13" s="347"/>
      <c r="CW13" s="348"/>
      <c r="CX13" s="349"/>
      <c r="CY13" s="356"/>
      <c r="DA13" s="288" t="str">
        <f t="shared" si="6"/>
        <v/>
      </c>
    </row>
    <row r="14" spans="1:105" ht="45" customHeight="1">
      <c r="BJ14" s="14"/>
      <c r="BK14" s="14"/>
      <c r="BL14" s="14"/>
      <c r="BM14" s="447" t="str" cm="1">
        <f t="array" ref="BM14">INDEX($D$18:$BH$18, 1, $BO14)</f>
        <v>ㄍ</v>
      </c>
      <c r="BN14" s="447" t="str" cm="1">
        <f t="array" aca="1" ref="BN14" ca="1">INDIRECT(ADDRESS(17, COLUMN($D$18) + $BO14 - 1))</f>
        <v>e</v>
      </c>
      <c r="BO14" s="39">
        <f t="shared" si="0"/>
        <v>10</v>
      </c>
      <c r="BP14" s="354" t="str">
        <v>ㄍ</v>
      </c>
      <c r="BQ14" s="355" t="str">
        <f xml:space="preserve"> _xlfn.XLOOKUP(BP14, 按鍵設計表[注音符號], 按鍵設計表[聲韻調], "")</f>
        <v>聲</v>
      </c>
      <c r="BR14" s="347" t="str">
        <v>e</v>
      </c>
      <c r="BS14" s="348" t="str">
        <v>k</v>
      </c>
      <c r="BT14" s="349" t="str">
        <v>k</v>
      </c>
      <c r="BU14" s="356">
        <f t="shared" si="1"/>
        <v>1</v>
      </c>
      <c r="BW14" s="146" t="str">
        <f xml:space="preserve"> "    """ &amp; BR13 &amp; """: { commit: """ &amp; BP13 &amp; """ }" &amp; "  # " &amp; "/" &amp; BT13 &amp; "/ ==&gt; " &amp; BS13</f>
        <v xml:space="preserve">    "E": { commit: "ㆣ" }  # /g/ ==&gt; q</v>
      </c>
      <c r="BX14" s="40"/>
      <c r="BY14" s="39">
        <f t="shared" si="2"/>
        <v>10</v>
      </c>
      <c r="BZ14" s="354" t="str">
        <v>ㄍ</v>
      </c>
      <c r="CA14" s="355" t="str">
        <v>聲</v>
      </c>
      <c r="CB14" s="347" t="str">
        <v>e</v>
      </c>
      <c r="CC14" s="348" t="str">
        <v>k</v>
      </c>
      <c r="CD14" s="349" t="str">
        <v>k</v>
      </c>
      <c r="CE14" s="356">
        <v>1</v>
      </c>
      <c r="CG14" s="288" t="str">
        <f t="shared" si="3"/>
        <v/>
      </c>
      <c r="CI14" s="39">
        <f t="shared" si="4"/>
        <v>10</v>
      </c>
      <c r="CJ14" s="354" t="str">
        <v>ㆭ</v>
      </c>
      <c r="CK14" s="355" t="str">
        <v>韻</v>
      </c>
      <c r="CL14" s="347" t="str">
        <v>/</v>
      </c>
      <c r="CM14" s="348" t="str">
        <v>G</v>
      </c>
      <c r="CN14" s="349" t="str">
        <v>-ng</v>
      </c>
      <c r="CO14" s="356">
        <v>3</v>
      </c>
      <c r="CQ14" s="288" t="str">
        <f t="shared" si="5"/>
        <v xml:space="preserve">    - xform/-ng/G/  # ㆭ [-ng]</v>
      </c>
      <c r="CR14" s="459" t="str">
        <v xml:space="preserve">    - xform/ang/A/  # ㄤ [ang]</v>
      </c>
      <c r="CT14" s="354"/>
      <c r="CU14" s="355"/>
      <c r="CV14" s="347"/>
      <c r="CW14" s="348"/>
      <c r="CX14" s="349"/>
      <c r="CY14" s="356"/>
      <c r="DA14" s="288" t="str">
        <f t="shared" si="6"/>
        <v/>
      </c>
    </row>
    <row r="15" spans="1:105" s="15" customFormat="1" ht="4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19"/>
      <c r="AS15" s="19"/>
      <c r="AT15" s="28"/>
      <c r="AU15" s="28"/>
      <c r="AV15" s="28"/>
      <c r="AW15" s="13"/>
      <c r="AX15" s="13"/>
      <c r="AY15" s="13"/>
      <c r="AZ15" s="13"/>
      <c r="BA15" s="13"/>
      <c r="BB15" s="13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447" t="str" cm="1">
        <f t="array" ref="BM15">INDEX($D$18:$BH$18, 1, $BO15)</f>
        <v>ㄎ</v>
      </c>
      <c r="BN15" s="447" t="str" cm="1">
        <f t="array" aca="1" ref="BN15" ca="1">INDIRECT(ADDRESS(17, COLUMN($D$18) + $BO15 - 1))</f>
        <v>d</v>
      </c>
      <c r="BO15" s="39">
        <f t="shared" si="0"/>
        <v>11</v>
      </c>
      <c r="BP15" s="354" t="str">
        <v>ㄎ</v>
      </c>
      <c r="BQ15" s="355" t="str">
        <f xml:space="preserve"> _xlfn.XLOOKUP(BP15, 按鍵設計表[注音符號], 按鍵設計表[聲韻調], "")</f>
        <v>聲</v>
      </c>
      <c r="BR15" s="347" t="str">
        <v>d</v>
      </c>
      <c r="BS15" s="348" t="str">
        <v>K</v>
      </c>
      <c r="BT15" s="349" t="str">
        <v>kh</v>
      </c>
      <c r="BU15" s="356">
        <f t="shared" si="1"/>
        <v>2</v>
      </c>
      <c r="BV15" s="13"/>
      <c r="BW15" s="146" t="str">
        <f xml:space="preserve"> "    """ &amp; BR15 &amp; """: { commit: """ &amp; BP15 &amp; """ }" &amp; "  # " &amp; "/" &amp; BT15 &amp; "/ ==&gt; " &amp; BS15</f>
        <v xml:space="preserve">    "d": { commit: "ㄎ" }  # /kh/ ==&gt; K</v>
      </c>
      <c r="BX15" s="40"/>
      <c r="BY15" s="39">
        <f t="shared" si="2"/>
        <v>11</v>
      </c>
      <c r="BZ15" s="354" t="str">
        <v>ㄎ</v>
      </c>
      <c r="CA15" s="355" t="str">
        <v>聲</v>
      </c>
      <c r="CB15" s="347" t="str">
        <v>d</v>
      </c>
      <c r="CC15" s="348" t="str">
        <v>K</v>
      </c>
      <c r="CD15" s="349" t="str">
        <v>kh</v>
      </c>
      <c r="CE15" s="356">
        <v>2</v>
      </c>
      <c r="CG15" s="288" t="str">
        <f t="shared" si="3"/>
        <v xml:space="preserve">    - xform/^kh/K/    # ㄎ [ kh]</v>
      </c>
      <c r="CH15" s="459"/>
      <c r="CI15" s="39">
        <f t="shared" si="4"/>
        <v>11</v>
      </c>
      <c r="CJ15" s="354" t="str">
        <v>ㄞ</v>
      </c>
      <c r="CK15" s="355" t="str">
        <v>韻</v>
      </c>
      <c r="CL15" s="347" t="str">
        <v>9</v>
      </c>
      <c r="CM15" s="348" t="str">
        <v>I</v>
      </c>
      <c r="CN15" s="349" t="str">
        <v>ai</v>
      </c>
      <c r="CO15" s="356">
        <v>2</v>
      </c>
      <c r="CQ15" s="288" t="str">
        <f t="shared" si="5"/>
        <v xml:space="preserve">    - xform/ai/I/  # ㄞ [ai]</v>
      </c>
      <c r="CR15" s="459" t="str">
        <v xml:space="preserve">    - xform/om/W/  # ㆱ [om]</v>
      </c>
      <c r="CT15" s="354"/>
      <c r="CU15" s="355"/>
      <c r="CV15" s="347"/>
      <c r="CW15" s="348"/>
      <c r="CX15" s="349"/>
      <c r="CY15" s="356"/>
      <c r="DA15" s="288" t="str">
        <f t="shared" si="6"/>
        <v/>
      </c>
    </row>
    <row r="16" spans="1:105" s="16" customFormat="1" ht="45" customHeight="1">
      <c r="A16" s="45"/>
      <c r="B16" s="46" t="s">
        <v>2</v>
      </c>
      <c r="C16" s="47"/>
      <c r="D16" s="48" cm="1">
        <f t="array" ref="D16" xml:space="preserve"> COLUMN() - COLUMN($C:$C)</f>
        <v>1</v>
      </c>
      <c r="E16" s="48" cm="1">
        <f t="array" ref="E16" xml:space="preserve"> COLUMN() - COLUMN($C:$C)</f>
        <v>2</v>
      </c>
      <c r="F16" s="48" cm="1">
        <f t="array" ref="F16" xml:space="preserve"> COLUMN() - COLUMN($C:$C)</f>
        <v>3</v>
      </c>
      <c r="G16" s="48" cm="1">
        <f t="array" ref="G16" xml:space="preserve"> COLUMN() - COLUMN($C:$C)</f>
        <v>4</v>
      </c>
      <c r="H16" s="48" cm="1">
        <f t="array" ref="H16" xml:space="preserve"> COLUMN() - COLUMN($C:$C)</f>
        <v>5</v>
      </c>
      <c r="I16" s="48" cm="1">
        <f t="array" ref="I16" xml:space="preserve"> COLUMN() - COLUMN($C:$C)</f>
        <v>6</v>
      </c>
      <c r="J16" s="48" cm="1">
        <f t="array" ref="J16" xml:space="preserve"> COLUMN() - COLUMN($C:$C)</f>
        <v>7</v>
      </c>
      <c r="K16" s="48" cm="1">
        <f t="array" ref="K16" xml:space="preserve"> COLUMN() - COLUMN($C:$C)</f>
        <v>8</v>
      </c>
      <c r="L16" s="48" cm="1">
        <f t="array" ref="L16" xml:space="preserve"> COLUMN() - COLUMN($C:$C)</f>
        <v>9</v>
      </c>
      <c r="M16" s="48" cm="1">
        <f t="array" ref="M16" xml:space="preserve"> COLUMN() - COLUMN($C:$C)</f>
        <v>10</v>
      </c>
      <c r="N16" s="48" cm="1">
        <f t="array" ref="N16" xml:space="preserve"> COLUMN() - COLUMN($C:$C)</f>
        <v>11</v>
      </c>
      <c r="O16" s="48" cm="1">
        <f t="array" ref="O16" xml:space="preserve"> COLUMN() - COLUMN($C:$C)</f>
        <v>12</v>
      </c>
      <c r="P16" s="48" cm="1">
        <f t="array" ref="P16" xml:space="preserve"> COLUMN() - COLUMN($C:$C)</f>
        <v>13</v>
      </c>
      <c r="Q16" s="48" cm="1">
        <f t="array" ref="Q16" xml:space="preserve"> COLUMN() - COLUMN($C:$C)</f>
        <v>14</v>
      </c>
      <c r="R16" s="48" cm="1">
        <f t="array" ref="R16" xml:space="preserve"> COLUMN() - COLUMN($C:$C)</f>
        <v>15</v>
      </c>
      <c r="S16" s="48" cm="1">
        <f t="array" ref="S16" xml:space="preserve"> COLUMN() - COLUMN($C:$C)</f>
        <v>16</v>
      </c>
      <c r="T16" s="48" cm="1">
        <f t="array" ref="T16" xml:space="preserve"> COLUMN() - COLUMN($C:$C)</f>
        <v>17</v>
      </c>
      <c r="U16" s="48" cm="1">
        <f t="array" ref="U16" xml:space="preserve"> COLUMN() - COLUMN($C:$C)</f>
        <v>18</v>
      </c>
      <c r="V16" s="48" cm="1">
        <f t="array" ref="V16" xml:space="preserve"> COLUMN() - COLUMN($C:$C)</f>
        <v>19</v>
      </c>
      <c r="W16" s="48" cm="1">
        <f t="array" ref="W16" xml:space="preserve"> COLUMN() - COLUMN($C:$C)</f>
        <v>20</v>
      </c>
      <c r="X16" s="48" cm="1">
        <f t="array" ref="X16" xml:space="preserve"> COLUMN() - COLUMN($C:$C)</f>
        <v>21</v>
      </c>
      <c r="Y16" s="49" cm="1">
        <f t="array" ref="Y16" xml:space="preserve"> COLUMN() - COLUMN($C:$C)</f>
        <v>22</v>
      </c>
      <c r="Z16" s="49" cm="1">
        <f t="array" ref="Z16" xml:space="preserve"> COLUMN() - COLUMN($C:$C)</f>
        <v>23</v>
      </c>
      <c r="AA16" s="49" cm="1">
        <f t="array" ref="AA16" xml:space="preserve"> COLUMN() - COLUMN($C:$C)</f>
        <v>24</v>
      </c>
      <c r="AB16" s="49" cm="1">
        <f t="array" ref="AB16" xml:space="preserve"> COLUMN() - COLUMN($C:$C)</f>
        <v>25</v>
      </c>
      <c r="AC16" s="49" cm="1">
        <f t="array" ref="AC16" xml:space="preserve"> COLUMN() - COLUMN($C:$C)</f>
        <v>26</v>
      </c>
      <c r="AD16" s="49" cm="1">
        <f t="array" ref="AD16" xml:space="preserve"> COLUMN() - COLUMN($C:$C)</f>
        <v>27</v>
      </c>
      <c r="AE16" s="49" cm="1">
        <f t="array" ref="AE16" xml:space="preserve"> COLUMN() - COLUMN($C:$C)</f>
        <v>28</v>
      </c>
      <c r="AF16" s="49" cm="1">
        <f t="array" ref="AF16" xml:space="preserve"> COLUMN() - COLUMN($C:$C)</f>
        <v>29</v>
      </c>
      <c r="AG16" s="49" cm="1">
        <f t="array" ref="AG16" xml:space="preserve"> COLUMN() - COLUMN($C:$C)</f>
        <v>30</v>
      </c>
      <c r="AH16" s="49" cm="1">
        <f t="array" ref="AH16" xml:space="preserve"> COLUMN() - COLUMN($C:$C)</f>
        <v>31</v>
      </c>
      <c r="AI16" s="49" cm="1">
        <f t="array" ref="AI16" xml:space="preserve"> COLUMN() - COLUMN($C:$C)</f>
        <v>32</v>
      </c>
      <c r="AJ16" s="49" cm="1">
        <f t="array" ref="AJ16" xml:space="preserve"> COLUMN() - COLUMN($C:$C)</f>
        <v>33</v>
      </c>
      <c r="AK16" s="49" cm="1">
        <f t="array" ref="AK16" xml:space="preserve"> COLUMN() - COLUMN($C:$C)</f>
        <v>34</v>
      </c>
      <c r="AL16" s="49" cm="1">
        <f t="array" ref="AL16" xml:space="preserve"> COLUMN() - COLUMN($C:$C)</f>
        <v>35</v>
      </c>
      <c r="AM16" s="49" cm="1">
        <f t="array" ref="AM16" xml:space="preserve"> COLUMN() - COLUMN($C:$C)</f>
        <v>36</v>
      </c>
      <c r="AN16" s="49" cm="1">
        <f t="array" ref="AN16" xml:space="preserve"> COLUMN() - COLUMN($C:$C)</f>
        <v>37</v>
      </c>
      <c r="AO16" s="49" cm="1">
        <f t="array" ref="AO16" xml:space="preserve"> COLUMN() - COLUMN($C:$C)</f>
        <v>38</v>
      </c>
      <c r="AP16" s="49" cm="1">
        <f t="array" ref="AP16" xml:space="preserve"> COLUMN() - COLUMN($C:$C)</f>
        <v>39</v>
      </c>
      <c r="AQ16" s="49" cm="1">
        <f t="array" ref="AQ16" xml:space="preserve"> COLUMN() - COLUMN($C:$C)</f>
        <v>40</v>
      </c>
      <c r="AR16" s="49" cm="1">
        <f t="array" ref="AR16" xml:space="preserve"> COLUMN() - COLUMN($C:$C)</f>
        <v>41</v>
      </c>
      <c r="AS16" s="49" cm="1">
        <f t="array" ref="AS16" xml:space="preserve"> COLUMN() - COLUMN($C:$C)</f>
        <v>42</v>
      </c>
      <c r="AT16" s="49" cm="1">
        <f t="array" ref="AT16" xml:space="preserve"> COLUMN() - COLUMN($C:$C)</f>
        <v>43</v>
      </c>
      <c r="AU16" s="49" cm="1">
        <f t="array" ref="AU16" xml:space="preserve"> COLUMN() - COLUMN($C:$C)</f>
        <v>44</v>
      </c>
      <c r="AV16" s="49" cm="1">
        <f t="array" ref="AV16" xml:space="preserve"> COLUMN() - COLUMN($C:$C)</f>
        <v>45</v>
      </c>
      <c r="AW16" s="49" cm="1">
        <f t="array" ref="AW16" xml:space="preserve"> COLUMN() - COLUMN($C:$C)</f>
        <v>46</v>
      </c>
      <c r="AX16" s="50" cm="1">
        <f t="array" ref="AX16" xml:space="preserve"> COLUMN() - COLUMN($C:$C)</f>
        <v>47</v>
      </c>
      <c r="AY16" s="50" cm="1">
        <f t="array" ref="AY16" xml:space="preserve"> COLUMN() - COLUMN($C:$C)</f>
        <v>48</v>
      </c>
      <c r="AZ16" s="50" cm="1">
        <f t="array" ref="AZ16" xml:space="preserve"> COLUMN() - COLUMN($C:$C)</f>
        <v>49</v>
      </c>
      <c r="BA16" s="50" cm="1">
        <f t="array" ref="BA16" xml:space="preserve"> COLUMN() - COLUMN($C:$C)</f>
        <v>50</v>
      </c>
      <c r="BB16" s="50" cm="1">
        <f t="array" ref="BB16" xml:space="preserve"> COLUMN() - COLUMN($C:$C)</f>
        <v>51</v>
      </c>
      <c r="BC16" s="50" cm="1">
        <f t="array" ref="BC16" xml:space="preserve"> COLUMN() - COLUMN($C:$C)</f>
        <v>52</v>
      </c>
      <c r="BD16" s="50" cm="1">
        <f t="array" ref="BD16" xml:space="preserve"> COLUMN() - COLUMN($C:$C)</f>
        <v>53</v>
      </c>
      <c r="BE16" s="50" cm="1">
        <f t="array" ref="BE16" xml:space="preserve"> COLUMN() - COLUMN($C:$C)</f>
        <v>54</v>
      </c>
      <c r="BF16" s="50" cm="1">
        <f t="array" ref="BF16" xml:space="preserve"> COLUMN() - COLUMN($C:$C)</f>
        <v>55</v>
      </c>
      <c r="BG16" s="50" cm="1">
        <f t="array" ref="BG16" xml:space="preserve"> COLUMN() - COLUMN($C:$C)</f>
        <v>56</v>
      </c>
      <c r="BH16" s="50" cm="1">
        <f t="array" ref="BH16" xml:space="preserve"> COLUMN() - COLUMN($C:$C)</f>
        <v>57</v>
      </c>
      <c r="BI16" s="50" cm="1">
        <f t="array" ref="BI16" xml:space="preserve"> COLUMN() - COLUMN($C:$C)</f>
        <v>58</v>
      </c>
      <c r="BJ16" s="50" cm="1">
        <f t="array" ref="BJ16" xml:space="preserve"> COLUMN() - COLUMN($C:$C)</f>
        <v>59</v>
      </c>
      <c r="BK16" s="14"/>
      <c r="BL16" s="14"/>
      <c r="BM16" s="447" t="str" cm="1">
        <f t="array" ref="BM16">INDEX($D$18:$BH$18, 1, $BO16)</f>
        <v>ㄫ</v>
      </c>
      <c r="BN16" s="447" t="str" cm="1">
        <f t="array" aca="1" ref="BN16" ca="1">INDIRECT(ADDRESS(17, COLUMN($D$18) + $BO16 - 1))</f>
        <v>?</v>
      </c>
      <c r="BO16" s="39">
        <f t="shared" si="0"/>
        <v>12</v>
      </c>
      <c r="BP16" s="354" t="str">
        <v>ㄫ</v>
      </c>
      <c r="BQ16" s="355" t="str">
        <f xml:space="preserve"> _xlfn.XLOOKUP(BP16, 按鍵設計表[注音符號], 按鍵設計表[聲韻調], "")</f>
        <v>聲</v>
      </c>
      <c r="BR16" s="347" t="str">
        <v>?</v>
      </c>
      <c r="BS16" s="348" t="str">
        <v>g</v>
      </c>
      <c r="BT16" s="349" t="str">
        <v>ng</v>
      </c>
      <c r="BU16" s="356">
        <f t="shared" si="1"/>
        <v>2</v>
      </c>
      <c r="BV16" s="15"/>
      <c r="BW16" s="146" t="str">
        <f xml:space="preserve"> "    """ &amp; BR16 &amp; """: { commit: """ &amp; BP16 &amp; """ }" &amp; "  # " &amp; "/" &amp; BT16 &amp; "/ ==&gt; " &amp; BS16</f>
        <v xml:space="preserve">    "?": { commit: "ㄫ" }  # /ng/ ==&gt; g</v>
      </c>
      <c r="BX16" s="40"/>
      <c r="BY16" s="39">
        <f t="shared" si="2"/>
        <v>12</v>
      </c>
      <c r="BZ16" s="354" t="str">
        <v>ㄫ</v>
      </c>
      <c r="CA16" s="355" t="str">
        <v>聲</v>
      </c>
      <c r="CB16" s="347" t="str">
        <v>?</v>
      </c>
      <c r="CC16" s="348" t="str">
        <v>g</v>
      </c>
      <c r="CD16" s="349" t="str">
        <v>ng</v>
      </c>
      <c r="CE16" s="356">
        <v>2</v>
      </c>
      <c r="CG16" s="288" t="str">
        <f t="shared" si="3"/>
        <v xml:space="preserve">    - xform/^ng/g/    # ㄫ [ ng]</v>
      </c>
      <c r="CH16" s="459"/>
      <c r="CI16" s="39">
        <f t="shared" si="4"/>
        <v>12</v>
      </c>
      <c r="CJ16" s="354" t="str">
        <v>ㄠ</v>
      </c>
      <c r="CK16" s="355" t="str">
        <v>韻</v>
      </c>
      <c r="CL16" s="347" t="str">
        <v>l</v>
      </c>
      <c r="CM16" s="348" t="str">
        <v>U</v>
      </c>
      <c r="CN16" s="349" t="str">
        <v>au</v>
      </c>
      <c r="CO16" s="356">
        <v>2</v>
      </c>
      <c r="CQ16" s="288" t="str">
        <f t="shared" si="5"/>
        <v xml:space="preserve">    - xform/au/U/  # ㄠ [au]</v>
      </c>
      <c r="CR16" s="459" t="str">
        <v xml:space="preserve">    - xform/ong/H/  # ㆲ [ong]</v>
      </c>
      <c r="CT16" s="354"/>
      <c r="CU16" s="355"/>
      <c r="CV16" s="347"/>
      <c r="CW16" s="348"/>
      <c r="CX16" s="349"/>
      <c r="CY16" s="356"/>
      <c r="DA16" s="288" t="str">
        <f t="shared" si="6"/>
        <v/>
      </c>
    </row>
    <row r="17" spans="1:105" s="16" customFormat="1" ht="45" customHeight="1">
      <c r="A17" s="51"/>
      <c r="B17" s="52" t="s">
        <v>8365</v>
      </c>
      <c r="C17" s="53"/>
      <c r="D17" s="299" t="str" cm="1">
        <f t="array" ref="D17:BH17" xml:space="preserve"> TRANSPOSE(按鍵設計表[鍵盤按鍵])</f>
        <v>!</v>
      </c>
      <c r="E17" s="299" t="str">
        <v>1</v>
      </c>
      <c r="F17" s="299" t="str">
        <v>q</v>
      </c>
      <c r="G17" s="299" t="str">
        <v>a</v>
      </c>
      <c r="H17" s="299" t="str">
        <v>s</v>
      </c>
      <c r="I17" s="299" t="str">
        <v>2</v>
      </c>
      <c r="J17" s="299" t="str">
        <v>w</v>
      </c>
      <c r="K17" s="299" t="str">
        <v>x</v>
      </c>
      <c r="L17" s="299" t="str">
        <v>E</v>
      </c>
      <c r="M17" s="299" t="str">
        <v>e</v>
      </c>
      <c r="N17" s="299" t="str">
        <v>d</v>
      </c>
      <c r="O17" s="299" t="str">
        <v>?</v>
      </c>
      <c r="P17" s="299" t="str">
        <v>Y</v>
      </c>
      <c r="Q17" s="299" t="str">
        <v>y</v>
      </c>
      <c r="R17" s="299" t="str">
        <v>h</v>
      </c>
      <c r="S17" s="299" t="str">
        <v>n</v>
      </c>
      <c r="T17" s="299" t="str">
        <v>c</v>
      </c>
      <c r="U17" s="299" t="str">
        <v>R</v>
      </c>
      <c r="V17" s="299" t="str">
        <v>r</v>
      </c>
      <c r="W17" s="299" t="str">
        <v>f</v>
      </c>
      <c r="X17" s="299" t="str">
        <v>v</v>
      </c>
      <c r="Y17" s="299" t="str">
        <v>8</v>
      </c>
      <c r="Z17" s="299" t="str">
        <v>u</v>
      </c>
      <c r="AA17" s="299" t="str">
        <v>K</v>
      </c>
      <c r="AB17" s="299" t="str">
        <v>j</v>
      </c>
      <c r="AC17" s="299" t="str">
        <v>,</v>
      </c>
      <c r="AD17" s="299" t="str">
        <v>i</v>
      </c>
      <c r="AE17" s="299" t="str">
        <v>k</v>
      </c>
      <c r="AF17" s="455" t="str">
        <v>m</v>
      </c>
      <c r="AG17" s="455" t="str">
        <v>p</v>
      </c>
      <c r="AH17" s="458" t="str">
        <v>/</v>
      </c>
      <c r="AI17" s="299" t="str">
        <v>b</v>
      </c>
      <c r="AJ17" s="299" t="str">
        <v>t</v>
      </c>
      <c r="AK17" s="299" t="str">
        <v>g</v>
      </c>
      <c r="AL17" s="299" t="str">
        <v>z</v>
      </c>
      <c r="AM17" s="299" t="str">
        <v>9</v>
      </c>
      <c r="AN17" s="299" t="str">
        <v>l</v>
      </c>
      <c r="AO17" s="299" t="str">
        <v>M</v>
      </c>
      <c r="AP17" s="299" t="str">
        <v>0</v>
      </c>
      <c r="AQ17" s="299" t="str">
        <v>;</v>
      </c>
      <c r="AR17" s="299" t="str">
        <v>O</v>
      </c>
      <c r="AS17" s="299" t="str">
        <v>o</v>
      </c>
      <c r="AT17" s="299" t="str">
        <v>*</v>
      </c>
      <c r="AU17" s="299" t="str">
        <v>U</v>
      </c>
      <c r="AV17" s="299" t="str">
        <v>J</v>
      </c>
      <c r="AW17" s="455" t="str">
        <v>&lt;</v>
      </c>
      <c r="AX17" s="455" t="str">
        <v>I</v>
      </c>
      <c r="AY17" s="455" t="str">
        <v>(</v>
      </c>
      <c r="AZ17" s="455" t="str">
        <v>L</v>
      </c>
      <c r="BA17" s="299">
        <v>7</v>
      </c>
      <c r="BB17" s="299">
        <v>5</v>
      </c>
      <c r="BC17" s="299">
        <v>3</v>
      </c>
      <c r="BD17" s="299">
        <v>4</v>
      </c>
      <c r="BE17" s="299">
        <v>6</v>
      </c>
      <c r="BF17" s="299" t="str">
        <v>N</v>
      </c>
      <c r="BG17" s="299" t="str">
        <v>.</v>
      </c>
      <c r="BH17" s="299" t="str">
        <v>-</v>
      </c>
      <c r="BI17" s="299"/>
      <c r="BJ17" s="299"/>
      <c r="BK17" s="14"/>
      <c r="BL17" s="14"/>
      <c r="BM17" s="447" t="str" cm="1">
        <f t="array" ref="BM17">INDEX($D$18:$BH$18, 1, $BO17)</f>
        <v>ㆡ</v>
      </c>
      <c r="BN17" s="447" t="str" cm="1">
        <f t="array" aca="1" ref="BN17" ca="1">INDIRECT(ADDRESS(17, COLUMN($D$18) + $BO17 - 1))</f>
        <v>Y</v>
      </c>
      <c r="BO17" s="39">
        <f t="shared" si="0"/>
        <v>13</v>
      </c>
      <c r="BP17" s="354" t="str">
        <v>ㆡ</v>
      </c>
      <c r="BQ17" s="355" t="str">
        <f xml:space="preserve"> _xlfn.XLOOKUP(BP17, 按鍵設計表[注音符號], 按鍵設計表[聲韻調], "")</f>
        <v>聲</v>
      </c>
      <c r="BR17" s="347" t="str">
        <v>Y</v>
      </c>
      <c r="BS17" s="348" t="str">
        <v>j</v>
      </c>
      <c r="BT17" s="349" t="str">
        <v>j</v>
      </c>
      <c r="BU17" s="356">
        <f t="shared" si="1"/>
        <v>1</v>
      </c>
      <c r="BW17" s="146" t="str">
        <f xml:space="preserve"> "    """ &amp; BR17 &amp; """: { commit: """ &amp; BP17 &amp; """ }" &amp; "  # " &amp; "/" &amp; BT17 &amp; "/ ==&gt; " &amp; BS17</f>
        <v xml:space="preserve">    "Y": { commit: "ㆡ" }  # /j/ ==&gt; j</v>
      </c>
      <c r="BX17" s="40"/>
      <c r="BY17" s="39">
        <f t="shared" si="2"/>
        <v>13</v>
      </c>
      <c r="BZ17" s="354" t="str">
        <v>ㆡ</v>
      </c>
      <c r="CA17" s="355" t="str">
        <v>聲</v>
      </c>
      <c r="CB17" s="347" t="str">
        <v>Y</v>
      </c>
      <c r="CC17" s="348" t="str">
        <v>j</v>
      </c>
      <c r="CD17" s="349" t="str">
        <v>j</v>
      </c>
      <c r="CE17" s="356">
        <v>1</v>
      </c>
      <c r="CG17" s="288" t="str">
        <f t="shared" si="3"/>
        <v/>
      </c>
      <c r="CH17" s="459"/>
      <c r="CI17" s="39">
        <f t="shared" si="4"/>
        <v>13</v>
      </c>
      <c r="CJ17" s="354" t="str">
        <v>ㆰ</v>
      </c>
      <c r="CK17" s="355" t="str">
        <v>韻</v>
      </c>
      <c r="CL17" s="347" t="str">
        <v>M</v>
      </c>
      <c r="CM17" s="348" t="str">
        <v>Y</v>
      </c>
      <c r="CN17" s="349" t="str">
        <v>am</v>
      </c>
      <c r="CO17" s="356">
        <v>2</v>
      </c>
      <c r="CQ17" s="288" t="str">
        <f t="shared" si="5"/>
        <v xml:space="preserve">    - xform/am/Y/  # ㆰ [am]</v>
      </c>
      <c r="CR17" s="459" t="str">
        <v xml:space="preserve">    - xform/ann/La/  # ㆩ [ann]</v>
      </c>
      <c r="CT17" s="354"/>
      <c r="CU17" s="355"/>
      <c r="CV17" s="347"/>
      <c r="CW17" s="348"/>
      <c r="CX17" s="349"/>
      <c r="CY17" s="356"/>
      <c r="DA17" s="288" t="str">
        <f t="shared" si="6"/>
        <v/>
      </c>
    </row>
    <row r="18" spans="1:105" s="16" customFormat="1" ht="45" customHeight="1">
      <c r="A18" s="51"/>
      <c r="B18" s="84" t="s">
        <v>3</v>
      </c>
      <c r="C18" s="85"/>
      <c r="D18" s="86" t="str" cm="1">
        <f t="array" ref="D18:BH18" xml:space="preserve"> TRANSPOSE(按鍵設計表[注音符號])</f>
        <v>ㆠ</v>
      </c>
      <c r="E18" s="86" t="str">
        <v>ㄅ</v>
      </c>
      <c r="F18" s="86" t="str">
        <v>ㄆ</v>
      </c>
      <c r="G18" s="86" t="str">
        <v>ㄇ</v>
      </c>
      <c r="H18" s="86" t="str">
        <v>ㄋ</v>
      </c>
      <c r="I18" s="86" t="str">
        <v>ㄉ</v>
      </c>
      <c r="J18" s="86" t="str">
        <v>ㄊ</v>
      </c>
      <c r="K18" s="86" t="str">
        <v>ㄌ</v>
      </c>
      <c r="L18" s="86" t="str">
        <v>ㆣ</v>
      </c>
      <c r="M18" s="86" t="str">
        <v>ㄍ</v>
      </c>
      <c r="N18" s="86" t="str">
        <v>ㄎ</v>
      </c>
      <c r="O18" s="86" t="str">
        <v>ㄫ</v>
      </c>
      <c r="P18" s="86" t="str">
        <v>ㆡ</v>
      </c>
      <c r="Q18" s="86" t="str">
        <v>ㄗ</v>
      </c>
      <c r="R18" s="86" t="str">
        <v>ㄘ</v>
      </c>
      <c r="S18" s="86" t="str">
        <v>ㄙ</v>
      </c>
      <c r="T18" s="86" t="str">
        <v>ㄏ</v>
      </c>
      <c r="U18" s="86" t="str">
        <v>ㆢ</v>
      </c>
      <c r="V18" s="86" t="str">
        <v>ㄐ</v>
      </c>
      <c r="W18" s="86" t="str">
        <v>ㄑ</v>
      </c>
      <c r="X18" s="86" t="str">
        <v>ㄒ</v>
      </c>
      <c r="Y18" s="86" t="str">
        <v>ㄚ</v>
      </c>
      <c r="Z18" s="86" t="str">
        <v>ㄧ</v>
      </c>
      <c r="AA18" s="86" t="str">
        <v>ㆨ</v>
      </c>
      <c r="AB18" s="86" t="str">
        <v>ㄨ</v>
      </c>
      <c r="AC18" s="86" t="str">
        <v>ㆤ</v>
      </c>
      <c r="AD18" s="86" t="str">
        <v>ㆦ</v>
      </c>
      <c r="AE18" s="86" t="str">
        <v>ㄜ</v>
      </c>
      <c r="AF18" s="86" t="str">
        <v>ㆬ</v>
      </c>
      <c r="AG18" s="86" t="str">
        <v>ㄣ</v>
      </c>
      <c r="AH18" s="86" t="str">
        <v>ㆭ</v>
      </c>
      <c r="AI18" s="86" t="str">
        <v>ㆴ</v>
      </c>
      <c r="AJ18" s="86" t="str">
        <v>ㆵ</v>
      </c>
      <c r="AK18" s="86" t="str">
        <v>ㆻ</v>
      </c>
      <c r="AL18" s="86" t="str">
        <v>ㆻ</v>
      </c>
      <c r="AM18" s="86" t="str">
        <v>ㄞ</v>
      </c>
      <c r="AN18" s="86" t="str">
        <v>ㄠ</v>
      </c>
      <c r="AO18" s="86" t="str">
        <v>ㆰ</v>
      </c>
      <c r="AP18" s="86" t="str">
        <v>ㄢ</v>
      </c>
      <c r="AQ18" s="86" t="str">
        <v>ㄤ</v>
      </c>
      <c r="AR18" s="86" t="str">
        <v>ㆱ</v>
      </c>
      <c r="AS18" s="86" t="str">
        <v>ㆲ</v>
      </c>
      <c r="AT18" s="86" t="str">
        <v>ㆩ</v>
      </c>
      <c r="AU18" s="86" t="str">
        <v>ㆪ</v>
      </c>
      <c r="AV18" s="86" t="str">
        <v>ㆫ</v>
      </c>
      <c r="AW18" s="86" t="str">
        <v>ㆥ</v>
      </c>
      <c r="AX18" s="86" t="str">
        <v>ㆧ</v>
      </c>
      <c r="AY18" s="86" t="str">
        <v>ㆮ</v>
      </c>
      <c r="AZ18" s="86" t="str">
        <v>ㆯ</v>
      </c>
      <c r="BA18" s="86" t="str">
        <v>˙</v>
      </c>
      <c r="BB18" s="86" t="str">
        <v>˫</v>
      </c>
      <c r="BC18" s="86" t="str">
        <v>˪</v>
      </c>
      <c r="BD18" s="86" t="str">
        <v>ˋ</v>
      </c>
      <c r="BE18" s="86" t="str">
        <v>ˊ</v>
      </c>
      <c r="BF18" s="86" t="str">
        <v>ㄥ</v>
      </c>
      <c r="BG18" s="86" t="str">
        <v>入</v>
      </c>
      <c r="BH18" s="86" t="str">
        <v>ñ</v>
      </c>
      <c r="BI18" s="86" t="str">
        <f xml:space="preserve"> _xlfn.XLOOKUP(BI$17, 按鍵設計表[鍵盤按鍵], 按鍵設計表[注音符號], "", 0, 1)</f>
        <v/>
      </c>
      <c r="BJ18" s="86" t="str">
        <f xml:space="preserve"> _xlfn.XLOOKUP(BJ$17, 按鍵設計表[鍵盤按鍵], 按鍵設計表[注音符號], "", 0, 1)</f>
        <v/>
      </c>
      <c r="BK18" s="14"/>
      <c r="BL18" s="14"/>
      <c r="BM18" s="447" t="str" cm="1">
        <f t="array" ref="BM18">INDEX($D$18:$BH$18, 1, $BO18)</f>
        <v>ㄗ</v>
      </c>
      <c r="BN18" s="447" t="str" cm="1">
        <f t="array" aca="1" ref="BN18" ca="1">INDIRECT(ADDRESS(17, COLUMN($D$18) + $BO18 - 1))</f>
        <v>y</v>
      </c>
      <c r="BO18" s="39">
        <f t="shared" si="0"/>
        <v>14</v>
      </c>
      <c r="BP18" s="354" t="str">
        <v>ㄗ</v>
      </c>
      <c r="BQ18" s="355" t="str">
        <f xml:space="preserve"> _xlfn.XLOOKUP(BP18, 按鍵設計表[注音符號], 按鍵設計表[聲韻調], "")</f>
        <v>聲</v>
      </c>
      <c r="BR18" s="347" t="str">
        <v>y</v>
      </c>
      <c r="BS18" s="348" t="str">
        <v>z</v>
      </c>
      <c r="BT18" s="349" t="str">
        <v>z</v>
      </c>
      <c r="BU18" s="356">
        <f xml:space="preserve"> LEN(BT18)</f>
        <v>1</v>
      </c>
      <c r="BW18" s="146" t="str">
        <f xml:space="preserve"> "    """ &amp; BR19 &amp; """: { commit: """ &amp; BP19 &amp; """ }" &amp; "  # " &amp; "/" &amp; BT19 &amp; "/ ==&gt; " &amp; BS19</f>
        <v xml:space="preserve">    "h": { commit: "ㄘ" }  # /c/ ==&gt; c</v>
      </c>
      <c r="BX18" s="40"/>
      <c r="BY18" s="39">
        <f t="shared" si="2"/>
        <v>14</v>
      </c>
      <c r="BZ18" s="354" t="str">
        <v>ㄗ</v>
      </c>
      <c r="CA18" s="355" t="str">
        <v>聲</v>
      </c>
      <c r="CB18" s="347" t="str">
        <v>y</v>
      </c>
      <c r="CC18" s="348" t="str">
        <v>z</v>
      </c>
      <c r="CD18" s="349" t="str">
        <v>z</v>
      </c>
      <c r="CE18" s="356">
        <v>1</v>
      </c>
      <c r="CG18" s="288" t="str">
        <f t="shared" si="3"/>
        <v/>
      </c>
      <c r="CH18" s="459"/>
      <c r="CI18" s="39">
        <f t="shared" si="4"/>
        <v>14</v>
      </c>
      <c r="CJ18" s="354" t="str">
        <v>ㄢ</v>
      </c>
      <c r="CK18" s="355" t="str">
        <v>韻</v>
      </c>
      <c r="CL18" s="347" t="str">
        <v>0</v>
      </c>
      <c r="CM18" s="348" t="str">
        <v>@</v>
      </c>
      <c r="CN18" s="349" t="str">
        <v>an</v>
      </c>
      <c r="CO18" s="356">
        <v>2</v>
      </c>
      <c r="CQ18" s="288" t="str">
        <f t="shared" si="5"/>
        <v xml:space="preserve">    - xform/an/@/  # ㄢ [an]</v>
      </c>
      <c r="CR18" s="459" t="str">
        <v xml:space="preserve">    - xform/inn/Li/  # ㆪ [inn]</v>
      </c>
      <c r="CT18" s="354"/>
      <c r="CU18" s="355"/>
      <c r="CV18" s="347"/>
      <c r="CW18" s="348"/>
      <c r="CX18" s="349"/>
      <c r="CY18" s="356"/>
      <c r="DA18" s="288" t="str">
        <f t="shared" si="6"/>
        <v/>
      </c>
    </row>
    <row r="19" spans="1:105" s="16" customFormat="1" ht="45" customHeight="1">
      <c r="A19" s="51"/>
      <c r="B19" s="120" t="s">
        <v>8486</v>
      </c>
      <c r="C19" s="55"/>
      <c r="D19" s="56" t="str" cm="1">
        <f t="array" ref="D19:BH19" xml:space="preserve"> TRANSPOSE(按鍵設計表[字典編碼])</f>
        <v>b</v>
      </c>
      <c r="E19" s="56" t="str">
        <v>p</v>
      </c>
      <c r="F19" s="56" t="str">
        <v>P</v>
      </c>
      <c r="G19" s="56" t="str">
        <v>m</v>
      </c>
      <c r="H19" s="56" t="str">
        <v>n</v>
      </c>
      <c r="I19" s="56" t="str">
        <v>t</v>
      </c>
      <c r="J19" s="56" t="str">
        <v>T</v>
      </c>
      <c r="K19" s="56" t="str">
        <v>l</v>
      </c>
      <c r="L19" s="56" t="str">
        <v>q</v>
      </c>
      <c r="M19" s="56" t="str">
        <v>k</v>
      </c>
      <c r="N19" s="56" t="str">
        <v>K</v>
      </c>
      <c r="O19" s="56" t="str">
        <v>g</v>
      </c>
      <c r="P19" s="56" t="str">
        <v>j</v>
      </c>
      <c r="Q19" s="56" t="str">
        <v>z</v>
      </c>
      <c r="R19" s="56" t="str">
        <v>c</v>
      </c>
      <c r="S19" s="56" t="str">
        <v>s</v>
      </c>
      <c r="T19" s="56" t="str">
        <v>h</v>
      </c>
      <c r="U19" s="56" t="str">
        <v>J</v>
      </c>
      <c r="V19" s="56" t="str">
        <v>Z</v>
      </c>
      <c r="W19" s="56" t="str">
        <v>C</v>
      </c>
      <c r="X19" s="56" t="str">
        <v>S</v>
      </c>
      <c r="Y19" s="56" t="str">
        <v>a</v>
      </c>
      <c r="Z19" s="56" t="str">
        <v>i</v>
      </c>
      <c r="AA19" s="56" t="str">
        <v>w</v>
      </c>
      <c r="AB19" s="56" t="str">
        <v>u</v>
      </c>
      <c r="AC19" s="56" t="str">
        <v>e</v>
      </c>
      <c r="AD19" s="56" t="str">
        <v>o</v>
      </c>
      <c r="AE19" s="56" t="str">
        <v>ø</v>
      </c>
      <c r="AF19" s="456" t="str">
        <v>M</v>
      </c>
      <c r="AG19" s="456" t="str">
        <v>N</v>
      </c>
      <c r="AH19" s="456" t="str">
        <v>G</v>
      </c>
      <c r="AI19" s="56" t="str">
        <v>R</v>
      </c>
      <c r="AJ19" s="56" t="str">
        <v>F</v>
      </c>
      <c r="AK19" s="56" t="str">
        <v>Q</v>
      </c>
      <c r="AL19" s="56" t="str">
        <v>V</v>
      </c>
      <c r="AM19" s="56" t="str">
        <v>I</v>
      </c>
      <c r="AN19" s="56" t="str">
        <v>U</v>
      </c>
      <c r="AO19" s="56" t="str">
        <v>Y</v>
      </c>
      <c r="AP19" s="56" t="str">
        <v>@</v>
      </c>
      <c r="AQ19" s="56" t="str">
        <v>A</v>
      </c>
      <c r="AR19" s="56" t="str">
        <v>W</v>
      </c>
      <c r="AS19" s="56" t="str">
        <v>H</v>
      </c>
      <c r="AT19" s="56" t="str">
        <v>La</v>
      </c>
      <c r="AU19" s="56" t="str">
        <v>Li</v>
      </c>
      <c r="AV19" s="56" t="str">
        <v>Lu</v>
      </c>
      <c r="AW19" s="456" t="str">
        <v>Le</v>
      </c>
      <c r="AX19" s="456" t="str">
        <v>Lo</v>
      </c>
      <c r="AY19" s="456" t="str">
        <v>LI</v>
      </c>
      <c r="AZ19" s="456" t="str">
        <v>LU</v>
      </c>
      <c r="BA19" s="56">
        <v>0</v>
      </c>
      <c r="BB19" s="56">
        <v>7</v>
      </c>
      <c r="BC19" s="56" t="str">
        <v>3</v>
      </c>
      <c r="BD19" s="56" t="str">
        <v>2</v>
      </c>
      <c r="BE19" s="56" t="str">
        <v>5</v>
      </c>
      <c r="BF19" s="56" t="str">
        <v>*</v>
      </c>
      <c r="BG19" s="56" t="str">
        <v>&amp;</v>
      </c>
      <c r="BH19" s="56">
        <v>0</v>
      </c>
      <c r="BI19" s="56"/>
      <c r="BJ19" s="56"/>
      <c r="BK19" s="13"/>
      <c r="BL19" s="13"/>
      <c r="BM19" s="447" t="str" cm="1">
        <f t="array" ref="BM19">INDEX($D$18:$BH$18, 1, $BO19)</f>
        <v>ㄘ</v>
      </c>
      <c r="BN19" s="447" t="str" cm="1">
        <f t="array" aca="1" ref="BN19" ca="1">INDIRECT(ADDRESS(17, COLUMN($D$18) + $BO19 - 1))</f>
        <v>h</v>
      </c>
      <c r="BO19" s="39">
        <f t="shared" si="0"/>
        <v>15</v>
      </c>
      <c r="BP19" s="354" t="str">
        <v>ㄘ</v>
      </c>
      <c r="BQ19" s="355" t="str">
        <f xml:space="preserve"> _xlfn.XLOOKUP(BP19, 按鍵設計表[注音符號], 按鍵設計表[聲韻調], "")</f>
        <v>聲</v>
      </c>
      <c r="BR19" s="347" t="str">
        <v>h</v>
      </c>
      <c r="BS19" s="348" t="str">
        <v>c</v>
      </c>
      <c r="BT19" s="349" t="str">
        <v>c</v>
      </c>
      <c r="BU19" s="356">
        <f t="shared" si="1"/>
        <v>1</v>
      </c>
      <c r="BW19" s="146" t="str">
        <f xml:space="preserve"> "    """ &amp; BR18 &amp; """: { commit: """ &amp; BP18 &amp; """ }" &amp; "  # " &amp; "/" &amp; BT18 &amp; "/ ==&gt; " &amp; BS18</f>
        <v xml:space="preserve">    "y": { commit: "ㄗ" }  # /z/ ==&gt; z</v>
      </c>
      <c r="BX19" s="40"/>
      <c r="BY19" s="39">
        <f t="shared" si="2"/>
        <v>15</v>
      </c>
      <c r="BZ19" s="354" t="str">
        <v>ㄘ</v>
      </c>
      <c r="CA19" s="355" t="str">
        <v>聲</v>
      </c>
      <c r="CB19" s="347" t="str">
        <v>h</v>
      </c>
      <c r="CC19" s="348" t="str">
        <v>c</v>
      </c>
      <c r="CD19" s="349" t="str">
        <v>c</v>
      </c>
      <c r="CE19" s="356">
        <v>1</v>
      </c>
      <c r="CG19" s="288" t="str">
        <f t="shared" si="3"/>
        <v/>
      </c>
      <c r="CH19" s="459"/>
      <c r="CI19" s="39">
        <f t="shared" si="4"/>
        <v>15</v>
      </c>
      <c r="CJ19" s="354" t="str">
        <v>ㄤ</v>
      </c>
      <c r="CK19" s="355" t="str">
        <v>韻</v>
      </c>
      <c r="CL19" s="347" t="str">
        <v>;</v>
      </c>
      <c r="CM19" s="348" t="str">
        <v>A</v>
      </c>
      <c r="CN19" s="349" t="str">
        <v>ang</v>
      </c>
      <c r="CO19" s="356">
        <v>3</v>
      </c>
      <c r="CQ19" s="288" t="str">
        <f t="shared" si="5"/>
        <v xml:space="preserve">    - xform/ang/A/  # ㄤ [ang]</v>
      </c>
      <c r="CR19" s="459" t="str">
        <v xml:space="preserve">    - xform/unn/Lu/  # ㆫ [unn]</v>
      </c>
      <c r="CT19" s="354"/>
      <c r="CU19" s="355"/>
      <c r="CV19" s="347"/>
      <c r="CW19" s="348"/>
      <c r="CX19" s="349"/>
      <c r="CY19" s="356"/>
      <c r="DA19" s="288" t="str">
        <f t="shared" si="6"/>
        <v/>
      </c>
    </row>
    <row r="20" spans="1:105" ht="45" customHeight="1">
      <c r="A20" s="51"/>
      <c r="B20" s="300" t="s">
        <v>8615</v>
      </c>
      <c r="C20" s="58"/>
      <c r="D20" s="59" t="str" cm="1">
        <f t="array" ref="D20:BH20" xml:space="preserve"> TRANSPOSE(按鍵設計表[台語音標])</f>
        <v>b</v>
      </c>
      <c r="E20" s="59" t="str">
        <v>p</v>
      </c>
      <c r="F20" s="59" t="str">
        <v>ph</v>
      </c>
      <c r="G20" s="59" t="str">
        <v>m</v>
      </c>
      <c r="H20" s="59" t="str">
        <v>n</v>
      </c>
      <c r="I20" s="59" t="str">
        <v>t</v>
      </c>
      <c r="J20" s="59" t="str">
        <v>th</v>
      </c>
      <c r="K20" s="59" t="str">
        <v>l</v>
      </c>
      <c r="L20" s="59" t="str">
        <v>g</v>
      </c>
      <c r="M20" s="59" t="str">
        <v>k</v>
      </c>
      <c r="N20" s="59" t="str">
        <v>kh</v>
      </c>
      <c r="O20" s="59" t="str">
        <v>ng</v>
      </c>
      <c r="P20" s="59" t="str">
        <v>j</v>
      </c>
      <c r="Q20" s="59" t="str">
        <v>z</v>
      </c>
      <c r="R20" s="59" t="str">
        <v>c</v>
      </c>
      <c r="S20" s="59" t="str">
        <v>s</v>
      </c>
      <c r="T20" s="59" t="str">
        <v>h</v>
      </c>
      <c r="U20" s="59" t="str">
        <v>ji</v>
      </c>
      <c r="V20" s="59" t="str">
        <v>zi</v>
      </c>
      <c r="W20" s="59" t="str">
        <v>ci</v>
      </c>
      <c r="X20" s="59" t="str">
        <v>si</v>
      </c>
      <c r="Y20" s="59" t="str">
        <v>a</v>
      </c>
      <c r="Z20" s="59" t="str">
        <v>i</v>
      </c>
      <c r="AA20" s="59" t="str">
        <v>ir</v>
      </c>
      <c r="AB20" s="59" t="str">
        <v>u</v>
      </c>
      <c r="AC20" s="59" t="str">
        <v>e</v>
      </c>
      <c r="AD20" s="59" t="str">
        <v>oo</v>
      </c>
      <c r="AE20" s="59" t="str">
        <v>o</v>
      </c>
      <c r="AF20" s="457" t="str">
        <v>-m</v>
      </c>
      <c r="AG20" s="457" t="str">
        <v>-n</v>
      </c>
      <c r="AH20" s="457" t="str">
        <v>-ng</v>
      </c>
      <c r="AI20" s="59" t="str">
        <v>-p</v>
      </c>
      <c r="AJ20" s="59" t="str">
        <v>-t</v>
      </c>
      <c r="AK20" s="59" t="str">
        <v>-k</v>
      </c>
      <c r="AL20" s="59" t="str">
        <v>-k</v>
      </c>
      <c r="AM20" s="59" t="str">
        <v>ai</v>
      </c>
      <c r="AN20" s="59" t="str">
        <v>au</v>
      </c>
      <c r="AO20" s="59" t="str">
        <v>am</v>
      </c>
      <c r="AP20" s="59" t="str">
        <v>an</v>
      </c>
      <c r="AQ20" s="59" t="str">
        <v>ang</v>
      </c>
      <c r="AR20" s="59" t="str">
        <v>om</v>
      </c>
      <c r="AS20" s="59" t="str">
        <v>ong</v>
      </c>
      <c r="AT20" s="59" t="str">
        <v>ann</v>
      </c>
      <c r="AU20" s="59" t="str">
        <v>inn</v>
      </c>
      <c r="AV20" s="59" t="str">
        <v>unn</v>
      </c>
      <c r="AW20" s="457" t="str">
        <v>enn</v>
      </c>
      <c r="AX20" s="457" t="str">
        <v>onn</v>
      </c>
      <c r="AY20" s="457" t="str">
        <v>ainn</v>
      </c>
      <c r="AZ20" s="457" t="str">
        <v>aunn</v>
      </c>
      <c r="BA20" s="59">
        <v>0</v>
      </c>
      <c r="BB20" s="59">
        <v>7</v>
      </c>
      <c r="BC20" s="59">
        <v>3</v>
      </c>
      <c r="BD20" s="59">
        <v>2</v>
      </c>
      <c r="BE20" s="59">
        <v>5</v>
      </c>
      <c r="BF20" s="59">
        <v>0</v>
      </c>
      <c r="BG20" s="59">
        <v>0</v>
      </c>
      <c r="BH20" s="59">
        <v>0</v>
      </c>
      <c r="BI20" s="59"/>
      <c r="BJ20" s="59"/>
      <c r="BK20" s="17"/>
      <c r="BL20" s="17"/>
      <c r="BM20" s="447" t="str" cm="1">
        <f t="array" ref="BM20">INDEX($D$18:$BH$18, 1, $BO20)</f>
        <v>ㄙ</v>
      </c>
      <c r="BN20" s="447" t="str" cm="1">
        <f t="array" aca="1" ref="BN20" ca="1">INDIRECT(ADDRESS(17, COLUMN($D$18) + $BO20 - 1))</f>
        <v>n</v>
      </c>
      <c r="BO20" s="39">
        <f t="shared" si="0"/>
        <v>16</v>
      </c>
      <c r="BP20" s="354" t="str">
        <v>ㄙ</v>
      </c>
      <c r="BQ20" s="355" t="str">
        <f xml:space="preserve"> _xlfn.XLOOKUP(BP20, 按鍵設計表[注音符號], 按鍵設計表[聲韻調], "")</f>
        <v>聲</v>
      </c>
      <c r="BR20" s="347" t="str">
        <v>n</v>
      </c>
      <c r="BS20" s="348" t="str">
        <v>s</v>
      </c>
      <c r="BT20" s="349" t="str">
        <v>s</v>
      </c>
      <c r="BU20" s="356">
        <f t="shared" si="1"/>
        <v>1</v>
      </c>
      <c r="BV20" s="16"/>
      <c r="BW20" s="146" t="str">
        <f xml:space="preserve"> "    """ &amp; BR20 &amp; """: { commit: """ &amp; BP20 &amp; """ }" &amp; "  # " &amp; "/" &amp; BT20 &amp; "/ ==&gt; " &amp; BS20</f>
        <v xml:space="preserve">    "n": { commit: "ㄙ" }  # /s/ ==&gt; s</v>
      </c>
      <c r="BX20" s="40"/>
      <c r="BY20" s="39">
        <f t="shared" si="2"/>
        <v>16</v>
      </c>
      <c r="BZ20" s="354" t="str">
        <v>ㄙ</v>
      </c>
      <c r="CA20" s="355" t="str">
        <v>聲</v>
      </c>
      <c r="CB20" s="347" t="str">
        <v>n</v>
      </c>
      <c r="CC20" s="348" t="str">
        <v>s</v>
      </c>
      <c r="CD20" s="349" t="str">
        <v>s</v>
      </c>
      <c r="CE20" s="356">
        <v>1</v>
      </c>
      <c r="CG20" s="288" t="str">
        <f t="shared" si="3"/>
        <v/>
      </c>
      <c r="CI20" s="39">
        <f t="shared" si="4"/>
        <v>16</v>
      </c>
      <c r="CJ20" s="354" t="str">
        <v>ㆱ</v>
      </c>
      <c r="CK20" s="355" t="str">
        <v>韻</v>
      </c>
      <c r="CL20" s="347" t="str">
        <v>O</v>
      </c>
      <c r="CM20" s="348" t="str">
        <v>W</v>
      </c>
      <c r="CN20" s="349" t="str">
        <v>om</v>
      </c>
      <c r="CO20" s="356">
        <v>2</v>
      </c>
      <c r="CQ20" s="288" t="str">
        <f t="shared" si="5"/>
        <v xml:space="preserve">    - xform/om/W/  # ㆱ [om]</v>
      </c>
      <c r="CR20" s="459" t="str">
        <v xml:space="preserve">    - xform/enn/Le/  # ㆥ [enn]</v>
      </c>
      <c r="CT20" s="354"/>
      <c r="CU20" s="355"/>
      <c r="CV20" s="347"/>
      <c r="CW20" s="348"/>
      <c r="CX20" s="349"/>
      <c r="CY20" s="356"/>
      <c r="DA20" s="288" t="str">
        <f t="shared" si="6"/>
        <v/>
      </c>
    </row>
    <row r="21" spans="1:105" s="17" customFormat="1" ht="4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19"/>
      <c r="AS21" s="19"/>
      <c r="AT21" s="28"/>
      <c r="AU21" s="28"/>
      <c r="AV21" s="28"/>
      <c r="AW21" s="13"/>
      <c r="AX21" s="13"/>
      <c r="AY21" s="13"/>
      <c r="AZ21" s="13"/>
      <c r="BA21" s="13"/>
      <c r="BB21" s="13"/>
      <c r="BJ21" s="60"/>
      <c r="BK21" s="60"/>
      <c r="BL21" s="60"/>
      <c r="BM21" s="447" t="str" cm="1">
        <f t="array" ref="BM21">INDEX($D$18:$BH$18, 1, $BO21)</f>
        <v>ㄏ</v>
      </c>
      <c r="BN21" s="447" t="str" cm="1">
        <f t="array" aca="1" ref="BN21" ca="1">INDIRECT(ADDRESS(17, COLUMN($D$18) + $BO21 - 1))</f>
        <v>c</v>
      </c>
      <c r="BO21" s="39">
        <f t="shared" si="0"/>
        <v>17</v>
      </c>
      <c r="BP21" s="354" t="str">
        <v>ㄏ</v>
      </c>
      <c r="BQ21" s="355" t="str">
        <f xml:space="preserve"> _xlfn.XLOOKUP(BP21, 按鍵設計表[注音符號], 按鍵設計表[聲韻調], "")</f>
        <v>聲</v>
      </c>
      <c r="BR21" s="347" t="str">
        <v>c</v>
      </c>
      <c r="BS21" s="348" t="str">
        <v>h</v>
      </c>
      <c r="BT21" s="349" t="str">
        <v>h</v>
      </c>
      <c r="BU21" s="356">
        <f t="shared" si="1"/>
        <v>1</v>
      </c>
      <c r="BV21" s="13"/>
      <c r="BW21" s="146" t="str">
        <f xml:space="preserve"> "    """ &amp; BR21 &amp; """: { commit: """ &amp; BP21 &amp; """ }" &amp; "  # " &amp; "/" &amp; BT21 &amp; "/ ==&gt; " &amp; BS21</f>
        <v xml:space="preserve">    "c": { commit: "ㄏ" }  # /h/ ==&gt; h</v>
      </c>
      <c r="BX21" s="40"/>
      <c r="BY21" s="39">
        <f t="shared" si="2"/>
        <v>17</v>
      </c>
      <c r="BZ21" s="354" t="str">
        <v>ㄏ</v>
      </c>
      <c r="CA21" s="355" t="str">
        <v>聲</v>
      </c>
      <c r="CB21" s="347" t="str">
        <v>c</v>
      </c>
      <c r="CC21" s="348" t="str">
        <v>h</v>
      </c>
      <c r="CD21" s="349" t="str">
        <v>h</v>
      </c>
      <c r="CE21" s="356">
        <v>1</v>
      </c>
      <c r="CG21" s="288" t="str">
        <f t="shared" si="3"/>
        <v/>
      </c>
      <c r="CH21" s="459"/>
      <c r="CI21" s="39">
        <f t="shared" si="4"/>
        <v>17</v>
      </c>
      <c r="CJ21" s="354" t="str">
        <v>ㆲ</v>
      </c>
      <c r="CK21" s="355" t="str">
        <v>韻</v>
      </c>
      <c r="CL21" s="347" t="str">
        <v>o</v>
      </c>
      <c r="CM21" s="348" t="str">
        <v>H</v>
      </c>
      <c r="CN21" s="349" t="str">
        <v>ong</v>
      </c>
      <c r="CO21" s="356">
        <v>3</v>
      </c>
      <c r="CQ21" s="288" t="str">
        <f t="shared" si="5"/>
        <v xml:space="preserve">    - xform/ong/H/  # ㆲ [ong]</v>
      </c>
      <c r="CR21" s="459" t="str">
        <v xml:space="preserve">    - xform/onn/Lo/  # ㆧ [onn]</v>
      </c>
      <c r="CT21" s="354"/>
      <c r="CU21" s="355"/>
      <c r="CV21" s="347"/>
      <c r="CW21" s="348"/>
      <c r="CX21" s="349"/>
      <c r="CY21" s="356"/>
      <c r="DA21" s="288" t="str">
        <f t="shared" si="6"/>
        <v/>
      </c>
    </row>
    <row r="22" spans="1:105" s="17" customFormat="1" ht="45" customHeight="1">
      <c r="B22" s="63" t="s">
        <v>337</v>
      </c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4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0"/>
      <c r="AJ22" s="60"/>
      <c r="AK22" s="60"/>
      <c r="AL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447" t="str" cm="1">
        <f t="array" ref="BM22">INDEX($D$18:$BH$18, 1, $BO22)</f>
        <v>ㆢ</v>
      </c>
      <c r="BN22" s="447" t="str" cm="1">
        <f t="array" aca="1" ref="BN22" ca="1">INDIRECT(ADDRESS(17, COLUMN($D$18) + $BO22 - 1))</f>
        <v>R</v>
      </c>
      <c r="BO22" s="39">
        <f t="shared" si="0"/>
        <v>18</v>
      </c>
      <c r="BP22" s="354" t="str">
        <v>ㆢ</v>
      </c>
      <c r="BQ22" s="355" t="str">
        <f xml:space="preserve"> _xlfn.XLOOKUP(BP22, 按鍵設計表[注音符號], 按鍵設計表[聲韻調], "")</f>
        <v>聲</v>
      </c>
      <c r="BR22" s="347" t="str">
        <v>R</v>
      </c>
      <c r="BS22" s="348" t="str">
        <v>J</v>
      </c>
      <c r="BT22" s="349" t="str">
        <v>ji</v>
      </c>
      <c r="BU22" s="356">
        <f xml:space="preserve"> LEN(BT22)</f>
        <v>2</v>
      </c>
      <c r="BW22" s="146" t="str">
        <f xml:space="preserve"> "    """ &amp; BR23 &amp; """: { commit: """ &amp; BP23 &amp; """ }" &amp; "  # " &amp; "/" &amp; BT23 &amp; "/ ==&gt; " &amp; BS23</f>
        <v xml:space="preserve">    "r": { commit: "ㄐ" }  # /zi/ ==&gt; Z</v>
      </c>
      <c r="BX22" s="40"/>
      <c r="BY22" s="39">
        <f t="shared" si="2"/>
        <v>18</v>
      </c>
      <c r="BZ22" s="354" t="str">
        <v>ㆢ</v>
      </c>
      <c r="CA22" s="355" t="str">
        <v>聲</v>
      </c>
      <c r="CB22" s="347" t="str">
        <v>R</v>
      </c>
      <c r="CC22" s="348" t="str">
        <v>J</v>
      </c>
      <c r="CD22" s="349" t="str">
        <v>ji</v>
      </c>
      <c r="CE22" s="356">
        <v>2</v>
      </c>
      <c r="CG22" s="288" t="str">
        <f t="shared" si="3"/>
        <v xml:space="preserve">    - xform/^ji/J/    # ㆢ [ ji]</v>
      </c>
      <c r="CH22" s="459"/>
      <c r="CI22" s="39">
        <f t="shared" si="4"/>
        <v>18</v>
      </c>
      <c r="CJ22" s="354" t="str">
        <v>ㆩ</v>
      </c>
      <c r="CK22" s="355" t="str">
        <v>韻</v>
      </c>
      <c r="CL22" s="347" t="str">
        <v>*</v>
      </c>
      <c r="CM22" s="348" t="str">
        <v>La</v>
      </c>
      <c r="CN22" s="349" t="str">
        <v>ann</v>
      </c>
      <c r="CO22" s="356">
        <v>3</v>
      </c>
      <c r="CQ22" s="288" t="str">
        <f t="shared" si="5"/>
        <v xml:space="preserve">    - xform/ann/La/  # ㆩ [ann]</v>
      </c>
      <c r="CR22" s="459" t="str">
        <v xml:space="preserve">    - xform/ainn/LI/  # ㆮ [ainn]</v>
      </c>
      <c r="CT22" s="354"/>
      <c r="CU22" s="355"/>
      <c r="CV22" s="347"/>
      <c r="CW22" s="348"/>
      <c r="CX22" s="349"/>
      <c r="CY22" s="356"/>
      <c r="DA22" s="288" t="str">
        <f t="shared" si="6"/>
        <v/>
      </c>
    </row>
    <row r="23" spans="1:105" s="296" customFormat="1" ht="45" customHeight="1">
      <c r="A23" s="294"/>
      <c r="B23" s="295" t="str">
        <f>"  alphabet: " &amp; _xlfn.CONCAT("""", D17:AZ17, BF17:BH17, BA17:BE17, """")</f>
        <v xml:space="preserve">  alphabet: "!1qas2wxEed?YyhncRrfv8uKj,ikmp/btgz9lM0;Oo*UJ&lt;I(LN.-75346"</v>
      </c>
      <c r="C23" s="295"/>
      <c r="D23" s="295"/>
      <c r="E23" s="295"/>
      <c r="F23" s="295"/>
      <c r="G23" s="295"/>
      <c r="H23" s="295"/>
      <c r="I23" s="295"/>
      <c r="J23" s="295"/>
      <c r="K23" s="295"/>
      <c r="L23" s="295"/>
      <c r="M23" s="295"/>
      <c r="N23" s="295"/>
      <c r="O23" s="295"/>
      <c r="P23" s="295"/>
      <c r="Q23" s="295"/>
      <c r="R23" s="295"/>
      <c r="S23" s="295"/>
      <c r="T23" s="295"/>
      <c r="U23" s="295"/>
      <c r="V23" s="295"/>
      <c r="W23" s="295"/>
      <c r="X23" s="295"/>
      <c r="Y23" s="295"/>
      <c r="Z23" s="295"/>
      <c r="AA23" s="295"/>
      <c r="AB23" s="295"/>
      <c r="AC23" s="295"/>
      <c r="AD23" s="295"/>
      <c r="AE23" s="295"/>
      <c r="AF23" s="295"/>
      <c r="AG23" s="295"/>
      <c r="AH23" s="295"/>
      <c r="AI23" s="295"/>
      <c r="AJ23" s="295"/>
      <c r="AK23" s="294"/>
      <c r="AL23" s="294"/>
      <c r="AM23" s="363"/>
      <c r="AN23" s="294"/>
      <c r="BJ23" s="297"/>
      <c r="BK23" s="297"/>
      <c r="BL23" s="297"/>
      <c r="BM23" s="447" t="str" cm="1">
        <f t="array" ref="BM23">INDEX($D$18:$BH$18, 1, $BO23)</f>
        <v>ㄐ</v>
      </c>
      <c r="BN23" s="447" t="str" cm="1">
        <f t="array" aca="1" ref="BN23" ca="1">INDIRECT(ADDRESS(17, COLUMN($D$18) + $BO23 - 1))</f>
        <v>r</v>
      </c>
      <c r="BO23" s="39">
        <f t="shared" si="0"/>
        <v>19</v>
      </c>
      <c r="BP23" s="354" t="str">
        <v>ㄐ</v>
      </c>
      <c r="BQ23" s="355" t="str">
        <f xml:space="preserve"> _xlfn.XLOOKUP(BP23, 按鍵設計表[注音符號], 按鍵設計表[聲韻調], "")</f>
        <v>聲</v>
      </c>
      <c r="BR23" s="347" t="str">
        <v>r</v>
      </c>
      <c r="BS23" s="348" t="str">
        <v>Z</v>
      </c>
      <c r="BT23" s="349" t="str">
        <v>zi</v>
      </c>
      <c r="BU23" s="356">
        <f t="shared" si="1"/>
        <v>2</v>
      </c>
      <c r="BV23" s="17"/>
      <c r="BW23" s="146" t="str">
        <f xml:space="preserve"> "    """ &amp; BR22 &amp; """: { commit: """ &amp; BP22 &amp; """ }" &amp; "  # " &amp; "/" &amp; BT22 &amp; "/ ==&gt; " &amp; BS22</f>
        <v xml:space="preserve">    "R": { commit: "ㆢ" }  # /ji/ ==&gt; J</v>
      </c>
      <c r="BX23" s="40"/>
      <c r="BY23" s="39">
        <f t="shared" si="2"/>
        <v>19</v>
      </c>
      <c r="BZ23" s="354" t="str">
        <v>ㄐ</v>
      </c>
      <c r="CA23" s="355" t="str">
        <v>聲</v>
      </c>
      <c r="CB23" s="347" t="str">
        <v>r</v>
      </c>
      <c r="CC23" s="348" t="str">
        <v>Z</v>
      </c>
      <c r="CD23" s="349" t="str">
        <v>zi</v>
      </c>
      <c r="CE23" s="356">
        <v>2</v>
      </c>
      <c r="CG23" s="288" t="str">
        <f t="shared" si="3"/>
        <v xml:space="preserve">    - xform/^zi/Z/    # ㄐ [ zi]</v>
      </c>
      <c r="CH23" s="459"/>
      <c r="CI23" s="39">
        <f t="shared" si="4"/>
        <v>19</v>
      </c>
      <c r="CJ23" s="354" t="str">
        <v>ㆪ</v>
      </c>
      <c r="CK23" s="355" t="str">
        <v>韻</v>
      </c>
      <c r="CL23" s="347" t="str">
        <v>U</v>
      </c>
      <c r="CM23" s="348" t="str">
        <v>Li</v>
      </c>
      <c r="CN23" s="349" t="str">
        <v>inn</v>
      </c>
      <c r="CO23" s="356">
        <v>3</v>
      </c>
      <c r="CQ23" s="288" t="str">
        <f t="shared" si="5"/>
        <v xml:space="preserve">    - xform/inn/Li/  # ㆪ [inn]</v>
      </c>
      <c r="CR23" s="459"/>
      <c r="CT23" s="354"/>
      <c r="CU23" s="355"/>
      <c r="CV23" s="347"/>
      <c r="CW23" s="348"/>
      <c r="CX23" s="349"/>
      <c r="CY23" s="356"/>
      <c r="DA23" s="288" t="str">
        <f t="shared" si="6"/>
        <v/>
      </c>
    </row>
    <row r="24" spans="1:105" s="17" customFormat="1" ht="45" customHeight="1">
      <c r="A24" s="28"/>
      <c r="B24" s="295" t="str">
        <f>"  initials: " &amp; _xlfn.CONCAT("""", D17:AZ17, BF17:BH17, """")</f>
        <v xml:space="preserve">  initials: "!1qas2wxEed?YyhncRrfv8uKj,ikmp/btgz9lM0;Oo*UJ&lt;I(LN.-"</v>
      </c>
      <c r="C24" s="295"/>
      <c r="D24" s="295"/>
      <c r="E24" s="295"/>
      <c r="F24" s="295"/>
      <c r="G24" s="295"/>
      <c r="H24" s="295"/>
      <c r="I24" s="295"/>
      <c r="J24" s="295"/>
      <c r="K24" s="295"/>
      <c r="L24" s="295"/>
      <c r="M24" s="295"/>
      <c r="N24" s="295"/>
      <c r="O24" s="295"/>
      <c r="P24" s="295"/>
      <c r="Q24" s="295"/>
      <c r="R24" s="295"/>
      <c r="S24" s="295"/>
      <c r="T24" s="295"/>
      <c r="U24" s="295"/>
      <c r="V24" s="295"/>
      <c r="W24" s="295"/>
      <c r="X24" s="295"/>
      <c r="Y24" s="295"/>
      <c r="Z24" s="295"/>
      <c r="AA24" s="295"/>
      <c r="AB24" s="295"/>
      <c r="AC24" s="295"/>
      <c r="AD24" s="295"/>
      <c r="AE24" s="295"/>
      <c r="AF24" s="295"/>
      <c r="AG24" s="295"/>
      <c r="AH24" s="295"/>
      <c r="AI24" s="295"/>
      <c r="AJ24" s="295"/>
      <c r="AK24" s="28"/>
      <c r="AL24" s="28"/>
      <c r="AM24" s="28"/>
      <c r="AN24" s="28"/>
      <c r="AO24" s="28"/>
      <c r="AP24" s="28"/>
      <c r="AQ24" s="28"/>
      <c r="AR24" s="19"/>
      <c r="AS24" s="19"/>
      <c r="AT24" s="28"/>
      <c r="AU24" s="28"/>
      <c r="AV24" s="28"/>
      <c r="AW24" s="13"/>
      <c r="AX24" s="13"/>
      <c r="AY24" s="13"/>
      <c r="AZ24" s="13"/>
      <c r="BA24" s="13"/>
      <c r="BB24" s="13"/>
      <c r="BJ24" s="60"/>
      <c r="BK24" s="60"/>
      <c r="BL24" s="60"/>
      <c r="BM24" s="447" t="str" cm="1">
        <f t="array" ref="BM24">INDEX($D$18:$BH$18, 1, $BO24)</f>
        <v>ㄑ</v>
      </c>
      <c r="BN24" s="447" t="str" cm="1">
        <f t="array" aca="1" ref="BN24" ca="1">INDIRECT(ADDRESS(17, COLUMN($D$18) + $BO24 - 1))</f>
        <v>f</v>
      </c>
      <c r="BO24" s="39">
        <f t="shared" si="0"/>
        <v>20</v>
      </c>
      <c r="BP24" s="354" t="str">
        <v>ㄑ</v>
      </c>
      <c r="BQ24" s="355" t="str">
        <f xml:space="preserve"> _xlfn.XLOOKUP(BP24, 按鍵設計表[注音符號], 按鍵設計表[聲韻調], "")</f>
        <v>聲</v>
      </c>
      <c r="BR24" s="347" t="str">
        <v>f</v>
      </c>
      <c r="BS24" s="348" t="str">
        <v>C</v>
      </c>
      <c r="BT24" s="349" t="str">
        <v>ci</v>
      </c>
      <c r="BU24" s="356">
        <f t="shared" si="1"/>
        <v>2</v>
      </c>
      <c r="BV24" s="296"/>
      <c r="BW24" s="146" t="str">
        <f t="shared" ref="BW24:BW61" si="8" xml:space="preserve"> "    """ &amp; BR24 &amp; """: { commit: """ &amp; BP24 &amp; """ }" &amp; "  # " &amp; "/" &amp; BT24 &amp; "/ ==&gt; " &amp; BS24</f>
        <v xml:space="preserve">    "f": { commit: "ㄑ" }  # /ci/ ==&gt; C</v>
      </c>
      <c r="BX24" s="298"/>
      <c r="BY24" s="39">
        <f t="shared" si="2"/>
        <v>20</v>
      </c>
      <c r="BZ24" s="354" t="str">
        <v>ㄑ</v>
      </c>
      <c r="CA24" s="355" t="str">
        <v>聲</v>
      </c>
      <c r="CB24" s="347" t="str">
        <v>f</v>
      </c>
      <c r="CC24" s="348" t="str">
        <v>C</v>
      </c>
      <c r="CD24" s="349" t="str">
        <v>ci</v>
      </c>
      <c r="CE24" s="356">
        <v>2</v>
      </c>
      <c r="CG24" s="288" t="str">
        <f t="shared" si="3"/>
        <v xml:space="preserve">    - xform/^ci/C/    # ㄑ [ ci]</v>
      </c>
      <c r="CH24" s="459"/>
      <c r="CI24" s="39">
        <f t="shared" si="4"/>
        <v>20</v>
      </c>
      <c r="CJ24" s="354" t="str">
        <v>ㆫ</v>
      </c>
      <c r="CK24" s="355" t="str">
        <v>韻</v>
      </c>
      <c r="CL24" s="347" t="str">
        <v>J</v>
      </c>
      <c r="CM24" s="348" t="str">
        <v>Lu</v>
      </c>
      <c r="CN24" s="349" t="str">
        <v>unn</v>
      </c>
      <c r="CO24" s="356">
        <v>3</v>
      </c>
      <c r="CQ24" s="288" t="str">
        <f t="shared" si="5"/>
        <v xml:space="preserve">    - xform/unn/Lu/  # ㆫ [unn]</v>
      </c>
      <c r="CR24" s="459"/>
      <c r="CT24" s="354"/>
      <c r="CU24" s="355"/>
      <c r="CV24" s="347"/>
      <c r="CW24" s="348"/>
      <c r="CX24" s="349"/>
      <c r="CY24" s="356"/>
      <c r="DA24" s="288" t="str">
        <f t="shared" si="6"/>
        <v/>
      </c>
    </row>
    <row r="25" spans="1:105" s="17" customFormat="1" ht="45" customHeight="1">
      <c r="A25" s="28"/>
      <c r="B25" s="295" t="str">
        <f>"  finals: " &amp; _xlfn.CONCAT("""", BA17:BE17, """")</f>
        <v xml:space="preserve">  finals: "75346"</v>
      </c>
      <c r="C25" s="295"/>
      <c r="D25" s="295"/>
      <c r="E25" s="295"/>
      <c r="F25" s="295"/>
      <c r="G25" s="295"/>
      <c r="H25" s="295"/>
      <c r="I25" s="295"/>
      <c r="J25" s="295"/>
      <c r="K25" s="295"/>
      <c r="L25" s="295"/>
      <c r="M25" s="295"/>
      <c r="N25" s="295"/>
      <c r="O25" s="295"/>
      <c r="P25" s="295"/>
      <c r="Q25" s="295"/>
      <c r="R25" s="295"/>
      <c r="S25" s="295"/>
      <c r="T25" s="295"/>
      <c r="U25" s="295"/>
      <c r="V25" s="295"/>
      <c r="W25" s="295"/>
      <c r="X25" s="295"/>
      <c r="Y25" s="295"/>
      <c r="Z25" s="295"/>
      <c r="AA25" s="295"/>
      <c r="AB25" s="295"/>
      <c r="AC25" s="295"/>
      <c r="AD25" s="295"/>
      <c r="AE25" s="295"/>
      <c r="AF25" s="295"/>
      <c r="AG25" s="295"/>
      <c r="AH25" s="295"/>
      <c r="AI25" s="295"/>
      <c r="AJ25" s="295"/>
      <c r="AK25" s="28"/>
      <c r="AL25" s="28"/>
      <c r="AM25" s="28"/>
      <c r="AN25" s="28"/>
      <c r="AO25" s="28"/>
      <c r="AP25" s="28"/>
      <c r="AQ25" s="28"/>
      <c r="AR25" s="19"/>
      <c r="AS25" s="19"/>
      <c r="AT25" s="28"/>
      <c r="AU25" s="28"/>
      <c r="AV25" s="28"/>
      <c r="AW25" s="13"/>
      <c r="AX25" s="13"/>
      <c r="AY25" s="13"/>
      <c r="AZ25" s="13"/>
      <c r="BA25" s="13"/>
      <c r="BB25" s="13"/>
      <c r="BJ25" s="60"/>
      <c r="BK25" s="60"/>
      <c r="BL25" s="60"/>
      <c r="BM25" s="447" t="str" cm="1">
        <f t="array" ref="BM25">INDEX($D$18:$BH$18, 1, $BO25)</f>
        <v>ㄒ</v>
      </c>
      <c r="BN25" s="447" t="str" cm="1">
        <f t="array" aca="1" ref="BN25" ca="1">INDIRECT(ADDRESS(17, COLUMN($D$18) + $BO25 - 1))</f>
        <v>v</v>
      </c>
      <c r="BO25" s="39">
        <f t="shared" si="0"/>
        <v>21</v>
      </c>
      <c r="BP25" s="354" t="str">
        <v>ㄒ</v>
      </c>
      <c r="BQ25" s="355" t="str">
        <f xml:space="preserve"> _xlfn.XLOOKUP(BP25, 按鍵設計表[注音符號], 按鍵設計表[聲韻調], "")</f>
        <v>聲</v>
      </c>
      <c r="BR25" s="347" t="str">
        <v>v</v>
      </c>
      <c r="BS25" s="348" t="str">
        <v>S</v>
      </c>
      <c r="BT25" s="349" t="str">
        <v>si</v>
      </c>
      <c r="BU25" s="356">
        <f t="shared" si="1"/>
        <v>2</v>
      </c>
      <c r="BW25" s="146" t="str">
        <f t="shared" si="8"/>
        <v xml:space="preserve">    "v": { commit: "ㄒ" }  # /si/ ==&gt; S</v>
      </c>
      <c r="BX25" s="40"/>
      <c r="BY25" s="39">
        <f t="shared" si="2"/>
        <v>21</v>
      </c>
      <c r="BZ25" s="354" t="str">
        <v>ㄒ</v>
      </c>
      <c r="CA25" s="355" t="str">
        <v>聲</v>
      </c>
      <c r="CB25" s="347" t="str">
        <v>v</v>
      </c>
      <c r="CC25" s="348" t="str">
        <v>S</v>
      </c>
      <c r="CD25" s="349" t="str">
        <v>si</v>
      </c>
      <c r="CE25" s="356">
        <v>2</v>
      </c>
      <c r="CG25" s="288" t="str">
        <f t="shared" si="3"/>
        <v xml:space="preserve">    - xform/^si/S/    # ㄒ [ si]</v>
      </c>
      <c r="CH25" s="459"/>
      <c r="CI25" s="39">
        <f t="shared" si="4"/>
        <v>21</v>
      </c>
      <c r="CJ25" s="354" t="str">
        <v>ㆥ</v>
      </c>
      <c r="CK25" s="355" t="str">
        <v>韻</v>
      </c>
      <c r="CL25" s="347" t="str">
        <v>&lt;</v>
      </c>
      <c r="CM25" s="348" t="str">
        <v>Le</v>
      </c>
      <c r="CN25" s="349" t="str">
        <v>enn</v>
      </c>
      <c r="CO25" s="356">
        <v>3</v>
      </c>
      <c r="CQ25" s="288" t="str">
        <f t="shared" si="5"/>
        <v xml:space="preserve">    - xform/enn/Le/  # ㆥ [enn]</v>
      </c>
      <c r="CR25" s="459"/>
      <c r="CT25" s="354"/>
      <c r="CU25" s="355"/>
      <c r="CV25" s="347"/>
      <c r="CW25" s="348"/>
      <c r="CX25" s="349"/>
      <c r="CY25" s="356"/>
      <c r="DA25" s="288" t="str">
        <f t="shared" si="6"/>
        <v/>
      </c>
    </row>
    <row r="26" spans="1:105" s="17" customFormat="1" ht="45" customHeight="1"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19"/>
      <c r="AS26" s="19"/>
      <c r="AT26" s="28"/>
      <c r="AU26" s="28"/>
      <c r="AV26" s="28"/>
      <c r="AW26" s="13"/>
      <c r="AX26" s="13"/>
      <c r="AY26" s="13"/>
      <c r="AZ26" s="13"/>
      <c r="BA26" s="13"/>
      <c r="BB26" s="13"/>
      <c r="BJ26" s="60"/>
      <c r="BK26" s="60"/>
      <c r="BL26" s="60"/>
      <c r="BM26" s="447" t="str" cm="1">
        <f t="array" ref="BM26">INDEX($D$18:$BH$18, 1, $BO26)</f>
        <v>ㄚ</v>
      </c>
      <c r="BN26" s="447" t="str" cm="1">
        <f t="array" aca="1" ref="BN26" ca="1">INDIRECT(ADDRESS(17, COLUMN($D$18) + $BO26 - 1))</f>
        <v>8</v>
      </c>
      <c r="BO26" s="39">
        <f t="shared" si="0"/>
        <v>22</v>
      </c>
      <c r="BP26" s="354" t="str">
        <v>ㄚ</v>
      </c>
      <c r="BQ26" s="355" t="str">
        <f xml:space="preserve"> _xlfn.XLOOKUP(BP26, 按鍵設計表[注音符號], 按鍵設計表[聲韻調], "")</f>
        <v>韻</v>
      </c>
      <c r="BR26" s="347" t="str">
        <v>8</v>
      </c>
      <c r="BS26" s="348" t="str">
        <v>a</v>
      </c>
      <c r="BT26" s="349" t="str">
        <v>a</v>
      </c>
      <c r="BU26" s="356">
        <f t="shared" si="1"/>
        <v>1</v>
      </c>
      <c r="BW26" s="146" t="str">
        <f t="shared" si="8"/>
        <v xml:space="preserve">    "8": { commit: "ㄚ" }  # /a/ ==&gt; a</v>
      </c>
      <c r="BX26" s="40"/>
      <c r="BY26" s="39">
        <f t="shared" si="2"/>
        <v>22</v>
      </c>
      <c r="BZ26"/>
      <c r="CA26" s="13"/>
      <c r="CB26" s="13"/>
      <c r="CC26" s="13"/>
      <c r="CD26" s="13"/>
      <c r="CE26" s="13"/>
      <c r="CG26" s="288" t="str">
        <f t="shared" si="3"/>
        <v/>
      </c>
      <c r="CH26" s="459"/>
      <c r="CI26" s="39">
        <f t="shared" si="4"/>
        <v>22</v>
      </c>
      <c r="CJ26" s="13" t="str">
        <v>ㆧ</v>
      </c>
      <c r="CK26" t="str">
        <v>韻</v>
      </c>
      <c r="CL26" s="13" t="str">
        <v>I</v>
      </c>
      <c r="CM26" s="13" t="str">
        <v>Lo</v>
      </c>
      <c r="CN26" s="13" t="str">
        <v>onn</v>
      </c>
      <c r="CO26" s="13">
        <v>3</v>
      </c>
      <c r="CQ26" s="288" t="str">
        <f t="shared" si="5"/>
        <v xml:space="preserve">    - xform/onn/Lo/  # ㆧ [onn]</v>
      </c>
      <c r="CR26" s="459"/>
      <c r="CT26"/>
      <c r="CU26" s="13"/>
      <c r="CV26" s="13"/>
      <c r="CW26" s="13"/>
      <c r="CX26" s="13"/>
      <c r="CY26" s="13"/>
      <c r="DA26" s="288" t="str">
        <f t="shared" si="6"/>
        <v/>
      </c>
    </row>
    <row r="27" spans="1:105" s="17" customFormat="1" ht="45" customHeight="1">
      <c r="B27" s="364" t="str">
        <f xml:space="preserve"> "    - abbrev/^([" &amp; _xlfn.CONCAT(D19:X19) &amp; "]).+$/$1/"</f>
        <v xml:space="preserve">    - abbrev/^([bpPmntTlqkKgjzcshJZCS]).+$/$1/</v>
      </c>
      <c r="C27" s="365"/>
      <c r="D27" s="365"/>
      <c r="E27" s="366"/>
      <c r="F27" s="366"/>
      <c r="G27" s="365"/>
      <c r="H27" s="365"/>
      <c r="I27" s="365"/>
      <c r="J27" s="367"/>
      <c r="K27" s="367"/>
      <c r="L27" s="367"/>
      <c r="M27" s="367"/>
      <c r="N27" s="367"/>
      <c r="O27" s="367"/>
      <c r="P27" s="368"/>
      <c r="Q27" s="368"/>
      <c r="R27" s="368"/>
      <c r="S27" s="368"/>
      <c r="T27" s="368"/>
      <c r="U27" s="368"/>
      <c r="V27" s="36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19"/>
      <c r="AS27" s="19"/>
      <c r="AT27" s="28"/>
      <c r="AU27" s="28"/>
      <c r="AV27" s="28"/>
      <c r="AW27" s="13"/>
      <c r="AX27" s="13"/>
      <c r="AY27" s="13"/>
      <c r="AZ27" s="13"/>
      <c r="BA27" s="13"/>
      <c r="BB27" s="13"/>
      <c r="BJ27" s="60"/>
      <c r="BK27" s="60"/>
      <c r="BL27" s="60"/>
      <c r="BM27" s="447" t="str" cm="1">
        <f t="array" ref="BM27">INDEX($D$18:$BH$18, 1, $BO27)</f>
        <v>ㄧ</v>
      </c>
      <c r="BN27" s="447" t="str" cm="1">
        <f t="array" aca="1" ref="BN27" ca="1">INDIRECT(ADDRESS(17, COLUMN($D$18) + $BO27 - 1))</f>
        <v>u</v>
      </c>
      <c r="BO27" s="39">
        <f t="shared" si="0"/>
        <v>23</v>
      </c>
      <c r="BP27" s="354" t="str">
        <v>ㄧ</v>
      </c>
      <c r="BQ27" s="355" t="str">
        <f xml:space="preserve"> _xlfn.XLOOKUP(BP27, 按鍵設計表[注音符號], 按鍵設計表[聲韻調], "")</f>
        <v>韻</v>
      </c>
      <c r="BR27" s="347" t="str">
        <v>u</v>
      </c>
      <c r="BS27" s="348" t="str">
        <v>i</v>
      </c>
      <c r="BT27" s="349" t="str">
        <v>i</v>
      </c>
      <c r="BU27" s="356">
        <f t="shared" si="1"/>
        <v>1</v>
      </c>
      <c r="BW27" s="146" t="str">
        <f t="shared" si="8"/>
        <v xml:space="preserve">    "u": { commit: "ㄧ" }  # /i/ ==&gt; i</v>
      </c>
      <c r="BX27" s="40"/>
      <c r="BY27" s="39">
        <f t="shared" si="2"/>
        <v>23</v>
      </c>
      <c r="BZ27"/>
      <c r="CA27" s="13"/>
      <c r="CB27" s="13"/>
      <c r="CC27" s="13"/>
      <c r="CD27" s="13"/>
      <c r="CE27" s="13"/>
      <c r="CG27" s="288" t="str">
        <f t="shared" si="3"/>
        <v/>
      </c>
      <c r="CH27" s="459"/>
      <c r="CI27" s="39">
        <f t="shared" si="4"/>
        <v>23</v>
      </c>
      <c r="CJ27" s="13" t="str">
        <v>ㆮ</v>
      </c>
      <c r="CK27" t="str">
        <v>韻</v>
      </c>
      <c r="CL27" s="13" t="str">
        <v>(</v>
      </c>
      <c r="CM27" s="13" t="str">
        <v>LI</v>
      </c>
      <c r="CN27" s="13" t="str">
        <v>ainn</v>
      </c>
      <c r="CO27" s="13">
        <v>4</v>
      </c>
      <c r="CQ27" s="288" t="str">
        <f t="shared" si="5"/>
        <v xml:space="preserve">    - xform/ainn/LI/  # ㆮ [ainn]</v>
      </c>
      <c r="CR27" s="459"/>
      <c r="CT27"/>
      <c r="CU27" s="13"/>
      <c r="CV27" s="13"/>
      <c r="CW27" s="13"/>
      <c r="CX27" s="13"/>
      <c r="CY27" s="13"/>
      <c r="DA27" s="288" t="str">
        <f t="shared" si="6"/>
        <v/>
      </c>
    </row>
    <row r="28" spans="1:105" s="17" customFormat="1" ht="45" customHeight="1"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19"/>
      <c r="AS28" s="19"/>
      <c r="AT28" s="28"/>
      <c r="AU28" s="28"/>
      <c r="AV28" s="28"/>
      <c r="AW28" s="13"/>
      <c r="AX28" s="13"/>
      <c r="AY28" s="13"/>
      <c r="AZ28" s="13"/>
      <c r="BA28" s="13"/>
      <c r="BB28" s="13"/>
      <c r="BJ28" s="60"/>
      <c r="BK28" s="60"/>
      <c r="BL28" s="60"/>
      <c r="BM28" s="447" t="str" cm="1">
        <f t="array" ref="BM28">INDEX($D$18:$BH$18, 1, $BO28)</f>
        <v>ㆨ</v>
      </c>
      <c r="BN28" s="447" t="str" cm="1">
        <f t="array" aca="1" ref="BN28" ca="1">INDIRECT(ADDRESS(17, COLUMN($D$18) + $BO28 - 1))</f>
        <v>K</v>
      </c>
      <c r="BO28" s="39">
        <f t="shared" si="0"/>
        <v>24</v>
      </c>
      <c r="BP28" s="354" t="str">
        <v>ㆨ</v>
      </c>
      <c r="BQ28" s="355" t="str">
        <f xml:space="preserve"> _xlfn.XLOOKUP(BP28, 按鍵設計表[注音符號], 按鍵設計表[聲韻調], "")</f>
        <v>韻</v>
      </c>
      <c r="BR28" s="347" t="str">
        <v>K</v>
      </c>
      <c r="BS28" s="348" t="str">
        <v>w</v>
      </c>
      <c r="BT28" s="349" t="str">
        <v>ir</v>
      </c>
      <c r="BU28" s="356">
        <f t="shared" si="1"/>
        <v>2</v>
      </c>
      <c r="BW28" s="146" t="str">
        <f t="shared" si="8"/>
        <v xml:space="preserve">    "K": { commit: "ㆨ" }  # /ir/ ==&gt; w</v>
      </c>
      <c r="BX28" s="40"/>
      <c r="BY28" s="39">
        <f t="shared" si="2"/>
        <v>24</v>
      </c>
      <c r="BZ28"/>
      <c r="CA28" s="13"/>
      <c r="CB28" s="13"/>
      <c r="CC28" s="13"/>
      <c r="CD28" s="13"/>
      <c r="CE28" s="13"/>
      <c r="CG28" s="288" t="str">
        <f t="shared" si="3"/>
        <v/>
      </c>
      <c r="CH28" s="459"/>
      <c r="CI28" s="39">
        <f t="shared" si="4"/>
        <v>24</v>
      </c>
      <c r="CJ28" s="13" t="str">
        <v>ㆯ</v>
      </c>
      <c r="CK28" t="str">
        <v>韻</v>
      </c>
      <c r="CL28" s="13" t="str">
        <v>L</v>
      </c>
      <c r="CM28" s="13" t="str">
        <v>LU</v>
      </c>
      <c r="CN28" s="13" t="str">
        <v>aunn</v>
      </c>
      <c r="CO28" s="13">
        <v>4</v>
      </c>
      <c r="CQ28" s="288"/>
      <c r="CR28" s="459"/>
      <c r="CT28"/>
      <c r="CU28" s="13"/>
      <c r="CV28" s="13"/>
      <c r="CW28" s="13"/>
      <c r="CX28" s="13"/>
      <c r="CY28" s="13"/>
      <c r="DA28" s="288" t="str">
        <f t="shared" si="6"/>
        <v/>
      </c>
    </row>
    <row r="29" spans="1:105" s="17" customFormat="1" ht="45" customHeight="1">
      <c r="B29" s="61" t="s">
        <v>319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BC29" s="60"/>
      <c r="BD29" s="60"/>
      <c r="BE29" s="60"/>
      <c r="BF29" s="60"/>
      <c r="BG29" s="60"/>
      <c r="BH29" s="60"/>
      <c r="BI29" s="60"/>
      <c r="BJ29" s="70"/>
      <c r="BK29" s="70"/>
      <c r="BL29" s="70"/>
      <c r="BM29" s="447" t="str" cm="1">
        <f t="array" ref="BM29">INDEX($D$18:$BH$18, 1, $BO29)</f>
        <v>ㄨ</v>
      </c>
      <c r="BN29" s="447" t="str" cm="1">
        <f t="array" aca="1" ref="BN29" ca="1">INDIRECT(ADDRESS(17, COLUMN($D$18) + $BO29 - 1))</f>
        <v>j</v>
      </c>
      <c r="BO29" s="39">
        <f t="shared" si="0"/>
        <v>25</v>
      </c>
      <c r="BP29" s="354" t="str">
        <v>ㄨ</v>
      </c>
      <c r="BQ29" s="355" t="str">
        <f xml:space="preserve"> _xlfn.XLOOKUP(BP29, 按鍵設計表[注音符號], 按鍵設計表[聲韻調], "")</f>
        <v>韻</v>
      </c>
      <c r="BR29" s="347" t="str">
        <v>j</v>
      </c>
      <c r="BS29" s="348" t="str">
        <v>u</v>
      </c>
      <c r="BT29" s="349" t="str">
        <v>u</v>
      </c>
      <c r="BU29" s="356">
        <f t="shared" si="1"/>
        <v>1</v>
      </c>
      <c r="BW29" s="146" t="str">
        <f t="shared" si="8"/>
        <v xml:space="preserve">    "j": { commit: "ㄨ" }  # /u/ ==&gt; u</v>
      </c>
      <c r="BX29" s="40"/>
      <c r="BY29" s="39">
        <f t="shared" si="2"/>
        <v>25</v>
      </c>
      <c r="BZ29"/>
      <c r="CA29" s="13"/>
      <c r="CB29" s="13"/>
      <c r="CC29" s="13"/>
      <c r="CD29" s="13"/>
      <c r="CE29" s="13"/>
      <c r="CG29" s="288" t="str">
        <f t="shared" si="3"/>
        <v/>
      </c>
      <c r="CH29" s="459"/>
      <c r="CI29" s="39">
        <f t="shared" si="4"/>
        <v>25</v>
      </c>
      <c r="CJ29" s="13"/>
      <c r="CK29"/>
      <c r="CL29" s="13"/>
      <c r="CM29" s="13"/>
      <c r="CN29" s="13"/>
      <c r="CO29" s="13"/>
      <c r="CQ29" s="288"/>
      <c r="CR29" s="459"/>
      <c r="CT29"/>
      <c r="CU29" s="13"/>
      <c r="CV29" s="13"/>
      <c r="CW29" s="13"/>
      <c r="CX29" s="13"/>
      <c r="CY29" s="13"/>
      <c r="DA29" s="288" t="str">
        <f t="shared" si="6"/>
        <v/>
      </c>
    </row>
    <row r="30" spans="1:105" s="71" customFormat="1" ht="45" customHeight="1">
      <c r="A30" s="17"/>
      <c r="B30" s="63" t="s">
        <v>320</v>
      </c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4"/>
      <c r="U30" s="63"/>
      <c r="V30" s="63"/>
      <c r="W30" s="63"/>
      <c r="X30" s="63"/>
      <c r="Y30" s="63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17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70"/>
      <c r="BK30" s="70"/>
      <c r="BL30" s="70"/>
      <c r="BM30" s="447" t="str" cm="1">
        <f t="array" ref="BM30">INDEX($D$18:$BH$18, 1, $BO30)</f>
        <v>ㆤ</v>
      </c>
      <c r="BN30" s="447" t="str" cm="1">
        <f t="array" aca="1" ref="BN30" ca="1">INDIRECT(ADDRESS(17, COLUMN($D$18) + $BO30 - 1))</f>
        <v>,</v>
      </c>
      <c r="BO30" s="39">
        <f t="shared" si="0"/>
        <v>26</v>
      </c>
      <c r="BP30" s="354" t="str">
        <v>ㆤ</v>
      </c>
      <c r="BQ30" s="355" t="str">
        <f xml:space="preserve"> _xlfn.XLOOKUP(BP30, 按鍵設計表[注音符號], 按鍵設計表[聲韻調], "")</f>
        <v>韻</v>
      </c>
      <c r="BR30" s="347" t="str">
        <v>,</v>
      </c>
      <c r="BS30" s="348" t="str">
        <v>e</v>
      </c>
      <c r="BT30" s="349" t="str">
        <v>e</v>
      </c>
      <c r="BU30" s="356">
        <f t="shared" si="1"/>
        <v>1</v>
      </c>
      <c r="BV30" s="17"/>
      <c r="BW30" s="146" t="str">
        <f t="shared" si="8"/>
        <v xml:space="preserve">    ",": { commit: "ㆤ" }  # /e/ ==&gt; e</v>
      </c>
      <c r="BX30" s="40"/>
      <c r="BY30" s="39">
        <f t="shared" si="2"/>
        <v>26</v>
      </c>
      <c r="BZ30"/>
      <c r="CA30" s="13"/>
      <c r="CB30" s="13"/>
      <c r="CC30" s="13"/>
      <c r="CD30" s="13"/>
      <c r="CE30" s="13"/>
      <c r="CF30" s="17"/>
      <c r="CG30" s="288" t="str">
        <f t="shared" si="3"/>
        <v/>
      </c>
      <c r="CH30" s="459"/>
      <c r="CI30" s="39">
        <f t="shared" si="4"/>
        <v>26</v>
      </c>
      <c r="CJ30" s="13"/>
      <c r="CK30"/>
      <c r="CL30" s="13"/>
      <c r="CM30" s="13"/>
      <c r="CN30" s="13"/>
      <c r="CO30" s="13"/>
      <c r="CP30" s="17"/>
      <c r="CQ30" s="288"/>
      <c r="CR30" s="459"/>
      <c r="CT30"/>
      <c r="CU30" s="13"/>
      <c r="CV30" s="13"/>
      <c r="CW30" s="13"/>
      <c r="CX30" s="13"/>
      <c r="CY30" s="13"/>
      <c r="CZ30" s="17"/>
      <c r="DA30" s="288" t="str">
        <f t="shared" si="6"/>
        <v/>
      </c>
    </row>
    <row r="31" spans="1:105" s="17" customFormat="1" ht="45" customHeight="1">
      <c r="B31" s="65" t="str">
        <f>$B$19</f>
        <v>字典編碼</v>
      </c>
      <c r="C31" s="66"/>
      <c r="D31" s="67">
        <f xml:space="preserve"> LEN(E31)</f>
        <v>50</v>
      </c>
      <c r="E31" s="324" t="str">
        <f xml:space="preserve"> _xlfn.CONCAT(D19:AS19, BA19:BH19)</f>
        <v>bpPmntTlqkKgjzcshJZCSaiwueoøMNGRFQVIUY@AWH07325*&amp;0</v>
      </c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V31" s="325"/>
      <c r="W31" s="325"/>
      <c r="X31" s="325"/>
      <c r="Y31" s="325"/>
      <c r="AB31" s="17">
        <f xml:space="preserve"> LEN(AC31)</f>
        <v>42</v>
      </c>
      <c r="AC31" s="461" t="str">
        <f>_xlfn.CONCAT(D19:AS19)</f>
        <v>bpPmntTlqkKgjzcshJZCSaiwueoøMNGRFQVIUY@AWH</v>
      </c>
      <c r="AD31" s="461"/>
      <c r="AE31" s="461"/>
      <c r="AF31" s="461"/>
      <c r="AG31" s="461"/>
      <c r="AH31" s="461"/>
      <c r="AI31" s="461"/>
      <c r="AJ31" s="461"/>
      <c r="AK31" s="461"/>
      <c r="AL31" s="461"/>
      <c r="AM31" s="461"/>
      <c r="AN31" s="461"/>
      <c r="AO31" s="461"/>
      <c r="AP31" s="461"/>
      <c r="AQ31" s="461"/>
      <c r="AR31" s="461"/>
      <c r="AS31" s="461"/>
      <c r="AT31" s="461"/>
      <c r="AU31" s="461"/>
      <c r="AV31" s="461"/>
      <c r="AY31" s="17">
        <f xml:space="preserve"> LEN(AZ31)</f>
        <v>8</v>
      </c>
      <c r="AZ31" s="461" t="str">
        <f>_xlfn.CONCAT(BA19:BH19)</f>
        <v>07325*&amp;0</v>
      </c>
      <c r="BA31" s="461"/>
      <c r="BB31" s="461"/>
      <c r="BC31" s="461"/>
      <c r="BD31" s="461"/>
      <c r="BE31" s="461"/>
      <c r="BF31" s="461"/>
      <c r="BK31" s="60"/>
      <c r="BL31" s="60"/>
      <c r="BM31" s="447" t="str" cm="1">
        <f t="array" ref="BM31">INDEX($D$18:$BH$18, 1, $BO31)</f>
        <v>ㆦ</v>
      </c>
      <c r="BN31" s="447" t="str" cm="1">
        <f t="array" aca="1" ref="BN31" ca="1">INDIRECT(ADDRESS(17, COLUMN($D$18) + $BO31 - 1))</f>
        <v>i</v>
      </c>
      <c r="BO31" s="39">
        <f t="shared" si="0"/>
        <v>27</v>
      </c>
      <c r="BP31" s="354" t="str">
        <v>ㆦ</v>
      </c>
      <c r="BQ31" s="355" t="str">
        <f xml:space="preserve"> _xlfn.XLOOKUP(BP31, 按鍵設計表[注音符號], 按鍵設計表[聲韻調], "")</f>
        <v>韻</v>
      </c>
      <c r="BR31" s="347" t="str">
        <v>i</v>
      </c>
      <c r="BS31" s="348" t="str">
        <v>o</v>
      </c>
      <c r="BT31" s="349" t="str">
        <v>oo</v>
      </c>
      <c r="BU31" s="356">
        <f t="shared" si="1"/>
        <v>2</v>
      </c>
      <c r="BW31" s="146" t="str">
        <f t="shared" si="8"/>
        <v xml:space="preserve">    "i": { commit: "ㆦ" }  # /oo/ ==&gt; o</v>
      </c>
      <c r="BX31" s="40"/>
      <c r="BY31" s="39">
        <f t="shared" si="2"/>
        <v>27</v>
      </c>
      <c r="BZ31"/>
      <c r="CA31" s="13"/>
      <c r="CB31" s="13"/>
      <c r="CC31" s="13"/>
      <c r="CD31" s="13"/>
      <c r="CE31" s="13"/>
      <c r="CF31" s="71"/>
      <c r="CG31" s="288" t="str">
        <f t="shared" si="3"/>
        <v/>
      </c>
      <c r="CH31" s="459"/>
      <c r="CI31" s="39">
        <f t="shared" si="4"/>
        <v>27</v>
      </c>
      <c r="CJ31" s="13"/>
      <c r="CK31"/>
      <c r="CL31" s="13"/>
      <c r="CM31" s="13"/>
      <c r="CN31" s="13"/>
      <c r="CO31" s="13"/>
      <c r="CP31" s="71"/>
      <c r="CQ31" s="288"/>
      <c r="CR31" s="459"/>
      <c r="CT31"/>
      <c r="CU31" s="13"/>
      <c r="CV31" s="13"/>
      <c r="CW31" s="13"/>
      <c r="CX31" s="13"/>
      <c r="CY31" s="13"/>
      <c r="CZ31" s="71"/>
      <c r="DA31" s="288" t="str">
        <f t="shared" si="6"/>
        <v/>
      </c>
    </row>
    <row r="32" spans="1:105" s="17" customFormat="1" ht="45" customHeight="1">
      <c r="A32" s="71"/>
      <c r="B32" s="303" t="s">
        <v>4</v>
      </c>
      <c r="C32" s="68"/>
      <c r="D32" s="69">
        <f xml:space="preserve"> LEN(E32)</f>
        <v>50</v>
      </c>
      <c r="E32" s="326" t="str">
        <f xml:space="preserve"> _xlfn.CONCAT(D17:AS17, BA17:BH17)</f>
        <v>!1qas2wxEed?YyhncRrfv8uKj,ikmp/btgz9lM0;Oo75346N.-</v>
      </c>
      <c r="F32" s="327"/>
      <c r="G32" s="327"/>
      <c r="H32" s="327"/>
      <c r="I32" s="327"/>
      <c r="J32" s="327"/>
      <c r="K32" s="327"/>
      <c r="L32" s="327"/>
      <c r="M32" s="327"/>
      <c r="N32" s="327"/>
      <c r="O32" s="327"/>
      <c r="P32" s="327"/>
      <c r="Q32" s="327"/>
      <c r="R32" s="327"/>
      <c r="S32" s="327"/>
      <c r="T32" s="327"/>
      <c r="U32" s="327"/>
      <c r="V32" s="327"/>
      <c r="W32" s="327"/>
      <c r="X32" s="327"/>
      <c r="Y32" s="327"/>
      <c r="AB32" s="17">
        <f xml:space="preserve"> LEN(AC32)</f>
        <v>42</v>
      </c>
      <c r="AC32" s="461" t="str">
        <f>_xlfn.CONCAT(D17:AS17)</f>
        <v>!1qas2wxEed?YyhncRrfv8uKj,ikmp/btgz9lM0;Oo</v>
      </c>
      <c r="AD32" s="461"/>
      <c r="AE32" s="461"/>
      <c r="AF32" s="461"/>
      <c r="AG32" s="461"/>
      <c r="AH32" s="461"/>
      <c r="AI32" s="461"/>
      <c r="AJ32" s="461"/>
      <c r="AK32" s="461"/>
      <c r="AL32" s="461"/>
      <c r="AM32" s="461"/>
      <c r="AN32" s="461"/>
      <c r="AO32" s="461"/>
      <c r="AP32" s="461"/>
      <c r="AQ32" s="461"/>
      <c r="AR32" s="461"/>
      <c r="AS32" s="461"/>
      <c r="AT32" s="461"/>
      <c r="AU32" s="461"/>
      <c r="AV32" s="461"/>
      <c r="AY32" s="17">
        <f xml:space="preserve"> LEN(AZ32)</f>
        <v>8</v>
      </c>
      <c r="AZ32" s="461" t="str">
        <f>_xlfn.CONCAT(BA17:BH17)</f>
        <v>75346N.-</v>
      </c>
      <c r="BA32" s="461"/>
      <c r="BB32" s="461"/>
      <c r="BC32" s="461"/>
      <c r="BD32" s="461"/>
      <c r="BE32" s="461"/>
      <c r="BF32" s="461"/>
      <c r="BK32" s="60"/>
      <c r="BL32" s="60"/>
      <c r="BM32" s="447" t="str" cm="1">
        <f t="array" ref="BM32">INDEX($D$18:$BH$18, 1, $BO32)</f>
        <v>ㄜ</v>
      </c>
      <c r="BN32" s="447" t="str" cm="1">
        <f t="array" aca="1" ref="BN32" ca="1">INDIRECT(ADDRESS(17, COLUMN($D$18) + $BO32 - 1))</f>
        <v>k</v>
      </c>
      <c r="BO32" s="39">
        <f t="shared" si="0"/>
        <v>28</v>
      </c>
      <c r="BP32" s="354" t="str">
        <v>ㄜ</v>
      </c>
      <c r="BQ32" s="355" t="str">
        <f xml:space="preserve"> _xlfn.XLOOKUP(BP32, 按鍵設計表[注音符號], 按鍵設計表[聲韻調], "")</f>
        <v>韻</v>
      </c>
      <c r="BR32" s="347" t="str">
        <v>k</v>
      </c>
      <c r="BS32" s="348" t="str">
        <v>ø</v>
      </c>
      <c r="BT32" s="349" t="str">
        <v>o</v>
      </c>
      <c r="BU32" s="356">
        <f t="shared" si="1"/>
        <v>1</v>
      </c>
      <c r="BW32" s="146" t="str">
        <f t="shared" si="8"/>
        <v xml:space="preserve">    "k": { commit: "ㄜ" }  # /o/ ==&gt; ø</v>
      </c>
      <c r="BX32" s="40"/>
      <c r="BY32" s="39">
        <f t="shared" si="2"/>
        <v>28</v>
      </c>
      <c r="BZ32"/>
      <c r="CA32" s="13"/>
      <c r="CB32" s="13"/>
      <c r="CC32" s="13"/>
      <c r="CD32" s="13"/>
      <c r="CE32" s="13"/>
      <c r="CG32" s="288" t="str">
        <f t="shared" si="3"/>
        <v/>
      </c>
      <c r="CH32" s="459"/>
      <c r="CI32" s="39">
        <f t="shared" si="4"/>
        <v>28</v>
      </c>
      <c r="CJ32" s="13"/>
      <c r="CK32"/>
      <c r="CL32" s="13"/>
      <c r="CM32" s="13"/>
      <c r="CN32" s="13"/>
      <c r="CO32" s="13"/>
      <c r="CQ32" s="288"/>
      <c r="CR32" s="459"/>
      <c r="CT32"/>
      <c r="CU32" s="13"/>
      <c r="CV32" s="13"/>
      <c r="CW32" s="13"/>
      <c r="CX32" s="13"/>
      <c r="CY32" s="13"/>
      <c r="DA32" s="288" t="str">
        <f t="shared" si="6"/>
        <v/>
      </c>
    </row>
    <row r="33" spans="1:105" s="17" customFormat="1" ht="45" customHeight="1">
      <c r="B33" s="72" t="str">
        <f xml:space="preserve"> "    - xlit|" &amp; E31 &amp; "|" &amp; E32 &amp; "|"</f>
        <v xml:space="preserve">    - xlit|bpPmntTlqkKgjzcshJZCSaiwueoøMNGRFQVIUY@AWH07325*&amp;0|!1qas2wxEed?YyhncRrfv8uKj,ikmp/btgz9lM0;Oo75346N.-|</v>
      </c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60"/>
      <c r="AA33" s="60"/>
      <c r="AB33" s="60"/>
      <c r="AC33" s="479" t="str">
        <f xml:space="preserve"> "    - xlit|" &amp; AC31 &amp; "|" &amp; AC32 &amp; "|"</f>
        <v xml:space="preserve">    - xlit|bpPmntTlqkKgjzcshJZCSaiwueoøMNGRFQVIUY@AWH|!1qas2wxEed?YyhncRrfv8uKj,ikmp/btgz9lM0;Oo|</v>
      </c>
      <c r="AD33" s="480"/>
      <c r="AE33" s="480"/>
      <c r="AF33" s="480"/>
      <c r="AG33" s="480"/>
      <c r="AH33" s="480"/>
      <c r="AI33" s="480"/>
      <c r="AJ33" s="480"/>
      <c r="AK33" s="480"/>
      <c r="AL33" s="480"/>
      <c r="AM33" s="480"/>
      <c r="AN33" s="480"/>
      <c r="AO33" s="480"/>
      <c r="AP33" s="480"/>
      <c r="AQ33" s="480"/>
      <c r="AR33" s="480"/>
      <c r="AS33" s="480"/>
      <c r="AT33" s="480"/>
      <c r="AU33" s="480"/>
      <c r="AV33" s="480"/>
      <c r="AZ33" s="479" t="str">
        <f xml:space="preserve"> "    - xlit|" &amp; AZ31 &amp; "|" &amp; AZ32 &amp; "|"</f>
        <v xml:space="preserve">    - xlit|07325*&amp;0|75346N.-|</v>
      </c>
      <c r="BA33" s="480"/>
      <c r="BB33" s="480"/>
      <c r="BC33" s="480"/>
      <c r="BD33" s="480"/>
      <c r="BE33" s="480"/>
      <c r="BF33" s="480"/>
      <c r="BK33" s="60"/>
      <c r="BL33" s="60"/>
      <c r="BM33" s="447" t="str" cm="1">
        <f t="array" ref="BM33">INDEX($D$18:$BH$18, 1, $BO33)</f>
        <v>ㆬ</v>
      </c>
      <c r="BN33" s="447" t="str" cm="1">
        <f t="array" aca="1" ref="BN33" ca="1">INDIRECT(ADDRESS(17, COLUMN($D$18) + $BO33 - 1))</f>
        <v>m</v>
      </c>
      <c r="BO33" s="39">
        <f t="shared" si="0"/>
        <v>29</v>
      </c>
      <c r="BP33" s="354" t="str">
        <v>ㆬ</v>
      </c>
      <c r="BQ33" s="355" t="str">
        <f xml:space="preserve"> _xlfn.XLOOKUP(BP33, 按鍵設計表[注音符號], 按鍵設計表[聲韻調], "")</f>
        <v>韻</v>
      </c>
      <c r="BR33" s="347" t="str">
        <v>m</v>
      </c>
      <c r="BS33" s="348" t="str">
        <v>M</v>
      </c>
      <c r="BT33" s="349" t="str">
        <v>-m</v>
      </c>
      <c r="BU33" s="356">
        <f t="shared" si="1"/>
        <v>2</v>
      </c>
      <c r="BW33" s="146" t="str">
        <f t="shared" si="8"/>
        <v xml:space="preserve">    "m": { commit: "ㆬ" }  # /-m/ ==&gt; M</v>
      </c>
      <c r="BX33" s="40"/>
      <c r="BY33" s="39">
        <f t="shared" si="2"/>
        <v>29</v>
      </c>
      <c r="BZ33"/>
      <c r="CA33" s="13"/>
      <c r="CB33" s="13"/>
      <c r="CC33" s="13"/>
      <c r="CD33" s="13"/>
      <c r="CE33" s="13"/>
      <c r="CG33" s="288" t="str">
        <f t="shared" si="3"/>
        <v/>
      </c>
      <c r="CH33" s="459"/>
      <c r="CI33" s="39">
        <f t="shared" si="4"/>
        <v>29</v>
      </c>
      <c r="CJ33" s="13"/>
      <c r="CK33"/>
      <c r="CL33" s="13"/>
      <c r="CM33" s="13"/>
      <c r="CN33" s="13"/>
      <c r="CO33" s="13"/>
      <c r="CQ33" s="288"/>
      <c r="CR33" s="459"/>
      <c r="CT33"/>
      <c r="CU33" s="13"/>
      <c r="CV33" s="13"/>
      <c r="CW33" s="13"/>
      <c r="CX33" s="13"/>
      <c r="CY33" s="13"/>
      <c r="DA33" s="288" t="str">
        <f t="shared" si="6"/>
        <v/>
      </c>
    </row>
    <row r="34" spans="1:105" s="17" customFormat="1" ht="45" customHeight="1">
      <c r="B34" s="74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0"/>
      <c r="AL34" s="70"/>
      <c r="AN34" s="60"/>
      <c r="AO34" s="60"/>
      <c r="AP34" s="60"/>
      <c r="AQ34" s="60"/>
      <c r="AR34" s="60"/>
      <c r="AS34" s="60"/>
      <c r="AT34" s="70"/>
      <c r="AU34" s="70"/>
      <c r="AV34" s="70"/>
      <c r="AW34" s="70"/>
      <c r="AX34" s="70"/>
      <c r="AY34" s="70"/>
      <c r="AZ34" s="70"/>
      <c r="BA34" s="70"/>
      <c r="BB34" s="70"/>
      <c r="BC34" s="60"/>
      <c r="BD34" s="60"/>
      <c r="BE34" s="60"/>
      <c r="BF34" s="60"/>
      <c r="BG34" s="60"/>
      <c r="BH34" s="60"/>
      <c r="BI34" s="70"/>
      <c r="BJ34" s="60"/>
      <c r="BK34" s="60"/>
      <c r="BL34" s="60"/>
      <c r="BM34" s="447" t="str" cm="1">
        <f t="array" ref="BM34">INDEX($D$18:$BH$18, 1, $BO34)</f>
        <v>ㄣ</v>
      </c>
      <c r="BN34" s="447" t="str" cm="1">
        <f t="array" aca="1" ref="BN34" ca="1">INDIRECT(ADDRESS(17, COLUMN($D$18) + $BO34 - 1))</f>
        <v>p</v>
      </c>
      <c r="BO34" s="39">
        <f t="shared" si="0"/>
        <v>30</v>
      </c>
      <c r="BP34" s="354" t="str">
        <v>ㄣ</v>
      </c>
      <c r="BQ34" s="355" t="str">
        <f xml:space="preserve"> _xlfn.XLOOKUP(BP34, 按鍵設計表[注音符號], 按鍵設計表[聲韻調], "")</f>
        <v>韻</v>
      </c>
      <c r="BR34" s="347" t="str">
        <v>p</v>
      </c>
      <c r="BS34" s="348" t="str">
        <v>N</v>
      </c>
      <c r="BT34" s="349" t="str">
        <v>-n</v>
      </c>
      <c r="BU34" s="356">
        <f t="shared" si="1"/>
        <v>2</v>
      </c>
      <c r="BW34" s="146" t="str">
        <f t="shared" si="8"/>
        <v xml:space="preserve">    "p": { commit: "ㄣ" }  # /-n/ ==&gt; N</v>
      </c>
      <c r="BX34" s="40"/>
      <c r="BY34" s="39">
        <f t="shared" si="2"/>
        <v>30</v>
      </c>
      <c r="BZ34"/>
      <c r="CA34" s="13"/>
      <c r="CB34" s="13"/>
      <c r="CC34" s="13"/>
      <c r="CD34" s="13"/>
      <c r="CE34" s="13"/>
      <c r="CG34" s="288" t="str">
        <f t="shared" si="3"/>
        <v/>
      </c>
      <c r="CH34" s="459"/>
      <c r="CI34" s="39">
        <f t="shared" si="4"/>
        <v>30</v>
      </c>
      <c r="CJ34" s="13"/>
      <c r="CK34"/>
      <c r="CL34" s="13"/>
      <c r="CM34" s="13"/>
      <c r="CN34" s="13"/>
      <c r="CO34" s="13"/>
      <c r="CQ34" s="288"/>
      <c r="CR34" s="459"/>
      <c r="CT34"/>
      <c r="CU34" s="13"/>
      <c r="CV34" s="13"/>
      <c r="CW34" s="13"/>
      <c r="CX34" s="13"/>
      <c r="CY34" s="13"/>
      <c r="DA34" s="288" t="str">
        <f t="shared" si="6"/>
        <v/>
      </c>
    </row>
    <row r="35" spans="1:105" s="17" customFormat="1" ht="45" customHeight="1">
      <c r="B35" s="328">
        <v>1</v>
      </c>
      <c r="C35" s="328">
        <v>2</v>
      </c>
      <c r="D35" s="328">
        <v>3</v>
      </c>
      <c r="E35" s="328">
        <v>4</v>
      </c>
      <c r="F35" s="328">
        <v>5</v>
      </c>
      <c r="G35" s="328">
        <v>6</v>
      </c>
      <c r="H35" s="328">
        <v>7</v>
      </c>
      <c r="I35" s="328">
        <v>8</v>
      </c>
      <c r="J35" s="328">
        <v>9</v>
      </c>
      <c r="K35" s="328">
        <v>10</v>
      </c>
      <c r="L35" s="328">
        <v>11</v>
      </c>
      <c r="M35" s="328">
        <v>12</v>
      </c>
      <c r="N35" s="328">
        <v>13</v>
      </c>
      <c r="O35" s="328">
        <v>14</v>
      </c>
      <c r="P35" s="328">
        <v>15</v>
      </c>
      <c r="Q35" s="328">
        <v>16</v>
      </c>
      <c r="R35" s="328">
        <v>17</v>
      </c>
      <c r="S35" s="329">
        <v>18</v>
      </c>
      <c r="T35" s="328">
        <v>19</v>
      </c>
      <c r="U35" s="328">
        <v>20</v>
      </c>
      <c r="V35" s="328">
        <v>21</v>
      </c>
      <c r="W35" s="328">
        <v>22</v>
      </c>
      <c r="X35" s="328">
        <v>23</v>
      </c>
      <c r="Y35" s="328">
        <v>24</v>
      </c>
      <c r="Z35" s="328">
        <v>25</v>
      </c>
      <c r="AA35" s="328">
        <v>26</v>
      </c>
      <c r="AB35" s="328">
        <v>27</v>
      </c>
      <c r="AC35" s="328">
        <v>28</v>
      </c>
      <c r="AD35" s="328">
        <v>29</v>
      </c>
      <c r="AE35" s="328">
        <v>30</v>
      </c>
      <c r="AF35" s="328">
        <v>31</v>
      </c>
      <c r="AG35" s="328">
        <v>32</v>
      </c>
      <c r="AH35" s="330">
        <v>33</v>
      </c>
      <c r="AI35" s="330">
        <v>34</v>
      </c>
      <c r="AJ35" s="330">
        <v>35</v>
      </c>
      <c r="AK35" s="330">
        <v>36</v>
      </c>
      <c r="AL35" s="331">
        <v>37</v>
      </c>
      <c r="AM35" s="330">
        <v>38</v>
      </c>
      <c r="AN35" s="330">
        <v>39</v>
      </c>
      <c r="AO35" s="330">
        <v>40</v>
      </c>
      <c r="AP35" s="330">
        <v>41</v>
      </c>
      <c r="AQ35" s="330">
        <v>42</v>
      </c>
      <c r="AR35" s="330">
        <v>43</v>
      </c>
      <c r="AS35" s="330">
        <v>44</v>
      </c>
      <c r="AT35" s="330">
        <v>45</v>
      </c>
      <c r="AU35" s="330">
        <v>46</v>
      </c>
      <c r="AV35" s="330">
        <v>47</v>
      </c>
      <c r="AW35" s="330">
        <v>48</v>
      </c>
      <c r="AX35" s="330">
        <v>49</v>
      </c>
      <c r="AY35" s="330">
        <v>50</v>
      </c>
      <c r="AZ35" s="330">
        <v>51</v>
      </c>
      <c r="BA35" s="330">
        <v>52</v>
      </c>
      <c r="BB35" s="330">
        <v>53</v>
      </c>
      <c r="BC35" s="330">
        <v>54</v>
      </c>
      <c r="BD35" s="330">
        <v>55</v>
      </c>
      <c r="BE35" s="330">
        <v>56</v>
      </c>
      <c r="BF35" s="330">
        <v>57</v>
      </c>
      <c r="BG35" s="63"/>
      <c r="BI35" s="60"/>
      <c r="BJ35" s="60"/>
      <c r="BK35" s="60"/>
      <c r="BL35" s="60"/>
      <c r="BM35" s="447" t="str" cm="1">
        <f t="array" ref="BM35">INDEX($D$18:$BH$18, 1, $BO35)</f>
        <v>ㆭ</v>
      </c>
      <c r="BN35" s="447" t="str" cm="1">
        <f t="array" aca="1" ref="BN35" ca="1">INDIRECT(ADDRESS(17, COLUMN($D$18) + $BO35 - 1))</f>
        <v>/</v>
      </c>
      <c r="BO35" s="39">
        <f t="shared" si="0"/>
        <v>31</v>
      </c>
      <c r="BP35" s="354" t="str">
        <v>ㆭ</v>
      </c>
      <c r="BQ35" s="355" t="str">
        <f xml:space="preserve"> _xlfn.XLOOKUP(BP35, 按鍵設計表[注音符號], 按鍵設計表[聲韻調], "")</f>
        <v>韻</v>
      </c>
      <c r="BR35" s="347" t="str">
        <v>/</v>
      </c>
      <c r="BS35" s="348" t="str">
        <v>G</v>
      </c>
      <c r="BT35" s="349" t="str">
        <v>-ng</v>
      </c>
      <c r="BU35" s="356">
        <f t="shared" si="1"/>
        <v>3</v>
      </c>
      <c r="BW35" s="146" t="str">
        <f t="shared" si="8"/>
        <v xml:space="preserve">    "/": { commit: "ㆭ" }  # /-ng/ ==&gt; G</v>
      </c>
      <c r="BX35" s="40"/>
      <c r="BY35" s="39">
        <f t="shared" si="2"/>
        <v>31</v>
      </c>
      <c r="BZ35"/>
      <c r="CA35" s="13"/>
      <c r="CB35" s="13"/>
      <c r="CC35" s="13"/>
      <c r="CD35" s="13"/>
      <c r="CE35" s="13"/>
      <c r="CG35" s="288" t="str">
        <f t="shared" si="3"/>
        <v/>
      </c>
      <c r="CH35" s="459"/>
      <c r="CI35" s="39">
        <f t="shared" si="4"/>
        <v>31</v>
      </c>
      <c r="CJ35" s="13"/>
      <c r="CK35"/>
      <c r="CL35" s="13"/>
      <c r="CM35" s="13"/>
      <c r="CN35" s="13"/>
      <c r="CO35" s="13"/>
      <c r="CQ35" s="288"/>
      <c r="CR35" s="459"/>
      <c r="CT35"/>
      <c r="CU35" s="13"/>
      <c r="CV35" s="13"/>
      <c r="CW35" s="13"/>
      <c r="CX35" s="13"/>
      <c r="CY35" s="13"/>
      <c r="DA35" s="288" t="str">
        <f t="shared" si="6"/>
        <v/>
      </c>
    </row>
    <row r="36" spans="1:105" s="17" customFormat="1" ht="45" customHeight="1">
      <c r="B36" s="334" t="str">
        <f t="shared" ref="B36:AG36" si="9" xml:space="preserve"> MID($E$31,B$35,1)</f>
        <v>b</v>
      </c>
      <c r="C36" s="334" t="str">
        <f t="shared" si="9"/>
        <v>p</v>
      </c>
      <c r="D36" s="334" t="str">
        <f t="shared" si="9"/>
        <v>P</v>
      </c>
      <c r="E36" s="334" t="str">
        <f t="shared" si="9"/>
        <v>m</v>
      </c>
      <c r="F36" s="334" t="str">
        <f t="shared" si="9"/>
        <v>n</v>
      </c>
      <c r="G36" s="334" t="str">
        <f t="shared" si="9"/>
        <v>t</v>
      </c>
      <c r="H36" s="334" t="str">
        <f t="shared" si="9"/>
        <v>T</v>
      </c>
      <c r="I36" s="334" t="str">
        <f t="shared" si="9"/>
        <v>l</v>
      </c>
      <c r="J36" s="334" t="str">
        <f t="shared" si="9"/>
        <v>q</v>
      </c>
      <c r="K36" s="334" t="str">
        <f t="shared" si="9"/>
        <v>k</v>
      </c>
      <c r="L36" s="334" t="str">
        <f t="shared" si="9"/>
        <v>K</v>
      </c>
      <c r="M36" s="334" t="str">
        <f t="shared" si="9"/>
        <v>g</v>
      </c>
      <c r="N36" s="334" t="str">
        <f t="shared" si="9"/>
        <v>j</v>
      </c>
      <c r="O36" s="334" t="str">
        <f t="shared" si="9"/>
        <v>z</v>
      </c>
      <c r="P36" s="334" t="str">
        <f t="shared" si="9"/>
        <v>c</v>
      </c>
      <c r="Q36" s="334" t="str">
        <f t="shared" si="9"/>
        <v>s</v>
      </c>
      <c r="R36" s="334" t="str">
        <f t="shared" si="9"/>
        <v>h</v>
      </c>
      <c r="S36" s="334" t="str">
        <f t="shared" si="9"/>
        <v>J</v>
      </c>
      <c r="T36" s="334" t="str">
        <f t="shared" si="9"/>
        <v>Z</v>
      </c>
      <c r="U36" s="334" t="str">
        <f t="shared" si="9"/>
        <v>C</v>
      </c>
      <c r="V36" s="334" t="str">
        <f t="shared" si="9"/>
        <v>S</v>
      </c>
      <c r="W36" s="334" t="str">
        <f t="shared" si="9"/>
        <v>a</v>
      </c>
      <c r="X36" s="334" t="str">
        <f t="shared" si="9"/>
        <v>i</v>
      </c>
      <c r="Y36" s="334" t="str">
        <f t="shared" si="9"/>
        <v>w</v>
      </c>
      <c r="Z36" s="334" t="str">
        <f t="shared" si="9"/>
        <v>u</v>
      </c>
      <c r="AA36" s="334" t="str">
        <f t="shared" si="9"/>
        <v>e</v>
      </c>
      <c r="AB36" s="334" t="str">
        <f t="shared" si="9"/>
        <v>o</v>
      </c>
      <c r="AC36" s="334" t="str">
        <f t="shared" si="9"/>
        <v>ø</v>
      </c>
      <c r="AD36" s="334" t="str">
        <f t="shared" si="9"/>
        <v>M</v>
      </c>
      <c r="AE36" s="334" t="str">
        <f t="shared" si="9"/>
        <v>N</v>
      </c>
      <c r="AF36" s="334" t="str">
        <f t="shared" si="9"/>
        <v>G</v>
      </c>
      <c r="AG36" s="334" t="str">
        <f t="shared" si="9"/>
        <v>R</v>
      </c>
      <c r="AH36" s="334" t="str">
        <f t="shared" ref="AH36:BF36" si="10" xml:space="preserve"> MID($E$31,AH$35,1)</f>
        <v>F</v>
      </c>
      <c r="AI36" s="334" t="str">
        <f t="shared" si="10"/>
        <v>Q</v>
      </c>
      <c r="AJ36" s="334" t="str">
        <f t="shared" si="10"/>
        <v>V</v>
      </c>
      <c r="AK36" s="334" t="str">
        <f t="shared" si="10"/>
        <v>I</v>
      </c>
      <c r="AL36" s="334" t="str">
        <f t="shared" si="10"/>
        <v>U</v>
      </c>
      <c r="AM36" s="334" t="str">
        <f t="shared" si="10"/>
        <v>Y</v>
      </c>
      <c r="AN36" s="334" t="str">
        <f t="shared" si="10"/>
        <v>@</v>
      </c>
      <c r="AO36" s="334" t="str">
        <f t="shared" si="10"/>
        <v>A</v>
      </c>
      <c r="AP36" s="334" t="str">
        <f t="shared" si="10"/>
        <v>W</v>
      </c>
      <c r="AQ36" s="334" t="str">
        <f t="shared" si="10"/>
        <v>H</v>
      </c>
      <c r="AR36" s="334" t="str">
        <f t="shared" si="10"/>
        <v>0</v>
      </c>
      <c r="AS36" s="334" t="str">
        <f t="shared" si="10"/>
        <v>7</v>
      </c>
      <c r="AT36" s="334" t="str">
        <f t="shared" si="10"/>
        <v>3</v>
      </c>
      <c r="AU36" s="334" t="str">
        <f t="shared" si="10"/>
        <v>2</v>
      </c>
      <c r="AV36" s="334" t="str">
        <f t="shared" si="10"/>
        <v>5</v>
      </c>
      <c r="AW36" s="334" t="str">
        <f t="shared" si="10"/>
        <v>*</v>
      </c>
      <c r="AX36" s="334" t="str">
        <f t="shared" si="10"/>
        <v>&amp;</v>
      </c>
      <c r="AY36" s="334" t="str">
        <f t="shared" si="10"/>
        <v>0</v>
      </c>
      <c r="AZ36" s="334" t="str">
        <f t="shared" si="10"/>
        <v/>
      </c>
      <c r="BA36" s="334" t="str">
        <f t="shared" si="10"/>
        <v/>
      </c>
      <c r="BB36" s="334" t="str">
        <f t="shared" si="10"/>
        <v/>
      </c>
      <c r="BC36" s="334" t="str">
        <f t="shared" si="10"/>
        <v/>
      </c>
      <c r="BD36" s="334" t="str">
        <f t="shared" si="10"/>
        <v/>
      </c>
      <c r="BE36" s="334" t="str">
        <f t="shared" si="10"/>
        <v/>
      </c>
      <c r="BF36" s="334" t="str">
        <f t="shared" si="10"/>
        <v/>
      </c>
      <c r="BG36" s="63"/>
      <c r="BI36" s="60"/>
      <c r="BJ36" s="60"/>
      <c r="BK36" s="60"/>
      <c r="BL36" s="60"/>
      <c r="BM36" s="447" t="str" cm="1">
        <f t="array" ref="BM36">INDEX($D$18:$BH$18, 1, $BO36)</f>
        <v>ㆴ</v>
      </c>
      <c r="BN36" s="447" t="str" cm="1">
        <f t="array" aca="1" ref="BN36" ca="1">INDIRECT(ADDRESS(17, COLUMN($D$18) + $BO36 - 1))</f>
        <v>b</v>
      </c>
      <c r="BO36" s="39">
        <f t="shared" si="0"/>
        <v>32</v>
      </c>
      <c r="BP36" s="354" t="str">
        <v>ㆴ</v>
      </c>
      <c r="BQ36" s="355" t="str">
        <f xml:space="preserve"> _xlfn.XLOOKUP(BP36, 按鍵設計表[注音符號], 按鍵設計表[聲韻調], "")</f>
        <v>韻尾</v>
      </c>
      <c r="BR36" s="347" t="str">
        <v>b</v>
      </c>
      <c r="BS36" s="348" t="str">
        <v>R</v>
      </c>
      <c r="BT36" s="349" t="str">
        <v>-p</v>
      </c>
      <c r="BU36" s="356">
        <f t="shared" si="1"/>
        <v>2</v>
      </c>
      <c r="BW36" s="146" t="str">
        <f t="shared" si="8"/>
        <v xml:space="preserve">    "b": { commit: "ㆴ" }  # /-p/ ==&gt; R</v>
      </c>
      <c r="BX36" s="40"/>
      <c r="BY36" s="39">
        <f t="shared" si="2"/>
        <v>32</v>
      </c>
      <c r="BZ36"/>
      <c r="CA36" s="13"/>
      <c r="CB36" s="13"/>
      <c r="CC36" s="13"/>
      <c r="CD36" s="13"/>
      <c r="CE36" s="13"/>
      <c r="CG36" s="288" t="str">
        <f t="shared" si="3"/>
        <v/>
      </c>
      <c r="CH36" s="459"/>
      <c r="CI36" s="39">
        <f t="shared" si="4"/>
        <v>32</v>
      </c>
      <c r="CJ36" s="13"/>
      <c r="CK36"/>
      <c r="CL36" s="13"/>
      <c r="CM36" s="13"/>
      <c r="CN36" s="13"/>
      <c r="CO36" s="13"/>
      <c r="CQ36" s="288"/>
      <c r="CR36" s="459"/>
      <c r="CT36"/>
      <c r="CU36" s="13"/>
      <c r="CV36" s="13"/>
      <c r="CW36" s="13"/>
      <c r="CX36" s="13"/>
      <c r="CY36" s="13"/>
      <c r="DA36" s="288" t="str">
        <f t="shared" si="6"/>
        <v/>
      </c>
    </row>
    <row r="37" spans="1:105" s="17" customFormat="1" ht="45" customHeight="1">
      <c r="B37" s="332" t="str">
        <f t="shared" ref="B37:AG37" si="11" xml:space="preserve"> MID($E$32,B$35,1)</f>
        <v>!</v>
      </c>
      <c r="C37" s="332" t="str">
        <f t="shared" si="11"/>
        <v>1</v>
      </c>
      <c r="D37" s="332" t="str">
        <f t="shared" si="11"/>
        <v>q</v>
      </c>
      <c r="E37" s="332" t="str">
        <f t="shared" si="11"/>
        <v>a</v>
      </c>
      <c r="F37" s="332" t="str">
        <f t="shared" si="11"/>
        <v>s</v>
      </c>
      <c r="G37" s="332" t="str">
        <f t="shared" si="11"/>
        <v>2</v>
      </c>
      <c r="H37" s="332" t="str">
        <f t="shared" si="11"/>
        <v>w</v>
      </c>
      <c r="I37" s="332" t="str">
        <f t="shared" si="11"/>
        <v>x</v>
      </c>
      <c r="J37" s="332" t="str">
        <f t="shared" si="11"/>
        <v>E</v>
      </c>
      <c r="K37" s="332" t="str">
        <f t="shared" si="11"/>
        <v>e</v>
      </c>
      <c r="L37" s="332" t="str">
        <f t="shared" si="11"/>
        <v>d</v>
      </c>
      <c r="M37" s="332" t="str">
        <f t="shared" si="11"/>
        <v>?</v>
      </c>
      <c r="N37" s="332" t="str">
        <f t="shared" si="11"/>
        <v>Y</v>
      </c>
      <c r="O37" s="332" t="str">
        <f t="shared" si="11"/>
        <v>y</v>
      </c>
      <c r="P37" s="332" t="str">
        <f t="shared" si="11"/>
        <v>h</v>
      </c>
      <c r="Q37" s="332" t="str">
        <f t="shared" si="11"/>
        <v>n</v>
      </c>
      <c r="R37" s="332" t="str">
        <f t="shared" si="11"/>
        <v>c</v>
      </c>
      <c r="S37" s="332" t="str">
        <f t="shared" si="11"/>
        <v>R</v>
      </c>
      <c r="T37" s="332" t="str">
        <f t="shared" si="11"/>
        <v>r</v>
      </c>
      <c r="U37" s="332" t="str">
        <f t="shared" si="11"/>
        <v>f</v>
      </c>
      <c r="V37" s="332" t="str">
        <f t="shared" si="11"/>
        <v>v</v>
      </c>
      <c r="W37" s="332" t="str">
        <f t="shared" si="11"/>
        <v>8</v>
      </c>
      <c r="X37" s="332" t="str">
        <f t="shared" si="11"/>
        <v>u</v>
      </c>
      <c r="Y37" s="332" t="str">
        <f t="shared" si="11"/>
        <v>K</v>
      </c>
      <c r="Z37" s="332" t="str">
        <f t="shared" si="11"/>
        <v>j</v>
      </c>
      <c r="AA37" s="332" t="str">
        <f t="shared" si="11"/>
        <v>,</v>
      </c>
      <c r="AB37" s="332" t="str">
        <f t="shared" si="11"/>
        <v>i</v>
      </c>
      <c r="AC37" s="332" t="str">
        <f t="shared" si="11"/>
        <v>k</v>
      </c>
      <c r="AD37" s="332" t="str">
        <f t="shared" si="11"/>
        <v>m</v>
      </c>
      <c r="AE37" s="332" t="str">
        <f t="shared" si="11"/>
        <v>p</v>
      </c>
      <c r="AF37" s="332" t="str">
        <f t="shared" si="11"/>
        <v>/</v>
      </c>
      <c r="AG37" s="332" t="str">
        <f t="shared" si="11"/>
        <v>b</v>
      </c>
      <c r="AH37" s="332" t="str">
        <f t="shared" ref="AH37:BF37" si="12" xml:space="preserve"> MID($E$32,AH$35,1)</f>
        <v>t</v>
      </c>
      <c r="AI37" s="332" t="str">
        <f t="shared" si="12"/>
        <v>g</v>
      </c>
      <c r="AJ37" s="332" t="str">
        <f t="shared" si="12"/>
        <v>z</v>
      </c>
      <c r="AK37" s="332" t="str">
        <f t="shared" si="12"/>
        <v>9</v>
      </c>
      <c r="AL37" s="332" t="str">
        <f t="shared" si="12"/>
        <v>l</v>
      </c>
      <c r="AM37" s="332" t="str">
        <f t="shared" si="12"/>
        <v>M</v>
      </c>
      <c r="AN37" s="332" t="str">
        <f t="shared" si="12"/>
        <v>0</v>
      </c>
      <c r="AO37" s="332" t="str">
        <f t="shared" si="12"/>
        <v>;</v>
      </c>
      <c r="AP37" s="332" t="str">
        <f t="shared" si="12"/>
        <v>O</v>
      </c>
      <c r="AQ37" s="332" t="str">
        <f t="shared" si="12"/>
        <v>o</v>
      </c>
      <c r="AR37" s="332" t="str">
        <f t="shared" si="12"/>
        <v>7</v>
      </c>
      <c r="AS37" s="332" t="str">
        <f t="shared" si="12"/>
        <v>5</v>
      </c>
      <c r="AT37" s="332" t="str">
        <f t="shared" si="12"/>
        <v>3</v>
      </c>
      <c r="AU37" s="332" t="str">
        <f t="shared" si="12"/>
        <v>4</v>
      </c>
      <c r="AV37" s="332" t="str">
        <f t="shared" si="12"/>
        <v>6</v>
      </c>
      <c r="AW37" s="332" t="str">
        <f t="shared" si="12"/>
        <v>N</v>
      </c>
      <c r="AX37" s="332" t="str">
        <f t="shared" si="12"/>
        <v>.</v>
      </c>
      <c r="AY37" s="332" t="str">
        <f t="shared" si="12"/>
        <v>-</v>
      </c>
      <c r="AZ37" s="332" t="str">
        <f t="shared" si="12"/>
        <v/>
      </c>
      <c r="BA37" s="332" t="str">
        <f t="shared" si="12"/>
        <v/>
      </c>
      <c r="BB37" s="332" t="str">
        <f t="shared" si="12"/>
        <v/>
      </c>
      <c r="BC37" s="332" t="str">
        <f t="shared" si="12"/>
        <v/>
      </c>
      <c r="BD37" s="332" t="str">
        <f t="shared" si="12"/>
        <v/>
      </c>
      <c r="BE37" s="332" t="str">
        <f t="shared" si="12"/>
        <v/>
      </c>
      <c r="BF37" s="332" t="str">
        <f t="shared" si="12"/>
        <v/>
      </c>
      <c r="BG37" s="63"/>
      <c r="BH37" s="71"/>
      <c r="BI37" s="60"/>
      <c r="BJ37" s="60"/>
      <c r="BK37" s="60"/>
      <c r="BL37" s="60"/>
      <c r="BM37" s="447" t="str" cm="1">
        <f t="array" ref="BM37">INDEX($D$18:$BH$18, 1, $BO37)</f>
        <v>ㆵ</v>
      </c>
      <c r="BN37" s="447" t="str" cm="1">
        <f t="array" aca="1" ref="BN37" ca="1">INDIRECT(ADDRESS(17, COLUMN($D$18) + $BO37 - 1))</f>
        <v>t</v>
      </c>
      <c r="BO37" s="39">
        <f t="shared" si="0"/>
        <v>33</v>
      </c>
      <c r="BP37" s="354" t="str">
        <v>ㆵ</v>
      </c>
      <c r="BQ37" s="355" t="str">
        <f xml:space="preserve"> _xlfn.XLOOKUP(BP37, 按鍵設計表[注音符號], 按鍵設計表[聲韻調], "")</f>
        <v>韻尾</v>
      </c>
      <c r="BR37" s="347" t="str">
        <v>t</v>
      </c>
      <c r="BS37" s="348" t="str">
        <v>F</v>
      </c>
      <c r="BT37" s="349" t="str">
        <v>-t</v>
      </c>
      <c r="BU37" s="356">
        <f t="shared" si="1"/>
        <v>2</v>
      </c>
      <c r="BW37" s="146" t="str">
        <f t="shared" si="8"/>
        <v xml:space="preserve">    "t": { commit: "ㆵ" }  # /-t/ ==&gt; F</v>
      </c>
      <c r="BX37" s="40"/>
      <c r="BY37" s="39">
        <f t="shared" si="2"/>
        <v>33</v>
      </c>
      <c r="BZ37"/>
      <c r="CA37" s="13"/>
      <c r="CB37" s="13"/>
      <c r="CC37" s="13"/>
      <c r="CD37" s="13"/>
      <c r="CE37" s="13"/>
      <c r="CG37" s="288" t="str">
        <f t="shared" si="3"/>
        <v/>
      </c>
      <c r="CH37" s="459"/>
      <c r="CI37" s="39">
        <f t="shared" si="4"/>
        <v>33</v>
      </c>
      <c r="CJ37" s="13"/>
      <c r="CK37"/>
      <c r="CL37" s="13"/>
      <c r="CM37" s="13"/>
      <c r="CN37" s="13"/>
      <c r="CO37" s="13"/>
      <c r="CQ37" s="288"/>
      <c r="CR37" s="459"/>
      <c r="CT37"/>
      <c r="CU37" s="13"/>
      <c r="CV37" s="13"/>
      <c r="CW37" s="13"/>
      <c r="CX37" s="13"/>
      <c r="CY37" s="13"/>
      <c r="DA37" s="288" t="str">
        <f t="shared" si="6"/>
        <v/>
      </c>
    </row>
    <row r="38" spans="1:105" s="17" customFormat="1" ht="45" customHeight="1"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4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0"/>
      <c r="AJ38" s="60"/>
      <c r="AK38" s="60"/>
      <c r="AL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447" t="str" cm="1">
        <f t="array" ref="BM38">INDEX($D$18:$BH$18, 1, $BO38)</f>
        <v>ㆻ</v>
      </c>
      <c r="BN38" s="447" t="str" cm="1">
        <f t="array" aca="1" ref="BN38" ca="1">INDIRECT(ADDRESS(17, COLUMN($D$18) + $BO38 - 1))</f>
        <v>g</v>
      </c>
      <c r="BO38" s="39">
        <f t="shared" si="0"/>
        <v>34</v>
      </c>
      <c r="BP38" s="354" t="str">
        <v>ㆻ</v>
      </c>
      <c r="BQ38" s="355" t="str">
        <f xml:space="preserve"> _xlfn.XLOOKUP(BP38, 按鍵設計表[注音符號], 按鍵設計表[聲韻調], "")</f>
        <v>韻尾</v>
      </c>
      <c r="BR38" s="347" t="str">
        <v>g</v>
      </c>
      <c r="BS38" s="348" t="str">
        <v>Q</v>
      </c>
      <c r="BT38" s="349" t="str">
        <v>-k</v>
      </c>
      <c r="BU38" s="356">
        <f t="shared" si="1"/>
        <v>2</v>
      </c>
      <c r="BW38" s="146" t="str">
        <f t="shared" si="8"/>
        <v xml:space="preserve">    "g": { commit: "ㆻ" }  # /-k/ ==&gt; Q</v>
      </c>
      <c r="BX38" s="40"/>
      <c r="BY38" s="39">
        <f t="shared" si="2"/>
        <v>34</v>
      </c>
      <c r="BZ38"/>
      <c r="CA38" s="13"/>
      <c r="CB38" s="13"/>
      <c r="CC38" s="13"/>
      <c r="CD38" s="13"/>
      <c r="CE38" s="13"/>
      <c r="CG38" s="288" t="str">
        <f t="shared" si="3"/>
        <v/>
      </c>
      <c r="CH38" s="459"/>
      <c r="CI38" s="39">
        <f t="shared" si="4"/>
        <v>34</v>
      </c>
      <c r="CJ38" s="13"/>
      <c r="CK38"/>
      <c r="CL38" s="13"/>
      <c r="CM38" s="13"/>
      <c r="CN38" s="13"/>
      <c r="CO38" s="13"/>
      <c r="CQ38" s="288"/>
      <c r="CR38" s="459"/>
      <c r="CT38"/>
      <c r="CU38" s="13"/>
      <c r="CV38" s="13"/>
      <c r="CW38" s="13"/>
      <c r="CX38" s="13"/>
      <c r="CY38" s="13"/>
      <c r="DA38" s="288" t="str">
        <f t="shared" si="6"/>
        <v/>
      </c>
    </row>
    <row r="39" spans="1:105" ht="45" customHeight="1">
      <c r="A39" s="17"/>
      <c r="B39" s="76" t="s">
        <v>8410</v>
      </c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0"/>
      <c r="AI39" s="60"/>
      <c r="AJ39" s="60"/>
      <c r="AK39" s="60"/>
      <c r="AL39" s="60"/>
      <c r="AM39" s="17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83"/>
      <c r="BK39" s="83"/>
      <c r="BL39" s="83"/>
      <c r="BM39" s="447" t="str" cm="1">
        <f t="array" ref="BM39">INDEX($D$18:$BH$18, 1, $BO39)</f>
        <v>ㆻ</v>
      </c>
      <c r="BN39" s="447" t="str" cm="1">
        <f t="array" aca="1" ref="BN39" ca="1">INDIRECT(ADDRESS(17, COLUMN($D$18) + $BO39 - 1))</f>
        <v>z</v>
      </c>
      <c r="BO39" s="39">
        <f t="shared" si="0"/>
        <v>35</v>
      </c>
      <c r="BP39" s="354" t="str">
        <v>ㆻ</v>
      </c>
      <c r="BQ39" s="355" t="str">
        <f xml:space="preserve"> _xlfn.XLOOKUP(BP39, 按鍵設計表[注音符號], 按鍵設計表[聲韻調], "")</f>
        <v>韻尾</v>
      </c>
      <c r="BR39" s="347" t="str">
        <v>z</v>
      </c>
      <c r="BS39" s="348" t="str">
        <v>V</v>
      </c>
      <c r="BT39" s="349" t="str">
        <v>-k</v>
      </c>
      <c r="BU39" s="356">
        <f t="shared" si="1"/>
        <v>2</v>
      </c>
      <c r="BV39" s="17"/>
      <c r="BW39" s="146" t="str">
        <f t="shared" si="8"/>
        <v xml:space="preserve">    "z": { commit: "ㆻ" }  # /-k/ ==&gt; V</v>
      </c>
      <c r="BX39" s="40"/>
      <c r="BY39" s="39">
        <f t="shared" si="2"/>
        <v>35</v>
      </c>
      <c r="CF39" s="17"/>
      <c r="CG39" s="288" t="str">
        <f t="shared" si="3"/>
        <v/>
      </c>
      <c r="CI39" s="39">
        <f t="shared" si="4"/>
        <v>35</v>
      </c>
      <c r="CP39" s="17"/>
      <c r="CZ39" s="17"/>
      <c r="DA39" s="288" t="str">
        <f t="shared" si="6"/>
        <v/>
      </c>
    </row>
    <row r="40" spans="1:105" ht="45" customHeight="1">
      <c r="A40" s="17"/>
      <c r="B40" s="63" t="s">
        <v>321</v>
      </c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4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83"/>
      <c r="BK40" s="83"/>
      <c r="BL40" s="83"/>
      <c r="BM40" s="447" t="str" cm="1">
        <f t="array" ref="BM40">INDEX($D$18:$BH$18, 1, $BO40)</f>
        <v>ㄞ</v>
      </c>
      <c r="BN40" s="447" t="str" cm="1">
        <f t="array" aca="1" ref="BN40" ca="1">INDIRECT(ADDRESS(17, COLUMN($D$18) + $BO40 - 1))</f>
        <v>9</v>
      </c>
      <c r="BO40" s="39">
        <f t="shared" si="0"/>
        <v>36</v>
      </c>
      <c r="BP40" s="354" t="str">
        <v>ㄞ</v>
      </c>
      <c r="BQ40" s="355" t="str">
        <f xml:space="preserve"> _xlfn.XLOOKUP(BP40, 按鍵設計表[注音符號], 按鍵設計表[聲韻調], "")</f>
        <v>韻</v>
      </c>
      <c r="BR40" s="347" t="str">
        <v>9</v>
      </c>
      <c r="BS40" s="348" t="str">
        <v>I</v>
      </c>
      <c r="BT40" s="349" t="str">
        <v>ai</v>
      </c>
      <c r="BU40" s="356">
        <f t="shared" si="1"/>
        <v>2</v>
      </c>
      <c r="BV40" s="17"/>
      <c r="BW40" s="146" t="str">
        <f t="shared" si="8"/>
        <v xml:space="preserve">    "9": { commit: "ㄞ" }  # /ai/ ==&gt; I</v>
      </c>
      <c r="BX40" s="40"/>
      <c r="BY40" s="39">
        <f t="shared" si="2"/>
        <v>36</v>
      </c>
      <c r="CG40" s="288" t="str">
        <f t="shared" si="3"/>
        <v/>
      </c>
      <c r="CI40" s="39">
        <f t="shared" si="4"/>
        <v>36</v>
      </c>
      <c r="DA40" s="288" t="str">
        <f t="shared" si="6"/>
        <v/>
      </c>
    </row>
    <row r="41" spans="1:105" ht="45" customHeight="1">
      <c r="B41" s="77" t="s">
        <v>8365</v>
      </c>
      <c r="C41" s="78"/>
      <c r="D41" s="78">
        <f xml:space="preserve"> LEN(E41)</f>
        <v>49</v>
      </c>
      <c r="E41" s="79" t="str">
        <f>_xlfn.CONCAT(D17:AZ17)</f>
        <v>!1qas2wxEed?YyhncRrfv8uKj,ikmp/btgz9lM0;Oo*UJ&lt;I(L</v>
      </c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60"/>
      <c r="AL41" s="60"/>
      <c r="AM41" s="17">
        <f xml:space="preserve"> LEN(AN41)</f>
        <v>5</v>
      </c>
      <c r="AN41" s="481" t="str">
        <f>_xlfn.CONCAT(BA18:BE18)</f>
        <v>˙˫˪ˋˊ</v>
      </c>
      <c r="AO41" s="481"/>
      <c r="AP41" s="481"/>
      <c r="AQ41" s="481"/>
      <c r="AR41" s="481"/>
      <c r="AS41" s="481"/>
      <c r="AT41" s="481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83"/>
      <c r="BK41" s="83"/>
      <c r="BL41" s="83"/>
      <c r="BM41" s="447" t="str" cm="1">
        <f t="array" ref="BM41">INDEX($D$18:$BH$18, 1, $BO41)</f>
        <v>ㄠ</v>
      </c>
      <c r="BN41" s="447" t="str" cm="1">
        <f t="array" aca="1" ref="BN41" ca="1">INDIRECT(ADDRESS(17, COLUMN($D$18) + $BO41 - 1))</f>
        <v>l</v>
      </c>
      <c r="BO41" s="39">
        <f t="shared" si="0"/>
        <v>37</v>
      </c>
      <c r="BP41" s="354" t="str">
        <v>ㄠ</v>
      </c>
      <c r="BQ41" s="355" t="str">
        <f xml:space="preserve"> _xlfn.XLOOKUP(BP41, 按鍵設計表[注音符號], 按鍵設計表[聲韻調], "")</f>
        <v>韻</v>
      </c>
      <c r="BR41" s="347" t="str">
        <v>l</v>
      </c>
      <c r="BS41" s="348" t="str">
        <v>U</v>
      </c>
      <c r="BT41" s="349" t="str">
        <v>au</v>
      </c>
      <c r="BU41" s="356">
        <f t="shared" si="1"/>
        <v>2</v>
      </c>
      <c r="BW41" s="146" t="str">
        <f t="shared" si="8"/>
        <v xml:space="preserve">    "l": { commit: "ㄠ" }  # /au/ ==&gt; U</v>
      </c>
      <c r="BX41" s="40"/>
      <c r="BY41" s="39">
        <f t="shared" si="2"/>
        <v>37</v>
      </c>
      <c r="CG41" s="288" t="str">
        <f t="shared" si="3"/>
        <v/>
      </c>
      <c r="CI41" s="39">
        <f t="shared" si="4"/>
        <v>37</v>
      </c>
      <c r="DA41" s="288" t="str">
        <f t="shared" si="6"/>
        <v/>
      </c>
    </row>
    <row r="42" spans="1:105" ht="45" customHeight="1">
      <c r="B42" s="304" t="s">
        <v>3</v>
      </c>
      <c r="C42" s="81"/>
      <c r="D42" s="81">
        <f>LEN(E42)</f>
        <v>49</v>
      </c>
      <c r="E42" s="80" t="str">
        <f xml:space="preserve"> _xlfn.CONCAT(D18:AZ18)</f>
        <v>ㆠㄅㄆㄇㄋㄉㄊㄌㆣㄍㄎㄫㆡㄗㄘㄙㄏㆢㄐㄑㄒㄚㄧㆨㄨㆤㆦㄜㆬㄣㆭㆴㆵㆻㆻㄞㄠㆰㄢㄤㆱㆲㆩㆪㆫㆥㆧㆮㆯ</v>
      </c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60"/>
      <c r="AL42" s="60"/>
      <c r="AM42" s="17">
        <f xml:space="preserve"> LEN(AN42)</f>
        <v>5</v>
      </c>
      <c r="AN42" s="481" t="str">
        <f>_xlfn.CONCAT(BA19:BE19)</f>
        <v>07325</v>
      </c>
      <c r="AO42" s="481"/>
      <c r="AP42" s="481"/>
      <c r="AQ42" s="481"/>
      <c r="AR42" s="481"/>
      <c r="AS42" s="481"/>
      <c r="AT42" s="481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83"/>
      <c r="BK42" s="83"/>
      <c r="BL42" s="83"/>
      <c r="BM42" s="447" t="str" cm="1">
        <f t="array" ref="BM42">INDEX($D$18:$BH$18, 1, $BO42)</f>
        <v>ㆰ</v>
      </c>
      <c r="BN42" s="447" t="str" cm="1">
        <f t="array" aca="1" ref="BN42" ca="1">INDIRECT(ADDRESS(17, COLUMN($D$18) + $BO42 - 1))</f>
        <v>M</v>
      </c>
      <c r="BO42" s="39">
        <f t="shared" si="0"/>
        <v>38</v>
      </c>
      <c r="BP42" s="354" t="str">
        <v>ㆰ</v>
      </c>
      <c r="BQ42" s="355" t="str">
        <f xml:space="preserve"> _xlfn.XLOOKUP(BP42, 按鍵設計表[注音符號], 按鍵設計表[聲韻調], "")</f>
        <v>韻</v>
      </c>
      <c r="BR42" s="347" t="str">
        <v>M</v>
      </c>
      <c r="BS42" s="348" t="str">
        <v>Y</v>
      </c>
      <c r="BT42" s="349" t="str">
        <v>am</v>
      </c>
      <c r="BU42" s="356">
        <f t="shared" si="1"/>
        <v>2</v>
      </c>
      <c r="BW42" s="146" t="str">
        <f t="shared" si="8"/>
        <v xml:space="preserve">    "M": { commit: "ㆰ" }  # /am/ ==&gt; Y</v>
      </c>
      <c r="BX42" s="40"/>
      <c r="BY42" s="39">
        <f t="shared" si="2"/>
        <v>38</v>
      </c>
      <c r="CG42" s="288" t="str">
        <f t="shared" si="3"/>
        <v/>
      </c>
      <c r="CI42" s="39">
        <f t="shared" si="4"/>
        <v>38</v>
      </c>
      <c r="DA42" s="288" t="str">
        <f t="shared" si="6"/>
        <v/>
      </c>
    </row>
    <row r="43" spans="1:105" ht="45" customHeight="1">
      <c r="B43" s="72" t="str">
        <f xml:space="preserve"> "    - xlit|" &amp; E41 &amp; "|" &amp; E42 &amp; "|"</f>
        <v xml:space="preserve">    - xlit|!1qas2wxEed?YyhncRrfv8uKj,ikmp/btgz9lM0;Oo*UJ&lt;I(L|ㆠㄅㄆㄇㄋㄉㄊㄌㆣㄍㄎㄫㆡㄗㄘㄙㄏㆢㄐㄑㄒㄚㄧㆨㄨㆤㆦㄜㆬㄣㆭㆴㆵㆻㆻㄞㄠㆰㄢㄤㆱㆲㆩㆪㆫㆥㆧㆮㆯ|</v>
      </c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73"/>
      <c r="AH43" s="73"/>
      <c r="AI43" s="73"/>
      <c r="AJ43" s="73"/>
      <c r="AK43" s="60"/>
      <c r="AL43" s="60"/>
      <c r="AM43" s="17"/>
      <c r="AN43" s="482" t="str">
        <f xml:space="preserve"> "    - xlit|" &amp; AN41 &amp; "|" &amp; AN42 &amp; "|"</f>
        <v xml:space="preserve">    - xlit|˙˫˪ˋˊ|07325|</v>
      </c>
      <c r="AO43" s="480"/>
      <c r="AP43" s="480"/>
      <c r="AQ43" s="480"/>
      <c r="AR43" s="480"/>
      <c r="AS43" s="480"/>
      <c r="AT43" s="48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83"/>
      <c r="BJ43" s="83"/>
      <c r="BK43" s="83"/>
      <c r="BL43" s="83"/>
      <c r="BM43" s="447" t="str" cm="1">
        <f t="array" ref="BM43">INDEX($D$18:$BH$18, 1, $BO43)</f>
        <v>ㄢ</v>
      </c>
      <c r="BN43" s="447" t="str" cm="1">
        <f t="array" aca="1" ref="BN43" ca="1">INDIRECT(ADDRESS(17, COLUMN($D$18) + $BO43 - 1))</f>
        <v>0</v>
      </c>
      <c r="BO43" s="39">
        <f t="shared" si="0"/>
        <v>39</v>
      </c>
      <c r="BP43" s="354" t="str">
        <v>ㄢ</v>
      </c>
      <c r="BQ43" s="355" t="str">
        <f xml:space="preserve"> _xlfn.XLOOKUP(BP43, 按鍵設計表[注音符號], 按鍵設計表[聲韻調], "")</f>
        <v>韻</v>
      </c>
      <c r="BR43" s="347" t="str">
        <v>0</v>
      </c>
      <c r="BS43" s="348" t="str">
        <v>@</v>
      </c>
      <c r="BT43" s="349" t="str">
        <v>an</v>
      </c>
      <c r="BU43" s="356">
        <f t="shared" si="1"/>
        <v>2</v>
      </c>
      <c r="BW43" s="146" t="str">
        <f t="shared" si="8"/>
        <v xml:space="preserve">    "0": { commit: "ㄢ" }  # /an/ ==&gt; @</v>
      </c>
      <c r="BX43" s="40"/>
      <c r="BY43" s="39">
        <f t="shared" si="2"/>
        <v>39</v>
      </c>
      <c r="CG43" s="288" t="str">
        <f t="shared" si="3"/>
        <v/>
      </c>
      <c r="CI43" s="39">
        <f t="shared" si="4"/>
        <v>39</v>
      </c>
      <c r="DA43" s="288" t="str">
        <f t="shared" si="6"/>
        <v/>
      </c>
    </row>
    <row r="44" spans="1:105" ht="45" customHeight="1">
      <c r="B44" s="74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J44" s="83"/>
      <c r="BK44" s="83"/>
      <c r="BL44" s="83"/>
      <c r="BM44" s="447" t="str" cm="1">
        <f t="array" ref="BM44">INDEX($D$18:$BH$18, 1, $BO44)</f>
        <v>ㄤ</v>
      </c>
      <c r="BN44" s="447" t="str" cm="1">
        <f t="array" aca="1" ref="BN44" ca="1">INDIRECT(ADDRESS(17, COLUMN($D$18) + $BO44 - 1))</f>
        <v>;</v>
      </c>
      <c r="BO44" s="39">
        <f t="shared" si="0"/>
        <v>40</v>
      </c>
      <c r="BP44" s="354" t="str">
        <v>ㄤ</v>
      </c>
      <c r="BQ44" s="355" t="str">
        <f xml:space="preserve"> _xlfn.XLOOKUP(BP44, 按鍵設計表[注音符號], 按鍵設計表[聲韻調], "")</f>
        <v>韻</v>
      </c>
      <c r="BR44" s="347" t="str">
        <v>;</v>
      </c>
      <c r="BS44" s="348" t="str">
        <v>A</v>
      </c>
      <c r="BT44" s="349" t="str">
        <v>ang</v>
      </c>
      <c r="BU44" s="356">
        <f t="shared" si="1"/>
        <v>3</v>
      </c>
      <c r="BW44" s="146" t="str">
        <f t="shared" si="8"/>
        <v xml:space="preserve">    ";": { commit: "ㄤ" }  # /ang/ ==&gt; A</v>
      </c>
      <c r="BX44" s="40"/>
      <c r="BY44" s="39">
        <f t="shared" si="2"/>
        <v>40</v>
      </c>
      <c r="CG44" s="288" t="str">
        <f t="shared" si="3"/>
        <v/>
      </c>
      <c r="CI44" s="39">
        <f t="shared" si="4"/>
        <v>40</v>
      </c>
      <c r="DA44" s="288" t="str">
        <f t="shared" si="6"/>
        <v/>
      </c>
    </row>
    <row r="45" spans="1:105" ht="45" customHeight="1">
      <c r="B45" s="328">
        <v>1</v>
      </c>
      <c r="C45" s="328">
        <v>2</v>
      </c>
      <c r="D45" s="328">
        <v>3</v>
      </c>
      <c r="E45" s="328">
        <v>4</v>
      </c>
      <c r="F45" s="328">
        <v>5</v>
      </c>
      <c r="G45" s="328">
        <v>6</v>
      </c>
      <c r="H45" s="328">
        <v>7</v>
      </c>
      <c r="I45" s="328">
        <v>8</v>
      </c>
      <c r="J45" s="328">
        <v>9</v>
      </c>
      <c r="K45" s="328">
        <v>10</v>
      </c>
      <c r="L45" s="328">
        <v>11</v>
      </c>
      <c r="M45" s="328">
        <v>12</v>
      </c>
      <c r="N45" s="328">
        <v>13</v>
      </c>
      <c r="O45" s="328">
        <v>14</v>
      </c>
      <c r="P45" s="328">
        <v>15</v>
      </c>
      <c r="Q45" s="328">
        <v>16</v>
      </c>
      <c r="R45" s="328">
        <v>17</v>
      </c>
      <c r="S45" s="329">
        <v>18</v>
      </c>
      <c r="T45" s="328">
        <v>19</v>
      </c>
      <c r="U45" s="328">
        <v>20</v>
      </c>
      <c r="V45" s="328">
        <v>21</v>
      </c>
      <c r="W45" s="328">
        <v>22</v>
      </c>
      <c r="X45" s="328">
        <v>23</v>
      </c>
      <c r="Y45" s="328">
        <v>24</v>
      </c>
      <c r="Z45" s="328">
        <v>25</v>
      </c>
      <c r="AA45" s="328">
        <v>26</v>
      </c>
      <c r="AB45" s="328">
        <v>27</v>
      </c>
      <c r="AC45" s="328">
        <v>28</v>
      </c>
      <c r="AD45" s="328">
        <v>29</v>
      </c>
      <c r="AE45" s="328">
        <v>30</v>
      </c>
      <c r="AF45" s="328">
        <v>31</v>
      </c>
      <c r="AG45" s="328">
        <v>32</v>
      </c>
      <c r="AH45" s="330">
        <v>33</v>
      </c>
      <c r="AI45" s="330">
        <v>34</v>
      </c>
      <c r="AJ45" s="330">
        <v>35</v>
      </c>
      <c r="AK45" s="330">
        <v>36</v>
      </c>
      <c r="AL45" s="331">
        <v>37</v>
      </c>
      <c r="AM45" s="330">
        <v>38</v>
      </c>
      <c r="AN45" s="330">
        <v>39</v>
      </c>
      <c r="AO45" s="330">
        <v>40</v>
      </c>
      <c r="AP45" s="330">
        <v>41</v>
      </c>
      <c r="AQ45" s="330">
        <v>42</v>
      </c>
      <c r="AR45" s="330">
        <v>43</v>
      </c>
      <c r="AS45" s="330">
        <v>44</v>
      </c>
      <c r="AT45" s="330">
        <v>45</v>
      </c>
      <c r="AU45" s="330">
        <v>46</v>
      </c>
      <c r="AV45" s="330">
        <v>47</v>
      </c>
      <c r="AW45" s="330">
        <v>48</v>
      </c>
      <c r="AX45" s="330">
        <v>49</v>
      </c>
      <c r="AY45" s="330">
        <v>50</v>
      </c>
      <c r="AZ45" s="330">
        <v>51</v>
      </c>
      <c r="BA45" s="330">
        <v>52</v>
      </c>
      <c r="BB45" s="330">
        <v>53</v>
      </c>
      <c r="BC45" s="330">
        <v>54</v>
      </c>
      <c r="BD45" s="330">
        <v>55</v>
      </c>
      <c r="BE45" s="330">
        <v>56</v>
      </c>
      <c r="BF45" s="330">
        <v>57</v>
      </c>
      <c r="BG45" s="63"/>
      <c r="BH45" s="17"/>
      <c r="BJ45" s="83"/>
      <c r="BK45" s="83"/>
      <c r="BL45" s="83"/>
      <c r="BM45" s="447" t="str" cm="1">
        <f t="array" ref="BM45">INDEX($D$18:$BH$18, 1, $BO45)</f>
        <v>ㆱ</v>
      </c>
      <c r="BN45" s="447" t="str" cm="1">
        <f t="array" aca="1" ref="BN45" ca="1">INDIRECT(ADDRESS(17, COLUMN($D$18) + $BO45 - 1))</f>
        <v>O</v>
      </c>
      <c r="BO45" s="39">
        <f t="shared" si="0"/>
        <v>41</v>
      </c>
      <c r="BP45" s="354" t="str">
        <v>ㆱ</v>
      </c>
      <c r="BQ45" s="355" t="str">
        <f xml:space="preserve"> _xlfn.XLOOKUP(BP45, 按鍵設計表[注音符號], 按鍵設計表[聲韻調], "")</f>
        <v>韻</v>
      </c>
      <c r="BR45" s="347" t="str">
        <v>O</v>
      </c>
      <c r="BS45" s="348" t="str">
        <v>W</v>
      </c>
      <c r="BT45" s="349" t="str">
        <v>om</v>
      </c>
      <c r="BU45" s="356">
        <f t="shared" si="1"/>
        <v>2</v>
      </c>
      <c r="BW45" s="146" t="str">
        <f t="shared" si="8"/>
        <v xml:space="preserve">    "O": { commit: "ㆱ" }  # /om/ ==&gt; W</v>
      </c>
      <c r="BX45" s="40"/>
      <c r="BY45" s="39">
        <f t="shared" si="2"/>
        <v>41</v>
      </c>
      <c r="CG45" s="288" t="str">
        <f t="shared" si="3"/>
        <v/>
      </c>
      <c r="CI45" s="39">
        <f t="shared" si="4"/>
        <v>41</v>
      </c>
      <c r="DA45" s="288" t="str">
        <f t="shared" si="6"/>
        <v/>
      </c>
    </row>
    <row r="46" spans="1:105" ht="45" customHeight="1">
      <c r="B46" s="332" t="str">
        <f t="shared" ref="B46:AG46" si="13" xml:space="preserve"> MID($E$41,B$45,1)</f>
        <v>!</v>
      </c>
      <c r="C46" s="332" t="str">
        <f t="shared" si="13"/>
        <v>1</v>
      </c>
      <c r="D46" s="332" t="str">
        <f t="shared" si="13"/>
        <v>q</v>
      </c>
      <c r="E46" s="332" t="str">
        <f t="shared" si="13"/>
        <v>a</v>
      </c>
      <c r="F46" s="332" t="str">
        <f t="shared" si="13"/>
        <v>s</v>
      </c>
      <c r="G46" s="332" t="str">
        <f t="shared" si="13"/>
        <v>2</v>
      </c>
      <c r="H46" s="332" t="str">
        <f t="shared" si="13"/>
        <v>w</v>
      </c>
      <c r="I46" s="332" t="str">
        <f t="shared" si="13"/>
        <v>x</v>
      </c>
      <c r="J46" s="332" t="str">
        <f t="shared" si="13"/>
        <v>E</v>
      </c>
      <c r="K46" s="332" t="str">
        <f t="shared" si="13"/>
        <v>e</v>
      </c>
      <c r="L46" s="332" t="str">
        <f t="shared" si="13"/>
        <v>d</v>
      </c>
      <c r="M46" s="332" t="str">
        <f t="shared" si="13"/>
        <v>?</v>
      </c>
      <c r="N46" s="332" t="str">
        <f t="shared" si="13"/>
        <v>Y</v>
      </c>
      <c r="O46" s="332" t="str">
        <f t="shared" si="13"/>
        <v>y</v>
      </c>
      <c r="P46" s="332" t="str">
        <f t="shared" si="13"/>
        <v>h</v>
      </c>
      <c r="Q46" s="332" t="str">
        <f t="shared" si="13"/>
        <v>n</v>
      </c>
      <c r="R46" s="332" t="str">
        <f t="shared" si="13"/>
        <v>c</v>
      </c>
      <c r="S46" s="332" t="str">
        <f t="shared" si="13"/>
        <v>R</v>
      </c>
      <c r="T46" s="332" t="str">
        <f t="shared" si="13"/>
        <v>r</v>
      </c>
      <c r="U46" s="332" t="str">
        <f t="shared" si="13"/>
        <v>f</v>
      </c>
      <c r="V46" s="332" t="str">
        <f t="shared" si="13"/>
        <v>v</v>
      </c>
      <c r="W46" s="332" t="str">
        <f t="shared" si="13"/>
        <v>8</v>
      </c>
      <c r="X46" s="332" t="str">
        <f t="shared" si="13"/>
        <v>u</v>
      </c>
      <c r="Y46" s="332" t="str">
        <f t="shared" si="13"/>
        <v>K</v>
      </c>
      <c r="Z46" s="332" t="str">
        <f t="shared" si="13"/>
        <v>j</v>
      </c>
      <c r="AA46" s="332" t="str">
        <f t="shared" si="13"/>
        <v>,</v>
      </c>
      <c r="AB46" s="332" t="str">
        <f t="shared" si="13"/>
        <v>i</v>
      </c>
      <c r="AC46" s="332" t="str">
        <f t="shared" si="13"/>
        <v>k</v>
      </c>
      <c r="AD46" s="332" t="str">
        <f t="shared" si="13"/>
        <v>m</v>
      </c>
      <c r="AE46" s="332" t="str">
        <f t="shared" si="13"/>
        <v>p</v>
      </c>
      <c r="AF46" s="332" t="str">
        <f t="shared" si="13"/>
        <v>/</v>
      </c>
      <c r="AG46" s="332" t="str">
        <f t="shared" si="13"/>
        <v>b</v>
      </c>
      <c r="AH46" s="332" t="str">
        <f t="shared" ref="AH46:BF46" si="14" xml:space="preserve"> MID($E$41,AH$45,1)</f>
        <v>t</v>
      </c>
      <c r="AI46" s="332" t="str">
        <f t="shared" si="14"/>
        <v>g</v>
      </c>
      <c r="AJ46" s="332" t="str">
        <f t="shared" si="14"/>
        <v>z</v>
      </c>
      <c r="AK46" s="332" t="str">
        <f t="shared" si="14"/>
        <v>9</v>
      </c>
      <c r="AL46" s="332" t="str">
        <f t="shared" si="14"/>
        <v>l</v>
      </c>
      <c r="AM46" s="332" t="str">
        <f t="shared" si="14"/>
        <v>M</v>
      </c>
      <c r="AN46" s="332" t="str">
        <f t="shared" si="14"/>
        <v>0</v>
      </c>
      <c r="AO46" s="332" t="str">
        <f t="shared" si="14"/>
        <v>;</v>
      </c>
      <c r="AP46" s="332" t="str">
        <f t="shared" si="14"/>
        <v>O</v>
      </c>
      <c r="AQ46" s="332" t="str">
        <f t="shared" si="14"/>
        <v>o</v>
      </c>
      <c r="AR46" s="332" t="str">
        <f t="shared" si="14"/>
        <v>*</v>
      </c>
      <c r="AS46" s="332" t="str">
        <f t="shared" si="14"/>
        <v>U</v>
      </c>
      <c r="AT46" s="332" t="str">
        <f t="shared" si="14"/>
        <v>J</v>
      </c>
      <c r="AU46" s="332" t="str">
        <f t="shared" si="14"/>
        <v>&lt;</v>
      </c>
      <c r="AV46" s="332" t="str">
        <f t="shared" si="14"/>
        <v>I</v>
      </c>
      <c r="AW46" s="332" t="str">
        <f t="shared" si="14"/>
        <v>(</v>
      </c>
      <c r="AX46" s="332" t="str">
        <f t="shared" si="14"/>
        <v>L</v>
      </c>
      <c r="AY46" s="332" t="str">
        <f t="shared" si="14"/>
        <v/>
      </c>
      <c r="AZ46" s="332" t="str">
        <f t="shared" si="14"/>
        <v/>
      </c>
      <c r="BA46" s="332" t="str">
        <f t="shared" si="14"/>
        <v/>
      </c>
      <c r="BB46" s="332" t="str">
        <f t="shared" si="14"/>
        <v/>
      </c>
      <c r="BC46" s="332" t="str">
        <f t="shared" si="14"/>
        <v/>
      </c>
      <c r="BD46" s="332" t="str">
        <f t="shared" si="14"/>
        <v/>
      </c>
      <c r="BE46" s="332" t="str">
        <f t="shared" si="14"/>
        <v/>
      </c>
      <c r="BF46" s="332" t="str">
        <f t="shared" si="14"/>
        <v/>
      </c>
      <c r="BG46" s="63"/>
      <c r="BJ46" s="83"/>
      <c r="BK46" s="83"/>
      <c r="BL46" s="83"/>
      <c r="BM46" s="447" t="str" cm="1">
        <f t="array" ref="BM46">INDEX($D$18:$BH$18, 1, $BO46)</f>
        <v>ㆲ</v>
      </c>
      <c r="BN46" s="447" t="str" cm="1">
        <f t="array" aca="1" ref="BN46" ca="1">INDIRECT(ADDRESS(17, COLUMN($D$18) + $BO46 - 1))</f>
        <v>o</v>
      </c>
      <c r="BO46" s="39">
        <f t="shared" si="0"/>
        <v>42</v>
      </c>
      <c r="BP46" s="354" t="str">
        <v>ㆲ</v>
      </c>
      <c r="BQ46" s="355" t="str">
        <f xml:space="preserve"> _xlfn.XLOOKUP(BP46, 按鍵設計表[注音符號], 按鍵設計表[聲韻調], "")</f>
        <v>韻</v>
      </c>
      <c r="BR46" s="347" t="str">
        <v>o</v>
      </c>
      <c r="BS46" s="348" t="str">
        <v>H</v>
      </c>
      <c r="BT46" s="349" t="str">
        <v>ong</v>
      </c>
      <c r="BU46" s="356">
        <f t="shared" si="1"/>
        <v>3</v>
      </c>
      <c r="BW46" s="146" t="str">
        <f t="shared" si="8"/>
        <v xml:space="preserve">    "o": { commit: "ㆲ" }  # /ong/ ==&gt; H</v>
      </c>
      <c r="BY46" s="39">
        <f t="shared" si="2"/>
        <v>42</v>
      </c>
      <c r="CG46" s="288" t="str">
        <f t="shared" si="3"/>
        <v/>
      </c>
      <c r="CI46" s="39">
        <f t="shared" si="4"/>
        <v>42</v>
      </c>
      <c r="DA46" s="288" t="str">
        <f t="shared" si="6"/>
        <v/>
      </c>
    </row>
    <row r="47" spans="1:105" ht="45" customHeight="1">
      <c r="B47" s="333" t="str">
        <f t="shared" ref="B47:AG47" si="15" xml:space="preserve"> MID($E$42,B$45,1)</f>
        <v>ㆠ</v>
      </c>
      <c r="C47" s="333" t="str">
        <f t="shared" si="15"/>
        <v>ㄅ</v>
      </c>
      <c r="D47" s="333" t="str">
        <f t="shared" si="15"/>
        <v>ㄆ</v>
      </c>
      <c r="E47" s="333" t="str">
        <f t="shared" si="15"/>
        <v>ㄇ</v>
      </c>
      <c r="F47" s="333" t="str">
        <f t="shared" si="15"/>
        <v>ㄋ</v>
      </c>
      <c r="G47" s="333" t="str">
        <f t="shared" si="15"/>
        <v>ㄉ</v>
      </c>
      <c r="H47" s="333" t="str">
        <f t="shared" si="15"/>
        <v>ㄊ</v>
      </c>
      <c r="I47" s="333" t="str">
        <f t="shared" si="15"/>
        <v>ㄌ</v>
      </c>
      <c r="J47" s="333" t="str">
        <f t="shared" si="15"/>
        <v>ㆣ</v>
      </c>
      <c r="K47" s="333" t="str">
        <f t="shared" si="15"/>
        <v>ㄍ</v>
      </c>
      <c r="L47" s="333" t="str">
        <f t="shared" si="15"/>
        <v>ㄎ</v>
      </c>
      <c r="M47" s="333" t="str">
        <f t="shared" si="15"/>
        <v>ㄫ</v>
      </c>
      <c r="N47" s="333" t="str">
        <f t="shared" si="15"/>
        <v>ㆡ</v>
      </c>
      <c r="O47" s="333" t="str">
        <f t="shared" si="15"/>
        <v>ㄗ</v>
      </c>
      <c r="P47" s="333" t="str">
        <f t="shared" si="15"/>
        <v>ㄘ</v>
      </c>
      <c r="Q47" s="333" t="str">
        <f t="shared" si="15"/>
        <v>ㄙ</v>
      </c>
      <c r="R47" s="333" t="str">
        <f t="shared" si="15"/>
        <v>ㄏ</v>
      </c>
      <c r="S47" s="333" t="str">
        <f t="shared" si="15"/>
        <v>ㆢ</v>
      </c>
      <c r="T47" s="333" t="str">
        <f t="shared" si="15"/>
        <v>ㄐ</v>
      </c>
      <c r="U47" s="333" t="str">
        <f t="shared" si="15"/>
        <v>ㄑ</v>
      </c>
      <c r="V47" s="333" t="str">
        <f t="shared" si="15"/>
        <v>ㄒ</v>
      </c>
      <c r="W47" s="333" t="str">
        <f t="shared" si="15"/>
        <v>ㄚ</v>
      </c>
      <c r="X47" s="333" t="str">
        <f t="shared" si="15"/>
        <v>ㄧ</v>
      </c>
      <c r="Y47" s="333" t="str">
        <f t="shared" si="15"/>
        <v>ㆨ</v>
      </c>
      <c r="Z47" s="333" t="str">
        <f t="shared" si="15"/>
        <v>ㄨ</v>
      </c>
      <c r="AA47" s="333" t="str">
        <f t="shared" si="15"/>
        <v>ㆤ</v>
      </c>
      <c r="AB47" s="333" t="str">
        <f t="shared" si="15"/>
        <v>ㆦ</v>
      </c>
      <c r="AC47" s="333" t="str">
        <f t="shared" si="15"/>
        <v>ㄜ</v>
      </c>
      <c r="AD47" s="333" t="str">
        <f t="shared" si="15"/>
        <v>ㆬ</v>
      </c>
      <c r="AE47" s="333" t="str">
        <f t="shared" si="15"/>
        <v>ㄣ</v>
      </c>
      <c r="AF47" s="333" t="str">
        <f t="shared" si="15"/>
        <v>ㆭ</v>
      </c>
      <c r="AG47" s="333" t="str">
        <f t="shared" si="15"/>
        <v>ㆴ</v>
      </c>
      <c r="AH47" s="333" t="str">
        <f t="shared" ref="AH47:BF47" si="16" xml:space="preserve"> MID($E$42,AH$45,1)</f>
        <v>ㆵ</v>
      </c>
      <c r="AI47" s="333" t="str">
        <f t="shared" si="16"/>
        <v>ㆻ</v>
      </c>
      <c r="AJ47" s="333" t="str">
        <f t="shared" si="16"/>
        <v>ㆻ</v>
      </c>
      <c r="AK47" s="333" t="str">
        <f t="shared" si="16"/>
        <v>ㄞ</v>
      </c>
      <c r="AL47" s="333" t="str">
        <f t="shared" si="16"/>
        <v>ㄠ</v>
      </c>
      <c r="AM47" s="333" t="str">
        <f t="shared" si="16"/>
        <v>ㆰ</v>
      </c>
      <c r="AN47" s="333" t="str">
        <f t="shared" si="16"/>
        <v>ㄢ</v>
      </c>
      <c r="AO47" s="333" t="str">
        <f t="shared" si="16"/>
        <v>ㄤ</v>
      </c>
      <c r="AP47" s="333" t="str">
        <f t="shared" si="16"/>
        <v>ㆱ</v>
      </c>
      <c r="AQ47" s="333" t="str">
        <f t="shared" si="16"/>
        <v>ㆲ</v>
      </c>
      <c r="AR47" s="333" t="str">
        <f t="shared" si="16"/>
        <v>ㆩ</v>
      </c>
      <c r="AS47" s="333" t="str">
        <f t="shared" si="16"/>
        <v>ㆪ</v>
      </c>
      <c r="AT47" s="333" t="str">
        <f t="shared" si="16"/>
        <v>ㆫ</v>
      </c>
      <c r="AU47" s="333" t="str">
        <f t="shared" si="16"/>
        <v>ㆥ</v>
      </c>
      <c r="AV47" s="333" t="str">
        <f t="shared" si="16"/>
        <v>ㆧ</v>
      </c>
      <c r="AW47" s="333" t="str">
        <f t="shared" si="16"/>
        <v>ㆮ</v>
      </c>
      <c r="AX47" s="333" t="str">
        <f t="shared" si="16"/>
        <v>ㆯ</v>
      </c>
      <c r="AY47" s="333" t="str">
        <f t="shared" si="16"/>
        <v/>
      </c>
      <c r="AZ47" s="333" t="str">
        <f t="shared" si="16"/>
        <v/>
      </c>
      <c r="BA47" s="333" t="str">
        <f t="shared" si="16"/>
        <v/>
      </c>
      <c r="BB47" s="333" t="str">
        <f t="shared" si="16"/>
        <v/>
      </c>
      <c r="BC47" s="333" t="str">
        <f t="shared" si="16"/>
        <v/>
      </c>
      <c r="BD47" s="333" t="str">
        <f t="shared" si="16"/>
        <v/>
      </c>
      <c r="BE47" s="333" t="str">
        <f t="shared" si="16"/>
        <v/>
      </c>
      <c r="BF47" s="333" t="str">
        <f t="shared" si="16"/>
        <v/>
      </c>
      <c r="BG47" s="63"/>
      <c r="BJ47" s="83"/>
      <c r="BK47" s="83"/>
      <c r="BL47" s="83"/>
      <c r="BM47" s="447" t="str" cm="1">
        <f t="array" ref="BM47">INDEX($D$18:$BH$18, 1, $BO47)</f>
        <v>ㆩ</v>
      </c>
      <c r="BN47" s="447" t="str" cm="1">
        <f t="array" aca="1" ref="BN47" ca="1">INDIRECT(ADDRESS(17, COLUMN($D$18) + $BO47 - 1))</f>
        <v>*</v>
      </c>
      <c r="BO47" s="39">
        <f t="shared" si="0"/>
        <v>43</v>
      </c>
      <c r="BP47" s="354" t="str">
        <v>ㆩ</v>
      </c>
      <c r="BQ47" s="355" t="str">
        <f xml:space="preserve"> _xlfn.XLOOKUP(BP47, 按鍵設計表[注音符號], 按鍵設計表[聲韻調], "")</f>
        <v>韻</v>
      </c>
      <c r="BR47" s="347" t="str">
        <v>*</v>
      </c>
      <c r="BS47" s="348" t="str">
        <v>La</v>
      </c>
      <c r="BT47" s="349" t="str">
        <v>ann</v>
      </c>
      <c r="BU47" s="356">
        <f t="shared" si="1"/>
        <v>3</v>
      </c>
      <c r="BW47" s="146" t="str">
        <f t="shared" si="8"/>
        <v xml:space="preserve">    "*": { commit: "ㆩ" }  # /ann/ ==&gt; La</v>
      </c>
      <c r="BY47" s="39">
        <f t="shared" si="2"/>
        <v>43</v>
      </c>
      <c r="CG47" s="288" t="str">
        <f t="shared" si="3"/>
        <v/>
      </c>
      <c r="CI47" s="39">
        <f t="shared" si="4"/>
        <v>43</v>
      </c>
      <c r="DA47" s="288" t="str">
        <f t="shared" si="6"/>
        <v/>
      </c>
    </row>
    <row r="48" spans="1:105" ht="45" customHeight="1"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4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J48" s="83"/>
      <c r="BK48" s="83"/>
      <c r="BL48" s="83"/>
      <c r="BM48" s="447" t="str" cm="1">
        <f t="array" ref="BM48">INDEX($D$18:$BH$18, 1, $BO48)</f>
        <v>ㆪ</v>
      </c>
      <c r="BN48" s="447" t="str" cm="1">
        <f t="array" aca="1" ref="BN48" ca="1">INDIRECT(ADDRESS(17, COLUMN($D$18) + $BO48 - 1))</f>
        <v>U</v>
      </c>
      <c r="BO48" s="39">
        <f t="shared" si="0"/>
        <v>44</v>
      </c>
      <c r="BP48" s="354" t="str">
        <v>ㆪ</v>
      </c>
      <c r="BQ48" s="355" t="str">
        <f xml:space="preserve"> _xlfn.XLOOKUP(BP48, 按鍵設計表[注音符號], 按鍵設計表[聲韻調], "")</f>
        <v>韻</v>
      </c>
      <c r="BR48" s="347" t="str">
        <v>U</v>
      </c>
      <c r="BS48" s="348" t="str">
        <v>Li</v>
      </c>
      <c r="BT48" s="349" t="str">
        <v>inn</v>
      </c>
      <c r="BU48" s="356">
        <f t="shared" si="1"/>
        <v>3</v>
      </c>
      <c r="BW48" s="146" t="str">
        <f t="shared" si="8"/>
        <v xml:space="preserve">    "U": { commit: "ㆪ" }  # /inn/ ==&gt; Li</v>
      </c>
      <c r="BY48" s="39">
        <f t="shared" si="2"/>
        <v>44</v>
      </c>
      <c r="CG48" s="288" t="str">
        <f t="shared" si="3"/>
        <v/>
      </c>
      <c r="CI48" s="39">
        <f t="shared" si="4"/>
        <v>44</v>
      </c>
      <c r="DA48" s="288" t="str">
        <f t="shared" si="6"/>
        <v/>
      </c>
    </row>
    <row r="49" spans="2:105" ht="45" customHeight="1">
      <c r="B49" s="76" t="s">
        <v>322</v>
      </c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0"/>
      <c r="AI49" s="60"/>
      <c r="AJ49" s="60"/>
      <c r="AK49" s="83"/>
      <c r="AL49" s="83"/>
      <c r="AM49" s="60"/>
      <c r="AN49" s="83"/>
      <c r="AO49" s="83"/>
      <c r="AP49" s="83"/>
      <c r="AQ49" s="83"/>
      <c r="AR49" s="83"/>
      <c r="AS49" s="83"/>
      <c r="AT49" s="83"/>
      <c r="AU49" s="83"/>
      <c r="AV49" s="83"/>
      <c r="AW49" s="83"/>
      <c r="AX49" s="83"/>
      <c r="AY49" s="83"/>
      <c r="AZ49" s="83"/>
      <c r="BA49" s="83"/>
      <c r="BB49" s="83"/>
      <c r="BC49" s="83"/>
      <c r="BD49" s="83"/>
      <c r="BE49" s="83"/>
      <c r="BF49" s="83"/>
      <c r="BG49" s="60"/>
      <c r="BH49" s="60"/>
      <c r="BI49" s="83"/>
      <c r="BJ49" s="83"/>
      <c r="BK49" s="83"/>
      <c r="BL49" s="83"/>
      <c r="BM49" s="447" t="str" cm="1">
        <f t="array" ref="BM49">INDEX($D$18:$BH$18, 1, $BO49)</f>
        <v>ㆫ</v>
      </c>
      <c r="BN49" s="447" t="str" cm="1">
        <f t="array" aca="1" ref="BN49" ca="1">INDIRECT(ADDRESS(17, COLUMN($D$18) + $BO49 - 1))</f>
        <v>J</v>
      </c>
      <c r="BO49" s="39">
        <f t="shared" si="0"/>
        <v>45</v>
      </c>
      <c r="BP49" s="354" t="str">
        <v>ㆫ</v>
      </c>
      <c r="BQ49" s="355" t="str">
        <f xml:space="preserve"> _xlfn.XLOOKUP(BP49, 按鍵設計表[注音符號], 按鍵設計表[聲韻調], "")</f>
        <v>韻</v>
      </c>
      <c r="BR49" s="347" t="str">
        <v>J</v>
      </c>
      <c r="BS49" s="348" t="str">
        <v>Lu</v>
      </c>
      <c r="BT49" s="349" t="str">
        <v>unn</v>
      </c>
      <c r="BU49" s="356">
        <f t="shared" si="1"/>
        <v>3</v>
      </c>
      <c r="BW49" s="146" t="str">
        <f t="shared" si="8"/>
        <v xml:space="preserve">    "J": { commit: "ㆫ" }  # /unn/ ==&gt; Lu</v>
      </c>
      <c r="BY49" s="39">
        <f t="shared" si="2"/>
        <v>45</v>
      </c>
      <c r="CG49" s="288" t="str">
        <f t="shared" si="3"/>
        <v/>
      </c>
      <c r="CI49" s="39">
        <f t="shared" si="4"/>
        <v>45</v>
      </c>
      <c r="DA49" s="288" t="str">
        <f t="shared" si="6"/>
        <v/>
      </c>
    </row>
    <row r="50" spans="2:105" ht="45" customHeight="1">
      <c r="B50" s="63" t="s">
        <v>8411</v>
      </c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4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0"/>
      <c r="AI50" s="60"/>
      <c r="AJ50" s="60"/>
      <c r="AK50" s="83"/>
      <c r="AL50" s="83"/>
      <c r="AM50" s="83"/>
      <c r="AN50" s="83"/>
      <c r="AO50" s="83"/>
      <c r="AP50" s="83"/>
      <c r="AQ50" s="83"/>
      <c r="AR50" s="83"/>
      <c r="AS50" s="83"/>
      <c r="AT50" s="83"/>
      <c r="AU50" s="83"/>
      <c r="AV50" s="83"/>
      <c r="AW50" s="83"/>
      <c r="AX50" s="83"/>
      <c r="AY50" s="83"/>
      <c r="AZ50" s="83"/>
      <c r="BA50" s="83"/>
      <c r="BB50" s="83"/>
      <c r="BC50" s="83"/>
      <c r="BD50" s="83"/>
      <c r="BE50" s="83"/>
      <c r="BF50" s="83"/>
      <c r="BG50" s="83"/>
      <c r="BH50" s="83"/>
      <c r="BI50" s="83"/>
      <c r="BJ50" s="83"/>
      <c r="BK50" s="83"/>
      <c r="BL50" s="83"/>
      <c r="BM50" s="447" t="str" cm="1">
        <f t="array" ref="BM50">INDEX($D$18:$BH$18, 1, $BO50)</f>
        <v>ㆥ</v>
      </c>
      <c r="BN50" s="447" t="str" cm="1">
        <f t="array" aca="1" ref="BN50" ca="1">INDIRECT(ADDRESS(17, COLUMN($D$18) + $BO50 - 1))</f>
        <v>&lt;</v>
      </c>
      <c r="BO50" s="39">
        <f t="shared" si="0"/>
        <v>46</v>
      </c>
      <c r="BP50" s="354" t="str">
        <v>ㆥ</v>
      </c>
      <c r="BQ50" s="355" t="str">
        <f xml:space="preserve"> _xlfn.XLOOKUP(BP50, 按鍵設計表[注音符號], 按鍵設計表[聲韻調], "")</f>
        <v>韻</v>
      </c>
      <c r="BR50" s="347" t="str">
        <v>&lt;</v>
      </c>
      <c r="BS50" s="348" t="str">
        <v>Le</v>
      </c>
      <c r="BT50" s="349" t="str">
        <v>enn</v>
      </c>
      <c r="BU50" s="356">
        <f t="shared" si="1"/>
        <v>3</v>
      </c>
      <c r="BW50" s="146" t="str">
        <f t="shared" si="8"/>
        <v xml:space="preserve">    "&lt;": { commit: "ㆥ" }  # /enn/ ==&gt; Le</v>
      </c>
      <c r="BY50" s="39">
        <f t="shared" si="2"/>
        <v>46</v>
      </c>
      <c r="CG50" s="288" t="str">
        <f t="shared" si="3"/>
        <v/>
      </c>
      <c r="CI50" s="39">
        <f t="shared" si="4"/>
        <v>46</v>
      </c>
      <c r="DA50" s="288" t="str">
        <f t="shared" si="6"/>
        <v/>
      </c>
    </row>
    <row r="51" spans="2:105" ht="45" customHeight="1">
      <c r="B51" s="77" t="str">
        <f>$B$19</f>
        <v>字典編碼</v>
      </c>
      <c r="C51" s="78"/>
      <c r="D51" s="78">
        <f xml:space="preserve"> LEN(E51)</f>
        <v>47</v>
      </c>
      <c r="E51" s="79" t="str">
        <f xml:space="preserve"> _xlfn.CONCAT(D19:AS19,BA19:BE19)</f>
        <v>bpPmntTlqkKgjzcshJZCSaiwueoøMNGRFQVIUY@AWH07325</v>
      </c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83"/>
      <c r="AL51" s="83"/>
      <c r="AM51" s="83"/>
      <c r="AN51" s="83"/>
      <c r="AO51" s="83"/>
      <c r="AP51" s="83"/>
      <c r="AQ51" s="83"/>
      <c r="AR51" s="83"/>
      <c r="AS51" s="83"/>
      <c r="AT51" s="83"/>
      <c r="AU51" s="83"/>
      <c r="AV51" s="83"/>
      <c r="AW51" s="83"/>
      <c r="AX51" s="83"/>
      <c r="AY51" s="83"/>
      <c r="AZ51" s="83"/>
      <c r="BA51" s="83"/>
      <c r="BB51" s="83"/>
      <c r="BI51" s="83"/>
      <c r="BJ51" s="83"/>
      <c r="BK51" s="83"/>
      <c r="BL51" s="83"/>
      <c r="BM51" s="447" t="str" cm="1">
        <f t="array" ref="BM51">INDEX($D$18:$BH$18, 1, $BO51)</f>
        <v>ㆧ</v>
      </c>
      <c r="BN51" s="447" t="str" cm="1">
        <f t="array" aca="1" ref="BN51" ca="1">INDIRECT(ADDRESS(17, COLUMN($D$18) + $BO51 - 1))</f>
        <v>I</v>
      </c>
      <c r="BO51" s="39">
        <f t="shared" si="0"/>
        <v>47</v>
      </c>
      <c r="BP51" s="354" t="str">
        <v>ㆧ</v>
      </c>
      <c r="BQ51" s="355" t="str">
        <f xml:space="preserve"> _xlfn.XLOOKUP(BP51, 按鍵設計表[注音符號], 按鍵設計表[聲韻調], "")</f>
        <v>韻</v>
      </c>
      <c r="BR51" s="347" t="str">
        <v>I</v>
      </c>
      <c r="BS51" s="348" t="str">
        <v>Lo</v>
      </c>
      <c r="BT51" s="349" t="str">
        <v>onn</v>
      </c>
      <c r="BU51" s="356">
        <f t="shared" si="1"/>
        <v>3</v>
      </c>
      <c r="BW51" s="146" t="str">
        <f t="shared" si="8"/>
        <v xml:space="preserve">    "I": { commit: "ㆧ" }  # /onn/ ==&gt; Lo</v>
      </c>
      <c r="BY51" s="39">
        <f t="shared" si="2"/>
        <v>47</v>
      </c>
      <c r="CG51" s="288" t="str">
        <f t="shared" si="3"/>
        <v/>
      </c>
      <c r="CI51" s="39">
        <f t="shared" si="4"/>
        <v>47</v>
      </c>
      <c r="DA51" s="288" t="str">
        <f t="shared" si="6"/>
        <v/>
      </c>
    </row>
    <row r="52" spans="2:105" ht="45" customHeight="1">
      <c r="B52" s="80" t="s">
        <v>3</v>
      </c>
      <c r="C52" s="81"/>
      <c r="D52" s="81">
        <f>LEN(E52)</f>
        <v>47</v>
      </c>
      <c r="E52" s="80" t="str">
        <f xml:space="preserve"> _xlfn.CONCAT(D18:AS18,BA18:BE18)</f>
        <v>ㆠㄅㄆㄇㄋㄉㄊㄌㆣㄍㄎㄫㆡㄗㄘㄙㄏㆢㄐㄑㄒㄚㄧㆨㄨㆤㆦㄜㆬㄣㆭㆴㆵㆻㆻㄞㄠㆰㄢㄤㆱㆲ˙˫˪ˋˊ</v>
      </c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BI52" s="83"/>
      <c r="BJ52" s="83"/>
      <c r="BK52" s="83"/>
      <c r="BL52" s="83"/>
      <c r="BM52" s="447" t="str" cm="1">
        <f t="array" ref="BM52">INDEX($D$18:$BH$18, 1, $BO52)</f>
        <v>ㆮ</v>
      </c>
      <c r="BN52" s="447" t="str" cm="1">
        <f t="array" aca="1" ref="BN52" ca="1">INDIRECT(ADDRESS(17, COLUMN($D$18) + $BO52 - 1))</f>
        <v>(</v>
      </c>
      <c r="BO52" s="39">
        <f t="shared" si="0"/>
        <v>48</v>
      </c>
      <c r="BP52" s="354" t="str">
        <v>ㆮ</v>
      </c>
      <c r="BQ52" s="355" t="str">
        <f xml:space="preserve"> _xlfn.XLOOKUP(BP52, 按鍵設計表[注音符號], 按鍵設計表[聲韻調], "")</f>
        <v>韻</v>
      </c>
      <c r="BR52" s="347" t="str">
        <v>(</v>
      </c>
      <c r="BS52" s="348" t="str">
        <v>LI</v>
      </c>
      <c r="BT52" s="349" t="str">
        <v>ainn</v>
      </c>
      <c r="BU52" s="356">
        <f t="shared" si="1"/>
        <v>4</v>
      </c>
      <c r="BW52" s="146" t="str">
        <f t="shared" si="8"/>
        <v xml:space="preserve">    "(": { commit: "ㆮ" }  # /ainn/ ==&gt; LI</v>
      </c>
      <c r="BY52" s="39">
        <f t="shared" si="2"/>
        <v>48</v>
      </c>
      <c r="CG52" s="288" t="str">
        <f t="shared" si="3"/>
        <v/>
      </c>
      <c r="CI52" s="39">
        <f t="shared" si="4"/>
        <v>48</v>
      </c>
      <c r="DA52" s="288" t="str">
        <f t="shared" si="6"/>
        <v/>
      </c>
    </row>
    <row r="53" spans="2:105" ht="45" customHeight="1">
      <c r="B53" s="72" t="str">
        <f xml:space="preserve"> "- xlit|" &amp; E51 &amp; "|" &amp; E52 &amp; "|"</f>
        <v>- xlit|bpPmntTlqkKgjzcshJZCSaiwueoøMNGRFQVIUY@AWH07325|ㆠㄅㄆㄇㄋㄉㄊㄌㆣㄍㄎㄫㆡㄗㄘㄙㄏㆢㄐㄑㄒㄚㄧㆨㄨㆤㆦㄜㆬㄣㆭㆴㆵㆻㆻㄞㄠㆰㄢㄤㆱㆲ˙˫˪ˋˊ|</v>
      </c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73"/>
      <c r="AH53" s="73"/>
      <c r="AI53" s="73"/>
      <c r="AJ53" s="73"/>
      <c r="BI53" s="83"/>
      <c r="BJ53" s="83"/>
      <c r="BK53" s="83"/>
      <c r="BL53" s="83"/>
      <c r="BM53" s="447" t="str" cm="1">
        <f t="array" ref="BM53">INDEX($D$18:$BH$18, 1, $BO53)</f>
        <v>ㆯ</v>
      </c>
      <c r="BN53" s="447" t="str" cm="1">
        <f t="array" aca="1" ref="BN53" ca="1">INDIRECT(ADDRESS(17, COLUMN($D$18) + $BO53 - 1))</f>
        <v>L</v>
      </c>
      <c r="BO53" s="39">
        <f t="shared" si="0"/>
        <v>49</v>
      </c>
      <c r="BP53" s="354" t="str">
        <v>ㆯ</v>
      </c>
      <c r="BQ53" s="355" t="str">
        <f xml:space="preserve"> _xlfn.XLOOKUP(BP53, 按鍵設計表[注音符號], 按鍵設計表[聲韻調], "")</f>
        <v>韻</v>
      </c>
      <c r="BR53" s="347" t="str">
        <v>L</v>
      </c>
      <c r="BS53" s="348" t="str">
        <v>LU</v>
      </c>
      <c r="BT53" s="349" t="str">
        <v>aunn</v>
      </c>
      <c r="BU53" s="356">
        <f t="shared" si="1"/>
        <v>4</v>
      </c>
      <c r="BW53" s="146" t="str">
        <f t="shared" si="8"/>
        <v xml:space="preserve">    "L": { commit: "ㆯ" }  # /aunn/ ==&gt; LU</v>
      </c>
      <c r="BY53" s="39">
        <f t="shared" si="2"/>
        <v>49</v>
      </c>
      <c r="CG53" s="288" t="str">
        <f t="shared" si="3"/>
        <v/>
      </c>
      <c r="CI53" s="39">
        <f t="shared" si="4"/>
        <v>49</v>
      </c>
      <c r="DA53" s="288" t="str">
        <f t="shared" si="6"/>
        <v/>
      </c>
    </row>
    <row r="54" spans="2:105" ht="45" customHeight="1">
      <c r="B54" s="74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I54" s="83"/>
      <c r="BJ54" s="83"/>
      <c r="BK54" s="83"/>
      <c r="BL54" s="83"/>
      <c r="BM54" s="447" t="str" cm="1">
        <f t="array" ref="BM54">INDEX($D$18:$BH$18, 1, $BO54)</f>
        <v>˙</v>
      </c>
      <c r="BN54" s="447" cm="1">
        <f t="array" aca="1" ref="BN54" ca="1">INDIRECT(ADDRESS(17, COLUMN($D$18) + $BO54 - 1))</f>
        <v>7</v>
      </c>
      <c r="BO54" s="39">
        <f t="shared" si="0"/>
        <v>50</v>
      </c>
      <c r="BP54" s="354" t="str">
        <v>˙</v>
      </c>
      <c r="BQ54" s="355" t="str">
        <f xml:space="preserve"> _xlfn.XLOOKUP(BP54, 按鍵設計表[注音符號], 按鍵設計表[聲韻調], "")</f>
        <v>調</v>
      </c>
      <c r="BR54" s="347">
        <v>7</v>
      </c>
      <c r="BS54" s="348">
        <v>0</v>
      </c>
      <c r="BT54" s="349">
        <v>0</v>
      </c>
      <c r="BU54" s="356">
        <f t="shared" si="1"/>
        <v>1</v>
      </c>
      <c r="BW54" s="146" t="str">
        <f t="shared" si="8"/>
        <v xml:space="preserve">    "7": { commit: "˙" }  # /0/ ==&gt; 0</v>
      </c>
      <c r="BY54" s="39">
        <f t="shared" si="2"/>
        <v>50</v>
      </c>
      <c r="CG54" s="288" t="str">
        <f t="shared" si="3"/>
        <v/>
      </c>
      <c r="CI54" s="39">
        <f t="shared" si="4"/>
        <v>50</v>
      </c>
      <c r="DA54" s="288" t="str">
        <f t="shared" si="6"/>
        <v/>
      </c>
    </row>
    <row r="55" spans="2:105" ht="45" customHeight="1">
      <c r="B55" s="328">
        <v>1</v>
      </c>
      <c r="C55" s="328">
        <v>2</v>
      </c>
      <c r="D55" s="328">
        <v>3</v>
      </c>
      <c r="E55" s="328">
        <v>4</v>
      </c>
      <c r="F55" s="328">
        <v>5</v>
      </c>
      <c r="G55" s="328">
        <v>6</v>
      </c>
      <c r="H55" s="328">
        <v>7</v>
      </c>
      <c r="I55" s="328">
        <v>8</v>
      </c>
      <c r="J55" s="328">
        <v>9</v>
      </c>
      <c r="K55" s="328">
        <v>10</v>
      </c>
      <c r="L55" s="328">
        <v>11</v>
      </c>
      <c r="M55" s="328">
        <v>12</v>
      </c>
      <c r="N55" s="328">
        <v>13</v>
      </c>
      <c r="O55" s="328">
        <v>14</v>
      </c>
      <c r="P55" s="328">
        <v>15</v>
      </c>
      <c r="Q55" s="328">
        <v>16</v>
      </c>
      <c r="R55" s="328">
        <v>17</v>
      </c>
      <c r="S55" s="329">
        <v>18</v>
      </c>
      <c r="T55" s="328">
        <v>19</v>
      </c>
      <c r="U55" s="328">
        <v>20</v>
      </c>
      <c r="V55" s="328">
        <v>21</v>
      </c>
      <c r="W55" s="328">
        <v>22</v>
      </c>
      <c r="X55" s="328">
        <v>23</v>
      </c>
      <c r="Y55" s="328">
        <v>24</v>
      </c>
      <c r="Z55" s="328">
        <v>25</v>
      </c>
      <c r="AA55" s="328">
        <v>26</v>
      </c>
      <c r="AB55" s="328">
        <v>27</v>
      </c>
      <c r="AC55" s="328">
        <v>28</v>
      </c>
      <c r="AD55" s="328">
        <v>29</v>
      </c>
      <c r="AE55" s="328">
        <v>30</v>
      </c>
      <c r="AF55" s="328">
        <v>31</v>
      </c>
      <c r="AG55" s="328">
        <v>32</v>
      </c>
      <c r="AH55" s="330">
        <v>33</v>
      </c>
      <c r="AI55" s="330">
        <v>34</v>
      </c>
      <c r="AJ55" s="330">
        <v>35</v>
      </c>
      <c r="AK55" s="330">
        <v>36</v>
      </c>
      <c r="AL55" s="331">
        <v>37</v>
      </c>
      <c r="AM55" s="330">
        <v>38</v>
      </c>
      <c r="AN55" s="330">
        <v>39</v>
      </c>
      <c r="AO55" s="330">
        <v>40</v>
      </c>
      <c r="AP55" s="330">
        <v>41</v>
      </c>
      <c r="AQ55" s="330">
        <v>42</v>
      </c>
      <c r="AR55" s="330">
        <v>43</v>
      </c>
      <c r="AS55" s="330">
        <v>44</v>
      </c>
      <c r="AT55" s="330">
        <v>45</v>
      </c>
      <c r="AU55" s="330">
        <v>46</v>
      </c>
      <c r="AV55" s="330">
        <v>47</v>
      </c>
      <c r="AW55" s="330">
        <v>48</v>
      </c>
      <c r="AX55" s="330">
        <v>49</v>
      </c>
      <c r="AY55" s="330">
        <v>50</v>
      </c>
      <c r="AZ55" s="330">
        <v>51</v>
      </c>
      <c r="BA55" s="330">
        <v>52</v>
      </c>
      <c r="BB55" s="330">
        <v>53</v>
      </c>
      <c r="BC55" s="330">
        <v>54</v>
      </c>
      <c r="BD55" s="330">
        <v>55</v>
      </c>
      <c r="BE55" s="330">
        <v>56</v>
      </c>
      <c r="BF55" s="330">
        <v>57</v>
      </c>
      <c r="BI55" s="83"/>
      <c r="BJ55" s="83"/>
      <c r="BK55" s="83"/>
      <c r="BL55" s="83"/>
      <c r="BM55" s="447" t="str" cm="1">
        <f t="array" ref="BM55">INDEX($D$18:$BH$18, 1, $BO55)</f>
        <v>˫</v>
      </c>
      <c r="BN55" s="447" cm="1">
        <f t="array" aca="1" ref="BN55" ca="1">INDIRECT(ADDRESS(17, COLUMN($D$18) + $BO55 - 1))</f>
        <v>5</v>
      </c>
      <c r="BO55" s="39">
        <f t="shared" si="0"/>
        <v>51</v>
      </c>
      <c r="BP55" s="354" t="str">
        <v>˫</v>
      </c>
      <c r="BQ55" s="355" t="str">
        <f xml:space="preserve"> _xlfn.XLOOKUP(BP55, 按鍵設計表[注音符號], 按鍵設計表[聲韻調], "")</f>
        <v>調</v>
      </c>
      <c r="BR55" s="347">
        <v>5</v>
      </c>
      <c r="BS55" s="348">
        <v>7</v>
      </c>
      <c r="BT55" s="349">
        <v>7</v>
      </c>
      <c r="BU55" s="356">
        <f t="shared" si="1"/>
        <v>1</v>
      </c>
      <c r="BW55" s="146" t="str">
        <f t="shared" si="8"/>
        <v xml:space="preserve">    "5": { commit: "˫" }  # /7/ ==&gt; 7</v>
      </c>
      <c r="BY55" s="39">
        <f t="shared" si="2"/>
        <v>51</v>
      </c>
      <c r="CG55" s="288" t="str">
        <f t="shared" si="3"/>
        <v/>
      </c>
      <c r="CI55" s="39">
        <f t="shared" si="4"/>
        <v>51</v>
      </c>
      <c r="DA55" s="288" t="str">
        <f t="shared" si="6"/>
        <v/>
      </c>
    </row>
    <row r="56" spans="2:105" ht="45" customHeight="1">
      <c r="B56" s="332" t="str">
        <f xml:space="preserve"> MID($E$51,B$55,1)</f>
        <v>b</v>
      </c>
      <c r="C56" s="332" t="str">
        <f t="shared" ref="C56:BB56" si="17" xml:space="preserve"> MID($E$51,C$55,1)</f>
        <v>p</v>
      </c>
      <c r="D56" s="332" t="str">
        <f t="shared" si="17"/>
        <v>P</v>
      </c>
      <c r="E56" s="332" t="str">
        <f t="shared" si="17"/>
        <v>m</v>
      </c>
      <c r="F56" s="332" t="str">
        <f t="shared" si="17"/>
        <v>n</v>
      </c>
      <c r="G56" s="332" t="str">
        <f t="shared" si="17"/>
        <v>t</v>
      </c>
      <c r="H56" s="332" t="str">
        <f t="shared" si="17"/>
        <v>T</v>
      </c>
      <c r="I56" s="332" t="str">
        <f t="shared" si="17"/>
        <v>l</v>
      </c>
      <c r="J56" s="332" t="str">
        <f t="shared" si="17"/>
        <v>q</v>
      </c>
      <c r="K56" s="332" t="str">
        <f t="shared" si="17"/>
        <v>k</v>
      </c>
      <c r="L56" s="332" t="str">
        <f t="shared" si="17"/>
        <v>K</v>
      </c>
      <c r="M56" s="332" t="str">
        <f t="shared" si="17"/>
        <v>g</v>
      </c>
      <c r="N56" s="332" t="str">
        <f t="shared" si="17"/>
        <v>j</v>
      </c>
      <c r="O56" s="332" t="str">
        <f t="shared" si="17"/>
        <v>z</v>
      </c>
      <c r="P56" s="332" t="str">
        <f t="shared" si="17"/>
        <v>c</v>
      </c>
      <c r="Q56" s="332" t="str">
        <f t="shared" si="17"/>
        <v>s</v>
      </c>
      <c r="R56" s="332" t="str">
        <f t="shared" si="17"/>
        <v>h</v>
      </c>
      <c r="S56" s="332" t="str">
        <f t="shared" si="17"/>
        <v>J</v>
      </c>
      <c r="T56" s="332" t="str">
        <f t="shared" si="17"/>
        <v>Z</v>
      </c>
      <c r="U56" s="332" t="str">
        <f t="shared" si="17"/>
        <v>C</v>
      </c>
      <c r="V56" s="332" t="str">
        <f t="shared" si="17"/>
        <v>S</v>
      </c>
      <c r="W56" s="332" t="str">
        <f t="shared" si="17"/>
        <v>a</v>
      </c>
      <c r="X56" s="332" t="str">
        <f t="shared" si="17"/>
        <v>i</v>
      </c>
      <c r="Y56" s="332" t="str">
        <f t="shared" si="17"/>
        <v>w</v>
      </c>
      <c r="Z56" s="332" t="str">
        <f t="shared" si="17"/>
        <v>u</v>
      </c>
      <c r="AA56" s="332" t="str">
        <f t="shared" si="17"/>
        <v>e</v>
      </c>
      <c r="AB56" s="332" t="str">
        <f t="shared" si="17"/>
        <v>o</v>
      </c>
      <c r="AC56" s="332" t="str">
        <f t="shared" si="17"/>
        <v>ø</v>
      </c>
      <c r="AD56" s="332" t="str">
        <f t="shared" si="17"/>
        <v>M</v>
      </c>
      <c r="AE56" s="332" t="str">
        <f t="shared" si="17"/>
        <v>N</v>
      </c>
      <c r="AF56" s="332" t="str">
        <f t="shared" si="17"/>
        <v>G</v>
      </c>
      <c r="AG56" s="332" t="str">
        <f t="shared" si="17"/>
        <v>R</v>
      </c>
      <c r="AH56" s="332" t="str">
        <f t="shared" si="17"/>
        <v>F</v>
      </c>
      <c r="AI56" s="332" t="str">
        <f t="shared" si="17"/>
        <v>Q</v>
      </c>
      <c r="AJ56" s="332" t="str">
        <f t="shared" si="17"/>
        <v>V</v>
      </c>
      <c r="AK56" s="332" t="str">
        <f t="shared" si="17"/>
        <v>I</v>
      </c>
      <c r="AL56" s="332" t="str">
        <f t="shared" si="17"/>
        <v>U</v>
      </c>
      <c r="AM56" s="332" t="str">
        <f t="shared" si="17"/>
        <v>Y</v>
      </c>
      <c r="AN56" s="332" t="str">
        <f t="shared" si="17"/>
        <v>@</v>
      </c>
      <c r="AO56" s="332" t="str">
        <f t="shared" si="17"/>
        <v>A</v>
      </c>
      <c r="AP56" s="332" t="str">
        <f t="shared" si="17"/>
        <v>W</v>
      </c>
      <c r="AQ56" s="332" t="str">
        <f t="shared" si="17"/>
        <v>H</v>
      </c>
      <c r="AR56" s="332" t="str">
        <f t="shared" si="17"/>
        <v>0</v>
      </c>
      <c r="AS56" s="332" t="str">
        <f t="shared" si="17"/>
        <v>7</v>
      </c>
      <c r="AT56" s="332" t="str">
        <f t="shared" si="17"/>
        <v>3</v>
      </c>
      <c r="AU56" s="332" t="str">
        <f t="shared" si="17"/>
        <v>2</v>
      </c>
      <c r="AV56" s="332" t="str">
        <f t="shared" si="17"/>
        <v>5</v>
      </c>
      <c r="AW56" s="332" t="str">
        <f t="shared" si="17"/>
        <v/>
      </c>
      <c r="AX56" s="332" t="str">
        <f t="shared" si="17"/>
        <v/>
      </c>
      <c r="AY56" s="332" t="str">
        <f t="shared" si="17"/>
        <v/>
      </c>
      <c r="AZ56" s="332" t="str">
        <f t="shared" si="17"/>
        <v/>
      </c>
      <c r="BA56" s="332" t="str">
        <f t="shared" si="17"/>
        <v/>
      </c>
      <c r="BB56" s="332" t="str">
        <f t="shared" si="17"/>
        <v/>
      </c>
      <c r="BC56" s="332" t="str">
        <f t="shared" ref="BC56:BF56" si="18" xml:space="preserve"> MID($E$41,BC$45,1)</f>
        <v/>
      </c>
      <c r="BD56" s="332" t="str">
        <f t="shared" si="18"/>
        <v/>
      </c>
      <c r="BE56" s="332" t="str">
        <f t="shared" si="18"/>
        <v/>
      </c>
      <c r="BF56" s="332" t="str">
        <f t="shared" si="18"/>
        <v/>
      </c>
      <c r="BG56" s="83"/>
      <c r="BH56" s="83"/>
      <c r="BI56" s="83"/>
      <c r="BJ56" s="83"/>
      <c r="BK56" s="83"/>
      <c r="BL56" s="83"/>
      <c r="BM56" s="447" t="str" cm="1">
        <f t="array" ref="BM56">INDEX($D$18:$BH$18, 1, $BO56)</f>
        <v>˪</v>
      </c>
      <c r="BN56" s="447" cm="1">
        <f t="array" aca="1" ref="BN56" ca="1">INDIRECT(ADDRESS(17, COLUMN($D$18) + $BO56 - 1))</f>
        <v>3</v>
      </c>
      <c r="BO56" s="39">
        <f t="shared" si="0"/>
        <v>52</v>
      </c>
      <c r="BP56" s="354" t="str">
        <v>˪</v>
      </c>
      <c r="BQ56" s="355" t="str">
        <f xml:space="preserve"> _xlfn.XLOOKUP(BP56, 按鍵設計表[注音符號], 按鍵設計表[聲韻調], "")</f>
        <v>調</v>
      </c>
      <c r="BR56" s="347">
        <v>3</v>
      </c>
      <c r="BS56" s="348" t="str">
        <v>3</v>
      </c>
      <c r="BT56" s="349">
        <v>3</v>
      </c>
      <c r="BU56" s="356">
        <f t="shared" si="1"/>
        <v>1</v>
      </c>
      <c r="BW56" s="146" t="str">
        <f t="shared" si="8"/>
        <v xml:space="preserve">    "3": { commit: "˪" }  # /3/ ==&gt; 3</v>
      </c>
      <c r="BY56" s="39">
        <f t="shared" si="2"/>
        <v>52</v>
      </c>
      <c r="CI56" s="39">
        <f t="shared" si="4"/>
        <v>52</v>
      </c>
    </row>
    <row r="57" spans="2:105" ht="45" customHeight="1">
      <c r="B57" s="333" t="str">
        <f xml:space="preserve"> MID($E$52,B$55,1)</f>
        <v>ㆠ</v>
      </c>
      <c r="C57" s="333" t="str">
        <f t="shared" ref="C57:BB57" si="19" xml:space="preserve"> MID($E$52,C$55,1)</f>
        <v>ㄅ</v>
      </c>
      <c r="D57" s="333" t="str">
        <f t="shared" si="19"/>
        <v>ㄆ</v>
      </c>
      <c r="E57" s="333" t="str">
        <f t="shared" si="19"/>
        <v>ㄇ</v>
      </c>
      <c r="F57" s="333" t="str">
        <f t="shared" si="19"/>
        <v>ㄋ</v>
      </c>
      <c r="G57" s="333" t="str">
        <f t="shared" si="19"/>
        <v>ㄉ</v>
      </c>
      <c r="H57" s="333" t="str">
        <f t="shared" si="19"/>
        <v>ㄊ</v>
      </c>
      <c r="I57" s="333" t="str">
        <f t="shared" si="19"/>
        <v>ㄌ</v>
      </c>
      <c r="J57" s="333" t="str">
        <f t="shared" si="19"/>
        <v>ㆣ</v>
      </c>
      <c r="K57" s="333" t="str">
        <f t="shared" si="19"/>
        <v>ㄍ</v>
      </c>
      <c r="L57" s="333" t="str">
        <f t="shared" si="19"/>
        <v>ㄎ</v>
      </c>
      <c r="M57" s="333" t="str">
        <f t="shared" si="19"/>
        <v>ㄫ</v>
      </c>
      <c r="N57" s="333" t="str">
        <f t="shared" si="19"/>
        <v>ㆡ</v>
      </c>
      <c r="O57" s="333" t="str">
        <f t="shared" si="19"/>
        <v>ㄗ</v>
      </c>
      <c r="P57" s="333" t="str">
        <f t="shared" si="19"/>
        <v>ㄘ</v>
      </c>
      <c r="Q57" s="333" t="str">
        <f t="shared" si="19"/>
        <v>ㄙ</v>
      </c>
      <c r="R57" s="333" t="str">
        <f t="shared" si="19"/>
        <v>ㄏ</v>
      </c>
      <c r="S57" s="333" t="str">
        <f t="shared" si="19"/>
        <v>ㆢ</v>
      </c>
      <c r="T57" s="333" t="str">
        <f t="shared" si="19"/>
        <v>ㄐ</v>
      </c>
      <c r="U57" s="333" t="str">
        <f t="shared" si="19"/>
        <v>ㄑ</v>
      </c>
      <c r="V57" s="333" t="str">
        <f t="shared" si="19"/>
        <v>ㄒ</v>
      </c>
      <c r="W57" s="333" t="str">
        <f t="shared" si="19"/>
        <v>ㄚ</v>
      </c>
      <c r="X57" s="333" t="str">
        <f t="shared" si="19"/>
        <v>ㄧ</v>
      </c>
      <c r="Y57" s="333" t="str">
        <f t="shared" si="19"/>
        <v>ㆨ</v>
      </c>
      <c r="Z57" s="333" t="str">
        <f t="shared" si="19"/>
        <v>ㄨ</v>
      </c>
      <c r="AA57" s="333" t="str">
        <f t="shared" si="19"/>
        <v>ㆤ</v>
      </c>
      <c r="AB57" s="333" t="str">
        <f t="shared" si="19"/>
        <v>ㆦ</v>
      </c>
      <c r="AC57" s="333" t="str">
        <f t="shared" si="19"/>
        <v>ㄜ</v>
      </c>
      <c r="AD57" s="333" t="str">
        <f t="shared" si="19"/>
        <v>ㆬ</v>
      </c>
      <c r="AE57" s="333" t="str">
        <f t="shared" si="19"/>
        <v>ㄣ</v>
      </c>
      <c r="AF57" s="333" t="str">
        <f t="shared" si="19"/>
        <v>ㆭ</v>
      </c>
      <c r="AG57" s="333" t="str">
        <f t="shared" si="19"/>
        <v>ㆴ</v>
      </c>
      <c r="AH57" s="333" t="str">
        <f t="shared" si="19"/>
        <v>ㆵ</v>
      </c>
      <c r="AI57" s="333" t="str">
        <f t="shared" si="19"/>
        <v>ㆻ</v>
      </c>
      <c r="AJ57" s="333" t="str">
        <f t="shared" si="19"/>
        <v>ㆻ</v>
      </c>
      <c r="AK57" s="333" t="str">
        <f t="shared" si="19"/>
        <v>ㄞ</v>
      </c>
      <c r="AL57" s="333" t="str">
        <f t="shared" si="19"/>
        <v>ㄠ</v>
      </c>
      <c r="AM57" s="333" t="str">
        <f t="shared" si="19"/>
        <v>ㆰ</v>
      </c>
      <c r="AN57" s="333" t="str">
        <f t="shared" si="19"/>
        <v>ㄢ</v>
      </c>
      <c r="AO57" s="333" t="str">
        <f t="shared" si="19"/>
        <v>ㄤ</v>
      </c>
      <c r="AP57" s="333" t="str">
        <f t="shared" si="19"/>
        <v>ㆱ</v>
      </c>
      <c r="AQ57" s="333" t="str">
        <f t="shared" si="19"/>
        <v>ㆲ</v>
      </c>
      <c r="AR57" s="333" t="str">
        <f t="shared" si="19"/>
        <v>˙</v>
      </c>
      <c r="AS57" s="333" t="str">
        <f t="shared" si="19"/>
        <v>˫</v>
      </c>
      <c r="AT57" s="333" t="str">
        <f t="shared" si="19"/>
        <v>˪</v>
      </c>
      <c r="AU57" s="333" t="str">
        <f t="shared" si="19"/>
        <v>ˋ</v>
      </c>
      <c r="AV57" s="333" t="str">
        <f t="shared" si="19"/>
        <v>ˊ</v>
      </c>
      <c r="AW57" s="333" t="str">
        <f t="shared" si="19"/>
        <v/>
      </c>
      <c r="AX57" s="333" t="str">
        <f t="shared" si="19"/>
        <v/>
      </c>
      <c r="AY57" s="333" t="str">
        <f t="shared" si="19"/>
        <v/>
      </c>
      <c r="AZ57" s="333" t="str">
        <f t="shared" si="19"/>
        <v/>
      </c>
      <c r="BA57" s="333" t="str">
        <f t="shared" si="19"/>
        <v/>
      </c>
      <c r="BB57" s="333" t="str">
        <f t="shared" si="19"/>
        <v/>
      </c>
      <c r="BC57" s="333" t="str">
        <f t="shared" ref="BC57:BF57" si="20" xml:space="preserve"> MID($E$42,BC$45,1)</f>
        <v/>
      </c>
      <c r="BD57" s="333" t="str">
        <f t="shared" si="20"/>
        <v/>
      </c>
      <c r="BE57" s="333" t="str">
        <f t="shared" si="20"/>
        <v/>
      </c>
      <c r="BF57" s="333" t="str">
        <f t="shared" si="20"/>
        <v/>
      </c>
      <c r="BG57" s="83"/>
      <c r="BH57" s="83"/>
      <c r="BI57" s="83"/>
      <c r="BJ57" s="83"/>
      <c r="BK57" s="83"/>
      <c r="BL57" s="83"/>
      <c r="BM57" s="447" t="str" cm="1">
        <f t="array" ref="BM57">INDEX($D$18:$BH$18, 1, $BO57)</f>
        <v>ˋ</v>
      </c>
      <c r="BN57" s="447" cm="1">
        <f t="array" aca="1" ref="BN57" ca="1">INDIRECT(ADDRESS(17, COLUMN($D$18) + $BO57 - 1))</f>
        <v>4</v>
      </c>
      <c r="BO57" s="39">
        <f t="shared" si="0"/>
        <v>53</v>
      </c>
      <c r="BP57" s="354" t="str">
        <v>ˋ</v>
      </c>
      <c r="BQ57" s="355" t="str">
        <f xml:space="preserve"> _xlfn.XLOOKUP(BP57, 按鍵設計表[注音符號], 按鍵設計表[聲韻調], "")</f>
        <v>調</v>
      </c>
      <c r="BR57" s="347">
        <v>4</v>
      </c>
      <c r="BS57" s="348" t="str">
        <v>2</v>
      </c>
      <c r="BT57" s="349">
        <v>2</v>
      </c>
      <c r="BU57" s="356">
        <f t="shared" si="1"/>
        <v>1</v>
      </c>
      <c r="BW57" s="146" t="str">
        <f t="shared" si="8"/>
        <v xml:space="preserve">    "4": { commit: "ˋ" }  # /2/ ==&gt; 2</v>
      </c>
      <c r="BY57" s="39">
        <f t="shared" si="2"/>
        <v>53</v>
      </c>
      <c r="CI57" s="39">
        <f t="shared" si="4"/>
        <v>53</v>
      </c>
    </row>
    <row r="58" spans="2:105" ht="45" customHeight="1"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3"/>
      <c r="AW58" s="83"/>
      <c r="AX58" s="83"/>
      <c r="AY58" s="83"/>
      <c r="AZ58" s="83" t="str">
        <f xml:space="preserve"> MID($E$52,AZ$55,1)</f>
        <v/>
      </c>
      <c r="BA58" s="83"/>
      <c r="BB58" s="83"/>
      <c r="BC58" s="83"/>
      <c r="BD58" s="83"/>
      <c r="BE58" s="83"/>
      <c r="BF58" s="83"/>
      <c r="BG58" s="83"/>
      <c r="BH58" s="83"/>
      <c r="BI58" s="83"/>
      <c r="BJ58" s="83"/>
      <c r="BK58" s="83"/>
      <c r="BL58" s="83"/>
      <c r="BM58" s="447" t="str" cm="1">
        <f t="array" ref="BM58">INDEX($D$18:$BH$18, 1, $BO58)</f>
        <v>ˊ</v>
      </c>
      <c r="BN58" s="447" cm="1">
        <f t="array" aca="1" ref="BN58" ca="1">INDIRECT(ADDRESS(17, COLUMN($D$18) + $BO58 - 1))</f>
        <v>6</v>
      </c>
      <c r="BO58" s="39">
        <f t="shared" si="0"/>
        <v>54</v>
      </c>
      <c r="BP58" s="354" t="str">
        <v>ˊ</v>
      </c>
      <c r="BQ58" s="355" t="str">
        <f xml:space="preserve"> _xlfn.XLOOKUP(BP58, 按鍵設計表[注音符號], 按鍵設計表[聲韻調], "")</f>
        <v>調</v>
      </c>
      <c r="BR58" s="347">
        <v>6</v>
      </c>
      <c r="BS58" s="348" t="str">
        <v>5</v>
      </c>
      <c r="BT58" s="349">
        <v>5</v>
      </c>
      <c r="BU58" s="356">
        <f t="shared" si="1"/>
        <v>1</v>
      </c>
      <c r="BW58" s="146" t="str">
        <f t="shared" si="8"/>
        <v xml:space="preserve">    "6": { commit: "ˊ" }  # /5/ ==&gt; 5</v>
      </c>
      <c r="BY58" s="39">
        <f t="shared" si="2"/>
        <v>54</v>
      </c>
      <c r="CI58" s="39">
        <f t="shared" si="4"/>
        <v>54</v>
      </c>
    </row>
    <row r="59" spans="2:105" ht="38.1" customHeight="1">
      <c r="AK59" s="83"/>
      <c r="AL59" s="83"/>
      <c r="AM59" s="83"/>
      <c r="AN59" s="83"/>
      <c r="AO59" s="83"/>
      <c r="AP59" s="83"/>
      <c r="AQ59" s="83"/>
      <c r="AR59" s="83"/>
      <c r="AS59" s="83"/>
      <c r="AT59" s="83"/>
      <c r="AU59" s="83"/>
      <c r="AV59" s="83"/>
      <c r="AW59" s="83"/>
      <c r="AX59" s="83"/>
      <c r="AY59" s="83"/>
      <c r="AZ59" s="83"/>
      <c r="BA59" s="83"/>
      <c r="BB59" s="83"/>
      <c r="BC59" s="83"/>
      <c r="BD59" s="83"/>
      <c r="BE59" s="83"/>
      <c r="BF59" s="83"/>
      <c r="BG59" s="83"/>
      <c r="BH59" s="83"/>
      <c r="BI59" s="83"/>
      <c r="BJ59" s="83"/>
      <c r="BK59" s="83"/>
      <c r="BL59" s="83"/>
      <c r="BM59" s="447" t="str" cm="1">
        <f t="array" ref="BM59">INDEX($D$18:$BH$18, 1, $BO59)</f>
        <v>ㄥ</v>
      </c>
      <c r="BN59" s="447" t="str" cm="1">
        <f t="array" aca="1" ref="BN59" ca="1">INDIRECT(ADDRESS(17, COLUMN($D$18) + $BO59 - 1))</f>
        <v>N</v>
      </c>
      <c r="BO59" s="39">
        <f t="shared" si="0"/>
        <v>55</v>
      </c>
      <c r="BP59" s="354" t="str">
        <v>ㄥ</v>
      </c>
      <c r="BQ59" s="355" t="str">
        <f xml:space="preserve"> _xlfn.XLOOKUP(BP59, 按鍵設計表[注音符號], 按鍵設計表[聲韻調], "")</f>
        <v/>
      </c>
      <c r="BR59" s="347" t="str">
        <v>N</v>
      </c>
      <c r="BS59" s="348" t="str">
        <v>*</v>
      </c>
      <c r="BT59" s="349">
        <v>0</v>
      </c>
      <c r="BU59" s="356">
        <f t="shared" ref="BU59:BU60" si="21" xml:space="preserve"> LEN(BT59)</f>
        <v>1</v>
      </c>
      <c r="BW59" s="146" t="str">
        <f t="shared" si="8"/>
        <v xml:space="preserve">    "N": { commit: "ㄥ" }  # /0/ ==&gt; *</v>
      </c>
      <c r="BY59" s="39">
        <f t="shared" si="2"/>
        <v>55</v>
      </c>
      <c r="CI59" s="39">
        <f t="shared" si="4"/>
        <v>55</v>
      </c>
    </row>
    <row r="60" spans="2:105" ht="38.1" customHeight="1"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3"/>
      <c r="AV60" s="83"/>
      <c r="AW60" s="83"/>
      <c r="AX60" s="83"/>
      <c r="AY60" s="83"/>
      <c r="AZ60" s="83"/>
      <c r="BA60" s="83"/>
      <c r="BB60" s="83"/>
      <c r="BC60" s="83"/>
      <c r="BD60" s="83"/>
      <c r="BE60" s="83"/>
      <c r="BF60" s="83"/>
      <c r="BG60" s="83"/>
      <c r="BH60" s="83"/>
      <c r="BI60" s="83"/>
      <c r="BJ60" s="83"/>
      <c r="BK60" s="83"/>
      <c r="BL60" s="83"/>
      <c r="BM60" s="447" t="str" cm="1">
        <f t="array" ref="BM60">INDEX($D$18:$BH$18, 1, $BO60)</f>
        <v>入</v>
      </c>
      <c r="BN60" s="447" t="str" cm="1">
        <f t="array" aca="1" ref="BN60" ca="1">INDIRECT(ADDRESS(17, COLUMN($D$18) + $BO60 - 1))</f>
        <v>.</v>
      </c>
      <c r="BO60" s="39">
        <f t="shared" si="0"/>
        <v>56</v>
      </c>
      <c r="BP60" s="354" t="str">
        <v>入</v>
      </c>
      <c r="BQ60" s="355" t="str">
        <f xml:space="preserve"> _xlfn.XLOOKUP(BP60, 按鍵設計表[注音符號], 按鍵設計表[聲韻調], "")</f>
        <v/>
      </c>
      <c r="BR60" s="347" t="str">
        <v>.</v>
      </c>
      <c r="BS60" s="348" t="str">
        <v>&amp;</v>
      </c>
      <c r="BT60" s="349">
        <v>0</v>
      </c>
      <c r="BU60" s="356">
        <f t="shared" si="21"/>
        <v>1</v>
      </c>
      <c r="BW60" s="146" t="str">
        <f t="shared" si="8"/>
        <v xml:space="preserve">    ".": { commit: "入" }  # /0/ ==&gt; &amp;</v>
      </c>
      <c r="BY60" s="39">
        <f t="shared" si="2"/>
        <v>56</v>
      </c>
      <c r="CI60" s="39">
        <f t="shared" si="4"/>
        <v>56</v>
      </c>
    </row>
    <row r="61" spans="2:105" ht="45.75"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83"/>
      <c r="AW61" s="83"/>
      <c r="AX61" s="83"/>
      <c r="AY61" s="83"/>
      <c r="AZ61" s="83"/>
      <c r="BA61" s="83"/>
      <c r="BB61" s="83"/>
      <c r="BC61" s="83"/>
      <c r="BD61" s="83"/>
      <c r="BE61" s="83"/>
      <c r="BF61" s="83"/>
      <c r="BG61" s="83"/>
      <c r="BH61" s="83"/>
      <c r="BI61" s="83"/>
      <c r="BJ61" s="83"/>
      <c r="BK61" s="83"/>
      <c r="BL61" s="83"/>
      <c r="BM61" s="447" t="str" cm="1">
        <f t="array" ref="BM61">INDEX($D$18:$BH$18, 1, $BO61)</f>
        <v>ñ</v>
      </c>
      <c r="BN61" s="447" t="str" cm="1">
        <f t="array" aca="1" ref="BN61" ca="1">INDIRECT(ADDRESS(17, COLUMN($D$18) + $BO61 - 1))</f>
        <v>-</v>
      </c>
      <c r="BO61" s="39">
        <f t="shared" si="0"/>
        <v>57</v>
      </c>
      <c r="BP61" s="357" t="str">
        <v>ñ</v>
      </c>
      <c r="BQ61" s="355" t="str">
        <f xml:space="preserve"> _xlfn.XLOOKUP(BP61, 按鍵設計表[注音符號], 按鍵設計表[聲韻調], "")</f>
        <v/>
      </c>
      <c r="BR61" s="307" t="str">
        <v>-</v>
      </c>
      <c r="BS61" s="7">
        <v>0</v>
      </c>
      <c r="BT61" s="8">
        <v>0</v>
      </c>
      <c r="BU61" s="308">
        <f t="shared" ref="BU61" si="22" xml:space="preserve"> LEN(BT61)</f>
        <v>1</v>
      </c>
      <c r="BW61" s="146" t="str">
        <f t="shared" si="8"/>
        <v xml:space="preserve">    "-": { commit: "ñ" }  # /0/ ==&gt; 0</v>
      </c>
      <c r="BY61" s="39">
        <f t="shared" si="2"/>
        <v>57</v>
      </c>
      <c r="CI61" s="39">
        <f t="shared" si="4"/>
        <v>57</v>
      </c>
    </row>
    <row r="62" spans="2:105"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3"/>
      <c r="AV62" s="83"/>
      <c r="AW62" s="83"/>
      <c r="AX62" s="83"/>
      <c r="AY62" s="83"/>
      <c r="AZ62" s="83"/>
      <c r="BA62" s="83"/>
      <c r="BB62" s="83"/>
      <c r="BC62" s="83"/>
      <c r="BD62" s="83"/>
      <c r="BE62" s="83"/>
      <c r="BF62" s="83"/>
      <c r="BG62" s="83"/>
      <c r="BH62" s="83"/>
      <c r="BI62" s="83"/>
      <c r="BJ62" s="83"/>
      <c r="BK62" s="83"/>
      <c r="BL62" s="83"/>
      <c r="BM62" s="83"/>
    </row>
    <row r="63" spans="2:105"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83"/>
      <c r="AW63" s="83"/>
      <c r="AX63" s="83"/>
      <c r="AY63" s="83"/>
      <c r="AZ63" s="83"/>
      <c r="BA63" s="83"/>
      <c r="BB63" s="83"/>
      <c r="BC63" s="83"/>
      <c r="BD63" s="83"/>
      <c r="BE63" s="83"/>
      <c r="BF63" s="83"/>
      <c r="BG63" s="83"/>
      <c r="BH63" s="83"/>
      <c r="BI63" s="83"/>
      <c r="BJ63" s="83"/>
      <c r="BK63" s="83"/>
      <c r="BL63" s="83"/>
      <c r="BM63" s="83"/>
    </row>
    <row r="64" spans="2:105"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83"/>
      <c r="AX64" s="83"/>
      <c r="AY64" s="83"/>
      <c r="AZ64" s="83"/>
      <c r="BA64" s="83"/>
      <c r="BB64" s="83"/>
      <c r="BC64" s="83"/>
      <c r="BD64" s="83"/>
      <c r="BE64" s="83"/>
      <c r="BF64" s="83"/>
      <c r="BG64" s="83"/>
      <c r="BH64" s="83"/>
      <c r="BI64" s="83"/>
    </row>
    <row r="65" spans="2:61"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83"/>
      <c r="BG65" s="83"/>
      <c r="BH65" s="83"/>
      <c r="BI65" s="83"/>
    </row>
    <row r="66" spans="2:61"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3"/>
      <c r="AV66" s="83"/>
      <c r="AW66" s="83"/>
      <c r="AX66" s="83"/>
      <c r="AY66" s="83"/>
      <c r="AZ66" s="83"/>
      <c r="BA66" s="83"/>
      <c r="BB66" s="83"/>
      <c r="BC66" s="83"/>
      <c r="BD66" s="83"/>
      <c r="BE66" s="83"/>
      <c r="BF66" s="83"/>
      <c r="BG66" s="83"/>
      <c r="BH66" s="83"/>
      <c r="BI66" s="83"/>
    </row>
    <row r="67" spans="2:61"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83"/>
      <c r="AO67" s="83"/>
      <c r="AP67" s="83"/>
      <c r="AQ67" s="83"/>
      <c r="AR67" s="83"/>
      <c r="AS67" s="83"/>
      <c r="AT67" s="83"/>
      <c r="AU67" s="83"/>
      <c r="AV67" s="83"/>
      <c r="AW67" s="83"/>
      <c r="AX67" s="83"/>
      <c r="AY67" s="83"/>
      <c r="AZ67" s="83"/>
      <c r="BA67" s="83"/>
      <c r="BB67" s="83"/>
      <c r="BC67" s="83"/>
      <c r="BD67" s="83"/>
      <c r="BE67" s="83"/>
      <c r="BF67" s="83"/>
      <c r="BG67" s="83"/>
      <c r="BH67" s="83"/>
      <c r="BI67" s="83"/>
    </row>
    <row r="68" spans="2:61"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</row>
    <row r="69" spans="2:61"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3"/>
      <c r="BG69" s="83"/>
      <c r="BH69" s="83"/>
    </row>
    <row r="70" spans="2:61"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  <c r="AM70" s="83"/>
      <c r="AN70" s="83"/>
      <c r="AO70" s="83"/>
      <c r="AP70" s="83"/>
      <c r="AQ70" s="83"/>
      <c r="AR70" s="83"/>
      <c r="AS70" s="83"/>
      <c r="AT70" s="83"/>
      <c r="AU70" s="83"/>
      <c r="AV70" s="83"/>
      <c r="AW70" s="83"/>
      <c r="AX70" s="83"/>
      <c r="AY70" s="83"/>
      <c r="AZ70" s="83"/>
      <c r="BA70" s="83"/>
      <c r="BB70" s="83"/>
      <c r="BC70" s="83"/>
      <c r="BD70" s="83"/>
      <c r="BE70" s="83"/>
      <c r="BF70" s="83"/>
      <c r="BG70" s="83"/>
      <c r="BH70" s="83"/>
    </row>
    <row r="71" spans="2:61"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  <c r="AN71" s="83"/>
      <c r="AO71" s="83"/>
      <c r="AP71" s="83"/>
      <c r="AQ71" s="83"/>
      <c r="AR71" s="83"/>
      <c r="AS71" s="83"/>
      <c r="AT71" s="83"/>
      <c r="AU71" s="83"/>
      <c r="AV71" s="83"/>
      <c r="AW71" s="83"/>
      <c r="AX71" s="83"/>
      <c r="AY71" s="83"/>
      <c r="AZ71" s="83"/>
      <c r="BA71" s="83"/>
      <c r="BB71" s="83"/>
      <c r="BG71" s="83"/>
      <c r="BH71" s="83"/>
    </row>
    <row r="72" spans="2:61">
      <c r="AH72" s="83"/>
      <c r="AI72" s="83"/>
      <c r="AJ72" s="83"/>
      <c r="BG72" s="83"/>
      <c r="BH72" s="83"/>
    </row>
    <row r="73" spans="2:61">
      <c r="AH73" s="83"/>
      <c r="AI73" s="83"/>
      <c r="AJ73" s="83"/>
      <c r="BG73" s="83"/>
      <c r="BH73" s="83"/>
    </row>
    <row r="74" spans="2:61">
      <c r="AH74" s="83"/>
      <c r="AI74" s="83"/>
      <c r="AJ74" s="83"/>
      <c r="BG74" s="83"/>
      <c r="BH74" s="83"/>
    </row>
    <row r="75" spans="2:61">
      <c r="AH75" s="83"/>
      <c r="AI75" s="83"/>
      <c r="AJ75" s="83"/>
    </row>
  </sheetData>
  <sortState xmlns:xlrd2="http://schemas.microsoft.com/office/spreadsheetml/2017/richdata2" ref="CJ5:CO27">
    <sortCondition descending="1" ref="CO5:CO27"/>
  </sortState>
  <mergeCells count="2">
    <mergeCell ref="AC9:AD9"/>
    <mergeCell ref="Y6:Z6"/>
  </mergeCells>
  <phoneticPr fontId="7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9EFC5-1BCD-424C-8C41-3DD291B96C92}">
  <sheetPr>
    <tabColor rgb="FFFF0000"/>
  </sheetPr>
  <dimension ref="B1:AO73"/>
  <sheetViews>
    <sheetView workbookViewId="0"/>
  </sheetViews>
  <sheetFormatPr defaultRowHeight="21"/>
  <cols>
    <col min="1" max="1" width="1.8984375" style="177" customWidth="1"/>
    <col min="2" max="2" width="6.69921875" style="177" customWidth="1"/>
    <col min="4" max="4" width="10.296875" style="177" customWidth="1"/>
    <col min="5" max="6" width="8.59765625" style="177" customWidth="1"/>
    <col min="8" max="8" width="9.5" style="177" customWidth="1"/>
    <col min="9" max="9" width="43.69921875" style="177" customWidth="1"/>
    <col min="10" max="10" width="10.296875" style="177" customWidth="1"/>
    <col min="12" max="12" width="8.59765625" style="177" customWidth="1"/>
    <col min="15" max="15" width="40.8984375" style="177" customWidth="1"/>
    <col min="16" max="16" width="13.3984375" style="469" customWidth="1"/>
    <col min="17" max="17" width="8.796875" customWidth="1"/>
    <col min="18" max="18" width="23.59765625" customWidth="1"/>
    <col min="20" max="20" width="6.19921875" style="177" bestFit="1" customWidth="1"/>
    <col min="22" max="22" width="4.19921875" bestFit="1" customWidth="1"/>
    <col min="23" max="23" width="5.59765625" style="177" bestFit="1" customWidth="1"/>
    <col min="24" max="24" width="6.296875" style="211" customWidth="1"/>
    <col min="25" max="25" width="9" style="305" customWidth="1"/>
    <col min="26" max="26" width="19.19921875" style="211" customWidth="1"/>
    <col min="27" max="28" width="5.09765625" style="211" customWidth="1"/>
    <col min="29" max="35" width="7.59765625" style="211" customWidth="1"/>
    <col min="36" max="36" width="33.8984375" style="211" customWidth="1"/>
    <col min="37" max="37" width="39.09765625" style="211" customWidth="1"/>
    <col min="38" max="38" width="4.8984375" style="211" customWidth="1"/>
    <col min="39" max="39" width="6.19921875" style="177" bestFit="1" customWidth="1"/>
    <col min="40" max="43" width="11.09765625" style="177" bestFit="1" customWidth="1"/>
    <col min="44" max="46" width="6.3984375" style="177" customWidth="1"/>
    <col min="47" max="16384" width="8.796875" style="177"/>
  </cols>
  <sheetData>
    <row r="1" spans="2:41">
      <c r="C1" s="177"/>
      <c r="G1" s="177"/>
      <c r="K1" s="177"/>
      <c r="M1" s="177"/>
      <c r="N1" s="177"/>
      <c r="O1" s="211"/>
      <c r="P1" s="305"/>
      <c r="Q1" s="305"/>
      <c r="R1" s="211"/>
      <c r="S1" s="211"/>
      <c r="T1" s="211"/>
      <c r="U1" s="266" t="s">
        <v>8338</v>
      </c>
      <c r="V1" s="177"/>
      <c r="X1" s="177"/>
      <c r="Y1" s="177"/>
      <c r="Z1" s="177"/>
      <c r="AA1" s="177"/>
      <c r="AB1" s="177"/>
      <c r="AD1" s="177"/>
      <c r="AE1" s="177"/>
      <c r="AF1" s="177"/>
      <c r="AG1" s="177"/>
      <c r="AH1" s="177"/>
      <c r="AI1" s="177"/>
      <c r="AJ1" s="177"/>
      <c r="AK1" s="177"/>
      <c r="AL1" s="177"/>
    </row>
    <row r="2" spans="2:41">
      <c r="C2" s="177"/>
      <c r="G2" s="177"/>
      <c r="K2" s="177"/>
      <c r="M2" s="177"/>
      <c r="N2" s="177"/>
      <c r="O2" s="211"/>
      <c r="P2" s="305"/>
      <c r="Q2" s="305"/>
      <c r="R2" s="211"/>
      <c r="S2" s="211"/>
      <c r="T2" s="211"/>
      <c r="U2" s="267" t="e">
        <f>LEN(#REF!)&gt;0</f>
        <v>#REF!</v>
      </c>
      <c r="V2" s="177"/>
      <c r="X2" s="177"/>
      <c r="Y2" s="177"/>
      <c r="Z2" s="177"/>
      <c r="AA2" s="177"/>
      <c r="AB2" s="177"/>
      <c r="AD2" s="177"/>
      <c r="AE2" s="177"/>
      <c r="AF2" s="177"/>
      <c r="AG2" s="177"/>
      <c r="AH2" s="177"/>
      <c r="AI2" s="177"/>
      <c r="AJ2" s="177"/>
      <c r="AK2" s="177"/>
      <c r="AL2" s="177"/>
    </row>
    <row r="3" spans="2:41">
      <c r="C3" s="177"/>
      <c r="G3" s="177"/>
      <c r="K3" s="177"/>
      <c r="M3" s="177"/>
      <c r="N3" s="177"/>
      <c r="O3" s="211"/>
      <c r="P3" s="305"/>
      <c r="Q3" s="305"/>
      <c r="R3" s="211"/>
      <c r="S3" s="211"/>
      <c r="T3" s="211"/>
      <c r="U3" s="211"/>
      <c r="V3" s="211"/>
      <c r="W3" s="211"/>
      <c r="Y3" s="211"/>
      <c r="AD3" s="177"/>
      <c r="AE3" s="177"/>
      <c r="AF3" s="177"/>
      <c r="AG3" s="177"/>
      <c r="AH3" s="177"/>
      <c r="AI3" s="177"/>
      <c r="AJ3" s="177"/>
      <c r="AK3" s="177"/>
      <c r="AL3" s="177"/>
    </row>
    <row r="4" spans="2:41" ht="25.5">
      <c r="B4" s="386" t="s">
        <v>2</v>
      </c>
      <c r="C4" s="387" t="s">
        <v>1</v>
      </c>
      <c r="D4" s="386" t="s">
        <v>3</v>
      </c>
      <c r="E4" s="386" t="s">
        <v>225</v>
      </c>
      <c r="F4" s="386" t="s">
        <v>8486</v>
      </c>
      <c r="G4" s="386" t="s">
        <v>8396</v>
      </c>
      <c r="H4" s="386" t="s">
        <v>8569</v>
      </c>
      <c r="I4" s="388" t="s">
        <v>8221</v>
      </c>
      <c r="J4" s="386" t="s">
        <v>8220</v>
      </c>
      <c r="K4" s="386" t="s">
        <v>8514</v>
      </c>
      <c r="L4" s="386" t="s">
        <v>8515</v>
      </c>
      <c r="M4" s="386" t="s">
        <v>8382</v>
      </c>
      <c r="N4" s="386" t="s">
        <v>8341</v>
      </c>
      <c r="O4" s="386" t="s">
        <v>8614</v>
      </c>
      <c r="P4" s="306"/>
      <c r="Q4" s="306"/>
      <c r="R4" s="264"/>
      <c r="S4" s="264"/>
      <c r="T4" s="244" t="s">
        <v>2</v>
      </c>
      <c r="U4" s="243" t="s">
        <v>1</v>
      </c>
      <c r="V4" s="244" t="s">
        <v>3</v>
      </c>
      <c r="W4" s="243" t="s">
        <v>8217</v>
      </c>
      <c r="X4" s="244" t="s">
        <v>8220</v>
      </c>
      <c r="Y4" s="244" t="s">
        <v>8382</v>
      </c>
      <c r="Z4" s="244" t="s">
        <v>8361</v>
      </c>
      <c r="AA4" s="244" t="s">
        <v>8341</v>
      </c>
      <c r="AB4" s="256" t="s">
        <v>8221</v>
      </c>
      <c r="AC4" s="264"/>
      <c r="AD4" s="46" t="s">
        <v>2</v>
      </c>
      <c r="AE4" s="52" t="s">
        <v>204</v>
      </c>
      <c r="AF4" s="120" t="s">
        <v>518</v>
      </c>
      <c r="AG4" s="84" t="s">
        <v>224</v>
      </c>
      <c r="AH4" s="57" t="s">
        <v>329</v>
      </c>
      <c r="AI4" s="177"/>
      <c r="AJ4" s="261" t="s">
        <v>518</v>
      </c>
      <c r="AK4" s="262" t="s">
        <v>4</v>
      </c>
      <c r="AL4" s="148" t="s">
        <v>214</v>
      </c>
      <c r="AM4" s="149" t="s">
        <v>3</v>
      </c>
      <c r="AN4" s="149" t="s">
        <v>508</v>
      </c>
      <c r="AO4" s="263" t="s">
        <v>225</v>
      </c>
    </row>
    <row r="5" spans="2:41" ht="43.5">
      <c r="B5" s="383">
        <f t="shared" ref="B5:B61" si="0" xml:space="preserve"> ROW() - 4</f>
        <v>1</v>
      </c>
      <c r="C5" s="384" t="s">
        <v>226</v>
      </c>
      <c r="D5" s="381" t="s">
        <v>9</v>
      </c>
      <c r="E5" s="381" t="s">
        <v>123</v>
      </c>
      <c r="F5" s="417" t="s">
        <v>123</v>
      </c>
      <c r="G5" s="381" t="s">
        <v>4262</v>
      </c>
      <c r="H5" s="427" t="s">
        <v>1256</v>
      </c>
      <c r="I5" s="382"/>
      <c r="J5" s="381" t="s">
        <v>509</v>
      </c>
      <c r="K5" s="381" t="s">
        <v>123</v>
      </c>
      <c r="L5" s="381" t="s">
        <v>123</v>
      </c>
      <c r="M5" s="381" t="s">
        <v>509</v>
      </c>
      <c r="N5" s="381" t="s">
        <v>2451</v>
      </c>
      <c r="O5" s="417" t="s">
        <v>123</v>
      </c>
      <c r="P5" s="306"/>
      <c r="Q5" s="306">
        <f>LEN(按鍵設計表2[[#This Row],[注音符號]])</f>
        <v>1</v>
      </c>
      <c r="R5" s="264"/>
      <c r="S5" s="265">
        <f t="shared" ref="S5:S61" si="1">ROW() - 4</f>
        <v>1</v>
      </c>
      <c r="T5" s="248">
        <f xml:space="preserve"> ROW() - 4</f>
        <v>1</v>
      </c>
      <c r="U5" s="179" t="s">
        <v>213</v>
      </c>
      <c r="V5" s="224" t="s">
        <v>5</v>
      </c>
      <c r="W5" s="318" t="s">
        <v>6</v>
      </c>
      <c r="X5" s="224" t="s">
        <v>123</v>
      </c>
      <c r="Y5" s="224" t="s">
        <v>123</v>
      </c>
      <c r="Z5" s="224" t="s">
        <v>134</v>
      </c>
      <c r="AA5" s="224" t="s">
        <v>8342</v>
      </c>
      <c r="AB5" s="293" t="s">
        <v>8352</v>
      </c>
      <c r="AC5" s="265"/>
      <c r="AD5" s="48">
        <v>1</v>
      </c>
      <c r="AE5" s="54" t="s">
        <v>213</v>
      </c>
      <c r="AF5" s="56" t="s">
        <v>123</v>
      </c>
      <c r="AG5" s="86" t="s">
        <v>5</v>
      </c>
      <c r="AH5" s="59" t="s">
        <v>123</v>
      </c>
      <c r="AI5" s="177"/>
      <c r="AJ5" s="251" t="s">
        <v>213</v>
      </c>
      <c r="AK5" s="252" t="str">
        <f xml:space="preserve"> CHAR(32)</f>
        <v xml:space="preserve"> </v>
      </c>
      <c r="AL5" s="112"/>
      <c r="AM5" s="111" t="s">
        <v>285</v>
      </c>
      <c r="AN5" s="111">
        <v>1</v>
      </c>
      <c r="AO5" s="253">
        <v>1</v>
      </c>
    </row>
    <row r="6" spans="2:41" ht="43.5">
      <c r="B6" s="383">
        <f xml:space="preserve"> ROW() - 4</f>
        <v>2</v>
      </c>
      <c r="C6" s="384" t="s">
        <v>213</v>
      </c>
      <c r="D6" s="381" t="s">
        <v>5</v>
      </c>
      <c r="E6" s="381" t="s">
        <v>134</v>
      </c>
      <c r="F6" s="417" t="s">
        <v>134</v>
      </c>
      <c r="G6" s="381" t="s">
        <v>2591</v>
      </c>
      <c r="H6" s="427" t="s">
        <v>2411</v>
      </c>
      <c r="I6" s="385" t="s">
        <v>8352</v>
      </c>
      <c r="J6" s="381" t="s">
        <v>123</v>
      </c>
      <c r="K6" s="381" t="s">
        <v>134</v>
      </c>
      <c r="L6" s="381" t="s">
        <v>134</v>
      </c>
      <c r="M6" s="381" t="s">
        <v>123</v>
      </c>
      <c r="N6" s="381" t="s">
        <v>2451</v>
      </c>
      <c r="O6" s="417" t="s">
        <v>134</v>
      </c>
      <c r="P6" s="306" t="b">
        <f xml:space="preserve"> ISBLANK(按鍵設計表2[[#This Row],[注音符號]])</f>
        <v>0</v>
      </c>
      <c r="Q6" s="306">
        <f>LEN(按鍵設計表2[[#This Row],[注音符號]])</f>
        <v>1</v>
      </c>
      <c r="R6" s="264"/>
      <c r="S6" s="265">
        <f t="shared" si="1"/>
        <v>2</v>
      </c>
      <c r="T6" s="249">
        <f t="shared" ref="T6:T61" si="2" xml:space="preserve"> ROW() - 4</f>
        <v>2</v>
      </c>
      <c r="U6" s="183" t="s">
        <v>226</v>
      </c>
      <c r="V6" s="226" t="s">
        <v>9</v>
      </c>
      <c r="W6" s="319" t="s">
        <v>10</v>
      </c>
      <c r="X6" s="226" t="s">
        <v>509</v>
      </c>
      <c r="Y6" s="226" t="s">
        <v>509</v>
      </c>
      <c r="Z6" s="226" t="s">
        <v>123</v>
      </c>
      <c r="AA6" s="226" t="s">
        <v>2451</v>
      </c>
      <c r="AB6" s="258"/>
      <c r="AC6" s="265"/>
      <c r="AD6" s="48">
        <v>2</v>
      </c>
      <c r="AE6" s="54" t="s">
        <v>228</v>
      </c>
      <c r="AF6" s="56" t="s">
        <v>97</v>
      </c>
      <c r="AG6" s="86" t="s">
        <v>8336</v>
      </c>
      <c r="AH6" s="59" t="s">
        <v>509</v>
      </c>
      <c r="AI6" s="177"/>
      <c r="AJ6" s="251" t="s">
        <v>206</v>
      </c>
      <c r="AK6" s="252" t="s">
        <v>125</v>
      </c>
      <c r="AL6" s="112"/>
      <c r="AM6" s="111" t="s">
        <v>72</v>
      </c>
      <c r="AN6" s="111">
        <v>2</v>
      </c>
      <c r="AO6" s="253">
        <v>2</v>
      </c>
    </row>
    <row r="7" spans="2:41" ht="43.5">
      <c r="B7" s="383">
        <f t="shared" si="0"/>
        <v>3</v>
      </c>
      <c r="C7" s="384" t="s">
        <v>209</v>
      </c>
      <c r="D7" s="381" t="s">
        <v>7</v>
      </c>
      <c r="E7" s="381" t="s">
        <v>227</v>
      </c>
      <c r="F7" s="417" t="s">
        <v>231</v>
      </c>
      <c r="G7" s="381" t="s">
        <v>6782</v>
      </c>
      <c r="H7" s="427" t="s">
        <v>5772</v>
      </c>
      <c r="I7" s="382"/>
      <c r="J7" s="381" t="s">
        <v>134</v>
      </c>
      <c r="K7" s="381" t="s">
        <v>227</v>
      </c>
      <c r="L7" s="381" t="s">
        <v>227</v>
      </c>
      <c r="M7" s="381" t="s">
        <v>134</v>
      </c>
      <c r="N7" s="381" t="s">
        <v>2451</v>
      </c>
      <c r="O7" s="417" t="s">
        <v>231</v>
      </c>
      <c r="P7" s="306"/>
      <c r="Q7" s="306">
        <f>LEN(按鍵設計表2[[#This Row],[注音符號]])</f>
        <v>1</v>
      </c>
      <c r="R7" s="264"/>
      <c r="S7" s="265">
        <f t="shared" si="1"/>
        <v>3</v>
      </c>
      <c r="T7" s="249">
        <f t="shared" si="2"/>
        <v>3</v>
      </c>
      <c r="U7" s="183" t="s">
        <v>209</v>
      </c>
      <c r="V7" s="226" t="s">
        <v>7</v>
      </c>
      <c r="W7" s="319" t="s">
        <v>212</v>
      </c>
      <c r="X7" s="226" t="s">
        <v>134</v>
      </c>
      <c r="Y7" s="226" t="s">
        <v>134</v>
      </c>
      <c r="Z7" s="226" t="s">
        <v>227</v>
      </c>
      <c r="AA7" s="226" t="s">
        <v>2451</v>
      </c>
      <c r="AB7" s="258"/>
      <c r="AC7" s="265"/>
      <c r="AD7" s="48">
        <v>3</v>
      </c>
      <c r="AE7" s="54" t="s">
        <v>209</v>
      </c>
      <c r="AF7" s="56" t="s">
        <v>134</v>
      </c>
      <c r="AG7" s="86" t="s">
        <v>7</v>
      </c>
      <c r="AH7" s="59" t="s">
        <v>134</v>
      </c>
      <c r="AI7" s="177"/>
      <c r="AJ7" s="251" t="s">
        <v>124</v>
      </c>
      <c r="AK7" s="252" t="s">
        <v>124</v>
      </c>
      <c r="AL7" s="112"/>
      <c r="AM7" s="111" t="s">
        <v>73</v>
      </c>
      <c r="AN7" s="111">
        <v>3</v>
      </c>
      <c r="AO7" s="253">
        <v>3</v>
      </c>
    </row>
    <row r="8" spans="2:41" ht="44.25" thickBot="1">
      <c r="B8" s="390">
        <f t="shared" si="0"/>
        <v>4</v>
      </c>
      <c r="C8" s="391" t="s">
        <v>208</v>
      </c>
      <c r="D8" s="392" t="s">
        <v>54</v>
      </c>
      <c r="E8" s="392" t="s">
        <v>96</v>
      </c>
      <c r="F8" s="418" t="s">
        <v>55</v>
      </c>
      <c r="G8" s="392" t="s">
        <v>4262</v>
      </c>
      <c r="H8" s="428" t="s">
        <v>756</v>
      </c>
      <c r="I8" s="393" t="s">
        <v>8349</v>
      </c>
      <c r="J8" s="392" t="s">
        <v>96</v>
      </c>
      <c r="K8" s="392" t="s">
        <v>96</v>
      </c>
      <c r="L8" s="392" t="s">
        <v>96</v>
      </c>
      <c r="M8" s="392" t="s">
        <v>8640</v>
      </c>
      <c r="N8" s="392" t="s">
        <v>2451</v>
      </c>
      <c r="O8" s="418" t="s">
        <v>123</v>
      </c>
      <c r="P8" s="306"/>
      <c r="Q8" s="306">
        <f>LEN(按鍵設計表2[[#This Row],[注音符號]])</f>
        <v>1</v>
      </c>
      <c r="R8" s="264"/>
      <c r="S8" s="265">
        <f t="shared" si="1"/>
        <v>4</v>
      </c>
      <c r="T8" s="250">
        <f t="shared" si="2"/>
        <v>4</v>
      </c>
      <c r="U8" s="246" t="s">
        <v>208</v>
      </c>
      <c r="V8" s="245" t="s">
        <v>54</v>
      </c>
      <c r="W8" s="320" t="s">
        <v>96</v>
      </c>
      <c r="X8" s="245" t="s">
        <v>96</v>
      </c>
      <c r="Y8" s="245" t="s">
        <v>8383</v>
      </c>
      <c r="Z8" s="245" t="s">
        <v>96</v>
      </c>
      <c r="AA8" s="245" t="s">
        <v>2451</v>
      </c>
      <c r="AB8" s="259" t="s">
        <v>8349</v>
      </c>
      <c r="AC8" s="265"/>
      <c r="AD8" s="48">
        <v>4</v>
      </c>
      <c r="AE8" s="54" t="s">
        <v>208</v>
      </c>
      <c r="AF8" s="56" t="s">
        <v>96</v>
      </c>
      <c r="AG8" s="86" t="s">
        <v>54</v>
      </c>
      <c r="AH8" s="59" t="s">
        <v>96</v>
      </c>
      <c r="AI8" s="177"/>
      <c r="AJ8" s="251" t="s">
        <v>111</v>
      </c>
      <c r="AK8" s="252" t="s">
        <v>114</v>
      </c>
      <c r="AL8" s="112"/>
      <c r="AM8" s="111" t="s">
        <v>74</v>
      </c>
      <c r="AN8" s="111">
        <v>5</v>
      </c>
      <c r="AO8" s="253">
        <v>5</v>
      </c>
    </row>
    <row r="9" spans="2:41" ht="43.5">
      <c r="B9" s="383">
        <f t="shared" si="0"/>
        <v>5</v>
      </c>
      <c r="C9" s="384" t="s">
        <v>30</v>
      </c>
      <c r="D9" s="381" t="s">
        <v>15</v>
      </c>
      <c r="E9" s="381" t="s">
        <v>16</v>
      </c>
      <c r="F9" s="417" t="s">
        <v>16</v>
      </c>
      <c r="G9" s="381" t="s">
        <v>4484</v>
      </c>
      <c r="H9" s="427" t="s">
        <v>4157</v>
      </c>
      <c r="I9" s="382" t="s">
        <v>8350</v>
      </c>
      <c r="J9" s="381" t="s">
        <v>16</v>
      </c>
      <c r="K9" s="381" t="s">
        <v>16</v>
      </c>
      <c r="L9" s="381" t="s">
        <v>16</v>
      </c>
      <c r="M9" s="381" t="s">
        <v>8641</v>
      </c>
      <c r="N9" s="381" t="s">
        <v>2451</v>
      </c>
      <c r="O9" s="417" t="s">
        <v>16</v>
      </c>
      <c r="P9" s="306"/>
      <c r="Q9" s="306">
        <f>LEN(按鍵設計表2[[#This Row],[注音符號]])</f>
        <v>1</v>
      </c>
      <c r="R9" s="264"/>
      <c r="S9" s="265">
        <f t="shared" si="1"/>
        <v>5</v>
      </c>
      <c r="T9" s="250">
        <f t="shared" si="2"/>
        <v>5</v>
      </c>
      <c r="U9" s="246" t="s">
        <v>216</v>
      </c>
      <c r="V9" s="245" t="s">
        <v>93</v>
      </c>
      <c r="W9" s="320" t="s">
        <v>328</v>
      </c>
      <c r="X9" s="245" t="s">
        <v>241</v>
      </c>
      <c r="Y9" s="245" t="s">
        <v>32</v>
      </c>
      <c r="Z9" s="245" t="s">
        <v>241</v>
      </c>
      <c r="AA9" s="245" t="s">
        <v>8347</v>
      </c>
      <c r="AB9" s="259" t="s">
        <v>8356</v>
      </c>
      <c r="AC9" s="265"/>
      <c r="AD9" s="48">
        <v>5</v>
      </c>
      <c r="AE9" s="54" t="s">
        <v>206</v>
      </c>
      <c r="AF9" s="56" t="s">
        <v>184</v>
      </c>
      <c r="AG9" s="86" t="s">
        <v>11</v>
      </c>
      <c r="AH9" s="59" t="s">
        <v>184</v>
      </c>
      <c r="AI9" s="177"/>
      <c r="AJ9" s="251" t="s">
        <v>108</v>
      </c>
      <c r="AK9" s="252" t="s">
        <v>111</v>
      </c>
      <c r="AL9" s="112"/>
      <c r="AM9" s="111" t="s">
        <v>75</v>
      </c>
      <c r="AN9" s="111">
        <v>7</v>
      </c>
      <c r="AO9" s="253">
        <v>7</v>
      </c>
    </row>
    <row r="10" spans="2:41" ht="43.5">
      <c r="B10" s="383">
        <f t="shared" si="0"/>
        <v>6</v>
      </c>
      <c r="C10" s="384" t="s">
        <v>206</v>
      </c>
      <c r="D10" s="381" t="s">
        <v>11</v>
      </c>
      <c r="E10" s="381" t="s">
        <v>12</v>
      </c>
      <c r="F10" s="417" t="s">
        <v>12</v>
      </c>
      <c r="G10" s="381" t="s">
        <v>3292</v>
      </c>
      <c r="H10" s="427" t="s">
        <v>6646</v>
      </c>
      <c r="I10" s="385" t="s">
        <v>8358</v>
      </c>
      <c r="J10" s="381" t="s">
        <v>184</v>
      </c>
      <c r="K10" s="381" t="s">
        <v>12</v>
      </c>
      <c r="L10" s="381" t="s">
        <v>12</v>
      </c>
      <c r="M10" s="381" t="s">
        <v>184</v>
      </c>
      <c r="N10" s="381" t="s">
        <v>2451</v>
      </c>
      <c r="O10" s="417" t="s">
        <v>12</v>
      </c>
      <c r="P10" s="306"/>
      <c r="Q10" s="306">
        <f>LEN(按鍵設計表2[[#This Row],[注音符號]])</f>
        <v>1</v>
      </c>
      <c r="R10" s="264"/>
      <c r="S10" s="265">
        <f t="shared" si="1"/>
        <v>6</v>
      </c>
      <c r="T10" s="248">
        <f t="shared" si="2"/>
        <v>6</v>
      </c>
      <c r="U10" s="179" t="s">
        <v>206</v>
      </c>
      <c r="V10" s="224" t="s">
        <v>11</v>
      </c>
      <c r="W10" s="318" t="s">
        <v>202</v>
      </c>
      <c r="X10" s="224" t="s">
        <v>184</v>
      </c>
      <c r="Y10" s="224" t="s">
        <v>194</v>
      </c>
      <c r="Z10" s="224" t="s">
        <v>12</v>
      </c>
      <c r="AA10" s="224" t="s">
        <v>2451</v>
      </c>
      <c r="AB10" s="293" t="s">
        <v>8358</v>
      </c>
      <c r="AC10" s="265"/>
      <c r="AD10" s="48">
        <v>6</v>
      </c>
      <c r="AE10" s="54" t="s">
        <v>203</v>
      </c>
      <c r="AF10" s="56" t="s">
        <v>12</v>
      </c>
      <c r="AG10" s="86" t="s">
        <v>13</v>
      </c>
      <c r="AH10" s="59" t="s">
        <v>12</v>
      </c>
      <c r="AI10" s="177"/>
      <c r="AJ10" s="251" t="s">
        <v>135</v>
      </c>
      <c r="AK10" s="252" t="s">
        <v>108</v>
      </c>
      <c r="AL10" s="112"/>
      <c r="AM10" s="111" t="s">
        <v>76</v>
      </c>
      <c r="AN10" s="111">
        <v>48</v>
      </c>
      <c r="AO10" s="253" t="s">
        <v>332</v>
      </c>
    </row>
    <row r="11" spans="2:41" ht="43.5">
      <c r="B11" s="383">
        <f t="shared" si="0"/>
        <v>7</v>
      </c>
      <c r="C11" s="384" t="s">
        <v>203</v>
      </c>
      <c r="D11" s="381" t="s">
        <v>13</v>
      </c>
      <c r="E11" s="381" t="s">
        <v>14</v>
      </c>
      <c r="F11" s="417" t="s">
        <v>234</v>
      </c>
      <c r="G11" s="381" t="s">
        <v>658</v>
      </c>
      <c r="H11" s="427" t="s">
        <v>1643</v>
      </c>
      <c r="I11" s="382"/>
      <c r="J11" s="381" t="s">
        <v>12</v>
      </c>
      <c r="K11" s="381" t="s">
        <v>14</v>
      </c>
      <c r="L11" s="381" t="s">
        <v>14</v>
      </c>
      <c r="M11" s="381" t="s">
        <v>12</v>
      </c>
      <c r="N11" s="381" t="s">
        <v>2451</v>
      </c>
      <c r="O11" s="417" t="s">
        <v>234</v>
      </c>
      <c r="P11" s="306"/>
      <c r="Q11" s="306">
        <f>LEN(按鍵設計表2[[#This Row],[注音符號]])</f>
        <v>1</v>
      </c>
      <c r="R11" s="264"/>
      <c r="S11" s="265">
        <f t="shared" si="1"/>
        <v>7</v>
      </c>
      <c r="T11" s="249">
        <f t="shared" si="2"/>
        <v>7</v>
      </c>
      <c r="U11" s="183" t="s">
        <v>203</v>
      </c>
      <c r="V11" s="226" t="s">
        <v>13</v>
      </c>
      <c r="W11" s="319" t="s">
        <v>200</v>
      </c>
      <c r="X11" s="226" t="s">
        <v>12</v>
      </c>
      <c r="Y11" s="226" t="s">
        <v>202</v>
      </c>
      <c r="Z11" s="226" t="s">
        <v>14</v>
      </c>
      <c r="AA11" s="226" t="s">
        <v>2451</v>
      </c>
      <c r="AB11" s="258"/>
      <c r="AC11" s="265"/>
      <c r="AD11" s="48">
        <v>7</v>
      </c>
      <c r="AE11" s="54" t="s">
        <v>201</v>
      </c>
      <c r="AF11" s="56" t="s">
        <v>16</v>
      </c>
      <c r="AG11" s="86" t="s">
        <v>15</v>
      </c>
      <c r="AH11" s="59" t="s">
        <v>16</v>
      </c>
      <c r="AI11" s="177"/>
      <c r="AJ11" s="251" t="s">
        <v>247</v>
      </c>
      <c r="AK11" s="252" t="s">
        <v>10</v>
      </c>
      <c r="AL11" s="254" t="s">
        <v>421</v>
      </c>
      <c r="AM11" s="111" t="s">
        <v>90</v>
      </c>
      <c r="AN11" s="111" t="s">
        <v>528</v>
      </c>
      <c r="AO11" s="255" t="s">
        <v>338</v>
      </c>
    </row>
    <row r="12" spans="2:41" ht="44.25" thickBot="1">
      <c r="B12" s="390">
        <f t="shared" si="0"/>
        <v>8</v>
      </c>
      <c r="C12" s="391" t="s">
        <v>237</v>
      </c>
      <c r="D12" s="392" t="s">
        <v>56</v>
      </c>
      <c r="E12" s="392" t="s">
        <v>57</v>
      </c>
      <c r="F12" s="418" t="s">
        <v>273</v>
      </c>
      <c r="G12" s="392" t="s">
        <v>4484</v>
      </c>
      <c r="H12" s="428" t="s">
        <v>963</v>
      </c>
      <c r="I12" s="393"/>
      <c r="J12" s="392" t="s">
        <v>57</v>
      </c>
      <c r="K12" s="392" t="s">
        <v>57</v>
      </c>
      <c r="L12" s="392" t="s">
        <v>57</v>
      </c>
      <c r="M12" s="392" t="s">
        <v>57</v>
      </c>
      <c r="N12" s="392" t="s">
        <v>2451</v>
      </c>
      <c r="O12" s="418" t="s">
        <v>16</v>
      </c>
      <c r="P12" s="306"/>
      <c r="Q12" s="306">
        <f>LEN(按鍵設計表2[[#This Row],[注音符號]])</f>
        <v>1</v>
      </c>
      <c r="R12" s="264"/>
      <c r="S12" s="265">
        <f t="shared" si="1"/>
        <v>8</v>
      </c>
      <c r="T12" s="250">
        <f t="shared" si="2"/>
        <v>8</v>
      </c>
      <c r="U12" s="246" t="s">
        <v>201</v>
      </c>
      <c r="V12" s="245" t="s">
        <v>15</v>
      </c>
      <c r="W12" s="320" t="s">
        <v>16</v>
      </c>
      <c r="X12" s="245" t="s">
        <v>16</v>
      </c>
      <c r="Y12" s="245" t="s">
        <v>8384</v>
      </c>
      <c r="Z12" s="245" t="s">
        <v>16</v>
      </c>
      <c r="AA12" s="245" t="s">
        <v>2451</v>
      </c>
      <c r="AB12" s="259" t="s">
        <v>8350</v>
      </c>
      <c r="AC12" s="265"/>
      <c r="AD12" s="48">
        <v>8</v>
      </c>
      <c r="AE12" s="54" t="s">
        <v>197</v>
      </c>
      <c r="AF12" s="56" t="s">
        <v>57</v>
      </c>
      <c r="AG12" s="86" t="s">
        <v>56</v>
      </c>
      <c r="AH12" s="59" t="s">
        <v>57</v>
      </c>
      <c r="AI12" s="177"/>
      <c r="AJ12" s="251" t="s">
        <v>249</v>
      </c>
      <c r="AK12" s="252" t="s">
        <v>202</v>
      </c>
      <c r="AL12" s="254" t="s">
        <v>422</v>
      </c>
      <c r="AM12" s="111" t="s">
        <v>91</v>
      </c>
      <c r="AN12" s="111" t="s">
        <v>530</v>
      </c>
      <c r="AO12" s="255" t="s">
        <v>339</v>
      </c>
    </row>
    <row r="13" spans="2:41" ht="43.5">
      <c r="B13" s="383">
        <f t="shared" si="0"/>
        <v>9</v>
      </c>
      <c r="C13" s="384" t="s">
        <v>240</v>
      </c>
      <c r="D13" s="381" t="s">
        <v>21</v>
      </c>
      <c r="E13" s="381" t="s">
        <v>119</v>
      </c>
      <c r="F13" s="417" t="s">
        <v>8423</v>
      </c>
      <c r="G13" s="381" t="s">
        <v>6736</v>
      </c>
      <c r="H13" s="427" t="s">
        <v>6620</v>
      </c>
      <c r="I13" s="382"/>
      <c r="J13" s="381" t="s">
        <v>511</v>
      </c>
      <c r="K13" s="381" t="s">
        <v>119</v>
      </c>
      <c r="L13" s="381" t="s">
        <v>119</v>
      </c>
      <c r="M13" s="381" t="s">
        <v>511</v>
      </c>
      <c r="N13" s="381" t="s">
        <v>2451</v>
      </c>
      <c r="O13" s="417" t="s">
        <v>119</v>
      </c>
      <c r="P13" s="306"/>
      <c r="Q13" s="306">
        <f>LEN(按鍵設計表2[[#This Row],[注音符號]])</f>
        <v>1</v>
      </c>
      <c r="R13" s="264"/>
      <c r="S13" s="265">
        <f t="shared" si="1"/>
        <v>9</v>
      </c>
      <c r="T13" s="250">
        <f t="shared" si="2"/>
        <v>9</v>
      </c>
      <c r="U13" s="246" t="s">
        <v>237</v>
      </c>
      <c r="V13" s="245" t="s">
        <v>56</v>
      </c>
      <c r="W13" s="320" t="s">
        <v>57</v>
      </c>
      <c r="X13" s="245" t="s">
        <v>57</v>
      </c>
      <c r="Y13" s="245" t="s">
        <v>273</v>
      </c>
      <c r="Z13" s="245" t="s">
        <v>57</v>
      </c>
      <c r="AA13" s="245" t="s">
        <v>2451</v>
      </c>
      <c r="AB13" s="259"/>
      <c r="AC13" s="265"/>
      <c r="AD13" s="48">
        <v>9</v>
      </c>
      <c r="AE13" s="54" t="s">
        <v>195</v>
      </c>
      <c r="AF13" s="56" t="s">
        <v>119</v>
      </c>
      <c r="AG13" s="86" t="s">
        <v>17</v>
      </c>
      <c r="AH13" s="59" t="s">
        <v>119</v>
      </c>
      <c r="AI13" s="177"/>
      <c r="AJ13" s="251" t="s">
        <v>253</v>
      </c>
      <c r="AK13" s="252" t="s">
        <v>22</v>
      </c>
      <c r="AL13" s="254" t="s">
        <v>423</v>
      </c>
      <c r="AM13" s="111" t="s">
        <v>92</v>
      </c>
      <c r="AN13" s="111" t="s">
        <v>529</v>
      </c>
      <c r="AO13" s="255" t="s">
        <v>340</v>
      </c>
    </row>
    <row r="14" spans="2:41" ht="43.5">
      <c r="B14" s="383">
        <f t="shared" si="0"/>
        <v>10</v>
      </c>
      <c r="C14" s="384" t="s">
        <v>195</v>
      </c>
      <c r="D14" s="381" t="s">
        <v>17</v>
      </c>
      <c r="E14" s="381" t="s">
        <v>18</v>
      </c>
      <c r="F14" s="417" t="s">
        <v>18</v>
      </c>
      <c r="G14" s="381" t="s">
        <v>3725</v>
      </c>
      <c r="H14" s="427" t="s">
        <v>3791</v>
      </c>
      <c r="I14" s="385" t="s">
        <v>8357</v>
      </c>
      <c r="J14" s="381" t="s">
        <v>119</v>
      </c>
      <c r="K14" s="381" t="s">
        <v>18</v>
      </c>
      <c r="L14" s="381" t="s">
        <v>18</v>
      </c>
      <c r="M14" s="381" t="s">
        <v>119</v>
      </c>
      <c r="N14" s="381" t="s">
        <v>2451</v>
      </c>
      <c r="O14" s="417" t="s">
        <v>18</v>
      </c>
      <c r="P14" s="306"/>
      <c r="Q14" s="306">
        <f>LEN(按鍵設計表2[[#This Row],[注音符號]])</f>
        <v>1</v>
      </c>
      <c r="R14" s="264"/>
      <c r="S14" s="265">
        <f t="shared" si="1"/>
        <v>10</v>
      </c>
      <c r="T14" s="248">
        <f t="shared" si="2"/>
        <v>10</v>
      </c>
      <c r="U14" s="179">
        <v>3</v>
      </c>
      <c r="V14" s="224" t="s">
        <v>73</v>
      </c>
      <c r="W14" s="318" t="s">
        <v>124</v>
      </c>
      <c r="X14" s="224">
        <v>3</v>
      </c>
      <c r="Y14" s="224">
        <v>5</v>
      </c>
      <c r="Z14" s="224">
        <v>3</v>
      </c>
      <c r="AA14" s="224" t="s">
        <v>8343</v>
      </c>
      <c r="AB14" s="257"/>
      <c r="AC14" s="265"/>
      <c r="AD14" s="48">
        <v>10</v>
      </c>
      <c r="AE14" s="54" t="s">
        <v>191</v>
      </c>
      <c r="AF14" s="56" t="s">
        <v>95</v>
      </c>
      <c r="AG14" s="86" t="s">
        <v>21</v>
      </c>
      <c r="AH14" s="59" t="s">
        <v>511</v>
      </c>
      <c r="AI14" s="177"/>
      <c r="AJ14" s="251" t="s">
        <v>169</v>
      </c>
      <c r="AK14" s="252" t="s">
        <v>169</v>
      </c>
      <c r="AL14" s="254" t="s">
        <v>424</v>
      </c>
      <c r="AM14" s="111" t="s">
        <v>344</v>
      </c>
      <c r="AN14" s="111" t="s">
        <v>531</v>
      </c>
      <c r="AO14" s="255" t="s">
        <v>341</v>
      </c>
    </row>
    <row r="15" spans="2:41" ht="43.5">
      <c r="B15" s="383">
        <f t="shared" si="0"/>
        <v>11</v>
      </c>
      <c r="C15" s="384" t="s">
        <v>194</v>
      </c>
      <c r="D15" s="381" t="s">
        <v>19</v>
      </c>
      <c r="E15" s="381" t="s">
        <v>239</v>
      </c>
      <c r="F15" s="417" t="s">
        <v>242</v>
      </c>
      <c r="G15" s="381" t="s">
        <v>4913</v>
      </c>
      <c r="H15" s="427" t="s">
        <v>6222</v>
      </c>
      <c r="I15" s="382"/>
      <c r="J15" s="381" t="s">
        <v>18</v>
      </c>
      <c r="K15" s="381" t="s">
        <v>239</v>
      </c>
      <c r="L15" s="381" t="s">
        <v>239</v>
      </c>
      <c r="M15" s="381" t="s">
        <v>18</v>
      </c>
      <c r="N15" s="381" t="s">
        <v>2451</v>
      </c>
      <c r="O15" s="417" t="s">
        <v>242</v>
      </c>
      <c r="P15" s="306"/>
      <c r="Q15" s="306">
        <f>LEN(按鍵設計表2[[#This Row],[注音符號]])</f>
        <v>1</v>
      </c>
      <c r="R15" s="264"/>
      <c r="S15" s="265">
        <f t="shared" si="1"/>
        <v>11</v>
      </c>
      <c r="T15" s="249">
        <f t="shared" si="2"/>
        <v>11</v>
      </c>
      <c r="U15" s="183" t="s">
        <v>195</v>
      </c>
      <c r="V15" s="226" t="s">
        <v>17</v>
      </c>
      <c r="W15" s="319" t="s">
        <v>190</v>
      </c>
      <c r="X15" s="226" t="s">
        <v>119</v>
      </c>
      <c r="Y15" s="226" t="s">
        <v>22</v>
      </c>
      <c r="Z15" s="226" t="s">
        <v>18</v>
      </c>
      <c r="AA15" s="226" t="s">
        <v>2451</v>
      </c>
      <c r="AB15" s="258" t="s">
        <v>8357</v>
      </c>
      <c r="AC15" s="265"/>
      <c r="AD15" s="48">
        <v>11</v>
      </c>
      <c r="AE15" s="54" t="s">
        <v>184</v>
      </c>
      <c r="AF15" s="56" t="s">
        <v>18</v>
      </c>
      <c r="AG15" s="86" t="s">
        <v>19</v>
      </c>
      <c r="AH15" s="59" t="s">
        <v>18</v>
      </c>
      <c r="AI15" s="177"/>
      <c r="AJ15" s="177"/>
      <c r="AK15" s="177"/>
      <c r="AL15" s="177"/>
    </row>
    <row r="16" spans="2:41" ht="44.25" thickBot="1">
      <c r="B16" s="390">
        <f t="shared" si="0"/>
        <v>12</v>
      </c>
      <c r="C16" s="391" t="s">
        <v>8625</v>
      </c>
      <c r="D16" s="392" t="s">
        <v>58</v>
      </c>
      <c r="E16" s="392" t="s">
        <v>94</v>
      </c>
      <c r="F16" s="418" t="s">
        <v>119</v>
      </c>
      <c r="G16" s="392" t="s">
        <v>6736</v>
      </c>
      <c r="H16" s="428" t="s">
        <v>3537</v>
      </c>
      <c r="I16" s="393" t="s">
        <v>8607</v>
      </c>
      <c r="J16" s="392" t="s">
        <v>94</v>
      </c>
      <c r="K16" s="392" t="s">
        <v>94</v>
      </c>
      <c r="L16" s="392" t="s">
        <v>94</v>
      </c>
      <c r="M16" s="392" t="s">
        <v>8642</v>
      </c>
      <c r="N16" s="392" t="s">
        <v>2451</v>
      </c>
      <c r="O16" s="418" t="s">
        <v>119</v>
      </c>
      <c r="P16" s="306"/>
      <c r="Q16" s="306">
        <f>LEN(按鍵設計表2[[#This Row],[注音符號]])</f>
        <v>1</v>
      </c>
      <c r="R16" s="264"/>
      <c r="S16" s="265">
        <f t="shared" si="1"/>
        <v>12</v>
      </c>
      <c r="T16" s="250">
        <f t="shared" si="2"/>
        <v>12</v>
      </c>
      <c r="U16" s="246" t="s">
        <v>240</v>
      </c>
      <c r="V16" s="245" t="s">
        <v>21</v>
      </c>
      <c r="W16" s="320" t="s">
        <v>22</v>
      </c>
      <c r="X16" s="245" t="s">
        <v>511</v>
      </c>
      <c r="Y16" s="245" t="s">
        <v>512</v>
      </c>
      <c r="Z16" s="245" t="s">
        <v>119</v>
      </c>
      <c r="AA16" s="245" t="s">
        <v>2451</v>
      </c>
      <c r="AB16" s="259"/>
      <c r="AC16" s="265"/>
      <c r="AD16" s="48">
        <v>12</v>
      </c>
      <c r="AE16" s="54" t="s">
        <v>116</v>
      </c>
      <c r="AF16" s="56" t="s">
        <v>203</v>
      </c>
      <c r="AG16" s="86" t="s">
        <v>58</v>
      </c>
      <c r="AH16" s="59" t="s">
        <v>334</v>
      </c>
      <c r="AI16" s="177"/>
      <c r="AJ16" s="177"/>
      <c r="AK16" s="177"/>
      <c r="AL16" s="177"/>
    </row>
    <row r="17" spans="2:38" ht="43.5">
      <c r="B17" s="383">
        <f t="shared" si="0"/>
        <v>13</v>
      </c>
      <c r="C17" s="384" t="s">
        <v>222</v>
      </c>
      <c r="D17" s="381" t="s">
        <v>27</v>
      </c>
      <c r="E17" s="381" t="s">
        <v>150</v>
      </c>
      <c r="F17" s="417" t="s">
        <v>150</v>
      </c>
      <c r="G17" s="381" t="s">
        <v>2761</v>
      </c>
      <c r="H17" s="427" t="s">
        <v>6925</v>
      </c>
      <c r="I17" s="382"/>
      <c r="J17" s="381" t="s">
        <v>514</v>
      </c>
      <c r="K17" s="381" t="s">
        <v>150</v>
      </c>
      <c r="L17" s="381" t="s">
        <v>150</v>
      </c>
      <c r="M17" s="381" t="s">
        <v>514</v>
      </c>
      <c r="N17" s="381" t="s">
        <v>2451</v>
      </c>
      <c r="O17" s="417" t="s">
        <v>150</v>
      </c>
      <c r="P17" s="306"/>
      <c r="Q17" s="306">
        <f>LEN(按鍵設計表2[[#This Row],[注音符號]])</f>
        <v>1</v>
      </c>
      <c r="R17" s="264"/>
      <c r="S17" s="265">
        <f t="shared" si="1"/>
        <v>13</v>
      </c>
      <c r="T17" s="250">
        <f t="shared" si="2"/>
        <v>13</v>
      </c>
      <c r="U17" s="246" t="s">
        <v>194</v>
      </c>
      <c r="V17" s="245" t="s">
        <v>19</v>
      </c>
      <c r="W17" s="320" t="s">
        <v>187</v>
      </c>
      <c r="X17" s="245" t="s">
        <v>18</v>
      </c>
      <c r="Y17" s="245" t="s">
        <v>190</v>
      </c>
      <c r="Z17" s="245" t="s">
        <v>239</v>
      </c>
      <c r="AA17" s="245" t="s">
        <v>2451</v>
      </c>
      <c r="AB17" s="259"/>
      <c r="AC17" s="265"/>
      <c r="AD17" s="48">
        <v>13</v>
      </c>
      <c r="AE17" s="54" t="s">
        <v>180</v>
      </c>
      <c r="AF17" s="56" t="s">
        <v>241</v>
      </c>
      <c r="AG17" s="86" t="s">
        <v>31</v>
      </c>
      <c r="AH17" s="59" t="s">
        <v>241</v>
      </c>
      <c r="AI17" s="177"/>
      <c r="AJ17" s="177"/>
      <c r="AK17" s="177"/>
      <c r="AL17" s="177"/>
    </row>
    <row r="18" spans="2:38" ht="43.5">
      <c r="B18" s="383">
        <f t="shared" si="0"/>
        <v>14</v>
      </c>
      <c r="C18" s="384" t="s">
        <v>220</v>
      </c>
      <c r="D18" s="381" t="s">
        <v>23</v>
      </c>
      <c r="E18" s="381" t="s">
        <v>116</v>
      </c>
      <c r="F18" s="417" t="s">
        <v>116</v>
      </c>
      <c r="G18" s="381" t="s">
        <v>1726</v>
      </c>
      <c r="H18" s="427" t="s">
        <v>6371</v>
      </c>
      <c r="I18" s="385"/>
      <c r="J18" s="381" t="s">
        <v>116</v>
      </c>
      <c r="K18" s="381" t="s">
        <v>24</v>
      </c>
      <c r="L18" s="381" t="s">
        <v>260</v>
      </c>
      <c r="M18" s="381" t="s">
        <v>116</v>
      </c>
      <c r="N18" s="381" t="s">
        <v>2451</v>
      </c>
      <c r="O18" s="417" t="s">
        <v>116</v>
      </c>
      <c r="P18" s="306"/>
      <c r="Q18" s="306">
        <f>LEN(按鍵設計表2[[#This Row],[注音符號]])</f>
        <v>1</v>
      </c>
      <c r="R18" s="264"/>
      <c r="S18" s="265">
        <f t="shared" si="1"/>
        <v>14</v>
      </c>
      <c r="T18" s="250">
        <f t="shared" si="2"/>
        <v>14</v>
      </c>
      <c r="U18" s="246" t="s">
        <v>170</v>
      </c>
      <c r="V18" s="245" t="s">
        <v>31</v>
      </c>
      <c r="W18" s="320" t="s">
        <v>241</v>
      </c>
      <c r="X18" s="245" t="s">
        <v>241</v>
      </c>
      <c r="Y18" s="245" t="s">
        <v>32</v>
      </c>
      <c r="Z18" s="245" t="s">
        <v>241</v>
      </c>
      <c r="AA18" s="245" t="s">
        <v>2451</v>
      </c>
      <c r="AB18" s="259" t="s">
        <v>8351</v>
      </c>
      <c r="AC18" s="265"/>
      <c r="AD18" s="48">
        <v>14</v>
      </c>
      <c r="AE18" s="54" t="s">
        <v>166</v>
      </c>
      <c r="AF18" s="56" t="s">
        <v>8330</v>
      </c>
      <c r="AG18" s="86" t="s">
        <v>60</v>
      </c>
      <c r="AH18" s="59" t="s">
        <v>254</v>
      </c>
      <c r="AI18" s="177"/>
      <c r="AJ18" s="177"/>
      <c r="AK18" s="177"/>
      <c r="AL18" s="177"/>
    </row>
    <row r="19" spans="2:38" ht="43.5">
      <c r="B19" s="383">
        <f t="shared" si="0"/>
        <v>15</v>
      </c>
      <c r="C19" s="384" t="s">
        <v>32</v>
      </c>
      <c r="D19" s="381" t="s">
        <v>25</v>
      </c>
      <c r="E19" s="381" t="s">
        <v>180</v>
      </c>
      <c r="F19" s="417" t="s">
        <v>180</v>
      </c>
      <c r="G19" s="381" t="s">
        <v>3046</v>
      </c>
      <c r="H19" s="427" t="s">
        <v>3867</v>
      </c>
      <c r="I19" s="382"/>
      <c r="J19" s="381" t="s">
        <v>180</v>
      </c>
      <c r="K19" s="381" t="s">
        <v>8239</v>
      </c>
      <c r="L19" s="381" t="s">
        <v>8440</v>
      </c>
      <c r="M19" s="381" t="s">
        <v>180</v>
      </c>
      <c r="N19" s="381" t="s">
        <v>2451</v>
      </c>
      <c r="O19" s="417" t="s">
        <v>180</v>
      </c>
      <c r="P19" s="306"/>
      <c r="Q19" s="306">
        <f>LEN(按鍵設計表2[[#This Row],[注音符號]])</f>
        <v>1</v>
      </c>
      <c r="R19" s="264"/>
      <c r="S19" s="265">
        <f t="shared" si="1"/>
        <v>15</v>
      </c>
      <c r="T19" s="248">
        <f t="shared" si="2"/>
        <v>15</v>
      </c>
      <c r="U19" s="179">
        <v>4</v>
      </c>
      <c r="V19" s="224" t="s">
        <v>72</v>
      </c>
      <c r="W19" s="318" t="s">
        <v>206</v>
      </c>
      <c r="X19" s="224">
        <v>2</v>
      </c>
      <c r="Y19" s="224">
        <v>3</v>
      </c>
      <c r="Z19" s="224">
        <v>2</v>
      </c>
      <c r="AA19" s="224" t="s">
        <v>8343</v>
      </c>
      <c r="AB19" s="257"/>
      <c r="AC19" s="265"/>
      <c r="AD19" s="48">
        <v>15</v>
      </c>
      <c r="AE19" s="54" t="s">
        <v>306</v>
      </c>
      <c r="AF19" s="56" t="s">
        <v>8331</v>
      </c>
      <c r="AG19" s="86" t="s">
        <v>77</v>
      </c>
      <c r="AH19" s="59" t="s">
        <v>8232</v>
      </c>
      <c r="AI19" s="177"/>
      <c r="AJ19" s="177"/>
      <c r="AK19" s="177"/>
      <c r="AL19" s="177"/>
    </row>
    <row r="20" spans="2:38" ht="44.25" thickBot="1">
      <c r="B20" s="390">
        <f t="shared" si="0"/>
        <v>16</v>
      </c>
      <c r="C20" s="391" t="s">
        <v>16</v>
      </c>
      <c r="D20" s="392" t="s">
        <v>29</v>
      </c>
      <c r="E20" s="392" t="s">
        <v>201</v>
      </c>
      <c r="F20" s="418" t="s">
        <v>201</v>
      </c>
      <c r="G20" s="392" t="s">
        <v>4866</v>
      </c>
      <c r="H20" s="428" t="s">
        <v>5452</v>
      </c>
      <c r="I20" s="393"/>
      <c r="J20" s="392" t="s">
        <v>201</v>
      </c>
      <c r="K20" s="392" t="s">
        <v>201</v>
      </c>
      <c r="L20" s="392" t="s">
        <v>201</v>
      </c>
      <c r="M20" s="392" t="s">
        <v>201</v>
      </c>
      <c r="N20" s="392" t="s">
        <v>2451</v>
      </c>
      <c r="O20" s="418" t="s">
        <v>201</v>
      </c>
      <c r="P20" s="306"/>
      <c r="Q20" s="306">
        <f>LEN(按鍵設計表2[[#This Row],[注音符號]])</f>
        <v>1</v>
      </c>
      <c r="R20" s="264"/>
      <c r="S20" s="265">
        <f t="shared" si="1"/>
        <v>16</v>
      </c>
      <c r="T20" s="250">
        <f t="shared" si="2"/>
        <v>16</v>
      </c>
      <c r="U20" s="246" t="s">
        <v>246</v>
      </c>
      <c r="V20" s="245" t="s">
        <v>60</v>
      </c>
      <c r="W20" s="321" t="s">
        <v>217</v>
      </c>
      <c r="X20" s="245" t="s">
        <v>150</v>
      </c>
      <c r="Y20" s="245"/>
      <c r="Z20" s="245" t="s">
        <v>8330</v>
      </c>
      <c r="AA20" s="245" t="s">
        <v>2451</v>
      </c>
      <c r="AB20" s="259"/>
      <c r="AC20" s="265"/>
      <c r="AD20" s="48">
        <v>16</v>
      </c>
      <c r="AE20" s="54" t="s">
        <v>327</v>
      </c>
      <c r="AF20" s="56" t="s">
        <v>243</v>
      </c>
      <c r="AG20" s="86" t="s">
        <v>62</v>
      </c>
      <c r="AH20" s="59" t="s">
        <v>244</v>
      </c>
      <c r="AI20" s="177"/>
      <c r="AJ20" s="177"/>
      <c r="AK20" s="177"/>
      <c r="AL20" s="177"/>
    </row>
    <row r="21" spans="2:38" ht="44.25" thickBot="1">
      <c r="B21" s="400">
        <f t="shared" si="0"/>
        <v>17</v>
      </c>
      <c r="C21" s="401" t="s">
        <v>170</v>
      </c>
      <c r="D21" s="402" t="s">
        <v>31</v>
      </c>
      <c r="E21" s="402" t="s">
        <v>241</v>
      </c>
      <c r="F21" s="452" t="s">
        <v>241</v>
      </c>
      <c r="G21" s="402" t="s">
        <v>5657</v>
      </c>
      <c r="H21" s="453" t="s">
        <v>4269</v>
      </c>
      <c r="I21" s="403" t="s">
        <v>8351</v>
      </c>
      <c r="J21" s="402" t="s">
        <v>241</v>
      </c>
      <c r="K21" s="402" t="s">
        <v>241</v>
      </c>
      <c r="L21" s="402" t="s">
        <v>241</v>
      </c>
      <c r="M21" s="402" t="s">
        <v>241</v>
      </c>
      <c r="N21" s="402" t="s">
        <v>2451</v>
      </c>
      <c r="O21" s="452" t="s">
        <v>241</v>
      </c>
      <c r="P21" s="306"/>
      <c r="Q21" s="306">
        <f>LEN(按鍵設計表2[[#This Row],[注音符號]])</f>
        <v>1</v>
      </c>
      <c r="R21" s="264"/>
      <c r="S21" s="265">
        <f t="shared" si="1"/>
        <v>17</v>
      </c>
      <c r="T21" s="250">
        <f t="shared" si="2"/>
        <v>17</v>
      </c>
      <c r="U21" s="246" t="s">
        <v>247</v>
      </c>
      <c r="V21" s="245" t="s">
        <v>77</v>
      </c>
      <c r="W21" s="322" t="s">
        <v>147</v>
      </c>
      <c r="X21" s="245" t="s">
        <v>8359</v>
      </c>
      <c r="Y21" s="245"/>
      <c r="Z21" s="245" t="s">
        <v>254</v>
      </c>
      <c r="AA21" s="245" t="s">
        <v>2451</v>
      </c>
      <c r="AB21" s="259"/>
      <c r="AC21" s="265"/>
      <c r="AD21" s="48">
        <v>17</v>
      </c>
      <c r="AE21" s="54" t="s">
        <v>328</v>
      </c>
      <c r="AF21" s="56" t="s">
        <v>245</v>
      </c>
      <c r="AG21" s="86" t="s">
        <v>167</v>
      </c>
      <c r="AH21" s="59" t="s">
        <v>8236</v>
      </c>
      <c r="AI21" s="177"/>
      <c r="AJ21" s="177"/>
      <c r="AK21" s="177"/>
      <c r="AL21" s="177"/>
    </row>
    <row r="22" spans="2:38" ht="43.5">
      <c r="B22" s="383">
        <f t="shared" si="0"/>
        <v>18</v>
      </c>
      <c r="C22" s="384" t="s">
        <v>247</v>
      </c>
      <c r="D22" s="381" t="s">
        <v>77</v>
      </c>
      <c r="E22" s="381" t="s">
        <v>254</v>
      </c>
      <c r="F22" s="381" t="s">
        <v>218</v>
      </c>
      <c r="G22" s="381" t="s">
        <v>2761</v>
      </c>
      <c r="H22" s="430" t="s">
        <v>2978</v>
      </c>
      <c r="I22" s="382"/>
      <c r="J22" s="381" t="s">
        <v>8359</v>
      </c>
      <c r="K22" s="381" t="s">
        <v>254</v>
      </c>
      <c r="L22" s="381" t="s">
        <v>254</v>
      </c>
      <c r="M22" s="381">
        <v>0</v>
      </c>
      <c r="N22" s="381" t="s">
        <v>2451</v>
      </c>
      <c r="O22" s="381" t="s">
        <v>8520</v>
      </c>
      <c r="P22" s="306"/>
      <c r="Q22" s="306">
        <f>LEN(按鍵設計表2[[#This Row],[注音符號]])</f>
        <v>1</v>
      </c>
      <c r="R22" s="264"/>
      <c r="S22" s="265">
        <f t="shared" si="1"/>
        <v>18</v>
      </c>
      <c r="T22" s="250">
        <f t="shared" si="2"/>
        <v>18</v>
      </c>
      <c r="U22" s="246" t="s">
        <v>248</v>
      </c>
      <c r="V22" s="245" t="s">
        <v>62</v>
      </c>
      <c r="W22" s="322" t="s">
        <v>258</v>
      </c>
      <c r="X22" s="245" t="s">
        <v>260</v>
      </c>
      <c r="Y22" s="245"/>
      <c r="Z22" s="245" t="s">
        <v>243</v>
      </c>
      <c r="AA22" s="245" t="s">
        <v>2451</v>
      </c>
      <c r="AB22" s="259"/>
      <c r="AC22" s="265"/>
      <c r="AD22" s="48">
        <v>18</v>
      </c>
      <c r="AE22" s="54" t="s">
        <v>323</v>
      </c>
      <c r="AF22" s="56" t="s">
        <v>116</v>
      </c>
      <c r="AG22" s="86" t="s">
        <v>23</v>
      </c>
      <c r="AH22" s="59" t="s">
        <v>116</v>
      </c>
      <c r="AI22" s="177"/>
      <c r="AJ22" s="177"/>
      <c r="AK22" s="177"/>
      <c r="AL22" s="177"/>
    </row>
    <row r="23" spans="2:38" ht="43.5">
      <c r="B23" s="383">
        <f t="shared" si="0"/>
        <v>19</v>
      </c>
      <c r="C23" s="384" t="s">
        <v>246</v>
      </c>
      <c r="D23" s="381" t="s">
        <v>60</v>
      </c>
      <c r="E23" s="381" t="s">
        <v>8330</v>
      </c>
      <c r="F23" s="381" t="s">
        <v>217</v>
      </c>
      <c r="G23" s="381" t="s">
        <v>1726</v>
      </c>
      <c r="H23" s="427" t="s">
        <v>2096</v>
      </c>
      <c r="I23" s="382"/>
      <c r="J23" s="381" t="s">
        <v>150</v>
      </c>
      <c r="K23" s="381" t="s">
        <v>8330</v>
      </c>
      <c r="L23" s="381" t="s">
        <v>8330</v>
      </c>
      <c r="M23" s="381">
        <v>0</v>
      </c>
      <c r="N23" s="381" t="s">
        <v>2451</v>
      </c>
      <c r="O23" s="381" t="s">
        <v>8521</v>
      </c>
      <c r="P23" s="306"/>
      <c r="Q23" s="306">
        <f>LEN(按鍵設計表2[[#This Row],[注音符號]])</f>
        <v>1</v>
      </c>
      <c r="R23" s="264"/>
      <c r="S23" s="265">
        <f t="shared" si="1"/>
        <v>19</v>
      </c>
      <c r="T23" s="250">
        <f t="shared" si="2"/>
        <v>19</v>
      </c>
      <c r="U23" s="246" t="s">
        <v>252</v>
      </c>
      <c r="V23" s="245" t="s">
        <v>167</v>
      </c>
      <c r="W23" s="322" t="s">
        <v>259</v>
      </c>
      <c r="X23" s="245" t="s">
        <v>8360</v>
      </c>
      <c r="Y23" s="245"/>
      <c r="Z23" s="245" t="s">
        <v>245</v>
      </c>
      <c r="AA23" s="245" t="s">
        <v>2451</v>
      </c>
      <c r="AB23" s="259"/>
      <c r="AC23" s="265"/>
      <c r="AD23" s="48">
        <v>19</v>
      </c>
      <c r="AE23" s="54" t="s">
        <v>255</v>
      </c>
      <c r="AF23" s="56" t="s">
        <v>256</v>
      </c>
      <c r="AG23" s="86" t="s">
        <v>27</v>
      </c>
      <c r="AH23" s="59" t="s">
        <v>514</v>
      </c>
      <c r="AI23" s="177"/>
      <c r="AJ23" s="177"/>
      <c r="AK23" s="177"/>
      <c r="AL23" s="177"/>
    </row>
    <row r="24" spans="2:38" ht="43.5">
      <c r="B24" s="383">
        <f t="shared" si="0"/>
        <v>20</v>
      </c>
      <c r="C24" s="384" t="s">
        <v>248</v>
      </c>
      <c r="D24" s="381" t="s">
        <v>62</v>
      </c>
      <c r="E24" s="381" t="s">
        <v>243</v>
      </c>
      <c r="F24" s="381" t="s">
        <v>169</v>
      </c>
      <c r="G24" s="381" t="s">
        <v>3046</v>
      </c>
      <c r="H24" s="427" t="s">
        <v>5421</v>
      </c>
      <c r="I24" s="382"/>
      <c r="J24" s="381" t="s">
        <v>260</v>
      </c>
      <c r="K24" s="381" t="s">
        <v>243</v>
      </c>
      <c r="L24" s="381" t="s">
        <v>243</v>
      </c>
      <c r="M24" s="381">
        <v>0</v>
      </c>
      <c r="N24" s="381" t="s">
        <v>2451</v>
      </c>
      <c r="O24" s="381" t="s">
        <v>8522</v>
      </c>
      <c r="P24" s="306"/>
      <c r="Q24" s="306">
        <f>LEN(按鍵設計表2[[#This Row],[注音符號]])</f>
        <v>1</v>
      </c>
      <c r="R24" s="264"/>
      <c r="S24" s="265">
        <f t="shared" si="1"/>
        <v>20</v>
      </c>
      <c r="T24" s="248">
        <f t="shared" si="2"/>
        <v>20</v>
      </c>
      <c r="U24" s="179">
        <v>5</v>
      </c>
      <c r="V24" s="224" t="s">
        <v>75</v>
      </c>
      <c r="W24" s="318">
        <v>7</v>
      </c>
      <c r="X24" s="224">
        <v>7</v>
      </c>
      <c r="Y24" s="224">
        <v>6</v>
      </c>
      <c r="Z24" s="224">
        <v>7</v>
      </c>
      <c r="AA24" s="224" t="s">
        <v>8343</v>
      </c>
      <c r="AB24" s="257"/>
      <c r="AC24" s="265"/>
      <c r="AD24" s="48">
        <v>20</v>
      </c>
      <c r="AE24" s="54" t="s">
        <v>241</v>
      </c>
      <c r="AF24" s="56" t="s">
        <v>180</v>
      </c>
      <c r="AG24" s="86" t="s">
        <v>25</v>
      </c>
      <c r="AH24" s="59" t="s">
        <v>180</v>
      </c>
      <c r="AI24" s="177"/>
      <c r="AJ24" s="177"/>
      <c r="AK24" s="177"/>
      <c r="AL24" s="177"/>
    </row>
    <row r="25" spans="2:38" ht="44.25" thickBot="1">
      <c r="B25" s="390">
        <f t="shared" si="0"/>
        <v>21</v>
      </c>
      <c r="C25" s="391" t="s">
        <v>252</v>
      </c>
      <c r="D25" s="392" t="s">
        <v>167</v>
      </c>
      <c r="E25" s="392" t="s">
        <v>245</v>
      </c>
      <c r="F25" s="392" t="s">
        <v>219</v>
      </c>
      <c r="G25" s="392" t="s">
        <v>4866</v>
      </c>
      <c r="H25" s="428" t="s">
        <v>2961</v>
      </c>
      <c r="I25" s="393"/>
      <c r="J25" s="392" t="s">
        <v>8360</v>
      </c>
      <c r="K25" s="392" t="s">
        <v>245</v>
      </c>
      <c r="L25" s="392" t="s">
        <v>245</v>
      </c>
      <c r="M25" s="392">
        <v>0</v>
      </c>
      <c r="N25" s="392" t="s">
        <v>2451</v>
      </c>
      <c r="O25" s="392" t="s">
        <v>8523</v>
      </c>
      <c r="P25" s="306"/>
      <c r="Q25" s="306">
        <f>LEN(按鍵設計表2[[#This Row],[注音符號]])</f>
        <v>1</v>
      </c>
      <c r="R25" s="264"/>
      <c r="S25" s="265">
        <f t="shared" si="1"/>
        <v>21</v>
      </c>
      <c r="T25" s="250">
        <f t="shared" si="2"/>
        <v>21</v>
      </c>
      <c r="U25" s="246" t="s">
        <v>202</v>
      </c>
      <c r="V25" s="245" t="s">
        <v>91</v>
      </c>
      <c r="W25" s="320" t="s">
        <v>327</v>
      </c>
      <c r="X25" s="245" t="s">
        <v>12</v>
      </c>
      <c r="Y25" s="245" t="s">
        <v>202</v>
      </c>
      <c r="Z25" s="245" t="s">
        <v>12</v>
      </c>
      <c r="AA25" s="245" t="s">
        <v>8347</v>
      </c>
      <c r="AB25" s="259" t="s">
        <v>8353</v>
      </c>
      <c r="AC25" s="265"/>
      <c r="AD25" s="48">
        <v>21</v>
      </c>
      <c r="AE25" s="54" t="s">
        <v>16</v>
      </c>
      <c r="AF25" s="56" t="s">
        <v>201</v>
      </c>
      <c r="AG25" s="86" t="s">
        <v>29</v>
      </c>
      <c r="AH25" s="59" t="s">
        <v>201</v>
      </c>
      <c r="AI25" s="177"/>
      <c r="AJ25" s="177"/>
      <c r="AK25" s="177"/>
      <c r="AL25" s="177"/>
    </row>
    <row r="26" spans="2:38" ht="43.5">
      <c r="B26" s="379">
        <f t="shared" si="0"/>
        <v>22</v>
      </c>
      <c r="C26" s="380" t="s">
        <v>324</v>
      </c>
      <c r="D26" s="247" t="s">
        <v>37</v>
      </c>
      <c r="E26" s="381" t="s">
        <v>208</v>
      </c>
      <c r="F26" s="247" t="s">
        <v>208</v>
      </c>
      <c r="G26" s="247" t="s">
        <v>2235</v>
      </c>
      <c r="H26" s="427" t="s">
        <v>1125</v>
      </c>
      <c r="I26" s="260"/>
      <c r="J26" s="247" t="s">
        <v>208</v>
      </c>
      <c r="K26" s="247" t="s">
        <v>208</v>
      </c>
      <c r="L26" s="247" t="s">
        <v>208</v>
      </c>
      <c r="M26" s="247" t="s">
        <v>208</v>
      </c>
      <c r="N26" s="381" t="s">
        <v>7734</v>
      </c>
      <c r="O26" s="247" t="s">
        <v>208</v>
      </c>
      <c r="P26" s="306"/>
      <c r="Q26" s="306">
        <f>LEN(按鍵設計表2[[#This Row],[注音符號]])</f>
        <v>1</v>
      </c>
      <c r="R26" s="264"/>
      <c r="S26" s="265">
        <f t="shared" si="1"/>
        <v>22</v>
      </c>
      <c r="T26" s="250">
        <f t="shared" si="2"/>
        <v>22</v>
      </c>
      <c r="U26" s="246" t="s">
        <v>22</v>
      </c>
      <c r="V26" s="245" t="s">
        <v>92</v>
      </c>
      <c r="W26" s="320" t="s">
        <v>209</v>
      </c>
      <c r="X26" s="245" t="s">
        <v>18</v>
      </c>
      <c r="Y26" s="245" t="s">
        <v>190</v>
      </c>
      <c r="Z26" s="245" t="s">
        <v>18</v>
      </c>
      <c r="AA26" s="245" t="s">
        <v>8347</v>
      </c>
      <c r="AB26" s="259" t="s">
        <v>8354</v>
      </c>
      <c r="AC26" s="265"/>
      <c r="AD26" s="48">
        <v>22</v>
      </c>
      <c r="AE26" s="54" t="s">
        <v>126</v>
      </c>
      <c r="AF26" s="56" t="s">
        <v>164</v>
      </c>
      <c r="AG26" s="86" t="s">
        <v>33</v>
      </c>
      <c r="AH26" s="59" t="s">
        <v>164</v>
      </c>
      <c r="AI26" s="177"/>
      <c r="AJ26" s="177"/>
      <c r="AK26" s="177"/>
      <c r="AL26" s="177"/>
    </row>
    <row r="27" spans="2:38" ht="43.5">
      <c r="B27" s="250">
        <f t="shared" si="0"/>
        <v>23</v>
      </c>
      <c r="C27" s="246" t="s">
        <v>36</v>
      </c>
      <c r="D27" s="245" t="s">
        <v>33</v>
      </c>
      <c r="E27" s="381" t="s">
        <v>164</v>
      </c>
      <c r="F27" s="245" t="s">
        <v>164</v>
      </c>
      <c r="G27" s="245" t="s">
        <v>3987</v>
      </c>
      <c r="H27" s="434" t="s">
        <v>3221</v>
      </c>
      <c r="I27" s="259"/>
      <c r="J27" s="245" t="s">
        <v>164</v>
      </c>
      <c r="K27" s="245" t="s">
        <v>164</v>
      </c>
      <c r="L27" s="245" t="s">
        <v>164</v>
      </c>
      <c r="M27" s="245" t="s">
        <v>164</v>
      </c>
      <c r="N27" s="381" t="s">
        <v>7734</v>
      </c>
      <c r="O27" s="245" t="s">
        <v>164</v>
      </c>
      <c r="P27" s="306"/>
      <c r="Q27" s="306">
        <f>LEN(按鍵設計表2[[#This Row],[注音符號]])</f>
        <v>1</v>
      </c>
      <c r="R27" s="264"/>
      <c r="S27" s="265">
        <f t="shared" si="1"/>
        <v>23</v>
      </c>
      <c r="T27" s="249">
        <f t="shared" si="2"/>
        <v>23</v>
      </c>
      <c r="U27" s="183" t="s">
        <v>123</v>
      </c>
      <c r="V27" s="226" t="s">
        <v>90</v>
      </c>
      <c r="W27" s="319" t="s">
        <v>166</v>
      </c>
      <c r="X27" s="226" t="s">
        <v>134</v>
      </c>
      <c r="Y27" s="226" t="s">
        <v>6</v>
      </c>
      <c r="Z27" s="226" t="s">
        <v>134</v>
      </c>
      <c r="AA27" s="245" t="s">
        <v>8347</v>
      </c>
      <c r="AB27" s="259" t="s">
        <v>8355</v>
      </c>
      <c r="AC27" s="265"/>
      <c r="AD27" s="48">
        <v>23</v>
      </c>
      <c r="AE27" s="54" t="s">
        <v>153</v>
      </c>
      <c r="AF27" s="56" t="s">
        <v>162</v>
      </c>
      <c r="AG27" s="86" t="s">
        <v>79</v>
      </c>
      <c r="AH27" s="59" t="s">
        <v>279</v>
      </c>
      <c r="AI27" s="177"/>
      <c r="AJ27" s="177"/>
      <c r="AK27" s="177"/>
      <c r="AL27" s="177"/>
    </row>
    <row r="28" spans="2:38" ht="43.5">
      <c r="B28" s="250">
        <f t="shared" si="0"/>
        <v>24</v>
      </c>
      <c r="C28" s="246" t="s">
        <v>187</v>
      </c>
      <c r="D28" s="245" t="s">
        <v>325</v>
      </c>
      <c r="E28" s="381" t="s">
        <v>282</v>
      </c>
      <c r="F28" s="245" t="s">
        <v>203</v>
      </c>
      <c r="G28" s="245">
        <v>0</v>
      </c>
      <c r="H28" s="434" t="s">
        <v>8643</v>
      </c>
      <c r="I28" s="259"/>
      <c r="J28" s="245" t="s">
        <v>282</v>
      </c>
      <c r="K28" s="245" t="s">
        <v>282</v>
      </c>
      <c r="L28" s="245" t="s">
        <v>282</v>
      </c>
      <c r="M28" s="245" t="s">
        <v>8644</v>
      </c>
      <c r="N28" s="381" t="s">
        <v>7734</v>
      </c>
      <c r="O28" s="245" t="s">
        <v>203</v>
      </c>
      <c r="P28" s="306"/>
      <c r="Q28" s="306">
        <f>LEN(按鍵設計表2[[#This Row],[注音符號]])</f>
        <v>1</v>
      </c>
      <c r="R28" s="264"/>
      <c r="S28" s="265">
        <f t="shared" si="1"/>
        <v>24</v>
      </c>
      <c r="T28" s="249">
        <f t="shared" si="2"/>
        <v>24</v>
      </c>
      <c r="U28" s="183">
        <v>6</v>
      </c>
      <c r="V28" s="226" t="s">
        <v>74</v>
      </c>
      <c r="W28" s="319" t="s">
        <v>111</v>
      </c>
      <c r="X28" s="226">
        <v>5</v>
      </c>
      <c r="Y28" s="226">
        <v>2</v>
      </c>
      <c r="Z28" s="226">
        <v>5</v>
      </c>
      <c r="AA28" s="245" t="s">
        <v>8343</v>
      </c>
      <c r="AB28" s="259"/>
      <c r="AC28" s="265"/>
      <c r="AD28" s="48">
        <v>24</v>
      </c>
      <c r="AE28" s="54" t="s">
        <v>150</v>
      </c>
      <c r="AF28" s="56" t="s">
        <v>126</v>
      </c>
      <c r="AG28" s="86" t="s">
        <v>35</v>
      </c>
      <c r="AH28" s="59" t="s">
        <v>126</v>
      </c>
      <c r="AI28" s="177"/>
      <c r="AJ28" s="177"/>
      <c r="AK28" s="177"/>
      <c r="AL28" s="177"/>
    </row>
    <row r="29" spans="2:38" ht="43.5">
      <c r="B29" s="250">
        <f t="shared" si="0"/>
        <v>25</v>
      </c>
      <c r="C29" s="246" t="s">
        <v>28</v>
      </c>
      <c r="D29" s="245" t="s">
        <v>35</v>
      </c>
      <c r="E29" s="381" t="s">
        <v>126</v>
      </c>
      <c r="F29" s="245" t="s">
        <v>126</v>
      </c>
      <c r="G29" s="245" t="s">
        <v>8645</v>
      </c>
      <c r="H29" s="434" t="s">
        <v>3379</v>
      </c>
      <c r="I29" s="259"/>
      <c r="J29" s="245" t="s">
        <v>126</v>
      </c>
      <c r="K29" s="245" t="s">
        <v>126</v>
      </c>
      <c r="L29" s="245" t="s">
        <v>126</v>
      </c>
      <c r="M29" s="245" t="s">
        <v>126</v>
      </c>
      <c r="N29" s="381" t="s">
        <v>7734</v>
      </c>
      <c r="O29" s="245" t="s">
        <v>126</v>
      </c>
      <c r="P29" s="306"/>
      <c r="Q29" s="306">
        <f>LEN(按鍵設計表2[[#This Row],[注音符號]])</f>
        <v>1</v>
      </c>
      <c r="R29" s="264"/>
      <c r="S29" s="265">
        <f t="shared" si="1"/>
        <v>25</v>
      </c>
      <c r="T29" s="249">
        <f t="shared" si="2"/>
        <v>25</v>
      </c>
      <c r="U29" s="183" t="s">
        <v>220</v>
      </c>
      <c r="V29" s="226" t="s">
        <v>23</v>
      </c>
      <c r="W29" s="319" t="s">
        <v>116</v>
      </c>
      <c r="X29" s="226" t="s">
        <v>116</v>
      </c>
      <c r="Y29" s="226" t="s">
        <v>216</v>
      </c>
      <c r="Z29" s="226" t="s">
        <v>116</v>
      </c>
      <c r="AA29" s="245" t="s">
        <v>8342</v>
      </c>
      <c r="AB29" s="259"/>
      <c r="AC29" s="265"/>
      <c r="AD29" s="48">
        <v>25</v>
      </c>
      <c r="AE29" s="54" t="s">
        <v>147</v>
      </c>
      <c r="AF29" s="56" t="s">
        <v>153</v>
      </c>
      <c r="AG29" s="86" t="s">
        <v>80</v>
      </c>
      <c r="AH29" s="59" t="s">
        <v>281</v>
      </c>
      <c r="AI29" s="177"/>
      <c r="AJ29" s="177"/>
      <c r="AK29" s="177"/>
      <c r="AL29" s="177"/>
    </row>
    <row r="30" spans="2:38" ht="43.5">
      <c r="B30" s="250">
        <f t="shared" si="0"/>
        <v>26</v>
      </c>
      <c r="C30" s="246" t="s">
        <v>8606</v>
      </c>
      <c r="D30" s="245" t="s">
        <v>39</v>
      </c>
      <c r="E30" s="381" t="s">
        <v>195</v>
      </c>
      <c r="F30" s="245" t="s">
        <v>195</v>
      </c>
      <c r="G30" s="245" t="s">
        <v>815</v>
      </c>
      <c r="H30" s="434" t="s">
        <v>6951</v>
      </c>
      <c r="I30" s="259"/>
      <c r="J30" s="245" t="s">
        <v>195</v>
      </c>
      <c r="K30" s="245" t="s">
        <v>195</v>
      </c>
      <c r="L30" s="245" t="s">
        <v>195</v>
      </c>
      <c r="M30" s="245" t="s">
        <v>195</v>
      </c>
      <c r="N30" s="381" t="s">
        <v>7734</v>
      </c>
      <c r="O30" s="245" t="s">
        <v>195</v>
      </c>
      <c r="P30" s="306"/>
      <c r="Q30" s="306">
        <f>LEN(按鍵設計表2[[#This Row],[注音符號]])</f>
        <v>1</v>
      </c>
      <c r="R30" s="264"/>
      <c r="S30" s="265">
        <f t="shared" si="1"/>
        <v>26</v>
      </c>
      <c r="T30" s="249">
        <f t="shared" si="2"/>
        <v>26</v>
      </c>
      <c r="U30" s="183" t="s">
        <v>222</v>
      </c>
      <c r="V30" s="226" t="s">
        <v>27</v>
      </c>
      <c r="W30" s="319" t="s">
        <v>28</v>
      </c>
      <c r="X30" s="226" t="s">
        <v>514</v>
      </c>
      <c r="Y30" s="226" t="s">
        <v>515</v>
      </c>
      <c r="Z30" s="226" t="s">
        <v>150</v>
      </c>
      <c r="AA30" s="245" t="s">
        <v>8342</v>
      </c>
      <c r="AB30" s="259"/>
      <c r="AC30" s="265"/>
      <c r="AD30" s="48">
        <v>26</v>
      </c>
      <c r="AE30" s="54" t="s">
        <v>324</v>
      </c>
      <c r="AF30" s="56" t="s">
        <v>208</v>
      </c>
      <c r="AG30" s="86" t="s">
        <v>37</v>
      </c>
      <c r="AH30" s="59" t="s">
        <v>208</v>
      </c>
      <c r="AI30" s="177"/>
      <c r="AJ30" s="177"/>
      <c r="AK30" s="177"/>
      <c r="AL30" s="177"/>
    </row>
    <row r="31" spans="2:38" ht="43.5">
      <c r="B31" s="250">
        <f t="shared" si="0"/>
        <v>27</v>
      </c>
      <c r="C31" s="246" t="s">
        <v>34</v>
      </c>
      <c r="D31" s="245" t="s">
        <v>43</v>
      </c>
      <c r="E31" s="381" t="s">
        <v>205</v>
      </c>
      <c r="F31" s="245" t="s">
        <v>41</v>
      </c>
      <c r="G31" s="245" t="s">
        <v>4142</v>
      </c>
      <c r="H31" s="434" t="s">
        <v>4941</v>
      </c>
      <c r="I31" s="259"/>
      <c r="J31" s="245" t="s">
        <v>205</v>
      </c>
      <c r="K31" s="245" t="s">
        <v>205</v>
      </c>
      <c r="L31" s="245" t="s">
        <v>205</v>
      </c>
      <c r="M31" s="245" t="s">
        <v>205</v>
      </c>
      <c r="N31" s="381" t="s">
        <v>7734</v>
      </c>
      <c r="O31" s="245" t="s">
        <v>41</v>
      </c>
      <c r="P31" s="306"/>
      <c r="Q31" s="306">
        <f>LEN(按鍵設計表2[[#This Row],[注音符號]])</f>
        <v>1</v>
      </c>
      <c r="R31" s="264"/>
      <c r="S31" s="265">
        <f t="shared" si="1"/>
        <v>27</v>
      </c>
      <c r="T31" s="249">
        <f t="shared" si="2"/>
        <v>27</v>
      </c>
      <c r="U31" s="183" t="s">
        <v>32</v>
      </c>
      <c r="V31" s="226" t="s">
        <v>25</v>
      </c>
      <c r="W31" s="319" t="s">
        <v>180</v>
      </c>
      <c r="X31" s="226" t="s">
        <v>180</v>
      </c>
      <c r="Y31" s="226" t="s">
        <v>170</v>
      </c>
      <c r="Z31" s="226" t="s">
        <v>180</v>
      </c>
      <c r="AA31" s="245" t="s">
        <v>8342</v>
      </c>
      <c r="AB31" s="259"/>
      <c r="AC31" s="265"/>
      <c r="AD31" s="48">
        <v>27</v>
      </c>
      <c r="AE31" s="54" t="s">
        <v>165</v>
      </c>
      <c r="AF31" s="56" t="s">
        <v>333</v>
      </c>
      <c r="AG31" s="86" t="s">
        <v>81</v>
      </c>
      <c r="AH31" s="59" t="s">
        <v>163</v>
      </c>
      <c r="AI31" s="177"/>
      <c r="AJ31" s="177"/>
      <c r="AK31" s="177"/>
      <c r="AL31" s="177"/>
    </row>
    <row r="32" spans="2:38" ht="44.25" thickBot="1">
      <c r="B32" s="408">
        <f t="shared" si="0"/>
        <v>28</v>
      </c>
      <c r="C32" s="409" t="s">
        <v>190</v>
      </c>
      <c r="D32" s="410" t="s">
        <v>266</v>
      </c>
      <c r="E32" s="392" t="s">
        <v>41</v>
      </c>
      <c r="F32" s="410" t="s">
        <v>8538</v>
      </c>
      <c r="G32" s="410" t="s">
        <v>5146</v>
      </c>
      <c r="H32" s="435" t="s">
        <v>5539</v>
      </c>
      <c r="I32" s="411"/>
      <c r="J32" s="410" t="s">
        <v>517</v>
      </c>
      <c r="K32" s="410" t="s">
        <v>41</v>
      </c>
      <c r="L32" s="410" t="s">
        <v>41</v>
      </c>
      <c r="M32" s="410" t="s">
        <v>41</v>
      </c>
      <c r="N32" s="392" t="s">
        <v>7734</v>
      </c>
      <c r="O32" s="410" t="s">
        <v>8538</v>
      </c>
      <c r="P32" s="306"/>
      <c r="Q32" s="306">
        <f>LEN(按鍵設計表2[[#This Row],[注音符號]])</f>
        <v>1</v>
      </c>
      <c r="R32" s="264"/>
      <c r="S32" s="265">
        <f t="shared" si="1"/>
        <v>28</v>
      </c>
      <c r="T32" s="249">
        <f t="shared" si="2"/>
        <v>28</v>
      </c>
      <c r="U32" s="183" t="s">
        <v>16</v>
      </c>
      <c r="V32" s="226" t="s">
        <v>29</v>
      </c>
      <c r="W32" s="319" t="s">
        <v>201</v>
      </c>
      <c r="X32" s="226" t="s">
        <v>201</v>
      </c>
      <c r="Y32" s="226" t="s">
        <v>30</v>
      </c>
      <c r="Z32" s="226" t="s">
        <v>201</v>
      </c>
      <c r="AA32" s="245" t="s">
        <v>8342</v>
      </c>
      <c r="AB32" s="259"/>
      <c r="AC32" s="265"/>
      <c r="AD32" s="48">
        <v>28</v>
      </c>
      <c r="AE32" s="54" t="s">
        <v>164</v>
      </c>
      <c r="AF32" s="56" t="s">
        <v>158</v>
      </c>
      <c r="AG32" s="86" t="s">
        <v>43</v>
      </c>
      <c r="AH32" s="59" t="s">
        <v>205</v>
      </c>
      <c r="AI32" s="177"/>
      <c r="AJ32" s="177"/>
      <c r="AK32" s="177"/>
      <c r="AL32" s="177"/>
    </row>
    <row r="33" spans="2:38" ht="43.5">
      <c r="B33" s="383">
        <f t="shared" si="0"/>
        <v>29</v>
      </c>
      <c r="C33" s="384" t="s">
        <v>55</v>
      </c>
      <c r="D33" s="381" t="s">
        <v>98</v>
      </c>
      <c r="E33" s="381" t="s">
        <v>331</v>
      </c>
      <c r="F33" s="381" t="s">
        <v>283</v>
      </c>
      <c r="G33" s="381" t="s">
        <v>3959</v>
      </c>
      <c r="H33" s="437" t="s">
        <v>3959</v>
      </c>
      <c r="I33" s="382"/>
      <c r="J33" s="381" t="s">
        <v>96</v>
      </c>
      <c r="K33" s="381" t="s">
        <v>96</v>
      </c>
      <c r="L33" s="381" t="s">
        <v>96</v>
      </c>
      <c r="M33" s="381" t="s">
        <v>96</v>
      </c>
      <c r="N33" s="381" t="s">
        <v>7734</v>
      </c>
      <c r="O33" s="381" t="s">
        <v>283</v>
      </c>
      <c r="P33" s="306"/>
      <c r="Q33" s="306">
        <f>LEN(按鍵設計表2[[#This Row],[注音符號]])</f>
        <v>1</v>
      </c>
      <c r="R33" s="264"/>
      <c r="S33" s="265">
        <f t="shared" si="1"/>
        <v>29</v>
      </c>
      <c r="T33" s="249">
        <f t="shared" si="2"/>
        <v>29</v>
      </c>
      <c r="U33" s="183" t="s">
        <v>315</v>
      </c>
      <c r="V33" s="226" t="s">
        <v>58</v>
      </c>
      <c r="W33" s="319" t="s">
        <v>203</v>
      </c>
      <c r="X33" s="226" t="s">
        <v>94</v>
      </c>
      <c r="Y33" s="226" t="s">
        <v>8385</v>
      </c>
      <c r="Z33" s="226" t="s">
        <v>94</v>
      </c>
      <c r="AA33" s="245" t="s">
        <v>8342</v>
      </c>
      <c r="AB33" s="259" t="s">
        <v>8607</v>
      </c>
      <c r="AC33" s="265"/>
      <c r="AD33" s="48">
        <v>29</v>
      </c>
      <c r="AE33" s="54" t="s">
        <v>162</v>
      </c>
      <c r="AF33" s="56" t="s">
        <v>304</v>
      </c>
      <c r="AG33" s="86" t="s">
        <v>85</v>
      </c>
      <c r="AH33" s="59" t="s">
        <v>516</v>
      </c>
      <c r="AI33" s="177"/>
      <c r="AJ33" s="177"/>
      <c r="AK33" s="177"/>
      <c r="AL33" s="177"/>
    </row>
    <row r="34" spans="2:38" ht="43.5">
      <c r="B34" s="250">
        <f t="shared" si="0"/>
        <v>30</v>
      </c>
      <c r="C34" s="246" t="s">
        <v>6</v>
      </c>
      <c r="D34" s="245" t="s">
        <v>50</v>
      </c>
      <c r="E34" s="381" t="s">
        <v>8633</v>
      </c>
      <c r="F34" s="245" t="s">
        <v>315</v>
      </c>
      <c r="G34" s="245">
        <v>0</v>
      </c>
      <c r="H34" s="434" t="s">
        <v>4817</v>
      </c>
      <c r="I34" s="259" t="s">
        <v>8350</v>
      </c>
      <c r="J34" s="245" t="s">
        <v>16</v>
      </c>
      <c r="K34" s="245" t="s">
        <v>16</v>
      </c>
      <c r="L34" s="245" t="s">
        <v>16</v>
      </c>
      <c r="M34" s="245" t="s">
        <v>16</v>
      </c>
      <c r="N34" s="381" t="s">
        <v>7734</v>
      </c>
      <c r="O34" s="245" t="s">
        <v>315</v>
      </c>
      <c r="P34" s="306"/>
      <c r="Q34" s="306">
        <f>LEN(按鍵設計表2[[#This Row],[注音符號]])</f>
        <v>1</v>
      </c>
      <c r="R34" s="264"/>
      <c r="S34" s="265">
        <f t="shared" si="1"/>
        <v>30</v>
      </c>
      <c r="T34" s="249">
        <f t="shared" si="2"/>
        <v>30</v>
      </c>
      <c r="U34" s="183">
        <v>7</v>
      </c>
      <c r="V34" s="226" t="s">
        <v>76</v>
      </c>
      <c r="W34" s="319">
        <v>8</v>
      </c>
      <c r="X34" s="226">
        <v>8</v>
      </c>
      <c r="Y34" s="226">
        <v>8</v>
      </c>
      <c r="Z34" s="226">
        <v>8</v>
      </c>
      <c r="AA34" s="245" t="s">
        <v>8343</v>
      </c>
      <c r="AB34" s="259" t="s">
        <v>8346</v>
      </c>
      <c r="AC34" s="265"/>
      <c r="AD34" s="48">
        <v>30</v>
      </c>
      <c r="AE34" s="54" t="s">
        <v>18</v>
      </c>
      <c r="AF34" s="56" t="s">
        <v>41</v>
      </c>
      <c r="AG34" s="86" t="s">
        <v>266</v>
      </c>
      <c r="AH34" s="59" t="s">
        <v>517</v>
      </c>
      <c r="AI34" s="177"/>
      <c r="AJ34" s="177"/>
      <c r="AK34" s="177"/>
      <c r="AL34" s="177"/>
    </row>
    <row r="35" spans="2:38" ht="44.25" thickBot="1">
      <c r="B35" s="408">
        <f t="shared" si="0"/>
        <v>31</v>
      </c>
      <c r="C35" s="409" t="s">
        <v>280</v>
      </c>
      <c r="D35" s="410" t="s">
        <v>48</v>
      </c>
      <c r="E35" s="392" t="s">
        <v>272</v>
      </c>
      <c r="F35" s="410" t="s">
        <v>95</v>
      </c>
      <c r="G35" s="410" t="s">
        <v>7293</v>
      </c>
      <c r="H35" s="435" t="s">
        <v>5000</v>
      </c>
      <c r="I35" s="411" t="s">
        <v>8372</v>
      </c>
      <c r="J35" s="410" t="s">
        <v>94</v>
      </c>
      <c r="K35" s="410" t="s">
        <v>94</v>
      </c>
      <c r="L35" s="410" t="s">
        <v>94</v>
      </c>
      <c r="M35" s="410" t="s">
        <v>94</v>
      </c>
      <c r="N35" s="392" t="s">
        <v>7734</v>
      </c>
      <c r="O35" s="410" t="s">
        <v>95</v>
      </c>
      <c r="P35" s="306"/>
      <c r="Q35" s="306">
        <f>LEN(按鍵設計表2[[#This Row],[注音符號]])</f>
        <v>1</v>
      </c>
      <c r="R35" s="264"/>
      <c r="S35" s="265">
        <f t="shared" si="1"/>
        <v>31</v>
      </c>
      <c r="T35" s="249">
        <f t="shared" si="2"/>
        <v>31</v>
      </c>
      <c r="U35" s="183" t="s">
        <v>36</v>
      </c>
      <c r="V35" s="226" t="s">
        <v>261</v>
      </c>
      <c r="W35" s="319" t="s">
        <v>164</v>
      </c>
      <c r="X35" s="226" t="s">
        <v>164</v>
      </c>
      <c r="Y35" s="226" t="s">
        <v>34</v>
      </c>
      <c r="Z35" s="226" t="s">
        <v>164</v>
      </c>
      <c r="AA35" s="245" t="s">
        <v>8344</v>
      </c>
      <c r="AB35" s="259"/>
      <c r="AC35" s="265"/>
      <c r="AD35" s="48">
        <v>31</v>
      </c>
      <c r="AE35" s="54" t="s">
        <v>137</v>
      </c>
      <c r="AF35" s="56" t="s">
        <v>195</v>
      </c>
      <c r="AG35" s="86" t="s">
        <v>39</v>
      </c>
      <c r="AH35" s="59" t="s">
        <v>195</v>
      </c>
      <c r="AI35" s="177"/>
      <c r="AJ35" s="177"/>
      <c r="AK35" s="177"/>
      <c r="AL35" s="177"/>
    </row>
    <row r="36" spans="2:38" ht="39">
      <c r="B36" s="383">
        <f t="shared" si="0"/>
        <v>32</v>
      </c>
      <c r="C36" s="384" t="s">
        <v>10</v>
      </c>
      <c r="D36" s="381" t="s">
        <v>90</v>
      </c>
      <c r="E36" s="381" t="s">
        <v>8626</v>
      </c>
      <c r="F36" s="381" t="s">
        <v>247</v>
      </c>
      <c r="G36" s="381">
        <v>0</v>
      </c>
      <c r="H36" s="476" t="s">
        <v>8618</v>
      </c>
      <c r="I36" s="382" t="s">
        <v>8355</v>
      </c>
      <c r="J36" s="381" t="s">
        <v>134</v>
      </c>
      <c r="K36" s="381" t="s">
        <v>134</v>
      </c>
      <c r="L36" s="381" t="s">
        <v>134</v>
      </c>
      <c r="M36" s="381" t="s">
        <v>134</v>
      </c>
      <c r="N36" s="381" t="s">
        <v>8646</v>
      </c>
      <c r="O36" s="381" t="s">
        <v>8</v>
      </c>
      <c r="P36" s="306" t="s">
        <v>90</v>
      </c>
      <c r="Q36" s="306">
        <f>LEN(按鍵設計表2[[#This Row],[注音符號]])</f>
        <v>1</v>
      </c>
      <c r="R36" s="264"/>
      <c r="S36" s="265">
        <f t="shared" si="1"/>
        <v>32</v>
      </c>
      <c r="T36" s="249">
        <f t="shared" si="2"/>
        <v>32</v>
      </c>
      <c r="U36" s="183" t="s">
        <v>139</v>
      </c>
      <c r="V36" s="226" t="s">
        <v>79</v>
      </c>
      <c r="W36" s="319" t="s">
        <v>162</v>
      </c>
      <c r="X36" s="226" t="s">
        <v>279</v>
      </c>
      <c r="Y36" s="226" t="s">
        <v>8386</v>
      </c>
      <c r="Z36" s="226" t="s">
        <v>279</v>
      </c>
      <c r="AA36" s="245" t="s">
        <v>8344</v>
      </c>
      <c r="AB36" s="259"/>
      <c r="AC36" s="265"/>
      <c r="AD36" s="48">
        <v>32</v>
      </c>
      <c r="AE36" s="54" t="s">
        <v>136</v>
      </c>
      <c r="AF36" s="56" t="s">
        <v>191</v>
      </c>
      <c r="AG36" s="86" t="s">
        <v>83</v>
      </c>
      <c r="AH36" s="59" t="s">
        <v>160</v>
      </c>
      <c r="AI36" s="177"/>
      <c r="AJ36" s="177"/>
      <c r="AK36" s="177"/>
      <c r="AL36" s="177"/>
    </row>
    <row r="37" spans="2:38" ht="39">
      <c r="B37" s="250">
        <f t="shared" si="0"/>
        <v>33</v>
      </c>
      <c r="C37" s="246" t="s">
        <v>202</v>
      </c>
      <c r="D37" s="381" t="s">
        <v>91</v>
      </c>
      <c r="E37" s="381" t="s">
        <v>8628</v>
      </c>
      <c r="F37" s="245" t="s">
        <v>249</v>
      </c>
      <c r="G37" s="245">
        <v>0</v>
      </c>
      <c r="H37" s="477" t="s">
        <v>8619</v>
      </c>
      <c r="I37" s="259" t="s">
        <v>8353</v>
      </c>
      <c r="J37" s="245" t="s">
        <v>12</v>
      </c>
      <c r="K37" s="245" t="s">
        <v>12</v>
      </c>
      <c r="L37" s="245" t="s">
        <v>12</v>
      </c>
      <c r="M37" s="245" t="s">
        <v>12</v>
      </c>
      <c r="N37" s="381" t="s">
        <v>8646</v>
      </c>
      <c r="O37" s="245" t="s">
        <v>330</v>
      </c>
      <c r="P37" s="306" t="s">
        <v>91</v>
      </c>
      <c r="Q37" s="306">
        <f>LEN(按鍵設計表2[[#This Row],[注音符號]])</f>
        <v>1</v>
      </c>
      <c r="R37" s="264"/>
      <c r="S37" s="265">
        <f t="shared" si="1"/>
        <v>33</v>
      </c>
      <c r="T37" s="249">
        <f t="shared" si="2"/>
        <v>33</v>
      </c>
      <c r="U37" s="183" t="s">
        <v>28</v>
      </c>
      <c r="V37" s="226" t="s">
        <v>35</v>
      </c>
      <c r="W37" s="319" t="s">
        <v>126</v>
      </c>
      <c r="X37" s="226" t="s">
        <v>126</v>
      </c>
      <c r="Y37" s="226" t="s">
        <v>36</v>
      </c>
      <c r="Z37" s="226" t="s">
        <v>126</v>
      </c>
      <c r="AA37" s="245" t="s">
        <v>8344</v>
      </c>
      <c r="AB37" s="259"/>
      <c r="AC37" s="265"/>
      <c r="AD37" s="48">
        <v>33</v>
      </c>
      <c r="AE37" s="54" t="s">
        <v>156</v>
      </c>
      <c r="AF37" s="56" t="s">
        <v>197</v>
      </c>
      <c r="AG37" s="86" t="s">
        <v>145</v>
      </c>
      <c r="AH37" s="59" t="s">
        <v>196</v>
      </c>
      <c r="AI37" s="177"/>
      <c r="AJ37" s="177"/>
      <c r="AK37" s="177"/>
      <c r="AL37" s="177"/>
    </row>
    <row r="38" spans="2:38" ht="39">
      <c r="B38" s="250">
        <f t="shared" si="0"/>
        <v>34</v>
      </c>
      <c r="C38" s="246" t="s">
        <v>22</v>
      </c>
      <c r="D38" s="245" t="s">
        <v>92</v>
      </c>
      <c r="E38" s="381" t="s">
        <v>8630</v>
      </c>
      <c r="F38" s="245" t="s">
        <v>229</v>
      </c>
      <c r="G38" s="245">
        <v>0</v>
      </c>
      <c r="H38" s="477" t="s">
        <v>8620</v>
      </c>
      <c r="I38" s="259" t="s">
        <v>8354</v>
      </c>
      <c r="J38" s="245" t="s">
        <v>18</v>
      </c>
      <c r="K38" s="245" t="s">
        <v>18</v>
      </c>
      <c r="L38" s="245" t="s">
        <v>18</v>
      </c>
      <c r="M38" s="245" t="s">
        <v>18</v>
      </c>
      <c r="N38" s="381" t="s">
        <v>8646</v>
      </c>
      <c r="O38" s="245" t="s">
        <v>20</v>
      </c>
      <c r="P38" s="306" t="s">
        <v>92</v>
      </c>
      <c r="Q38" s="306">
        <f>LEN(按鍵設計表2[[#This Row],[注音符號]])</f>
        <v>1</v>
      </c>
      <c r="R38" s="264"/>
      <c r="S38" s="265">
        <f t="shared" si="1"/>
        <v>34</v>
      </c>
      <c r="T38" s="249">
        <f t="shared" si="2"/>
        <v>34</v>
      </c>
      <c r="U38" s="183" t="s">
        <v>218</v>
      </c>
      <c r="V38" s="226" t="s">
        <v>80</v>
      </c>
      <c r="W38" s="319" t="s">
        <v>153</v>
      </c>
      <c r="X38" s="226" t="s">
        <v>281</v>
      </c>
      <c r="Y38" s="226" t="s">
        <v>8387</v>
      </c>
      <c r="Z38" s="226" t="s">
        <v>281</v>
      </c>
      <c r="AA38" s="245" t="s">
        <v>8344</v>
      </c>
      <c r="AB38" s="259"/>
      <c r="AC38" s="265"/>
      <c r="AD38" s="48">
        <v>34</v>
      </c>
      <c r="AE38" s="54" t="s">
        <v>144</v>
      </c>
      <c r="AF38" s="56" t="s">
        <v>313</v>
      </c>
      <c r="AG38" s="86" t="s">
        <v>82</v>
      </c>
      <c r="AH38" s="59" t="s">
        <v>159</v>
      </c>
      <c r="AI38" s="177"/>
      <c r="AJ38" s="177"/>
      <c r="AK38" s="177"/>
      <c r="AL38" s="177"/>
    </row>
    <row r="39" spans="2:38" ht="39.75" thickBot="1">
      <c r="B39" s="408">
        <f t="shared" si="0"/>
        <v>35</v>
      </c>
      <c r="C39" s="409" t="s">
        <v>216</v>
      </c>
      <c r="D39" s="410" t="s">
        <v>92</v>
      </c>
      <c r="E39" s="392" t="s">
        <v>8630</v>
      </c>
      <c r="F39" s="410" t="s">
        <v>253</v>
      </c>
      <c r="G39" s="410">
        <v>0</v>
      </c>
      <c r="H39" s="478" t="s">
        <v>8620</v>
      </c>
      <c r="I39" s="411" t="s">
        <v>8356</v>
      </c>
      <c r="J39" s="410" t="s">
        <v>18</v>
      </c>
      <c r="K39" s="410" t="s">
        <v>18</v>
      </c>
      <c r="L39" s="410" t="s">
        <v>18</v>
      </c>
      <c r="M39" s="410" t="s">
        <v>18</v>
      </c>
      <c r="N39" s="392" t="s">
        <v>8646</v>
      </c>
      <c r="O39" s="410" t="s">
        <v>32</v>
      </c>
      <c r="P39" s="306" t="s">
        <v>93</v>
      </c>
      <c r="Q39" s="306">
        <f>LEN(按鍵設計表2[[#This Row],[注音符號]])</f>
        <v>1</v>
      </c>
      <c r="R39" s="264"/>
      <c r="S39" s="265">
        <f t="shared" si="1"/>
        <v>35</v>
      </c>
      <c r="T39" s="249">
        <f t="shared" si="2"/>
        <v>35</v>
      </c>
      <c r="U39" s="183" t="s">
        <v>96</v>
      </c>
      <c r="V39" s="226" t="s">
        <v>98</v>
      </c>
      <c r="W39" s="319" t="s">
        <v>283</v>
      </c>
      <c r="X39" s="226" t="s">
        <v>96</v>
      </c>
      <c r="Y39" s="226" t="s">
        <v>55</v>
      </c>
      <c r="Z39" s="226" t="s">
        <v>96</v>
      </c>
      <c r="AA39" s="245" t="s">
        <v>8344</v>
      </c>
      <c r="AB39" s="259"/>
      <c r="AC39" s="265"/>
      <c r="AD39" s="48">
        <v>35</v>
      </c>
      <c r="AE39" s="54" t="s">
        <v>57</v>
      </c>
      <c r="AF39" s="56" t="s">
        <v>323</v>
      </c>
      <c r="AG39" s="86" t="s">
        <v>47</v>
      </c>
      <c r="AH39" s="59" t="s">
        <v>193</v>
      </c>
      <c r="AI39" s="177"/>
      <c r="AJ39" s="177"/>
      <c r="AK39" s="177"/>
      <c r="AL39" s="177"/>
    </row>
    <row r="40" spans="2:38" ht="43.5">
      <c r="B40" s="383">
        <f t="shared" si="0"/>
        <v>36</v>
      </c>
      <c r="C40" s="384" t="s">
        <v>8608</v>
      </c>
      <c r="D40" s="381" t="s">
        <v>145</v>
      </c>
      <c r="E40" s="381" t="s">
        <v>196</v>
      </c>
      <c r="F40" s="381" t="s">
        <v>162</v>
      </c>
      <c r="G40" s="381" t="s">
        <v>1251</v>
      </c>
      <c r="H40" s="437" t="s">
        <v>1156</v>
      </c>
      <c r="I40" s="382"/>
      <c r="J40" s="381" t="s">
        <v>196</v>
      </c>
      <c r="K40" s="381" t="s">
        <v>196</v>
      </c>
      <c r="L40" s="381" t="s">
        <v>196</v>
      </c>
      <c r="M40" s="381" t="s">
        <v>196</v>
      </c>
      <c r="N40" s="381" t="s">
        <v>7734</v>
      </c>
      <c r="O40" s="381" t="s">
        <v>162</v>
      </c>
      <c r="P40" s="306">
        <f xml:space="preserve"> _xlfn.UNICODE(P36)</f>
        <v>12724</v>
      </c>
      <c r="Q40" s="306">
        <f>LEN(按鍵設計表2[[#This Row],[注音符號]])</f>
        <v>1</v>
      </c>
      <c r="R40" s="264"/>
      <c r="S40" s="265">
        <f t="shared" si="1"/>
        <v>36</v>
      </c>
      <c r="T40" s="249">
        <f t="shared" si="2"/>
        <v>36</v>
      </c>
      <c r="U40" s="183" t="s">
        <v>283</v>
      </c>
      <c r="V40" s="226" t="s">
        <v>68</v>
      </c>
      <c r="W40" s="319" t="s">
        <v>314</v>
      </c>
      <c r="X40" s="226" t="s">
        <v>131</v>
      </c>
      <c r="Y40" s="226" t="s">
        <v>69</v>
      </c>
      <c r="Z40" s="226" t="s">
        <v>131</v>
      </c>
      <c r="AA40" s="245" t="s">
        <v>8344</v>
      </c>
      <c r="AB40" s="259" t="s">
        <v>8610</v>
      </c>
      <c r="AC40" s="265"/>
      <c r="AD40" s="48">
        <v>36</v>
      </c>
      <c r="AE40" s="54" t="s">
        <v>140</v>
      </c>
      <c r="AF40" s="56" t="s">
        <v>255</v>
      </c>
      <c r="AG40" s="86" t="s">
        <v>86</v>
      </c>
      <c r="AH40" s="59" t="s">
        <v>157</v>
      </c>
      <c r="AI40" s="177"/>
      <c r="AJ40" s="177"/>
      <c r="AK40" s="177"/>
      <c r="AL40" s="177"/>
    </row>
    <row r="41" spans="2:38" ht="43.5">
      <c r="B41" s="250">
        <f t="shared" si="0"/>
        <v>37</v>
      </c>
      <c r="C41" s="246" t="s">
        <v>273</v>
      </c>
      <c r="D41" s="245" t="s">
        <v>47</v>
      </c>
      <c r="E41" s="381" t="s">
        <v>193</v>
      </c>
      <c r="F41" s="245" t="s">
        <v>153</v>
      </c>
      <c r="G41" s="245" t="s">
        <v>732</v>
      </c>
      <c r="H41" s="434" t="s">
        <v>2340</v>
      </c>
      <c r="I41" s="259"/>
      <c r="J41" s="245" t="s">
        <v>193</v>
      </c>
      <c r="K41" s="245" t="s">
        <v>193</v>
      </c>
      <c r="L41" s="245" t="s">
        <v>193</v>
      </c>
      <c r="M41" s="245" t="s">
        <v>8647</v>
      </c>
      <c r="N41" s="381" t="s">
        <v>7734</v>
      </c>
      <c r="O41" s="245" t="s">
        <v>153</v>
      </c>
      <c r="P41" s="306">
        <f xml:space="preserve"> _xlfn.UNICODE(D36)</f>
        <v>12724</v>
      </c>
      <c r="Q41" s="306">
        <f>LEN(按鍵設計表2[[#This Row],[注音符號]])</f>
        <v>1</v>
      </c>
      <c r="R41" s="264"/>
      <c r="S41" s="265">
        <f t="shared" si="1"/>
        <v>37</v>
      </c>
      <c r="T41" s="249">
        <f t="shared" si="2"/>
        <v>37</v>
      </c>
      <c r="U41" s="183" t="s">
        <v>324</v>
      </c>
      <c r="V41" s="226" t="s">
        <v>37</v>
      </c>
      <c r="W41" s="319" t="s">
        <v>208</v>
      </c>
      <c r="X41" s="226" t="s">
        <v>208</v>
      </c>
      <c r="Y41" s="226" t="s">
        <v>38</v>
      </c>
      <c r="Z41" s="226" t="s">
        <v>208</v>
      </c>
      <c r="AA41" s="245" t="s">
        <v>8344</v>
      </c>
      <c r="AB41" s="259"/>
      <c r="AC41" s="265"/>
      <c r="AD41" s="48">
        <v>37</v>
      </c>
      <c r="AE41" s="54" t="s">
        <v>135</v>
      </c>
      <c r="AF41" s="56" t="s">
        <v>335</v>
      </c>
      <c r="AG41" s="86" t="s">
        <v>66</v>
      </c>
      <c r="AH41" s="59" t="s">
        <v>115</v>
      </c>
      <c r="AI41" s="177"/>
      <c r="AJ41" s="177"/>
      <c r="AK41" s="177"/>
      <c r="AL41" s="177"/>
    </row>
    <row r="42" spans="2:38" ht="43.5">
      <c r="B42" s="250">
        <f t="shared" si="0"/>
        <v>38</v>
      </c>
      <c r="C42" s="246" t="s">
        <v>8419</v>
      </c>
      <c r="D42" s="245" t="s">
        <v>68</v>
      </c>
      <c r="E42" s="381" t="s">
        <v>131</v>
      </c>
      <c r="F42" s="245" t="s">
        <v>222</v>
      </c>
      <c r="G42" s="245" t="s">
        <v>720</v>
      </c>
      <c r="H42" s="434" t="s">
        <v>1535</v>
      </c>
      <c r="I42" s="259" t="s">
        <v>8363</v>
      </c>
      <c r="J42" s="245" t="s">
        <v>131</v>
      </c>
      <c r="K42" s="245" t="s">
        <v>131</v>
      </c>
      <c r="L42" s="245" t="s">
        <v>131</v>
      </c>
      <c r="M42" s="245" t="s">
        <v>131</v>
      </c>
      <c r="N42" s="381" t="s">
        <v>7734</v>
      </c>
      <c r="O42" s="245" t="s">
        <v>8505</v>
      </c>
      <c r="P42" s="306">
        <f xml:space="preserve"> _xlfn.UNICODE(D6)</f>
        <v>12549</v>
      </c>
      <c r="Q42" s="306">
        <f>LEN(按鍵設計表2[[#This Row],[注音符號]])</f>
        <v>1</v>
      </c>
      <c r="R42" s="264"/>
      <c r="S42" s="265">
        <f t="shared" si="1"/>
        <v>38</v>
      </c>
      <c r="T42" s="249">
        <f t="shared" si="2"/>
        <v>38</v>
      </c>
      <c r="U42" s="183" t="s">
        <v>270</v>
      </c>
      <c r="V42" s="226" t="s">
        <v>81</v>
      </c>
      <c r="W42" s="319" t="s">
        <v>333</v>
      </c>
      <c r="X42" s="226" t="s">
        <v>163</v>
      </c>
      <c r="Y42" s="226" t="s">
        <v>8388</v>
      </c>
      <c r="Z42" s="226" t="s">
        <v>163</v>
      </c>
      <c r="AA42" s="245" t="s">
        <v>8344</v>
      </c>
      <c r="AB42" s="259"/>
      <c r="AC42" s="265"/>
      <c r="AD42" s="48">
        <v>38</v>
      </c>
      <c r="AE42" s="54" t="s">
        <v>134</v>
      </c>
      <c r="AF42" s="56" t="s">
        <v>315</v>
      </c>
      <c r="AG42" s="86" t="s">
        <v>50</v>
      </c>
      <c r="AH42" s="59" t="s">
        <v>8328</v>
      </c>
      <c r="AI42" s="177"/>
      <c r="AJ42" s="177"/>
      <c r="AK42" s="177"/>
      <c r="AL42" s="177"/>
    </row>
    <row r="43" spans="2:38" ht="43.5">
      <c r="B43" s="250">
        <f t="shared" si="0"/>
        <v>39</v>
      </c>
      <c r="C43" s="246" t="s">
        <v>8609</v>
      </c>
      <c r="D43" s="245" t="s">
        <v>66</v>
      </c>
      <c r="E43" s="381" t="s">
        <v>115</v>
      </c>
      <c r="F43" s="245" t="s">
        <v>233</v>
      </c>
      <c r="G43" s="245" t="s">
        <v>578</v>
      </c>
      <c r="H43" s="434" t="s">
        <v>767</v>
      </c>
      <c r="I43" s="259"/>
      <c r="J43" s="245" t="s">
        <v>115</v>
      </c>
      <c r="K43" s="245" t="s">
        <v>115</v>
      </c>
      <c r="L43" s="245" t="s">
        <v>115</v>
      </c>
      <c r="M43" s="245" t="s">
        <v>115</v>
      </c>
      <c r="N43" s="381" t="s">
        <v>7734</v>
      </c>
      <c r="O43" s="245" t="s">
        <v>8506</v>
      </c>
      <c r="P43" s="306"/>
      <c r="Q43" s="306">
        <f>LEN(按鍵設計表2[[#This Row],[注音符號]])</f>
        <v>1</v>
      </c>
      <c r="R43" s="264"/>
      <c r="S43" s="265">
        <f t="shared" si="1"/>
        <v>39</v>
      </c>
      <c r="T43" s="249">
        <f t="shared" si="2"/>
        <v>39</v>
      </c>
      <c r="U43" s="183" t="s">
        <v>34</v>
      </c>
      <c r="V43" s="226" t="s">
        <v>43</v>
      </c>
      <c r="W43" s="319" t="s">
        <v>158</v>
      </c>
      <c r="X43" s="226" t="s">
        <v>205</v>
      </c>
      <c r="Y43" s="226" t="s">
        <v>44</v>
      </c>
      <c r="Z43" s="226" t="s">
        <v>205</v>
      </c>
      <c r="AA43" s="245" t="s">
        <v>8344</v>
      </c>
      <c r="AB43" s="259"/>
      <c r="AC43" s="265"/>
      <c r="AD43" s="48">
        <v>39</v>
      </c>
      <c r="AE43" s="54" t="s">
        <v>132</v>
      </c>
      <c r="AF43" s="56" t="s">
        <v>95</v>
      </c>
      <c r="AG43" s="86" t="s">
        <v>64</v>
      </c>
      <c r="AH43" s="59" t="s">
        <v>107</v>
      </c>
      <c r="AI43" s="177"/>
      <c r="AJ43" s="177"/>
      <c r="AK43" s="177"/>
      <c r="AL43" s="177"/>
    </row>
    <row r="44" spans="2:38" ht="43.5">
      <c r="B44" s="250">
        <f t="shared" si="0"/>
        <v>40</v>
      </c>
      <c r="C44" s="246" t="s">
        <v>278</v>
      </c>
      <c r="D44" s="245" t="s">
        <v>64</v>
      </c>
      <c r="E44" s="381" t="s">
        <v>107</v>
      </c>
      <c r="F44" s="245" t="s">
        <v>232</v>
      </c>
      <c r="G44" s="245" t="s">
        <v>795</v>
      </c>
      <c r="H44" s="434" t="s">
        <v>873</v>
      </c>
      <c r="I44" s="259"/>
      <c r="J44" s="245" t="s">
        <v>107</v>
      </c>
      <c r="K44" s="245" t="s">
        <v>107</v>
      </c>
      <c r="L44" s="245" t="s">
        <v>107</v>
      </c>
      <c r="M44" s="245" t="s">
        <v>107</v>
      </c>
      <c r="N44" s="381" t="s">
        <v>7734</v>
      </c>
      <c r="O44" s="245" t="s">
        <v>310</v>
      </c>
      <c r="P44" s="306"/>
      <c r="Q44" s="306">
        <f>LEN(按鍵設計表2[[#This Row],[注音符號]])</f>
        <v>1</v>
      </c>
      <c r="R44" s="264"/>
      <c r="S44" s="265">
        <f t="shared" si="1"/>
        <v>40</v>
      </c>
      <c r="T44" s="249">
        <f t="shared" si="2"/>
        <v>40</v>
      </c>
      <c r="U44" s="183" t="s">
        <v>143</v>
      </c>
      <c r="V44" s="226" t="s">
        <v>85</v>
      </c>
      <c r="W44" s="319" t="s">
        <v>304</v>
      </c>
      <c r="X44" s="226" t="s">
        <v>516</v>
      </c>
      <c r="Y44" s="226" t="s">
        <v>8389</v>
      </c>
      <c r="Z44" s="226" t="s">
        <v>161</v>
      </c>
      <c r="AA44" s="245" t="s">
        <v>8344</v>
      </c>
      <c r="AB44" s="259"/>
      <c r="AC44" s="265"/>
      <c r="AD44" s="48">
        <v>40</v>
      </c>
      <c r="AE44" s="54" t="s">
        <v>127</v>
      </c>
      <c r="AF44" s="56" t="s">
        <v>306</v>
      </c>
      <c r="AG44" s="86" t="s">
        <v>325</v>
      </c>
      <c r="AH44" s="59" t="s">
        <v>282</v>
      </c>
      <c r="AI44" s="177"/>
      <c r="AJ44" s="177"/>
      <c r="AK44" s="177"/>
      <c r="AL44" s="177"/>
    </row>
    <row r="45" spans="2:38" ht="43.5">
      <c r="B45" s="250">
        <f t="shared" si="0"/>
        <v>41</v>
      </c>
      <c r="C45" s="246" t="s">
        <v>45</v>
      </c>
      <c r="D45" s="245" t="s">
        <v>87</v>
      </c>
      <c r="E45" s="381" t="s">
        <v>130</v>
      </c>
      <c r="F45" s="245" t="s">
        <v>235</v>
      </c>
      <c r="G45" s="245" t="s">
        <v>6966</v>
      </c>
      <c r="H45" s="434" t="s">
        <v>8603</v>
      </c>
      <c r="I45" s="259" t="s">
        <v>8363</v>
      </c>
      <c r="J45" s="245" t="s">
        <v>130</v>
      </c>
      <c r="K45" s="245" t="s">
        <v>130</v>
      </c>
      <c r="L45" s="245" t="s">
        <v>130</v>
      </c>
      <c r="M45" s="245" t="s">
        <v>127</v>
      </c>
      <c r="N45" s="381" t="s">
        <v>7734</v>
      </c>
      <c r="O45" s="245" t="s">
        <v>8507</v>
      </c>
      <c r="P45" s="306"/>
      <c r="Q45" s="306">
        <f>LEN(按鍵設計表2[[#This Row],[注音符號]])</f>
        <v>1</v>
      </c>
      <c r="R45" s="264"/>
      <c r="S45" s="265">
        <f t="shared" si="1"/>
        <v>41</v>
      </c>
      <c r="T45" s="249">
        <f t="shared" si="2"/>
        <v>41</v>
      </c>
      <c r="U45" s="183" t="s">
        <v>190</v>
      </c>
      <c r="V45" s="226" t="s">
        <v>266</v>
      </c>
      <c r="W45" s="319" t="s">
        <v>41</v>
      </c>
      <c r="X45" s="226" t="s">
        <v>517</v>
      </c>
      <c r="Y45" s="226" t="s">
        <v>42</v>
      </c>
      <c r="Z45" s="226" t="s">
        <v>41</v>
      </c>
      <c r="AA45" s="245" t="s">
        <v>8344</v>
      </c>
      <c r="AB45" s="259"/>
      <c r="AC45" s="265"/>
      <c r="AD45" s="48">
        <v>41</v>
      </c>
      <c r="AE45" s="54" t="s">
        <v>519</v>
      </c>
      <c r="AF45" s="56" t="s">
        <v>519</v>
      </c>
      <c r="AG45" s="86" t="s">
        <v>68</v>
      </c>
      <c r="AH45" s="59" t="s">
        <v>131</v>
      </c>
      <c r="AI45" s="177"/>
      <c r="AJ45" s="177"/>
      <c r="AK45" s="177"/>
      <c r="AL45" s="177"/>
    </row>
    <row r="46" spans="2:38" ht="44.25" thickBot="1">
      <c r="B46" s="408">
        <f t="shared" si="0"/>
        <v>42</v>
      </c>
      <c r="C46" s="409" t="s">
        <v>42</v>
      </c>
      <c r="D46" s="410" t="s">
        <v>70</v>
      </c>
      <c r="E46" s="392" t="s">
        <v>106</v>
      </c>
      <c r="F46" s="410" t="s">
        <v>223</v>
      </c>
      <c r="G46" s="410" t="s">
        <v>593</v>
      </c>
      <c r="H46" s="435" t="s">
        <v>3728</v>
      </c>
      <c r="I46" s="411" t="s">
        <v>8362</v>
      </c>
      <c r="J46" s="410" t="s">
        <v>106</v>
      </c>
      <c r="K46" s="410" t="s">
        <v>106</v>
      </c>
      <c r="L46" s="410" t="s">
        <v>106</v>
      </c>
      <c r="M46" s="410" t="s">
        <v>106</v>
      </c>
      <c r="N46" s="392" t="s">
        <v>7734</v>
      </c>
      <c r="O46" s="410" t="s">
        <v>8508</v>
      </c>
      <c r="P46" s="306"/>
      <c r="Q46" s="306">
        <f>LEN(按鍵設計表2[[#This Row],[注音符號]])</f>
        <v>1</v>
      </c>
      <c r="R46" s="264"/>
      <c r="S46" s="265">
        <f t="shared" si="1"/>
        <v>42</v>
      </c>
      <c r="T46" s="249">
        <f t="shared" si="2"/>
        <v>42</v>
      </c>
      <c r="U46" s="183" t="s">
        <v>187</v>
      </c>
      <c r="V46" s="226" t="s">
        <v>325</v>
      </c>
      <c r="W46" s="319" t="s">
        <v>306</v>
      </c>
      <c r="X46" s="226" t="s">
        <v>282</v>
      </c>
      <c r="Y46" s="226" t="s">
        <v>8390</v>
      </c>
      <c r="Z46" s="226" t="s">
        <v>282</v>
      </c>
      <c r="AA46" s="245" t="s">
        <v>8347</v>
      </c>
      <c r="AB46" s="259"/>
      <c r="AC46" s="265"/>
      <c r="AD46" s="48">
        <v>42</v>
      </c>
      <c r="AE46" s="54" t="s">
        <v>336</v>
      </c>
      <c r="AF46" s="56" t="s">
        <v>336</v>
      </c>
      <c r="AG46" s="86" t="s">
        <v>87</v>
      </c>
      <c r="AH46" s="59" t="s">
        <v>130</v>
      </c>
      <c r="AI46" s="177"/>
      <c r="AJ46" s="177"/>
      <c r="AK46" s="177"/>
      <c r="AL46" s="177"/>
    </row>
    <row r="47" spans="2:38" ht="43.5">
      <c r="B47" s="383">
        <f t="shared" si="0"/>
        <v>43</v>
      </c>
      <c r="C47" s="384" t="s">
        <v>270</v>
      </c>
      <c r="D47" s="381" t="s">
        <v>81</v>
      </c>
      <c r="E47" s="381" t="s">
        <v>163</v>
      </c>
      <c r="F47" s="381" t="s">
        <v>8500</v>
      </c>
      <c r="G47" s="381" t="s">
        <v>2087</v>
      </c>
      <c r="H47" s="437" t="s">
        <v>2390</v>
      </c>
      <c r="I47" s="382"/>
      <c r="J47" s="381" t="s">
        <v>163</v>
      </c>
      <c r="K47" s="381" t="s">
        <v>163</v>
      </c>
      <c r="L47" s="381" t="s">
        <v>163</v>
      </c>
      <c r="M47" s="381" t="s">
        <v>8648</v>
      </c>
      <c r="N47" s="381" t="s">
        <v>7734</v>
      </c>
      <c r="O47" s="381" t="s">
        <v>8500</v>
      </c>
      <c r="P47" s="306"/>
      <c r="Q47" s="306">
        <f>LEN(按鍵設計表2[[#This Row],[注音符號]])</f>
        <v>1</v>
      </c>
      <c r="R47" s="264"/>
      <c r="S47" s="265">
        <f t="shared" si="1"/>
        <v>43</v>
      </c>
      <c r="T47" s="249">
        <f t="shared" si="2"/>
        <v>43</v>
      </c>
      <c r="U47" s="183" t="s">
        <v>137</v>
      </c>
      <c r="V47" s="226" t="s">
        <v>39</v>
      </c>
      <c r="W47" s="319" t="s">
        <v>195</v>
      </c>
      <c r="X47" s="226" t="s">
        <v>195</v>
      </c>
      <c r="Y47" s="226" t="s">
        <v>40</v>
      </c>
      <c r="Z47" s="226" t="s">
        <v>195</v>
      </c>
      <c r="AA47" s="245" t="s">
        <v>8344</v>
      </c>
      <c r="AB47" s="259"/>
      <c r="AC47" s="265"/>
      <c r="AD47" s="48">
        <v>43</v>
      </c>
      <c r="AE47" s="54" t="s">
        <v>520</v>
      </c>
      <c r="AF47" s="56" t="s">
        <v>257</v>
      </c>
      <c r="AG47" s="86" t="s">
        <v>70</v>
      </c>
      <c r="AH47" s="59" t="s">
        <v>106</v>
      </c>
      <c r="AI47" s="177"/>
      <c r="AJ47" s="177"/>
      <c r="AK47" s="177"/>
      <c r="AL47" s="177"/>
    </row>
    <row r="48" spans="2:38" ht="43.5">
      <c r="B48" s="250">
        <f t="shared" si="0"/>
        <v>44</v>
      </c>
      <c r="C48" s="246" t="s">
        <v>139</v>
      </c>
      <c r="D48" s="245" t="s">
        <v>79</v>
      </c>
      <c r="E48" s="381" t="s">
        <v>279</v>
      </c>
      <c r="F48" s="245" t="s">
        <v>8501</v>
      </c>
      <c r="G48" s="245" t="s">
        <v>5380</v>
      </c>
      <c r="H48" s="434" t="s">
        <v>2338</v>
      </c>
      <c r="I48" s="259"/>
      <c r="J48" s="245" t="s">
        <v>279</v>
      </c>
      <c r="K48" s="245" t="s">
        <v>279</v>
      </c>
      <c r="L48" s="245" t="s">
        <v>279</v>
      </c>
      <c r="M48" s="245" t="s">
        <v>8649</v>
      </c>
      <c r="N48" s="381" t="s">
        <v>7734</v>
      </c>
      <c r="O48" s="245" t="s">
        <v>8501</v>
      </c>
      <c r="P48" s="306"/>
      <c r="Q48" s="306">
        <f>LEN(按鍵設計表2[[#This Row],[注音符號]])</f>
        <v>1</v>
      </c>
      <c r="R48" s="264"/>
      <c r="S48" s="265">
        <f t="shared" si="1"/>
        <v>44</v>
      </c>
      <c r="T48" s="249">
        <f t="shared" si="2"/>
        <v>44</v>
      </c>
      <c r="U48" s="183" t="s">
        <v>136</v>
      </c>
      <c r="V48" s="226" t="s">
        <v>83</v>
      </c>
      <c r="W48" s="319" t="s">
        <v>191</v>
      </c>
      <c r="X48" s="226" t="s">
        <v>160</v>
      </c>
      <c r="Y48" s="226" t="s">
        <v>8391</v>
      </c>
      <c r="Z48" s="226" t="s">
        <v>160</v>
      </c>
      <c r="AA48" s="245" t="s">
        <v>8344</v>
      </c>
      <c r="AB48" s="259"/>
      <c r="AC48" s="265"/>
      <c r="AD48" s="48">
        <v>44</v>
      </c>
      <c r="AE48" s="54" t="s">
        <v>521</v>
      </c>
      <c r="AF48" s="56" t="s">
        <v>305</v>
      </c>
      <c r="AG48" s="86" t="s">
        <v>48</v>
      </c>
      <c r="AH48" s="59" t="s">
        <v>272</v>
      </c>
      <c r="AI48" s="177"/>
      <c r="AJ48" s="177"/>
      <c r="AK48" s="177"/>
      <c r="AL48" s="177"/>
    </row>
    <row r="49" spans="2:38" ht="43.5">
      <c r="B49" s="250">
        <f t="shared" si="0"/>
        <v>45</v>
      </c>
      <c r="C49" s="246" t="s">
        <v>218</v>
      </c>
      <c r="D49" s="245" t="s">
        <v>80</v>
      </c>
      <c r="E49" s="381" t="s">
        <v>281</v>
      </c>
      <c r="F49" s="245" t="s">
        <v>8502</v>
      </c>
      <c r="G49" s="245">
        <v>0</v>
      </c>
      <c r="H49" s="434" t="s">
        <v>6195</v>
      </c>
      <c r="I49" s="259"/>
      <c r="J49" s="245" t="s">
        <v>281</v>
      </c>
      <c r="K49" s="245" t="s">
        <v>281</v>
      </c>
      <c r="L49" s="245" t="s">
        <v>281</v>
      </c>
      <c r="M49" s="245" t="s">
        <v>8650</v>
      </c>
      <c r="N49" s="381" t="s">
        <v>7734</v>
      </c>
      <c r="O49" s="245" t="s">
        <v>8502</v>
      </c>
      <c r="P49" s="306"/>
      <c r="Q49" s="306">
        <f>LEN(按鍵設計表2[[#This Row],[注音符號]])</f>
        <v>1</v>
      </c>
      <c r="R49" s="264"/>
      <c r="S49" s="265">
        <f t="shared" si="1"/>
        <v>45</v>
      </c>
      <c r="T49" s="249">
        <f t="shared" si="2"/>
        <v>45</v>
      </c>
      <c r="U49" s="183" t="s">
        <v>156</v>
      </c>
      <c r="V49" s="226" t="s">
        <v>145</v>
      </c>
      <c r="W49" s="319" t="s">
        <v>197</v>
      </c>
      <c r="X49" s="226" t="s">
        <v>196</v>
      </c>
      <c r="Y49" s="226" t="s">
        <v>46</v>
      </c>
      <c r="Z49" s="226" t="s">
        <v>196</v>
      </c>
      <c r="AA49" s="245" t="s">
        <v>8344</v>
      </c>
      <c r="AB49" s="259"/>
      <c r="AC49" s="265"/>
      <c r="AD49" s="48">
        <v>45</v>
      </c>
      <c r="AE49" s="54" t="s">
        <v>129</v>
      </c>
      <c r="AF49" s="56" t="s">
        <v>140</v>
      </c>
      <c r="AG49" s="86" t="s">
        <v>89</v>
      </c>
      <c r="AH49" s="59" t="s">
        <v>8329</v>
      </c>
      <c r="AI49" s="177"/>
      <c r="AJ49" s="177"/>
      <c r="AK49" s="177"/>
      <c r="AL49" s="177"/>
    </row>
    <row r="50" spans="2:38" ht="43.5">
      <c r="B50" s="250">
        <f t="shared" si="0"/>
        <v>46</v>
      </c>
      <c r="C50" s="246" t="s">
        <v>8611</v>
      </c>
      <c r="D50" s="245" t="s">
        <v>83</v>
      </c>
      <c r="E50" s="381" t="s">
        <v>160</v>
      </c>
      <c r="F50" s="245" t="s">
        <v>8503</v>
      </c>
      <c r="G50" s="245" t="s">
        <v>3703</v>
      </c>
      <c r="H50" s="434" t="s">
        <v>7350</v>
      </c>
      <c r="I50" s="259"/>
      <c r="J50" s="245" t="s">
        <v>160</v>
      </c>
      <c r="K50" s="245" t="s">
        <v>160</v>
      </c>
      <c r="L50" s="245" t="s">
        <v>160</v>
      </c>
      <c r="M50" s="245" t="s">
        <v>8651</v>
      </c>
      <c r="N50" s="381" t="s">
        <v>7734</v>
      </c>
      <c r="O50" s="245" t="s">
        <v>8503</v>
      </c>
      <c r="P50" s="306"/>
      <c r="Q50" s="306">
        <f>LEN(按鍵設計表2[[#This Row],[注音符號]])</f>
        <v>1</v>
      </c>
      <c r="R50" s="264"/>
      <c r="S50" s="265">
        <f t="shared" si="1"/>
        <v>46</v>
      </c>
      <c r="T50" s="249">
        <f t="shared" si="2"/>
        <v>46</v>
      </c>
      <c r="U50" s="183" t="s">
        <v>271</v>
      </c>
      <c r="V50" s="226" t="s">
        <v>82</v>
      </c>
      <c r="W50" s="319" t="s">
        <v>313</v>
      </c>
      <c r="X50" s="226" t="s">
        <v>159</v>
      </c>
      <c r="Y50" s="226" t="s">
        <v>8392</v>
      </c>
      <c r="Z50" s="226" t="s">
        <v>159</v>
      </c>
      <c r="AA50" s="245" t="s">
        <v>8344</v>
      </c>
      <c r="AB50" s="259"/>
      <c r="AC50" s="265"/>
      <c r="AD50" s="48">
        <v>46</v>
      </c>
      <c r="AE50" s="54" t="s">
        <v>96</v>
      </c>
      <c r="AF50" s="56" t="s">
        <v>283</v>
      </c>
      <c r="AG50" s="86" t="s">
        <v>98</v>
      </c>
      <c r="AH50" s="59" t="s">
        <v>96</v>
      </c>
      <c r="AI50" s="177"/>
      <c r="AJ50" s="177"/>
      <c r="AK50" s="177"/>
      <c r="AL50" s="177"/>
    </row>
    <row r="51" spans="2:38" ht="43.5">
      <c r="B51" s="250">
        <f t="shared" si="0"/>
        <v>47</v>
      </c>
      <c r="C51" s="246" t="s">
        <v>143</v>
      </c>
      <c r="D51" s="245" t="s">
        <v>85</v>
      </c>
      <c r="E51" s="381" t="s">
        <v>161</v>
      </c>
      <c r="F51" s="245" t="s">
        <v>8504</v>
      </c>
      <c r="G51" s="245" t="s">
        <v>3963</v>
      </c>
      <c r="H51" s="434" t="s">
        <v>3303</v>
      </c>
      <c r="I51" s="259"/>
      <c r="J51" s="245" t="s">
        <v>516</v>
      </c>
      <c r="K51" s="245" t="s">
        <v>161</v>
      </c>
      <c r="L51" s="245" t="s">
        <v>161</v>
      </c>
      <c r="M51" s="245" t="s">
        <v>8652</v>
      </c>
      <c r="N51" s="381" t="s">
        <v>7734</v>
      </c>
      <c r="O51" s="245" t="s">
        <v>8504</v>
      </c>
      <c r="P51" s="306"/>
      <c r="Q51" s="306">
        <f>LEN(按鍵設計表2[[#This Row],[注音符號]])</f>
        <v>1</v>
      </c>
      <c r="R51" s="264"/>
      <c r="S51" s="265">
        <f t="shared" si="1"/>
        <v>47</v>
      </c>
      <c r="T51" s="249">
        <f t="shared" si="2"/>
        <v>47</v>
      </c>
      <c r="U51" s="183" t="s">
        <v>42</v>
      </c>
      <c r="V51" s="226" t="s">
        <v>70</v>
      </c>
      <c r="W51" s="319" t="s">
        <v>257</v>
      </c>
      <c r="X51" s="226" t="s">
        <v>106</v>
      </c>
      <c r="Y51" s="226" t="s">
        <v>71</v>
      </c>
      <c r="Z51" s="226" t="s">
        <v>106</v>
      </c>
      <c r="AA51" s="245" t="s">
        <v>8344</v>
      </c>
      <c r="AB51" s="259" t="s">
        <v>8612</v>
      </c>
      <c r="AC51" s="265"/>
      <c r="AD51" s="48">
        <v>47</v>
      </c>
      <c r="AE51" s="54" t="s">
        <v>123</v>
      </c>
      <c r="AF51" s="56" t="s">
        <v>306</v>
      </c>
      <c r="AG51" s="86" t="s">
        <v>90</v>
      </c>
      <c r="AH51" s="59" t="s">
        <v>8332</v>
      </c>
      <c r="AI51" s="177"/>
      <c r="AJ51" s="177"/>
      <c r="AK51" s="177"/>
      <c r="AL51" s="177"/>
    </row>
    <row r="52" spans="2:38" ht="43.5">
      <c r="B52" s="250">
        <f t="shared" si="0"/>
        <v>48</v>
      </c>
      <c r="C52" s="246" t="s">
        <v>271</v>
      </c>
      <c r="D52" s="245" t="s">
        <v>82</v>
      </c>
      <c r="E52" s="381" t="s">
        <v>159</v>
      </c>
      <c r="F52" s="245" t="s">
        <v>8509</v>
      </c>
      <c r="G52" s="245" t="s">
        <v>1845</v>
      </c>
      <c r="H52" s="434" t="s">
        <v>4654</v>
      </c>
      <c r="I52" s="259"/>
      <c r="J52" s="245" t="s">
        <v>159</v>
      </c>
      <c r="K52" s="245" t="s">
        <v>159</v>
      </c>
      <c r="L52" s="245" t="s">
        <v>159</v>
      </c>
      <c r="M52" s="245" t="s">
        <v>8653</v>
      </c>
      <c r="N52" s="381" t="s">
        <v>7734</v>
      </c>
      <c r="O52" s="245" t="s">
        <v>8509</v>
      </c>
      <c r="P52" s="306"/>
      <c r="Q52" s="306">
        <f>LEN(按鍵設計表2[[#This Row],[注音符號]])</f>
        <v>1</v>
      </c>
      <c r="R52" s="264"/>
      <c r="S52" s="265">
        <f t="shared" si="1"/>
        <v>48</v>
      </c>
      <c r="T52" s="249">
        <f t="shared" si="2"/>
        <v>48</v>
      </c>
      <c r="U52" s="183" t="s">
        <v>45</v>
      </c>
      <c r="V52" s="226" t="s">
        <v>87</v>
      </c>
      <c r="W52" s="319" t="s">
        <v>8424</v>
      </c>
      <c r="X52" s="226" t="s">
        <v>130</v>
      </c>
      <c r="Y52" s="226" t="s">
        <v>53</v>
      </c>
      <c r="Z52" s="226" t="s">
        <v>130</v>
      </c>
      <c r="AA52" s="245" t="s">
        <v>8344</v>
      </c>
      <c r="AB52" s="259" t="s">
        <v>8610</v>
      </c>
      <c r="AC52" s="265"/>
      <c r="AD52" s="48">
        <v>48</v>
      </c>
      <c r="AE52" s="54" t="s">
        <v>12</v>
      </c>
      <c r="AF52" s="56" t="s">
        <v>310</v>
      </c>
      <c r="AG52" s="86" t="s">
        <v>91</v>
      </c>
      <c r="AH52" s="59" t="s">
        <v>8333</v>
      </c>
      <c r="AI52" s="177"/>
      <c r="AJ52" s="177"/>
      <c r="AK52" s="177"/>
      <c r="AL52" s="177"/>
    </row>
    <row r="53" spans="2:38" ht="44.25" thickBot="1">
      <c r="B53" s="408">
        <f t="shared" si="0"/>
        <v>49</v>
      </c>
      <c r="C53" s="409" t="s">
        <v>274</v>
      </c>
      <c r="D53" s="410" t="s">
        <v>86</v>
      </c>
      <c r="E53" s="392" t="s">
        <v>157</v>
      </c>
      <c r="F53" s="410" t="s">
        <v>8510</v>
      </c>
      <c r="G53" s="410" t="s">
        <v>639</v>
      </c>
      <c r="H53" s="435" t="s">
        <v>639</v>
      </c>
      <c r="I53" s="411"/>
      <c r="J53" s="410" t="s">
        <v>157</v>
      </c>
      <c r="K53" s="410" t="s">
        <v>157</v>
      </c>
      <c r="L53" s="410" t="s">
        <v>157</v>
      </c>
      <c r="M53" s="410" t="s">
        <v>8654</v>
      </c>
      <c r="N53" s="392" t="s">
        <v>7734</v>
      </c>
      <c r="O53" s="410" t="s">
        <v>8510</v>
      </c>
      <c r="P53" s="306"/>
      <c r="Q53" s="306">
        <f>LEN(按鍵設計表2[[#This Row],[注音符號]])</f>
        <v>1</v>
      </c>
      <c r="R53" s="264"/>
      <c r="S53" s="265">
        <f t="shared" si="1"/>
        <v>49</v>
      </c>
      <c r="T53" s="249">
        <f t="shared" si="2"/>
        <v>49</v>
      </c>
      <c r="U53" s="183" t="s">
        <v>273</v>
      </c>
      <c r="V53" s="226" t="s">
        <v>47</v>
      </c>
      <c r="W53" s="319" t="s">
        <v>323</v>
      </c>
      <c r="X53" s="226" t="s">
        <v>193</v>
      </c>
      <c r="Y53" s="226" t="s">
        <v>8393</v>
      </c>
      <c r="Z53" s="226" t="s">
        <v>193</v>
      </c>
      <c r="AA53" s="245" t="s">
        <v>8344</v>
      </c>
      <c r="AB53" s="259"/>
      <c r="AC53" s="265"/>
      <c r="AD53" s="48">
        <v>49</v>
      </c>
      <c r="AE53" s="54" t="s">
        <v>119</v>
      </c>
      <c r="AF53" s="56" t="s">
        <v>314</v>
      </c>
      <c r="AG53" s="86" t="s">
        <v>92</v>
      </c>
      <c r="AH53" s="59" t="s">
        <v>8334</v>
      </c>
      <c r="AI53" s="177"/>
      <c r="AJ53" s="177"/>
      <c r="AK53" s="177"/>
      <c r="AL53" s="177"/>
    </row>
    <row r="54" spans="2:38" ht="43.5">
      <c r="B54" s="383">
        <f t="shared" si="0"/>
        <v>50</v>
      </c>
      <c r="C54" s="384">
        <v>7</v>
      </c>
      <c r="D54" s="381" t="s">
        <v>76</v>
      </c>
      <c r="E54" s="381">
        <v>0</v>
      </c>
      <c r="F54" s="381">
        <v>0</v>
      </c>
      <c r="G54" s="381">
        <v>0</v>
      </c>
      <c r="H54" s="437"/>
      <c r="I54" s="382" t="s">
        <v>8564</v>
      </c>
      <c r="J54" s="381">
        <v>0</v>
      </c>
      <c r="K54" s="381">
        <v>0</v>
      </c>
      <c r="L54" s="381">
        <v>0</v>
      </c>
      <c r="M54" s="381">
        <v>0</v>
      </c>
      <c r="N54" s="381" t="s">
        <v>2251</v>
      </c>
      <c r="O54" s="381"/>
      <c r="P54" s="306"/>
      <c r="Q54" s="306">
        <f>LEN(按鍵設計表2[[#This Row],[注音符號]])</f>
        <v>1</v>
      </c>
      <c r="R54" s="264"/>
      <c r="S54" s="265">
        <f t="shared" si="1"/>
        <v>50</v>
      </c>
      <c r="T54" s="249">
        <f t="shared" si="2"/>
        <v>50</v>
      </c>
      <c r="U54" s="183" t="s">
        <v>274</v>
      </c>
      <c r="V54" s="226" t="s">
        <v>86</v>
      </c>
      <c r="W54" s="319" t="s">
        <v>255</v>
      </c>
      <c r="X54" s="226" t="s">
        <v>157</v>
      </c>
      <c r="Y54" s="226" t="s">
        <v>8394</v>
      </c>
      <c r="Z54" s="226" t="s">
        <v>157</v>
      </c>
      <c r="AA54" s="245" t="s">
        <v>8344</v>
      </c>
      <c r="AB54" s="259"/>
      <c r="AC54" s="265"/>
      <c r="AD54" s="48">
        <v>50</v>
      </c>
      <c r="AE54" s="54" t="s">
        <v>258</v>
      </c>
      <c r="AF54" s="56" t="s">
        <v>258</v>
      </c>
      <c r="AG54" s="86" t="s">
        <v>93</v>
      </c>
      <c r="AH54" s="59" t="s">
        <v>8335</v>
      </c>
      <c r="AI54" s="177"/>
      <c r="AJ54" s="177"/>
      <c r="AK54" s="177"/>
      <c r="AL54" s="177"/>
    </row>
    <row r="55" spans="2:38" ht="39">
      <c r="B55" s="383">
        <f t="shared" si="0"/>
        <v>51</v>
      </c>
      <c r="C55" s="384">
        <v>5</v>
      </c>
      <c r="D55" s="381" t="s">
        <v>75</v>
      </c>
      <c r="E55" s="381">
        <v>7</v>
      </c>
      <c r="F55" s="381">
        <v>7</v>
      </c>
      <c r="G55" s="381">
        <v>0</v>
      </c>
      <c r="H55" s="381"/>
      <c r="I55" s="382"/>
      <c r="J55" s="381">
        <v>7</v>
      </c>
      <c r="K55" s="381">
        <v>7</v>
      </c>
      <c r="L55" s="381">
        <v>7</v>
      </c>
      <c r="M55" s="381">
        <v>6</v>
      </c>
      <c r="N55" s="381" t="s">
        <v>2251</v>
      </c>
      <c r="O55" s="381"/>
      <c r="P55" s="306"/>
      <c r="Q55" s="306">
        <f>LEN(按鍵設計表2[[#This Row],[注音符號]])</f>
        <v>1</v>
      </c>
      <c r="R55" s="264"/>
      <c r="S55" s="265">
        <f t="shared" si="1"/>
        <v>51</v>
      </c>
      <c r="T55" s="250">
        <f t="shared" si="2"/>
        <v>51</v>
      </c>
      <c r="U55" s="316" t="s">
        <v>276</v>
      </c>
      <c r="V55" s="317" t="s">
        <v>8381</v>
      </c>
      <c r="W55" s="323">
        <v>0</v>
      </c>
      <c r="X55" s="317">
        <v>0</v>
      </c>
      <c r="Y55" s="317">
        <v>0</v>
      </c>
      <c r="Z55" s="317">
        <v>0</v>
      </c>
      <c r="AA55" s="317" t="s">
        <v>8373</v>
      </c>
      <c r="AB55" s="259"/>
      <c r="AC55" s="265"/>
      <c r="AD55" s="48">
        <v>53</v>
      </c>
      <c r="AE55" s="252" t="str">
        <f xml:space="preserve"> CHAR(32)</f>
        <v xml:space="preserve"> </v>
      </c>
      <c r="AF55" s="56">
        <v>1</v>
      </c>
      <c r="AG55" s="86" t="s">
        <v>285</v>
      </c>
      <c r="AH55" s="59">
        <v>1</v>
      </c>
      <c r="AI55" s="177"/>
      <c r="AJ55" s="177"/>
      <c r="AK55" s="177"/>
      <c r="AL55" s="177"/>
    </row>
    <row r="56" spans="2:38" ht="39">
      <c r="B56" s="383">
        <f t="shared" si="0"/>
        <v>52</v>
      </c>
      <c r="C56" s="384">
        <v>3</v>
      </c>
      <c r="D56" s="381" t="s">
        <v>73</v>
      </c>
      <c r="E56" s="381">
        <v>3</v>
      </c>
      <c r="F56" s="381" t="s">
        <v>124</v>
      </c>
      <c r="G56" s="381">
        <v>0</v>
      </c>
      <c r="H56" s="381"/>
      <c r="I56" s="382"/>
      <c r="J56" s="381">
        <v>3</v>
      </c>
      <c r="K56" s="381">
        <v>3</v>
      </c>
      <c r="L56" s="381">
        <v>3</v>
      </c>
      <c r="M56" s="381">
        <v>5</v>
      </c>
      <c r="N56" s="381" t="s">
        <v>2251</v>
      </c>
      <c r="O56" s="381"/>
      <c r="P56" s="306"/>
      <c r="Q56" s="306">
        <f>LEN(按鍵設計表2[[#This Row],[注音符號]])</f>
        <v>1</v>
      </c>
      <c r="R56" s="264"/>
      <c r="S56" s="265">
        <f t="shared" si="1"/>
        <v>52</v>
      </c>
      <c r="T56" s="250">
        <f t="shared" si="2"/>
        <v>52</v>
      </c>
      <c r="U56" s="179" t="s">
        <v>135</v>
      </c>
      <c r="V56" s="224" t="s">
        <v>66</v>
      </c>
      <c r="W56" s="318" t="s">
        <v>335</v>
      </c>
      <c r="X56" s="224" t="s">
        <v>115</v>
      </c>
      <c r="Y56" s="224" t="s">
        <v>67</v>
      </c>
      <c r="Z56" s="224" t="s">
        <v>115</v>
      </c>
      <c r="AA56" s="224" t="s">
        <v>7734</v>
      </c>
      <c r="AB56" s="257"/>
      <c r="AC56" s="265"/>
      <c r="AD56" s="48">
        <v>54</v>
      </c>
      <c r="AE56" s="54" t="s">
        <v>125</v>
      </c>
      <c r="AF56" s="56">
        <v>2</v>
      </c>
      <c r="AG56" s="86" t="s">
        <v>72</v>
      </c>
      <c r="AH56" s="59">
        <v>2</v>
      </c>
      <c r="AI56" s="177"/>
      <c r="AJ56" s="177"/>
      <c r="AK56" s="177"/>
      <c r="AL56" s="177"/>
    </row>
    <row r="57" spans="2:38" ht="39">
      <c r="B57" s="383">
        <f t="shared" si="0"/>
        <v>53</v>
      </c>
      <c r="C57" s="384">
        <v>4</v>
      </c>
      <c r="D57" s="381" t="s">
        <v>72</v>
      </c>
      <c r="E57" s="381">
        <v>2</v>
      </c>
      <c r="F57" s="381" t="s">
        <v>206</v>
      </c>
      <c r="G57" s="381">
        <v>0</v>
      </c>
      <c r="H57" s="381"/>
      <c r="I57" s="382"/>
      <c r="J57" s="381">
        <v>2</v>
      </c>
      <c r="K57" s="381">
        <v>2</v>
      </c>
      <c r="L57" s="381">
        <v>2</v>
      </c>
      <c r="M57" s="381">
        <v>3</v>
      </c>
      <c r="N57" s="381" t="s">
        <v>2251</v>
      </c>
      <c r="O57" s="381"/>
      <c r="P57" s="306"/>
      <c r="Q57" s="306">
        <f>LEN(按鍵設計表2[[#This Row],[注音符號]])</f>
        <v>1</v>
      </c>
      <c r="R57" s="264"/>
      <c r="S57" s="265">
        <f t="shared" si="1"/>
        <v>53</v>
      </c>
      <c r="T57" s="249">
        <f t="shared" si="2"/>
        <v>53</v>
      </c>
      <c r="U57" s="246" t="s">
        <v>6</v>
      </c>
      <c r="V57" s="245" t="s">
        <v>50</v>
      </c>
      <c r="W57" s="320" t="s">
        <v>315</v>
      </c>
      <c r="X57" s="245" t="s">
        <v>16</v>
      </c>
      <c r="Y57" s="245" t="s">
        <v>221</v>
      </c>
      <c r="Z57" s="245" t="s">
        <v>16</v>
      </c>
      <c r="AA57" s="245" t="s">
        <v>7734</v>
      </c>
      <c r="AB57" s="259" t="s">
        <v>8350</v>
      </c>
      <c r="AC57" s="265"/>
      <c r="AD57" s="48">
        <v>55</v>
      </c>
      <c r="AE57" s="54" t="s">
        <v>124</v>
      </c>
      <c r="AF57" s="56">
        <v>3</v>
      </c>
      <c r="AG57" s="86" t="s">
        <v>73</v>
      </c>
      <c r="AH57" s="59">
        <v>3</v>
      </c>
      <c r="AI57" s="177"/>
      <c r="AJ57" s="177"/>
      <c r="AK57" s="177"/>
      <c r="AL57" s="177"/>
    </row>
    <row r="58" spans="2:38" ht="39">
      <c r="B58" s="383">
        <f t="shared" si="0"/>
        <v>54</v>
      </c>
      <c r="C58" s="384">
        <v>6</v>
      </c>
      <c r="D58" s="381" t="s">
        <v>74</v>
      </c>
      <c r="E58" s="381">
        <v>5</v>
      </c>
      <c r="F58" s="381" t="s">
        <v>111</v>
      </c>
      <c r="G58" s="381">
        <v>0</v>
      </c>
      <c r="H58" s="381"/>
      <c r="I58" s="382"/>
      <c r="J58" s="381">
        <v>5</v>
      </c>
      <c r="K58" s="381">
        <v>5</v>
      </c>
      <c r="L58" s="381">
        <v>5</v>
      </c>
      <c r="M58" s="381">
        <v>2</v>
      </c>
      <c r="N58" s="381" t="s">
        <v>2251</v>
      </c>
      <c r="O58" s="381"/>
      <c r="P58" s="306"/>
      <c r="Q58" s="306">
        <f>LEN(按鍵設計表2[[#This Row],[注音符號]])</f>
        <v>1</v>
      </c>
      <c r="R58" s="264"/>
      <c r="S58" s="265">
        <f t="shared" si="1"/>
        <v>54</v>
      </c>
      <c r="T58" s="249">
        <f t="shared" si="2"/>
        <v>54</v>
      </c>
      <c r="U58" s="246" t="s">
        <v>278</v>
      </c>
      <c r="V58" s="245" t="s">
        <v>64</v>
      </c>
      <c r="W58" s="322" t="s">
        <v>249</v>
      </c>
      <c r="X58" s="245" t="s">
        <v>107</v>
      </c>
      <c r="Y58" s="245" t="s">
        <v>65</v>
      </c>
      <c r="Z58" s="245" t="s">
        <v>107</v>
      </c>
      <c r="AA58" s="245" t="s">
        <v>7734</v>
      </c>
      <c r="AB58" s="259"/>
      <c r="AC58" s="265"/>
      <c r="AD58" s="48">
        <v>56</v>
      </c>
      <c r="AE58" s="54" t="s">
        <v>114</v>
      </c>
      <c r="AF58" s="56">
        <v>5</v>
      </c>
      <c r="AG58" s="86" t="s">
        <v>74</v>
      </c>
      <c r="AH58" s="59">
        <v>5</v>
      </c>
      <c r="AI58" s="177"/>
      <c r="AJ58" s="177"/>
      <c r="AK58" s="177"/>
      <c r="AL58" s="177"/>
    </row>
    <row r="59" spans="2:38" ht="39">
      <c r="B59" s="383">
        <f t="shared" si="0"/>
        <v>55</v>
      </c>
      <c r="C59" s="462" t="s">
        <v>8418</v>
      </c>
      <c r="D59" s="381" t="s">
        <v>89</v>
      </c>
      <c r="E59" s="381"/>
      <c r="F59" s="381" t="s">
        <v>165</v>
      </c>
      <c r="G59" s="389" t="s">
        <v>8481</v>
      </c>
      <c r="H59" s="381"/>
      <c r="I59" s="385" t="s">
        <v>8487</v>
      </c>
      <c r="J59" s="389" t="s">
        <v>8481</v>
      </c>
      <c r="K59" s="389" t="s">
        <v>8462</v>
      </c>
      <c r="L59" s="389" t="s">
        <v>8462</v>
      </c>
      <c r="M59" s="389" t="s">
        <v>8513</v>
      </c>
      <c r="N59" s="381" t="s">
        <v>8337</v>
      </c>
      <c r="O59" s="381"/>
      <c r="P59" s="306"/>
      <c r="Q59" s="306">
        <f>LEN(按鍵設計表2[[#This Row],[注音符號]])</f>
        <v>1</v>
      </c>
      <c r="R59" s="264"/>
      <c r="S59" s="265">
        <f t="shared" si="1"/>
        <v>55</v>
      </c>
      <c r="T59" s="249">
        <f t="shared" si="2"/>
        <v>55</v>
      </c>
      <c r="U59" s="183" t="s">
        <v>280</v>
      </c>
      <c r="V59" s="226" t="s">
        <v>48</v>
      </c>
      <c r="W59" s="319" t="s">
        <v>305</v>
      </c>
      <c r="X59" s="226" t="s">
        <v>94</v>
      </c>
      <c r="Y59" s="226" t="s">
        <v>59</v>
      </c>
      <c r="Z59" s="226" t="s">
        <v>94</v>
      </c>
      <c r="AA59" s="226" t="s">
        <v>7734</v>
      </c>
      <c r="AB59" s="258" t="s">
        <v>8372</v>
      </c>
      <c r="AC59" s="265"/>
      <c r="AD59" s="48">
        <v>57</v>
      </c>
      <c r="AE59" s="54" t="s">
        <v>111</v>
      </c>
      <c r="AF59" s="56">
        <v>7</v>
      </c>
      <c r="AG59" s="86" t="s">
        <v>75</v>
      </c>
      <c r="AH59" s="59">
        <v>7</v>
      </c>
      <c r="AI59" s="177"/>
      <c r="AJ59" s="177"/>
      <c r="AK59" s="177"/>
      <c r="AL59" s="177"/>
    </row>
    <row r="60" spans="2:38" ht="39">
      <c r="B60" s="383">
        <f t="shared" si="0"/>
        <v>56</v>
      </c>
      <c r="C60" s="412" t="s">
        <v>276</v>
      </c>
      <c r="D60" s="413" t="s">
        <v>8381</v>
      </c>
      <c r="E60" s="413"/>
      <c r="F60" s="413" t="s">
        <v>8566</v>
      </c>
      <c r="G60" s="413">
        <v>0</v>
      </c>
      <c r="H60" s="413"/>
      <c r="I60" s="382" t="s">
        <v>8567</v>
      </c>
      <c r="J60" s="413">
        <v>0</v>
      </c>
      <c r="K60" s="413">
        <v>0</v>
      </c>
      <c r="L60" s="413">
        <v>0</v>
      </c>
      <c r="M60" s="413">
        <v>0</v>
      </c>
      <c r="N60" s="381" t="s">
        <v>8337</v>
      </c>
      <c r="O60" s="413"/>
      <c r="P60" s="306"/>
      <c r="Q60" s="306">
        <f>LEN(按鍵設計表2[[#This Row],[注音符號]])</f>
        <v>1</v>
      </c>
      <c r="R60" s="264"/>
      <c r="S60" s="265">
        <f t="shared" si="1"/>
        <v>56</v>
      </c>
      <c r="T60" s="249">
        <f t="shared" si="2"/>
        <v>56</v>
      </c>
      <c r="U60" s="179" t="s">
        <v>53</v>
      </c>
      <c r="V60" s="224" t="s">
        <v>8377</v>
      </c>
      <c r="W60" s="318" t="s">
        <v>270</v>
      </c>
      <c r="X60" s="224" t="s">
        <v>8376</v>
      </c>
      <c r="Y60" s="224" t="s">
        <v>8376</v>
      </c>
      <c r="Z60" s="224" t="s">
        <v>8376</v>
      </c>
      <c r="AA60" s="224" t="s">
        <v>7510</v>
      </c>
      <c r="AB60" s="257" t="s">
        <v>8378</v>
      </c>
      <c r="AC60" s="265"/>
      <c r="AD60" s="48">
        <v>58</v>
      </c>
      <c r="AE60" s="54" t="s">
        <v>108</v>
      </c>
      <c r="AF60" s="56">
        <v>0</v>
      </c>
      <c r="AG60" s="86" t="s">
        <v>76</v>
      </c>
      <c r="AH60" s="59">
        <v>48</v>
      </c>
      <c r="AI60" s="177"/>
      <c r="AJ60" s="177"/>
      <c r="AK60" s="177"/>
      <c r="AL60" s="177"/>
    </row>
    <row r="61" spans="2:38" ht="39.75" thickBot="1">
      <c r="B61" s="383">
        <f t="shared" si="0"/>
        <v>57</v>
      </c>
      <c r="C61" s="391" t="s">
        <v>53</v>
      </c>
      <c r="D61" s="392" t="s">
        <v>8377</v>
      </c>
      <c r="E61" s="392"/>
      <c r="F61" s="392"/>
      <c r="G61" s="392" t="s">
        <v>8376</v>
      </c>
      <c r="H61" s="392"/>
      <c r="I61" s="426" t="s">
        <v>8568</v>
      </c>
      <c r="J61" s="392" t="s">
        <v>8376</v>
      </c>
      <c r="K61" s="392" t="s">
        <v>8427</v>
      </c>
      <c r="L61" s="392" t="s">
        <v>8427</v>
      </c>
      <c r="M61" s="392" t="s">
        <v>8376</v>
      </c>
      <c r="N61" s="381" t="s">
        <v>8337</v>
      </c>
      <c r="O61" s="392"/>
      <c r="P61" s="306"/>
      <c r="Q61" s="306">
        <f>LEN(按鍵設計表2[[#This Row],[注音符號]])</f>
        <v>1</v>
      </c>
      <c r="R61" s="264"/>
      <c r="S61" s="265">
        <f t="shared" si="1"/>
        <v>57</v>
      </c>
      <c r="T61" s="249">
        <f t="shared" si="2"/>
        <v>57</v>
      </c>
      <c r="U61" s="179" t="s">
        <v>284</v>
      </c>
      <c r="V61" s="224" t="s">
        <v>89</v>
      </c>
      <c r="W61" s="318" t="s">
        <v>140</v>
      </c>
      <c r="X61" s="224" t="s">
        <v>8380</v>
      </c>
      <c r="Y61" s="224" t="s">
        <v>8364</v>
      </c>
      <c r="Z61" s="224" t="s">
        <v>8380</v>
      </c>
      <c r="AA61" s="224" t="s">
        <v>7510</v>
      </c>
      <c r="AB61" s="257" t="s">
        <v>8395</v>
      </c>
      <c r="AC61" s="265"/>
      <c r="AD61" s="177"/>
      <c r="AE61" s="177"/>
      <c r="AF61" s="177"/>
      <c r="AG61" s="177"/>
      <c r="AH61" s="177"/>
      <c r="AI61" s="177"/>
      <c r="AJ61" s="177"/>
      <c r="AK61" s="177"/>
      <c r="AL61" s="177"/>
    </row>
    <row r="62" spans="2:38" ht="25.5">
      <c r="P62" s="306"/>
      <c r="Q62" s="306"/>
      <c r="R62" s="264"/>
      <c r="S62" s="265"/>
      <c r="T62" s="211"/>
      <c r="U62" s="211"/>
      <c r="V62" s="211"/>
      <c r="W62" s="211"/>
      <c r="Y62" s="211"/>
      <c r="AC62" s="265"/>
      <c r="AD62" s="177"/>
      <c r="AE62" s="177"/>
      <c r="AF62" s="177"/>
      <c r="AG62" s="177"/>
      <c r="AH62" s="177"/>
      <c r="AI62" s="177"/>
      <c r="AJ62" s="177"/>
      <c r="AK62" s="177"/>
      <c r="AL62" s="177"/>
    </row>
    <row r="63" spans="2:38" ht="25.5">
      <c r="P63" s="306"/>
      <c r="Q63" s="306"/>
      <c r="R63" s="264"/>
      <c r="S63" s="265"/>
      <c r="T63" s="211"/>
      <c r="U63" s="211"/>
      <c r="V63" s="211"/>
      <c r="W63" s="211"/>
      <c r="Y63" s="211"/>
      <c r="AC63" s="265"/>
      <c r="AD63" s="177"/>
      <c r="AE63" s="177"/>
      <c r="AF63" s="177"/>
      <c r="AG63" s="177"/>
      <c r="AH63" s="177"/>
      <c r="AI63" s="177"/>
      <c r="AJ63" s="177"/>
      <c r="AK63" s="177"/>
      <c r="AL63" s="177"/>
    </row>
    <row r="65" spans="2:15" ht="32.25">
      <c r="B65" s="463">
        <v>55</v>
      </c>
      <c r="C65" s="183" t="s">
        <v>276</v>
      </c>
      <c r="D65" s="226">
        <v>4</v>
      </c>
      <c r="E65" s="226" t="s">
        <v>8565</v>
      </c>
      <c r="F65" s="226"/>
      <c r="G65" s="226" t="s">
        <v>8337</v>
      </c>
      <c r="H65" s="226" t="s">
        <v>8337</v>
      </c>
      <c r="I65" s="226" t="s">
        <v>8337</v>
      </c>
      <c r="J65" s="226" t="s">
        <v>8337</v>
      </c>
      <c r="K65" s="226" t="s">
        <v>8337</v>
      </c>
      <c r="L65" s="226" t="s">
        <v>8337</v>
      </c>
      <c r="M65" s="226" t="s">
        <v>8337</v>
      </c>
      <c r="N65" s="226" t="s">
        <v>8337</v>
      </c>
      <c r="O65" s="464"/>
    </row>
    <row r="66" spans="2:15" ht="33" thickBot="1">
      <c r="B66" s="465">
        <v>56</v>
      </c>
      <c r="C66" s="466" t="s">
        <v>276</v>
      </c>
      <c r="D66" s="467">
        <v>8</v>
      </c>
      <c r="E66" s="467" t="s">
        <v>8565</v>
      </c>
      <c r="F66" s="467"/>
      <c r="G66" s="467" t="s">
        <v>8337</v>
      </c>
      <c r="H66" s="467" t="s">
        <v>8337</v>
      </c>
      <c r="I66" s="410" t="s">
        <v>8337</v>
      </c>
      <c r="J66" s="467" t="s">
        <v>8337</v>
      </c>
      <c r="K66" s="467" t="s">
        <v>8337</v>
      </c>
      <c r="L66" s="467" t="s">
        <v>8337</v>
      </c>
      <c r="M66" s="467" t="s">
        <v>8337</v>
      </c>
      <c r="N66" s="467" t="s">
        <v>8337</v>
      </c>
      <c r="O66" s="468" t="s">
        <v>8563</v>
      </c>
    </row>
    <row r="69" spans="2:15">
      <c r="D69" s="177" t="s">
        <v>8617</v>
      </c>
      <c r="I69" s="177" t="s">
        <v>8616</v>
      </c>
    </row>
    <row r="70" spans="2:15">
      <c r="C70" s="473" t="s">
        <v>5</v>
      </c>
      <c r="D70" s="470">
        <f xml:space="preserve"> _xlfn.UNICODE(C70)</f>
        <v>12549</v>
      </c>
      <c r="E70" s="471" t="str">
        <f xml:space="preserve"> _xlfn.UNICHAR(D70)</f>
        <v>ㄅ</v>
      </c>
      <c r="H70" s="472" t="s">
        <v>90</v>
      </c>
      <c r="I70" s="177">
        <f xml:space="preserve"> _xlfn.UNICODE(H70)</f>
        <v>12724</v>
      </c>
      <c r="J70" s="177" t="str">
        <f xml:space="preserve"> _xlfn.UNICHAR(I70)</f>
        <v>ㆴ</v>
      </c>
    </row>
    <row r="71" spans="2:15">
      <c r="C71" s="473" t="s">
        <v>11</v>
      </c>
      <c r="D71" s="470">
        <f t="shared" ref="D71:D73" si="3" xml:space="preserve"> _xlfn.UNICODE(C71)</f>
        <v>12553</v>
      </c>
      <c r="E71" s="471" t="str">
        <f t="shared" ref="E71:E73" si="4" xml:space="preserve"> _xlfn.UNICHAR(D71)</f>
        <v>ㄉ</v>
      </c>
      <c r="H71" s="472" t="s">
        <v>91</v>
      </c>
      <c r="I71" s="177">
        <f t="shared" ref="I71:I73" si="5" xml:space="preserve"> _xlfn.UNICODE(H71)</f>
        <v>12725</v>
      </c>
      <c r="J71" s="177" t="str">
        <f t="shared" ref="J71:J73" si="6" xml:space="preserve"> _xlfn.UNICHAR(I71)</f>
        <v>ㆵ</v>
      </c>
    </row>
    <row r="72" spans="2:15">
      <c r="C72" s="473" t="s">
        <v>17</v>
      </c>
      <c r="D72" s="470">
        <f t="shared" si="3"/>
        <v>12557</v>
      </c>
      <c r="E72" s="471" t="str">
        <f t="shared" si="4"/>
        <v>ㄍ</v>
      </c>
      <c r="H72" s="472" t="s">
        <v>92</v>
      </c>
      <c r="I72" s="177">
        <f t="shared" si="5"/>
        <v>12731</v>
      </c>
      <c r="J72" s="177" t="str">
        <f t="shared" si="6"/>
        <v>ㆻ</v>
      </c>
    </row>
    <row r="73" spans="2:15">
      <c r="C73" s="473" t="s">
        <v>31</v>
      </c>
      <c r="D73" s="470">
        <f t="shared" si="3"/>
        <v>12559</v>
      </c>
      <c r="E73" s="471" t="str">
        <f t="shared" si="4"/>
        <v>ㄏ</v>
      </c>
      <c r="H73" s="472" t="s">
        <v>93</v>
      </c>
      <c r="I73" s="177">
        <f t="shared" si="5"/>
        <v>12727</v>
      </c>
      <c r="J73" s="177" t="str">
        <f t="shared" si="6"/>
        <v>ㆷ</v>
      </c>
    </row>
  </sheetData>
  <phoneticPr fontId="7" type="noConversion"/>
  <conditionalFormatting sqref="S5:S63 AC5:AC63 B5:O61">
    <cfRule type="cellIs" dxfId="5" priority="5" operator="equal">
      <formula>CHAR(32)</formula>
    </cfRule>
  </conditionalFormatting>
  <conditionalFormatting sqref="B65:O66">
    <cfRule type="cellIs" dxfId="4" priority="2" operator="equal">
      <formula>CHAR(32)</formula>
    </cfRule>
  </conditionalFormatting>
  <conditionalFormatting sqref="D38">
    <cfRule type="cellIs" dxfId="3" priority="1" operator="equal">
      <formula>CHAR(32)</formula>
    </cfRule>
  </conditionalFormatting>
  <conditionalFormatting sqref="AE55">
    <cfRule type="cellIs" dxfId="2" priority="3" operator="equal">
      <formula>CHAR(32)</formula>
    </cfRule>
  </conditionalFormatting>
  <conditionalFormatting sqref="AJ5:AN14">
    <cfRule type="cellIs" dxfId="1" priority="4" operator="equal">
      <formula>CHAR(32)</formula>
    </cfRule>
  </conditionalFormatting>
  <pageMargins left="0.7" right="0.7" top="0.75" bottom="0.75" header="0.3" footer="0.3"/>
  <pageSetup paperSize="9" orientation="portrait" horizontalDpi="200" verticalDpi="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A238D-4105-44AA-9165-C09FF2CB5EAE}">
  <sheetPr>
    <tabColor rgb="FFFF0000"/>
  </sheetPr>
  <dimension ref="A1:DA75"/>
  <sheetViews>
    <sheetView workbookViewId="0"/>
  </sheetViews>
  <sheetFormatPr defaultColWidth="7.19921875" defaultRowHeight="36"/>
  <cols>
    <col min="1" max="1" width="2" style="13" customWidth="1"/>
    <col min="2" max="58" width="6.59765625" style="13" customWidth="1"/>
    <col min="59" max="64" width="5.796875" style="13" customWidth="1"/>
    <col min="65" max="66" width="7.19921875" style="13"/>
    <col min="67" max="67" width="6.19921875" style="13" customWidth="1"/>
    <col min="68" max="68" width="13.69921875" style="20" customWidth="1"/>
    <col min="69" max="69" width="13.69921875" style="289" customWidth="1"/>
    <col min="70" max="73" width="13.69921875" style="13" customWidth="1"/>
    <col min="74" max="74" width="7.19921875" style="13"/>
    <col min="75" max="75" width="62.296875" style="145" customWidth="1"/>
    <col min="76" max="76" width="7.19921875" style="21" customWidth="1"/>
    <col min="78" max="78" width="15.19921875" customWidth="1"/>
    <col min="79" max="83" width="15.19921875" style="13" customWidth="1"/>
    <col min="84" max="84" width="7.19921875" style="13"/>
    <col min="85" max="85" width="43.19921875" style="288" customWidth="1"/>
    <col min="86" max="86" width="63.19921875" style="459" customWidth="1"/>
    <col min="88" max="88" width="15.19921875" style="13" customWidth="1"/>
    <col min="89" max="89" width="15.19921875" customWidth="1"/>
    <col min="90" max="93" width="15.19921875" style="13" customWidth="1"/>
    <col min="94" max="94" width="7.19921875" style="13"/>
    <col min="95" max="95" width="52.19921875" style="288" customWidth="1"/>
    <col min="96" max="96" width="63.19921875" style="459" customWidth="1"/>
    <col min="97" max="97" width="7.19921875" style="13"/>
    <col min="98" max="98" width="15.19921875" customWidth="1"/>
    <col min="99" max="103" width="15.19921875" style="13" customWidth="1"/>
    <col min="104" max="104" width="7.19921875" style="13"/>
    <col min="105" max="105" width="52.19921875" style="288" customWidth="1"/>
    <col min="106" max="16384" width="7.19921875" style="13"/>
  </cols>
  <sheetData>
    <row r="1" spans="1:105" ht="45" customHeight="1" thickBo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9"/>
      <c r="AS1" s="19"/>
      <c r="AT1" s="18"/>
      <c r="AU1" s="18"/>
      <c r="AV1" s="18"/>
      <c r="BZ1" s="290" t="s">
        <v>8341</v>
      </c>
      <c r="CA1" s="14"/>
      <c r="CF1" s="288"/>
      <c r="CG1" s="459"/>
      <c r="CJ1" s="290" t="s">
        <v>8341</v>
      </c>
      <c r="CK1" s="290" t="s">
        <v>8341</v>
      </c>
      <c r="CP1" s="288"/>
      <c r="CQ1" s="13"/>
      <c r="CT1" s="290" t="s">
        <v>8341</v>
      </c>
      <c r="CU1" s="14"/>
      <c r="CZ1" s="288"/>
      <c r="DA1" s="13"/>
    </row>
    <row r="2" spans="1:105" s="14" customFormat="1" ht="45" customHeight="1">
      <c r="A2" s="22"/>
      <c r="B2" s="272" t="s">
        <v>286</v>
      </c>
      <c r="C2" s="273"/>
      <c r="D2" s="274"/>
      <c r="E2" s="272" t="s">
        <v>287</v>
      </c>
      <c r="F2" s="273"/>
      <c r="G2" s="274"/>
      <c r="H2" s="275" t="s">
        <v>288</v>
      </c>
      <c r="I2" s="276"/>
      <c r="J2" s="277"/>
      <c r="K2" s="275" t="s">
        <v>289</v>
      </c>
      <c r="L2" s="276"/>
      <c r="M2" s="277"/>
      <c r="N2" s="278">
        <v>0.05</v>
      </c>
      <c r="O2" s="279"/>
      <c r="P2" s="280"/>
      <c r="Q2" s="275" t="s">
        <v>290</v>
      </c>
      <c r="R2" s="276"/>
      <c r="S2" s="277"/>
      <c r="T2" s="275" t="s">
        <v>291</v>
      </c>
      <c r="U2" s="276"/>
      <c r="V2" s="277"/>
      <c r="W2" s="281" t="s">
        <v>292</v>
      </c>
      <c r="X2" s="282"/>
      <c r="Y2" s="283"/>
      <c r="Z2" s="281" t="s">
        <v>293</v>
      </c>
      <c r="AA2" s="282"/>
      <c r="AB2" s="283"/>
      <c r="AC2" s="281" t="s">
        <v>294</v>
      </c>
      <c r="AD2" s="282"/>
      <c r="AE2" s="283"/>
      <c r="AF2" s="284" t="s">
        <v>295</v>
      </c>
      <c r="AG2" s="285"/>
      <c r="AH2" s="286"/>
      <c r="AI2" s="284" t="s">
        <v>296</v>
      </c>
      <c r="AJ2" s="285"/>
      <c r="AK2" s="286"/>
      <c r="AL2" s="22"/>
      <c r="AM2" s="22"/>
      <c r="AN2" s="22"/>
      <c r="AO2" s="22"/>
      <c r="AP2" s="22"/>
      <c r="AQ2" s="22"/>
      <c r="AR2" s="23"/>
      <c r="AS2" s="23"/>
      <c r="AT2" s="22"/>
      <c r="AU2" s="22"/>
      <c r="AV2" s="22"/>
      <c r="BO2" s="13"/>
      <c r="BP2" s="20"/>
      <c r="BQ2" s="289"/>
      <c r="BR2" s="13"/>
      <c r="BS2" s="13"/>
      <c r="BT2" s="13"/>
      <c r="BU2" s="13"/>
      <c r="BV2" s="13"/>
      <c r="BW2" s="145"/>
      <c r="BX2" s="21"/>
      <c r="BZ2" s="287" t="s">
        <v>8342</v>
      </c>
      <c r="CF2" s="288"/>
      <c r="CG2" s="459"/>
      <c r="CH2" s="459"/>
      <c r="CJ2" s="287" t="s">
        <v>8344</v>
      </c>
      <c r="CK2" s="287" t="s">
        <v>8348</v>
      </c>
      <c r="CP2" s="288"/>
      <c r="CR2" s="459"/>
      <c r="CS2" s="13"/>
      <c r="CT2" s="460" t="s">
        <v>8343</v>
      </c>
      <c r="CZ2" s="288"/>
    </row>
    <row r="3" spans="1:105" s="14" customFormat="1" ht="45" customHeight="1">
      <c r="A3" s="22"/>
      <c r="B3" s="26" t="s">
        <v>9</v>
      </c>
      <c r="C3" s="123"/>
      <c r="D3" s="124" t="s">
        <v>123</v>
      </c>
      <c r="E3" s="125"/>
      <c r="F3" s="123"/>
      <c r="G3" s="122"/>
      <c r="H3" s="126"/>
      <c r="I3" s="127"/>
      <c r="J3" s="128"/>
      <c r="K3" s="126"/>
      <c r="L3" s="127"/>
      <c r="M3" s="128"/>
      <c r="N3" s="129"/>
      <c r="O3" s="130"/>
      <c r="P3" s="131"/>
      <c r="Q3" s="126"/>
      <c r="R3" s="127"/>
      <c r="S3" s="128"/>
      <c r="T3" s="126"/>
      <c r="U3" s="127"/>
      <c r="V3" s="128"/>
      <c r="W3" s="27" t="s">
        <v>81</v>
      </c>
      <c r="X3" s="132"/>
      <c r="Y3" s="133" t="s">
        <v>163</v>
      </c>
      <c r="Z3" s="27" t="s">
        <v>82</v>
      </c>
      <c r="AA3" s="134">
        <v>0</v>
      </c>
      <c r="AB3" s="133" t="s">
        <v>159</v>
      </c>
      <c r="AC3" s="135"/>
      <c r="AD3" s="132"/>
      <c r="AE3" s="136"/>
      <c r="AF3" s="137"/>
      <c r="AG3" s="138"/>
      <c r="AH3" s="139"/>
      <c r="AI3" s="137"/>
      <c r="AJ3" s="138"/>
      <c r="AK3" s="139"/>
      <c r="AL3" s="22"/>
      <c r="AM3" s="22"/>
      <c r="AN3" s="22"/>
      <c r="AO3" s="22"/>
      <c r="AP3" s="22"/>
      <c r="AQ3" s="22"/>
      <c r="AR3" s="23"/>
      <c r="AS3" s="23"/>
      <c r="AT3" s="22"/>
      <c r="AU3" s="22"/>
      <c r="AV3" s="22"/>
      <c r="BO3" s="3" t="s">
        <v>297</v>
      </c>
      <c r="BP3" s="24"/>
      <c r="BQ3" s="6"/>
      <c r="BR3" s="6"/>
      <c r="BS3" s="13"/>
      <c r="BT3" s="6"/>
      <c r="BU3" s="6"/>
      <c r="BW3" s="145"/>
      <c r="BX3" s="25"/>
      <c r="CG3" s="288"/>
      <c r="CH3" s="459"/>
      <c r="CQ3" s="288"/>
      <c r="CR3" s="459"/>
      <c r="CS3" s="13"/>
      <c r="DA3" s="288"/>
    </row>
    <row r="4" spans="1:105" ht="45" customHeight="1" thickBot="1">
      <c r="A4" s="28"/>
      <c r="B4" s="29" t="s">
        <v>5</v>
      </c>
      <c r="C4" s="30"/>
      <c r="D4" s="31" t="s">
        <v>134</v>
      </c>
      <c r="E4" s="29" t="s">
        <v>11</v>
      </c>
      <c r="F4" s="30"/>
      <c r="G4" s="32" t="s">
        <v>202</v>
      </c>
      <c r="H4" s="498" t="str">
        <f xml:space="preserve"> _xlfn.UNICHAR(HEX2DEC(RIGHT("U+02EA",4)))</f>
        <v>˪</v>
      </c>
      <c r="I4" s="499"/>
      <c r="J4" s="502" t="s">
        <v>298</v>
      </c>
      <c r="K4" s="500" t="s">
        <v>72</v>
      </c>
      <c r="L4" s="501"/>
      <c r="M4" s="502" t="s">
        <v>299</v>
      </c>
      <c r="N4" s="498" t="s">
        <v>75</v>
      </c>
      <c r="O4" s="499"/>
      <c r="P4" s="502" t="s">
        <v>300</v>
      </c>
      <c r="Q4" s="500" t="s">
        <v>74</v>
      </c>
      <c r="R4" s="501"/>
      <c r="S4" s="502" t="s">
        <v>301</v>
      </c>
      <c r="T4" s="500" t="s">
        <v>302</v>
      </c>
      <c r="U4" s="499"/>
      <c r="V4" s="502" t="s">
        <v>303</v>
      </c>
      <c r="W4" s="312" t="s">
        <v>8375</v>
      </c>
      <c r="X4" s="35"/>
      <c r="Y4" s="36" t="s">
        <v>208</v>
      </c>
      <c r="Z4" s="34" t="s">
        <v>145</v>
      </c>
      <c r="AA4" s="37"/>
      <c r="AB4" s="38" t="s">
        <v>196</v>
      </c>
      <c r="AC4" s="34" t="s">
        <v>66</v>
      </c>
      <c r="AD4" s="35">
        <v>0</v>
      </c>
      <c r="AE4" s="36" t="s">
        <v>115</v>
      </c>
      <c r="AF4" s="362" t="s">
        <v>8379</v>
      </c>
      <c r="AG4" s="361"/>
      <c r="AH4" s="38" t="s">
        <v>8427</v>
      </c>
      <c r="AI4" s="360" t="s">
        <v>8425</v>
      </c>
      <c r="AJ4" s="35"/>
      <c r="AK4" s="38" t="s">
        <v>8426</v>
      </c>
      <c r="AL4" s="28"/>
      <c r="AM4" s="28"/>
      <c r="AN4" s="28"/>
      <c r="AO4" s="28"/>
      <c r="AP4" s="28"/>
      <c r="AQ4" s="28"/>
      <c r="AR4" s="19"/>
      <c r="AS4" s="19"/>
      <c r="AT4" s="28"/>
      <c r="AU4" s="28"/>
      <c r="AV4" s="28"/>
      <c r="BO4" s="2"/>
      <c r="BP4" s="358" t="s">
        <v>3</v>
      </c>
      <c r="BQ4" s="350" t="s">
        <v>8341</v>
      </c>
      <c r="BR4" s="351" t="s">
        <v>4</v>
      </c>
      <c r="BS4" s="352" t="s">
        <v>8486</v>
      </c>
      <c r="BT4" s="350" t="s">
        <v>225</v>
      </c>
      <c r="BU4" s="353" t="s">
        <v>8340</v>
      </c>
      <c r="BV4" s="14"/>
      <c r="BX4" s="25"/>
      <c r="BZ4" s="359" t="s">
        <v>3</v>
      </c>
      <c r="CA4" s="309" t="s">
        <v>8341</v>
      </c>
      <c r="CB4" s="9" t="s">
        <v>4</v>
      </c>
      <c r="CC4" s="310" t="s">
        <v>8217</v>
      </c>
      <c r="CD4" s="309" t="str">
        <f>'輸入方案設計規格 (2)'!$BT$4</f>
        <v>台語音標</v>
      </c>
      <c r="CE4" s="311" t="s">
        <v>8340</v>
      </c>
      <c r="CJ4" s="359" t="s">
        <v>3</v>
      </c>
      <c r="CK4" s="309" t="s">
        <v>8341</v>
      </c>
      <c r="CL4" s="9" t="s">
        <v>4</v>
      </c>
      <c r="CM4" s="310" t="s">
        <v>8217</v>
      </c>
      <c r="CN4" s="309" t="str">
        <f>'輸入方案設計規格 (2)'!$BT$4</f>
        <v>台語音標</v>
      </c>
      <c r="CO4" s="311" t="s">
        <v>8340</v>
      </c>
      <c r="CT4" s="359" t="s">
        <v>3</v>
      </c>
      <c r="CU4" s="309" t="s">
        <v>8341</v>
      </c>
      <c r="CV4" s="9" t="s">
        <v>4</v>
      </c>
      <c r="CW4" s="310" t="s">
        <v>8217</v>
      </c>
      <c r="CX4" s="309" t="str">
        <f>'輸入方案設計規格 (2)'!$BT$4</f>
        <v>台語音標</v>
      </c>
      <c r="CY4" s="311" t="s">
        <v>8340</v>
      </c>
    </row>
    <row r="5" spans="1:105" s="14" customFormat="1" ht="45" customHeight="1">
      <c r="A5" s="22"/>
      <c r="B5" s="22"/>
      <c r="C5" s="272" t="s">
        <v>304</v>
      </c>
      <c r="D5" s="273"/>
      <c r="E5" s="274"/>
      <c r="F5" s="272" t="s">
        <v>305</v>
      </c>
      <c r="G5" s="273"/>
      <c r="H5" s="274"/>
      <c r="I5" s="272" t="s">
        <v>191</v>
      </c>
      <c r="J5" s="273"/>
      <c r="K5" s="274"/>
      <c r="L5" s="272" t="s">
        <v>306</v>
      </c>
      <c r="M5" s="273"/>
      <c r="N5" s="274"/>
      <c r="O5" s="272" t="s">
        <v>234</v>
      </c>
      <c r="P5" s="273"/>
      <c r="Q5" s="274"/>
      <c r="R5" s="272" t="s">
        <v>255</v>
      </c>
      <c r="S5" s="273"/>
      <c r="T5" s="274"/>
      <c r="U5" s="281" t="s">
        <v>153</v>
      </c>
      <c r="V5" s="282"/>
      <c r="W5" s="283"/>
      <c r="X5" s="281" t="s">
        <v>162</v>
      </c>
      <c r="Y5" s="282"/>
      <c r="Z5" s="283"/>
      <c r="AA5" s="281" t="s">
        <v>158</v>
      </c>
      <c r="AB5" s="282"/>
      <c r="AC5" s="283"/>
      <c r="AD5" s="281" t="s">
        <v>231</v>
      </c>
      <c r="AE5" s="282"/>
      <c r="AF5" s="283"/>
      <c r="AG5" s="275" t="s">
        <v>307</v>
      </c>
      <c r="AH5" s="276"/>
      <c r="AI5" s="277"/>
      <c r="AJ5" s="275" t="s">
        <v>308</v>
      </c>
      <c r="AK5" s="276"/>
      <c r="AL5" s="277"/>
      <c r="AM5" s="284" t="s">
        <v>309</v>
      </c>
      <c r="AN5" s="285"/>
      <c r="AO5" s="286"/>
      <c r="AP5" s="22"/>
      <c r="AQ5" s="22"/>
      <c r="AR5" s="23"/>
      <c r="AS5" s="23"/>
      <c r="AT5" s="22"/>
      <c r="AU5" s="22"/>
      <c r="AV5" s="22"/>
      <c r="BM5" s="447" t="str" cm="1">
        <f t="array" ref="BM5">INDEX($D$18:$BH$18, 1, $BO5)</f>
        <v>ㆠ</v>
      </c>
      <c r="BN5" s="447" t="str" cm="1">
        <f t="array" aca="1" ref="BN5" ca="1">INDIRECT(ADDRESS(17, COLUMN($D$18) + $BO5 - 1))</f>
        <v>!</v>
      </c>
      <c r="BO5" s="39">
        <f xml:space="preserve"> ROW() - 4</f>
        <v>1</v>
      </c>
      <c r="BP5" s="354" t="str" cm="1">
        <f t="array" ref="BP5:BP61">TRANSPOSE($D$18:$BH$18)</f>
        <v>ㆠ</v>
      </c>
      <c r="BQ5" s="355" t="str">
        <f xml:space="preserve"> _xlfn.XLOOKUP(BP5, 按鍵設計表[注音符號], 按鍵設計表[聲韻調], "")</f>
        <v>聲</v>
      </c>
      <c r="BR5" s="347" t="str" cm="1">
        <f t="array" ref="BR5:BR61">TRANSPOSE($D$17:$BH$17)</f>
        <v>!</v>
      </c>
      <c r="BS5" s="348" t="str" cm="1">
        <f t="array" ref="BS5:BS61">TRANSPOSE($D$19:$BH$19)</f>
        <v>b</v>
      </c>
      <c r="BT5" s="349" t="str" cm="1">
        <f t="array" ref="BT5:BT61">TRANSPOSE($D$20:$BH$20)</f>
        <v>b</v>
      </c>
      <c r="BU5" s="356">
        <f xml:space="preserve"> LEN(BT5)</f>
        <v>1</v>
      </c>
      <c r="BV5" s="13"/>
      <c r="BW5" s="146" t="str">
        <f xml:space="preserve"> "    """ &amp; BR6 &amp; """: { commit: """ &amp; BP6 &amp; """ }" &amp; "  # " &amp; "/" &amp; BT6 &amp; "/ ==&gt; " &amp; BS6</f>
        <v xml:space="preserve">    "1": { commit: "ㄅ" }  # /p/ ==&gt; p</v>
      </c>
      <c r="BX5" s="40"/>
      <c r="BY5" s="39">
        <f xml:space="preserve"> ROW() - 4</f>
        <v>1</v>
      </c>
      <c r="BZ5" s="354" t="str" cm="1">
        <f t="array" ref="BZ5:CE25" xml:space="preserve"> _xlfn._xlws.FILTER(BP5:BU61,(BQ5:BQ61=BZ2))</f>
        <v>ㆠ</v>
      </c>
      <c r="CA5" s="355" t="str">
        <v>聲</v>
      </c>
      <c r="CB5" s="347" t="str">
        <v>!</v>
      </c>
      <c r="CC5" s="348" t="str">
        <v>b</v>
      </c>
      <c r="CD5" s="349" t="str">
        <v>b</v>
      </c>
      <c r="CE5" s="356">
        <v>1</v>
      </c>
      <c r="CG5" s="288" t="str">
        <f xml:space="preserve"> IF( OR(CD5=0, CC5=CD5), "", "    - xform/^" &amp; CD5 &amp; "/" &amp; CC5 &amp; "/    # " &amp; BZ5 &amp; " [ " &amp; CD5 &amp; "]")</f>
        <v/>
      </c>
      <c r="CH5" s="459" t="str" cm="1">
        <f t="array" ref="CH5:CH13">_xlfn._xlws.FILTER(CG5:CG61, CG5:CG61&lt;&gt;"")</f>
        <v xml:space="preserve">    - xform/^ph/P/    # ㄆ [ ph]</v>
      </c>
      <c r="CI5" s="39">
        <f xml:space="preserve"> ROW() - 4</f>
        <v>1</v>
      </c>
      <c r="CJ5" s="354" t="str" cm="1">
        <f t="array" ref="CJ5:CO28" xml:space="preserve"> _xlfn._xlws.FILTER(BP5:BU61,(BQ5:BQ61=CJ2)*(BQ5:BQ61&lt;&gt;CK2))</f>
        <v>ㄚ</v>
      </c>
      <c r="CK5" s="355" t="str">
        <v>韻</v>
      </c>
      <c r="CL5" s="347" t="str">
        <v>8</v>
      </c>
      <c r="CM5" s="348" t="str">
        <v>a</v>
      </c>
      <c r="CN5" s="349" t="str">
        <v>a</v>
      </c>
      <c r="CO5" s="356">
        <v>1</v>
      </c>
      <c r="CQ5" s="288" t="str">
        <f xml:space="preserve"> IFERROR( IF(OR(CN5=0, CM5=CN5), "", IF(CL5=CM5, "", "    - xform/" &amp; CN5 &amp; "/" &amp; CM5 &amp; "/  # " &amp; CJ5 &amp; " [" &amp; CP5 &amp; CN5 &amp; "]")), "")</f>
        <v/>
      </c>
      <c r="CR5" s="459" t="str" cm="1">
        <f t="array" ref="CR5:CR22">_xlfn._xlws.FILTER(CQ5:CQ61, CQ5:CQ61&lt;&gt;"")</f>
        <v xml:space="preserve">    - xform/ir/w/  # ㆨ [ir]</v>
      </c>
      <c r="CT5" s="354" t="str" cm="1">
        <f t="array" ref="CT5:CY9" xml:space="preserve"> _xlfn._xlws.FILTER(BP5:BU61,(BQ5:BQ61=CT2))</f>
        <v>˙</v>
      </c>
      <c r="CU5" s="355" t="str">
        <v>調</v>
      </c>
      <c r="CV5" s="347">
        <v>7</v>
      </c>
      <c r="CW5" s="348">
        <v>0</v>
      </c>
      <c r="CX5" s="349">
        <v>0</v>
      </c>
      <c r="CY5" s="356">
        <v>1</v>
      </c>
      <c r="DA5" s="288" t="str">
        <f xml:space="preserve"> IF(CX5=0, "", "    - xform/" &amp; CX5 &amp; "/" &amp; CT5 &amp; "/    # 按鍵：" &amp; CV5 &amp; " [ 第 " &amp; CX5 &amp; " 調 ]")</f>
        <v/>
      </c>
    </row>
    <row r="6" spans="1:105" s="14" customFormat="1" ht="45" customHeight="1">
      <c r="A6" s="22"/>
      <c r="B6" s="22"/>
      <c r="C6" s="125"/>
      <c r="D6" s="123"/>
      <c r="E6" s="122"/>
      <c r="F6" s="125"/>
      <c r="G6" s="123"/>
      <c r="H6" s="122"/>
      <c r="I6" s="26" t="s">
        <v>21</v>
      </c>
      <c r="J6" s="123"/>
      <c r="K6" s="122" t="s">
        <v>22</v>
      </c>
      <c r="L6" s="140" t="s">
        <v>77</v>
      </c>
      <c r="M6" s="123"/>
      <c r="N6" s="141" t="s">
        <v>218</v>
      </c>
      <c r="O6" s="140"/>
      <c r="P6" s="142"/>
      <c r="Q6" s="141"/>
      <c r="R6" s="140" t="s">
        <v>27</v>
      </c>
      <c r="S6" s="123"/>
      <c r="T6" s="141" t="s">
        <v>28</v>
      </c>
      <c r="U6" s="27" t="s">
        <v>79</v>
      </c>
      <c r="V6" s="132"/>
      <c r="W6" s="133" t="s">
        <v>279</v>
      </c>
      <c r="X6" s="27" t="s">
        <v>85</v>
      </c>
      <c r="Y6" s="488" t="s">
        <v>516</v>
      </c>
      <c r="Z6" s="489"/>
      <c r="AA6" s="27" t="s">
        <v>87</v>
      </c>
      <c r="AB6" s="132"/>
      <c r="AC6" s="133" t="s">
        <v>130</v>
      </c>
      <c r="AD6" s="135"/>
      <c r="AE6" s="132"/>
      <c r="AF6" s="136"/>
      <c r="AG6" s="126"/>
      <c r="AH6" s="127"/>
      <c r="AI6" s="128"/>
      <c r="AJ6" s="126"/>
      <c r="AK6" s="127"/>
      <c r="AL6" s="128"/>
      <c r="AM6" s="27"/>
      <c r="AN6" s="143"/>
      <c r="AO6" s="144"/>
      <c r="AP6" s="22"/>
      <c r="AQ6" s="22"/>
      <c r="AR6" s="23"/>
      <c r="AS6" s="23"/>
      <c r="AT6" s="22"/>
      <c r="AU6" s="22"/>
      <c r="AV6" s="22"/>
      <c r="BM6" s="447" t="str" cm="1">
        <f t="array" ref="BM6">INDEX($D$18:$BH$18, 1, $BO6)</f>
        <v>ㄅ</v>
      </c>
      <c r="BN6" s="447" t="str" cm="1">
        <f t="array" aca="1" ref="BN6" ca="1">INDIRECT(ADDRESS(17, COLUMN($D$18) + $BO6 - 1))</f>
        <v>1</v>
      </c>
      <c r="BO6" s="39">
        <f t="shared" ref="BO6:BO61" si="0" xml:space="preserve"> ROW() - 4</f>
        <v>2</v>
      </c>
      <c r="BP6" s="354" t="str">
        <v>ㄅ</v>
      </c>
      <c r="BQ6" s="355" t="str">
        <f xml:space="preserve"> _xlfn.XLOOKUP(BP6, 按鍵設計表[注音符號], 按鍵設計表[聲韻調], "")</f>
        <v>聲</v>
      </c>
      <c r="BR6" s="347" t="str">
        <v>1</v>
      </c>
      <c r="BS6" s="348" t="str">
        <v>p</v>
      </c>
      <c r="BT6" s="349" t="str">
        <v>p</v>
      </c>
      <c r="BU6" s="356">
        <f t="shared" ref="BU6:BU58" si="1" xml:space="preserve"> LEN(BT6)</f>
        <v>1</v>
      </c>
      <c r="BW6" s="146" t="str">
        <f xml:space="preserve"> "    """ &amp; BR5 &amp; """: { commit: """ &amp; BP5 &amp; """ }" &amp; "  # " &amp; "/" &amp; BT5 &amp; "/ ==&gt; " &amp; BS5</f>
        <v xml:space="preserve">    "!": { commit: "ㆠ" }  # /b/ ==&gt; b</v>
      </c>
      <c r="BX6" s="40"/>
      <c r="BY6" s="39">
        <f t="shared" ref="BY6:BY61" si="2" xml:space="preserve"> ROW() - 4</f>
        <v>2</v>
      </c>
      <c r="BZ6" s="354" t="str">
        <v>ㄅ</v>
      </c>
      <c r="CA6" s="355" t="str">
        <v>聲</v>
      </c>
      <c r="CB6" s="347" t="str">
        <v>1</v>
      </c>
      <c r="CC6" s="348" t="str">
        <v>p</v>
      </c>
      <c r="CD6" s="349" t="str">
        <v>p</v>
      </c>
      <c r="CE6" s="356">
        <v>1</v>
      </c>
      <c r="CG6" s="288" t="str">
        <f t="shared" ref="CG6:CG55" si="3" xml:space="preserve"> IF( OR(CD6=0, CC6=CD6), "", "    - xform/^" &amp; CD6 &amp; "/" &amp; CC6 &amp; "/    # " &amp; BZ6 &amp; " [ " &amp; CD6 &amp; "]")</f>
        <v/>
      </c>
      <c r="CH6" s="459" t="str">
        <v xml:space="preserve">    - xform/^th/T/    # ㄊ [ th]</v>
      </c>
      <c r="CI6" s="39">
        <f t="shared" ref="CI6:CI61" si="4" xml:space="preserve"> ROW() - 4</f>
        <v>2</v>
      </c>
      <c r="CJ6" s="354" t="str">
        <v>ㄧ</v>
      </c>
      <c r="CK6" s="355" t="str">
        <v>韻</v>
      </c>
      <c r="CL6" s="347" t="str">
        <v>u</v>
      </c>
      <c r="CM6" s="348" t="str">
        <v>i</v>
      </c>
      <c r="CN6" s="349" t="str">
        <v>i</v>
      </c>
      <c r="CO6" s="356">
        <v>1</v>
      </c>
      <c r="CQ6" s="288" t="str">
        <f t="shared" ref="CQ6:CQ27" si="5" xml:space="preserve"> IFERROR( IF(OR(CN6=0, CM6=CN6), "", IF(CL6=CM6, "", "    - xform/" &amp; CN6 &amp; "/" &amp; CM6 &amp; "/  # " &amp; CJ6 &amp; " [" &amp; CP6 &amp; CN6 &amp; "]")), "")</f>
        <v/>
      </c>
      <c r="CR6" s="459" t="str">
        <v xml:space="preserve">    - xform/oo/o/  # ㆦ [oo]</v>
      </c>
      <c r="CT6" s="354" t="str">
        <v>˫</v>
      </c>
      <c r="CU6" s="355" t="str">
        <v>調</v>
      </c>
      <c r="CV6" s="347">
        <v>5</v>
      </c>
      <c r="CW6" s="348">
        <v>7</v>
      </c>
      <c r="CX6" s="349">
        <v>7</v>
      </c>
      <c r="CY6" s="356">
        <v>1</v>
      </c>
      <c r="DA6" s="288" t="str">
        <f t="shared" ref="DA6:DA55" si="6" xml:space="preserve"> IF(CX6=0, "", "    - xform/" &amp; CX6 &amp; "/" &amp; CT6 &amp; "/    # 按鍵：" &amp; CV6 &amp; " [ 第 " &amp; CX6 &amp; " 調 ]")</f>
        <v xml:space="preserve">    - xform/7/˫/    # 按鍵：5 [ 第 7 調 ]</v>
      </c>
    </row>
    <row r="7" spans="1:105" ht="45" customHeight="1" thickBot="1">
      <c r="A7" s="28"/>
      <c r="B7" s="28"/>
      <c r="C7" s="29" t="s">
        <v>7</v>
      </c>
      <c r="D7" s="30"/>
      <c r="E7" s="32" t="s">
        <v>227</v>
      </c>
      <c r="F7" s="29" t="s">
        <v>13</v>
      </c>
      <c r="G7" s="30"/>
      <c r="H7" s="32" t="s">
        <v>330</v>
      </c>
      <c r="I7" s="29" t="s">
        <v>17</v>
      </c>
      <c r="J7" s="30">
        <v>0</v>
      </c>
      <c r="K7" s="121" t="s">
        <v>190</v>
      </c>
      <c r="L7" s="41" t="s">
        <v>60</v>
      </c>
      <c r="M7" s="30"/>
      <c r="N7" s="335" t="s">
        <v>217</v>
      </c>
      <c r="O7" s="29" t="s">
        <v>91</v>
      </c>
      <c r="P7" s="30"/>
      <c r="Q7" s="121" t="s">
        <v>8366</v>
      </c>
      <c r="R7" s="41" t="s">
        <v>23</v>
      </c>
      <c r="S7" s="30"/>
      <c r="T7" s="42" t="s">
        <v>116</v>
      </c>
      <c r="U7" s="34" t="s">
        <v>33</v>
      </c>
      <c r="V7" s="35"/>
      <c r="W7" s="38" t="s">
        <v>164</v>
      </c>
      <c r="X7" s="34" t="s">
        <v>43</v>
      </c>
      <c r="Y7" s="35"/>
      <c r="Z7" s="38" t="s">
        <v>205</v>
      </c>
      <c r="AA7" s="34" t="s">
        <v>70</v>
      </c>
      <c r="AB7" s="35"/>
      <c r="AC7" s="38" t="s">
        <v>106</v>
      </c>
      <c r="AD7" s="34" t="s">
        <v>50</v>
      </c>
      <c r="AE7" s="37"/>
      <c r="AF7" s="302" t="s">
        <v>51</v>
      </c>
      <c r="AG7" s="498"/>
      <c r="AH7" s="499"/>
      <c r="AI7" s="502" t="s">
        <v>8637</v>
      </c>
      <c r="AJ7" s="498" t="s">
        <v>302</v>
      </c>
      <c r="AK7" s="499"/>
      <c r="AL7" s="502" t="s">
        <v>8638</v>
      </c>
      <c r="AM7" s="34"/>
      <c r="AN7" s="37"/>
      <c r="AO7" s="38"/>
      <c r="AP7" s="28"/>
      <c r="AQ7" s="28"/>
      <c r="AR7" s="19"/>
      <c r="AS7" s="19"/>
      <c r="AT7" s="28"/>
      <c r="AU7" s="28"/>
      <c r="AV7" s="28"/>
      <c r="BM7" s="447" t="str" cm="1">
        <f t="array" ref="BM7">INDEX($D$18:$BH$18, 1, $BO7)</f>
        <v>ㄆ</v>
      </c>
      <c r="BN7" s="447" t="str" cm="1">
        <f t="array" aca="1" ref="BN7" ca="1">INDIRECT(ADDRESS(17, COLUMN($D$18) + $BO7 - 1))</f>
        <v>q</v>
      </c>
      <c r="BO7" s="39">
        <f t="shared" si="0"/>
        <v>3</v>
      </c>
      <c r="BP7" s="354" t="str">
        <v>ㄆ</v>
      </c>
      <c r="BQ7" s="355" t="str">
        <f xml:space="preserve"> _xlfn.XLOOKUP(BP7, 按鍵設計表[注音符號], 按鍵設計表[聲韻調], "")</f>
        <v>聲</v>
      </c>
      <c r="BR7" s="347" t="str">
        <v>q</v>
      </c>
      <c r="BS7" s="348" t="str">
        <v>P</v>
      </c>
      <c r="BT7" s="349" t="str">
        <v>ph</v>
      </c>
      <c r="BU7" s="356">
        <f t="shared" si="1"/>
        <v>2</v>
      </c>
      <c r="BV7" s="14"/>
      <c r="BW7" s="146" t="str">
        <f t="shared" ref="BW7:BW12" si="7" xml:space="preserve"> "    """ &amp; BR7 &amp; """: { commit: """ &amp; BP7 &amp; """ }" &amp; "  # " &amp; "/" &amp; BT7 &amp; "/ ==&gt; " &amp; BS7</f>
        <v xml:space="preserve">    "q": { commit: "ㄆ" }  # /ph/ ==&gt; P</v>
      </c>
      <c r="BX7" s="40"/>
      <c r="BY7" s="39">
        <f t="shared" si="2"/>
        <v>3</v>
      </c>
      <c r="BZ7" s="354" t="str">
        <v>ㄆ</v>
      </c>
      <c r="CA7" s="355" t="str">
        <v>聲</v>
      </c>
      <c r="CB7" s="347" t="str">
        <v>q</v>
      </c>
      <c r="CC7" s="348" t="str">
        <v>P</v>
      </c>
      <c r="CD7" s="349" t="str">
        <v>ph</v>
      </c>
      <c r="CE7" s="356">
        <v>2</v>
      </c>
      <c r="CG7" s="288" t="str">
        <f t="shared" si="3"/>
        <v xml:space="preserve">    - xform/^ph/P/    # ㄆ [ ph]</v>
      </c>
      <c r="CH7" s="459" t="str">
        <v xml:space="preserve">    - xform/^g/q/    # ㆣ [ g]</v>
      </c>
      <c r="CI7" s="39">
        <f t="shared" si="4"/>
        <v>3</v>
      </c>
      <c r="CJ7" s="354" t="str">
        <v>ㆨ</v>
      </c>
      <c r="CK7" s="355" t="str">
        <v>韻</v>
      </c>
      <c r="CL7" s="347" t="str">
        <v>K</v>
      </c>
      <c r="CM7" s="348" t="str">
        <v>w</v>
      </c>
      <c r="CN7" s="349" t="str">
        <v>ir</v>
      </c>
      <c r="CO7" s="356">
        <v>2</v>
      </c>
      <c r="CQ7" s="288" t="str">
        <f t="shared" si="5"/>
        <v xml:space="preserve">    - xform/ir/w/  # ㆨ [ir]</v>
      </c>
      <c r="CR7" s="459" t="str">
        <v xml:space="preserve">    - xform/o/ø/  # ㄜ [o]</v>
      </c>
      <c r="CT7" s="354" t="str">
        <v>˪</v>
      </c>
      <c r="CU7" s="355" t="str">
        <v>調</v>
      </c>
      <c r="CV7" s="347">
        <v>3</v>
      </c>
      <c r="CW7" s="348" t="str">
        <v>3</v>
      </c>
      <c r="CX7" s="349">
        <v>3</v>
      </c>
      <c r="CY7" s="356">
        <v>1</v>
      </c>
      <c r="DA7" s="288" t="str">
        <f t="shared" si="6"/>
        <v xml:space="preserve">    - xform/3/˪/    # 按鍵：3 [ 第 3 調 ]</v>
      </c>
    </row>
    <row r="8" spans="1:105" s="14" customFormat="1" ht="45" customHeight="1">
      <c r="A8" s="22"/>
      <c r="B8" s="22"/>
      <c r="C8" s="43"/>
      <c r="D8" s="272" t="s">
        <v>333</v>
      </c>
      <c r="E8" s="273"/>
      <c r="F8" s="274"/>
      <c r="G8" s="272" t="s">
        <v>259</v>
      </c>
      <c r="H8" s="273"/>
      <c r="I8" s="274"/>
      <c r="J8" s="272" t="s">
        <v>122</v>
      </c>
      <c r="K8" s="273"/>
      <c r="L8" s="274"/>
      <c r="M8" s="272" t="s">
        <v>310</v>
      </c>
      <c r="N8" s="273"/>
      <c r="O8" s="274"/>
      <c r="P8" s="272" t="s">
        <v>95</v>
      </c>
      <c r="Q8" s="273"/>
      <c r="R8" s="274"/>
      <c r="S8" s="272" t="s">
        <v>257</v>
      </c>
      <c r="T8" s="273"/>
      <c r="U8" s="274"/>
      <c r="V8" s="281" t="s">
        <v>147</v>
      </c>
      <c r="W8" s="282"/>
      <c r="X8" s="283"/>
      <c r="Y8" s="281" t="s">
        <v>242</v>
      </c>
      <c r="Z8" s="282"/>
      <c r="AA8" s="283"/>
      <c r="AB8" s="281" t="s">
        <v>140</v>
      </c>
      <c r="AC8" s="282"/>
      <c r="AD8" s="283"/>
      <c r="AE8" s="281" t="s">
        <v>311</v>
      </c>
      <c r="AF8" s="282"/>
      <c r="AG8" s="283"/>
      <c r="AH8" s="275" t="s">
        <v>312</v>
      </c>
      <c r="AI8" s="276"/>
      <c r="AJ8" s="277"/>
      <c r="AK8" s="22"/>
      <c r="AL8" s="22"/>
      <c r="AM8" s="22"/>
      <c r="AN8" s="22"/>
      <c r="AO8" s="22"/>
      <c r="AP8" s="22"/>
      <c r="AQ8" s="22"/>
      <c r="AR8" s="23"/>
      <c r="AS8" s="23"/>
      <c r="AT8" s="22"/>
      <c r="AU8" s="22"/>
      <c r="AV8" s="22"/>
      <c r="BM8" s="447" t="str" cm="1">
        <f t="array" ref="BM8">INDEX($D$18:$BH$18, 1, $BO8)</f>
        <v>ㄇ</v>
      </c>
      <c r="BN8" s="447" t="str" cm="1">
        <f t="array" aca="1" ref="BN8" ca="1">INDIRECT(ADDRESS(17, COLUMN($D$18) + $BO8 - 1))</f>
        <v>a</v>
      </c>
      <c r="BO8" s="39">
        <f t="shared" si="0"/>
        <v>4</v>
      </c>
      <c r="BP8" s="354" t="str">
        <v>ㄇ</v>
      </c>
      <c r="BQ8" s="355" t="str">
        <f xml:space="preserve"> _xlfn.XLOOKUP(BP8, 按鍵設計表[注音符號], 按鍵設計表[聲韻調], "")</f>
        <v>聲</v>
      </c>
      <c r="BR8" s="347" t="str">
        <v>a</v>
      </c>
      <c r="BS8" s="348" t="str">
        <v>m</v>
      </c>
      <c r="BT8" s="349" t="str">
        <v>m</v>
      </c>
      <c r="BU8" s="356">
        <f t="shared" si="1"/>
        <v>1</v>
      </c>
      <c r="BV8" s="13"/>
      <c r="BW8" s="146" t="str">
        <f t="shared" si="7"/>
        <v xml:space="preserve">    "a": { commit: "ㄇ" }  # /m/ ==&gt; m</v>
      </c>
      <c r="BX8" s="40"/>
      <c r="BY8" s="39">
        <f t="shared" si="2"/>
        <v>4</v>
      </c>
      <c r="BZ8" s="354" t="str">
        <v>ㄇ</v>
      </c>
      <c r="CA8" s="355" t="str">
        <v>聲</v>
      </c>
      <c r="CB8" s="347" t="str">
        <v>a</v>
      </c>
      <c r="CC8" s="348" t="str">
        <v>m</v>
      </c>
      <c r="CD8" s="349" t="str">
        <v>m</v>
      </c>
      <c r="CE8" s="356">
        <v>1</v>
      </c>
      <c r="CG8" s="288" t="str">
        <f t="shared" si="3"/>
        <v/>
      </c>
      <c r="CH8" s="459" t="str">
        <v xml:space="preserve">    - xform/^kh/K/    # ㄎ [ kh]</v>
      </c>
      <c r="CI8" s="39">
        <f t="shared" si="4"/>
        <v>4</v>
      </c>
      <c r="CJ8" s="354" t="str">
        <v>ㄨ</v>
      </c>
      <c r="CK8" s="355" t="str">
        <v>韻</v>
      </c>
      <c r="CL8" s="347" t="str">
        <v>j</v>
      </c>
      <c r="CM8" s="348" t="str">
        <v>u</v>
      </c>
      <c r="CN8" s="349" t="str">
        <v>u</v>
      </c>
      <c r="CO8" s="356">
        <v>1</v>
      </c>
      <c r="CQ8" s="288" t="str">
        <f t="shared" si="5"/>
        <v/>
      </c>
      <c r="CR8" s="459" t="str">
        <v xml:space="preserve">    - xform/-n/N/  # ㄣ [-n]</v>
      </c>
      <c r="CT8" s="354" t="str">
        <v>ˋ</v>
      </c>
      <c r="CU8" s="355" t="str">
        <v>調</v>
      </c>
      <c r="CV8" s="347">
        <v>4</v>
      </c>
      <c r="CW8" s="348" t="str">
        <v>2</v>
      </c>
      <c r="CX8" s="349">
        <v>2</v>
      </c>
      <c r="CY8" s="356">
        <v>1</v>
      </c>
      <c r="DA8" s="288" t="str">
        <f t="shared" si="6"/>
        <v xml:space="preserve">    - xform/2/ˋ/    # 按鍵：4 [ 第 2 調 ]</v>
      </c>
    </row>
    <row r="9" spans="1:105" s="14" customFormat="1" ht="45" customHeight="1">
      <c r="A9" s="22"/>
      <c r="B9" s="22"/>
      <c r="C9" s="43"/>
      <c r="D9" s="26"/>
      <c r="E9" s="123"/>
      <c r="F9" s="301"/>
      <c r="G9" s="125"/>
      <c r="H9" s="123"/>
      <c r="I9" s="122"/>
      <c r="J9" s="125"/>
      <c r="K9" s="123"/>
      <c r="L9" s="122"/>
      <c r="M9" s="125"/>
      <c r="N9" s="123"/>
      <c r="O9" s="122"/>
      <c r="P9" s="125"/>
      <c r="Q9" s="123"/>
      <c r="R9" s="122"/>
      <c r="S9" s="140"/>
      <c r="T9" s="123"/>
      <c r="U9" s="141"/>
      <c r="V9" s="27" t="s">
        <v>80</v>
      </c>
      <c r="W9" s="134">
        <v>0</v>
      </c>
      <c r="X9" s="133" t="s">
        <v>281</v>
      </c>
      <c r="Y9" s="135" t="s">
        <v>325</v>
      </c>
      <c r="Z9" s="132"/>
      <c r="AA9" s="136" t="s">
        <v>282</v>
      </c>
      <c r="AB9" s="27" t="s">
        <v>86</v>
      </c>
      <c r="AC9" s="486" t="s">
        <v>157</v>
      </c>
      <c r="AD9" s="487"/>
      <c r="AE9" s="27"/>
      <c r="AF9" s="132"/>
      <c r="AG9" s="133"/>
      <c r="AH9" s="126"/>
      <c r="AI9" s="127"/>
      <c r="AJ9" s="128"/>
      <c r="AK9" s="22"/>
      <c r="AL9" s="22"/>
      <c r="AM9" s="22"/>
      <c r="AN9" s="22"/>
      <c r="AO9" s="22"/>
      <c r="AP9" s="22"/>
      <c r="AQ9" s="22"/>
      <c r="AR9" s="23"/>
      <c r="AS9" s="23"/>
      <c r="AT9" s="22"/>
      <c r="AU9" s="22"/>
      <c r="AV9" s="22"/>
      <c r="BM9" s="447" t="str" cm="1">
        <f t="array" ref="BM9">INDEX($D$18:$BH$18, 1, $BO9)</f>
        <v>ㄋ</v>
      </c>
      <c r="BN9" s="447" t="str" cm="1">
        <f t="array" aca="1" ref="BN9" ca="1">INDIRECT(ADDRESS(17, COLUMN($D$18) + $BO9 - 1))</f>
        <v>s</v>
      </c>
      <c r="BO9" s="39">
        <f t="shared" si="0"/>
        <v>5</v>
      </c>
      <c r="BP9" s="354" t="str">
        <v>ㄋ</v>
      </c>
      <c r="BQ9" s="355" t="str">
        <f xml:space="preserve"> _xlfn.XLOOKUP(BP9, 按鍵設計表[注音符號], 按鍵設計表[聲韻調], "")</f>
        <v>聲</v>
      </c>
      <c r="BR9" s="347" t="str">
        <v>s</v>
      </c>
      <c r="BS9" s="348" t="str">
        <v>n</v>
      </c>
      <c r="BT9" s="349" t="str">
        <v>n</v>
      </c>
      <c r="BU9" s="356">
        <f t="shared" si="1"/>
        <v>1</v>
      </c>
      <c r="BW9" s="146" t="str">
        <f t="shared" si="7"/>
        <v xml:space="preserve">    "s": { commit: "ㄋ" }  # /n/ ==&gt; n</v>
      </c>
      <c r="BX9" s="40"/>
      <c r="BY9" s="39">
        <f t="shared" si="2"/>
        <v>5</v>
      </c>
      <c r="BZ9" s="354" t="str">
        <v>ㄋ</v>
      </c>
      <c r="CA9" s="355" t="str">
        <v>聲</v>
      </c>
      <c r="CB9" s="347" t="str">
        <v>s</v>
      </c>
      <c r="CC9" s="348" t="str">
        <v>n</v>
      </c>
      <c r="CD9" s="349" t="str">
        <v>n</v>
      </c>
      <c r="CE9" s="356">
        <v>1</v>
      </c>
      <c r="CG9" s="288" t="str">
        <f t="shared" si="3"/>
        <v/>
      </c>
      <c r="CH9" s="459" t="str">
        <v xml:space="preserve">    - xform/^ng/g/    # ㄫ [ ng]</v>
      </c>
      <c r="CI9" s="39">
        <f t="shared" si="4"/>
        <v>5</v>
      </c>
      <c r="CJ9" s="354" t="str">
        <v>ㆤ</v>
      </c>
      <c r="CK9" s="355" t="str">
        <v>韻</v>
      </c>
      <c r="CL9" s="347" t="str">
        <v>,</v>
      </c>
      <c r="CM9" s="348" t="str">
        <v>e</v>
      </c>
      <c r="CN9" s="349" t="str">
        <v>e</v>
      </c>
      <c r="CO9" s="356">
        <v>1</v>
      </c>
      <c r="CQ9" s="288" t="str">
        <f t="shared" si="5"/>
        <v/>
      </c>
      <c r="CR9" s="459" t="str">
        <v xml:space="preserve">    - xform/-ng/G/  # ㆭ [-ng]</v>
      </c>
      <c r="CT9" s="354" t="str">
        <v>ˊ</v>
      </c>
      <c r="CU9" s="355" t="str">
        <v>調</v>
      </c>
      <c r="CV9" s="347">
        <v>6</v>
      </c>
      <c r="CW9" s="348" t="str">
        <v>5</v>
      </c>
      <c r="CX9" s="349">
        <v>5</v>
      </c>
      <c r="CY9" s="356">
        <v>1</v>
      </c>
      <c r="DA9" s="288" t="str">
        <f t="shared" si="6"/>
        <v xml:space="preserve">    - xform/5/ˊ/    # 按鍵：6 [ 第 5 調 ]</v>
      </c>
    </row>
    <row r="10" spans="1:105" ht="45" customHeight="1" thickBot="1">
      <c r="A10" s="28"/>
      <c r="B10" s="28"/>
      <c r="C10" s="28"/>
      <c r="D10" s="29" t="s">
        <v>54</v>
      </c>
      <c r="E10" s="30"/>
      <c r="F10" s="32" t="s">
        <v>55</v>
      </c>
      <c r="G10" s="29" t="s">
        <v>15</v>
      </c>
      <c r="H10" s="30"/>
      <c r="I10" s="32" t="s">
        <v>221</v>
      </c>
      <c r="J10" s="29" t="s">
        <v>19</v>
      </c>
      <c r="K10" s="30">
        <v>0</v>
      </c>
      <c r="L10" s="42" t="s">
        <v>20</v>
      </c>
      <c r="M10" s="29" t="s">
        <v>62</v>
      </c>
      <c r="N10" s="30"/>
      <c r="O10" s="42" t="s">
        <v>169</v>
      </c>
      <c r="P10" s="41" t="s">
        <v>92</v>
      </c>
      <c r="Q10" s="30"/>
      <c r="R10" s="42" t="s">
        <v>8367</v>
      </c>
      <c r="S10" s="41" t="s">
        <v>25</v>
      </c>
      <c r="T10" s="30"/>
      <c r="U10" s="42" t="s">
        <v>180</v>
      </c>
      <c r="V10" s="34" t="s">
        <v>35</v>
      </c>
      <c r="W10" s="35"/>
      <c r="X10" s="38" t="s">
        <v>126</v>
      </c>
      <c r="Y10" s="34" t="s">
        <v>266</v>
      </c>
      <c r="Z10" s="35"/>
      <c r="AA10" s="38" t="s">
        <v>517</v>
      </c>
      <c r="AB10" s="34" t="s">
        <v>47</v>
      </c>
      <c r="AC10" s="35"/>
      <c r="AD10" s="38" t="s">
        <v>193</v>
      </c>
      <c r="AE10" s="34" t="s">
        <v>64</v>
      </c>
      <c r="AF10" s="37"/>
      <c r="AG10" s="38" t="s">
        <v>107</v>
      </c>
      <c r="AH10" s="498" t="str">
        <f xml:space="preserve"> _xlfn.UNICHAR(HEX2DEC(RIGHT("U+00AF",4)))</f>
        <v>¯</v>
      </c>
      <c r="AI10" s="499"/>
      <c r="AJ10" s="502" t="s">
        <v>8636</v>
      </c>
      <c r="AK10" s="28"/>
      <c r="AL10" s="28"/>
      <c r="AM10" s="28"/>
      <c r="AN10" s="28"/>
      <c r="AO10" s="28"/>
      <c r="AP10" s="28"/>
      <c r="AQ10" s="22"/>
      <c r="AR10" s="19" t="s">
        <v>8639</v>
      </c>
      <c r="AS10" s="19"/>
      <c r="AT10" s="28"/>
      <c r="AU10" s="28"/>
      <c r="AV10" s="28"/>
      <c r="BM10" s="447" t="str" cm="1">
        <f t="array" ref="BM10">INDEX($D$18:$BH$18, 1, $BO10)</f>
        <v>ㄉ</v>
      </c>
      <c r="BN10" s="447" t="str" cm="1">
        <f t="array" aca="1" ref="BN10" ca="1">INDIRECT(ADDRESS(17, COLUMN($D$18) + $BO10 - 1))</f>
        <v>2</v>
      </c>
      <c r="BO10" s="39">
        <f t="shared" si="0"/>
        <v>6</v>
      </c>
      <c r="BP10" s="354" t="str">
        <v>ㄉ</v>
      </c>
      <c r="BQ10" s="355" t="str">
        <f xml:space="preserve"> _xlfn.XLOOKUP(BP10, 按鍵設計表[注音符號], 按鍵設計表[聲韻調], "")</f>
        <v>聲</v>
      </c>
      <c r="BR10" s="347" t="str">
        <v>2</v>
      </c>
      <c r="BS10" s="348" t="str">
        <v>t</v>
      </c>
      <c r="BT10" s="349" t="str">
        <v>t</v>
      </c>
      <c r="BU10" s="356">
        <f t="shared" si="1"/>
        <v>1</v>
      </c>
      <c r="BV10" s="14"/>
      <c r="BW10" s="146" t="str">
        <f t="shared" si="7"/>
        <v xml:space="preserve">    "2": { commit: "ㄉ" }  # /t/ ==&gt; t</v>
      </c>
      <c r="BX10" s="40"/>
      <c r="BY10" s="39">
        <f t="shared" si="2"/>
        <v>6</v>
      </c>
      <c r="BZ10" s="354" t="str">
        <v>ㄉ</v>
      </c>
      <c r="CA10" s="355" t="str">
        <v>聲</v>
      </c>
      <c r="CB10" s="347" t="str">
        <v>2</v>
      </c>
      <c r="CC10" s="348" t="str">
        <v>t</v>
      </c>
      <c r="CD10" s="349" t="str">
        <v>t</v>
      </c>
      <c r="CE10" s="356">
        <v>1</v>
      </c>
      <c r="CG10" s="288" t="str">
        <f t="shared" si="3"/>
        <v/>
      </c>
      <c r="CH10" s="459" t="str">
        <v xml:space="preserve">    - xform/^ji/J/    # ㆢ [ ji]</v>
      </c>
      <c r="CI10" s="39">
        <f t="shared" si="4"/>
        <v>6</v>
      </c>
      <c r="CJ10" s="354" t="str">
        <v>ㆦ</v>
      </c>
      <c r="CK10" s="355" t="str">
        <v>韻</v>
      </c>
      <c r="CL10" s="347" t="str">
        <v>i</v>
      </c>
      <c r="CM10" s="348" t="str">
        <v>o</v>
      </c>
      <c r="CN10" s="349" t="str">
        <v>oo</v>
      </c>
      <c r="CO10" s="356">
        <v>2</v>
      </c>
      <c r="CQ10" s="288" t="str">
        <f t="shared" si="5"/>
        <v xml:space="preserve">    - xform/oo/o/  # ㆦ [oo]</v>
      </c>
      <c r="CR10" s="459" t="str">
        <v xml:space="preserve">    - xform/ai/I/  # ㄞ [ai]</v>
      </c>
      <c r="CT10" s="354"/>
      <c r="CU10" s="355"/>
      <c r="CV10" s="347"/>
      <c r="CW10" s="348"/>
      <c r="CX10" s="349"/>
      <c r="CY10" s="356"/>
      <c r="DA10" s="288" t="str">
        <f t="shared" si="6"/>
        <v/>
      </c>
    </row>
    <row r="11" spans="1:105" s="14" customFormat="1" ht="45" customHeight="1">
      <c r="A11" s="22"/>
      <c r="B11" s="22"/>
      <c r="C11" s="22"/>
      <c r="D11" s="22"/>
      <c r="E11" s="272" t="s">
        <v>256</v>
      </c>
      <c r="F11" s="273"/>
      <c r="G11" s="274"/>
      <c r="H11" s="272" t="s">
        <v>313</v>
      </c>
      <c r="I11" s="273"/>
      <c r="J11" s="274"/>
      <c r="K11" s="272" t="s">
        <v>258</v>
      </c>
      <c r="L11" s="273"/>
      <c r="M11" s="274"/>
      <c r="N11" s="272" t="s">
        <v>314</v>
      </c>
      <c r="O11" s="273"/>
      <c r="P11" s="274"/>
      <c r="Q11" s="272" t="s">
        <v>97</v>
      </c>
      <c r="R11" s="273"/>
      <c r="S11" s="274"/>
      <c r="T11" s="272" t="s">
        <v>315</v>
      </c>
      <c r="U11" s="273"/>
      <c r="V11" s="274"/>
      <c r="W11" s="281" t="s">
        <v>283</v>
      </c>
      <c r="X11" s="282"/>
      <c r="Y11" s="283"/>
      <c r="Z11" s="281" t="s">
        <v>316</v>
      </c>
      <c r="AA11" s="282"/>
      <c r="AB11" s="283"/>
      <c r="AC11" s="281" t="s">
        <v>317</v>
      </c>
      <c r="AD11" s="282"/>
      <c r="AE11" s="283"/>
      <c r="AF11" s="284" t="s">
        <v>318</v>
      </c>
      <c r="AG11" s="285"/>
      <c r="AH11" s="286"/>
      <c r="AI11" s="22"/>
      <c r="AJ11" s="22"/>
      <c r="AK11" s="22"/>
      <c r="AL11" s="22"/>
      <c r="AM11" s="22"/>
      <c r="AN11" s="22"/>
      <c r="AO11" s="22"/>
      <c r="AP11" s="22"/>
      <c r="AQ11" s="22"/>
      <c r="AR11" s="23"/>
      <c r="AS11" s="23"/>
      <c r="AT11" s="22"/>
      <c r="AU11" s="22"/>
      <c r="AV11" s="22"/>
      <c r="BM11" s="447" t="str" cm="1">
        <f t="array" ref="BM11">INDEX($D$18:$BH$18, 1, $BO11)</f>
        <v>ㄊ</v>
      </c>
      <c r="BN11" s="447" t="str" cm="1">
        <f t="array" aca="1" ref="BN11" ca="1">INDIRECT(ADDRESS(17, COLUMN($D$18) + $BO11 - 1))</f>
        <v>w</v>
      </c>
      <c r="BO11" s="39">
        <f t="shared" si="0"/>
        <v>7</v>
      </c>
      <c r="BP11" s="354" t="str">
        <v>ㄊ</v>
      </c>
      <c r="BQ11" s="355" t="str">
        <f xml:space="preserve"> _xlfn.XLOOKUP(BP11, 按鍵設計表[注音符號], 按鍵設計表[聲韻調], "")</f>
        <v>聲</v>
      </c>
      <c r="BR11" s="347" t="str">
        <v>w</v>
      </c>
      <c r="BS11" s="348" t="str">
        <v>T</v>
      </c>
      <c r="BT11" s="349" t="str">
        <v>th</v>
      </c>
      <c r="BU11" s="356">
        <f t="shared" si="1"/>
        <v>2</v>
      </c>
      <c r="BV11" s="13"/>
      <c r="BW11" s="146" t="str">
        <f t="shared" si="7"/>
        <v xml:space="preserve">    "w": { commit: "ㄊ" }  # /th/ ==&gt; T</v>
      </c>
      <c r="BX11" s="40"/>
      <c r="BY11" s="39">
        <f t="shared" si="2"/>
        <v>7</v>
      </c>
      <c r="BZ11" s="354" t="str">
        <v>ㄊ</v>
      </c>
      <c r="CA11" s="355" t="str">
        <v>聲</v>
      </c>
      <c r="CB11" s="347" t="str">
        <v>w</v>
      </c>
      <c r="CC11" s="348" t="str">
        <v>T</v>
      </c>
      <c r="CD11" s="349" t="str">
        <v>th</v>
      </c>
      <c r="CE11" s="356">
        <v>2</v>
      </c>
      <c r="CG11" s="288" t="str">
        <f t="shared" si="3"/>
        <v xml:space="preserve">    - xform/^th/T/    # ㄊ [ th]</v>
      </c>
      <c r="CH11" s="459" t="str">
        <v xml:space="preserve">    - xform/^zi/Z/    # ㄐ [ zi]</v>
      </c>
      <c r="CI11" s="39">
        <f t="shared" si="4"/>
        <v>7</v>
      </c>
      <c r="CJ11" s="354" t="str">
        <v>ㄜ</v>
      </c>
      <c r="CK11" s="355" t="str">
        <v>韻</v>
      </c>
      <c r="CL11" s="347" t="str">
        <v>k</v>
      </c>
      <c r="CM11" s="348" t="str">
        <v>ø</v>
      </c>
      <c r="CN11" s="349" t="str">
        <v>o</v>
      </c>
      <c r="CO11" s="356">
        <v>1</v>
      </c>
      <c r="CQ11" s="288" t="str">
        <f t="shared" si="5"/>
        <v xml:space="preserve">    - xform/o/ø/  # ㄜ [o]</v>
      </c>
      <c r="CR11" s="459" t="str">
        <v xml:space="preserve">    - xform/au/U/  # ㄠ [au]</v>
      </c>
      <c r="CT11" s="354"/>
      <c r="CU11" s="355"/>
      <c r="CV11" s="347"/>
      <c r="CW11" s="348"/>
      <c r="CX11" s="349"/>
      <c r="CY11" s="356"/>
      <c r="DA11" s="288" t="str">
        <f t="shared" si="6"/>
        <v/>
      </c>
    </row>
    <row r="12" spans="1:105" s="14" customFormat="1" ht="45" customHeight="1">
      <c r="A12" s="22"/>
      <c r="B12" s="22"/>
      <c r="C12" s="22"/>
      <c r="D12" s="22"/>
      <c r="E12" s="125"/>
      <c r="F12" s="123"/>
      <c r="G12" s="122"/>
      <c r="H12" s="125"/>
      <c r="I12" s="123"/>
      <c r="J12" s="122"/>
      <c r="K12" s="125"/>
      <c r="L12" s="123"/>
      <c r="M12" s="122"/>
      <c r="N12" s="125"/>
      <c r="O12" s="123"/>
      <c r="P12" s="122"/>
      <c r="Q12" s="140"/>
      <c r="R12" s="123"/>
      <c r="S12" s="141"/>
      <c r="T12" s="26" t="s">
        <v>58</v>
      </c>
      <c r="U12" s="123"/>
      <c r="V12" s="122" t="s">
        <v>59</v>
      </c>
      <c r="W12" s="27" t="s">
        <v>68</v>
      </c>
      <c r="X12" s="132"/>
      <c r="Y12" s="133" t="s">
        <v>131</v>
      </c>
      <c r="Z12" s="27" t="s">
        <v>83</v>
      </c>
      <c r="AA12" s="134">
        <v>0</v>
      </c>
      <c r="AB12" s="133" t="s">
        <v>160</v>
      </c>
      <c r="AC12" s="313"/>
      <c r="AD12" s="314"/>
      <c r="AE12" s="315"/>
      <c r="AF12" s="44"/>
      <c r="AG12" s="132"/>
      <c r="AH12" s="133"/>
      <c r="AI12" s="22"/>
      <c r="AJ12" s="22"/>
      <c r="AK12" s="22"/>
      <c r="AL12" s="22"/>
      <c r="AM12" s="22"/>
      <c r="AN12" s="22"/>
      <c r="AO12" s="22"/>
      <c r="AP12" s="22"/>
      <c r="AQ12" s="22" t="s">
        <v>215</v>
      </c>
      <c r="AR12" s="23"/>
      <c r="AS12" s="23"/>
      <c r="AT12" s="22"/>
      <c r="AU12" s="22"/>
      <c r="AV12" s="22"/>
      <c r="BM12" s="447" t="str" cm="1">
        <f t="array" ref="BM12">INDEX($D$18:$BH$18, 1, $BO12)</f>
        <v>ㄌ</v>
      </c>
      <c r="BN12" s="447" t="str" cm="1">
        <f t="array" aca="1" ref="BN12" ca="1">INDIRECT(ADDRESS(17, COLUMN($D$18) + $BO12 - 1))</f>
        <v>x</v>
      </c>
      <c r="BO12" s="39">
        <f t="shared" si="0"/>
        <v>8</v>
      </c>
      <c r="BP12" s="354" t="str">
        <v>ㄌ</v>
      </c>
      <c r="BQ12" s="355" t="str">
        <f xml:space="preserve"> _xlfn.XLOOKUP(BP12, 按鍵設計表[注音符號], 按鍵設計表[聲韻調], "")</f>
        <v>聲</v>
      </c>
      <c r="BR12" s="347" t="str">
        <v>x</v>
      </c>
      <c r="BS12" s="348" t="str">
        <v>l</v>
      </c>
      <c r="BT12" s="349" t="str">
        <v>l</v>
      </c>
      <c r="BU12" s="356">
        <f t="shared" si="1"/>
        <v>1</v>
      </c>
      <c r="BW12" s="146" t="str">
        <f t="shared" si="7"/>
        <v xml:space="preserve">    "x": { commit: "ㄌ" }  # /l/ ==&gt; l</v>
      </c>
      <c r="BX12" s="40"/>
      <c r="BY12" s="39">
        <f t="shared" si="2"/>
        <v>8</v>
      </c>
      <c r="BZ12" s="354" t="str">
        <v>ㄌ</v>
      </c>
      <c r="CA12" s="355" t="str">
        <v>聲</v>
      </c>
      <c r="CB12" s="347" t="str">
        <v>x</v>
      </c>
      <c r="CC12" s="348" t="str">
        <v>l</v>
      </c>
      <c r="CD12" s="349" t="str">
        <v>l</v>
      </c>
      <c r="CE12" s="356">
        <v>1</v>
      </c>
      <c r="CG12" s="288" t="str">
        <f t="shared" si="3"/>
        <v/>
      </c>
      <c r="CH12" s="459" t="str">
        <v xml:space="preserve">    - xform/^ci/C/    # ㄑ [ ci]</v>
      </c>
      <c r="CI12" s="39">
        <f t="shared" si="4"/>
        <v>8</v>
      </c>
      <c r="CJ12" s="354" t="str">
        <v>ㆬ</v>
      </c>
      <c r="CK12" s="355" t="str">
        <v>韻</v>
      </c>
      <c r="CL12" s="347" t="str">
        <v>m</v>
      </c>
      <c r="CM12" s="348" t="str">
        <v>M</v>
      </c>
      <c r="CN12" s="349" t="str">
        <v>-m</v>
      </c>
      <c r="CO12" s="356">
        <v>2</v>
      </c>
      <c r="CQ12" s="288" t="str">
        <f t="shared" si="5"/>
        <v/>
      </c>
      <c r="CR12" s="459" t="str">
        <v xml:space="preserve">    - xform/am/Y/  # ㆰ [am]</v>
      </c>
      <c r="CT12" s="354"/>
      <c r="CU12" s="355"/>
      <c r="CV12" s="347"/>
      <c r="CW12" s="348"/>
      <c r="CX12" s="349"/>
      <c r="CY12" s="356"/>
      <c r="DA12" s="288" t="str">
        <f t="shared" si="6"/>
        <v/>
      </c>
    </row>
    <row r="13" spans="1:105" ht="45" customHeight="1" thickBot="1">
      <c r="A13" s="28"/>
      <c r="B13" s="28"/>
      <c r="C13" s="28"/>
      <c r="D13" s="28"/>
      <c r="E13" s="41" t="s">
        <v>93</v>
      </c>
      <c r="F13" s="30"/>
      <c r="G13" s="42" t="s">
        <v>531</v>
      </c>
      <c r="H13" s="29" t="s">
        <v>56</v>
      </c>
      <c r="I13" s="30"/>
      <c r="J13" s="32" t="s">
        <v>57</v>
      </c>
      <c r="K13" s="29" t="s">
        <v>31</v>
      </c>
      <c r="L13" s="30"/>
      <c r="M13" s="42" t="s">
        <v>241</v>
      </c>
      <c r="N13" s="29" t="s">
        <v>167</v>
      </c>
      <c r="O13" s="30"/>
      <c r="P13" s="42" t="s">
        <v>219</v>
      </c>
      <c r="Q13" s="41" t="s">
        <v>90</v>
      </c>
      <c r="R13" s="30"/>
      <c r="S13" s="42" t="s">
        <v>8368</v>
      </c>
      <c r="T13" s="29" t="s">
        <v>29</v>
      </c>
      <c r="U13" s="30"/>
      <c r="V13" s="42" t="s">
        <v>201</v>
      </c>
      <c r="W13" s="34" t="s">
        <v>98</v>
      </c>
      <c r="X13" s="35"/>
      <c r="Y13" s="38" t="s">
        <v>331</v>
      </c>
      <c r="Z13" s="34" t="s">
        <v>39</v>
      </c>
      <c r="AA13" s="35">
        <v>0</v>
      </c>
      <c r="AB13" s="38" t="s">
        <v>195</v>
      </c>
      <c r="AC13" s="360" t="s">
        <v>2761</v>
      </c>
      <c r="AD13" s="35"/>
      <c r="AE13" s="38" t="s">
        <v>8374</v>
      </c>
      <c r="AF13" s="34" t="s">
        <v>48</v>
      </c>
      <c r="AG13" s="35"/>
      <c r="AH13" s="38" t="s">
        <v>272</v>
      </c>
      <c r="AI13" s="28"/>
      <c r="AJ13" s="28"/>
      <c r="AK13" s="28"/>
      <c r="AL13" s="28"/>
      <c r="AM13" s="28"/>
      <c r="AN13" s="28"/>
      <c r="AO13" s="28"/>
      <c r="AP13" s="28"/>
      <c r="AQ13" s="28"/>
      <c r="AR13" s="19"/>
      <c r="AS13" s="19"/>
      <c r="AT13" s="28"/>
      <c r="AU13" s="28"/>
      <c r="AV13" s="28"/>
      <c r="BJ13" s="14"/>
      <c r="BK13" s="14"/>
      <c r="BL13" s="14"/>
      <c r="BM13" s="447" t="str" cm="1">
        <f t="array" ref="BM13">INDEX($D$18:$BH$18, 1, $BO13)</f>
        <v>ㆣ</v>
      </c>
      <c r="BN13" s="447" t="str" cm="1">
        <f t="array" aca="1" ref="BN13" ca="1">INDIRECT(ADDRESS(17, COLUMN($D$18) + $BO13 - 1))</f>
        <v>E</v>
      </c>
      <c r="BO13" s="39">
        <f t="shared" si="0"/>
        <v>9</v>
      </c>
      <c r="BP13" s="354" t="str">
        <v>ㆣ</v>
      </c>
      <c r="BQ13" s="355" t="str">
        <f xml:space="preserve"> _xlfn.XLOOKUP(BP13, 按鍵設計表[注音符號], 按鍵設計表[聲韻調], "")</f>
        <v>聲</v>
      </c>
      <c r="BR13" s="347" t="str">
        <v>E</v>
      </c>
      <c r="BS13" s="348" t="str">
        <v>q</v>
      </c>
      <c r="BT13" s="349" t="str">
        <v>g</v>
      </c>
      <c r="BU13" s="356">
        <f xml:space="preserve"> LEN(BT13)</f>
        <v>1</v>
      </c>
      <c r="BV13" s="14"/>
      <c r="BW13" s="146" t="str">
        <f xml:space="preserve"> "    """ &amp; BR14 &amp; """: { commit: """ &amp; BP14 &amp; """ }" &amp; "  # " &amp; "/" &amp; BT14 &amp; "/ ==&gt; " &amp; BS14</f>
        <v xml:space="preserve">    "e": { commit: "ㄍ" }  # /k/ ==&gt; k</v>
      </c>
      <c r="BX13" s="40"/>
      <c r="BY13" s="39">
        <f t="shared" si="2"/>
        <v>9</v>
      </c>
      <c r="BZ13" s="354" t="str">
        <v>ㆣ</v>
      </c>
      <c r="CA13" s="355" t="str">
        <v>聲</v>
      </c>
      <c r="CB13" s="347" t="str">
        <v>E</v>
      </c>
      <c r="CC13" s="348" t="str">
        <v>q</v>
      </c>
      <c r="CD13" s="349" t="str">
        <v>g</v>
      </c>
      <c r="CE13" s="356">
        <v>1</v>
      </c>
      <c r="CG13" s="288" t="str">
        <f t="shared" si="3"/>
        <v xml:space="preserve">    - xform/^g/q/    # ㆣ [ g]</v>
      </c>
      <c r="CH13" s="459" t="str">
        <v xml:space="preserve">    - xform/^si/S/    # ㄒ [ si]</v>
      </c>
      <c r="CI13" s="39">
        <f t="shared" si="4"/>
        <v>9</v>
      </c>
      <c r="CJ13" s="354" t="str">
        <v>ㄣ</v>
      </c>
      <c r="CK13" s="355" t="str">
        <v>韻</v>
      </c>
      <c r="CL13" s="347" t="str">
        <v>p</v>
      </c>
      <c r="CM13" s="348" t="str">
        <v>N</v>
      </c>
      <c r="CN13" s="349" t="str">
        <v>-n</v>
      </c>
      <c r="CO13" s="356">
        <v>2</v>
      </c>
      <c r="CQ13" s="288" t="str">
        <f t="shared" si="5"/>
        <v xml:space="preserve">    - xform/-n/N/  # ㄣ [-n]</v>
      </c>
      <c r="CR13" s="459" t="str">
        <v xml:space="preserve">    - xform/an/@/  # ㄢ [an]</v>
      </c>
      <c r="CT13" s="354"/>
      <c r="CU13" s="355"/>
      <c r="CV13" s="347"/>
      <c r="CW13" s="348"/>
      <c r="CX13" s="349"/>
      <c r="CY13" s="356"/>
      <c r="DA13" s="288" t="str">
        <f t="shared" si="6"/>
        <v/>
      </c>
    </row>
    <row r="14" spans="1:105" ht="45" customHeight="1">
      <c r="BJ14" s="14"/>
      <c r="BK14" s="14"/>
      <c r="BL14" s="14"/>
      <c r="BM14" s="447" t="str" cm="1">
        <f t="array" ref="BM14">INDEX($D$18:$BH$18, 1, $BO14)</f>
        <v>ㄍ</v>
      </c>
      <c r="BN14" s="447" t="str" cm="1">
        <f t="array" aca="1" ref="BN14" ca="1">INDIRECT(ADDRESS(17, COLUMN($D$18) + $BO14 - 1))</f>
        <v>e</v>
      </c>
      <c r="BO14" s="39">
        <f t="shared" si="0"/>
        <v>10</v>
      </c>
      <c r="BP14" s="354" t="str">
        <v>ㄍ</v>
      </c>
      <c r="BQ14" s="355" t="str">
        <f xml:space="preserve"> _xlfn.XLOOKUP(BP14, 按鍵設計表[注音符號], 按鍵設計表[聲韻調], "")</f>
        <v>聲</v>
      </c>
      <c r="BR14" s="347" t="str">
        <v>e</v>
      </c>
      <c r="BS14" s="348" t="str">
        <v>k</v>
      </c>
      <c r="BT14" s="349" t="str">
        <v>k</v>
      </c>
      <c r="BU14" s="356">
        <f t="shared" ref="BU14:BU66" si="8" xml:space="preserve"> LEN(BT14)</f>
        <v>1</v>
      </c>
      <c r="BW14" s="146" t="str">
        <f xml:space="preserve"> "    """ &amp; BR13 &amp; """: { commit: """ &amp; BP13 &amp; """ }" &amp; "  # " &amp; "/" &amp; BT13 &amp; "/ ==&gt; " &amp; BS13</f>
        <v xml:space="preserve">    "E": { commit: "ㆣ" }  # /g/ ==&gt; q</v>
      </c>
      <c r="BX14" s="40"/>
      <c r="BY14" s="39">
        <f t="shared" si="2"/>
        <v>10</v>
      </c>
      <c r="BZ14" s="354" t="str">
        <v>ㄍ</v>
      </c>
      <c r="CA14" s="355" t="str">
        <v>聲</v>
      </c>
      <c r="CB14" s="347" t="str">
        <v>e</v>
      </c>
      <c r="CC14" s="348" t="str">
        <v>k</v>
      </c>
      <c r="CD14" s="349" t="str">
        <v>k</v>
      </c>
      <c r="CE14" s="356">
        <v>1</v>
      </c>
      <c r="CG14" s="288" t="str">
        <f t="shared" si="3"/>
        <v/>
      </c>
      <c r="CI14" s="39">
        <f t="shared" si="4"/>
        <v>10</v>
      </c>
      <c r="CJ14" s="354" t="str">
        <v>ㆭ</v>
      </c>
      <c r="CK14" s="355" t="str">
        <v>韻</v>
      </c>
      <c r="CL14" s="347" t="str">
        <v>/</v>
      </c>
      <c r="CM14" s="348" t="str">
        <v>G</v>
      </c>
      <c r="CN14" s="349" t="str">
        <v>-ng</v>
      </c>
      <c r="CO14" s="356">
        <v>3</v>
      </c>
      <c r="CQ14" s="288" t="str">
        <f t="shared" si="5"/>
        <v xml:space="preserve">    - xform/-ng/G/  # ㆭ [-ng]</v>
      </c>
      <c r="CR14" s="459" t="str">
        <v xml:space="preserve">    - xform/ang/A/  # ㄤ [ang]</v>
      </c>
      <c r="CT14" s="354"/>
      <c r="CU14" s="355"/>
      <c r="CV14" s="347"/>
      <c r="CW14" s="348"/>
      <c r="CX14" s="349"/>
      <c r="CY14" s="356"/>
      <c r="DA14" s="288" t="str">
        <f t="shared" si="6"/>
        <v/>
      </c>
    </row>
    <row r="15" spans="1:105" s="15" customFormat="1" ht="4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19"/>
      <c r="AS15" s="19"/>
      <c r="AT15" s="28"/>
      <c r="AU15" s="28"/>
      <c r="AV15" s="28"/>
      <c r="AW15" s="13"/>
      <c r="AX15" s="13"/>
      <c r="AY15" s="13"/>
      <c r="AZ15" s="13"/>
      <c r="BA15" s="13"/>
      <c r="BB15" s="13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447" t="str" cm="1">
        <f t="array" ref="BM15">INDEX($D$18:$BH$18, 1, $BO15)</f>
        <v>ㄎ</v>
      </c>
      <c r="BN15" s="447" t="str" cm="1">
        <f t="array" aca="1" ref="BN15" ca="1">INDIRECT(ADDRESS(17, COLUMN($D$18) + $BO15 - 1))</f>
        <v>d</v>
      </c>
      <c r="BO15" s="39">
        <f t="shared" si="0"/>
        <v>11</v>
      </c>
      <c r="BP15" s="354" t="str">
        <v>ㄎ</v>
      </c>
      <c r="BQ15" s="355" t="str">
        <f xml:space="preserve"> _xlfn.XLOOKUP(BP15, 按鍵設計表[注音符號], 按鍵設計表[聲韻調], "")</f>
        <v>聲</v>
      </c>
      <c r="BR15" s="347" t="str">
        <v>d</v>
      </c>
      <c r="BS15" s="348" t="str">
        <v>K</v>
      </c>
      <c r="BT15" s="349" t="str">
        <v>kh</v>
      </c>
      <c r="BU15" s="356">
        <f t="shared" si="8"/>
        <v>2</v>
      </c>
      <c r="BV15" s="13"/>
      <c r="BW15" s="146" t="str">
        <f xml:space="preserve"> "    """ &amp; BR15 &amp; """: { commit: """ &amp; BP15 &amp; """ }" &amp; "  # " &amp; "/" &amp; BT15 &amp; "/ ==&gt; " &amp; BS15</f>
        <v xml:space="preserve">    "d": { commit: "ㄎ" }  # /kh/ ==&gt; K</v>
      </c>
      <c r="BX15" s="40"/>
      <c r="BY15" s="39">
        <f t="shared" si="2"/>
        <v>11</v>
      </c>
      <c r="BZ15" s="354" t="str">
        <v>ㄎ</v>
      </c>
      <c r="CA15" s="355" t="str">
        <v>聲</v>
      </c>
      <c r="CB15" s="347" t="str">
        <v>d</v>
      </c>
      <c r="CC15" s="348" t="str">
        <v>K</v>
      </c>
      <c r="CD15" s="349" t="str">
        <v>kh</v>
      </c>
      <c r="CE15" s="356">
        <v>2</v>
      </c>
      <c r="CG15" s="288" t="str">
        <f t="shared" si="3"/>
        <v xml:space="preserve">    - xform/^kh/K/    # ㄎ [ kh]</v>
      </c>
      <c r="CH15" s="459"/>
      <c r="CI15" s="39">
        <f t="shared" si="4"/>
        <v>11</v>
      </c>
      <c r="CJ15" s="354" t="str">
        <v>ㄞ</v>
      </c>
      <c r="CK15" s="355" t="str">
        <v>韻</v>
      </c>
      <c r="CL15" s="347" t="str">
        <v>9</v>
      </c>
      <c r="CM15" s="348" t="str">
        <v>I</v>
      </c>
      <c r="CN15" s="349" t="str">
        <v>ai</v>
      </c>
      <c r="CO15" s="356">
        <v>2</v>
      </c>
      <c r="CQ15" s="288" t="str">
        <f t="shared" si="5"/>
        <v xml:space="preserve">    - xform/ai/I/  # ㄞ [ai]</v>
      </c>
      <c r="CR15" s="459" t="str">
        <v xml:space="preserve">    - xform/om/W/  # ㆱ [om]</v>
      </c>
      <c r="CT15" s="354"/>
      <c r="CU15" s="355"/>
      <c r="CV15" s="347"/>
      <c r="CW15" s="348"/>
      <c r="CX15" s="349"/>
      <c r="CY15" s="356"/>
      <c r="DA15" s="288" t="str">
        <f t="shared" si="6"/>
        <v/>
      </c>
    </row>
    <row r="16" spans="1:105" s="16" customFormat="1" ht="45" customHeight="1">
      <c r="A16" s="45"/>
      <c r="B16" s="46" t="s">
        <v>2</v>
      </c>
      <c r="C16" s="47"/>
      <c r="D16" s="48" cm="1">
        <f t="array" ref="D16" xml:space="preserve"> COLUMN() - COLUMN($C:$C)</f>
        <v>1</v>
      </c>
      <c r="E16" s="48" cm="1">
        <f t="array" ref="E16" xml:space="preserve"> COLUMN() - COLUMN($C:$C)</f>
        <v>2</v>
      </c>
      <c r="F16" s="48" cm="1">
        <f t="array" ref="F16" xml:space="preserve"> COLUMN() - COLUMN($C:$C)</f>
        <v>3</v>
      </c>
      <c r="G16" s="48" cm="1">
        <f t="array" ref="G16" xml:space="preserve"> COLUMN() - COLUMN($C:$C)</f>
        <v>4</v>
      </c>
      <c r="H16" s="48" cm="1">
        <f t="array" ref="H16" xml:space="preserve"> COLUMN() - COLUMN($C:$C)</f>
        <v>5</v>
      </c>
      <c r="I16" s="48" cm="1">
        <f t="array" ref="I16" xml:space="preserve"> COLUMN() - COLUMN($C:$C)</f>
        <v>6</v>
      </c>
      <c r="J16" s="48" cm="1">
        <f t="array" ref="J16" xml:space="preserve"> COLUMN() - COLUMN($C:$C)</f>
        <v>7</v>
      </c>
      <c r="K16" s="48" cm="1">
        <f t="array" ref="K16" xml:space="preserve"> COLUMN() - COLUMN($C:$C)</f>
        <v>8</v>
      </c>
      <c r="L16" s="48" cm="1">
        <f t="array" ref="L16" xml:space="preserve"> COLUMN() - COLUMN($C:$C)</f>
        <v>9</v>
      </c>
      <c r="M16" s="48" cm="1">
        <f t="array" ref="M16" xml:space="preserve"> COLUMN() - COLUMN($C:$C)</f>
        <v>10</v>
      </c>
      <c r="N16" s="48" cm="1">
        <f t="array" ref="N16" xml:space="preserve"> COLUMN() - COLUMN($C:$C)</f>
        <v>11</v>
      </c>
      <c r="O16" s="48" cm="1">
        <f t="array" ref="O16" xml:space="preserve"> COLUMN() - COLUMN($C:$C)</f>
        <v>12</v>
      </c>
      <c r="P16" s="48" cm="1">
        <f t="array" ref="P16" xml:space="preserve"> COLUMN() - COLUMN($C:$C)</f>
        <v>13</v>
      </c>
      <c r="Q16" s="48" cm="1">
        <f t="array" ref="Q16" xml:space="preserve"> COLUMN() - COLUMN($C:$C)</f>
        <v>14</v>
      </c>
      <c r="R16" s="48" cm="1">
        <f t="array" ref="R16" xml:space="preserve"> COLUMN() - COLUMN($C:$C)</f>
        <v>15</v>
      </c>
      <c r="S16" s="48" cm="1">
        <f t="array" ref="S16" xml:space="preserve"> COLUMN() - COLUMN($C:$C)</f>
        <v>16</v>
      </c>
      <c r="T16" s="48" cm="1">
        <f t="array" ref="T16" xml:space="preserve"> COLUMN() - COLUMN($C:$C)</f>
        <v>17</v>
      </c>
      <c r="U16" s="48" cm="1">
        <f t="array" ref="U16" xml:space="preserve"> COLUMN() - COLUMN($C:$C)</f>
        <v>18</v>
      </c>
      <c r="V16" s="48" cm="1">
        <f t="array" ref="V16" xml:space="preserve"> COLUMN() - COLUMN($C:$C)</f>
        <v>19</v>
      </c>
      <c r="W16" s="48" cm="1">
        <f t="array" ref="W16" xml:space="preserve"> COLUMN() - COLUMN($C:$C)</f>
        <v>20</v>
      </c>
      <c r="X16" s="48" cm="1">
        <f t="array" ref="X16" xml:space="preserve"> COLUMN() - COLUMN($C:$C)</f>
        <v>21</v>
      </c>
      <c r="Y16" s="49" cm="1">
        <f t="array" ref="Y16" xml:space="preserve"> COLUMN() - COLUMN($C:$C)</f>
        <v>22</v>
      </c>
      <c r="Z16" s="49" cm="1">
        <f t="array" ref="Z16" xml:space="preserve"> COLUMN() - COLUMN($C:$C)</f>
        <v>23</v>
      </c>
      <c r="AA16" s="49" cm="1">
        <f t="array" ref="AA16" xml:space="preserve"> COLUMN() - COLUMN($C:$C)</f>
        <v>24</v>
      </c>
      <c r="AB16" s="49" cm="1">
        <f t="array" ref="AB16" xml:space="preserve"> COLUMN() - COLUMN($C:$C)</f>
        <v>25</v>
      </c>
      <c r="AC16" s="49" cm="1">
        <f t="array" ref="AC16" xml:space="preserve"> COLUMN() - COLUMN($C:$C)</f>
        <v>26</v>
      </c>
      <c r="AD16" s="49" cm="1">
        <f t="array" ref="AD16" xml:space="preserve"> COLUMN() - COLUMN($C:$C)</f>
        <v>27</v>
      </c>
      <c r="AE16" s="49" cm="1">
        <f t="array" ref="AE16" xml:space="preserve"> COLUMN() - COLUMN($C:$C)</f>
        <v>28</v>
      </c>
      <c r="AF16" s="49" cm="1">
        <f t="array" ref="AF16" xml:space="preserve"> COLUMN() - COLUMN($C:$C)</f>
        <v>29</v>
      </c>
      <c r="AG16" s="49" cm="1">
        <f t="array" ref="AG16" xml:space="preserve"> COLUMN() - COLUMN($C:$C)</f>
        <v>30</v>
      </c>
      <c r="AH16" s="49" cm="1">
        <f t="array" ref="AH16" xml:space="preserve"> COLUMN() - COLUMN($C:$C)</f>
        <v>31</v>
      </c>
      <c r="AI16" s="49" cm="1">
        <f t="array" ref="AI16" xml:space="preserve"> COLUMN() - COLUMN($C:$C)</f>
        <v>32</v>
      </c>
      <c r="AJ16" s="49" cm="1">
        <f t="array" ref="AJ16" xml:space="preserve"> COLUMN() - COLUMN($C:$C)</f>
        <v>33</v>
      </c>
      <c r="AK16" s="49" cm="1">
        <f t="array" ref="AK16" xml:space="preserve"> COLUMN() - COLUMN($C:$C)</f>
        <v>34</v>
      </c>
      <c r="AL16" s="49" cm="1">
        <f t="array" ref="AL16" xml:space="preserve"> COLUMN() - COLUMN($C:$C)</f>
        <v>35</v>
      </c>
      <c r="AM16" s="49" cm="1">
        <f t="array" ref="AM16" xml:space="preserve"> COLUMN() - COLUMN($C:$C)</f>
        <v>36</v>
      </c>
      <c r="AN16" s="49" cm="1">
        <f t="array" ref="AN16" xml:space="preserve"> COLUMN() - COLUMN($C:$C)</f>
        <v>37</v>
      </c>
      <c r="AO16" s="49" cm="1">
        <f t="array" ref="AO16" xml:space="preserve"> COLUMN() - COLUMN($C:$C)</f>
        <v>38</v>
      </c>
      <c r="AP16" s="49" cm="1">
        <f t="array" ref="AP16" xml:space="preserve"> COLUMN() - COLUMN($C:$C)</f>
        <v>39</v>
      </c>
      <c r="AQ16" s="49" cm="1">
        <f t="array" ref="AQ16" xml:space="preserve"> COLUMN() - COLUMN($C:$C)</f>
        <v>40</v>
      </c>
      <c r="AR16" s="49" cm="1">
        <f t="array" ref="AR16" xml:space="preserve"> COLUMN() - COLUMN($C:$C)</f>
        <v>41</v>
      </c>
      <c r="AS16" s="49" cm="1">
        <f t="array" ref="AS16" xml:space="preserve"> COLUMN() - COLUMN($C:$C)</f>
        <v>42</v>
      </c>
      <c r="AT16" s="49" cm="1">
        <f t="array" ref="AT16" xml:space="preserve"> COLUMN() - COLUMN($C:$C)</f>
        <v>43</v>
      </c>
      <c r="AU16" s="49" cm="1">
        <f t="array" ref="AU16" xml:space="preserve"> COLUMN() - COLUMN($C:$C)</f>
        <v>44</v>
      </c>
      <c r="AV16" s="49" cm="1">
        <f t="array" ref="AV16" xml:space="preserve"> COLUMN() - COLUMN($C:$C)</f>
        <v>45</v>
      </c>
      <c r="AW16" s="49" cm="1">
        <f t="array" ref="AW16" xml:space="preserve"> COLUMN() - COLUMN($C:$C)</f>
        <v>46</v>
      </c>
      <c r="AX16" s="50" cm="1">
        <f t="array" ref="AX16" xml:space="preserve"> COLUMN() - COLUMN($C:$C)</f>
        <v>47</v>
      </c>
      <c r="AY16" s="50" cm="1">
        <f t="array" ref="AY16" xml:space="preserve"> COLUMN() - COLUMN($C:$C)</f>
        <v>48</v>
      </c>
      <c r="AZ16" s="50" cm="1">
        <f t="array" ref="AZ16" xml:space="preserve"> COLUMN() - COLUMN($C:$C)</f>
        <v>49</v>
      </c>
      <c r="BA16" s="50" cm="1">
        <f t="array" ref="BA16" xml:space="preserve"> COLUMN() - COLUMN($C:$C)</f>
        <v>50</v>
      </c>
      <c r="BB16" s="50" cm="1">
        <f t="array" ref="BB16" xml:space="preserve"> COLUMN() - COLUMN($C:$C)</f>
        <v>51</v>
      </c>
      <c r="BC16" s="50" cm="1">
        <f t="array" ref="BC16" xml:space="preserve"> COLUMN() - COLUMN($C:$C)</f>
        <v>52</v>
      </c>
      <c r="BD16" s="50" cm="1">
        <f t="array" ref="BD16" xml:space="preserve"> COLUMN() - COLUMN($C:$C)</f>
        <v>53</v>
      </c>
      <c r="BE16" s="50" cm="1">
        <f t="array" ref="BE16" xml:space="preserve"> COLUMN() - COLUMN($C:$C)</f>
        <v>54</v>
      </c>
      <c r="BF16" s="50" cm="1">
        <f t="array" ref="BF16" xml:space="preserve"> COLUMN() - COLUMN($C:$C)</f>
        <v>55</v>
      </c>
      <c r="BG16" s="50" cm="1">
        <f t="array" ref="BG16" xml:space="preserve"> COLUMN() - COLUMN($C:$C)</f>
        <v>56</v>
      </c>
      <c r="BH16" s="50" cm="1">
        <f t="array" ref="BH16" xml:space="preserve"> COLUMN() - COLUMN($C:$C)</f>
        <v>57</v>
      </c>
      <c r="BI16" s="50" cm="1">
        <f t="array" ref="BI16" xml:space="preserve"> COLUMN() - COLUMN($C:$C)</f>
        <v>58</v>
      </c>
      <c r="BJ16" s="50" cm="1">
        <f t="array" ref="BJ16" xml:space="preserve"> COLUMN() - COLUMN($C:$C)</f>
        <v>59</v>
      </c>
      <c r="BK16" s="14"/>
      <c r="BL16" s="14"/>
      <c r="BM16" s="447" t="str" cm="1">
        <f t="array" ref="BM16">INDEX($D$18:$BH$18, 1, $BO16)</f>
        <v>ㄫ</v>
      </c>
      <c r="BN16" s="447" t="str" cm="1">
        <f t="array" aca="1" ref="BN16" ca="1">INDIRECT(ADDRESS(17, COLUMN($D$18) + $BO16 - 1))</f>
        <v>?</v>
      </c>
      <c r="BO16" s="39">
        <f t="shared" si="0"/>
        <v>12</v>
      </c>
      <c r="BP16" s="354" t="str">
        <v>ㄫ</v>
      </c>
      <c r="BQ16" s="355" t="str">
        <f xml:space="preserve"> _xlfn.XLOOKUP(BP16, 按鍵設計表[注音符號], 按鍵設計表[聲韻調], "")</f>
        <v>聲</v>
      </c>
      <c r="BR16" s="347" t="str">
        <v>?</v>
      </c>
      <c r="BS16" s="348" t="str">
        <v>g</v>
      </c>
      <c r="BT16" s="349" t="str">
        <v>ng</v>
      </c>
      <c r="BU16" s="356">
        <f t="shared" si="8"/>
        <v>2</v>
      </c>
      <c r="BV16" s="15"/>
      <c r="BW16" s="146" t="str">
        <f xml:space="preserve"> "    """ &amp; BR16 &amp; """: { commit: """ &amp; BP16 &amp; """ }" &amp; "  # " &amp; "/" &amp; BT16 &amp; "/ ==&gt; " &amp; BS16</f>
        <v xml:space="preserve">    "?": { commit: "ㄫ" }  # /ng/ ==&gt; g</v>
      </c>
      <c r="BX16" s="40"/>
      <c r="BY16" s="39">
        <f t="shared" si="2"/>
        <v>12</v>
      </c>
      <c r="BZ16" s="354" t="str">
        <v>ㄫ</v>
      </c>
      <c r="CA16" s="355" t="str">
        <v>聲</v>
      </c>
      <c r="CB16" s="347" t="str">
        <v>?</v>
      </c>
      <c r="CC16" s="348" t="str">
        <v>g</v>
      </c>
      <c r="CD16" s="349" t="str">
        <v>ng</v>
      </c>
      <c r="CE16" s="356">
        <v>2</v>
      </c>
      <c r="CG16" s="288" t="str">
        <f t="shared" si="3"/>
        <v xml:space="preserve">    - xform/^ng/g/    # ㄫ [ ng]</v>
      </c>
      <c r="CH16" s="459"/>
      <c r="CI16" s="39">
        <f t="shared" si="4"/>
        <v>12</v>
      </c>
      <c r="CJ16" s="354" t="str">
        <v>ㄠ</v>
      </c>
      <c r="CK16" s="355" t="str">
        <v>韻</v>
      </c>
      <c r="CL16" s="347" t="str">
        <v>l</v>
      </c>
      <c r="CM16" s="348" t="str">
        <v>U</v>
      </c>
      <c r="CN16" s="349" t="str">
        <v>au</v>
      </c>
      <c r="CO16" s="356">
        <v>2</v>
      </c>
      <c r="CQ16" s="288" t="str">
        <f t="shared" si="5"/>
        <v xml:space="preserve">    - xform/au/U/  # ㄠ [au]</v>
      </c>
      <c r="CR16" s="459" t="str">
        <v xml:space="preserve">    - xform/ong/H/  # ㆲ [ong]</v>
      </c>
      <c r="CT16" s="354"/>
      <c r="CU16" s="355"/>
      <c r="CV16" s="347"/>
      <c r="CW16" s="348"/>
      <c r="CX16" s="349"/>
      <c r="CY16" s="356"/>
      <c r="DA16" s="288" t="str">
        <f t="shared" si="6"/>
        <v/>
      </c>
    </row>
    <row r="17" spans="1:105" s="16" customFormat="1" ht="45" customHeight="1">
      <c r="A17" s="51"/>
      <c r="B17" s="52" t="s">
        <v>4</v>
      </c>
      <c r="C17" s="53"/>
      <c r="D17" s="299" t="str" cm="1">
        <f t="array" ref="D17:BH17" xml:space="preserve"> TRANSPOSE(按鍵設計表[鍵盤按鍵])</f>
        <v>!</v>
      </c>
      <c r="E17" s="299" t="str">
        <v>1</v>
      </c>
      <c r="F17" s="299" t="str">
        <v>q</v>
      </c>
      <c r="G17" s="299" t="str">
        <v>a</v>
      </c>
      <c r="H17" s="299" t="str">
        <v>s</v>
      </c>
      <c r="I17" s="299" t="str">
        <v>2</v>
      </c>
      <c r="J17" s="299" t="str">
        <v>w</v>
      </c>
      <c r="K17" s="299" t="str">
        <v>x</v>
      </c>
      <c r="L17" s="299" t="str">
        <v>E</v>
      </c>
      <c r="M17" s="299" t="str">
        <v>e</v>
      </c>
      <c r="N17" s="299" t="str">
        <v>d</v>
      </c>
      <c r="O17" s="299" t="str">
        <v>?</v>
      </c>
      <c r="P17" s="299" t="str">
        <v>Y</v>
      </c>
      <c r="Q17" s="299" t="str">
        <v>y</v>
      </c>
      <c r="R17" s="299" t="str">
        <v>h</v>
      </c>
      <c r="S17" s="299" t="str">
        <v>n</v>
      </c>
      <c r="T17" s="299" t="str">
        <v>c</v>
      </c>
      <c r="U17" s="299" t="str">
        <v>R</v>
      </c>
      <c r="V17" s="299" t="str">
        <v>r</v>
      </c>
      <c r="W17" s="299" t="str">
        <v>f</v>
      </c>
      <c r="X17" s="299" t="str">
        <v>v</v>
      </c>
      <c r="Y17" s="299" t="str">
        <v>8</v>
      </c>
      <c r="Z17" s="299" t="str">
        <v>u</v>
      </c>
      <c r="AA17" s="299" t="str">
        <v>K</v>
      </c>
      <c r="AB17" s="299" t="str">
        <v>j</v>
      </c>
      <c r="AC17" s="299" t="str">
        <v>,</v>
      </c>
      <c r="AD17" s="299" t="str">
        <v>i</v>
      </c>
      <c r="AE17" s="299" t="str">
        <v>k</v>
      </c>
      <c r="AF17" s="455" t="str">
        <v>m</v>
      </c>
      <c r="AG17" s="455" t="str">
        <v>p</v>
      </c>
      <c r="AH17" s="458" t="str">
        <v>/</v>
      </c>
      <c r="AI17" s="299" t="str">
        <v>b</v>
      </c>
      <c r="AJ17" s="299" t="str">
        <v>t</v>
      </c>
      <c r="AK17" s="299" t="str">
        <v>g</v>
      </c>
      <c r="AL17" s="299" t="str">
        <v>z</v>
      </c>
      <c r="AM17" s="299" t="str">
        <v>9</v>
      </c>
      <c r="AN17" s="299" t="str">
        <v>l</v>
      </c>
      <c r="AO17" s="299" t="str">
        <v>M</v>
      </c>
      <c r="AP17" s="299" t="str">
        <v>0</v>
      </c>
      <c r="AQ17" s="299" t="str">
        <v>;</v>
      </c>
      <c r="AR17" s="299" t="str">
        <v>O</v>
      </c>
      <c r="AS17" s="299" t="str">
        <v>o</v>
      </c>
      <c r="AT17" s="299" t="str">
        <v>*</v>
      </c>
      <c r="AU17" s="299" t="str">
        <v>U</v>
      </c>
      <c r="AV17" s="299" t="str">
        <v>J</v>
      </c>
      <c r="AW17" s="455" t="str">
        <v>&lt;</v>
      </c>
      <c r="AX17" s="455" t="str">
        <v>I</v>
      </c>
      <c r="AY17" s="455" t="str">
        <v>(</v>
      </c>
      <c r="AZ17" s="455" t="str">
        <v>L</v>
      </c>
      <c r="BA17" s="299">
        <v>7</v>
      </c>
      <c r="BB17" s="299">
        <v>5</v>
      </c>
      <c r="BC17" s="299">
        <v>3</v>
      </c>
      <c r="BD17" s="299">
        <v>4</v>
      </c>
      <c r="BE17" s="299">
        <v>6</v>
      </c>
      <c r="BF17" s="299" t="str">
        <v>N</v>
      </c>
      <c r="BG17" s="299" t="str">
        <v>.</v>
      </c>
      <c r="BH17" s="299" t="str">
        <v>-</v>
      </c>
      <c r="BI17" s="299"/>
      <c r="BJ17" s="299"/>
      <c r="BK17" s="14"/>
      <c r="BL17" s="14"/>
      <c r="BM17" s="447" t="str" cm="1">
        <f t="array" ref="BM17">INDEX($D$18:$BH$18, 1, $BO17)</f>
        <v>ㆡ</v>
      </c>
      <c r="BN17" s="447" t="str" cm="1">
        <f t="array" aca="1" ref="BN17" ca="1">INDIRECT(ADDRESS(17, COLUMN($D$18) + $BO17 - 1))</f>
        <v>Y</v>
      </c>
      <c r="BO17" s="39">
        <f t="shared" si="0"/>
        <v>13</v>
      </c>
      <c r="BP17" s="354" t="str">
        <v>ㆡ</v>
      </c>
      <c r="BQ17" s="355" t="str">
        <f xml:space="preserve"> _xlfn.XLOOKUP(BP17, 按鍵設計表[注音符號], 按鍵設計表[聲韻調], "")</f>
        <v>聲</v>
      </c>
      <c r="BR17" s="347" t="str">
        <v>Y</v>
      </c>
      <c r="BS17" s="348" t="str">
        <v>j</v>
      </c>
      <c r="BT17" s="349" t="str">
        <v>j</v>
      </c>
      <c r="BU17" s="356">
        <f t="shared" si="8"/>
        <v>1</v>
      </c>
      <c r="BW17" s="146" t="str">
        <f xml:space="preserve"> "    """ &amp; BR17 &amp; """: { commit: """ &amp; BP17 &amp; """ }" &amp; "  # " &amp; "/" &amp; BT17 &amp; "/ ==&gt; " &amp; BS17</f>
        <v xml:space="preserve">    "Y": { commit: "ㆡ" }  # /j/ ==&gt; j</v>
      </c>
      <c r="BX17" s="40"/>
      <c r="BY17" s="39">
        <f t="shared" si="2"/>
        <v>13</v>
      </c>
      <c r="BZ17" s="354" t="str">
        <v>ㆡ</v>
      </c>
      <c r="CA17" s="355" t="str">
        <v>聲</v>
      </c>
      <c r="CB17" s="347" t="str">
        <v>Y</v>
      </c>
      <c r="CC17" s="348" t="str">
        <v>j</v>
      </c>
      <c r="CD17" s="349" t="str">
        <v>j</v>
      </c>
      <c r="CE17" s="356">
        <v>1</v>
      </c>
      <c r="CG17" s="288" t="str">
        <f t="shared" si="3"/>
        <v/>
      </c>
      <c r="CH17" s="459"/>
      <c r="CI17" s="39">
        <f t="shared" si="4"/>
        <v>13</v>
      </c>
      <c r="CJ17" s="354" t="str">
        <v>ㆰ</v>
      </c>
      <c r="CK17" s="355" t="str">
        <v>韻</v>
      </c>
      <c r="CL17" s="347" t="str">
        <v>M</v>
      </c>
      <c r="CM17" s="348" t="str">
        <v>Y</v>
      </c>
      <c r="CN17" s="349" t="str">
        <v>am</v>
      </c>
      <c r="CO17" s="356">
        <v>2</v>
      </c>
      <c r="CQ17" s="288" t="str">
        <f t="shared" si="5"/>
        <v xml:space="preserve">    - xform/am/Y/  # ㆰ [am]</v>
      </c>
      <c r="CR17" s="459" t="str">
        <v xml:space="preserve">    - xform/ann/La/  # ㆩ [ann]</v>
      </c>
      <c r="CT17" s="354"/>
      <c r="CU17" s="355"/>
      <c r="CV17" s="347"/>
      <c r="CW17" s="348"/>
      <c r="CX17" s="349"/>
      <c r="CY17" s="356"/>
      <c r="DA17" s="288" t="str">
        <f t="shared" si="6"/>
        <v/>
      </c>
    </row>
    <row r="18" spans="1:105" s="16" customFormat="1" ht="45" customHeight="1">
      <c r="A18" s="51"/>
      <c r="B18" s="84" t="s">
        <v>3</v>
      </c>
      <c r="C18" s="85"/>
      <c r="D18" s="86" t="str" cm="1">
        <f t="array" ref="D18:BH18" xml:space="preserve"> TRANSPOSE(按鍵設計表[注音符號])</f>
        <v>ㆠ</v>
      </c>
      <c r="E18" s="86" t="str">
        <v>ㄅ</v>
      </c>
      <c r="F18" s="86" t="str">
        <v>ㄆ</v>
      </c>
      <c r="G18" s="86" t="str">
        <v>ㄇ</v>
      </c>
      <c r="H18" s="86" t="str">
        <v>ㄋ</v>
      </c>
      <c r="I18" s="86" t="str">
        <v>ㄉ</v>
      </c>
      <c r="J18" s="86" t="str">
        <v>ㄊ</v>
      </c>
      <c r="K18" s="86" t="str">
        <v>ㄌ</v>
      </c>
      <c r="L18" s="86" t="str">
        <v>ㆣ</v>
      </c>
      <c r="M18" s="86" t="str">
        <v>ㄍ</v>
      </c>
      <c r="N18" s="86" t="str">
        <v>ㄎ</v>
      </c>
      <c r="O18" s="86" t="str">
        <v>ㄫ</v>
      </c>
      <c r="P18" s="86" t="str">
        <v>ㆡ</v>
      </c>
      <c r="Q18" s="86" t="str">
        <v>ㄗ</v>
      </c>
      <c r="R18" s="86" t="str">
        <v>ㄘ</v>
      </c>
      <c r="S18" s="86" t="str">
        <v>ㄙ</v>
      </c>
      <c r="T18" s="86" t="str">
        <v>ㄏ</v>
      </c>
      <c r="U18" s="86" t="str">
        <v>ㆢ</v>
      </c>
      <c r="V18" s="86" t="str">
        <v>ㄐ</v>
      </c>
      <c r="W18" s="86" t="str">
        <v>ㄑ</v>
      </c>
      <c r="X18" s="86" t="str">
        <v>ㄒ</v>
      </c>
      <c r="Y18" s="86" t="str">
        <v>ㄚ</v>
      </c>
      <c r="Z18" s="86" t="str">
        <v>ㄧ</v>
      </c>
      <c r="AA18" s="86" t="str">
        <v>ㆨ</v>
      </c>
      <c r="AB18" s="86" t="str">
        <v>ㄨ</v>
      </c>
      <c r="AC18" s="86" t="str">
        <v>ㆤ</v>
      </c>
      <c r="AD18" s="86" t="str">
        <v>ㆦ</v>
      </c>
      <c r="AE18" s="86" t="str">
        <v>ㄜ</v>
      </c>
      <c r="AF18" s="86" t="str">
        <v>ㆬ</v>
      </c>
      <c r="AG18" s="86" t="str">
        <v>ㄣ</v>
      </c>
      <c r="AH18" s="86" t="str">
        <v>ㆭ</v>
      </c>
      <c r="AI18" s="86" t="str">
        <v>ㆴ</v>
      </c>
      <c r="AJ18" s="86" t="str">
        <v>ㆵ</v>
      </c>
      <c r="AK18" s="86" t="str">
        <v>ㆻ</v>
      </c>
      <c r="AL18" s="86" t="str">
        <v>ㆻ</v>
      </c>
      <c r="AM18" s="86" t="str">
        <v>ㄞ</v>
      </c>
      <c r="AN18" s="86" t="str">
        <v>ㄠ</v>
      </c>
      <c r="AO18" s="86" t="str">
        <v>ㆰ</v>
      </c>
      <c r="AP18" s="86" t="str">
        <v>ㄢ</v>
      </c>
      <c r="AQ18" s="86" t="str">
        <v>ㄤ</v>
      </c>
      <c r="AR18" s="86" t="str">
        <v>ㆱ</v>
      </c>
      <c r="AS18" s="86" t="str">
        <v>ㆲ</v>
      </c>
      <c r="AT18" s="86" t="str">
        <v>ㆩ</v>
      </c>
      <c r="AU18" s="86" t="str">
        <v>ㆪ</v>
      </c>
      <c r="AV18" s="86" t="str">
        <v>ㆫ</v>
      </c>
      <c r="AW18" s="86" t="str">
        <v>ㆥ</v>
      </c>
      <c r="AX18" s="86" t="str">
        <v>ㆧ</v>
      </c>
      <c r="AY18" s="86" t="str">
        <v>ㆮ</v>
      </c>
      <c r="AZ18" s="86" t="str">
        <v>ㆯ</v>
      </c>
      <c r="BA18" s="86" t="str">
        <v>˙</v>
      </c>
      <c r="BB18" s="86" t="str">
        <v>˫</v>
      </c>
      <c r="BC18" s="86" t="str">
        <v>˪</v>
      </c>
      <c r="BD18" s="86" t="str">
        <v>ˋ</v>
      </c>
      <c r="BE18" s="86" t="str">
        <v>ˊ</v>
      </c>
      <c r="BF18" s="86" t="str">
        <v>ㄥ</v>
      </c>
      <c r="BG18" s="86" t="str">
        <v>入</v>
      </c>
      <c r="BH18" s="86" t="str">
        <v>ñ</v>
      </c>
      <c r="BI18" s="86" t="str">
        <f xml:space="preserve"> _xlfn.XLOOKUP(BI$17, 按鍵設計表[鍵盤按鍵], 按鍵設計表[注音符號], "", 0, 1)</f>
        <v/>
      </c>
      <c r="BJ18" s="86" t="str">
        <f xml:space="preserve"> _xlfn.XLOOKUP(BJ$17, 按鍵設計表[鍵盤按鍵], 按鍵設計表[注音符號], "", 0, 1)</f>
        <v/>
      </c>
      <c r="BK18" s="14"/>
      <c r="BL18" s="14"/>
      <c r="BM18" s="447" t="str" cm="1">
        <f t="array" ref="BM18">INDEX($D$18:$BH$18, 1, $BO18)</f>
        <v>ㄗ</v>
      </c>
      <c r="BN18" s="447" t="str" cm="1">
        <f t="array" aca="1" ref="BN18" ca="1">INDIRECT(ADDRESS(17, COLUMN($D$18) + $BO18 - 1))</f>
        <v>y</v>
      </c>
      <c r="BO18" s="39">
        <f t="shared" si="0"/>
        <v>14</v>
      </c>
      <c r="BP18" s="354" t="str">
        <v>ㄗ</v>
      </c>
      <c r="BQ18" s="355" t="str">
        <f xml:space="preserve"> _xlfn.XLOOKUP(BP18, 按鍵設計表[注音符號], 按鍵設計表[聲韻調], "")</f>
        <v>聲</v>
      </c>
      <c r="BR18" s="347" t="str">
        <v>y</v>
      </c>
      <c r="BS18" s="348" t="str">
        <v>z</v>
      </c>
      <c r="BT18" s="349" t="str">
        <v>z</v>
      </c>
      <c r="BU18" s="356">
        <f xml:space="preserve"> LEN(BT18)</f>
        <v>1</v>
      </c>
      <c r="BW18" s="146" t="str">
        <f xml:space="preserve"> "    """ &amp; BR19 &amp; """: { commit: """ &amp; BP19 &amp; """ }" &amp; "  # " &amp; "/" &amp; BT19 &amp; "/ ==&gt; " &amp; BS19</f>
        <v xml:space="preserve">    "h": { commit: "ㄘ" }  # /c/ ==&gt; c</v>
      </c>
      <c r="BX18" s="40"/>
      <c r="BY18" s="39">
        <f t="shared" si="2"/>
        <v>14</v>
      </c>
      <c r="BZ18" s="354" t="str">
        <v>ㄗ</v>
      </c>
      <c r="CA18" s="355" t="str">
        <v>聲</v>
      </c>
      <c r="CB18" s="347" t="str">
        <v>y</v>
      </c>
      <c r="CC18" s="348" t="str">
        <v>z</v>
      </c>
      <c r="CD18" s="349" t="str">
        <v>z</v>
      </c>
      <c r="CE18" s="356">
        <v>1</v>
      </c>
      <c r="CG18" s="288" t="str">
        <f t="shared" si="3"/>
        <v/>
      </c>
      <c r="CH18" s="459"/>
      <c r="CI18" s="39">
        <f t="shared" si="4"/>
        <v>14</v>
      </c>
      <c r="CJ18" s="354" t="str">
        <v>ㄢ</v>
      </c>
      <c r="CK18" s="355" t="str">
        <v>韻</v>
      </c>
      <c r="CL18" s="347" t="str">
        <v>0</v>
      </c>
      <c r="CM18" s="348" t="str">
        <v>@</v>
      </c>
      <c r="CN18" s="349" t="str">
        <v>an</v>
      </c>
      <c r="CO18" s="356">
        <v>2</v>
      </c>
      <c r="CQ18" s="288" t="str">
        <f t="shared" si="5"/>
        <v xml:space="preserve">    - xform/an/@/  # ㄢ [an]</v>
      </c>
      <c r="CR18" s="459" t="str">
        <v xml:space="preserve">    - xform/inn/Li/  # ㆪ [inn]</v>
      </c>
      <c r="CT18" s="354"/>
      <c r="CU18" s="355"/>
      <c r="CV18" s="347"/>
      <c r="CW18" s="348"/>
      <c r="CX18" s="349"/>
      <c r="CY18" s="356"/>
      <c r="DA18" s="288" t="str">
        <f t="shared" si="6"/>
        <v/>
      </c>
    </row>
    <row r="19" spans="1:105" s="16" customFormat="1" ht="45" customHeight="1">
      <c r="A19" s="51"/>
      <c r="B19" s="120" t="s">
        <v>8486</v>
      </c>
      <c r="C19" s="55"/>
      <c r="D19" s="56" t="str" cm="1">
        <f t="array" ref="D19:BH19" xml:space="preserve"> TRANSPOSE(按鍵設計表[字典編碼])</f>
        <v>b</v>
      </c>
      <c r="E19" s="56" t="str">
        <v>p</v>
      </c>
      <c r="F19" s="56" t="str">
        <v>P</v>
      </c>
      <c r="G19" s="56" t="str">
        <v>m</v>
      </c>
      <c r="H19" s="56" t="str">
        <v>n</v>
      </c>
      <c r="I19" s="56" t="str">
        <v>t</v>
      </c>
      <c r="J19" s="56" t="str">
        <v>T</v>
      </c>
      <c r="K19" s="56" t="str">
        <v>l</v>
      </c>
      <c r="L19" s="56" t="str">
        <v>q</v>
      </c>
      <c r="M19" s="56" t="str">
        <v>k</v>
      </c>
      <c r="N19" s="56" t="str">
        <v>K</v>
      </c>
      <c r="O19" s="56" t="str">
        <v>g</v>
      </c>
      <c r="P19" s="56" t="str">
        <v>j</v>
      </c>
      <c r="Q19" s="56" t="str">
        <v>z</v>
      </c>
      <c r="R19" s="56" t="str">
        <v>c</v>
      </c>
      <c r="S19" s="56" t="str">
        <v>s</v>
      </c>
      <c r="T19" s="56" t="str">
        <v>h</v>
      </c>
      <c r="U19" s="56" t="str">
        <v>J</v>
      </c>
      <c r="V19" s="56" t="str">
        <v>Z</v>
      </c>
      <c r="W19" s="56" t="str">
        <v>C</v>
      </c>
      <c r="X19" s="56" t="str">
        <v>S</v>
      </c>
      <c r="Y19" s="56" t="str">
        <v>a</v>
      </c>
      <c r="Z19" s="56" t="str">
        <v>i</v>
      </c>
      <c r="AA19" s="56" t="str">
        <v>w</v>
      </c>
      <c r="AB19" s="56" t="str">
        <v>u</v>
      </c>
      <c r="AC19" s="56" t="str">
        <v>e</v>
      </c>
      <c r="AD19" s="56" t="str">
        <v>o</v>
      </c>
      <c r="AE19" s="56" t="str">
        <v>ø</v>
      </c>
      <c r="AF19" s="456" t="str">
        <v>M</v>
      </c>
      <c r="AG19" s="456" t="str">
        <v>N</v>
      </c>
      <c r="AH19" s="456" t="str">
        <v>G</v>
      </c>
      <c r="AI19" s="56" t="str">
        <v>R</v>
      </c>
      <c r="AJ19" s="56" t="str">
        <v>F</v>
      </c>
      <c r="AK19" s="56" t="str">
        <v>Q</v>
      </c>
      <c r="AL19" s="56" t="str">
        <v>V</v>
      </c>
      <c r="AM19" s="56" t="str">
        <v>I</v>
      </c>
      <c r="AN19" s="56" t="str">
        <v>U</v>
      </c>
      <c r="AO19" s="56" t="str">
        <v>Y</v>
      </c>
      <c r="AP19" s="56" t="str">
        <v>@</v>
      </c>
      <c r="AQ19" s="56" t="str">
        <v>A</v>
      </c>
      <c r="AR19" s="56" t="str">
        <v>W</v>
      </c>
      <c r="AS19" s="56" t="str">
        <v>H</v>
      </c>
      <c r="AT19" s="56" t="str">
        <v>La</v>
      </c>
      <c r="AU19" s="56" t="str">
        <v>Li</v>
      </c>
      <c r="AV19" s="56" t="str">
        <v>Lu</v>
      </c>
      <c r="AW19" s="456" t="str">
        <v>Le</v>
      </c>
      <c r="AX19" s="456" t="str">
        <v>Lo</v>
      </c>
      <c r="AY19" s="456" t="str">
        <v>LI</v>
      </c>
      <c r="AZ19" s="456" t="str">
        <v>LU</v>
      </c>
      <c r="BA19" s="56">
        <v>0</v>
      </c>
      <c r="BB19" s="56">
        <v>7</v>
      </c>
      <c r="BC19" s="56" t="str">
        <v>3</v>
      </c>
      <c r="BD19" s="56" t="str">
        <v>2</v>
      </c>
      <c r="BE19" s="56" t="str">
        <v>5</v>
      </c>
      <c r="BF19" s="56" t="str">
        <v>*</v>
      </c>
      <c r="BG19" s="56" t="str">
        <v>&amp;</v>
      </c>
      <c r="BH19" s="56">
        <v>0</v>
      </c>
      <c r="BI19" s="56"/>
      <c r="BJ19" s="56"/>
      <c r="BK19" s="13"/>
      <c r="BL19" s="13"/>
      <c r="BM19" s="447" t="str" cm="1">
        <f t="array" ref="BM19">INDEX($D$18:$BH$18, 1, $BO19)</f>
        <v>ㄘ</v>
      </c>
      <c r="BN19" s="447" t="str" cm="1">
        <f t="array" aca="1" ref="BN19" ca="1">INDIRECT(ADDRESS(17, COLUMN($D$18) + $BO19 - 1))</f>
        <v>h</v>
      </c>
      <c r="BO19" s="39">
        <f t="shared" si="0"/>
        <v>15</v>
      </c>
      <c r="BP19" s="354" t="str">
        <v>ㄘ</v>
      </c>
      <c r="BQ19" s="355" t="str">
        <f xml:space="preserve"> _xlfn.XLOOKUP(BP19, 按鍵設計表[注音符號], 按鍵設計表[聲韻調], "")</f>
        <v>聲</v>
      </c>
      <c r="BR19" s="347" t="str">
        <v>h</v>
      </c>
      <c r="BS19" s="348" t="str">
        <v>c</v>
      </c>
      <c r="BT19" s="349" t="str">
        <v>c</v>
      </c>
      <c r="BU19" s="356">
        <f t="shared" ref="BU19:BU71" si="9" xml:space="preserve"> LEN(BT19)</f>
        <v>1</v>
      </c>
      <c r="BW19" s="146" t="str">
        <f xml:space="preserve"> "    """ &amp; BR18 &amp; """: { commit: """ &amp; BP18 &amp; """ }" &amp; "  # " &amp; "/" &amp; BT18 &amp; "/ ==&gt; " &amp; BS18</f>
        <v xml:space="preserve">    "y": { commit: "ㄗ" }  # /z/ ==&gt; z</v>
      </c>
      <c r="BX19" s="40"/>
      <c r="BY19" s="39">
        <f t="shared" si="2"/>
        <v>15</v>
      </c>
      <c r="BZ19" s="354" t="str">
        <v>ㄘ</v>
      </c>
      <c r="CA19" s="355" t="str">
        <v>聲</v>
      </c>
      <c r="CB19" s="347" t="str">
        <v>h</v>
      </c>
      <c r="CC19" s="348" t="str">
        <v>c</v>
      </c>
      <c r="CD19" s="349" t="str">
        <v>c</v>
      </c>
      <c r="CE19" s="356">
        <v>1</v>
      </c>
      <c r="CG19" s="288" t="str">
        <f t="shared" si="3"/>
        <v/>
      </c>
      <c r="CH19" s="459"/>
      <c r="CI19" s="39">
        <f t="shared" si="4"/>
        <v>15</v>
      </c>
      <c r="CJ19" s="354" t="str">
        <v>ㄤ</v>
      </c>
      <c r="CK19" s="355" t="str">
        <v>韻</v>
      </c>
      <c r="CL19" s="347" t="str">
        <v>;</v>
      </c>
      <c r="CM19" s="348" t="str">
        <v>A</v>
      </c>
      <c r="CN19" s="349" t="str">
        <v>ang</v>
      </c>
      <c r="CO19" s="356">
        <v>3</v>
      </c>
      <c r="CQ19" s="288" t="str">
        <f t="shared" si="5"/>
        <v xml:space="preserve">    - xform/ang/A/  # ㄤ [ang]</v>
      </c>
      <c r="CR19" s="459" t="str">
        <v xml:space="preserve">    - xform/unn/Lu/  # ㆫ [unn]</v>
      </c>
      <c r="CT19" s="354"/>
      <c r="CU19" s="355"/>
      <c r="CV19" s="347"/>
      <c r="CW19" s="348"/>
      <c r="CX19" s="349"/>
      <c r="CY19" s="356"/>
      <c r="DA19" s="288" t="str">
        <f t="shared" si="6"/>
        <v/>
      </c>
    </row>
    <row r="20" spans="1:105" ht="45" customHeight="1">
      <c r="A20" s="51"/>
      <c r="B20" s="300" t="s">
        <v>225</v>
      </c>
      <c r="C20" s="58"/>
      <c r="D20" s="59" t="str" cm="1">
        <f t="array" ref="D20:BH20" xml:space="preserve"> TRANSPOSE(按鍵設計表[台語音標])</f>
        <v>b</v>
      </c>
      <c r="E20" s="59" t="str">
        <v>p</v>
      </c>
      <c r="F20" s="59" t="str">
        <v>ph</v>
      </c>
      <c r="G20" s="59" t="str">
        <v>m</v>
      </c>
      <c r="H20" s="59" t="str">
        <v>n</v>
      </c>
      <c r="I20" s="59" t="str">
        <v>t</v>
      </c>
      <c r="J20" s="59" t="str">
        <v>th</v>
      </c>
      <c r="K20" s="59" t="str">
        <v>l</v>
      </c>
      <c r="L20" s="59" t="str">
        <v>g</v>
      </c>
      <c r="M20" s="59" t="str">
        <v>k</v>
      </c>
      <c r="N20" s="59" t="str">
        <v>kh</v>
      </c>
      <c r="O20" s="59" t="str">
        <v>ng</v>
      </c>
      <c r="P20" s="59" t="str">
        <v>j</v>
      </c>
      <c r="Q20" s="59" t="str">
        <v>z</v>
      </c>
      <c r="R20" s="59" t="str">
        <v>c</v>
      </c>
      <c r="S20" s="59" t="str">
        <v>s</v>
      </c>
      <c r="T20" s="59" t="str">
        <v>h</v>
      </c>
      <c r="U20" s="59" t="str">
        <v>ji</v>
      </c>
      <c r="V20" s="59" t="str">
        <v>zi</v>
      </c>
      <c r="W20" s="59" t="str">
        <v>ci</v>
      </c>
      <c r="X20" s="59" t="str">
        <v>si</v>
      </c>
      <c r="Y20" s="59" t="str">
        <v>a</v>
      </c>
      <c r="Z20" s="59" t="str">
        <v>i</v>
      </c>
      <c r="AA20" s="59" t="str">
        <v>ir</v>
      </c>
      <c r="AB20" s="59" t="str">
        <v>u</v>
      </c>
      <c r="AC20" s="59" t="str">
        <v>e</v>
      </c>
      <c r="AD20" s="59" t="str">
        <v>oo</v>
      </c>
      <c r="AE20" s="59" t="str">
        <v>o</v>
      </c>
      <c r="AF20" s="457" t="str">
        <v>-m</v>
      </c>
      <c r="AG20" s="457" t="str">
        <v>-n</v>
      </c>
      <c r="AH20" s="457" t="str">
        <v>-ng</v>
      </c>
      <c r="AI20" s="59" t="str">
        <v>-p</v>
      </c>
      <c r="AJ20" s="59" t="str">
        <v>-t</v>
      </c>
      <c r="AK20" s="59" t="str">
        <v>-k</v>
      </c>
      <c r="AL20" s="59" t="str">
        <v>-k</v>
      </c>
      <c r="AM20" s="59" t="str">
        <v>ai</v>
      </c>
      <c r="AN20" s="59" t="str">
        <v>au</v>
      </c>
      <c r="AO20" s="59" t="str">
        <v>am</v>
      </c>
      <c r="AP20" s="59" t="str">
        <v>an</v>
      </c>
      <c r="AQ20" s="59" t="str">
        <v>ang</v>
      </c>
      <c r="AR20" s="59" t="str">
        <v>om</v>
      </c>
      <c r="AS20" s="59" t="str">
        <v>ong</v>
      </c>
      <c r="AT20" s="59" t="str">
        <v>ann</v>
      </c>
      <c r="AU20" s="59" t="str">
        <v>inn</v>
      </c>
      <c r="AV20" s="59" t="str">
        <v>unn</v>
      </c>
      <c r="AW20" s="457" t="str">
        <v>enn</v>
      </c>
      <c r="AX20" s="457" t="str">
        <v>onn</v>
      </c>
      <c r="AY20" s="457" t="str">
        <v>ainn</v>
      </c>
      <c r="AZ20" s="457" t="str">
        <v>aunn</v>
      </c>
      <c r="BA20" s="59">
        <v>0</v>
      </c>
      <c r="BB20" s="59">
        <v>7</v>
      </c>
      <c r="BC20" s="59">
        <v>3</v>
      </c>
      <c r="BD20" s="59">
        <v>2</v>
      </c>
      <c r="BE20" s="59">
        <v>5</v>
      </c>
      <c r="BF20" s="59">
        <v>0</v>
      </c>
      <c r="BG20" s="59">
        <v>0</v>
      </c>
      <c r="BH20" s="59">
        <v>0</v>
      </c>
      <c r="BI20" s="59"/>
      <c r="BJ20" s="59"/>
      <c r="BK20" s="17"/>
      <c r="BL20" s="17"/>
      <c r="BM20" s="447" t="str" cm="1">
        <f t="array" ref="BM20">INDEX($D$18:$BH$18, 1, $BO20)</f>
        <v>ㄙ</v>
      </c>
      <c r="BN20" s="447" t="str" cm="1">
        <f t="array" aca="1" ref="BN20" ca="1">INDIRECT(ADDRESS(17, COLUMN($D$18) + $BO20 - 1))</f>
        <v>n</v>
      </c>
      <c r="BO20" s="39">
        <f t="shared" si="0"/>
        <v>16</v>
      </c>
      <c r="BP20" s="354" t="str">
        <v>ㄙ</v>
      </c>
      <c r="BQ20" s="355" t="str">
        <f xml:space="preserve"> _xlfn.XLOOKUP(BP20, 按鍵設計表[注音符號], 按鍵設計表[聲韻調], "")</f>
        <v>聲</v>
      </c>
      <c r="BR20" s="347" t="str">
        <v>n</v>
      </c>
      <c r="BS20" s="348" t="str">
        <v>s</v>
      </c>
      <c r="BT20" s="349" t="str">
        <v>s</v>
      </c>
      <c r="BU20" s="356">
        <f t="shared" si="9"/>
        <v>1</v>
      </c>
      <c r="BV20" s="16"/>
      <c r="BW20" s="146" t="str">
        <f xml:space="preserve"> "    """ &amp; BR20 &amp; """: { commit: """ &amp; BP20 &amp; """ }" &amp; "  # " &amp; "/" &amp; BT20 &amp; "/ ==&gt; " &amp; BS20</f>
        <v xml:space="preserve">    "n": { commit: "ㄙ" }  # /s/ ==&gt; s</v>
      </c>
      <c r="BX20" s="40"/>
      <c r="BY20" s="39">
        <f t="shared" si="2"/>
        <v>16</v>
      </c>
      <c r="BZ20" s="354" t="str">
        <v>ㄙ</v>
      </c>
      <c r="CA20" s="355" t="str">
        <v>聲</v>
      </c>
      <c r="CB20" s="347" t="str">
        <v>n</v>
      </c>
      <c r="CC20" s="348" t="str">
        <v>s</v>
      </c>
      <c r="CD20" s="349" t="str">
        <v>s</v>
      </c>
      <c r="CE20" s="356">
        <v>1</v>
      </c>
      <c r="CG20" s="288" t="str">
        <f t="shared" si="3"/>
        <v/>
      </c>
      <c r="CI20" s="39">
        <f t="shared" si="4"/>
        <v>16</v>
      </c>
      <c r="CJ20" s="354" t="str">
        <v>ㆱ</v>
      </c>
      <c r="CK20" s="355" t="str">
        <v>韻</v>
      </c>
      <c r="CL20" s="347" t="str">
        <v>O</v>
      </c>
      <c r="CM20" s="348" t="str">
        <v>W</v>
      </c>
      <c r="CN20" s="349" t="str">
        <v>om</v>
      </c>
      <c r="CO20" s="356">
        <v>2</v>
      </c>
      <c r="CQ20" s="288" t="str">
        <f t="shared" si="5"/>
        <v xml:space="preserve">    - xform/om/W/  # ㆱ [om]</v>
      </c>
      <c r="CR20" s="459" t="str">
        <v xml:space="preserve">    - xform/enn/Le/  # ㆥ [enn]</v>
      </c>
      <c r="CT20" s="354"/>
      <c r="CU20" s="355"/>
      <c r="CV20" s="347"/>
      <c r="CW20" s="348"/>
      <c r="CX20" s="349"/>
      <c r="CY20" s="356"/>
      <c r="DA20" s="288" t="str">
        <f t="shared" si="6"/>
        <v/>
      </c>
    </row>
    <row r="21" spans="1:105" s="17" customFormat="1" ht="4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19"/>
      <c r="AS21" s="19"/>
      <c r="AT21" s="28"/>
      <c r="AU21" s="28"/>
      <c r="AV21" s="28"/>
      <c r="AW21" s="13"/>
      <c r="AX21" s="13"/>
      <c r="AY21" s="13"/>
      <c r="AZ21" s="13"/>
      <c r="BA21" s="13"/>
      <c r="BB21" s="13"/>
      <c r="BJ21" s="60"/>
      <c r="BK21" s="60"/>
      <c r="BL21" s="60"/>
      <c r="BM21" s="447" t="str" cm="1">
        <f t="array" ref="BM21">INDEX($D$18:$BH$18, 1, $BO21)</f>
        <v>ㄏ</v>
      </c>
      <c r="BN21" s="447" t="str" cm="1">
        <f t="array" aca="1" ref="BN21" ca="1">INDIRECT(ADDRESS(17, COLUMN($D$18) + $BO21 - 1))</f>
        <v>c</v>
      </c>
      <c r="BO21" s="39">
        <f t="shared" si="0"/>
        <v>17</v>
      </c>
      <c r="BP21" s="354" t="str">
        <v>ㄏ</v>
      </c>
      <c r="BQ21" s="355" t="str">
        <f xml:space="preserve"> _xlfn.XLOOKUP(BP21, 按鍵設計表[注音符號], 按鍵設計表[聲韻調], "")</f>
        <v>聲</v>
      </c>
      <c r="BR21" s="347" t="str">
        <v>c</v>
      </c>
      <c r="BS21" s="348" t="str">
        <v>h</v>
      </c>
      <c r="BT21" s="349" t="str">
        <v>h</v>
      </c>
      <c r="BU21" s="356">
        <f t="shared" si="9"/>
        <v>1</v>
      </c>
      <c r="BV21" s="13"/>
      <c r="BW21" s="146" t="str">
        <f xml:space="preserve"> "    """ &amp; BR21 &amp; """: { commit: """ &amp; BP21 &amp; """ }" &amp; "  # " &amp; "/" &amp; BT21 &amp; "/ ==&gt; " &amp; BS21</f>
        <v xml:space="preserve">    "c": { commit: "ㄏ" }  # /h/ ==&gt; h</v>
      </c>
      <c r="BX21" s="40"/>
      <c r="BY21" s="39">
        <f t="shared" si="2"/>
        <v>17</v>
      </c>
      <c r="BZ21" s="354" t="str">
        <v>ㄏ</v>
      </c>
      <c r="CA21" s="355" t="str">
        <v>聲</v>
      </c>
      <c r="CB21" s="347" t="str">
        <v>c</v>
      </c>
      <c r="CC21" s="348" t="str">
        <v>h</v>
      </c>
      <c r="CD21" s="349" t="str">
        <v>h</v>
      </c>
      <c r="CE21" s="356">
        <v>1</v>
      </c>
      <c r="CG21" s="288" t="str">
        <f t="shared" si="3"/>
        <v/>
      </c>
      <c r="CH21" s="459"/>
      <c r="CI21" s="39">
        <f t="shared" si="4"/>
        <v>17</v>
      </c>
      <c r="CJ21" s="354" t="str">
        <v>ㆲ</v>
      </c>
      <c r="CK21" s="355" t="str">
        <v>韻</v>
      </c>
      <c r="CL21" s="347" t="str">
        <v>o</v>
      </c>
      <c r="CM21" s="348" t="str">
        <v>H</v>
      </c>
      <c r="CN21" s="349" t="str">
        <v>ong</v>
      </c>
      <c r="CO21" s="356">
        <v>3</v>
      </c>
      <c r="CQ21" s="288" t="str">
        <f t="shared" si="5"/>
        <v xml:space="preserve">    - xform/ong/H/  # ㆲ [ong]</v>
      </c>
      <c r="CR21" s="459" t="str">
        <v xml:space="preserve">    - xform/onn/Lo/  # ㆧ [onn]</v>
      </c>
      <c r="CT21" s="354"/>
      <c r="CU21" s="355"/>
      <c r="CV21" s="347"/>
      <c r="CW21" s="348"/>
      <c r="CX21" s="349"/>
      <c r="CY21" s="356"/>
      <c r="DA21" s="288" t="str">
        <f t="shared" si="6"/>
        <v/>
      </c>
    </row>
    <row r="22" spans="1:105" s="17" customFormat="1" ht="45" customHeight="1">
      <c r="B22" s="63" t="s">
        <v>337</v>
      </c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4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0"/>
      <c r="AJ22" s="60"/>
      <c r="AK22" s="60"/>
      <c r="AL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447" t="str" cm="1">
        <f t="array" ref="BM22">INDEX($D$18:$BH$18, 1, $BO22)</f>
        <v>ㆢ</v>
      </c>
      <c r="BN22" s="447" t="str" cm="1">
        <f t="array" aca="1" ref="BN22" ca="1">INDIRECT(ADDRESS(17, COLUMN($D$18) + $BO22 - 1))</f>
        <v>R</v>
      </c>
      <c r="BO22" s="39">
        <f t="shared" si="0"/>
        <v>18</v>
      </c>
      <c r="BP22" s="354" t="str">
        <v>ㆢ</v>
      </c>
      <c r="BQ22" s="355" t="str">
        <f xml:space="preserve"> _xlfn.XLOOKUP(BP22, 按鍵設計表[注音符號], 按鍵設計表[聲韻調], "")</f>
        <v>聲</v>
      </c>
      <c r="BR22" s="347" t="str">
        <v>R</v>
      </c>
      <c r="BS22" s="348" t="str">
        <v>J</v>
      </c>
      <c r="BT22" s="349" t="str">
        <v>ji</v>
      </c>
      <c r="BU22" s="356">
        <f xml:space="preserve"> LEN(BT22)</f>
        <v>2</v>
      </c>
      <c r="BW22" s="146" t="str">
        <f xml:space="preserve"> "    """ &amp; BR23 &amp; """: { commit: """ &amp; BP23 &amp; """ }" &amp; "  # " &amp; "/" &amp; BT23 &amp; "/ ==&gt; " &amp; BS23</f>
        <v xml:space="preserve">    "r": { commit: "ㄐ" }  # /zi/ ==&gt; Z</v>
      </c>
      <c r="BX22" s="40"/>
      <c r="BY22" s="39">
        <f t="shared" si="2"/>
        <v>18</v>
      </c>
      <c r="BZ22" s="354" t="str">
        <v>ㆢ</v>
      </c>
      <c r="CA22" s="355" t="str">
        <v>聲</v>
      </c>
      <c r="CB22" s="347" t="str">
        <v>R</v>
      </c>
      <c r="CC22" s="348" t="str">
        <v>J</v>
      </c>
      <c r="CD22" s="349" t="str">
        <v>ji</v>
      </c>
      <c r="CE22" s="356">
        <v>2</v>
      </c>
      <c r="CG22" s="288" t="str">
        <f t="shared" si="3"/>
        <v xml:space="preserve">    - xform/^ji/J/    # ㆢ [ ji]</v>
      </c>
      <c r="CH22" s="459"/>
      <c r="CI22" s="39">
        <f t="shared" si="4"/>
        <v>18</v>
      </c>
      <c r="CJ22" s="354" t="str">
        <v>ㆩ</v>
      </c>
      <c r="CK22" s="355" t="str">
        <v>韻</v>
      </c>
      <c r="CL22" s="347" t="str">
        <v>*</v>
      </c>
      <c r="CM22" s="348" t="str">
        <v>La</v>
      </c>
      <c r="CN22" s="349" t="str">
        <v>ann</v>
      </c>
      <c r="CO22" s="356">
        <v>3</v>
      </c>
      <c r="CQ22" s="288" t="str">
        <f t="shared" si="5"/>
        <v xml:space="preserve">    - xform/ann/La/  # ㆩ [ann]</v>
      </c>
      <c r="CR22" s="459" t="str">
        <v xml:space="preserve">    - xform/ainn/LI/  # ㆮ [ainn]</v>
      </c>
      <c r="CT22" s="354"/>
      <c r="CU22" s="355"/>
      <c r="CV22" s="347"/>
      <c r="CW22" s="348"/>
      <c r="CX22" s="349"/>
      <c r="CY22" s="356"/>
      <c r="DA22" s="288" t="str">
        <f t="shared" si="6"/>
        <v/>
      </c>
    </row>
    <row r="23" spans="1:105" s="296" customFormat="1" ht="45" customHeight="1">
      <c r="A23" s="294"/>
      <c r="B23" s="295" t="str">
        <f>"  alphabet: " &amp; _xlfn.CONCAT("""", D17:AZ17, BF17:BH17, BA17:BE17, """")</f>
        <v xml:space="preserve">  alphabet: "!1qas2wxEed?YyhncRrfv8uKj,ikmp/btgz9lM0;Oo*UJ&lt;I(LN.-75346"</v>
      </c>
      <c r="C23" s="295"/>
      <c r="D23" s="295"/>
      <c r="E23" s="295"/>
      <c r="F23" s="295"/>
      <c r="G23" s="295"/>
      <c r="H23" s="295"/>
      <c r="I23" s="295"/>
      <c r="J23" s="295"/>
      <c r="K23" s="295"/>
      <c r="L23" s="295"/>
      <c r="M23" s="295"/>
      <c r="N23" s="295"/>
      <c r="O23" s="295"/>
      <c r="P23" s="295"/>
      <c r="Q23" s="295"/>
      <c r="R23" s="295"/>
      <c r="S23" s="295"/>
      <c r="T23" s="295"/>
      <c r="U23" s="295"/>
      <c r="V23" s="295"/>
      <c r="W23" s="295"/>
      <c r="X23" s="295"/>
      <c r="Y23" s="295"/>
      <c r="Z23" s="295"/>
      <c r="AA23" s="295"/>
      <c r="AB23" s="295"/>
      <c r="AC23" s="295"/>
      <c r="AD23" s="295"/>
      <c r="AE23" s="295"/>
      <c r="AF23" s="295"/>
      <c r="AG23" s="295"/>
      <c r="AH23" s="295"/>
      <c r="AI23" s="295"/>
      <c r="AJ23" s="295"/>
      <c r="AK23" s="294"/>
      <c r="AL23" s="294"/>
      <c r="AM23" s="363"/>
      <c r="AN23" s="294"/>
      <c r="BJ23" s="297"/>
      <c r="BK23" s="297"/>
      <c r="BL23" s="297"/>
      <c r="BM23" s="447" t="str" cm="1">
        <f t="array" ref="BM23">INDEX($D$18:$BH$18, 1, $BO23)</f>
        <v>ㄐ</v>
      </c>
      <c r="BN23" s="447" t="str" cm="1">
        <f t="array" aca="1" ref="BN23" ca="1">INDIRECT(ADDRESS(17, COLUMN($D$18) + $BO23 - 1))</f>
        <v>r</v>
      </c>
      <c r="BO23" s="39">
        <f t="shared" si="0"/>
        <v>19</v>
      </c>
      <c r="BP23" s="354" t="str">
        <v>ㄐ</v>
      </c>
      <c r="BQ23" s="355" t="str">
        <f xml:space="preserve"> _xlfn.XLOOKUP(BP23, 按鍵設計表[注音符號], 按鍵設計表[聲韻調], "")</f>
        <v>聲</v>
      </c>
      <c r="BR23" s="347" t="str">
        <v>r</v>
      </c>
      <c r="BS23" s="348" t="str">
        <v>Z</v>
      </c>
      <c r="BT23" s="349" t="str">
        <v>zi</v>
      </c>
      <c r="BU23" s="356">
        <f t="shared" ref="BU23:BU75" si="10" xml:space="preserve"> LEN(BT23)</f>
        <v>2</v>
      </c>
      <c r="BV23" s="17"/>
      <c r="BW23" s="146" t="str">
        <f xml:space="preserve"> "    """ &amp; BR22 &amp; """: { commit: """ &amp; BP22 &amp; """ }" &amp; "  # " &amp; "/" &amp; BT22 &amp; "/ ==&gt; " &amp; BS22</f>
        <v xml:space="preserve">    "R": { commit: "ㆢ" }  # /ji/ ==&gt; J</v>
      </c>
      <c r="BX23" s="40"/>
      <c r="BY23" s="39">
        <f t="shared" si="2"/>
        <v>19</v>
      </c>
      <c r="BZ23" s="354" t="str">
        <v>ㄐ</v>
      </c>
      <c r="CA23" s="355" t="str">
        <v>聲</v>
      </c>
      <c r="CB23" s="347" t="str">
        <v>r</v>
      </c>
      <c r="CC23" s="348" t="str">
        <v>Z</v>
      </c>
      <c r="CD23" s="349" t="str">
        <v>zi</v>
      </c>
      <c r="CE23" s="356">
        <v>2</v>
      </c>
      <c r="CG23" s="288" t="str">
        <f t="shared" si="3"/>
        <v xml:space="preserve">    - xform/^zi/Z/    # ㄐ [ zi]</v>
      </c>
      <c r="CH23" s="459"/>
      <c r="CI23" s="39">
        <f t="shared" si="4"/>
        <v>19</v>
      </c>
      <c r="CJ23" s="354" t="str">
        <v>ㆪ</v>
      </c>
      <c r="CK23" s="355" t="str">
        <v>韻</v>
      </c>
      <c r="CL23" s="347" t="str">
        <v>U</v>
      </c>
      <c r="CM23" s="348" t="str">
        <v>Li</v>
      </c>
      <c r="CN23" s="349" t="str">
        <v>inn</v>
      </c>
      <c r="CO23" s="356">
        <v>3</v>
      </c>
      <c r="CQ23" s="288" t="str">
        <f t="shared" si="5"/>
        <v xml:space="preserve">    - xform/inn/Li/  # ㆪ [inn]</v>
      </c>
      <c r="CR23" s="459"/>
      <c r="CT23" s="354"/>
      <c r="CU23" s="355"/>
      <c r="CV23" s="347"/>
      <c r="CW23" s="348"/>
      <c r="CX23" s="349"/>
      <c r="CY23" s="356"/>
      <c r="DA23" s="288" t="str">
        <f t="shared" si="6"/>
        <v/>
      </c>
    </row>
    <row r="24" spans="1:105" s="17" customFormat="1" ht="45" customHeight="1">
      <c r="A24" s="28"/>
      <c r="B24" s="295" t="str">
        <f>"  initials: " &amp; _xlfn.CONCAT("""", D17:AZ17, BF17:BH17, """")</f>
        <v xml:space="preserve">  initials: "!1qas2wxEed?YyhncRrfv8uKj,ikmp/btgz9lM0;Oo*UJ&lt;I(LN.-"</v>
      </c>
      <c r="C24" s="295"/>
      <c r="D24" s="295"/>
      <c r="E24" s="295"/>
      <c r="F24" s="295"/>
      <c r="G24" s="295"/>
      <c r="H24" s="295"/>
      <c r="I24" s="295"/>
      <c r="J24" s="295"/>
      <c r="K24" s="295"/>
      <c r="L24" s="295"/>
      <c r="M24" s="295"/>
      <c r="N24" s="295"/>
      <c r="O24" s="295"/>
      <c r="P24" s="295"/>
      <c r="Q24" s="295"/>
      <c r="R24" s="295"/>
      <c r="S24" s="295"/>
      <c r="T24" s="295"/>
      <c r="U24" s="295"/>
      <c r="V24" s="295"/>
      <c r="W24" s="295"/>
      <c r="X24" s="295"/>
      <c r="Y24" s="295"/>
      <c r="Z24" s="295"/>
      <c r="AA24" s="295"/>
      <c r="AB24" s="295"/>
      <c r="AC24" s="295"/>
      <c r="AD24" s="295"/>
      <c r="AE24" s="295"/>
      <c r="AF24" s="295"/>
      <c r="AG24" s="295"/>
      <c r="AH24" s="295"/>
      <c r="AI24" s="295"/>
      <c r="AJ24" s="295"/>
      <c r="AK24" s="28"/>
      <c r="AL24" s="28"/>
      <c r="AM24" s="28"/>
      <c r="AN24" s="28"/>
      <c r="AO24" s="28"/>
      <c r="AP24" s="28"/>
      <c r="AQ24" s="28"/>
      <c r="AR24" s="19"/>
      <c r="AS24" s="19"/>
      <c r="AT24" s="28"/>
      <c r="AU24" s="28"/>
      <c r="AV24" s="28"/>
      <c r="AW24" s="13"/>
      <c r="AX24" s="13"/>
      <c r="AY24" s="13"/>
      <c r="AZ24" s="13"/>
      <c r="BA24" s="13"/>
      <c r="BB24" s="13"/>
      <c r="BJ24" s="60"/>
      <c r="BK24" s="60"/>
      <c r="BL24" s="60"/>
      <c r="BM24" s="447" t="str" cm="1">
        <f t="array" ref="BM24">INDEX($D$18:$BH$18, 1, $BO24)</f>
        <v>ㄑ</v>
      </c>
      <c r="BN24" s="447" t="str" cm="1">
        <f t="array" aca="1" ref="BN24" ca="1">INDIRECT(ADDRESS(17, COLUMN($D$18) + $BO24 - 1))</f>
        <v>f</v>
      </c>
      <c r="BO24" s="39">
        <f t="shared" si="0"/>
        <v>20</v>
      </c>
      <c r="BP24" s="354" t="str">
        <v>ㄑ</v>
      </c>
      <c r="BQ24" s="355" t="str">
        <f xml:space="preserve"> _xlfn.XLOOKUP(BP24, 按鍵設計表[注音符號], 按鍵設計表[聲韻調], "")</f>
        <v>聲</v>
      </c>
      <c r="BR24" s="347" t="str">
        <v>f</v>
      </c>
      <c r="BS24" s="348" t="str">
        <v>C</v>
      </c>
      <c r="BT24" s="349" t="str">
        <v>ci</v>
      </c>
      <c r="BU24" s="356">
        <f t="shared" si="10"/>
        <v>2</v>
      </c>
      <c r="BV24" s="296"/>
      <c r="BW24" s="146" t="str">
        <f t="shared" ref="BW24:BW61" si="11" xml:space="preserve"> "    """ &amp; BR24 &amp; """: { commit: """ &amp; BP24 &amp; """ }" &amp; "  # " &amp; "/" &amp; BT24 &amp; "/ ==&gt; " &amp; BS24</f>
        <v xml:space="preserve">    "f": { commit: "ㄑ" }  # /ci/ ==&gt; C</v>
      </c>
      <c r="BX24" s="298"/>
      <c r="BY24" s="39">
        <f t="shared" si="2"/>
        <v>20</v>
      </c>
      <c r="BZ24" s="354" t="str">
        <v>ㄑ</v>
      </c>
      <c r="CA24" s="355" t="str">
        <v>聲</v>
      </c>
      <c r="CB24" s="347" t="str">
        <v>f</v>
      </c>
      <c r="CC24" s="348" t="str">
        <v>C</v>
      </c>
      <c r="CD24" s="349" t="str">
        <v>ci</v>
      </c>
      <c r="CE24" s="356">
        <v>2</v>
      </c>
      <c r="CG24" s="288" t="str">
        <f t="shared" si="3"/>
        <v xml:space="preserve">    - xform/^ci/C/    # ㄑ [ ci]</v>
      </c>
      <c r="CH24" s="459"/>
      <c r="CI24" s="39">
        <f t="shared" si="4"/>
        <v>20</v>
      </c>
      <c r="CJ24" s="354" t="str">
        <v>ㆫ</v>
      </c>
      <c r="CK24" s="355" t="str">
        <v>韻</v>
      </c>
      <c r="CL24" s="347" t="str">
        <v>J</v>
      </c>
      <c r="CM24" s="348" t="str">
        <v>Lu</v>
      </c>
      <c r="CN24" s="349" t="str">
        <v>unn</v>
      </c>
      <c r="CO24" s="356">
        <v>3</v>
      </c>
      <c r="CQ24" s="288" t="str">
        <f t="shared" si="5"/>
        <v xml:space="preserve">    - xform/unn/Lu/  # ㆫ [unn]</v>
      </c>
      <c r="CR24" s="459"/>
      <c r="CT24" s="354"/>
      <c r="CU24" s="355"/>
      <c r="CV24" s="347"/>
      <c r="CW24" s="348"/>
      <c r="CX24" s="349"/>
      <c r="CY24" s="356"/>
      <c r="DA24" s="288" t="str">
        <f t="shared" si="6"/>
        <v/>
      </c>
    </row>
    <row r="25" spans="1:105" s="17" customFormat="1" ht="45" customHeight="1">
      <c r="A25" s="28"/>
      <c r="B25" s="295" t="str">
        <f>"  finals: " &amp; _xlfn.CONCAT("""", BA17:BE17, """")</f>
        <v xml:space="preserve">  finals: "75346"</v>
      </c>
      <c r="C25" s="295"/>
      <c r="D25" s="295"/>
      <c r="E25" s="295"/>
      <c r="F25" s="295"/>
      <c r="G25" s="295"/>
      <c r="H25" s="295"/>
      <c r="I25" s="295"/>
      <c r="J25" s="295"/>
      <c r="K25" s="295"/>
      <c r="L25" s="295"/>
      <c r="M25" s="295"/>
      <c r="N25" s="295"/>
      <c r="O25" s="295"/>
      <c r="P25" s="295"/>
      <c r="Q25" s="295"/>
      <c r="R25" s="295"/>
      <c r="S25" s="295"/>
      <c r="T25" s="295"/>
      <c r="U25" s="295"/>
      <c r="V25" s="295"/>
      <c r="W25" s="295"/>
      <c r="X25" s="295"/>
      <c r="Y25" s="295"/>
      <c r="Z25" s="295"/>
      <c r="AA25" s="295"/>
      <c r="AB25" s="295"/>
      <c r="AC25" s="295"/>
      <c r="AD25" s="295"/>
      <c r="AE25" s="295"/>
      <c r="AF25" s="295"/>
      <c r="AG25" s="295"/>
      <c r="AH25" s="295"/>
      <c r="AI25" s="295"/>
      <c r="AJ25" s="295"/>
      <c r="AK25" s="28"/>
      <c r="AL25" s="28"/>
      <c r="AM25" s="28"/>
      <c r="AN25" s="28"/>
      <c r="AO25" s="28"/>
      <c r="AP25" s="28"/>
      <c r="AQ25" s="28"/>
      <c r="AR25" s="19"/>
      <c r="AS25" s="19"/>
      <c r="AT25" s="28"/>
      <c r="AU25" s="28"/>
      <c r="AV25" s="28"/>
      <c r="AW25" s="13"/>
      <c r="AX25" s="13"/>
      <c r="AY25" s="13"/>
      <c r="AZ25" s="13"/>
      <c r="BA25" s="13"/>
      <c r="BB25" s="13"/>
      <c r="BJ25" s="60"/>
      <c r="BK25" s="60"/>
      <c r="BL25" s="60"/>
      <c r="BM25" s="447" t="str" cm="1">
        <f t="array" ref="BM25">INDEX($D$18:$BH$18, 1, $BO25)</f>
        <v>ㄒ</v>
      </c>
      <c r="BN25" s="447" t="str" cm="1">
        <f t="array" aca="1" ref="BN25" ca="1">INDIRECT(ADDRESS(17, COLUMN($D$18) + $BO25 - 1))</f>
        <v>v</v>
      </c>
      <c r="BO25" s="39">
        <f t="shared" si="0"/>
        <v>21</v>
      </c>
      <c r="BP25" s="354" t="str">
        <v>ㄒ</v>
      </c>
      <c r="BQ25" s="355" t="str">
        <f xml:space="preserve"> _xlfn.XLOOKUP(BP25, 按鍵設計表[注音符號], 按鍵設計表[聲韻調], "")</f>
        <v>聲</v>
      </c>
      <c r="BR25" s="347" t="str">
        <v>v</v>
      </c>
      <c r="BS25" s="348" t="str">
        <v>S</v>
      </c>
      <c r="BT25" s="349" t="str">
        <v>si</v>
      </c>
      <c r="BU25" s="356">
        <f t="shared" si="10"/>
        <v>2</v>
      </c>
      <c r="BW25" s="146" t="str">
        <f t="shared" si="11"/>
        <v xml:space="preserve">    "v": { commit: "ㄒ" }  # /si/ ==&gt; S</v>
      </c>
      <c r="BX25" s="40"/>
      <c r="BY25" s="39">
        <f t="shared" si="2"/>
        <v>21</v>
      </c>
      <c r="BZ25" s="354" t="str">
        <v>ㄒ</v>
      </c>
      <c r="CA25" s="355" t="str">
        <v>聲</v>
      </c>
      <c r="CB25" s="347" t="str">
        <v>v</v>
      </c>
      <c r="CC25" s="348" t="str">
        <v>S</v>
      </c>
      <c r="CD25" s="349" t="str">
        <v>si</v>
      </c>
      <c r="CE25" s="356">
        <v>2</v>
      </c>
      <c r="CG25" s="288" t="str">
        <f t="shared" si="3"/>
        <v xml:space="preserve">    - xform/^si/S/    # ㄒ [ si]</v>
      </c>
      <c r="CH25" s="459"/>
      <c r="CI25" s="39">
        <f t="shared" si="4"/>
        <v>21</v>
      </c>
      <c r="CJ25" s="354" t="str">
        <v>ㆥ</v>
      </c>
      <c r="CK25" s="355" t="str">
        <v>韻</v>
      </c>
      <c r="CL25" s="347" t="str">
        <v>&lt;</v>
      </c>
      <c r="CM25" s="348" t="str">
        <v>Le</v>
      </c>
      <c r="CN25" s="349" t="str">
        <v>enn</v>
      </c>
      <c r="CO25" s="356">
        <v>3</v>
      </c>
      <c r="CQ25" s="288" t="str">
        <f t="shared" si="5"/>
        <v xml:space="preserve">    - xform/enn/Le/  # ㆥ [enn]</v>
      </c>
      <c r="CR25" s="459"/>
      <c r="CT25" s="354"/>
      <c r="CU25" s="355"/>
      <c r="CV25" s="347"/>
      <c r="CW25" s="348"/>
      <c r="CX25" s="349"/>
      <c r="CY25" s="356"/>
      <c r="DA25" s="288" t="str">
        <f t="shared" si="6"/>
        <v/>
      </c>
    </row>
    <row r="26" spans="1:105" s="17" customFormat="1" ht="45" customHeight="1"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19"/>
      <c r="AS26" s="19"/>
      <c r="AT26" s="28"/>
      <c r="AU26" s="28"/>
      <c r="AV26" s="28"/>
      <c r="AW26" s="13"/>
      <c r="AX26" s="13"/>
      <c r="AY26" s="13"/>
      <c r="AZ26" s="13"/>
      <c r="BA26" s="13"/>
      <c r="BB26" s="13"/>
      <c r="BJ26" s="60"/>
      <c r="BK26" s="60"/>
      <c r="BL26" s="60"/>
      <c r="BM26" s="447" t="str" cm="1">
        <f t="array" ref="BM26">INDEX($D$18:$BH$18, 1, $BO26)</f>
        <v>ㄚ</v>
      </c>
      <c r="BN26" s="447" t="str" cm="1">
        <f t="array" aca="1" ref="BN26" ca="1">INDIRECT(ADDRESS(17, COLUMN($D$18) + $BO26 - 1))</f>
        <v>8</v>
      </c>
      <c r="BO26" s="39">
        <f t="shared" si="0"/>
        <v>22</v>
      </c>
      <c r="BP26" s="354" t="str">
        <v>ㄚ</v>
      </c>
      <c r="BQ26" s="355" t="str">
        <f xml:space="preserve"> _xlfn.XLOOKUP(BP26, 按鍵設計表[注音符號], 按鍵設計表[聲韻調], "")</f>
        <v>韻</v>
      </c>
      <c r="BR26" s="347" t="str">
        <v>8</v>
      </c>
      <c r="BS26" s="348" t="str">
        <v>a</v>
      </c>
      <c r="BT26" s="349" t="str">
        <v>a</v>
      </c>
      <c r="BU26" s="356">
        <f t="shared" si="10"/>
        <v>1</v>
      </c>
      <c r="BW26" s="146" t="str">
        <f t="shared" si="11"/>
        <v xml:space="preserve">    "8": { commit: "ㄚ" }  # /a/ ==&gt; a</v>
      </c>
      <c r="BX26" s="40"/>
      <c r="BY26" s="39">
        <f t="shared" si="2"/>
        <v>22</v>
      </c>
      <c r="BZ26"/>
      <c r="CA26" s="13"/>
      <c r="CB26" s="13"/>
      <c r="CC26" s="13"/>
      <c r="CD26" s="13"/>
      <c r="CE26" s="13"/>
      <c r="CG26" s="288" t="str">
        <f t="shared" si="3"/>
        <v/>
      </c>
      <c r="CH26" s="459"/>
      <c r="CI26" s="39">
        <f t="shared" si="4"/>
        <v>22</v>
      </c>
      <c r="CJ26" s="13" t="str">
        <v>ㆧ</v>
      </c>
      <c r="CK26" t="str">
        <v>韻</v>
      </c>
      <c r="CL26" s="13" t="str">
        <v>I</v>
      </c>
      <c r="CM26" s="13" t="str">
        <v>Lo</v>
      </c>
      <c r="CN26" s="13" t="str">
        <v>onn</v>
      </c>
      <c r="CO26" s="13">
        <v>3</v>
      </c>
      <c r="CQ26" s="288" t="str">
        <f t="shared" si="5"/>
        <v xml:space="preserve">    - xform/onn/Lo/  # ㆧ [onn]</v>
      </c>
      <c r="CR26" s="459"/>
      <c r="CT26"/>
      <c r="CU26" s="13"/>
      <c r="CV26" s="13"/>
      <c r="CW26" s="13"/>
      <c r="CX26" s="13"/>
      <c r="CY26" s="13"/>
      <c r="DA26" s="288" t="str">
        <f t="shared" si="6"/>
        <v/>
      </c>
    </row>
    <row r="27" spans="1:105" s="17" customFormat="1" ht="45" customHeight="1">
      <c r="B27" s="364" t="str">
        <f xml:space="preserve"> "    - abbrev/^([" &amp; _xlfn.CONCAT(D19:X19) &amp; "]).+$/$1/"</f>
        <v xml:space="preserve">    - abbrev/^([bpPmntTlqkKgjzcshJZCS]).+$/$1/</v>
      </c>
      <c r="C27" s="365"/>
      <c r="D27" s="365"/>
      <c r="E27" s="366"/>
      <c r="F27" s="366"/>
      <c r="G27" s="365"/>
      <c r="H27" s="365"/>
      <c r="I27" s="365"/>
      <c r="J27" s="367"/>
      <c r="K27" s="367"/>
      <c r="L27" s="367"/>
      <c r="M27" s="367"/>
      <c r="N27" s="367"/>
      <c r="O27" s="367"/>
      <c r="P27" s="368"/>
      <c r="Q27" s="368"/>
      <c r="R27" s="368"/>
      <c r="S27" s="368"/>
      <c r="T27" s="368"/>
      <c r="U27" s="368"/>
      <c r="V27" s="36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19"/>
      <c r="AS27" s="19"/>
      <c r="AT27" s="28"/>
      <c r="AU27" s="28"/>
      <c r="AV27" s="28"/>
      <c r="AW27" s="13"/>
      <c r="AX27" s="13"/>
      <c r="AY27" s="13"/>
      <c r="AZ27" s="13"/>
      <c r="BA27" s="13"/>
      <c r="BB27" s="13"/>
      <c r="BJ27" s="60"/>
      <c r="BK27" s="60"/>
      <c r="BL27" s="60"/>
      <c r="BM27" s="447" t="str" cm="1">
        <f t="array" ref="BM27">INDEX($D$18:$BH$18, 1, $BO27)</f>
        <v>ㄧ</v>
      </c>
      <c r="BN27" s="447" t="str" cm="1">
        <f t="array" aca="1" ref="BN27" ca="1">INDIRECT(ADDRESS(17, COLUMN($D$18) + $BO27 - 1))</f>
        <v>u</v>
      </c>
      <c r="BO27" s="39">
        <f t="shared" si="0"/>
        <v>23</v>
      </c>
      <c r="BP27" s="354" t="str">
        <v>ㄧ</v>
      </c>
      <c r="BQ27" s="355" t="str">
        <f xml:space="preserve"> _xlfn.XLOOKUP(BP27, 按鍵設計表[注音符號], 按鍵設計表[聲韻調], "")</f>
        <v>韻</v>
      </c>
      <c r="BR27" s="347" t="str">
        <v>u</v>
      </c>
      <c r="BS27" s="348" t="str">
        <v>i</v>
      </c>
      <c r="BT27" s="349" t="str">
        <v>i</v>
      </c>
      <c r="BU27" s="356">
        <f t="shared" si="10"/>
        <v>1</v>
      </c>
      <c r="BW27" s="146" t="str">
        <f t="shared" si="11"/>
        <v xml:space="preserve">    "u": { commit: "ㄧ" }  # /i/ ==&gt; i</v>
      </c>
      <c r="BX27" s="40"/>
      <c r="BY27" s="39">
        <f t="shared" si="2"/>
        <v>23</v>
      </c>
      <c r="BZ27"/>
      <c r="CA27" s="13"/>
      <c r="CB27" s="13"/>
      <c r="CC27" s="13"/>
      <c r="CD27" s="13"/>
      <c r="CE27" s="13"/>
      <c r="CG27" s="288" t="str">
        <f t="shared" si="3"/>
        <v/>
      </c>
      <c r="CH27" s="459"/>
      <c r="CI27" s="39">
        <f t="shared" si="4"/>
        <v>23</v>
      </c>
      <c r="CJ27" s="13" t="str">
        <v>ㆮ</v>
      </c>
      <c r="CK27" t="str">
        <v>韻</v>
      </c>
      <c r="CL27" s="13" t="str">
        <v>(</v>
      </c>
      <c r="CM27" s="13" t="str">
        <v>LI</v>
      </c>
      <c r="CN27" s="13" t="str">
        <v>ainn</v>
      </c>
      <c r="CO27" s="13">
        <v>4</v>
      </c>
      <c r="CQ27" s="288" t="str">
        <f t="shared" si="5"/>
        <v xml:space="preserve">    - xform/ainn/LI/  # ㆮ [ainn]</v>
      </c>
      <c r="CR27" s="459"/>
      <c r="CT27"/>
      <c r="CU27" s="13"/>
      <c r="CV27" s="13"/>
      <c r="CW27" s="13"/>
      <c r="CX27" s="13"/>
      <c r="CY27" s="13"/>
      <c r="DA27" s="288" t="str">
        <f t="shared" si="6"/>
        <v/>
      </c>
    </row>
    <row r="28" spans="1:105" s="17" customFormat="1" ht="45" customHeight="1"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19"/>
      <c r="AS28" s="19"/>
      <c r="AT28" s="28"/>
      <c r="AU28" s="28"/>
      <c r="AV28" s="28"/>
      <c r="AW28" s="13"/>
      <c r="AX28" s="13"/>
      <c r="AY28" s="13"/>
      <c r="AZ28" s="13"/>
      <c r="BA28" s="13"/>
      <c r="BB28" s="13"/>
      <c r="BJ28" s="60"/>
      <c r="BK28" s="60"/>
      <c r="BL28" s="60"/>
      <c r="BM28" s="447" t="str" cm="1">
        <f t="array" ref="BM28">INDEX($D$18:$BH$18, 1, $BO28)</f>
        <v>ㆨ</v>
      </c>
      <c r="BN28" s="447" t="str" cm="1">
        <f t="array" aca="1" ref="BN28" ca="1">INDIRECT(ADDRESS(17, COLUMN($D$18) + $BO28 - 1))</f>
        <v>K</v>
      </c>
      <c r="BO28" s="39">
        <f t="shared" si="0"/>
        <v>24</v>
      </c>
      <c r="BP28" s="354" t="str">
        <v>ㆨ</v>
      </c>
      <c r="BQ28" s="355" t="str">
        <f xml:space="preserve"> _xlfn.XLOOKUP(BP28, 按鍵設計表[注音符號], 按鍵設計表[聲韻調], "")</f>
        <v>韻</v>
      </c>
      <c r="BR28" s="347" t="str">
        <v>K</v>
      </c>
      <c r="BS28" s="348" t="str">
        <v>w</v>
      </c>
      <c r="BT28" s="349" t="str">
        <v>ir</v>
      </c>
      <c r="BU28" s="356">
        <f t="shared" si="10"/>
        <v>2</v>
      </c>
      <c r="BW28" s="146" t="str">
        <f t="shared" si="11"/>
        <v xml:space="preserve">    "K": { commit: "ㆨ" }  # /ir/ ==&gt; w</v>
      </c>
      <c r="BX28" s="40"/>
      <c r="BY28" s="39">
        <f t="shared" si="2"/>
        <v>24</v>
      </c>
      <c r="BZ28"/>
      <c r="CA28" s="13"/>
      <c r="CB28" s="13"/>
      <c r="CC28" s="13"/>
      <c r="CD28" s="13"/>
      <c r="CE28" s="13"/>
      <c r="CG28" s="288" t="str">
        <f t="shared" si="3"/>
        <v/>
      </c>
      <c r="CH28" s="459"/>
      <c r="CI28" s="39">
        <f t="shared" si="4"/>
        <v>24</v>
      </c>
      <c r="CJ28" s="13" t="str">
        <v>ㆯ</v>
      </c>
      <c r="CK28" t="str">
        <v>韻</v>
      </c>
      <c r="CL28" s="13" t="str">
        <v>L</v>
      </c>
      <c r="CM28" s="13" t="str">
        <v>LU</v>
      </c>
      <c r="CN28" s="13" t="str">
        <v>aunn</v>
      </c>
      <c r="CO28" s="13">
        <v>4</v>
      </c>
      <c r="CQ28" s="288"/>
      <c r="CR28" s="459"/>
      <c r="CT28"/>
      <c r="CU28" s="13"/>
      <c r="CV28" s="13"/>
      <c r="CW28" s="13"/>
      <c r="CX28" s="13"/>
      <c r="CY28" s="13"/>
      <c r="DA28" s="288" t="str">
        <f t="shared" si="6"/>
        <v/>
      </c>
    </row>
    <row r="29" spans="1:105" s="17" customFormat="1" ht="45" customHeight="1">
      <c r="B29" s="61" t="s">
        <v>319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BC29" s="60"/>
      <c r="BD29" s="60"/>
      <c r="BE29" s="60"/>
      <c r="BF29" s="60"/>
      <c r="BG29" s="60"/>
      <c r="BH29" s="60"/>
      <c r="BI29" s="60"/>
      <c r="BJ29" s="70"/>
      <c r="BK29" s="70"/>
      <c r="BL29" s="70"/>
      <c r="BM29" s="447" t="str" cm="1">
        <f t="array" ref="BM29">INDEX($D$18:$BH$18, 1, $BO29)</f>
        <v>ㄨ</v>
      </c>
      <c r="BN29" s="447" t="str" cm="1">
        <f t="array" aca="1" ref="BN29" ca="1">INDIRECT(ADDRESS(17, COLUMN($D$18) + $BO29 - 1))</f>
        <v>j</v>
      </c>
      <c r="BO29" s="39">
        <f t="shared" si="0"/>
        <v>25</v>
      </c>
      <c r="BP29" s="354" t="str">
        <v>ㄨ</v>
      </c>
      <c r="BQ29" s="355" t="str">
        <f xml:space="preserve"> _xlfn.XLOOKUP(BP29, 按鍵設計表[注音符號], 按鍵設計表[聲韻調], "")</f>
        <v>韻</v>
      </c>
      <c r="BR29" s="347" t="str">
        <v>j</v>
      </c>
      <c r="BS29" s="348" t="str">
        <v>u</v>
      </c>
      <c r="BT29" s="349" t="str">
        <v>u</v>
      </c>
      <c r="BU29" s="356">
        <f t="shared" si="10"/>
        <v>1</v>
      </c>
      <c r="BW29" s="146" t="str">
        <f t="shared" si="11"/>
        <v xml:space="preserve">    "j": { commit: "ㄨ" }  # /u/ ==&gt; u</v>
      </c>
      <c r="BX29" s="40"/>
      <c r="BY29" s="39">
        <f t="shared" si="2"/>
        <v>25</v>
      </c>
      <c r="BZ29"/>
      <c r="CA29" s="13"/>
      <c r="CB29" s="13"/>
      <c r="CC29" s="13"/>
      <c r="CD29" s="13"/>
      <c r="CE29" s="13"/>
      <c r="CG29" s="288" t="str">
        <f t="shared" si="3"/>
        <v/>
      </c>
      <c r="CH29" s="459"/>
      <c r="CI29" s="39">
        <f t="shared" si="4"/>
        <v>25</v>
      </c>
      <c r="CJ29" s="13"/>
      <c r="CK29"/>
      <c r="CL29" s="13"/>
      <c r="CM29" s="13"/>
      <c r="CN29" s="13"/>
      <c r="CO29" s="13"/>
      <c r="CQ29" s="288"/>
      <c r="CR29" s="459"/>
      <c r="CT29"/>
      <c r="CU29" s="13"/>
      <c r="CV29" s="13"/>
      <c r="CW29" s="13"/>
      <c r="CX29" s="13"/>
      <c r="CY29" s="13"/>
      <c r="DA29" s="288" t="str">
        <f t="shared" si="6"/>
        <v/>
      </c>
    </row>
    <row r="30" spans="1:105" s="71" customFormat="1" ht="45" customHeight="1">
      <c r="A30" s="17"/>
      <c r="B30" s="63" t="s">
        <v>320</v>
      </c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4"/>
      <c r="U30" s="63"/>
      <c r="V30" s="63"/>
      <c r="W30" s="63"/>
      <c r="X30" s="63"/>
      <c r="Y30" s="63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17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70"/>
      <c r="BK30" s="70"/>
      <c r="BL30" s="70"/>
      <c r="BM30" s="447" t="str" cm="1">
        <f t="array" ref="BM30">INDEX($D$18:$BH$18, 1, $BO30)</f>
        <v>ㆤ</v>
      </c>
      <c r="BN30" s="447" t="str" cm="1">
        <f t="array" aca="1" ref="BN30" ca="1">INDIRECT(ADDRESS(17, COLUMN($D$18) + $BO30 - 1))</f>
        <v>,</v>
      </c>
      <c r="BO30" s="39">
        <f t="shared" si="0"/>
        <v>26</v>
      </c>
      <c r="BP30" s="354" t="str">
        <v>ㆤ</v>
      </c>
      <c r="BQ30" s="355" t="str">
        <f xml:space="preserve"> _xlfn.XLOOKUP(BP30, 按鍵設計表[注音符號], 按鍵設計表[聲韻調], "")</f>
        <v>韻</v>
      </c>
      <c r="BR30" s="347" t="str">
        <v>,</v>
      </c>
      <c r="BS30" s="348" t="str">
        <v>e</v>
      </c>
      <c r="BT30" s="349" t="str">
        <v>e</v>
      </c>
      <c r="BU30" s="356">
        <f t="shared" si="10"/>
        <v>1</v>
      </c>
      <c r="BV30" s="17"/>
      <c r="BW30" s="146" t="str">
        <f t="shared" si="11"/>
        <v xml:space="preserve">    ",": { commit: "ㆤ" }  # /e/ ==&gt; e</v>
      </c>
      <c r="BX30" s="40"/>
      <c r="BY30" s="39">
        <f t="shared" si="2"/>
        <v>26</v>
      </c>
      <c r="BZ30"/>
      <c r="CA30" s="13"/>
      <c r="CB30" s="13"/>
      <c r="CC30" s="13"/>
      <c r="CD30" s="13"/>
      <c r="CE30" s="13"/>
      <c r="CF30" s="17"/>
      <c r="CG30" s="288" t="str">
        <f t="shared" si="3"/>
        <v/>
      </c>
      <c r="CH30" s="459"/>
      <c r="CI30" s="39">
        <f t="shared" si="4"/>
        <v>26</v>
      </c>
      <c r="CJ30" s="13"/>
      <c r="CK30"/>
      <c r="CL30" s="13"/>
      <c r="CM30" s="13"/>
      <c r="CN30" s="13"/>
      <c r="CO30" s="13"/>
      <c r="CP30" s="17"/>
      <c r="CQ30" s="288"/>
      <c r="CR30" s="459"/>
      <c r="CT30"/>
      <c r="CU30" s="13"/>
      <c r="CV30" s="13"/>
      <c r="CW30" s="13"/>
      <c r="CX30" s="13"/>
      <c r="CY30" s="13"/>
      <c r="CZ30" s="17"/>
      <c r="DA30" s="288" t="str">
        <f t="shared" si="6"/>
        <v/>
      </c>
    </row>
    <row r="31" spans="1:105" s="17" customFormat="1" ht="45" customHeight="1">
      <c r="B31" s="65" t="str">
        <f>$B$19</f>
        <v>字典編碼</v>
      </c>
      <c r="C31" s="66"/>
      <c r="D31" s="67">
        <f xml:space="preserve"> LEN(E31)</f>
        <v>50</v>
      </c>
      <c r="E31" s="324" t="str">
        <f xml:space="preserve"> _xlfn.CONCAT(D19:AS19, BA19:BH19)</f>
        <v>bpPmntTlqkKgjzcshJZCSaiwueoøMNGRFQVIUY@AWH07325*&amp;0</v>
      </c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V31" s="325"/>
      <c r="W31" s="325"/>
      <c r="X31" s="325"/>
      <c r="Y31" s="325"/>
      <c r="AB31" s="17">
        <f xml:space="preserve"> LEN(AC31)</f>
        <v>42</v>
      </c>
      <c r="AC31" s="461" t="str">
        <f>_xlfn.CONCAT(D19:AS19)</f>
        <v>bpPmntTlqkKgjzcshJZCSaiwueoøMNGRFQVIUY@AWH</v>
      </c>
      <c r="AD31" s="461"/>
      <c r="AE31" s="461"/>
      <c r="AF31" s="461"/>
      <c r="AG31" s="461"/>
      <c r="AH31" s="461"/>
      <c r="AI31" s="461"/>
      <c r="AJ31" s="461"/>
      <c r="AK31" s="461"/>
      <c r="AL31" s="461"/>
      <c r="AM31" s="461"/>
      <c r="AN31" s="461"/>
      <c r="AO31" s="461"/>
      <c r="AP31" s="461"/>
      <c r="AQ31" s="461"/>
      <c r="AR31" s="461"/>
      <c r="AS31" s="461"/>
      <c r="AT31" s="461"/>
      <c r="AU31" s="461"/>
      <c r="AV31" s="461"/>
      <c r="AY31" s="17">
        <f xml:space="preserve"> LEN(AZ31)</f>
        <v>8</v>
      </c>
      <c r="AZ31" s="461" t="str">
        <f>_xlfn.CONCAT(BA19:BH19)</f>
        <v>07325*&amp;0</v>
      </c>
      <c r="BA31" s="461"/>
      <c r="BB31" s="461"/>
      <c r="BC31" s="461"/>
      <c r="BD31" s="461"/>
      <c r="BE31" s="461"/>
      <c r="BF31" s="461"/>
      <c r="BK31" s="60"/>
      <c r="BL31" s="60"/>
      <c r="BM31" s="447" t="str" cm="1">
        <f t="array" ref="BM31">INDEX($D$18:$BH$18, 1, $BO31)</f>
        <v>ㆦ</v>
      </c>
      <c r="BN31" s="447" t="str" cm="1">
        <f t="array" aca="1" ref="BN31" ca="1">INDIRECT(ADDRESS(17, COLUMN($D$18) + $BO31 - 1))</f>
        <v>i</v>
      </c>
      <c r="BO31" s="39">
        <f t="shared" si="0"/>
        <v>27</v>
      </c>
      <c r="BP31" s="354" t="str">
        <v>ㆦ</v>
      </c>
      <c r="BQ31" s="355" t="str">
        <f xml:space="preserve"> _xlfn.XLOOKUP(BP31, 按鍵設計表[注音符號], 按鍵設計表[聲韻調], "")</f>
        <v>韻</v>
      </c>
      <c r="BR31" s="347" t="str">
        <v>i</v>
      </c>
      <c r="BS31" s="348" t="str">
        <v>o</v>
      </c>
      <c r="BT31" s="349" t="str">
        <v>oo</v>
      </c>
      <c r="BU31" s="356">
        <f t="shared" si="10"/>
        <v>2</v>
      </c>
      <c r="BW31" s="146" t="str">
        <f t="shared" si="11"/>
        <v xml:space="preserve">    "i": { commit: "ㆦ" }  # /oo/ ==&gt; o</v>
      </c>
      <c r="BX31" s="40"/>
      <c r="BY31" s="39">
        <f t="shared" si="2"/>
        <v>27</v>
      </c>
      <c r="BZ31"/>
      <c r="CA31" s="13"/>
      <c r="CB31" s="13"/>
      <c r="CC31" s="13"/>
      <c r="CD31" s="13"/>
      <c r="CE31" s="13"/>
      <c r="CF31" s="71"/>
      <c r="CG31" s="288" t="str">
        <f t="shared" si="3"/>
        <v/>
      </c>
      <c r="CH31" s="459"/>
      <c r="CI31" s="39">
        <f t="shared" si="4"/>
        <v>27</v>
      </c>
      <c r="CJ31" s="13"/>
      <c r="CK31"/>
      <c r="CL31" s="13"/>
      <c r="CM31" s="13"/>
      <c r="CN31" s="13"/>
      <c r="CO31" s="13"/>
      <c r="CP31" s="71"/>
      <c r="CQ31" s="288"/>
      <c r="CR31" s="459"/>
      <c r="CT31"/>
      <c r="CU31" s="13"/>
      <c r="CV31" s="13"/>
      <c r="CW31" s="13"/>
      <c r="CX31" s="13"/>
      <c r="CY31" s="13"/>
      <c r="CZ31" s="71"/>
      <c r="DA31" s="288" t="str">
        <f t="shared" si="6"/>
        <v/>
      </c>
    </row>
    <row r="32" spans="1:105" s="17" customFormat="1" ht="45" customHeight="1">
      <c r="A32" s="71"/>
      <c r="B32" s="303" t="s">
        <v>4</v>
      </c>
      <c r="C32" s="68"/>
      <c r="D32" s="69">
        <f xml:space="preserve"> LEN(E32)</f>
        <v>50</v>
      </c>
      <c r="E32" s="326" t="str">
        <f xml:space="preserve"> _xlfn.CONCAT(D17:AS17, BA17:BH17)</f>
        <v>!1qas2wxEed?YyhncRrfv8uKj,ikmp/btgz9lM0;Oo75346N.-</v>
      </c>
      <c r="F32" s="327"/>
      <c r="G32" s="327"/>
      <c r="H32" s="327"/>
      <c r="I32" s="327"/>
      <c r="J32" s="327"/>
      <c r="K32" s="327"/>
      <c r="L32" s="327"/>
      <c r="M32" s="327"/>
      <c r="N32" s="327"/>
      <c r="O32" s="327"/>
      <c r="P32" s="327"/>
      <c r="Q32" s="327"/>
      <c r="R32" s="327"/>
      <c r="S32" s="327"/>
      <c r="T32" s="327"/>
      <c r="U32" s="327"/>
      <c r="V32" s="327"/>
      <c r="W32" s="327"/>
      <c r="X32" s="327"/>
      <c r="Y32" s="327"/>
      <c r="AB32" s="17">
        <f xml:space="preserve"> LEN(AC32)</f>
        <v>42</v>
      </c>
      <c r="AC32" s="461" t="str">
        <f>_xlfn.CONCAT(D17:AS17)</f>
        <v>!1qas2wxEed?YyhncRrfv8uKj,ikmp/btgz9lM0;Oo</v>
      </c>
      <c r="AD32" s="461"/>
      <c r="AE32" s="461"/>
      <c r="AF32" s="461"/>
      <c r="AG32" s="461"/>
      <c r="AH32" s="461"/>
      <c r="AI32" s="461"/>
      <c r="AJ32" s="461"/>
      <c r="AK32" s="461"/>
      <c r="AL32" s="461"/>
      <c r="AM32" s="461"/>
      <c r="AN32" s="461"/>
      <c r="AO32" s="461"/>
      <c r="AP32" s="461"/>
      <c r="AQ32" s="461"/>
      <c r="AR32" s="461"/>
      <c r="AS32" s="461"/>
      <c r="AT32" s="461"/>
      <c r="AU32" s="461"/>
      <c r="AV32" s="461"/>
      <c r="AY32" s="17">
        <f xml:space="preserve"> LEN(AZ32)</f>
        <v>8</v>
      </c>
      <c r="AZ32" s="461" t="str">
        <f>_xlfn.CONCAT(BA17:BH17)</f>
        <v>75346N.-</v>
      </c>
      <c r="BA32" s="461"/>
      <c r="BB32" s="461"/>
      <c r="BC32" s="461"/>
      <c r="BD32" s="461"/>
      <c r="BE32" s="461"/>
      <c r="BF32" s="461"/>
      <c r="BK32" s="60"/>
      <c r="BL32" s="60"/>
      <c r="BM32" s="447" t="str" cm="1">
        <f t="array" ref="BM32">INDEX($D$18:$BH$18, 1, $BO32)</f>
        <v>ㄜ</v>
      </c>
      <c r="BN32" s="447" t="str" cm="1">
        <f t="array" aca="1" ref="BN32" ca="1">INDIRECT(ADDRESS(17, COLUMN($D$18) + $BO32 - 1))</f>
        <v>k</v>
      </c>
      <c r="BO32" s="39">
        <f t="shared" si="0"/>
        <v>28</v>
      </c>
      <c r="BP32" s="354" t="str">
        <v>ㄜ</v>
      </c>
      <c r="BQ32" s="355" t="str">
        <f xml:space="preserve"> _xlfn.XLOOKUP(BP32, 按鍵設計表[注音符號], 按鍵設計表[聲韻調], "")</f>
        <v>韻</v>
      </c>
      <c r="BR32" s="347" t="str">
        <v>k</v>
      </c>
      <c r="BS32" s="348" t="str">
        <v>ø</v>
      </c>
      <c r="BT32" s="349" t="str">
        <v>o</v>
      </c>
      <c r="BU32" s="356">
        <f t="shared" si="10"/>
        <v>1</v>
      </c>
      <c r="BW32" s="146" t="str">
        <f t="shared" si="11"/>
        <v xml:space="preserve">    "k": { commit: "ㄜ" }  # /o/ ==&gt; ø</v>
      </c>
      <c r="BX32" s="40"/>
      <c r="BY32" s="39">
        <f t="shared" si="2"/>
        <v>28</v>
      </c>
      <c r="BZ32"/>
      <c r="CA32" s="13"/>
      <c r="CB32" s="13"/>
      <c r="CC32" s="13"/>
      <c r="CD32" s="13"/>
      <c r="CE32" s="13"/>
      <c r="CG32" s="288" t="str">
        <f t="shared" si="3"/>
        <v/>
      </c>
      <c r="CH32" s="459"/>
      <c r="CI32" s="39">
        <f t="shared" si="4"/>
        <v>28</v>
      </c>
      <c r="CJ32" s="13"/>
      <c r="CK32"/>
      <c r="CL32" s="13"/>
      <c r="CM32" s="13"/>
      <c r="CN32" s="13"/>
      <c r="CO32" s="13"/>
      <c r="CQ32" s="288"/>
      <c r="CR32" s="459"/>
      <c r="CT32"/>
      <c r="CU32" s="13"/>
      <c r="CV32" s="13"/>
      <c r="CW32" s="13"/>
      <c r="CX32" s="13"/>
      <c r="CY32" s="13"/>
      <c r="DA32" s="288" t="str">
        <f t="shared" si="6"/>
        <v/>
      </c>
    </row>
    <row r="33" spans="1:105" s="17" customFormat="1" ht="45" customHeight="1">
      <c r="B33" s="72" t="str">
        <f xml:space="preserve"> "    - xlit|" &amp; E31 &amp; "|" &amp; E32 &amp; "|"</f>
        <v xml:space="preserve">    - xlit|bpPmntTlqkKgjzcshJZCSaiwueoøMNGRFQVIUY@AWH07325*&amp;0|!1qas2wxEed?YyhncRrfv8uKj,ikmp/btgz9lM0;Oo75346N.-|</v>
      </c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60"/>
      <c r="AA33" s="60"/>
      <c r="AB33" s="60"/>
      <c r="AC33" s="479" t="str">
        <f xml:space="preserve"> "    - xlit|" &amp; AC31 &amp; "|" &amp; AC32 &amp; "|"</f>
        <v xml:space="preserve">    - xlit|bpPmntTlqkKgjzcshJZCSaiwueoøMNGRFQVIUY@AWH|!1qas2wxEed?YyhncRrfv8uKj,ikmp/btgz9lM0;Oo|</v>
      </c>
      <c r="AD33" s="480"/>
      <c r="AE33" s="480"/>
      <c r="AF33" s="480"/>
      <c r="AG33" s="480"/>
      <c r="AH33" s="480"/>
      <c r="AI33" s="480"/>
      <c r="AJ33" s="480"/>
      <c r="AK33" s="480"/>
      <c r="AL33" s="480"/>
      <c r="AM33" s="480"/>
      <c r="AN33" s="480"/>
      <c r="AO33" s="480"/>
      <c r="AP33" s="480"/>
      <c r="AQ33" s="480"/>
      <c r="AR33" s="480"/>
      <c r="AS33" s="480"/>
      <c r="AT33" s="480"/>
      <c r="AU33" s="480"/>
      <c r="AV33" s="480"/>
      <c r="AZ33" s="479" t="str">
        <f xml:space="preserve"> "    - xlit|" &amp; AZ31 &amp; "|" &amp; AZ32 &amp; "|"</f>
        <v xml:space="preserve">    - xlit|07325*&amp;0|75346N.-|</v>
      </c>
      <c r="BA33" s="480"/>
      <c r="BB33" s="480"/>
      <c r="BC33" s="480"/>
      <c r="BD33" s="480"/>
      <c r="BE33" s="480"/>
      <c r="BF33" s="480"/>
      <c r="BK33" s="60"/>
      <c r="BL33" s="60"/>
      <c r="BM33" s="447" t="str" cm="1">
        <f t="array" ref="BM33">INDEX($D$18:$BH$18, 1, $BO33)</f>
        <v>ㆬ</v>
      </c>
      <c r="BN33" s="447" t="str" cm="1">
        <f t="array" aca="1" ref="BN33" ca="1">INDIRECT(ADDRESS(17, COLUMN($D$18) + $BO33 - 1))</f>
        <v>m</v>
      </c>
      <c r="BO33" s="39">
        <f t="shared" si="0"/>
        <v>29</v>
      </c>
      <c r="BP33" s="354" t="str">
        <v>ㆬ</v>
      </c>
      <c r="BQ33" s="355" t="str">
        <f xml:space="preserve"> _xlfn.XLOOKUP(BP33, 按鍵設計表[注音符號], 按鍵設計表[聲韻調], "")</f>
        <v>韻</v>
      </c>
      <c r="BR33" s="347" t="str">
        <v>m</v>
      </c>
      <c r="BS33" s="348" t="str">
        <v>M</v>
      </c>
      <c r="BT33" s="349" t="str">
        <v>-m</v>
      </c>
      <c r="BU33" s="356">
        <f t="shared" si="10"/>
        <v>2</v>
      </c>
      <c r="BW33" s="146" t="str">
        <f t="shared" si="11"/>
        <v xml:space="preserve">    "m": { commit: "ㆬ" }  # /-m/ ==&gt; M</v>
      </c>
      <c r="BX33" s="40"/>
      <c r="BY33" s="39">
        <f t="shared" si="2"/>
        <v>29</v>
      </c>
      <c r="BZ33"/>
      <c r="CA33" s="13"/>
      <c r="CB33" s="13"/>
      <c r="CC33" s="13"/>
      <c r="CD33" s="13"/>
      <c r="CE33" s="13"/>
      <c r="CG33" s="288" t="str">
        <f t="shared" si="3"/>
        <v/>
      </c>
      <c r="CH33" s="459"/>
      <c r="CI33" s="39">
        <f t="shared" si="4"/>
        <v>29</v>
      </c>
      <c r="CJ33" s="13"/>
      <c r="CK33"/>
      <c r="CL33" s="13"/>
      <c r="CM33" s="13"/>
      <c r="CN33" s="13"/>
      <c r="CO33" s="13"/>
      <c r="CQ33" s="288"/>
      <c r="CR33" s="459"/>
      <c r="CT33"/>
      <c r="CU33" s="13"/>
      <c r="CV33" s="13"/>
      <c r="CW33" s="13"/>
      <c r="CX33" s="13"/>
      <c r="CY33" s="13"/>
      <c r="DA33" s="288" t="str">
        <f t="shared" si="6"/>
        <v/>
      </c>
    </row>
    <row r="34" spans="1:105" s="17" customFormat="1" ht="45" customHeight="1">
      <c r="B34" s="74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0"/>
      <c r="AL34" s="70"/>
      <c r="AN34" s="60"/>
      <c r="AO34" s="60"/>
      <c r="AP34" s="60"/>
      <c r="AQ34" s="60"/>
      <c r="AR34" s="60"/>
      <c r="AS34" s="60"/>
      <c r="AT34" s="70"/>
      <c r="AU34" s="70"/>
      <c r="AV34" s="70"/>
      <c r="AW34" s="70"/>
      <c r="AX34" s="70"/>
      <c r="AY34" s="70"/>
      <c r="AZ34" s="70"/>
      <c r="BA34" s="70"/>
      <c r="BB34" s="70"/>
      <c r="BC34" s="60"/>
      <c r="BD34" s="60"/>
      <c r="BE34" s="60"/>
      <c r="BF34" s="60"/>
      <c r="BG34" s="60"/>
      <c r="BH34" s="60"/>
      <c r="BI34" s="70"/>
      <c r="BJ34" s="60"/>
      <c r="BK34" s="60"/>
      <c r="BL34" s="60"/>
      <c r="BM34" s="447" t="str" cm="1">
        <f t="array" ref="BM34">INDEX($D$18:$BH$18, 1, $BO34)</f>
        <v>ㄣ</v>
      </c>
      <c r="BN34" s="447" t="str" cm="1">
        <f t="array" aca="1" ref="BN34" ca="1">INDIRECT(ADDRESS(17, COLUMN($D$18) + $BO34 - 1))</f>
        <v>p</v>
      </c>
      <c r="BO34" s="39">
        <f t="shared" si="0"/>
        <v>30</v>
      </c>
      <c r="BP34" s="354" t="str">
        <v>ㄣ</v>
      </c>
      <c r="BQ34" s="355" t="str">
        <f xml:space="preserve"> _xlfn.XLOOKUP(BP34, 按鍵設計表[注音符號], 按鍵設計表[聲韻調], "")</f>
        <v>韻</v>
      </c>
      <c r="BR34" s="347" t="str">
        <v>p</v>
      </c>
      <c r="BS34" s="348" t="str">
        <v>N</v>
      </c>
      <c r="BT34" s="349" t="str">
        <v>-n</v>
      </c>
      <c r="BU34" s="356">
        <f t="shared" si="10"/>
        <v>2</v>
      </c>
      <c r="BW34" s="146" t="str">
        <f t="shared" si="11"/>
        <v xml:space="preserve">    "p": { commit: "ㄣ" }  # /-n/ ==&gt; N</v>
      </c>
      <c r="BX34" s="40"/>
      <c r="BY34" s="39">
        <f t="shared" si="2"/>
        <v>30</v>
      </c>
      <c r="BZ34"/>
      <c r="CA34" s="13"/>
      <c r="CB34" s="13"/>
      <c r="CC34" s="13"/>
      <c r="CD34" s="13"/>
      <c r="CE34" s="13"/>
      <c r="CG34" s="288" t="str">
        <f t="shared" si="3"/>
        <v/>
      </c>
      <c r="CH34" s="459"/>
      <c r="CI34" s="39">
        <f t="shared" si="4"/>
        <v>30</v>
      </c>
      <c r="CJ34" s="13"/>
      <c r="CK34"/>
      <c r="CL34" s="13"/>
      <c r="CM34" s="13"/>
      <c r="CN34" s="13"/>
      <c r="CO34" s="13"/>
      <c r="CQ34" s="288"/>
      <c r="CR34" s="459"/>
      <c r="CT34"/>
      <c r="CU34" s="13"/>
      <c r="CV34" s="13"/>
      <c r="CW34" s="13"/>
      <c r="CX34" s="13"/>
      <c r="CY34" s="13"/>
      <c r="DA34" s="288" t="str">
        <f t="shared" si="6"/>
        <v/>
      </c>
    </row>
    <row r="35" spans="1:105" s="17" customFormat="1" ht="45" customHeight="1">
      <c r="B35" s="328">
        <v>1</v>
      </c>
      <c r="C35" s="328">
        <v>2</v>
      </c>
      <c r="D35" s="328">
        <v>3</v>
      </c>
      <c r="E35" s="328">
        <v>4</v>
      </c>
      <c r="F35" s="328">
        <v>5</v>
      </c>
      <c r="G35" s="328">
        <v>6</v>
      </c>
      <c r="H35" s="328">
        <v>7</v>
      </c>
      <c r="I35" s="328">
        <v>8</v>
      </c>
      <c r="J35" s="328">
        <v>9</v>
      </c>
      <c r="K35" s="328">
        <v>10</v>
      </c>
      <c r="L35" s="328">
        <v>11</v>
      </c>
      <c r="M35" s="328">
        <v>12</v>
      </c>
      <c r="N35" s="328">
        <v>13</v>
      </c>
      <c r="O35" s="328">
        <v>14</v>
      </c>
      <c r="P35" s="328">
        <v>15</v>
      </c>
      <c r="Q35" s="328">
        <v>16</v>
      </c>
      <c r="R35" s="328">
        <v>17</v>
      </c>
      <c r="S35" s="329">
        <v>18</v>
      </c>
      <c r="T35" s="328">
        <v>19</v>
      </c>
      <c r="U35" s="328">
        <v>20</v>
      </c>
      <c r="V35" s="328">
        <v>21</v>
      </c>
      <c r="W35" s="328">
        <v>22</v>
      </c>
      <c r="X35" s="328">
        <v>23</v>
      </c>
      <c r="Y35" s="328">
        <v>24</v>
      </c>
      <c r="Z35" s="328">
        <v>25</v>
      </c>
      <c r="AA35" s="328">
        <v>26</v>
      </c>
      <c r="AB35" s="328">
        <v>27</v>
      </c>
      <c r="AC35" s="328">
        <v>28</v>
      </c>
      <c r="AD35" s="328">
        <v>29</v>
      </c>
      <c r="AE35" s="328">
        <v>30</v>
      </c>
      <c r="AF35" s="328">
        <v>31</v>
      </c>
      <c r="AG35" s="328">
        <v>32</v>
      </c>
      <c r="AH35" s="330">
        <v>33</v>
      </c>
      <c r="AI35" s="330">
        <v>34</v>
      </c>
      <c r="AJ35" s="330">
        <v>35</v>
      </c>
      <c r="AK35" s="330">
        <v>36</v>
      </c>
      <c r="AL35" s="331">
        <v>37</v>
      </c>
      <c r="AM35" s="330">
        <v>38</v>
      </c>
      <c r="AN35" s="330">
        <v>39</v>
      </c>
      <c r="AO35" s="330">
        <v>40</v>
      </c>
      <c r="AP35" s="330">
        <v>41</v>
      </c>
      <c r="AQ35" s="330">
        <v>42</v>
      </c>
      <c r="AR35" s="330">
        <v>43</v>
      </c>
      <c r="AS35" s="330">
        <v>44</v>
      </c>
      <c r="AT35" s="330">
        <v>45</v>
      </c>
      <c r="AU35" s="330">
        <v>46</v>
      </c>
      <c r="AV35" s="330">
        <v>47</v>
      </c>
      <c r="AW35" s="330">
        <v>48</v>
      </c>
      <c r="AX35" s="330">
        <v>49</v>
      </c>
      <c r="AY35" s="330">
        <v>50</v>
      </c>
      <c r="AZ35" s="330">
        <v>51</v>
      </c>
      <c r="BA35" s="330">
        <v>52</v>
      </c>
      <c r="BB35" s="330">
        <v>53</v>
      </c>
      <c r="BC35" s="330">
        <v>54</v>
      </c>
      <c r="BD35" s="330">
        <v>55</v>
      </c>
      <c r="BE35" s="330">
        <v>56</v>
      </c>
      <c r="BF35" s="330">
        <v>57</v>
      </c>
      <c r="BG35" s="63"/>
      <c r="BI35" s="60"/>
      <c r="BJ35" s="60"/>
      <c r="BK35" s="60"/>
      <c r="BL35" s="60"/>
      <c r="BM35" s="447" t="str" cm="1">
        <f t="array" ref="BM35">INDEX($D$18:$BH$18, 1, $BO35)</f>
        <v>ㆭ</v>
      </c>
      <c r="BN35" s="447" t="str" cm="1">
        <f t="array" aca="1" ref="BN35" ca="1">INDIRECT(ADDRESS(17, COLUMN($D$18) + $BO35 - 1))</f>
        <v>/</v>
      </c>
      <c r="BO35" s="39">
        <f t="shared" si="0"/>
        <v>31</v>
      </c>
      <c r="BP35" s="354" t="str">
        <v>ㆭ</v>
      </c>
      <c r="BQ35" s="355" t="str">
        <f xml:space="preserve"> _xlfn.XLOOKUP(BP35, 按鍵設計表[注音符號], 按鍵設計表[聲韻調], "")</f>
        <v>韻</v>
      </c>
      <c r="BR35" s="347" t="str">
        <v>/</v>
      </c>
      <c r="BS35" s="348" t="str">
        <v>G</v>
      </c>
      <c r="BT35" s="349" t="str">
        <v>-ng</v>
      </c>
      <c r="BU35" s="356">
        <f t="shared" si="10"/>
        <v>3</v>
      </c>
      <c r="BW35" s="146" t="str">
        <f t="shared" si="11"/>
        <v xml:space="preserve">    "/": { commit: "ㆭ" }  # /-ng/ ==&gt; G</v>
      </c>
      <c r="BX35" s="40"/>
      <c r="BY35" s="39">
        <f t="shared" si="2"/>
        <v>31</v>
      </c>
      <c r="BZ35"/>
      <c r="CA35" s="13"/>
      <c r="CB35" s="13"/>
      <c r="CC35" s="13"/>
      <c r="CD35" s="13"/>
      <c r="CE35" s="13"/>
      <c r="CG35" s="288" t="str">
        <f t="shared" si="3"/>
        <v/>
      </c>
      <c r="CH35" s="459"/>
      <c r="CI35" s="39">
        <f t="shared" si="4"/>
        <v>31</v>
      </c>
      <c r="CJ35" s="13"/>
      <c r="CK35"/>
      <c r="CL35" s="13"/>
      <c r="CM35" s="13"/>
      <c r="CN35" s="13"/>
      <c r="CO35" s="13"/>
      <c r="CQ35" s="288"/>
      <c r="CR35" s="459"/>
      <c r="CT35"/>
      <c r="CU35" s="13"/>
      <c r="CV35" s="13"/>
      <c r="CW35" s="13"/>
      <c r="CX35" s="13"/>
      <c r="CY35" s="13"/>
      <c r="DA35" s="288" t="str">
        <f t="shared" si="6"/>
        <v/>
      </c>
    </row>
    <row r="36" spans="1:105" s="17" customFormat="1" ht="45" customHeight="1">
      <c r="B36" s="334" t="str">
        <f t="shared" ref="B36:BF36" si="12" xml:space="preserve"> MID($E$31,B$35,1)</f>
        <v>b</v>
      </c>
      <c r="C36" s="334" t="str">
        <f t="shared" si="12"/>
        <v>p</v>
      </c>
      <c r="D36" s="334" t="str">
        <f t="shared" si="12"/>
        <v>P</v>
      </c>
      <c r="E36" s="334" t="str">
        <f t="shared" si="12"/>
        <v>m</v>
      </c>
      <c r="F36" s="334" t="str">
        <f t="shared" si="12"/>
        <v>n</v>
      </c>
      <c r="G36" s="334" t="str">
        <f t="shared" si="12"/>
        <v>t</v>
      </c>
      <c r="H36" s="334" t="str">
        <f t="shared" si="12"/>
        <v>T</v>
      </c>
      <c r="I36" s="334" t="str">
        <f t="shared" si="12"/>
        <v>l</v>
      </c>
      <c r="J36" s="334" t="str">
        <f t="shared" si="12"/>
        <v>q</v>
      </c>
      <c r="K36" s="334" t="str">
        <f t="shared" si="12"/>
        <v>k</v>
      </c>
      <c r="L36" s="334" t="str">
        <f t="shared" si="12"/>
        <v>K</v>
      </c>
      <c r="M36" s="334" t="str">
        <f t="shared" si="12"/>
        <v>g</v>
      </c>
      <c r="N36" s="334" t="str">
        <f t="shared" si="12"/>
        <v>j</v>
      </c>
      <c r="O36" s="334" t="str">
        <f t="shared" si="12"/>
        <v>z</v>
      </c>
      <c r="P36" s="334" t="str">
        <f t="shared" si="12"/>
        <v>c</v>
      </c>
      <c r="Q36" s="334" t="str">
        <f t="shared" si="12"/>
        <v>s</v>
      </c>
      <c r="R36" s="334" t="str">
        <f t="shared" si="12"/>
        <v>h</v>
      </c>
      <c r="S36" s="334" t="str">
        <f t="shared" si="12"/>
        <v>J</v>
      </c>
      <c r="T36" s="334" t="str">
        <f t="shared" si="12"/>
        <v>Z</v>
      </c>
      <c r="U36" s="334" t="str">
        <f t="shared" si="12"/>
        <v>C</v>
      </c>
      <c r="V36" s="334" t="str">
        <f t="shared" si="12"/>
        <v>S</v>
      </c>
      <c r="W36" s="334" t="str">
        <f t="shared" si="12"/>
        <v>a</v>
      </c>
      <c r="X36" s="334" t="str">
        <f t="shared" si="12"/>
        <v>i</v>
      </c>
      <c r="Y36" s="334" t="str">
        <f t="shared" si="12"/>
        <v>w</v>
      </c>
      <c r="Z36" s="334" t="str">
        <f t="shared" si="12"/>
        <v>u</v>
      </c>
      <c r="AA36" s="334" t="str">
        <f t="shared" si="12"/>
        <v>e</v>
      </c>
      <c r="AB36" s="334" t="str">
        <f t="shared" si="12"/>
        <v>o</v>
      </c>
      <c r="AC36" s="334" t="str">
        <f t="shared" si="12"/>
        <v>ø</v>
      </c>
      <c r="AD36" s="334" t="str">
        <f t="shared" si="12"/>
        <v>M</v>
      </c>
      <c r="AE36" s="334" t="str">
        <f t="shared" si="12"/>
        <v>N</v>
      </c>
      <c r="AF36" s="334" t="str">
        <f t="shared" si="12"/>
        <v>G</v>
      </c>
      <c r="AG36" s="334" t="str">
        <f t="shared" si="12"/>
        <v>R</v>
      </c>
      <c r="AH36" s="334" t="str">
        <f t="shared" si="12"/>
        <v>F</v>
      </c>
      <c r="AI36" s="334" t="str">
        <f t="shared" si="12"/>
        <v>Q</v>
      </c>
      <c r="AJ36" s="334" t="str">
        <f t="shared" si="12"/>
        <v>V</v>
      </c>
      <c r="AK36" s="334" t="str">
        <f t="shared" si="12"/>
        <v>I</v>
      </c>
      <c r="AL36" s="334" t="str">
        <f t="shared" si="12"/>
        <v>U</v>
      </c>
      <c r="AM36" s="334" t="str">
        <f t="shared" si="12"/>
        <v>Y</v>
      </c>
      <c r="AN36" s="334" t="str">
        <f t="shared" si="12"/>
        <v>@</v>
      </c>
      <c r="AO36" s="334" t="str">
        <f t="shared" si="12"/>
        <v>A</v>
      </c>
      <c r="AP36" s="334" t="str">
        <f t="shared" si="12"/>
        <v>W</v>
      </c>
      <c r="AQ36" s="334" t="str">
        <f t="shared" si="12"/>
        <v>H</v>
      </c>
      <c r="AR36" s="334" t="str">
        <f t="shared" si="12"/>
        <v>0</v>
      </c>
      <c r="AS36" s="334" t="str">
        <f t="shared" si="12"/>
        <v>7</v>
      </c>
      <c r="AT36" s="334" t="str">
        <f t="shared" si="12"/>
        <v>3</v>
      </c>
      <c r="AU36" s="334" t="str">
        <f t="shared" si="12"/>
        <v>2</v>
      </c>
      <c r="AV36" s="334" t="str">
        <f t="shared" si="12"/>
        <v>5</v>
      </c>
      <c r="AW36" s="334" t="str">
        <f t="shared" si="12"/>
        <v>*</v>
      </c>
      <c r="AX36" s="334" t="str">
        <f t="shared" si="12"/>
        <v>&amp;</v>
      </c>
      <c r="AY36" s="334" t="str">
        <f t="shared" si="12"/>
        <v>0</v>
      </c>
      <c r="AZ36" s="334" t="str">
        <f t="shared" si="12"/>
        <v/>
      </c>
      <c r="BA36" s="334" t="str">
        <f t="shared" si="12"/>
        <v/>
      </c>
      <c r="BB36" s="334" t="str">
        <f t="shared" si="12"/>
        <v/>
      </c>
      <c r="BC36" s="334" t="str">
        <f t="shared" si="12"/>
        <v/>
      </c>
      <c r="BD36" s="334" t="str">
        <f t="shared" si="12"/>
        <v/>
      </c>
      <c r="BE36" s="334" t="str">
        <f t="shared" si="12"/>
        <v/>
      </c>
      <c r="BF36" s="334" t="str">
        <f t="shared" si="12"/>
        <v/>
      </c>
      <c r="BG36" s="63"/>
      <c r="BI36" s="60"/>
      <c r="BJ36" s="60"/>
      <c r="BK36" s="60"/>
      <c r="BL36" s="60"/>
      <c r="BM36" s="447" t="str" cm="1">
        <f t="array" ref="BM36">INDEX($D$18:$BH$18, 1, $BO36)</f>
        <v>ㆴ</v>
      </c>
      <c r="BN36" s="447" t="str" cm="1">
        <f t="array" aca="1" ref="BN36" ca="1">INDIRECT(ADDRESS(17, COLUMN($D$18) + $BO36 - 1))</f>
        <v>b</v>
      </c>
      <c r="BO36" s="39">
        <f t="shared" si="0"/>
        <v>32</v>
      </c>
      <c r="BP36" s="354" t="str">
        <v>ㆴ</v>
      </c>
      <c r="BQ36" s="355" t="str">
        <f xml:space="preserve"> _xlfn.XLOOKUP(BP36, 按鍵設計表[注音符號], 按鍵設計表[聲韻調], "")</f>
        <v>韻尾</v>
      </c>
      <c r="BR36" s="347" t="str">
        <v>b</v>
      </c>
      <c r="BS36" s="348" t="str">
        <v>R</v>
      </c>
      <c r="BT36" s="349" t="str">
        <v>-p</v>
      </c>
      <c r="BU36" s="356">
        <f t="shared" si="10"/>
        <v>2</v>
      </c>
      <c r="BW36" s="146" t="str">
        <f t="shared" si="11"/>
        <v xml:space="preserve">    "b": { commit: "ㆴ" }  # /-p/ ==&gt; R</v>
      </c>
      <c r="BX36" s="40"/>
      <c r="BY36" s="39">
        <f t="shared" si="2"/>
        <v>32</v>
      </c>
      <c r="BZ36"/>
      <c r="CA36" s="13"/>
      <c r="CB36" s="13"/>
      <c r="CC36" s="13"/>
      <c r="CD36" s="13"/>
      <c r="CE36" s="13"/>
      <c r="CG36" s="288" t="str">
        <f t="shared" si="3"/>
        <v/>
      </c>
      <c r="CH36" s="459"/>
      <c r="CI36" s="39">
        <f t="shared" si="4"/>
        <v>32</v>
      </c>
      <c r="CJ36" s="13"/>
      <c r="CK36"/>
      <c r="CL36" s="13"/>
      <c r="CM36" s="13"/>
      <c r="CN36" s="13"/>
      <c r="CO36" s="13"/>
      <c r="CQ36" s="288"/>
      <c r="CR36" s="459"/>
      <c r="CT36"/>
      <c r="CU36" s="13"/>
      <c r="CV36" s="13"/>
      <c r="CW36" s="13"/>
      <c r="CX36" s="13"/>
      <c r="CY36" s="13"/>
      <c r="DA36" s="288" t="str">
        <f t="shared" si="6"/>
        <v/>
      </c>
    </row>
    <row r="37" spans="1:105" s="17" customFormat="1" ht="45" customHeight="1">
      <c r="B37" s="332" t="str">
        <f t="shared" ref="B37:BF37" si="13" xml:space="preserve"> MID($E$32,B$35,1)</f>
        <v>!</v>
      </c>
      <c r="C37" s="332" t="str">
        <f t="shared" si="13"/>
        <v>1</v>
      </c>
      <c r="D37" s="332" t="str">
        <f t="shared" si="13"/>
        <v>q</v>
      </c>
      <c r="E37" s="332" t="str">
        <f t="shared" si="13"/>
        <v>a</v>
      </c>
      <c r="F37" s="332" t="str">
        <f t="shared" si="13"/>
        <v>s</v>
      </c>
      <c r="G37" s="332" t="str">
        <f t="shared" si="13"/>
        <v>2</v>
      </c>
      <c r="H37" s="332" t="str">
        <f t="shared" si="13"/>
        <v>w</v>
      </c>
      <c r="I37" s="332" t="str">
        <f t="shared" si="13"/>
        <v>x</v>
      </c>
      <c r="J37" s="332" t="str">
        <f t="shared" si="13"/>
        <v>E</v>
      </c>
      <c r="K37" s="332" t="str">
        <f t="shared" si="13"/>
        <v>e</v>
      </c>
      <c r="L37" s="332" t="str">
        <f t="shared" si="13"/>
        <v>d</v>
      </c>
      <c r="M37" s="332" t="str">
        <f t="shared" si="13"/>
        <v>?</v>
      </c>
      <c r="N37" s="332" t="str">
        <f t="shared" si="13"/>
        <v>Y</v>
      </c>
      <c r="O37" s="332" t="str">
        <f t="shared" si="13"/>
        <v>y</v>
      </c>
      <c r="P37" s="332" t="str">
        <f t="shared" si="13"/>
        <v>h</v>
      </c>
      <c r="Q37" s="332" t="str">
        <f t="shared" si="13"/>
        <v>n</v>
      </c>
      <c r="R37" s="332" t="str">
        <f t="shared" si="13"/>
        <v>c</v>
      </c>
      <c r="S37" s="332" t="str">
        <f t="shared" si="13"/>
        <v>R</v>
      </c>
      <c r="T37" s="332" t="str">
        <f t="shared" si="13"/>
        <v>r</v>
      </c>
      <c r="U37" s="332" t="str">
        <f t="shared" si="13"/>
        <v>f</v>
      </c>
      <c r="V37" s="332" t="str">
        <f t="shared" si="13"/>
        <v>v</v>
      </c>
      <c r="W37" s="332" t="str">
        <f t="shared" si="13"/>
        <v>8</v>
      </c>
      <c r="X37" s="332" t="str">
        <f t="shared" si="13"/>
        <v>u</v>
      </c>
      <c r="Y37" s="332" t="str">
        <f t="shared" si="13"/>
        <v>K</v>
      </c>
      <c r="Z37" s="332" t="str">
        <f t="shared" si="13"/>
        <v>j</v>
      </c>
      <c r="AA37" s="332" t="str">
        <f t="shared" si="13"/>
        <v>,</v>
      </c>
      <c r="AB37" s="332" t="str">
        <f t="shared" si="13"/>
        <v>i</v>
      </c>
      <c r="AC37" s="332" t="str">
        <f t="shared" si="13"/>
        <v>k</v>
      </c>
      <c r="AD37" s="332" t="str">
        <f t="shared" si="13"/>
        <v>m</v>
      </c>
      <c r="AE37" s="332" t="str">
        <f t="shared" si="13"/>
        <v>p</v>
      </c>
      <c r="AF37" s="332" t="str">
        <f t="shared" si="13"/>
        <v>/</v>
      </c>
      <c r="AG37" s="332" t="str">
        <f t="shared" si="13"/>
        <v>b</v>
      </c>
      <c r="AH37" s="332" t="str">
        <f t="shared" si="13"/>
        <v>t</v>
      </c>
      <c r="AI37" s="332" t="str">
        <f t="shared" si="13"/>
        <v>g</v>
      </c>
      <c r="AJ37" s="332" t="str">
        <f t="shared" si="13"/>
        <v>z</v>
      </c>
      <c r="AK37" s="332" t="str">
        <f t="shared" si="13"/>
        <v>9</v>
      </c>
      <c r="AL37" s="332" t="str">
        <f t="shared" si="13"/>
        <v>l</v>
      </c>
      <c r="AM37" s="332" t="str">
        <f t="shared" si="13"/>
        <v>M</v>
      </c>
      <c r="AN37" s="332" t="str">
        <f t="shared" si="13"/>
        <v>0</v>
      </c>
      <c r="AO37" s="332" t="str">
        <f t="shared" si="13"/>
        <v>;</v>
      </c>
      <c r="AP37" s="332" t="str">
        <f t="shared" si="13"/>
        <v>O</v>
      </c>
      <c r="AQ37" s="332" t="str">
        <f t="shared" si="13"/>
        <v>o</v>
      </c>
      <c r="AR37" s="332" t="str">
        <f t="shared" si="13"/>
        <v>7</v>
      </c>
      <c r="AS37" s="332" t="str">
        <f t="shared" si="13"/>
        <v>5</v>
      </c>
      <c r="AT37" s="332" t="str">
        <f t="shared" si="13"/>
        <v>3</v>
      </c>
      <c r="AU37" s="332" t="str">
        <f t="shared" si="13"/>
        <v>4</v>
      </c>
      <c r="AV37" s="332" t="str">
        <f t="shared" si="13"/>
        <v>6</v>
      </c>
      <c r="AW37" s="332" t="str">
        <f t="shared" si="13"/>
        <v>N</v>
      </c>
      <c r="AX37" s="332" t="str">
        <f t="shared" si="13"/>
        <v>.</v>
      </c>
      <c r="AY37" s="332" t="str">
        <f t="shared" si="13"/>
        <v>-</v>
      </c>
      <c r="AZ37" s="332" t="str">
        <f t="shared" si="13"/>
        <v/>
      </c>
      <c r="BA37" s="332" t="str">
        <f t="shared" si="13"/>
        <v/>
      </c>
      <c r="BB37" s="332" t="str">
        <f t="shared" si="13"/>
        <v/>
      </c>
      <c r="BC37" s="332" t="str">
        <f t="shared" si="13"/>
        <v/>
      </c>
      <c r="BD37" s="332" t="str">
        <f t="shared" si="13"/>
        <v/>
      </c>
      <c r="BE37" s="332" t="str">
        <f t="shared" si="13"/>
        <v/>
      </c>
      <c r="BF37" s="332" t="str">
        <f t="shared" si="13"/>
        <v/>
      </c>
      <c r="BG37" s="63"/>
      <c r="BH37" s="71"/>
      <c r="BI37" s="60"/>
      <c r="BJ37" s="60"/>
      <c r="BK37" s="60"/>
      <c r="BL37" s="60"/>
      <c r="BM37" s="447" t="str" cm="1">
        <f t="array" ref="BM37">INDEX($D$18:$BH$18, 1, $BO37)</f>
        <v>ㆵ</v>
      </c>
      <c r="BN37" s="447" t="str" cm="1">
        <f t="array" aca="1" ref="BN37" ca="1">INDIRECT(ADDRESS(17, COLUMN($D$18) + $BO37 - 1))</f>
        <v>t</v>
      </c>
      <c r="BO37" s="39">
        <f t="shared" si="0"/>
        <v>33</v>
      </c>
      <c r="BP37" s="354" t="str">
        <v>ㆵ</v>
      </c>
      <c r="BQ37" s="355" t="str">
        <f xml:space="preserve"> _xlfn.XLOOKUP(BP37, 按鍵設計表[注音符號], 按鍵設計表[聲韻調], "")</f>
        <v>韻尾</v>
      </c>
      <c r="BR37" s="347" t="str">
        <v>t</v>
      </c>
      <c r="BS37" s="348" t="str">
        <v>F</v>
      </c>
      <c r="BT37" s="349" t="str">
        <v>-t</v>
      </c>
      <c r="BU37" s="356">
        <f t="shared" si="10"/>
        <v>2</v>
      </c>
      <c r="BW37" s="146" t="str">
        <f t="shared" si="11"/>
        <v xml:space="preserve">    "t": { commit: "ㆵ" }  # /-t/ ==&gt; F</v>
      </c>
      <c r="BX37" s="40"/>
      <c r="BY37" s="39">
        <f t="shared" si="2"/>
        <v>33</v>
      </c>
      <c r="BZ37"/>
      <c r="CA37" s="13"/>
      <c r="CB37" s="13"/>
      <c r="CC37" s="13"/>
      <c r="CD37" s="13"/>
      <c r="CE37" s="13"/>
      <c r="CG37" s="288" t="str">
        <f t="shared" si="3"/>
        <v/>
      </c>
      <c r="CH37" s="459"/>
      <c r="CI37" s="39">
        <f t="shared" si="4"/>
        <v>33</v>
      </c>
      <c r="CJ37" s="13"/>
      <c r="CK37"/>
      <c r="CL37" s="13"/>
      <c r="CM37" s="13"/>
      <c r="CN37" s="13"/>
      <c r="CO37" s="13"/>
      <c r="CQ37" s="288"/>
      <c r="CR37" s="459"/>
      <c r="CT37"/>
      <c r="CU37" s="13"/>
      <c r="CV37" s="13"/>
      <c r="CW37" s="13"/>
      <c r="CX37" s="13"/>
      <c r="CY37" s="13"/>
      <c r="DA37" s="288" t="str">
        <f t="shared" si="6"/>
        <v/>
      </c>
    </row>
    <row r="38" spans="1:105" s="17" customFormat="1" ht="45" customHeight="1"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4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0"/>
      <c r="AJ38" s="60"/>
      <c r="AK38" s="60"/>
      <c r="AL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447" t="str" cm="1">
        <f t="array" ref="BM38">INDEX($D$18:$BH$18, 1, $BO38)</f>
        <v>ㆻ</v>
      </c>
      <c r="BN38" s="447" t="str" cm="1">
        <f t="array" aca="1" ref="BN38" ca="1">INDIRECT(ADDRESS(17, COLUMN($D$18) + $BO38 - 1))</f>
        <v>g</v>
      </c>
      <c r="BO38" s="39">
        <f t="shared" si="0"/>
        <v>34</v>
      </c>
      <c r="BP38" s="354" t="str">
        <v>ㆻ</v>
      </c>
      <c r="BQ38" s="355" t="str">
        <f xml:space="preserve"> _xlfn.XLOOKUP(BP38, 按鍵設計表[注音符號], 按鍵設計表[聲韻調], "")</f>
        <v>韻尾</v>
      </c>
      <c r="BR38" s="347" t="str">
        <v>g</v>
      </c>
      <c r="BS38" s="348" t="str">
        <v>Q</v>
      </c>
      <c r="BT38" s="349" t="str">
        <v>-k</v>
      </c>
      <c r="BU38" s="356">
        <f t="shared" si="10"/>
        <v>2</v>
      </c>
      <c r="BW38" s="146" t="str">
        <f t="shared" si="11"/>
        <v xml:space="preserve">    "g": { commit: "ㆻ" }  # /-k/ ==&gt; Q</v>
      </c>
      <c r="BX38" s="40"/>
      <c r="BY38" s="39">
        <f t="shared" si="2"/>
        <v>34</v>
      </c>
      <c r="BZ38"/>
      <c r="CA38" s="13"/>
      <c r="CB38" s="13"/>
      <c r="CC38" s="13"/>
      <c r="CD38" s="13"/>
      <c r="CE38" s="13"/>
      <c r="CG38" s="288" t="str">
        <f t="shared" si="3"/>
        <v/>
      </c>
      <c r="CH38" s="459"/>
      <c r="CI38" s="39">
        <f t="shared" si="4"/>
        <v>34</v>
      </c>
      <c r="CJ38" s="13"/>
      <c r="CK38"/>
      <c r="CL38" s="13"/>
      <c r="CM38" s="13"/>
      <c r="CN38" s="13"/>
      <c r="CO38" s="13"/>
      <c r="CQ38" s="288"/>
      <c r="CR38" s="459"/>
      <c r="CT38"/>
      <c r="CU38" s="13"/>
      <c r="CV38" s="13"/>
      <c r="CW38" s="13"/>
      <c r="CX38" s="13"/>
      <c r="CY38" s="13"/>
      <c r="DA38" s="288" t="str">
        <f t="shared" si="6"/>
        <v/>
      </c>
    </row>
    <row r="39" spans="1:105" ht="45" customHeight="1">
      <c r="A39" s="17"/>
      <c r="B39" s="76" t="s">
        <v>8410</v>
      </c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0"/>
      <c r="AI39" s="60"/>
      <c r="AJ39" s="60"/>
      <c r="AK39" s="60"/>
      <c r="AL39" s="60"/>
      <c r="AM39" s="17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83"/>
      <c r="BK39" s="83"/>
      <c r="BL39" s="83"/>
      <c r="BM39" s="447" t="str" cm="1">
        <f t="array" ref="BM39">INDEX($D$18:$BH$18, 1, $BO39)</f>
        <v>ㆻ</v>
      </c>
      <c r="BN39" s="447" t="str" cm="1">
        <f t="array" aca="1" ref="BN39" ca="1">INDIRECT(ADDRESS(17, COLUMN($D$18) + $BO39 - 1))</f>
        <v>z</v>
      </c>
      <c r="BO39" s="39">
        <f t="shared" si="0"/>
        <v>35</v>
      </c>
      <c r="BP39" s="354" t="str">
        <v>ㆻ</v>
      </c>
      <c r="BQ39" s="355" t="str">
        <f xml:space="preserve"> _xlfn.XLOOKUP(BP39, 按鍵設計表[注音符號], 按鍵設計表[聲韻調], "")</f>
        <v>韻尾</v>
      </c>
      <c r="BR39" s="347" t="str">
        <v>z</v>
      </c>
      <c r="BS39" s="348" t="str">
        <v>V</v>
      </c>
      <c r="BT39" s="349" t="str">
        <v>-k</v>
      </c>
      <c r="BU39" s="356">
        <f t="shared" si="10"/>
        <v>2</v>
      </c>
      <c r="BV39" s="17"/>
      <c r="BW39" s="146" t="str">
        <f t="shared" si="11"/>
        <v xml:space="preserve">    "z": { commit: "ㆻ" }  # /-k/ ==&gt; V</v>
      </c>
      <c r="BX39" s="40"/>
      <c r="BY39" s="39">
        <f t="shared" si="2"/>
        <v>35</v>
      </c>
      <c r="CF39" s="17"/>
      <c r="CG39" s="288" t="str">
        <f t="shared" si="3"/>
        <v/>
      </c>
      <c r="CI39" s="39">
        <f t="shared" si="4"/>
        <v>35</v>
      </c>
      <c r="CP39" s="17"/>
      <c r="CZ39" s="17"/>
      <c r="DA39" s="288" t="str">
        <f t="shared" si="6"/>
        <v/>
      </c>
    </row>
    <row r="40" spans="1:105" ht="45" customHeight="1">
      <c r="A40" s="17"/>
      <c r="B40" s="63" t="s">
        <v>321</v>
      </c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4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83"/>
      <c r="BK40" s="83"/>
      <c r="BL40" s="83"/>
      <c r="BM40" s="447" t="str" cm="1">
        <f t="array" ref="BM40">INDEX($D$18:$BH$18, 1, $BO40)</f>
        <v>ㄞ</v>
      </c>
      <c r="BN40" s="447" t="str" cm="1">
        <f t="array" aca="1" ref="BN40" ca="1">INDIRECT(ADDRESS(17, COLUMN($D$18) + $BO40 - 1))</f>
        <v>9</v>
      </c>
      <c r="BO40" s="39">
        <f t="shared" si="0"/>
        <v>36</v>
      </c>
      <c r="BP40" s="354" t="str">
        <v>ㄞ</v>
      </c>
      <c r="BQ40" s="355" t="str">
        <f xml:space="preserve"> _xlfn.XLOOKUP(BP40, 按鍵設計表[注音符號], 按鍵設計表[聲韻調], "")</f>
        <v>韻</v>
      </c>
      <c r="BR40" s="347" t="str">
        <v>9</v>
      </c>
      <c r="BS40" s="348" t="str">
        <v>I</v>
      </c>
      <c r="BT40" s="349" t="str">
        <v>ai</v>
      </c>
      <c r="BU40" s="356">
        <f t="shared" si="10"/>
        <v>2</v>
      </c>
      <c r="BV40" s="17"/>
      <c r="BW40" s="146" t="str">
        <f t="shared" si="11"/>
        <v xml:space="preserve">    "9": { commit: "ㄞ" }  # /ai/ ==&gt; I</v>
      </c>
      <c r="BX40" s="40"/>
      <c r="BY40" s="39">
        <f t="shared" si="2"/>
        <v>36</v>
      </c>
      <c r="CG40" s="288" t="str">
        <f t="shared" si="3"/>
        <v/>
      </c>
      <c r="CI40" s="39">
        <f t="shared" si="4"/>
        <v>36</v>
      </c>
      <c r="DA40" s="288" t="str">
        <f t="shared" si="6"/>
        <v/>
      </c>
    </row>
    <row r="41" spans="1:105" ht="45" customHeight="1">
      <c r="B41" s="77" t="s">
        <v>4</v>
      </c>
      <c r="C41" s="78"/>
      <c r="D41" s="78">
        <f xml:space="preserve"> LEN(E41)</f>
        <v>49</v>
      </c>
      <c r="E41" s="79" t="str">
        <f>_xlfn.CONCAT(D17:AZ17)</f>
        <v>!1qas2wxEed?YyhncRrfv8uKj,ikmp/btgz9lM0;Oo*UJ&lt;I(L</v>
      </c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60"/>
      <c r="AL41" s="60"/>
      <c r="AM41" s="17">
        <f xml:space="preserve"> LEN(AN41)</f>
        <v>5</v>
      </c>
      <c r="AN41" s="481" t="str">
        <f>_xlfn.CONCAT(BA18:BE18)</f>
        <v>˙˫˪ˋˊ</v>
      </c>
      <c r="AO41" s="481"/>
      <c r="AP41" s="481"/>
      <c r="AQ41" s="481"/>
      <c r="AR41" s="481"/>
      <c r="AS41" s="481"/>
      <c r="AT41" s="481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83"/>
      <c r="BK41" s="83"/>
      <c r="BL41" s="83"/>
      <c r="BM41" s="447" t="str" cm="1">
        <f t="array" ref="BM41">INDEX($D$18:$BH$18, 1, $BO41)</f>
        <v>ㄠ</v>
      </c>
      <c r="BN41" s="447" t="str" cm="1">
        <f t="array" aca="1" ref="BN41" ca="1">INDIRECT(ADDRESS(17, COLUMN($D$18) + $BO41 - 1))</f>
        <v>l</v>
      </c>
      <c r="BO41" s="39">
        <f t="shared" si="0"/>
        <v>37</v>
      </c>
      <c r="BP41" s="354" t="str">
        <v>ㄠ</v>
      </c>
      <c r="BQ41" s="355" t="str">
        <f xml:space="preserve"> _xlfn.XLOOKUP(BP41, 按鍵設計表[注音符號], 按鍵設計表[聲韻調], "")</f>
        <v>韻</v>
      </c>
      <c r="BR41" s="347" t="str">
        <v>l</v>
      </c>
      <c r="BS41" s="348" t="str">
        <v>U</v>
      </c>
      <c r="BT41" s="349" t="str">
        <v>au</v>
      </c>
      <c r="BU41" s="356">
        <f t="shared" si="10"/>
        <v>2</v>
      </c>
      <c r="BW41" s="146" t="str">
        <f t="shared" si="11"/>
        <v xml:space="preserve">    "l": { commit: "ㄠ" }  # /au/ ==&gt; U</v>
      </c>
      <c r="BX41" s="40"/>
      <c r="BY41" s="39">
        <f t="shared" si="2"/>
        <v>37</v>
      </c>
      <c r="CG41" s="288" t="str">
        <f t="shared" si="3"/>
        <v/>
      </c>
      <c r="CI41" s="39">
        <f t="shared" si="4"/>
        <v>37</v>
      </c>
      <c r="DA41" s="288" t="str">
        <f t="shared" si="6"/>
        <v/>
      </c>
    </row>
    <row r="42" spans="1:105" ht="45" customHeight="1">
      <c r="B42" s="304" t="s">
        <v>3</v>
      </c>
      <c r="C42" s="81"/>
      <c r="D42" s="81">
        <f>LEN(E42)</f>
        <v>49</v>
      </c>
      <c r="E42" s="80" t="str">
        <f xml:space="preserve"> _xlfn.CONCAT(D18:AZ18)</f>
        <v>ㆠㄅㄆㄇㄋㄉㄊㄌㆣㄍㄎㄫㆡㄗㄘㄙㄏㆢㄐㄑㄒㄚㄧㆨㄨㆤㆦㄜㆬㄣㆭㆴㆵㆻㆻㄞㄠㆰㄢㄤㆱㆲㆩㆪㆫㆥㆧㆮㆯ</v>
      </c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60"/>
      <c r="AL42" s="60"/>
      <c r="AM42" s="17">
        <f xml:space="preserve"> LEN(AN42)</f>
        <v>5</v>
      </c>
      <c r="AN42" s="481" t="str">
        <f>_xlfn.CONCAT(BA19:BE19)</f>
        <v>07325</v>
      </c>
      <c r="AO42" s="481"/>
      <c r="AP42" s="481"/>
      <c r="AQ42" s="481"/>
      <c r="AR42" s="481"/>
      <c r="AS42" s="481"/>
      <c r="AT42" s="481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83"/>
      <c r="BK42" s="83"/>
      <c r="BL42" s="83"/>
      <c r="BM42" s="447" t="str" cm="1">
        <f t="array" ref="BM42">INDEX($D$18:$BH$18, 1, $BO42)</f>
        <v>ㆰ</v>
      </c>
      <c r="BN42" s="447" t="str" cm="1">
        <f t="array" aca="1" ref="BN42" ca="1">INDIRECT(ADDRESS(17, COLUMN($D$18) + $BO42 - 1))</f>
        <v>M</v>
      </c>
      <c r="BO42" s="39">
        <f t="shared" si="0"/>
        <v>38</v>
      </c>
      <c r="BP42" s="354" t="str">
        <v>ㆰ</v>
      </c>
      <c r="BQ42" s="355" t="str">
        <f xml:space="preserve"> _xlfn.XLOOKUP(BP42, 按鍵設計表[注音符號], 按鍵設計表[聲韻調], "")</f>
        <v>韻</v>
      </c>
      <c r="BR42" s="347" t="str">
        <v>M</v>
      </c>
      <c r="BS42" s="348" t="str">
        <v>Y</v>
      </c>
      <c r="BT42" s="349" t="str">
        <v>am</v>
      </c>
      <c r="BU42" s="356">
        <f t="shared" si="10"/>
        <v>2</v>
      </c>
      <c r="BW42" s="146" t="str">
        <f t="shared" si="11"/>
        <v xml:space="preserve">    "M": { commit: "ㆰ" }  # /am/ ==&gt; Y</v>
      </c>
      <c r="BX42" s="40"/>
      <c r="BY42" s="39">
        <f t="shared" si="2"/>
        <v>38</v>
      </c>
      <c r="CG42" s="288" t="str">
        <f t="shared" si="3"/>
        <v/>
      </c>
      <c r="CI42" s="39">
        <f t="shared" si="4"/>
        <v>38</v>
      </c>
      <c r="DA42" s="288" t="str">
        <f t="shared" si="6"/>
        <v/>
      </c>
    </row>
    <row r="43" spans="1:105" ht="45" customHeight="1">
      <c r="B43" s="72" t="str">
        <f xml:space="preserve"> "    - xlit|" &amp; E41 &amp; "|" &amp; E42 &amp; "|"</f>
        <v xml:space="preserve">    - xlit|!1qas2wxEed?YyhncRrfv8uKj,ikmp/btgz9lM0;Oo*UJ&lt;I(L|ㆠㄅㄆㄇㄋㄉㄊㄌㆣㄍㄎㄫㆡㄗㄘㄙㄏㆢㄐㄑㄒㄚㄧㆨㄨㆤㆦㄜㆬㄣㆭㆴㆵㆻㆻㄞㄠㆰㄢㄤㆱㆲㆩㆪㆫㆥㆧㆮㆯ|</v>
      </c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73"/>
      <c r="AH43" s="73"/>
      <c r="AI43" s="73"/>
      <c r="AJ43" s="73"/>
      <c r="AK43" s="60"/>
      <c r="AL43" s="60"/>
      <c r="AM43" s="17"/>
      <c r="AN43" s="482" t="str">
        <f xml:space="preserve"> "    - xlit|" &amp; AN41 &amp; "|" &amp; AN42 &amp; "|"</f>
        <v xml:space="preserve">    - xlit|˙˫˪ˋˊ|07325|</v>
      </c>
      <c r="AO43" s="480"/>
      <c r="AP43" s="480"/>
      <c r="AQ43" s="480"/>
      <c r="AR43" s="480"/>
      <c r="AS43" s="480"/>
      <c r="AT43" s="48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83"/>
      <c r="BJ43" s="83"/>
      <c r="BK43" s="83"/>
      <c r="BL43" s="83"/>
      <c r="BM43" s="447" t="str" cm="1">
        <f t="array" ref="BM43">INDEX($D$18:$BH$18, 1, $BO43)</f>
        <v>ㄢ</v>
      </c>
      <c r="BN43" s="447" t="str" cm="1">
        <f t="array" aca="1" ref="BN43" ca="1">INDIRECT(ADDRESS(17, COLUMN($D$18) + $BO43 - 1))</f>
        <v>0</v>
      </c>
      <c r="BO43" s="39">
        <f t="shared" si="0"/>
        <v>39</v>
      </c>
      <c r="BP43" s="354" t="str">
        <v>ㄢ</v>
      </c>
      <c r="BQ43" s="355" t="str">
        <f xml:space="preserve"> _xlfn.XLOOKUP(BP43, 按鍵設計表[注音符號], 按鍵設計表[聲韻調], "")</f>
        <v>韻</v>
      </c>
      <c r="BR43" s="347" t="str">
        <v>0</v>
      </c>
      <c r="BS43" s="348" t="str">
        <v>@</v>
      </c>
      <c r="BT43" s="349" t="str">
        <v>an</v>
      </c>
      <c r="BU43" s="356">
        <f t="shared" si="10"/>
        <v>2</v>
      </c>
      <c r="BW43" s="146" t="str">
        <f t="shared" si="11"/>
        <v xml:space="preserve">    "0": { commit: "ㄢ" }  # /an/ ==&gt; @</v>
      </c>
      <c r="BX43" s="40"/>
      <c r="BY43" s="39">
        <f t="shared" si="2"/>
        <v>39</v>
      </c>
      <c r="CG43" s="288" t="str">
        <f t="shared" si="3"/>
        <v/>
      </c>
      <c r="CI43" s="39">
        <f t="shared" si="4"/>
        <v>39</v>
      </c>
      <c r="DA43" s="288" t="str">
        <f t="shared" si="6"/>
        <v/>
      </c>
    </row>
    <row r="44" spans="1:105" ht="45" customHeight="1">
      <c r="B44" s="74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J44" s="83"/>
      <c r="BK44" s="83"/>
      <c r="BL44" s="83"/>
      <c r="BM44" s="447" t="str" cm="1">
        <f t="array" ref="BM44">INDEX($D$18:$BH$18, 1, $BO44)</f>
        <v>ㄤ</v>
      </c>
      <c r="BN44" s="447" t="str" cm="1">
        <f t="array" aca="1" ref="BN44" ca="1">INDIRECT(ADDRESS(17, COLUMN($D$18) + $BO44 - 1))</f>
        <v>;</v>
      </c>
      <c r="BO44" s="39">
        <f t="shared" si="0"/>
        <v>40</v>
      </c>
      <c r="BP44" s="354" t="str">
        <v>ㄤ</v>
      </c>
      <c r="BQ44" s="355" t="str">
        <f xml:space="preserve"> _xlfn.XLOOKUP(BP44, 按鍵設計表[注音符號], 按鍵設計表[聲韻調], "")</f>
        <v>韻</v>
      </c>
      <c r="BR44" s="347" t="str">
        <v>;</v>
      </c>
      <c r="BS44" s="348" t="str">
        <v>A</v>
      </c>
      <c r="BT44" s="349" t="str">
        <v>ang</v>
      </c>
      <c r="BU44" s="356">
        <f t="shared" si="10"/>
        <v>3</v>
      </c>
      <c r="BW44" s="146" t="str">
        <f t="shared" si="11"/>
        <v xml:space="preserve">    ";": { commit: "ㄤ" }  # /ang/ ==&gt; A</v>
      </c>
      <c r="BX44" s="40"/>
      <c r="BY44" s="39">
        <f t="shared" si="2"/>
        <v>40</v>
      </c>
      <c r="CG44" s="288" t="str">
        <f t="shared" si="3"/>
        <v/>
      </c>
      <c r="CI44" s="39">
        <f t="shared" si="4"/>
        <v>40</v>
      </c>
      <c r="DA44" s="288" t="str">
        <f t="shared" si="6"/>
        <v/>
      </c>
    </row>
    <row r="45" spans="1:105" ht="45" customHeight="1">
      <c r="B45" s="328">
        <v>1</v>
      </c>
      <c r="C45" s="328">
        <v>2</v>
      </c>
      <c r="D45" s="328">
        <v>3</v>
      </c>
      <c r="E45" s="328">
        <v>4</v>
      </c>
      <c r="F45" s="328">
        <v>5</v>
      </c>
      <c r="G45" s="328">
        <v>6</v>
      </c>
      <c r="H45" s="328">
        <v>7</v>
      </c>
      <c r="I45" s="328">
        <v>8</v>
      </c>
      <c r="J45" s="328">
        <v>9</v>
      </c>
      <c r="K45" s="328">
        <v>10</v>
      </c>
      <c r="L45" s="328">
        <v>11</v>
      </c>
      <c r="M45" s="328">
        <v>12</v>
      </c>
      <c r="N45" s="328">
        <v>13</v>
      </c>
      <c r="O45" s="328">
        <v>14</v>
      </c>
      <c r="P45" s="328">
        <v>15</v>
      </c>
      <c r="Q45" s="328">
        <v>16</v>
      </c>
      <c r="R45" s="328">
        <v>17</v>
      </c>
      <c r="S45" s="329">
        <v>18</v>
      </c>
      <c r="T45" s="328">
        <v>19</v>
      </c>
      <c r="U45" s="328">
        <v>20</v>
      </c>
      <c r="V45" s="328">
        <v>21</v>
      </c>
      <c r="W45" s="328">
        <v>22</v>
      </c>
      <c r="X45" s="328">
        <v>23</v>
      </c>
      <c r="Y45" s="328">
        <v>24</v>
      </c>
      <c r="Z45" s="328">
        <v>25</v>
      </c>
      <c r="AA45" s="328">
        <v>26</v>
      </c>
      <c r="AB45" s="328">
        <v>27</v>
      </c>
      <c r="AC45" s="328">
        <v>28</v>
      </c>
      <c r="AD45" s="328">
        <v>29</v>
      </c>
      <c r="AE45" s="328">
        <v>30</v>
      </c>
      <c r="AF45" s="328">
        <v>31</v>
      </c>
      <c r="AG45" s="328">
        <v>32</v>
      </c>
      <c r="AH45" s="330">
        <v>33</v>
      </c>
      <c r="AI45" s="330">
        <v>34</v>
      </c>
      <c r="AJ45" s="330">
        <v>35</v>
      </c>
      <c r="AK45" s="330">
        <v>36</v>
      </c>
      <c r="AL45" s="331">
        <v>37</v>
      </c>
      <c r="AM45" s="330">
        <v>38</v>
      </c>
      <c r="AN45" s="330">
        <v>39</v>
      </c>
      <c r="AO45" s="330">
        <v>40</v>
      </c>
      <c r="AP45" s="330">
        <v>41</v>
      </c>
      <c r="AQ45" s="330">
        <v>42</v>
      </c>
      <c r="AR45" s="330">
        <v>43</v>
      </c>
      <c r="AS45" s="330">
        <v>44</v>
      </c>
      <c r="AT45" s="330">
        <v>45</v>
      </c>
      <c r="AU45" s="330">
        <v>46</v>
      </c>
      <c r="AV45" s="330">
        <v>47</v>
      </c>
      <c r="AW45" s="330">
        <v>48</v>
      </c>
      <c r="AX45" s="330">
        <v>49</v>
      </c>
      <c r="AY45" s="330">
        <v>50</v>
      </c>
      <c r="AZ45" s="330">
        <v>51</v>
      </c>
      <c r="BA45" s="330">
        <v>52</v>
      </c>
      <c r="BB45" s="330">
        <v>53</v>
      </c>
      <c r="BC45" s="330">
        <v>54</v>
      </c>
      <c r="BD45" s="330">
        <v>55</v>
      </c>
      <c r="BE45" s="330">
        <v>56</v>
      </c>
      <c r="BF45" s="330">
        <v>57</v>
      </c>
      <c r="BG45" s="63"/>
      <c r="BH45" s="17"/>
      <c r="BJ45" s="83"/>
      <c r="BK45" s="83"/>
      <c r="BL45" s="83"/>
      <c r="BM45" s="447" t="str" cm="1">
        <f t="array" ref="BM45">INDEX($D$18:$BH$18, 1, $BO45)</f>
        <v>ㆱ</v>
      </c>
      <c r="BN45" s="447" t="str" cm="1">
        <f t="array" aca="1" ref="BN45" ca="1">INDIRECT(ADDRESS(17, COLUMN($D$18) + $BO45 - 1))</f>
        <v>O</v>
      </c>
      <c r="BO45" s="39">
        <f t="shared" si="0"/>
        <v>41</v>
      </c>
      <c r="BP45" s="354" t="str">
        <v>ㆱ</v>
      </c>
      <c r="BQ45" s="355" t="str">
        <f xml:space="preserve"> _xlfn.XLOOKUP(BP45, 按鍵設計表[注音符號], 按鍵設計表[聲韻調], "")</f>
        <v>韻</v>
      </c>
      <c r="BR45" s="347" t="str">
        <v>O</v>
      </c>
      <c r="BS45" s="348" t="str">
        <v>W</v>
      </c>
      <c r="BT45" s="349" t="str">
        <v>om</v>
      </c>
      <c r="BU45" s="356">
        <f t="shared" si="10"/>
        <v>2</v>
      </c>
      <c r="BW45" s="146" t="str">
        <f t="shared" si="11"/>
        <v xml:space="preserve">    "O": { commit: "ㆱ" }  # /om/ ==&gt; W</v>
      </c>
      <c r="BX45" s="40"/>
      <c r="BY45" s="39">
        <f t="shared" si="2"/>
        <v>41</v>
      </c>
      <c r="CG45" s="288" t="str">
        <f t="shared" si="3"/>
        <v/>
      </c>
      <c r="CI45" s="39">
        <f t="shared" si="4"/>
        <v>41</v>
      </c>
      <c r="DA45" s="288" t="str">
        <f t="shared" si="6"/>
        <v/>
      </c>
    </row>
    <row r="46" spans="1:105" ht="45" customHeight="1">
      <c r="B46" s="332" t="str">
        <f t="shared" ref="B46:BF46" si="14" xml:space="preserve"> MID($E$41,B$45,1)</f>
        <v>!</v>
      </c>
      <c r="C46" s="332" t="str">
        <f t="shared" si="14"/>
        <v>1</v>
      </c>
      <c r="D46" s="332" t="str">
        <f t="shared" si="14"/>
        <v>q</v>
      </c>
      <c r="E46" s="332" t="str">
        <f t="shared" si="14"/>
        <v>a</v>
      </c>
      <c r="F46" s="332" t="str">
        <f t="shared" si="14"/>
        <v>s</v>
      </c>
      <c r="G46" s="332" t="str">
        <f t="shared" si="14"/>
        <v>2</v>
      </c>
      <c r="H46" s="332" t="str">
        <f t="shared" si="14"/>
        <v>w</v>
      </c>
      <c r="I46" s="332" t="str">
        <f t="shared" si="14"/>
        <v>x</v>
      </c>
      <c r="J46" s="332" t="str">
        <f t="shared" si="14"/>
        <v>E</v>
      </c>
      <c r="K46" s="332" t="str">
        <f t="shared" si="14"/>
        <v>e</v>
      </c>
      <c r="L46" s="332" t="str">
        <f t="shared" si="14"/>
        <v>d</v>
      </c>
      <c r="M46" s="332" t="str">
        <f t="shared" si="14"/>
        <v>?</v>
      </c>
      <c r="N46" s="332" t="str">
        <f t="shared" si="14"/>
        <v>Y</v>
      </c>
      <c r="O46" s="332" t="str">
        <f t="shared" si="14"/>
        <v>y</v>
      </c>
      <c r="P46" s="332" t="str">
        <f t="shared" si="14"/>
        <v>h</v>
      </c>
      <c r="Q46" s="332" t="str">
        <f t="shared" si="14"/>
        <v>n</v>
      </c>
      <c r="R46" s="332" t="str">
        <f t="shared" si="14"/>
        <v>c</v>
      </c>
      <c r="S46" s="332" t="str">
        <f t="shared" si="14"/>
        <v>R</v>
      </c>
      <c r="T46" s="332" t="str">
        <f t="shared" si="14"/>
        <v>r</v>
      </c>
      <c r="U46" s="332" t="str">
        <f t="shared" si="14"/>
        <v>f</v>
      </c>
      <c r="V46" s="332" t="str">
        <f t="shared" si="14"/>
        <v>v</v>
      </c>
      <c r="W46" s="332" t="str">
        <f t="shared" si="14"/>
        <v>8</v>
      </c>
      <c r="X46" s="332" t="str">
        <f t="shared" si="14"/>
        <v>u</v>
      </c>
      <c r="Y46" s="332" t="str">
        <f t="shared" si="14"/>
        <v>K</v>
      </c>
      <c r="Z46" s="332" t="str">
        <f t="shared" si="14"/>
        <v>j</v>
      </c>
      <c r="AA46" s="332" t="str">
        <f t="shared" si="14"/>
        <v>,</v>
      </c>
      <c r="AB46" s="332" t="str">
        <f t="shared" si="14"/>
        <v>i</v>
      </c>
      <c r="AC46" s="332" t="str">
        <f t="shared" si="14"/>
        <v>k</v>
      </c>
      <c r="AD46" s="332" t="str">
        <f t="shared" si="14"/>
        <v>m</v>
      </c>
      <c r="AE46" s="332" t="str">
        <f t="shared" si="14"/>
        <v>p</v>
      </c>
      <c r="AF46" s="332" t="str">
        <f t="shared" si="14"/>
        <v>/</v>
      </c>
      <c r="AG46" s="332" t="str">
        <f t="shared" si="14"/>
        <v>b</v>
      </c>
      <c r="AH46" s="332" t="str">
        <f t="shared" si="14"/>
        <v>t</v>
      </c>
      <c r="AI46" s="332" t="str">
        <f t="shared" si="14"/>
        <v>g</v>
      </c>
      <c r="AJ46" s="332" t="str">
        <f t="shared" si="14"/>
        <v>z</v>
      </c>
      <c r="AK46" s="332" t="str">
        <f t="shared" si="14"/>
        <v>9</v>
      </c>
      <c r="AL46" s="332" t="str">
        <f t="shared" si="14"/>
        <v>l</v>
      </c>
      <c r="AM46" s="332" t="str">
        <f t="shared" si="14"/>
        <v>M</v>
      </c>
      <c r="AN46" s="332" t="str">
        <f t="shared" si="14"/>
        <v>0</v>
      </c>
      <c r="AO46" s="332" t="str">
        <f t="shared" si="14"/>
        <v>;</v>
      </c>
      <c r="AP46" s="332" t="str">
        <f t="shared" si="14"/>
        <v>O</v>
      </c>
      <c r="AQ46" s="332" t="str">
        <f t="shared" si="14"/>
        <v>o</v>
      </c>
      <c r="AR46" s="332" t="str">
        <f t="shared" si="14"/>
        <v>*</v>
      </c>
      <c r="AS46" s="332" t="str">
        <f t="shared" si="14"/>
        <v>U</v>
      </c>
      <c r="AT46" s="332" t="str">
        <f t="shared" si="14"/>
        <v>J</v>
      </c>
      <c r="AU46" s="332" t="str">
        <f t="shared" si="14"/>
        <v>&lt;</v>
      </c>
      <c r="AV46" s="332" t="str">
        <f t="shared" si="14"/>
        <v>I</v>
      </c>
      <c r="AW46" s="332" t="str">
        <f t="shared" si="14"/>
        <v>(</v>
      </c>
      <c r="AX46" s="332" t="str">
        <f t="shared" si="14"/>
        <v>L</v>
      </c>
      <c r="AY46" s="332" t="str">
        <f t="shared" si="14"/>
        <v/>
      </c>
      <c r="AZ46" s="332" t="str">
        <f t="shared" si="14"/>
        <v/>
      </c>
      <c r="BA46" s="332" t="str">
        <f t="shared" si="14"/>
        <v/>
      </c>
      <c r="BB46" s="332" t="str">
        <f t="shared" si="14"/>
        <v/>
      </c>
      <c r="BC46" s="332" t="str">
        <f t="shared" si="14"/>
        <v/>
      </c>
      <c r="BD46" s="332" t="str">
        <f t="shared" si="14"/>
        <v/>
      </c>
      <c r="BE46" s="332" t="str">
        <f t="shared" si="14"/>
        <v/>
      </c>
      <c r="BF46" s="332" t="str">
        <f t="shared" si="14"/>
        <v/>
      </c>
      <c r="BG46" s="63"/>
      <c r="BJ46" s="83"/>
      <c r="BK46" s="83"/>
      <c r="BL46" s="83"/>
      <c r="BM46" s="447" t="str" cm="1">
        <f t="array" ref="BM46">INDEX($D$18:$BH$18, 1, $BO46)</f>
        <v>ㆲ</v>
      </c>
      <c r="BN46" s="447" t="str" cm="1">
        <f t="array" aca="1" ref="BN46" ca="1">INDIRECT(ADDRESS(17, COLUMN($D$18) + $BO46 - 1))</f>
        <v>o</v>
      </c>
      <c r="BO46" s="39">
        <f t="shared" si="0"/>
        <v>42</v>
      </c>
      <c r="BP46" s="354" t="str">
        <v>ㆲ</v>
      </c>
      <c r="BQ46" s="355" t="str">
        <f xml:space="preserve"> _xlfn.XLOOKUP(BP46, 按鍵設計表[注音符號], 按鍵設計表[聲韻調], "")</f>
        <v>韻</v>
      </c>
      <c r="BR46" s="347" t="str">
        <v>o</v>
      </c>
      <c r="BS46" s="348" t="str">
        <v>H</v>
      </c>
      <c r="BT46" s="349" t="str">
        <v>ong</v>
      </c>
      <c r="BU46" s="356">
        <f t="shared" si="10"/>
        <v>3</v>
      </c>
      <c r="BW46" s="146" t="str">
        <f t="shared" si="11"/>
        <v xml:space="preserve">    "o": { commit: "ㆲ" }  # /ong/ ==&gt; H</v>
      </c>
      <c r="BY46" s="39">
        <f t="shared" si="2"/>
        <v>42</v>
      </c>
      <c r="CG46" s="288" t="str">
        <f t="shared" si="3"/>
        <v/>
      </c>
      <c r="CI46" s="39">
        <f t="shared" si="4"/>
        <v>42</v>
      </c>
      <c r="DA46" s="288" t="str">
        <f t="shared" si="6"/>
        <v/>
      </c>
    </row>
    <row r="47" spans="1:105" ht="45" customHeight="1">
      <c r="B47" s="333" t="str">
        <f t="shared" ref="B47:BF47" si="15" xml:space="preserve"> MID($E$42,B$45,1)</f>
        <v>ㆠ</v>
      </c>
      <c r="C47" s="333" t="str">
        <f t="shared" si="15"/>
        <v>ㄅ</v>
      </c>
      <c r="D47" s="333" t="str">
        <f t="shared" si="15"/>
        <v>ㄆ</v>
      </c>
      <c r="E47" s="333" t="str">
        <f t="shared" si="15"/>
        <v>ㄇ</v>
      </c>
      <c r="F47" s="333" t="str">
        <f t="shared" si="15"/>
        <v>ㄋ</v>
      </c>
      <c r="G47" s="333" t="str">
        <f t="shared" si="15"/>
        <v>ㄉ</v>
      </c>
      <c r="H47" s="333" t="str">
        <f t="shared" si="15"/>
        <v>ㄊ</v>
      </c>
      <c r="I47" s="333" t="str">
        <f t="shared" si="15"/>
        <v>ㄌ</v>
      </c>
      <c r="J47" s="333" t="str">
        <f t="shared" si="15"/>
        <v>ㆣ</v>
      </c>
      <c r="K47" s="333" t="str">
        <f t="shared" si="15"/>
        <v>ㄍ</v>
      </c>
      <c r="L47" s="333" t="str">
        <f t="shared" si="15"/>
        <v>ㄎ</v>
      </c>
      <c r="M47" s="333" t="str">
        <f t="shared" si="15"/>
        <v>ㄫ</v>
      </c>
      <c r="N47" s="333" t="str">
        <f t="shared" si="15"/>
        <v>ㆡ</v>
      </c>
      <c r="O47" s="333" t="str">
        <f t="shared" si="15"/>
        <v>ㄗ</v>
      </c>
      <c r="P47" s="333" t="str">
        <f t="shared" si="15"/>
        <v>ㄘ</v>
      </c>
      <c r="Q47" s="333" t="str">
        <f t="shared" si="15"/>
        <v>ㄙ</v>
      </c>
      <c r="R47" s="333" t="str">
        <f t="shared" si="15"/>
        <v>ㄏ</v>
      </c>
      <c r="S47" s="333" t="str">
        <f t="shared" si="15"/>
        <v>ㆢ</v>
      </c>
      <c r="T47" s="333" t="str">
        <f t="shared" si="15"/>
        <v>ㄐ</v>
      </c>
      <c r="U47" s="333" t="str">
        <f t="shared" si="15"/>
        <v>ㄑ</v>
      </c>
      <c r="V47" s="333" t="str">
        <f t="shared" si="15"/>
        <v>ㄒ</v>
      </c>
      <c r="W47" s="333" t="str">
        <f t="shared" si="15"/>
        <v>ㄚ</v>
      </c>
      <c r="X47" s="333" t="str">
        <f t="shared" si="15"/>
        <v>ㄧ</v>
      </c>
      <c r="Y47" s="333" t="str">
        <f t="shared" si="15"/>
        <v>ㆨ</v>
      </c>
      <c r="Z47" s="333" t="str">
        <f t="shared" si="15"/>
        <v>ㄨ</v>
      </c>
      <c r="AA47" s="333" t="str">
        <f t="shared" si="15"/>
        <v>ㆤ</v>
      </c>
      <c r="AB47" s="333" t="str">
        <f t="shared" si="15"/>
        <v>ㆦ</v>
      </c>
      <c r="AC47" s="333" t="str">
        <f t="shared" si="15"/>
        <v>ㄜ</v>
      </c>
      <c r="AD47" s="333" t="str">
        <f t="shared" si="15"/>
        <v>ㆬ</v>
      </c>
      <c r="AE47" s="333" t="str">
        <f t="shared" si="15"/>
        <v>ㄣ</v>
      </c>
      <c r="AF47" s="333" t="str">
        <f t="shared" si="15"/>
        <v>ㆭ</v>
      </c>
      <c r="AG47" s="333" t="str">
        <f t="shared" si="15"/>
        <v>ㆴ</v>
      </c>
      <c r="AH47" s="333" t="str">
        <f t="shared" si="15"/>
        <v>ㆵ</v>
      </c>
      <c r="AI47" s="333" t="str">
        <f t="shared" si="15"/>
        <v>ㆻ</v>
      </c>
      <c r="AJ47" s="333" t="str">
        <f t="shared" si="15"/>
        <v>ㆻ</v>
      </c>
      <c r="AK47" s="333" t="str">
        <f t="shared" si="15"/>
        <v>ㄞ</v>
      </c>
      <c r="AL47" s="333" t="str">
        <f t="shared" si="15"/>
        <v>ㄠ</v>
      </c>
      <c r="AM47" s="333" t="str">
        <f t="shared" si="15"/>
        <v>ㆰ</v>
      </c>
      <c r="AN47" s="333" t="str">
        <f t="shared" si="15"/>
        <v>ㄢ</v>
      </c>
      <c r="AO47" s="333" t="str">
        <f t="shared" si="15"/>
        <v>ㄤ</v>
      </c>
      <c r="AP47" s="333" t="str">
        <f t="shared" si="15"/>
        <v>ㆱ</v>
      </c>
      <c r="AQ47" s="333" t="str">
        <f t="shared" si="15"/>
        <v>ㆲ</v>
      </c>
      <c r="AR47" s="333" t="str">
        <f t="shared" si="15"/>
        <v>ㆩ</v>
      </c>
      <c r="AS47" s="333" t="str">
        <f t="shared" si="15"/>
        <v>ㆪ</v>
      </c>
      <c r="AT47" s="333" t="str">
        <f t="shared" si="15"/>
        <v>ㆫ</v>
      </c>
      <c r="AU47" s="333" t="str">
        <f t="shared" si="15"/>
        <v>ㆥ</v>
      </c>
      <c r="AV47" s="333" t="str">
        <f t="shared" si="15"/>
        <v>ㆧ</v>
      </c>
      <c r="AW47" s="333" t="str">
        <f t="shared" si="15"/>
        <v>ㆮ</v>
      </c>
      <c r="AX47" s="333" t="str">
        <f t="shared" si="15"/>
        <v>ㆯ</v>
      </c>
      <c r="AY47" s="333" t="str">
        <f t="shared" si="15"/>
        <v/>
      </c>
      <c r="AZ47" s="333" t="str">
        <f t="shared" si="15"/>
        <v/>
      </c>
      <c r="BA47" s="333" t="str">
        <f t="shared" si="15"/>
        <v/>
      </c>
      <c r="BB47" s="333" t="str">
        <f t="shared" si="15"/>
        <v/>
      </c>
      <c r="BC47" s="333" t="str">
        <f t="shared" si="15"/>
        <v/>
      </c>
      <c r="BD47" s="333" t="str">
        <f t="shared" si="15"/>
        <v/>
      </c>
      <c r="BE47" s="333" t="str">
        <f t="shared" si="15"/>
        <v/>
      </c>
      <c r="BF47" s="333" t="str">
        <f t="shared" si="15"/>
        <v/>
      </c>
      <c r="BG47" s="63"/>
      <c r="BJ47" s="83"/>
      <c r="BK47" s="83"/>
      <c r="BL47" s="83"/>
      <c r="BM47" s="447" t="str" cm="1">
        <f t="array" ref="BM47">INDEX($D$18:$BH$18, 1, $BO47)</f>
        <v>ㆩ</v>
      </c>
      <c r="BN47" s="447" t="str" cm="1">
        <f t="array" aca="1" ref="BN47" ca="1">INDIRECT(ADDRESS(17, COLUMN($D$18) + $BO47 - 1))</f>
        <v>*</v>
      </c>
      <c r="BO47" s="39">
        <f t="shared" si="0"/>
        <v>43</v>
      </c>
      <c r="BP47" s="354" t="str">
        <v>ㆩ</v>
      </c>
      <c r="BQ47" s="355" t="str">
        <f xml:space="preserve"> _xlfn.XLOOKUP(BP47, 按鍵設計表[注音符號], 按鍵設計表[聲韻調], "")</f>
        <v>韻</v>
      </c>
      <c r="BR47" s="347" t="str">
        <v>*</v>
      </c>
      <c r="BS47" s="348" t="str">
        <v>La</v>
      </c>
      <c r="BT47" s="349" t="str">
        <v>ann</v>
      </c>
      <c r="BU47" s="356">
        <f t="shared" si="10"/>
        <v>3</v>
      </c>
      <c r="BW47" s="146" t="str">
        <f t="shared" si="11"/>
        <v xml:space="preserve">    "*": { commit: "ㆩ" }  # /ann/ ==&gt; La</v>
      </c>
      <c r="BY47" s="39">
        <f t="shared" si="2"/>
        <v>43</v>
      </c>
      <c r="CG47" s="288" t="str">
        <f t="shared" si="3"/>
        <v/>
      </c>
      <c r="CI47" s="39">
        <f t="shared" si="4"/>
        <v>43</v>
      </c>
      <c r="DA47" s="288" t="str">
        <f t="shared" si="6"/>
        <v/>
      </c>
    </row>
    <row r="48" spans="1:105" ht="45" customHeight="1"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4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J48" s="83"/>
      <c r="BK48" s="83"/>
      <c r="BL48" s="83"/>
      <c r="BM48" s="447" t="str" cm="1">
        <f t="array" ref="BM48">INDEX($D$18:$BH$18, 1, $BO48)</f>
        <v>ㆪ</v>
      </c>
      <c r="BN48" s="447" t="str" cm="1">
        <f t="array" aca="1" ref="BN48" ca="1">INDIRECT(ADDRESS(17, COLUMN($D$18) + $BO48 - 1))</f>
        <v>U</v>
      </c>
      <c r="BO48" s="39">
        <f t="shared" si="0"/>
        <v>44</v>
      </c>
      <c r="BP48" s="354" t="str">
        <v>ㆪ</v>
      </c>
      <c r="BQ48" s="355" t="str">
        <f xml:space="preserve"> _xlfn.XLOOKUP(BP48, 按鍵設計表[注音符號], 按鍵設計表[聲韻調], "")</f>
        <v>韻</v>
      </c>
      <c r="BR48" s="347" t="str">
        <v>U</v>
      </c>
      <c r="BS48" s="348" t="str">
        <v>Li</v>
      </c>
      <c r="BT48" s="349" t="str">
        <v>inn</v>
      </c>
      <c r="BU48" s="356">
        <f t="shared" si="10"/>
        <v>3</v>
      </c>
      <c r="BW48" s="146" t="str">
        <f t="shared" si="11"/>
        <v xml:space="preserve">    "U": { commit: "ㆪ" }  # /inn/ ==&gt; Li</v>
      </c>
      <c r="BY48" s="39">
        <f t="shared" si="2"/>
        <v>44</v>
      </c>
      <c r="CG48" s="288" t="str">
        <f t="shared" si="3"/>
        <v/>
      </c>
      <c r="CI48" s="39">
        <f t="shared" si="4"/>
        <v>44</v>
      </c>
      <c r="DA48" s="288" t="str">
        <f t="shared" si="6"/>
        <v/>
      </c>
    </row>
    <row r="49" spans="2:105" ht="45" customHeight="1">
      <c r="B49" s="76" t="s">
        <v>322</v>
      </c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0"/>
      <c r="AI49" s="60"/>
      <c r="AJ49" s="60"/>
      <c r="AK49" s="83"/>
      <c r="AL49" s="83"/>
      <c r="AM49" s="60"/>
      <c r="AN49" s="83"/>
      <c r="AO49" s="83"/>
      <c r="AP49" s="83"/>
      <c r="AQ49" s="83"/>
      <c r="AR49" s="83"/>
      <c r="AS49" s="83"/>
      <c r="AT49" s="83"/>
      <c r="AU49" s="83"/>
      <c r="AV49" s="83"/>
      <c r="AW49" s="83"/>
      <c r="AX49" s="83"/>
      <c r="AY49" s="83"/>
      <c r="AZ49" s="83"/>
      <c r="BA49" s="83"/>
      <c r="BB49" s="83"/>
      <c r="BC49" s="83"/>
      <c r="BD49" s="83"/>
      <c r="BE49" s="83"/>
      <c r="BF49" s="83"/>
      <c r="BG49" s="60"/>
      <c r="BH49" s="60"/>
      <c r="BI49" s="83"/>
      <c r="BJ49" s="83"/>
      <c r="BK49" s="83"/>
      <c r="BL49" s="83"/>
      <c r="BM49" s="447" t="str" cm="1">
        <f t="array" ref="BM49">INDEX($D$18:$BH$18, 1, $BO49)</f>
        <v>ㆫ</v>
      </c>
      <c r="BN49" s="447" t="str" cm="1">
        <f t="array" aca="1" ref="BN49" ca="1">INDIRECT(ADDRESS(17, COLUMN($D$18) + $BO49 - 1))</f>
        <v>J</v>
      </c>
      <c r="BO49" s="39">
        <f t="shared" si="0"/>
        <v>45</v>
      </c>
      <c r="BP49" s="354" t="str">
        <v>ㆫ</v>
      </c>
      <c r="BQ49" s="355" t="str">
        <f xml:space="preserve"> _xlfn.XLOOKUP(BP49, 按鍵設計表[注音符號], 按鍵設計表[聲韻調], "")</f>
        <v>韻</v>
      </c>
      <c r="BR49" s="347" t="str">
        <v>J</v>
      </c>
      <c r="BS49" s="348" t="str">
        <v>Lu</v>
      </c>
      <c r="BT49" s="349" t="str">
        <v>unn</v>
      </c>
      <c r="BU49" s="356">
        <f t="shared" si="10"/>
        <v>3</v>
      </c>
      <c r="BW49" s="146" t="str">
        <f t="shared" si="11"/>
        <v xml:space="preserve">    "J": { commit: "ㆫ" }  # /unn/ ==&gt; Lu</v>
      </c>
      <c r="BY49" s="39">
        <f t="shared" si="2"/>
        <v>45</v>
      </c>
      <c r="CG49" s="288" t="str">
        <f t="shared" si="3"/>
        <v/>
      </c>
      <c r="CI49" s="39">
        <f t="shared" si="4"/>
        <v>45</v>
      </c>
      <c r="DA49" s="288" t="str">
        <f t="shared" si="6"/>
        <v/>
      </c>
    </row>
    <row r="50" spans="2:105" ht="45" customHeight="1">
      <c r="B50" s="63" t="s">
        <v>8411</v>
      </c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4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0"/>
      <c r="AI50" s="60"/>
      <c r="AJ50" s="60"/>
      <c r="AK50" s="83"/>
      <c r="AL50" s="83"/>
      <c r="AM50" s="83"/>
      <c r="AN50" s="83"/>
      <c r="AO50" s="83"/>
      <c r="AP50" s="83"/>
      <c r="AQ50" s="83"/>
      <c r="AR50" s="83"/>
      <c r="AS50" s="83"/>
      <c r="AT50" s="83"/>
      <c r="AU50" s="83"/>
      <c r="AV50" s="83"/>
      <c r="AW50" s="83"/>
      <c r="AX50" s="83"/>
      <c r="AY50" s="83"/>
      <c r="AZ50" s="83"/>
      <c r="BA50" s="83"/>
      <c r="BB50" s="83"/>
      <c r="BC50" s="83"/>
      <c r="BD50" s="83"/>
      <c r="BE50" s="83"/>
      <c r="BF50" s="83"/>
      <c r="BG50" s="83"/>
      <c r="BH50" s="83"/>
      <c r="BI50" s="83"/>
      <c r="BJ50" s="83"/>
      <c r="BK50" s="83"/>
      <c r="BL50" s="83"/>
      <c r="BM50" s="447" t="str" cm="1">
        <f t="array" ref="BM50">INDEX($D$18:$BH$18, 1, $BO50)</f>
        <v>ㆥ</v>
      </c>
      <c r="BN50" s="447" t="str" cm="1">
        <f t="array" aca="1" ref="BN50" ca="1">INDIRECT(ADDRESS(17, COLUMN($D$18) + $BO50 - 1))</f>
        <v>&lt;</v>
      </c>
      <c r="BO50" s="39">
        <f t="shared" si="0"/>
        <v>46</v>
      </c>
      <c r="BP50" s="354" t="str">
        <v>ㆥ</v>
      </c>
      <c r="BQ50" s="355" t="str">
        <f xml:space="preserve"> _xlfn.XLOOKUP(BP50, 按鍵設計表[注音符號], 按鍵設計表[聲韻調], "")</f>
        <v>韻</v>
      </c>
      <c r="BR50" s="347" t="str">
        <v>&lt;</v>
      </c>
      <c r="BS50" s="348" t="str">
        <v>Le</v>
      </c>
      <c r="BT50" s="349" t="str">
        <v>enn</v>
      </c>
      <c r="BU50" s="356">
        <f t="shared" si="10"/>
        <v>3</v>
      </c>
      <c r="BW50" s="146" t="str">
        <f t="shared" si="11"/>
        <v xml:space="preserve">    "&lt;": { commit: "ㆥ" }  # /enn/ ==&gt; Le</v>
      </c>
      <c r="BY50" s="39">
        <f t="shared" si="2"/>
        <v>46</v>
      </c>
      <c r="CG50" s="288" t="str">
        <f t="shared" si="3"/>
        <v/>
      </c>
      <c r="CI50" s="39">
        <f t="shared" si="4"/>
        <v>46</v>
      </c>
      <c r="DA50" s="288" t="str">
        <f t="shared" si="6"/>
        <v/>
      </c>
    </row>
    <row r="51" spans="2:105" ht="45" customHeight="1">
      <c r="B51" s="77" t="str">
        <f>$B$19</f>
        <v>字典編碼</v>
      </c>
      <c r="C51" s="78"/>
      <c r="D51" s="78">
        <f xml:space="preserve"> LEN(E51)</f>
        <v>47</v>
      </c>
      <c r="E51" s="79" t="str">
        <f xml:space="preserve"> _xlfn.CONCAT(D19:AS19,BA19:BE19)</f>
        <v>bpPmntTlqkKgjzcshJZCSaiwueoøMNGRFQVIUY@AWH07325</v>
      </c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83"/>
      <c r="AL51" s="83"/>
      <c r="AM51" s="83"/>
      <c r="AN51" s="83"/>
      <c r="AO51" s="83"/>
      <c r="AP51" s="83"/>
      <c r="AQ51" s="83"/>
      <c r="AR51" s="83"/>
      <c r="AS51" s="83"/>
      <c r="AT51" s="83"/>
      <c r="AU51" s="83"/>
      <c r="AV51" s="83"/>
      <c r="AW51" s="83"/>
      <c r="AX51" s="83"/>
      <c r="AY51" s="83"/>
      <c r="AZ51" s="83"/>
      <c r="BA51" s="83"/>
      <c r="BB51" s="83"/>
      <c r="BI51" s="83"/>
      <c r="BJ51" s="83"/>
      <c r="BK51" s="83"/>
      <c r="BL51" s="83"/>
      <c r="BM51" s="447" t="str" cm="1">
        <f t="array" ref="BM51">INDEX($D$18:$BH$18, 1, $BO51)</f>
        <v>ㆧ</v>
      </c>
      <c r="BN51" s="447" t="str" cm="1">
        <f t="array" aca="1" ref="BN51" ca="1">INDIRECT(ADDRESS(17, COLUMN($D$18) + $BO51 - 1))</f>
        <v>I</v>
      </c>
      <c r="BO51" s="39">
        <f t="shared" si="0"/>
        <v>47</v>
      </c>
      <c r="BP51" s="354" t="str">
        <v>ㆧ</v>
      </c>
      <c r="BQ51" s="355" t="str">
        <f xml:space="preserve"> _xlfn.XLOOKUP(BP51, 按鍵設計表[注音符號], 按鍵設計表[聲韻調], "")</f>
        <v>韻</v>
      </c>
      <c r="BR51" s="347" t="str">
        <v>I</v>
      </c>
      <c r="BS51" s="348" t="str">
        <v>Lo</v>
      </c>
      <c r="BT51" s="349" t="str">
        <v>onn</v>
      </c>
      <c r="BU51" s="356">
        <f t="shared" si="10"/>
        <v>3</v>
      </c>
      <c r="BW51" s="146" t="str">
        <f t="shared" si="11"/>
        <v xml:space="preserve">    "I": { commit: "ㆧ" }  # /onn/ ==&gt; Lo</v>
      </c>
      <c r="BY51" s="39">
        <f t="shared" si="2"/>
        <v>47</v>
      </c>
      <c r="CG51" s="288" t="str">
        <f t="shared" si="3"/>
        <v/>
      </c>
      <c r="CI51" s="39">
        <f t="shared" si="4"/>
        <v>47</v>
      </c>
      <c r="DA51" s="288" t="str">
        <f t="shared" si="6"/>
        <v/>
      </c>
    </row>
    <row r="52" spans="2:105" ht="45" customHeight="1">
      <c r="B52" s="80" t="s">
        <v>3</v>
      </c>
      <c r="C52" s="81"/>
      <c r="D52" s="81">
        <f>LEN(E52)</f>
        <v>47</v>
      </c>
      <c r="E52" s="80" t="str">
        <f xml:space="preserve"> _xlfn.CONCAT(D18:AS18,BA18:BE18)</f>
        <v>ㆠㄅㄆㄇㄋㄉㄊㄌㆣㄍㄎㄫㆡㄗㄘㄙㄏㆢㄐㄑㄒㄚㄧㆨㄨㆤㆦㄜㆬㄣㆭㆴㆵㆻㆻㄞㄠㆰㄢㄤㆱㆲ˙˫˪ˋˊ</v>
      </c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BI52" s="83"/>
      <c r="BJ52" s="83"/>
      <c r="BK52" s="83"/>
      <c r="BL52" s="83"/>
      <c r="BM52" s="447" t="str" cm="1">
        <f t="array" ref="BM52">INDEX($D$18:$BH$18, 1, $BO52)</f>
        <v>ㆮ</v>
      </c>
      <c r="BN52" s="447" t="str" cm="1">
        <f t="array" aca="1" ref="BN52" ca="1">INDIRECT(ADDRESS(17, COLUMN($D$18) + $BO52 - 1))</f>
        <v>(</v>
      </c>
      <c r="BO52" s="39">
        <f t="shared" si="0"/>
        <v>48</v>
      </c>
      <c r="BP52" s="354" t="str">
        <v>ㆮ</v>
      </c>
      <c r="BQ52" s="355" t="str">
        <f xml:space="preserve"> _xlfn.XLOOKUP(BP52, 按鍵設計表[注音符號], 按鍵設計表[聲韻調], "")</f>
        <v>韻</v>
      </c>
      <c r="BR52" s="347" t="str">
        <v>(</v>
      </c>
      <c r="BS52" s="348" t="str">
        <v>LI</v>
      </c>
      <c r="BT52" s="349" t="str">
        <v>ainn</v>
      </c>
      <c r="BU52" s="356">
        <f t="shared" si="10"/>
        <v>4</v>
      </c>
      <c r="BW52" s="146" t="str">
        <f t="shared" si="11"/>
        <v xml:space="preserve">    "(": { commit: "ㆮ" }  # /ainn/ ==&gt; LI</v>
      </c>
      <c r="BY52" s="39">
        <f t="shared" si="2"/>
        <v>48</v>
      </c>
      <c r="CG52" s="288" t="str">
        <f t="shared" si="3"/>
        <v/>
      </c>
      <c r="CI52" s="39">
        <f t="shared" si="4"/>
        <v>48</v>
      </c>
      <c r="DA52" s="288" t="str">
        <f t="shared" si="6"/>
        <v/>
      </c>
    </row>
    <row r="53" spans="2:105" ht="45" customHeight="1">
      <c r="B53" s="72" t="str">
        <f xml:space="preserve"> "- xlit|" &amp; E51 &amp; "|" &amp; E52 &amp; "|"</f>
        <v>- xlit|bpPmntTlqkKgjzcshJZCSaiwueoøMNGRFQVIUY@AWH07325|ㆠㄅㄆㄇㄋㄉㄊㄌㆣㄍㄎㄫㆡㄗㄘㄙㄏㆢㄐㄑㄒㄚㄧㆨㄨㆤㆦㄜㆬㄣㆭㆴㆵㆻㆻㄞㄠㆰㄢㄤㆱㆲ˙˫˪ˋˊ|</v>
      </c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73"/>
      <c r="AH53" s="73"/>
      <c r="AI53" s="73"/>
      <c r="AJ53" s="73"/>
      <c r="BI53" s="83"/>
      <c r="BJ53" s="83"/>
      <c r="BK53" s="83"/>
      <c r="BL53" s="83"/>
      <c r="BM53" s="447" t="str" cm="1">
        <f t="array" ref="BM53">INDEX($D$18:$BH$18, 1, $BO53)</f>
        <v>ㆯ</v>
      </c>
      <c r="BN53" s="447" t="str" cm="1">
        <f t="array" aca="1" ref="BN53" ca="1">INDIRECT(ADDRESS(17, COLUMN($D$18) + $BO53 - 1))</f>
        <v>L</v>
      </c>
      <c r="BO53" s="39">
        <f t="shared" si="0"/>
        <v>49</v>
      </c>
      <c r="BP53" s="354" t="str">
        <v>ㆯ</v>
      </c>
      <c r="BQ53" s="355" t="str">
        <f xml:space="preserve"> _xlfn.XLOOKUP(BP53, 按鍵設計表[注音符號], 按鍵設計表[聲韻調], "")</f>
        <v>韻</v>
      </c>
      <c r="BR53" s="347" t="str">
        <v>L</v>
      </c>
      <c r="BS53" s="348" t="str">
        <v>LU</v>
      </c>
      <c r="BT53" s="349" t="str">
        <v>aunn</v>
      </c>
      <c r="BU53" s="356">
        <f t="shared" si="10"/>
        <v>4</v>
      </c>
      <c r="BW53" s="146" t="str">
        <f t="shared" si="11"/>
        <v xml:space="preserve">    "L": { commit: "ㆯ" }  # /aunn/ ==&gt; LU</v>
      </c>
      <c r="BY53" s="39">
        <f t="shared" si="2"/>
        <v>49</v>
      </c>
      <c r="CG53" s="288" t="str">
        <f t="shared" si="3"/>
        <v/>
      </c>
      <c r="CI53" s="39">
        <f t="shared" si="4"/>
        <v>49</v>
      </c>
      <c r="DA53" s="288" t="str">
        <f t="shared" si="6"/>
        <v/>
      </c>
    </row>
    <row r="54" spans="2:105" ht="45" customHeight="1">
      <c r="B54" s="74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I54" s="83"/>
      <c r="BJ54" s="83"/>
      <c r="BK54" s="83"/>
      <c r="BL54" s="83"/>
      <c r="BM54" s="447" t="str" cm="1">
        <f t="array" ref="BM54">INDEX($D$18:$BH$18, 1, $BO54)</f>
        <v>˙</v>
      </c>
      <c r="BN54" s="447" cm="1">
        <f t="array" aca="1" ref="BN54" ca="1">INDIRECT(ADDRESS(17, COLUMN($D$18) + $BO54 - 1))</f>
        <v>7</v>
      </c>
      <c r="BO54" s="39">
        <f t="shared" si="0"/>
        <v>50</v>
      </c>
      <c r="BP54" s="354" t="str">
        <v>˙</v>
      </c>
      <c r="BQ54" s="355" t="str">
        <f xml:space="preserve"> _xlfn.XLOOKUP(BP54, 按鍵設計表[注音符號], 按鍵設計表[聲韻調], "")</f>
        <v>調</v>
      </c>
      <c r="BR54" s="347">
        <v>7</v>
      </c>
      <c r="BS54" s="348">
        <v>0</v>
      </c>
      <c r="BT54" s="349">
        <v>0</v>
      </c>
      <c r="BU54" s="356">
        <f t="shared" si="10"/>
        <v>1</v>
      </c>
      <c r="BW54" s="146" t="str">
        <f t="shared" si="11"/>
        <v xml:space="preserve">    "7": { commit: "˙" }  # /0/ ==&gt; 0</v>
      </c>
      <c r="BY54" s="39">
        <f t="shared" si="2"/>
        <v>50</v>
      </c>
      <c r="CG54" s="288" t="str">
        <f t="shared" si="3"/>
        <v/>
      </c>
      <c r="CI54" s="39">
        <f t="shared" si="4"/>
        <v>50</v>
      </c>
      <c r="DA54" s="288" t="str">
        <f t="shared" si="6"/>
        <v/>
      </c>
    </row>
    <row r="55" spans="2:105" ht="45" customHeight="1">
      <c r="B55" s="328">
        <v>1</v>
      </c>
      <c r="C55" s="328">
        <v>2</v>
      </c>
      <c r="D55" s="328">
        <v>3</v>
      </c>
      <c r="E55" s="328">
        <v>4</v>
      </c>
      <c r="F55" s="328">
        <v>5</v>
      </c>
      <c r="G55" s="328">
        <v>6</v>
      </c>
      <c r="H55" s="328">
        <v>7</v>
      </c>
      <c r="I55" s="328">
        <v>8</v>
      </c>
      <c r="J55" s="328">
        <v>9</v>
      </c>
      <c r="K55" s="328">
        <v>10</v>
      </c>
      <c r="L55" s="328">
        <v>11</v>
      </c>
      <c r="M55" s="328">
        <v>12</v>
      </c>
      <c r="N55" s="328">
        <v>13</v>
      </c>
      <c r="O55" s="328">
        <v>14</v>
      </c>
      <c r="P55" s="328">
        <v>15</v>
      </c>
      <c r="Q55" s="328">
        <v>16</v>
      </c>
      <c r="R55" s="328">
        <v>17</v>
      </c>
      <c r="S55" s="329">
        <v>18</v>
      </c>
      <c r="T55" s="328">
        <v>19</v>
      </c>
      <c r="U55" s="328">
        <v>20</v>
      </c>
      <c r="V55" s="328">
        <v>21</v>
      </c>
      <c r="W55" s="328">
        <v>22</v>
      </c>
      <c r="X55" s="328">
        <v>23</v>
      </c>
      <c r="Y55" s="328">
        <v>24</v>
      </c>
      <c r="Z55" s="328">
        <v>25</v>
      </c>
      <c r="AA55" s="328">
        <v>26</v>
      </c>
      <c r="AB55" s="328">
        <v>27</v>
      </c>
      <c r="AC55" s="328">
        <v>28</v>
      </c>
      <c r="AD55" s="328">
        <v>29</v>
      </c>
      <c r="AE55" s="328">
        <v>30</v>
      </c>
      <c r="AF55" s="328">
        <v>31</v>
      </c>
      <c r="AG55" s="328">
        <v>32</v>
      </c>
      <c r="AH55" s="330">
        <v>33</v>
      </c>
      <c r="AI55" s="330">
        <v>34</v>
      </c>
      <c r="AJ55" s="330">
        <v>35</v>
      </c>
      <c r="AK55" s="330">
        <v>36</v>
      </c>
      <c r="AL55" s="331">
        <v>37</v>
      </c>
      <c r="AM55" s="330">
        <v>38</v>
      </c>
      <c r="AN55" s="330">
        <v>39</v>
      </c>
      <c r="AO55" s="330">
        <v>40</v>
      </c>
      <c r="AP55" s="330">
        <v>41</v>
      </c>
      <c r="AQ55" s="330">
        <v>42</v>
      </c>
      <c r="AR55" s="330">
        <v>43</v>
      </c>
      <c r="AS55" s="330">
        <v>44</v>
      </c>
      <c r="AT55" s="330">
        <v>45</v>
      </c>
      <c r="AU55" s="330">
        <v>46</v>
      </c>
      <c r="AV55" s="330">
        <v>47</v>
      </c>
      <c r="AW55" s="330">
        <v>48</v>
      </c>
      <c r="AX55" s="330">
        <v>49</v>
      </c>
      <c r="AY55" s="330">
        <v>50</v>
      </c>
      <c r="AZ55" s="330">
        <v>51</v>
      </c>
      <c r="BA55" s="330">
        <v>52</v>
      </c>
      <c r="BB55" s="330">
        <v>53</v>
      </c>
      <c r="BC55" s="330">
        <v>54</v>
      </c>
      <c r="BD55" s="330">
        <v>55</v>
      </c>
      <c r="BE55" s="330">
        <v>56</v>
      </c>
      <c r="BF55" s="330">
        <v>57</v>
      </c>
      <c r="BI55" s="83"/>
      <c r="BJ55" s="83"/>
      <c r="BK55" s="83"/>
      <c r="BL55" s="83"/>
      <c r="BM55" s="447" t="str" cm="1">
        <f t="array" ref="BM55">INDEX($D$18:$BH$18, 1, $BO55)</f>
        <v>˫</v>
      </c>
      <c r="BN55" s="447" cm="1">
        <f t="array" aca="1" ref="BN55" ca="1">INDIRECT(ADDRESS(17, COLUMN($D$18) + $BO55 - 1))</f>
        <v>5</v>
      </c>
      <c r="BO55" s="39">
        <f t="shared" si="0"/>
        <v>51</v>
      </c>
      <c r="BP55" s="354" t="str">
        <v>˫</v>
      </c>
      <c r="BQ55" s="355" t="str">
        <f xml:space="preserve"> _xlfn.XLOOKUP(BP55, 按鍵設計表[注音符號], 按鍵設計表[聲韻調], "")</f>
        <v>調</v>
      </c>
      <c r="BR55" s="347">
        <v>5</v>
      </c>
      <c r="BS55" s="348">
        <v>7</v>
      </c>
      <c r="BT55" s="349">
        <v>7</v>
      </c>
      <c r="BU55" s="356">
        <f t="shared" si="10"/>
        <v>1</v>
      </c>
      <c r="BW55" s="146" t="str">
        <f t="shared" si="11"/>
        <v xml:space="preserve">    "5": { commit: "˫" }  # /7/ ==&gt; 7</v>
      </c>
      <c r="BY55" s="39">
        <f t="shared" si="2"/>
        <v>51</v>
      </c>
      <c r="CG55" s="288" t="str">
        <f t="shared" si="3"/>
        <v/>
      </c>
      <c r="CI55" s="39">
        <f t="shared" si="4"/>
        <v>51</v>
      </c>
      <c r="DA55" s="288" t="str">
        <f t="shared" si="6"/>
        <v/>
      </c>
    </row>
    <row r="56" spans="2:105" ht="45" customHeight="1">
      <c r="B56" s="332" t="str">
        <f xml:space="preserve"> MID($E$51,B$55,1)</f>
        <v>b</v>
      </c>
      <c r="C56" s="332" t="str">
        <f t="shared" ref="C56:BB56" si="16" xml:space="preserve"> MID($E$51,C$55,1)</f>
        <v>p</v>
      </c>
      <c r="D56" s="332" t="str">
        <f t="shared" si="16"/>
        <v>P</v>
      </c>
      <c r="E56" s="332" t="str">
        <f t="shared" si="16"/>
        <v>m</v>
      </c>
      <c r="F56" s="332" t="str">
        <f t="shared" si="16"/>
        <v>n</v>
      </c>
      <c r="G56" s="332" t="str">
        <f t="shared" si="16"/>
        <v>t</v>
      </c>
      <c r="H56" s="332" t="str">
        <f t="shared" si="16"/>
        <v>T</v>
      </c>
      <c r="I56" s="332" t="str">
        <f t="shared" si="16"/>
        <v>l</v>
      </c>
      <c r="J56" s="332" t="str">
        <f t="shared" si="16"/>
        <v>q</v>
      </c>
      <c r="K56" s="332" t="str">
        <f t="shared" si="16"/>
        <v>k</v>
      </c>
      <c r="L56" s="332" t="str">
        <f t="shared" si="16"/>
        <v>K</v>
      </c>
      <c r="M56" s="332" t="str">
        <f t="shared" si="16"/>
        <v>g</v>
      </c>
      <c r="N56" s="332" t="str">
        <f t="shared" si="16"/>
        <v>j</v>
      </c>
      <c r="O56" s="332" t="str">
        <f t="shared" si="16"/>
        <v>z</v>
      </c>
      <c r="P56" s="332" t="str">
        <f t="shared" si="16"/>
        <v>c</v>
      </c>
      <c r="Q56" s="332" t="str">
        <f t="shared" si="16"/>
        <v>s</v>
      </c>
      <c r="R56" s="332" t="str">
        <f t="shared" si="16"/>
        <v>h</v>
      </c>
      <c r="S56" s="332" t="str">
        <f t="shared" si="16"/>
        <v>J</v>
      </c>
      <c r="T56" s="332" t="str">
        <f t="shared" si="16"/>
        <v>Z</v>
      </c>
      <c r="U56" s="332" t="str">
        <f t="shared" si="16"/>
        <v>C</v>
      </c>
      <c r="V56" s="332" t="str">
        <f t="shared" si="16"/>
        <v>S</v>
      </c>
      <c r="W56" s="332" t="str">
        <f t="shared" si="16"/>
        <v>a</v>
      </c>
      <c r="X56" s="332" t="str">
        <f t="shared" si="16"/>
        <v>i</v>
      </c>
      <c r="Y56" s="332" t="str">
        <f t="shared" si="16"/>
        <v>w</v>
      </c>
      <c r="Z56" s="332" t="str">
        <f t="shared" si="16"/>
        <v>u</v>
      </c>
      <c r="AA56" s="332" t="str">
        <f t="shared" si="16"/>
        <v>e</v>
      </c>
      <c r="AB56" s="332" t="str">
        <f t="shared" si="16"/>
        <v>o</v>
      </c>
      <c r="AC56" s="332" t="str">
        <f t="shared" si="16"/>
        <v>ø</v>
      </c>
      <c r="AD56" s="332" t="str">
        <f t="shared" si="16"/>
        <v>M</v>
      </c>
      <c r="AE56" s="332" t="str">
        <f t="shared" si="16"/>
        <v>N</v>
      </c>
      <c r="AF56" s="332" t="str">
        <f t="shared" si="16"/>
        <v>G</v>
      </c>
      <c r="AG56" s="332" t="str">
        <f t="shared" si="16"/>
        <v>R</v>
      </c>
      <c r="AH56" s="332" t="str">
        <f t="shared" si="16"/>
        <v>F</v>
      </c>
      <c r="AI56" s="332" t="str">
        <f t="shared" si="16"/>
        <v>Q</v>
      </c>
      <c r="AJ56" s="332" t="str">
        <f t="shared" si="16"/>
        <v>V</v>
      </c>
      <c r="AK56" s="332" t="str">
        <f t="shared" si="16"/>
        <v>I</v>
      </c>
      <c r="AL56" s="332" t="str">
        <f t="shared" si="16"/>
        <v>U</v>
      </c>
      <c r="AM56" s="332" t="str">
        <f t="shared" si="16"/>
        <v>Y</v>
      </c>
      <c r="AN56" s="332" t="str">
        <f t="shared" si="16"/>
        <v>@</v>
      </c>
      <c r="AO56" s="332" t="str">
        <f t="shared" si="16"/>
        <v>A</v>
      </c>
      <c r="AP56" s="332" t="str">
        <f t="shared" si="16"/>
        <v>W</v>
      </c>
      <c r="AQ56" s="332" t="str">
        <f t="shared" si="16"/>
        <v>H</v>
      </c>
      <c r="AR56" s="332" t="str">
        <f t="shared" si="16"/>
        <v>0</v>
      </c>
      <c r="AS56" s="332" t="str">
        <f t="shared" si="16"/>
        <v>7</v>
      </c>
      <c r="AT56" s="332" t="str">
        <f t="shared" si="16"/>
        <v>3</v>
      </c>
      <c r="AU56" s="332" t="str">
        <f t="shared" si="16"/>
        <v>2</v>
      </c>
      <c r="AV56" s="332" t="str">
        <f t="shared" si="16"/>
        <v>5</v>
      </c>
      <c r="AW56" s="332" t="str">
        <f t="shared" si="16"/>
        <v/>
      </c>
      <c r="AX56" s="332" t="str">
        <f t="shared" si="16"/>
        <v/>
      </c>
      <c r="AY56" s="332" t="str">
        <f t="shared" si="16"/>
        <v/>
      </c>
      <c r="AZ56" s="332" t="str">
        <f t="shared" si="16"/>
        <v/>
      </c>
      <c r="BA56" s="332" t="str">
        <f t="shared" si="16"/>
        <v/>
      </c>
      <c r="BB56" s="332" t="str">
        <f t="shared" si="16"/>
        <v/>
      </c>
      <c r="BC56" s="332" t="str">
        <f t="shared" ref="BC56:BF56" si="17" xml:space="preserve"> MID($E$41,BC$45,1)</f>
        <v/>
      </c>
      <c r="BD56" s="332" t="str">
        <f t="shared" si="17"/>
        <v/>
      </c>
      <c r="BE56" s="332" t="str">
        <f t="shared" si="17"/>
        <v/>
      </c>
      <c r="BF56" s="332" t="str">
        <f t="shared" si="17"/>
        <v/>
      </c>
      <c r="BG56" s="83"/>
      <c r="BH56" s="83"/>
      <c r="BI56" s="83"/>
      <c r="BJ56" s="83"/>
      <c r="BK56" s="83"/>
      <c r="BL56" s="83"/>
      <c r="BM56" s="447" t="str" cm="1">
        <f t="array" ref="BM56">INDEX($D$18:$BH$18, 1, $BO56)</f>
        <v>˪</v>
      </c>
      <c r="BN56" s="447" cm="1">
        <f t="array" aca="1" ref="BN56" ca="1">INDIRECT(ADDRESS(17, COLUMN($D$18) + $BO56 - 1))</f>
        <v>3</v>
      </c>
      <c r="BO56" s="39">
        <f t="shared" si="0"/>
        <v>52</v>
      </c>
      <c r="BP56" s="354" t="str">
        <v>˪</v>
      </c>
      <c r="BQ56" s="355" t="str">
        <f xml:space="preserve"> _xlfn.XLOOKUP(BP56, 按鍵設計表[注音符號], 按鍵設計表[聲韻調], "")</f>
        <v>調</v>
      </c>
      <c r="BR56" s="347">
        <v>3</v>
      </c>
      <c r="BS56" s="348" t="str">
        <v>3</v>
      </c>
      <c r="BT56" s="349">
        <v>3</v>
      </c>
      <c r="BU56" s="356">
        <f t="shared" si="10"/>
        <v>1</v>
      </c>
      <c r="BW56" s="146" t="str">
        <f t="shared" si="11"/>
        <v xml:space="preserve">    "3": { commit: "˪" }  # /3/ ==&gt; 3</v>
      </c>
      <c r="BY56" s="39">
        <f t="shared" si="2"/>
        <v>52</v>
      </c>
      <c r="CI56" s="39">
        <f t="shared" si="4"/>
        <v>52</v>
      </c>
    </row>
    <row r="57" spans="2:105" ht="45" customHeight="1">
      <c r="B57" s="333" t="str">
        <f xml:space="preserve"> MID($E$52,B$55,1)</f>
        <v>ㆠ</v>
      </c>
      <c r="C57" s="333" t="str">
        <f t="shared" ref="C57:BB57" si="18" xml:space="preserve"> MID($E$52,C$55,1)</f>
        <v>ㄅ</v>
      </c>
      <c r="D57" s="333" t="str">
        <f t="shared" si="18"/>
        <v>ㄆ</v>
      </c>
      <c r="E57" s="333" t="str">
        <f t="shared" si="18"/>
        <v>ㄇ</v>
      </c>
      <c r="F57" s="333" t="str">
        <f t="shared" si="18"/>
        <v>ㄋ</v>
      </c>
      <c r="G57" s="333" t="str">
        <f t="shared" si="18"/>
        <v>ㄉ</v>
      </c>
      <c r="H57" s="333" t="str">
        <f t="shared" si="18"/>
        <v>ㄊ</v>
      </c>
      <c r="I57" s="333" t="str">
        <f t="shared" si="18"/>
        <v>ㄌ</v>
      </c>
      <c r="J57" s="333" t="str">
        <f t="shared" si="18"/>
        <v>ㆣ</v>
      </c>
      <c r="K57" s="333" t="str">
        <f t="shared" si="18"/>
        <v>ㄍ</v>
      </c>
      <c r="L57" s="333" t="str">
        <f t="shared" si="18"/>
        <v>ㄎ</v>
      </c>
      <c r="M57" s="333" t="str">
        <f t="shared" si="18"/>
        <v>ㄫ</v>
      </c>
      <c r="N57" s="333" t="str">
        <f t="shared" si="18"/>
        <v>ㆡ</v>
      </c>
      <c r="O57" s="333" t="str">
        <f t="shared" si="18"/>
        <v>ㄗ</v>
      </c>
      <c r="P57" s="333" t="str">
        <f t="shared" si="18"/>
        <v>ㄘ</v>
      </c>
      <c r="Q57" s="333" t="str">
        <f t="shared" si="18"/>
        <v>ㄙ</v>
      </c>
      <c r="R57" s="333" t="str">
        <f t="shared" si="18"/>
        <v>ㄏ</v>
      </c>
      <c r="S57" s="333" t="str">
        <f t="shared" si="18"/>
        <v>ㆢ</v>
      </c>
      <c r="T57" s="333" t="str">
        <f t="shared" si="18"/>
        <v>ㄐ</v>
      </c>
      <c r="U57" s="333" t="str">
        <f t="shared" si="18"/>
        <v>ㄑ</v>
      </c>
      <c r="V57" s="333" t="str">
        <f t="shared" si="18"/>
        <v>ㄒ</v>
      </c>
      <c r="W57" s="333" t="str">
        <f t="shared" si="18"/>
        <v>ㄚ</v>
      </c>
      <c r="X57" s="333" t="str">
        <f t="shared" si="18"/>
        <v>ㄧ</v>
      </c>
      <c r="Y57" s="333" t="str">
        <f t="shared" si="18"/>
        <v>ㆨ</v>
      </c>
      <c r="Z57" s="333" t="str">
        <f t="shared" si="18"/>
        <v>ㄨ</v>
      </c>
      <c r="AA57" s="333" t="str">
        <f t="shared" si="18"/>
        <v>ㆤ</v>
      </c>
      <c r="AB57" s="333" t="str">
        <f t="shared" si="18"/>
        <v>ㆦ</v>
      </c>
      <c r="AC57" s="333" t="str">
        <f t="shared" si="18"/>
        <v>ㄜ</v>
      </c>
      <c r="AD57" s="333" t="str">
        <f t="shared" si="18"/>
        <v>ㆬ</v>
      </c>
      <c r="AE57" s="333" t="str">
        <f t="shared" si="18"/>
        <v>ㄣ</v>
      </c>
      <c r="AF57" s="333" t="str">
        <f t="shared" si="18"/>
        <v>ㆭ</v>
      </c>
      <c r="AG57" s="333" t="str">
        <f t="shared" si="18"/>
        <v>ㆴ</v>
      </c>
      <c r="AH57" s="333" t="str">
        <f t="shared" si="18"/>
        <v>ㆵ</v>
      </c>
      <c r="AI57" s="333" t="str">
        <f t="shared" si="18"/>
        <v>ㆻ</v>
      </c>
      <c r="AJ57" s="333" t="str">
        <f t="shared" si="18"/>
        <v>ㆻ</v>
      </c>
      <c r="AK57" s="333" t="str">
        <f t="shared" si="18"/>
        <v>ㄞ</v>
      </c>
      <c r="AL57" s="333" t="str">
        <f t="shared" si="18"/>
        <v>ㄠ</v>
      </c>
      <c r="AM57" s="333" t="str">
        <f t="shared" si="18"/>
        <v>ㆰ</v>
      </c>
      <c r="AN57" s="333" t="str">
        <f t="shared" si="18"/>
        <v>ㄢ</v>
      </c>
      <c r="AO57" s="333" t="str">
        <f t="shared" si="18"/>
        <v>ㄤ</v>
      </c>
      <c r="AP57" s="333" t="str">
        <f t="shared" si="18"/>
        <v>ㆱ</v>
      </c>
      <c r="AQ57" s="333" t="str">
        <f t="shared" si="18"/>
        <v>ㆲ</v>
      </c>
      <c r="AR57" s="333" t="str">
        <f t="shared" si="18"/>
        <v>˙</v>
      </c>
      <c r="AS57" s="333" t="str">
        <f t="shared" si="18"/>
        <v>˫</v>
      </c>
      <c r="AT57" s="333" t="str">
        <f t="shared" si="18"/>
        <v>˪</v>
      </c>
      <c r="AU57" s="333" t="str">
        <f t="shared" si="18"/>
        <v>ˋ</v>
      </c>
      <c r="AV57" s="333" t="str">
        <f t="shared" si="18"/>
        <v>ˊ</v>
      </c>
      <c r="AW57" s="333" t="str">
        <f t="shared" si="18"/>
        <v/>
      </c>
      <c r="AX57" s="333" t="str">
        <f t="shared" si="18"/>
        <v/>
      </c>
      <c r="AY57" s="333" t="str">
        <f t="shared" si="18"/>
        <v/>
      </c>
      <c r="AZ57" s="333" t="str">
        <f t="shared" si="18"/>
        <v/>
      </c>
      <c r="BA57" s="333" t="str">
        <f t="shared" si="18"/>
        <v/>
      </c>
      <c r="BB57" s="333" t="str">
        <f t="shared" si="18"/>
        <v/>
      </c>
      <c r="BC57" s="333" t="str">
        <f t="shared" ref="BC57:BF57" si="19" xml:space="preserve"> MID($E$42,BC$45,1)</f>
        <v/>
      </c>
      <c r="BD57" s="333" t="str">
        <f t="shared" si="19"/>
        <v/>
      </c>
      <c r="BE57" s="333" t="str">
        <f t="shared" si="19"/>
        <v/>
      </c>
      <c r="BF57" s="333" t="str">
        <f t="shared" si="19"/>
        <v/>
      </c>
      <c r="BG57" s="83"/>
      <c r="BH57" s="83"/>
      <c r="BI57" s="83"/>
      <c r="BJ57" s="83"/>
      <c r="BK57" s="83"/>
      <c r="BL57" s="83"/>
      <c r="BM57" s="447" t="str" cm="1">
        <f t="array" ref="BM57">INDEX($D$18:$BH$18, 1, $BO57)</f>
        <v>ˋ</v>
      </c>
      <c r="BN57" s="447" cm="1">
        <f t="array" aca="1" ref="BN57" ca="1">INDIRECT(ADDRESS(17, COLUMN($D$18) + $BO57 - 1))</f>
        <v>4</v>
      </c>
      <c r="BO57" s="39">
        <f t="shared" si="0"/>
        <v>53</v>
      </c>
      <c r="BP57" s="354" t="str">
        <v>ˋ</v>
      </c>
      <c r="BQ57" s="355" t="str">
        <f xml:space="preserve"> _xlfn.XLOOKUP(BP57, 按鍵設計表[注音符號], 按鍵設計表[聲韻調], "")</f>
        <v>調</v>
      </c>
      <c r="BR57" s="347">
        <v>4</v>
      </c>
      <c r="BS57" s="348" t="str">
        <v>2</v>
      </c>
      <c r="BT57" s="349">
        <v>2</v>
      </c>
      <c r="BU57" s="356">
        <f t="shared" si="10"/>
        <v>1</v>
      </c>
      <c r="BW57" s="146" t="str">
        <f t="shared" si="11"/>
        <v xml:space="preserve">    "4": { commit: "ˋ" }  # /2/ ==&gt; 2</v>
      </c>
      <c r="BY57" s="39">
        <f t="shared" si="2"/>
        <v>53</v>
      </c>
      <c r="CI57" s="39">
        <f t="shared" si="4"/>
        <v>53</v>
      </c>
    </row>
    <row r="58" spans="2:105" ht="45" customHeight="1"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3"/>
      <c r="AW58" s="83"/>
      <c r="AX58" s="83"/>
      <c r="AY58" s="83"/>
      <c r="AZ58" s="83" t="str">
        <f xml:space="preserve"> MID($E$52,AZ$55,1)</f>
        <v/>
      </c>
      <c r="BA58" s="83"/>
      <c r="BB58" s="83"/>
      <c r="BC58" s="83"/>
      <c r="BD58" s="83"/>
      <c r="BE58" s="83"/>
      <c r="BF58" s="83"/>
      <c r="BG58" s="83"/>
      <c r="BH58" s="83"/>
      <c r="BI58" s="83"/>
      <c r="BJ58" s="83"/>
      <c r="BK58" s="83"/>
      <c r="BL58" s="83"/>
      <c r="BM58" s="447" t="str" cm="1">
        <f t="array" ref="BM58">INDEX($D$18:$BH$18, 1, $BO58)</f>
        <v>ˊ</v>
      </c>
      <c r="BN58" s="447" cm="1">
        <f t="array" aca="1" ref="BN58" ca="1">INDIRECT(ADDRESS(17, COLUMN($D$18) + $BO58 - 1))</f>
        <v>6</v>
      </c>
      <c r="BO58" s="39">
        <f t="shared" si="0"/>
        <v>54</v>
      </c>
      <c r="BP58" s="354" t="str">
        <v>ˊ</v>
      </c>
      <c r="BQ58" s="355" t="str">
        <f xml:space="preserve"> _xlfn.XLOOKUP(BP58, 按鍵設計表[注音符號], 按鍵設計表[聲韻調], "")</f>
        <v>調</v>
      </c>
      <c r="BR58" s="347">
        <v>6</v>
      </c>
      <c r="BS58" s="348" t="str">
        <v>5</v>
      </c>
      <c r="BT58" s="349">
        <v>5</v>
      </c>
      <c r="BU58" s="356">
        <f t="shared" si="10"/>
        <v>1</v>
      </c>
      <c r="BW58" s="146" t="str">
        <f t="shared" si="11"/>
        <v xml:space="preserve">    "6": { commit: "ˊ" }  # /5/ ==&gt; 5</v>
      </c>
      <c r="BY58" s="39">
        <f t="shared" si="2"/>
        <v>54</v>
      </c>
      <c r="CI58" s="39">
        <f t="shared" si="4"/>
        <v>54</v>
      </c>
    </row>
    <row r="59" spans="2:105" ht="38.1" customHeight="1">
      <c r="AK59" s="83"/>
      <c r="AL59" s="83"/>
      <c r="AM59" s="83"/>
      <c r="AN59" s="83"/>
      <c r="AO59" s="83"/>
      <c r="AP59" s="83"/>
      <c r="AQ59" s="83"/>
      <c r="AR59" s="83"/>
      <c r="AS59" s="83"/>
      <c r="AT59" s="83"/>
      <c r="AU59" s="83"/>
      <c r="AV59" s="83"/>
      <c r="AW59" s="83"/>
      <c r="AX59" s="83"/>
      <c r="AY59" s="83"/>
      <c r="AZ59" s="83"/>
      <c r="BA59" s="83"/>
      <c r="BB59" s="83"/>
      <c r="BC59" s="83"/>
      <c r="BD59" s="83"/>
      <c r="BE59" s="83"/>
      <c r="BF59" s="83"/>
      <c r="BG59" s="83"/>
      <c r="BH59" s="83"/>
      <c r="BI59" s="83"/>
      <c r="BJ59" s="83"/>
      <c r="BK59" s="83"/>
      <c r="BL59" s="83"/>
      <c r="BM59" s="447" t="str" cm="1">
        <f t="array" ref="BM59">INDEX($D$18:$BH$18, 1, $BO59)</f>
        <v>ㄥ</v>
      </c>
      <c r="BN59" s="447" t="str" cm="1">
        <f t="array" aca="1" ref="BN59" ca="1">INDIRECT(ADDRESS(17, COLUMN($D$18) + $BO59 - 1))</f>
        <v>N</v>
      </c>
      <c r="BO59" s="39">
        <f t="shared" si="0"/>
        <v>55</v>
      </c>
      <c r="BP59" s="354" t="str">
        <v>ㄥ</v>
      </c>
      <c r="BQ59" s="355" t="str">
        <f xml:space="preserve"> _xlfn.XLOOKUP(BP59, 按鍵設計表[注音符號], 按鍵設計表[聲韻調], "")</f>
        <v/>
      </c>
      <c r="BR59" s="347" t="str">
        <v>N</v>
      </c>
      <c r="BS59" s="348" t="str">
        <v>*</v>
      </c>
      <c r="BT59" s="349">
        <v>0</v>
      </c>
      <c r="BU59" s="356">
        <f t="shared" si="10"/>
        <v>1</v>
      </c>
      <c r="BW59" s="146" t="str">
        <f t="shared" si="11"/>
        <v xml:space="preserve">    "N": { commit: "ㄥ" }  # /0/ ==&gt; *</v>
      </c>
      <c r="BY59" s="39">
        <f t="shared" si="2"/>
        <v>55</v>
      </c>
      <c r="CI59" s="39">
        <f t="shared" si="4"/>
        <v>55</v>
      </c>
    </row>
    <row r="60" spans="2:105" ht="38.1" customHeight="1"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3"/>
      <c r="AV60" s="83"/>
      <c r="AW60" s="83"/>
      <c r="AX60" s="83"/>
      <c r="AY60" s="83"/>
      <c r="AZ60" s="83"/>
      <c r="BA60" s="83"/>
      <c r="BB60" s="83"/>
      <c r="BC60" s="83"/>
      <c r="BD60" s="83"/>
      <c r="BE60" s="83"/>
      <c r="BF60" s="83"/>
      <c r="BG60" s="83"/>
      <c r="BH60" s="83"/>
      <c r="BI60" s="83"/>
      <c r="BJ60" s="83"/>
      <c r="BK60" s="83"/>
      <c r="BL60" s="83"/>
      <c r="BM60" s="447" t="str" cm="1">
        <f t="array" ref="BM60">INDEX($D$18:$BH$18, 1, $BO60)</f>
        <v>入</v>
      </c>
      <c r="BN60" s="447" t="str" cm="1">
        <f t="array" aca="1" ref="BN60" ca="1">INDIRECT(ADDRESS(17, COLUMN($D$18) + $BO60 - 1))</f>
        <v>.</v>
      </c>
      <c r="BO60" s="39">
        <f t="shared" si="0"/>
        <v>56</v>
      </c>
      <c r="BP60" s="354" t="str">
        <v>入</v>
      </c>
      <c r="BQ60" s="355" t="str">
        <f xml:space="preserve"> _xlfn.XLOOKUP(BP60, 按鍵設計表[注音符號], 按鍵設計表[聲韻調], "")</f>
        <v/>
      </c>
      <c r="BR60" s="347" t="str">
        <v>.</v>
      </c>
      <c r="BS60" s="348" t="str">
        <v>&amp;</v>
      </c>
      <c r="BT60" s="349">
        <v>0</v>
      </c>
      <c r="BU60" s="356">
        <f t="shared" si="10"/>
        <v>1</v>
      </c>
      <c r="BW60" s="146" t="str">
        <f t="shared" si="11"/>
        <v xml:space="preserve">    ".": { commit: "入" }  # /0/ ==&gt; &amp;</v>
      </c>
      <c r="BY60" s="39">
        <f t="shared" si="2"/>
        <v>56</v>
      </c>
      <c r="CI60" s="39">
        <f t="shared" si="4"/>
        <v>56</v>
      </c>
    </row>
    <row r="61" spans="2:105" ht="45.75"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83"/>
      <c r="AW61" s="83"/>
      <c r="AX61" s="83"/>
      <c r="AY61" s="83"/>
      <c r="AZ61" s="83"/>
      <c r="BA61" s="83"/>
      <c r="BB61" s="83"/>
      <c r="BC61" s="83"/>
      <c r="BD61" s="83"/>
      <c r="BE61" s="83"/>
      <c r="BF61" s="83"/>
      <c r="BG61" s="83"/>
      <c r="BH61" s="83"/>
      <c r="BI61" s="83"/>
      <c r="BJ61" s="83"/>
      <c r="BK61" s="83"/>
      <c r="BL61" s="83"/>
      <c r="BM61" s="447" t="str" cm="1">
        <f t="array" ref="BM61">INDEX($D$18:$BH$18, 1, $BO61)</f>
        <v>ñ</v>
      </c>
      <c r="BN61" s="447" t="str" cm="1">
        <f t="array" aca="1" ref="BN61" ca="1">INDIRECT(ADDRESS(17, COLUMN($D$18) + $BO61 - 1))</f>
        <v>-</v>
      </c>
      <c r="BO61" s="39">
        <f t="shared" si="0"/>
        <v>57</v>
      </c>
      <c r="BP61" s="357" t="str">
        <v>ñ</v>
      </c>
      <c r="BQ61" s="355" t="str">
        <f xml:space="preserve"> _xlfn.XLOOKUP(BP61, 按鍵設計表[注音符號], 按鍵設計表[聲韻調], "")</f>
        <v/>
      </c>
      <c r="BR61" s="307" t="str">
        <v>-</v>
      </c>
      <c r="BS61" s="7">
        <v>0</v>
      </c>
      <c r="BT61" s="8">
        <v>0</v>
      </c>
      <c r="BU61" s="308">
        <f t="shared" si="10"/>
        <v>1</v>
      </c>
      <c r="BW61" s="146" t="str">
        <f t="shared" si="11"/>
        <v xml:space="preserve">    "-": { commit: "ñ" }  # /0/ ==&gt; 0</v>
      </c>
      <c r="BY61" s="39">
        <f t="shared" si="2"/>
        <v>57</v>
      </c>
      <c r="CI61" s="39">
        <f t="shared" si="4"/>
        <v>57</v>
      </c>
    </row>
    <row r="62" spans="2:105"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3"/>
      <c r="AV62" s="83"/>
      <c r="AW62" s="83"/>
      <c r="AX62" s="83"/>
      <c r="AY62" s="83"/>
      <c r="AZ62" s="83"/>
      <c r="BA62" s="83"/>
      <c r="BB62" s="83"/>
      <c r="BC62" s="83"/>
      <c r="BD62" s="83"/>
      <c r="BE62" s="83"/>
      <c r="BF62" s="83"/>
      <c r="BG62" s="83"/>
      <c r="BH62" s="83"/>
      <c r="BI62" s="83"/>
      <c r="BJ62" s="83"/>
      <c r="BK62" s="83"/>
      <c r="BL62" s="83"/>
      <c r="BM62" s="83"/>
    </row>
    <row r="63" spans="2:105"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83"/>
      <c r="AW63" s="83"/>
      <c r="AX63" s="83"/>
      <c r="AY63" s="83"/>
      <c r="AZ63" s="83"/>
      <c r="BA63" s="83"/>
      <c r="BB63" s="83"/>
      <c r="BC63" s="83"/>
      <c r="BD63" s="83"/>
      <c r="BE63" s="83"/>
      <c r="BF63" s="83"/>
      <c r="BG63" s="83"/>
      <c r="BH63" s="83"/>
      <c r="BI63" s="83"/>
      <c r="BJ63" s="83"/>
      <c r="BK63" s="83"/>
      <c r="BL63" s="83"/>
      <c r="BM63" s="83"/>
    </row>
    <row r="64" spans="2:105"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83"/>
      <c r="AX64" s="83"/>
      <c r="AY64" s="83"/>
      <c r="AZ64" s="83"/>
      <c r="BA64" s="83"/>
      <c r="BB64" s="83"/>
      <c r="BC64" s="83"/>
      <c r="BD64" s="83"/>
      <c r="BE64" s="83"/>
      <c r="BF64" s="83"/>
      <c r="BG64" s="83"/>
      <c r="BH64" s="83"/>
      <c r="BI64" s="83"/>
    </row>
    <row r="65" spans="2:61"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83"/>
      <c r="BG65" s="83"/>
      <c r="BH65" s="83"/>
      <c r="BI65" s="83"/>
    </row>
    <row r="66" spans="2:61"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3"/>
      <c r="AV66" s="83"/>
      <c r="AW66" s="83"/>
      <c r="AX66" s="83"/>
      <c r="AY66" s="83"/>
      <c r="AZ66" s="83"/>
      <c r="BA66" s="83"/>
      <c r="BB66" s="83"/>
      <c r="BC66" s="83"/>
      <c r="BD66" s="83"/>
      <c r="BE66" s="83"/>
      <c r="BF66" s="83"/>
      <c r="BG66" s="83"/>
      <c r="BH66" s="83"/>
      <c r="BI66" s="83"/>
    </row>
    <row r="67" spans="2:61"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83"/>
      <c r="AO67" s="83"/>
      <c r="AP67" s="83"/>
      <c r="AQ67" s="83"/>
      <c r="AR67" s="83"/>
      <c r="AS67" s="83"/>
      <c r="AT67" s="83"/>
      <c r="AU67" s="83"/>
      <c r="AV67" s="83"/>
      <c r="AW67" s="83"/>
      <c r="AX67" s="83"/>
      <c r="AY67" s="83"/>
      <c r="AZ67" s="83"/>
      <c r="BA67" s="83"/>
      <c r="BB67" s="83"/>
      <c r="BC67" s="83"/>
      <c r="BD67" s="83"/>
      <c r="BE67" s="83"/>
      <c r="BF67" s="83"/>
      <c r="BG67" s="83"/>
      <c r="BH67" s="83"/>
      <c r="BI67" s="83"/>
    </row>
    <row r="68" spans="2:61"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</row>
    <row r="69" spans="2:61"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3"/>
      <c r="BG69" s="83"/>
      <c r="BH69" s="83"/>
    </row>
    <row r="70" spans="2:61"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  <c r="AM70" s="83"/>
      <c r="AN70" s="83"/>
      <c r="AO70" s="83"/>
      <c r="AP70" s="83"/>
      <c r="AQ70" s="83"/>
      <c r="AR70" s="83"/>
      <c r="AS70" s="83"/>
      <c r="AT70" s="83"/>
      <c r="AU70" s="83"/>
      <c r="AV70" s="83"/>
      <c r="AW70" s="83"/>
      <c r="AX70" s="83"/>
      <c r="AY70" s="83"/>
      <c r="AZ70" s="83"/>
      <c r="BA70" s="83"/>
      <c r="BB70" s="83"/>
      <c r="BC70" s="83"/>
      <c r="BD70" s="83"/>
      <c r="BE70" s="83"/>
      <c r="BF70" s="83"/>
      <c r="BG70" s="83"/>
      <c r="BH70" s="83"/>
    </row>
    <row r="71" spans="2:61"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  <c r="AN71" s="83"/>
      <c r="AO71" s="83"/>
      <c r="AP71" s="83"/>
      <c r="AQ71" s="83"/>
      <c r="AR71" s="83"/>
      <c r="AS71" s="83"/>
      <c r="AT71" s="83"/>
      <c r="AU71" s="83"/>
      <c r="AV71" s="83"/>
      <c r="AW71" s="83"/>
      <c r="AX71" s="83"/>
      <c r="AY71" s="83"/>
      <c r="AZ71" s="83"/>
      <c r="BA71" s="83"/>
      <c r="BB71" s="83"/>
      <c r="BG71" s="83"/>
      <c r="BH71" s="83"/>
    </row>
    <row r="72" spans="2:61">
      <c r="AH72" s="83"/>
      <c r="AI72" s="83"/>
      <c r="AJ72" s="83"/>
      <c r="BG72" s="83"/>
      <c r="BH72" s="83"/>
    </row>
    <row r="73" spans="2:61">
      <c r="AH73" s="83"/>
      <c r="AI73" s="83"/>
      <c r="AJ73" s="83"/>
      <c r="BG73" s="83"/>
      <c r="BH73" s="83"/>
    </row>
    <row r="74" spans="2:61">
      <c r="AH74" s="83"/>
      <c r="AI74" s="83"/>
      <c r="AJ74" s="83"/>
      <c r="BG74" s="83"/>
      <c r="BH74" s="83"/>
    </row>
    <row r="75" spans="2:61">
      <c r="AH75" s="83"/>
      <c r="AI75" s="83"/>
      <c r="AJ75" s="83"/>
    </row>
  </sheetData>
  <mergeCells count="2">
    <mergeCell ref="Y6:Z6"/>
    <mergeCell ref="AC9:AD9"/>
  </mergeCells>
  <phoneticPr fontId="7" type="noConversion"/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ABDF3-1F23-4E51-B2DB-48C93A757991}">
  <dimension ref="A1:AH27"/>
  <sheetViews>
    <sheetView workbookViewId="0"/>
  </sheetViews>
  <sheetFormatPr defaultColWidth="4.296875" defaultRowHeight="25.5"/>
  <cols>
    <col min="1" max="29" width="4.296875" style="336"/>
    <col min="30" max="30" width="8.3984375" style="336" customWidth="1"/>
    <col min="31" max="16384" width="4.296875" style="336"/>
  </cols>
  <sheetData>
    <row r="1" spans="1:34">
      <c r="A1" s="340" t="str">
        <f t="shared" ref="A1:Z1" si="0" xml:space="preserve"> CHAR(A8)</f>
        <v>a</v>
      </c>
      <c r="B1" s="338" t="str">
        <f t="shared" si="0"/>
        <v>b</v>
      </c>
      <c r="C1" s="337" t="str">
        <f t="shared" si="0"/>
        <v>c</v>
      </c>
      <c r="D1" s="336" t="str">
        <f t="shared" si="0"/>
        <v>d</v>
      </c>
      <c r="E1" s="340" t="str">
        <f t="shared" si="0"/>
        <v>e</v>
      </c>
      <c r="F1" s="346" t="str">
        <f t="shared" si="0"/>
        <v>f</v>
      </c>
      <c r="G1" s="338" t="str">
        <f t="shared" si="0"/>
        <v>g</v>
      </c>
      <c r="H1" s="340" t="str">
        <f t="shared" si="0"/>
        <v>h</v>
      </c>
      <c r="I1" s="340" t="str">
        <f t="shared" si="0"/>
        <v>i</v>
      </c>
      <c r="J1" s="337" t="str">
        <f t="shared" si="0"/>
        <v>j</v>
      </c>
      <c r="K1" s="338" t="str">
        <f t="shared" si="0"/>
        <v>k</v>
      </c>
      <c r="L1" s="340" t="str">
        <f t="shared" si="0"/>
        <v>l</v>
      </c>
      <c r="M1" s="338" t="str">
        <f t="shared" si="0"/>
        <v>m</v>
      </c>
      <c r="N1" s="340" t="str">
        <f t="shared" si="0"/>
        <v>n</v>
      </c>
      <c r="O1" s="340" t="str">
        <f t="shared" si="0"/>
        <v>o</v>
      </c>
      <c r="P1" s="338" t="str">
        <f t="shared" si="0"/>
        <v>p</v>
      </c>
      <c r="Q1" s="346" t="str">
        <f t="shared" si="0"/>
        <v>q</v>
      </c>
      <c r="R1" s="346" t="str">
        <f t="shared" si="0"/>
        <v>r</v>
      </c>
      <c r="S1" s="337" t="str">
        <f t="shared" si="0"/>
        <v>s</v>
      </c>
      <c r="T1" s="340" t="str">
        <f t="shared" si="0"/>
        <v>t</v>
      </c>
      <c r="U1" s="340" t="str">
        <f t="shared" si="0"/>
        <v>u</v>
      </c>
      <c r="V1" s="346" t="str">
        <f t="shared" si="0"/>
        <v>v</v>
      </c>
      <c r="W1" s="338" t="str">
        <f t="shared" si="0"/>
        <v>w</v>
      </c>
      <c r="X1" s="344" t="str">
        <f t="shared" si="0"/>
        <v>x</v>
      </c>
      <c r="Y1" s="344" t="str">
        <f t="shared" si="0"/>
        <v>y</v>
      </c>
      <c r="Z1" s="337" t="str">
        <f t="shared" si="0"/>
        <v>z</v>
      </c>
      <c r="AC1" s="336" t="s">
        <v>38</v>
      </c>
      <c r="AD1" s="336" t="s">
        <v>38</v>
      </c>
      <c r="AG1" s="336" t="s">
        <v>8412</v>
      </c>
      <c r="AH1" s="336" t="s">
        <v>326</v>
      </c>
    </row>
    <row r="2" spans="1:34">
      <c r="A2" s="340" t="str">
        <f t="shared" ref="A2:Z2" si="1" xml:space="preserve"> CHAR(A9)</f>
        <v>A</v>
      </c>
      <c r="B2" s="336" t="str">
        <f t="shared" si="1"/>
        <v>B</v>
      </c>
      <c r="C2" s="337" t="str">
        <f t="shared" si="1"/>
        <v>C</v>
      </c>
      <c r="D2" s="336" t="str">
        <f t="shared" si="1"/>
        <v>D</v>
      </c>
      <c r="E2" s="340" t="str">
        <f t="shared" si="1"/>
        <v>E</v>
      </c>
      <c r="F2" s="346" t="str">
        <f t="shared" si="1"/>
        <v>F</v>
      </c>
      <c r="G2" s="336" t="str">
        <f t="shared" si="1"/>
        <v>G</v>
      </c>
      <c r="H2" s="345" t="str">
        <f t="shared" si="1"/>
        <v>H</v>
      </c>
      <c r="I2" s="340" t="str">
        <f t="shared" si="1"/>
        <v>I</v>
      </c>
      <c r="J2" s="337" t="str">
        <f t="shared" si="1"/>
        <v>J</v>
      </c>
      <c r="K2" s="338" t="str">
        <f t="shared" si="1"/>
        <v>K</v>
      </c>
      <c r="L2" s="342" t="str">
        <f t="shared" si="1"/>
        <v>L</v>
      </c>
      <c r="M2" s="343" t="str">
        <f t="shared" si="1"/>
        <v>M</v>
      </c>
      <c r="N2" s="343" t="str">
        <f t="shared" si="1"/>
        <v>N</v>
      </c>
      <c r="O2" s="341" t="str">
        <f t="shared" si="1"/>
        <v>O</v>
      </c>
      <c r="P2" s="338" t="str">
        <f t="shared" si="1"/>
        <v>P</v>
      </c>
      <c r="Q2" s="341" t="str">
        <f t="shared" si="1"/>
        <v>Q</v>
      </c>
      <c r="R2" s="346" t="str">
        <f t="shared" si="1"/>
        <v>R</v>
      </c>
      <c r="S2" s="337" t="str">
        <f t="shared" si="1"/>
        <v>S</v>
      </c>
      <c r="T2" s="340" t="str">
        <f t="shared" si="1"/>
        <v>T</v>
      </c>
      <c r="U2" s="340" t="str">
        <f t="shared" si="1"/>
        <v>U</v>
      </c>
      <c r="V2" s="345" t="str">
        <f t="shared" si="1"/>
        <v>V</v>
      </c>
      <c r="W2" s="343" t="str">
        <f t="shared" si="1"/>
        <v>W</v>
      </c>
      <c r="X2" s="344" t="str">
        <f t="shared" si="1"/>
        <v>X</v>
      </c>
      <c r="Y2" s="344" t="str">
        <f t="shared" si="1"/>
        <v>Y</v>
      </c>
      <c r="Z2" s="337" t="str">
        <f t="shared" si="1"/>
        <v>Z</v>
      </c>
      <c r="AC2" s="336" t="s">
        <v>232</v>
      </c>
      <c r="AD2" s="336" t="s">
        <v>8414</v>
      </c>
      <c r="AG2" s="336" t="s">
        <v>235</v>
      </c>
      <c r="AH2" s="339" t="s">
        <v>49</v>
      </c>
    </row>
    <row r="3" spans="1:34">
      <c r="AC3" s="336" t="s">
        <v>34</v>
      </c>
      <c r="AD3" s="336" t="s">
        <v>34</v>
      </c>
      <c r="AG3" s="336" t="s">
        <v>8418</v>
      </c>
      <c r="AH3" s="339" t="s">
        <v>51</v>
      </c>
    </row>
    <row r="4" spans="1:34">
      <c r="AC4" s="336" t="s">
        <v>143</v>
      </c>
      <c r="AD4" s="336" t="s">
        <v>8415</v>
      </c>
      <c r="AG4" s="336" t="s">
        <v>8419</v>
      </c>
      <c r="AH4" s="339" t="s">
        <v>52</v>
      </c>
    </row>
    <row r="5" spans="1:34">
      <c r="AC5" s="336" t="s">
        <v>36</v>
      </c>
      <c r="AD5" s="336" t="s">
        <v>36</v>
      </c>
    </row>
    <row r="6" spans="1:34">
      <c r="AC6" s="336" t="s">
        <v>139</v>
      </c>
      <c r="AD6" s="336" t="s">
        <v>8416</v>
      </c>
    </row>
    <row r="7" spans="1:34">
      <c r="AC7" s="336" t="s">
        <v>40</v>
      </c>
      <c r="AD7" s="336" t="s">
        <v>40</v>
      </c>
    </row>
    <row r="8" spans="1:34">
      <c r="A8" s="336">
        <v>97</v>
      </c>
      <c r="B8" s="336">
        <f>A8+1</f>
        <v>98</v>
      </c>
      <c r="C8" s="336">
        <f t="shared" ref="C8:Z9" si="2">B8+1</f>
        <v>99</v>
      </c>
      <c r="D8" s="336">
        <f t="shared" si="2"/>
        <v>100</v>
      </c>
      <c r="E8" s="336">
        <f t="shared" si="2"/>
        <v>101</v>
      </c>
      <c r="F8" s="336">
        <f t="shared" si="2"/>
        <v>102</v>
      </c>
      <c r="G8" s="336">
        <f t="shared" si="2"/>
        <v>103</v>
      </c>
      <c r="H8" s="336">
        <f t="shared" si="2"/>
        <v>104</v>
      </c>
      <c r="I8" s="336">
        <f t="shared" si="2"/>
        <v>105</v>
      </c>
      <c r="J8" s="336">
        <f t="shared" si="2"/>
        <v>106</v>
      </c>
      <c r="K8" s="336">
        <f t="shared" si="2"/>
        <v>107</v>
      </c>
      <c r="L8" s="336">
        <f t="shared" si="2"/>
        <v>108</v>
      </c>
      <c r="M8" s="336">
        <f t="shared" si="2"/>
        <v>109</v>
      </c>
      <c r="N8" s="336">
        <f t="shared" si="2"/>
        <v>110</v>
      </c>
      <c r="O8" s="336">
        <f t="shared" si="2"/>
        <v>111</v>
      </c>
      <c r="P8" s="336">
        <f t="shared" si="2"/>
        <v>112</v>
      </c>
      <c r="Q8" s="336">
        <f t="shared" si="2"/>
        <v>113</v>
      </c>
      <c r="R8" s="336">
        <f t="shared" si="2"/>
        <v>114</v>
      </c>
      <c r="S8" s="336">
        <f t="shared" si="2"/>
        <v>115</v>
      </c>
      <c r="T8" s="336">
        <f t="shared" si="2"/>
        <v>116</v>
      </c>
      <c r="U8" s="336">
        <f t="shared" si="2"/>
        <v>117</v>
      </c>
      <c r="V8" s="336">
        <f t="shared" si="2"/>
        <v>118</v>
      </c>
      <c r="W8" s="336">
        <f t="shared" si="2"/>
        <v>119</v>
      </c>
      <c r="X8" s="336">
        <f t="shared" si="2"/>
        <v>120</v>
      </c>
      <c r="Y8" s="336">
        <f t="shared" si="2"/>
        <v>121</v>
      </c>
      <c r="Z8" s="336">
        <f t="shared" si="2"/>
        <v>122</v>
      </c>
      <c r="AC8" s="336" t="s">
        <v>240</v>
      </c>
      <c r="AD8" s="336" t="s">
        <v>8417</v>
      </c>
    </row>
    <row r="9" spans="1:34">
      <c r="A9" s="336">
        <v>65</v>
      </c>
      <c r="B9" s="336">
        <f>A9+1</f>
        <v>66</v>
      </c>
      <c r="C9" s="336">
        <f t="shared" si="2"/>
        <v>67</v>
      </c>
      <c r="D9" s="336">
        <f t="shared" si="2"/>
        <v>68</v>
      </c>
      <c r="E9" s="336">
        <f t="shared" si="2"/>
        <v>69</v>
      </c>
      <c r="F9" s="336">
        <f t="shared" si="2"/>
        <v>70</v>
      </c>
      <c r="G9" s="336">
        <f t="shared" si="2"/>
        <v>71</v>
      </c>
      <c r="H9" s="336">
        <f t="shared" si="2"/>
        <v>72</v>
      </c>
      <c r="I9" s="336">
        <f t="shared" si="2"/>
        <v>73</v>
      </c>
      <c r="J9" s="336">
        <f t="shared" si="2"/>
        <v>74</v>
      </c>
      <c r="K9" s="336">
        <f t="shared" si="2"/>
        <v>75</v>
      </c>
      <c r="L9" s="336">
        <f t="shared" si="2"/>
        <v>76</v>
      </c>
      <c r="M9" s="336">
        <f t="shared" si="2"/>
        <v>77</v>
      </c>
      <c r="N9" s="336">
        <f t="shared" si="2"/>
        <v>78</v>
      </c>
      <c r="O9" s="336">
        <f t="shared" si="2"/>
        <v>79</v>
      </c>
      <c r="P9" s="336">
        <f t="shared" si="2"/>
        <v>80</v>
      </c>
      <c r="Q9" s="336">
        <f t="shared" si="2"/>
        <v>81</v>
      </c>
      <c r="R9" s="336">
        <f t="shared" si="2"/>
        <v>82</v>
      </c>
      <c r="S9" s="336">
        <f t="shared" si="2"/>
        <v>83</v>
      </c>
      <c r="T9" s="336">
        <f t="shared" si="2"/>
        <v>84</v>
      </c>
      <c r="U9" s="336">
        <f t="shared" si="2"/>
        <v>85</v>
      </c>
      <c r="V9" s="336">
        <f t="shared" si="2"/>
        <v>86</v>
      </c>
      <c r="W9" s="336">
        <f t="shared" si="2"/>
        <v>87</v>
      </c>
      <c r="X9" s="336">
        <f t="shared" si="2"/>
        <v>88</v>
      </c>
      <c r="Y9" s="336">
        <f t="shared" si="2"/>
        <v>89</v>
      </c>
      <c r="Z9" s="336">
        <f t="shared" si="2"/>
        <v>90</v>
      </c>
      <c r="AC9" s="336" t="s">
        <v>45</v>
      </c>
      <c r="AD9" s="336" t="s">
        <v>44</v>
      </c>
    </row>
    <row r="10" spans="1:34">
      <c r="AC10" s="336" t="s">
        <v>229</v>
      </c>
      <c r="AD10" s="336" t="s">
        <v>8413</v>
      </c>
    </row>
    <row r="11" spans="1:34">
      <c r="AC11" s="336" t="s">
        <v>42</v>
      </c>
      <c r="AD11" s="336" t="s">
        <v>42</v>
      </c>
    </row>
    <row r="12" spans="1:34">
      <c r="AC12" s="336" t="s">
        <v>274</v>
      </c>
      <c r="AD12" s="336" t="s">
        <v>8418</v>
      </c>
    </row>
    <row r="13" spans="1:34">
      <c r="AC13" s="336" t="s">
        <v>237</v>
      </c>
      <c r="AD13" s="336" t="s">
        <v>46</v>
      </c>
    </row>
    <row r="14" spans="1:34">
      <c r="AC14" s="336" t="s">
        <v>238</v>
      </c>
      <c r="AD14" s="336" t="s">
        <v>8421</v>
      </c>
    </row>
    <row r="15" spans="1:34">
      <c r="AC15" s="336" t="s">
        <v>220</v>
      </c>
      <c r="AD15" s="336" t="s">
        <v>8420</v>
      </c>
    </row>
    <row r="16" spans="1:34">
      <c r="AC16" s="336" t="s">
        <v>222</v>
      </c>
      <c r="AD16" s="336" t="s">
        <v>8422</v>
      </c>
    </row>
    <row r="18" spans="29:30">
      <c r="AC18" s="336" t="s">
        <v>249</v>
      </c>
      <c r="AD18" s="336" t="s">
        <v>65</v>
      </c>
    </row>
    <row r="19" spans="29:30">
      <c r="AC19" s="336" t="s">
        <v>233</v>
      </c>
      <c r="AD19" s="336" t="s">
        <v>67</v>
      </c>
    </row>
    <row r="20" spans="29:30">
      <c r="AC20" s="336" t="s">
        <v>223</v>
      </c>
      <c r="AD20" s="336" t="s">
        <v>71</v>
      </c>
    </row>
    <row r="21" spans="29:30">
      <c r="AC21" s="336" t="s">
        <v>247</v>
      </c>
      <c r="AD21" s="336" t="s">
        <v>88</v>
      </c>
    </row>
    <row r="22" spans="29:30">
      <c r="AC22" s="336" t="s">
        <v>253</v>
      </c>
      <c r="AD22" s="336" t="s">
        <v>69</v>
      </c>
    </row>
    <row r="24" spans="29:30">
      <c r="AC24" s="336" t="s">
        <v>246</v>
      </c>
      <c r="AD24" s="336" t="s">
        <v>8368</v>
      </c>
    </row>
    <row r="25" spans="29:30">
      <c r="AC25" s="336" t="s">
        <v>248</v>
      </c>
      <c r="AD25" s="336" t="s">
        <v>8366</v>
      </c>
    </row>
    <row r="26" spans="29:30">
      <c r="AC26" s="336" t="s">
        <v>8423</v>
      </c>
      <c r="AD26" s="336" t="s">
        <v>8367</v>
      </c>
    </row>
    <row r="27" spans="29:30">
      <c r="AC27" s="336" t="s">
        <v>252</v>
      </c>
      <c r="AD27" s="336" t="s">
        <v>531</v>
      </c>
    </row>
  </sheetData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8DD27-9E54-49AB-BE5E-44388DFBFE0B}">
  <sheetPr>
    <tabColor theme="9"/>
  </sheetPr>
  <dimension ref="B2:J58"/>
  <sheetViews>
    <sheetView workbookViewId="0"/>
  </sheetViews>
  <sheetFormatPr defaultRowHeight="21"/>
  <cols>
    <col min="1" max="2" width="6.3984375" style="177" customWidth="1"/>
    <col min="3" max="5" width="7.8984375" style="177" customWidth="1"/>
    <col min="6" max="6" width="10.296875" style="177" customWidth="1"/>
    <col min="7" max="9" width="7.8984375" style="177" customWidth="1"/>
    <col min="10" max="10" width="114.296875" style="211" customWidth="1"/>
    <col min="11" max="15" width="6.3984375" style="177" customWidth="1"/>
    <col min="16" max="16384" width="8.796875" style="177"/>
  </cols>
  <sheetData>
    <row r="2" spans="2:10">
      <c r="B2" s="242" t="s">
        <v>2</v>
      </c>
      <c r="C2" s="243" t="s">
        <v>1</v>
      </c>
      <c r="D2" s="243" t="s">
        <v>8217</v>
      </c>
      <c r="E2" s="243" t="s">
        <v>8218</v>
      </c>
      <c r="F2" s="244" t="s">
        <v>3</v>
      </c>
      <c r="G2" s="244" t="s">
        <v>8219</v>
      </c>
      <c r="H2" s="244" t="s">
        <v>210</v>
      </c>
      <c r="I2" s="244" t="s">
        <v>8220</v>
      </c>
      <c r="J2" s="244" t="s">
        <v>8221</v>
      </c>
    </row>
    <row r="3" spans="2:10" ht="32.25" customHeight="1">
      <c r="B3" s="178">
        <f t="shared" ref="B3:B48" si="0">ROW() - 2</f>
        <v>1</v>
      </c>
      <c r="C3" s="179" t="s">
        <v>213</v>
      </c>
      <c r="D3" s="180" t="s">
        <v>134</v>
      </c>
      <c r="E3" s="181" t="s">
        <v>134</v>
      </c>
      <c r="F3" s="224" t="s">
        <v>5</v>
      </c>
      <c r="G3" s="224" t="s">
        <v>345</v>
      </c>
      <c r="H3" s="224" t="s">
        <v>134</v>
      </c>
      <c r="I3" s="224" t="s">
        <v>123</v>
      </c>
      <c r="J3" s="225"/>
    </row>
    <row r="4" spans="2:10" ht="32.25" customHeight="1">
      <c r="B4" s="182">
        <f t="shared" si="0"/>
        <v>2</v>
      </c>
      <c r="C4" s="183" t="s">
        <v>228</v>
      </c>
      <c r="D4" s="184" t="s">
        <v>123</v>
      </c>
      <c r="E4" s="185" t="s">
        <v>123</v>
      </c>
      <c r="F4" s="226" t="s">
        <v>9</v>
      </c>
      <c r="G4" s="224" t="s">
        <v>345</v>
      </c>
      <c r="H4" s="226" t="s">
        <v>123</v>
      </c>
      <c r="I4" s="226" t="s">
        <v>509</v>
      </c>
      <c r="J4" s="227"/>
    </row>
    <row r="5" spans="2:10" ht="32.25" customHeight="1">
      <c r="B5" s="182">
        <f t="shared" si="0"/>
        <v>3</v>
      </c>
      <c r="C5" s="183" t="s">
        <v>209</v>
      </c>
      <c r="D5" s="184" t="s">
        <v>231</v>
      </c>
      <c r="E5" s="185" t="s">
        <v>8222</v>
      </c>
      <c r="F5" s="226" t="s">
        <v>7</v>
      </c>
      <c r="G5" s="224" t="s">
        <v>345</v>
      </c>
      <c r="H5" s="226" t="s">
        <v>227</v>
      </c>
      <c r="I5" s="226" t="s">
        <v>134</v>
      </c>
      <c r="J5" s="227"/>
    </row>
    <row r="6" spans="2:10" ht="32.25" customHeight="1">
      <c r="B6" s="186">
        <f t="shared" si="0"/>
        <v>4</v>
      </c>
      <c r="C6" s="187" t="s">
        <v>208</v>
      </c>
      <c r="D6" s="188" t="s">
        <v>96</v>
      </c>
      <c r="E6" s="189" t="s">
        <v>96</v>
      </c>
      <c r="F6" s="228" t="s">
        <v>54</v>
      </c>
      <c r="G6" s="224" t="s">
        <v>345</v>
      </c>
      <c r="H6" s="228" t="s">
        <v>96</v>
      </c>
      <c r="I6" s="228" t="s">
        <v>96</v>
      </c>
      <c r="J6" s="229" t="s">
        <v>8223</v>
      </c>
    </row>
    <row r="7" spans="2:10" ht="32.25" customHeight="1">
      <c r="B7" s="178">
        <f t="shared" si="0"/>
        <v>5</v>
      </c>
      <c r="C7" s="179" t="s">
        <v>206</v>
      </c>
      <c r="D7" s="180" t="s">
        <v>12</v>
      </c>
      <c r="E7" s="181" t="s">
        <v>12</v>
      </c>
      <c r="F7" s="224" t="s">
        <v>11</v>
      </c>
      <c r="G7" s="224" t="s">
        <v>345</v>
      </c>
      <c r="H7" s="224" t="s">
        <v>12</v>
      </c>
      <c r="I7" s="224" t="s">
        <v>184</v>
      </c>
      <c r="J7" s="225"/>
    </row>
    <row r="8" spans="2:10" ht="32.25" customHeight="1">
      <c r="B8" s="182">
        <f t="shared" si="0"/>
        <v>6</v>
      </c>
      <c r="C8" s="183" t="s">
        <v>203</v>
      </c>
      <c r="D8" s="184" t="s">
        <v>234</v>
      </c>
      <c r="E8" s="185" t="s">
        <v>8224</v>
      </c>
      <c r="F8" s="226" t="s">
        <v>13</v>
      </c>
      <c r="G8" s="224" t="s">
        <v>345</v>
      </c>
      <c r="H8" s="226" t="s">
        <v>14</v>
      </c>
      <c r="I8" s="226" t="s">
        <v>12</v>
      </c>
      <c r="J8" s="227"/>
    </row>
    <row r="9" spans="2:10" ht="32.25" customHeight="1">
      <c r="B9" s="182">
        <f t="shared" si="0"/>
        <v>7</v>
      </c>
      <c r="C9" s="183" t="s">
        <v>201</v>
      </c>
      <c r="D9" s="184" t="s">
        <v>16</v>
      </c>
      <c r="E9" s="185" t="s">
        <v>16</v>
      </c>
      <c r="F9" s="226" t="s">
        <v>15</v>
      </c>
      <c r="G9" s="224" t="s">
        <v>345</v>
      </c>
      <c r="H9" s="226" t="s">
        <v>16</v>
      </c>
      <c r="I9" s="226" t="s">
        <v>16</v>
      </c>
      <c r="J9" s="229" t="s">
        <v>8225</v>
      </c>
    </row>
    <row r="10" spans="2:10" ht="32.25" customHeight="1">
      <c r="B10" s="186">
        <f t="shared" si="0"/>
        <v>8</v>
      </c>
      <c r="C10" s="187" t="s">
        <v>197</v>
      </c>
      <c r="D10" s="188" t="s">
        <v>57</v>
      </c>
      <c r="E10" s="189" t="s">
        <v>57</v>
      </c>
      <c r="F10" s="228" t="s">
        <v>56</v>
      </c>
      <c r="G10" s="224" t="s">
        <v>345</v>
      </c>
      <c r="H10" s="228" t="s">
        <v>57</v>
      </c>
      <c r="I10" s="228" t="s">
        <v>57</v>
      </c>
      <c r="J10" s="229"/>
    </row>
    <row r="11" spans="2:10" ht="32.25" customHeight="1">
      <c r="B11" s="178">
        <f t="shared" si="0"/>
        <v>9</v>
      </c>
      <c r="C11" s="179" t="s">
        <v>195</v>
      </c>
      <c r="D11" s="180" t="s">
        <v>18</v>
      </c>
      <c r="E11" s="181" t="s">
        <v>18</v>
      </c>
      <c r="F11" s="224" t="s">
        <v>17</v>
      </c>
      <c r="G11" s="224" t="s">
        <v>345</v>
      </c>
      <c r="H11" s="224" t="s">
        <v>18</v>
      </c>
      <c r="I11" s="224" t="s">
        <v>119</v>
      </c>
      <c r="J11" s="225"/>
    </row>
    <row r="12" spans="2:10" ht="32.25" customHeight="1">
      <c r="B12" s="182">
        <f t="shared" si="0"/>
        <v>10</v>
      </c>
      <c r="C12" s="183" t="s">
        <v>191</v>
      </c>
      <c r="D12" s="184" t="s">
        <v>119</v>
      </c>
      <c r="E12" s="185" t="s">
        <v>119</v>
      </c>
      <c r="F12" s="226" t="s">
        <v>21</v>
      </c>
      <c r="G12" s="224" t="s">
        <v>345</v>
      </c>
      <c r="H12" s="226" t="s">
        <v>119</v>
      </c>
      <c r="I12" s="226" t="s">
        <v>511</v>
      </c>
      <c r="J12" s="227"/>
    </row>
    <row r="13" spans="2:10" ht="32.25" customHeight="1">
      <c r="B13" s="182">
        <f t="shared" si="0"/>
        <v>11</v>
      </c>
      <c r="C13" s="183" t="s">
        <v>184</v>
      </c>
      <c r="D13" s="184" t="s">
        <v>242</v>
      </c>
      <c r="E13" s="185" t="s">
        <v>8226</v>
      </c>
      <c r="F13" s="226" t="s">
        <v>19</v>
      </c>
      <c r="G13" s="224" t="s">
        <v>345</v>
      </c>
      <c r="H13" s="226" t="s">
        <v>239</v>
      </c>
      <c r="I13" s="226" t="s">
        <v>18</v>
      </c>
      <c r="J13" s="227"/>
    </row>
    <row r="14" spans="2:10" ht="32.25" customHeight="1">
      <c r="B14" s="186">
        <f t="shared" si="0"/>
        <v>12</v>
      </c>
      <c r="C14" s="190" t="s">
        <v>119</v>
      </c>
      <c r="D14" s="191" t="s">
        <v>203</v>
      </c>
      <c r="E14" s="189" t="s">
        <v>8227</v>
      </c>
      <c r="F14" s="230" t="s">
        <v>58</v>
      </c>
      <c r="G14" s="224" t="s">
        <v>345</v>
      </c>
      <c r="H14" s="230" t="s">
        <v>94</v>
      </c>
      <c r="I14" s="230" t="s">
        <v>94</v>
      </c>
      <c r="J14" s="229" t="s">
        <v>8228</v>
      </c>
    </row>
    <row r="15" spans="2:10" ht="32.25" customHeight="1">
      <c r="B15" s="178">
        <f t="shared" si="0"/>
        <v>13</v>
      </c>
      <c r="C15" s="192" t="s">
        <v>180</v>
      </c>
      <c r="D15" s="193" t="s">
        <v>241</v>
      </c>
      <c r="E15" s="181" t="s">
        <v>241</v>
      </c>
      <c r="F15" s="231" t="s">
        <v>31</v>
      </c>
      <c r="G15" s="224" t="s">
        <v>345</v>
      </c>
      <c r="H15" s="231" t="s">
        <v>241</v>
      </c>
      <c r="I15" s="231" t="s">
        <v>241</v>
      </c>
      <c r="J15" s="232"/>
    </row>
    <row r="16" spans="2:10" ht="32.25" customHeight="1">
      <c r="B16" s="178">
        <f t="shared" si="0"/>
        <v>14</v>
      </c>
      <c r="C16" s="194" t="s">
        <v>255</v>
      </c>
      <c r="D16" s="195" t="s">
        <v>256</v>
      </c>
      <c r="E16" s="181" t="s">
        <v>8229</v>
      </c>
      <c r="F16" s="233" t="s">
        <v>60</v>
      </c>
      <c r="G16" s="224" t="s">
        <v>345</v>
      </c>
      <c r="H16" s="233" t="s">
        <v>8230</v>
      </c>
      <c r="I16" s="233" t="s">
        <v>254</v>
      </c>
      <c r="J16" s="234"/>
    </row>
    <row r="17" spans="2:10" ht="32.25" customHeight="1">
      <c r="B17" s="182">
        <f t="shared" si="0"/>
        <v>15</v>
      </c>
      <c r="C17" s="183" t="s">
        <v>97</v>
      </c>
      <c r="D17" s="184" t="s">
        <v>147</v>
      </c>
      <c r="E17" s="185" t="s">
        <v>8231</v>
      </c>
      <c r="F17" s="226" t="s">
        <v>77</v>
      </c>
      <c r="G17" s="224" t="s">
        <v>345</v>
      </c>
      <c r="H17" s="226" t="s">
        <v>254</v>
      </c>
      <c r="I17" s="226" t="s">
        <v>8232</v>
      </c>
      <c r="J17" s="227"/>
    </row>
    <row r="18" spans="2:10" ht="32.25" customHeight="1">
      <c r="B18" s="182">
        <f t="shared" si="0"/>
        <v>16</v>
      </c>
      <c r="C18" s="196" t="s">
        <v>257</v>
      </c>
      <c r="D18" s="197" t="s">
        <v>258</v>
      </c>
      <c r="E18" s="185" t="s">
        <v>8233</v>
      </c>
      <c r="F18" s="235" t="s">
        <v>62</v>
      </c>
      <c r="G18" s="224" t="s">
        <v>345</v>
      </c>
      <c r="H18" s="235" t="s">
        <v>8234</v>
      </c>
      <c r="I18" s="235" t="s">
        <v>244</v>
      </c>
      <c r="J18" s="236"/>
    </row>
    <row r="19" spans="2:10" ht="32.25" customHeight="1">
      <c r="B19" s="186">
        <f t="shared" si="0"/>
        <v>17</v>
      </c>
      <c r="C19" s="190" t="s">
        <v>315</v>
      </c>
      <c r="D19" s="191" t="s">
        <v>259</v>
      </c>
      <c r="E19" s="189" t="s">
        <v>8235</v>
      </c>
      <c r="F19" s="230" t="s">
        <v>167</v>
      </c>
      <c r="G19" s="224" t="s">
        <v>345</v>
      </c>
      <c r="H19" s="230" t="s">
        <v>245</v>
      </c>
      <c r="I19" s="230" t="s">
        <v>8236</v>
      </c>
      <c r="J19" s="237"/>
    </row>
    <row r="20" spans="2:10" ht="32.25" customHeight="1">
      <c r="B20" s="178">
        <f t="shared" si="0"/>
        <v>18</v>
      </c>
      <c r="C20" s="194" t="s">
        <v>323</v>
      </c>
      <c r="D20" s="195" t="s">
        <v>116</v>
      </c>
      <c r="E20" s="181" t="s">
        <v>24</v>
      </c>
      <c r="F20" s="233" t="s">
        <v>23</v>
      </c>
      <c r="G20" s="224" t="s">
        <v>345</v>
      </c>
      <c r="H20" s="233" t="s">
        <v>24</v>
      </c>
      <c r="I20" s="233" t="s">
        <v>116</v>
      </c>
      <c r="J20" s="234"/>
    </row>
    <row r="21" spans="2:10" ht="32.25" customHeight="1">
      <c r="B21" s="182">
        <f t="shared" si="0"/>
        <v>19</v>
      </c>
      <c r="C21" s="183" t="s">
        <v>123</v>
      </c>
      <c r="D21" s="184" t="s">
        <v>150</v>
      </c>
      <c r="E21" s="185" t="s">
        <v>8237</v>
      </c>
      <c r="F21" s="226" t="s">
        <v>27</v>
      </c>
      <c r="G21" s="224" t="s">
        <v>345</v>
      </c>
      <c r="H21" s="226" t="s">
        <v>150</v>
      </c>
      <c r="I21" s="226" t="s">
        <v>514</v>
      </c>
      <c r="J21" s="227"/>
    </row>
    <row r="22" spans="2:10" ht="32.25" customHeight="1">
      <c r="B22" s="182">
        <f t="shared" si="0"/>
        <v>20</v>
      </c>
      <c r="C22" s="196" t="s">
        <v>241</v>
      </c>
      <c r="D22" s="197" t="s">
        <v>180</v>
      </c>
      <c r="E22" s="185" t="s">
        <v>8238</v>
      </c>
      <c r="F22" s="235" t="s">
        <v>25</v>
      </c>
      <c r="G22" s="224" t="s">
        <v>345</v>
      </c>
      <c r="H22" s="235" t="s">
        <v>8239</v>
      </c>
      <c r="I22" s="235" t="s">
        <v>180</v>
      </c>
      <c r="J22" s="236"/>
    </row>
    <row r="23" spans="2:10" ht="32.25" customHeight="1">
      <c r="B23" s="186">
        <f t="shared" si="0"/>
        <v>21</v>
      </c>
      <c r="C23" s="190" t="s">
        <v>16</v>
      </c>
      <c r="D23" s="191" t="s">
        <v>201</v>
      </c>
      <c r="E23" s="189" t="s">
        <v>201</v>
      </c>
      <c r="F23" s="230" t="s">
        <v>29</v>
      </c>
      <c r="G23" s="224" t="s">
        <v>345</v>
      </c>
      <c r="H23" s="230" t="s">
        <v>201</v>
      </c>
      <c r="I23" s="230" t="s">
        <v>201</v>
      </c>
      <c r="J23" s="237"/>
    </row>
    <row r="24" spans="2:10" ht="32.25" customHeight="1">
      <c r="B24" s="198">
        <f t="shared" si="0"/>
        <v>22</v>
      </c>
      <c r="C24" s="179" t="s">
        <v>324</v>
      </c>
      <c r="D24" s="180" t="s">
        <v>208</v>
      </c>
      <c r="E24" s="199" t="s">
        <v>208</v>
      </c>
      <c r="F24" s="224" t="s">
        <v>37</v>
      </c>
      <c r="G24" s="224" t="s">
        <v>380</v>
      </c>
      <c r="H24" s="224" t="s">
        <v>208</v>
      </c>
      <c r="I24" s="224" t="s">
        <v>208</v>
      </c>
      <c r="J24" s="225"/>
    </row>
    <row r="25" spans="2:10" ht="32.25" customHeight="1">
      <c r="B25" s="200">
        <f t="shared" si="0"/>
        <v>23</v>
      </c>
      <c r="C25" s="183" t="s">
        <v>165</v>
      </c>
      <c r="D25" s="184" t="s">
        <v>333</v>
      </c>
      <c r="E25" s="201" t="s">
        <v>8240</v>
      </c>
      <c r="F25" s="226" t="s">
        <v>81</v>
      </c>
      <c r="G25" s="224" t="s">
        <v>380</v>
      </c>
      <c r="H25" s="226" t="s">
        <v>163</v>
      </c>
      <c r="I25" s="226" t="s">
        <v>163</v>
      </c>
      <c r="J25" s="227"/>
    </row>
    <row r="26" spans="2:10" ht="32.25" customHeight="1">
      <c r="B26" s="202">
        <f t="shared" si="0"/>
        <v>24</v>
      </c>
      <c r="C26" s="183" t="s">
        <v>126</v>
      </c>
      <c r="D26" s="184" t="s">
        <v>164</v>
      </c>
      <c r="E26" s="201" t="s">
        <v>164</v>
      </c>
      <c r="F26" s="226" t="s">
        <v>33</v>
      </c>
      <c r="G26" s="224" t="s">
        <v>380</v>
      </c>
      <c r="H26" s="226" t="s">
        <v>164</v>
      </c>
      <c r="I26" s="226" t="s">
        <v>164</v>
      </c>
      <c r="J26" s="227"/>
    </row>
    <row r="27" spans="2:10" ht="32.25" customHeight="1">
      <c r="B27" s="202">
        <f t="shared" si="0"/>
        <v>25</v>
      </c>
      <c r="C27" s="183" t="s">
        <v>153</v>
      </c>
      <c r="D27" s="184" t="s">
        <v>162</v>
      </c>
      <c r="E27" s="201" t="s">
        <v>8241</v>
      </c>
      <c r="F27" s="226" t="s">
        <v>79</v>
      </c>
      <c r="G27" s="224" t="s">
        <v>380</v>
      </c>
      <c r="H27" s="226" t="s">
        <v>279</v>
      </c>
      <c r="I27" s="226" t="s">
        <v>279</v>
      </c>
      <c r="J27" s="227"/>
    </row>
    <row r="28" spans="2:10" ht="32.25" customHeight="1">
      <c r="B28" s="202">
        <f t="shared" si="0"/>
        <v>26</v>
      </c>
      <c r="C28" s="203" t="s">
        <v>150</v>
      </c>
      <c r="D28" s="204" t="s">
        <v>126</v>
      </c>
      <c r="E28" s="201" t="s">
        <v>126</v>
      </c>
      <c r="F28" s="226" t="s">
        <v>35</v>
      </c>
      <c r="G28" s="224" t="s">
        <v>380</v>
      </c>
      <c r="H28" s="226" t="s">
        <v>126</v>
      </c>
      <c r="I28" s="226" t="s">
        <v>126</v>
      </c>
      <c r="J28" s="227"/>
    </row>
    <row r="29" spans="2:10" ht="32.25" customHeight="1">
      <c r="B29" s="202">
        <f t="shared" si="0"/>
        <v>27</v>
      </c>
      <c r="C29" s="183" t="s">
        <v>147</v>
      </c>
      <c r="D29" s="184" t="s">
        <v>153</v>
      </c>
      <c r="E29" s="201" t="s">
        <v>8242</v>
      </c>
      <c r="F29" s="226" t="s">
        <v>80</v>
      </c>
      <c r="G29" s="224" t="s">
        <v>380</v>
      </c>
      <c r="H29" s="226" t="s">
        <v>281</v>
      </c>
      <c r="I29" s="226" t="s">
        <v>281</v>
      </c>
      <c r="J29" s="227"/>
    </row>
    <row r="30" spans="2:10" ht="32.25" customHeight="1">
      <c r="B30" s="200">
        <f t="shared" si="0"/>
        <v>28</v>
      </c>
      <c r="C30" s="205" t="s">
        <v>137</v>
      </c>
      <c r="D30" s="206" t="s">
        <v>195</v>
      </c>
      <c r="E30" s="207" t="s">
        <v>195</v>
      </c>
      <c r="F30" s="238" t="s">
        <v>39</v>
      </c>
      <c r="G30" s="224" t="s">
        <v>380</v>
      </c>
      <c r="H30" s="238" t="s">
        <v>195</v>
      </c>
      <c r="I30" s="238" t="s">
        <v>195</v>
      </c>
      <c r="J30" s="239"/>
    </row>
    <row r="31" spans="2:10" ht="32.25" customHeight="1">
      <c r="B31" s="200">
        <f t="shared" si="0"/>
        <v>29</v>
      </c>
      <c r="C31" s="183" t="s">
        <v>136</v>
      </c>
      <c r="D31" s="184" t="s">
        <v>191</v>
      </c>
      <c r="E31" s="201" t="s">
        <v>8243</v>
      </c>
      <c r="F31" s="226" t="s">
        <v>83</v>
      </c>
      <c r="G31" s="224" t="s">
        <v>380</v>
      </c>
      <c r="H31" s="226" t="s">
        <v>160</v>
      </c>
      <c r="I31" s="226" t="s">
        <v>160</v>
      </c>
      <c r="J31" s="227"/>
    </row>
    <row r="32" spans="2:10" ht="32.25" customHeight="1">
      <c r="B32" s="200">
        <f t="shared" si="0"/>
        <v>30</v>
      </c>
      <c r="C32" s="183" t="s">
        <v>18</v>
      </c>
      <c r="D32" s="184" t="s">
        <v>41</v>
      </c>
      <c r="E32" s="201" t="s">
        <v>382</v>
      </c>
      <c r="F32" s="226" t="s">
        <v>266</v>
      </c>
      <c r="G32" s="224" t="s">
        <v>380</v>
      </c>
      <c r="H32" s="226" t="s">
        <v>41</v>
      </c>
      <c r="I32" s="226" t="s">
        <v>517</v>
      </c>
      <c r="J32" s="227"/>
    </row>
    <row r="33" spans="2:10" ht="32.25" customHeight="1">
      <c r="B33" s="200">
        <f t="shared" si="0"/>
        <v>31</v>
      </c>
      <c r="C33" s="183" t="s">
        <v>164</v>
      </c>
      <c r="D33" s="184" t="s">
        <v>158</v>
      </c>
      <c r="E33" s="201" t="s">
        <v>8244</v>
      </c>
      <c r="F33" s="226" t="s">
        <v>43</v>
      </c>
      <c r="G33" s="224" t="s">
        <v>380</v>
      </c>
      <c r="H33" s="226" t="s">
        <v>205</v>
      </c>
      <c r="I33" s="226" t="s">
        <v>205</v>
      </c>
      <c r="J33" s="227"/>
    </row>
    <row r="34" spans="2:10" ht="32.25" customHeight="1">
      <c r="B34" s="200">
        <f t="shared" si="0"/>
        <v>32</v>
      </c>
      <c r="C34" s="183" t="s">
        <v>162</v>
      </c>
      <c r="D34" s="184" t="s">
        <v>304</v>
      </c>
      <c r="E34" s="201" t="s">
        <v>8245</v>
      </c>
      <c r="F34" s="226" t="s">
        <v>85</v>
      </c>
      <c r="G34" s="224" t="s">
        <v>380</v>
      </c>
      <c r="H34" s="226" t="s">
        <v>161</v>
      </c>
      <c r="I34" s="226" t="s">
        <v>516</v>
      </c>
      <c r="J34" s="227"/>
    </row>
    <row r="35" spans="2:10" ht="32.25" customHeight="1">
      <c r="B35" s="200">
        <f t="shared" si="0"/>
        <v>33</v>
      </c>
      <c r="C35" s="205" t="s">
        <v>156</v>
      </c>
      <c r="D35" s="206" t="s">
        <v>323</v>
      </c>
      <c r="E35" s="201" t="s">
        <v>196</v>
      </c>
      <c r="F35" s="238" t="s">
        <v>145</v>
      </c>
      <c r="G35" s="224" t="s">
        <v>380</v>
      </c>
      <c r="H35" s="238" t="s">
        <v>196</v>
      </c>
      <c r="I35" s="238" t="s">
        <v>196</v>
      </c>
      <c r="J35" s="239"/>
    </row>
    <row r="36" spans="2:10" ht="32.25" customHeight="1">
      <c r="B36" s="200">
        <f t="shared" si="0"/>
        <v>34</v>
      </c>
      <c r="C36" s="183" t="s">
        <v>144</v>
      </c>
      <c r="D36" s="184" t="s">
        <v>255</v>
      </c>
      <c r="E36" s="201" t="s">
        <v>8246</v>
      </c>
      <c r="F36" s="226" t="s">
        <v>82</v>
      </c>
      <c r="G36" s="224" t="s">
        <v>380</v>
      </c>
      <c r="H36" s="226" t="s">
        <v>159</v>
      </c>
      <c r="I36" s="226" t="s">
        <v>159</v>
      </c>
      <c r="J36" s="227"/>
    </row>
    <row r="37" spans="2:10" ht="32.25" customHeight="1">
      <c r="B37" s="200">
        <f t="shared" si="0"/>
        <v>35</v>
      </c>
      <c r="C37" s="183" t="s">
        <v>57</v>
      </c>
      <c r="D37" s="184" t="s">
        <v>197</v>
      </c>
      <c r="E37" s="201" t="s">
        <v>193</v>
      </c>
      <c r="F37" s="226" t="s">
        <v>47</v>
      </c>
      <c r="G37" s="224" t="s">
        <v>380</v>
      </c>
      <c r="H37" s="226" t="s">
        <v>193</v>
      </c>
      <c r="I37" s="226" t="s">
        <v>193</v>
      </c>
      <c r="J37" s="227"/>
    </row>
    <row r="38" spans="2:10" ht="32.25" customHeight="1">
      <c r="B38" s="208">
        <f t="shared" si="0"/>
        <v>36</v>
      </c>
      <c r="C38" s="187" t="s">
        <v>140</v>
      </c>
      <c r="D38" s="188" t="s">
        <v>313</v>
      </c>
      <c r="E38" s="209" t="s">
        <v>8247</v>
      </c>
      <c r="F38" s="228" t="s">
        <v>86</v>
      </c>
      <c r="G38" s="224" t="s">
        <v>380</v>
      </c>
      <c r="H38" s="228" t="s">
        <v>157</v>
      </c>
      <c r="I38" s="228" t="s">
        <v>157</v>
      </c>
      <c r="J38" s="229"/>
    </row>
    <row r="39" spans="2:10" ht="32.25" customHeight="1">
      <c r="B39" s="202">
        <f t="shared" si="0"/>
        <v>37</v>
      </c>
      <c r="C39" s="183" t="s">
        <v>127</v>
      </c>
      <c r="D39" s="184" t="s">
        <v>306</v>
      </c>
      <c r="E39" s="201" t="s">
        <v>8248</v>
      </c>
      <c r="F39" s="226" t="s">
        <v>325</v>
      </c>
      <c r="G39" s="224" t="s">
        <v>380</v>
      </c>
      <c r="H39" s="226" t="s">
        <v>282</v>
      </c>
      <c r="I39" s="240" t="s">
        <v>282</v>
      </c>
      <c r="J39" s="241"/>
    </row>
    <row r="40" spans="2:10" ht="32.25" customHeight="1">
      <c r="B40" s="202">
        <f t="shared" si="0"/>
        <v>38</v>
      </c>
      <c r="C40" s="183" t="s">
        <v>283</v>
      </c>
      <c r="D40" s="184" t="s">
        <v>314</v>
      </c>
      <c r="E40" s="201" t="s">
        <v>131</v>
      </c>
      <c r="F40" s="226" t="s">
        <v>68</v>
      </c>
      <c r="G40" s="224" t="s">
        <v>380</v>
      </c>
      <c r="H40" s="226" t="s">
        <v>131</v>
      </c>
      <c r="I40" s="226" t="s">
        <v>131</v>
      </c>
      <c r="J40" s="227"/>
    </row>
    <row r="41" spans="2:10" ht="32.25" customHeight="1">
      <c r="B41" s="202">
        <f t="shared" si="0"/>
        <v>39</v>
      </c>
      <c r="C41" s="183" t="s">
        <v>158</v>
      </c>
      <c r="D41" s="184" t="s">
        <v>122</v>
      </c>
      <c r="E41" s="201" t="s">
        <v>8249</v>
      </c>
      <c r="F41" s="226" t="s">
        <v>87</v>
      </c>
      <c r="G41" s="224" t="s">
        <v>380</v>
      </c>
      <c r="H41" s="226" t="s">
        <v>130</v>
      </c>
      <c r="I41" s="226" t="s">
        <v>130</v>
      </c>
      <c r="J41" s="227"/>
    </row>
    <row r="42" spans="2:10" ht="32.25" customHeight="1">
      <c r="B42" s="202">
        <f t="shared" si="0"/>
        <v>40</v>
      </c>
      <c r="C42" s="183" t="s">
        <v>96</v>
      </c>
      <c r="D42" s="184" t="s">
        <v>283</v>
      </c>
      <c r="E42" s="201" t="s">
        <v>96</v>
      </c>
      <c r="F42" s="226" t="s">
        <v>98</v>
      </c>
      <c r="G42" s="224" t="s">
        <v>380</v>
      </c>
      <c r="H42" s="226" t="s">
        <v>96</v>
      </c>
      <c r="I42" s="226" t="s">
        <v>96</v>
      </c>
      <c r="J42" s="229" t="s">
        <v>8250</v>
      </c>
    </row>
    <row r="43" spans="2:10" ht="32.25" customHeight="1">
      <c r="B43" s="202">
        <f t="shared" si="0"/>
        <v>41</v>
      </c>
      <c r="C43" s="183" t="s">
        <v>135</v>
      </c>
      <c r="D43" s="184" t="s">
        <v>335</v>
      </c>
      <c r="E43" s="201" t="s">
        <v>115</v>
      </c>
      <c r="F43" s="226" t="s">
        <v>66</v>
      </c>
      <c r="G43" s="224" t="s">
        <v>380</v>
      </c>
      <c r="H43" s="226" t="s">
        <v>115</v>
      </c>
      <c r="I43" s="226" t="s">
        <v>115</v>
      </c>
      <c r="J43" s="227"/>
    </row>
    <row r="44" spans="2:10" ht="32.25" customHeight="1">
      <c r="B44" s="202">
        <f t="shared" si="0"/>
        <v>42</v>
      </c>
      <c r="C44" s="183" t="s">
        <v>134</v>
      </c>
      <c r="D44" s="184" t="s">
        <v>315</v>
      </c>
      <c r="E44" s="201" t="s">
        <v>16</v>
      </c>
      <c r="F44" s="226" t="s">
        <v>50</v>
      </c>
      <c r="G44" s="224" t="s">
        <v>380</v>
      </c>
      <c r="H44" s="226" t="s">
        <v>16</v>
      </c>
      <c r="I44" s="226" t="s">
        <v>16</v>
      </c>
      <c r="J44" s="229" t="s">
        <v>8251</v>
      </c>
    </row>
    <row r="45" spans="2:10" ht="32.25" customHeight="1">
      <c r="B45" s="202">
        <f t="shared" si="0"/>
        <v>43</v>
      </c>
      <c r="C45" s="183" t="s">
        <v>132</v>
      </c>
      <c r="D45" s="184" t="s">
        <v>95</v>
      </c>
      <c r="E45" s="201" t="s">
        <v>8252</v>
      </c>
      <c r="F45" s="226" t="s">
        <v>64</v>
      </c>
      <c r="G45" s="224" t="s">
        <v>380</v>
      </c>
      <c r="H45" s="226" t="s">
        <v>107</v>
      </c>
      <c r="I45" s="226" t="s">
        <v>107</v>
      </c>
      <c r="J45" s="227"/>
    </row>
    <row r="46" spans="2:10" ht="32.25" customHeight="1">
      <c r="B46" s="202">
        <f t="shared" si="0"/>
        <v>44</v>
      </c>
      <c r="C46" s="210" t="s">
        <v>41</v>
      </c>
      <c r="D46" s="184" t="s">
        <v>257</v>
      </c>
      <c r="E46" s="201" t="s">
        <v>8253</v>
      </c>
      <c r="F46" s="226" t="s">
        <v>70</v>
      </c>
      <c r="G46" s="224" t="s">
        <v>380</v>
      </c>
      <c r="H46" s="226" t="s">
        <v>106</v>
      </c>
      <c r="I46" s="226" t="s">
        <v>106</v>
      </c>
      <c r="J46" s="227"/>
    </row>
    <row r="47" spans="2:10" ht="32.25" customHeight="1">
      <c r="B47" s="202">
        <f t="shared" si="0"/>
        <v>45</v>
      </c>
      <c r="C47" s="183" t="s">
        <v>129</v>
      </c>
      <c r="D47" s="184" t="s">
        <v>305</v>
      </c>
      <c r="E47" s="201" t="s">
        <v>8227</v>
      </c>
      <c r="F47" s="226" t="s">
        <v>48</v>
      </c>
      <c r="G47" s="224" t="s">
        <v>380</v>
      </c>
      <c r="H47" s="226" t="s">
        <v>94</v>
      </c>
      <c r="I47" s="226" t="s">
        <v>94</v>
      </c>
      <c r="J47" s="229" t="s">
        <v>8254</v>
      </c>
    </row>
    <row r="48" spans="2:10" ht="32.25" customHeight="1">
      <c r="B48" s="202">
        <f t="shared" si="0"/>
        <v>46</v>
      </c>
      <c r="C48" s="183"/>
      <c r="D48" s="184"/>
      <c r="E48" s="201" t="s">
        <v>449</v>
      </c>
      <c r="F48" s="226" t="s">
        <v>8255</v>
      </c>
      <c r="G48" s="224" t="s">
        <v>380</v>
      </c>
      <c r="H48" s="226" t="s">
        <v>449</v>
      </c>
      <c r="I48" s="226" t="s">
        <v>8256</v>
      </c>
      <c r="J48" s="229"/>
    </row>
    <row r="50" ht="34.5" customHeight="1"/>
    <row r="51" ht="34.5" customHeight="1"/>
    <row r="52" ht="34.5" customHeight="1"/>
    <row r="53" ht="34.5" customHeight="1"/>
    <row r="54" ht="34.5" customHeight="1"/>
    <row r="55" ht="34.5" customHeight="1"/>
    <row r="56" ht="34.5" customHeight="1"/>
    <row r="57" ht="34.5" customHeight="1"/>
    <row r="58" ht="34.5" customHeight="1"/>
  </sheetData>
  <phoneticPr fontId="7" type="noConversion"/>
  <conditionalFormatting sqref="C3:J48">
    <cfRule type="cellIs" dxfId="0" priority="1" operator="equal">
      <formula>CHAR(32)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72211-C250-4379-AEC9-1ACF2AAEC1C2}">
  <sheetPr>
    <tabColor theme="9" tint="-0.249977111117893"/>
  </sheetPr>
  <dimension ref="A1:M19"/>
  <sheetViews>
    <sheetView workbookViewId="0"/>
  </sheetViews>
  <sheetFormatPr defaultRowHeight="30"/>
  <cols>
    <col min="1" max="1" width="8.09765625" style="214" customWidth="1"/>
    <col min="2" max="4" width="16.19921875" style="214" customWidth="1"/>
    <col min="5" max="5" width="30.59765625" style="214" customWidth="1"/>
    <col min="6" max="6" width="16.19921875" style="214" customWidth="1"/>
    <col min="7" max="7" width="20.8984375" style="214" customWidth="1"/>
    <col min="8" max="8" width="7.3984375" style="214" bestFit="1" customWidth="1"/>
    <col min="9" max="9" width="7.09765625" style="214" customWidth="1"/>
    <col min="10" max="12" width="20.59765625" style="214" customWidth="1"/>
    <col min="13" max="13" width="30.19921875" style="214" bestFit="1" customWidth="1"/>
    <col min="14" max="15" width="6.3984375" style="214" customWidth="1"/>
    <col min="16" max="16384" width="8.796875" style="214"/>
  </cols>
  <sheetData>
    <row r="1" spans="1:13">
      <c r="A1" s="212" t="s">
        <v>8257</v>
      </c>
      <c r="B1" s="213" t="s">
        <v>210</v>
      </c>
      <c r="C1" s="213" t="s">
        <v>8220</v>
      </c>
      <c r="D1" s="213" t="s">
        <v>3</v>
      </c>
      <c r="E1" s="213" t="s">
        <v>8258</v>
      </c>
      <c r="F1" s="213" t="s">
        <v>8259</v>
      </c>
      <c r="H1" s="212" t="s">
        <v>8257</v>
      </c>
      <c r="I1" s="213" t="s">
        <v>542</v>
      </c>
      <c r="J1" s="213" t="s">
        <v>210</v>
      </c>
      <c r="K1" s="213" t="s">
        <v>8220</v>
      </c>
      <c r="L1" s="213" t="s">
        <v>3</v>
      </c>
      <c r="M1" s="213" t="s">
        <v>8221</v>
      </c>
    </row>
    <row r="2" spans="1:13" ht="36" customHeight="1">
      <c r="A2" s="214">
        <v>1</v>
      </c>
      <c r="B2" s="214" t="s">
        <v>205</v>
      </c>
      <c r="C2" s="214" t="s">
        <v>205</v>
      </c>
      <c r="D2" s="214" t="s">
        <v>43</v>
      </c>
      <c r="E2" s="214" t="s">
        <v>8260</v>
      </c>
      <c r="F2" s="214" t="s">
        <v>158</v>
      </c>
      <c r="H2" s="214">
        <v>1</v>
      </c>
      <c r="I2" s="214" t="s">
        <v>3145</v>
      </c>
      <c r="J2" s="214" t="s">
        <v>3758</v>
      </c>
      <c r="K2" s="214" t="s">
        <v>8261</v>
      </c>
      <c r="L2" s="215" t="s">
        <v>8262</v>
      </c>
    </row>
    <row r="3" spans="1:13" ht="36" customHeight="1">
      <c r="A3" s="214">
        <v>2</v>
      </c>
      <c r="B3" s="214" t="s">
        <v>161</v>
      </c>
      <c r="C3" s="214" t="s">
        <v>8263</v>
      </c>
      <c r="D3" s="214" t="s">
        <v>85</v>
      </c>
      <c r="E3" s="214" t="s">
        <v>8260</v>
      </c>
      <c r="F3" s="214" t="s">
        <v>8264</v>
      </c>
      <c r="H3" s="214">
        <v>2</v>
      </c>
      <c r="I3" s="214" t="s">
        <v>4675</v>
      </c>
      <c r="J3" s="214" t="s">
        <v>4678</v>
      </c>
      <c r="K3" s="214" t="s">
        <v>8265</v>
      </c>
      <c r="L3" s="214" t="s">
        <v>8266</v>
      </c>
    </row>
    <row r="4" spans="1:13" ht="36" customHeight="1">
      <c r="A4" s="214">
        <v>3</v>
      </c>
      <c r="B4" s="214" t="s">
        <v>476</v>
      </c>
      <c r="C4" s="214" t="s">
        <v>476</v>
      </c>
      <c r="D4" s="214" t="s">
        <v>199</v>
      </c>
      <c r="E4" s="214" t="s">
        <v>8260</v>
      </c>
      <c r="F4" s="214" t="s">
        <v>8267</v>
      </c>
      <c r="H4" s="214">
        <v>3</v>
      </c>
      <c r="I4" s="216" t="s">
        <v>8268</v>
      </c>
      <c r="J4" s="216" t="s">
        <v>8269</v>
      </c>
      <c r="K4" s="216" t="s">
        <v>8269</v>
      </c>
      <c r="L4" s="217" t="s">
        <v>8270</v>
      </c>
    </row>
    <row r="5" spans="1:13" ht="36" customHeight="1">
      <c r="A5" s="214">
        <v>4</v>
      </c>
      <c r="B5" s="214" t="s">
        <v>477</v>
      </c>
      <c r="C5" s="214" t="s">
        <v>8263</v>
      </c>
      <c r="D5" s="214" t="s">
        <v>8271</v>
      </c>
      <c r="E5" s="214" t="s">
        <v>8260</v>
      </c>
      <c r="F5" s="214" t="s">
        <v>8272</v>
      </c>
      <c r="H5" s="214">
        <v>4</v>
      </c>
      <c r="I5" s="218" t="s">
        <v>8273</v>
      </c>
      <c r="J5" s="216" t="s">
        <v>8274</v>
      </c>
      <c r="K5" s="216" t="s">
        <v>8275</v>
      </c>
      <c r="L5" s="217" t="s">
        <v>8276</v>
      </c>
    </row>
    <row r="6" spans="1:13" ht="36" customHeight="1">
      <c r="A6" s="214">
        <v>5</v>
      </c>
      <c r="B6" s="214" t="s">
        <v>130</v>
      </c>
      <c r="C6" s="214" t="s">
        <v>8277</v>
      </c>
      <c r="D6" s="214" t="s">
        <v>87</v>
      </c>
      <c r="E6" s="214" t="s">
        <v>8278</v>
      </c>
      <c r="F6" s="214" t="s">
        <v>8279</v>
      </c>
      <c r="H6" s="214">
        <v>5</v>
      </c>
      <c r="I6" s="218" t="s">
        <v>8052</v>
      </c>
      <c r="J6" s="216" t="s">
        <v>8280</v>
      </c>
      <c r="K6" s="216" t="s">
        <v>8281</v>
      </c>
      <c r="L6" s="217" t="s">
        <v>8282</v>
      </c>
    </row>
    <row r="7" spans="1:13" ht="36" customHeight="1">
      <c r="A7" s="214">
        <v>6</v>
      </c>
      <c r="B7" s="214" t="s">
        <v>106</v>
      </c>
      <c r="C7" s="214" t="s">
        <v>106</v>
      </c>
      <c r="D7" s="214" t="s">
        <v>70</v>
      </c>
      <c r="E7" s="214" t="s">
        <v>8278</v>
      </c>
      <c r="F7" s="219" t="s">
        <v>8283</v>
      </c>
      <c r="H7" s="214">
        <v>6</v>
      </c>
      <c r="I7" s="214" t="s">
        <v>6546</v>
      </c>
      <c r="J7" s="214" t="s">
        <v>6549</v>
      </c>
      <c r="K7" s="214" t="s">
        <v>8284</v>
      </c>
      <c r="L7" s="215" t="s">
        <v>8285</v>
      </c>
    </row>
    <row r="8" spans="1:13">
      <c r="A8" s="214">
        <v>7</v>
      </c>
      <c r="B8" s="214" t="s">
        <v>474</v>
      </c>
      <c r="C8" s="214" t="s">
        <v>8286</v>
      </c>
      <c r="D8" s="214" t="s">
        <v>8287</v>
      </c>
      <c r="E8" s="214" t="s">
        <v>8278</v>
      </c>
      <c r="F8" s="214" t="s">
        <v>8288</v>
      </c>
      <c r="H8" s="214">
        <v>7</v>
      </c>
      <c r="I8" s="216" t="s">
        <v>1161</v>
      </c>
      <c r="J8" s="216" t="s">
        <v>4907</v>
      </c>
      <c r="K8" s="216" t="s">
        <v>8289</v>
      </c>
      <c r="L8" s="216" t="s">
        <v>8290</v>
      </c>
    </row>
    <row r="9" spans="1:13">
      <c r="A9" s="214">
        <v>8</v>
      </c>
      <c r="B9" s="214" t="s">
        <v>475</v>
      </c>
      <c r="C9" s="214" t="s">
        <v>8291</v>
      </c>
      <c r="D9" s="214" t="s">
        <v>8292</v>
      </c>
      <c r="E9" s="214" t="s">
        <v>8278</v>
      </c>
      <c r="F9" s="214" t="s">
        <v>8293</v>
      </c>
      <c r="H9" s="214">
        <v>8</v>
      </c>
      <c r="I9" s="214" t="s">
        <v>909</v>
      </c>
      <c r="J9" s="214" t="s">
        <v>8294</v>
      </c>
      <c r="K9" s="214" t="s">
        <v>8295</v>
      </c>
      <c r="L9" s="214" t="s">
        <v>8296</v>
      </c>
    </row>
    <row r="10" spans="1:13" ht="36" customHeight="1">
      <c r="A10" s="214">
        <v>9</v>
      </c>
      <c r="B10" s="220" t="s">
        <v>464</v>
      </c>
      <c r="C10" s="220" t="s">
        <v>464</v>
      </c>
      <c r="D10" s="220" t="s">
        <v>384</v>
      </c>
      <c r="E10" s="220" t="s">
        <v>8278</v>
      </c>
      <c r="F10" s="220" t="s">
        <v>8297</v>
      </c>
      <c r="H10" s="214">
        <v>9</v>
      </c>
      <c r="I10" s="220"/>
      <c r="J10" s="220"/>
      <c r="K10" s="220"/>
      <c r="L10" s="221"/>
      <c r="M10" s="221" t="s">
        <v>8298</v>
      </c>
    </row>
    <row r="11" spans="1:13">
      <c r="A11" s="214">
        <v>10</v>
      </c>
      <c r="B11" s="214" t="s">
        <v>148</v>
      </c>
      <c r="C11" s="214" t="s">
        <v>8299</v>
      </c>
      <c r="D11" s="214" t="s">
        <v>149</v>
      </c>
      <c r="E11" s="214" t="s">
        <v>8278</v>
      </c>
      <c r="F11" s="214" t="s">
        <v>8300</v>
      </c>
      <c r="H11" s="214">
        <v>10</v>
      </c>
      <c r="I11" s="216" t="s">
        <v>7332</v>
      </c>
      <c r="J11" s="216" t="s">
        <v>8301</v>
      </c>
      <c r="K11" s="216" t="s">
        <v>8302</v>
      </c>
      <c r="L11" s="216" t="s">
        <v>149</v>
      </c>
    </row>
    <row r="12" spans="1:13">
      <c r="A12" s="214">
        <v>11</v>
      </c>
      <c r="B12" s="220" t="s">
        <v>466</v>
      </c>
      <c r="C12" s="220" t="s">
        <v>466</v>
      </c>
      <c r="D12" s="220" t="s">
        <v>8303</v>
      </c>
      <c r="E12" s="220" t="s">
        <v>8278</v>
      </c>
      <c r="F12" s="220" t="s">
        <v>8304</v>
      </c>
      <c r="H12" s="214">
        <v>10</v>
      </c>
      <c r="I12" s="216" t="s">
        <v>7855</v>
      </c>
      <c r="J12" s="216" t="s">
        <v>8305</v>
      </c>
      <c r="K12" s="216" t="s">
        <v>8306</v>
      </c>
      <c r="L12" s="216" t="s">
        <v>8307</v>
      </c>
    </row>
    <row r="13" spans="1:13" ht="36" customHeight="1">
      <c r="A13" s="214">
        <v>12</v>
      </c>
      <c r="B13" s="214" t="s">
        <v>100</v>
      </c>
      <c r="C13" s="214" t="s">
        <v>100</v>
      </c>
      <c r="D13" s="214" t="s">
        <v>101</v>
      </c>
      <c r="E13" s="214" t="s">
        <v>8278</v>
      </c>
      <c r="F13" s="219" t="s">
        <v>8308</v>
      </c>
      <c r="H13" s="214">
        <v>11</v>
      </c>
      <c r="I13" s="220"/>
      <c r="J13" s="220"/>
      <c r="K13" s="220"/>
      <c r="L13" s="221"/>
      <c r="M13" s="221" t="s">
        <v>8298</v>
      </c>
    </row>
    <row r="14" spans="1:13" ht="36" customHeight="1">
      <c r="A14" s="214">
        <v>13</v>
      </c>
      <c r="B14" s="214" t="s">
        <v>465</v>
      </c>
      <c r="C14" s="214" t="s">
        <v>8309</v>
      </c>
      <c r="D14" s="214" t="s">
        <v>8310</v>
      </c>
      <c r="E14" s="214" t="s">
        <v>8278</v>
      </c>
      <c r="F14" s="214" t="s">
        <v>8311</v>
      </c>
      <c r="H14" s="214">
        <v>12</v>
      </c>
      <c r="I14" s="214" t="s">
        <v>4436</v>
      </c>
      <c r="J14" s="214" t="s">
        <v>4437</v>
      </c>
      <c r="K14" s="214" t="s">
        <v>3211</v>
      </c>
      <c r="L14" s="222" t="s">
        <v>8312</v>
      </c>
    </row>
    <row r="15" spans="1:13">
      <c r="A15" s="214">
        <v>14</v>
      </c>
      <c r="B15" s="214" t="s">
        <v>41</v>
      </c>
      <c r="C15" s="214" t="s">
        <v>517</v>
      </c>
      <c r="D15" s="214" t="s">
        <v>266</v>
      </c>
      <c r="E15" s="214" t="s">
        <v>8313</v>
      </c>
      <c r="H15" s="214">
        <v>13</v>
      </c>
      <c r="I15" s="214" t="s">
        <v>3160</v>
      </c>
      <c r="J15" s="214" t="s">
        <v>3162</v>
      </c>
      <c r="K15" s="214" t="s">
        <v>8314</v>
      </c>
      <c r="L15" s="214" t="s">
        <v>8315</v>
      </c>
    </row>
    <row r="16" spans="1:13">
      <c r="A16" s="214">
        <v>15</v>
      </c>
      <c r="B16" s="214" t="s">
        <v>473</v>
      </c>
      <c r="C16" s="214" t="s">
        <v>8316</v>
      </c>
      <c r="D16" s="214" t="s">
        <v>8317</v>
      </c>
      <c r="E16" s="214" t="s">
        <v>8313</v>
      </c>
      <c r="H16" s="214">
        <v>14</v>
      </c>
      <c r="I16" s="214" t="s">
        <v>3145</v>
      </c>
      <c r="J16" s="214" t="s">
        <v>3148</v>
      </c>
      <c r="K16" s="214" t="s">
        <v>8318</v>
      </c>
      <c r="L16" s="214" t="s">
        <v>8319</v>
      </c>
    </row>
    <row r="17" spans="1:12">
      <c r="A17" s="214">
        <v>16</v>
      </c>
      <c r="B17" s="214" t="s">
        <v>181</v>
      </c>
      <c r="C17" s="214" t="s">
        <v>8320</v>
      </c>
      <c r="D17" s="214" t="s">
        <v>183</v>
      </c>
      <c r="E17" s="214" t="s">
        <v>8313</v>
      </c>
      <c r="H17" s="214">
        <v>15</v>
      </c>
      <c r="I17" s="214" t="s">
        <v>5533</v>
      </c>
      <c r="J17" s="214" t="s">
        <v>5392</v>
      </c>
      <c r="K17" s="214" t="s">
        <v>8321</v>
      </c>
      <c r="L17" s="214" t="s">
        <v>8322</v>
      </c>
    </row>
    <row r="18" spans="1:12">
      <c r="A18" s="214">
        <v>17</v>
      </c>
      <c r="B18" s="214" t="s">
        <v>462</v>
      </c>
      <c r="C18" s="214" t="s">
        <v>8323</v>
      </c>
      <c r="D18" s="214" t="s">
        <v>182</v>
      </c>
      <c r="E18" s="214" t="s">
        <v>8313</v>
      </c>
      <c r="H18" s="214">
        <v>16</v>
      </c>
      <c r="I18" s="214" t="s">
        <v>3145</v>
      </c>
      <c r="J18" s="214" t="s">
        <v>3146</v>
      </c>
      <c r="K18" s="214" t="s">
        <v>8324</v>
      </c>
      <c r="L18" s="214" t="s">
        <v>8325</v>
      </c>
    </row>
    <row r="19" spans="1:12" ht="36" customHeight="1">
      <c r="H19" s="214">
        <v>17</v>
      </c>
      <c r="I19" s="214" t="s">
        <v>4630</v>
      </c>
      <c r="J19" s="214" t="s">
        <v>4631</v>
      </c>
      <c r="K19" s="214" t="s">
        <v>8326</v>
      </c>
      <c r="L19" s="223" t="s">
        <v>8327</v>
      </c>
    </row>
  </sheetData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A60BD-B10E-4E13-A80E-26E8AC505272}">
  <dimension ref="B2:K48"/>
  <sheetViews>
    <sheetView workbookViewId="0"/>
  </sheetViews>
  <sheetFormatPr defaultRowHeight="21"/>
  <cols>
    <col min="2" max="6" width="9.19921875" customWidth="1"/>
    <col min="9" max="9" width="15.8984375" customWidth="1"/>
  </cols>
  <sheetData>
    <row r="2" spans="2:11">
      <c r="B2" s="153" t="s">
        <v>2</v>
      </c>
      <c r="C2" s="154" t="s">
        <v>3</v>
      </c>
      <c r="D2" s="155" t="s">
        <v>214</v>
      </c>
      <c r="E2" s="155" t="s">
        <v>507</v>
      </c>
      <c r="F2" s="154" t="s">
        <v>508</v>
      </c>
      <c r="G2" s="153" t="s">
        <v>537</v>
      </c>
      <c r="I2" s="147" t="s">
        <v>532</v>
      </c>
      <c r="J2" s="148" t="s">
        <v>507</v>
      </c>
      <c r="K2" s="149" t="s">
        <v>508</v>
      </c>
    </row>
    <row r="3" spans="2:11" ht="32.25">
      <c r="B3" s="156">
        <f>ROW() - 2</f>
        <v>1</v>
      </c>
      <c r="C3" s="157" t="s">
        <v>5</v>
      </c>
      <c r="D3" s="158" t="s">
        <v>6</v>
      </c>
      <c r="E3" s="159" t="s">
        <v>134</v>
      </c>
      <c r="F3" s="160" t="s">
        <v>123</v>
      </c>
      <c r="G3" s="156" t="s">
        <v>538</v>
      </c>
      <c r="I3" s="150" cm="1">
        <f t="array" ref="I3" xml:space="preserve"> ROW() - ROW($2:$2)</f>
        <v>1</v>
      </c>
      <c r="J3" s="88" t="s">
        <v>10</v>
      </c>
      <c r="K3" s="88" t="s">
        <v>510</v>
      </c>
    </row>
    <row r="4" spans="2:11" ht="32.25">
      <c r="B4" s="156">
        <f t="shared" ref="B4:B48" si="0">ROW() - 2</f>
        <v>2</v>
      </c>
      <c r="C4" s="157" t="s">
        <v>7</v>
      </c>
      <c r="D4" s="158" t="s">
        <v>396</v>
      </c>
      <c r="E4" s="159" t="s">
        <v>227</v>
      </c>
      <c r="F4" s="160" t="s">
        <v>134</v>
      </c>
      <c r="G4" s="156" t="s">
        <v>538</v>
      </c>
      <c r="I4" s="150" cm="1">
        <f t="array" ref="I4" xml:space="preserve"> ROW() - ROW($2:$2)</f>
        <v>2</v>
      </c>
      <c r="J4" s="88" t="s">
        <v>8</v>
      </c>
      <c r="K4" s="88" t="s">
        <v>536</v>
      </c>
    </row>
    <row r="5" spans="2:11" ht="32.25">
      <c r="B5" s="156">
        <f t="shared" si="0"/>
        <v>3</v>
      </c>
      <c r="C5" s="157" t="s">
        <v>9</v>
      </c>
      <c r="D5" s="158" t="s">
        <v>10</v>
      </c>
      <c r="E5" s="159" t="s">
        <v>123</v>
      </c>
      <c r="F5" s="160" t="s">
        <v>509</v>
      </c>
      <c r="G5" s="156" t="s">
        <v>538</v>
      </c>
      <c r="I5" s="150" cm="1">
        <f t="array" ref="I5" xml:space="preserve"> ROW() - ROW($2:$2)</f>
        <v>3</v>
      </c>
      <c r="J5" s="88" t="s">
        <v>6</v>
      </c>
      <c r="K5" s="88" t="s">
        <v>10</v>
      </c>
    </row>
    <row r="6" spans="2:11" ht="32.25">
      <c r="B6" s="156">
        <f t="shared" si="0"/>
        <v>4</v>
      </c>
      <c r="C6" s="157" t="s">
        <v>54</v>
      </c>
      <c r="D6" s="158" t="s">
        <v>55</v>
      </c>
      <c r="E6" s="159" t="s">
        <v>96</v>
      </c>
      <c r="F6" s="160" t="s">
        <v>96</v>
      </c>
      <c r="G6" s="156" t="s">
        <v>538</v>
      </c>
      <c r="I6" s="150" cm="1">
        <f t="array" ref="I6" xml:space="preserve"> ROW() - ROW($2:$2)</f>
        <v>4</v>
      </c>
      <c r="J6" s="88" t="s">
        <v>536</v>
      </c>
      <c r="K6" s="88" t="s">
        <v>6</v>
      </c>
    </row>
    <row r="7" spans="2:11" ht="32.25">
      <c r="B7" s="156">
        <f t="shared" si="0"/>
        <v>5</v>
      </c>
      <c r="C7" s="157" t="s">
        <v>11</v>
      </c>
      <c r="D7" s="158" t="s">
        <v>202</v>
      </c>
      <c r="E7" s="159" t="s">
        <v>12</v>
      </c>
      <c r="F7" s="160" t="s">
        <v>184</v>
      </c>
      <c r="G7" s="156" t="s">
        <v>538</v>
      </c>
      <c r="I7" s="151" cm="1">
        <f t="array" ref="I7" xml:space="preserve"> ROW() - ROW($2:$2)</f>
        <v>5</v>
      </c>
      <c r="J7" s="152" t="s">
        <v>330</v>
      </c>
      <c r="K7" s="152" t="s">
        <v>534</v>
      </c>
    </row>
    <row r="8" spans="2:11" ht="32.25">
      <c r="B8" s="156">
        <f t="shared" si="0"/>
        <v>6</v>
      </c>
      <c r="C8" s="157" t="s">
        <v>13</v>
      </c>
      <c r="D8" s="158" t="s">
        <v>397</v>
      </c>
      <c r="E8" s="159" t="s">
        <v>14</v>
      </c>
      <c r="F8" s="160" t="s">
        <v>12</v>
      </c>
      <c r="G8" s="156" t="s">
        <v>538</v>
      </c>
      <c r="I8" s="151" cm="1">
        <f t="array" ref="I8" xml:space="preserve"> ROW() - ROW($2:$2)</f>
        <v>6</v>
      </c>
      <c r="J8" s="152" t="s">
        <v>202</v>
      </c>
      <c r="K8" s="152" t="s">
        <v>194</v>
      </c>
    </row>
    <row r="9" spans="2:11" ht="32.25">
      <c r="B9" s="156">
        <f t="shared" si="0"/>
        <v>7</v>
      </c>
      <c r="C9" s="157" t="s">
        <v>15</v>
      </c>
      <c r="D9" s="158" t="s">
        <v>221</v>
      </c>
      <c r="E9" s="159" t="s">
        <v>16</v>
      </c>
      <c r="F9" s="160" t="s">
        <v>16</v>
      </c>
      <c r="G9" s="156" t="s">
        <v>538</v>
      </c>
      <c r="I9" s="151" cm="1">
        <f t="array" ref="I9" xml:space="preserve"> ROW() - ROW($2:$2)</f>
        <v>7</v>
      </c>
      <c r="J9" s="152" t="s">
        <v>534</v>
      </c>
      <c r="K9" s="152" t="s">
        <v>202</v>
      </c>
    </row>
    <row r="10" spans="2:11" ht="32.25">
      <c r="B10" s="156">
        <f t="shared" si="0"/>
        <v>8</v>
      </c>
      <c r="C10" s="157" t="s">
        <v>56</v>
      </c>
      <c r="D10" s="158" t="s">
        <v>273</v>
      </c>
      <c r="E10" s="159" t="s">
        <v>57</v>
      </c>
      <c r="F10" s="160" t="s">
        <v>57</v>
      </c>
      <c r="G10" s="156" t="s">
        <v>538</v>
      </c>
      <c r="I10" s="150" cm="1">
        <f t="array" ref="I10" xml:space="preserve"> ROW() - ROW($2:$2)</f>
        <v>8</v>
      </c>
      <c r="J10" s="88" t="s">
        <v>22</v>
      </c>
      <c r="K10" s="88" t="s">
        <v>512</v>
      </c>
    </row>
    <row r="11" spans="2:11" ht="32.25">
      <c r="B11" s="156">
        <f t="shared" si="0"/>
        <v>9</v>
      </c>
      <c r="C11" s="157" t="s">
        <v>17</v>
      </c>
      <c r="D11" s="158" t="s">
        <v>190</v>
      </c>
      <c r="E11" s="159" t="s">
        <v>18</v>
      </c>
      <c r="F11" s="160" t="s">
        <v>119</v>
      </c>
      <c r="G11" s="156" t="s">
        <v>538</v>
      </c>
      <c r="I11" s="150" cm="1">
        <f t="array" ref="I11" xml:space="preserve"> ROW() - ROW($2:$2)</f>
        <v>9</v>
      </c>
      <c r="J11" s="88" t="s">
        <v>20</v>
      </c>
      <c r="K11" s="88" t="s">
        <v>535</v>
      </c>
    </row>
    <row r="12" spans="2:11" ht="32.25">
      <c r="B12" s="156">
        <f t="shared" si="0"/>
        <v>10</v>
      </c>
      <c r="C12" s="157" t="s">
        <v>19</v>
      </c>
      <c r="D12" s="158" t="s">
        <v>398</v>
      </c>
      <c r="E12" s="159" t="s">
        <v>239</v>
      </c>
      <c r="F12" s="160" t="s">
        <v>18</v>
      </c>
      <c r="G12" s="156" t="s">
        <v>538</v>
      </c>
      <c r="I12" s="150" cm="1">
        <f t="array" ref="I12" xml:space="preserve"> ROW() - ROW($2:$2)</f>
        <v>10</v>
      </c>
      <c r="J12" s="88" t="s">
        <v>190</v>
      </c>
      <c r="K12" s="88" t="s">
        <v>22</v>
      </c>
    </row>
    <row r="13" spans="2:11" ht="32.25">
      <c r="B13" s="156">
        <f t="shared" si="0"/>
        <v>11</v>
      </c>
      <c r="C13" s="157" t="s">
        <v>21</v>
      </c>
      <c r="D13" s="158" t="s">
        <v>22</v>
      </c>
      <c r="E13" s="159" t="s">
        <v>119</v>
      </c>
      <c r="F13" s="160" t="s">
        <v>511</v>
      </c>
      <c r="G13" s="156" t="s">
        <v>538</v>
      </c>
      <c r="I13" s="150" cm="1">
        <f t="array" ref="I13" xml:space="preserve"> ROW() - ROW($2:$2)</f>
        <v>11</v>
      </c>
      <c r="J13" s="88" t="s">
        <v>535</v>
      </c>
      <c r="K13" s="88" t="s">
        <v>190</v>
      </c>
    </row>
    <row r="14" spans="2:11" ht="32.25">
      <c r="B14" s="156">
        <f t="shared" si="0"/>
        <v>12</v>
      </c>
      <c r="C14" s="157" t="s">
        <v>31</v>
      </c>
      <c r="D14" s="158" t="s">
        <v>32</v>
      </c>
      <c r="E14" s="159" t="s">
        <v>32</v>
      </c>
      <c r="F14" s="160" t="s">
        <v>241</v>
      </c>
      <c r="G14" s="156" t="s">
        <v>538</v>
      </c>
      <c r="I14" s="151" cm="1">
        <f t="array" ref="I14" xml:space="preserve"> ROW() - ROW($2:$2)</f>
        <v>12</v>
      </c>
      <c r="J14" s="152" t="s">
        <v>26</v>
      </c>
      <c r="K14" s="152" t="s">
        <v>170</v>
      </c>
    </row>
    <row r="15" spans="2:11" ht="32.25">
      <c r="B15" s="156">
        <f t="shared" si="0"/>
        <v>13</v>
      </c>
      <c r="C15" s="161" t="s">
        <v>23</v>
      </c>
      <c r="D15" s="158" t="s">
        <v>394</v>
      </c>
      <c r="E15" s="162" t="s">
        <v>394</v>
      </c>
      <c r="F15" s="163" t="s">
        <v>116</v>
      </c>
      <c r="G15" s="156" t="s">
        <v>538</v>
      </c>
      <c r="I15" s="151" cm="1">
        <f t="array" ref="I15" xml:space="preserve"> ROW() - ROW($2:$2)</f>
        <v>13</v>
      </c>
      <c r="J15" s="152" t="s">
        <v>394</v>
      </c>
      <c r="K15" s="152" t="s">
        <v>216</v>
      </c>
    </row>
    <row r="16" spans="2:11" ht="32.25">
      <c r="B16" s="156">
        <f t="shared" si="0"/>
        <v>14</v>
      </c>
      <c r="C16" s="161" t="s">
        <v>25</v>
      </c>
      <c r="D16" s="158" t="s">
        <v>393</v>
      </c>
      <c r="E16" s="162" t="s">
        <v>26</v>
      </c>
      <c r="F16" s="163" t="s">
        <v>180</v>
      </c>
      <c r="G16" s="156" t="s">
        <v>538</v>
      </c>
      <c r="I16" s="151" cm="1">
        <f t="array" ref="I16" xml:space="preserve"> ROW() - ROW($2:$2)</f>
        <v>14</v>
      </c>
      <c r="J16" s="152" t="s">
        <v>28</v>
      </c>
      <c r="K16" s="152" t="s">
        <v>515</v>
      </c>
    </row>
    <row r="17" spans="2:7" ht="32.25">
      <c r="B17" s="156">
        <f t="shared" si="0"/>
        <v>15</v>
      </c>
      <c r="C17" s="157" t="s">
        <v>251</v>
      </c>
      <c r="D17" s="158" t="s">
        <v>395</v>
      </c>
      <c r="E17" s="159" t="s">
        <v>150</v>
      </c>
      <c r="F17" s="160" t="s">
        <v>514</v>
      </c>
      <c r="G17" s="156" t="s">
        <v>538</v>
      </c>
    </row>
    <row r="18" spans="2:7" ht="32.25">
      <c r="B18" s="156">
        <f t="shared" si="0"/>
        <v>16</v>
      </c>
      <c r="C18" s="161" t="s">
        <v>29</v>
      </c>
      <c r="D18" s="158" t="s">
        <v>30</v>
      </c>
      <c r="E18" s="162" t="s">
        <v>201</v>
      </c>
      <c r="F18" s="163" t="s">
        <v>201</v>
      </c>
      <c r="G18" s="156" t="s">
        <v>538</v>
      </c>
    </row>
    <row r="19" spans="2:7" ht="32.25">
      <c r="B19" s="156">
        <f>ROW() - 2</f>
        <v>17</v>
      </c>
      <c r="C19" s="161" t="s">
        <v>60</v>
      </c>
      <c r="D19" s="158" t="s">
        <v>61</v>
      </c>
      <c r="E19" s="162" t="s">
        <v>526</v>
      </c>
      <c r="F19" s="163" t="s">
        <v>526</v>
      </c>
      <c r="G19" s="156" t="s">
        <v>538</v>
      </c>
    </row>
    <row r="20" spans="2:7" ht="32.25">
      <c r="B20" s="156">
        <f>ROW() - 2</f>
        <v>18</v>
      </c>
      <c r="C20" s="161" t="s">
        <v>62</v>
      </c>
      <c r="D20" s="158" t="s">
        <v>524</v>
      </c>
      <c r="E20" s="162" t="s">
        <v>513</v>
      </c>
      <c r="F20" s="163" t="s">
        <v>513</v>
      </c>
      <c r="G20" s="156" t="s">
        <v>538</v>
      </c>
    </row>
    <row r="21" spans="2:7" ht="32.25">
      <c r="B21" s="156">
        <f>ROW() - 2</f>
        <v>19</v>
      </c>
      <c r="C21" s="161" t="s">
        <v>77</v>
      </c>
      <c r="D21" s="158" t="s">
        <v>525</v>
      </c>
      <c r="E21" s="162" t="s">
        <v>78</v>
      </c>
      <c r="F21" s="163" t="s">
        <v>527</v>
      </c>
      <c r="G21" s="156" t="s">
        <v>538</v>
      </c>
    </row>
    <row r="22" spans="2:7" ht="32.25">
      <c r="B22" s="156">
        <f>ROW() - 2</f>
        <v>20</v>
      </c>
      <c r="C22" s="161" t="s">
        <v>167</v>
      </c>
      <c r="D22" s="158" t="s">
        <v>63</v>
      </c>
      <c r="E22" s="162" t="s">
        <v>63</v>
      </c>
      <c r="F22" s="163" t="s">
        <v>63</v>
      </c>
      <c r="G22" s="156" t="s">
        <v>538</v>
      </c>
    </row>
    <row r="23" spans="2:7" ht="32.25">
      <c r="B23" s="10">
        <f t="shared" si="0"/>
        <v>21</v>
      </c>
      <c r="C23" s="157" t="s">
        <v>33</v>
      </c>
      <c r="D23" s="165" t="s">
        <v>34</v>
      </c>
      <c r="E23" s="159" t="s">
        <v>164</v>
      </c>
      <c r="F23" s="160" t="s">
        <v>164</v>
      </c>
      <c r="G23" s="10" t="s">
        <v>168</v>
      </c>
    </row>
    <row r="24" spans="2:7" ht="32.25">
      <c r="B24" s="10">
        <f t="shared" si="0"/>
        <v>22</v>
      </c>
      <c r="C24" s="157" t="s">
        <v>79</v>
      </c>
      <c r="D24" s="165" t="s">
        <v>406</v>
      </c>
      <c r="E24" s="159" t="s">
        <v>279</v>
      </c>
      <c r="F24" s="160" t="s">
        <v>279</v>
      </c>
      <c r="G24" s="10" t="s">
        <v>168</v>
      </c>
    </row>
    <row r="25" spans="2:7" ht="32.25">
      <c r="B25" s="10">
        <f t="shared" si="0"/>
        <v>23</v>
      </c>
      <c r="C25" s="157" t="s">
        <v>35</v>
      </c>
      <c r="D25" s="165" t="s">
        <v>36</v>
      </c>
      <c r="E25" s="159" t="s">
        <v>126</v>
      </c>
      <c r="F25" s="160" t="s">
        <v>126</v>
      </c>
      <c r="G25" s="10" t="s">
        <v>168</v>
      </c>
    </row>
    <row r="26" spans="2:7" ht="32.25">
      <c r="B26" s="10">
        <f t="shared" si="0"/>
        <v>24</v>
      </c>
      <c r="C26" s="157" t="s">
        <v>80</v>
      </c>
      <c r="D26" s="165" t="s">
        <v>405</v>
      </c>
      <c r="E26" s="159" t="s">
        <v>281</v>
      </c>
      <c r="F26" s="160" t="s">
        <v>281</v>
      </c>
      <c r="G26" s="10" t="s">
        <v>168</v>
      </c>
    </row>
    <row r="27" spans="2:7" ht="32.25">
      <c r="B27" s="10">
        <f t="shared" si="0"/>
        <v>25</v>
      </c>
      <c r="C27" s="157" t="s">
        <v>37</v>
      </c>
      <c r="D27" s="165" t="s">
        <v>38</v>
      </c>
      <c r="E27" s="159" t="s">
        <v>208</v>
      </c>
      <c r="F27" s="160" t="s">
        <v>208</v>
      </c>
      <c r="G27" s="10" t="s">
        <v>168</v>
      </c>
    </row>
    <row r="28" spans="2:7" ht="32.25">
      <c r="B28" s="10">
        <f t="shared" si="0"/>
        <v>26</v>
      </c>
      <c r="C28" s="157" t="s">
        <v>81</v>
      </c>
      <c r="D28" s="165" t="s">
        <v>207</v>
      </c>
      <c r="E28" s="159" t="s">
        <v>163</v>
      </c>
      <c r="F28" s="160" t="s">
        <v>163</v>
      </c>
      <c r="G28" s="10" t="s">
        <v>168</v>
      </c>
    </row>
    <row r="29" spans="2:7" ht="32.25">
      <c r="B29" s="10">
        <f t="shared" si="0"/>
        <v>27</v>
      </c>
      <c r="C29" s="157" t="s">
        <v>43</v>
      </c>
      <c r="D29" s="165" t="s">
        <v>400</v>
      </c>
      <c r="E29" s="159" t="s">
        <v>205</v>
      </c>
      <c r="F29" s="160" t="s">
        <v>205</v>
      </c>
      <c r="G29" s="10" t="s">
        <v>168</v>
      </c>
    </row>
    <row r="30" spans="2:7" ht="32.25">
      <c r="B30" s="10">
        <f t="shared" si="0"/>
        <v>28</v>
      </c>
      <c r="C30" s="157" t="s">
        <v>85</v>
      </c>
      <c r="D30" s="165" t="s">
        <v>408</v>
      </c>
      <c r="E30" s="159" t="s">
        <v>161</v>
      </c>
      <c r="F30" s="160" t="s">
        <v>516</v>
      </c>
      <c r="G30" s="10" t="s">
        <v>168</v>
      </c>
    </row>
    <row r="31" spans="2:7" ht="32.25">
      <c r="B31" s="10">
        <f t="shared" si="0"/>
        <v>29</v>
      </c>
      <c r="C31" s="157" t="s">
        <v>266</v>
      </c>
      <c r="D31" s="165" t="s">
        <v>401</v>
      </c>
      <c r="E31" s="159" t="s">
        <v>41</v>
      </c>
      <c r="F31" s="160" t="s">
        <v>517</v>
      </c>
      <c r="G31" s="10" t="s">
        <v>168</v>
      </c>
    </row>
    <row r="32" spans="2:7" ht="32.25">
      <c r="B32" s="10">
        <f t="shared" si="0"/>
        <v>30</v>
      </c>
      <c r="C32" s="167" t="s">
        <v>39</v>
      </c>
      <c r="D32" s="168" t="s">
        <v>40</v>
      </c>
      <c r="E32" s="169" t="s">
        <v>195</v>
      </c>
      <c r="F32" s="170" t="s">
        <v>195</v>
      </c>
      <c r="G32" s="10" t="s">
        <v>168</v>
      </c>
    </row>
    <row r="33" spans="2:7" ht="32.25">
      <c r="B33" s="10">
        <f t="shared" si="0"/>
        <v>31</v>
      </c>
      <c r="C33" s="157" t="s">
        <v>83</v>
      </c>
      <c r="D33" s="165" t="s">
        <v>407</v>
      </c>
      <c r="E33" s="159" t="s">
        <v>160</v>
      </c>
      <c r="F33" s="160" t="s">
        <v>160</v>
      </c>
      <c r="G33" s="10" t="s">
        <v>168</v>
      </c>
    </row>
    <row r="34" spans="2:7" ht="32.25">
      <c r="B34" s="10">
        <f t="shared" si="0"/>
        <v>32</v>
      </c>
      <c r="C34" s="167" t="s">
        <v>145</v>
      </c>
      <c r="D34" s="165" t="s">
        <v>402</v>
      </c>
      <c r="E34" s="169" t="s">
        <v>196</v>
      </c>
      <c r="F34" s="170" t="s">
        <v>196</v>
      </c>
      <c r="G34" s="10" t="s">
        <v>168</v>
      </c>
    </row>
    <row r="35" spans="2:7" ht="32.25">
      <c r="B35" s="10">
        <f t="shared" si="0"/>
        <v>33</v>
      </c>
      <c r="C35" s="157" t="s">
        <v>82</v>
      </c>
      <c r="D35" s="165" t="s">
        <v>417</v>
      </c>
      <c r="E35" s="159" t="s">
        <v>159</v>
      </c>
      <c r="F35" s="160" t="s">
        <v>159</v>
      </c>
      <c r="G35" s="10" t="s">
        <v>168</v>
      </c>
    </row>
    <row r="36" spans="2:7" ht="32.25">
      <c r="B36" s="10">
        <f t="shared" si="0"/>
        <v>34</v>
      </c>
      <c r="C36" s="157" t="s">
        <v>47</v>
      </c>
      <c r="D36" s="165" t="s">
        <v>403</v>
      </c>
      <c r="E36" s="159" t="s">
        <v>193</v>
      </c>
      <c r="F36" s="160" t="s">
        <v>193</v>
      </c>
      <c r="G36" s="10" t="s">
        <v>168</v>
      </c>
    </row>
    <row r="37" spans="2:7" ht="32.25">
      <c r="B37" s="10">
        <f t="shared" si="0"/>
        <v>35</v>
      </c>
      <c r="C37" s="157" t="s">
        <v>86</v>
      </c>
      <c r="D37" s="165" t="s">
        <v>418</v>
      </c>
      <c r="E37" s="159" t="s">
        <v>157</v>
      </c>
      <c r="F37" s="160" t="s">
        <v>157</v>
      </c>
      <c r="G37" s="10" t="s">
        <v>168</v>
      </c>
    </row>
    <row r="38" spans="2:7" ht="32.25">
      <c r="B38" s="10">
        <f t="shared" si="0"/>
        <v>36</v>
      </c>
      <c r="C38" s="157" t="s">
        <v>66</v>
      </c>
      <c r="D38" s="165" t="s">
        <v>67</v>
      </c>
      <c r="E38" s="159" t="s">
        <v>115</v>
      </c>
      <c r="F38" s="160" t="s">
        <v>115</v>
      </c>
      <c r="G38" s="10" t="s">
        <v>168</v>
      </c>
    </row>
    <row r="39" spans="2:7" ht="32.25">
      <c r="B39" s="10">
        <f>ROW() - 2</f>
        <v>37</v>
      </c>
      <c r="C39" s="164" t="s">
        <v>415</v>
      </c>
      <c r="D39" s="165" t="s">
        <v>414</v>
      </c>
      <c r="E39" s="159" t="s">
        <v>84</v>
      </c>
      <c r="F39" s="160" t="s">
        <v>414</v>
      </c>
      <c r="G39" s="10" t="s">
        <v>168</v>
      </c>
    </row>
    <row r="40" spans="2:7" ht="32.25">
      <c r="B40" s="10">
        <f t="shared" si="0"/>
        <v>38</v>
      </c>
      <c r="C40" s="157" t="s">
        <v>64</v>
      </c>
      <c r="D40" s="165" t="s">
        <v>404</v>
      </c>
      <c r="E40" s="159" t="s">
        <v>107</v>
      </c>
      <c r="F40" s="160" t="s">
        <v>107</v>
      </c>
      <c r="G40" s="10" t="s">
        <v>168</v>
      </c>
    </row>
    <row r="41" spans="2:7" ht="32.25">
      <c r="B41" s="10">
        <f t="shared" si="0"/>
        <v>39</v>
      </c>
      <c r="C41" s="157" t="s">
        <v>325</v>
      </c>
      <c r="D41" s="165" t="s">
        <v>425</v>
      </c>
      <c r="E41" s="159" t="s">
        <v>282</v>
      </c>
      <c r="F41" s="160" t="s">
        <v>282</v>
      </c>
      <c r="G41" s="10" t="s">
        <v>168</v>
      </c>
    </row>
    <row r="42" spans="2:7" ht="32.25">
      <c r="B42" s="10">
        <f t="shared" si="0"/>
        <v>40</v>
      </c>
      <c r="C42" s="157" t="s">
        <v>68</v>
      </c>
      <c r="D42" s="165" t="s">
        <v>69</v>
      </c>
      <c r="E42" s="159" t="s">
        <v>131</v>
      </c>
      <c r="F42" s="160" t="s">
        <v>131</v>
      </c>
      <c r="G42" s="10" t="s">
        <v>168</v>
      </c>
    </row>
    <row r="43" spans="2:7" ht="32.25">
      <c r="B43" s="10">
        <f>ROW() - 2</f>
        <v>41</v>
      </c>
      <c r="C43" s="157" t="s">
        <v>87</v>
      </c>
      <c r="D43" s="165" t="s">
        <v>88</v>
      </c>
      <c r="E43" s="159" t="s">
        <v>88</v>
      </c>
      <c r="F43" s="166" t="s">
        <v>88</v>
      </c>
      <c r="G43" s="10" t="s">
        <v>168</v>
      </c>
    </row>
    <row r="44" spans="2:7" ht="32.25">
      <c r="B44" s="10">
        <f t="shared" si="0"/>
        <v>42</v>
      </c>
      <c r="C44" s="157" t="s">
        <v>70</v>
      </c>
      <c r="D44" s="165" t="s">
        <v>416</v>
      </c>
      <c r="E44" s="159" t="s">
        <v>106</v>
      </c>
      <c r="F44" s="160" t="s">
        <v>106</v>
      </c>
      <c r="G44" s="10" t="s">
        <v>168</v>
      </c>
    </row>
    <row r="45" spans="2:7" ht="32.25">
      <c r="B45" s="156">
        <f t="shared" si="0"/>
        <v>43</v>
      </c>
      <c r="C45" s="161" t="s">
        <v>342</v>
      </c>
      <c r="D45" s="158" t="s">
        <v>399</v>
      </c>
      <c r="E45" s="162" t="s">
        <v>334</v>
      </c>
      <c r="F45" s="163" t="s">
        <v>326</v>
      </c>
      <c r="G45" s="11" t="s">
        <v>538</v>
      </c>
    </row>
    <row r="46" spans="2:7" ht="32.25">
      <c r="B46" s="10">
        <f t="shared" si="0"/>
        <v>44</v>
      </c>
      <c r="C46" s="157" t="s">
        <v>48</v>
      </c>
      <c r="D46" s="165" t="s">
        <v>420</v>
      </c>
      <c r="E46" s="159" t="s">
        <v>272</v>
      </c>
      <c r="F46" s="171" t="s">
        <v>49</v>
      </c>
      <c r="G46" s="10" t="s">
        <v>168</v>
      </c>
    </row>
    <row r="47" spans="2:7" ht="32.25">
      <c r="B47" s="10">
        <f>ROW() - 2</f>
        <v>45</v>
      </c>
      <c r="C47" s="164" t="s">
        <v>539</v>
      </c>
      <c r="D47" s="172" t="s">
        <v>522</v>
      </c>
      <c r="E47" s="173" t="s">
        <v>523</v>
      </c>
      <c r="F47" s="171" t="s">
        <v>540</v>
      </c>
      <c r="G47" s="10" t="s">
        <v>168</v>
      </c>
    </row>
    <row r="48" spans="2:7" ht="32.25">
      <c r="B48" s="10">
        <f t="shared" si="0"/>
        <v>46</v>
      </c>
      <c r="C48" s="157" t="s">
        <v>98</v>
      </c>
      <c r="D48" s="165" t="s">
        <v>419</v>
      </c>
      <c r="E48" s="159" t="s">
        <v>331</v>
      </c>
      <c r="F48" s="160" t="s">
        <v>96</v>
      </c>
      <c r="G48" s="10" t="s">
        <v>168</v>
      </c>
    </row>
  </sheetData>
  <phoneticPr fontId="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7D4AF-7786-40CC-B881-FC1B7F52E36B}">
  <dimension ref="A1:G6895"/>
  <sheetViews>
    <sheetView workbookViewId="0"/>
  </sheetViews>
  <sheetFormatPr defaultRowHeight="21"/>
  <cols>
    <col min="3" max="4" width="13.3984375" customWidth="1"/>
    <col min="6" max="6" width="27.59765625" customWidth="1"/>
    <col min="7" max="7" width="15.8984375" bestFit="1" customWidth="1"/>
  </cols>
  <sheetData>
    <row r="1" spans="1:7">
      <c r="A1" t="s">
        <v>541</v>
      </c>
      <c r="B1" t="s">
        <v>542</v>
      </c>
      <c r="C1" t="s">
        <v>533</v>
      </c>
      <c r="D1" t="s">
        <v>508</v>
      </c>
      <c r="E1" t="s">
        <v>543</v>
      </c>
      <c r="F1" t="s">
        <v>8215</v>
      </c>
      <c r="G1" t="s">
        <v>8216</v>
      </c>
    </row>
    <row r="2" spans="1:7">
      <c r="A2">
        <v>1</v>
      </c>
      <c r="B2" t="s">
        <v>544</v>
      </c>
      <c r="C2" t="s">
        <v>545</v>
      </c>
      <c r="E2">
        <v>0.6</v>
      </c>
      <c r="F2" t="s">
        <v>546</v>
      </c>
      <c r="G2" s="174">
        <v>45576.460914351854</v>
      </c>
    </row>
    <row r="3" spans="1:7">
      <c r="A3">
        <v>2</v>
      </c>
      <c r="B3" t="s">
        <v>547</v>
      </c>
      <c r="C3" t="s">
        <v>548</v>
      </c>
      <c r="E3">
        <v>0.1</v>
      </c>
      <c r="F3" t="s">
        <v>546</v>
      </c>
      <c r="G3" s="174">
        <v>45576.460914351854</v>
      </c>
    </row>
    <row r="4" spans="1:7">
      <c r="A4">
        <v>3</v>
      </c>
      <c r="B4" t="s">
        <v>549</v>
      </c>
      <c r="C4" t="s">
        <v>550</v>
      </c>
      <c r="E4">
        <v>0.8</v>
      </c>
      <c r="F4" t="s">
        <v>546</v>
      </c>
      <c r="G4" s="174">
        <v>45576.460914351854</v>
      </c>
    </row>
    <row r="5" spans="1:7">
      <c r="A5">
        <v>4</v>
      </c>
      <c r="B5" t="s">
        <v>551</v>
      </c>
      <c r="C5" t="s">
        <v>552</v>
      </c>
      <c r="E5">
        <v>0.01</v>
      </c>
      <c r="F5" t="s">
        <v>546</v>
      </c>
      <c r="G5" s="174">
        <v>45576.460914351854</v>
      </c>
    </row>
    <row r="6" spans="1:7">
      <c r="A6">
        <v>5</v>
      </c>
      <c r="B6" t="s">
        <v>551</v>
      </c>
      <c r="C6" t="s">
        <v>553</v>
      </c>
      <c r="E6">
        <v>0.01</v>
      </c>
      <c r="F6" t="s">
        <v>546</v>
      </c>
      <c r="G6" s="174">
        <v>45576.460914351854</v>
      </c>
    </row>
    <row r="7" spans="1:7">
      <c r="A7">
        <v>6</v>
      </c>
      <c r="B7" t="s">
        <v>554</v>
      </c>
      <c r="C7" t="s">
        <v>555</v>
      </c>
      <c r="E7">
        <v>0.6</v>
      </c>
      <c r="F7" t="s">
        <v>546</v>
      </c>
      <c r="G7" s="174">
        <v>45576.460914351854</v>
      </c>
    </row>
    <row r="8" spans="1:7">
      <c r="A8">
        <v>7</v>
      </c>
      <c r="B8" t="s">
        <v>556</v>
      </c>
      <c r="C8" t="s">
        <v>557</v>
      </c>
      <c r="E8">
        <v>0.6</v>
      </c>
      <c r="F8" t="s">
        <v>546</v>
      </c>
      <c r="G8" s="174">
        <v>45576.460914351854</v>
      </c>
    </row>
    <row r="9" spans="1:7">
      <c r="A9">
        <v>8</v>
      </c>
      <c r="B9" t="s">
        <v>558</v>
      </c>
      <c r="C9" t="s">
        <v>559</v>
      </c>
      <c r="E9">
        <v>0.6</v>
      </c>
      <c r="F9" t="s">
        <v>546</v>
      </c>
      <c r="G9" s="174">
        <v>45576.460914351854</v>
      </c>
    </row>
    <row r="10" spans="1:7">
      <c r="A10">
        <v>9</v>
      </c>
      <c r="B10" t="s">
        <v>558</v>
      </c>
      <c r="C10" t="s">
        <v>560</v>
      </c>
      <c r="E10">
        <v>0.8</v>
      </c>
      <c r="F10" t="s">
        <v>546</v>
      </c>
      <c r="G10" s="174">
        <v>45576.460914351854</v>
      </c>
    </row>
    <row r="11" spans="1:7">
      <c r="A11">
        <v>10</v>
      </c>
      <c r="B11" t="s">
        <v>558</v>
      </c>
      <c r="C11" t="s">
        <v>561</v>
      </c>
      <c r="E11">
        <v>0.7</v>
      </c>
      <c r="F11" t="s">
        <v>546</v>
      </c>
      <c r="G11" s="174">
        <v>45576.460914351854</v>
      </c>
    </row>
    <row r="12" spans="1:7">
      <c r="A12">
        <v>11</v>
      </c>
      <c r="B12" t="s">
        <v>562</v>
      </c>
      <c r="C12" t="s">
        <v>563</v>
      </c>
      <c r="E12">
        <v>1</v>
      </c>
      <c r="F12" t="s">
        <v>546</v>
      </c>
      <c r="G12" s="174">
        <v>45576.460914351854</v>
      </c>
    </row>
    <row r="13" spans="1:7">
      <c r="A13">
        <v>12</v>
      </c>
      <c r="B13" t="s">
        <v>564</v>
      </c>
      <c r="C13" t="s">
        <v>565</v>
      </c>
      <c r="E13">
        <v>0.01</v>
      </c>
      <c r="F13" t="s">
        <v>546</v>
      </c>
      <c r="G13" s="174">
        <v>45576.460914351854</v>
      </c>
    </row>
    <row r="14" spans="1:7">
      <c r="A14">
        <v>13</v>
      </c>
      <c r="B14" t="s">
        <v>566</v>
      </c>
      <c r="C14" t="s">
        <v>567</v>
      </c>
      <c r="E14">
        <v>0.01</v>
      </c>
      <c r="F14" t="s">
        <v>546</v>
      </c>
      <c r="G14" s="174">
        <v>45576.460914351854</v>
      </c>
    </row>
    <row r="15" spans="1:7">
      <c r="A15">
        <v>14</v>
      </c>
      <c r="B15" t="s">
        <v>568</v>
      </c>
      <c r="C15" t="s">
        <v>569</v>
      </c>
      <c r="E15">
        <v>0.1</v>
      </c>
      <c r="F15" t="s">
        <v>546</v>
      </c>
      <c r="G15" s="174">
        <v>45576.460914351854</v>
      </c>
    </row>
    <row r="16" spans="1:7">
      <c r="A16">
        <v>15</v>
      </c>
      <c r="B16" t="s">
        <v>570</v>
      </c>
      <c r="C16" t="s">
        <v>571</v>
      </c>
      <c r="E16">
        <v>0.8</v>
      </c>
      <c r="F16" t="s">
        <v>546</v>
      </c>
      <c r="G16" s="174">
        <v>45576.460914351854</v>
      </c>
    </row>
    <row r="17" spans="1:7">
      <c r="A17">
        <v>16</v>
      </c>
      <c r="B17" t="s">
        <v>572</v>
      </c>
      <c r="C17" t="s">
        <v>573</v>
      </c>
      <c r="E17">
        <v>0.05</v>
      </c>
      <c r="F17" t="s">
        <v>546</v>
      </c>
      <c r="G17" s="174">
        <v>45576.460914351854</v>
      </c>
    </row>
    <row r="18" spans="1:7">
      <c r="A18">
        <v>17</v>
      </c>
      <c r="B18" t="s">
        <v>574</v>
      </c>
      <c r="C18" t="s">
        <v>575</v>
      </c>
      <c r="E18">
        <v>0.8</v>
      </c>
      <c r="F18" t="s">
        <v>546</v>
      </c>
      <c r="G18" s="174">
        <v>45576.460914351854</v>
      </c>
    </row>
    <row r="19" spans="1:7">
      <c r="A19">
        <v>18</v>
      </c>
      <c r="B19" t="s">
        <v>576</v>
      </c>
      <c r="C19" t="s">
        <v>577</v>
      </c>
      <c r="E19">
        <v>0.1</v>
      </c>
      <c r="F19" t="s">
        <v>546</v>
      </c>
      <c r="G19" s="174">
        <v>45576.460914351854</v>
      </c>
    </row>
    <row r="20" spans="1:7">
      <c r="A20">
        <v>19</v>
      </c>
      <c r="B20" t="s">
        <v>578</v>
      </c>
      <c r="C20" t="s">
        <v>579</v>
      </c>
      <c r="E20">
        <v>0.01</v>
      </c>
      <c r="F20" t="s">
        <v>546</v>
      </c>
      <c r="G20" s="174">
        <v>45576.460914351854</v>
      </c>
    </row>
    <row r="21" spans="1:7">
      <c r="A21">
        <v>20</v>
      </c>
      <c r="B21" t="s">
        <v>580</v>
      </c>
      <c r="C21" t="s">
        <v>581</v>
      </c>
      <c r="E21">
        <v>0.01</v>
      </c>
      <c r="F21" t="s">
        <v>546</v>
      </c>
      <c r="G21" s="174">
        <v>45576.460914351854</v>
      </c>
    </row>
    <row r="22" spans="1:7">
      <c r="A22">
        <v>21</v>
      </c>
      <c r="B22" t="s">
        <v>582</v>
      </c>
      <c r="C22" t="s">
        <v>583</v>
      </c>
      <c r="E22">
        <v>0.01</v>
      </c>
      <c r="F22" t="s">
        <v>546</v>
      </c>
      <c r="G22" s="174">
        <v>45576.460914351854</v>
      </c>
    </row>
    <row r="23" spans="1:7">
      <c r="A23">
        <v>22</v>
      </c>
      <c r="B23" t="s">
        <v>584</v>
      </c>
      <c r="C23" t="s">
        <v>585</v>
      </c>
      <c r="E23">
        <v>0.01</v>
      </c>
      <c r="F23" t="s">
        <v>546</v>
      </c>
      <c r="G23" s="174">
        <v>45576.460914351854</v>
      </c>
    </row>
    <row r="24" spans="1:7">
      <c r="A24">
        <v>23</v>
      </c>
      <c r="B24" t="s">
        <v>586</v>
      </c>
      <c r="C24" t="s">
        <v>587</v>
      </c>
      <c r="E24">
        <v>0.01</v>
      </c>
      <c r="F24" t="s">
        <v>546</v>
      </c>
      <c r="G24" s="174">
        <v>45576.460914351854</v>
      </c>
    </row>
    <row r="25" spans="1:7">
      <c r="A25">
        <v>24</v>
      </c>
      <c r="B25" t="s">
        <v>588</v>
      </c>
      <c r="C25" t="s">
        <v>589</v>
      </c>
      <c r="E25">
        <v>0.01</v>
      </c>
      <c r="F25" t="s">
        <v>546</v>
      </c>
      <c r="G25" s="174">
        <v>45576.460914351854</v>
      </c>
    </row>
    <row r="26" spans="1:7">
      <c r="A26">
        <v>25</v>
      </c>
      <c r="B26" t="s">
        <v>590</v>
      </c>
      <c r="C26" t="s">
        <v>583</v>
      </c>
      <c r="E26">
        <v>0.01</v>
      </c>
      <c r="F26" t="s">
        <v>546</v>
      </c>
      <c r="G26" s="174">
        <v>45576.460914351854</v>
      </c>
    </row>
    <row r="27" spans="1:7">
      <c r="A27">
        <v>26</v>
      </c>
      <c r="B27" t="s">
        <v>591</v>
      </c>
      <c r="C27" t="s">
        <v>592</v>
      </c>
      <c r="E27">
        <v>0.6</v>
      </c>
      <c r="F27" t="s">
        <v>546</v>
      </c>
      <c r="G27" s="174">
        <v>45576.460914351854</v>
      </c>
    </row>
    <row r="28" spans="1:7">
      <c r="A28">
        <v>27</v>
      </c>
      <c r="B28" t="s">
        <v>593</v>
      </c>
      <c r="C28" t="s">
        <v>577</v>
      </c>
      <c r="E28">
        <v>0.5</v>
      </c>
      <c r="F28" t="s">
        <v>546</v>
      </c>
      <c r="G28" s="174">
        <v>45576.460914351854</v>
      </c>
    </row>
    <row r="29" spans="1:7">
      <c r="A29">
        <v>28</v>
      </c>
      <c r="B29" t="s">
        <v>594</v>
      </c>
      <c r="C29" t="s">
        <v>595</v>
      </c>
      <c r="E29">
        <v>0.6</v>
      </c>
      <c r="F29" t="s">
        <v>546</v>
      </c>
      <c r="G29" s="174">
        <v>45576.460914351854</v>
      </c>
    </row>
    <row r="30" spans="1:7">
      <c r="A30">
        <v>29</v>
      </c>
      <c r="B30" t="s">
        <v>596</v>
      </c>
      <c r="C30" t="s">
        <v>597</v>
      </c>
      <c r="E30">
        <v>0.01</v>
      </c>
      <c r="F30" t="s">
        <v>546</v>
      </c>
      <c r="G30" s="174">
        <v>45576.460914351854</v>
      </c>
    </row>
    <row r="31" spans="1:7">
      <c r="A31">
        <v>30</v>
      </c>
      <c r="B31" t="s">
        <v>598</v>
      </c>
      <c r="C31" t="s">
        <v>599</v>
      </c>
      <c r="E31">
        <v>0.01</v>
      </c>
      <c r="F31" t="s">
        <v>546</v>
      </c>
      <c r="G31" s="174">
        <v>45576.460914351854</v>
      </c>
    </row>
    <row r="32" spans="1:7">
      <c r="A32">
        <v>31</v>
      </c>
      <c r="B32" t="s">
        <v>600</v>
      </c>
      <c r="C32" t="s">
        <v>601</v>
      </c>
      <c r="E32">
        <v>0.01</v>
      </c>
      <c r="F32" t="s">
        <v>546</v>
      </c>
      <c r="G32" s="174">
        <v>45576.460914351854</v>
      </c>
    </row>
    <row r="33" spans="1:7">
      <c r="A33">
        <v>32</v>
      </c>
      <c r="B33" t="s">
        <v>602</v>
      </c>
      <c r="C33" t="s">
        <v>603</v>
      </c>
      <c r="E33">
        <v>0.01</v>
      </c>
      <c r="F33" t="s">
        <v>546</v>
      </c>
      <c r="G33" s="174">
        <v>45576.460914351854</v>
      </c>
    </row>
    <row r="34" spans="1:7">
      <c r="A34">
        <v>33</v>
      </c>
      <c r="B34" t="s">
        <v>604</v>
      </c>
      <c r="C34" t="s">
        <v>605</v>
      </c>
      <c r="E34">
        <v>0.8</v>
      </c>
      <c r="F34" t="s">
        <v>546</v>
      </c>
      <c r="G34" s="174">
        <v>45576.460914351854</v>
      </c>
    </row>
    <row r="35" spans="1:7">
      <c r="A35">
        <v>34</v>
      </c>
      <c r="B35" t="s">
        <v>606</v>
      </c>
      <c r="C35" t="s">
        <v>607</v>
      </c>
      <c r="E35">
        <v>0.1</v>
      </c>
      <c r="F35" t="s">
        <v>546</v>
      </c>
      <c r="G35" s="174">
        <v>45576.460914351854</v>
      </c>
    </row>
    <row r="36" spans="1:7">
      <c r="A36">
        <v>35</v>
      </c>
      <c r="B36" t="s">
        <v>608</v>
      </c>
      <c r="C36" t="s">
        <v>609</v>
      </c>
      <c r="E36">
        <v>0.7</v>
      </c>
      <c r="F36" t="s">
        <v>610</v>
      </c>
      <c r="G36" s="174">
        <v>45576.460914351854</v>
      </c>
    </row>
    <row r="37" spans="1:7">
      <c r="A37">
        <v>36</v>
      </c>
      <c r="B37" t="s">
        <v>611</v>
      </c>
      <c r="C37" t="s">
        <v>612</v>
      </c>
      <c r="E37">
        <v>0.6</v>
      </c>
      <c r="F37" t="s">
        <v>546</v>
      </c>
      <c r="G37" s="174">
        <v>45576.460914351854</v>
      </c>
    </row>
    <row r="38" spans="1:7">
      <c r="A38">
        <v>37</v>
      </c>
      <c r="B38" t="s">
        <v>613</v>
      </c>
      <c r="C38" t="s">
        <v>573</v>
      </c>
      <c r="E38">
        <v>0.8</v>
      </c>
      <c r="F38" t="s">
        <v>614</v>
      </c>
      <c r="G38" s="174">
        <v>45576.460914351854</v>
      </c>
    </row>
    <row r="39" spans="1:7">
      <c r="A39">
        <v>38</v>
      </c>
      <c r="B39" t="s">
        <v>613</v>
      </c>
      <c r="C39" t="s">
        <v>615</v>
      </c>
      <c r="E39">
        <v>0.7</v>
      </c>
      <c r="F39" t="s">
        <v>616</v>
      </c>
      <c r="G39" s="174">
        <v>45576.460914351854</v>
      </c>
    </row>
    <row r="40" spans="1:7">
      <c r="A40">
        <v>39</v>
      </c>
      <c r="B40" t="s">
        <v>617</v>
      </c>
      <c r="C40" t="s">
        <v>618</v>
      </c>
      <c r="E40">
        <v>0.01</v>
      </c>
      <c r="F40" t="s">
        <v>546</v>
      </c>
      <c r="G40" s="174">
        <v>45576.460914351854</v>
      </c>
    </row>
    <row r="41" spans="1:7">
      <c r="A41">
        <v>40</v>
      </c>
      <c r="B41" t="s">
        <v>619</v>
      </c>
      <c r="C41" t="s">
        <v>620</v>
      </c>
      <c r="E41">
        <v>0.01</v>
      </c>
      <c r="F41" t="s">
        <v>546</v>
      </c>
      <c r="G41" s="174">
        <v>45576.460914351854</v>
      </c>
    </row>
    <row r="42" spans="1:7">
      <c r="A42">
        <v>41</v>
      </c>
      <c r="B42" t="s">
        <v>621</v>
      </c>
      <c r="C42" t="s">
        <v>622</v>
      </c>
      <c r="E42">
        <v>0.01</v>
      </c>
      <c r="F42" t="s">
        <v>546</v>
      </c>
      <c r="G42" s="174">
        <v>45576.460914351854</v>
      </c>
    </row>
    <row r="43" spans="1:7">
      <c r="A43">
        <v>42</v>
      </c>
      <c r="B43" t="s">
        <v>623</v>
      </c>
      <c r="C43" t="s">
        <v>624</v>
      </c>
      <c r="E43">
        <v>0.01</v>
      </c>
      <c r="F43" t="s">
        <v>546</v>
      </c>
      <c r="G43" s="174">
        <v>45576.460914351854</v>
      </c>
    </row>
    <row r="44" spans="1:7">
      <c r="A44">
        <v>43</v>
      </c>
      <c r="B44" t="s">
        <v>623</v>
      </c>
      <c r="C44" t="s">
        <v>625</v>
      </c>
      <c r="E44">
        <v>0.01</v>
      </c>
      <c r="F44" t="s">
        <v>546</v>
      </c>
      <c r="G44" s="174">
        <v>45576.460914351854</v>
      </c>
    </row>
    <row r="45" spans="1:7">
      <c r="A45">
        <v>44</v>
      </c>
      <c r="B45" t="s">
        <v>626</v>
      </c>
      <c r="C45" t="s">
        <v>627</v>
      </c>
      <c r="E45">
        <v>0.01</v>
      </c>
      <c r="F45" t="s">
        <v>546</v>
      </c>
      <c r="G45" s="174">
        <v>45576.460914351854</v>
      </c>
    </row>
    <row r="46" spans="1:7">
      <c r="A46">
        <v>45</v>
      </c>
      <c r="B46" t="s">
        <v>628</v>
      </c>
      <c r="C46" t="s">
        <v>629</v>
      </c>
      <c r="E46">
        <v>0.01</v>
      </c>
      <c r="F46" t="s">
        <v>546</v>
      </c>
      <c r="G46" s="174">
        <v>45576.460914351854</v>
      </c>
    </row>
    <row r="47" spans="1:7">
      <c r="A47">
        <v>46</v>
      </c>
      <c r="B47" t="s">
        <v>630</v>
      </c>
      <c r="C47" t="s">
        <v>631</v>
      </c>
      <c r="E47">
        <v>0.1</v>
      </c>
      <c r="F47" t="s">
        <v>546</v>
      </c>
      <c r="G47" s="174">
        <v>45576.460914351854</v>
      </c>
    </row>
    <row r="48" spans="1:7">
      <c r="A48">
        <v>47</v>
      </c>
      <c r="B48" t="s">
        <v>632</v>
      </c>
      <c r="C48" t="s">
        <v>633</v>
      </c>
      <c r="E48">
        <v>0.1</v>
      </c>
      <c r="F48" t="s">
        <v>546</v>
      </c>
      <c r="G48" s="174">
        <v>45576.460914351854</v>
      </c>
    </row>
    <row r="49" spans="1:7">
      <c r="A49">
        <v>48</v>
      </c>
      <c r="B49" t="s">
        <v>632</v>
      </c>
      <c r="C49" t="s">
        <v>634</v>
      </c>
      <c r="E49">
        <v>0.1</v>
      </c>
      <c r="F49" t="s">
        <v>546</v>
      </c>
      <c r="G49" s="174">
        <v>45576.460914351854</v>
      </c>
    </row>
    <row r="50" spans="1:7">
      <c r="A50">
        <v>49</v>
      </c>
      <c r="B50" t="s">
        <v>632</v>
      </c>
      <c r="C50" t="s">
        <v>635</v>
      </c>
      <c r="E50">
        <v>0.05</v>
      </c>
      <c r="F50" t="s">
        <v>546</v>
      </c>
      <c r="G50" s="174">
        <v>45576.460914351854</v>
      </c>
    </row>
    <row r="51" spans="1:7">
      <c r="A51">
        <v>50</v>
      </c>
      <c r="B51" t="s">
        <v>636</v>
      </c>
      <c r="C51" t="s">
        <v>637</v>
      </c>
      <c r="E51">
        <v>0.01</v>
      </c>
      <c r="F51" t="s">
        <v>546</v>
      </c>
      <c r="G51" s="174">
        <v>45576.460914351854</v>
      </c>
    </row>
    <row r="52" spans="1:7">
      <c r="A52">
        <v>51</v>
      </c>
      <c r="B52" t="s">
        <v>636</v>
      </c>
      <c r="C52" t="s">
        <v>638</v>
      </c>
      <c r="E52">
        <v>0.01</v>
      </c>
      <c r="F52" t="s">
        <v>546</v>
      </c>
      <c r="G52" s="174">
        <v>45576.460914351854</v>
      </c>
    </row>
    <row r="53" spans="1:7">
      <c r="A53">
        <v>52</v>
      </c>
      <c r="B53" t="s">
        <v>639</v>
      </c>
      <c r="C53" t="s">
        <v>640</v>
      </c>
      <c r="E53">
        <v>0.01</v>
      </c>
      <c r="F53" t="s">
        <v>546</v>
      </c>
      <c r="G53" s="174">
        <v>45576.460914351854</v>
      </c>
    </row>
    <row r="54" spans="1:7">
      <c r="A54">
        <v>53</v>
      </c>
      <c r="B54" t="s">
        <v>639</v>
      </c>
      <c r="C54" t="s">
        <v>641</v>
      </c>
      <c r="E54">
        <v>0.01</v>
      </c>
      <c r="F54" t="s">
        <v>546</v>
      </c>
      <c r="G54" s="174">
        <v>45576.460914351854</v>
      </c>
    </row>
    <row r="55" spans="1:7">
      <c r="A55">
        <v>54</v>
      </c>
      <c r="B55" t="s">
        <v>642</v>
      </c>
      <c r="C55" t="s">
        <v>643</v>
      </c>
      <c r="E55">
        <v>0.01</v>
      </c>
      <c r="F55" t="s">
        <v>546</v>
      </c>
      <c r="G55" s="174">
        <v>45576.460914351854</v>
      </c>
    </row>
    <row r="56" spans="1:7">
      <c r="A56">
        <v>55</v>
      </c>
      <c r="B56" t="s">
        <v>644</v>
      </c>
      <c r="C56" t="s">
        <v>645</v>
      </c>
      <c r="E56">
        <v>0.01</v>
      </c>
      <c r="F56" t="s">
        <v>546</v>
      </c>
      <c r="G56" s="174">
        <v>45576.460914351854</v>
      </c>
    </row>
    <row r="57" spans="1:7">
      <c r="A57">
        <v>56</v>
      </c>
      <c r="B57" t="s">
        <v>646</v>
      </c>
      <c r="C57" t="s">
        <v>647</v>
      </c>
      <c r="E57">
        <v>0.01</v>
      </c>
      <c r="F57" t="s">
        <v>546</v>
      </c>
      <c r="G57" s="174">
        <v>45576.460914351854</v>
      </c>
    </row>
    <row r="58" spans="1:7">
      <c r="A58">
        <v>57</v>
      </c>
      <c r="B58" t="s">
        <v>648</v>
      </c>
      <c r="C58" t="s">
        <v>649</v>
      </c>
      <c r="E58">
        <v>0.01</v>
      </c>
      <c r="F58" t="s">
        <v>546</v>
      </c>
      <c r="G58" s="174">
        <v>45576.460914351854</v>
      </c>
    </row>
    <row r="59" spans="1:7">
      <c r="A59">
        <v>58</v>
      </c>
      <c r="B59" t="s">
        <v>650</v>
      </c>
      <c r="C59" t="s">
        <v>651</v>
      </c>
      <c r="E59">
        <v>0.01</v>
      </c>
      <c r="F59" t="s">
        <v>546</v>
      </c>
      <c r="G59" s="174">
        <v>45576.460914351854</v>
      </c>
    </row>
    <row r="60" spans="1:7">
      <c r="A60">
        <v>59</v>
      </c>
      <c r="B60" t="s">
        <v>652</v>
      </c>
      <c r="C60" t="s">
        <v>653</v>
      </c>
      <c r="E60">
        <v>0.01</v>
      </c>
      <c r="F60" t="s">
        <v>546</v>
      </c>
      <c r="G60" s="174">
        <v>45576.460914351854</v>
      </c>
    </row>
    <row r="61" spans="1:7">
      <c r="A61">
        <v>60</v>
      </c>
      <c r="B61" t="s">
        <v>654</v>
      </c>
      <c r="C61" t="s">
        <v>655</v>
      </c>
      <c r="E61">
        <v>0.01</v>
      </c>
      <c r="F61" t="s">
        <v>546</v>
      </c>
      <c r="G61" s="174">
        <v>45576.460914351854</v>
      </c>
    </row>
    <row r="62" spans="1:7">
      <c r="A62">
        <v>61</v>
      </c>
      <c r="B62" t="s">
        <v>656</v>
      </c>
      <c r="C62" t="s">
        <v>657</v>
      </c>
      <c r="E62">
        <v>0.1</v>
      </c>
      <c r="F62" t="s">
        <v>546</v>
      </c>
      <c r="G62" s="174">
        <v>45576.460914351854</v>
      </c>
    </row>
    <row r="63" spans="1:7">
      <c r="A63">
        <v>62</v>
      </c>
      <c r="B63" t="s">
        <v>658</v>
      </c>
      <c r="C63" t="s">
        <v>659</v>
      </c>
      <c r="E63">
        <v>0.8</v>
      </c>
      <c r="F63" t="s">
        <v>546</v>
      </c>
      <c r="G63" s="174">
        <v>45576.460914351854</v>
      </c>
    </row>
    <row r="64" spans="1:7">
      <c r="A64">
        <v>63</v>
      </c>
      <c r="B64" t="s">
        <v>660</v>
      </c>
      <c r="C64" t="s">
        <v>661</v>
      </c>
      <c r="E64">
        <v>0.1</v>
      </c>
      <c r="F64" t="s">
        <v>546</v>
      </c>
      <c r="G64" s="174">
        <v>45576.460914351854</v>
      </c>
    </row>
    <row r="65" spans="1:7">
      <c r="A65">
        <v>64</v>
      </c>
      <c r="B65" t="s">
        <v>662</v>
      </c>
      <c r="C65" t="s">
        <v>571</v>
      </c>
      <c r="E65">
        <v>0.1</v>
      </c>
      <c r="F65" t="s">
        <v>546</v>
      </c>
      <c r="G65" s="174">
        <v>45576.460914351854</v>
      </c>
    </row>
    <row r="66" spans="1:7">
      <c r="A66">
        <v>65</v>
      </c>
      <c r="B66" t="s">
        <v>663</v>
      </c>
      <c r="C66" t="s">
        <v>664</v>
      </c>
      <c r="E66">
        <v>0.01</v>
      </c>
      <c r="F66" t="s">
        <v>546</v>
      </c>
      <c r="G66" s="174">
        <v>45576.460914351854</v>
      </c>
    </row>
    <row r="67" spans="1:7">
      <c r="A67">
        <v>66</v>
      </c>
      <c r="B67" t="s">
        <v>665</v>
      </c>
      <c r="C67" t="s">
        <v>666</v>
      </c>
      <c r="E67">
        <v>0.01</v>
      </c>
      <c r="F67" t="s">
        <v>546</v>
      </c>
      <c r="G67" s="174">
        <v>45576.460914351854</v>
      </c>
    </row>
    <row r="68" spans="1:7">
      <c r="A68">
        <v>67</v>
      </c>
      <c r="B68" t="s">
        <v>667</v>
      </c>
      <c r="C68" t="s">
        <v>668</v>
      </c>
      <c r="E68">
        <v>0.1</v>
      </c>
      <c r="F68" t="s">
        <v>546</v>
      </c>
      <c r="G68" s="174">
        <v>45576.460914351854</v>
      </c>
    </row>
    <row r="69" spans="1:7">
      <c r="A69">
        <v>68</v>
      </c>
      <c r="B69" t="s">
        <v>669</v>
      </c>
      <c r="C69" t="s">
        <v>670</v>
      </c>
      <c r="E69">
        <v>0.01</v>
      </c>
      <c r="F69" t="s">
        <v>546</v>
      </c>
      <c r="G69" s="174">
        <v>45576.460914351854</v>
      </c>
    </row>
    <row r="70" spans="1:7">
      <c r="A70">
        <v>69</v>
      </c>
      <c r="B70" t="s">
        <v>671</v>
      </c>
      <c r="C70" t="s">
        <v>672</v>
      </c>
      <c r="E70">
        <v>0.01</v>
      </c>
      <c r="F70" t="s">
        <v>546</v>
      </c>
      <c r="G70" s="174">
        <v>45576.460914351854</v>
      </c>
    </row>
    <row r="71" spans="1:7">
      <c r="A71">
        <v>70</v>
      </c>
      <c r="B71" t="s">
        <v>673</v>
      </c>
      <c r="C71" t="s">
        <v>577</v>
      </c>
      <c r="E71">
        <v>0.6</v>
      </c>
      <c r="F71" t="s">
        <v>546</v>
      </c>
      <c r="G71" s="174">
        <v>45576.460914351854</v>
      </c>
    </row>
    <row r="72" spans="1:7">
      <c r="A72">
        <v>71</v>
      </c>
      <c r="B72" t="s">
        <v>674</v>
      </c>
      <c r="C72" t="s">
        <v>675</v>
      </c>
      <c r="E72">
        <v>0.1</v>
      </c>
      <c r="F72" t="s">
        <v>546</v>
      </c>
      <c r="G72" s="174">
        <v>45576.460914351854</v>
      </c>
    </row>
    <row r="73" spans="1:7">
      <c r="A73">
        <v>72</v>
      </c>
      <c r="B73" t="s">
        <v>676</v>
      </c>
      <c r="C73" t="s">
        <v>677</v>
      </c>
      <c r="E73">
        <v>0.01</v>
      </c>
      <c r="F73" t="s">
        <v>546</v>
      </c>
      <c r="G73" s="174">
        <v>45576.460914351854</v>
      </c>
    </row>
    <row r="74" spans="1:7">
      <c r="A74">
        <v>73</v>
      </c>
      <c r="B74" t="s">
        <v>678</v>
      </c>
      <c r="C74" t="s">
        <v>679</v>
      </c>
      <c r="E74">
        <v>0.6</v>
      </c>
      <c r="F74" t="s">
        <v>546</v>
      </c>
      <c r="G74" s="174">
        <v>45576.460914351854</v>
      </c>
    </row>
    <row r="75" spans="1:7">
      <c r="A75">
        <v>74</v>
      </c>
      <c r="B75" t="s">
        <v>680</v>
      </c>
      <c r="C75" t="s">
        <v>681</v>
      </c>
      <c r="E75">
        <v>0.1</v>
      </c>
      <c r="F75" t="s">
        <v>546</v>
      </c>
      <c r="G75" s="174">
        <v>45576.460914351854</v>
      </c>
    </row>
    <row r="76" spans="1:7">
      <c r="A76">
        <v>75</v>
      </c>
      <c r="B76" t="s">
        <v>682</v>
      </c>
      <c r="C76" t="s">
        <v>683</v>
      </c>
      <c r="E76">
        <v>0.01</v>
      </c>
      <c r="F76" t="s">
        <v>546</v>
      </c>
      <c r="G76" s="174">
        <v>45576.460914351854</v>
      </c>
    </row>
    <row r="77" spans="1:7">
      <c r="A77">
        <v>76</v>
      </c>
      <c r="B77" t="s">
        <v>684</v>
      </c>
      <c r="C77" t="s">
        <v>685</v>
      </c>
      <c r="E77">
        <v>0.01</v>
      </c>
      <c r="F77" t="s">
        <v>546</v>
      </c>
      <c r="G77" s="174">
        <v>45576.460914351854</v>
      </c>
    </row>
    <row r="78" spans="1:7">
      <c r="A78">
        <v>77</v>
      </c>
      <c r="B78" t="s">
        <v>684</v>
      </c>
      <c r="C78" t="s">
        <v>686</v>
      </c>
      <c r="E78">
        <v>0.01</v>
      </c>
      <c r="F78" t="s">
        <v>546</v>
      </c>
      <c r="G78" s="174">
        <v>45576.460914351854</v>
      </c>
    </row>
    <row r="79" spans="1:7">
      <c r="A79">
        <v>78</v>
      </c>
      <c r="B79" t="s">
        <v>687</v>
      </c>
      <c r="C79" t="s">
        <v>688</v>
      </c>
      <c r="E79">
        <v>0.01</v>
      </c>
      <c r="F79" t="s">
        <v>546</v>
      </c>
      <c r="G79" s="174">
        <v>45576.460914351854</v>
      </c>
    </row>
    <row r="80" spans="1:7">
      <c r="A80">
        <v>79</v>
      </c>
      <c r="B80" t="s">
        <v>689</v>
      </c>
      <c r="C80" t="s">
        <v>690</v>
      </c>
      <c r="E80">
        <v>0.01</v>
      </c>
      <c r="F80" t="s">
        <v>546</v>
      </c>
      <c r="G80" s="174">
        <v>45576.460914351854</v>
      </c>
    </row>
    <row r="81" spans="1:7">
      <c r="A81">
        <v>80</v>
      </c>
      <c r="B81" t="s">
        <v>691</v>
      </c>
      <c r="C81" t="s">
        <v>622</v>
      </c>
      <c r="E81">
        <v>0.01</v>
      </c>
      <c r="F81" t="s">
        <v>546</v>
      </c>
      <c r="G81" s="174">
        <v>45576.460914351854</v>
      </c>
    </row>
    <row r="82" spans="1:7">
      <c r="A82">
        <v>81</v>
      </c>
      <c r="B82" t="s">
        <v>692</v>
      </c>
      <c r="C82" t="s">
        <v>693</v>
      </c>
      <c r="E82">
        <v>0.01</v>
      </c>
      <c r="F82" t="s">
        <v>546</v>
      </c>
      <c r="G82" s="174">
        <v>45576.460914351854</v>
      </c>
    </row>
    <row r="83" spans="1:7">
      <c r="A83">
        <v>82</v>
      </c>
      <c r="B83" t="s">
        <v>694</v>
      </c>
      <c r="C83" t="s">
        <v>695</v>
      </c>
      <c r="E83">
        <v>0.6</v>
      </c>
      <c r="F83" t="s">
        <v>696</v>
      </c>
      <c r="G83" s="174">
        <v>45576.460914351854</v>
      </c>
    </row>
    <row r="84" spans="1:7">
      <c r="A84">
        <v>83</v>
      </c>
      <c r="B84" t="s">
        <v>697</v>
      </c>
      <c r="C84" t="s">
        <v>698</v>
      </c>
      <c r="E84">
        <v>0.5</v>
      </c>
      <c r="F84" t="s">
        <v>699</v>
      </c>
      <c r="G84" s="174">
        <v>45576.460914351854</v>
      </c>
    </row>
    <row r="85" spans="1:7">
      <c r="A85">
        <v>84</v>
      </c>
      <c r="B85" t="s">
        <v>700</v>
      </c>
      <c r="C85" t="s">
        <v>701</v>
      </c>
      <c r="E85">
        <v>0.01</v>
      </c>
      <c r="F85" t="s">
        <v>546</v>
      </c>
      <c r="G85" s="174">
        <v>45576.460914351854</v>
      </c>
    </row>
    <row r="86" spans="1:7">
      <c r="A86">
        <v>85</v>
      </c>
      <c r="B86" t="s">
        <v>702</v>
      </c>
      <c r="C86" t="s">
        <v>703</v>
      </c>
      <c r="E86">
        <v>0.01</v>
      </c>
      <c r="F86" t="s">
        <v>546</v>
      </c>
      <c r="G86" s="174">
        <v>45576.460914351854</v>
      </c>
    </row>
    <row r="87" spans="1:7">
      <c r="A87">
        <v>86</v>
      </c>
      <c r="B87" t="s">
        <v>702</v>
      </c>
      <c r="C87" t="s">
        <v>569</v>
      </c>
      <c r="E87">
        <v>0.01</v>
      </c>
      <c r="F87" t="s">
        <v>546</v>
      </c>
      <c r="G87" s="174">
        <v>45576.460914351854</v>
      </c>
    </row>
    <row r="88" spans="1:7">
      <c r="A88">
        <v>87</v>
      </c>
      <c r="B88" t="s">
        <v>702</v>
      </c>
      <c r="C88" t="s">
        <v>704</v>
      </c>
      <c r="E88">
        <v>0.01</v>
      </c>
      <c r="F88" t="s">
        <v>546</v>
      </c>
      <c r="G88" s="174">
        <v>45576.460914351854</v>
      </c>
    </row>
    <row r="89" spans="1:7">
      <c r="A89">
        <v>88</v>
      </c>
      <c r="B89" t="s">
        <v>705</v>
      </c>
      <c r="C89" t="s">
        <v>706</v>
      </c>
      <c r="E89">
        <v>0.5</v>
      </c>
      <c r="F89" t="s">
        <v>707</v>
      </c>
      <c r="G89" s="174">
        <v>45576.460914351854</v>
      </c>
    </row>
    <row r="90" spans="1:7">
      <c r="A90">
        <v>89</v>
      </c>
      <c r="B90" t="s">
        <v>705</v>
      </c>
      <c r="C90" t="s">
        <v>708</v>
      </c>
      <c r="E90">
        <v>0.01</v>
      </c>
      <c r="F90" t="s">
        <v>546</v>
      </c>
      <c r="G90" s="174">
        <v>45576.460914351854</v>
      </c>
    </row>
    <row r="91" spans="1:7">
      <c r="A91">
        <v>90</v>
      </c>
      <c r="B91" t="s">
        <v>709</v>
      </c>
      <c r="C91" t="s">
        <v>710</v>
      </c>
      <c r="E91">
        <v>0.01</v>
      </c>
      <c r="F91" t="s">
        <v>546</v>
      </c>
      <c r="G91" s="174">
        <v>45576.460914351854</v>
      </c>
    </row>
    <row r="92" spans="1:7">
      <c r="A92">
        <v>91</v>
      </c>
      <c r="B92" t="s">
        <v>711</v>
      </c>
      <c r="C92" t="s">
        <v>712</v>
      </c>
      <c r="E92">
        <v>0.01</v>
      </c>
      <c r="F92" t="s">
        <v>546</v>
      </c>
      <c r="G92" s="174">
        <v>45576.460914351854</v>
      </c>
    </row>
    <row r="93" spans="1:7">
      <c r="A93">
        <v>92</v>
      </c>
      <c r="B93" t="s">
        <v>713</v>
      </c>
      <c r="C93" t="s">
        <v>625</v>
      </c>
      <c r="E93">
        <v>0.01</v>
      </c>
      <c r="F93" t="s">
        <v>546</v>
      </c>
      <c r="G93" s="174">
        <v>45576.460914351854</v>
      </c>
    </row>
    <row r="94" spans="1:7">
      <c r="A94">
        <v>93</v>
      </c>
      <c r="B94" t="s">
        <v>714</v>
      </c>
      <c r="C94" t="s">
        <v>715</v>
      </c>
      <c r="E94">
        <v>0.5</v>
      </c>
      <c r="F94" t="s">
        <v>546</v>
      </c>
      <c r="G94" s="174">
        <v>45576.460914351854</v>
      </c>
    </row>
    <row r="95" spans="1:7">
      <c r="A95">
        <v>94</v>
      </c>
      <c r="B95" t="s">
        <v>714</v>
      </c>
      <c r="C95" t="s">
        <v>716</v>
      </c>
      <c r="E95">
        <v>0.6</v>
      </c>
      <c r="F95" t="s">
        <v>546</v>
      </c>
      <c r="G95" s="174">
        <v>45576.460914351854</v>
      </c>
    </row>
    <row r="96" spans="1:7">
      <c r="A96">
        <v>95</v>
      </c>
      <c r="B96" t="s">
        <v>717</v>
      </c>
      <c r="C96" t="s">
        <v>718</v>
      </c>
      <c r="E96">
        <v>0.01</v>
      </c>
      <c r="F96" t="s">
        <v>546</v>
      </c>
      <c r="G96" s="174">
        <v>45576.460914351854</v>
      </c>
    </row>
    <row r="97" spans="1:7">
      <c r="A97">
        <v>96</v>
      </c>
      <c r="B97" t="s">
        <v>717</v>
      </c>
      <c r="C97" t="s">
        <v>719</v>
      </c>
      <c r="E97">
        <v>0.01</v>
      </c>
      <c r="F97" t="s">
        <v>546</v>
      </c>
      <c r="G97" s="174">
        <v>45576.460914351854</v>
      </c>
    </row>
    <row r="98" spans="1:7">
      <c r="A98">
        <v>97</v>
      </c>
      <c r="B98" t="s">
        <v>720</v>
      </c>
      <c r="C98" t="s">
        <v>721</v>
      </c>
      <c r="E98">
        <v>0.01</v>
      </c>
      <c r="F98" t="s">
        <v>546</v>
      </c>
      <c r="G98" s="174">
        <v>45576.460914351854</v>
      </c>
    </row>
    <row r="99" spans="1:7">
      <c r="A99">
        <v>98</v>
      </c>
      <c r="B99" t="s">
        <v>722</v>
      </c>
      <c r="C99" t="s">
        <v>723</v>
      </c>
      <c r="E99">
        <v>0.1</v>
      </c>
      <c r="F99" t="s">
        <v>546</v>
      </c>
      <c r="G99" s="174">
        <v>45576.460914351854</v>
      </c>
    </row>
    <row r="100" spans="1:7">
      <c r="A100">
        <v>99</v>
      </c>
      <c r="B100" t="s">
        <v>722</v>
      </c>
      <c r="C100" t="s">
        <v>724</v>
      </c>
      <c r="E100">
        <v>0.05</v>
      </c>
      <c r="F100" t="s">
        <v>546</v>
      </c>
      <c r="G100" s="174">
        <v>45576.460914351854</v>
      </c>
    </row>
    <row r="101" spans="1:7">
      <c r="A101">
        <v>100</v>
      </c>
      <c r="B101" t="s">
        <v>725</v>
      </c>
      <c r="C101" t="s">
        <v>726</v>
      </c>
      <c r="E101">
        <v>0.1</v>
      </c>
      <c r="F101" t="s">
        <v>546</v>
      </c>
      <c r="G101" s="174">
        <v>45576.460914351854</v>
      </c>
    </row>
    <row r="102" spans="1:7">
      <c r="A102">
        <v>101</v>
      </c>
      <c r="B102" t="s">
        <v>725</v>
      </c>
      <c r="C102" t="s">
        <v>727</v>
      </c>
      <c r="E102">
        <v>0.01</v>
      </c>
      <c r="F102" t="s">
        <v>546</v>
      </c>
      <c r="G102" s="174">
        <v>45576.460914351854</v>
      </c>
    </row>
    <row r="103" spans="1:7">
      <c r="A103">
        <v>102</v>
      </c>
      <c r="B103" t="s">
        <v>728</v>
      </c>
      <c r="C103" t="s">
        <v>629</v>
      </c>
      <c r="E103">
        <v>0.01</v>
      </c>
      <c r="F103" t="s">
        <v>546</v>
      </c>
      <c r="G103" s="174">
        <v>45576.460914351854</v>
      </c>
    </row>
    <row r="104" spans="1:7">
      <c r="A104">
        <v>103</v>
      </c>
      <c r="B104" t="s">
        <v>729</v>
      </c>
      <c r="C104" t="s">
        <v>730</v>
      </c>
      <c r="E104">
        <v>0.01</v>
      </c>
      <c r="F104" t="s">
        <v>546</v>
      </c>
      <c r="G104" s="174">
        <v>45576.460914351854</v>
      </c>
    </row>
    <row r="105" spans="1:7">
      <c r="A105">
        <v>104</v>
      </c>
      <c r="B105" t="s">
        <v>729</v>
      </c>
      <c r="C105" t="s">
        <v>731</v>
      </c>
      <c r="E105">
        <v>0.01</v>
      </c>
      <c r="F105" t="s">
        <v>546</v>
      </c>
      <c r="G105" s="174">
        <v>45576.460914351854</v>
      </c>
    </row>
    <row r="106" spans="1:7">
      <c r="A106">
        <v>105</v>
      </c>
      <c r="B106" t="s">
        <v>732</v>
      </c>
      <c r="C106" t="s">
        <v>675</v>
      </c>
      <c r="E106">
        <v>0.01</v>
      </c>
      <c r="F106" t="s">
        <v>546</v>
      </c>
      <c r="G106" s="174">
        <v>45576.460914351854</v>
      </c>
    </row>
    <row r="107" spans="1:7">
      <c r="A107">
        <v>106</v>
      </c>
      <c r="B107" t="s">
        <v>732</v>
      </c>
      <c r="C107" t="s">
        <v>599</v>
      </c>
      <c r="E107">
        <v>0.01</v>
      </c>
      <c r="F107" t="s">
        <v>546</v>
      </c>
      <c r="G107" s="174">
        <v>45576.460914351854</v>
      </c>
    </row>
    <row r="108" spans="1:7">
      <c r="A108">
        <v>107</v>
      </c>
      <c r="B108" t="s">
        <v>732</v>
      </c>
      <c r="C108" t="s">
        <v>733</v>
      </c>
      <c r="E108">
        <v>0.01</v>
      </c>
      <c r="F108" t="s">
        <v>546</v>
      </c>
      <c r="G108" s="174">
        <v>45576.460914351854</v>
      </c>
    </row>
    <row r="109" spans="1:7">
      <c r="A109">
        <v>108</v>
      </c>
      <c r="B109" t="s">
        <v>734</v>
      </c>
      <c r="C109" t="s">
        <v>735</v>
      </c>
      <c r="E109">
        <v>0.01</v>
      </c>
      <c r="F109" t="s">
        <v>546</v>
      </c>
      <c r="G109" s="174">
        <v>45576.460914351854</v>
      </c>
    </row>
    <row r="110" spans="1:7">
      <c r="A110">
        <v>109</v>
      </c>
      <c r="B110" t="s">
        <v>736</v>
      </c>
      <c r="C110" t="s">
        <v>737</v>
      </c>
      <c r="E110">
        <v>0.01</v>
      </c>
      <c r="F110" t="s">
        <v>546</v>
      </c>
      <c r="G110" s="174">
        <v>45576.460914351854</v>
      </c>
    </row>
    <row r="111" spans="1:7">
      <c r="A111">
        <v>110</v>
      </c>
      <c r="B111" t="s">
        <v>738</v>
      </c>
      <c r="C111" t="s">
        <v>739</v>
      </c>
      <c r="E111">
        <v>0.01</v>
      </c>
      <c r="F111" t="s">
        <v>546</v>
      </c>
      <c r="G111" s="174">
        <v>45576.460914351854</v>
      </c>
    </row>
    <row r="112" spans="1:7">
      <c r="A112">
        <v>111</v>
      </c>
      <c r="B112" t="s">
        <v>740</v>
      </c>
      <c r="C112" t="s">
        <v>741</v>
      </c>
      <c r="E112">
        <v>0.6</v>
      </c>
      <c r="F112" t="s">
        <v>742</v>
      </c>
      <c r="G112" s="174">
        <v>45576.460914351854</v>
      </c>
    </row>
    <row r="113" spans="1:7">
      <c r="A113">
        <v>112</v>
      </c>
      <c r="B113" t="s">
        <v>743</v>
      </c>
      <c r="C113" t="s">
        <v>661</v>
      </c>
      <c r="E113">
        <v>0.1</v>
      </c>
      <c r="F113" t="s">
        <v>546</v>
      </c>
      <c r="G113" s="174">
        <v>45576.460914351854</v>
      </c>
    </row>
    <row r="114" spans="1:7">
      <c r="A114">
        <v>113</v>
      </c>
      <c r="B114" t="s">
        <v>743</v>
      </c>
      <c r="C114" t="s">
        <v>744</v>
      </c>
      <c r="E114">
        <v>0.1</v>
      </c>
      <c r="F114" t="s">
        <v>546</v>
      </c>
      <c r="G114" s="174">
        <v>45576.460914351854</v>
      </c>
    </row>
    <row r="115" spans="1:7">
      <c r="A115">
        <v>114</v>
      </c>
      <c r="B115" t="s">
        <v>745</v>
      </c>
      <c r="C115" t="s">
        <v>746</v>
      </c>
      <c r="E115">
        <v>0.1</v>
      </c>
      <c r="F115" t="s">
        <v>546</v>
      </c>
      <c r="G115" s="174">
        <v>45576.460914351854</v>
      </c>
    </row>
    <row r="116" spans="1:7">
      <c r="A116">
        <v>115</v>
      </c>
      <c r="B116" t="s">
        <v>747</v>
      </c>
      <c r="C116" t="s">
        <v>748</v>
      </c>
      <c r="E116">
        <v>0.01</v>
      </c>
      <c r="F116" t="s">
        <v>546</v>
      </c>
      <c r="G116" s="174">
        <v>45576.460914351854</v>
      </c>
    </row>
    <row r="117" spans="1:7">
      <c r="A117">
        <v>116</v>
      </c>
      <c r="B117" t="s">
        <v>749</v>
      </c>
      <c r="C117" t="s">
        <v>750</v>
      </c>
      <c r="E117">
        <v>0.01</v>
      </c>
      <c r="F117" t="s">
        <v>546</v>
      </c>
      <c r="G117" s="174">
        <v>45576.460914351854</v>
      </c>
    </row>
    <row r="118" spans="1:7">
      <c r="A118">
        <v>117</v>
      </c>
      <c r="B118" t="s">
        <v>749</v>
      </c>
      <c r="C118" t="s">
        <v>751</v>
      </c>
      <c r="E118">
        <v>0.01</v>
      </c>
      <c r="F118" t="s">
        <v>546</v>
      </c>
      <c r="G118" s="174">
        <v>45576.460914351854</v>
      </c>
    </row>
    <row r="119" spans="1:7">
      <c r="A119">
        <v>118</v>
      </c>
      <c r="B119" t="s">
        <v>752</v>
      </c>
      <c r="C119" t="s">
        <v>622</v>
      </c>
      <c r="E119">
        <v>0.01</v>
      </c>
      <c r="F119" t="s">
        <v>546</v>
      </c>
      <c r="G119" s="174">
        <v>45576.460914351854</v>
      </c>
    </row>
    <row r="120" spans="1:7">
      <c r="A120">
        <v>119</v>
      </c>
      <c r="B120" t="s">
        <v>753</v>
      </c>
      <c r="C120" t="s">
        <v>754</v>
      </c>
      <c r="E120">
        <v>0.6</v>
      </c>
      <c r="F120" t="s">
        <v>755</v>
      </c>
      <c r="G120" s="174">
        <v>45576.460914351854</v>
      </c>
    </row>
    <row r="121" spans="1:7">
      <c r="A121">
        <v>120</v>
      </c>
      <c r="B121" t="s">
        <v>756</v>
      </c>
      <c r="C121" t="s">
        <v>757</v>
      </c>
      <c r="E121">
        <v>0.6</v>
      </c>
      <c r="F121" t="s">
        <v>546</v>
      </c>
      <c r="G121" s="174">
        <v>45576.460914351854</v>
      </c>
    </row>
    <row r="122" spans="1:7">
      <c r="A122">
        <v>121</v>
      </c>
      <c r="B122" t="s">
        <v>758</v>
      </c>
      <c r="C122" t="s">
        <v>759</v>
      </c>
      <c r="E122">
        <v>0.05</v>
      </c>
      <c r="F122" t="s">
        <v>546</v>
      </c>
      <c r="G122" s="174">
        <v>45576.460914351854</v>
      </c>
    </row>
    <row r="123" spans="1:7">
      <c r="A123">
        <v>122</v>
      </c>
      <c r="B123" t="s">
        <v>758</v>
      </c>
      <c r="C123" t="s">
        <v>760</v>
      </c>
      <c r="E123">
        <v>0.6</v>
      </c>
      <c r="F123" t="s">
        <v>546</v>
      </c>
      <c r="G123" s="174">
        <v>45576.460914351854</v>
      </c>
    </row>
    <row r="124" spans="1:7">
      <c r="A124">
        <v>123</v>
      </c>
      <c r="B124" t="s">
        <v>761</v>
      </c>
      <c r="C124" t="s">
        <v>762</v>
      </c>
      <c r="E124">
        <v>0.01</v>
      </c>
      <c r="F124" t="s">
        <v>546</v>
      </c>
      <c r="G124" s="174">
        <v>45576.460914351854</v>
      </c>
    </row>
    <row r="125" spans="1:7">
      <c r="A125">
        <v>124</v>
      </c>
      <c r="B125" t="s">
        <v>761</v>
      </c>
      <c r="C125" t="s">
        <v>763</v>
      </c>
      <c r="E125">
        <v>0.01</v>
      </c>
      <c r="F125" t="s">
        <v>546</v>
      </c>
      <c r="G125" s="174">
        <v>45576.460914351854</v>
      </c>
    </row>
    <row r="126" spans="1:7">
      <c r="A126">
        <v>125</v>
      </c>
      <c r="B126" t="s">
        <v>764</v>
      </c>
      <c r="C126" t="s">
        <v>765</v>
      </c>
      <c r="E126">
        <v>0.8</v>
      </c>
      <c r="F126" t="s">
        <v>546</v>
      </c>
      <c r="G126" s="174">
        <v>45576.460914351854</v>
      </c>
    </row>
    <row r="127" spans="1:7">
      <c r="A127">
        <v>126</v>
      </c>
      <c r="B127" t="s">
        <v>766</v>
      </c>
      <c r="C127" t="s">
        <v>579</v>
      </c>
      <c r="E127">
        <v>0.01</v>
      </c>
      <c r="F127" t="s">
        <v>546</v>
      </c>
      <c r="G127" s="174">
        <v>45576.460914351854</v>
      </c>
    </row>
    <row r="128" spans="1:7">
      <c r="A128">
        <v>127</v>
      </c>
      <c r="B128" t="s">
        <v>767</v>
      </c>
      <c r="C128" t="s">
        <v>768</v>
      </c>
      <c r="E128">
        <v>0.1</v>
      </c>
      <c r="F128" t="s">
        <v>546</v>
      </c>
      <c r="G128" s="174">
        <v>45576.460914351854</v>
      </c>
    </row>
    <row r="129" spans="1:7">
      <c r="A129">
        <v>128</v>
      </c>
      <c r="B129" t="s">
        <v>769</v>
      </c>
      <c r="C129" t="s">
        <v>683</v>
      </c>
      <c r="E129">
        <v>0.1</v>
      </c>
      <c r="F129" t="s">
        <v>546</v>
      </c>
      <c r="G129" s="174">
        <v>45576.460914351854</v>
      </c>
    </row>
    <row r="130" spans="1:7">
      <c r="A130">
        <v>129</v>
      </c>
      <c r="B130" t="s">
        <v>770</v>
      </c>
      <c r="C130" t="s">
        <v>771</v>
      </c>
      <c r="E130">
        <v>0.01</v>
      </c>
      <c r="F130" t="s">
        <v>546</v>
      </c>
      <c r="G130" s="174">
        <v>45576.460914351854</v>
      </c>
    </row>
    <row r="131" spans="1:7">
      <c r="A131">
        <v>130</v>
      </c>
      <c r="B131" t="s">
        <v>772</v>
      </c>
      <c r="C131" t="s">
        <v>773</v>
      </c>
      <c r="E131">
        <v>0.8</v>
      </c>
      <c r="F131" t="s">
        <v>546</v>
      </c>
      <c r="G131" s="174">
        <v>45576.460914351854</v>
      </c>
    </row>
    <row r="132" spans="1:7">
      <c r="A132">
        <v>131</v>
      </c>
      <c r="B132" t="s">
        <v>774</v>
      </c>
      <c r="C132" t="s">
        <v>775</v>
      </c>
      <c r="E132">
        <v>0.01</v>
      </c>
      <c r="F132" t="s">
        <v>546</v>
      </c>
      <c r="G132" s="174">
        <v>45576.460914351854</v>
      </c>
    </row>
    <row r="133" spans="1:7">
      <c r="A133">
        <v>132</v>
      </c>
      <c r="B133" t="s">
        <v>776</v>
      </c>
      <c r="C133" t="s">
        <v>777</v>
      </c>
      <c r="E133">
        <v>0.01</v>
      </c>
      <c r="F133" t="s">
        <v>546</v>
      </c>
      <c r="G133" s="174">
        <v>45576.460914351854</v>
      </c>
    </row>
    <row r="134" spans="1:7">
      <c r="A134">
        <v>133</v>
      </c>
      <c r="B134" t="s">
        <v>776</v>
      </c>
      <c r="C134" t="s">
        <v>778</v>
      </c>
      <c r="E134">
        <v>0.01</v>
      </c>
      <c r="F134" t="s">
        <v>546</v>
      </c>
      <c r="G134" s="174">
        <v>45576.460914351854</v>
      </c>
    </row>
    <row r="135" spans="1:7">
      <c r="A135">
        <v>134</v>
      </c>
      <c r="B135" t="s">
        <v>776</v>
      </c>
      <c r="C135" t="s">
        <v>779</v>
      </c>
      <c r="E135">
        <v>0.6</v>
      </c>
      <c r="F135" t="s">
        <v>546</v>
      </c>
      <c r="G135" s="174">
        <v>45576.460914351854</v>
      </c>
    </row>
    <row r="136" spans="1:7">
      <c r="A136">
        <v>135</v>
      </c>
      <c r="B136" t="s">
        <v>780</v>
      </c>
      <c r="C136" t="s">
        <v>577</v>
      </c>
      <c r="E136">
        <v>0.01</v>
      </c>
      <c r="F136" t="s">
        <v>546</v>
      </c>
      <c r="G136" s="174">
        <v>45576.460914351854</v>
      </c>
    </row>
    <row r="137" spans="1:7">
      <c r="A137">
        <v>136</v>
      </c>
      <c r="B137" t="s">
        <v>781</v>
      </c>
      <c r="C137" t="s">
        <v>782</v>
      </c>
      <c r="E137">
        <v>0.01</v>
      </c>
      <c r="F137" t="s">
        <v>546</v>
      </c>
      <c r="G137" s="174">
        <v>45576.460914351854</v>
      </c>
    </row>
    <row r="138" spans="1:7">
      <c r="A138">
        <v>137</v>
      </c>
      <c r="B138" t="s">
        <v>783</v>
      </c>
      <c r="C138" t="s">
        <v>784</v>
      </c>
      <c r="E138">
        <v>0.1</v>
      </c>
      <c r="F138" t="s">
        <v>546</v>
      </c>
      <c r="G138" s="174">
        <v>45576.460914351854</v>
      </c>
    </row>
    <row r="139" spans="1:7">
      <c r="A139">
        <v>138</v>
      </c>
      <c r="B139" t="s">
        <v>785</v>
      </c>
      <c r="C139" t="s">
        <v>786</v>
      </c>
      <c r="E139">
        <v>0.6</v>
      </c>
      <c r="F139" t="s">
        <v>787</v>
      </c>
      <c r="G139" s="174">
        <v>45576.460914351854</v>
      </c>
    </row>
    <row r="140" spans="1:7">
      <c r="A140">
        <v>139</v>
      </c>
      <c r="B140" t="s">
        <v>785</v>
      </c>
      <c r="C140" t="s">
        <v>788</v>
      </c>
      <c r="E140">
        <v>0.6</v>
      </c>
      <c r="F140" t="s">
        <v>789</v>
      </c>
      <c r="G140" s="174">
        <v>45576.460914351854</v>
      </c>
    </row>
    <row r="141" spans="1:7">
      <c r="A141">
        <v>140</v>
      </c>
      <c r="B141" t="s">
        <v>790</v>
      </c>
      <c r="C141" t="s">
        <v>791</v>
      </c>
      <c r="E141">
        <v>0.01</v>
      </c>
      <c r="F141" t="s">
        <v>546</v>
      </c>
      <c r="G141" s="174">
        <v>45576.460914351854</v>
      </c>
    </row>
    <row r="142" spans="1:7">
      <c r="A142">
        <v>141</v>
      </c>
      <c r="B142" t="s">
        <v>792</v>
      </c>
      <c r="C142" t="s">
        <v>793</v>
      </c>
      <c r="E142">
        <v>0.01</v>
      </c>
      <c r="F142" t="s">
        <v>546</v>
      </c>
      <c r="G142" s="174">
        <v>45576.460914351854</v>
      </c>
    </row>
    <row r="143" spans="1:7">
      <c r="A143">
        <v>142</v>
      </c>
      <c r="B143" t="s">
        <v>792</v>
      </c>
      <c r="C143" t="s">
        <v>794</v>
      </c>
      <c r="E143">
        <v>0.04</v>
      </c>
      <c r="F143" t="s">
        <v>546</v>
      </c>
      <c r="G143" s="174">
        <v>45576.460914351854</v>
      </c>
    </row>
    <row r="144" spans="1:7">
      <c r="A144">
        <v>143</v>
      </c>
      <c r="B144" t="s">
        <v>795</v>
      </c>
      <c r="C144" t="s">
        <v>577</v>
      </c>
      <c r="E144">
        <v>0.01</v>
      </c>
      <c r="F144" t="s">
        <v>546</v>
      </c>
      <c r="G144" s="174">
        <v>45576.460914351854</v>
      </c>
    </row>
    <row r="145" spans="1:7">
      <c r="A145">
        <v>144</v>
      </c>
      <c r="B145" t="s">
        <v>796</v>
      </c>
      <c r="C145" t="s">
        <v>797</v>
      </c>
      <c r="E145">
        <v>0.6</v>
      </c>
      <c r="F145" t="s">
        <v>546</v>
      </c>
      <c r="G145" s="174">
        <v>45576.460914351854</v>
      </c>
    </row>
    <row r="146" spans="1:7">
      <c r="A146">
        <v>145</v>
      </c>
      <c r="B146" t="s">
        <v>798</v>
      </c>
      <c r="C146" t="s">
        <v>799</v>
      </c>
      <c r="E146">
        <v>0.5</v>
      </c>
      <c r="F146" t="s">
        <v>800</v>
      </c>
      <c r="G146" s="174">
        <v>45576.460914351854</v>
      </c>
    </row>
    <row r="147" spans="1:7">
      <c r="A147">
        <v>146</v>
      </c>
      <c r="B147" t="s">
        <v>798</v>
      </c>
      <c r="C147" t="s">
        <v>801</v>
      </c>
      <c r="E147">
        <v>0.5</v>
      </c>
      <c r="F147" t="s">
        <v>802</v>
      </c>
      <c r="G147" s="174">
        <v>45576.460914351854</v>
      </c>
    </row>
    <row r="148" spans="1:7">
      <c r="A148">
        <v>147</v>
      </c>
      <c r="B148" t="s">
        <v>803</v>
      </c>
      <c r="C148" t="s">
        <v>804</v>
      </c>
      <c r="E148">
        <v>0.6</v>
      </c>
      <c r="F148" t="s">
        <v>546</v>
      </c>
      <c r="G148" s="174">
        <v>45576.460914351854</v>
      </c>
    </row>
    <row r="149" spans="1:7">
      <c r="A149">
        <v>148</v>
      </c>
      <c r="B149" t="s">
        <v>805</v>
      </c>
      <c r="C149" t="s">
        <v>806</v>
      </c>
      <c r="E149">
        <v>0.01</v>
      </c>
      <c r="F149" t="s">
        <v>546</v>
      </c>
      <c r="G149" s="174">
        <v>45576.460914351854</v>
      </c>
    </row>
    <row r="150" spans="1:7">
      <c r="A150">
        <v>149</v>
      </c>
      <c r="B150" t="s">
        <v>805</v>
      </c>
      <c r="C150" t="s">
        <v>807</v>
      </c>
      <c r="E150">
        <v>0.01</v>
      </c>
      <c r="F150" t="s">
        <v>546</v>
      </c>
      <c r="G150" s="174">
        <v>45576.460914351854</v>
      </c>
    </row>
    <row r="151" spans="1:7">
      <c r="A151">
        <v>150</v>
      </c>
      <c r="B151" t="s">
        <v>808</v>
      </c>
      <c r="C151" t="s">
        <v>809</v>
      </c>
      <c r="E151">
        <v>0.8</v>
      </c>
      <c r="F151" t="s">
        <v>810</v>
      </c>
      <c r="G151" s="174">
        <v>45576.460914351854</v>
      </c>
    </row>
    <row r="152" spans="1:7">
      <c r="A152">
        <v>151</v>
      </c>
      <c r="B152" t="s">
        <v>808</v>
      </c>
      <c r="C152" t="s">
        <v>811</v>
      </c>
      <c r="E152">
        <v>0.6</v>
      </c>
      <c r="F152" t="s">
        <v>546</v>
      </c>
      <c r="G152" s="174">
        <v>45576.460914351854</v>
      </c>
    </row>
    <row r="153" spans="1:7">
      <c r="A153">
        <v>152</v>
      </c>
      <c r="B153" t="s">
        <v>812</v>
      </c>
      <c r="C153" t="s">
        <v>698</v>
      </c>
      <c r="E153">
        <v>0.6</v>
      </c>
      <c r="F153" t="s">
        <v>546</v>
      </c>
      <c r="G153" s="174">
        <v>45576.460914351854</v>
      </c>
    </row>
    <row r="154" spans="1:7">
      <c r="A154">
        <v>153</v>
      </c>
      <c r="B154" t="s">
        <v>813</v>
      </c>
      <c r="C154" t="s">
        <v>814</v>
      </c>
      <c r="E154">
        <v>0.01</v>
      </c>
      <c r="F154" t="s">
        <v>546</v>
      </c>
      <c r="G154" s="174">
        <v>45576.460914351854</v>
      </c>
    </row>
    <row r="155" spans="1:7">
      <c r="A155">
        <v>154</v>
      </c>
      <c r="B155" t="s">
        <v>815</v>
      </c>
      <c r="C155" t="s">
        <v>675</v>
      </c>
      <c r="E155">
        <v>0.01</v>
      </c>
      <c r="F155" t="s">
        <v>546</v>
      </c>
      <c r="G155" s="174">
        <v>45576.460914351854</v>
      </c>
    </row>
    <row r="156" spans="1:7">
      <c r="A156">
        <v>155</v>
      </c>
      <c r="B156" t="s">
        <v>816</v>
      </c>
      <c r="C156" t="s">
        <v>817</v>
      </c>
      <c r="E156">
        <v>0.01</v>
      </c>
      <c r="F156" t="s">
        <v>546</v>
      </c>
      <c r="G156" s="174">
        <v>45576.460914351854</v>
      </c>
    </row>
    <row r="157" spans="1:7">
      <c r="A157">
        <v>156</v>
      </c>
      <c r="B157" t="s">
        <v>818</v>
      </c>
      <c r="C157" t="s">
        <v>819</v>
      </c>
      <c r="E157">
        <v>0.6</v>
      </c>
      <c r="F157" t="s">
        <v>546</v>
      </c>
      <c r="G157" s="174">
        <v>45576.460914351854</v>
      </c>
    </row>
    <row r="158" spans="1:7">
      <c r="A158">
        <v>157</v>
      </c>
      <c r="B158" t="s">
        <v>818</v>
      </c>
      <c r="C158" t="s">
        <v>820</v>
      </c>
      <c r="E158">
        <v>1</v>
      </c>
      <c r="F158" t="s">
        <v>546</v>
      </c>
      <c r="G158" s="174">
        <v>45576.460914351854</v>
      </c>
    </row>
    <row r="159" spans="1:7">
      <c r="A159">
        <v>158</v>
      </c>
      <c r="B159" t="s">
        <v>821</v>
      </c>
      <c r="C159" t="s">
        <v>822</v>
      </c>
      <c r="E159">
        <v>0.01</v>
      </c>
      <c r="F159" t="s">
        <v>546</v>
      </c>
      <c r="G159" s="174">
        <v>45576.460914351854</v>
      </c>
    </row>
    <row r="160" spans="1:7">
      <c r="A160">
        <v>159</v>
      </c>
      <c r="B160" t="s">
        <v>823</v>
      </c>
      <c r="C160" t="s">
        <v>824</v>
      </c>
      <c r="E160">
        <v>0.05</v>
      </c>
      <c r="F160" t="s">
        <v>546</v>
      </c>
      <c r="G160" s="174">
        <v>45576.460914351854</v>
      </c>
    </row>
    <row r="161" spans="1:7">
      <c r="A161">
        <v>160</v>
      </c>
      <c r="B161" t="s">
        <v>825</v>
      </c>
      <c r="C161" t="s">
        <v>826</v>
      </c>
      <c r="E161">
        <v>0.1</v>
      </c>
      <c r="F161" t="s">
        <v>546</v>
      </c>
      <c r="G161" s="174">
        <v>45576.460914351854</v>
      </c>
    </row>
    <row r="162" spans="1:7">
      <c r="A162">
        <v>161</v>
      </c>
      <c r="B162" t="s">
        <v>827</v>
      </c>
      <c r="C162" t="s">
        <v>828</v>
      </c>
      <c r="E162">
        <v>0.01</v>
      </c>
      <c r="F162" t="s">
        <v>546</v>
      </c>
      <c r="G162" s="174">
        <v>45576.460914351854</v>
      </c>
    </row>
    <row r="163" spans="1:7">
      <c r="A163">
        <v>162</v>
      </c>
      <c r="B163" t="s">
        <v>829</v>
      </c>
      <c r="C163" t="s">
        <v>830</v>
      </c>
      <c r="E163">
        <v>0.1</v>
      </c>
      <c r="F163" t="s">
        <v>546</v>
      </c>
      <c r="G163" s="174">
        <v>45576.460914351854</v>
      </c>
    </row>
    <row r="164" spans="1:7">
      <c r="A164">
        <v>163</v>
      </c>
      <c r="B164" t="s">
        <v>831</v>
      </c>
      <c r="C164" t="s">
        <v>832</v>
      </c>
      <c r="E164">
        <v>0.6</v>
      </c>
      <c r="F164" t="s">
        <v>546</v>
      </c>
      <c r="G164" s="174">
        <v>45576.460914351854</v>
      </c>
    </row>
    <row r="165" spans="1:7">
      <c r="A165">
        <v>164</v>
      </c>
      <c r="B165" t="s">
        <v>831</v>
      </c>
      <c r="C165" t="s">
        <v>833</v>
      </c>
      <c r="E165">
        <v>0.8</v>
      </c>
      <c r="F165" t="s">
        <v>546</v>
      </c>
      <c r="G165" s="174">
        <v>45576.460914351854</v>
      </c>
    </row>
    <row r="166" spans="1:7">
      <c r="A166">
        <v>165</v>
      </c>
      <c r="B166" t="s">
        <v>834</v>
      </c>
      <c r="C166" t="s">
        <v>835</v>
      </c>
      <c r="E166">
        <v>0.01</v>
      </c>
      <c r="F166" t="s">
        <v>546</v>
      </c>
      <c r="G166" s="174">
        <v>45576.460914351854</v>
      </c>
    </row>
    <row r="167" spans="1:7">
      <c r="A167">
        <v>166</v>
      </c>
      <c r="B167" t="s">
        <v>836</v>
      </c>
      <c r="C167" t="s">
        <v>592</v>
      </c>
      <c r="E167">
        <v>0.01</v>
      </c>
      <c r="F167" t="s">
        <v>546</v>
      </c>
      <c r="G167" s="174">
        <v>45576.460914351854</v>
      </c>
    </row>
    <row r="168" spans="1:7">
      <c r="A168">
        <v>167</v>
      </c>
      <c r="B168" t="s">
        <v>837</v>
      </c>
      <c r="C168" t="s">
        <v>575</v>
      </c>
      <c r="E168">
        <v>0.01</v>
      </c>
      <c r="F168" t="s">
        <v>546</v>
      </c>
      <c r="G168" s="174">
        <v>45576.460914351854</v>
      </c>
    </row>
    <row r="169" spans="1:7">
      <c r="A169">
        <v>168</v>
      </c>
      <c r="B169" t="s">
        <v>838</v>
      </c>
      <c r="C169" t="s">
        <v>839</v>
      </c>
      <c r="E169">
        <v>0.8</v>
      </c>
      <c r="F169" t="s">
        <v>546</v>
      </c>
      <c r="G169" s="174">
        <v>45576.460914351854</v>
      </c>
    </row>
    <row r="170" spans="1:7">
      <c r="A170">
        <v>169</v>
      </c>
      <c r="B170" t="s">
        <v>840</v>
      </c>
      <c r="C170" t="s">
        <v>841</v>
      </c>
      <c r="E170">
        <v>0.01</v>
      </c>
      <c r="F170" t="s">
        <v>546</v>
      </c>
      <c r="G170" s="174">
        <v>45576.460914351854</v>
      </c>
    </row>
    <row r="171" spans="1:7">
      <c r="A171">
        <v>170</v>
      </c>
      <c r="B171" t="s">
        <v>842</v>
      </c>
      <c r="C171" t="s">
        <v>751</v>
      </c>
      <c r="E171">
        <v>0.01</v>
      </c>
      <c r="F171" t="s">
        <v>546</v>
      </c>
      <c r="G171" s="174">
        <v>45576.460914351854</v>
      </c>
    </row>
    <row r="172" spans="1:7">
      <c r="A172">
        <v>171</v>
      </c>
      <c r="B172" t="s">
        <v>843</v>
      </c>
      <c r="C172" t="s">
        <v>844</v>
      </c>
      <c r="E172">
        <v>0.6</v>
      </c>
      <c r="F172" t="s">
        <v>546</v>
      </c>
      <c r="G172" s="174">
        <v>45576.460914351854</v>
      </c>
    </row>
    <row r="173" spans="1:7">
      <c r="A173">
        <v>172</v>
      </c>
      <c r="B173" t="s">
        <v>845</v>
      </c>
      <c r="C173" t="s">
        <v>618</v>
      </c>
      <c r="E173">
        <v>0.01</v>
      </c>
      <c r="F173" t="s">
        <v>546</v>
      </c>
      <c r="G173" s="174">
        <v>45576.460914351854</v>
      </c>
    </row>
    <row r="174" spans="1:7">
      <c r="A174">
        <v>173</v>
      </c>
      <c r="B174" t="s">
        <v>846</v>
      </c>
      <c r="C174" t="s">
        <v>847</v>
      </c>
      <c r="E174">
        <v>0.01</v>
      </c>
      <c r="F174" t="s">
        <v>546</v>
      </c>
      <c r="G174" s="174">
        <v>45576.460914351854</v>
      </c>
    </row>
    <row r="175" spans="1:7">
      <c r="A175">
        <v>174</v>
      </c>
      <c r="B175" t="s">
        <v>846</v>
      </c>
      <c r="C175" t="s">
        <v>848</v>
      </c>
      <c r="E175">
        <v>0.6</v>
      </c>
      <c r="F175" t="s">
        <v>546</v>
      </c>
      <c r="G175" s="174">
        <v>45576.460914351854</v>
      </c>
    </row>
    <row r="176" spans="1:7">
      <c r="A176">
        <v>175</v>
      </c>
      <c r="B176" t="s">
        <v>846</v>
      </c>
      <c r="C176" t="s">
        <v>849</v>
      </c>
      <c r="E176">
        <v>0.8</v>
      </c>
      <c r="F176" t="s">
        <v>546</v>
      </c>
      <c r="G176" s="174">
        <v>45576.460914351854</v>
      </c>
    </row>
    <row r="177" spans="1:7">
      <c r="A177">
        <v>176</v>
      </c>
      <c r="B177" t="s">
        <v>850</v>
      </c>
      <c r="C177" t="s">
        <v>851</v>
      </c>
      <c r="E177">
        <v>0.01</v>
      </c>
      <c r="F177" t="s">
        <v>546</v>
      </c>
      <c r="G177" s="174">
        <v>45576.460914351854</v>
      </c>
    </row>
    <row r="178" spans="1:7">
      <c r="A178">
        <v>177</v>
      </c>
      <c r="B178" t="s">
        <v>850</v>
      </c>
      <c r="C178" t="s">
        <v>852</v>
      </c>
      <c r="E178">
        <v>0.01</v>
      </c>
      <c r="F178" t="s">
        <v>546</v>
      </c>
      <c r="G178" s="174">
        <v>45576.460914351854</v>
      </c>
    </row>
    <row r="179" spans="1:7">
      <c r="A179">
        <v>178</v>
      </c>
      <c r="B179" t="s">
        <v>853</v>
      </c>
      <c r="C179" t="s">
        <v>819</v>
      </c>
      <c r="E179">
        <v>0.01</v>
      </c>
      <c r="F179" t="s">
        <v>546</v>
      </c>
      <c r="G179" s="174">
        <v>45576.460914351854</v>
      </c>
    </row>
    <row r="180" spans="1:7">
      <c r="A180">
        <v>179</v>
      </c>
      <c r="B180" t="s">
        <v>854</v>
      </c>
      <c r="C180" t="s">
        <v>855</v>
      </c>
      <c r="E180">
        <v>0.01</v>
      </c>
      <c r="F180" t="s">
        <v>546</v>
      </c>
      <c r="G180" s="174">
        <v>45576.460914351854</v>
      </c>
    </row>
    <row r="181" spans="1:7">
      <c r="A181">
        <v>180</v>
      </c>
      <c r="B181" t="s">
        <v>856</v>
      </c>
      <c r="C181" t="s">
        <v>857</v>
      </c>
      <c r="E181">
        <v>0.01</v>
      </c>
      <c r="F181" t="s">
        <v>546</v>
      </c>
      <c r="G181" s="174">
        <v>45576.460914351854</v>
      </c>
    </row>
    <row r="182" spans="1:7">
      <c r="A182">
        <v>181</v>
      </c>
      <c r="B182" t="s">
        <v>858</v>
      </c>
      <c r="C182" t="s">
        <v>859</v>
      </c>
      <c r="E182">
        <v>0.01</v>
      </c>
      <c r="F182" t="s">
        <v>546</v>
      </c>
      <c r="G182" s="174">
        <v>45576.460914351854</v>
      </c>
    </row>
    <row r="183" spans="1:7">
      <c r="A183">
        <v>182</v>
      </c>
      <c r="B183" t="s">
        <v>860</v>
      </c>
      <c r="C183" t="s">
        <v>861</v>
      </c>
      <c r="E183">
        <v>0.01</v>
      </c>
      <c r="F183" t="s">
        <v>546</v>
      </c>
      <c r="G183" s="174">
        <v>45576.460914351854</v>
      </c>
    </row>
    <row r="184" spans="1:7">
      <c r="A184">
        <v>183</v>
      </c>
      <c r="B184" t="s">
        <v>862</v>
      </c>
      <c r="C184" t="s">
        <v>863</v>
      </c>
      <c r="E184">
        <v>0.01</v>
      </c>
      <c r="F184" t="s">
        <v>546</v>
      </c>
      <c r="G184" s="174">
        <v>45576.460914351854</v>
      </c>
    </row>
    <row r="185" spans="1:7">
      <c r="A185">
        <v>184</v>
      </c>
      <c r="B185" t="s">
        <v>864</v>
      </c>
      <c r="C185" t="s">
        <v>839</v>
      </c>
      <c r="E185">
        <v>0.8</v>
      </c>
      <c r="F185" t="s">
        <v>546</v>
      </c>
      <c r="G185" s="174">
        <v>45576.460914351854</v>
      </c>
    </row>
    <row r="186" spans="1:7">
      <c r="A186">
        <v>185</v>
      </c>
      <c r="B186" t="s">
        <v>865</v>
      </c>
      <c r="C186" t="s">
        <v>866</v>
      </c>
      <c r="E186">
        <v>0.01</v>
      </c>
      <c r="F186" t="s">
        <v>546</v>
      </c>
      <c r="G186" s="174">
        <v>45576.460914351854</v>
      </c>
    </row>
    <row r="187" spans="1:7">
      <c r="A187">
        <v>186</v>
      </c>
      <c r="B187" t="s">
        <v>867</v>
      </c>
      <c r="C187" t="s">
        <v>868</v>
      </c>
      <c r="E187">
        <v>0.8</v>
      </c>
      <c r="F187" t="s">
        <v>546</v>
      </c>
      <c r="G187" s="174">
        <v>45576.460914351854</v>
      </c>
    </row>
    <row r="188" spans="1:7">
      <c r="A188">
        <v>187</v>
      </c>
      <c r="B188" t="s">
        <v>867</v>
      </c>
      <c r="C188" t="s">
        <v>869</v>
      </c>
      <c r="E188">
        <v>0.6</v>
      </c>
      <c r="F188" t="s">
        <v>546</v>
      </c>
      <c r="G188" s="174">
        <v>45576.460914351854</v>
      </c>
    </row>
    <row r="189" spans="1:7">
      <c r="A189">
        <v>188</v>
      </c>
      <c r="B189" t="s">
        <v>870</v>
      </c>
      <c r="C189" t="s">
        <v>871</v>
      </c>
      <c r="E189">
        <v>0.01</v>
      </c>
      <c r="F189" t="s">
        <v>546</v>
      </c>
      <c r="G189" s="174">
        <v>45576.460914351854</v>
      </c>
    </row>
    <row r="190" spans="1:7">
      <c r="A190">
        <v>189</v>
      </c>
      <c r="B190" t="s">
        <v>870</v>
      </c>
      <c r="C190" t="s">
        <v>872</v>
      </c>
      <c r="E190">
        <v>0.01</v>
      </c>
      <c r="F190" t="s">
        <v>546</v>
      </c>
      <c r="G190" s="174">
        <v>45576.460914351854</v>
      </c>
    </row>
    <row r="191" spans="1:7">
      <c r="A191">
        <v>190</v>
      </c>
      <c r="B191" t="s">
        <v>873</v>
      </c>
      <c r="C191" t="s">
        <v>874</v>
      </c>
      <c r="E191">
        <v>0.01</v>
      </c>
      <c r="F191" t="s">
        <v>546</v>
      </c>
      <c r="G191" s="174">
        <v>45576.460914351854</v>
      </c>
    </row>
    <row r="192" spans="1:7">
      <c r="A192">
        <v>191</v>
      </c>
      <c r="B192" t="s">
        <v>875</v>
      </c>
      <c r="C192" t="s">
        <v>876</v>
      </c>
      <c r="E192">
        <v>0.1</v>
      </c>
      <c r="F192" t="s">
        <v>546</v>
      </c>
      <c r="G192" s="174">
        <v>45576.460914351854</v>
      </c>
    </row>
    <row r="193" spans="1:7">
      <c r="A193">
        <v>192</v>
      </c>
      <c r="B193" t="s">
        <v>877</v>
      </c>
      <c r="C193" t="s">
        <v>878</v>
      </c>
      <c r="E193">
        <v>0.01</v>
      </c>
      <c r="F193" t="s">
        <v>546</v>
      </c>
      <c r="G193" s="174">
        <v>45576.460914351854</v>
      </c>
    </row>
    <row r="194" spans="1:7">
      <c r="A194">
        <v>193</v>
      </c>
      <c r="B194" t="s">
        <v>879</v>
      </c>
      <c r="C194" t="s">
        <v>583</v>
      </c>
      <c r="E194">
        <v>0.01</v>
      </c>
      <c r="F194" t="s">
        <v>546</v>
      </c>
      <c r="G194" s="174">
        <v>45576.460914351854</v>
      </c>
    </row>
    <row r="195" spans="1:7">
      <c r="A195">
        <v>194</v>
      </c>
      <c r="B195" t="s">
        <v>880</v>
      </c>
      <c r="C195" t="s">
        <v>881</v>
      </c>
      <c r="E195">
        <v>0.01</v>
      </c>
      <c r="F195" t="s">
        <v>546</v>
      </c>
      <c r="G195" s="174">
        <v>45576.460914351854</v>
      </c>
    </row>
    <row r="196" spans="1:7">
      <c r="A196">
        <v>195</v>
      </c>
      <c r="B196" t="s">
        <v>882</v>
      </c>
      <c r="C196" t="s">
        <v>883</v>
      </c>
      <c r="E196">
        <v>0.01</v>
      </c>
      <c r="F196" t="s">
        <v>546</v>
      </c>
      <c r="G196" s="174">
        <v>45576.460914351854</v>
      </c>
    </row>
    <row r="197" spans="1:7">
      <c r="A197">
        <v>196</v>
      </c>
      <c r="B197" t="s">
        <v>884</v>
      </c>
      <c r="C197" t="s">
        <v>885</v>
      </c>
      <c r="E197">
        <v>0.1</v>
      </c>
      <c r="F197" t="s">
        <v>546</v>
      </c>
      <c r="G197" s="174">
        <v>45576.460914351854</v>
      </c>
    </row>
    <row r="198" spans="1:7">
      <c r="A198">
        <v>197</v>
      </c>
      <c r="B198" t="s">
        <v>886</v>
      </c>
      <c r="C198" t="s">
        <v>887</v>
      </c>
      <c r="E198">
        <v>0.01</v>
      </c>
      <c r="F198" t="s">
        <v>546</v>
      </c>
      <c r="G198" s="174">
        <v>45576.460914351854</v>
      </c>
    </row>
    <row r="199" spans="1:7">
      <c r="A199">
        <v>198</v>
      </c>
      <c r="B199" t="s">
        <v>888</v>
      </c>
      <c r="C199" t="s">
        <v>889</v>
      </c>
      <c r="E199">
        <v>0.01</v>
      </c>
      <c r="F199" t="s">
        <v>546</v>
      </c>
      <c r="G199" s="174">
        <v>45576.460914351854</v>
      </c>
    </row>
    <row r="200" spans="1:7">
      <c r="A200">
        <v>199</v>
      </c>
      <c r="B200" t="s">
        <v>890</v>
      </c>
      <c r="C200" t="s">
        <v>891</v>
      </c>
      <c r="E200">
        <v>0.01</v>
      </c>
      <c r="F200" t="s">
        <v>546</v>
      </c>
      <c r="G200" s="174">
        <v>45576.460914351854</v>
      </c>
    </row>
    <row r="201" spans="1:7">
      <c r="A201">
        <v>200</v>
      </c>
      <c r="B201" t="s">
        <v>892</v>
      </c>
      <c r="C201" t="s">
        <v>893</v>
      </c>
      <c r="E201">
        <v>0.01</v>
      </c>
      <c r="F201" t="s">
        <v>546</v>
      </c>
      <c r="G201" s="174">
        <v>45576.460914351854</v>
      </c>
    </row>
    <row r="202" spans="1:7">
      <c r="A202">
        <v>201</v>
      </c>
      <c r="B202" t="s">
        <v>894</v>
      </c>
      <c r="C202" t="s">
        <v>895</v>
      </c>
      <c r="E202">
        <v>0.1</v>
      </c>
      <c r="F202" t="s">
        <v>546</v>
      </c>
      <c r="G202" s="174">
        <v>45576.460914351854</v>
      </c>
    </row>
    <row r="203" spans="1:7">
      <c r="A203">
        <v>202</v>
      </c>
      <c r="B203" t="s">
        <v>896</v>
      </c>
      <c r="C203" t="s">
        <v>897</v>
      </c>
      <c r="E203">
        <v>0.01</v>
      </c>
      <c r="F203" t="s">
        <v>546</v>
      </c>
      <c r="G203" s="174">
        <v>45576.460914351854</v>
      </c>
    </row>
    <row r="204" spans="1:7">
      <c r="A204">
        <v>203</v>
      </c>
      <c r="B204" t="s">
        <v>898</v>
      </c>
      <c r="C204" t="s">
        <v>899</v>
      </c>
      <c r="E204">
        <v>0.01</v>
      </c>
      <c r="F204" t="s">
        <v>546</v>
      </c>
      <c r="G204" s="174">
        <v>45576.460914351854</v>
      </c>
    </row>
    <row r="205" spans="1:7">
      <c r="A205">
        <v>204</v>
      </c>
      <c r="B205" t="s">
        <v>900</v>
      </c>
      <c r="C205" t="s">
        <v>579</v>
      </c>
      <c r="E205">
        <v>0.01</v>
      </c>
      <c r="F205" t="s">
        <v>546</v>
      </c>
      <c r="G205" s="174">
        <v>45576.460914351854</v>
      </c>
    </row>
    <row r="206" spans="1:7">
      <c r="A206">
        <v>205</v>
      </c>
      <c r="B206" t="s">
        <v>901</v>
      </c>
      <c r="C206" t="s">
        <v>560</v>
      </c>
      <c r="E206">
        <v>0.01</v>
      </c>
      <c r="F206" t="s">
        <v>546</v>
      </c>
      <c r="G206" s="174">
        <v>45576.460914351854</v>
      </c>
    </row>
    <row r="207" spans="1:7">
      <c r="A207">
        <v>206</v>
      </c>
      <c r="B207" t="s">
        <v>902</v>
      </c>
      <c r="C207" t="s">
        <v>581</v>
      </c>
      <c r="E207">
        <v>0.01</v>
      </c>
      <c r="F207" t="s">
        <v>546</v>
      </c>
      <c r="G207" s="174">
        <v>45576.460914351854</v>
      </c>
    </row>
    <row r="208" spans="1:7">
      <c r="A208">
        <v>207</v>
      </c>
      <c r="B208" t="s">
        <v>903</v>
      </c>
      <c r="C208" t="s">
        <v>607</v>
      </c>
      <c r="E208">
        <v>0.01</v>
      </c>
      <c r="F208" t="s">
        <v>546</v>
      </c>
      <c r="G208" s="174">
        <v>45576.460914351854</v>
      </c>
    </row>
    <row r="209" spans="1:7">
      <c r="A209">
        <v>208</v>
      </c>
      <c r="B209" t="s">
        <v>904</v>
      </c>
      <c r="C209" t="s">
        <v>601</v>
      </c>
      <c r="E209">
        <v>0.01</v>
      </c>
      <c r="F209" t="s">
        <v>546</v>
      </c>
      <c r="G209" s="174">
        <v>45576.460914351854</v>
      </c>
    </row>
    <row r="210" spans="1:7">
      <c r="A210">
        <v>209</v>
      </c>
      <c r="B210" t="s">
        <v>905</v>
      </c>
      <c r="C210" t="s">
        <v>906</v>
      </c>
      <c r="E210">
        <v>0.01</v>
      </c>
      <c r="F210" t="s">
        <v>546</v>
      </c>
      <c r="G210" s="174">
        <v>45576.460914351854</v>
      </c>
    </row>
    <row r="211" spans="1:7">
      <c r="A211">
        <v>210</v>
      </c>
      <c r="B211" t="s">
        <v>907</v>
      </c>
      <c r="C211" t="s">
        <v>908</v>
      </c>
      <c r="E211">
        <v>0.01</v>
      </c>
      <c r="F211" t="s">
        <v>546</v>
      </c>
      <c r="G211" s="174">
        <v>45576.460914351854</v>
      </c>
    </row>
    <row r="212" spans="1:7">
      <c r="A212">
        <v>211</v>
      </c>
      <c r="B212" t="s">
        <v>909</v>
      </c>
      <c r="C212" t="s">
        <v>910</v>
      </c>
      <c r="E212">
        <v>0.01</v>
      </c>
      <c r="F212" t="s">
        <v>546</v>
      </c>
      <c r="G212" s="174">
        <v>45576.460914351854</v>
      </c>
    </row>
    <row r="213" spans="1:7">
      <c r="A213">
        <v>212</v>
      </c>
      <c r="B213" t="s">
        <v>911</v>
      </c>
      <c r="C213" t="s">
        <v>912</v>
      </c>
      <c r="E213">
        <v>0.8</v>
      </c>
      <c r="F213" t="s">
        <v>546</v>
      </c>
      <c r="G213" s="174">
        <v>45576.460914351854</v>
      </c>
    </row>
    <row r="214" spans="1:7">
      <c r="A214">
        <v>213</v>
      </c>
      <c r="B214" t="s">
        <v>913</v>
      </c>
      <c r="C214" t="s">
        <v>914</v>
      </c>
      <c r="E214">
        <v>0.8</v>
      </c>
      <c r="F214" t="s">
        <v>546</v>
      </c>
      <c r="G214" s="174">
        <v>45576.460914351854</v>
      </c>
    </row>
    <row r="215" spans="1:7">
      <c r="A215">
        <v>214</v>
      </c>
      <c r="B215" t="s">
        <v>915</v>
      </c>
      <c r="C215" t="s">
        <v>916</v>
      </c>
      <c r="E215">
        <v>0.01</v>
      </c>
      <c r="F215" t="s">
        <v>546</v>
      </c>
      <c r="G215" s="174">
        <v>45576.460914351854</v>
      </c>
    </row>
    <row r="216" spans="1:7">
      <c r="A216">
        <v>215</v>
      </c>
      <c r="B216" t="s">
        <v>917</v>
      </c>
      <c r="C216" t="s">
        <v>918</v>
      </c>
      <c r="E216">
        <v>0.01</v>
      </c>
      <c r="F216" t="s">
        <v>546</v>
      </c>
      <c r="G216" s="174">
        <v>45576.460914351854</v>
      </c>
    </row>
    <row r="217" spans="1:7">
      <c r="A217">
        <v>216</v>
      </c>
      <c r="B217" t="s">
        <v>919</v>
      </c>
      <c r="C217" t="s">
        <v>920</v>
      </c>
      <c r="E217">
        <v>0.1</v>
      </c>
      <c r="F217" t="s">
        <v>546</v>
      </c>
      <c r="G217" s="174">
        <v>45576.460914351854</v>
      </c>
    </row>
    <row r="218" spans="1:7">
      <c r="A218">
        <v>217</v>
      </c>
      <c r="B218" t="s">
        <v>921</v>
      </c>
      <c r="C218" t="s">
        <v>922</v>
      </c>
      <c r="E218">
        <v>0.1</v>
      </c>
      <c r="F218" t="s">
        <v>546</v>
      </c>
      <c r="G218" s="174">
        <v>45576.460914351854</v>
      </c>
    </row>
    <row r="219" spans="1:7">
      <c r="A219">
        <v>218</v>
      </c>
      <c r="B219" t="s">
        <v>923</v>
      </c>
      <c r="C219" t="s">
        <v>817</v>
      </c>
      <c r="E219">
        <v>0.01</v>
      </c>
      <c r="F219" t="s">
        <v>546</v>
      </c>
      <c r="G219" s="174">
        <v>45576.460914351854</v>
      </c>
    </row>
    <row r="220" spans="1:7">
      <c r="A220">
        <v>219</v>
      </c>
      <c r="B220" t="s">
        <v>924</v>
      </c>
      <c r="C220" t="s">
        <v>925</v>
      </c>
      <c r="E220">
        <v>0.01</v>
      </c>
      <c r="F220" t="s">
        <v>546</v>
      </c>
      <c r="G220" s="174">
        <v>45576.460914351854</v>
      </c>
    </row>
    <row r="221" spans="1:7">
      <c r="A221">
        <v>220</v>
      </c>
      <c r="B221" t="s">
        <v>926</v>
      </c>
      <c r="C221" t="s">
        <v>698</v>
      </c>
      <c r="E221">
        <v>0.5</v>
      </c>
      <c r="F221" t="s">
        <v>927</v>
      </c>
      <c r="G221" s="174">
        <v>45576.460914351854</v>
      </c>
    </row>
    <row r="222" spans="1:7">
      <c r="A222">
        <v>221</v>
      </c>
      <c r="B222" t="s">
        <v>928</v>
      </c>
      <c r="C222" t="s">
        <v>929</v>
      </c>
      <c r="E222">
        <v>0.01</v>
      </c>
      <c r="F222" t="s">
        <v>546</v>
      </c>
      <c r="G222" s="174">
        <v>45576.460914351854</v>
      </c>
    </row>
    <row r="223" spans="1:7">
      <c r="A223">
        <v>222</v>
      </c>
      <c r="B223" t="s">
        <v>930</v>
      </c>
      <c r="C223" t="s">
        <v>615</v>
      </c>
      <c r="E223">
        <v>0.01</v>
      </c>
      <c r="F223" t="s">
        <v>546</v>
      </c>
      <c r="G223" s="174">
        <v>45576.460914351854</v>
      </c>
    </row>
    <row r="224" spans="1:7">
      <c r="A224">
        <v>223</v>
      </c>
      <c r="B224" t="s">
        <v>931</v>
      </c>
      <c r="C224" t="s">
        <v>579</v>
      </c>
      <c r="E224">
        <v>0.05</v>
      </c>
      <c r="F224" t="s">
        <v>546</v>
      </c>
      <c r="G224" s="174">
        <v>45576.460914351854</v>
      </c>
    </row>
    <row r="225" spans="1:7">
      <c r="A225">
        <v>224</v>
      </c>
      <c r="B225" t="s">
        <v>932</v>
      </c>
      <c r="C225" t="s">
        <v>775</v>
      </c>
      <c r="E225">
        <v>0.01</v>
      </c>
      <c r="F225" t="s">
        <v>546</v>
      </c>
      <c r="G225" s="174">
        <v>45576.460914351854</v>
      </c>
    </row>
    <row r="226" spans="1:7">
      <c r="A226">
        <v>225</v>
      </c>
      <c r="B226" t="s">
        <v>933</v>
      </c>
      <c r="C226" t="s">
        <v>934</v>
      </c>
      <c r="E226">
        <v>0.01</v>
      </c>
      <c r="F226" t="s">
        <v>546</v>
      </c>
      <c r="G226" s="174">
        <v>45576.460914351854</v>
      </c>
    </row>
    <row r="227" spans="1:7">
      <c r="A227">
        <v>226</v>
      </c>
      <c r="B227" t="s">
        <v>935</v>
      </c>
      <c r="C227" t="s">
        <v>936</v>
      </c>
      <c r="E227">
        <v>0.1</v>
      </c>
      <c r="F227" t="s">
        <v>546</v>
      </c>
      <c r="G227" s="174">
        <v>45576.460914351854</v>
      </c>
    </row>
    <row r="228" spans="1:7">
      <c r="A228">
        <v>227</v>
      </c>
      <c r="B228" t="s">
        <v>937</v>
      </c>
      <c r="C228" t="s">
        <v>637</v>
      </c>
      <c r="E228">
        <v>0.1</v>
      </c>
      <c r="F228" t="s">
        <v>546</v>
      </c>
      <c r="G228" s="174">
        <v>45576.460914351854</v>
      </c>
    </row>
    <row r="229" spans="1:7">
      <c r="A229">
        <v>228</v>
      </c>
      <c r="B229" t="s">
        <v>938</v>
      </c>
      <c r="C229" t="s">
        <v>939</v>
      </c>
      <c r="E229">
        <v>0.8</v>
      </c>
      <c r="F229" t="s">
        <v>546</v>
      </c>
      <c r="G229" s="174">
        <v>45576.460914351854</v>
      </c>
    </row>
    <row r="230" spans="1:7">
      <c r="A230">
        <v>229</v>
      </c>
      <c r="B230" t="s">
        <v>940</v>
      </c>
      <c r="C230" t="s">
        <v>941</v>
      </c>
      <c r="E230">
        <v>0.01</v>
      </c>
      <c r="F230" t="s">
        <v>546</v>
      </c>
      <c r="G230" s="174">
        <v>45576.460914351854</v>
      </c>
    </row>
    <row r="231" spans="1:7">
      <c r="A231">
        <v>230</v>
      </c>
      <c r="B231" t="s">
        <v>942</v>
      </c>
      <c r="C231" t="s">
        <v>943</v>
      </c>
      <c r="E231">
        <v>0.01</v>
      </c>
      <c r="F231" t="s">
        <v>546</v>
      </c>
      <c r="G231" s="174">
        <v>45576.460914351854</v>
      </c>
    </row>
    <row r="232" spans="1:7">
      <c r="A232">
        <v>231</v>
      </c>
      <c r="B232" t="s">
        <v>944</v>
      </c>
      <c r="C232" t="s">
        <v>945</v>
      </c>
      <c r="E232">
        <v>0.01</v>
      </c>
      <c r="F232" t="s">
        <v>546</v>
      </c>
      <c r="G232" s="174">
        <v>45576.460914351854</v>
      </c>
    </row>
    <row r="233" spans="1:7">
      <c r="A233">
        <v>232</v>
      </c>
      <c r="B233" t="s">
        <v>946</v>
      </c>
      <c r="C233" t="s">
        <v>947</v>
      </c>
      <c r="E233">
        <v>0.01</v>
      </c>
      <c r="F233" t="s">
        <v>546</v>
      </c>
      <c r="G233" s="174">
        <v>45576.460914351854</v>
      </c>
    </row>
    <row r="234" spans="1:7">
      <c r="A234">
        <v>233</v>
      </c>
      <c r="B234" t="s">
        <v>948</v>
      </c>
      <c r="C234" t="s">
        <v>949</v>
      </c>
      <c r="E234">
        <v>0.01</v>
      </c>
      <c r="F234" t="s">
        <v>546</v>
      </c>
      <c r="G234" s="174">
        <v>45576.460914351854</v>
      </c>
    </row>
    <row r="235" spans="1:7">
      <c r="A235">
        <v>234</v>
      </c>
      <c r="B235" t="s">
        <v>950</v>
      </c>
      <c r="C235" t="s">
        <v>799</v>
      </c>
      <c r="E235">
        <v>0.01</v>
      </c>
      <c r="F235" t="s">
        <v>546</v>
      </c>
      <c r="G235" s="174">
        <v>45576.460914351854</v>
      </c>
    </row>
    <row r="236" spans="1:7">
      <c r="A236">
        <v>235</v>
      </c>
      <c r="B236" t="s">
        <v>951</v>
      </c>
      <c r="C236" t="s">
        <v>726</v>
      </c>
      <c r="E236">
        <v>0.01</v>
      </c>
      <c r="F236" t="s">
        <v>546</v>
      </c>
      <c r="G236" s="174">
        <v>45576.460914351854</v>
      </c>
    </row>
    <row r="237" spans="1:7">
      <c r="A237">
        <v>236</v>
      </c>
      <c r="B237" t="s">
        <v>951</v>
      </c>
      <c r="C237" t="s">
        <v>727</v>
      </c>
      <c r="E237">
        <v>0.01</v>
      </c>
      <c r="F237" t="s">
        <v>546</v>
      </c>
      <c r="G237" s="174">
        <v>45576.460914351854</v>
      </c>
    </row>
    <row r="238" spans="1:7">
      <c r="A238">
        <v>237</v>
      </c>
      <c r="B238" t="s">
        <v>952</v>
      </c>
      <c r="C238" t="s">
        <v>675</v>
      </c>
      <c r="E238">
        <v>0.01</v>
      </c>
      <c r="F238" t="s">
        <v>546</v>
      </c>
      <c r="G238" s="174">
        <v>45576.460914351854</v>
      </c>
    </row>
    <row r="239" spans="1:7">
      <c r="A239">
        <v>238</v>
      </c>
      <c r="B239" t="s">
        <v>952</v>
      </c>
      <c r="C239" t="s">
        <v>953</v>
      </c>
      <c r="E239">
        <v>0.01</v>
      </c>
      <c r="F239" t="s">
        <v>546</v>
      </c>
      <c r="G239" s="174">
        <v>45576.460914351854</v>
      </c>
    </row>
    <row r="240" spans="1:7">
      <c r="A240">
        <v>239</v>
      </c>
      <c r="B240" t="s">
        <v>954</v>
      </c>
      <c r="C240" t="s">
        <v>955</v>
      </c>
      <c r="E240">
        <v>0.01</v>
      </c>
      <c r="F240" t="s">
        <v>546</v>
      </c>
      <c r="G240" s="174">
        <v>45576.460914351854</v>
      </c>
    </row>
    <row r="241" spans="1:7">
      <c r="A241">
        <v>240</v>
      </c>
      <c r="B241" t="s">
        <v>956</v>
      </c>
      <c r="C241" t="s">
        <v>545</v>
      </c>
      <c r="E241">
        <v>0.01</v>
      </c>
      <c r="F241" t="s">
        <v>546</v>
      </c>
      <c r="G241" s="174">
        <v>45576.460914351854</v>
      </c>
    </row>
    <row r="242" spans="1:7">
      <c r="A242">
        <v>241</v>
      </c>
      <c r="B242" t="s">
        <v>957</v>
      </c>
      <c r="C242" t="s">
        <v>695</v>
      </c>
      <c r="E242">
        <v>0.6</v>
      </c>
      <c r="F242" t="s">
        <v>958</v>
      </c>
      <c r="G242" s="174">
        <v>45576.460914351854</v>
      </c>
    </row>
    <row r="243" spans="1:7">
      <c r="A243">
        <v>242</v>
      </c>
      <c r="B243" t="s">
        <v>957</v>
      </c>
      <c r="C243" t="s">
        <v>959</v>
      </c>
      <c r="E243">
        <v>0.5</v>
      </c>
      <c r="F243" t="s">
        <v>960</v>
      </c>
      <c r="G243" s="174">
        <v>45576.460914351854</v>
      </c>
    </row>
    <row r="244" spans="1:7">
      <c r="A244">
        <v>243</v>
      </c>
      <c r="B244" t="s">
        <v>961</v>
      </c>
      <c r="C244" t="s">
        <v>962</v>
      </c>
      <c r="E244">
        <v>0.01</v>
      </c>
      <c r="F244" t="s">
        <v>546</v>
      </c>
      <c r="G244" s="174">
        <v>45576.460914351854</v>
      </c>
    </row>
    <row r="245" spans="1:7">
      <c r="A245">
        <v>244</v>
      </c>
      <c r="B245" t="s">
        <v>963</v>
      </c>
      <c r="C245" t="s">
        <v>592</v>
      </c>
      <c r="E245">
        <v>0.7</v>
      </c>
      <c r="F245" t="s">
        <v>546</v>
      </c>
      <c r="G245" s="174">
        <v>45576.460914351854</v>
      </c>
    </row>
    <row r="246" spans="1:7">
      <c r="A246">
        <v>245</v>
      </c>
      <c r="B246" t="s">
        <v>963</v>
      </c>
      <c r="C246" t="s">
        <v>964</v>
      </c>
      <c r="E246">
        <v>1</v>
      </c>
      <c r="F246" t="s">
        <v>546</v>
      </c>
      <c r="G246" s="174">
        <v>45576.460914351854</v>
      </c>
    </row>
    <row r="247" spans="1:7">
      <c r="A247">
        <v>246</v>
      </c>
      <c r="B247" t="s">
        <v>965</v>
      </c>
      <c r="C247" t="s">
        <v>814</v>
      </c>
      <c r="E247">
        <v>0.6</v>
      </c>
      <c r="F247" t="s">
        <v>546</v>
      </c>
      <c r="G247" s="174">
        <v>45576.460914351854</v>
      </c>
    </row>
    <row r="248" spans="1:7">
      <c r="A248">
        <v>247</v>
      </c>
      <c r="B248" t="s">
        <v>966</v>
      </c>
      <c r="C248" t="s">
        <v>967</v>
      </c>
      <c r="E248">
        <v>0.01</v>
      </c>
      <c r="F248" t="s">
        <v>546</v>
      </c>
      <c r="G248" s="174">
        <v>45576.460914351854</v>
      </c>
    </row>
    <row r="249" spans="1:7">
      <c r="A249">
        <v>248</v>
      </c>
      <c r="B249" t="s">
        <v>968</v>
      </c>
      <c r="C249" t="s">
        <v>748</v>
      </c>
      <c r="E249">
        <v>0.01</v>
      </c>
      <c r="F249" t="s">
        <v>546</v>
      </c>
      <c r="G249" s="174">
        <v>45576.460914351854</v>
      </c>
    </row>
    <row r="250" spans="1:7">
      <c r="A250">
        <v>249</v>
      </c>
      <c r="B250" t="s">
        <v>969</v>
      </c>
      <c r="C250" t="s">
        <v>849</v>
      </c>
      <c r="E250">
        <v>0.01</v>
      </c>
      <c r="F250" t="s">
        <v>546</v>
      </c>
      <c r="G250" s="174">
        <v>45576.460914351854</v>
      </c>
    </row>
    <row r="251" spans="1:7">
      <c r="A251">
        <v>250</v>
      </c>
      <c r="B251" t="s">
        <v>970</v>
      </c>
      <c r="C251" t="s">
        <v>971</v>
      </c>
      <c r="E251">
        <v>0.01</v>
      </c>
      <c r="F251" t="s">
        <v>546</v>
      </c>
      <c r="G251" s="174">
        <v>45576.460914351854</v>
      </c>
    </row>
    <row r="252" spans="1:7">
      <c r="A252">
        <v>251</v>
      </c>
      <c r="B252" t="s">
        <v>970</v>
      </c>
      <c r="C252" t="s">
        <v>972</v>
      </c>
      <c r="E252">
        <v>0.1</v>
      </c>
      <c r="F252" t="s">
        <v>546</v>
      </c>
      <c r="G252" s="174">
        <v>45576.460914351854</v>
      </c>
    </row>
    <row r="253" spans="1:7">
      <c r="A253">
        <v>252</v>
      </c>
      <c r="B253" t="s">
        <v>973</v>
      </c>
      <c r="C253" t="s">
        <v>974</v>
      </c>
      <c r="E253">
        <v>0.01</v>
      </c>
      <c r="F253" t="s">
        <v>546</v>
      </c>
      <c r="G253" s="174">
        <v>45576.460914351854</v>
      </c>
    </row>
    <row r="254" spans="1:7">
      <c r="A254">
        <v>253</v>
      </c>
      <c r="B254" t="s">
        <v>975</v>
      </c>
      <c r="C254" t="s">
        <v>976</v>
      </c>
      <c r="E254">
        <v>0.01</v>
      </c>
      <c r="F254" t="s">
        <v>546</v>
      </c>
      <c r="G254" s="174">
        <v>45576.460914351854</v>
      </c>
    </row>
    <row r="255" spans="1:7">
      <c r="A255">
        <v>254</v>
      </c>
      <c r="B255" t="s">
        <v>977</v>
      </c>
      <c r="C255" t="s">
        <v>978</v>
      </c>
      <c r="E255">
        <v>0.05</v>
      </c>
      <c r="F255" t="s">
        <v>546</v>
      </c>
      <c r="G255" s="174">
        <v>45576.460914351854</v>
      </c>
    </row>
    <row r="256" spans="1:7">
      <c r="A256">
        <v>255</v>
      </c>
      <c r="B256" t="s">
        <v>979</v>
      </c>
      <c r="C256" t="s">
        <v>980</v>
      </c>
      <c r="E256">
        <v>0.6</v>
      </c>
      <c r="F256" t="s">
        <v>546</v>
      </c>
      <c r="G256" s="174">
        <v>45576.460914351854</v>
      </c>
    </row>
    <row r="257" spans="1:7">
      <c r="A257">
        <v>256</v>
      </c>
      <c r="B257" t="s">
        <v>981</v>
      </c>
      <c r="C257" t="s">
        <v>982</v>
      </c>
      <c r="E257">
        <v>0.01</v>
      </c>
      <c r="F257" t="s">
        <v>546</v>
      </c>
      <c r="G257" s="174">
        <v>45576.460914351854</v>
      </c>
    </row>
    <row r="258" spans="1:7">
      <c r="A258">
        <v>257</v>
      </c>
      <c r="B258" t="s">
        <v>983</v>
      </c>
      <c r="C258" t="s">
        <v>984</v>
      </c>
      <c r="E258">
        <v>0.01</v>
      </c>
      <c r="F258" t="s">
        <v>546</v>
      </c>
      <c r="G258" s="174">
        <v>45576.460914351854</v>
      </c>
    </row>
    <row r="259" spans="1:7">
      <c r="A259">
        <v>258</v>
      </c>
      <c r="B259" t="s">
        <v>985</v>
      </c>
      <c r="C259" t="s">
        <v>675</v>
      </c>
      <c r="E259">
        <v>0.01</v>
      </c>
      <c r="F259" t="s">
        <v>546</v>
      </c>
      <c r="G259" s="174">
        <v>45576.460914351854</v>
      </c>
    </row>
    <row r="260" spans="1:7">
      <c r="A260">
        <v>259</v>
      </c>
      <c r="B260" t="s">
        <v>986</v>
      </c>
      <c r="C260" t="s">
        <v>987</v>
      </c>
      <c r="E260">
        <v>0.01</v>
      </c>
      <c r="F260" t="s">
        <v>546</v>
      </c>
      <c r="G260" s="174">
        <v>45576.460914351854</v>
      </c>
    </row>
    <row r="261" spans="1:7">
      <c r="A261">
        <v>260</v>
      </c>
      <c r="B261" t="s">
        <v>988</v>
      </c>
      <c r="C261" t="s">
        <v>989</v>
      </c>
      <c r="E261">
        <v>0.01</v>
      </c>
      <c r="F261" t="s">
        <v>546</v>
      </c>
      <c r="G261" s="174">
        <v>45576.460914351854</v>
      </c>
    </row>
    <row r="262" spans="1:7">
      <c r="A262">
        <v>261</v>
      </c>
      <c r="B262" t="s">
        <v>990</v>
      </c>
      <c r="C262" t="s">
        <v>708</v>
      </c>
      <c r="E262">
        <v>0.01</v>
      </c>
      <c r="F262" t="s">
        <v>546</v>
      </c>
      <c r="G262" s="174">
        <v>45576.460914351854</v>
      </c>
    </row>
    <row r="263" spans="1:7">
      <c r="A263">
        <v>262</v>
      </c>
      <c r="B263" t="s">
        <v>991</v>
      </c>
      <c r="C263" t="s">
        <v>992</v>
      </c>
      <c r="E263">
        <v>0.01</v>
      </c>
      <c r="F263" t="s">
        <v>546</v>
      </c>
      <c r="G263" s="174">
        <v>45576.460914351854</v>
      </c>
    </row>
    <row r="264" spans="1:7">
      <c r="A264">
        <v>263</v>
      </c>
      <c r="B264" t="s">
        <v>993</v>
      </c>
      <c r="C264" t="s">
        <v>994</v>
      </c>
      <c r="E264">
        <v>0.01</v>
      </c>
      <c r="F264" t="s">
        <v>546</v>
      </c>
      <c r="G264" s="174">
        <v>45576.460914351854</v>
      </c>
    </row>
    <row r="265" spans="1:7">
      <c r="A265">
        <v>264</v>
      </c>
      <c r="B265" t="s">
        <v>995</v>
      </c>
      <c r="C265" t="s">
        <v>996</v>
      </c>
      <c r="E265">
        <v>0.01</v>
      </c>
      <c r="F265" t="s">
        <v>546</v>
      </c>
      <c r="G265" s="174">
        <v>45576.460914351854</v>
      </c>
    </row>
    <row r="266" spans="1:7">
      <c r="A266">
        <v>265</v>
      </c>
      <c r="B266" t="s">
        <v>997</v>
      </c>
      <c r="C266" t="s">
        <v>998</v>
      </c>
      <c r="E266">
        <v>0.01</v>
      </c>
      <c r="F266" t="s">
        <v>546</v>
      </c>
      <c r="G266" s="174">
        <v>45576.460914351854</v>
      </c>
    </row>
    <row r="267" spans="1:7">
      <c r="A267">
        <v>266</v>
      </c>
      <c r="B267" t="s">
        <v>997</v>
      </c>
      <c r="C267" t="s">
        <v>592</v>
      </c>
      <c r="E267">
        <v>0.01</v>
      </c>
      <c r="F267" t="s">
        <v>546</v>
      </c>
      <c r="G267" s="174">
        <v>45576.460914351854</v>
      </c>
    </row>
    <row r="268" spans="1:7">
      <c r="A268">
        <v>267</v>
      </c>
      <c r="B268" t="s">
        <v>999</v>
      </c>
      <c r="C268" t="s">
        <v>1000</v>
      </c>
      <c r="E268">
        <v>0.01</v>
      </c>
      <c r="F268" t="s">
        <v>546</v>
      </c>
      <c r="G268" s="174">
        <v>45576.460914351854</v>
      </c>
    </row>
    <row r="269" spans="1:7">
      <c r="A269">
        <v>268</v>
      </c>
      <c r="B269" t="s">
        <v>1001</v>
      </c>
      <c r="C269" t="s">
        <v>1002</v>
      </c>
      <c r="E269">
        <v>0.01</v>
      </c>
      <c r="F269" t="s">
        <v>546</v>
      </c>
      <c r="G269" s="174">
        <v>45576.460914351854</v>
      </c>
    </row>
    <row r="270" spans="1:7">
      <c r="A270">
        <v>269</v>
      </c>
      <c r="B270" t="s">
        <v>1003</v>
      </c>
      <c r="C270" t="s">
        <v>575</v>
      </c>
      <c r="E270">
        <v>0.01</v>
      </c>
      <c r="F270" t="s">
        <v>546</v>
      </c>
      <c r="G270" s="174">
        <v>45576.460914351854</v>
      </c>
    </row>
    <row r="271" spans="1:7">
      <c r="A271">
        <v>270</v>
      </c>
      <c r="B271" t="s">
        <v>1004</v>
      </c>
      <c r="C271" t="s">
        <v>814</v>
      </c>
      <c r="E271">
        <v>0.01</v>
      </c>
      <c r="F271" t="s">
        <v>546</v>
      </c>
      <c r="G271" s="174">
        <v>45576.460914351854</v>
      </c>
    </row>
    <row r="272" spans="1:7">
      <c r="A272">
        <v>271</v>
      </c>
      <c r="B272" t="s">
        <v>1005</v>
      </c>
      <c r="C272" t="s">
        <v>1006</v>
      </c>
      <c r="E272">
        <v>0.6</v>
      </c>
      <c r="F272" t="s">
        <v>546</v>
      </c>
      <c r="G272" s="174">
        <v>45576.460914351854</v>
      </c>
    </row>
    <row r="273" spans="1:7">
      <c r="A273">
        <v>272</v>
      </c>
      <c r="B273" t="s">
        <v>1007</v>
      </c>
      <c r="C273" t="s">
        <v>1008</v>
      </c>
      <c r="E273">
        <v>0.01</v>
      </c>
      <c r="F273" t="s">
        <v>546</v>
      </c>
      <c r="G273" s="174">
        <v>45576.460914351854</v>
      </c>
    </row>
    <row r="274" spans="1:7">
      <c r="A274">
        <v>273</v>
      </c>
      <c r="B274" t="s">
        <v>1009</v>
      </c>
      <c r="C274" t="s">
        <v>583</v>
      </c>
      <c r="E274">
        <v>0.01</v>
      </c>
      <c r="F274" t="s">
        <v>546</v>
      </c>
      <c r="G274" s="174">
        <v>45576.460914351854</v>
      </c>
    </row>
    <row r="275" spans="1:7">
      <c r="A275">
        <v>274</v>
      </c>
      <c r="B275" t="s">
        <v>1010</v>
      </c>
      <c r="C275" t="s">
        <v>1011</v>
      </c>
      <c r="E275">
        <v>0.01</v>
      </c>
      <c r="F275" t="s">
        <v>546</v>
      </c>
      <c r="G275" s="174">
        <v>45576.460914351854</v>
      </c>
    </row>
    <row r="276" spans="1:7">
      <c r="A276">
        <v>275</v>
      </c>
      <c r="B276" t="s">
        <v>1010</v>
      </c>
      <c r="C276" t="s">
        <v>1012</v>
      </c>
      <c r="E276">
        <v>0.01</v>
      </c>
      <c r="F276" t="s">
        <v>546</v>
      </c>
      <c r="G276" s="174">
        <v>45576.460914351854</v>
      </c>
    </row>
    <row r="277" spans="1:7">
      <c r="A277">
        <v>276</v>
      </c>
      <c r="B277" t="s">
        <v>1010</v>
      </c>
      <c r="C277" t="s">
        <v>1013</v>
      </c>
      <c r="E277">
        <v>0.01</v>
      </c>
      <c r="F277" t="s">
        <v>546</v>
      </c>
      <c r="G277" s="174">
        <v>45576.460914351854</v>
      </c>
    </row>
    <row r="278" spans="1:7">
      <c r="A278">
        <v>277</v>
      </c>
      <c r="B278" t="s">
        <v>1010</v>
      </c>
      <c r="C278" t="s">
        <v>1014</v>
      </c>
      <c r="E278">
        <v>0.01</v>
      </c>
      <c r="F278" t="s">
        <v>546</v>
      </c>
      <c r="G278" s="174">
        <v>45576.460914351854</v>
      </c>
    </row>
    <row r="279" spans="1:7">
      <c r="A279">
        <v>278</v>
      </c>
      <c r="B279" t="s">
        <v>1015</v>
      </c>
      <c r="C279" t="s">
        <v>571</v>
      </c>
      <c r="E279">
        <v>0.01</v>
      </c>
      <c r="F279" t="s">
        <v>546</v>
      </c>
      <c r="G279" s="174">
        <v>45576.460914351854</v>
      </c>
    </row>
    <row r="280" spans="1:7">
      <c r="A280">
        <v>279</v>
      </c>
      <c r="B280" t="s">
        <v>1016</v>
      </c>
      <c r="C280" t="s">
        <v>1017</v>
      </c>
      <c r="E280">
        <v>0.01</v>
      </c>
      <c r="F280" t="s">
        <v>546</v>
      </c>
      <c r="G280" s="174">
        <v>45576.460914351854</v>
      </c>
    </row>
    <row r="281" spans="1:7">
      <c r="A281">
        <v>280</v>
      </c>
      <c r="B281" t="s">
        <v>1018</v>
      </c>
      <c r="C281" t="s">
        <v>1019</v>
      </c>
      <c r="E281">
        <v>0.8</v>
      </c>
      <c r="F281" t="s">
        <v>546</v>
      </c>
      <c r="G281" s="174">
        <v>45576.460914351854</v>
      </c>
    </row>
    <row r="282" spans="1:7">
      <c r="A282">
        <v>281</v>
      </c>
      <c r="B282" t="s">
        <v>1020</v>
      </c>
      <c r="C282" t="s">
        <v>1021</v>
      </c>
      <c r="E282">
        <v>0.05</v>
      </c>
      <c r="F282" t="s">
        <v>546</v>
      </c>
      <c r="G282" s="174">
        <v>45576.460914351854</v>
      </c>
    </row>
    <row r="283" spans="1:7">
      <c r="A283">
        <v>282</v>
      </c>
      <c r="B283" t="s">
        <v>1022</v>
      </c>
      <c r="C283" t="s">
        <v>1023</v>
      </c>
      <c r="E283">
        <v>0.01</v>
      </c>
      <c r="F283" t="s">
        <v>546</v>
      </c>
      <c r="G283" s="174">
        <v>45576.460914351854</v>
      </c>
    </row>
    <row r="284" spans="1:7">
      <c r="A284">
        <v>283</v>
      </c>
      <c r="B284" t="s">
        <v>1024</v>
      </c>
      <c r="C284" t="s">
        <v>1025</v>
      </c>
      <c r="E284">
        <v>0.01</v>
      </c>
      <c r="F284" t="s">
        <v>546</v>
      </c>
      <c r="G284" s="174">
        <v>45576.460914351854</v>
      </c>
    </row>
    <row r="285" spans="1:7">
      <c r="A285">
        <v>284</v>
      </c>
      <c r="B285" t="s">
        <v>1026</v>
      </c>
      <c r="C285" t="s">
        <v>835</v>
      </c>
      <c r="E285">
        <v>0.01</v>
      </c>
      <c r="F285" t="s">
        <v>546</v>
      </c>
      <c r="G285" s="174">
        <v>45576.460914351854</v>
      </c>
    </row>
    <row r="286" spans="1:7">
      <c r="A286">
        <v>285</v>
      </c>
      <c r="B286" t="s">
        <v>1027</v>
      </c>
      <c r="C286" t="s">
        <v>1028</v>
      </c>
      <c r="E286">
        <v>0.1</v>
      </c>
      <c r="F286" t="s">
        <v>546</v>
      </c>
      <c r="G286" s="174">
        <v>45576.460914351854</v>
      </c>
    </row>
    <row r="287" spans="1:7">
      <c r="A287">
        <v>286</v>
      </c>
      <c r="B287" t="s">
        <v>1027</v>
      </c>
      <c r="C287" t="s">
        <v>1029</v>
      </c>
      <c r="E287">
        <v>0.1</v>
      </c>
      <c r="F287" t="s">
        <v>546</v>
      </c>
      <c r="G287" s="174">
        <v>45576.460914351854</v>
      </c>
    </row>
    <row r="288" spans="1:7">
      <c r="A288">
        <v>287</v>
      </c>
      <c r="B288" t="s">
        <v>1030</v>
      </c>
      <c r="C288" t="s">
        <v>1031</v>
      </c>
      <c r="E288">
        <v>0.1</v>
      </c>
      <c r="F288" t="s">
        <v>546</v>
      </c>
      <c r="G288" s="174">
        <v>45576.460914351854</v>
      </c>
    </row>
    <row r="289" spans="1:7">
      <c r="A289">
        <v>288</v>
      </c>
      <c r="B289" t="s">
        <v>1032</v>
      </c>
      <c r="C289" t="s">
        <v>1033</v>
      </c>
      <c r="E289">
        <v>0.01</v>
      </c>
      <c r="F289" t="s">
        <v>546</v>
      </c>
      <c r="G289" s="174">
        <v>45576.460914351854</v>
      </c>
    </row>
    <row r="290" spans="1:7">
      <c r="A290">
        <v>289</v>
      </c>
      <c r="B290" t="s">
        <v>1034</v>
      </c>
      <c r="C290" t="s">
        <v>1035</v>
      </c>
      <c r="E290">
        <v>0.1</v>
      </c>
      <c r="F290" t="s">
        <v>546</v>
      </c>
      <c r="G290" s="174">
        <v>45576.460914351854</v>
      </c>
    </row>
    <row r="291" spans="1:7">
      <c r="A291">
        <v>290</v>
      </c>
      <c r="B291" t="s">
        <v>1036</v>
      </c>
      <c r="C291" t="s">
        <v>1021</v>
      </c>
      <c r="E291">
        <v>0.01</v>
      </c>
      <c r="F291" t="s">
        <v>546</v>
      </c>
      <c r="G291" s="174">
        <v>45576.460914351854</v>
      </c>
    </row>
    <row r="292" spans="1:7">
      <c r="A292">
        <v>291</v>
      </c>
      <c r="B292" t="s">
        <v>1036</v>
      </c>
      <c r="C292" t="s">
        <v>597</v>
      </c>
      <c r="E292">
        <v>0.01</v>
      </c>
      <c r="F292" t="s">
        <v>546</v>
      </c>
      <c r="G292" s="174">
        <v>45576.460914351854</v>
      </c>
    </row>
    <row r="293" spans="1:7">
      <c r="A293">
        <v>292</v>
      </c>
      <c r="B293" t="s">
        <v>1037</v>
      </c>
      <c r="C293" t="s">
        <v>1038</v>
      </c>
      <c r="E293">
        <v>0.01</v>
      </c>
      <c r="F293" t="s">
        <v>546</v>
      </c>
      <c r="G293" s="174">
        <v>45576.460914351854</v>
      </c>
    </row>
    <row r="294" spans="1:7">
      <c r="A294">
        <v>293</v>
      </c>
      <c r="B294" t="s">
        <v>1039</v>
      </c>
      <c r="C294" t="s">
        <v>1040</v>
      </c>
      <c r="E294">
        <v>0.01</v>
      </c>
      <c r="F294" t="s">
        <v>546</v>
      </c>
      <c r="G294" s="174">
        <v>45576.460914351854</v>
      </c>
    </row>
    <row r="295" spans="1:7">
      <c r="A295">
        <v>294</v>
      </c>
      <c r="B295" t="s">
        <v>1041</v>
      </c>
      <c r="C295" t="s">
        <v>1042</v>
      </c>
      <c r="E295">
        <v>0.01</v>
      </c>
      <c r="F295" t="s">
        <v>546</v>
      </c>
      <c r="G295" s="174">
        <v>45576.460914351854</v>
      </c>
    </row>
    <row r="296" spans="1:7">
      <c r="A296">
        <v>295</v>
      </c>
      <c r="B296" t="s">
        <v>1043</v>
      </c>
      <c r="C296" t="s">
        <v>1044</v>
      </c>
      <c r="E296">
        <v>0.01</v>
      </c>
      <c r="F296" t="s">
        <v>546</v>
      </c>
      <c r="G296" s="174">
        <v>45576.460914351854</v>
      </c>
    </row>
    <row r="297" spans="1:7">
      <c r="A297">
        <v>296</v>
      </c>
      <c r="B297" t="s">
        <v>1043</v>
      </c>
      <c r="C297" t="s">
        <v>1045</v>
      </c>
      <c r="E297">
        <v>0.01</v>
      </c>
      <c r="F297" t="s">
        <v>546</v>
      </c>
      <c r="G297" s="174">
        <v>45576.460914351854</v>
      </c>
    </row>
    <row r="298" spans="1:7">
      <c r="A298">
        <v>297</v>
      </c>
      <c r="B298" t="s">
        <v>1046</v>
      </c>
      <c r="C298" t="s">
        <v>1047</v>
      </c>
      <c r="E298">
        <v>0.01</v>
      </c>
      <c r="F298" t="s">
        <v>546</v>
      </c>
      <c r="G298" s="174">
        <v>45576.460914351854</v>
      </c>
    </row>
    <row r="299" spans="1:7">
      <c r="A299">
        <v>298</v>
      </c>
      <c r="B299" t="s">
        <v>1046</v>
      </c>
      <c r="C299" t="s">
        <v>1048</v>
      </c>
      <c r="E299">
        <v>0.01</v>
      </c>
      <c r="F299" t="s">
        <v>546</v>
      </c>
      <c r="G299" s="174">
        <v>45576.460914351854</v>
      </c>
    </row>
    <row r="300" spans="1:7">
      <c r="A300">
        <v>299</v>
      </c>
      <c r="B300" t="s">
        <v>1049</v>
      </c>
      <c r="C300" t="s">
        <v>1050</v>
      </c>
      <c r="E300">
        <v>0.01</v>
      </c>
      <c r="F300" t="s">
        <v>546</v>
      </c>
      <c r="G300" s="174">
        <v>45576.460914351854</v>
      </c>
    </row>
    <row r="301" spans="1:7">
      <c r="A301">
        <v>300</v>
      </c>
      <c r="B301" t="s">
        <v>1049</v>
      </c>
      <c r="C301" t="s">
        <v>1051</v>
      </c>
      <c r="E301">
        <v>0.01</v>
      </c>
      <c r="F301" t="s">
        <v>546</v>
      </c>
      <c r="G301" s="174">
        <v>45576.460914351854</v>
      </c>
    </row>
    <row r="302" spans="1:7">
      <c r="A302">
        <v>301</v>
      </c>
      <c r="B302" t="s">
        <v>1052</v>
      </c>
      <c r="C302" t="s">
        <v>1053</v>
      </c>
      <c r="E302">
        <v>0.01</v>
      </c>
      <c r="F302" t="s">
        <v>546</v>
      </c>
      <c r="G302" s="174">
        <v>45576.460914351854</v>
      </c>
    </row>
    <row r="303" spans="1:7">
      <c r="A303">
        <v>302</v>
      </c>
      <c r="B303" t="s">
        <v>1054</v>
      </c>
      <c r="C303" t="s">
        <v>1055</v>
      </c>
      <c r="E303">
        <v>0.01</v>
      </c>
      <c r="F303" t="s">
        <v>546</v>
      </c>
      <c r="G303" s="174">
        <v>45576.460914351854</v>
      </c>
    </row>
    <row r="304" spans="1:7">
      <c r="A304">
        <v>303</v>
      </c>
      <c r="B304" t="s">
        <v>1054</v>
      </c>
      <c r="C304" t="s">
        <v>1056</v>
      </c>
      <c r="E304">
        <v>0.01</v>
      </c>
      <c r="F304" t="s">
        <v>546</v>
      </c>
      <c r="G304" s="174">
        <v>45576.460914351854</v>
      </c>
    </row>
    <row r="305" spans="1:7">
      <c r="A305">
        <v>304</v>
      </c>
      <c r="B305" t="s">
        <v>1057</v>
      </c>
      <c r="C305" t="s">
        <v>1058</v>
      </c>
      <c r="E305">
        <v>0.1</v>
      </c>
      <c r="F305" t="s">
        <v>546</v>
      </c>
      <c r="G305" s="174">
        <v>45576.460914351854</v>
      </c>
    </row>
    <row r="306" spans="1:7">
      <c r="A306">
        <v>305</v>
      </c>
      <c r="B306" t="s">
        <v>1059</v>
      </c>
      <c r="C306" t="s">
        <v>1060</v>
      </c>
      <c r="E306">
        <v>0.05</v>
      </c>
      <c r="F306" t="s">
        <v>546</v>
      </c>
      <c r="G306" s="174">
        <v>45576.460914351854</v>
      </c>
    </row>
    <row r="307" spans="1:7">
      <c r="A307">
        <v>306</v>
      </c>
      <c r="B307" t="s">
        <v>1061</v>
      </c>
      <c r="C307" t="s">
        <v>1062</v>
      </c>
      <c r="E307">
        <v>0.6</v>
      </c>
      <c r="F307" t="s">
        <v>546</v>
      </c>
      <c r="G307" s="174">
        <v>45576.460914351854</v>
      </c>
    </row>
    <row r="308" spans="1:7">
      <c r="A308">
        <v>307</v>
      </c>
      <c r="B308" t="s">
        <v>1063</v>
      </c>
      <c r="C308" t="s">
        <v>1064</v>
      </c>
      <c r="E308">
        <v>1</v>
      </c>
      <c r="F308" t="s">
        <v>546</v>
      </c>
      <c r="G308" s="174">
        <v>45576.460914351854</v>
      </c>
    </row>
    <row r="309" spans="1:7">
      <c r="A309">
        <v>308</v>
      </c>
      <c r="B309" t="s">
        <v>1063</v>
      </c>
      <c r="C309" t="s">
        <v>1065</v>
      </c>
      <c r="E309">
        <v>0.7</v>
      </c>
      <c r="F309" t="s">
        <v>546</v>
      </c>
      <c r="G309" s="174">
        <v>45576.460914351854</v>
      </c>
    </row>
    <row r="310" spans="1:7">
      <c r="A310">
        <v>309</v>
      </c>
      <c r="B310" t="s">
        <v>1066</v>
      </c>
      <c r="C310" t="s">
        <v>757</v>
      </c>
      <c r="E310">
        <v>0.01</v>
      </c>
      <c r="F310" t="s">
        <v>546</v>
      </c>
      <c r="G310" s="174">
        <v>45576.460914351854</v>
      </c>
    </row>
    <row r="311" spans="1:7">
      <c r="A311">
        <v>310</v>
      </c>
      <c r="B311" t="s">
        <v>1067</v>
      </c>
      <c r="C311" t="s">
        <v>809</v>
      </c>
      <c r="E311">
        <v>0.01</v>
      </c>
      <c r="F311" t="s">
        <v>546</v>
      </c>
      <c r="G311" s="174">
        <v>45576.460914351854</v>
      </c>
    </row>
    <row r="312" spans="1:7">
      <c r="A312">
        <v>311</v>
      </c>
      <c r="B312" t="s">
        <v>1068</v>
      </c>
      <c r="C312" t="s">
        <v>668</v>
      </c>
      <c r="E312">
        <v>0.1</v>
      </c>
      <c r="F312" t="s">
        <v>546</v>
      </c>
      <c r="G312" s="174">
        <v>45576.460914351854</v>
      </c>
    </row>
    <row r="313" spans="1:7">
      <c r="A313">
        <v>312</v>
      </c>
      <c r="B313" t="s">
        <v>1069</v>
      </c>
      <c r="C313" t="s">
        <v>609</v>
      </c>
      <c r="E313">
        <v>0.01</v>
      </c>
      <c r="F313" t="s">
        <v>546</v>
      </c>
      <c r="G313" s="174">
        <v>45576.460914351854</v>
      </c>
    </row>
    <row r="314" spans="1:7">
      <c r="A314">
        <v>313</v>
      </c>
      <c r="B314" t="s">
        <v>1070</v>
      </c>
      <c r="C314" t="s">
        <v>1071</v>
      </c>
      <c r="E314">
        <v>0.01</v>
      </c>
      <c r="F314" t="s">
        <v>546</v>
      </c>
      <c r="G314" s="174">
        <v>45576.460914351854</v>
      </c>
    </row>
    <row r="315" spans="1:7">
      <c r="A315">
        <v>314</v>
      </c>
      <c r="B315" t="s">
        <v>1072</v>
      </c>
      <c r="C315" t="s">
        <v>943</v>
      </c>
      <c r="E315">
        <v>0.01</v>
      </c>
      <c r="F315" t="s">
        <v>546</v>
      </c>
      <c r="G315" s="174">
        <v>45576.460914351854</v>
      </c>
    </row>
    <row r="316" spans="1:7">
      <c r="A316">
        <v>315</v>
      </c>
      <c r="B316" t="s">
        <v>1073</v>
      </c>
      <c r="C316" t="s">
        <v>941</v>
      </c>
      <c r="E316">
        <v>0.01</v>
      </c>
      <c r="F316" t="s">
        <v>546</v>
      </c>
      <c r="G316" s="174">
        <v>45576.460914351854</v>
      </c>
    </row>
    <row r="317" spans="1:7">
      <c r="A317">
        <v>316</v>
      </c>
      <c r="B317" t="s">
        <v>1074</v>
      </c>
      <c r="C317" t="s">
        <v>1011</v>
      </c>
      <c r="E317">
        <v>0.6</v>
      </c>
      <c r="F317" t="s">
        <v>546</v>
      </c>
      <c r="G317" s="174">
        <v>45576.460914351854</v>
      </c>
    </row>
    <row r="318" spans="1:7">
      <c r="A318">
        <v>317</v>
      </c>
      <c r="B318" t="s">
        <v>1075</v>
      </c>
      <c r="C318" t="s">
        <v>775</v>
      </c>
      <c r="E318">
        <v>0.01</v>
      </c>
      <c r="F318" t="s">
        <v>546</v>
      </c>
      <c r="G318" s="174">
        <v>45576.460914351854</v>
      </c>
    </row>
    <row r="319" spans="1:7">
      <c r="A319">
        <v>318</v>
      </c>
      <c r="B319" t="s">
        <v>1076</v>
      </c>
      <c r="C319" t="s">
        <v>1077</v>
      </c>
      <c r="E319">
        <v>0.01</v>
      </c>
      <c r="F319" t="s">
        <v>546</v>
      </c>
      <c r="G319" s="174">
        <v>45576.460914351854</v>
      </c>
    </row>
    <row r="320" spans="1:7">
      <c r="A320">
        <v>319</v>
      </c>
      <c r="B320" t="s">
        <v>1076</v>
      </c>
      <c r="C320" t="s">
        <v>1078</v>
      </c>
      <c r="E320">
        <v>0.01</v>
      </c>
      <c r="F320" t="s">
        <v>546</v>
      </c>
      <c r="G320" s="174">
        <v>45576.460914351854</v>
      </c>
    </row>
    <row r="321" spans="1:7">
      <c r="A321">
        <v>320</v>
      </c>
      <c r="B321" t="s">
        <v>1079</v>
      </c>
      <c r="C321" t="s">
        <v>1080</v>
      </c>
      <c r="E321">
        <v>0.01</v>
      </c>
      <c r="F321" t="s">
        <v>546</v>
      </c>
      <c r="G321" s="174">
        <v>45576.460914351854</v>
      </c>
    </row>
    <row r="322" spans="1:7">
      <c r="A322">
        <v>321</v>
      </c>
      <c r="B322" t="s">
        <v>1081</v>
      </c>
      <c r="C322" t="s">
        <v>1082</v>
      </c>
      <c r="E322">
        <v>0.05</v>
      </c>
      <c r="F322" t="s">
        <v>546</v>
      </c>
      <c r="G322" s="174">
        <v>45576.460914351854</v>
      </c>
    </row>
    <row r="323" spans="1:7">
      <c r="A323">
        <v>322</v>
      </c>
      <c r="B323" t="s">
        <v>1081</v>
      </c>
      <c r="C323" t="s">
        <v>1083</v>
      </c>
      <c r="E323">
        <v>0.01</v>
      </c>
      <c r="F323" t="s">
        <v>546</v>
      </c>
      <c r="G323" s="174">
        <v>45576.460914351854</v>
      </c>
    </row>
    <row r="324" spans="1:7">
      <c r="A324">
        <v>323</v>
      </c>
      <c r="B324" t="s">
        <v>1084</v>
      </c>
      <c r="C324" t="s">
        <v>1031</v>
      </c>
      <c r="E324">
        <v>0.1</v>
      </c>
      <c r="F324" t="s">
        <v>546</v>
      </c>
      <c r="G324" s="174">
        <v>45576.460914351854</v>
      </c>
    </row>
    <row r="325" spans="1:7">
      <c r="A325">
        <v>324</v>
      </c>
      <c r="B325" t="s">
        <v>1085</v>
      </c>
      <c r="C325" t="s">
        <v>1086</v>
      </c>
      <c r="E325">
        <v>0.05</v>
      </c>
      <c r="F325" t="s">
        <v>546</v>
      </c>
      <c r="G325" s="174">
        <v>45576.460914351854</v>
      </c>
    </row>
    <row r="326" spans="1:7">
      <c r="A326">
        <v>325</v>
      </c>
      <c r="B326" t="s">
        <v>1087</v>
      </c>
      <c r="C326" t="s">
        <v>1050</v>
      </c>
      <c r="E326">
        <v>0.01</v>
      </c>
      <c r="F326" t="s">
        <v>546</v>
      </c>
      <c r="G326" s="174">
        <v>45576.460914351854</v>
      </c>
    </row>
    <row r="327" spans="1:7">
      <c r="A327">
        <v>326</v>
      </c>
      <c r="B327" t="s">
        <v>1087</v>
      </c>
      <c r="C327" t="s">
        <v>1088</v>
      </c>
      <c r="E327">
        <v>0.01</v>
      </c>
      <c r="F327" t="s">
        <v>546</v>
      </c>
      <c r="G327" s="174">
        <v>45576.460914351854</v>
      </c>
    </row>
    <row r="328" spans="1:7">
      <c r="A328">
        <v>327</v>
      </c>
      <c r="B328" t="s">
        <v>1089</v>
      </c>
      <c r="C328" t="s">
        <v>1090</v>
      </c>
      <c r="E328">
        <v>0.1</v>
      </c>
      <c r="F328" t="s">
        <v>546</v>
      </c>
      <c r="G328" s="174">
        <v>45576.460914351854</v>
      </c>
    </row>
    <row r="329" spans="1:7">
      <c r="A329">
        <v>328</v>
      </c>
      <c r="B329" t="s">
        <v>1091</v>
      </c>
      <c r="C329" t="s">
        <v>851</v>
      </c>
      <c r="E329">
        <v>0.01</v>
      </c>
      <c r="F329" t="s">
        <v>546</v>
      </c>
      <c r="G329" s="174">
        <v>45576.460914351854</v>
      </c>
    </row>
    <row r="330" spans="1:7">
      <c r="A330">
        <v>329</v>
      </c>
      <c r="B330" t="s">
        <v>1091</v>
      </c>
      <c r="C330" t="s">
        <v>852</v>
      </c>
      <c r="E330">
        <v>0.01</v>
      </c>
      <c r="F330" t="s">
        <v>546</v>
      </c>
      <c r="G330" s="174">
        <v>45576.460914351854</v>
      </c>
    </row>
    <row r="331" spans="1:7">
      <c r="A331">
        <v>330</v>
      </c>
      <c r="B331" t="s">
        <v>1092</v>
      </c>
      <c r="C331" t="s">
        <v>1071</v>
      </c>
      <c r="E331">
        <v>0.01</v>
      </c>
      <c r="F331" t="s">
        <v>546</v>
      </c>
      <c r="G331" s="174">
        <v>45576.460914351854</v>
      </c>
    </row>
    <row r="332" spans="1:7">
      <c r="A332">
        <v>331</v>
      </c>
      <c r="B332" t="s">
        <v>1092</v>
      </c>
      <c r="C332" t="s">
        <v>1093</v>
      </c>
      <c r="E332">
        <v>0.1</v>
      </c>
      <c r="F332" t="s">
        <v>546</v>
      </c>
      <c r="G332" s="174">
        <v>45576.460914351854</v>
      </c>
    </row>
    <row r="333" spans="1:7">
      <c r="A333">
        <v>332</v>
      </c>
      <c r="B333" t="s">
        <v>1094</v>
      </c>
      <c r="C333" t="s">
        <v>943</v>
      </c>
      <c r="E333">
        <v>0.01</v>
      </c>
      <c r="F333" t="s">
        <v>546</v>
      </c>
      <c r="G333" s="174">
        <v>45576.460914351854</v>
      </c>
    </row>
    <row r="334" spans="1:7">
      <c r="A334">
        <v>333</v>
      </c>
      <c r="B334" t="s">
        <v>1095</v>
      </c>
      <c r="C334" t="s">
        <v>545</v>
      </c>
      <c r="E334">
        <v>0.1</v>
      </c>
      <c r="F334" t="s">
        <v>546</v>
      </c>
      <c r="G334" s="174">
        <v>45576.460914351854</v>
      </c>
    </row>
    <row r="335" spans="1:7">
      <c r="A335">
        <v>334</v>
      </c>
      <c r="B335" t="s">
        <v>1096</v>
      </c>
      <c r="C335" t="s">
        <v>583</v>
      </c>
      <c r="E335">
        <v>0.01</v>
      </c>
      <c r="F335" t="s">
        <v>546</v>
      </c>
      <c r="G335" s="174">
        <v>45576.460914351854</v>
      </c>
    </row>
    <row r="336" spans="1:7">
      <c r="A336">
        <v>335</v>
      </c>
      <c r="B336" t="s">
        <v>1097</v>
      </c>
      <c r="C336" t="s">
        <v>791</v>
      </c>
      <c r="E336">
        <v>0.01</v>
      </c>
      <c r="F336" t="s">
        <v>546</v>
      </c>
      <c r="G336" s="174">
        <v>45576.460914351854</v>
      </c>
    </row>
    <row r="337" spans="1:7">
      <c r="A337">
        <v>336</v>
      </c>
      <c r="B337" t="s">
        <v>1098</v>
      </c>
      <c r="C337" t="s">
        <v>918</v>
      </c>
      <c r="E337">
        <v>0.6</v>
      </c>
      <c r="F337" t="s">
        <v>546</v>
      </c>
      <c r="G337" s="174">
        <v>45576.460914351854</v>
      </c>
    </row>
    <row r="338" spans="1:7">
      <c r="A338">
        <v>337</v>
      </c>
      <c r="B338" t="s">
        <v>1099</v>
      </c>
      <c r="C338" t="s">
        <v>579</v>
      </c>
      <c r="E338">
        <v>0.1</v>
      </c>
      <c r="F338" t="s">
        <v>546</v>
      </c>
      <c r="G338" s="174">
        <v>45576.460914351854</v>
      </c>
    </row>
    <row r="339" spans="1:7">
      <c r="A339">
        <v>338</v>
      </c>
      <c r="B339" t="s">
        <v>1100</v>
      </c>
      <c r="C339" t="s">
        <v>1101</v>
      </c>
      <c r="E339">
        <v>0.01</v>
      </c>
      <c r="F339" t="s">
        <v>546</v>
      </c>
      <c r="G339" s="174">
        <v>45576.460914351854</v>
      </c>
    </row>
    <row r="340" spans="1:7">
      <c r="A340">
        <v>339</v>
      </c>
      <c r="B340" t="s">
        <v>1100</v>
      </c>
      <c r="C340" t="s">
        <v>814</v>
      </c>
      <c r="E340">
        <v>0.01</v>
      </c>
      <c r="F340" t="s">
        <v>546</v>
      </c>
      <c r="G340" s="174">
        <v>45576.460914351854</v>
      </c>
    </row>
    <row r="341" spans="1:7">
      <c r="A341">
        <v>340</v>
      </c>
      <c r="B341" t="s">
        <v>1102</v>
      </c>
      <c r="C341" t="s">
        <v>612</v>
      </c>
      <c r="E341">
        <v>0.01</v>
      </c>
      <c r="F341" t="s">
        <v>546</v>
      </c>
      <c r="G341" s="174">
        <v>45576.460914351854</v>
      </c>
    </row>
    <row r="342" spans="1:7">
      <c r="A342">
        <v>341</v>
      </c>
      <c r="B342" t="s">
        <v>1103</v>
      </c>
      <c r="C342" t="s">
        <v>1104</v>
      </c>
      <c r="E342">
        <v>0.01</v>
      </c>
      <c r="F342" t="s">
        <v>546</v>
      </c>
      <c r="G342" s="174">
        <v>45576.460914351854</v>
      </c>
    </row>
    <row r="343" spans="1:7">
      <c r="A343">
        <v>342</v>
      </c>
      <c r="B343" t="s">
        <v>1105</v>
      </c>
      <c r="C343" t="s">
        <v>1106</v>
      </c>
      <c r="E343">
        <v>0.01</v>
      </c>
      <c r="F343" t="s">
        <v>546</v>
      </c>
      <c r="G343" s="174">
        <v>45576.460914351854</v>
      </c>
    </row>
    <row r="344" spans="1:7">
      <c r="A344">
        <v>343</v>
      </c>
      <c r="B344" t="s">
        <v>1107</v>
      </c>
      <c r="C344" t="s">
        <v>640</v>
      </c>
      <c r="E344">
        <v>0.01</v>
      </c>
      <c r="F344" t="s">
        <v>546</v>
      </c>
      <c r="G344" s="174">
        <v>45576.460914351854</v>
      </c>
    </row>
    <row r="345" spans="1:7">
      <c r="A345">
        <v>344</v>
      </c>
      <c r="B345" t="s">
        <v>1107</v>
      </c>
      <c r="C345" t="s">
        <v>641</v>
      </c>
      <c r="E345">
        <v>0.01</v>
      </c>
      <c r="F345" t="s">
        <v>546</v>
      </c>
      <c r="G345" s="174">
        <v>45576.460914351854</v>
      </c>
    </row>
    <row r="346" spans="1:7">
      <c r="A346">
        <v>345</v>
      </c>
      <c r="B346" t="s">
        <v>1108</v>
      </c>
      <c r="C346" t="s">
        <v>631</v>
      </c>
      <c r="E346">
        <v>0.01</v>
      </c>
      <c r="F346" t="s">
        <v>546</v>
      </c>
      <c r="G346" s="174">
        <v>45576.460914351854</v>
      </c>
    </row>
    <row r="347" spans="1:7">
      <c r="A347">
        <v>346</v>
      </c>
      <c r="B347" t="s">
        <v>1109</v>
      </c>
      <c r="C347" t="s">
        <v>583</v>
      </c>
      <c r="E347">
        <v>0.01</v>
      </c>
      <c r="F347" t="s">
        <v>546</v>
      </c>
      <c r="G347" s="174">
        <v>45576.460914351854</v>
      </c>
    </row>
    <row r="348" spans="1:7">
      <c r="A348">
        <v>347</v>
      </c>
      <c r="B348" t="s">
        <v>1110</v>
      </c>
      <c r="C348" t="s">
        <v>1031</v>
      </c>
      <c r="E348">
        <v>0.01</v>
      </c>
      <c r="F348" t="s">
        <v>546</v>
      </c>
      <c r="G348" s="174">
        <v>45576.460914351854</v>
      </c>
    </row>
    <row r="349" spans="1:7">
      <c r="A349">
        <v>348</v>
      </c>
      <c r="B349" t="s">
        <v>1111</v>
      </c>
      <c r="C349" t="s">
        <v>618</v>
      </c>
      <c r="E349">
        <v>0.01</v>
      </c>
      <c r="F349" t="s">
        <v>546</v>
      </c>
      <c r="G349" s="174">
        <v>45576.460914351854</v>
      </c>
    </row>
    <row r="350" spans="1:7">
      <c r="A350">
        <v>349</v>
      </c>
      <c r="B350" t="s">
        <v>1112</v>
      </c>
      <c r="C350" t="s">
        <v>1113</v>
      </c>
      <c r="E350">
        <v>0.1</v>
      </c>
      <c r="F350" t="s">
        <v>546</v>
      </c>
      <c r="G350" s="174">
        <v>45576.460914351854</v>
      </c>
    </row>
    <row r="351" spans="1:7">
      <c r="A351">
        <v>350</v>
      </c>
      <c r="B351" t="s">
        <v>1114</v>
      </c>
      <c r="C351" t="s">
        <v>647</v>
      </c>
      <c r="E351">
        <v>0.01</v>
      </c>
      <c r="F351" t="s">
        <v>546</v>
      </c>
      <c r="G351" s="174">
        <v>45576.460914351854</v>
      </c>
    </row>
    <row r="352" spans="1:7">
      <c r="A352">
        <v>351</v>
      </c>
      <c r="B352" t="s">
        <v>1115</v>
      </c>
      <c r="C352" t="s">
        <v>1116</v>
      </c>
      <c r="E352">
        <v>0.8</v>
      </c>
      <c r="F352" t="s">
        <v>546</v>
      </c>
      <c r="G352" s="174">
        <v>45576.460914351854</v>
      </c>
    </row>
    <row r="353" spans="1:7">
      <c r="A353">
        <v>352</v>
      </c>
      <c r="B353" t="s">
        <v>1117</v>
      </c>
      <c r="C353" t="s">
        <v>1118</v>
      </c>
      <c r="E353">
        <v>0.01</v>
      </c>
      <c r="F353" t="s">
        <v>546</v>
      </c>
      <c r="G353" s="174">
        <v>45576.460914351854</v>
      </c>
    </row>
    <row r="354" spans="1:7">
      <c r="A354">
        <v>353</v>
      </c>
      <c r="B354" t="s">
        <v>1119</v>
      </c>
      <c r="C354" t="s">
        <v>1120</v>
      </c>
      <c r="E354">
        <v>0.6</v>
      </c>
      <c r="F354" t="s">
        <v>546</v>
      </c>
      <c r="G354" s="174">
        <v>45576.460914351854</v>
      </c>
    </row>
    <row r="355" spans="1:7">
      <c r="A355">
        <v>354</v>
      </c>
      <c r="B355" t="s">
        <v>1121</v>
      </c>
      <c r="C355" t="s">
        <v>693</v>
      </c>
      <c r="E355">
        <v>0.01</v>
      </c>
      <c r="F355" t="s">
        <v>546</v>
      </c>
      <c r="G355" s="174">
        <v>45576.460914351854</v>
      </c>
    </row>
    <row r="356" spans="1:7">
      <c r="A356">
        <v>355</v>
      </c>
      <c r="B356" t="s">
        <v>1122</v>
      </c>
      <c r="C356" t="s">
        <v>841</v>
      </c>
      <c r="E356">
        <v>0.01</v>
      </c>
      <c r="F356" t="s">
        <v>546</v>
      </c>
      <c r="G356" s="174">
        <v>45576.460914351854</v>
      </c>
    </row>
    <row r="357" spans="1:7">
      <c r="A357">
        <v>356</v>
      </c>
      <c r="B357" t="s">
        <v>1123</v>
      </c>
      <c r="C357" t="s">
        <v>1124</v>
      </c>
      <c r="E357">
        <v>0.01</v>
      </c>
      <c r="F357" t="s">
        <v>546</v>
      </c>
      <c r="G357" s="174">
        <v>45576.460914351854</v>
      </c>
    </row>
    <row r="358" spans="1:7">
      <c r="A358">
        <v>357</v>
      </c>
      <c r="B358" t="s">
        <v>1125</v>
      </c>
      <c r="C358" t="s">
        <v>947</v>
      </c>
      <c r="E358">
        <v>0.1</v>
      </c>
      <c r="F358" t="s">
        <v>546</v>
      </c>
      <c r="G358" s="174">
        <v>45576.460914351854</v>
      </c>
    </row>
    <row r="359" spans="1:7">
      <c r="A359">
        <v>358</v>
      </c>
      <c r="B359" t="s">
        <v>1126</v>
      </c>
      <c r="C359" t="s">
        <v>1127</v>
      </c>
      <c r="E359">
        <v>0.6</v>
      </c>
      <c r="F359" t="s">
        <v>546</v>
      </c>
      <c r="G359" s="174">
        <v>45576.460914351854</v>
      </c>
    </row>
    <row r="360" spans="1:7">
      <c r="A360">
        <v>359</v>
      </c>
      <c r="B360" t="s">
        <v>1128</v>
      </c>
      <c r="C360" t="s">
        <v>1129</v>
      </c>
      <c r="E360">
        <v>0.01</v>
      </c>
      <c r="F360" t="s">
        <v>546</v>
      </c>
      <c r="G360" s="174">
        <v>45576.460914351854</v>
      </c>
    </row>
    <row r="361" spans="1:7">
      <c r="A361">
        <v>360</v>
      </c>
      <c r="B361" t="s">
        <v>1130</v>
      </c>
      <c r="C361" t="s">
        <v>601</v>
      </c>
      <c r="E361">
        <v>1</v>
      </c>
      <c r="F361" t="s">
        <v>1131</v>
      </c>
      <c r="G361" s="174">
        <v>45576.460914351854</v>
      </c>
    </row>
    <row r="362" spans="1:7">
      <c r="A362">
        <v>361</v>
      </c>
      <c r="B362" t="s">
        <v>1132</v>
      </c>
      <c r="C362" t="s">
        <v>1133</v>
      </c>
      <c r="E362">
        <v>0.01</v>
      </c>
      <c r="F362" t="s">
        <v>546</v>
      </c>
      <c r="G362" s="174">
        <v>45576.460914351854</v>
      </c>
    </row>
    <row r="363" spans="1:7">
      <c r="A363">
        <v>362</v>
      </c>
      <c r="B363" t="s">
        <v>1134</v>
      </c>
      <c r="C363" t="s">
        <v>839</v>
      </c>
      <c r="E363">
        <v>0.01</v>
      </c>
      <c r="F363" t="s">
        <v>546</v>
      </c>
      <c r="G363" s="174">
        <v>45576.460914351854</v>
      </c>
    </row>
    <row r="364" spans="1:7">
      <c r="A364">
        <v>363</v>
      </c>
      <c r="B364" t="s">
        <v>1135</v>
      </c>
      <c r="C364" t="s">
        <v>1136</v>
      </c>
      <c r="E364">
        <v>0.5</v>
      </c>
      <c r="F364" t="s">
        <v>1137</v>
      </c>
      <c r="G364" s="174">
        <v>45576.460914351854</v>
      </c>
    </row>
    <row r="365" spans="1:7">
      <c r="A365">
        <v>364</v>
      </c>
      <c r="B365" t="s">
        <v>1138</v>
      </c>
      <c r="C365" t="s">
        <v>1139</v>
      </c>
      <c r="E365">
        <v>0.01</v>
      </c>
      <c r="F365" t="s">
        <v>546</v>
      </c>
      <c r="G365" s="174">
        <v>45576.460914351854</v>
      </c>
    </row>
    <row r="366" spans="1:7">
      <c r="A366">
        <v>365</v>
      </c>
      <c r="B366" t="s">
        <v>1140</v>
      </c>
      <c r="C366" t="s">
        <v>826</v>
      </c>
      <c r="E366">
        <v>0.01</v>
      </c>
      <c r="F366" t="s">
        <v>546</v>
      </c>
      <c r="G366" s="174">
        <v>45576.460914351854</v>
      </c>
    </row>
    <row r="367" spans="1:7">
      <c r="A367">
        <v>366</v>
      </c>
      <c r="B367" t="s">
        <v>1141</v>
      </c>
      <c r="C367" t="s">
        <v>922</v>
      </c>
      <c r="E367">
        <v>0.1</v>
      </c>
      <c r="F367" t="s">
        <v>546</v>
      </c>
      <c r="G367" s="174">
        <v>45576.460914351854</v>
      </c>
    </row>
    <row r="368" spans="1:7">
      <c r="A368">
        <v>367</v>
      </c>
      <c r="B368" t="s">
        <v>1142</v>
      </c>
      <c r="C368" t="s">
        <v>1143</v>
      </c>
      <c r="E368">
        <v>0.1</v>
      </c>
      <c r="F368" t="s">
        <v>546</v>
      </c>
      <c r="G368" s="174">
        <v>45576.460914351854</v>
      </c>
    </row>
    <row r="369" spans="1:7">
      <c r="A369">
        <v>368</v>
      </c>
      <c r="B369" t="s">
        <v>1144</v>
      </c>
      <c r="C369" t="s">
        <v>1145</v>
      </c>
      <c r="E369">
        <v>0.01</v>
      </c>
      <c r="F369" t="s">
        <v>546</v>
      </c>
      <c r="G369" s="174">
        <v>45576.460914351854</v>
      </c>
    </row>
    <row r="370" spans="1:7">
      <c r="A370">
        <v>369</v>
      </c>
      <c r="B370" t="s">
        <v>1146</v>
      </c>
      <c r="C370" t="s">
        <v>1147</v>
      </c>
      <c r="E370">
        <v>0.1</v>
      </c>
      <c r="F370" t="s">
        <v>546</v>
      </c>
      <c r="G370" s="174">
        <v>45576.460914351854</v>
      </c>
    </row>
    <row r="371" spans="1:7">
      <c r="A371">
        <v>370</v>
      </c>
      <c r="B371" t="s">
        <v>1148</v>
      </c>
      <c r="C371" t="s">
        <v>1149</v>
      </c>
      <c r="E371">
        <v>0.01</v>
      </c>
      <c r="F371" t="s">
        <v>546</v>
      </c>
      <c r="G371" s="174">
        <v>45576.460914351854</v>
      </c>
    </row>
    <row r="372" spans="1:7">
      <c r="A372">
        <v>371</v>
      </c>
      <c r="B372" t="s">
        <v>1148</v>
      </c>
      <c r="C372" t="s">
        <v>1150</v>
      </c>
      <c r="E372">
        <v>0.01</v>
      </c>
      <c r="F372" t="s">
        <v>546</v>
      </c>
      <c r="G372" s="174">
        <v>45576.460914351854</v>
      </c>
    </row>
    <row r="373" spans="1:7">
      <c r="A373">
        <v>372</v>
      </c>
      <c r="B373" t="s">
        <v>1151</v>
      </c>
      <c r="C373" t="s">
        <v>1152</v>
      </c>
      <c r="E373">
        <v>0.01</v>
      </c>
      <c r="F373" t="s">
        <v>546</v>
      </c>
      <c r="G373" s="174">
        <v>45576.460914351854</v>
      </c>
    </row>
    <row r="374" spans="1:7">
      <c r="A374">
        <v>373</v>
      </c>
      <c r="B374" t="s">
        <v>1153</v>
      </c>
      <c r="C374" t="s">
        <v>849</v>
      </c>
      <c r="E374">
        <v>0.01</v>
      </c>
      <c r="F374" t="s">
        <v>546</v>
      </c>
      <c r="G374" s="174">
        <v>45576.460914351854</v>
      </c>
    </row>
    <row r="375" spans="1:7">
      <c r="A375">
        <v>374</v>
      </c>
      <c r="B375" t="s">
        <v>1154</v>
      </c>
      <c r="C375" t="s">
        <v>1155</v>
      </c>
      <c r="E375">
        <v>0.01</v>
      </c>
      <c r="F375" t="s">
        <v>546</v>
      </c>
      <c r="G375" s="174">
        <v>45576.460914351854</v>
      </c>
    </row>
    <row r="376" spans="1:7">
      <c r="A376">
        <v>375</v>
      </c>
      <c r="B376" t="s">
        <v>1156</v>
      </c>
      <c r="C376" t="s">
        <v>1157</v>
      </c>
      <c r="E376">
        <v>0.06</v>
      </c>
      <c r="F376" t="s">
        <v>546</v>
      </c>
      <c r="G376" s="174">
        <v>45576.460914351854</v>
      </c>
    </row>
    <row r="377" spans="1:7">
      <c r="A377">
        <v>376</v>
      </c>
      <c r="B377" t="s">
        <v>1158</v>
      </c>
      <c r="C377" t="s">
        <v>1159</v>
      </c>
      <c r="E377">
        <v>0.01</v>
      </c>
      <c r="F377" t="s">
        <v>546</v>
      </c>
      <c r="G377" s="174">
        <v>45576.460914351854</v>
      </c>
    </row>
    <row r="378" spans="1:7">
      <c r="A378">
        <v>377</v>
      </c>
      <c r="B378" t="s">
        <v>1158</v>
      </c>
      <c r="C378" t="s">
        <v>1160</v>
      </c>
      <c r="E378">
        <v>0.01</v>
      </c>
      <c r="F378" t="s">
        <v>546</v>
      </c>
      <c r="G378" s="174">
        <v>45576.460914351854</v>
      </c>
    </row>
    <row r="379" spans="1:7">
      <c r="A379">
        <v>378</v>
      </c>
      <c r="B379" t="s">
        <v>1161</v>
      </c>
      <c r="C379" t="s">
        <v>1162</v>
      </c>
      <c r="E379">
        <v>0.01</v>
      </c>
      <c r="F379" t="s">
        <v>546</v>
      </c>
      <c r="G379" s="174">
        <v>45576.460914351854</v>
      </c>
    </row>
    <row r="380" spans="1:7">
      <c r="A380">
        <v>379</v>
      </c>
      <c r="B380" t="s">
        <v>1161</v>
      </c>
      <c r="C380" t="s">
        <v>1163</v>
      </c>
      <c r="E380">
        <v>0.01</v>
      </c>
      <c r="F380" t="s">
        <v>546</v>
      </c>
      <c r="G380" s="174">
        <v>45576.460914351854</v>
      </c>
    </row>
    <row r="381" spans="1:7">
      <c r="A381">
        <v>380</v>
      </c>
      <c r="B381" t="s">
        <v>1164</v>
      </c>
      <c r="C381" t="s">
        <v>918</v>
      </c>
      <c r="E381">
        <v>0.01</v>
      </c>
      <c r="F381" t="s">
        <v>546</v>
      </c>
      <c r="G381" s="174">
        <v>45576.460914351854</v>
      </c>
    </row>
    <row r="382" spans="1:7">
      <c r="A382">
        <v>381</v>
      </c>
      <c r="B382" t="s">
        <v>1165</v>
      </c>
      <c r="C382" t="s">
        <v>1157</v>
      </c>
      <c r="E382">
        <v>0.01</v>
      </c>
      <c r="F382" t="s">
        <v>546</v>
      </c>
      <c r="G382" s="174">
        <v>45576.460914351854</v>
      </c>
    </row>
    <row r="383" spans="1:7">
      <c r="A383">
        <v>382</v>
      </c>
      <c r="B383" t="s">
        <v>1166</v>
      </c>
      <c r="C383" t="s">
        <v>953</v>
      </c>
      <c r="E383">
        <v>0.01</v>
      </c>
      <c r="F383" t="s">
        <v>546</v>
      </c>
      <c r="G383" s="174">
        <v>45576.460914351854</v>
      </c>
    </row>
    <row r="384" spans="1:7">
      <c r="A384">
        <v>383</v>
      </c>
      <c r="B384" t="s">
        <v>1167</v>
      </c>
      <c r="C384" t="s">
        <v>545</v>
      </c>
      <c r="E384">
        <v>0.6</v>
      </c>
      <c r="F384" t="s">
        <v>546</v>
      </c>
      <c r="G384" s="174">
        <v>45576.460914351854</v>
      </c>
    </row>
    <row r="385" spans="1:7">
      <c r="A385">
        <v>384</v>
      </c>
      <c r="B385" t="s">
        <v>1168</v>
      </c>
      <c r="C385" t="s">
        <v>779</v>
      </c>
      <c r="E385">
        <v>0.5</v>
      </c>
      <c r="F385" t="s">
        <v>546</v>
      </c>
      <c r="G385" s="174">
        <v>45576.460914351854</v>
      </c>
    </row>
    <row r="386" spans="1:7">
      <c r="A386">
        <v>385</v>
      </c>
      <c r="B386" t="s">
        <v>1169</v>
      </c>
      <c r="C386" t="s">
        <v>916</v>
      </c>
      <c r="E386">
        <v>0.01</v>
      </c>
      <c r="F386" t="s">
        <v>546</v>
      </c>
      <c r="G386" s="174">
        <v>45576.460914351854</v>
      </c>
    </row>
    <row r="387" spans="1:7">
      <c r="A387">
        <v>386</v>
      </c>
      <c r="B387" t="s">
        <v>1170</v>
      </c>
      <c r="C387" t="s">
        <v>984</v>
      </c>
      <c r="E387">
        <v>0.01</v>
      </c>
      <c r="F387" t="s">
        <v>546</v>
      </c>
      <c r="G387" s="174">
        <v>45576.460914351854</v>
      </c>
    </row>
    <row r="388" spans="1:7">
      <c r="A388">
        <v>387</v>
      </c>
      <c r="B388" t="s">
        <v>1171</v>
      </c>
      <c r="C388" t="s">
        <v>1172</v>
      </c>
      <c r="E388">
        <v>0.01</v>
      </c>
      <c r="F388" t="s">
        <v>546</v>
      </c>
      <c r="G388" s="174">
        <v>45576.460914351854</v>
      </c>
    </row>
    <row r="389" spans="1:7">
      <c r="A389">
        <v>388</v>
      </c>
      <c r="B389" t="s">
        <v>1173</v>
      </c>
      <c r="C389" t="s">
        <v>545</v>
      </c>
      <c r="E389">
        <v>0.01</v>
      </c>
      <c r="F389" t="s">
        <v>546</v>
      </c>
      <c r="G389" s="174">
        <v>45576.460914351854</v>
      </c>
    </row>
    <row r="390" spans="1:7">
      <c r="A390">
        <v>389</v>
      </c>
      <c r="B390" t="s">
        <v>1174</v>
      </c>
      <c r="C390" t="s">
        <v>579</v>
      </c>
      <c r="E390">
        <v>0.01</v>
      </c>
      <c r="F390" t="s">
        <v>546</v>
      </c>
      <c r="G390" s="174">
        <v>45576.460914351854</v>
      </c>
    </row>
    <row r="391" spans="1:7">
      <c r="A391">
        <v>390</v>
      </c>
      <c r="B391" t="s">
        <v>1174</v>
      </c>
      <c r="C391" t="s">
        <v>1175</v>
      </c>
      <c r="E391">
        <v>0.01</v>
      </c>
      <c r="F391" t="s">
        <v>546</v>
      </c>
      <c r="G391" s="174">
        <v>45576.460914351854</v>
      </c>
    </row>
    <row r="392" spans="1:7">
      <c r="A392">
        <v>391</v>
      </c>
      <c r="B392" t="s">
        <v>1176</v>
      </c>
      <c r="C392" t="s">
        <v>1177</v>
      </c>
      <c r="E392">
        <v>0.01</v>
      </c>
      <c r="F392" t="s">
        <v>546</v>
      </c>
      <c r="G392" s="174">
        <v>45576.460914351854</v>
      </c>
    </row>
    <row r="393" spans="1:7">
      <c r="A393">
        <v>392</v>
      </c>
      <c r="B393" t="s">
        <v>1178</v>
      </c>
      <c r="C393" t="s">
        <v>941</v>
      </c>
      <c r="E393">
        <v>0.01</v>
      </c>
      <c r="F393" t="s">
        <v>546</v>
      </c>
      <c r="G393" s="174">
        <v>45576.460914351854</v>
      </c>
    </row>
    <row r="394" spans="1:7">
      <c r="A394">
        <v>393</v>
      </c>
      <c r="B394" t="s">
        <v>1179</v>
      </c>
      <c r="C394" t="s">
        <v>695</v>
      </c>
      <c r="E394">
        <v>0.1</v>
      </c>
      <c r="F394" t="s">
        <v>546</v>
      </c>
      <c r="G394" s="174">
        <v>45576.460914351854</v>
      </c>
    </row>
    <row r="395" spans="1:7">
      <c r="A395">
        <v>394</v>
      </c>
      <c r="B395" t="s">
        <v>1180</v>
      </c>
      <c r="C395" t="s">
        <v>1181</v>
      </c>
      <c r="E395">
        <v>0.01</v>
      </c>
      <c r="F395" t="s">
        <v>546</v>
      </c>
      <c r="G395" s="174">
        <v>45576.460914351854</v>
      </c>
    </row>
    <row r="396" spans="1:7">
      <c r="A396">
        <v>395</v>
      </c>
      <c r="B396" t="s">
        <v>1182</v>
      </c>
      <c r="C396" t="s">
        <v>1183</v>
      </c>
      <c r="E396">
        <v>0.1</v>
      </c>
      <c r="F396" t="s">
        <v>546</v>
      </c>
      <c r="G396" s="174">
        <v>45576.460914351854</v>
      </c>
    </row>
    <row r="397" spans="1:7">
      <c r="A397">
        <v>396</v>
      </c>
      <c r="B397" t="s">
        <v>1184</v>
      </c>
      <c r="C397" t="s">
        <v>1019</v>
      </c>
      <c r="E397">
        <v>0.01</v>
      </c>
      <c r="F397" t="s">
        <v>546</v>
      </c>
      <c r="G397" s="174">
        <v>45576.460914351854</v>
      </c>
    </row>
    <row r="398" spans="1:7">
      <c r="A398">
        <v>397</v>
      </c>
      <c r="B398" t="s">
        <v>1185</v>
      </c>
      <c r="C398" t="s">
        <v>1186</v>
      </c>
      <c r="E398">
        <v>0.01</v>
      </c>
      <c r="F398" t="s">
        <v>546</v>
      </c>
      <c r="G398" s="174">
        <v>45576.460914351854</v>
      </c>
    </row>
    <row r="399" spans="1:7">
      <c r="A399">
        <v>398</v>
      </c>
      <c r="B399" t="s">
        <v>1187</v>
      </c>
      <c r="C399" t="s">
        <v>1188</v>
      </c>
      <c r="E399">
        <v>0.1</v>
      </c>
      <c r="F399" t="s">
        <v>546</v>
      </c>
      <c r="G399" s="174">
        <v>45576.460914351854</v>
      </c>
    </row>
    <row r="400" spans="1:7">
      <c r="A400">
        <v>399</v>
      </c>
      <c r="B400" t="s">
        <v>1187</v>
      </c>
      <c r="C400" t="s">
        <v>1189</v>
      </c>
      <c r="E400">
        <v>0.5</v>
      </c>
      <c r="F400" t="s">
        <v>546</v>
      </c>
      <c r="G400" s="174">
        <v>45576.460914351854</v>
      </c>
    </row>
    <row r="401" spans="1:7">
      <c r="A401">
        <v>400</v>
      </c>
      <c r="B401" t="s">
        <v>1190</v>
      </c>
      <c r="C401" t="s">
        <v>1191</v>
      </c>
      <c r="E401">
        <v>0.01</v>
      </c>
      <c r="F401" t="s">
        <v>546</v>
      </c>
      <c r="G401" s="174">
        <v>45576.460914351854</v>
      </c>
    </row>
    <row r="402" spans="1:7">
      <c r="A402">
        <v>401</v>
      </c>
      <c r="B402" t="s">
        <v>1192</v>
      </c>
      <c r="C402" t="s">
        <v>908</v>
      </c>
      <c r="E402">
        <v>0.01</v>
      </c>
      <c r="F402" t="s">
        <v>546</v>
      </c>
      <c r="G402" s="174">
        <v>45576.460914351854</v>
      </c>
    </row>
    <row r="403" spans="1:7">
      <c r="A403">
        <v>402</v>
      </c>
      <c r="B403" t="s">
        <v>1192</v>
      </c>
      <c r="C403" t="s">
        <v>1193</v>
      </c>
      <c r="E403">
        <v>0.1</v>
      </c>
      <c r="F403" t="s">
        <v>546</v>
      </c>
      <c r="G403" s="174">
        <v>45576.460914351854</v>
      </c>
    </row>
    <row r="404" spans="1:7">
      <c r="A404">
        <v>403</v>
      </c>
      <c r="B404" t="s">
        <v>1194</v>
      </c>
      <c r="C404" t="s">
        <v>974</v>
      </c>
      <c r="E404">
        <v>0.01</v>
      </c>
      <c r="F404" t="s">
        <v>546</v>
      </c>
      <c r="G404" s="174">
        <v>45576.460914351854</v>
      </c>
    </row>
    <row r="405" spans="1:7">
      <c r="A405">
        <v>404</v>
      </c>
      <c r="B405" t="s">
        <v>1195</v>
      </c>
      <c r="C405" t="s">
        <v>1196</v>
      </c>
      <c r="E405">
        <v>0.01</v>
      </c>
      <c r="F405" t="s">
        <v>546</v>
      </c>
      <c r="G405" s="174">
        <v>45576.460914351854</v>
      </c>
    </row>
    <row r="406" spans="1:7">
      <c r="A406">
        <v>405</v>
      </c>
      <c r="B406" t="s">
        <v>1197</v>
      </c>
      <c r="C406" t="s">
        <v>1198</v>
      </c>
      <c r="E406">
        <v>0.01</v>
      </c>
      <c r="F406" t="s">
        <v>546</v>
      </c>
      <c r="G406" s="174">
        <v>45576.460914351854</v>
      </c>
    </row>
    <row r="407" spans="1:7">
      <c r="A407">
        <v>406</v>
      </c>
      <c r="B407" t="s">
        <v>1199</v>
      </c>
      <c r="C407" t="s">
        <v>976</v>
      </c>
      <c r="E407">
        <v>0.01</v>
      </c>
      <c r="F407" t="s">
        <v>546</v>
      </c>
      <c r="G407" s="174">
        <v>45576.460914351854</v>
      </c>
    </row>
    <row r="408" spans="1:7">
      <c r="A408">
        <v>407</v>
      </c>
      <c r="B408" t="s">
        <v>1200</v>
      </c>
      <c r="C408" t="s">
        <v>1201</v>
      </c>
      <c r="E408">
        <v>0.05</v>
      </c>
      <c r="F408" t="s">
        <v>546</v>
      </c>
      <c r="G408" s="174">
        <v>45576.460914351854</v>
      </c>
    </row>
    <row r="409" spans="1:7">
      <c r="A409">
        <v>408</v>
      </c>
      <c r="B409" t="s">
        <v>1202</v>
      </c>
      <c r="C409" t="s">
        <v>1203</v>
      </c>
      <c r="E409">
        <v>0.01</v>
      </c>
      <c r="F409" t="s">
        <v>546</v>
      </c>
      <c r="G409" s="174">
        <v>45576.460914351854</v>
      </c>
    </row>
    <row r="410" spans="1:7">
      <c r="A410">
        <v>409</v>
      </c>
      <c r="B410" t="s">
        <v>1202</v>
      </c>
      <c r="C410" t="s">
        <v>1204</v>
      </c>
      <c r="E410">
        <v>0.1</v>
      </c>
      <c r="F410" t="s">
        <v>546</v>
      </c>
      <c r="G410" s="174">
        <v>45576.460914351854</v>
      </c>
    </row>
    <row r="411" spans="1:7">
      <c r="A411">
        <v>410</v>
      </c>
      <c r="B411" t="s">
        <v>1205</v>
      </c>
      <c r="C411" t="s">
        <v>553</v>
      </c>
      <c r="E411">
        <v>0.01</v>
      </c>
      <c r="F411" t="s">
        <v>546</v>
      </c>
      <c r="G411" s="174">
        <v>45576.460914351854</v>
      </c>
    </row>
    <row r="412" spans="1:7">
      <c r="A412">
        <v>411</v>
      </c>
      <c r="B412" t="s">
        <v>1206</v>
      </c>
      <c r="C412" t="s">
        <v>1207</v>
      </c>
      <c r="E412">
        <v>0.01</v>
      </c>
      <c r="F412" t="s">
        <v>546</v>
      </c>
      <c r="G412" s="174">
        <v>45576.460914351854</v>
      </c>
    </row>
    <row r="413" spans="1:7">
      <c r="A413">
        <v>412</v>
      </c>
      <c r="B413" t="s">
        <v>1208</v>
      </c>
      <c r="C413" t="s">
        <v>1209</v>
      </c>
      <c r="E413">
        <v>0.01</v>
      </c>
      <c r="F413" t="s">
        <v>546</v>
      </c>
      <c r="G413" s="174">
        <v>45576.460914351854</v>
      </c>
    </row>
    <row r="414" spans="1:7">
      <c r="A414">
        <v>413</v>
      </c>
      <c r="B414" t="s">
        <v>1210</v>
      </c>
      <c r="C414" t="s">
        <v>575</v>
      </c>
      <c r="E414">
        <v>0.5</v>
      </c>
      <c r="F414" t="s">
        <v>1211</v>
      </c>
      <c r="G414" s="174">
        <v>45576.460914351854</v>
      </c>
    </row>
    <row r="415" spans="1:7">
      <c r="A415">
        <v>414</v>
      </c>
      <c r="B415" t="s">
        <v>1212</v>
      </c>
      <c r="C415" t="s">
        <v>653</v>
      </c>
      <c r="E415">
        <v>0.01</v>
      </c>
      <c r="F415" t="s">
        <v>546</v>
      </c>
      <c r="G415" s="174">
        <v>45576.460914351854</v>
      </c>
    </row>
    <row r="416" spans="1:7">
      <c r="A416">
        <v>415</v>
      </c>
      <c r="B416" t="s">
        <v>1213</v>
      </c>
      <c r="C416" t="s">
        <v>1060</v>
      </c>
      <c r="E416">
        <v>0.01</v>
      </c>
      <c r="F416" t="s">
        <v>546</v>
      </c>
      <c r="G416" s="174">
        <v>45576.460914351854</v>
      </c>
    </row>
    <row r="417" spans="1:7">
      <c r="A417">
        <v>416</v>
      </c>
      <c r="B417" t="s">
        <v>1214</v>
      </c>
      <c r="C417" t="s">
        <v>1215</v>
      </c>
      <c r="E417">
        <v>0.1</v>
      </c>
      <c r="F417" t="s">
        <v>1216</v>
      </c>
      <c r="G417" s="174">
        <v>45576.460914351854</v>
      </c>
    </row>
    <row r="418" spans="1:7">
      <c r="A418">
        <v>417</v>
      </c>
      <c r="B418" t="s">
        <v>1217</v>
      </c>
      <c r="C418" t="s">
        <v>866</v>
      </c>
      <c r="E418">
        <v>0.1</v>
      </c>
      <c r="F418" t="s">
        <v>546</v>
      </c>
      <c r="G418" s="174">
        <v>45576.460914351854</v>
      </c>
    </row>
    <row r="419" spans="1:7">
      <c r="A419">
        <v>418</v>
      </c>
      <c r="B419" t="s">
        <v>1218</v>
      </c>
      <c r="C419" t="s">
        <v>1219</v>
      </c>
      <c r="E419">
        <v>0.05</v>
      </c>
      <c r="F419" t="s">
        <v>546</v>
      </c>
      <c r="G419" s="174">
        <v>45576.460914351854</v>
      </c>
    </row>
    <row r="420" spans="1:7">
      <c r="A420">
        <v>419</v>
      </c>
      <c r="B420" t="s">
        <v>1220</v>
      </c>
      <c r="C420" t="s">
        <v>721</v>
      </c>
      <c r="E420">
        <v>0.01</v>
      </c>
      <c r="F420" t="s">
        <v>546</v>
      </c>
      <c r="G420" s="174">
        <v>45576.460914351854</v>
      </c>
    </row>
    <row r="421" spans="1:7">
      <c r="A421">
        <v>420</v>
      </c>
      <c r="B421" t="s">
        <v>1221</v>
      </c>
      <c r="C421" t="s">
        <v>666</v>
      </c>
      <c r="E421">
        <v>0.01</v>
      </c>
      <c r="F421" t="s">
        <v>546</v>
      </c>
      <c r="G421" s="174">
        <v>45576.460914351854</v>
      </c>
    </row>
    <row r="422" spans="1:7">
      <c r="A422">
        <v>421</v>
      </c>
      <c r="B422" t="s">
        <v>1222</v>
      </c>
      <c r="C422" t="s">
        <v>1223</v>
      </c>
      <c r="E422">
        <v>0.01</v>
      </c>
      <c r="F422" t="s">
        <v>546</v>
      </c>
      <c r="G422" s="174">
        <v>45576.460914351854</v>
      </c>
    </row>
    <row r="423" spans="1:7">
      <c r="A423">
        <v>422</v>
      </c>
      <c r="B423" t="s">
        <v>1222</v>
      </c>
      <c r="C423" t="s">
        <v>1224</v>
      </c>
      <c r="E423">
        <v>0.01</v>
      </c>
      <c r="F423" t="s">
        <v>546</v>
      </c>
      <c r="G423" s="174">
        <v>45576.460914351854</v>
      </c>
    </row>
    <row r="424" spans="1:7">
      <c r="A424">
        <v>423</v>
      </c>
      <c r="B424" t="s">
        <v>1225</v>
      </c>
      <c r="C424" t="s">
        <v>1226</v>
      </c>
      <c r="E424">
        <v>0.01</v>
      </c>
      <c r="F424" t="s">
        <v>546</v>
      </c>
      <c r="G424" s="174">
        <v>45576.460914351854</v>
      </c>
    </row>
    <row r="425" spans="1:7">
      <c r="A425">
        <v>424</v>
      </c>
      <c r="B425" t="s">
        <v>1227</v>
      </c>
      <c r="C425" t="s">
        <v>592</v>
      </c>
      <c r="E425">
        <v>0.01</v>
      </c>
      <c r="F425" t="s">
        <v>546</v>
      </c>
      <c r="G425" s="174">
        <v>45576.460914351854</v>
      </c>
    </row>
    <row r="426" spans="1:7">
      <c r="A426">
        <v>425</v>
      </c>
      <c r="B426" t="s">
        <v>1228</v>
      </c>
      <c r="C426" t="s">
        <v>1229</v>
      </c>
      <c r="E426">
        <v>0.6</v>
      </c>
      <c r="F426" t="s">
        <v>546</v>
      </c>
      <c r="G426" s="174">
        <v>45576.460914351854</v>
      </c>
    </row>
    <row r="427" spans="1:7">
      <c r="A427">
        <v>426</v>
      </c>
      <c r="B427" t="s">
        <v>1230</v>
      </c>
      <c r="C427" t="s">
        <v>1231</v>
      </c>
      <c r="E427">
        <v>0.01</v>
      </c>
      <c r="F427" t="s">
        <v>546</v>
      </c>
      <c r="G427" s="174">
        <v>45576.460914351854</v>
      </c>
    </row>
    <row r="428" spans="1:7">
      <c r="A428">
        <v>427</v>
      </c>
      <c r="B428" t="s">
        <v>1232</v>
      </c>
      <c r="C428" t="s">
        <v>1191</v>
      </c>
      <c r="E428">
        <v>0.01</v>
      </c>
      <c r="F428" t="s">
        <v>546</v>
      </c>
      <c r="G428" s="174">
        <v>45576.460914351854</v>
      </c>
    </row>
    <row r="429" spans="1:7">
      <c r="A429">
        <v>428</v>
      </c>
      <c r="B429" t="s">
        <v>1233</v>
      </c>
      <c r="C429" t="s">
        <v>1234</v>
      </c>
      <c r="E429">
        <v>0.01</v>
      </c>
      <c r="F429" t="s">
        <v>546</v>
      </c>
      <c r="G429" s="174">
        <v>45576.460914351854</v>
      </c>
    </row>
    <row r="430" spans="1:7">
      <c r="A430">
        <v>429</v>
      </c>
      <c r="B430" t="s">
        <v>1233</v>
      </c>
      <c r="C430" t="s">
        <v>1235</v>
      </c>
      <c r="E430">
        <v>0.01</v>
      </c>
      <c r="F430" t="s">
        <v>546</v>
      </c>
      <c r="G430" s="174">
        <v>45576.460914351854</v>
      </c>
    </row>
    <row r="431" spans="1:7">
      <c r="A431">
        <v>430</v>
      </c>
      <c r="B431" t="s">
        <v>1236</v>
      </c>
      <c r="C431" t="s">
        <v>1237</v>
      </c>
      <c r="E431">
        <v>0.01</v>
      </c>
      <c r="F431" t="s">
        <v>546</v>
      </c>
      <c r="G431" s="174">
        <v>45576.460914351854</v>
      </c>
    </row>
    <row r="432" spans="1:7">
      <c r="A432">
        <v>431</v>
      </c>
      <c r="B432" t="s">
        <v>1238</v>
      </c>
      <c r="C432" t="s">
        <v>1239</v>
      </c>
      <c r="E432">
        <v>0.01</v>
      </c>
      <c r="F432" t="s">
        <v>546</v>
      </c>
      <c r="G432" s="174">
        <v>45576.460914351854</v>
      </c>
    </row>
    <row r="433" spans="1:7">
      <c r="A433">
        <v>432</v>
      </c>
      <c r="B433" t="s">
        <v>1238</v>
      </c>
      <c r="C433" t="s">
        <v>751</v>
      </c>
      <c r="E433">
        <v>0.01</v>
      </c>
      <c r="F433" t="s">
        <v>546</v>
      </c>
      <c r="G433" s="174">
        <v>45576.460914351854</v>
      </c>
    </row>
    <row r="434" spans="1:7">
      <c r="A434">
        <v>433</v>
      </c>
      <c r="B434" t="s">
        <v>1238</v>
      </c>
      <c r="C434" t="s">
        <v>976</v>
      </c>
      <c r="E434">
        <v>0.01</v>
      </c>
      <c r="F434" t="s">
        <v>546</v>
      </c>
      <c r="G434" s="174">
        <v>45576.460914351854</v>
      </c>
    </row>
    <row r="435" spans="1:7">
      <c r="A435">
        <v>434</v>
      </c>
      <c r="B435" t="s">
        <v>1240</v>
      </c>
      <c r="C435" t="s">
        <v>914</v>
      </c>
      <c r="E435">
        <v>0.01</v>
      </c>
      <c r="F435" t="s">
        <v>546</v>
      </c>
      <c r="G435" s="174">
        <v>45576.460914351854</v>
      </c>
    </row>
    <row r="436" spans="1:7">
      <c r="A436">
        <v>435</v>
      </c>
      <c r="B436" t="s">
        <v>1241</v>
      </c>
      <c r="C436" t="s">
        <v>1242</v>
      </c>
      <c r="E436">
        <v>0.6</v>
      </c>
      <c r="F436" t="s">
        <v>546</v>
      </c>
      <c r="G436" s="174">
        <v>45576.460914351854</v>
      </c>
    </row>
    <row r="437" spans="1:7">
      <c r="A437">
        <v>436</v>
      </c>
      <c r="B437" t="s">
        <v>1243</v>
      </c>
      <c r="C437" t="s">
        <v>1088</v>
      </c>
      <c r="E437">
        <v>0.01</v>
      </c>
      <c r="F437" t="s">
        <v>546</v>
      </c>
      <c r="G437" s="174">
        <v>45576.460914351854</v>
      </c>
    </row>
    <row r="438" spans="1:7">
      <c r="A438">
        <v>437</v>
      </c>
      <c r="B438" t="s">
        <v>1243</v>
      </c>
      <c r="C438" t="s">
        <v>1244</v>
      </c>
      <c r="E438">
        <v>0.01</v>
      </c>
      <c r="F438" t="s">
        <v>546</v>
      </c>
      <c r="G438" s="174">
        <v>45576.460914351854</v>
      </c>
    </row>
    <row r="439" spans="1:7">
      <c r="A439">
        <v>438</v>
      </c>
      <c r="B439" t="s">
        <v>1245</v>
      </c>
      <c r="C439" t="s">
        <v>1246</v>
      </c>
      <c r="E439">
        <v>0.01</v>
      </c>
      <c r="F439" t="s">
        <v>546</v>
      </c>
      <c r="G439" s="174">
        <v>45576.460914351854</v>
      </c>
    </row>
    <row r="440" spans="1:7">
      <c r="A440">
        <v>439</v>
      </c>
      <c r="B440" t="s">
        <v>1247</v>
      </c>
      <c r="C440" t="s">
        <v>545</v>
      </c>
      <c r="E440">
        <v>0.01</v>
      </c>
      <c r="F440" t="s">
        <v>546</v>
      </c>
      <c r="G440" s="174">
        <v>45576.460914351854</v>
      </c>
    </row>
    <row r="441" spans="1:7">
      <c r="A441">
        <v>440</v>
      </c>
      <c r="B441" t="s">
        <v>1248</v>
      </c>
      <c r="C441" t="s">
        <v>1029</v>
      </c>
      <c r="E441">
        <v>0.01</v>
      </c>
      <c r="F441" t="s">
        <v>546</v>
      </c>
      <c r="G441" s="174">
        <v>45576.460914351854</v>
      </c>
    </row>
    <row r="442" spans="1:7">
      <c r="A442">
        <v>441</v>
      </c>
      <c r="B442" t="s">
        <v>1249</v>
      </c>
      <c r="C442" t="s">
        <v>575</v>
      </c>
      <c r="E442">
        <v>0.01</v>
      </c>
      <c r="F442" t="s">
        <v>546</v>
      </c>
      <c r="G442" s="174">
        <v>45576.460914351854</v>
      </c>
    </row>
    <row r="443" spans="1:7">
      <c r="A443">
        <v>442</v>
      </c>
      <c r="B443" t="s">
        <v>1250</v>
      </c>
      <c r="C443" t="s">
        <v>583</v>
      </c>
      <c r="E443">
        <v>0.01</v>
      </c>
      <c r="F443" t="s">
        <v>546</v>
      </c>
      <c r="G443" s="174">
        <v>45576.460914351854</v>
      </c>
    </row>
    <row r="444" spans="1:7">
      <c r="A444">
        <v>443</v>
      </c>
      <c r="B444" t="s">
        <v>1251</v>
      </c>
      <c r="C444" t="s">
        <v>953</v>
      </c>
      <c r="E444">
        <v>0.8</v>
      </c>
      <c r="F444" t="s">
        <v>546</v>
      </c>
      <c r="G444" s="174">
        <v>45576.460914351854</v>
      </c>
    </row>
    <row r="445" spans="1:7">
      <c r="A445">
        <v>444</v>
      </c>
      <c r="B445" t="s">
        <v>1252</v>
      </c>
      <c r="C445" t="s">
        <v>559</v>
      </c>
      <c r="E445">
        <v>0.01</v>
      </c>
      <c r="F445" t="s">
        <v>546</v>
      </c>
      <c r="G445" s="174">
        <v>45576.460914351854</v>
      </c>
    </row>
    <row r="446" spans="1:7">
      <c r="A446">
        <v>445</v>
      </c>
      <c r="B446" t="s">
        <v>1253</v>
      </c>
      <c r="C446" t="s">
        <v>1254</v>
      </c>
      <c r="E446">
        <v>0.01</v>
      </c>
      <c r="F446" t="s">
        <v>546</v>
      </c>
      <c r="G446" s="174">
        <v>45576.460914351854</v>
      </c>
    </row>
    <row r="447" spans="1:7">
      <c r="A447">
        <v>446</v>
      </c>
      <c r="B447" t="s">
        <v>1255</v>
      </c>
      <c r="C447" t="s">
        <v>1082</v>
      </c>
      <c r="E447">
        <v>0.01</v>
      </c>
      <c r="F447" t="s">
        <v>546</v>
      </c>
      <c r="G447" s="174">
        <v>45576.460914351854</v>
      </c>
    </row>
    <row r="448" spans="1:7">
      <c r="A448">
        <v>447</v>
      </c>
      <c r="B448" t="s">
        <v>1256</v>
      </c>
      <c r="C448" t="s">
        <v>1257</v>
      </c>
      <c r="E448">
        <v>0.1</v>
      </c>
      <c r="F448" t="s">
        <v>546</v>
      </c>
      <c r="G448" s="174">
        <v>45576.460914351854</v>
      </c>
    </row>
    <row r="449" spans="1:7">
      <c r="A449">
        <v>448</v>
      </c>
      <c r="B449" t="s">
        <v>1258</v>
      </c>
      <c r="C449" t="s">
        <v>672</v>
      </c>
      <c r="E449">
        <v>0.01</v>
      </c>
      <c r="F449" t="s">
        <v>546</v>
      </c>
      <c r="G449" s="174">
        <v>45576.460914351854</v>
      </c>
    </row>
    <row r="450" spans="1:7">
      <c r="A450">
        <v>449</v>
      </c>
      <c r="B450" t="s">
        <v>1258</v>
      </c>
      <c r="C450" t="s">
        <v>1259</v>
      </c>
      <c r="E450">
        <v>0.05</v>
      </c>
      <c r="F450" t="s">
        <v>546</v>
      </c>
      <c r="G450" s="174">
        <v>45576.460914351854</v>
      </c>
    </row>
    <row r="451" spans="1:7">
      <c r="A451">
        <v>450</v>
      </c>
      <c r="B451" t="s">
        <v>1260</v>
      </c>
      <c r="C451" t="s">
        <v>863</v>
      </c>
      <c r="E451">
        <v>0.01</v>
      </c>
      <c r="F451" t="s">
        <v>546</v>
      </c>
      <c r="G451" s="174">
        <v>45576.460914351854</v>
      </c>
    </row>
    <row r="452" spans="1:7">
      <c r="A452">
        <v>451</v>
      </c>
      <c r="B452" t="s">
        <v>1261</v>
      </c>
      <c r="C452" t="s">
        <v>1262</v>
      </c>
      <c r="E452">
        <v>0.01</v>
      </c>
      <c r="F452" t="s">
        <v>546</v>
      </c>
      <c r="G452" s="174">
        <v>45576.460914351854</v>
      </c>
    </row>
    <row r="453" spans="1:7">
      <c r="A453">
        <v>452</v>
      </c>
      <c r="B453" t="s">
        <v>1263</v>
      </c>
      <c r="C453" t="s">
        <v>1264</v>
      </c>
      <c r="E453">
        <v>0.01</v>
      </c>
      <c r="F453" t="s">
        <v>546</v>
      </c>
      <c r="G453" s="174">
        <v>45576.460914351854</v>
      </c>
    </row>
    <row r="454" spans="1:7">
      <c r="A454">
        <v>453</v>
      </c>
      <c r="B454" t="s">
        <v>1265</v>
      </c>
      <c r="C454" t="s">
        <v>579</v>
      </c>
      <c r="E454">
        <v>0.01</v>
      </c>
      <c r="F454" t="s">
        <v>546</v>
      </c>
      <c r="G454" s="174">
        <v>45576.460914351854</v>
      </c>
    </row>
    <row r="455" spans="1:7">
      <c r="A455">
        <v>454</v>
      </c>
      <c r="B455" t="s">
        <v>1266</v>
      </c>
      <c r="C455" t="s">
        <v>1237</v>
      </c>
      <c r="E455">
        <v>0.1</v>
      </c>
      <c r="F455" t="s">
        <v>546</v>
      </c>
      <c r="G455" s="174">
        <v>45576.460914351854</v>
      </c>
    </row>
    <row r="456" spans="1:7">
      <c r="A456">
        <v>455</v>
      </c>
      <c r="B456" t="s">
        <v>1267</v>
      </c>
      <c r="C456" t="s">
        <v>1268</v>
      </c>
      <c r="E456">
        <v>0.01</v>
      </c>
      <c r="F456" t="s">
        <v>546</v>
      </c>
      <c r="G456" s="174">
        <v>45576.460914351854</v>
      </c>
    </row>
    <row r="457" spans="1:7">
      <c r="A457">
        <v>456</v>
      </c>
      <c r="B457" t="s">
        <v>1269</v>
      </c>
      <c r="C457" t="s">
        <v>592</v>
      </c>
      <c r="E457">
        <v>0.01</v>
      </c>
      <c r="F457" t="s">
        <v>546</v>
      </c>
      <c r="G457" s="174">
        <v>45576.460914351854</v>
      </c>
    </row>
    <row r="458" spans="1:7">
      <c r="A458">
        <v>457</v>
      </c>
      <c r="B458" t="s">
        <v>1270</v>
      </c>
      <c r="C458" t="s">
        <v>693</v>
      </c>
      <c r="E458">
        <v>0.8</v>
      </c>
      <c r="F458" t="s">
        <v>546</v>
      </c>
      <c r="G458" s="174">
        <v>45576.460914351854</v>
      </c>
    </row>
    <row r="459" spans="1:7">
      <c r="A459">
        <v>458</v>
      </c>
      <c r="B459" t="s">
        <v>1271</v>
      </c>
      <c r="C459" t="s">
        <v>726</v>
      </c>
      <c r="E459">
        <v>0.01</v>
      </c>
      <c r="F459" t="s">
        <v>546</v>
      </c>
      <c r="G459" s="174">
        <v>45576.460914351854</v>
      </c>
    </row>
    <row r="460" spans="1:7">
      <c r="A460">
        <v>459</v>
      </c>
      <c r="B460" t="s">
        <v>1272</v>
      </c>
      <c r="C460" t="s">
        <v>677</v>
      </c>
      <c r="E460">
        <v>0.01</v>
      </c>
      <c r="F460" t="s">
        <v>546</v>
      </c>
      <c r="G460" s="174">
        <v>45576.460914351854</v>
      </c>
    </row>
    <row r="461" spans="1:7">
      <c r="A461">
        <v>460</v>
      </c>
      <c r="B461" t="s">
        <v>1273</v>
      </c>
      <c r="C461" t="s">
        <v>1274</v>
      </c>
      <c r="E461">
        <v>0.01</v>
      </c>
      <c r="F461" t="s">
        <v>546</v>
      </c>
      <c r="G461" s="174">
        <v>45576.460914351854</v>
      </c>
    </row>
    <row r="462" spans="1:7">
      <c r="A462">
        <v>461</v>
      </c>
      <c r="B462" t="s">
        <v>1275</v>
      </c>
      <c r="C462" t="s">
        <v>693</v>
      </c>
      <c r="E462">
        <v>0.01</v>
      </c>
      <c r="F462" t="s">
        <v>546</v>
      </c>
      <c r="G462" s="174">
        <v>45576.460914351854</v>
      </c>
    </row>
    <row r="463" spans="1:7">
      <c r="A463">
        <v>462</v>
      </c>
      <c r="B463" t="s">
        <v>1276</v>
      </c>
      <c r="C463" t="s">
        <v>1277</v>
      </c>
      <c r="E463">
        <v>0.01</v>
      </c>
      <c r="F463" t="s">
        <v>546</v>
      </c>
      <c r="G463" s="174">
        <v>45576.460914351854</v>
      </c>
    </row>
    <row r="464" spans="1:7">
      <c r="A464">
        <v>463</v>
      </c>
      <c r="B464" t="s">
        <v>1278</v>
      </c>
      <c r="C464" t="s">
        <v>677</v>
      </c>
      <c r="E464">
        <v>0.01</v>
      </c>
      <c r="F464" t="s">
        <v>546</v>
      </c>
      <c r="G464" s="174">
        <v>45576.460914351854</v>
      </c>
    </row>
    <row r="465" spans="1:7">
      <c r="A465">
        <v>464</v>
      </c>
      <c r="B465" t="s">
        <v>1279</v>
      </c>
      <c r="C465" t="s">
        <v>939</v>
      </c>
      <c r="E465">
        <v>0.1</v>
      </c>
      <c r="F465" t="s">
        <v>546</v>
      </c>
      <c r="G465" s="174">
        <v>45576.460914351854</v>
      </c>
    </row>
    <row r="466" spans="1:7">
      <c r="A466">
        <v>465</v>
      </c>
      <c r="B466" t="s">
        <v>1279</v>
      </c>
      <c r="C466" t="s">
        <v>819</v>
      </c>
      <c r="E466">
        <v>0.6</v>
      </c>
      <c r="F466" t="s">
        <v>546</v>
      </c>
      <c r="G466" s="174">
        <v>45576.460914351854</v>
      </c>
    </row>
    <row r="467" spans="1:7">
      <c r="A467">
        <v>466</v>
      </c>
      <c r="B467" t="s">
        <v>1280</v>
      </c>
      <c r="C467" t="s">
        <v>675</v>
      </c>
      <c r="E467">
        <v>0.01</v>
      </c>
      <c r="F467" t="s">
        <v>546</v>
      </c>
      <c r="G467" s="174">
        <v>45576.460914351854</v>
      </c>
    </row>
    <row r="468" spans="1:7">
      <c r="A468">
        <v>467</v>
      </c>
      <c r="B468" t="s">
        <v>1281</v>
      </c>
      <c r="C468" t="s">
        <v>730</v>
      </c>
      <c r="E468">
        <v>0.01</v>
      </c>
      <c r="F468" t="s">
        <v>546</v>
      </c>
      <c r="G468" s="174">
        <v>45576.460914351854</v>
      </c>
    </row>
    <row r="469" spans="1:7">
      <c r="A469">
        <v>468</v>
      </c>
      <c r="B469" t="s">
        <v>1281</v>
      </c>
      <c r="C469" t="s">
        <v>731</v>
      </c>
      <c r="E469">
        <v>0.01</v>
      </c>
      <c r="F469" t="s">
        <v>546</v>
      </c>
      <c r="G469" s="174">
        <v>45576.460914351854</v>
      </c>
    </row>
    <row r="470" spans="1:7">
      <c r="A470">
        <v>469</v>
      </c>
      <c r="B470" t="s">
        <v>1282</v>
      </c>
      <c r="C470" t="s">
        <v>688</v>
      </c>
      <c r="E470">
        <v>0.01</v>
      </c>
      <c r="F470" t="s">
        <v>546</v>
      </c>
      <c r="G470" s="174">
        <v>45576.460914351854</v>
      </c>
    </row>
    <row r="471" spans="1:7">
      <c r="A471">
        <v>470</v>
      </c>
      <c r="B471" t="s">
        <v>1283</v>
      </c>
      <c r="C471" t="s">
        <v>675</v>
      </c>
      <c r="E471">
        <v>0.01</v>
      </c>
      <c r="F471" t="s">
        <v>546</v>
      </c>
      <c r="G471" s="174">
        <v>45576.460914351854</v>
      </c>
    </row>
    <row r="472" spans="1:7">
      <c r="A472">
        <v>471</v>
      </c>
      <c r="B472" t="s">
        <v>1284</v>
      </c>
      <c r="C472" t="s">
        <v>1285</v>
      </c>
      <c r="E472">
        <v>0.01</v>
      </c>
      <c r="F472" t="s">
        <v>546</v>
      </c>
      <c r="G472" s="174">
        <v>45576.460914351854</v>
      </c>
    </row>
    <row r="473" spans="1:7">
      <c r="A473">
        <v>472</v>
      </c>
      <c r="B473" t="s">
        <v>1286</v>
      </c>
      <c r="C473" t="s">
        <v>559</v>
      </c>
      <c r="E473">
        <v>0.01</v>
      </c>
      <c r="F473" t="s">
        <v>546</v>
      </c>
      <c r="G473" s="174">
        <v>45576.460914351854</v>
      </c>
    </row>
    <row r="474" spans="1:7">
      <c r="A474">
        <v>473</v>
      </c>
      <c r="B474" t="s">
        <v>1286</v>
      </c>
      <c r="C474" t="s">
        <v>560</v>
      </c>
      <c r="E474">
        <v>0.05</v>
      </c>
      <c r="F474" t="s">
        <v>546</v>
      </c>
      <c r="G474" s="174">
        <v>45576.460914351854</v>
      </c>
    </row>
    <row r="475" spans="1:7">
      <c r="A475">
        <v>474</v>
      </c>
      <c r="B475" t="s">
        <v>1287</v>
      </c>
      <c r="C475" t="s">
        <v>866</v>
      </c>
      <c r="E475">
        <v>0.7</v>
      </c>
      <c r="F475" t="s">
        <v>546</v>
      </c>
      <c r="G475" s="174">
        <v>45576.460914351854</v>
      </c>
    </row>
    <row r="476" spans="1:7">
      <c r="A476">
        <v>475</v>
      </c>
      <c r="B476" t="s">
        <v>1287</v>
      </c>
      <c r="C476" t="s">
        <v>1288</v>
      </c>
      <c r="E476">
        <v>0.8</v>
      </c>
      <c r="F476" t="s">
        <v>546</v>
      </c>
      <c r="G476" s="174">
        <v>45576.460914351854</v>
      </c>
    </row>
    <row r="477" spans="1:7">
      <c r="A477">
        <v>476</v>
      </c>
      <c r="B477" t="s">
        <v>1289</v>
      </c>
      <c r="C477" t="s">
        <v>1050</v>
      </c>
      <c r="E477">
        <v>0.01</v>
      </c>
      <c r="F477" t="s">
        <v>546</v>
      </c>
      <c r="G477" s="174">
        <v>45576.460914351854</v>
      </c>
    </row>
    <row r="478" spans="1:7">
      <c r="A478">
        <v>477</v>
      </c>
      <c r="B478" t="s">
        <v>1290</v>
      </c>
      <c r="C478" t="s">
        <v>920</v>
      </c>
      <c r="E478">
        <v>0.01</v>
      </c>
      <c r="F478" t="s">
        <v>546</v>
      </c>
      <c r="G478" s="174">
        <v>45576.460914351854</v>
      </c>
    </row>
    <row r="479" spans="1:7">
      <c r="A479">
        <v>478</v>
      </c>
      <c r="B479" t="s">
        <v>1291</v>
      </c>
      <c r="C479" t="s">
        <v>675</v>
      </c>
      <c r="E479">
        <v>0.01</v>
      </c>
      <c r="F479" t="s">
        <v>546</v>
      </c>
      <c r="G479" s="174">
        <v>45576.460914351854</v>
      </c>
    </row>
    <row r="480" spans="1:7">
      <c r="A480">
        <v>479</v>
      </c>
      <c r="B480" t="s">
        <v>1292</v>
      </c>
      <c r="C480" t="s">
        <v>1191</v>
      </c>
      <c r="E480">
        <v>0.01</v>
      </c>
      <c r="F480" t="s">
        <v>546</v>
      </c>
      <c r="G480" s="174">
        <v>45576.460914351854</v>
      </c>
    </row>
    <row r="481" spans="1:7">
      <c r="A481">
        <v>480</v>
      </c>
      <c r="B481" t="s">
        <v>1293</v>
      </c>
      <c r="C481" t="s">
        <v>1025</v>
      </c>
      <c r="E481">
        <v>0.01</v>
      </c>
      <c r="F481" t="s">
        <v>546</v>
      </c>
      <c r="G481" s="174">
        <v>45576.460914351854</v>
      </c>
    </row>
    <row r="482" spans="1:7">
      <c r="A482">
        <v>481</v>
      </c>
      <c r="B482" t="s">
        <v>1294</v>
      </c>
      <c r="C482" t="s">
        <v>599</v>
      </c>
      <c r="E482">
        <v>0.01</v>
      </c>
      <c r="F482" t="s">
        <v>546</v>
      </c>
      <c r="G482" s="174">
        <v>45576.460914351854</v>
      </c>
    </row>
    <row r="483" spans="1:7">
      <c r="A483">
        <v>482</v>
      </c>
      <c r="B483" t="s">
        <v>1295</v>
      </c>
      <c r="C483" t="s">
        <v>1296</v>
      </c>
      <c r="E483">
        <v>0.6</v>
      </c>
      <c r="F483" t="s">
        <v>546</v>
      </c>
      <c r="G483" s="174">
        <v>45576.460914351854</v>
      </c>
    </row>
    <row r="484" spans="1:7">
      <c r="A484">
        <v>483</v>
      </c>
      <c r="B484" t="s">
        <v>1297</v>
      </c>
      <c r="C484" t="s">
        <v>1298</v>
      </c>
      <c r="E484">
        <v>0.01</v>
      </c>
      <c r="F484" t="s">
        <v>546</v>
      </c>
      <c r="G484" s="174">
        <v>45576.460914351854</v>
      </c>
    </row>
    <row r="485" spans="1:7">
      <c r="A485">
        <v>484</v>
      </c>
      <c r="B485" t="s">
        <v>1297</v>
      </c>
      <c r="C485" t="s">
        <v>1299</v>
      </c>
      <c r="E485">
        <v>0.8</v>
      </c>
      <c r="F485" t="s">
        <v>546</v>
      </c>
      <c r="G485" s="174">
        <v>45576.460914351854</v>
      </c>
    </row>
    <row r="486" spans="1:7">
      <c r="A486">
        <v>485</v>
      </c>
      <c r="B486" t="s">
        <v>1300</v>
      </c>
      <c r="C486" t="s">
        <v>1301</v>
      </c>
      <c r="E486">
        <v>0.01</v>
      </c>
      <c r="F486" t="s">
        <v>546</v>
      </c>
      <c r="G486" s="174">
        <v>45576.460914351854</v>
      </c>
    </row>
    <row r="487" spans="1:7">
      <c r="A487">
        <v>486</v>
      </c>
      <c r="B487" t="s">
        <v>1300</v>
      </c>
      <c r="C487" t="s">
        <v>899</v>
      </c>
      <c r="E487">
        <v>0.1</v>
      </c>
      <c r="F487" t="s">
        <v>546</v>
      </c>
      <c r="G487" s="174">
        <v>45576.460914351854</v>
      </c>
    </row>
    <row r="488" spans="1:7">
      <c r="A488">
        <v>487</v>
      </c>
      <c r="B488" t="s">
        <v>1302</v>
      </c>
      <c r="C488" t="s">
        <v>1303</v>
      </c>
      <c r="E488">
        <v>0.05</v>
      </c>
      <c r="F488" t="s">
        <v>546</v>
      </c>
      <c r="G488" s="174">
        <v>45576.460914351854</v>
      </c>
    </row>
    <row r="489" spans="1:7">
      <c r="A489">
        <v>488</v>
      </c>
      <c r="B489" t="s">
        <v>1304</v>
      </c>
      <c r="C489" t="s">
        <v>1093</v>
      </c>
      <c r="E489">
        <v>0.01</v>
      </c>
      <c r="F489" t="s">
        <v>546</v>
      </c>
      <c r="G489" s="174">
        <v>45576.460914351854</v>
      </c>
    </row>
    <row r="490" spans="1:7">
      <c r="A490">
        <v>489</v>
      </c>
      <c r="B490" t="s">
        <v>1305</v>
      </c>
      <c r="C490" t="s">
        <v>1306</v>
      </c>
      <c r="E490">
        <v>0.01</v>
      </c>
      <c r="F490" t="s">
        <v>546</v>
      </c>
      <c r="G490" s="174">
        <v>45576.460914351854</v>
      </c>
    </row>
    <row r="491" spans="1:7">
      <c r="A491">
        <v>490</v>
      </c>
      <c r="B491" t="s">
        <v>1307</v>
      </c>
      <c r="C491" t="s">
        <v>1038</v>
      </c>
      <c r="E491">
        <v>0.01</v>
      </c>
      <c r="F491" t="s">
        <v>546</v>
      </c>
      <c r="G491" s="174">
        <v>45576.460914351854</v>
      </c>
    </row>
    <row r="492" spans="1:7">
      <c r="A492">
        <v>491</v>
      </c>
      <c r="B492" t="s">
        <v>1308</v>
      </c>
      <c r="C492" t="s">
        <v>1309</v>
      </c>
      <c r="E492">
        <v>0.01</v>
      </c>
      <c r="F492" t="s">
        <v>546</v>
      </c>
      <c r="G492" s="174">
        <v>45576.460914351854</v>
      </c>
    </row>
    <row r="493" spans="1:7">
      <c r="A493">
        <v>492</v>
      </c>
      <c r="B493" t="s">
        <v>1308</v>
      </c>
      <c r="C493" t="s">
        <v>1310</v>
      </c>
      <c r="E493">
        <v>0.01</v>
      </c>
      <c r="F493" t="s">
        <v>546</v>
      </c>
      <c r="G493" s="174">
        <v>45576.460914351854</v>
      </c>
    </row>
    <row r="494" spans="1:7">
      <c r="A494">
        <v>493</v>
      </c>
      <c r="B494" t="s">
        <v>1311</v>
      </c>
      <c r="C494" t="s">
        <v>1203</v>
      </c>
      <c r="E494">
        <v>0.01</v>
      </c>
      <c r="F494" t="s">
        <v>546</v>
      </c>
      <c r="G494" s="174">
        <v>45576.460914351854</v>
      </c>
    </row>
    <row r="495" spans="1:7">
      <c r="A495">
        <v>494</v>
      </c>
      <c r="B495" t="s">
        <v>1312</v>
      </c>
      <c r="C495" t="s">
        <v>1189</v>
      </c>
      <c r="E495">
        <v>0.01</v>
      </c>
      <c r="F495" t="s">
        <v>546</v>
      </c>
      <c r="G495" s="174">
        <v>45576.460914351854</v>
      </c>
    </row>
    <row r="496" spans="1:7">
      <c r="A496">
        <v>495</v>
      </c>
      <c r="B496" t="s">
        <v>1313</v>
      </c>
      <c r="C496" t="s">
        <v>1314</v>
      </c>
      <c r="E496">
        <v>0.01</v>
      </c>
      <c r="F496" t="s">
        <v>546</v>
      </c>
      <c r="G496" s="174">
        <v>45576.460914351854</v>
      </c>
    </row>
    <row r="497" spans="1:7">
      <c r="A497">
        <v>496</v>
      </c>
      <c r="B497" t="s">
        <v>1315</v>
      </c>
      <c r="C497" t="s">
        <v>1316</v>
      </c>
      <c r="E497">
        <v>0.5</v>
      </c>
      <c r="F497" t="s">
        <v>546</v>
      </c>
      <c r="G497" s="174">
        <v>45576.460914351854</v>
      </c>
    </row>
    <row r="498" spans="1:7">
      <c r="A498">
        <v>497</v>
      </c>
      <c r="B498" t="s">
        <v>1317</v>
      </c>
      <c r="C498" t="s">
        <v>1318</v>
      </c>
      <c r="E498">
        <v>0.01</v>
      </c>
      <c r="F498" t="s">
        <v>546</v>
      </c>
      <c r="G498" s="174">
        <v>45576.460914351854</v>
      </c>
    </row>
    <row r="499" spans="1:7">
      <c r="A499">
        <v>498</v>
      </c>
      <c r="B499" t="s">
        <v>1319</v>
      </c>
      <c r="C499" t="s">
        <v>552</v>
      </c>
      <c r="E499">
        <v>0.01</v>
      </c>
      <c r="F499" t="s">
        <v>546</v>
      </c>
      <c r="G499" s="174">
        <v>45576.460914351854</v>
      </c>
    </row>
    <row r="500" spans="1:7">
      <c r="A500">
        <v>499</v>
      </c>
      <c r="B500" t="s">
        <v>1320</v>
      </c>
      <c r="C500" t="s">
        <v>1321</v>
      </c>
      <c r="E500">
        <v>0.01</v>
      </c>
      <c r="F500" t="s">
        <v>546</v>
      </c>
      <c r="G500" s="174">
        <v>45576.460914351854</v>
      </c>
    </row>
    <row r="501" spans="1:7">
      <c r="A501">
        <v>500</v>
      </c>
      <c r="B501" t="s">
        <v>1322</v>
      </c>
      <c r="C501" t="s">
        <v>1323</v>
      </c>
      <c r="E501">
        <v>0.01</v>
      </c>
      <c r="F501" t="s">
        <v>546</v>
      </c>
      <c r="G501" s="174">
        <v>45576.460914351854</v>
      </c>
    </row>
    <row r="502" spans="1:7">
      <c r="A502">
        <v>501</v>
      </c>
      <c r="B502" t="s">
        <v>1324</v>
      </c>
      <c r="C502" t="s">
        <v>679</v>
      </c>
      <c r="E502">
        <v>0.01</v>
      </c>
      <c r="F502" t="s">
        <v>546</v>
      </c>
      <c r="G502" s="174">
        <v>45576.460914351854</v>
      </c>
    </row>
    <row r="503" spans="1:7">
      <c r="A503">
        <v>502</v>
      </c>
      <c r="B503" t="s">
        <v>1325</v>
      </c>
      <c r="C503" t="s">
        <v>1326</v>
      </c>
      <c r="E503">
        <v>0.01</v>
      </c>
      <c r="F503" t="s">
        <v>546</v>
      </c>
      <c r="G503" s="174">
        <v>45576.460914351854</v>
      </c>
    </row>
    <row r="504" spans="1:7">
      <c r="A504">
        <v>503</v>
      </c>
      <c r="B504" t="s">
        <v>1327</v>
      </c>
      <c r="C504" t="s">
        <v>939</v>
      </c>
      <c r="E504">
        <v>0.1</v>
      </c>
      <c r="F504" t="s">
        <v>546</v>
      </c>
      <c r="G504" s="174">
        <v>45576.460914351854</v>
      </c>
    </row>
    <row r="505" spans="1:7">
      <c r="A505">
        <v>504</v>
      </c>
      <c r="B505" t="s">
        <v>1328</v>
      </c>
      <c r="C505" t="s">
        <v>1329</v>
      </c>
      <c r="E505">
        <v>0.01</v>
      </c>
      <c r="F505" t="s">
        <v>546</v>
      </c>
      <c r="G505" s="174">
        <v>45576.460914351854</v>
      </c>
    </row>
    <row r="506" spans="1:7">
      <c r="A506">
        <v>505</v>
      </c>
      <c r="B506" t="s">
        <v>1330</v>
      </c>
      <c r="C506" t="s">
        <v>872</v>
      </c>
      <c r="E506">
        <v>0.01</v>
      </c>
      <c r="F506" t="s">
        <v>546</v>
      </c>
      <c r="G506" s="174">
        <v>45576.460914351854</v>
      </c>
    </row>
    <row r="507" spans="1:7">
      <c r="A507">
        <v>506</v>
      </c>
      <c r="B507" t="s">
        <v>1331</v>
      </c>
      <c r="C507" t="s">
        <v>1332</v>
      </c>
      <c r="E507">
        <v>0.01</v>
      </c>
      <c r="F507" t="s">
        <v>546</v>
      </c>
      <c r="G507" s="174">
        <v>45576.460914351854</v>
      </c>
    </row>
    <row r="508" spans="1:7">
      <c r="A508">
        <v>507</v>
      </c>
      <c r="B508" t="s">
        <v>1333</v>
      </c>
      <c r="C508" t="s">
        <v>1334</v>
      </c>
      <c r="E508">
        <v>0.01</v>
      </c>
      <c r="F508" t="s">
        <v>546</v>
      </c>
      <c r="G508" s="174">
        <v>45576.460914351854</v>
      </c>
    </row>
    <row r="509" spans="1:7">
      <c r="A509">
        <v>508</v>
      </c>
      <c r="B509" t="s">
        <v>1333</v>
      </c>
      <c r="C509" t="s">
        <v>1335</v>
      </c>
      <c r="E509">
        <v>0.01</v>
      </c>
      <c r="F509" t="s">
        <v>546</v>
      </c>
      <c r="G509" s="174">
        <v>45576.460914351854</v>
      </c>
    </row>
    <row r="510" spans="1:7">
      <c r="A510">
        <v>509</v>
      </c>
      <c r="B510" t="s">
        <v>1336</v>
      </c>
      <c r="C510" t="s">
        <v>1157</v>
      </c>
      <c r="E510">
        <v>0.01</v>
      </c>
      <c r="F510" t="s">
        <v>546</v>
      </c>
      <c r="G510" s="174">
        <v>45576.460914351854</v>
      </c>
    </row>
    <row r="511" spans="1:7">
      <c r="A511">
        <v>510</v>
      </c>
      <c r="B511" t="s">
        <v>1337</v>
      </c>
      <c r="C511" t="s">
        <v>1157</v>
      </c>
      <c r="E511">
        <v>0.01</v>
      </c>
      <c r="F511" t="s">
        <v>546</v>
      </c>
      <c r="G511" s="174">
        <v>45576.460914351854</v>
      </c>
    </row>
    <row r="512" spans="1:7">
      <c r="A512">
        <v>511</v>
      </c>
      <c r="B512" t="s">
        <v>1338</v>
      </c>
      <c r="C512" t="s">
        <v>1257</v>
      </c>
      <c r="E512">
        <v>0.01</v>
      </c>
      <c r="F512" t="s">
        <v>546</v>
      </c>
      <c r="G512" s="174">
        <v>45576.460914351854</v>
      </c>
    </row>
    <row r="513" spans="1:7">
      <c r="A513">
        <v>512</v>
      </c>
      <c r="B513" t="s">
        <v>1338</v>
      </c>
      <c r="C513" t="s">
        <v>1339</v>
      </c>
      <c r="E513">
        <v>0.01</v>
      </c>
      <c r="F513" t="s">
        <v>546</v>
      </c>
      <c r="G513" s="174">
        <v>45576.460914351854</v>
      </c>
    </row>
    <row r="514" spans="1:7">
      <c r="A514">
        <v>513</v>
      </c>
      <c r="B514" t="s">
        <v>1340</v>
      </c>
      <c r="C514" t="s">
        <v>1341</v>
      </c>
      <c r="E514">
        <v>0.01</v>
      </c>
      <c r="F514" t="s">
        <v>546</v>
      </c>
      <c r="G514" s="174">
        <v>45576.460914351854</v>
      </c>
    </row>
    <row r="515" spans="1:7">
      <c r="A515">
        <v>514</v>
      </c>
      <c r="B515" t="s">
        <v>1342</v>
      </c>
      <c r="C515" t="s">
        <v>563</v>
      </c>
      <c r="E515">
        <v>0.6</v>
      </c>
      <c r="F515" t="s">
        <v>546</v>
      </c>
      <c r="G515" s="174">
        <v>45576.460914351854</v>
      </c>
    </row>
    <row r="516" spans="1:7">
      <c r="A516">
        <v>515</v>
      </c>
      <c r="B516" t="s">
        <v>1343</v>
      </c>
      <c r="C516" t="s">
        <v>1344</v>
      </c>
      <c r="E516">
        <v>0.01</v>
      </c>
      <c r="F516" t="s">
        <v>546</v>
      </c>
      <c r="G516" s="174">
        <v>45576.460914351854</v>
      </c>
    </row>
    <row r="517" spans="1:7">
      <c r="A517">
        <v>516</v>
      </c>
      <c r="B517" t="s">
        <v>1345</v>
      </c>
      <c r="C517" t="s">
        <v>939</v>
      </c>
      <c r="E517">
        <v>0.01</v>
      </c>
      <c r="F517" t="s">
        <v>546</v>
      </c>
      <c r="G517" s="174">
        <v>45576.460914351854</v>
      </c>
    </row>
    <row r="518" spans="1:7">
      <c r="A518">
        <v>517</v>
      </c>
      <c r="B518" t="s">
        <v>1346</v>
      </c>
      <c r="C518" t="s">
        <v>1347</v>
      </c>
      <c r="E518">
        <v>0.01</v>
      </c>
      <c r="F518" t="s">
        <v>546</v>
      </c>
      <c r="G518" s="174">
        <v>45576.460914351854</v>
      </c>
    </row>
    <row r="519" spans="1:7">
      <c r="A519">
        <v>518</v>
      </c>
      <c r="B519" t="s">
        <v>1348</v>
      </c>
      <c r="C519" t="s">
        <v>1349</v>
      </c>
      <c r="E519">
        <v>0.1</v>
      </c>
      <c r="F519" t="s">
        <v>546</v>
      </c>
      <c r="G519" s="174">
        <v>45576.460914351854</v>
      </c>
    </row>
    <row r="520" spans="1:7">
      <c r="A520">
        <v>519</v>
      </c>
      <c r="B520" t="s">
        <v>1350</v>
      </c>
      <c r="C520" t="s">
        <v>1351</v>
      </c>
      <c r="E520">
        <v>0.1</v>
      </c>
      <c r="F520" t="s">
        <v>546</v>
      </c>
      <c r="G520" s="174">
        <v>45576.460914351854</v>
      </c>
    </row>
    <row r="521" spans="1:7">
      <c r="A521">
        <v>520</v>
      </c>
      <c r="B521" t="s">
        <v>1352</v>
      </c>
      <c r="C521" t="s">
        <v>1353</v>
      </c>
      <c r="E521">
        <v>0.01</v>
      </c>
      <c r="F521" t="s">
        <v>546</v>
      </c>
      <c r="G521" s="174">
        <v>45576.460914351854</v>
      </c>
    </row>
    <row r="522" spans="1:7">
      <c r="A522">
        <v>521</v>
      </c>
      <c r="B522" t="s">
        <v>1354</v>
      </c>
      <c r="C522" t="s">
        <v>675</v>
      </c>
      <c r="E522">
        <v>0.1</v>
      </c>
      <c r="F522" t="s">
        <v>546</v>
      </c>
      <c r="G522" s="174">
        <v>45576.460914351854</v>
      </c>
    </row>
    <row r="523" spans="1:7">
      <c r="A523">
        <v>522</v>
      </c>
      <c r="B523" t="s">
        <v>1355</v>
      </c>
      <c r="C523" t="s">
        <v>967</v>
      </c>
      <c r="E523">
        <v>0.1</v>
      </c>
      <c r="F523" t="s">
        <v>546</v>
      </c>
      <c r="G523" s="174">
        <v>45576.460914351854</v>
      </c>
    </row>
    <row r="524" spans="1:7">
      <c r="A524">
        <v>523</v>
      </c>
      <c r="B524" t="s">
        <v>1356</v>
      </c>
      <c r="C524" t="s">
        <v>1133</v>
      </c>
      <c r="E524">
        <v>0.01</v>
      </c>
      <c r="F524" t="s">
        <v>546</v>
      </c>
      <c r="G524" s="174">
        <v>45576.460914351854</v>
      </c>
    </row>
    <row r="525" spans="1:7">
      <c r="A525">
        <v>524</v>
      </c>
      <c r="B525" t="s">
        <v>1357</v>
      </c>
      <c r="C525" t="s">
        <v>839</v>
      </c>
      <c r="E525">
        <v>0.01</v>
      </c>
      <c r="F525" t="s">
        <v>546</v>
      </c>
      <c r="G525" s="174">
        <v>45576.460914351854</v>
      </c>
    </row>
    <row r="526" spans="1:7">
      <c r="A526">
        <v>525</v>
      </c>
      <c r="B526" t="s">
        <v>1358</v>
      </c>
      <c r="C526" t="s">
        <v>1359</v>
      </c>
      <c r="E526">
        <v>0.01</v>
      </c>
      <c r="F526" t="s">
        <v>546</v>
      </c>
      <c r="G526" s="174">
        <v>45576.460914351854</v>
      </c>
    </row>
    <row r="527" spans="1:7">
      <c r="A527">
        <v>526</v>
      </c>
      <c r="B527" t="s">
        <v>1360</v>
      </c>
      <c r="C527" t="s">
        <v>567</v>
      </c>
      <c r="E527">
        <v>0.01</v>
      </c>
      <c r="F527" t="s">
        <v>546</v>
      </c>
      <c r="G527" s="174">
        <v>45576.460914351854</v>
      </c>
    </row>
    <row r="528" spans="1:7">
      <c r="A528">
        <v>527</v>
      </c>
      <c r="B528" t="s">
        <v>1360</v>
      </c>
      <c r="C528" t="s">
        <v>1361</v>
      </c>
      <c r="E528">
        <v>0.01</v>
      </c>
      <c r="F528" t="s">
        <v>546</v>
      </c>
      <c r="G528" s="174">
        <v>45576.460914351854</v>
      </c>
    </row>
    <row r="529" spans="1:7">
      <c r="A529">
        <v>528</v>
      </c>
      <c r="B529" t="s">
        <v>1362</v>
      </c>
      <c r="C529" t="s">
        <v>698</v>
      </c>
      <c r="E529">
        <v>0.5</v>
      </c>
      <c r="F529" t="s">
        <v>546</v>
      </c>
      <c r="G529" s="174">
        <v>45576.460914351854</v>
      </c>
    </row>
    <row r="530" spans="1:7">
      <c r="A530">
        <v>529</v>
      </c>
      <c r="B530" t="s">
        <v>1363</v>
      </c>
      <c r="C530" t="s">
        <v>1341</v>
      </c>
      <c r="E530">
        <v>0.01</v>
      </c>
      <c r="F530" t="s">
        <v>546</v>
      </c>
      <c r="G530" s="174">
        <v>45576.460914351854</v>
      </c>
    </row>
    <row r="531" spans="1:7">
      <c r="A531">
        <v>530</v>
      </c>
      <c r="B531" t="s">
        <v>1364</v>
      </c>
      <c r="C531" t="s">
        <v>1365</v>
      </c>
      <c r="E531">
        <v>0.01</v>
      </c>
      <c r="F531" t="s">
        <v>546</v>
      </c>
      <c r="G531" s="174">
        <v>45576.460914351854</v>
      </c>
    </row>
    <row r="532" spans="1:7">
      <c r="A532">
        <v>531</v>
      </c>
      <c r="B532" t="s">
        <v>1366</v>
      </c>
      <c r="C532" t="s">
        <v>1367</v>
      </c>
      <c r="E532">
        <v>0.01</v>
      </c>
      <c r="F532" t="s">
        <v>546</v>
      </c>
      <c r="G532" s="174">
        <v>45576.460914351854</v>
      </c>
    </row>
    <row r="533" spans="1:7">
      <c r="A533">
        <v>532</v>
      </c>
      <c r="B533" t="s">
        <v>1368</v>
      </c>
      <c r="C533" t="s">
        <v>794</v>
      </c>
      <c r="E533">
        <v>0.01</v>
      </c>
      <c r="F533" t="s">
        <v>546</v>
      </c>
      <c r="G533" s="174">
        <v>45576.460914351854</v>
      </c>
    </row>
    <row r="534" spans="1:7">
      <c r="A534">
        <v>533</v>
      </c>
      <c r="B534" t="s">
        <v>1369</v>
      </c>
      <c r="C534" t="s">
        <v>939</v>
      </c>
      <c r="E534">
        <v>0.01</v>
      </c>
      <c r="F534" t="s">
        <v>546</v>
      </c>
      <c r="G534" s="174">
        <v>45576.460914351854</v>
      </c>
    </row>
    <row r="535" spans="1:7">
      <c r="A535">
        <v>534</v>
      </c>
      <c r="B535" t="s">
        <v>1370</v>
      </c>
      <c r="C535" t="s">
        <v>1157</v>
      </c>
      <c r="E535">
        <v>0.01</v>
      </c>
      <c r="F535" t="s">
        <v>546</v>
      </c>
      <c r="G535" s="174">
        <v>45576.460914351854</v>
      </c>
    </row>
    <row r="536" spans="1:7">
      <c r="A536">
        <v>535</v>
      </c>
      <c r="B536" t="s">
        <v>1371</v>
      </c>
      <c r="C536" t="s">
        <v>1372</v>
      </c>
      <c r="E536">
        <v>0.01</v>
      </c>
      <c r="F536" t="s">
        <v>546</v>
      </c>
      <c r="G536" s="174">
        <v>45576.460914351854</v>
      </c>
    </row>
    <row r="537" spans="1:7">
      <c r="A537">
        <v>536</v>
      </c>
      <c r="B537" t="s">
        <v>1373</v>
      </c>
      <c r="C537" t="s">
        <v>1374</v>
      </c>
      <c r="E537">
        <v>0.01</v>
      </c>
      <c r="F537" t="s">
        <v>546</v>
      </c>
      <c r="G537" s="174">
        <v>45576.460914351854</v>
      </c>
    </row>
    <row r="538" spans="1:7">
      <c r="A538">
        <v>537</v>
      </c>
      <c r="B538" t="s">
        <v>1375</v>
      </c>
      <c r="C538" t="s">
        <v>1376</v>
      </c>
      <c r="E538">
        <v>0.01</v>
      </c>
      <c r="F538" t="s">
        <v>546</v>
      </c>
      <c r="G538" s="174">
        <v>45576.460914351854</v>
      </c>
    </row>
    <row r="539" spans="1:7">
      <c r="A539">
        <v>538</v>
      </c>
      <c r="B539" t="s">
        <v>1375</v>
      </c>
      <c r="C539" t="s">
        <v>976</v>
      </c>
      <c r="E539">
        <v>0.01</v>
      </c>
      <c r="F539" t="s">
        <v>546</v>
      </c>
      <c r="G539" s="174">
        <v>45576.460914351854</v>
      </c>
    </row>
    <row r="540" spans="1:7">
      <c r="A540">
        <v>539</v>
      </c>
      <c r="B540" t="s">
        <v>1377</v>
      </c>
      <c r="C540" t="s">
        <v>771</v>
      </c>
      <c r="E540">
        <v>0.1</v>
      </c>
      <c r="F540" t="s">
        <v>546</v>
      </c>
      <c r="G540" s="174">
        <v>45576.460914351854</v>
      </c>
    </row>
    <row r="541" spans="1:7">
      <c r="A541">
        <v>540</v>
      </c>
      <c r="B541" t="s">
        <v>1378</v>
      </c>
      <c r="C541" t="s">
        <v>550</v>
      </c>
      <c r="E541">
        <v>0.01</v>
      </c>
      <c r="F541" t="s">
        <v>546</v>
      </c>
      <c r="G541" s="174">
        <v>45576.460914351854</v>
      </c>
    </row>
    <row r="542" spans="1:7">
      <c r="A542">
        <v>541</v>
      </c>
      <c r="B542" t="s">
        <v>1378</v>
      </c>
      <c r="C542" t="s">
        <v>1379</v>
      </c>
      <c r="E542" t="s">
        <v>1380</v>
      </c>
      <c r="F542" t="s">
        <v>546</v>
      </c>
      <c r="G542" s="174">
        <v>45576.460914351854</v>
      </c>
    </row>
    <row r="543" spans="1:7">
      <c r="A543">
        <v>542</v>
      </c>
      <c r="B543" t="s">
        <v>1381</v>
      </c>
      <c r="C543" t="s">
        <v>794</v>
      </c>
      <c r="E543">
        <v>0.01</v>
      </c>
      <c r="F543" t="s">
        <v>546</v>
      </c>
      <c r="G543" s="174">
        <v>45576.460914351854</v>
      </c>
    </row>
    <row r="544" spans="1:7">
      <c r="A544">
        <v>543</v>
      </c>
      <c r="B544" t="s">
        <v>1382</v>
      </c>
      <c r="C544" t="s">
        <v>912</v>
      </c>
      <c r="E544">
        <v>0.01</v>
      </c>
      <c r="F544" t="s">
        <v>546</v>
      </c>
      <c r="G544" s="174">
        <v>45576.460914351854</v>
      </c>
    </row>
    <row r="545" spans="1:7">
      <c r="A545">
        <v>544</v>
      </c>
      <c r="B545" t="s">
        <v>1382</v>
      </c>
      <c r="C545" t="s">
        <v>1383</v>
      </c>
      <c r="E545">
        <v>0.01</v>
      </c>
      <c r="F545" t="s">
        <v>546</v>
      </c>
      <c r="G545" s="174">
        <v>45576.460914351854</v>
      </c>
    </row>
    <row r="546" spans="1:7">
      <c r="A546">
        <v>545</v>
      </c>
      <c r="B546" t="s">
        <v>1384</v>
      </c>
      <c r="C546" t="s">
        <v>1385</v>
      </c>
      <c r="E546">
        <v>0.01</v>
      </c>
      <c r="F546" t="s">
        <v>546</v>
      </c>
      <c r="G546" s="174">
        <v>45576.460914351854</v>
      </c>
    </row>
    <row r="547" spans="1:7">
      <c r="A547">
        <v>546</v>
      </c>
      <c r="B547" t="s">
        <v>1386</v>
      </c>
      <c r="C547" t="s">
        <v>1031</v>
      </c>
      <c r="E547">
        <v>0.05</v>
      </c>
      <c r="F547" t="s">
        <v>546</v>
      </c>
      <c r="G547" s="174">
        <v>45576.460914351854</v>
      </c>
    </row>
    <row r="548" spans="1:7">
      <c r="A548">
        <v>547</v>
      </c>
      <c r="B548" t="s">
        <v>1387</v>
      </c>
      <c r="C548" t="s">
        <v>1388</v>
      </c>
      <c r="E548">
        <v>0.01</v>
      </c>
      <c r="F548" t="s">
        <v>546</v>
      </c>
      <c r="G548" s="174">
        <v>45576.460914351854</v>
      </c>
    </row>
    <row r="549" spans="1:7">
      <c r="A549">
        <v>548</v>
      </c>
      <c r="B549" t="s">
        <v>1389</v>
      </c>
      <c r="C549" t="s">
        <v>1390</v>
      </c>
      <c r="E549">
        <v>0.01</v>
      </c>
      <c r="F549" t="s">
        <v>546</v>
      </c>
      <c r="G549" s="174">
        <v>45576.460914351854</v>
      </c>
    </row>
    <row r="550" spans="1:7">
      <c r="A550">
        <v>549</v>
      </c>
      <c r="B550" t="s">
        <v>1391</v>
      </c>
      <c r="C550" t="s">
        <v>1189</v>
      </c>
      <c r="E550">
        <v>0.01</v>
      </c>
      <c r="F550" t="s">
        <v>546</v>
      </c>
      <c r="G550" s="174">
        <v>45576.460914351854</v>
      </c>
    </row>
    <row r="551" spans="1:7">
      <c r="A551">
        <v>550</v>
      </c>
      <c r="B551" t="s">
        <v>1392</v>
      </c>
      <c r="C551" t="s">
        <v>1393</v>
      </c>
      <c r="E551">
        <v>0.1</v>
      </c>
      <c r="F551" t="s">
        <v>546</v>
      </c>
      <c r="G551" s="174">
        <v>45576.460914351854</v>
      </c>
    </row>
    <row r="552" spans="1:7">
      <c r="A552">
        <v>551</v>
      </c>
      <c r="B552" t="s">
        <v>1394</v>
      </c>
      <c r="C552" t="s">
        <v>920</v>
      </c>
      <c r="E552">
        <v>0.01</v>
      </c>
      <c r="F552" t="s">
        <v>546</v>
      </c>
      <c r="G552" s="174">
        <v>45576.460914351854</v>
      </c>
    </row>
    <row r="553" spans="1:7">
      <c r="A553">
        <v>552</v>
      </c>
      <c r="B553" t="s">
        <v>1395</v>
      </c>
      <c r="C553" t="s">
        <v>1204</v>
      </c>
      <c r="E553">
        <v>0.01</v>
      </c>
      <c r="F553" t="s">
        <v>546</v>
      </c>
      <c r="G553" s="174">
        <v>45576.460914351854</v>
      </c>
    </row>
    <row r="554" spans="1:7">
      <c r="A554">
        <v>553</v>
      </c>
      <c r="B554" t="s">
        <v>1396</v>
      </c>
      <c r="C554" t="s">
        <v>778</v>
      </c>
      <c r="E554">
        <v>0.01</v>
      </c>
      <c r="F554" t="s">
        <v>546</v>
      </c>
      <c r="G554" s="174">
        <v>45576.460914351854</v>
      </c>
    </row>
    <row r="555" spans="1:7">
      <c r="A555">
        <v>554</v>
      </c>
      <c r="B555" t="s">
        <v>1397</v>
      </c>
      <c r="C555" t="s">
        <v>1224</v>
      </c>
      <c r="E555">
        <v>0.01</v>
      </c>
      <c r="F555" t="s">
        <v>546</v>
      </c>
      <c r="G555" s="174">
        <v>45576.460914351854</v>
      </c>
    </row>
    <row r="556" spans="1:7">
      <c r="A556">
        <v>555</v>
      </c>
      <c r="B556" t="s">
        <v>1397</v>
      </c>
      <c r="C556" t="s">
        <v>1398</v>
      </c>
      <c r="E556">
        <v>0.01</v>
      </c>
      <c r="F556" t="s">
        <v>546</v>
      </c>
      <c r="G556" s="174">
        <v>45576.460914351854</v>
      </c>
    </row>
    <row r="557" spans="1:7">
      <c r="A557">
        <v>556</v>
      </c>
      <c r="B557" t="s">
        <v>1399</v>
      </c>
      <c r="C557" t="s">
        <v>555</v>
      </c>
      <c r="E557">
        <v>0.01</v>
      </c>
      <c r="F557" t="s">
        <v>546</v>
      </c>
      <c r="G557" s="174">
        <v>45576.460914351854</v>
      </c>
    </row>
    <row r="558" spans="1:7">
      <c r="A558">
        <v>557</v>
      </c>
      <c r="B558" t="s">
        <v>1400</v>
      </c>
      <c r="C558" t="s">
        <v>972</v>
      </c>
      <c r="E558">
        <v>0.05</v>
      </c>
      <c r="F558" t="s">
        <v>546</v>
      </c>
      <c r="G558" s="174">
        <v>45576.460914351854</v>
      </c>
    </row>
    <row r="559" spans="1:7">
      <c r="A559">
        <v>558</v>
      </c>
      <c r="B559" t="s">
        <v>1400</v>
      </c>
      <c r="C559" t="s">
        <v>1189</v>
      </c>
      <c r="E559">
        <v>0.01</v>
      </c>
      <c r="F559" t="s">
        <v>546</v>
      </c>
      <c r="G559" s="174">
        <v>45576.460914351854</v>
      </c>
    </row>
    <row r="560" spans="1:7">
      <c r="A560">
        <v>559</v>
      </c>
      <c r="B560" t="s">
        <v>1401</v>
      </c>
      <c r="C560" t="s">
        <v>918</v>
      </c>
      <c r="E560">
        <v>0.01</v>
      </c>
      <c r="F560" t="s">
        <v>546</v>
      </c>
      <c r="G560" s="174">
        <v>45576.460914351854</v>
      </c>
    </row>
    <row r="561" spans="1:7">
      <c r="A561">
        <v>560</v>
      </c>
      <c r="B561" t="s">
        <v>1402</v>
      </c>
      <c r="C561" t="s">
        <v>1204</v>
      </c>
      <c r="E561">
        <v>0.1</v>
      </c>
      <c r="F561" t="s">
        <v>546</v>
      </c>
      <c r="G561" s="174">
        <v>45576.460914351854</v>
      </c>
    </row>
    <row r="562" spans="1:7">
      <c r="A562">
        <v>561</v>
      </c>
      <c r="B562" t="s">
        <v>1403</v>
      </c>
      <c r="C562" t="s">
        <v>607</v>
      </c>
      <c r="E562">
        <v>0.01</v>
      </c>
      <c r="F562" t="s">
        <v>546</v>
      </c>
      <c r="G562" s="174">
        <v>45576.460914351854</v>
      </c>
    </row>
    <row r="563" spans="1:7">
      <c r="A563">
        <v>562</v>
      </c>
      <c r="B563" t="s">
        <v>1404</v>
      </c>
      <c r="C563" t="s">
        <v>1405</v>
      </c>
      <c r="E563">
        <v>0.01</v>
      </c>
      <c r="F563" t="s">
        <v>546</v>
      </c>
      <c r="G563" s="174">
        <v>45576.460914351854</v>
      </c>
    </row>
    <row r="564" spans="1:7">
      <c r="A564">
        <v>563</v>
      </c>
      <c r="B564" t="s">
        <v>1406</v>
      </c>
      <c r="C564" t="s">
        <v>1407</v>
      </c>
      <c r="E564">
        <v>0.01</v>
      </c>
      <c r="F564" t="s">
        <v>1408</v>
      </c>
      <c r="G564" s="174">
        <v>45576.460914351854</v>
      </c>
    </row>
    <row r="565" spans="1:7">
      <c r="A565">
        <v>564</v>
      </c>
      <c r="B565" t="s">
        <v>1409</v>
      </c>
      <c r="C565" t="s">
        <v>1353</v>
      </c>
      <c r="E565">
        <v>0.1</v>
      </c>
      <c r="F565" t="s">
        <v>546</v>
      </c>
      <c r="G565" s="174">
        <v>45576.460914351854</v>
      </c>
    </row>
    <row r="566" spans="1:7">
      <c r="A566">
        <v>565</v>
      </c>
      <c r="B566" t="s">
        <v>1410</v>
      </c>
      <c r="C566" t="s">
        <v>1411</v>
      </c>
      <c r="E566">
        <v>0.01</v>
      </c>
      <c r="F566" t="s">
        <v>546</v>
      </c>
      <c r="G566" s="174">
        <v>45576.460914351854</v>
      </c>
    </row>
    <row r="567" spans="1:7">
      <c r="A567">
        <v>566</v>
      </c>
      <c r="B567" t="s">
        <v>1412</v>
      </c>
      <c r="C567" t="s">
        <v>748</v>
      </c>
      <c r="E567">
        <v>0.01</v>
      </c>
      <c r="F567" t="s">
        <v>546</v>
      </c>
      <c r="G567" s="174">
        <v>45576.460914351854</v>
      </c>
    </row>
    <row r="568" spans="1:7">
      <c r="A568">
        <v>567</v>
      </c>
      <c r="B568" t="s">
        <v>1413</v>
      </c>
      <c r="C568" t="s">
        <v>1414</v>
      </c>
      <c r="E568">
        <v>0.01</v>
      </c>
      <c r="F568" t="s">
        <v>546</v>
      </c>
      <c r="G568" s="174">
        <v>45576.460914351854</v>
      </c>
    </row>
    <row r="569" spans="1:7">
      <c r="A569">
        <v>568</v>
      </c>
      <c r="B569" t="s">
        <v>1415</v>
      </c>
      <c r="C569" t="s">
        <v>976</v>
      </c>
      <c r="E569">
        <v>0.8</v>
      </c>
      <c r="F569" t="s">
        <v>546</v>
      </c>
      <c r="G569" s="174">
        <v>45576.460914351854</v>
      </c>
    </row>
    <row r="570" spans="1:7">
      <c r="A570">
        <v>569</v>
      </c>
      <c r="B570" t="s">
        <v>1416</v>
      </c>
      <c r="C570" t="s">
        <v>883</v>
      </c>
      <c r="E570">
        <v>0.01</v>
      </c>
      <c r="F570" t="s">
        <v>546</v>
      </c>
      <c r="G570" s="174">
        <v>45576.460914351854</v>
      </c>
    </row>
    <row r="571" spans="1:7">
      <c r="A571">
        <v>570</v>
      </c>
      <c r="B571" t="s">
        <v>1417</v>
      </c>
      <c r="C571" t="s">
        <v>1242</v>
      </c>
      <c r="E571">
        <v>0.1</v>
      </c>
      <c r="F571" t="s">
        <v>546</v>
      </c>
      <c r="G571" s="174">
        <v>45576.460914351854</v>
      </c>
    </row>
    <row r="572" spans="1:7">
      <c r="A572">
        <v>571</v>
      </c>
      <c r="B572" t="s">
        <v>1418</v>
      </c>
      <c r="C572" t="s">
        <v>1419</v>
      </c>
      <c r="E572">
        <v>0.01</v>
      </c>
      <c r="F572" t="s">
        <v>546</v>
      </c>
      <c r="G572" s="174">
        <v>45576.460914351854</v>
      </c>
    </row>
    <row r="573" spans="1:7">
      <c r="A573">
        <v>572</v>
      </c>
      <c r="B573" t="s">
        <v>1420</v>
      </c>
      <c r="C573" t="s">
        <v>987</v>
      </c>
      <c r="E573">
        <v>0.01</v>
      </c>
      <c r="F573" t="s">
        <v>546</v>
      </c>
      <c r="G573" s="174">
        <v>45576.460914351854</v>
      </c>
    </row>
    <row r="574" spans="1:7">
      <c r="A574">
        <v>573</v>
      </c>
      <c r="B574" t="s">
        <v>1421</v>
      </c>
      <c r="C574" t="s">
        <v>1422</v>
      </c>
      <c r="E574">
        <v>0.01</v>
      </c>
      <c r="F574" t="s">
        <v>546</v>
      </c>
      <c r="G574" s="174">
        <v>45576.460914351854</v>
      </c>
    </row>
    <row r="575" spans="1:7">
      <c r="A575">
        <v>574</v>
      </c>
      <c r="B575" t="s">
        <v>1423</v>
      </c>
      <c r="C575" t="s">
        <v>1424</v>
      </c>
      <c r="E575">
        <v>0.05</v>
      </c>
      <c r="F575" t="s">
        <v>546</v>
      </c>
      <c r="G575" s="174">
        <v>45576.460914351854</v>
      </c>
    </row>
    <row r="576" spans="1:7">
      <c r="A576">
        <v>575</v>
      </c>
      <c r="B576" t="s">
        <v>1425</v>
      </c>
      <c r="C576" t="s">
        <v>719</v>
      </c>
      <c r="E576">
        <v>0.01</v>
      </c>
      <c r="F576" t="s">
        <v>546</v>
      </c>
      <c r="G576" s="174">
        <v>45576.460914351854</v>
      </c>
    </row>
    <row r="577" spans="1:7">
      <c r="A577">
        <v>576</v>
      </c>
      <c r="B577" t="s">
        <v>1426</v>
      </c>
      <c r="C577" t="s">
        <v>1083</v>
      </c>
      <c r="E577">
        <v>0.01</v>
      </c>
      <c r="F577" t="s">
        <v>546</v>
      </c>
      <c r="G577" s="174">
        <v>45576.460914351854</v>
      </c>
    </row>
    <row r="578" spans="1:7">
      <c r="A578">
        <v>577</v>
      </c>
      <c r="B578" t="s">
        <v>1427</v>
      </c>
      <c r="C578" t="s">
        <v>1088</v>
      </c>
      <c r="E578">
        <v>0.01</v>
      </c>
      <c r="F578" t="s">
        <v>546</v>
      </c>
      <c r="G578" s="174">
        <v>45576.460914351854</v>
      </c>
    </row>
    <row r="579" spans="1:7">
      <c r="A579">
        <v>578</v>
      </c>
      <c r="B579" t="s">
        <v>1428</v>
      </c>
      <c r="C579" t="s">
        <v>1025</v>
      </c>
      <c r="E579">
        <v>0.01</v>
      </c>
      <c r="F579" t="s">
        <v>546</v>
      </c>
      <c r="G579" s="174">
        <v>45576.460914351854</v>
      </c>
    </row>
    <row r="580" spans="1:7">
      <c r="A580">
        <v>579</v>
      </c>
      <c r="B580" t="s">
        <v>1429</v>
      </c>
      <c r="C580" t="s">
        <v>609</v>
      </c>
      <c r="E580">
        <v>0.01</v>
      </c>
      <c r="F580" t="s">
        <v>546</v>
      </c>
      <c r="G580" s="174">
        <v>45576.460914351854</v>
      </c>
    </row>
    <row r="581" spans="1:7">
      <c r="A581">
        <v>580</v>
      </c>
      <c r="B581" t="s">
        <v>1430</v>
      </c>
      <c r="C581" t="s">
        <v>1431</v>
      </c>
      <c r="E581">
        <v>0.1</v>
      </c>
      <c r="F581" t="s">
        <v>546</v>
      </c>
      <c r="G581" s="174">
        <v>45576.460914351854</v>
      </c>
    </row>
    <row r="582" spans="1:7">
      <c r="A582">
        <v>581</v>
      </c>
      <c r="B582" t="s">
        <v>1432</v>
      </c>
      <c r="C582" t="s">
        <v>618</v>
      </c>
      <c r="E582">
        <v>0.01</v>
      </c>
      <c r="F582" t="s">
        <v>546</v>
      </c>
      <c r="G582" s="174">
        <v>45576.460914351854</v>
      </c>
    </row>
    <row r="583" spans="1:7">
      <c r="A583">
        <v>582</v>
      </c>
      <c r="B583" t="s">
        <v>1433</v>
      </c>
      <c r="C583" t="s">
        <v>615</v>
      </c>
      <c r="E583">
        <v>0.01</v>
      </c>
      <c r="F583" t="s">
        <v>546</v>
      </c>
      <c r="G583" s="174">
        <v>45576.460914351854</v>
      </c>
    </row>
    <row r="584" spans="1:7">
      <c r="A584">
        <v>583</v>
      </c>
      <c r="B584" t="s">
        <v>1434</v>
      </c>
      <c r="C584" t="s">
        <v>1435</v>
      </c>
      <c r="E584">
        <v>0.01</v>
      </c>
      <c r="F584" t="s">
        <v>546</v>
      </c>
      <c r="G584" s="174">
        <v>45576.460914351854</v>
      </c>
    </row>
    <row r="585" spans="1:7">
      <c r="A585">
        <v>584</v>
      </c>
      <c r="B585" t="s">
        <v>1436</v>
      </c>
      <c r="C585" t="s">
        <v>912</v>
      </c>
      <c r="E585">
        <v>0.05</v>
      </c>
      <c r="F585" t="s">
        <v>546</v>
      </c>
      <c r="G585" s="174">
        <v>45576.460914351854</v>
      </c>
    </row>
    <row r="586" spans="1:7">
      <c r="A586">
        <v>585</v>
      </c>
      <c r="B586" t="s">
        <v>1437</v>
      </c>
      <c r="C586" t="s">
        <v>1438</v>
      </c>
      <c r="E586">
        <v>0.01</v>
      </c>
      <c r="F586" t="s">
        <v>546</v>
      </c>
      <c r="G586" s="174">
        <v>45576.460914351854</v>
      </c>
    </row>
    <row r="587" spans="1:7">
      <c r="A587">
        <v>586</v>
      </c>
      <c r="B587" t="s">
        <v>1439</v>
      </c>
      <c r="C587" t="s">
        <v>874</v>
      </c>
      <c r="E587">
        <v>0.1</v>
      </c>
      <c r="F587" t="s">
        <v>546</v>
      </c>
      <c r="G587" s="174">
        <v>45576.460914351854</v>
      </c>
    </row>
    <row r="588" spans="1:7">
      <c r="A588">
        <v>587</v>
      </c>
      <c r="B588" t="s">
        <v>1440</v>
      </c>
      <c r="C588" t="s">
        <v>1441</v>
      </c>
      <c r="E588">
        <v>0.01</v>
      </c>
      <c r="F588" t="s">
        <v>546</v>
      </c>
      <c r="G588" s="174">
        <v>45576.460914351854</v>
      </c>
    </row>
    <row r="589" spans="1:7">
      <c r="A589">
        <v>588</v>
      </c>
      <c r="B589" t="s">
        <v>1440</v>
      </c>
      <c r="C589" t="s">
        <v>1082</v>
      </c>
      <c r="E589">
        <v>0.01</v>
      </c>
      <c r="F589" t="s">
        <v>546</v>
      </c>
      <c r="G589" s="174">
        <v>45576.460914351854</v>
      </c>
    </row>
    <row r="590" spans="1:7">
      <c r="A590">
        <v>589</v>
      </c>
      <c r="B590" t="s">
        <v>1442</v>
      </c>
      <c r="C590" t="s">
        <v>1155</v>
      </c>
      <c r="E590">
        <v>0.01</v>
      </c>
      <c r="F590" t="s">
        <v>546</v>
      </c>
      <c r="G590" s="174">
        <v>45576.460914351854</v>
      </c>
    </row>
    <row r="591" spans="1:7">
      <c r="A591">
        <v>590</v>
      </c>
      <c r="B591" t="s">
        <v>1443</v>
      </c>
      <c r="C591" t="s">
        <v>754</v>
      </c>
      <c r="E591">
        <v>0.01</v>
      </c>
      <c r="F591" t="s">
        <v>546</v>
      </c>
      <c r="G591" s="174">
        <v>45576.460914351854</v>
      </c>
    </row>
    <row r="592" spans="1:7">
      <c r="A592">
        <v>591</v>
      </c>
      <c r="B592" t="s">
        <v>1444</v>
      </c>
      <c r="C592" t="s">
        <v>599</v>
      </c>
      <c r="E592">
        <v>0.01</v>
      </c>
      <c r="F592" t="s">
        <v>546</v>
      </c>
      <c r="G592" s="174">
        <v>45576.460914351854</v>
      </c>
    </row>
    <row r="593" spans="1:7">
      <c r="A593">
        <v>592</v>
      </c>
      <c r="B593" t="s">
        <v>1445</v>
      </c>
      <c r="C593" t="s">
        <v>976</v>
      </c>
      <c r="E593">
        <v>0.01</v>
      </c>
      <c r="F593" t="s">
        <v>546</v>
      </c>
      <c r="G593" s="174">
        <v>45576.460914351854</v>
      </c>
    </row>
    <row r="594" spans="1:7">
      <c r="A594">
        <v>593</v>
      </c>
      <c r="B594" t="s">
        <v>1446</v>
      </c>
      <c r="C594" t="s">
        <v>1447</v>
      </c>
      <c r="E594">
        <v>0.1</v>
      </c>
      <c r="F594" t="s">
        <v>546</v>
      </c>
      <c r="G594" s="174">
        <v>45576.460914351854</v>
      </c>
    </row>
    <row r="595" spans="1:7">
      <c r="A595">
        <v>594</v>
      </c>
      <c r="B595" t="s">
        <v>1448</v>
      </c>
      <c r="C595" t="s">
        <v>943</v>
      </c>
      <c r="E595">
        <v>0.01</v>
      </c>
      <c r="F595" t="s">
        <v>546</v>
      </c>
      <c r="G595" s="174">
        <v>45576.460914351854</v>
      </c>
    </row>
    <row r="596" spans="1:7">
      <c r="A596">
        <v>595</v>
      </c>
      <c r="B596" t="s">
        <v>1449</v>
      </c>
      <c r="C596" t="s">
        <v>809</v>
      </c>
      <c r="E596">
        <v>0.1</v>
      </c>
      <c r="F596" t="s">
        <v>546</v>
      </c>
      <c r="G596" s="174">
        <v>45576.460914351854</v>
      </c>
    </row>
    <row r="597" spans="1:7">
      <c r="A597">
        <v>596</v>
      </c>
      <c r="B597" t="s">
        <v>1450</v>
      </c>
      <c r="C597" t="s">
        <v>775</v>
      </c>
      <c r="E597">
        <v>0.01</v>
      </c>
      <c r="F597" t="s">
        <v>546</v>
      </c>
      <c r="G597" s="174">
        <v>45576.460914351854</v>
      </c>
    </row>
    <row r="598" spans="1:7">
      <c r="A598">
        <v>597</v>
      </c>
      <c r="B598" t="s">
        <v>1451</v>
      </c>
      <c r="C598" t="s">
        <v>675</v>
      </c>
      <c r="E598">
        <v>0.01</v>
      </c>
      <c r="F598" t="s">
        <v>546</v>
      </c>
      <c r="G598" s="174">
        <v>45576.460914351854</v>
      </c>
    </row>
    <row r="599" spans="1:7">
      <c r="A599">
        <v>598</v>
      </c>
      <c r="B599" t="s">
        <v>1452</v>
      </c>
      <c r="C599" t="s">
        <v>852</v>
      </c>
      <c r="E599">
        <v>0.8</v>
      </c>
      <c r="F599" t="s">
        <v>546</v>
      </c>
      <c r="G599" s="174">
        <v>45576.460914351854</v>
      </c>
    </row>
    <row r="600" spans="1:7">
      <c r="A600">
        <v>599</v>
      </c>
      <c r="B600" t="s">
        <v>1453</v>
      </c>
      <c r="C600" t="s">
        <v>1454</v>
      </c>
      <c r="E600">
        <v>0.01</v>
      </c>
      <c r="F600" t="s">
        <v>546</v>
      </c>
      <c r="G600" s="174">
        <v>45576.460914351854</v>
      </c>
    </row>
    <row r="601" spans="1:7">
      <c r="A601">
        <v>600</v>
      </c>
      <c r="B601" t="s">
        <v>1455</v>
      </c>
      <c r="C601" t="s">
        <v>1456</v>
      </c>
      <c r="E601">
        <v>0.01</v>
      </c>
      <c r="F601" t="s">
        <v>546</v>
      </c>
      <c r="G601" s="174">
        <v>45576.460914351854</v>
      </c>
    </row>
    <row r="602" spans="1:7">
      <c r="A602">
        <v>601</v>
      </c>
      <c r="B602" t="s">
        <v>1457</v>
      </c>
      <c r="C602" t="s">
        <v>799</v>
      </c>
      <c r="E602">
        <v>0.01</v>
      </c>
      <c r="F602" t="s">
        <v>546</v>
      </c>
      <c r="G602" s="174">
        <v>45576.460914351854</v>
      </c>
    </row>
    <row r="603" spans="1:7">
      <c r="A603">
        <v>602</v>
      </c>
      <c r="B603" t="s">
        <v>1458</v>
      </c>
      <c r="C603" t="s">
        <v>1459</v>
      </c>
      <c r="E603">
        <v>0.01</v>
      </c>
      <c r="F603" t="s">
        <v>546</v>
      </c>
      <c r="G603" s="174">
        <v>45576.460914351854</v>
      </c>
    </row>
    <row r="604" spans="1:7">
      <c r="A604">
        <v>603</v>
      </c>
      <c r="B604" t="s">
        <v>1460</v>
      </c>
      <c r="C604" t="s">
        <v>577</v>
      </c>
      <c r="E604">
        <v>0.01</v>
      </c>
      <c r="F604" t="s">
        <v>546</v>
      </c>
      <c r="G604" s="174">
        <v>45576.460914351854</v>
      </c>
    </row>
    <row r="605" spans="1:7">
      <c r="A605">
        <v>604</v>
      </c>
      <c r="B605" t="s">
        <v>1461</v>
      </c>
      <c r="C605" t="s">
        <v>637</v>
      </c>
      <c r="E605">
        <v>0.01</v>
      </c>
      <c r="F605" t="s">
        <v>546</v>
      </c>
      <c r="G605" s="174">
        <v>45576.460914351854</v>
      </c>
    </row>
    <row r="606" spans="1:7">
      <c r="A606">
        <v>605</v>
      </c>
      <c r="B606" t="s">
        <v>1462</v>
      </c>
      <c r="C606" t="s">
        <v>583</v>
      </c>
      <c r="E606">
        <v>0.01</v>
      </c>
      <c r="F606" t="s">
        <v>546</v>
      </c>
      <c r="G606" s="174">
        <v>45576.460914351854</v>
      </c>
    </row>
    <row r="607" spans="1:7">
      <c r="A607">
        <v>606</v>
      </c>
      <c r="B607" t="s">
        <v>1463</v>
      </c>
      <c r="C607" t="s">
        <v>1464</v>
      </c>
      <c r="E607">
        <v>0.01</v>
      </c>
      <c r="F607" t="s">
        <v>546</v>
      </c>
      <c r="G607" s="174">
        <v>45576.460914351854</v>
      </c>
    </row>
    <row r="608" spans="1:7">
      <c r="A608">
        <v>607</v>
      </c>
      <c r="B608" t="s">
        <v>1463</v>
      </c>
      <c r="C608" t="s">
        <v>1465</v>
      </c>
      <c r="E608">
        <v>0.05</v>
      </c>
      <c r="F608" t="s">
        <v>546</v>
      </c>
      <c r="G608" s="174">
        <v>45576.460914351854</v>
      </c>
    </row>
    <row r="609" spans="1:7">
      <c r="A609">
        <v>608</v>
      </c>
      <c r="B609" t="s">
        <v>1466</v>
      </c>
      <c r="C609" t="s">
        <v>581</v>
      </c>
      <c r="E609">
        <v>0.01</v>
      </c>
      <c r="F609" t="s">
        <v>546</v>
      </c>
      <c r="G609" s="174">
        <v>45576.460914351854</v>
      </c>
    </row>
    <row r="610" spans="1:7">
      <c r="A610">
        <v>609</v>
      </c>
      <c r="B610" t="s">
        <v>1467</v>
      </c>
      <c r="C610" t="s">
        <v>581</v>
      </c>
      <c r="E610">
        <v>0.01</v>
      </c>
      <c r="F610" t="s">
        <v>546</v>
      </c>
      <c r="G610" s="174">
        <v>45576.460914351854</v>
      </c>
    </row>
    <row r="611" spans="1:7">
      <c r="A611">
        <v>610</v>
      </c>
      <c r="B611" t="s">
        <v>1468</v>
      </c>
      <c r="C611" t="s">
        <v>1469</v>
      </c>
      <c r="E611">
        <v>0.01</v>
      </c>
      <c r="F611" t="s">
        <v>546</v>
      </c>
      <c r="G611" s="174">
        <v>45576.460914351854</v>
      </c>
    </row>
    <row r="612" spans="1:7">
      <c r="A612">
        <v>611</v>
      </c>
      <c r="B612" t="s">
        <v>1470</v>
      </c>
      <c r="C612" t="s">
        <v>1471</v>
      </c>
      <c r="E612">
        <v>0.1</v>
      </c>
      <c r="F612" t="s">
        <v>546</v>
      </c>
      <c r="G612" s="174">
        <v>45576.460914351854</v>
      </c>
    </row>
    <row r="613" spans="1:7">
      <c r="A613">
        <v>612</v>
      </c>
      <c r="B613" t="s">
        <v>1472</v>
      </c>
      <c r="C613" t="s">
        <v>1060</v>
      </c>
      <c r="E613">
        <v>0.01</v>
      </c>
      <c r="F613" t="s">
        <v>546</v>
      </c>
      <c r="G613" s="174">
        <v>45576.460914351854</v>
      </c>
    </row>
    <row r="614" spans="1:7">
      <c r="A614">
        <v>613</v>
      </c>
      <c r="B614" t="s">
        <v>1473</v>
      </c>
      <c r="C614" t="s">
        <v>585</v>
      </c>
      <c r="E614">
        <v>0.01</v>
      </c>
      <c r="F614" t="s">
        <v>546</v>
      </c>
      <c r="G614" s="174">
        <v>45576.460914351854</v>
      </c>
    </row>
    <row r="615" spans="1:7">
      <c r="A615">
        <v>614</v>
      </c>
      <c r="B615" t="s">
        <v>1473</v>
      </c>
      <c r="C615" t="s">
        <v>712</v>
      </c>
      <c r="E615">
        <v>0.01</v>
      </c>
      <c r="F615" t="s">
        <v>546</v>
      </c>
      <c r="G615" s="174">
        <v>45576.460914351854</v>
      </c>
    </row>
    <row r="616" spans="1:7">
      <c r="A616">
        <v>615</v>
      </c>
      <c r="B616" t="s">
        <v>1474</v>
      </c>
      <c r="C616" t="s">
        <v>683</v>
      </c>
      <c r="E616">
        <v>0.01</v>
      </c>
      <c r="F616" t="s">
        <v>546</v>
      </c>
      <c r="G616" s="174">
        <v>45576.460914351854</v>
      </c>
    </row>
    <row r="617" spans="1:7">
      <c r="A617">
        <v>616</v>
      </c>
      <c r="B617" t="s">
        <v>1474</v>
      </c>
      <c r="C617" t="s">
        <v>1475</v>
      </c>
      <c r="E617">
        <v>0.01</v>
      </c>
      <c r="F617" t="s">
        <v>546</v>
      </c>
      <c r="G617" s="174">
        <v>45576.460914351854</v>
      </c>
    </row>
    <row r="618" spans="1:7">
      <c r="A618">
        <v>617</v>
      </c>
      <c r="B618" t="s">
        <v>1476</v>
      </c>
      <c r="C618" t="s">
        <v>1477</v>
      </c>
      <c r="E618">
        <v>0.01</v>
      </c>
      <c r="F618" t="s">
        <v>546</v>
      </c>
      <c r="G618" s="174">
        <v>45576.460914351854</v>
      </c>
    </row>
    <row r="619" spans="1:7">
      <c r="A619">
        <v>618</v>
      </c>
      <c r="B619" t="s">
        <v>1478</v>
      </c>
      <c r="C619" t="s">
        <v>1477</v>
      </c>
      <c r="E619">
        <v>0.01</v>
      </c>
      <c r="F619" t="s">
        <v>546</v>
      </c>
      <c r="G619" s="174">
        <v>45576.460914351854</v>
      </c>
    </row>
    <row r="620" spans="1:7">
      <c r="A620">
        <v>619</v>
      </c>
      <c r="B620" t="s">
        <v>1479</v>
      </c>
      <c r="C620" t="s">
        <v>1480</v>
      </c>
      <c r="E620">
        <v>0.05</v>
      </c>
      <c r="F620" t="s">
        <v>546</v>
      </c>
      <c r="G620" s="174">
        <v>45576.460914351854</v>
      </c>
    </row>
    <row r="621" spans="1:7">
      <c r="A621">
        <v>620</v>
      </c>
      <c r="B621" t="s">
        <v>1481</v>
      </c>
      <c r="C621" t="s">
        <v>971</v>
      </c>
      <c r="E621">
        <v>0.1</v>
      </c>
      <c r="F621" t="s">
        <v>546</v>
      </c>
      <c r="G621" s="174">
        <v>45576.460914351854</v>
      </c>
    </row>
    <row r="622" spans="1:7">
      <c r="A622">
        <v>621</v>
      </c>
      <c r="B622" t="s">
        <v>1482</v>
      </c>
      <c r="C622" t="s">
        <v>824</v>
      </c>
      <c r="E622">
        <v>0.01</v>
      </c>
      <c r="F622" t="s">
        <v>546</v>
      </c>
      <c r="G622" s="174">
        <v>45576.460914351854</v>
      </c>
    </row>
    <row r="623" spans="1:7">
      <c r="A623">
        <v>622</v>
      </c>
      <c r="B623" t="s">
        <v>1483</v>
      </c>
      <c r="C623" t="s">
        <v>726</v>
      </c>
      <c r="E623">
        <v>0.01</v>
      </c>
      <c r="F623" t="s">
        <v>546</v>
      </c>
      <c r="G623" s="174">
        <v>45576.460914351854</v>
      </c>
    </row>
    <row r="624" spans="1:7">
      <c r="A624">
        <v>623</v>
      </c>
      <c r="B624" t="s">
        <v>1484</v>
      </c>
      <c r="C624" t="s">
        <v>579</v>
      </c>
      <c r="E624">
        <v>0.01</v>
      </c>
      <c r="F624" t="s">
        <v>546</v>
      </c>
      <c r="G624" s="174">
        <v>45576.460914351854</v>
      </c>
    </row>
    <row r="625" spans="1:7">
      <c r="A625">
        <v>624</v>
      </c>
      <c r="B625" t="s">
        <v>1485</v>
      </c>
      <c r="C625" t="s">
        <v>1285</v>
      </c>
      <c r="E625">
        <v>0.1</v>
      </c>
      <c r="F625" t="s">
        <v>546</v>
      </c>
      <c r="G625" s="174">
        <v>45576.460914351854</v>
      </c>
    </row>
    <row r="626" spans="1:7">
      <c r="A626">
        <v>625</v>
      </c>
      <c r="B626" t="s">
        <v>1486</v>
      </c>
      <c r="C626" t="s">
        <v>1487</v>
      </c>
      <c r="E626">
        <v>0.1</v>
      </c>
      <c r="F626" t="s">
        <v>546</v>
      </c>
      <c r="G626" s="174">
        <v>45576.460914351854</v>
      </c>
    </row>
    <row r="627" spans="1:7">
      <c r="A627">
        <v>626</v>
      </c>
      <c r="B627" t="s">
        <v>1488</v>
      </c>
      <c r="C627" t="s">
        <v>1489</v>
      </c>
      <c r="E627">
        <v>0.01</v>
      </c>
      <c r="F627" t="s">
        <v>546</v>
      </c>
      <c r="G627" s="174">
        <v>45576.460914351854</v>
      </c>
    </row>
    <row r="628" spans="1:7">
      <c r="A628">
        <v>627</v>
      </c>
      <c r="B628" t="s">
        <v>1490</v>
      </c>
      <c r="C628" t="s">
        <v>953</v>
      </c>
      <c r="E628">
        <v>0.01</v>
      </c>
      <c r="F628" t="s">
        <v>546</v>
      </c>
      <c r="G628" s="174">
        <v>45576.460914351854</v>
      </c>
    </row>
    <row r="629" spans="1:7">
      <c r="A629">
        <v>628</v>
      </c>
      <c r="B629" t="s">
        <v>1491</v>
      </c>
      <c r="C629" t="s">
        <v>1492</v>
      </c>
      <c r="E629">
        <v>0.01</v>
      </c>
      <c r="F629" t="s">
        <v>546</v>
      </c>
      <c r="G629" s="174">
        <v>45576.460914351854</v>
      </c>
    </row>
    <row r="630" spans="1:7">
      <c r="A630">
        <v>629</v>
      </c>
      <c r="B630" t="s">
        <v>1493</v>
      </c>
      <c r="C630" t="s">
        <v>1494</v>
      </c>
      <c r="E630">
        <v>0.01</v>
      </c>
      <c r="F630" t="s">
        <v>546</v>
      </c>
      <c r="G630" s="174">
        <v>45576.460914351854</v>
      </c>
    </row>
    <row r="631" spans="1:7">
      <c r="A631">
        <v>630</v>
      </c>
      <c r="B631" t="s">
        <v>1495</v>
      </c>
      <c r="C631" t="s">
        <v>1496</v>
      </c>
      <c r="E631">
        <v>0.01</v>
      </c>
      <c r="F631" t="s">
        <v>546</v>
      </c>
      <c r="G631" s="174">
        <v>45576.460914351854</v>
      </c>
    </row>
    <row r="632" spans="1:7">
      <c r="A632">
        <v>631</v>
      </c>
      <c r="B632" t="s">
        <v>1497</v>
      </c>
      <c r="C632" t="s">
        <v>826</v>
      </c>
      <c r="E632">
        <v>0.01</v>
      </c>
      <c r="F632" t="s">
        <v>546</v>
      </c>
      <c r="G632" s="174">
        <v>45576.460914351854</v>
      </c>
    </row>
    <row r="633" spans="1:7">
      <c r="A633">
        <v>632</v>
      </c>
      <c r="B633" t="s">
        <v>1498</v>
      </c>
      <c r="C633" t="s">
        <v>1499</v>
      </c>
      <c r="E633">
        <v>0.8</v>
      </c>
      <c r="F633" t="s">
        <v>546</v>
      </c>
      <c r="G633" s="174">
        <v>45576.460914351854</v>
      </c>
    </row>
    <row r="634" spans="1:7">
      <c r="A634">
        <v>633</v>
      </c>
      <c r="B634" t="s">
        <v>1500</v>
      </c>
      <c r="C634" t="s">
        <v>1501</v>
      </c>
      <c r="E634">
        <v>0.01</v>
      </c>
      <c r="F634" t="s">
        <v>546</v>
      </c>
      <c r="G634" s="174">
        <v>45576.460914351854</v>
      </c>
    </row>
    <row r="635" spans="1:7">
      <c r="A635">
        <v>634</v>
      </c>
      <c r="B635" t="s">
        <v>1502</v>
      </c>
      <c r="C635" t="s">
        <v>1196</v>
      </c>
      <c r="E635">
        <v>0.01</v>
      </c>
      <c r="F635" t="s">
        <v>546</v>
      </c>
      <c r="G635" s="174">
        <v>45576.460914351854</v>
      </c>
    </row>
    <row r="636" spans="1:7">
      <c r="A636">
        <v>635</v>
      </c>
      <c r="B636" t="s">
        <v>1503</v>
      </c>
      <c r="C636" t="s">
        <v>1504</v>
      </c>
      <c r="E636">
        <v>0.05</v>
      </c>
      <c r="F636" t="s">
        <v>546</v>
      </c>
      <c r="G636" s="174">
        <v>45576.460914351854</v>
      </c>
    </row>
    <row r="637" spans="1:7">
      <c r="A637">
        <v>636</v>
      </c>
      <c r="B637" t="s">
        <v>1505</v>
      </c>
      <c r="C637" t="s">
        <v>1506</v>
      </c>
      <c r="E637">
        <v>0.01</v>
      </c>
      <c r="F637" t="s">
        <v>546</v>
      </c>
      <c r="G637" s="174">
        <v>45576.460914351854</v>
      </c>
    </row>
    <row r="638" spans="1:7">
      <c r="A638">
        <v>637</v>
      </c>
      <c r="B638" t="s">
        <v>1507</v>
      </c>
      <c r="C638" t="s">
        <v>779</v>
      </c>
      <c r="E638">
        <v>0.01</v>
      </c>
      <c r="F638" t="s">
        <v>546</v>
      </c>
      <c r="G638" s="174">
        <v>45576.460914351854</v>
      </c>
    </row>
    <row r="639" spans="1:7">
      <c r="A639">
        <v>638</v>
      </c>
      <c r="B639" t="s">
        <v>1508</v>
      </c>
      <c r="C639" t="s">
        <v>1035</v>
      </c>
      <c r="E639">
        <v>0.1</v>
      </c>
      <c r="F639" t="s">
        <v>546</v>
      </c>
      <c r="G639" s="174">
        <v>45576.460914351854</v>
      </c>
    </row>
    <row r="640" spans="1:7">
      <c r="A640">
        <v>639</v>
      </c>
      <c r="B640" t="s">
        <v>1509</v>
      </c>
      <c r="C640" t="s">
        <v>1510</v>
      </c>
      <c r="E640">
        <v>0.01</v>
      </c>
      <c r="F640" t="s">
        <v>546</v>
      </c>
      <c r="G640" s="174">
        <v>45576.460914351854</v>
      </c>
    </row>
    <row r="641" spans="1:7">
      <c r="A641">
        <v>640</v>
      </c>
      <c r="B641" t="s">
        <v>1509</v>
      </c>
      <c r="C641" t="s">
        <v>925</v>
      </c>
      <c r="E641">
        <v>0.01</v>
      </c>
      <c r="F641" t="s">
        <v>546</v>
      </c>
      <c r="G641" s="174">
        <v>45576.460914351854</v>
      </c>
    </row>
    <row r="642" spans="1:7">
      <c r="A642">
        <v>641</v>
      </c>
      <c r="B642" t="s">
        <v>1511</v>
      </c>
      <c r="C642" t="s">
        <v>1512</v>
      </c>
      <c r="E642">
        <v>0.01</v>
      </c>
      <c r="F642" t="s">
        <v>546</v>
      </c>
      <c r="G642" s="174">
        <v>45576.460914351854</v>
      </c>
    </row>
    <row r="643" spans="1:7">
      <c r="A643">
        <v>642</v>
      </c>
      <c r="B643" t="s">
        <v>1513</v>
      </c>
      <c r="C643" t="s">
        <v>657</v>
      </c>
      <c r="E643">
        <v>0.01</v>
      </c>
      <c r="F643" t="s">
        <v>546</v>
      </c>
      <c r="G643" s="174">
        <v>45576.460914351854</v>
      </c>
    </row>
    <row r="644" spans="1:7">
      <c r="A644">
        <v>643</v>
      </c>
      <c r="B644" t="s">
        <v>1514</v>
      </c>
      <c r="C644" t="s">
        <v>1515</v>
      </c>
      <c r="E644">
        <v>0.1</v>
      </c>
      <c r="F644" t="s">
        <v>546</v>
      </c>
      <c r="G644" s="174">
        <v>45576.460914351854</v>
      </c>
    </row>
    <row r="645" spans="1:7">
      <c r="A645">
        <v>644</v>
      </c>
      <c r="B645" t="s">
        <v>1516</v>
      </c>
      <c r="C645" t="s">
        <v>1517</v>
      </c>
      <c r="E645">
        <v>0.01</v>
      </c>
      <c r="F645" t="s">
        <v>546</v>
      </c>
      <c r="G645" s="174">
        <v>45576.460914351854</v>
      </c>
    </row>
    <row r="646" spans="1:7">
      <c r="A646">
        <v>645</v>
      </c>
      <c r="B646" t="s">
        <v>1516</v>
      </c>
      <c r="C646" t="s">
        <v>1518</v>
      </c>
      <c r="E646">
        <v>0.01</v>
      </c>
      <c r="F646" t="s">
        <v>546</v>
      </c>
      <c r="G646" s="174">
        <v>45576.460914351854</v>
      </c>
    </row>
    <row r="647" spans="1:7">
      <c r="A647">
        <v>646</v>
      </c>
      <c r="B647" t="s">
        <v>1519</v>
      </c>
      <c r="C647" t="s">
        <v>1050</v>
      </c>
      <c r="E647">
        <v>0.01</v>
      </c>
      <c r="F647" t="s">
        <v>546</v>
      </c>
      <c r="G647" s="174">
        <v>45576.460914351854</v>
      </c>
    </row>
    <row r="648" spans="1:7">
      <c r="A648">
        <v>647</v>
      </c>
      <c r="B648" t="s">
        <v>1520</v>
      </c>
      <c r="C648" t="s">
        <v>972</v>
      </c>
      <c r="E648">
        <v>0.1</v>
      </c>
      <c r="F648" t="s">
        <v>546</v>
      </c>
      <c r="G648" s="174">
        <v>45576.460914351854</v>
      </c>
    </row>
    <row r="649" spans="1:7">
      <c r="A649">
        <v>648</v>
      </c>
      <c r="B649" t="s">
        <v>1521</v>
      </c>
      <c r="C649" t="s">
        <v>1116</v>
      </c>
      <c r="E649">
        <v>0.01</v>
      </c>
      <c r="F649" t="s">
        <v>546</v>
      </c>
      <c r="G649" s="174">
        <v>45576.460914351854</v>
      </c>
    </row>
    <row r="650" spans="1:7">
      <c r="A650">
        <v>649</v>
      </c>
      <c r="B650" t="s">
        <v>1522</v>
      </c>
      <c r="C650" t="s">
        <v>1523</v>
      </c>
      <c r="E650">
        <v>0.01</v>
      </c>
      <c r="F650" t="s">
        <v>546</v>
      </c>
      <c r="G650" s="174">
        <v>45576.460914351854</v>
      </c>
    </row>
    <row r="651" spans="1:7">
      <c r="A651">
        <v>650</v>
      </c>
      <c r="B651" t="s">
        <v>1524</v>
      </c>
      <c r="C651" t="s">
        <v>922</v>
      </c>
      <c r="E651">
        <v>0.01</v>
      </c>
      <c r="F651" t="s">
        <v>546</v>
      </c>
      <c r="G651" s="174">
        <v>45576.460914351854</v>
      </c>
    </row>
    <row r="652" spans="1:7">
      <c r="A652">
        <v>651</v>
      </c>
      <c r="B652" t="s">
        <v>1525</v>
      </c>
      <c r="C652" t="s">
        <v>1526</v>
      </c>
      <c r="E652">
        <v>0.01</v>
      </c>
      <c r="F652" t="s">
        <v>546</v>
      </c>
      <c r="G652" s="174">
        <v>45576.460914351854</v>
      </c>
    </row>
    <row r="653" spans="1:7">
      <c r="A653">
        <v>652</v>
      </c>
      <c r="B653" t="s">
        <v>1527</v>
      </c>
      <c r="C653" t="s">
        <v>1528</v>
      </c>
      <c r="E653">
        <v>0.01</v>
      </c>
      <c r="F653" t="s">
        <v>546</v>
      </c>
      <c r="G653" s="174">
        <v>45576.460914351854</v>
      </c>
    </row>
    <row r="654" spans="1:7">
      <c r="A654">
        <v>653</v>
      </c>
      <c r="B654" t="s">
        <v>1529</v>
      </c>
      <c r="C654" t="s">
        <v>577</v>
      </c>
      <c r="E654">
        <v>0.01</v>
      </c>
      <c r="F654" t="s">
        <v>546</v>
      </c>
      <c r="G654" s="174">
        <v>45576.460914351854</v>
      </c>
    </row>
    <row r="655" spans="1:7">
      <c r="A655">
        <v>654</v>
      </c>
      <c r="B655" t="s">
        <v>1530</v>
      </c>
      <c r="C655" t="s">
        <v>941</v>
      </c>
      <c r="E655">
        <v>0.01</v>
      </c>
      <c r="F655" t="s">
        <v>546</v>
      </c>
      <c r="G655" s="174">
        <v>45576.460914351854</v>
      </c>
    </row>
    <row r="656" spans="1:7">
      <c r="A656">
        <v>655</v>
      </c>
      <c r="B656" t="s">
        <v>1531</v>
      </c>
      <c r="C656" t="s">
        <v>1532</v>
      </c>
      <c r="E656">
        <v>0.01</v>
      </c>
      <c r="F656" t="s">
        <v>546</v>
      </c>
      <c r="G656" s="174">
        <v>45576.460914351854</v>
      </c>
    </row>
    <row r="657" spans="1:7">
      <c r="A657">
        <v>656</v>
      </c>
      <c r="B657" t="s">
        <v>1533</v>
      </c>
      <c r="C657" t="s">
        <v>1534</v>
      </c>
      <c r="E657">
        <v>0.8</v>
      </c>
      <c r="F657" t="s">
        <v>546</v>
      </c>
      <c r="G657" s="174">
        <v>45576.460914351854</v>
      </c>
    </row>
    <row r="658" spans="1:7">
      <c r="A658">
        <v>657</v>
      </c>
      <c r="B658" t="s">
        <v>1535</v>
      </c>
      <c r="C658" t="s">
        <v>1536</v>
      </c>
      <c r="E658">
        <v>0.01</v>
      </c>
      <c r="F658" t="s">
        <v>546</v>
      </c>
      <c r="G658" s="174">
        <v>45576.460914351854</v>
      </c>
    </row>
    <row r="659" spans="1:7">
      <c r="A659">
        <v>658</v>
      </c>
      <c r="B659" t="s">
        <v>1537</v>
      </c>
      <c r="C659" t="s">
        <v>1124</v>
      </c>
      <c r="E659">
        <v>0.01</v>
      </c>
      <c r="F659" t="s">
        <v>546</v>
      </c>
      <c r="G659" s="174">
        <v>45576.460914351854</v>
      </c>
    </row>
    <row r="660" spans="1:7">
      <c r="A660">
        <v>659</v>
      </c>
      <c r="B660" t="s">
        <v>1538</v>
      </c>
      <c r="C660" t="s">
        <v>1310</v>
      </c>
      <c r="E660">
        <v>0.01</v>
      </c>
      <c r="F660" t="s">
        <v>546</v>
      </c>
      <c r="G660" s="174">
        <v>45576.460914351854</v>
      </c>
    </row>
    <row r="661" spans="1:7">
      <c r="A661">
        <v>660</v>
      </c>
      <c r="B661" t="s">
        <v>1539</v>
      </c>
      <c r="C661" t="s">
        <v>777</v>
      </c>
      <c r="E661">
        <v>0.01</v>
      </c>
      <c r="F661" t="s">
        <v>546</v>
      </c>
      <c r="G661" s="174">
        <v>45576.460914351854</v>
      </c>
    </row>
    <row r="662" spans="1:7">
      <c r="A662">
        <v>661</v>
      </c>
      <c r="B662" t="s">
        <v>1540</v>
      </c>
      <c r="C662" t="s">
        <v>1523</v>
      </c>
      <c r="E662">
        <v>0.01</v>
      </c>
      <c r="F662" t="s">
        <v>546</v>
      </c>
      <c r="G662" s="174">
        <v>45576.460914351854</v>
      </c>
    </row>
    <row r="663" spans="1:7">
      <c r="A663">
        <v>662</v>
      </c>
      <c r="B663" t="s">
        <v>1541</v>
      </c>
      <c r="C663" t="s">
        <v>555</v>
      </c>
      <c r="E663">
        <v>0.01</v>
      </c>
      <c r="F663" t="s">
        <v>546</v>
      </c>
      <c r="G663" s="174">
        <v>45576.460914351854</v>
      </c>
    </row>
    <row r="664" spans="1:7">
      <c r="A664">
        <v>663</v>
      </c>
      <c r="B664" t="s">
        <v>1542</v>
      </c>
      <c r="C664" t="s">
        <v>1543</v>
      </c>
      <c r="E664">
        <v>0.1</v>
      </c>
      <c r="F664" t="s">
        <v>546</v>
      </c>
      <c r="G664" s="174">
        <v>45576.460914351854</v>
      </c>
    </row>
    <row r="665" spans="1:7">
      <c r="A665">
        <v>664</v>
      </c>
      <c r="B665" t="s">
        <v>1544</v>
      </c>
      <c r="C665" t="s">
        <v>1326</v>
      </c>
      <c r="E665">
        <v>0.1</v>
      </c>
      <c r="F665" t="s">
        <v>546</v>
      </c>
      <c r="G665" s="174">
        <v>45576.460914351854</v>
      </c>
    </row>
    <row r="666" spans="1:7">
      <c r="A666">
        <v>665</v>
      </c>
      <c r="B666" t="s">
        <v>1545</v>
      </c>
      <c r="C666" t="s">
        <v>1546</v>
      </c>
      <c r="E666">
        <v>0.1</v>
      </c>
      <c r="F666" t="s">
        <v>546</v>
      </c>
      <c r="G666" s="174">
        <v>45576.460914351854</v>
      </c>
    </row>
    <row r="667" spans="1:7">
      <c r="A667">
        <v>666</v>
      </c>
      <c r="B667" t="s">
        <v>1547</v>
      </c>
      <c r="C667" t="s">
        <v>1310</v>
      </c>
      <c r="E667">
        <v>0.01</v>
      </c>
      <c r="F667" t="s">
        <v>546</v>
      </c>
      <c r="G667" s="174">
        <v>45576.460914351854</v>
      </c>
    </row>
    <row r="668" spans="1:7">
      <c r="A668">
        <v>667</v>
      </c>
      <c r="B668" t="s">
        <v>1548</v>
      </c>
      <c r="C668" t="s">
        <v>1496</v>
      </c>
      <c r="E668">
        <v>0.01</v>
      </c>
      <c r="F668" t="s">
        <v>546</v>
      </c>
      <c r="G668" s="174">
        <v>45576.460914351854</v>
      </c>
    </row>
    <row r="669" spans="1:7">
      <c r="A669">
        <v>668</v>
      </c>
      <c r="B669" t="s">
        <v>1549</v>
      </c>
      <c r="C669" t="s">
        <v>1124</v>
      </c>
      <c r="E669">
        <v>0.01</v>
      </c>
      <c r="F669" t="s">
        <v>546</v>
      </c>
      <c r="G669" s="174">
        <v>45576.460914351854</v>
      </c>
    </row>
    <row r="670" spans="1:7">
      <c r="A670">
        <v>669</v>
      </c>
      <c r="B670" t="s">
        <v>1550</v>
      </c>
      <c r="C670" t="s">
        <v>1551</v>
      </c>
      <c r="E670">
        <v>0.01</v>
      </c>
      <c r="F670" t="s">
        <v>546</v>
      </c>
      <c r="G670" s="174">
        <v>45576.460914351854</v>
      </c>
    </row>
    <row r="671" spans="1:7">
      <c r="A671">
        <v>670</v>
      </c>
      <c r="B671" t="s">
        <v>1552</v>
      </c>
      <c r="C671" t="s">
        <v>718</v>
      </c>
      <c r="E671">
        <v>0.01</v>
      </c>
      <c r="F671" t="s">
        <v>546</v>
      </c>
      <c r="G671" s="174">
        <v>45576.460914351854</v>
      </c>
    </row>
    <row r="672" spans="1:7">
      <c r="A672">
        <v>671</v>
      </c>
      <c r="B672" t="s">
        <v>1553</v>
      </c>
      <c r="C672" t="s">
        <v>1554</v>
      </c>
      <c r="E672">
        <v>0.01</v>
      </c>
      <c r="F672" t="s">
        <v>546</v>
      </c>
      <c r="G672" s="174">
        <v>45576.460914351854</v>
      </c>
    </row>
    <row r="673" spans="1:7">
      <c r="A673">
        <v>672</v>
      </c>
      <c r="B673" t="s">
        <v>1555</v>
      </c>
      <c r="C673" t="s">
        <v>994</v>
      </c>
      <c r="E673">
        <v>0.01</v>
      </c>
      <c r="F673" t="s">
        <v>546</v>
      </c>
      <c r="G673" s="174">
        <v>45576.460914351854</v>
      </c>
    </row>
    <row r="674" spans="1:7">
      <c r="A674">
        <v>673</v>
      </c>
      <c r="B674" t="s">
        <v>1556</v>
      </c>
      <c r="C674" t="s">
        <v>1557</v>
      </c>
      <c r="E674">
        <v>0.01</v>
      </c>
      <c r="F674" t="s">
        <v>546</v>
      </c>
      <c r="G674" s="174">
        <v>45576.460914351854</v>
      </c>
    </row>
    <row r="675" spans="1:7">
      <c r="A675">
        <v>674</v>
      </c>
      <c r="B675" t="s">
        <v>1558</v>
      </c>
      <c r="C675" t="s">
        <v>1219</v>
      </c>
      <c r="E675">
        <v>0.6</v>
      </c>
      <c r="F675" t="s">
        <v>546</v>
      </c>
      <c r="G675" s="174">
        <v>45576.460914351854</v>
      </c>
    </row>
    <row r="676" spans="1:7">
      <c r="A676">
        <v>675</v>
      </c>
      <c r="B676" t="s">
        <v>1558</v>
      </c>
      <c r="C676" t="s">
        <v>726</v>
      </c>
      <c r="E676">
        <v>0.5</v>
      </c>
      <c r="F676" t="s">
        <v>546</v>
      </c>
      <c r="G676" s="174">
        <v>45576.460914351854</v>
      </c>
    </row>
    <row r="677" spans="1:7">
      <c r="A677">
        <v>676</v>
      </c>
      <c r="B677" t="s">
        <v>1558</v>
      </c>
      <c r="C677" t="s">
        <v>972</v>
      </c>
      <c r="E677">
        <v>0.8</v>
      </c>
      <c r="F677" t="s">
        <v>546</v>
      </c>
      <c r="G677" s="174">
        <v>45576.460914351854</v>
      </c>
    </row>
    <row r="678" spans="1:7">
      <c r="A678">
        <v>677</v>
      </c>
      <c r="B678" t="s">
        <v>1559</v>
      </c>
      <c r="C678" t="s">
        <v>1560</v>
      </c>
      <c r="E678">
        <v>0.01</v>
      </c>
      <c r="F678" t="s">
        <v>546</v>
      </c>
      <c r="G678" s="174">
        <v>45576.460914351854</v>
      </c>
    </row>
    <row r="679" spans="1:7">
      <c r="A679">
        <v>678</v>
      </c>
      <c r="B679" t="s">
        <v>1559</v>
      </c>
      <c r="C679" t="s">
        <v>1561</v>
      </c>
      <c r="E679">
        <v>0.01</v>
      </c>
      <c r="F679" t="s">
        <v>546</v>
      </c>
      <c r="G679" s="174">
        <v>45576.460914351854</v>
      </c>
    </row>
    <row r="680" spans="1:7">
      <c r="A680">
        <v>679</v>
      </c>
      <c r="B680" t="s">
        <v>1562</v>
      </c>
      <c r="C680" t="s">
        <v>971</v>
      </c>
      <c r="E680">
        <v>0.01</v>
      </c>
      <c r="F680" t="s">
        <v>546</v>
      </c>
      <c r="G680" s="174">
        <v>45576.460914351854</v>
      </c>
    </row>
    <row r="681" spans="1:7">
      <c r="A681">
        <v>680</v>
      </c>
      <c r="B681" t="s">
        <v>1563</v>
      </c>
      <c r="C681" t="s">
        <v>1564</v>
      </c>
      <c r="E681">
        <v>0.01</v>
      </c>
      <c r="F681" t="s">
        <v>546</v>
      </c>
      <c r="G681" s="174">
        <v>45576.460914351854</v>
      </c>
    </row>
    <row r="682" spans="1:7">
      <c r="A682">
        <v>681</v>
      </c>
      <c r="B682" t="s">
        <v>1565</v>
      </c>
      <c r="C682" t="s">
        <v>1566</v>
      </c>
      <c r="E682">
        <v>0.1</v>
      </c>
      <c r="F682" t="s">
        <v>546</v>
      </c>
      <c r="G682" s="174">
        <v>45576.460914351854</v>
      </c>
    </row>
    <row r="683" spans="1:7">
      <c r="A683">
        <v>682</v>
      </c>
      <c r="B683" t="s">
        <v>1567</v>
      </c>
      <c r="C683" t="s">
        <v>1568</v>
      </c>
      <c r="E683">
        <v>0.01</v>
      </c>
      <c r="F683" t="s">
        <v>546</v>
      </c>
      <c r="G683" s="174">
        <v>45576.460914351854</v>
      </c>
    </row>
    <row r="684" spans="1:7">
      <c r="A684">
        <v>683</v>
      </c>
      <c r="B684" t="s">
        <v>1569</v>
      </c>
      <c r="C684" t="s">
        <v>920</v>
      </c>
      <c r="E684">
        <v>0.1</v>
      </c>
      <c r="F684" t="s">
        <v>546</v>
      </c>
      <c r="G684" s="174">
        <v>45576.460914351854</v>
      </c>
    </row>
    <row r="685" spans="1:7">
      <c r="A685">
        <v>684</v>
      </c>
      <c r="B685" t="s">
        <v>1569</v>
      </c>
      <c r="C685" t="s">
        <v>1570</v>
      </c>
      <c r="E685">
        <v>0.05</v>
      </c>
      <c r="F685" t="s">
        <v>546</v>
      </c>
      <c r="G685" s="174">
        <v>45576.460914351854</v>
      </c>
    </row>
    <row r="686" spans="1:7">
      <c r="A686">
        <v>685</v>
      </c>
      <c r="B686" t="s">
        <v>1571</v>
      </c>
      <c r="C686" t="s">
        <v>1572</v>
      </c>
      <c r="E686">
        <v>0.01</v>
      </c>
      <c r="F686" t="s">
        <v>546</v>
      </c>
      <c r="G686" s="174">
        <v>45576.460914351854</v>
      </c>
    </row>
    <row r="687" spans="1:7">
      <c r="A687">
        <v>686</v>
      </c>
      <c r="B687" t="s">
        <v>1573</v>
      </c>
      <c r="C687" t="s">
        <v>1383</v>
      </c>
      <c r="E687">
        <v>0.01</v>
      </c>
      <c r="F687" t="s">
        <v>546</v>
      </c>
      <c r="G687" s="174">
        <v>45576.460914351854</v>
      </c>
    </row>
    <row r="688" spans="1:7">
      <c r="A688">
        <v>687</v>
      </c>
      <c r="B688" t="s">
        <v>1574</v>
      </c>
      <c r="C688" t="s">
        <v>964</v>
      </c>
      <c r="E688">
        <v>0.01</v>
      </c>
      <c r="F688" t="s">
        <v>546</v>
      </c>
      <c r="G688" s="174">
        <v>45576.460914351854</v>
      </c>
    </row>
    <row r="689" spans="1:7">
      <c r="A689">
        <v>688</v>
      </c>
      <c r="B689" t="s">
        <v>1575</v>
      </c>
      <c r="C689" t="s">
        <v>1349</v>
      </c>
      <c r="E689">
        <v>0.01</v>
      </c>
      <c r="F689" t="s">
        <v>546</v>
      </c>
      <c r="G689" s="174">
        <v>45576.460914351854</v>
      </c>
    </row>
    <row r="690" spans="1:7">
      <c r="A690">
        <v>689</v>
      </c>
      <c r="B690" t="s">
        <v>1576</v>
      </c>
      <c r="C690" t="s">
        <v>1577</v>
      </c>
      <c r="E690">
        <v>0.01</v>
      </c>
      <c r="F690" t="s">
        <v>546</v>
      </c>
      <c r="G690" s="174">
        <v>45576.460914351854</v>
      </c>
    </row>
    <row r="691" spans="1:7">
      <c r="A691">
        <v>690</v>
      </c>
      <c r="B691" t="s">
        <v>1578</v>
      </c>
      <c r="C691" t="s">
        <v>1139</v>
      </c>
      <c r="E691">
        <v>0.8</v>
      </c>
      <c r="F691" t="s">
        <v>546</v>
      </c>
      <c r="G691" s="174">
        <v>45576.460914351854</v>
      </c>
    </row>
    <row r="692" spans="1:7">
      <c r="A692">
        <v>691</v>
      </c>
      <c r="B692" t="s">
        <v>1579</v>
      </c>
      <c r="C692" t="s">
        <v>1528</v>
      </c>
      <c r="E692">
        <v>0.01</v>
      </c>
      <c r="F692" t="s">
        <v>546</v>
      </c>
      <c r="G692" s="174">
        <v>45576.460914351854</v>
      </c>
    </row>
    <row r="693" spans="1:7">
      <c r="A693">
        <v>692</v>
      </c>
      <c r="B693" t="s">
        <v>1580</v>
      </c>
      <c r="C693" t="s">
        <v>1581</v>
      </c>
      <c r="E693">
        <v>0.01</v>
      </c>
      <c r="F693" t="s">
        <v>546</v>
      </c>
      <c r="G693" s="174">
        <v>45576.460914351854</v>
      </c>
    </row>
    <row r="694" spans="1:7">
      <c r="A694">
        <v>693</v>
      </c>
      <c r="B694" t="s">
        <v>1580</v>
      </c>
      <c r="C694" t="s">
        <v>1582</v>
      </c>
      <c r="E694">
        <v>0.01</v>
      </c>
      <c r="F694" t="s">
        <v>546</v>
      </c>
      <c r="G694" s="174">
        <v>45576.460914351854</v>
      </c>
    </row>
    <row r="695" spans="1:7">
      <c r="A695">
        <v>694</v>
      </c>
      <c r="B695" t="s">
        <v>1580</v>
      </c>
      <c r="C695" t="s">
        <v>849</v>
      </c>
      <c r="E695">
        <v>0.01</v>
      </c>
      <c r="F695" t="s">
        <v>546</v>
      </c>
      <c r="G695" s="174">
        <v>45576.460914351854</v>
      </c>
    </row>
    <row r="696" spans="1:7">
      <c r="A696">
        <v>695</v>
      </c>
      <c r="B696" t="s">
        <v>1583</v>
      </c>
      <c r="C696" t="s">
        <v>817</v>
      </c>
      <c r="E696">
        <v>0.01</v>
      </c>
      <c r="F696" t="s">
        <v>546</v>
      </c>
      <c r="G696" s="174">
        <v>45576.460914351854</v>
      </c>
    </row>
    <row r="697" spans="1:7">
      <c r="A697">
        <v>696</v>
      </c>
      <c r="B697" t="s">
        <v>1584</v>
      </c>
      <c r="C697" t="s">
        <v>922</v>
      </c>
      <c r="E697">
        <v>0.01</v>
      </c>
      <c r="F697" t="s">
        <v>546</v>
      </c>
      <c r="G697" s="174">
        <v>45576.460914351854</v>
      </c>
    </row>
    <row r="698" spans="1:7">
      <c r="A698">
        <v>697</v>
      </c>
      <c r="B698" t="s">
        <v>1585</v>
      </c>
      <c r="C698" t="s">
        <v>1586</v>
      </c>
      <c r="E698">
        <v>0.01</v>
      </c>
      <c r="F698" t="s">
        <v>546</v>
      </c>
      <c r="G698" s="174">
        <v>45576.460914351854</v>
      </c>
    </row>
    <row r="699" spans="1:7">
      <c r="A699">
        <v>698</v>
      </c>
      <c r="B699" t="s">
        <v>1585</v>
      </c>
      <c r="C699" t="s">
        <v>1512</v>
      </c>
      <c r="E699">
        <v>0.1</v>
      </c>
      <c r="F699" t="s">
        <v>546</v>
      </c>
      <c r="G699" s="174">
        <v>45576.460914351854</v>
      </c>
    </row>
    <row r="700" spans="1:7">
      <c r="A700">
        <v>699</v>
      </c>
      <c r="B700" t="s">
        <v>1587</v>
      </c>
      <c r="C700" t="s">
        <v>1155</v>
      </c>
      <c r="E700">
        <v>0.01</v>
      </c>
      <c r="F700" t="s">
        <v>546</v>
      </c>
      <c r="G700" s="174">
        <v>45576.460914351854</v>
      </c>
    </row>
    <row r="701" spans="1:7">
      <c r="A701">
        <v>700</v>
      </c>
      <c r="B701" t="s">
        <v>1588</v>
      </c>
      <c r="C701" t="s">
        <v>1589</v>
      </c>
      <c r="E701">
        <v>0.01</v>
      </c>
      <c r="F701" t="s">
        <v>546</v>
      </c>
      <c r="G701" s="174">
        <v>45576.460914351854</v>
      </c>
    </row>
    <row r="702" spans="1:7">
      <c r="A702">
        <v>701</v>
      </c>
      <c r="B702" t="s">
        <v>1590</v>
      </c>
      <c r="C702" t="s">
        <v>1155</v>
      </c>
      <c r="E702">
        <v>0.01</v>
      </c>
      <c r="F702" t="s">
        <v>546</v>
      </c>
      <c r="G702" s="174">
        <v>45576.460914351854</v>
      </c>
    </row>
    <row r="703" spans="1:7">
      <c r="A703">
        <v>702</v>
      </c>
      <c r="B703" t="s">
        <v>1591</v>
      </c>
      <c r="C703" t="s">
        <v>672</v>
      </c>
      <c r="E703">
        <v>0.01</v>
      </c>
      <c r="F703" t="s">
        <v>546</v>
      </c>
      <c r="G703" s="174">
        <v>45576.460914351854</v>
      </c>
    </row>
    <row r="704" spans="1:7">
      <c r="A704">
        <v>703</v>
      </c>
      <c r="B704" t="s">
        <v>1592</v>
      </c>
      <c r="C704" t="s">
        <v>1361</v>
      </c>
      <c r="E704">
        <v>0.01</v>
      </c>
      <c r="F704" t="s">
        <v>546</v>
      </c>
      <c r="G704" s="174">
        <v>45576.460914351854</v>
      </c>
    </row>
    <row r="705" spans="1:7">
      <c r="A705">
        <v>704</v>
      </c>
      <c r="B705" t="s">
        <v>1593</v>
      </c>
      <c r="C705" t="s">
        <v>1594</v>
      </c>
      <c r="E705">
        <v>0.1</v>
      </c>
      <c r="F705" t="s">
        <v>546</v>
      </c>
      <c r="G705" s="174">
        <v>45576.460914351854</v>
      </c>
    </row>
    <row r="706" spans="1:7">
      <c r="A706">
        <v>705</v>
      </c>
      <c r="B706" t="s">
        <v>1595</v>
      </c>
      <c r="C706" t="s">
        <v>908</v>
      </c>
      <c r="E706">
        <v>0.01</v>
      </c>
      <c r="F706" t="s">
        <v>546</v>
      </c>
      <c r="G706" s="174">
        <v>45576.460914351854</v>
      </c>
    </row>
    <row r="707" spans="1:7">
      <c r="A707">
        <v>706</v>
      </c>
      <c r="B707" t="s">
        <v>1596</v>
      </c>
      <c r="C707" t="s">
        <v>1597</v>
      </c>
      <c r="E707">
        <v>0.01</v>
      </c>
      <c r="F707" t="s">
        <v>546</v>
      </c>
      <c r="G707" s="174">
        <v>45576.460914351854</v>
      </c>
    </row>
    <row r="708" spans="1:7">
      <c r="A708">
        <v>707</v>
      </c>
      <c r="B708" t="s">
        <v>1598</v>
      </c>
      <c r="C708" t="s">
        <v>1599</v>
      </c>
      <c r="E708">
        <v>0.01</v>
      </c>
      <c r="F708" t="s">
        <v>546</v>
      </c>
      <c r="G708" s="174">
        <v>45576.460914351854</v>
      </c>
    </row>
    <row r="709" spans="1:7">
      <c r="A709">
        <v>708</v>
      </c>
      <c r="B709" t="s">
        <v>1600</v>
      </c>
      <c r="C709" t="s">
        <v>1215</v>
      </c>
      <c r="E709">
        <v>0.01</v>
      </c>
      <c r="F709" t="s">
        <v>546</v>
      </c>
      <c r="G709" s="174">
        <v>45576.460914351854</v>
      </c>
    </row>
    <row r="710" spans="1:7">
      <c r="A710">
        <v>709</v>
      </c>
      <c r="B710" t="s">
        <v>1600</v>
      </c>
      <c r="C710" t="s">
        <v>1601</v>
      </c>
      <c r="E710">
        <v>0.01</v>
      </c>
      <c r="F710" t="s">
        <v>546</v>
      </c>
      <c r="G710" s="174">
        <v>45576.460914351854</v>
      </c>
    </row>
    <row r="711" spans="1:7">
      <c r="A711">
        <v>710</v>
      </c>
      <c r="B711" t="s">
        <v>1600</v>
      </c>
      <c r="C711" t="s">
        <v>751</v>
      </c>
      <c r="E711">
        <v>0.01</v>
      </c>
      <c r="F711" t="s">
        <v>546</v>
      </c>
      <c r="G711" s="174">
        <v>45576.460914351854</v>
      </c>
    </row>
    <row r="712" spans="1:7">
      <c r="A712">
        <v>711</v>
      </c>
      <c r="B712" t="s">
        <v>1602</v>
      </c>
      <c r="C712" t="s">
        <v>1603</v>
      </c>
      <c r="E712">
        <v>0.6</v>
      </c>
      <c r="F712" t="s">
        <v>1604</v>
      </c>
      <c r="G712" s="174">
        <v>45576.460914351854</v>
      </c>
    </row>
    <row r="713" spans="1:7">
      <c r="A713">
        <v>712</v>
      </c>
      <c r="B713" t="s">
        <v>1602</v>
      </c>
      <c r="C713" t="s">
        <v>1605</v>
      </c>
      <c r="E713">
        <v>0.8</v>
      </c>
      <c r="F713" t="s">
        <v>546</v>
      </c>
      <c r="G713" s="174">
        <v>45576.460914351854</v>
      </c>
    </row>
    <row r="714" spans="1:7">
      <c r="A714">
        <v>713</v>
      </c>
      <c r="B714" t="s">
        <v>1606</v>
      </c>
      <c r="C714" t="s">
        <v>1607</v>
      </c>
      <c r="E714">
        <v>0.01</v>
      </c>
      <c r="F714" t="s">
        <v>546</v>
      </c>
      <c r="G714" s="174">
        <v>45576.460914351854</v>
      </c>
    </row>
    <row r="715" spans="1:7">
      <c r="A715">
        <v>714</v>
      </c>
      <c r="B715" t="s">
        <v>1608</v>
      </c>
      <c r="C715" t="s">
        <v>1609</v>
      </c>
      <c r="E715">
        <v>0.01</v>
      </c>
      <c r="F715" t="s">
        <v>546</v>
      </c>
      <c r="G715" s="174">
        <v>45576.460914351854</v>
      </c>
    </row>
    <row r="716" spans="1:7">
      <c r="A716">
        <v>715</v>
      </c>
      <c r="B716" t="s">
        <v>1610</v>
      </c>
      <c r="C716" t="s">
        <v>1611</v>
      </c>
      <c r="E716">
        <v>0.01</v>
      </c>
      <c r="F716" t="s">
        <v>546</v>
      </c>
      <c r="G716" s="174">
        <v>45576.460914351854</v>
      </c>
    </row>
    <row r="717" spans="1:7">
      <c r="A717">
        <v>716</v>
      </c>
      <c r="B717" t="s">
        <v>1612</v>
      </c>
      <c r="C717" t="s">
        <v>1613</v>
      </c>
      <c r="E717">
        <v>0.01</v>
      </c>
      <c r="F717" t="s">
        <v>546</v>
      </c>
      <c r="G717" s="174">
        <v>45576.460914351854</v>
      </c>
    </row>
    <row r="718" spans="1:7">
      <c r="A718">
        <v>717</v>
      </c>
      <c r="B718" t="s">
        <v>1614</v>
      </c>
      <c r="C718" t="s">
        <v>1385</v>
      </c>
      <c r="E718">
        <v>0.1</v>
      </c>
      <c r="F718" t="s">
        <v>546</v>
      </c>
      <c r="G718" s="174">
        <v>45576.460914351854</v>
      </c>
    </row>
    <row r="719" spans="1:7">
      <c r="A719">
        <v>718</v>
      </c>
      <c r="B719" t="s">
        <v>1615</v>
      </c>
      <c r="C719" t="s">
        <v>1616</v>
      </c>
      <c r="E719">
        <v>0.01</v>
      </c>
      <c r="F719" t="s">
        <v>546</v>
      </c>
      <c r="G719" s="174">
        <v>45576.460914351854</v>
      </c>
    </row>
    <row r="720" spans="1:7">
      <c r="A720">
        <v>719</v>
      </c>
      <c r="B720" t="s">
        <v>1617</v>
      </c>
      <c r="C720" t="s">
        <v>625</v>
      </c>
      <c r="E720">
        <v>0.01</v>
      </c>
      <c r="F720" t="s">
        <v>546</v>
      </c>
      <c r="G720" s="174">
        <v>45576.460914351854</v>
      </c>
    </row>
    <row r="721" spans="1:7">
      <c r="A721">
        <v>720</v>
      </c>
      <c r="B721" t="s">
        <v>1618</v>
      </c>
      <c r="C721" t="s">
        <v>841</v>
      </c>
      <c r="E721">
        <v>0.01</v>
      </c>
      <c r="F721" t="s">
        <v>546</v>
      </c>
      <c r="G721" s="174">
        <v>45576.460914351854</v>
      </c>
    </row>
    <row r="722" spans="1:7">
      <c r="A722">
        <v>721</v>
      </c>
      <c r="B722" t="s">
        <v>1619</v>
      </c>
      <c r="C722" t="s">
        <v>1570</v>
      </c>
      <c r="E722">
        <v>0.01</v>
      </c>
      <c r="F722" t="s">
        <v>546</v>
      </c>
      <c r="G722" s="174">
        <v>45576.460914351854</v>
      </c>
    </row>
    <row r="723" spans="1:7">
      <c r="A723">
        <v>722</v>
      </c>
      <c r="B723" t="s">
        <v>1620</v>
      </c>
      <c r="C723" t="s">
        <v>1050</v>
      </c>
      <c r="E723">
        <v>0.01</v>
      </c>
      <c r="F723" t="s">
        <v>546</v>
      </c>
      <c r="G723" s="174">
        <v>45576.460914351854</v>
      </c>
    </row>
    <row r="724" spans="1:7">
      <c r="A724">
        <v>723</v>
      </c>
      <c r="B724" t="s">
        <v>1621</v>
      </c>
      <c r="C724" t="s">
        <v>936</v>
      </c>
      <c r="E724">
        <v>0.01</v>
      </c>
      <c r="F724" t="s">
        <v>546</v>
      </c>
      <c r="G724" s="174">
        <v>45576.460914351854</v>
      </c>
    </row>
    <row r="725" spans="1:7">
      <c r="A725">
        <v>724</v>
      </c>
      <c r="B725" t="s">
        <v>1622</v>
      </c>
      <c r="C725" t="s">
        <v>571</v>
      </c>
      <c r="E725">
        <v>0.01</v>
      </c>
      <c r="F725" t="s">
        <v>546</v>
      </c>
      <c r="G725" s="174">
        <v>45576.460914351854</v>
      </c>
    </row>
    <row r="726" spans="1:7">
      <c r="A726">
        <v>725</v>
      </c>
      <c r="B726" t="s">
        <v>1623</v>
      </c>
      <c r="C726" t="s">
        <v>726</v>
      </c>
      <c r="E726">
        <v>0.01</v>
      </c>
      <c r="F726" t="s">
        <v>546</v>
      </c>
      <c r="G726" s="174">
        <v>45576.460914351854</v>
      </c>
    </row>
    <row r="727" spans="1:7">
      <c r="A727">
        <v>726</v>
      </c>
      <c r="B727" t="s">
        <v>1624</v>
      </c>
      <c r="C727" t="s">
        <v>912</v>
      </c>
      <c r="E727">
        <v>0.01</v>
      </c>
      <c r="F727" t="s">
        <v>546</v>
      </c>
      <c r="G727" s="174">
        <v>45576.460914351854</v>
      </c>
    </row>
    <row r="728" spans="1:7">
      <c r="A728">
        <v>727</v>
      </c>
      <c r="B728" t="s">
        <v>1625</v>
      </c>
      <c r="C728" t="s">
        <v>1626</v>
      </c>
      <c r="E728">
        <v>0.01</v>
      </c>
      <c r="F728" t="s">
        <v>546</v>
      </c>
      <c r="G728" s="174">
        <v>45576.460914351854</v>
      </c>
    </row>
    <row r="729" spans="1:7">
      <c r="A729">
        <v>728</v>
      </c>
      <c r="B729" t="s">
        <v>1627</v>
      </c>
      <c r="C729" t="s">
        <v>1246</v>
      </c>
      <c r="E729">
        <v>0.01</v>
      </c>
      <c r="F729" t="s">
        <v>546</v>
      </c>
      <c r="G729" s="174">
        <v>45576.460914351854</v>
      </c>
    </row>
    <row r="730" spans="1:7">
      <c r="A730">
        <v>729</v>
      </c>
      <c r="B730" t="s">
        <v>1628</v>
      </c>
      <c r="C730" t="s">
        <v>1629</v>
      </c>
      <c r="E730">
        <v>0.01</v>
      </c>
      <c r="F730" t="s">
        <v>546</v>
      </c>
      <c r="G730" s="174">
        <v>45576.460914351854</v>
      </c>
    </row>
    <row r="731" spans="1:7">
      <c r="A731">
        <v>730</v>
      </c>
      <c r="B731" t="s">
        <v>1630</v>
      </c>
      <c r="C731" t="s">
        <v>820</v>
      </c>
      <c r="E731">
        <v>0.01</v>
      </c>
      <c r="F731" t="s">
        <v>546</v>
      </c>
      <c r="G731" s="174">
        <v>45576.460914351854</v>
      </c>
    </row>
    <row r="732" spans="1:7">
      <c r="A732">
        <v>731</v>
      </c>
      <c r="B732" t="s">
        <v>1631</v>
      </c>
      <c r="C732" t="s">
        <v>675</v>
      </c>
      <c r="E732">
        <v>0.01</v>
      </c>
      <c r="F732" t="s">
        <v>546</v>
      </c>
      <c r="G732" s="174">
        <v>45576.460914351854</v>
      </c>
    </row>
    <row r="733" spans="1:7">
      <c r="A733">
        <v>732</v>
      </c>
      <c r="B733" t="s">
        <v>1632</v>
      </c>
      <c r="C733" t="s">
        <v>571</v>
      </c>
      <c r="E733">
        <v>0.01</v>
      </c>
      <c r="F733" t="s">
        <v>546</v>
      </c>
      <c r="G733" s="174">
        <v>45576.460914351854</v>
      </c>
    </row>
    <row r="734" spans="1:7">
      <c r="A734">
        <v>733</v>
      </c>
      <c r="B734" t="s">
        <v>1633</v>
      </c>
      <c r="C734" t="s">
        <v>1634</v>
      </c>
      <c r="E734">
        <v>0.01</v>
      </c>
      <c r="F734" t="s">
        <v>546</v>
      </c>
      <c r="G734" s="174">
        <v>45576.460914351854</v>
      </c>
    </row>
    <row r="735" spans="1:7">
      <c r="A735">
        <v>734</v>
      </c>
      <c r="B735" t="s">
        <v>1635</v>
      </c>
      <c r="C735" t="s">
        <v>1636</v>
      </c>
      <c r="E735">
        <v>0.1</v>
      </c>
      <c r="F735" t="s">
        <v>546</v>
      </c>
      <c r="G735" s="174">
        <v>45576.460914351854</v>
      </c>
    </row>
    <row r="736" spans="1:7">
      <c r="A736">
        <v>735</v>
      </c>
      <c r="B736" t="s">
        <v>1637</v>
      </c>
      <c r="C736" t="s">
        <v>1638</v>
      </c>
      <c r="E736">
        <v>0.01</v>
      </c>
      <c r="F736" t="s">
        <v>546</v>
      </c>
      <c r="G736" s="174">
        <v>45576.460914351854</v>
      </c>
    </row>
    <row r="737" spans="1:7">
      <c r="A737">
        <v>736</v>
      </c>
      <c r="B737" t="s">
        <v>1637</v>
      </c>
      <c r="C737" t="s">
        <v>1639</v>
      </c>
      <c r="E737">
        <v>0.01</v>
      </c>
      <c r="F737" t="s">
        <v>546</v>
      </c>
      <c r="G737" s="174">
        <v>45576.460914351854</v>
      </c>
    </row>
    <row r="738" spans="1:7">
      <c r="A738">
        <v>737</v>
      </c>
      <c r="B738" t="s">
        <v>1640</v>
      </c>
      <c r="C738" t="s">
        <v>1594</v>
      </c>
      <c r="E738">
        <v>0.01</v>
      </c>
      <c r="F738" t="s">
        <v>546</v>
      </c>
      <c r="G738" s="174">
        <v>45576.460914351854</v>
      </c>
    </row>
    <row r="739" spans="1:7">
      <c r="A739">
        <v>738</v>
      </c>
      <c r="B739" t="s">
        <v>1641</v>
      </c>
      <c r="C739" t="s">
        <v>861</v>
      </c>
      <c r="E739">
        <v>0.01</v>
      </c>
      <c r="F739" t="s">
        <v>546</v>
      </c>
      <c r="G739" s="174">
        <v>45576.460914351854</v>
      </c>
    </row>
    <row r="740" spans="1:7">
      <c r="A740">
        <v>739</v>
      </c>
      <c r="B740" t="s">
        <v>1642</v>
      </c>
      <c r="C740" t="s">
        <v>1353</v>
      </c>
      <c r="E740">
        <v>0.01</v>
      </c>
      <c r="F740" t="s">
        <v>546</v>
      </c>
      <c r="G740" s="174">
        <v>45576.460914351854</v>
      </c>
    </row>
    <row r="741" spans="1:7">
      <c r="A741">
        <v>740</v>
      </c>
      <c r="B741" t="s">
        <v>1643</v>
      </c>
      <c r="C741" t="s">
        <v>1644</v>
      </c>
      <c r="E741">
        <v>0.01</v>
      </c>
      <c r="F741" t="s">
        <v>546</v>
      </c>
      <c r="G741" s="174">
        <v>45576.460914351854</v>
      </c>
    </row>
    <row r="742" spans="1:7">
      <c r="A742">
        <v>741</v>
      </c>
      <c r="B742" t="s">
        <v>1645</v>
      </c>
      <c r="C742" t="s">
        <v>1235</v>
      </c>
      <c r="E742">
        <v>0.1</v>
      </c>
      <c r="F742" t="s">
        <v>546</v>
      </c>
      <c r="G742" s="174">
        <v>45576.460914351854</v>
      </c>
    </row>
    <row r="743" spans="1:7">
      <c r="A743">
        <v>742</v>
      </c>
      <c r="B743" t="s">
        <v>1646</v>
      </c>
      <c r="C743" t="s">
        <v>1647</v>
      </c>
      <c r="E743">
        <v>0.7</v>
      </c>
      <c r="F743" t="s">
        <v>546</v>
      </c>
      <c r="G743" s="174">
        <v>45576.460914351854</v>
      </c>
    </row>
    <row r="744" spans="1:7">
      <c r="A744">
        <v>743</v>
      </c>
      <c r="B744" t="s">
        <v>1648</v>
      </c>
      <c r="C744" t="s">
        <v>1616</v>
      </c>
      <c r="E744">
        <v>0.1</v>
      </c>
      <c r="F744" t="s">
        <v>546</v>
      </c>
      <c r="G744" s="174">
        <v>45576.460914351854</v>
      </c>
    </row>
    <row r="745" spans="1:7">
      <c r="A745">
        <v>744</v>
      </c>
      <c r="B745" t="s">
        <v>1648</v>
      </c>
      <c r="C745" t="s">
        <v>773</v>
      </c>
      <c r="E745">
        <v>0.01</v>
      </c>
      <c r="F745" t="s">
        <v>546</v>
      </c>
      <c r="G745" s="174">
        <v>45576.460914351854</v>
      </c>
    </row>
    <row r="746" spans="1:7">
      <c r="A746">
        <v>745</v>
      </c>
      <c r="B746" t="s">
        <v>1649</v>
      </c>
      <c r="C746" t="s">
        <v>622</v>
      </c>
      <c r="E746">
        <v>0.01</v>
      </c>
      <c r="F746" t="s">
        <v>546</v>
      </c>
      <c r="G746" s="174">
        <v>45576.460914351854</v>
      </c>
    </row>
    <row r="747" spans="1:7">
      <c r="A747">
        <v>746</v>
      </c>
      <c r="B747" t="s">
        <v>1650</v>
      </c>
      <c r="C747" t="s">
        <v>1361</v>
      </c>
      <c r="E747">
        <v>0.01</v>
      </c>
      <c r="F747" t="s">
        <v>546</v>
      </c>
      <c r="G747" s="174">
        <v>45576.460914351854</v>
      </c>
    </row>
    <row r="748" spans="1:7">
      <c r="A748">
        <v>747</v>
      </c>
      <c r="B748" t="s">
        <v>1651</v>
      </c>
      <c r="C748" t="s">
        <v>1652</v>
      </c>
      <c r="E748">
        <v>0.8</v>
      </c>
      <c r="F748" t="s">
        <v>546</v>
      </c>
      <c r="G748" s="174">
        <v>45576.460914351854</v>
      </c>
    </row>
    <row r="749" spans="1:7">
      <c r="A749">
        <v>748</v>
      </c>
      <c r="B749" t="s">
        <v>1653</v>
      </c>
      <c r="C749" t="s">
        <v>1127</v>
      </c>
      <c r="E749">
        <v>0.5</v>
      </c>
      <c r="F749" t="s">
        <v>546</v>
      </c>
      <c r="G749" s="174">
        <v>45576.460914351854</v>
      </c>
    </row>
    <row r="750" spans="1:7">
      <c r="A750">
        <v>749</v>
      </c>
      <c r="B750" t="s">
        <v>1654</v>
      </c>
      <c r="C750" t="s">
        <v>1655</v>
      </c>
      <c r="E750">
        <v>0.1</v>
      </c>
      <c r="F750" t="s">
        <v>546</v>
      </c>
      <c r="G750" s="174">
        <v>45576.460914351854</v>
      </c>
    </row>
    <row r="751" spans="1:7">
      <c r="A751">
        <v>750</v>
      </c>
      <c r="B751" t="s">
        <v>1656</v>
      </c>
      <c r="C751" t="s">
        <v>1080</v>
      </c>
      <c r="E751">
        <v>0.1</v>
      </c>
      <c r="F751" t="s">
        <v>546</v>
      </c>
      <c r="G751" s="174">
        <v>45576.460914351854</v>
      </c>
    </row>
    <row r="752" spans="1:7">
      <c r="A752">
        <v>751</v>
      </c>
      <c r="B752" t="s">
        <v>1656</v>
      </c>
      <c r="C752" t="s">
        <v>1657</v>
      </c>
      <c r="E752">
        <v>0.01</v>
      </c>
      <c r="F752" t="s">
        <v>546</v>
      </c>
      <c r="G752" s="174">
        <v>45576.460914351854</v>
      </c>
    </row>
    <row r="753" spans="1:7">
      <c r="A753">
        <v>752</v>
      </c>
      <c r="B753" t="s">
        <v>1658</v>
      </c>
      <c r="C753" t="s">
        <v>1659</v>
      </c>
      <c r="E753">
        <v>0.01</v>
      </c>
      <c r="F753" t="s">
        <v>546</v>
      </c>
      <c r="G753" s="174">
        <v>45576.460914351854</v>
      </c>
    </row>
    <row r="754" spans="1:7">
      <c r="A754">
        <v>753</v>
      </c>
      <c r="B754" t="s">
        <v>1660</v>
      </c>
      <c r="C754" t="s">
        <v>1661</v>
      </c>
      <c r="E754">
        <v>0.01</v>
      </c>
      <c r="F754" t="s">
        <v>546</v>
      </c>
      <c r="G754" s="174">
        <v>45576.460914351854</v>
      </c>
    </row>
    <row r="755" spans="1:7">
      <c r="A755">
        <v>754</v>
      </c>
      <c r="B755" t="s">
        <v>1660</v>
      </c>
      <c r="C755" t="s">
        <v>1229</v>
      </c>
      <c r="E755">
        <v>0.01</v>
      </c>
      <c r="F755" t="s">
        <v>546</v>
      </c>
      <c r="G755" s="174">
        <v>45576.460914351854</v>
      </c>
    </row>
    <row r="756" spans="1:7">
      <c r="A756">
        <v>755</v>
      </c>
      <c r="B756" t="s">
        <v>1662</v>
      </c>
      <c r="C756" t="s">
        <v>1663</v>
      </c>
      <c r="E756">
        <v>0.01</v>
      </c>
      <c r="F756" t="s">
        <v>546</v>
      </c>
      <c r="G756" s="174">
        <v>45576.460914351854</v>
      </c>
    </row>
    <row r="757" spans="1:7">
      <c r="A757">
        <v>756</v>
      </c>
      <c r="B757" t="s">
        <v>1664</v>
      </c>
      <c r="C757" t="s">
        <v>675</v>
      </c>
      <c r="E757">
        <v>0.01</v>
      </c>
      <c r="F757" t="s">
        <v>546</v>
      </c>
      <c r="G757" s="174">
        <v>45576.460914351854</v>
      </c>
    </row>
    <row r="758" spans="1:7">
      <c r="A758">
        <v>757</v>
      </c>
      <c r="B758" t="s">
        <v>1665</v>
      </c>
      <c r="C758" t="s">
        <v>791</v>
      </c>
      <c r="E758">
        <v>0.01</v>
      </c>
      <c r="F758" t="s">
        <v>546</v>
      </c>
      <c r="G758" s="174">
        <v>45576.460914351854</v>
      </c>
    </row>
    <row r="759" spans="1:7">
      <c r="A759">
        <v>758</v>
      </c>
      <c r="B759" t="s">
        <v>1666</v>
      </c>
      <c r="C759" t="s">
        <v>1667</v>
      </c>
      <c r="E759">
        <v>0.01</v>
      </c>
      <c r="F759" t="s">
        <v>546</v>
      </c>
      <c r="G759" s="174">
        <v>45576.460914351854</v>
      </c>
    </row>
    <row r="760" spans="1:7">
      <c r="A760">
        <v>759</v>
      </c>
      <c r="B760" t="s">
        <v>1668</v>
      </c>
      <c r="C760" t="s">
        <v>1669</v>
      </c>
      <c r="E760">
        <v>0.05</v>
      </c>
      <c r="F760" t="s">
        <v>546</v>
      </c>
      <c r="G760" s="174">
        <v>45576.460914351854</v>
      </c>
    </row>
    <row r="761" spans="1:7">
      <c r="A761">
        <v>760</v>
      </c>
      <c r="B761" t="s">
        <v>1670</v>
      </c>
      <c r="C761" t="s">
        <v>1047</v>
      </c>
      <c r="E761">
        <v>0.01</v>
      </c>
      <c r="F761" t="s">
        <v>546</v>
      </c>
      <c r="G761" s="174">
        <v>45576.460914351854</v>
      </c>
    </row>
    <row r="762" spans="1:7">
      <c r="A762">
        <v>761</v>
      </c>
      <c r="B762" t="s">
        <v>1671</v>
      </c>
      <c r="C762" t="s">
        <v>1672</v>
      </c>
      <c r="E762">
        <v>0.1</v>
      </c>
      <c r="F762" t="s">
        <v>546</v>
      </c>
      <c r="G762" s="174">
        <v>45576.460914351854</v>
      </c>
    </row>
    <row r="763" spans="1:7">
      <c r="A763">
        <v>762</v>
      </c>
      <c r="B763" t="s">
        <v>1673</v>
      </c>
      <c r="C763" t="s">
        <v>1674</v>
      </c>
      <c r="E763">
        <v>0.01</v>
      </c>
      <c r="F763" t="s">
        <v>546</v>
      </c>
      <c r="G763" s="174">
        <v>45576.460914351854</v>
      </c>
    </row>
    <row r="764" spans="1:7">
      <c r="A764">
        <v>763</v>
      </c>
      <c r="B764" t="s">
        <v>1673</v>
      </c>
      <c r="C764" t="s">
        <v>1675</v>
      </c>
      <c r="E764">
        <v>0.05</v>
      </c>
      <c r="F764" t="s">
        <v>546</v>
      </c>
      <c r="G764" s="174">
        <v>45576.460914351854</v>
      </c>
    </row>
    <row r="765" spans="1:7">
      <c r="A765">
        <v>764</v>
      </c>
      <c r="B765" t="s">
        <v>1676</v>
      </c>
      <c r="C765" t="s">
        <v>1677</v>
      </c>
      <c r="E765">
        <v>0.01</v>
      </c>
      <c r="F765" t="s">
        <v>546</v>
      </c>
      <c r="G765" s="174">
        <v>45576.460914351854</v>
      </c>
    </row>
    <row r="766" spans="1:7">
      <c r="A766">
        <v>765</v>
      </c>
      <c r="B766" t="s">
        <v>1678</v>
      </c>
      <c r="C766" t="s">
        <v>1679</v>
      </c>
      <c r="E766">
        <v>0.01</v>
      </c>
      <c r="F766" t="s">
        <v>546</v>
      </c>
      <c r="G766" s="174">
        <v>45576.460914351854</v>
      </c>
    </row>
    <row r="767" spans="1:7">
      <c r="A767">
        <v>766</v>
      </c>
      <c r="B767" t="s">
        <v>1680</v>
      </c>
      <c r="C767" t="s">
        <v>585</v>
      </c>
      <c r="E767">
        <v>0.1</v>
      </c>
      <c r="F767" t="s">
        <v>546</v>
      </c>
      <c r="G767" s="174">
        <v>45576.460914351854</v>
      </c>
    </row>
    <row r="768" spans="1:7">
      <c r="A768">
        <v>767</v>
      </c>
      <c r="B768" t="s">
        <v>1681</v>
      </c>
      <c r="C768" t="s">
        <v>1223</v>
      </c>
      <c r="E768">
        <v>0.01</v>
      </c>
      <c r="F768" t="s">
        <v>546</v>
      </c>
      <c r="G768" s="174">
        <v>45576.460914351854</v>
      </c>
    </row>
    <row r="769" spans="1:7">
      <c r="A769">
        <v>768</v>
      </c>
      <c r="B769" t="s">
        <v>1682</v>
      </c>
      <c r="C769" t="s">
        <v>1683</v>
      </c>
      <c r="E769">
        <v>0.01</v>
      </c>
      <c r="F769" t="s">
        <v>546</v>
      </c>
      <c r="G769" s="174">
        <v>45576.460914351854</v>
      </c>
    </row>
    <row r="770" spans="1:7">
      <c r="A770">
        <v>769</v>
      </c>
      <c r="B770" t="s">
        <v>1684</v>
      </c>
      <c r="C770" t="s">
        <v>1685</v>
      </c>
      <c r="E770">
        <v>0.01</v>
      </c>
      <c r="F770" t="s">
        <v>546</v>
      </c>
      <c r="G770" s="174">
        <v>45576.460914351854</v>
      </c>
    </row>
    <row r="771" spans="1:7">
      <c r="A771">
        <v>770</v>
      </c>
      <c r="B771" t="s">
        <v>1686</v>
      </c>
      <c r="C771" t="s">
        <v>1687</v>
      </c>
      <c r="E771">
        <v>0.01</v>
      </c>
      <c r="F771" t="s">
        <v>546</v>
      </c>
      <c r="G771" s="174">
        <v>45576.460914351854</v>
      </c>
    </row>
    <row r="772" spans="1:7">
      <c r="A772">
        <v>771</v>
      </c>
      <c r="B772" t="s">
        <v>1688</v>
      </c>
      <c r="C772" t="s">
        <v>817</v>
      </c>
      <c r="E772">
        <v>0.01</v>
      </c>
      <c r="F772" t="s">
        <v>546</v>
      </c>
      <c r="G772" s="174">
        <v>45576.460914351854</v>
      </c>
    </row>
    <row r="773" spans="1:7">
      <c r="A773">
        <v>772</v>
      </c>
      <c r="B773" t="s">
        <v>1689</v>
      </c>
      <c r="C773" t="s">
        <v>959</v>
      </c>
      <c r="E773">
        <v>0.01</v>
      </c>
      <c r="F773" t="s">
        <v>546</v>
      </c>
      <c r="G773" s="174">
        <v>45576.460914351854</v>
      </c>
    </row>
    <row r="774" spans="1:7">
      <c r="A774">
        <v>773</v>
      </c>
      <c r="B774" t="s">
        <v>1690</v>
      </c>
      <c r="C774" t="s">
        <v>1659</v>
      </c>
      <c r="E774">
        <v>0.01</v>
      </c>
      <c r="F774" t="s">
        <v>546</v>
      </c>
      <c r="G774" s="174">
        <v>45576.460914351854</v>
      </c>
    </row>
    <row r="775" spans="1:7">
      <c r="A775">
        <v>774</v>
      </c>
      <c r="B775" t="s">
        <v>1691</v>
      </c>
      <c r="C775" t="s">
        <v>978</v>
      </c>
      <c r="E775">
        <v>0.01</v>
      </c>
      <c r="F775" t="s">
        <v>546</v>
      </c>
      <c r="G775" s="174">
        <v>45576.460914351854</v>
      </c>
    </row>
    <row r="776" spans="1:7">
      <c r="A776">
        <v>775</v>
      </c>
      <c r="B776" t="s">
        <v>1692</v>
      </c>
      <c r="C776" t="s">
        <v>793</v>
      </c>
      <c r="E776">
        <v>0.01</v>
      </c>
      <c r="F776" t="s">
        <v>546</v>
      </c>
      <c r="G776" s="174">
        <v>45576.460914351854</v>
      </c>
    </row>
    <row r="777" spans="1:7">
      <c r="A777">
        <v>776</v>
      </c>
      <c r="B777" t="s">
        <v>1693</v>
      </c>
      <c r="C777" t="s">
        <v>1694</v>
      </c>
      <c r="E777">
        <v>0.01</v>
      </c>
      <c r="F777" t="s">
        <v>546</v>
      </c>
      <c r="G777" s="174">
        <v>45576.460914351854</v>
      </c>
    </row>
    <row r="778" spans="1:7">
      <c r="A778">
        <v>777</v>
      </c>
      <c r="B778" t="s">
        <v>1693</v>
      </c>
      <c r="C778" t="s">
        <v>863</v>
      </c>
      <c r="E778">
        <v>0.01</v>
      </c>
      <c r="F778" t="s">
        <v>546</v>
      </c>
      <c r="G778" s="174">
        <v>45576.460914351854</v>
      </c>
    </row>
    <row r="779" spans="1:7">
      <c r="A779">
        <v>778</v>
      </c>
      <c r="B779" t="s">
        <v>1695</v>
      </c>
      <c r="C779" t="s">
        <v>922</v>
      </c>
      <c r="E779">
        <v>0.01</v>
      </c>
      <c r="F779" t="s">
        <v>546</v>
      </c>
      <c r="G779" s="174">
        <v>45576.460914351854</v>
      </c>
    </row>
    <row r="780" spans="1:7">
      <c r="A780">
        <v>779</v>
      </c>
      <c r="B780" t="s">
        <v>1696</v>
      </c>
      <c r="C780" t="s">
        <v>906</v>
      </c>
      <c r="E780">
        <v>0.01</v>
      </c>
      <c r="F780" t="s">
        <v>546</v>
      </c>
      <c r="G780" s="174">
        <v>45576.460914351854</v>
      </c>
    </row>
    <row r="781" spans="1:7">
      <c r="A781">
        <v>780</v>
      </c>
      <c r="B781" t="s">
        <v>1697</v>
      </c>
      <c r="C781" t="s">
        <v>679</v>
      </c>
      <c r="E781">
        <v>0.05</v>
      </c>
      <c r="F781" t="s">
        <v>546</v>
      </c>
      <c r="G781" s="174">
        <v>45576.460914351854</v>
      </c>
    </row>
    <row r="782" spans="1:7">
      <c r="A782">
        <v>781</v>
      </c>
      <c r="B782" t="s">
        <v>1698</v>
      </c>
      <c r="C782" t="s">
        <v>1699</v>
      </c>
      <c r="E782">
        <v>0.01</v>
      </c>
      <c r="F782" t="s">
        <v>546</v>
      </c>
      <c r="G782" s="174">
        <v>45576.460914351854</v>
      </c>
    </row>
    <row r="783" spans="1:7">
      <c r="A783">
        <v>782</v>
      </c>
      <c r="B783" t="s">
        <v>1700</v>
      </c>
      <c r="C783" t="s">
        <v>1038</v>
      </c>
      <c r="E783">
        <v>0.01</v>
      </c>
      <c r="F783" t="s">
        <v>546</v>
      </c>
      <c r="G783" s="174">
        <v>45576.460914351854</v>
      </c>
    </row>
    <row r="784" spans="1:7">
      <c r="A784">
        <v>783</v>
      </c>
      <c r="B784" t="s">
        <v>1701</v>
      </c>
      <c r="C784" t="s">
        <v>1702</v>
      </c>
      <c r="E784">
        <v>0.01</v>
      </c>
      <c r="F784" t="s">
        <v>546</v>
      </c>
      <c r="G784" s="174">
        <v>45576.460914351854</v>
      </c>
    </row>
    <row r="785" spans="1:7">
      <c r="A785">
        <v>784</v>
      </c>
      <c r="B785" t="s">
        <v>1703</v>
      </c>
      <c r="C785" t="s">
        <v>1704</v>
      </c>
      <c r="E785">
        <v>0.01</v>
      </c>
      <c r="F785" t="s">
        <v>546</v>
      </c>
      <c r="G785" s="174">
        <v>45576.460914351854</v>
      </c>
    </row>
    <row r="786" spans="1:7">
      <c r="A786">
        <v>785</v>
      </c>
      <c r="B786" t="s">
        <v>1703</v>
      </c>
      <c r="C786" t="s">
        <v>1226</v>
      </c>
      <c r="E786">
        <v>0.01</v>
      </c>
      <c r="F786" t="s">
        <v>546</v>
      </c>
      <c r="G786" s="174">
        <v>45576.460914351854</v>
      </c>
    </row>
    <row r="787" spans="1:7">
      <c r="A787">
        <v>786</v>
      </c>
      <c r="B787" t="s">
        <v>1705</v>
      </c>
      <c r="C787" t="s">
        <v>698</v>
      </c>
      <c r="E787">
        <v>0.01</v>
      </c>
      <c r="F787" t="s">
        <v>546</v>
      </c>
      <c r="G787" s="174">
        <v>45576.460914351854</v>
      </c>
    </row>
    <row r="788" spans="1:7">
      <c r="A788">
        <v>787</v>
      </c>
      <c r="B788" t="s">
        <v>1706</v>
      </c>
      <c r="C788" t="s">
        <v>1277</v>
      </c>
      <c r="E788">
        <v>0.01</v>
      </c>
      <c r="F788" t="s">
        <v>546</v>
      </c>
      <c r="G788" s="174">
        <v>45576.460914351854</v>
      </c>
    </row>
    <row r="789" spans="1:7">
      <c r="A789">
        <v>788</v>
      </c>
      <c r="B789" t="s">
        <v>1707</v>
      </c>
      <c r="C789" t="s">
        <v>1708</v>
      </c>
      <c r="E789">
        <v>0.01</v>
      </c>
      <c r="F789" t="s">
        <v>546</v>
      </c>
      <c r="G789" s="174">
        <v>45576.460914351854</v>
      </c>
    </row>
    <row r="790" spans="1:7">
      <c r="A790">
        <v>789</v>
      </c>
      <c r="B790" t="s">
        <v>1707</v>
      </c>
      <c r="C790" t="s">
        <v>1709</v>
      </c>
      <c r="E790">
        <v>0.01</v>
      </c>
      <c r="F790" t="s">
        <v>546</v>
      </c>
      <c r="G790" s="174">
        <v>45576.460914351854</v>
      </c>
    </row>
    <row r="791" spans="1:7">
      <c r="A791">
        <v>790</v>
      </c>
      <c r="B791" t="s">
        <v>1710</v>
      </c>
      <c r="C791" t="s">
        <v>1711</v>
      </c>
      <c r="E791">
        <v>0.01</v>
      </c>
      <c r="F791" t="s">
        <v>546</v>
      </c>
      <c r="G791" s="174">
        <v>45576.460914351854</v>
      </c>
    </row>
    <row r="792" spans="1:7">
      <c r="A792">
        <v>791</v>
      </c>
      <c r="B792" t="s">
        <v>1712</v>
      </c>
      <c r="C792" t="s">
        <v>1711</v>
      </c>
      <c r="E792">
        <v>0.01</v>
      </c>
      <c r="F792" t="s">
        <v>546</v>
      </c>
      <c r="G792" s="174">
        <v>45576.460914351854</v>
      </c>
    </row>
    <row r="793" spans="1:7">
      <c r="A793">
        <v>792</v>
      </c>
      <c r="B793" t="s">
        <v>1713</v>
      </c>
      <c r="C793" t="s">
        <v>1118</v>
      </c>
      <c r="E793">
        <v>0.01</v>
      </c>
      <c r="F793" t="s">
        <v>546</v>
      </c>
      <c r="G793" s="174">
        <v>45576.460914351854</v>
      </c>
    </row>
    <row r="794" spans="1:7">
      <c r="A794">
        <v>793</v>
      </c>
      <c r="B794" t="s">
        <v>1714</v>
      </c>
      <c r="C794" t="s">
        <v>906</v>
      </c>
      <c r="E794">
        <v>0.01</v>
      </c>
      <c r="F794" t="s">
        <v>546</v>
      </c>
      <c r="G794" s="174">
        <v>45576.460914351854</v>
      </c>
    </row>
    <row r="795" spans="1:7">
      <c r="A795">
        <v>794</v>
      </c>
      <c r="B795" t="s">
        <v>1715</v>
      </c>
      <c r="C795" t="s">
        <v>1716</v>
      </c>
      <c r="E795">
        <v>0.01</v>
      </c>
      <c r="F795" t="s">
        <v>546</v>
      </c>
      <c r="G795" s="174">
        <v>45576.460914351854</v>
      </c>
    </row>
    <row r="796" spans="1:7">
      <c r="A796">
        <v>795</v>
      </c>
      <c r="B796" t="s">
        <v>1717</v>
      </c>
      <c r="C796" t="s">
        <v>1058</v>
      </c>
      <c r="E796">
        <v>0.01</v>
      </c>
      <c r="F796" t="s">
        <v>546</v>
      </c>
      <c r="G796" s="174">
        <v>45576.460914351854</v>
      </c>
    </row>
    <row r="797" spans="1:7">
      <c r="A797">
        <v>796</v>
      </c>
      <c r="B797" t="s">
        <v>1718</v>
      </c>
      <c r="C797" t="s">
        <v>763</v>
      </c>
      <c r="E797">
        <v>0.6</v>
      </c>
      <c r="F797" t="s">
        <v>546</v>
      </c>
      <c r="G797" s="174">
        <v>45576.460914351854</v>
      </c>
    </row>
    <row r="798" spans="1:7">
      <c r="A798">
        <v>797</v>
      </c>
      <c r="B798" t="s">
        <v>1718</v>
      </c>
      <c r="C798" t="s">
        <v>1719</v>
      </c>
      <c r="E798">
        <v>0.8</v>
      </c>
      <c r="F798" t="s">
        <v>546</v>
      </c>
      <c r="G798" s="174">
        <v>45576.460914351854</v>
      </c>
    </row>
    <row r="799" spans="1:7">
      <c r="A799">
        <v>798</v>
      </c>
      <c r="B799" t="s">
        <v>1718</v>
      </c>
      <c r="C799" t="s">
        <v>1720</v>
      </c>
      <c r="E799">
        <v>0.1</v>
      </c>
      <c r="F799" t="s">
        <v>1721</v>
      </c>
      <c r="G799" s="174">
        <v>45576.460914351854</v>
      </c>
    </row>
    <row r="800" spans="1:7">
      <c r="A800">
        <v>799</v>
      </c>
      <c r="B800" t="s">
        <v>1722</v>
      </c>
      <c r="C800" t="s">
        <v>1597</v>
      </c>
      <c r="E800">
        <v>0.7</v>
      </c>
      <c r="F800" t="s">
        <v>546</v>
      </c>
      <c r="G800" s="174">
        <v>45576.460914351854</v>
      </c>
    </row>
    <row r="801" spans="1:7">
      <c r="A801">
        <v>800</v>
      </c>
      <c r="B801" t="s">
        <v>1722</v>
      </c>
      <c r="C801" t="s">
        <v>791</v>
      </c>
      <c r="E801">
        <v>0.8</v>
      </c>
      <c r="F801" t="s">
        <v>546</v>
      </c>
      <c r="G801" s="174">
        <v>45576.460914351854</v>
      </c>
    </row>
    <row r="802" spans="1:7">
      <c r="A802">
        <v>801</v>
      </c>
      <c r="B802" t="s">
        <v>1723</v>
      </c>
      <c r="C802" t="s">
        <v>1724</v>
      </c>
      <c r="E802">
        <v>0.01</v>
      </c>
      <c r="F802" t="s">
        <v>546</v>
      </c>
      <c r="G802" s="174">
        <v>45576.460914351854</v>
      </c>
    </row>
    <row r="803" spans="1:7">
      <c r="A803">
        <v>802</v>
      </c>
      <c r="B803" t="s">
        <v>1725</v>
      </c>
      <c r="C803" t="s">
        <v>883</v>
      </c>
      <c r="E803">
        <v>0.01</v>
      </c>
      <c r="F803" t="s">
        <v>546</v>
      </c>
      <c r="G803" s="174">
        <v>45576.460914351854</v>
      </c>
    </row>
    <row r="804" spans="1:7">
      <c r="A804">
        <v>803</v>
      </c>
      <c r="B804" t="s">
        <v>1726</v>
      </c>
      <c r="C804" t="s">
        <v>1727</v>
      </c>
      <c r="E804">
        <v>0.05</v>
      </c>
      <c r="F804" t="s">
        <v>546</v>
      </c>
      <c r="G804" s="174">
        <v>45576.460914351854</v>
      </c>
    </row>
    <row r="805" spans="1:7">
      <c r="A805">
        <v>804</v>
      </c>
      <c r="B805" t="s">
        <v>1728</v>
      </c>
      <c r="C805" t="s">
        <v>552</v>
      </c>
      <c r="E805">
        <v>0.01</v>
      </c>
      <c r="F805" t="s">
        <v>546</v>
      </c>
      <c r="G805" s="174">
        <v>45576.460914351854</v>
      </c>
    </row>
    <row r="806" spans="1:7">
      <c r="A806">
        <v>805</v>
      </c>
      <c r="B806" t="s">
        <v>1728</v>
      </c>
      <c r="C806" t="s">
        <v>920</v>
      </c>
      <c r="E806">
        <v>0.01</v>
      </c>
      <c r="F806" t="s">
        <v>546</v>
      </c>
      <c r="G806" s="174">
        <v>45576.460914351854</v>
      </c>
    </row>
    <row r="807" spans="1:7">
      <c r="A807">
        <v>806</v>
      </c>
      <c r="B807" t="s">
        <v>1729</v>
      </c>
      <c r="C807" t="s">
        <v>1424</v>
      </c>
      <c r="E807">
        <v>0.05</v>
      </c>
      <c r="F807" t="s">
        <v>546</v>
      </c>
      <c r="G807" s="174">
        <v>45576.460914351854</v>
      </c>
    </row>
    <row r="808" spans="1:7">
      <c r="A808">
        <v>807</v>
      </c>
      <c r="B808" t="s">
        <v>1730</v>
      </c>
      <c r="C808" t="s">
        <v>1310</v>
      </c>
      <c r="E808">
        <v>0.01</v>
      </c>
      <c r="F808" t="s">
        <v>546</v>
      </c>
      <c r="G808" s="174">
        <v>45576.460914351854</v>
      </c>
    </row>
    <row r="809" spans="1:7">
      <c r="A809">
        <v>808</v>
      </c>
      <c r="B809" t="s">
        <v>1731</v>
      </c>
      <c r="C809" t="s">
        <v>1732</v>
      </c>
      <c r="E809">
        <v>0.01</v>
      </c>
      <c r="F809" t="s">
        <v>546</v>
      </c>
      <c r="G809" s="174">
        <v>45576.460914351854</v>
      </c>
    </row>
    <row r="810" spans="1:7">
      <c r="A810">
        <v>809</v>
      </c>
      <c r="B810" t="s">
        <v>1733</v>
      </c>
      <c r="C810" t="s">
        <v>1734</v>
      </c>
      <c r="E810">
        <v>0.01</v>
      </c>
      <c r="F810" t="s">
        <v>546</v>
      </c>
      <c r="G810" s="174">
        <v>45576.460914351854</v>
      </c>
    </row>
    <row r="811" spans="1:7">
      <c r="A811">
        <v>810</v>
      </c>
      <c r="B811" t="s">
        <v>1735</v>
      </c>
      <c r="C811" t="s">
        <v>1736</v>
      </c>
      <c r="E811">
        <v>0.01</v>
      </c>
      <c r="F811" t="s">
        <v>546</v>
      </c>
      <c r="G811" s="174">
        <v>45576.460914351854</v>
      </c>
    </row>
    <row r="812" spans="1:7">
      <c r="A812">
        <v>811</v>
      </c>
      <c r="B812" t="s">
        <v>1737</v>
      </c>
      <c r="C812" t="s">
        <v>1738</v>
      </c>
      <c r="E812">
        <v>0.8</v>
      </c>
      <c r="F812" t="s">
        <v>546</v>
      </c>
      <c r="G812" s="174">
        <v>45576.460914351854</v>
      </c>
    </row>
    <row r="813" spans="1:7">
      <c r="A813">
        <v>812</v>
      </c>
      <c r="B813" t="s">
        <v>1739</v>
      </c>
      <c r="C813" t="s">
        <v>1060</v>
      </c>
      <c r="E813">
        <v>0.01</v>
      </c>
      <c r="F813" t="s">
        <v>546</v>
      </c>
      <c r="G813" s="174">
        <v>45576.460914351854</v>
      </c>
    </row>
    <row r="814" spans="1:7">
      <c r="A814">
        <v>813</v>
      </c>
      <c r="B814" t="s">
        <v>1740</v>
      </c>
      <c r="C814" t="s">
        <v>1741</v>
      </c>
      <c r="E814">
        <v>0.01</v>
      </c>
      <c r="F814" t="s">
        <v>546</v>
      </c>
      <c r="G814" s="174">
        <v>45576.460914351854</v>
      </c>
    </row>
    <row r="815" spans="1:7">
      <c r="A815">
        <v>814</v>
      </c>
      <c r="B815" t="s">
        <v>1742</v>
      </c>
      <c r="C815" t="s">
        <v>1743</v>
      </c>
      <c r="E815">
        <v>0.01</v>
      </c>
      <c r="F815" t="s">
        <v>546</v>
      </c>
      <c r="G815" s="174">
        <v>45576.460914351854</v>
      </c>
    </row>
    <row r="816" spans="1:7">
      <c r="A816">
        <v>815</v>
      </c>
      <c r="B816" t="s">
        <v>1744</v>
      </c>
      <c r="C816" t="s">
        <v>987</v>
      </c>
      <c r="E816">
        <v>0.01</v>
      </c>
      <c r="F816" t="s">
        <v>546</v>
      </c>
      <c r="G816" s="174">
        <v>45576.460914351854</v>
      </c>
    </row>
    <row r="817" spans="1:7">
      <c r="A817">
        <v>816</v>
      </c>
      <c r="B817" t="s">
        <v>1745</v>
      </c>
      <c r="C817" t="s">
        <v>1264</v>
      </c>
      <c r="E817">
        <v>0.01</v>
      </c>
      <c r="F817" t="s">
        <v>546</v>
      </c>
      <c r="G817" s="174">
        <v>45576.460914351854</v>
      </c>
    </row>
    <row r="818" spans="1:7">
      <c r="A818">
        <v>817</v>
      </c>
      <c r="B818" t="s">
        <v>1746</v>
      </c>
      <c r="C818" t="s">
        <v>1720</v>
      </c>
      <c r="E818">
        <v>0.1</v>
      </c>
      <c r="F818" t="s">
        <v>546</v>
      </c>
      <c r="G818" s="174">
        <v>45576.460914351854</v>
      </c>
    </row>
    <row r="819" spans="1:7">
      <c r="A819">
        <v>818</v>
      </c>
      <c r="B819" t="s">
        <v>1747</v>
      </c>
      <c r="C819" t="s">
        <v>906</v>
      </c>
      <c r="E819">
        <v>0.01</v>
      </c>
      <c r="F819" t="s">
        <v>546</v>
      </c>
      <c r="G819" s="174">
        <v>45576.460914351854</v>
      </c>
    </row>
    <row r="820" spans="1:7">
      <c r="A820">
        <v>819</v>
      </c>
      <c r="B820" t="s">
        <v>1748</v>
      </c>
      <c r="C820" t="s">
        <v>1749</v>
      </c>
      <c r="E820">
        <v>0.01</v>
      </c>
      <c r="F820" t="s">
        <v>546</v>
      </c>
      <c r="G820" s="174">
        <v>45576.460914351854</v>
      </c>
    </row>
    <row r="821" spans="1:7">
      <c r="A821">
        <v>820</v>
      </c>
      <c r="B821" t="s">
        <v>1750</v>
      </c>
      <c r="C821" t="s">
        <v>824</v>
      </c>
      <c r="E821">
        <v>0.01</v>
      </c>
      <c r="F821" t="s">
        <v>546</v>
      </c>
      <c r="G821" s="174">
        <v>45576.460914351854</v>
      </c>
    </row>
    <row r="822" spans="1:7">
      <c r="A822">
        <v>821</v>
      </c>
      <c r="B822" t="s">
        <v>1751</v>
      </c>
      <c r="C822" t="s">
        <v>1264</v>
      </c>
      <c r="E822">
        <v>0.01</v>
      </c>
      <c r="F822" t="s">
        <v>546</v>
      </c>
      <c r="G822" s="174">
        <v>45576.460914351854</v>
      </c>
    </row>
    <row r="823" spans="1:7">
      <c r="A823">
        <v>822</v>
      </c>
      <c r="B823" t="s">
        <v>1752</v>
      </c>
      <c r="C823" t="s">
        <v>914</v>
      </c>
      <c r="E823">
        <v>0.01</v>
      </c>
      <c r="F823" t="s">
        <v>546</v>
      </c>
      <c r="G823" s="174">
        <v>45576.460914351854</v>
      </c>
    </row>
    <row r="824" spans="1:7">
      <c r="A824">
        <v>823</v>
      </c>
      <c r="B824" t="s">
        <v>1753</v>
      </c>
      <c r="C824" t="s">
        <v>1512</v>
      </c>
      <c r="E824">
        <v>0.01</v>
      </c>
      <c r="F824" t="s">
        <v>546</v>
      </c>
      <c r="G824" s="174">
        <v>45576.460914351854</v>
      </c>
    </row>
    <row r="825" spans="1:7">
      <c r="A825">
        <v>824</v>
      </c>
      <c r="B825" t="s">
        <v>1754</v>
      </c>
      <c r="C825" t="s">
        <v>1755</v>
      </c>
      <c r="E825">
        <v>0.01</v>
      </c>
      <c r="F825" t="s">
        <v>546</v>
      </c>
      <c r="G825" s="174">
        <v>45576.460914351854</v>
      </c>
    </row>
    <row r="826" spans="1:7">
      <c r="A826">
        <v>825</v>
      </c>
      <c r="B826" t="s">
        <v>1756</v>
      </c>
      <c r="C826" t="s">
        <v>1702</v>
      </c>
      <c r="E826">
        <v>0.01</v>
      </c>
      <c r="F826" t="s">
        <v>546</v>
      </c>
      <c r="G826" s="174">
        <v>45576.460914351854</v>
      </c>
    </row>
    <row r="827" spans="1:7">
      <c r="A827">
        <v>826</v>
      </c>
      <c r="B827" t="s">
        <v>1757</v>
      </c>
      <c r="C827" t="s">
        <v>998</v>
      </c>
      <c r="E827">
        <v>0.01</v>
      </c>
      <c r="F827" t="s">
        <v>546</v>
      </c>
      <c r="G827" s="174">
        <v>45576.460914351854</v>
      </c>
    </row>
    <row r="828" spans="1:7">
      <c r="A828">
        <v>827</v>
      </c>
      <c r="B828" t="s">
        <v>1757</v>
      </c>
      <c r="C828" t="s">
        <v>1060</v>
      </c>
      <c r="E828">
        <v>0.01</v>
      </c>
      <c r="F828" t="s">
        <v>546</v>
      </c>
      <c r="G828" s="174">
        <v>45576.460914351854</v>
      </c>
    </row>
    <row r="829" spans="1:7">
      <c r="A829">
        <v>828</v>
      </c>
      <c r="B829" t="s">
        <v>1758</v>
      </c>
      <c r="C829" t="s">
        <v>1090</v>
      </c>
      <c r="E829">
        <v>0.01</v>
      </c>
      <c r="F829" t="s">
        <v>546</v>
      </c>
      <c r="G829" s="174">
        <v>45576.460914351854</v>
      </c>
    </row>
    <row r="830" spans="1:7">
      <c r="A830">
        <v>829</v>
      </c>
      <c r="B830" t="s">
        <v>1759</v>
      </c>
      <c r="C830" t="s">
        <v>1090</v>
      </c>
      <c r="E830">
        <v>0.01</v>
      </c>
      <c r="F830" t="s">
        <v>546</v>
      </c>
      <c r="G830" s="174">
        <v>45576.460914351854</v>
      </c>
    </row>
    <row r="831" spans="1:7">
      <c r="A831">
        <v>830</v>
      </c>
      <c r="B831" t="s">
        <v>1760</v>
      </c>
      <c r="C831" t="s">
        <v>1310</v>
      </c>
      <c r="E831">
        <v>0.01</v>
      </c>
      <c r="F831" t="s">
        <v>546</v>
      </c>
      <c r="G831" s="174">
        <v>45576.460914351854</v>
      </c>
    </row>
    <row r="832" spans="1:7">
      <c r="A832">
        <v>831</v>
      </c>
      <c r="B832" t="s">
        <v>1761</v>
      </c>
      <c r="C832" t="s">
        <v>698</v>
      </c>
      <c r="E832">
        <v>0.01</v>
      </c>
      <c r="F832" t="s">
        <v>546</v>
      </c>
      <c r="G832" s="174">
        <v>45576.460914351854</v>
      </c>
    </row>
    <row r="833" spans="1:7">
      <c r="A833">
        <v>832</v>
      </c>
      <c r="B833" t="s">
        <v>1762</v>
      </c>
      <c r="C833" t="s">
        <v>1749</v>
      </c>
      <c r="E833">
        <v>0.01</v>
      </c>
      <c r="F833" t="s">
        <v>546</v>
      </c>
      <c r="G833" s="174">
        <v>45576.460914351854</v>
      </c>
    </row>
    <row r="834" spans="1:7">
      <c r="A834">
        <v>833</v>
      </c>
      <c r="B834" t="s">
        <v>1763</v>
      </c>
      <c r="C834" t="s">
        <v>1764</v>
      </c>
      <c r="E834">
        <v>0.1</v>
      </c>
      <c r="F834" t="s">
        <v>546</v>
      </c>
      <c r="G834" s="174">
        <v>45576.460914351854</v>
      </c>
    </row>
    <row r="835" spans="1:7">
      <c r="A835">
        <v>834</v>
      </c>
      <c r="B835" t="s">
        <v>1765</v>
      </c>
      <c r="C835" t="s">
        <v>609</v>
      </c>
      <c r="E835">
        <v>0.6</v>
      </c>
      <c r="F835" t="s">
        <v>546</v>
      </c>
      <c r="G835" s="174">
        <v>45576.460914351854</v>
      </c>
    </row>
    <row r="836" spans="1:7">
      <c r="A836">
        <v>835</v>
      </c>
      <c r="B836" t="s">
        <v>1766</v>
      </c>
      <c r="C836" t="s">
        <v>994</v>
      </c>
      <c r="E836">
        <v>0.01</v>
      </c>
      <c r="F836" t="s">
        <v>546</v>
      </c>
      <c r="G836" s="174">
        <v>45576.460914351854</v>
      </c>
    </row>
    <row r="837" spans="1:7">
      <c r="A837">
        <v>836</v>
      </c>
      <c r="B837" t="s">
        <v>1767</v>
      </c>
      <c r="C837" t="s">
        <v>1071</v>
      </c>
      <c r="E837">
        <v>0.01</v>
      </c>
      <c r="F837" t="s">
        <v>546</v>
      </c>
      <c r="G837" s="174">
        <v>45576.460914351854</v>
      </c>
    </row>
    <row r="838" spans="1:7">
      <c r="A838">
        <v>837</v>
      </c>
      <c r="B838" t="s">
        <v>1768</v>
      </c>
      <c r="C838" t="s">
        <v>936</v>
      </c>
      <c r="E838">
        <v>0.01</v>
      </c>
      <c r="F838" t="s">
        <v>546</v>
      </c>
      <c r="G838" s="174">
        <v>45576.460914351854</v>
      </c>
    </row>
    <row r="839" spans="1:7">
      <c r="A839">
        <v>838</v>
      </c>
      <c r="B839" t="s">
        <v>1769</v>
      </c>
      <c r="C839" t="s">
        <v>1422</v>
      </c>
      <c r="E839">
        <v>0.6</v>
      </c>
      <c r="F839" t="s">
        <v>1770</v>
      </c>
      <c r="G839" s="174">
        <v>45576.460914351854</v>
      </c>
    </row>
    <row r="840" spans="1:7">
      <c r="A840">
        <v>839</v>
      </c>
      <c r="B840" t="s">
        <v>1771</v>
      </c>
      <c r="C840" t="s">
        <v>573</v>
      </c>
      <c r="E840">
        <v>0.1</v>
      </c>
      <c r="F840" t="s">
        <v>546</v>
      </c>
      <c r="G840" s="174">
        <v>45576.460914351854</v>
      </c>
    </row>
    <row r="841" spans="1:7">
      <c r="A841">
        <v>840</v>
      </c>
      <c r="B841" t="s">
        <v>1772</v>
      </c>
      <c r="C841" t="s">
        <v>1353</v>
      </c>
      <c r="E841">
        <v>0.01</v>
      </c>
      <c r="F841" t="s">
        <v>546</v>
      </c>
      <c r="G841" s="174">
        <v>45576.460914351854</v>
      </c>
    </row>
    <row r="842" spans="1:7">
      <c r="A842">
        <v>841</v>
      </c>
      <c r="B842" t="s">
        <v>1773</v>
      </c>
      <c r="C842" t="s">
        <v>1226</v>
      </c>
      <c r="E842">
        <v>0.01</v>
      </c>
      <c r="F842" t="s">
        <v>546</v>
      </c>
      <c r="G842" s="174">
        <v>45576.460914351854</v>
      </c>
    </row>
    <row r="843" spans="1:7">
      <c r="A843">
        <v>842</v>
      </c>
      <c r="B843" t="s">
        <v>1774</v>
      </c>
      <c r="C843" t="s">
        <v>1775</v>
      </c>
      <c r="E843">
        <v>0.01</v>
      </c>
      <c r="F843" t="s">
        <v>546</v>
      </c>
      <c r="G843" s="174">
        <v>45576.460914351854</v>
      </c>
    </row>
    <row r="844" spans="1:7">
      <c r="A844">
        <v>843</v>
      </c>
      <c r="B844" t="s">
        <v>1776</v>
      </c>
      <c r="C844" t="s">
        <v>1326</v>
      </c>
      <c r="E844">
        <v>0.01</v>
      </c>
      <c r="F844" t="s">
        <v>546</v>
      </c>
      <c r="G844" s="174">
        <v>45576.460914351854</v>
      </c>
    </row>
    <row r="845" spans="1:7">
      <c r="A845">
        <v>844</v>
      </c>
      <c r="B845" t="s">
        <v>1777</v>
      </c>
      <c r="C845" t="s">
        <v>972</v>
      </c>
      <c r="E845">
        <v>0.01</v>
      </c>
      <c r="F845" t="s">
        <v>546</v>
      </c>
      <c r="G845" s="174">
        <v>45576.460914351854</v>
      </c>
    </row>
    <row r="846" spans="1:7">
      <c r="A846">
        <v>845</v>
      </c>
      <c r="B846" t="s">
        <v>1778</v>
      </c>
      <c r="C846" t="s">
        <v>1647</v>
      </c>
      <c r="E846">
        <v>0.01</v>
      </c>
      <c r="F846" t="s">
        <v>546</v>
      </c>
      <c r="G846" s="174">
        <v>45576.460914351854</v>
      </c>
    </row>
    <row r="847" spans="1:7">
      <c r="A847">
        <v>846</v>
      </c>
      <c r="B847" t="s">
        <v>1779</v>
      </c>
      <c r="C847" t="s">
        <v>754</v>
      </c>
      <c r="E847">
        <v>0.01</v>
      </c>
      <c r="F847" t="s">
        <v>546</v>
      </c>
      <c r="G847" s="174">
        <v>45576.460914351854</v>
      </c>
    </row>
    <row r="848" spans="1:7">
      <c r="A848">
        <v>847</v>
      </c>
      <c r="B848" t="s">
        <v>1780</v>
      </c>
      <c r="C848" t="s">
        <v>1781</v>
      </c>
      <c r="E848">
        <v>0.01</v>
      </c>
      <c r="F848" t="s">
        <v>546</v>
      </c>
      <c r="G848" s="174">
        <v>45576.460914351854</v>
      </c>
    </row>
    <row r="849" spans="1:7">
      <c r="A849">
        <v>848</v>
      </c>
      <c r="B849" t="s">
        <v>1782</v>
      </c>
      <c r="C849" t="s">
        <v>1783</v>
      </c>
      <c r="E849">
        <v>0.5</v>
      </c>
      <c r="F849" t="s">
        <v>546</v>
      </c>
      <c r="G849" s="174">
        <v>45576.460914351854</v>
      </c>
    </row>
    <row r="850" spans="1:7">
      <c r="A850">
        <v>849</v>
      </c>
      <c r="B850" t="s">
        <v>1784</v>
      </c>
      <c r="C850" t="s">
        <v>1599</v>
      </c>
      <c r="E850">
        <v>0.1</v>
      </c>
      <c r="F850" t="s">
        <v>546</v>
      </c>
      <c r="G850" s="174">
        <v>45576.460914351854</v>
      </c>
    </row>
    <row r="851" spans="1:7">
      <c r="A851">
        <v>850</v>
      </c>
      <c r="B851" t="s">
        <v>1785</v>
      </c>
      <c r="C851" t="s">
        <v>754</v>
      </c>
      <c r="E851">
        <v>0.01</v>
      </c>
      <c r="F851" t="s">
        <v>546</v>
      </c>
      <c r="G851" s="174">
        <v>45576.460914351854</v>
      </c>
    </row>
    <row r="852" spans="1:7">
      <c r="A852">
        <v>851</v>
      </c>
      <c r="B852" t="s">
        <v>1786</v>
      </c>
      <c r="C852" t="s">
        <v>1787</v>
      </c>
      <c r="E852">
        <v>0.01</v>
      </c>
      <c r="F852" t="s">
        <v>546</v>
      </c>
      <c r="G852" s="174">
        <v>45576.460914351854</v>
      </c>
    </row>
    <row r="853" spans="1:7">
      <c r="A853">
        <v>852</v>
      </c>
      <c r="B853" t="s">
        <v>1786</v>
      </c>
      <c r="C853" t="s">
        <v>1788</v>
      </c>
      <c r="E853">
        <v>0.01</v>
      </c>
      <c r="F853" t="s">
        <v>546</v>
      </c>
      <c r="G853" s="174">
        <v>45576.460914351854</v>
      </c>
    </row>
    <row r="854" spans="1:7">
      <c r="A854">
        <v>853</v>
      </c>
      <c r="B854" t="s">
        <v>1789</v>
      </c>
      <c r="C854" t="s">
        <v>1669</v>
      </c>
      <c r="E854">
        <v>0.01</v>
      </c>
      <c r="F854" t="s">
        <v>546</v>
      </c>
      <c r="G854" s="174">
        <v>45576.460914351854</v>
      </c>
    </row>
    <row r="855" spans="1:7">
      <c r="A855">
        <v>854</v>
      </c>
      <c r="B855" t="s">
        <v>1790</v>
      </c>
      <c r="C855" t="s">
        <v>1791</v>
      </c>
      <c r="E855">
        <v>0.1</v>
      </c>
      <c r="F855" t="s">
        <v>546</v>
      </c>
      <c r="G855" s="174">
        <v>45576.460914351854</v>
      </c>
    </row>
    <row r="856" spans="1:7">
      <c r="A856">
        <v>855</v>
      </c>
      <c r="B856" t="s">
        <v>1792</v>
      </c>
      <c r="C856" t="s">
        <v>1487</v>
      </c>
      <c r="E856">
        <v>0.01</v>
      </c>
      <c r="F856" t="s">
        <v>546</v>
      </c>
      <c r="G856" s="174">
        <v>45576.460914351854</v>
      </c>
    </row>
    <row r="857" spans="1:7">
      <c r="A857">
        <v>856</v>
      </c>
      <c r="B857" t="s">
        <v>1792</v>
      </c>
      <c r="C857" t="s">
        <v>545</v>
      </c>
      <c r="E857">
        <v>0.01</v>
      </c>
      <c r="F857" t="s">
        <v>546</v>
      </c>
      <c r="G857" s="174">
        <v>45576.460914351854</v>
      </c>
    </row>
    <row r="858" spans="1:7">
      <c r="A858">
        <v>857</v>
      </c>
      <c r="B858" t="s">
        <v>1793</v>
      </c>
      <c r="C858" t="s">
        <v>1794</v>
      </c>
      <c r="E858">
        <v>0.01</v>
      </c>
      <c r="F858" t="s">
        <v>546</v>
      </c>
      <c r="G858" s="174">
        <v>45576.460914351854</v>
      </c>
    </row>
    <row r="859" spans="1:7">
      <c r="A859">
        <v>858</v>
      </c>
      <c r="B859" t="s">
        <v>1795</v>
      </c>
      <c r="C859" t="s">
        <v>1796</v>
      </c>
      <c r="E859">
        <v>0.01</v>
      </c>
      <c r="F859" t="s">
        <v>546</v>
      </c>
      <c r="G859" s="174">
        <v>45576.460914351854</v>
      </c>
    </row>
    <row r="860" spans="1:7">
      <c r="A860">
        <v>859</v>
      </c>
      <c r="B860" t="s">
        <v>1797</v>
      </c>
      <c r="C860" t="s">
        <v>1025</v>
      </c>
      <c r="E860">
        <v>0.01</v>
      </c>
      <c r="F860" t="s">
        <v>546</v>
      </c>
      <c r="G860" s="174">
        <v>45576.460914351854</v>
      </c>
    </row>
    <row r="861" spans="1:7">
      <c r="A861">
        <v>860</v>
      </c>
      <c r="B861" t="s">
        <v>1798</v>
      </c>
      <c r="C861" t="s">
        <v>1799</v>
      </c>
      <c r="E861">
        <v>0.01</v>
      </c>
      <c r="F861" t="s">
        <v>546</v>
      </c>
      <c r="G861" s="174">
        <v>45576.460914351854</v>
      </c>
    </row>
    <row r="862" spans="1:7">
      <c r="A862">
        <v>861</v>
      </c>
      <c r="B862" t="s">
        <v>1800</v>
      </c>
      <c r="C862" t="s">
        <v>947</v>
      </c>
      <c r="E862">
        <v>0.01</v>
      </c>
      <c r="F862" t="s">
        <v>546</v>
      </c>
      <c r="G862" s="174">
        <v>45576.460914351854</v>
      </c>
    </row>
    <row r="863" spans="1:7">
      <c r="A863">
        <v>862</v>
      </c>
      <c r="B863" t="s">
        <v>1800</v>
      </c>
      <c r="C863" t="s">
        <v>1536</v>
      </c>
      <c r="E863">
        <v>0.01</v>
      </c>
      <c r="F863" t="s">
        <v>546</v>
      </c>
      <c r="G863" s="174">
        <v>45576.460914351854</v>
      </c>
    </row>
    <row r="864" spans="1:7">
      <c r="A864">
        <v>863</v>
      </c>
      <c r="B864" t="s">
        <v>1801</v>
      </c>
      <c r="C864" t="s">
        <v>1802</v>
      </c>
      <c r="E864">
        <v>0.6</v>
      </c>
      <c r="F864" t="s">
        <v>546</v>
      </c>
      <c r="G864" s="174">
        <v>45576.460914351854</v>
      </c>
    </row>
    <row r="865" spans="1:7">
      <c r="A865">
        <v>864</v>
      </c>
      <c r="B865" t="s">
        <v>1803</v>
      </c>
      <c r="C865" t="s">
        <v>1804</v>
      </c>
      <c r="E865">
        <v>0.1</v>
      </c>
      <c r="F865" t="s">
        <v>546</v>
      </c>
      <c r="G865" s="174">
        <v>45576.460914351854</v>
      </c>
    </row>
    <row r="866" spans="1:7">
      <c r="A866">
        <v>865</v>
      </c>
      <c r="B866" t="s">
        <v>1805</v>
      </c>
      <c r="C866" t="s">
        <v>964</v>
      </c>
      <c r="E866">
        <v>0.01</v>
      </c>
      <c r="F866" t="s">
        <v>546</v>
      </c>
      <c r="G866" s="174">
        <v>45576.460914351854</v>
      </c>
    </row>
    <row r="867" spans="1:7">
      <c r="A867">
        <v>866</v>
      </c>
      <c r="B867" t="s">
        <v>1806</v>
      </c>
      <c r="C867" t="s">
        <v>1807</v>
      </c>
      <c r="E867">
        <v>0.01</v>
      </c>
      <c r="F867" t="s">
        <v>546</v>
      </c>
      <c r="G867" s="174">
        <v>45576.460914351854</v>
      </c>
    </row>
    <row r="868" spans="1:7">
      <c r="A868">
        <v>867</v>
      </c>
      <c r="B868" t="s">
        <v>1806</v>
      </c>
      <c r="C868" t="s">
        <v>1808</v>
      </c>
      <c r="E868">
        <v>0.01</v>
      </c>
      <c r="F868" t="s">
        <v>546</v>
      </c>
      <c r="G868" s="174">
        <v>45576.460914351854</v>
      </c>
    </row>
    <row r="869" spans="1:7">
      <c r="A869">
        <v>868</v>
      </c>
      <c r="B869" t="s">
        <v>1809</v>
      </c>
      <c r="C869" t="s">
        <v>599</v>
      </c>
      <c r="E869">
        <v>0.01</v>
      </c>
      <c r="F869" t="s">
        <v>546</v>
      </c>
      <c r="G869" s="174">
        <v>45576.460914351854</v>
      </c>
    </row>
    <row r="870" spans="1:7">
      <c r="A870">
        <v>869</v>
      </c>
      <c r="B870" t="s">
        <v>1809</v>
      </c>
      <c r="C870" t="s">
        <v>1599</v>
      </c>
      <c r="E870">
        <v>0.01</v>
      </c>
      <c r="F870" t="s">
        <v>546</v>
      </c>
      <c r="G870" s="174">
        <v>45576.460914351854</v>
      </c>
    </row>
    <row r="871" spans="1:7">
      <c r="A871">
        <v>870</v>
      </c>
      <c r="B871" t="s">
        <v>1810</v>
      </c>
      <c r="C871" t="s">
        <v>727</v>
      </c>
      <c r="E871">
        <v>0.01</v>
      </c>
      <c r="F871" t="s">
        <v>546</v>
      </c>
      <c r="G871" s="174">
        <v>45576.460914351854</v>
      </c>
    </row>
    <row r="872" spans="1:7">
      <c r="A872">
        <v>871</v>
      </c>
      <c r="B872" t="s">
        <v>1811</v>
      </c>
      <c r="C872" t="s">
        <v>1398</v>
      </c>
      <c r="E872">
        <v>0.01</v>
      </c>
      <c r="F872" t="s">
        <v>546</v>
      </c>
      <c r="G872" s="174">
        <v>45576.460914351854</v>
      </c>
    </row>
    <row r="873" spans="1:7">
      <c r="A873">
        <v>872</v>
      </c>
      <c r="B873" t="s">
        <v>1812</v>
      </c>
      <c r="C873" t="s">
        <v>748</v>
      </c>
      <c r="E873">
        <v>0.8</v>
      </c>
      <c r="F873" t="s">
        <v>546</v>
      </c>
      <c r="G873" s="174">
        <v>45576.460914351854</v>
      </c>
    </row>
    <row r="874" spans="1:7">
      <c r="A874">
        <v>873</v>
      </c>
      <c r="B874" t="s">
        <v>1813</v>
      </c>
      <c r="C874" t="s">
        <v>1814</v>
      </c>
      <c r="E874">
        <v>0.01</v>
      </c>
      <c r="F874" t="s">
        <v>546</v>
      </c>
      <c r="G874" s="174">
        <v>45576.460914351854</v>
      </c>
    </row>
    <row r="875" spans="1:7">
      <c r="A875">
        <v>874</v>
      </c>
      <c r="B875" t="s">
        <v>1815</v>
      </c>
      <c r="C875" t="s">
        <v>1246</v>
      </c>
      <c r="E875">
        <v>0.01</v>
      </c>
      <c r="F875" t="s">
        <v>546</v>
      </c>
      <c r="G875" s="174">
        <v>45576.460914351854</v>
      </c>
    </row>
    <row r="876" spans="1:7">
      <c r="A876">
        <v>875</v>
      </c>
      <c r="B876" t="s">
        <v>1816</v>
      </c>
      <c r="C876" t="s">
        <v>1817</v>
      </c>
      <c r="E876">
        <v>0.01</v>
      </c>
      <c r="F876" t="s">
        <v>546</v>
      </c>
      <c r="G876" s="174">
        <v>45576.460914351854</v>
      </c>
    </row>
    <row r="877" spans="1:7">
      <c r="A877">
        <v>876</v>
      </c>
      <c r="B877" t="s">
        <v>1818</v>
      </c>
      <c r="C877" t="s">
        <v>552</v>
      </c>
      <c r="E877">
        <v>0.01</v>
      </c>
      <c r="F877" t="s">
        <v>546</v>
      </c>
      <c r="G877" s="174">
        <v>45576.460914351854</v>
      </c>
    </row>
    <row r="878" spans="1:7">
      <c r="A878">
        <v>877</v>
      </c>
      <c r="B878" t="s">
        <v>1819</v>
      </c>
      <c r="C878" t="s">
        <v>1196</v>
      </c>
      <c r="E878">
        <v>0.01</v>
      </c>
      <c r="F878" t="s">
        <v>546</v>
      </c>
      <c r="G878" s="174">
        <v>45576.460914351854</v>
      </c>
    </row>
    <row r="879" spans="1:7">
      <c r="A879">
        <v>878</v>
      </c>
      <c r="B879" t="s">
        <v>1820</v>
      </c>
      <c r="C879" t="s">
        <v>571</v>
      </c>
      <c r="E879">
        <v>0.01</v>
      </c>
      <c r="F879" t="s">
        <v>546</v>
      </c>
      <c r="G879" s="174">
        <v>45576.460914351854</v>
      </c>
    </row>
    <row r="880" spans="1:7">
      <c r="A880">
        <v>879</v>
      </c>
      <c r="B880" t="s">
        <v>1821</v>
      </c>
      <c r="C880" t="s">
        <v>1626</v>
      </c>
      <c r="E880">
        <v>0.01</v>
      </c>
      <c r="F880" t="s">
        <v>546</v>
      </c>
      <c r="G880" s="174">
        <v>45576.460914351854</v>
      </c>
    </row>
    <row r="881" spans="1:7">
      <c r="A881">
        <v>880</v>
      </c>
      <c r="B881" t="s">
        <v>1822</v>
      </c>
      <c r="C881" t="s">
        <v>1787</v>
      </c>
      <c r="E881">
        <v>0.01</v>
      </c>
      <c r="F881" t="s">
        <v>546</v>
      </c>
      <c r="G881" s="174">
        <v>45576.460914351854</v>
      </c>
    </row>
    <row r="882" spans="1:7">
      <c r="A882">
        <v>881</v>
      </c>
      <c r="B882" t="s">
        <v>1822</v>
      </c>
      <c r="C882" t="s">
        <v>1023</v>
      </c>
      <c r="E882">
        <v>0.01</v>
      </c>
      <c r="F882" t="s">
        <v>546</v>
      </c>
      <c r="G882" s="174">
        <v>45576.460914351854</v>
      </c>
    </row>
    <row r="883" spans="1:7">
      <c r="A883">
        <v>882</v>
      </c>
      <c r="B883" t="s">
        <v>1823</v>
      </c>
      <c r="C883" t="s">
        <v>1824</v>
      </c>
      <c r="E883">
        <v>0.01</v>
      </c>
      <c r="F883" t="s">
        <v>546</v>
      </c>
      <c r="G883" s="174">
        <v>45576.460914351854</v>
      </c>
    </row>
    <row r="884" spans="1:7">
      <c r="A884">
        <v>883</v>
      </c>
      <c r="B884" t="s">
        <v>1823</v>
      </c>
      <c r="C884" t="s">
        <v>1825</v>
      </c>
      <c r="E884">
        <v>0.01</v>
      </c>
      <c r="F884" t="s">
        <v>546</v>
      </c>
      <c r="G884" s="174">
        <v>45576.460914351854</v>
      </c>
    </row>
    <row r="885" spans="1:7">
      <c r="A885">
        <v>884</v>
      </c>
      <c r="B885" t="s">
        <v>1826</v>
      </c>
      <c r="C885" t="s">
        <v>1827</v>
      </c>
      <c r="E885">
        <v>0.1</v>
      </c>
      <c r="F885" t="s">
        <v>546</v>
      </c>
      <c r="G885" s="174">
        <v>45576.460914351854</v>
      </c>
    </row>
    <row r="886" spans="1:7">
      <c r="A886">
        <v>885</v>
      </c>
      <c r="B886" t="s">
        <v>1828</v>
      </c>
      <c r="C886" t="s">
        <v>553</v>
      </c>
      <c r="E886">
        <v>0.01</v>
      </c>
      <c r="F886" t="s">
        <v>546</v>
      </c>
      <c r="G886" s="174">
        <v>45576.460914351854</v>
      </c>
    </row>
    <row r="887" spans="1:7">
      <c r="A887">
        <v>886</v>
      </c>
      <c r="B887" t="s">
        <v>1828</v>
      </c>
      <c r="C887" t="s">
        <v>1829</v>
      </c>
      <c r="E887">
        <v>0.01</v>
      </c>
      <c r="F887" t="s">
        <v>546</v>
      </c>
      <c r="G887" s="174">
        <v>45576.460914351854</v>
      </c>
    </row>
    <row r="888" spans="1:7">
      <c r="A888">
        <v>887</v>
      </c>
      <c r="B888" t="s">
        <v>1830</v>
      </c>
      <c r="C888" t="s">
        <v>1025</v>
      </c>
      <c r="E888">
        <v>0.01</v>
      </c>
      <c r="F888" t="s">
        <v>546</v>
      </c>
      <c r="G888" s="174">
        <v>45576.460914351854</v>
      </c>
    </row>
    <row r="889" spans="1:7">
      <c r="A889">
        <v>888</v>
      </c>
      <c r="B889" t="s">
        <v>1831</v>
      </c>
      <c r="C889" t="s">
        <v>1832</v>
      </c>
      <c r="E889">
        <v>0.01</v>
      </c>
      <c r="F889" t="s">
        <v>546</v>
      </c>
      <c r="G889" s="174">
        <v>45576.460914351854</v>
      </c>
    </row>
    <row r="890" spans="1:7">
      <c r="A890">
        <v>889</v>
      </c>
      <c r="B890" t="s">
        <v>1833</v>
      </c>
      <c r="C890" t="s">
        <v>575</v>
      </c>
      <c r="E890">
        <v>0.01</v>
      </c>
      <c r="F890" t="s">
        <v>546</v>
      </c>
      <c r="G890" s="174">
        <v>45576.460914351854</v>
      </c>
    </row>
    <row r="891" spans="1:7">
      <c r="A891">
        <v>890</v>
      </c>
      <c r="B891" t="s">
        <v>1834</v>
      </c>
      <c r="C891" t="s">
        <v>1835</v>
      </c>
      <c r="E891">
        <v>0.01</v>
      </c>
      <c r="F891" t="s">
        <v>546</v>
      </c>
      <c r="G891" s="174">
        <v>45576.460914351854</v>
      </c>
    </row>
    <row r="892" spans="1:7">
      <c r="A892">
        <v>891</v>
      </c>
      <c r="B892" t="s">
        <v>1836</v>
      </c>
      <c r="C892" t="s">
        <v>571</v>
      </c>
      <c r="E892">
        <v>0.01</v>
      </c>
      <c r="F892" t="s">
        <v>546</v>
      </c>
      <c r="G892" s="174">
        <v>45576.460914351854</v>
      </c>
    </row>
    <row r="893" spans="1:7">
      <c r="A893">
        <v>892</v>
      </c>
      <c r="B893" t="s">
        <v>1837</v>
      </c>
      <c r="C893" t="s">
        <v>1629</v>
      </c>
      <c r="E893">
        <v>0.01</v>
      </c>
      <c r="F893" t="s">
        <v>546</v>
      </c>
      <c r="G893" s="174">
        <v>45576.460914351854</v>
      </c>
    </row>
    <row r="894" spans="1:7">
      <c r="A894">
        <v>893</v>
      </c>
      <c r="B894" t="s">
        <v>1838</v>
      </c>
      <c r="C894" t="s">
        <v>1839</v>
      </c>
      <c r="E894">
        <v>0.01</v>
      </c>
      <c r="F894" t="s">
        <v>546</v>
      </c>
      <c r="G894" s="174">
        <v>45576.460914351854</v>
      </c>
    </row>
    <row r="895" spans="1:7">
      <c r="A895">
        <v>894</v>
      </c>
      <c r="B895" t="s">
        <v>1840</v>
      </c>
      <c r="C895" t="s">
        <v>887</v>
      </c>
      <c r="E895">
        <v>0.01</v>
      </c>
      <c r="F895" t="s">
        <v>546</v>
      </c>
      <c r="G895" s="174">
        <v>45576.460914351854</v>
      </c>
    </row>
    <row r="896" spans="1:7">
      <c r="A896">
        <v>895</v>
      </c>
      <c r="B896" t="s">
        <v>1841</v>
      </c>
      <c r="C896" t="s">
        <v>1842</v>
      </c>
      <c r="E896">
        <v>0.05</v>
      </c>
      <c r="F896" t="s">
        <v>546</v>
      </c>
      <c r="G896" s="174">
        <v>45576.460914351854</v>
      </c>
    </row>
    <row r="897" spans="1:7">
      <c r="A897">
        <v>896</v>
      </c>
      <c r="B897" t="s">
        <v>1843</v>
      </c>
      <c r="C897" t="s">
        <v>561</v>
      </c>
      <c r="E897">
        <v>0.01</v>
      </c>
      <c r="F897" t="s">
        <v>546</v>
      </c>
      <c r="G897" s="174">
        <v>45576.460914351854</v>
      </c>
    </row>
    <row r="898" spans="1:7">
      <c r="A898">
        <v>897</v>
      </c>
      <c r="B898" t="s">
        <v>1844</v>
      </c>
      <c r="C898" t="s">
        <v>793</v>
      </c>
      <c r="E898">
        <v>0.01</v>
      </c>
      <c r="F898" t="s">
        <v>546</v>
      </c>
      <c r="G898" s="174">
        <v>45576.460914351854</v>
      </c>
    </row>
    <row r="899" spans="1:7">
      <c r="A899">
        <v>898</v>
      </c>
      <c r="B899" t="s">
        <v>1845</v>
      </c>
      <c r="C899" t="s">
        <v>1846</v>
      </c>
      <c r="E899">
        <v>0.01</v>
      </c>
      <c r="F899" t="s">
        <v>546</v>
      </c>
      <c r="G899" s="174">
        <v>45576.460914351854</v>
      </c>
    </row>
    <row r="900" spans="1:7">
      <c r="A900">
        <v>899</v>
      </c>
      <c r="B900" t="s">
        <v>1845</v>
      </c>
      <c r="C900" t="s">
        <v>793</v>
      </c>
      <c r="E900">
        <v>0.01</v>
      </c>
      <c r="F900" t="s">
        <v>546</v>
      </c>
      <c r="G900" s="174">
        <v>45576.460914351854</v>
      </c>
    </row>
    <row r="901" spans="1:7">
      <c r="A901">
        <v>900</v>
      </c>
      <c r="B901" t="s">
        <v>1847</v>
      </c>
      <c r="C901" t="s">
        <v>1848</v>
      </c>
      <c r="E901">
        <v>0.6</v>
      </c>
      <c r="F901" t="s">
        <v>1849</v>
      </c>
      <c r="G901" s="174">
        <v>45576.460914351854</v>
      </c>
    </row>
    <row r="902" spans="1:7">
      <c r="A902">
        <v>901</v>
      </c>
      <c r="B902" t="s">
        <v>1847</v>
      </c>
      <c r="C902" t="s">
        <v>579</v>
      </c>
      <c r="E902">
        <v>1</v>
      </c>
      <c r="F902" t="s">
        <v>1850</v>
      </c>
      <c r="G902" s="174">
        <v>45576.460914351854</v>
      </c>
    </row>
    <row r="903" spans="1:7">
      <c r="A903">
        <v>902</v>
      </c>
      <c r="B903" t="s">
        <v>1847</v>
      </c>
      <c r="C903" t="s">
        <v>1175</v>
      </c>
      <c r="E903">
        <v>0.7</v>
      </c>
      <c r="F903" t="s">
        <v>1851</v>
      </c>
      <c r="G903" s="174">
        <v>45576.460914351854</v>
      </c>
    </row>
    <row r="904" spans="1:7">
      <c r="A904">
        <v>903</v>
      </c>
      <c r="B904" t="s">
        <v>1852</v>
      </c>
      <c r="C904" t="s">
        <v>953</v>
      </c>
      <c r="E904">
        <v>0.8</v>
      </c>
      <c r="F904" t="s">
        <v>546</v>
      </c>
      <c r="G904" s="174">
        <v>45576.460914351854</v>
      </c>
    </row>
    <row r="905" spans="1:7">
      <c r="A905">
        <v>904</v>
      </c>
      <c r="B905" t="s">
        <v>1853</v>
      </c>
      <c r="C905" t="s">
        <v>1019</v>
      </c>
      <c r="E905">
        <v>0.01</v>
      </c>
      <c r="F905" t="s">
        <v>546</v>
      </c>
      <c r="G905" s="174">
        <v>45576.460914351854</v>
      </c>
    </row>
    <row r="906" spans="1:7">
      <c r="A906">
        <v>905</v>
      </c>
      <c r="B906" t="s">
        <v>1854</v>
      </c>
      <c r="C906" t="s">
        <v>1855</v>
      </c>
      <c r="E906">
        <v>0.01</v>
      </c>
      <c r="F906" t="s">
        <v>546</v>
      </c>
      <c r="G906" s="174">
        <v>45576.460914351854</v>
      </c>
    </row>
    <row r="907" spans="1:7">
      <c r="A907">
        <v>906</v>
      </c>
      <c r="B907" t="s">
        <v>1856</v>
      </c>
      <c r="C907" t="s">
        <v>1857</v>
      </c>
      <c r="E907">
        <v>0.1</v>
      </c>
      <c r="F907" t="s">
        <v>546</v>
      </c>
      <c r="G907" s="174">
        <v>45576.460914351854</v>
      </c>
    </row>
    <row r="908" spans="1:7">
      <c r="A908">
        <v>907</v>
      </c>
      <c r="B908" t="s">
        <v>1858</v>
      </c>
      <c r="C908" t="s">
        <v>1859</v>
      </c>
      <c r="E908">
        <v>0.01</v>
      </c>
      <c r="F908" t="s">
        <v>546</v>
      </c>
      <c r="G908" s="174">
        <v>45576.460914351854</v>
      </c>
    </row>
    <row r="909" spans="1:7">
      <c r="A909">
        <v>908</v>
      </c>
      <c r="B909" t="s">
        <v>1860</v>
      </c>
      <c r="C909" t="s">
        <v>1040</v>
      </c>
      <c r="E909">
        <v>0.01</v>
      </c>
      <c r="F909" t="s">
        <v>546</v>
      </c>
      <c r="G909" s="174">
        <v>45576.460914351854</v>
      </c>
    </row>
    <row r="910" spans="1:7">
      <c r="A910">
        <v>909</v>
      </c>
      <c r="B910" t="s">
        <v>1861</v>
      </c>
      <c r="C910" t="s">
        <v>1862</v>
      </c>
      <c r="E910">
        <v>0.01</v>
      </c>
      <c r="F910" t="s">
        <v>546</v>
      </c>
      <c r="G910" s="174">
        <v>45576.460914351854</v>
      </c>
    </row>
    <row r="911" spans="1:7">
      <c r="A911">
        <v>910</v>
      </c>
      <c r="B911" t="s">
        <v>1863</v>
      </c>
      <c r="C911" t="s">
        <v>746</v>
      </c>
      <c r="E911">
        <v>0.01</v>
      </c>
      <c r="F911" t="s">
        <v>546</v>
      </c>
      <c r="G911" s="174">
        <v>45576.460914351854</v>
      </c>
    </row>
    <row r="912" spans="1:7">
      <c r="A912">
        <v>911</v>
      </c>
      <c r="B912" t="s">
        <v>1864</v>
      </c>
      <c r="C912" t="s">
        <v>1865</v>
      </c>
      <c r="E912">
        <v>0.01</v>
      </c>
      <c r="F912" t="s">
        <v>546</v>
      </c>
      <c r="G912" s="174">
        <v>45576.460914351854</v>
      </c>
    </row>
    <row r="913" spans="1:7">
      <c r="A913">
        <v>912</v>
      </c>
      <c r="B913" t="s">
        <v>1866</v>
      </c>
      <c r="C913" t="s">
        <v>1532</v>
      </c>
      <c r="E913">
        <v>0.01</v>
      </c>
      <c r="F913" t="s">
        <v>546</v>
      </c>
      <c r="G913" s="174">
        <v>45576.460914351854</v>
      </c>
    </row>
    <row r="914" spans="1:7">
      <c r="A914">
        <v>913</v>
      </c>
      <c r="B914" t="s">
        <v>1867</v>
      </c>
      <c r="C914" t="s">
        <v>1868</v>
      </c>
      <c r="E914">
        <v>0.01</v>
      </c>
      <c r="F914" t="s">
        <v>546</v>
      </c>
      <c r="G914" s="174">
        <v>45576.460914351854</v>
      </c>
    </row>
    <row r="915" spans="1:7">
      <c r="A915">
        <v>914</v>
      </c>
      <c r="B915" t="s">
        <v>1869</v>
      </c>
      <c r="C915" t="s">
        <v>974</v>
      </c>
      <c r="E915">
        <v>0.01</v>
      </c>
      <c r="F915" t="s">
        <v>546</v>
      </c>
      <c r="G915" s="174">
        <v>45576.460914351854</v>
      </c>
    </row>
    <row r="916" spans="1:7">
      <c r="A916">
        <v>915</v>
      </c>
      <c r="B916" t="s">
        <v>1870</v>
      </c>
      <c r="C916" t="s">
        <v>1871</v>
      </c>
      <c r="E916">
        <v>0.01</v>
      </c>
      <c r="F916" t="s">
        <v>546</v>
      </c>
      <c r="G916" s="174">
        <v>45576.460914351854</v>
      </c>
    </row>
    <row r="917" spans="1:7">
      <c r="A917">
        <v>916</v>
      </c>
      <c r="B917" t="s">
        <v>1872</v>
      </c>
      <c r="C917" t="s">
        <v>984</v>
      </c>
      <c r="E917">
        <v>0.01</v>
      </c>
      <c r="F917" t="s">
        <v>546</v>
      </c>
      <c r="G917" s="174">
        <v>45576.460914351854</v>
      </c>
    </row>
    <row r="918" spans="1:7">
      <c r="A918">
        <v>917</v>
      </c>
      <c r="B918" t="s">
        <v>1873</v>
      </c>
      <c r="C918" t="s">
        <v>1874</v>
      </c>
      <c r="E918">
        <v>0.01</v>
      </c>
      <c r="F918" t="s">
        <v>546</v>
      </c>
      <c r="G918" s="174">
        <v>45576.460914351854</v>
      </c>
    </row>
    <row r="919" spans="1:7">
      <c r="A919">
        <v>918</v>
      </c>
      <c r="B919" t="s">
        <v>1873</v>
      </c>
      <c r="C919" t="s">
        <v>992</v>
      </c>
      <c r="E919">
        <v>0.01</v>
      </c>
      <c r="F919" t="s">
        <v>546</v>
      </c>
      <c r="G919" s="174">
        <v>45576.460914351854</v>
      </c>
    </row>
    <row r="920" spans="1:7">
      <c r="A920">
        <v>919</v>
      </c>
      <c r="B920" t="s">
        <v>1875</v>
      </c>
      <c r="C920" t="s">
        <v>1876</v>
      </c>
      <c r="E920">
        <v>0.6</v>
      </c>
      <c r="F920" t="s">
        <v>546</v>
      </c>
      <c r="G920" s="174">
        <v>45576.460914351854</v>
      </c>
    </row>
    <row r="921" spans="1:7">
      <c r="A921">
        <v>920</v>
      </c>
      <c r="B921" t="s">
        <v>1875</v>
      </c>
      <c r="C921" t="s">
        <v>1874</v>
      </c>
      <c r="E921">
        <v>0.8</v>
      </c>
      <c r="F921" t="s">
        <v>546</v>
      </c>
      <c r="G921" s="174">
        <v>45576.460914351854</v>
      </c>
    </row>
    <row r="922" spans="1:7">
      <c r="A922">
        <v>921</v>
      </c>
      <c r="B922" t="s">
        <v>1877</v>
      </c>
      <c r="C922" t="s">
        <v>959</v>
      </c>
      <c r="E922">
        <v>0.8</v>
      </c>
      <c r="F922" t="s">
        <v>1878</v>
      </c>
      <c r="G922" s="174">
        <v>45576.460914351854</v>
      </c>
    </row>
    <row r="923" spans="1:7">
      <c r="A923">
        <v>922</v>
      </c>
      <c r="B923" t="s">
        <v>1877</v>
      </c>
      <c r="C923" t="s">
        <v>1609</v>
      </c>
      <c r="E923">
        <v>0.6</v>
      </c>
      <c r="F923" t="s">
        <v>1879</v>
      </c>
      <c r="G923" s="174">
        <v>45576.460914351854</v>
      </c>
    </row>
    <row r="924" spans="1:7">
      <c r="A924">
        <v>923</v>
      </c>
      <c r="B924" t="s">
        <v>1880</v>
      </c>
      <c r="C924" t="s">
        <v>1881</v>
      </c>
      <c r="E924">
        <v>0.01</v>
      </c>
      <c r="F924" t="s">
        <v>546</v>
      </c>
      <c r="G924" s="174">
        <v>45576.460914351854</v>
      </c>
    </row>
    <row r="925" spans="1:7">
      <c r="A925">
        <v>924</v>
      </c>
      <c r="B925" t="s">
        <v>1880</v>
      </c>
      <c r="C925" t="s">
        <v>724</v>
      </c>
      <c r="E925">
        <v>0.01</v>
      </c>
      <c r="F925" t="s">
        <v>546</v>
      </c>
      <c r="G925" s="174">
        <v>45576.460914351854</v>
      </c>
    </row>
    <row r="926" spans="1:7">
      <c r="A926">
        <v>925</v>
      </c>
      <c r="B926" t="s">
        <v>1882</v>
      </c>
      <c r="C926" t="s">
        <v>1480</v>
      </c>
      <c r="E926">
        <v>0.1</v>
      </c>
      <c r="F926" t="s">
        <v>546</v>
      </c>
      <c r="G926" s="174">
        <v>45576.460914351854</v>
      </c>
    </row>
    <row r="927" spans="1:7">
      <c r="A927">
        <v>926</v>
      </c>
      <c r="B927" t="s">
        <v>1882</v>
      </c>
      <c r="C927" t="s">
        <v>1883</v>
      </c>
      <c r="E927">
        <v>0.01</v>
      </c>
      <c r="F927" t="s">
        <v>546</v>
      </c>
      <c r="G927" s="174">
        <v>45576.460914351854</v>
      </c>
    </row>
    <row r="928" spans="1:7">
      <c r="A928">
        <v>927</v>
      </c>
      <c r="B928" t="s">
        <v>1884</v>
      </c>
      <c r="C928" t="s">
        <v>1219</v>
      </c>
      <c r="E928">
        <v>0.05</v>
      </c>
      <c r="F928" t="s">
        <v>546</v>
      </c>
      <c r="G928" s="174">
        <v>45576.460914351854</v>
      </c>
    </row>
    <row r="929" spans="1:7">
      <c r="A929">
        <v>928</v>
      </c>
      <c r="B929" t="s">
        <v>1885</v>
      </c>
      <c r="C929" t="s">
        <v>1886</v>
      </c>
      <c r="E929">
        <v>0.01</v>
      </c>
      <c r="F929" t="s">
        <v>546</v>
      </c>
      <c r="G929" s="174">
        <v>45576.460914351854</v>
      </c>
    </row>
    <row r="930" spans="1:7">
      <c r="A930">
        <v>929</v>
      </c>
      <c r="B930" t="s">
        <v>1887</v>
      </c>
      <c r="C930" t="s">
        <v>1101</v>
      </c>
      <c r="E930">
        <v>0.01</v>
      </c>
      <c r="F930" t="s">
        <v>546</v>
      </c>
      <c r="G930" s="174">
        <v>45576.460914351854</v>
      </c>
    </row>
    <row r="931" spans="1:7">
      <c r="A931">
        <v>930</v>
      </c>
      <c r="B931" t="s">
        <v>1887</v>
      </c>
      <c r="C931" t="s">
        <v>814</v>
      </c>
      <c r="E931">
        <v>0.01</v>
      </c>
      <c r="F931" t="s">
        <v>546</v>
      </c>
      <c r="G931" s="174">
        <v>45576.460914351854</v>
      </c>
    </row>
    <row r="932" spans="1:7">
      <c r="A932">
        <v>931</v>
      </c>
      <c r="B932" t="s">
        <v>1888</v>
      </c>
      <c r="C932" t="s">
        <v>1889</v>
      </c>
      <c r="E932">
        <v>0.01</v>
      </c>
      <c r="F932" t="s">
        <v>546</v>
      </c>
      <c r="G932" s="174">
        <v>45576.460914351854</v>
      </c>
    </row>
    <row r="933" spans="1:7">
      <c r="A933">
        <v>932</v>
      </c>
      <c r="B933" t="s">
        <v>1888</v>
      </c>
      <c r="C933" t="s">
        <v>1175</v>
      </c>
      <c r="E933">
        <v>0.1</v>
      </c>
      <c r="F933" t="s">
        <v>546</v>
      </c>
      <c r="G933" s="174">
        <v>45576.460914351854</v>
      </c>
    </row>
    <row r="934" spans="1:7">
      <c r="A934">
        <v>933</v>
      </c>
      <c r="B934" t="s">
        <v>1890</v>
      </c>
      <c r="C934" t="s">
        <v>1891</v>
      </c>
      <c r="E934">
        <v>0.01</v>
      </c>
      <c r="F934" t="s">
        <v>546</v>
      </c>
      <c r="G934" s="174">
        <v>45576.460914351854</v>
      </c>
    </row>
    <row r="935" spans="1:7">
      <c r="A935">
        <v>934</v>
      </c>
      <c r="B935" t="s">
        <v>1892</v>
      </c>
      <c r="C935" t="s">
        <v>1616</v>
      </c>
      <c r="E935">
        <v>0.01</v>
      </c>
      <c r="F935" t="s">
        <v>546</v>
      </c>
      <c r="G935" s="174">
        <v>45576.460914351854</v>
      </c>
    </row>
    <row r="936" spans="1:7">
      <c r="A936">
        <v>935</v>
      </c>
      <c r="B936" t="s">
        <v>1893</v>
      </c>
      <c r="C936" t="s">
        <v>1894</v>
      </c>
      <c r="E936">
        <v>0.1</v>
      </c>
      <c r="F936" t="s">
        <v>546</v>
      </c>
      <c r="G936" s="174">
        <v>45576.460914351854</v>
      </c>
    </row>
    <row r="937" spans="1:7">
      <c r="A937">
        <v>936</v>
      </c>
      <c r="B937" t="s">
        <v>1895</v>
      </c>
      <c r="C937" t="s">
        <v>1719</v>
      </c>
      <c r="E937">
        <v>0.8</v>
      </c>
      <c r="F937" t="s">
        <v>546</v>
      </c>
      <c r="G937" s="174">
        <v>45576.460914351854</v>
      </c>
    </row>
    <row r="938" spans="1:7">
      <c r="A938">
        <v>937</v>
      </c>
      <c r="B938" t="s">
        <v>1896</v>
      </c>
      <c r="C938" t="s">
        <v>1667</v>
      </c>
      <c r="E938">
        <v>0.01</v>
      </c>
      <c r="F938" t="s">
        <v>546</v>
      </c>
      <c r="G938" s="174">
        <v>45576.460914351854</v>
      </c>
    </row>
    <row r="939" spans="1:7">
      <c r="A939">
        <v>938</v>
      </c>
      <c r="B939" t="s">
        <v>1897</v>
      </c>
      <c r="C939" t="s">
        <v>1702</v>
      </c>
      <c r="E939">
        <v>0.01</v>
      </c>
      <c r="F939" t="s">
        <v>546</v>
      </c>
      <c r="G939" s="174">
        <v>45576.460914351854</v>
      </c>
    </row>
    <row r="940" spans="1:7">
      <c r="A940">
        <v>939</v>
      </c>
      <c r="B940" t="s">
        <v>1898</v>
      </c>
      <c r="C940" t="s">
        <v>595</v>
      </c>
      <c r="E940">
        <v>0.01</v>
      </c>
      <c r="F940" t="s">
        <v>546</v>
      </c>
      <c r="G940" s="174">
        <v>45576.460914351854</v>
      </c>
    </row>
    <row r="941" spans="1:7">
      <c r="A941">
        <v>940</v>
      </c>
      <c r="B941" t="s">
        <v>1899</v>
      </c>
      <c r="C941" t="s">
        <v>1172</v>
      </c>
      <c r="E941">
        <v>0.01</v>
      </c>
      <c r="F941" t="s">
        <v>546</v>
      </c>
      <c r="G941" s="174">
        <v>45576.460914351854</v>
      </c>
    </row>
    <row r="942" spans="1:7">
      <c r="A942">
        <v>941</v>
      </c>
      <c r="B942" t="s">
        <v>1900</v>
      </c>
      <c r="C942" t="s">
        <v>1829</v>
      </c>
      <c r="E942">
        <v>0.01</v>
      </c>
      <c r="F942" t="s">
        <v>546</v>
      </c>
      <c r="G942" s="174">
        <v>45576.460914351854</v>
      </c>
    </row>
    <row r="943" spans="1:7">
      <c r="A943">
        <v>942</v>
      </c>
      <c r="B943" t="s">
        <v>1901</v>
      </c>
      <c r="C943" t="s">
        <v>595</v>
      </c>
      <c r="E943">
        <v>0.01</v>
      </c>
      <c r="F943" t="s">
        <v>546</v>
      </c>
      <c r="G943" s="174">
        <v>45576.460914351854</v>
      </c>
    </row>
    <row r="944" spans="1:7">
      <c r="A944">
        <v>943</v>
      </c>
      <c r="B944" t="s">
        <v>1902</v>
      </c>
      <c r="C944" t="s">
        <v>1787</v>
      </c>
      <c r="E944">
        <v>0.01</v>
      </c>
      <c r="F944" t="s">
        <v>546</v>
      </c>
      <c r="G944" s="174">
        <v>45576.460914351854</v>
      </c>
    </row>
    <row r="945" spans="1:7">
      <c r="A945">
        <v>944</v>
      </c>
      <c r="B945" t="s">
        <v>1902</v>
      </c>
      <c r="C945" t="s">
        <v>1788</v>
      </c>
      <c r="E945">
        <v>0.01</v>
      </c>
      <c r="F945" t="s">
        <v>546</v>
      </c>
      <c r="G945" s="174">
        <v>45576.460914351854</v>
      </c>
    </row>
    <row r="946" spans="1:7">
      <c r="A946">
        <v>945</v>
      </c>
      <c r="B946" t="s">
        <v>1903</v>
      </c>
      <c r="C946" t="s">
        <v>1891</v>
      </c>
      <c r="E946">
        <v>0.01</v>
      </c>
      <c r="F946" t="s">
        <v>546</v>
      </c>
      <c r="G946" s="174">
        <v>45576.460914351854</v>
      </c>
    </row>
    <row r="947" spans="1:7">
      <c r="A947">
        <v>946</v>
      </c>
      <c r="B947" t="s">
        <v>1904</v>
      </c>
      <c r="C947" t="s">
        <v>1905</v>
      </c>
      <c r="E947">
        <v>0.1</v>
      </c>
      <c r="F947" t="s">
        <v>546</v>
      </c>
      <c r="G947" s="174">
        <v>45576.460914351854</v>
      </c>
    </row>
    <row r="948" spans="1:7">
      <c r="A948">
        <v>947</v>
      </c>
      <c r="B948" t="s">
        <v>1906</v>
      </c>
      <c r="C948" t="s">
        <v>1223</v>
      </c>
      <c r="E948">
        <v>0.01</v>
      </c>
      <c r="F948" t="s">
        <v>546</v>
      </c>
      <c r="G948" s="174">
        <v>45576.460914351854</v>
      </c>
    </row>
    <row r="949" spans="1:7">
      <c r="A949">
        <v>948</v>
      </c>
      <c r="B949" t="s">
        <v>1907</v>
      </c>
      <c r="C949" t="s">
        <v>1908</v>
      </c>
      <c r="E949">
        <v>0.01</v>
      </c>
      <c r="F949" t="s">
        <v>546</v>
      </c>
      <c r="G949" s="174">
        <v>45576.460914351854</v>
      </c>
    </row>
    <row r="950" spans="1:7">
      <c r="A950">
        <v>949</v>
      </c>
      <c r="B950" t="s">
        <v>1909</v>
      </c>
      <c r="C950" t="s">
        <v>922</v>
      </c>
      <c r="E950">
        <v>0.01</v>
      </c>
      <c r="F950" t="s">
        <v>546</v>
      </c>
      <c r="G950" s="174">
        <v>45576.460914351854</v>
      </c>
    </row>
    <row r="951" spans="1:7">
      <c r="A951">
        <v>950</v>
      </c>
      <c r="B951" t="s">
        <v>1910</v>
      </c>
      <c r="C951" t="s">
        <v>1257</v>
      </c>
      <c r="E951">
        <v>0.01</v>
      </c>
      <c r="F951" t="s">
        <v>546</v>
      </c>
      <c r="G951" s="174">
        <v>45576.460914351854</v>
      </c>
    </row>
    <row r="952" spans="1:7">
      <c r="A952">
        <v>951</v>
      </c>
      <c r="B952" t="s">
        <v>1911</v>
      </c>
      <c r="C952" t="s">
        <v>1912</v>
      </c>
      <c r="E952">
        <v>0.1</v>
      </c>
      <c r="F952" t="s">
        <v>546</v>
      </c>
      <c r="G952" s="174">
        <v>45576.460914351854</v>
      </c>
    </row>
    <row r="953" spans="1:7">
      <c r="A953">
        <v>952</v>
      </c>
      <c r="B953" t="s">
        <v>1913</v>
      </c>
      <c r="C953" t="s">
        <v>1667</v>
      </c>
      <c r="E953">
        <v>0.01</v>
      </c>
      <c r="F953" t="s">
        <v>546</v>
      </c>
      <c r="G953" s="174">
        <v>45576.460914351854</v>
      </c>
    </row>
    <row r="954" spans="1:7">
      <c r="A954">
        <v>953</v>
      </c>
      <c r="B954" t="s">
        <v>1914</v>
      </c>
      <c r="C954" t="s">
        <v>1702</v>
      </c>
      <c r="E954">
        <v>0.01</v>
      </c>
      <c r="F954" t="s">
        <v>546</v>
      </c>
      <c r="G954" s="174">
        <v>45576.460914351854</v>
      </c>
    </row>
    <row r="955" spans="1:7">
      <c r="A955">
        <v>954</v>
      </c>
      <c r="B955" t="s">
        <v>1915</v>
      </c>
      <c r="C955" t="s">
        <v>863</v>
      </c>
      <c r="E955">
        <v>0.01</v>
      </c>
      <c r="F955" t="s">
        <v>546</v>
      </c>
      <c r="G955" s="174">
        <v>45576.460914351854</v>
      </c>
    </row>
    <row r="956" spans="1:7">
      <c r="A956">
        <v>955</v>
      </c>
      <c r="B956" t="s">
        <v>1916</v>
      </c>
      <c r="C956" t="s">
        <v>817</v>
      </c>
      <c r="E956">
        <v>0.01</v>
      </c>
      <c r="F956" t="s">
        <v>546</v>
      </c>
      <c r="G956" s="174">
        <v>45576.460914351854</v>
      </c>
    </row>
    <row r="957" spans="1:7">
      <c r="A957">
        <v>956</v>
      </c>
      <c r="B957" t="s">
        <v>1917</v>
      </c>
      <c r="C957" t="s">
        <v>599</v>
      </c>
      <c r="E957">
        <v>0.01</v>
      </c>
      <c r="F957" t="s">
        <v>546</v>
      </c>
      <c r="G957" s="174">
        <v>45576.460914351854</v>
      </c>
    </row>
    <row r="958" spans="1:7">
      <c r="A958">
        <v>957</v>
      </c>
      <c r="B958" t="s">
        <v>1918</v>
      </c>
      <c r="C958" t="s">
        <v>1919</v>
      </c>
      <c r="E958">
        <v>0.8</v>
      </c>
      <c r="F958" t="s">
        <v>546</v>
      </c>
      <c r="G958" s="174">
        <v>45576.460914351854</v>
      </c>
    </row>
    <row r="959" spans="1:7">
      <c r="A959">
        <v>958</v>
      </c>
      <c r="B959" t="s">
        <v>1920</v>
      </c>
      <c r="C959" t="s">
        <v>1921</v>
      </c>
      <c r="E959">
        <v>0.01</v>
      </c>
      <c r="F959" t="s">
        <v>546</v>
      </c>
      <c r="G959" s="174">
        <v>45576.460914351854</v>
      </c>
    </row>
    <row r="960" spans="1:7">
      <c r="A960">
        <v>959</v>
      </c>
      <c r="B960" t="s">
        <v>1922</v>
      </c>
      <c r="C960" t="s">
        <v>635</v>
      </c>
      <c r="E960">
        <v>0.05</v>
      </c>
      <c r="F960" t="s">
        <v>546</v>
      </c>
      <c r="G960" s="174">
        <v>45576.460914351854</v>
      </c>
    </row>
    <row r="961" spans="1:7">
      <c r="A961">
        <v>960</v>
      </c>
      <c r="B961" t="s">
        <v>1923</v>
      </c>
      <c r="C961" t="s">
        <v>1908</v>
      </c>
      <c r="E961">
        <v>0.01</v>
      </c>
      <c r="F961" t="s">
        <v>546</v>
      </c>
      <c r="G961" s="174">
        <v>45576.460914351854</v>
      </c>
    </row>
    <row r="962" spans="1:7">
      <c r="A962">
        <v>961</v>
      </c>
      <c r="B962" t="s">
        <v>1924</v>
      </c>
      <c r="C962" t="s">
        <v>1155</v>
      </c>
      <c r="E962">
        <v>0.1</v>
      </c>
      <c r="F962" t="s">
        <v>546</v>
      </c>
      <c r="G962" s="174">
        <v>45576.460914351854</v>
      </c>
    </row>
    <row r="963" spans="1:7">
      <c r="A963">
        <v>962</v>
      </c>
      <c r="B963" t="s">
        <v>1925</v>
      </c>
      <c r="C963" t="s">
        <v>1677</v>
      </c>
      <c r="E963">
        <v>0.01</v>
      </c>
      <c r="F963" t="s">
        <v>546</v>
      </c>
      <c r="G963" s="174">
        <v>45576.460914351854</v>
      </c>
    </row>
    <row r="964" spans="1:7">
      <c r="A964">
        <v>963</v>
      </c>
      <c r="B964" t="s">
        <v>1925</v>
      </c>
      <c r="C964" t="s">
        <v>1139</v>
      </c>
      <c r="E964">
        <v>0.01</v>
      </c>
      <c r="F964" t="s">
        <v>546</v>
      </c>
      <c r="G964" s="174">
        <v>45576.460914351854</v>
      </c>
    </row>
    <row r="965" spans="1:7">
      <c r="A965">
        <v>964</v>
      </c>
      <c r="B965" t="s">
        <v>1926</v>
      </c>
      <c r="C965" t="s">
        <v>1927</v>
      </c>
      <c r="E965">
        <v>0.01</v>
      </c>
      <c r="F965" t="s">
        <v>546</v>
      </c>
      <c r="G965" s="174">
        <v>45576.460914351854</v>
      </c>
    </row>
    <row r="966" spans="1:7">
      <c r="A966">
        <v>965</v>
      </c>
      <c r="B966" t="s">
        <v>1928</v>
      </c>
      <c r="C966" t="s">
        <v>1817</v>
      </c>
      <c r="E966">
        <v>0.8</v>
      </c>
      <c r="F966" t="s">
        <v>546</v>
      </c>
      <c r="G966" s="174">
        <v>45576.460914351854</v>
      </c>
    </row>
    <row r="967" spans="1:7">
      <c r="A967">
        <v>966</v>
      </c>
      <c r="B967" t="s">
        <v>1929</v>
      </c>
      <c r="C967" t="s">
        <v>1716</v>
      </c>
      <c r="E967">
        <v>0.01</v>
      </c>
      <c r="F967" t="s">
        <v>546</v>
      </c>
      <c r="G967" s="174">
        <v>45576.460914351854</v>
      </c>
    </row>
    <row r="968" spans="1:7">
      <c r="A968">
        <v>967</v>
      </c>
      <c r="B968" t="s">
        <v>1930</v>
      </c>
      <c r="C968" t="s">
        <v>698</v>
      </c>
      <c r="E968">
        <v>0.01</v>
      </c>
      <c r="F968" t="s">
        <v>546</v>
      </c>
      <c r="G968" s="174">
        <v>45576.460914351854</v>
      </c>
    </row>
    <row r="969" spans="1:7">
      <c r="A969">
        <v>968</v>
      </c>
      <c r="B969" t="s">
        <v>1931</v>
      </c>
      <c r="C969" t="s">
        <v>1932</v>
      </c>
      <c r="E969">
        <v>0.01</v>
      </c>
      <c r="F969" t="s">
        <v>546</v>
      </c>
      <c r="G969" s="174">
        <v>45576.460914351854</v>
      </c>
    </row>
    <row r="970" spans="1:7">
      <c r="A970">
        <v>969</v>
      </c>
      <c r="B970" t="s">
        <v>1933</v>
      </c>
      <c r="C970" t="s">
        <v>668</v>
      </c>
      <c r="E970">
        <v>0.01</v>
      </c>
      <c r="F970" t="s">
        <v>546</v>
      </c>
      <c r="G970" s="174">
        <v>45576.460914351854</v>
      </c>
    </row>
    <row r="971" spans="1:7">
      <c r="A971">
        <v>970</v>
      </c>
      <c r="B971" t="s">
        <v>1933</v>
      </c>
      <c r="C971" t="s">
        <v>1321</v>
      </c>
      <c r="E971">
        <v>0.01</v>
      </c>
      <c r="F971" t="s">
        <v>546</v>
      </c>
      <c r="G971" s="174">
        <v>45576.460914351854</v>
      </c>
    </row>
    <row r="972" spans="1:7">
      <c r="A972">
        <v>971</v>
      </c>
      <c r="B972" t="s">
        <v>1934</v>
      </c>
      <c r="C972" t="s">
        <v>1814</v>
      </c>
      <c r="E972">
        <v>0.01</v>
      </c>
      <c r="F972" t="s">
        <v>546</v>
      </c>
      <c r="G972" s="174">
        <v>45576.460914351854</v>
      </c>
    </row>
    <row r="973" spans="1:7">
      <c r="A973">
        <v>972</v>
      </c>
      <c r="B973" t="s">
        <v>1935</v>
      </c>
      <c r="C973" t="s">
        <v>1936</v>
      </c>
      <c r="E973">
        <v>0.01</v>
      </c>
      <c r="F973" t="s">
        <v>546</v>
      </c>
      <c r="G973" s="174">
        <v>45576.460914351854</v>
      </c>
    </row>
    <row r="974" spans="1:7">
      <c r="A974">
        <v>973</v>
      </c>
      <c r="B974" t="s">
        <v>1937</v>
      </c>
      <c r="C974" t="s">
        <v>592</v>
      </c>
      <c r="E974">
        <v>0.01</v>
      </c>
      <c r="F974" t="s">
        <v>546</v>
      </c>
      <c r="G974" s="174">
        <v>45576.460914351854</v>
      </c>
    </row>
    <row r="975" spans="1:7">
      <c r="A975">
        <v>974</v>
      </c>
      <c r="B975" t="s">
        <v>1938</v>
      </c>
      <c r="C975" t="s">
        <v>718</v>
      </c>
      <c r="E975">
        <v>0.01</v>
      </c>
      <c r="F975" t="s">
        <v>546</v>
      </c>
      <c r="G975" s="174">
        <v>45576.460914351854</v>
      </c>
    </row>
    <row r="976" spans="1:7">
      <c r="A976">
        <v>975</v>
      </c>
      <c r="B976" t="s">
        <v>1939</v>
      </c>
      <c r="C976" t="s">
        <v>1940</v>
      </c>
      <c r="E976">
        <v>0.01</v>
      </c>
      <c r="F976" t="s">
        <v>546</v>
      </c>
      <c r="G976" s="174">
        <v>45576.460914351854</v>
      </c>
    </row>
    <row r="977" spans="1:7">
      <c r="A977">
        <v>976</v>
      </c>
      <c r="B977" t="s">
        <v>1941</v>
      </c>
      <c r="C977" t="s">
        <v>1942</v>
      </c>
      <c r="E977">
        <v>0.01</v>
      </c>
      <c r="F977" t="s">
        <v>546</v>
      </c>
      <c r="G977" s="174">
        <v>45576.460914351854</v>
      </c>
    </row>
    <row r="978" spans="1:7">
      <c r="A978">
        <v>977</v>
      </c>
      <c r="B978" t="s">
        <v>1943</v>
      </c>
      <c r="C978" t="s">
        <v>1235</v>
      </c>
      <c r="E978">
        <v>0.01</v>
      </c>
      <c r="F978" t="s">
        <v>546</v>
      </c>
      <c r="G978" s="174">
        <v>45576.460914351854</v>
      </c>
    </row>
    <row r="979" spans="1:7">
      <c r="A979">
        <v>978</v>
      </c>
      <c r="B979" t="s">
        <v>1944</v>
      </c>
      <c r="C979" t="s">
        <v>1704</v>
      </c>
      <c r="E979">
        <v>0.01</v>
      </c>
      <c r="F979" t="s">
        <v>546</v>
      </c>
      <c r="G979" s="174">
        <v>45576.460914351854</v>
      </c>
    </row>
    <row r="980" spans="1:7">
      <c r="A980">
        <v>979</v>
      </c>
      <c r="B980" t="s">
        <v>1945</v>
      </c>
      <c r="C980" t="s">
        <v>625</v>
      </c>
      <c r="E980">
        <v>0.6</v>
      </c>
      <c r="F980" t="s">
        <v>546</v>
      </c>
      <c r="G980" s="174">
        <v>45576.460914351854</v>
      </c>
    </row>
    <row r="981" spans="1:7">
      <c r="A981">
        <v>980</v>
      </c>
      <c r="B981" t="s">
        <v>1946</v>
      </c>
      <c r="C981" t="s">
        <v>1947</v>
      </c>
      <c r="E981">
        <v>0.01</v>
      </c>
      <c r="F981" t="s">
        <v>546</v>
      </c>
      <c r="G981" s="174">
        <v>45576.460914351854</v>
      </c>
    </row>
    <row r="982" spans="1:7">
      <c r="A982">
        <v>981</v>
      </c>
      <c r="B982" t="s">
        <v>1948</v>
      </c>
      <c r="C982" t="s">
        <v>1536</v>
      </c>
      <c r="E982">
        <v>0.01</v>
      </c>
      <c r="F982" t="s">
        <v>546</v>
      </c>
      <c r="G982" s="174">
        <v>45576.460914351854</v>
      </c>
    </row>
    <row r="983" spans="1:7">
      <c r="A983">
        <v>982</v>
      </c>
      <c r="B983" t="s">
        <v>1949</v>
      </c>
      <c r="C983" t="s">
        <v>1145</v>
      </c>
      <c r="E983">
        <v>0.01</v>
      </c>
      <c r="F983" t="s">
        <v>546</v>
      </c>
      <c r="G983" s="174">
        <v>45576.460914351854</v>
      </c>
    </row>
    <row r="984" spans="1:7">
      <c r="A984">
        <v>983</v>
      </c>
      <c r="B984" t="s">
        <v>1949</v>
      </c>
      <c r="C984" t="s">
        <v>971</v>
      </c>
      <c r="E984">
        <v>0.01</v>
      </c>
      <c r="F984" t="s">
        <v>546</v>
      </c>
      <c r="G984" s="174">
        <v>45576.460914351854</v>
      </c>
    </row>
    <row r="985" spans="1:7">
      <c r="A985">
        <v>984</v>
      </c>
      <c r="B985" t="s">
        <v>1950</v>
      </c>
      <c r="C985" t="s">
        <v>1951</v>
      </c>
      <c r="E985">
        <v>0.5</v>
      </c>
      <c r="F985" t="s">
        <v>546</v>
      </c>
      <c r="G985" s="174">
        <v>45576.460914351854</v>
      </c>
    </row>
    <row r="986" spans="1:7">
      <c r="A986">
        <v>985</v>
      </c>
      <c r="B986" t="s">
        <v>1952</v>
      </c>
      <c r="C986" t="s">
        <v>1953</v>
      </c>
      <c r="E986">
        <v>0.01</v>
      </c>
      <c r="F986" t="s">
        <v>546</v>
      </c>
      <c r="G986" s="174">
        <v>45576.460914351854</v>
      </c>
    </row>
    <row r="987" spans="1:7">
      <c r="A987">
        <v>986</v>
      </c>
      <c r="B987" t="s">
        <v>1954</v>
      </c>
      <c r="C987" t="s">
        <v>1454</v>
      </c>
      <c r="E987">
        <v>0.01</v>
      </c>
      <c r="F987" t="s">
        <v>546</v>
      </c>
      <c r="G987" s="174">
        <v>45576.460914351854</v>
      </c>
    </row>
    <row r="988" spans="1:7">
      <c r="A988">
        <v>987</v>
      </c>
      <c r="B988" t="s">
        <v>1955</v>
      </c>
      <c r="C988" t="s">
        <v>866</v>
      </c>
      <c r="E988">
        <v>0.01</v>
      </c>
      <c r="F988" t="s">
        <v>546</v>
      </c>
      <c r="G988" s="174">
        <v>45576.460914351854</v>
      </c>
    </row>
    <row r="989" spans="1:7">
      <c r="A989">
        <v>988</v>
      </c>
      <c r="B989" t="s">
        <v>1956</v>
      </c>
      <c r="C989" t="s">
        <v>679</v>
      </c>
      <c r="E989">
        <v>0.1</v>
      </c>
      <c r="F989" t="s">
        <v>546</v>
      </c>
      <c r="G989" s="174">
        <v>45576.460914351854</v>
      </c>
    </row>
    <row r="990" spans="1:7">
      <c r="A990">
        <v>989</v>
      </c>
      <c r="B990" t="s">
        <v>1957</v>
      </c>
      <c r="C990" t="s">
        <v>1564</v>
      </c>
      <c r="E990">
        <v>0.1</v>
      </c>
      <c r="F990" t="s">
        <v>546</v>
      </c>
      <c r="G990" s="174">
        <v>45576.460914351854</v>
      </c>
    </row>
    <row r="991" spans="1:7">
      <c r="A991">
        <v>990</v>
      </c>
      <c r="B991" t="s">
        <v>1958</v>
      </c>
      <c r="C991" t="s">
        <v>801</v>
      </c>
      <c r="E991">
        <v>0.01</v>
      </c>
      <c r="F991" t="s">
        <v>546</v>
      </c>
      <c r="G991" s="174">
        <v>45576.460914351854</v>
      </c>
    </row>
    <row r="992" spans="1:7">
      <c r="A992">
        <v>991</v>
      </c>
      <c r="B992" t="s">
        <v>1958</v>
      </c>
      <c r="C992" t="s">
        <v>1959</v>
      </c>
      <c r="E992">
        <v>0.01</v>
      </c>
      <c r="F992" t="s">
        <v>546</v>
      </c>
      <c r="G992" s="174">
        <v>45576.460914351854</v>
      </c>
    </row>
    <row r="993" spans="1:7">
      <c r="A993">
        <v>992</v>
      </c>
      <c r="B993" t="s">
        <v>1958</v>
      </c>
      <c r="C993" t="s">
        <v>1960</v>
      </c>
      <c r="E993">
        <v>0.6</v>
      </c>
      <c r="F993" t="s">
        <v>546</v>
      </c>
      <c r="G993" s="174">
        <v>45576.460914351854</v>
      </c>
    </row>
    <row r="994" spans="1:7">
      <c r="A994">
        <v>993</v>
      </c>
      <c r="B994" t="s">
        <v>1961</v>
      </c>
      <c r="C994" t="s">
        <v>1962</v>
      </c>
      <c r="E994">
        <v>0.8</v>
      </c>
      <c r="F994" t="s">
        <v>546</v>
      </c>
      <c r="G994" s="174">
        <v>45576.460914351854</v>
      </c>
    </row>
    <row r="995" spans="1:7">
      <c r="A995">
        <v>994</v>
      </c>
      <c r="B995" t="s">
        <v>1963</v>
      </c>
      <c r="C995" t="s">
        <v>1669</v>
      </c>
      <c r="E995">
        <v>0.01</v>
      </c>
      <c r="F995" t="s">
        <v>546</v>
      </c>
      <c r="G995" s="174">
        <v>45576.460914351854</v>
      </c>
    </row>
    <row r="996" spans="1:7">
      <c r="A996">
        <v>995</v>
      </c>
      <c r="B996" t="s">
        <v>1964</v>
      </c>
      <c r="C996" t="s">
        <v>1965</v>
      </c>
      <c r="E996">
        <v>0.01</v>
      </c>
      <c r="F996" t="s">
        <v>546</v>
      </c>
      <c r="G996" s="174">
        <v>45576.460914351854</v>
      </c>
    </row>
    <row r="997" spans="1:7">
      <c r="A997">
        <v>996</v>
      </c>
      <c r="B997" t="s">
        <v>1966</v>
      </c>
      <c r="C997" t="s">
        <v>1050</v>
      </c>
      <c r="E997">
        <v>0.01</v>
      </c>
      <c r="F997" t="s">
        <v>546</v>
      </c>
      <c r="G997" s="174">
        <v>45576.460914351854</v>
      </c>
    </row>
    <row r="998" spans="1:7">
      <c r="A998">
        <v>997</v>
      </c>
      <c r="B998" t="s">
        <v>1967</v>
      </c>
      <c r="C998" t="s">
        <v>675</v>
      </c>
      <c r="E998">
        <v>0.01</v>
      </c>
      <c r="F998" t="s">
        <v>546</v>
      </c>
      <c r="G998" s="174">
        <v>45576.460914351854</v>
      </c>
    </row>
    <row r="999" spans="1:7">
      <c r="A999">
        <v>998</v>
      </c>
      <c r="B999" t="s">
        <v>1968</v>
      </c>
      <c r="C999" t="s">
        <v>1113</v>
      </c>
      <c r="E999">
        <v>0.01</v>
      </c>
      <c r="F999" t="s">
        <v>546</v>
      </c>
      <c r="G999" s="174">
        <v>45576.460914351854</v>
      </c>
    </row>
    <row r="1000" spans="1:7">
      <c r="A1000">
        <v>999</v>
      </c>
      <c r="B1000" t="s">
        <v>1969</v>
      </c>
      <c r="C1000" t="s">
        <v>1970</v>
      </c>
      <c r="E1000">
        <v>0.01</v>
      </c>
      <c r="F1000" t="s">
        <v>546</v>
      </c>
      <c r="G1000" s="174">
        <v>45576.460914351854</v>
      </c>
    </row>
    <row r="1001" spans="1:7">
      <c r="A1001">
        <v>1000</v>
      </c>
      <c r="B1001" t="s">
        <v>1971</v>
      </c>
      <c r="C1001" t="s">
        <v>647</v>
      </c>
      <c r="E1001">
        <v>0.01</v>
      </c>
      <c r="F1001" t="s">
        <v>546</v>
      </c>
      <c r="G1001" s="174">
        <v>45576.460914351854</v>
      </c>
    </row>
    <row r="1002" spans="1:7">
      <c r="A1002">
        <v>1001</v>
      </c>
      <c r="B1002" t="s">
        <v>1972</v>
      </c>
      <c r="C1002" t="s">
        <v>897</v>
      </c>
      <c r="E1002">
        <v>0.8</v>
      </c>
      <c r="F1002" t="s">
        <v>546</v>
      </c>
      <c r="G1002" s="174">
        <v>45576.460914351854</v>
      </c>
    </row>
    <row r="1003" spans="1:7">
      <c r="A1003">
        <v>1002</v>
      </c>
      <c r="B1003" t="s">
        <v>1973</v>
      </c>
      <c r="C1003" t="s">
        <v>1207</v>
      </c>
      <c r="E1003">
        <v>0.01</v>
      </c>
      <c r="F1003" t="s">
        <v>546</v>
      </c>
      <c r="G1003" s="174">
        <v>45576.460914351854</v>
      </c>
    </row>
    <row r="1004" spans="1:7">
      <c r="A1004">
        <v>1003</v>
      </c>
      <c r="B1004" t="s">
        <v>1974</v>
      </c>
      <c r="C1004" t="s">
        <v>953</v>
      </c>
      <c r="E1004">
        <v>0.01</v>
      </c>
      <c r="F1004" t="s">
        <v>546</v>
      </c>
      <c r="G1004" s="174">
        <v>45576.460914351854</v>
      </c>
    </row>
    <row r="1005" spans="1:7">
      <c r="A1005">
        <v>1004</v>
      </c>
      <c r="B1005" t="s">
        <v>1975</v>
      </c>
      <c r="C1005" t="s">
        <v>777</v>
      </c>
      <c r="E1005">
        <v>0.6</v>
      </c>
      <c r="F1005" t="s">
        <v>546</v>
      </c>
      <c r="G1005" s="174">
        <v>45576.460914351854</v>
      </c>
    </row>
    <row r="1006" spans="1:7">
      <c r="A1006">
        <v>1005</v>
      </c>
      <c r="B1006" t="s">
        <v>1976</v>
      </c>
      <c r="C1006" t="s">
        <v>1487</v>
      </c>
      <c r="E1006">
        <v>0.01</v>
      </c>
      <c r="F1006" t="s">
        <v>546</v>
      </c>
      <c r="G1006" s="174">
        <v>45576.460914351854</v>
      </c>
    </row>
    <row r="1007" spans="1:7">
      <c r="A1007">
        <v>1006</v>
      </c>
      <c r="B1007" t="s">
        <v>1977</v>
      </c>
      <c r="C1007" t="s">
        <v>1978</v>
      </c>
      <c r="E1007">
        <v>0.01</v>
      </c>
      <c r="F1007" t="s">
        <v>546</v>
      </c>
      <c r="G1007" s="174">
        <v>45576.460914351854</v>
      </c>
    </row>
    <row r="1008" spans="1:7">
      <c r="A1008">
        <v>1007</v>
      </c>
      <c r="B1008" t="s">
        <v>1977</v>
      </c>
      <c r="C1008" t="s">
        <v>1979</v>
      </c>
      <c r="E1008">
        <v>0.6</v>
      </c>
      <c r="F1008" t="s">
        <v>546</v>
      </c>
      <c r="G1008" s="174">
        <v>45576.460914351854</v>
      </c>
    </row>
    <row r="1009" spans="1:7">
      <c r="A1009">
        <v>1008</v>
      </c>
      <c r="B1009" t="s">
        <v>1980</v>
      </c>
      <c r="C1009" t="s">
        <v>701</v>
      </c>
      <c r="E1009">
        <v>0.1</v>
      </c>
      <c r="F1009" t="s">
        <v>546</v>
      </c>
      <c r="G1009" s="174">
        <v>45576.460914351854</v>
      </c>
    </row>
    <row r="1010" spans="1:7">
      <c r="A1010">
        <v>1009</v>
      </c>
      <c r="B1010" t="s">
        <v>1980</v>
      </c>
      <c r="C1010" t="s">
        <v>1865</v>
      </c>
      <c r="E1010">
        <v>0.05</v>
      </c>
      <c r="F1010" t="s">
        <v>546</v>
      </c>
      <c r="G1010" s="174">
        <v>45576.460914351854</v>
      </c>
    </row>
    <row r="1011" spans="1:7">
      <c r="A1011">
        <v>1010</v>
      </c>
      <c r="B1011" t="s">
        <v>1981</v>
      </c>
      <c r="C1011" t="s">
        <v>1982</v>
      </c>
      <c r="E1011">
        <v>0.01</v>
      </c>
      <c r="F1011" t="s">
        <v>546</v>
      </c>
      <c r="G1011" s="174">
        <v>45576.460914351854</v>
      </c>
    </row>
    <row r="1012" spans="1:7">
      <c r="A1012">
        <v>1011</v>
      </c>
      <c r="B1012" t="s">
        <v>1983</v>
      </c>
      <c r="C1012" t="s">
        <v>1219</v>
      </c>
      <c r="E1012">
        <v>0.01</v>
      </c>
      <c r="F1012" t="s">
        <v>546</v>
      </c>
      <c r="G1012" s="174">
        <v>45576.460914351854</v>
      </c>
    </row>
    <row r="1013" spans="1:7">
      <c r="A1013">
        <v>1012</v>
      </c>
      <c r="B1013" t="s">
        <v>1983</v>
      </c>
      <c r="C1013" t="s">
        <v>685</v>
      </c>
      <c r="E1013">
        <v>0.01</v>
      </c>
      <c r="F1013" t="s">
        <v>546</v>
      </c>
      <c r="G1013" s="174">
        <v>45576.460914351854</v>
      </c>
    </row>
    <row r="1014" spans="1:7">
      <c r="A1014">
        <v>1013</v>
      </c>
      <c r="B1014" t="s">
        <v>1983</v>
      </c>
      <c r="C1014" t="s">
        <v>972</v>
      </c>
      <c r="E1014">
        <v>0.01</v>
      </c>
      <c r="F1014" t="s">
        <v>546</v>
      </c>
      <c r="G1014" s="174">
        <v>45576.460914351854</v>
      </c>
    </row>
    <row r="1015" spans="1:7">
      <c r="A1015">
        <v>1014</v>
      </c>
      <c r="B1015" t="s">
        <v>1984</v>
      </c>
      <c r="C1015" t="s">
        <v>1347</v>
      </c>
      <c r="E1015">
        <v>0.01</v>
      </c>
      <c r="F1015" t="s">
        <v>546</v>
      </c>
      <c r="G1015" s="174">
        <v>45576.460914351854</v>
      </c>
    </row>
    <row r="1016" spans="1:7">
      <c r="A1016">
        <v>1015</v>
      </c>
      <c r="B1016" t="s">
        <v>1984</v>
      </c>
      <c r="C1016" t="s">
        <v>746</v>
      </c>
      <c r="E1016">
        <v>0.01</v>
      </c>
      <c r="F1016" t="s">
        <v>546</v>
      </c>
      <c r="G1016" s="174">
        <v>45576.460914351854</v>
      </c>
    </row>
    <row r="1017" spans="1:7">
      <c r="A1017">
        <v>1016</v>
      </c>
      <c r="B1017" t="s">
        <v>1985</v>
      </c>
      <c r="C1017" t="s">
        <v>645</v>
      </c>
      <c r="E1017">
        <v>0.01</v>
      </c>
      <c r="F1017" t="s">
        <v>546</v>
      </c>
      <c r="G1017" s="174">
        <v>45576.460914351854</v>
      </c>
    </row>
    <row r="1018" spans="1:7">
      <c r="A1018">
        <v>1017</v>
      </c>
      <c r="B1018" t="s">
        <v>1986</v>
      </c>
      <c r="C1018" t="s">
        <v>1118</v>
      </c>
      <c r="E1018">
        <v>0.01</v>
      </c>
      <c r="F1018" t="s">
        <v>546</v>
      </c>
      <c r="G1018" s="174">
        <v>45576.460914351854</v>
      </c>
    </row>
    <row r="1019" spans="1:7">
      <c r="A1019">
        <v>1018</v>
      </c>
      <c r="B1019" t="s">
        <v>1987</v>
      </c>
      <c r="C1019" t="s">
        <v>1613</v>
      </c>
      <c r="E1019">
        <v>0.01</v>
      </c>
      <c r="F1019" t="s">
        <v>546</v>
      </c>
      <c r="G1019" s="174">
        <v>45576.460914351854</v>
      </c>
    </row>
    <row r="1020" spans="1:7">
      <c r="A1020">
        <v>1019</v>
      </c>
      <c r="B1020" t="s">
        <v>1988</v>
      </c>
      <c r="C1020" t="s">
        <v>817</v>
      </c>
      <c r="E1020">
        <v>0.01</v>
      </c>
      <c r="F1020" t="s">
        <v>546</v>
      </c>
      <c r="G1020" s="174">
        <v>45576.460914351854</v>
      </c>
    </row>
    <row r="1021" spans="1:7">
      <c r="A1021">
        <v>1020</v>
      </c>
      <c r="B1021" t="s">
        <v>1989</v>
      </c>
      <c r="C1021" t="s">
        <v>726</v>
      </c>
      <c r="E1021">
        <v>0.01</v>
      </c>
      <c r="F1021" t="s">
        <v>546</v>
      </c>
      <c r="G1021" s="174">
        <v>45576.460914351854</v>
      </c>
    </row>
    <row r="1022" spans="1:7">
      <c r="A1022">
        <v>1021</v>
      </c>
      <c r="B1022" t="s">
        <v>1990</v>
      </c>
      <c r="C1022" t="s">
        <v>575</v>
      </c>
      <c r="E1022">
        <v>0.01</v>
      </c>
      <c r="F1022" t="s">
        <v>546</v>
      </c>
      <c r="G1022" s="174">
        <v>45576.460914351854</v>
      </c>
    </row>
    <row r="1023" spans="1:7">
      <c r="A1023">
        <v>1022</v>
      </c>
      <c r="B1023" t="s">
        <v>1991</v>
      </c>
      <c r="C1023" t="s">
        <v>1839</v>
      </c>
      <c r="E1023">
        <v>0.01</v>
      </c>
      <c r="F1023" t="s">
        <v>546</v>
      </c>
      <c r="G1023" s="174">
        <v>45576.460914351854</v>
      </c>
    </row>
    <row r="1024" spans="1:7">
      <c r="A1024">
        <v>1023</v>
      </c>
      <c r="B1024" t="s">
        <v>1992</v>
      </c>
      <c r="C1024" t="s">
        <v>1031</v>
      </c>
      <c r="E1024">
        <v>0.1</v>
      </c>
      <c r="F1024" t="s">
        <v>546</v>
      </c>
      <c r="G1024" s="174">
        <v>45576.460914351854</v>
      </c>
    </row>
    <row r="1025" spans="1:7">
      <c r="A1025">
        <v>1024</v>
      </c>
      <c r="B1025" t="s">
        <v>1993</v>
      </c>
      <c r="C1025" t="s">
        <v>599</v>
      </c>
      <c r="E1025">
        <v>0.01</v>
      </c>
      <c r="F1025" t="s">
        <v>546</v>
      </c>
      <c r="G1025" s="174">
        <v>45576.460914351854</v>
      </c>
    </row>
    <row r="1026" spans="1:7">
      <c r="A1026">
        <v>1025</v>
      </c>
      <c r="B1026" t="s">
        <v>1994</v>
      </c>
      <c r="C1026" t="s">
        <v>1995</v>
      </c>
      <c r="E1026">
        <v>0.01</v>
      </c>
      <c r="F1026" t="s">
        <v>546</v>
      </c>
      <c r="G1026" s="174">
        <v>45576.460914351854</v>
      </c>
    </row>
    <row r="1027" spans="1:7">
      <c r="A1027">
        <v>1026</v>
      </c>
      <c r="B1027" t="s">
        <v>1996</v>
      </c>
      <c r="C1027" t="s">
        <v>1894</v>
      </c>
      <c r="E1027">
        <v>0.01</v>
      </c>
      <c r="F1027" t="s">
        <v>546</v>
      </c>
      <c r="G1027" s="174">
        <v>45576.460914351854</v>
      </c>
    </row>
    <row r="1028" spans="1:7">
      <c r="A1028">
        <v>1027</v>
      </c>
      <c r="B1028" t="s">
        <v>1997</v>
      </c>
      <c r="C1028" t="s">
        <v>1998</v>
      </c>
      <c r="E1028">
        <v>0.01</v>
      </c>
      <c r="F1028" t="s">
        <v>546</v>
      </c>
      <c r="G1028" s="174">
        <v>45576.460914351854</v>
      </c>
    </row>
    <row r="1029" spans="1:7">
      <c r="A1029">
        <v>1028</v>
      </c>
      <c r="B1029" t="s">
        <v>1999</v>
      </c>
      <c r="C1029" t="s">
        <v>817</v>
      </c>
      <c r="E1029">
        <v>0.1</v>
      </c>
      <c r="F1029" t="s">
        <v>546</v>
      </c>
      <c r="G1029" s="174">
        <v>45576.460914351854</v>
      </c>
    </row>
    <row r="1030" spans="1:7">
      <c r="A1030">
        <v>1029</v>
      </c>
      <c r="B1030" t="s">
        <v>2000</v>
      </c>
      <c r="C1030" t="s">
        <v>883</v>
      </c>
      <c r="E1030">
        <v>0.01</v>
      </c>
      <c r="F1030" t="s">
        <v>546</v>
      </c>
      <c r="G1030" s="174">
        <v>45576.460914351854</v>
      </c>
    </row>
    <row r="1031" spans="1:7">
      <c r="A1031">
        <v>1030</v>
      </c>
      <c r="B1031" t="s">
        <v>2001</v>
      </c>
      <c r="C1031" t="s">
        <v>889</v>
      </c>
      <c r="E1031">
        <v>0.1</v>
      </c>
      <c r="F1031" t="s">
        <v>546</v>
      </c>
      <c r="G1031" s="174">
        <v>45576.460914351854</v>
      </c>
    </row>
    <row r="1032" spans="1:7">
      <c r="A1032">
        <v>1031</v>
      </c>
      <c r="B1032" t="s">
        <v>2001</v>
      </c>
      <c r="C1032" t="s">
        <v>2002</v>
      </c>
      <c r="E1032">
        <v>0.05</v>
      </c>
      <c r="F1032" t="s">
        <v>546</v>
      </c>
      <c r="G1032" s="174">
        <v>45576.460914351854</v>
      </c>
    </row>
    <row r="1033" spans="1:7">
      <c r="A1033">
        <v>1032</v>
      </c>
      <c r="B1033" t="s">
        <v>2003</v>
      </c>
      <c r="C1033" t="s">
        <v>2004</v>
      </c>
      <c r="E1033">
        <v>0.01</v>
      </c>
      <c r="F1033" t="s">
        <v>546</v>
      </c>
      <c r="G1033" s="174">
        <v>45576.460914351854</v>
      </c>
    </row>
    <row r="1034" spans="1:7">
      <c r="A1034">
        <v>1033</v>
      </c>
      <c r="B1034" t="s">
        <v>2005</v>
      </c>
      <c r="C1034" t="s">
        <v>640</v>
      </c>
      <c r="E1034">
        <v>0.1</v>
      </c>
      <c r="F1034" t="s">
        <v>546</v>
      </c>
      <c r="G1034" s="174">
        <v>45576.460914351854</v>
      </c>
    </row>
    <row r="1035" spans="1:7">
      <c r="A1035">
        <v>1034</v>
      </c>
      <c r="B1035" t="s">
        <v>2006</v>
      </c>
      <c r="C1035" t="s">
        <v>1597</v>
      </c>
      <c r="E1035">
        <v>0.1</v>
      </c>
      <c r="F1035" t="s">
        <v>546</v>
      </c>
      <c r="G1035" s="174">
        <v>45576.460914351854</v>
      </c>
    </row>
    <row r="1036" spans="1:7">
      <c r="A1036">
        <v>1035</v>
      </c>
      <c r="B1036" t="s">
        <v>2007</v>
      </c>
      <c r="C1036" t="s">
        <v>1629</v>
      </c>
      <c r="E1036">
        <v>0.01</v>
      </c>
      <c r="F1036" t="s">
        <v>546</v>
      </c>
      <c r="G1036" s="174">
        <v>45576.460914351854</v>
      </c>
    </row>
    <row r="1037" spans="1:7">
      <c r="A1037">
        <v>1036</v>
      </c>
      <c r="B1037" t="s">
        <v>2008</v>
      </c>
      <c r="C1037" t="s">
        <v>1679</v>
      </c>
      <c r="E1037">
        <v>0.01</v>
      </c>
      <c r="F1037" t="s">
        <v>546</v>
      </c>
      <c r="G1037" s="174">
        <v>45576.460914351854</v>
      </c>
    </row>
    <row r="1038" spans="1:7">
      <c r="A1038">
        <v>1037</v>
      </c>
      <c r="B1038" t="s">
        <v>2009</v>
      </c>
      <c r="C1038" t="s">
        <v>1570</v>
      </c>
      <c r="E1038">
        <v>0.01</v>
      </c>
      <c r="F1038" t="s">
        <v>546</v>
      </c>
      <c r="G1038" s="174">
        <v>45576.460914351854</v>
      </c>
    </row>
    <row r="1039" spans="1:7">
      <c r="A1039">
        <v>1038</v>
      </c>
      <c r="B1039" t="s">
        <v>2010</v>
      </c>
      <c r="C1039" t="s">
        <v>1572</v>
      </c>
      <c r="E1039">
        <v>0.01</v>
      </c>
      <c r="F1039" t="s">
        <v>546</v>
      </c>
      <c r="G1039" s="174">
        <v>45576.460914351854</v>
      </c>
    </row>
    <row r="1040" spans="1:7">
      <c r="A1040">
        <v>1039</v>
      </c>
      <c r="B1040" t="s">
        <v>2011</v>
      </c>
      <c r="C1040" t="s">
        <v>2012</v>
      </c>
      <c r="E1040">
        <v>0.01</v>
      </c>
      <c r="F1040" t="s">
        <v>546</v>
      </c>
      <c r="G1040" s="174">
        <v>45576.460914351854</v>
      </c>
    </row>
    <row r="1041" spans="1:7">
      <c r="A1041">
        <v>1040</v>
      </c>
      <c r="B1041" t="s">
        <v>2013</v>
      </c>
      <c r="C1041" t="s">
        <v>2014</v>
      </c>
      <c r="E1041">
        <v>0.01</v>
      </c>
      <c r="F1041" t="s">
        <v>546</v>
      </c>
      <c r="G1041" s="174">
        <v>45576.460914351854</v>
      </c>
    </row>
    <row r="1042" spans="1:7">
      <c r="A1042">
        <v>1041</v>
      </c>
      <c r="B1042" t="s">
        <v>2015</v>
      </c>
      <c r="C1042" t="s">
        <v>1326</v>
      </c>
      <c r="E1042">
        <v>0.01</v>
      </c>
      <c r="F1042" t="s">
        <v>546</v>
      </c>
      <c r="G1042" s="174">
        <v>45576.460914351854</v>
      </c>
    </row>
    <row r="1043" spans="1:7">
      <c r="A1043">
        <v>1042</v>
      </c>
      <c r="B1043" t="s">
        <v>2016</v>
      </c>
      <c r="C1043" t="s">
        <v>2017</v>
      </c>
      <c r="E1043">
        <v>0.01</v>
      </c>
      <c r="F1043" t="s">
        <v>546</v>
      </c>
      <c r="G1043" s="174">
        <v>45576.460914351854</v>
      </c>
    </row>
    <row r="1044" spans="1:7">
      <c r="A1044">
        <v>1043</v>
      </c>
      <c r="B1044" t="s">
        <v>2018</v>
      </c>
      <c r="C1044" t="s">
        <v>1827</v>
      </c>
      <c r="E1044">
        <v>0.01</v>
      </c>
      <c r="F1044" t="s">
        <v>546</v>
      </c>
      <c r="G1044" s="174">
        <v>45576.460914351854</v>
      </c>
    </row>
    <row r="1045" spans="1:7">
      <c r="A1045">
        <v>1044</v>
      </c>
      <c r="B1045" t="s">
        <v>2019</v>
      </c>
      <c r="C1045" t="s">
        <v>2020</v>
      </c>
      <c r="E1045">
        <v>0.01</v>
      </c>
      <c r="F1045" t="s">
        <v>546</v>
      </c>
      <c r="G1045" s="174">
        <v>45576.460914351854</v>
      </c>
    </row>
    <row r="1046" spans="1:7">
      <c r="A1046">
        <v>1045</v>
      </c>
      <c r="B1046" t="s">
        <v>2021</v>
      </c>
      <c r="C1046" t="s">
        <v>675</v>
      </c>
      <c r="E1046">
        <v>0.01</v>
      </c>
      <c r="F1046" t="s">
        <v>546</v>
      </c>
      <c r="G1046" s="174">
        <v>45576.460914351854</v>
      </c>
    </row>
    <row r="1047" spans="1:7">
      <c r="A1047">
        <v>1046</v>
      </c>
      <c r="B1047" t="s">
        <v>2022</v>
      </c>
      <c r="C1047" t="s">
        <v>2023</v>
      </c>
      <c r="E1047">
        <v>0.01</v>
      </c>
      <c r="F1047" t="s">
        <v>546</v>
      </c>
      <c r="G1047" s="174">
        <v>45576.460914351854</v>
      </c>
    </row>
    <row r="1048" spans="1:7">
      <c r="A1048">
        <v>1047</v>
      </c>
      <c r="B1048" t="s">
        <v>2024</v>
      </c>
      <c r="C1048" t="s">
        <v>1055</v>
      </c>
      <c r="E1048">
        <v>0.01</v>
      </c>
      <c r="F1048" t="s">
        <v>546</v>
      </c>
      <c r="G1048" s="174">
        <v>45576.460914351854</v>
      </c>
    </row>
    <row r="1049" spans="1:7">
      <c r="A1049">
        <v>1048</v>
      </c>
      <c r="B1049" t="s">
        <v>2025</v>
      </c>
      <c r="C1049" t="s">
        <v>2026</v>
      </c>
      <c r="E1049">
        <v>0.01</v>
      </c>
      <c r="F1049" t="s">
        <v>546</v>
      </c>
      <c r="G1049" s="174">
        <v>45576.460914351854</v>
      </c>
    </row>
    <row r="1050" spans="1:7">
      <c r="A1050">
        <v>1049</v>
      </c>
      <c r="B1050" t="s">
        <v>2025</v>
      </c>
      <c r="C1050" t="s">
        <v>2027</v>
      </c>
      <c r="E1050">
        <v>0.01</v>
      </c>
      <c r="F1050" t="s">
        <v>546</v>
      </c>
      <c r="G1050" s="174">
        <v>45576.460914351854</v>
      </c>
    </row>
    <row r="1051" spans="1:7">
      <c r="A1051">
        <v>1050</v>
      </c>
      <c r="B1051" t="s">
        <v>2028</v>
      </c>
      <c r="C1051" t="s">
        <v>2012</v>
      </c>
      <c r="E1051">
        <v>0.01</v>
      </c>
      <c r="F1051" t="s">
        <v>546</v>
      </c>
      <c r="G1051" s="174">
        <v>45576.460914351854</v>
      </c>
    </row>
    <row r="1052" spans="1:7">
      <c r="A1052">
        <v>1051</v>
      </c>
      <c r="B1052" t="s">
        <v>2029</v>
      </c>
      <c r="C1052" t="s">
        <v>2030</v>
      </c>
      <c r="E1052">
        <v>0.01</v>
      </c>
      <c r="F1052" t="s">
        <v>546</v>
      </c>
      <c r="G1052" s="174">
        <v>45576.460914351854</v>
      </c>
    </row>
    <row r="1053" spans="1:7">
      <c r="A1053">
        <v>1052</v>
      </c>
      <c r="B1053" t="s">
        <v>2031</v>
      </c>
      <c r="C1053" t="s">
        <v>1566</v>
      </c>
      <c r="E1053">
        <v>0.1</v>
      </c>
      <c r="F1053" t="s">
        <v>546</v>
      </c>
      <c r="G1053" s="174">
        <v>45576.460914351854</v>
      </c>
    </row>
    <row r="1054" spans="1:7">
      <c r="A1054">
        <v>1053</v>
      </c>
      <c r="B1054" t="s">
        <v>2032</v>
      </c>
      <c r="C1054" t="s">
        <v>2033</v>
      </c>
      <c r="E1054">
        <v>0.01</v>
      </c>
      <c r="F1054" t="s">
        <v>546</v>
      </c>
      <c r="G1054" s="174">
        <v>45576.460914351854</v>
      </c>
    </row>
    <row r="1055" spans="1:7">
      <c r="A1055">
        <v>1054</v>
      </c>
      <c r="B1055" t="s">
        <v>2034</v>
      </c>
      <c r="C1055" t="s">
        <v>1564</v>
      </c>
      <c r="E1055">
        <v>0.01</v>
      </c>
      <c r="F1055" t="s">
        <v>546</v>
      </c>
      <c r="G1055" s="174">
        <v>45576.460914351854</v>
      </c>
    </row>
    <row r="1056" spans="1:7">
      <c r="A1056">
        <v>1055</v>
      </c>
      <c r="B1056" t="s">
        <v>2035</v>
      </c>
      <c r="C1056" t="s">
        <v>1155</v>
      </c>
      <c r="E1056">
        <v>0.01</v>
      </c>
      <c r="F1056" t="s">
        <v>546</v>
      </c>
      <c r="G1056" s="174">
        <v>45576.460914351854</v>
      </c>
    </row>
    <row r="1057" spans="1:7">
      <c r="A1057">
        <v>1056</v>
      </c>
      <c r="B1057" t="s">
        <v>2036</v>
      </c>
      <c r="C1057" t="s">
        <v>2037</v>
      </c>
      <c r="E1057">
        <v>0.01</v>
      </c>
      <c r="F1057" t="s">
        <v>546</v>
      </c>
      <c r="G1057" s="174">
        <v>45576.460914351854</v>
      </c>
    </row>
    <row r="1058" spans="1:7">
      <c r="A1058">
        <v>1057</v>
      </c>
      <c r="B1058" t="s">
        <v>2038</v>
      </c>
      <c r="C1058" t="s">
        <v>1978</v>
      </c>
      <c r="E1058">
        <v>0.01</v>
      </c>
      <c r="F1058" t="s">
        <v>546</v>
      </c>
      <c r="G1058" s="174">
        <v>45576.460914351854</v>
      </c>
    </row>
    <row r="1059" spans="1:7">
      <c r="A1059">
        <v>1058</v>
      </c>
      <c r="B1059" t="s">
        <v>2039</v>
      </c>
      <c r="C1059" t="s">
        <v>765</v>
      </c>
      <c r="E1059">
        <v>0.01</v>
      </c>
      <c r="F1059" t="s">
        <v>546</v>
      </c>
      <c r="G1059" s="174">
        <v>45576.460914351854</v>
      </c>
    </row>
    <row r="1060" spans="1:7">
      <c r="A1060">
        <v>1059</v>
      </c>
      <c r="B1060" t="s">
        <v>2040</v>
      </c>
      <c r="C1060" t="s">
        <v>1561</v>
      </c>
      <c r="E1060">
        <v>0.01</v>
      </c>
      <c r="F1060" t="s">
        <v>546</v>
      </c>
      <c r="G1060" s="174">
        <v>45576.460914351854</v>
      </c>
    </row>
    <row r="1061" spans="1:7">
      <c r="A1061">
        <v>1060</v>
      </c>
      <c r="B1061" t="s">
        <v>2041</v>
      </c>
      <c r="C1061" t="s">
        <v>1393</v>
      </c>
      <c r="E1061">
        <v>0.01</v>
      </c>
      <c r="F1061" t="s">
        <v>546</v>
      </c>
      <c r="G1061" s="174">
        <v>45576.460914351854</v>
      </c>
    </row>
    <row r="1062" spans="1:7">
      <c r="A1062">
        <v>1061</v>
      </c>
      <c r="B1062" t="s">
        <v>2042</v>
      </c>
      <c r="C1062" t="s">
        <v>2043</v>
      </c>
      <c r="E1062">
        <v>0.01</v>
      </c>
      <c r="F1062" t="s">
        <v>546</v>
      </c>
      <c r="G1062" s="174">
        <v>45576.460914351854</v>
      </c>
    </row>
    <row r="1063" spans="1:7">
      <c r="A1063">
        <v>1062</v>
      </c>
      <c r="B1063" t="s">
        <v>2044</v>
      </c>
      <c r="C1063" t="s">
        <v>607</v>
      </c>
      <c r="E1063">
        <v>0.01</v>
      </c>
      <c r="F1063" t="s">
        <v>546</v>
      </c>
      <c r="G1063" s="174">
        <v>45576.460914351854</v>
      </c>
    </row>
    <row r="1064" spans="1:7">
      <c r="A1064">
        <v>1063</v>
      </c>
      <c r="B1064" t="s">
        <v>2045</v>
      </c>
      <c r="C1064" t="s">
        <v>2046</v>
      </c>
      <c r="E1064">
        <v>0.01</v>
      </c>
      <c r="F1064" t="s">
        <v>546</v>
      </c>
      <c r="G1064" s="174">
        <v>45576.460914351854</v>
      </c>
    </row>
    <row r="1065" spans="1:7">
      <c r="A1065">
        <v>1064</v>
      </c>
      <c r="B1065" t="s">
        <v>2047</v>
      </c>
      <c r="C1065" t="s">
        <v>2048</v>
      </c>
      <c r="E1065">
        <v>0.01</v>
      </c>
      <c r="F1065" t="s">
        <v>546</v>
      </c>
      <c r="G1065" s="174">
        <v>45576.460914351854</v>
      </c>
    </row>
    <row r="1066" spans="1:7">
      <c r="A1066">
        <v>1065</v>
      </c>
      <c r="B1066" t="s">
        <v>2049</v>
      </c>
      <c r="C1066" t="s">
        <v>1564</v>
      </c>
      <c r="E1066">
        <v>0.1</v>
      </c>
      <c r="F1066" t="s">
        <v>546</v>
      </c>
      <c r="G1066" s="174">
        <v>45576.460914351854</v>
      </c>
    </row>
    <row r="1067" spans="1:7">
      <c r="A1067">
        <v>1066</v>
      </c>
      <c r="B1067" t="s">
        <v>2050</v>
      </c>
      <c r="C1067" t="s">
        <v>2051</v>
      </c>
      <c r="E1067">
        <v>0.01</v>
      </c>
      <c r="F1067" t="s">
        <v>546</v>
      </c>
      <c r="G1067" s="174">
        <v>45576.460914351854</v>
      </c>
    </row>
    <row r="1068" spans="1:7">
      <c r="A1068">
        <v>1067</v>
      </c>
      <c r="B1068" t="s">
        <v>2052</v>
      </c>
      <c r="C1068" t="s">
        <v>1506</v>
      </c>
      <c r="E1068">
        <v>0.01</v>
      </c>
      <c r="F1068" t="s">
        <v>546</v>
      </c>
      <c r="G1068" s="174">
        <v>45576.460914351854</v>
      </c>
    </row>
    <row r="1069" spans="1:7">
      <c r="A1069">
        <v>1068</v>
      </c>
      <c r="B1069" t="s">
        <v>2053</v>
      </c>
      <c r="C1069" t="s">
        <v>1306</v>
      </c>
      <c r="E1069">
        <v>0.01</v>
      </c>
      <c r="F1069" t="s">
        <v>546</v>
      </c>
      <c r="G1069" s="174">
        <v>45576.460914351854</v>
      </c>
    </row>
    <row r="1070" spans="1:7">
      <c r="A1070">
        <v>1069</v>
      </c>
      <c r="B1070" t="s">
        <v>2053</v>
      </c>
      <c r="C1070" t="s">
        <v>2054</v>
      </c>
      <c r="E1070">
        <v>0.01</v>
      </c>
      <c r="F1070" t="s">
        <v>546</v>
      </c>
      <c r="G1070" s="174">
        <v>45576.460914351854</v>
      </c>
    </row>
    <row r="1071" spans="1:7">
      <c r="A1071">
        <v>1070</v>
      </c>
      <c r="B1071" t="s">
        <v>2055</v>
      </c>
      <c r="C1071" t="s">
        <v>2043</v>
      </c>
      <c r="E1071">
        <v>0.01</v>
      </c>
      <c r="F1071" t="s">
        <v>546</v>
      </c>
      <c r="G1071" s="174">
        <v>45576.460914351854</v>
      </c>
    </row>
    <row r="1072" spans="1:7">
      <c r="A1072">
        <v>1071</v>
      </c>
      <c r="B1072" t="s">
        <v>2056</v>
      </c>
      <c r="C1072" t="s">
        <v>2057</v>
      </c>
      <c r="E1072">
        <v>0.01</v>
      </c>
      <c r="F1072" t="s">
        <v>546</v>
      </c>
      <c r="G1072" s="174">
        <v>45576.460914351854</v>
      </c>
    </row>
    <row r="1073" spans="1:7">
      <c r="A1073">
        <v>1072</v>
      </c>
      <c r="B1073" t="s">
        <v>2056</v>
      </c>
      <c r="C1073" t="s">
        <v>1865</v>
      </c>
      <c r="E1073">
        <v>0.01</v>
      </c>
      <c r="F1073" t="s">
        <v>546</v>
      </c>
      <c r="G1073" s="174">
        <v>45576.460914351854</v>
      </c>
    </row>
    <row r="1074" spans="1:7">
      <c r="A1074">
        <v>1073</v>
      </c>
      <c r="B1074" t="s">
        <v>2058</v>
      </c>
      <c r="C1074" t="s">
        <v>1246</v>
      </c>
      <c r="E1074">
        <v>0.01</v>
      </c>
      <c r="F1074" t="s">
        <v>546</v>
      </c>
      <c r="G1074" s="174">
        <v>45576.460914351854</v>
      </c>
    </row>
    <row r="1075" spans="1:7">
      <c r="A1075">
        <v>1074</v>
      </c>
      <c r="B1075" t="s">
        <v>2059</v>
      </c>
      <c r="C1075" t="s">
        <v>1874</v>
      </c>
      <c r="E1075">
        <v>0.01</v>
      </c>
      <c r="F1075" t="s">
        <v>546</v>
      </c>
      <c r="G1075" s="174">
        <v>45576.460914351854</v>
      </c>
    </row>
    <row r="1076" spans="1:7">
      <c r="A1076">
        <v>1075</v>
      </c>
      <c r="B1076" t="s">
        <v>2060</v>
      </c>
      <c r="C1076" t="s">
        <v>2061</v>
      </c>
      <c r="E1076">
        <v>0.01</v>
      </c>
      <c r="F1076" t="s">
        <v>546</v>
      </c>
      <c r="G1076" s="174">
        <v>45576.460914351854</v>
      </c>
    </row>
    <row r="1077" spans="1:7">
      <c r="A1077">
        <v>1076</v>
      </c>
      <c r="B1077" t="s">
        <v>2060</v>
      </c>
      <c r="C1077" t="s">
        <v>631</v>
      </c>
      <c r="E1077">
        <v>0.01</v>
      </c>
      <c r="F1077" t="s">
        <v>546</v>
      </c>
      <c r="G1077" s="174">
        <v>45576.460914351854</v>
      </c>
    </row>
    <row r="1078" spans="1:7">
      <c r="A1078">
        <v>1077</v>
      </c>
      <c r="B1078" t="s">
        <v>2062</v>
      </c>
      <c r="C1078" t="s">
        <v>2063</v>
      </c>
      <c r="E1078">
        <v>0.01</v>
      </c>
      <c r="F1078" t="s">
        <v>546</v>
      </c>
      <c r="G1078" s="174">
        <v>45576.460914351854</v>
      </c>
    </row>
    <row r="1079" spans="1:7">
      <c r="A1079">
        <v>1078</v>
      </c>
      <c r="B1079" t="s">
        <v>2064</v>
      </c>
      <c r="C1079" t="s">
        <v>2065</v>
      </c>
      <c r="E1079">
        <v>0.01</v>
      </c>
      <c r="F1079" t="s">
        <v>546</v>
      </c>
      <c r="G1079" s="174">
        <v>45576.460914351854</v>
      </c>
    </row>
    <row r="1080" spans="1:7">
      <c r="A1080">
        <v>1079</v>
      </c>
      <c r="B1080" t="s">
        <v>2064</v>
      </c>
      <c r="C1080" t="s">
        <v>1607</v>
      </c>
      <c r="E1080">
        <v>0.01</v>
      </c>
      <c r="F1080" t="s">
        <v>546</v>
      </c>
      <c r="G1080" s="174">
        <v>45576.460914351854</v>
      </c>
    </row>
    <row r="1081" spans="1:7">
      <c r="A1081">
        <v>1080</v>
      </c>
      <c r="B1081" t="s">
        <v>2066</v>
      </c>
      <c r="C1081" t="s">
        <v>2037</v>
      </c>
      <c r="E1081">
        <v>0.01</v>
      </c>
      <c r="F1081" t="s">
        <v>546</v>
      </c>
      <c r="G1081" s="174">
        <v>45576.460914351854</v>
      </c>
    </row>
    <row r="1082" spans="1:7">
      <c r="A1082">
        <v>1081</v>
      </c>
      <c r="B1082" t="s">
        <v>2067</v>
      </c>
      <c r="C1082" t="s">
        <v>2068</v>
      </c>
      <c r="E1082">
        <v>0.1</v>
      </c>
      <c r="F1082" t="s">
        <v>546</v>
      </c>
      <c r="G1082" s="174">
        <v>45576.460914351854</v>
      </c>
    </row>
    <row r="1083" spans="1:7">
      <c r="A1083">
        <v>1082</v>
      </c>
      <c r="B1083" t="s">
        <v>2069</v>
      </c>
      <c r="C1083" t="s">
        <v>1285</v>
      </c>
      <c r="E1083">
        <v>0.1</v>
      </c>
      <c r="F1083" t="s">
        <v>546</v>
      </c>
      <c r="G1083" s="174">
        <v>45576.460914351854</v>
      </c>
    </row>
    <row r="1084" spans="1:7">
      <c r="A1084">
        <v>1083</v>
      </c>
      <c r="B1084" t="s">
        <v>2070</v>
      </c>
      <c r="C1084" t="s">
        <v>1219</v>
      </c>
      <c r="E1084">
        <v>0.01</v>
      </c>
      <c r="F1084" t="s">
        <v>546</v>
      </c>
      <c r="G1084" s="174">
        <v>45576.460914351854</v>
      </c>
    </row>
    <row r="1085" spans="1:7">
      <c r="A1085">
        <v>1084</v>
      </c>
      <c r="B1085" t="s">
        <v>2071</v>
      </c>
      <c r="C1085" t="s">
        <v>1504</v>
      </c>
      <c r="E1085">
        <v>0.01</v>
      </c>
      <c r="F1085" t="s">
        <v>546</v>
      </c>
      <c r="G1085" s="174">
        <v>45576.460914351854</v>
      </c>
    </row>
    <row r="1086" spans="1:7">
      <c r="A1086">
        <v>1085</v>
      </c>
      <c r="B1086" t="s">
        <v>2071</v>
      </c>
      <c r="C1086" t="s">
        <v>2072</v>
      </c>
      <c r="E1086">
        <v>0.01</v>
      </c>
      <c r="F1086" t="s">
        <v>546</v>
      </c>
      <c r="G1086" s="174">
        <v>45576.460914351854</v>
      </c>
    </row>
    <row r="1087" spans="1:7">
      <c r="A1087">
        <v>1086</v>
      </c>
      <c r="B1087" t="s">
        <v>2073</v>
      </c>
      <c r="C1087" t="s">
        <v>2074</v>
      </c>
      <c r="E1087">
        <v>0.1</v>
      </c>
      <c r="F1087" t="s">
        <v>546</v>
      </c>
      <c r="G1087" s="174">
        <v>45576.460914351854</v>
      </c>
    </row>
    <row r="1088" spans="1:7">
      <c r="A1088">
        <v>1087</v>
      </c>
      <c r="B1088" t="s">
        <v>2075</v>
      </c>
      <c r="C1088" t="s">
        <v>773</v>
      </c>
      <c r="E1088">
        <v>0.01</v>
      </c>
      <c r="F1088" t="s">
        <v>546</v>
      </c>
      <c r="G1088" s="174">
        <v>45576.460914351854</v>
      </c>
    </row>
    <row r="1089" spans="1:7">
      <c r="A1089">
        <v>1088</v>
      </c>
      <c r="B1089" t="s">
        <v>2076</v>
      </c>
      <c r="C1089" t="s">
        <v>1564</v>
      </c>
      <c r="E1089">
        <v>0.01</v>
      </c>
      <c r="F1089" t="s">
        <v>546</v>
      </c>
      <c r="G1089" s="174">
        <v>45576.460914351854</v>
      </c>
    </row>
    <row r="1090" spans="1:7">
      <c r="A1090">
        <v>1089</v>
      </c>
      <c r="B1090" t="s">
        <v>2077</v>
      </c>
      <c r="C1090" t="s">
        <v>2078</v>
      </c>
      <c r="E1090">
        <v>0.1</v>
      </c>
      <c r="F1090" t="s">
        <v>546</v>
      </c>
      <c r="G1090" s="174">
        <v>45576.460914351854</v>
      </c>
    </row>
    <row r="1091" spans="1:7">
      <c r="A1091">
        <v>1090</v>
      </c>
      <c r="B1091" t="s">
        <v>2079</v>
      </c>
      <c r="C1091" t="s">
        <v>2043</v>
      </c>
      <c r="E1091">
        <v>0.01</v>
      </c>
      <c r="F1091" t="s">
        <v>546</v>
      </c>
      <c r="G1091" s="174">
        <v>45576.460914351854</v>
      </c>
    </row>
    <row r="1092" spans="1:7">
      <c r="A1092">
        <v>1091</v>
      </c>
      <c r="B1092" t="s">
        <v>2080</v>
      </c>
      <c r="C1092" t="s">
        <v>1334</v>
      </c>
      <c r="E1092">
        <v>0.01</v>
      </c>
      <c r="F1092" t="s">
        <v>546</v>
      </c>
      <c r="G1092" s="174">
        <v>45576.460914351854</v>
      </c>
    </row>
    <row r="1093" spans="1:7">
      <c r="A1093">
        <v>1092</v>
      </c>
      <c r="B1093" t="s">
        <v>2081</v>
      </c>
      <c r="C1093" t="s">
        <v>2082</v>
      </c>
      <c r="E1093">
        <v>0.6</v>
      </c>
      <c r="F1093" t="s">
        <v>546</v>
      </c>
      <c r="G1093" s="174">
        <v>45576.460914351854</v>
      </c>
    </row>
    <row r="1094" spans="1:7">
      <c r="A1094">
        <v>1093</v>
      </c>
      <c r="B1094" t="s">
        <v>2083</v>
      </c>
      <c r="C1094" t="s">
        <v>1528</v>
      </c>
      <c r="E1094">
        <v>0.01</v>
      </c>
      <c r="F1094" t="s">
        <v>546</v>
      </c>
      <c r="G1094" s="174">
        <v>45576.460914351854</v>
      </c>
    </row>
    <row r="1095" spans="1:7">
      <c r="A1095">
        <v>1094</v>
      </c>
      <c r="B1095" t="s">
        <v>2084</v>
      </c>
      <c r="C1095" t="s">
        <v>1017</v>
      </c>
      <c r="E1095">
        <v>0.01</v>
      </c>
      <c r="F1095" t="s">
        <v>546</v>
      </c>
      <c r="G1095" s="174">
        <v>45576.460914351854</v>
      </c>
    </row>
    <row r="1096" spans="1:7">
      <c r="A1096">
        <v>1095</v>
      </c>
      <c r="B1096" t="s">
        <v>2085</v>
      </c>
      <c r="C1096" t="s">
        <v>1172</v>
      </c>
      <c r="E1096">
        <v>0.01</v>
      </c>
      <c r="F1096" t="s">
        <v>546</v>
      </c>
      <c r="G1096" s="174">
        <v>45576.460914351854</v>
      </c>
    </row>
    <row r="1097" spans="1:7">
      <c r="A1097">
        <v>1096</v>
      </c>
      <c r="B1097" t="s">
        <v>2086</v>
      </c>
      <c r="C1097" t="s">
        <v>1480</v>
      </c>
      <c r="E1097">
        <v>0.01</v>
      </c>
      <c r="F1097" t="s">
        <v>546</v>
      </c>
      <c r="G1097" s="174">
        <v>45576.460914351854</v>
      </c>
    </row>
    <row r="1098" spans="1:7">
      <c r="A1098">
        <v>1097</v>
      </c>
      <c r="B1098" t="s">
        <v>2087</v>
      </c>
      <c r="C1098" t="s">
        <v>2088</v>
      </c>
      <c r="E1098">
        <v>0.01</v>
      </c>
      <c r="F1098" t="s">
        <v>546</v>
      </c>
      <c r="G1098" s="174">
        <v>45576.460914351854</v>
      </c>
    </row>
    <row r="1099" spans="1:7">
      <c r="A1099">
        <v>1098</v>
      </c>
      <c r="B1099" t="s">
        <v>2087</v>
      </c>
      <c r="C1099" t="s">
        <v>721</v>
      </c>
      <c r="E1099">
        <v>0.01</v>
      </c>
      <c r="F1099" t="s">
        <v>546</v>
      </c>
      <c r="G1099" s="174">
        <v>45576.460914351854</v>
      </c>
    </row>
    <row r="1100" spans="1:7">
      <c r="A1100">
        <v>1099</v>
      </c>
      <c r="B1100" t="s">
        <v>2087</v>
      </c>
      <c r="C1100" t="s">
        <v>2089</v>
      </c>
      <c r="E1100">
        <v>0.01</v>
      </c>
      <c r="F1100" t="s">
        <v>546</v>
      </c>
      <c r="G1100" s="174">
        <v>45576.460914351854</v>
      </c>
    </row>
    <row r="1101" spans="1:7">
      <c r="A1101">
        <v>1100</v>
      </c>
      <c r="B1101" t="s">
        <v>2090</v>
      </c>
      <c r="C1101" t="s">
        <v>2091</v>
      </c>
      <c r="E1101">
        <v>0.01</v>
      </c>
      <c r="F1101" t="s">
        <v>546</v>
      </c>
      <c r="G1101" s="174">
        <v>45576.460914351854</v>
      </c>
    </row>
    <row r="1102" spans="1:7">
      <c r="A1102">
        <v>1101</v>
      </c>
      <c r="B1102" t="s">
        <v>2092</v>
      </c>
      <c r="C1102" t="s">
        <v>1716</v>
      </c>
      <c r="E1102">
        <v>0.01</v>
      </c>
      <c r="F1102" t="s">
        <v>546</v>
      </c>
      <c r="G1102" s="174">
        <v>45576.460914351854</v>
      </c>
    </row>
    <row r="1103" spans="1:7">
      <c r="A1103">
        <v>1102</v>
      </c>
      <c r="B1103" t="s">
        <v>2093</v>
      </c>
      <c r="C1103" t="s">
        <v>1031</v>
      </c>
      <c r="E1103">
        <v>0.01</v>
      </c>
      <c r="F1103" t="s">
        <v>546</v>
      </c>
      <c r="G1103" s="174">
        <v>45576.460914351854</v>
      </c>
    </row>
    <row r="1104" spans="1:7">
      <c r="A1104">
        <v>1103</v>
      </c>
      <c r="B1104" t="s">
        <v>2094</v>
      </c>
      <c r="C1104" t="s">
        <v>2095</v>
      </c>
      <c r="E1104">
        <v>0.01</v>
      </c>
      <c r="F1104" t="s">
        <v>546</v>
      </c>
      <c r="G1104" s="174">
        <v>45576.460914351854</v>
      </c>
    </row>
    <row r="1105" spans="1:7">
      <c r="A1105">
        <v>1104</v>
      </c>
      <c r="B1105" t="s">
        <v>2096</v>
      </c>
      <c r="C1105" t="s">
        <v>715</v>
      </c>
      <c r="E1105">
        <v>0.01</v>
      </c>
      <c r="F1105" t="s">
        <v>546</v>
      </c>
      <c r="G1105" s="174">
        <v>45576.460914351854</v>
      </c>
    </row>
    <row r="1106" spans="1:7">
      <c r="A1106">
        <v>1105</v>
      </c>
      <c r="B1106" t="s">
        <v>2097</v>
      </c>
      <c r="C1106" t="s">
        <v>2098</v>
      </c>
      <c r="E1106">
        <v>0.01</v>
      </c>
      <c r="F1106" t="s">
        <v>546</v>
      </c>
      <c r="G1106" s="174">
        <v>45576.460914351854</v>
      </c>
    </row>
    <row r="1107" spans="1:7">
      <c r="A1107">
        <v>1106</v>
      </c>
      <c r="B1107" t="s">
        <v>2099</v>
      </c>
      <c r="C1107" t="s">
        <v>1124</v>
      </c>
      <c r="E1107">
        <v>0.01</v>
      </c>
      <c r="F1107" t="s">
        <v>546</v>
      </c>
      <c r="G1107" s="174">
        <v>45576.460914351854</v>
      </c>
    </row>
    <row r="1108" spans="1:7">
      <c r="A1108">
        <v>1107</v>
      </c>
      <c r="B1108" t="s">
        <v>2100</v>
      </c>
      <c r="C1108" t="s">
        <v>817</v>
      </c>
      <c r="E1108">
        <v>0.01</v>
      </c>
      <c r="F1108" t="s">
        <v>546</v>
      </c>
      <c r="G1108" s="174">
        <v>45576.460914351854</v>
      </c>
    </row>
    <row r="1109" spans="1:7">
      <c r="A1109">
        <v>1108</v>
      </c>
      <c r="B1109" t="s">
        <v>2101</v>
      </c>
      <c r="C1109" t="s">
        <v>1424</v>
      </c>
      <c r="E1109">
        <v>0.05</v>
      </c>
      <c r="F1109" t="s">
        <v>546</v>
      </c>
      <c r="G1109" s="174">
        <v>45576.460914351854</v>
      </c>
    </row>
    <row r="1110" spans="1:7">
      <c r="A1110">
        <v>1109</v>
      </c>
      <c r="B1110" t="s">
        <v>2102</v>
      </c>
      <c r="C1110" t="s">
        <v>739</v>
      </c>
      <c r="E1110">
        <v>0.01</v>
      </c>
      <c r="F1110" t="s">
        <v>546</v>
      </c>
      <c r="G1110" s="174">
        <v>45576.460914351854</v>
      </c>
    </row>
    <row r="1111" spans="1:7">
      <c r="A1111">
        <v>1110</v>
      </c>
      <c r="B1111" t="s">
        <v>2103</v>
      </c>
      <c r="C1111" t="s">
        <v>1970</v>
      </c>
      <c r="E1111">
        <v>0.01</v>
      </c>
      <c r="F1111" t="s">
        <v>546</v>
      </c>
      <c r="G1111" s="174">
        <v>45576.460914351854</v>
      </c>
    </row>
    <row r="1112" spans="1:7">
      <c r="A1112">
        <v>1111</v>
      </c>
      <c r="B1112" t="s">
        <v>2104</v>
      </c>
      <c r="C1112" t="s">
        <v>1339</v>
      </c>
      <c r="E1112">
        <v>0.01</v>
      </c>
      <c r="F1112" t="s">
        <v>546</v>
      </c>
      <c r="G1112" s="174">
        <v>45576.460914351854</v>
      </c>
    </row>
    <row r="1113" spans="1:7">
      <c r="A1113">
        <v>1112</v>
      </c>
      <c r="B1113" t="s">
        <v>2105</v>
      </c>
      <c r="C1113" t="s">
        <v>2106</v>
      </c>
      <c r="E1113">
        <v>0.01</v>
      </c>
      <c r="F1113" t="s">
        <v>546</v>
      </c>
      <c r="G1113" s="174">
        <v>45576.460914351854</v>
      </c>
    </row>
    <row r="1114" spans="1:7">
      <c r="A1114">
        <v>1113</v>
      </c>
      <c r="B1114" t="s">
        <v>2107</v>
      </c>
      <c r="C1114" t="s">
        <v>726</v>
      </c>
      <c r="E1114">
        <v>0.01</v>
      </c>
      <c r="F1114" t="s">
        <v>546</v>
      </c>
      <c r="G1114" s="174">
        <v>45576.460914351854</v>
      </c>
    </row>
    <row r="1115" spans="1:7">
      <c r="A1115">
        <v>1114</v>
      </c>
      <c r="B1115" t="s">
        <v>2107</v>
      </c>
      <c r="C1115" t="s">
        <v>583</v>
      </c>
      <c r="E1115">
        <v>0.8</v>
      </c>
      <c r="F1115" t="s">
        <v>2108</v>
      </c>
      <c r="G1115" s="174">
        <v>45576.460914351854</v>
      </c>
    </row>
    <row r="1116" spans="1:7">
      <c r="A1116">
        <v>1115</v>
      </c>
      <c r="B1116" t="s">
        <v>2109</v>
      </c>
      <c r="C1116" t="s">
        <v>1031</v>
      </c>
      <c r="E1116">
        <v>0.01</v>
      </c>
      <c r="F1116" t="s">
        <v>546</v>
      </c>
      <c r="G1116" s="174">
        <v>45576.460914351854</v>
      </c>
    </row>
    <row r="1117" spans="1:7">
      <c r="A1117">
        <v>1116</v>
      </c>
      <c r="B1117" t="s">
        <v>2110</v>
      </c>
      <c r="C1117" t="s">
        <v>1116</v>
      </c>
      <c r="E1117">
        <v>0.01</v>
      </c>
      <c r="F1117" t="s">
        <v>546</v>
      </c>
      <c r="G1117" s="174">
        <v>45576.460914351854</v>
      </c>
    </row>
    <row r="1118" spans="1:7">
      <c r="A1118">
        <v>1117</v>
      </c>
      <c r="B1118" t="s">
        <v>2111</v>
      </c>
      <c r="C1118" t="s">
        <v>583</v>
      </c>
      <c r="E1118">
        <v>0.01</v>
      </c>
      <c r="F1118" t="s">
        <v>546</v>
      </c>
      <c r="G1118" s="174">
        <v>45576.460914351854</v>
      </c>
    </row>
    <row r="1119" spans="1:7">
      <c r="A1119">
        <v>1118</v>
      </c>
      <c r="B1119" t="s">
        <v>2112</v>
      </c>
      <c r="C1119" t="s">
        <v>1824</v>
      </c>
      <c r="E1119">
        <v>0.01</v>
      </c>
      <c r="F1119" t="s">
        <v>546</v>
      </c>
      <c r="G1119" s="174">
        <v>45576.460914351854</v>
      </c>
    </row>
    <row r="1120" spans="1:7">
      <c r="A1120">
        <v>1119</v>
      </c>
      <c r="B1120" t="s">
        <v>2112</v>
      </c>
      <c r="C1120" t="s">
        <v>2113</v>
      </c>
      <c r="E1120">
        <v>0.01</v>
      </c>
      <c r="F1120" t="s">
        <v>546</v>
      </c>
      <c r="G1120" s="174">
        <v>45576.460914351854</v>
      </c>
    </row>
    <row r="1121" spans="1:7">
      <c r="A1121">
        <v>1120</v>
      </c>
      <c r="B1121" t="s">
        <v>2114</v>
      </c>
      <c r="C1121" t="s">
        <v>1226</v>
      </c>
      <c r="E1121">
        <v>0.01</v>
      </c>
      <c r="F1121" t="s">
        <v>546</v>
      </c>
      <c r="G1121" s="174">
        <v>45576.460914351854</v>
      </c>
    </row>
    <row r="1122" spans="1:7">
      <c r="A1122">
        <v>1121</v>
      </c>
      <c r="B1122" t="s">
        <v>2115</v>
      </c>
      <c r="C1122" t="s">
        <v>739</v>
      </c>
      <c r="E1122">
        <v>0.01</v>
      </c>
      <c r="F1122" t="s">
        <v>546</v>
      </c>
      <c r="G1122" s="174">
        <v>45576.460914351854</v>
      </c>
    </row>
    <row r="1123" spans="1:7">
      <c r="A1123">
        <v>1122</v>
      </c>
      <c r="B1123" t="s">
        <v>2116</v>
      </c>
      <c r="C1123" t="s">
        <v>2117</v>
      </c>
      <c r="E1123">
        <v>0.01</v>
      </c>
      <c r="F1123" t="s">
        <v>546</v>
      </c>
      <c r="G1123" s="174">
        <v>45576.460914351854</v>
      </c>
    </row>
    <row r="1124" spans="1:7">
      <c r="A1124">
        <v>1123</v>
      </c>
      <c r="B1124" t="s">
        <v>2118</v>
      </c>
      <c r="C1124" t="s">
        <v>555</v>
      </c>
      <c r="E1124">
        <v>0.01</v>
      </c>
      <c r="F1124" t="s">
        <v>546</v>
      </c>
      <c r="G1124" s="174">
        <v>45576.460914351854</v>
      </c>
    </row>
    <row r="1125" spans="1:7">
      <c r="A1125">
        <v>1124</v>
      </c>
      <c r="B1125" t="s">
        <v>2119</v>
      </c>
      <c r="C1125" t="s">
        <v>1172</v>
      </c>
      <c r="E1125">
        <v>0.01</v>
      </c>
      <c r="F1125" t="s">
        <v>546</v>
      </c>
      <c r="G1125" s="174">
        <v>45576.460914351854</v>
      </c>
    </row>
    <row r="1126" spans="1:7">
      <c r="A1126">
        <v>1125</v>
      </c>
      <c r="B1126" t="s">
        <v>2120</v>
      </c>
      <c r="C1126" t="s">
        <v>1889</v>
      </c>
      <c r="E1126">
        <v>0.01</v>
      </c>
      <c r="F1126" t="s">
        <v>546</v>
      </c>
      <c r="G1126" s="174">
        <v>45576.460914351854</v>
      </c>
    </row>
    <row r="1127" spans="1:7">
      <c r="A1127">
        <v>1126</v>
      </c>
      <c r="B1127" t="s">
        <v>2121</v>
      </c>
      <c r="C1127" t="s">
        <v>675</v>
      </c>
      <c r="E1127">
        <v>0.1</v>
      </c>
      <c r="F1127" t="s">
        <v>546</v>
      </c>
      <c r="G1127" s="174">
        <v>45576.460914351854</v>
      </c>
    </row>
    <row r="1128" spans="1:7">
      <c r="A1128">
        <v>1127</v>
      </c>
      <c r="B1128" t="s">
        <v>2122</v>
      </c>
      <c r="C1128" t="s">
        <v>2123</v>
      </c>
      <c r="E1128">
        <v>0.01</v>
      </c>
      <c r="F1128" t="s">
        <v>546</v>
      </c>
      <c r="G1128" s="174">
        <v>45576.460914351854</v>
      </c>
    </row>
    <row r="1129" spans="1:7">
      <c r="A1129">
        <v>1128</v>
      </c>
      <c r="B1129" t="s">
        <v>2124</v>
      </c>
      <c r="C1129" t="s">
        <v>754</v>
      </c>
      <c r="E1129">
        <v>0.01</v>
      </c>
      <c r="F1129" t="s">
        <v>546</v>
      </c>
      <c r="G1129" s="174">
        <v>45576.460914351854</v>
      </c>
    </row>
    <row r="1130" spans="1:7">
      <c r="A1130">
        <v>1129</v>
      </c>
      <c r="B1130" t="s">
        <v>2125</v>
      </c>
      <c r="C1130" t="s">
        <v>2126</v>
      </c>
      <c r="E1130">
        <v>0.1</v>
      </c>
      <c r="F1130" t="s">
        <v>546</v>
      </c>
      <c r="G1130" s="174">
        <v>45576.460914351854</v>
      </c>
    </row>
    <row r="1131" spans="1:7">
      <c r="A1131">
        <v>1130</v>
      </c>
      <c r="B1131" t="s">
        <v>2127</v>
      </c>
      <c r="C1131" t="s">
        <v>1000</v>
      </c>
      <c r="E1131">
        <v>0.01</v>
      </c>
      <c r="F1131" t="s">
        <v>546</v>
      </c>
      <c r="G1131" s="174">
        <v>45576.460914351854</v>
      </c>
    </row>
    <row r="1132" spans="1:7">
      <c r="A1132">
        <v>1131</v>
      </c>
      <c r="B1132" t="s">
        <v>2128</v>
      </c>
      <c r="C1132" t="s">
        <v>2129</v>
      </c>
      <c r="E1132">
        <v>0.01</v>
      </c>
      <c r="F1132" t="s">
        <v>546</v>
      </c>
      <c r="G1132" s="174">
        <v>45576.460914351854</v>
      </c>
    </row>
    <row r="1133" spans="1:7">
      <c r="A1133">
        <v>1132</v>
      </c>
      <c r="B1133" t="s">
        <v>2130</v>
      </c>
      <c r="C1133" t="s">
        <v>2131</v>
      </c>
      <c r="E1133">
        <v>0.01</v>
      </c>
      <c r="F1133" t="s">
        <v>546</v>
      </c>
      <c r="G1133" s="174">
        <v>45576.460914351854</v>
      </c>
    </row>
    <row r="1134" spans="1:7">
      <c r="A1134">
        <v>1133</v>
      </c>
      <c r="B1134" t="s">
        <v>2132</v>
      </c>
      <c r="C1134" t="s">
        <v>2133</v>
      </c>
      <c r="E1134">
        <v>0.6</v>
      </c>
      <c r="F1134" t="s">
        <v>546</v>
      </c>
      <c r="G1134" s="174">
        <v>45576.460914351854</v>
      </c>
    </row>
    <row r="1135" spans="1:7">
      <c r="A1135">
        <v>1134</v>
      </c>
      <c r="B1135" t="s">
        <v>2134</v>
      </c>
      <c r="C1135" t="s">
        <v>859</v>
      </c>
      <c r="E1135">
        <v>0.01</v>
      </c>
      <c r="F1135" t="s">
        <v>546</v>
      </c>
      <c r="G1135" s="174">
        <v>45576.460914351854</v>
      </c>
    </row>
    <row r="1136" spans="1:7">
      <c r="A1136">
        <v>1135</v>
      </c>
      <c r="B1136" t="s">
        <v>2135</v>
      </c>
      <c r="C1136" t="s">
        <v>693</v>
      </c>
      <c r="E1136">
        <v>0.01</v>
      </c>
      <c r="F1136" t="s">
        <v>546</v>
      </c>
      <c r="G1136" s="174">
        <v>45576.460914351854</v>
      </c>
    </row>
    <row r="1137" spans="1:7">
      <c r="A1137">
        <v>1136</v>
      </c>
      <c r="B1137" t="s">
        <v>2136</v>
      </c>
      <c r="C1137" t="s">
        <v>1599</v>
      </c>
      <c r="E1137">
        <v>0.01</v>
      </c>
      <c r="F1137" t="s">
        <v>546</v>
      </c>
      <c r="G1137" s="174">
        <v>45576.460914351854</v>
      </c>
    </row>
    <row r="1138" spans="1:7">
      <c r="A1138">
        <v>1137</v>
      </c>
      <c r="B1138" t="s">
        <v>2137</v>
      </c>
      <c r="C1138" t="s">
        <v>651</v>
      </c>
      <c r="E1138">
        <v>0.01</v>
      </c>
      <c r="F1138" t="s">
        <v>546</v>
      </c>
      <c r="G1138" s="174">
        <v>45576.460914351854</v>
      </c>
    </row>
    <row r="1139" spans="1:7">
      <c r="A1139">
        <v>1138</v>
      </c>
      <c r="B1139" t="s">
        <v>2138</v>
      </c>
      <c r="C1139" t="s">
        <v>679</v>
      </c>
      <c r="E1139">
        <v>0.01</v>
      </c>
      <c r="F1139" t="s">
        <v>546</v>
      </c>
      <c r="G1139" s="174">
        <v>45576.460914351854</v>
      </c>
    </row>
    <row r="1140" spans="1:7">
      <c r="A1140">
        <v>1139</v>
      </c>
      <c r="B1140" t="s">
        <v>2139</v>
      </c>
      <c r="C1140" t="s">
        <v>895</v>
      </c>
      <c r="E1140">
        <v>0.01</v>
      </c>
      <c r="F1140" t="s">
        <v>546</v>
      </c>
      <c r="G1140" s="174">
        <v>45576.460914351854</v>
      </c>
    </row>
    <row r="1141" spans="1:7">
      <c r="A1141">
        <v>1140</v>
      </c>
      <c r="B1141" t="s">
        <v>2140</v>
      </c>
      <c r="C1141" t="s">
        <v>897</v>
      </c>
      <c r="E1141">
        <v>0.01</v>
      </c>
      <c r="F1141" t="s">
        <v>546</v>
      </c>
      <c r="G1141" s="174">
        <v>45576.460914351854</v>
      </c>
    </row>
    <row r="1142" spans="1:7">
      <c r="A1142">
        <v>1141</v>
      </c>
      <c r="B1142" t="s">
        <v>2141</v>
      </c>
      <c r="C1142" t="s">
        <v>1155</v>
      </c>
      <c r="E1142">
        <v>0.01</v>
      </c>
      <c r="F1142" t="s">
        <v>546</v>
      </c>
      <c r="G1142" s="174">
        <v>45576.460914351854</v>
      </c>
    </row>
    <row r="1143" spans="1:7">
      <c r="A1143">
        <v>1142</v>
      </c>
      <c r="B1143" t="s">
        <v>2142</v>
      </c>
      <c r="C1143" t="s">
        <v>1536</v>
      </c>
      <c r="E1143">
        <v>0.01</v>
      </c>
      <c r="F1143" t="s">
        <v>546</v>
      </c>
      <c r="G1143" s="174">
        <v>45576.460914351854</v>
      </c>
    </row>
    <row r="1144" spans="1:7">
      <c r="A1144">
        <v>1143</v>
      </c>
      <c r="B1144" t="s">
        <v>2143</v>
      </c>
      <c r="C1144" t="s">
        <v>2144</v>
      </c>
      <c r="E1144">
        <v>0.01</v>
      </c>
      <c r="F1144" t="s">
        <v>546</v>
      </c>
      <c r="G1144" s="174">
        <v>45576.460914351854</v>
      </c>
    </row>
    <row r="1145" spans="1:7">
      <c r="A1145">
        <v>1144</v>
      </c>
      <c r="B1145" t="s">
        <v>2145</v>
      </c>
      <c r="C1145" t="s">
        <v>1219</v>
      </c>
      <c r="E1145">
        <v>0.01</v>
      </c>
      <c r="F1145" t="s">
        <v>546</v>
      </c>
      <c r="G1145" s="174">
        <v>45576.460914351854</v>
      </c>
    </row>
    <row r="1146" spans="1:7">
      <c r="A1146">
        <v>1145</v>
      </c>
      <c r="B1146" t="s">
        <v>2146</v>
      </c>
      <c r="C1146" t="s">
        <v>2147</v>
      </c>
      <c r="E1146">
        <v>0.1</v>
      </c>
      <c r="F1146" t="s">
        <v>546</v>
      </c>
      <c r="G1146" s="174">
        <v>45576.460914351854</v>
      </c>
    </row>
    <row r="1147" spans="1:7">
      <c r="A1147">
        <v>1146</v>
      </c>
      <c r="B1147" t="s">
        <v>2148</v>
      </c>
      <c r="C1147" t="s">
        <v>2149</v>
      </c>
      <c r="E1147">
        <v>0.01</v>
      </c>
      <c r="F1147" t="s">
        <v>546</v>
      </c>
      <c r="G1147" s="174">
        <v>45576.460914351854</v>
      </c>
    </row>
    <row r="1148" spans="1:7">
      <c r="A1148">
        <v>1147</v>
      </c>
      <c r="B1148" t="s">
        <v>2150</v>
      </c>
      <c r="C1148" t="s">
        <v>1242</v>
      </c>
      <c r="E1148">
        <v>0.01</v>
      </c>
      <c r="F1148" t="s">
        <v>546</v>
      </c>
      <c r="G1148" s="174">
        <v>45576.460914351854</v>
      </c>
    </row>
    <row r="1149" spans="1:7">
      <c r="A1149">
        <v>1148</v>
      </c>
      <c r="B1149" t="s">
        <v>2151</v>
      </c>
      <c r="C1149" t="s">
        <v>2152</v>
      </c>
      <c r="E1149">
        <v>0.01</v>
      </c>
      <c r="F1149" t="s">
        <v>546</v>
      </c>
      <c r="G1149" s="174">
        <v>45576.460914351854</v>
      </c>
    </row>
    <row r="1150" spans="1:7">
      <c r="A1150">
        <v>1149</v>
      </c>
      <c r="B1150" t="s">
        <v>2153</v>
      </c>
      <c r="C1150" t="s">
        <v>976</v>
      </c>
      <c r="E1150">
        <v>0.01</v>
      </c>
      <c r="F1150" t="s">
        <v>546</v>
      </c>
      <c r="G1150" s="174">
        <v>45576.460914351854</v>
      </c>
    </row>
    <row r="1151" spans="1:7">
      <c r="A1151">
        <v>1150</v>
      </c>
      <c r="B1151" t="s">
        <v>2154</v>
      </c>
      <c r="C1151" t="s">
        <v>615</v>
      </c>
      <c r="E1151">
        <v>0.01</v>
      </c>
      <c r="F1151" t="s">
        <v>546</v>
      </c>
      <c r="G1151" s="174">
        <v>45576.460914351854</v>
      </c>
    </row>
    <row r="1152" spans="1:7">
      <c r="A1152">
        <v>1151</v>
      </c>
      <c r="B1152" t="s">
        <v>2155</v>
      </c>
      <c r="C1152" t="s">
        <v>1570</v>
      </c>
      <c r="E1152">
        <v>0.01</v>
      </c>
      <c r="F1152" t="s">
        <v>546</v>
      </c>
      <c r="G1152" s="174">
        <v>45576.460914351854</v>
      </c>
    </row>
    <row r="1153" spans="1:7">
      <c r="A1153">
        <v>1152</v>
      </c>
      <c r="B1153" t="s">
        <v>2156</v>
      </c>
      <c r="C1153" t="s">
        <v>2157</v>
      </c>
      <c r="E1153">
        <v>0.01</v>
      </c>
      <c r="F1153" t="s">
        <v>546</v>
      </c>
      <c r="G1153" s="174">
        <v>45576.460914351854</v>
      </c>
    </row>
    <row r="1154" spans="1:7">
      <c r="A1154">
        <v>1153</v>
      </c>
      <c r="B1154" t="s">
        <v>2158</v>
      </c>
      <c r="C1154" t="s">
        <v>629</v>
      </c>
      <c r="E1154">
        <v>0.01</v>
      </c>
      <c r="F1154" t="s">
        <v>546</v>
      </c>
      <c r="G1154" s="174">
        <v>45576.460914351854</v>
      </c>
    </row>
    <row r="1155" spans="1:7">
      <c r="A1155">
        <v>1154</v>
      </c>
      <c r="B1155" t="s">
        <v>2159</v>
      </c>
      <c r="C1155" t="s">
        <v>793</v>
      </c>
      <c r="E1155">
        <v>0.01</v>
      </c>
      <c r="F1155" t="s">
        <v>546</v>
      </c>
      <c r="G1155" s="174">
        <v>45576.460914351854</v>
      </c>
    </row>
    <row r="1156" spans="1:7">
      <c r="A1156">
        <v>1155</v>
      </c>
      <c r="B1156" t="s">
        <v>2160</v>
      </c>
      <c r="C1156" t="s">
        <v>2161</v>
      </c>
      <c r="E1156">
        <v>0.01</v>
      </c>
      <c r="F1156" t="s">
        <v>546</v>
      </c>
      <c r="G1156" s="174">
        <v>45576.460914351854</v>
      </c>
    </row>
    <row r="1157" spans="1:7">
      <c r="A1157">
        <v>1156</v>
      </c>
      <c r="B1157" t="s">
        <v>2160</v>
      </c>
      <c r="C1157" t="s">
        <v>2162</v>
      </c>
      <c r="E1157">
        <v>0.01</v>
      </c>
      <c r="F1157" t="s">
        <v>546</v>
      </c>
      <c r="G1157" s="174">
        <v>45576.460914351854</v>
      </c>
    </row>
    <row r="1158" spans="1:7">
      <c r="A1158">
        <v>1157</v>
      </c>
      <c r="B1158" t="s">
        <v>2163</v>
      </c>
      <c r="C1158" t="s">
        <v>733</v>
      </c>
      <c r="E1158">
        <v>0.01</v>
      </c>
      <c r="F1158" t="s">
        <v>546</v>
      </c>
      <c r="G1158" s="174">
        <v>45576.460914351854</v>
      </c>
    </row>
    <row r="1159" spans="1:7">
      <c r="A1159">
        <v>1158</v>
      </c>
      <c r="B1159" t="s">
        <v>2164</v>
      </c>
      <c r="C1159" t="s">
        <v>1570</v>
      </c>
      <c r="E1159">
        <v>0.01</v>
      </c>
      <c r="F1159" t="s">
        <v>546</v>
      </c>
      <c r="G1159" s="174">
        <v>45576.460914351854</v>
      </c>
    </row>
    <row r="1160" spans="1:7">
      <c r="A1160">
        <v>1159</v>
      </c>
      <c r="B1160" t="s">
        <v>2165</v>
      </c>
      <c r="C1160" t="s">
        <v>1741</v>
      </c>
      <c r="E1160">
        <v>0.01</v>
      </c>
      <c r="F1160" t="s">
        <v>546</v>
      </c>
      <c r="G1160" s="174">
        <v>45576.460914351854</v>
      </c>
    </row>
    <row r="1161" spans="1:7">
      <c r="A1161">
        <v>1160</v>
      </c>
      <c r="B1161" t="s">
        <v>2166</v>
      </c>
      <c r="C1161" t="s">
        <v>681</v>
      </c>
      <c r="E1161">
        <v>0.01</v>
      </c>
      <c r="F1161" t="s">
        <v>546</v>
      </c>
      <c r="G1161" s="174">
        <v>45576.460914351854</v>
      </c>
    </row>
    <row r="1162" spans="1:7">
      <c r="A1162">
        <v>1161</v>
      </c>
      <c r="B1162" t="s">
        <v>2167</v>
      </c>
      <c r="C1162" t="s">
        <v>2168</v>
      </c>
      <c r="E1162">
        <v>0.01</v>
      </c>
      <c r="F1162" t="s">
        <v>546</v>
      </c>
      <c r="G1162" s="174">
        <v>45576.460914351854</v>
      </c>
    </row>
    <row r="1163" spans="1:7">
      <c r="A1163">
        <v>1162</v>
      </c>
      <c r="B1163" t="s">
        <v>2169</v>
      </c>
      <c r="C1163" t="s">
        <v>868</v>
      </c>
      <c r="E1163">
        <v>0.8</v>
      </c>
      <c r="F1163" t="s">
        <v>546</v>
      </c>
      <c r="G1163" s="174">
        <v>45576.460914351854</v>
      </c>
    </row>
    <row r="1164" spans="1:7">
      <c r="A1164">
        <v>1163</v>
      </c>
      <c r="B1164" t="s">
        <v>2170</v>
      </c>
      <c r="C1164" t="s">
        <v>1127</v>
      </c>
      <c r="E1164">
        <v>0.01</v>
      </c>
      <c r="F1164" t="s">
        <v>546</v>
      </c>
      <c r="G1164" s="174">
        <v>45576.460914351854</v>
      </c>
    </row>
    <row r="1165" spans="1:7">
      <c r="A1165">
        <v>1164</v>
      </c>
      <c r="B1165" t="s">
        <v>2170</v>
      </c>
      <c r="C1165" t="s">
        <v>2171</v>
      </c>
      <c r="E1165">
        <v>0.01</v>
      </c>
      <c r="F1165" t="s">
        <v>546</v>
      </c>
      <c r="G1165" s="174">
        <v>45576.460914351854</v>
      </c>
    </row>
    <row r="1166" spans="1:7">
      <c r="A1166">
        <v>1165</v>
      </c>
      <c r="B1166" t="s">
        <v>2172</v>
      </c>
      <c r="C1166" t="s">
        <v>2173</v>
      </c>
      <c r="E1166">
        <v>0.6</v>
      </c>
      <c r="F1166" t="s">
        <v>546</v>
      </c>
      <c r="G1166" s="174">
        <v>45576.460914351854</v>
      </c>
    </row>
    <row r="1167" spans="1:7">
      <c r="A1167">
        <v>1166</v>
      </c>
      <c r="B1167" t="s">
        <v>2174</v>
      </c>
      <c r="C1167" t="s">
        <v>2175</v>
      </c>
      <c r="E1167">
        <v>0.01</v>
      </c>
      <c r="F1167" t="s">
        <v>546</v>
      </c>
      <c r="G1167" s="174">
        <v>45576.460914351854</v>
      </c>
    </row>
    <row r="1168" spans="1:7">
      <c r="A1168">
        <v>1167</v>
      </c>
      <c r="B1168" t="s">
        <v>2176</v>
      </c>
      <c r="C1168" t="s">
        <v>773</v>
      </c>
      <c r="E1168">
        <v>0.01</v>
      </c>
      <c r="F1168" t="s">
        <v>546</v>
      </c>
      <c r="G1168" s="174">
        <v>45576.460914351854</v>
      </c>
    </row>
    <row r="1169" spans="1:7">
      <c r="A1169">
        <v>1168</v>
      </c>
      <c r="B1169" t="s">
        <v>2177</v>
      </c>
      <c r="C1169" t="s">
        <v>2168</v>
      </c>
      <c r="E1169">
        <v>0.01</v>
      </c>
      <c r="F1169" t="s">
        <v>546</v>
      </c>
      <c r="G1169" s="174">
        <v>45576.460914351854</v>
      </c>
    </row>
    <row r="1170" spans="1:7">
      <c r="A1170">
        <v>1169</v>
      </c>
      <c r="B1170" t="s">
        <v>2178</v>
      </c>
      <c r="C1170" t="s">
        <v>820</v>
      </c>
      <c r="E1170">
        <v>0.01</v>
      </c>
      <c r="F1170" t="s">
        <v>546</v>
      </c>
      <c r="G1170" s="174">
        <v>45576.460914351854</v>
      </c>
    </row>
    <row r="1171" spans="1:7">
      <c r="A1171">
        <v>1170</v>
      </c>
      <c r="B1171" t="s">
        <v>2179</v>
      </c>
      <c r="C1171" t="s">
        <v>1139</v>
      </c>
      <c r="E1171">
        <v>0.05</v>
      </c>
      <c r="F1171" t="s">
        <v>546</v>
      </c>
      <c r="G1171" s="174">
        <v>45576.460914351854</v>
      </c>
    </row>
    <row r="1172" spans="1:7">
      <c r="A1172">
        <v>1171</v>
      </c>
      <c r="B1172" t="s">
        <v>2180</v>
      </c>
      <c r="C1172" t="s">
        <v>2181</v>
      </c>
      <c r="E1172">
        <v>0.01</v>
      </c>
      <c r="F1172" t="s">
        <v>546</v>
      </c>
      <c r="G1172" s="174">
        <v>45576.460914351854</v>
      </c>
    </row>
    <row r="1173" spans="1:7">
      <c r="A1173">
        <v>1172</v>
      </c>
      <c r="B1173" t="s">
        <v>2182</v>
      </c>
      <c r="C1173" t="s">
        <v>2183</v>
      </c>
      <c r="E1173">
        <v>0.01</v>
      </c>
      <c r="F1173" t="s">
        <v>546</v>
      </c>
      <c r="G1173" s="174">
        <v>45576.460914351854</v>
      </c>
    </row>
    <row r="1174" spans="1:7">
      <c r="A1174">
        <v>1173</v>
      </c>
      <c r="B1174" t="s">
        <v>2184</v>
      </c>
      <c r="C1174" t="s">
        <v>2185</v>
      </c>
      <c r="E1174">
        <v>0.01</v>
      </c>
      <c r="F1174" t="s">
        <v>546</v>
      </c>
      <c r="G1174" s="174">
        <v>45576.460914351854</v>
      </c>
    </row>
    <row r="1175" spans="1:7">
      <c r="A1175">
        <v>1174</v>
      </c>
      <c r="B1175" t="s">
        <v>2184</v>
      </c>
      <c r="C1175" t="s">
        <v>2186</v>
      </c>
      <c r="E1175">
        <v>0.01</v>
      </c>
      <c r="F1175" t="s">
        <v>546</v>
      </c>
      <c r="G1175" s="174">
        <v>45576.460914351854</v>
      </c>
    </row>
    <row r="1176" spans="1:7">
      <c r="A1176">
        <v>1175</v>
      </c>
      <c r="B1176" t="s">
        <v>2187</v>
      </c>
      <c r="C1176" t="s">
        <v>1570</v>
      </c>
      <c r="E1176">
        <v>0.01</v>
      </c>
      <c r="F1176" t="s">
        <v>546</v>
      </c>
      <c r="G1176" s="174">
        <v>45576.460914351854</v>
      </c>
    </row>
    <row r="1177" spans="1:7">
      <c r="A1177">
        <v>1176</v>
      </c>
      <c r="B1177" t="s">
        <v>2188</v>
      </c>
      <c r="C1177" t="s">
        <v>615</v>
      </c>
      <c r="E1177">
        <v>0.3</v>
      </c>
      <c r="F1177" t="s">
        <v>2189</v>
      </c>
      <c r="G1177" s="174">
        <v>45576.460914351854</v>
      </c>
    </row>
    <row r="1178" spans="1:7">
      <c r="A1178">
        <v>1177</v>
      </c>
      <c r="B1178" t="s">
        <v>2190</v>
      </c>
      <c r="C1178" t="s">
        <v>2191</v>
      </c>
      <c r="E1178">
        <v>0.1</v>
      </c>
      <c r="F1178" t="s">
        <v>546</v>
      </c>
      <c r="G1178" s="174">
        <v>45576.460914351854</v>
      </c>
    </row>
    <row r="1179" spans="1:7">
      <c r="A1179">
        <v>1178</v>
      </c>
      <c r="B1179" t="s">
        <v>2192</v>
      </c>
      <c r="C1179" t="s">
        <v>2193</v>
      </c>
      <c r="E1179">
        <v>0.01</v>
      </c>
      <c r="F1179" t="s">
        <v>546</v>
      </c>
      <c r="G1179" s="174">
        <v>45576.460914351854</v>
      </c>
    </row>
    <row r="1180" spans="1:7">
      <c r="A1180">
        <v>1179</v>
      </c>
      <c r="B1180" t="s">
        <v>2192</v>
      </c>
      <c r="C1180" t="s">
        <v>2194</v>
      </c>
      <c r="E1180">
        <v>0.8</v>
      </c>
      <c r="F1180" t="s">
        <v>2195</v>
      </c>
      <c r="G1180" s="174">
        <v>45576.460914351854</v>
      </c>
    </row>
    <row r="1181" spans="1:7">
      <c r="A1181">
        <v>1180</v>
      </c>
      <c r="B1181" t="s">
        <v>2192</v>
      </c>
      <c r="C1181" t="s">
        <v>1017</v>
      </c>
      <c r="E1181">
        <v>0.65</v>
      </c>
      <c r="F1181" t="s">
        <v>546</v>
      </c>
      <c r="G1181" s="174">
        <v>45576.460914351854</v>
      </c>
    </row>
    <row r="1182" spans="1:7">
      <c r="A1182">
        <v>1181</v>
      </c>
      <c r="B1182" t="s">
        <v>2196</v>
      </c>
      <c r="C1182" t="s">
        <v>793</v>
      </c>
      <c r="E1182">
        <v>0.01</v>
      </c>
      <c r="F1182" t="s">
        <v>546</v>
      </c>
      <c r="G1182" s="174">
        <v>45576.460914351854</v>
      </c>
    </row>
    <row r="1183" spans="1:7">
      <c r="A1183">
        <v>1182</v>
      </c>
      <c r="B1183" t="s">
        <v>2197</v>
      </c>
      <c r="C1183" t="s">
        <v>1242</v>
      </c>
      <c r="E1183">
        <v>0.1</v>
      </c>
      <c r="F1183" t="s">
        <v>546</v>
      </c>
      <c r="G1183" s="174">
        <v>45576.460914351854</v>
      </c>
    </row>
    <row r="1184" spans="1:7">
      <c r="A1184">
        <v>1183</v>
      </c>
      <c r="B1184" t="s">
        <v>2198</v>
      </c>
      <c r="C1184" t="s">
        <v>2199</v>
      </c>
      <c r="E1184">
        <v>0.01</v>
      </c>
      <c r="F1184" t="s">
        <v>546</v>
      </c>
      <c r="G1184" s="174">
        <v>45576.460914351854</v>
      </c>
    </row>
    <row r="1185" spans="1:7">
      <c r="A1185">
        <v>1184</v>
      </c>
      <c r="B1185" t="s">
        <v>2198</v>
      </c>
      <c r="C1185" t="s">
        <v>2065</v>
      </c>
      <c r="E1185">
        <v>0.01</v>
      </c>
      <c r="F1185" t="s">
        <v>546</v>
      </c>
      <c r="G1185" s="174">
        <v>45576.460914351854</v>
      </c>
    </row>
    <row r="1186" spans="1:7">
      <c r="A1186">
        <v>1185</v>
      </c>
      <c r="B1186" t="s">
        <v>2200</v>
      </c>
      <c r="C1186" t="s">
        <v>1504</v>
      </c>
      <c r="E1186">
        <v>0.05</v>
      </c>
      <c r="F1186" t="s">
        <v>546</v>
      </c>
      <c r="G1186" s="174">
        <v>45576.460914351854</v>
      </c>
    </row>
    <row r="1187" spans="1:7">
      <c r="A1187">
        <v>1186</v>
      </c>
      <c r="B1187" t="s">
        <v>2201</v>
      </c>
      <c r="C1187" t="s">
        <v>2202</v>
      </c>
      <c r="E1187">
        <v>0.1</v>
      </c>
      <c r="F1187" t="s">
        <v>546</v>
      </c>
      <c r="G1187" s="174">
        <v>45576.460914351854</v>
      </c>
    </row>
    <row r="1188" spans="1:7">
      <c r="A1188">
        <v>1187</v>
      </c>
      <c r="B1188" t="s">
        <v>2201</v>
      </c>
      <c r="C1188" t="s">
        <v>2203</v>
      </c>
      <c r="E1188">
        <v>0.1</v>
      </c>
      <c r="F1188" t="s">
        <v>546</v>
      </c>
      <c r="G1188" s="174">
        <v>45576.460914351854</v>
      </c>
    </row>
    <row r="1189" spans="1:7">
      <c r="A1189">
        <v>1188</v>
      </c>
      <c r="B1189" t="s">
        <v>2204</v>
      </c>
      <c r="C1189" t="s">
        <v>1814</v>
      </c>
      <c r="E1189">
        <v>0.01</v>
      </c>
      <c r="F1189" t="s">
        <v>546</v>
      </c>
      <c r="G1189" s="174">
        <v>45576.460914351854</v>
      </c>
    </row>
    <row r="1190" spans="1:7">
      <c r="A1190">
        <v>1189</v>
      </c>
      <c r="B1190" t="s">
        <v>2205</v>
      </c>
      <c r="C1190" t="s">
        <v>920</v>
      </c>
      <c r="E1190">
        <v>0.01</v>
      </c>
      <c r="F1190" t="s">
        <v>546</v>
      </c>
      <c r="G1190" s="174">
        <v>45576.460914351854</v>
      </c>
    </row>
    <row r="1191" spans="1:7">
      <c r="A1191">
        <v>1190</v>
      </c>
      <c r="B1191" t="s">
        <v>2206</v>
      </c>
      <c r="C1191" t="s">
        <v>2129</v>
      </c>
      <c r="E1191">
        <v>0.01</v>
      </c>
      <c r="F1191" t="s">
        <v>546</v>
      </c>
      <c r="G1191" s="174">
        <v>45576.460914351854</v>
      </c>
    </row>
    <row r="1192" spans="1:7">
      <c r="A1192">
        <v>1191</v>
      </c>
      <c r="B1192" t="s">
        <v>2207</v>
      </c>
      <c r="C1192" t="s">
        <v>978</v>
      </c>
      <c r="E1192">
        <v>0.01</v>
      </c>
      <c r="F1192" t="s">
        <v>546</v>
      </c>
      <c r="G1192" s="174">
        <v>45576.460914351854</v>
      </c>
    </row>
    <row r="1193" spans="1:7">
      <c r="A1193">
        <v>1192</v>
      </c>
      <c r="B1193" t="s">
        <v>2208</v>
      </c>
      <c r="C1193" t="s">
        <v>1175</v>
      </c>
      <c r="E1193">
        <v>0.01</v>
      </c>
      <c r="F1193" t="s">
        <v>546</v>
      </c>
      <c r="G1193" s="174">
        <v>45576.460914351854</v>
      </c>
    </row>
    <row r="1194" spans="1:7">
      <c r="A1194">
        <v>1193</v>
      </c>
      <c r="B1194" t="s">
        <v>2209</v>
      </c>
      <c r="C1194" t="s">
        <v>1647</v>
      </c>
      <c r="E1194">
        <v>0.01</v>
      </c>
      <c r="F1194" t="s">
        <v>546</v>
      </c>
      <c r="G1194" s="174">
        <v>45576.460914351854</v>
      </c>
    </row>
    <row r="1195" spans="1:7">
      <c r="A1195">
        <v>1194</v>
      </c>
      <c r="B1195" t="s">
        <v>2210</v>
      </c>
      <c r="C1195" t="s">
        <v>1570</v>
      </c>
      <c r="E1195">
        <v>0.01</v>
      </c>
      <c r="F1195" t="s">
        <v>546</v>
      </c>
      <c r="G1195" s="174">
        <v>45576.460914351854</v>
      </c>
    </row>
    <row r="1196" spans="1:7">
      <c r="A1196">
        <v>1195</v>
      </c>
      <c r="B1196" t="s">
        <v>2211</v>
      </c>
      <c r="C1196" t="s">
        <v>1528</v>
      </c>
      <c r="E1196">
        <v>0.01</v>
      </c>
      <c r="F1196" t="s">
        <v>546</v>
      </c>
      <c r="G1196" s="174">
        <v>45576.460914351854</v>
      </c>
    </row>
    <row r="1197" spans="1:7">
      <c r="A1197">
        <v>1196</v>
      </c>
      <c r="B1197" t="s">
        <v>2212</v>
      </c>
      <c r="C1197" t="s">
        <v>2162</v>
      </c>
      <c r="E1197">
        <v>0.01</v>
      </c>
      <c r="F1197" t="s">
        <v>546</v>
      </c>
      <c r="G1197" s="174">
        <v>45576.460914351854</v>
      </c>
    </row>
    <row r="1198" spans="1:7">
      <c r="A1198">
        <v>1197</v>
      </c>
      <c r="B1198" t="s">
        <v>2213</v>
      </c>
      <c r="C1198" t="s">
        <v>1743</v>
      </c>
      <c r="E1198">
        <v>0.01</v>
      </c>
      <c r="F1198" t="s">
        <v>546</v>
      </c>
      <c r="G1198" s="174">
        <v>45576.460914351854</v>
      </c>
    </row>
    <row r="1199" spans="1:7">
      <c r="A1199">
        <v>1198</v>
      </c>
      <c r="B1199" t="s">
        <v>2214</v>
      </c>
      <c r="C1199" t="s">
        <v>1480</v>
      </c>
      <c r="E1199">
        <v>0.01</v>
      </c>
      <c r="F1199" t="s">
        <v>546</v>
      </c>
      <c r="G1199" s="174">
        <v>45576.460914351854</v>
      </c>
    </row>
    <row r="1200" spans="1:7">
      <c r="A1200">
        <v>1199</v>
      </c>
      <c r="B1200" t="s">
        <v>2215</v>
      </c>
      <c r="C1200" t="s">
        <v>2181</v>
      </c>
      <c r="E1200">
        <v>0.01</v>
      </c>
      <c r="F1200" t="s">
        <v>546</v>
      </c>
      <c r="G1200" s="174">
        <v>45576.460914351854</v>
      </c>
    </row>
    <row r="1201" spans="1:7">
      <c r="A1201">
        <v>1200</v>
      </c>
      <c r="B1201" t="s">
        <v>2216</v>
      </c>
      <c r="C1201" t="s">
        <v>2217</v>
      </c>
      <c r="E1201">
        <v>0.01</v>
      </c>
      <c r="F1201" t="s">
        <v>546</v>
      </c>
      <c r="G1201" s="174">
        <v>45576.460914351854</v>
      </c>
    </row>
    <row r="1202" spans="1:7">
      <c r="A1202">
        <v>1201</v>
      </c>
      <c r="B1202" t="s">
        <v>2218</v>
      </c>
      <c r="C1202" t="s">
        <v>1219</v>
      </c>
      <c r="E1202">
        <v>0.01</v>
      </c>
      <c r="F1202" t="s">
        <v>546</v>
      </c>
      <c r="G1202" s="174">
        <v>45576.460914351854</v>
      </c>
    </row>
    <row r="1203" spans="1:7">
      <c r="A1203">
        <v>1202</v>
      </c>
      <c r="B1203" t="s">
        <v>2219</v>
      </c>
      <c r="C1203" t="s">
        <v>750</v>
      </c>
      <c r="E1203">
        <v>0.01</v>
      </c>
      <c r="F1203" t="s">
        <v>546</v>
      </c>
      <c r="G1203" s="174">
        <v>45576.460914351854</v>
      </c>
    </row>
    <row r="1204" spans="1:7">
      <c r="A1204">
        <v>1203</v>
      </c>
      <c r="B1204" t="s">
        <v>2220</v>
      </c>
      <c r="C1204" t="s">
        <v>881</v>
      </c>
      <c r="E1204">
        <v>0.01</v>
      </c>
      <c r="F1204" t="s">
        <v>546</v>
      </c>
      <c r="G1204" s="174">
        <v>45576.460914351854</v>
      </c>
    </row>
    <row r="1205" spans="1:7">
      <c r="A1205">
        <v>1204</v>
      </c>
      <c r="B1205" t="s">
        <v>2221</v>
      </c>
      <c r="C1205" t="s">
        <v>1489</v>
      </c>
      <c r="E1205">
        <v>0.01</v>
      </c>
      <c r="F1205" t="s">
        <v>546</v>
      </c>
      <c r="G1205" s="174">
        <v>45576.460914351854</v>
      </c>
    </row>
    <row r="1206" spans="1:7">
      <c r="A1206">
        <v>1205</v>
      </c>
      <c r="B1206" t="s">
        <v>2222</v>
      </c>
      <c r="C1206" t="s">
        <v>721</v>
      </c>
      <c r="E1206">
        <v>0.01</v>
      </c>
      <c r="F1206" t="s">
        <v>546</v>
      </c>
      <c r="G1206" s="174">
        <v>45576.460914351854</v>
      </c>
    </row>
    <row r="1207" spans="1:7">
      <c r="A1207">
        <v>1206</v>
      </c>
      <c r="B1207" t="s">
        <v>2223</v>
      </c>
      <c r="C1207" t="s">
        <v>1031</v>
      </c>
      <c r="E1207">
        <v>0.8</v>
      </c>
      <c r="F1207" t="s">
        <v>2224</v>
      </c>
      <c r="G1207" s="174">
        <v>45576.460914351854</v>
      </c>
    </row>
    <row r="1208" spans="1:7">
      <c r="A1208">
        <v>1207</v>
      </c>
      <c r="B1208" t="s">
        <v>2225</v>
      </c>
      <c r="C1208" t="s">
        <v>2226</v>
      </c>
      <c r="E1208">
        <v>0.01</v>
      </c>
      <c r="F1208" t="s">
        <v>546</v>
      </c>
      <c r="G1208" s="174">
        <v>45576.460914351854</v>
      </c>
    </row>
    <row r="1209" spans="1:7">
      <c r="A1209">
        <v>1208</v>
      </c>
      <c r="B1209" t="s">
        <v>2227</v>
      </c>
      <c r="C1209" t="s">
        <v>826</v>
      </c>
      <c r="E1209">
        <v>0.01</v>
      </c>
      <c r="F1209" t="s">
        <v>546</v>
      </c>
      <c r="G1209" s="174">
        <v>45576.460914351854</v>
      </c>
    </row>
    <row r="1210" spans="1:7">
      <c r="A1210">
        <v>1209</v>
      </c>
      <c r="B1210" t="s">
        <v>2228</v>
      </c>
      <c r="C1210" t="s">
        <v>1908</v>
      </c>
      <c r="E1210">
        <v>0.01</v>
      </c>
      <c r="F1210" t="s">
        <v>546</v>
      </c>
      <c r="G1210" s="174">
        <v>45576.460914351854</v>
      </c>
    </row>
    <row r="1211" spans="1:7">
      <c r="A1211">
        <v>1210</v>
      </c>
      <c r="B1211" t="s">
        <v>2229</v>
      </c>
      <c r="C1211" t="s">
        <v>2230</v>
      </c>
      <c r="E1211">
        <v>0.1</v>
      </c>
      <c r="F1211" t="s">
        <v>546</v>
      </c>
      <c r="G1211" s="174">
        <v>45576.460914351854</v>
      </c>
    </row>
    <row r="1212" spans="1:7">
      <c r="A1212">
        <v>1211</v>
      </c>
      <c r="B1212" t="s">
        <v>2231</v>
      </c>
      <c r="C1212" t="s">
        <v>2232</v>
      </c>
      <c r="E1212">
        <v>0.01</v>
      </c>
      <c r="F1212" t="s">
        <v>546</v>
      </c>
      <c r="G1212" s="174">
        <v>45576.460914351854</v>
      </c>
    </row>
    <row r="1213" spans="1:7">
      <c r="A1213">
        <v>1212</v>
      </c>
      <c r="B1213" t="s">
        <v>2233</v>
      </c>
      <c r="C1213" t="s">
        <v>1489</v>
      </c>
      <c r="E1213">
        <v>0.01</v>
      </c>
      <c r="F1213" t="s">
        <v>546</v>
      </c>
      <c r="G1213" s="174">
        <v>45576.460914351854</v>
      </c>
    </row>
    <row r="1214" spans="1:7">
      <c r="A1214">
        <v>1213</v>
      </c>
      <c r="B1214" t="s">
        <v>2234</v>
      </c>
      <c r="C1214" t="s">
        <v>2199</v>
      </c>
      <c r="E1214">
        <v>0.01</v>
      </c>
      <c r="F1214" t="s">
        <v>546</v>
      </c>
      <c r="G1214" s="174">
        <v>45576.460914351854</v>
      </c>
    </row>
    <row r="1215" spans="1:7">
      <c r="A1215">
        <v>1214</v>
      </c>
      <c r="B1215" t="s">
        <v>2235</v>
      </c>
      <c r="C1215" t="s">
        <v>675</v>
      </c>
      <c r="E1215">
        <v>0.1</v>
      </c>
      <c r="F1215" t="s">
        <v>546</v>
      </c>
      <c r="G1215" s="174">
        <v>45576.460914351854</v>
      </c>
    </row>
    <row r="1216" spans="1:7">
      <c r="A1216">
        <v>1215</v>
      </c>
      <c r="B1216" t="s">
        <v>2235</v>
      </c>
      <c r="C1216" t="s">
        <v>599</v>
      </c>
      <c r="E1216">
        <v>0.01</v>
      </c>
      <c r="F1216" t="s">
        <v>546</v>
      </c>
      <c r="G1216" s="174">
        <v>45576.460914351854</v>
      </c>
    </row>
    <row r="1217" spans="1:7">
      <c r="A1217">
        <v>1216</v>
      </c>
      <c r="B1217" t="s">
        <v>2236</v>
      </c>
      <c r="C1217" t="s">
        <v>2237</v>
      </c>
      <c r="E1217">
        <v>0.01</v>
      </c>
      <c r="F1217" t="s">
        <v>546</v>
      </c>
      <c r="G1217" s="174">
        <v>45576.460914351854</v>
      </c>
    </row>
    <row r="1218" spans="1:7">
      <c r="A1218">
        <v>1217</v>
      </c>
      <c r="B1218" t="s">
        <v>2236</v>
      </c>
      <c r="C1218" t="s">
        <v>773</v>
      </c>
      <c r="E1218">
        <v>0.01</v>
      </c>
      <c r="F1218" t="s">
        <v>546</v>
      </c>
      <c r="G1218" s="174">
        <v>45576.460914351854</v>
      </c>
    </row>
    <row r="1219" spans="1:7">
      <c r="A1219">
        <v>1218</v>
      </c>
      <c r="B1219" t="s">
        <v>2238</v>
      </c>
      <c r="C1219" t="s">
        <v>548</v>
      </c>
      <c r="E1219">
        <v>0.01</v>
      </c>
      <c r="F1219" t="s">
        <v>546</v>
      </c>
      <c r="G1219" s="174">
        <v>45576.460914351854</v>
      </c>
    </row>
    <row r="1220" spans="1:7">
      <c r="A1220">
        <v>1219</v>
      </c>
      <c r="B1220" t="s">
        <v>2239</v>
      </c>
      <c r="C1220" t="s">
        <v>1919</v>
      </c>
      <c r="E1220">
        <v>0.01</v>
      </c>
      <c r="F1220" t="s">
        <v>546</v>
      </c>
      <c r="G1220" s="174">
        <v>45576.460914351854</v>
      </c>
    </row>
    <row r="1221" spans="1:7">
      <c r="A1221">
        <v>1220</v>
      </c>
      <c r="B1221" t="s">
        <v>2240</v>
      </c>
      <c r="C1221" t="s">
        <v>1564</v>
      </c>
      <c r="E1221">
        <v>0.01</v>
      </c>
      <c r="F1221" t="s">
        <v>546</v>
      </c>
      <c r="G1221" s="174">
        <v>45576.460914351854</v>
      </c>
    </row>
    <row r="1222" spans="1:7">
      <c r="A1222">
        <v>1221</v>
      </c>
      <c r="B1222" t="s">
        <v>2241</v>
      </c>
      <c r="C1222" t="s">
        <v>2242</v>
      </c>
      <c r="E1222">
        <v>0.01</v>
      </c>
      <c r="F1222" t="s">
        <v>546</v>
      </c>
      <c r="G1222" s="174">
        <v>45576.460914351854</v>
      </c>
    </row>
    <row r="1223" spans="1:7">
      <c r="A1223">
        <v>1222</v>
      </c>
      <c r="B1223" t="s">
        <v>2243</v>
      </c>
      <c r="C1223" t="s">
        <v>1804</v>
      </c>
      <c r="E1223">
        <v>0.01</v>
      </c>
      <c r="F1223" t="s">
        <v>546</v>
      </c>
      <c r="G1223" s="174">
        <v>45576.460914351854</v>
      </c>
    </row>
    <row r="1224" spans="1:7">
      <c r="A1224">
        <v>1223</v>
      </c>
      <c r="B1224" t="s">
        <v>2244</v>
      </c>
      <c r="C1224" t="s">
        <v>2245</v>
      </c>
      <c r="E1224">
        <v>0.01</v>
      </c>
      <c r="F1224" t="s">
        <v>546</v>
      </c>
      <c r="G1224" s="174">
        <v>45576.460914351854</v>
      </c>
    </row>
    <row r="1225" spans="1:7">
      <c r="A1225">
        <v>1224</v>
      </c>
      <c r="B1225" t="s">
        <v>2246</v>
      </c>
      <c r="C1225" t="s">
        <v>1196</v>
      </c>
      <c r="E1225">
        <v>0.01</v>
      </c>
      <c r="F1225" t="s">
        <v>546</v>
      </c>
      <c r="G1225" s="174">
        <v>45576.460914351854</v>
      </c>
    </row>
    <row r="1226" spans="1:7">
      <c r="A1226">
        <v>1225</v>
      </c>
      <c r="B1226" t="s">
        <v>2247</v>
      </c>
      <c r="C1226" t="s">
        <v>1932</v>
      </c>
      <c r="E1226">
        <v>0.01</v>
      </c>
      <c r="F1226" t="s">
        <v>546</v>
      </c>
      <c r="G1226" s="174">
        <v>45576.460914351854</v>
      </c>
    </row>
    <row r="1227" spans="1:7">
      <c r="A1227">
        <v>1226</v>
      </c>
      <c r="B1227" t="s">
        <v>2248</v>
      </c>
      <c r="C1227" t="s">
        <v>1139</v>
      </c>
      <c r="E1227">
        <v>0.01</v>
      </c>
      <c r="F1227" t="s">
        <v>546</v>
      </c>
      <c r="G1227" s="174">
        <v>45576.460914351854</v>
      </c>
    </row>
    <row r="1228" spans="1:7">
      <c r="A1228">
        <v>1227</v>
      </c>
      <c r="B1228" t="s">
        <v>2249</v>
      </c>
      <c r="C1228" t="s">
        <v>1716</v>
      </c>
      <c r="E1228">
        <v>0.01</v>
      </c>
      <c r="F1228" t="s">
        <v>546</v>
      </c>
      <c r="G1228" s="174">
        <v>45576.460914351854</v>
      </c>
    </row>
    <row r="1229" spans="1:7">
      <c r="A1229">
        <v>1228</v>
      </c>
      <c r="B1229" t="s">
        <v>2250</v>
      </c>
      <c r="C1229" t="s">
        <v>712</v>
      </c>
      <c r="E1229">
        <v>0.01</v>
      </c>
      <c r="F1229" t="s">
        <v>546</v>
      </c>
      <c r="G1229" s="174">
        <v>45576.460914351854</v>
      </c>
    </row>
    <row r="1230" spans="1:7">
      <c r="A1230">
        <v>1229</v>
      </c>
      <c r="B1230" t="s">
        <v>2251</v>
      </c>
      <c r="C1230" t="s">
        <v>920</v>
      </c>
      <c r="E1230">
        <v>0.1</v>
      </c>
      <c r="F1230" t="s">
        <v>546</v>
      </c>
      <c r="G1230" s="174">
        <v>45576.460914351854</v>
      </c>
    </row>
    <row r="1231" spans="1:7">
      <c r="A1231">
        <v>1230</v>
      </c>
      <c r="B1231" t="s">
        <v>2251</v>
      </c>
      <c r="C1231" t="s">
        <v>1546</v>
      </c>
      <c r="E1231">
        <v>0.01</v>
      </c>
      <c r="F1231" t="s">
        <v>546</v>
      </c>
      <c r="G1231" s="174">
        <v>45576.460914351854</v>
      </c>
    </row>
    <row r="1232" spans="1:7">
      <c r="A1232">
        <v>1231</v>
      </c>
      <c r="B1232" t="s">
        <v>2252</v>
      </c>
      <c r="C1232" t="s">
        <v>1033</v>
      </c>
      <c r="E1232">
        <v>0.01</v>
      </c>
      <c r="F1232" t="s">
        <v>546</v>
      </c>
      <c r="G1232" s="174">
        <v>45576.460914351854</v>
      </c>
    </row>
    <row r="1233" spans="1:7">
      <c r="A1233">
        <v>1232</v>
      </c>
      <c r="B1233" t="s">
        <v>2253</v>
      </c>
      <c r="C1233" t="s">
        <v>2254</v>
      </c>
      <c r="E1233">
        <v>0.01</v>
      </c>
      <c r="F1233" t="s">
        <v>546</v>
      </c>
      <c r="G1233" s="174">
        <v>45576.460914351854</v>
      </c>
    </row>
    <row r="1234" spans="1:7">
      <c r="A1234">
        <v>1233</v>
      </c>
      <c r="B1234" t="s">
        <v>2255</v>
      </c>
      <c r="C1234" t="s">
        <v>649</v>
      </c>
      <c r="E1234">
        <v>0.6</v>
      </c>
      <c r="F1234" t="s">
        <v>546</v>
      </c>
      <c r="G1234" s="174">
        <v>45576.460914351854</v>
      </c>
    </row>
    <row r="1235" spans="1:7">
      <c r="A1235">
        <v>1234</v>
      </c>
      <c r="B1235" t="s">
        <v>2256</v>
      </c>
      <c r="C1235" t="s">
        <v>998</v>
      </c>
      <c r="E1235">
        <v>0.01</v>
      </c>
      <c r="F1235" t="s">
        <v>546</v>
      </c>
      <c r="G1235" s="174">
        <v>45576.460914351854</v>
      </c>
    </row>
    <row r="1236" spans="1:7">
      <c r="A1236">
        <v>1235</v>
      </c>
      <c r="B1236" t="s">
        <v>2256</v>
      </c>
      <c r="C1236" t="s">
        <v>2257</v>
      </c>
      <c r="E1236">
        <v>0.8</v>
      </c>
      <c r="F1236" t="s">
        <v>546</v>
      </c>
      <c r="G1236" s="174">
        <v>45576.460914351854</v>
      </c>
    </row>
    <row r="1237" spans="1:7">
      <c r="A1237">
        <v>1236</v>
      </c>
      <c r="B1237" t="s">
        <v>2258</v>
      </c>
      <c r="C1237" t="s">
        <v>1316</v>
      </c>
      <c r="E1237">
        <v>0.01</v>
      </c>
      <c r="F1237" t="s">
        <v>546</v>
      </c>
      <c r="G1237" s="174">
        <v>45576.460914351854</v>
      </c>
    </row>
    <row r="1238" spans="1:7">
      <c r="A1238">
        <v>1237</v>
      </c>
      <c r="B1238" t="s">
        <v>2258</v>
      </c>
      <c r="C1238" t="s">
        <v>1078</v>
      </c>
      <c r="E1238">
        <v>0.05</v>
      </c>
      <c r="F1238" t="s">
        <v>546</v>
      </c>
      <c r="G1238" s="174">
        <v>45576.460914351854</v>
      </c>
    </row>
    <row r="1239" spans="1:7">
      <c r="A1239">
        <v>1238</v>
      </c>
      <c r="B1239" t="s">
        <v>2259</v>
      </c>
      <c r="C1239" t="s">
        <v>1609</v>
      </c>
      <c r="E1239">
        <v>0.01</v>
      </c>
      <c r="F1239" t="s">
        <v>546</v>
      </c>
      <c r="G1239" s="174">
        <v>45576.460914351854</v>
      </c>
    </row>
    <row r="1240" spans="1:7">
      <c r="A1240">
        <v>1239</v>
      </c>
      <c r="B1240" t="s">
        <v>2260</v>
      </c>
      <c r="C1240" t="s">
        <v>1124</v>
      </c>
      <c r="E1240">
        <v>0.01</v>
      </c>
      <c r="F1240" t="s">
        <v>546</v>
      </c>
      <c r="G1240" s="174">
        <v>45576.460914351854</v>
      </c>
    </row>
    <row r="1241" spans="1:7">
      <c r="A1241">
        <v>1240</v>
      </c>
      <c r="B1241" t="s">
        <v>2261</v>
      </c>
      <c r="C1241" t="s">
        <v>1029</v>
      </c>
      <c r="E1241">
        <v>0.1</v>
      </c>
      <c r="F1241" t="s">
        <v>546</v>
      </c>
      <c r="G1241" s="174">
        <v>45576.460914351854</v>
      </c>
    </row>
    <row r="1242" spans="1:7">
      <c r="A1242">
        <v>1241</v>
      </c>
      <c r="B1242" t="s">
        <v>2262</v>
      </c>
      <c r="C1242" t="s">
        <v>2181</v>
      </c>
      <c r="E1242">
        <v>0.01</v>
      </c>
      <c r="F1242" t="s">
        <v>546</v>
      </c>
      <c r="G1242" s="174">
        <v>45576.460914351854</v>
      </c>
    </row>
    <row r="1243" spans="1:7">
      <c r="A1243">
        <v>1242</v>
      </c>
      <c r="B1243" t="s">
        <v>2263</v>
      </c>
      <c r="C1243" t="s">
        <v>2181</v>
      </c>
      <c r="E1243">
        <v>0.6</v>
      </c>
      <c r="F1243" t="s">
        <v>2264</v>
      </c>
      <c r="G1243" s="174">
        <v>45576.460914351854</v>
      </c>
    </row>
    <row r="1244" spans="1:7">
      <c r="A1244">
        <v>1243</v>
      </c>
      <c r="B1244" t="s">
        <v>2265</v>
      </c>
      <c r="C1244" t="s">
        <v>1652</v>
      </c>
      <c r="E1244">
        <v>0.01</v>
      </c>
      <c r="F1244" t="s">
        <v>546</v>
      </c>
      <c r="G1244" s="174">
        <v>45576.460914351854</v>
      </c>
    </row>
    <row r="1245" spans="1:7">
      <c r="A1245">
        <v>1244</v>
      </c>
      <c r="B1245" t="s">
        <v>2266</v>
      </c>
      <c r="C1245" t="s">
        <v>1353</v>
      </c>
      <c r="E1245">
        <v>0.01</v>
      </c>
      <c r="F1245" t="s">
        <v>546</v>
      </c>
      <c r="G1245" s="174">
        <v>45576.460914351854</v>
      </c>
    </row>
    <row r="1246" spans="1:7">
      <c r="A1246">
        <v>1245</v>
      </c>
      <c r="B1246" t="s">
        <v>2267</v>
      </c>
      <c r="C1246" t="s">
        <v>1376</v>
      </c>
      <c r="E1246">
        <v>0.01</v>
      </c>
      <c r="F1246" t="s">
        <v>546</v>
      </c>
      <c r="G1246" s="174">
        <v>45576.460914351854</v>
      </c>
    </row>
    <row r="1247" spans="1:7">
      <c r="A1247">
        <v>1246</v>
      </c>
      <c r="B1247" t="s">
        <v>2268</v>
      </c>
      <c r="C1247" t="s">
        <v>2269</v>
      </c>
      <c r="E1247">
        <v>0.01</v>
      </c>
      <c r="F1247" t="s">
        <v>546</v>
      </c>
      <c r="G1247" s="174">
        <v>45576.460914351854</v>
      </c>
    </row>
    <row r="1248" spans="1:7">
      <c r="A1248">
        <v>1247</v>
      </c>
      <c r="B1248" t="s">
        <v>2270</v>
      </c>
      <c r="C1248" t="s">
        <v>1367</v>
      </c>
      <c r="E1248">
        <v>0.01</v>
      </c>
      <c r="F1248" t="s">
        <v>546</v>
      </c>
      <c r="G1248" s="174">
        <v>45576.460914351854</v>
      </c>
    </row>
    <row r="1249" spans="1:7">
      <c r="A1249">
        <v>1248</v>
      </c>
      <c r="B1249" t="s">
        <v>2271</v>
      </c>
      <c r="C1249" t="s">
        <v>1353</v>
      </c>
      <c r="E1249">
        <v>0.01</v>
      </c>
      <c r="F1249" t="s">
        <v>546</v>
      </c>
      <c r="G1249" s="174">
        <v>45576.460914351854</v>
      </c>
    </row>
    <row r="1250" spans="1:7">
      <c r="A1250">
        <v>1249</v>
      </c>
      <c r="B1250" t="s">
        <v>2272</v>
      </c>
      <c r="C1250" t="s">
        <v>1127</v>
      </c>
      <c r="E1250">
        <v>0.1</v>
      </c>
      <c r="F1250" t="s">
        <v>546</v>
      </c>
      <c r="G1250" s="174">
        <v>45576.460914351854</v>
      </c>
    </row>
    <row r="1251" spans="1:7">
      <c r="A1251">
        <v>1250</v>
      </c>
      <c r="B1251" t="s">
        <v>2273</v>
      </c>
      <c r="C1251" t="s">
        <v>914</v>
      </c>
      <c r="E1251">
        <v>0.01</v>
      </c>
      <c r="F1251" t="s">
        <v>546</v>
      </c>
      <c r="G1251" s="174">
        <v>45576.460914351854</v>
      </c>
    </row>
    <row r="1252" spans="1:7">
      <c r="A1252">
        <v>1251</v>
      </c>
      <c r="B1252" t="s">
        <v>2274</v>
      </c>
      <c r="C1252" t="s">
        <v>1177</v>
      </c>
      <c r="E1252">
        <v>0.01</v>
      </c>
      <c r="F1252" t="s">
        <v>546</v>
      </c>
      <c r="G1252" s="174">
        <v>45576.460914351854</v>
      </c>
    </row>
    <row r="1253" spans="1:7">
      <c r="A1253">
        <v>1252</v>
      </c>
      <c r="B1253" t="s">
        <v>2275</v>
      </c>
      <c r="C1253" t="s">
        <v>768</v>
      </c>
      <c r="E1253">
        <v>0.01</v>
      </c>
      <c r="F1253" t="s">
        <v>546</v>
      </c>
      <c r="G1253" s="174">
        <v>45576.460914351854</v>
      </c>
    </row>
    <row r="1254" spans="1:7">
      <c r="A1254">
        <v>1253</v>
      </c>
      <c r="B1254" t="s">
        <v>2276</v>
      </c>
      <c r="C1254" t="s">
        <v>1177</v>
      </c>
      <c r="E1254">
        <v>0.01</v>
      </c>
      <c r="F1254" t="s">
        <v>546</v>
      </c>
      <c r="G1254" s="174">
        <v>45576.460914351854</v>
      </c>
    </row>
    <row r="1255" spans="1:7">
      <c r="A1255">
        <v>1254</v>
      </c>
      <c r="B1255" t="s">
        <v>2277</v>
      </c>
      <c r="C1255" t="s">
        <v>1219</v>
      </c>
      <c r="E1255">
        <v>0.1</v>
      </c>
      <c r="F1255" t="s">
        <v>546</v>
      </c>
      <c r="G1255" s="174">
        <v>45576.460914351854</v>
      </c>
    </row>
    <row r="1256" spans="1:7">
      <c r="A1256">
        <v>1255</v>
      </c>
      <c r="B1256" t="s">
        <v>2278</v>
      </c>
      <c r="C1256" t="s">
        <v>695</v>
      </c>
      <c r="E1256">
        <v>0.01</v>
      </c>
      <c r="F1256" t="s">
        <v>546</v>
      </c>
      <c r="G1256" s="174">
        <v>45576.460914351854</v>
      </c>
    </row>
    <row r="1257" spans="1:7">
      <c r="A1257">
        <v>1256</v>
      </c>
      <c r="B1257" t="s">
        <v>2279</v>
      </c>
      <c r="C1257" t="s">
        <v>1661</v>
      </c>
      <c r="E1257">
        <v>0.7</v>
      </c>
      <c r="F1257" t="s">
        <v>546</v>
      </c>
      <c r="G1257" s="174">
        <v>45576.460914351854</v>
      </c>
    </row>
    <row r="1258" spans="1:7">
      <c r="A1258">
        <v>1257</v>
      </c>
      <c r="B1258" t="s">
        <v>2280</v>
      </c>
      <c r="C1258" t="s">
        <v>1274</v>
      </c>
      <c r="E1258">
        <v>0.01</v>
      </c>
      <c r="F1258" t="s">
        <v>546</v>
      </c>
      <c r="G1258" s="174">
        <v>45576.460914351854</v>
      </c>
    </row>
    <row r="1259" spans="1:7">
      <c r="A1259">
        <v>1258</v>
      </c>
      <c r="B1259" t="s">
        <v>2281</v>
      </c>
      <c r="C1259" t="s">
        <v>2282</v>
      </c>
      <c r="E1259">
        <v>0.01</v>
      </c>
      <c r="F1259" t="s">
        <v>546</v>
      </c>
      <c r="G1259" s="174">
        <v>45576.460914351854</v>
      </c>
    </row>
    <row r="1260" spans="1:7">
      <c r="A1260">
        <v>1259</v>
      </c>
      <c r="B1260" t="s">
        <v>2281</v>
      </c>
      <c r="C1260" t="s">
        <v>2068</v>
      </c>
      <c r="E1260">
        <v>0.01</v>
      </c>
      <c r="F1260" t="s">
        <v>546</v>
      </c>
      <c r="G1260" s="174">
        <v>45576.460914351854</v>
      </c>
    </row>
    <row r="1261" spans="1:7">
      <c r="A1261">
        <v>1260</v>
      </c>
      <c r="B1261" t="s">
        <v>2281</v>
      </c>
      <c r="C1261" t="s">
        <v>2283</v>
      </c>
      <c r="E1261">
        <v>0.01</v>
      </c>
      <c r="F1261" t="s">
        <v>546</v>
      </c>
      <c r="G1261" s="174">
        <v>45576.460914351854</v>
      </c>
    </row>
    <row r="1262" spans="1:7">
      <c r="A1262">
        <v>1261</v>
      </c>
      <c r="B1262" t="s">
        <v>2284</v>
      </c>
      <c r="C1262" t="s">
        <v>1414</v>
      </c>
      <c r="E1262">
        <v>0.01</v>
      </c>
      <c r="F1262" t="s">
        <v>546</v>
      </c>
      <c r="G1262" s="174">
        <v>45576.460914351854</v>
      </c>
    </row>
    <row r="1263" spans="1:7">
      <c r="A1263">
        <v>1262</v>
      </c>
      <c r="B1263" t="s">
        <v>2285</v>
      </c>
      <c r="C1263" t="s">
        <v>947</v>
      </c>
      <c r="E1263">
        <v>0.01</v>
      </c>
      <c r="F1263" t="s">
        <v>546</v>
      </c>
      <c r="G1263" s="174">
        <v>45576.460914351854</v>
      </c>
    </row>
    <row r="1264" spans="1:7">
      <c r="A1264">
        <v>1263</v>
      </c>
      <c r="B1264" t="s">
        <v>2286</v>
      </c>
      <c r="C1264" t="s">
        <v>1226</v>
      </c>
      <c r="E1264">
        <v>0.01</v>
      </c>
      <c r="F1264" t="s">
        <v>546</v>
      </c>
      <c r="G1264" s="174">
        <v>45576.460914351854</v>
      </c>
    </row>
    <row r="1265" spans="1:7">
      <c r="A1265">
        <v>1264</v>
      </c>
      <c r="B1265" t="s">
        <v>2287</v>
      </c>
      <c r="C1265" t="s">
        <v>2288</v>
      </c>
      <c r="E1265">
        <v>0.01</v>
      </c>
      <c r="F1265" t="s">
        <v>546</v>
      </c>
      <c r="G1265" s="174">
        <v>45576.460914351854</v>
      </c>
    </row>
    <row r="1266" spans="1:7">
      <c r="A1266">
        <v>1265</v>
      </c>
      <c r="B1266" t="s">
        <v>2289</v>
      </c>
      <c r="C1266" t="s">
        <v>2290</v>
      </c>
      <c r="E1266">
        <v>0.01</v>
      </c>
      <c r="F1266" t="s">
        <v>546</v>
      </c>
      <c r="G1266" s="174">
        <v>45576.460914351854</v>
      </c>
    </row>
    <row r="1267" spans="1:7">
      <c r="A1267">
        <v>1266</v>
      </c>
      <c r="B1267" t="s">
        <v>2291</v>
      </c>
      <c r="C1267" t="s">
        <v>2292</v>
      </c>
      <c r="E1267">
        <v>0.01</v>
      </c>
      <c r="F1267" t="s">
        <v>546</v>
      </c>
      <c r="G1267" s="174">
        <v>45576.460914351854</v>
      </c>
    </row>
    <row r="1268" spans="1:7">
      <c r="A1268">
        <v>1267</v>
      </c>
      <c r="B1268" t="s">
        <v>2293</v>
      </c>
      <c r="C1268" t="s">
        <v>581</v>
      </c>
      <c r="E1268">
        <v>0.01</v>
      </c>
      <c r="F1268" t="s">
        <v>546</v>
      </c>
      <c r="G1268" s="174">
        <v>45576.460914351854</v>
      </c>
    </row>
    <row r="1269" spans="1:7">
      <c r="A1269">
        <v>1268</v>
      </c>
      <c r="B1269" t="s">
        <v>2294</v>
      </c>
      <c r="C1269" t="s">
        <v>2295</v>
      </c>
      <c r="E1269">
        <v>0.01</v>
      </c>
      <c r="F1269" t="s">
        <v>546</v>
      </c>
      <c r="G1269" s="174">
        <v>45576.460914351854</v>
      </c>
    </row>
    <row r="1270" spans="1:7">
      <c r="A1270">
        <v>1269</v>
      </c>
      <c r="B1270" t="s">
        <v>2296</v>
      </c>
      <c r="C1270" t="s">
        <v>690</v>
      </c>
      <c r="E1270">
        <v>0.01</v>
      </c>
      <c r="F1270" t="s">
        <v>546</v>
      </c>
      <c r="G1270" s="174">
        <v>45576.460914351854</v>
      </c>
    </row>
    <row r="1271" spans="1:7">
      <c r="A1271">
        <v>1270</v>
      </c>
      <c r="B1271" t="s">
        <v>2297</v>
      </c>
      <c r="C1271" t="s">
        <v>1669</v>
      </c>
      <c r="E1271">
        <v>0.01</v>
      </c>
      <c r="F1271" t="s">
        <v>546</v>
      </c>
      <c r="G1271" s="174">
        <v>45576.460914351854</v>
      </c>
    </row>
    <row r="1272" spans="1:7">
      <c r="A1272">
        <v>1271</v>
      </c>
      <c r="B1272" t="s">
        <v>2298</v>
      </c>
      <c r="C1272" t="s">
        <v>668</v>
      </c>
      <c r="E1272">
        <v>0.01</v>
      </c>
      <c r="F1272" t="s">
        <v>546</v>
      </c>
      <c r="G1272" s="174">
        <v>45576.460914351854</v>
      </c>
    </row>
    <row r="1273" spans="1:7">
      <c r="A1273">
        <v>1272</v>
      </c>
      <c r="B1273" t="s">
        <v>2299</v>
      </c>
      <c r="C1273" t="s">
        <v>1669</v>
      </c>
      <c r="E1273">
        <v>0.01</v>
      </c>
      <c r="F1273" t="s">
        <v>546</v>
      </c>
      <c r="G1273" s="174">
        <v>45576.460914351854</v>
      </c>
    </row>
    <row r="1274" spans="1:7">
      <c r="A1274">
        <v>1273</v>
      </c>
      <c r="B1274" t="s">
        <v>2300</v>
      </c>
      <c r="C1274" t="s">
        <v>1127</v>
      </c>
      <c r="E1274">
        <v>0.01</v>
      </c>
      <c r="F1274" t="s">
        <v>546</v>
      </c>
      <c r="G1274" s="174">
        <v>45576.460914351854</v>
      </c>
    </row>
    <row r="1275" spans="1:7">
      <c r="A1275">
        <v>1274</v>
      </c>
      <c r="B1275" t="s">
        <v>2301</v>
      </c>
      <c r="C1275" t="s">
        <v>1894</v>
      </c>
      <c r="E1275">
        <v>0.01</v>
      </c>
      <c r="F1275" t="s">
        <v>546</v>
      </c>
      <c r="G1275" s="174">
        <v>45576.460914351854</v>
      </c>
    </row>
    <row r="1276" spans="1:7">
      <c r="A1276">
        <v>1275</v>
      </c>
      <c r="B1276" t="s">
        <v>2302</v>
      </c>
      <c r="C1276" t="s">
        <v>2303</v>
      </c>
      <c r="E1276">
        <v>0.01</v>
      </c>
      <c r="F1276" t="s">
        <v>546</v>
      </c>
      <c r="G1276" s="174">
        <v>45576.460914351854</v>
      </c>
    </row>
    <row r="1277" spans="1:7">
      <c r="A1277">
        <v>1276</v>
      </c>
      <c r="B1277" t="s">
        <v>2304</v>
      </c>
      <c r="C1277" t="s">
        <v>1629</v>
      </c>
      <c r="E1277">
        <v>0.01</v>
      </c>
      <c r="F1277" t="s">
        <v>546</v>
      </c>
      <c r="G1277" s="174">
        <v>45576.460914351854</v>
      </c>
    </row>
    <row r="1278" spans="1:7">
      <c r="A1278">
        <v>1277</v>
      </c>
      <c r="B1278" t="s">
        <v>2305</v>
      </c>
      <c r="C1278" t="s">
        <v>1655</v>
      </c>
      <c r="E1278">
        <v>0.01</v>
      </c>
      <c r="F1278" t="s">
        <v>546</v>
      </c>
      <c r="G1278" s="174">
        <v>45576.460914351854</v>
      </c>
    </row>
    <row r="1279" spans="1:7">
      <c r="A1279">
        <v>1278</v>
      </c>
      <c r="B1279" t="s">
        <v>2306</v>
      </c>
      <c r="C1279" t="s">
        <v>735</v>
      </c>
      <c r="E1279">
        <v>0.8</v>
      </c>
      <c r="F1279" t="s">
        <v>2307</v>
      </c>
      <c r="G1279" s="174">
        <v>45576.460914351854</v>
      </c>
    </row>
    <row r="1280" spans="1:7">
      <c r="A1280">
        <v>1279</v>
      </c>
      <c r="B1280" t="s">
        <v>2308</v>
      </c>
      <c r="C1280" t="s">
        <v>2072</v>
      </c>
      <c r="E1280">
        <v>0.01</v>
      </c>
      <c r="F1280" t="s">
        <v>546</v>
      </c>
      <c r="G1280" s="174">
        <v>45576.460914351854</v>
      </c>
    </row>
    <row r="1281" spans="1:7">
      <c r="A1281">
        <v>1280</v>
      </c>
      <c r="B1281" t="s">
        <v>2309</v>
      </c>
      <c r="C1281" t="s">
        <v>1655</v>
      </c>
      <c r="E1281">
        <v>0.01</v>
      </c>
      <c r="F1281" t="s">
        <v>546</v>
      </c>
      <c r="G1281" s="174">
        <v>45576.460914351854</v>
      </c>
    </row>
    <row r="1282" spans="1:7">
      <c r="A1282">
        <v>1281</v>
      </c>
      <c r="B1282" t="s">
        <v>2310</v>
      </c>
      <c r="C1282" t="s">
        <v>887</v>
      </c>
      <c r="E1282">
        <v>0.01</v>
      </c>
      <c r="F1282" t="s">
        <v>546</v>
      </c>
      <c r="G1282" s="174">
        <v>45576.460914351854</v>
      </c>
    </row>
    <row r="1283" spans="1:7">
      <c r="A1283">
        <v>1282</v>
      </c>
      <c r="B1283" t="s">
        <v>2311</v>
      </c>
      <c r="C1283" t="s">
        <v>589</v>
      </c>
      <c r="E1283">
        <v>0.6</v>
      </c>
      <c r="F1283" t="s">
        <v>546</v>
      </c>
      <c r="G1283" s="174">
        <v>45576.460914351854</v>
      </c>
    </row>
    <row r="1284" spans="1:7">
      <c r="A1284">
        <v>1283</v>
      </c>
      <c r="B1284" t="s">
        <v>2311</v>
      </c>
      <c r="C1284" t="s">
        <v>982</v>
      </c>
      <c r="E1284">
        <v>0.5</v>
      </c>
      <c r="F1284" t="s">
        <v>546</v>
      </c>
      <c r="G1284" s="174">
        <v>45576.460914351854</v>
      </c>
    </row>
    <row r="1285" spans="1:7">
      <c r="A1285">
        <v>1284</v>
      </c>
      <c r="B1285" t="s">
        <v>2311</v>
      </c>
      <c r="C1285" t="s">
        <v>1082</v>
      </c>
      <c r="E1285">
        <v>0.8</v>
      </c>
      <c r="F1285" t="s">
        <v>546</v>
      </c>
      <c r="G1285" s="174">
        <v>45576.460914351854</v>
      </c>
    </row>
    <row r="1286" spans="1:7">
      <c r="A1286">
        <v>1285</v>
      </c>
      <c r="B1286" t="s">
        <v>2312</v>
      </c>
      <c r="C1286" t="s">
        <v>1367</v>
      </c>
      <c r="E1286">
        <v>0.01</v>
      </c>
      <c r="F1286" t="s">
        <v>546</v>
      </c>
      <c r="G1286" s="174">
        <v>45576.460914351854</v>
      </c>
    </row>
    <row r="1287" spans="1:7">
      <c r="A1287">
        <v>1286</v>
      </c>
      <c r="B1287" t="s">
        <v>2313</v>
      </c>
      <c r="C1287" t="s">
        <v>1962</v>
      </c>
      <c r="E1287">
        <v>0.01</v>
      </c>
      <c r="F1287" t="s">
        <v>546</v>
      </c>
      <c r="G1287" s="174">
        <v>45576.460914351854</v>
      </c>
    </row>
    <row r="1288" spans="1:7">
      <c r="A1288">
        <v>1287</v>
      </c>
      <c r="B1288" t="s">
        <v>2314</v>
      </c>
      <c r="C1288" t="s">
        <v>2315</v>
      </c>
      <c r="E1288">
        <v>0.01</v>
      </c>
      <c r="F1288" t="s">
        <v>546</v>
      </c>
      <c r="G1288" s="174">
        <v>45576.460914351854</v>
      </c>
    </row>
    <row r="1289" spans="1:7">
      <c r="A1289">
        <v>1288</v>
      </c>
      <c r="B1289" t="s">
        <v>2316</v>
      </c>
      <c r="C1289" t="s">
        <v>2317</v>
      </c>
      <c r="E1289">
        <v>0.01</v>
      </c>
      <c r="F1289" t="s">
        <v>546</v>
      </c>
      <c r="G1289" s="174">
        <v>45576.460914351854</v>
      </c>
    </row>
    <row r="1290" spans="1:7">
      <c r="A1290">
        <v>1289</v>
      </c>
      <c r="B1290" t="s">
        <v>2318</v>
      </c>
      <c r="C1290" t="s">
        <v>2168</v>
      </c>
      <c r="E1290">
        <v>0.01</v>
      </c>
      <c r="F1290" t="s">
        <v>546</v>
      </c>
      <c r="G1290" s="174">
        <v>45576.460914351854</v>
      </c>
    </row>
    <row r="1291" spans="1:7">
      <c r="A1291">
        <v>1290</v>
      </c>
      <c r="B1291" t="s">
        <v>2319</v>
      </c>
      <c r="C1291" t="s">
        <v>2320</v>
      </c>
      <c r="E1291">
        <v>0.01</v>
      </c>
      <c r="F1291" t="s">
        <v>546</v>
      </c>
      <c r="G1291" s="174">
        <v>45576.460914351854</v>
      </c>
    </row>
    <row r="1292" spans="1:7">
      <c r="A1292">
        <v>1291</v>
      </c>
      <c r="B1292" t="s">
        <v>2321</v>
      </c>
      <c r="C1292" t="s">
        <v>2088</v>
      </c>
      <c r="E1292">
        <v>0.01</v>
      </c>
      <c r="F1292" t="s">
        <v>546</v>
      </c>
      <c r="G1292" s="174">
        <v>45576.460914351854</v>
      </c>
    </row>
    <row r="1293" spans="1:7">
      <c r="A1293">
        <v>1292</v>
      </c>
      <c r="B1293" t="s">
        <v>2321</v>
      </c>
      <c r="C1293" t="s">
        <v>1719</v>
      </c>
      <c r="E1293">
        <v>0.01</v>
      </c>
      <c r="F1293" t="s">
        <v>546</v>
      </c>
      <c r="G1293" s="174">
        <v>45576.460914351854</v>
      </c>
    </row>
    <row r="1294" spans="1:7">
      <c r="A1294">
        <v>1293</v>
      </c>
      <c r="B1294" t="s">
        <v>2322</v>
      </c>
      <c r="C1294" t="s">
        <v>786</v>
      </c>
      <c r="E1294">
        <v>0.01</v>
      </c>
      <c r="F1294" t="s">
        <v>546</v>
      </c>
      <c r="G1294" s="174">
        <v>45576.460914351854</v>
      </c>
    </row>
    <row r="1295" spans="1:7">
      <c r="A1295">
        <v>1294</v>
      </c>
      <c r="B1295" t="s">
        <v>2323</v>
      </c>
      <c r="C1295" t="s">
        <v>1679</v>
      </c>
      <c r="E1295">
        <v>0.01</v>
      </c>
      <c r="F1295" t="s">
        <v>546</v>
      </c>
      <c r="G1295" s="174">
        <v>45576.460914351854</v>
      </c>
    </row>
    <row r="1296" spans="1:7">
      <c r="A1296">
        <v>1295</v>
      </c>
      <c r="B1296" t="s">
        <v>2324</v>
      </c>
      <c r="C1296" t="s">
        <v>2203</v>
      </c>
      <c r="E1296">
        <v>0.01</v>
      </c>
      <c r="F1296" t="s">
        <v>546</v>
      </c>
      <c r="G1296" s="174">
        <v>45576.460914351854</v>
      </c>
    </row>
    <row r="1297" spans="1:7">
      <c r="A1297">
        <v>1296</v>
      </c>
      <c r="B1297" t="s">
        <v>2324</v>
      </c>
      <c r="C1297" t="s">
        <v>2325</v>
      </c>
      <c r="E1297" t="s">
        <v>1380</v>
      </c>
      <c r="F1297" t="s">
        <v>546</v>
      </c>
      <c r="G1297" s="174">
        <v>45576.460914351854</v>
      </c>
    </row>
    <row r="1298" spans="1:7">
      <c r="A1298">
        <v>1297</v>
      </c>
      <c r="B1298" t="s">
        <v>2324</v>
      </c>
      <c r="C1298" t="s">
        <v>2326</v>
      </c>
      <c r="E1298" t="s">
        <v>2327</v>
      </c>
      <c r="F1298" t="s">
        <v>546</v>
      </c>
      <c r="G1298" s="174">
        <v>45576.460914351854</v>
      </c>
    </row>
    <row r="1299" spans="1:7">
      <c r="A1299">
        <v>1298</v>
      </c>
      <c r="B1299" t="s">
        <v>2328</v>
      </c>
      <c r="C1299" t="s">
        <v>2329</v>
      </c>
      <c r="E1299">
        <v>0.01</v>
      </c>
      <c r="F1299" t="s">
        <v>546</v>
      </c>
      <c r="G1299" s="174">
        <v>45576.460914351854</v>
      </c>
    </row>
    <row r="1300" spans="1:7">
      <c r="A1300">
        <v>1299</v>
      </c>
      <c r="B1300" t="s">
        <v>2330</v>
      </c>
      <c r="C1300" t="s">
        <v>817</v>
      </c>
      <c r="E1300">
        <v>0.01</v>
      </c>
      <c r="F1300" t="s">
        <v>546</v>
      </c>
      <c r="G1300" s="174">
        <v>45576.460914351854</v>
      </c>
    </row>
    <row r="1301" spans="1:7">
      <c r="A1301">
        <v>1300</v>
      </c>
      <c r="B1301" t="s">
        <v>2331</v>
      </c>
      <c r="C1301" t="s">
        <v>2254</v>
      </c>
      <c r="E1301">
        <v>0.01</v>
      </c>
      <c r="F1301" t="s">
        <v>546</v>
      </c>
      <c r="G1301" s="174">
        <v>45576.460914351854</v>
      </c>
    </row>
    <row r="1302" spans="1:7">
      <c r="A1302">
        <v>1301</v>
      </c>
      <c r="B1302" t="s">
        <v>2332</v>
      </c>
      <c r="C1302" t="s">
        <v>1235</v>
      </c>
      <c r="E1302">
        <v>0.01</v>
      </c>
      <c r="F1302" t="s">
        <v>546</v>
      </c>
      <c r="G1302" s="174">
        <v>45576.460914351854</v>
      </c>
    </row>
    <row r="1303" spans="1:7">
      <c r="A1303">
        <v>1302</v>
      </c>
      <c r="B1303" t="s">
        <v>2333</v>
      </c>
      <c r="C1303" t="s">
        <v>1616</v>
      </c>
      <c r="E1303">
        <v>0.01</v>
      </c>
      <c r="F1303" t="s">
        <v>546</v>
      </c>
      <c r="G1303" s="174">
        <v>45576.460914351854</v>
      </c>
    </row>
    <row r="1304" spans="1:7">
      <c r="A1304">
        <v>1303</v>
      </c>
      <c r="B1304" t="s">
        <v>2334</v>
      </c>
      <c r="C1304" t="s">
        <v>1962</v>
      </c>
      <c r="E1304">
        <v>0.01</v>
      </c>
      <c r="F1304" t="s">
        <v>546</v>
      </c>
      <c r="G1304" s="174">
        <v>45576.460914351854</v>
      </c>
    </row>
    <row r="1305" spans="1:7">
      <c r="A1305">
        <v>1304</v>
      </c>
      <c r="B1305" t="s">
        <v>2335</v>
      </c>
      <c r="C1305" t="s">
        <v>1699</v>
      </c>
      <c r="E1305">
        <v>0.01</v>
      </c>
      <c r="F1305" t="s">
        <v>546</v>
      </c>
      <c r="G1305" s="174">
        <v>45576.460914351854</v>
      </c>
    </row>
    <row r="1306" spans="1:7">
      <c r="A1306">
        <v>1305</v>
      </c>
      <c r="B1306" t="s">
        <v>2335</v>
      </c>
      <c r="C1306" t="s">
        <v>1344</v>
      </c>
      <c r="E1306" t="s">
        <v>1380</v>
      </c>
      <c r="F1306" t="s">
        <v>546</v>
      </c>
      <c r="G1306" s="174">
        <v>45576.460914351854</v>
      </c>
    </row>
    <row r="1307" spans="1:7">
      <c r="A1307">
        <v>1306</v>
      </c>
      <c r="B1307" t="s">
        <v>2336</v>
      </c>
      <c r="C1307" t="s">
        <v>1090</v>
      </c>
      <c r="E1307">
        <v>0.01</v>
      </c>
      <c r="F1307" t="s">
        <v>546</v>
      </c>
      <c r="G1307" s="174">
        <v>45576.460914351854</v>
      </c>
    </row>
    <row r="1308" spans="1:7">
      <c r="A1308">
        <v>1307</v>
      </c>
      <c r="B1308" t="s">
        <v>2337</v>
      </c>
      <c r="C1308" t="s">
        <v>1353</v>
      </c>
      <c r="E1308">
        <v>0.01</v>
      </c>
      <c r="F1308" t="s">
        <v>546</v>
      </c>
      <c r="G1308" s="174">
        <v>45576.460914351854</v>
      </c>
    </row>
    <row r="1309" spans="1:7">
      <c r="A1309">
        <v>1308</v>
      </c>
      <c r="B1309" t="s">
        <v>2338</v>
      </c>
      <c r="C1309" t="s">
        <v>1155</v>
      </c>
      <c r="E1309">
        <v>0.01</v>
      </c>
      <c r="F1309" t="s">
        <v>546</v>
      </c>
      <c r="G1309" s="174">
        <v>45576.460914351854</v>
      </c>
    </row>
    <row r="1310" spans="1:7">
      <c r="A1310">
        <v>1309</v>
      </c>
      <c r="B1310" t="s">
        <v>2338</v>
      </c>
      <c r="C1310" t="s">
        <v>1351</v>
      </c>
      <c r="E1310">
        <v>0.01</v>
      </c>
      <c r="F1310" t="s">
        <v>546</v>
      </c>
      <c r="G1310" s="174">
        <v>45576.460914351854</v>
      </c>
    </row>
    <row r="1311" spans="1:7">
      <c r="A1311">
        <v>1310</v>
      </c>
      <c r="B1311" t="s">
        <v>2339</v>
      </c>
      <c r="C1311" t="s">
        <v>1235</v>
      </c>
      <c r="E1311">
        <v>0.6</v>
      </c>
      <c r="F1311" t="s">
        <v>546</v>
      </c>
      <c r="G1311" s="174">
        <v>45576.460914351854</v>
      </c>
    </row>
    <row r="1312" spans="1:7">
      <c r="A1312">
        <v>1311</v>
      </c>
      <c r="B1312" t="s">
        <v>2340</v>
      </c>
      <c r="C1312" t="s">
        <v>1504</v>
      </c>
      <c r="E1312">
        <v>0.01</v>
      </c>
      <c r="F1312" t="s">
        <v>546</v>
      </c>
      <c r="G1312" s="174">
        <v>45576.460914351854</v>
      </c>
    </row>
    <row r="1313" spans="1:7">
      <c r="A1313">
        <v>1312</v>
      </c>
      <c r="B1313" t="s">
        <v>2341</v>
      </c>
      <c r="C1313" t="s">
        <v>1306</v>
      </c>
      <c r="E1313">
        <v>0.01</v>
      </c>
      <c r="F1313" t="s">
        <v>546</v>
      </c>
      <c r="G1313" s="174">
        <v>45576.460914351854</v>
      </c>
    </row>
    <row r="1314" spans="1:7">
      <c r="A1314">
        <v>1313</v>
      </c>
      <c r="B1314" t="s">
        <v>2342</v>
      </c>
      <c r="C1314" t="s">
        <v>595</v>
      </c>
      <c r="E1314">
        <v>0.01</v>
      </c>
      <c r="F1314" t="s">
        <v>546</v>
      </c>
      <c r="G1314" s="174">
        <v>45576.460914351854</v>
      </c>
    </row>
    <row r="1315" spans="1:7">
      <c r="A1315">
        <v>1314</v>
      </c>
      <c r="B1315" t="s">
        <v>2343</v>
      </c>
      <c r="C1315" t="s">
        <v>622</v>
      </c>
      <c r="E1315">
        <v>0.01</v>
      </c>
      <c r="F1315" t="s">
        <v>546</v>
      </c>
      <c r="G1315" s="174">
        <v>45576.460914351854</v>
      </c>
    </row>
    <row r="1316" spans="1:7">
      <c r="A1316">
        <v>1315</v>
      </c>
      <c r="B1316" t="s">
        <v>2344</v>
      </c>
      <c r="C1316" t="s">
        <v>2345</v>
      </c>
      <c r="E1316">
        <v>0.01</v>
      </c>
      <c r="F1316" t="s">
        <v>546</v>
      </c>
      <c r="G1316" s="174">
        <v>45576.460914351854</v>
      </c>
    </row>
    <row r="1317" spans="1:7">
      <c r="A1317">
        <v>1316</v>
      </c>
      <c r="B1317" t="s">
        <v>2346</v>
      </c>
      <c r="C1317" t="s">
        <v>693</v>
      </c>
      <c r="E1317">
        <v>0.01</v>
      </c>
      <c r="F1317" t="s">
        <v>546</v>
      </c>
      <c r="G1317" s="174">
        <v>45576.460914351854</v>
      </c>
    </row>
    <row r="1318" spans="1:7">
      <c r="A1318">
        <v>1317</v>
      </c>
      <c r="B1318" t="s">
        <v>2347</v>
      </c>
      <c r="C1318" t="s">
        <v>1932</v>
      </c>
      <c r="E1318">
        <v>0.01</v>
      </c>
      <c r="F1318" t="s">
        <v>546</v>
      </c>
      <c r="G1318" s="174">
        <v>45576.460914351854</v>
      </c>
    </row>
    <row r="1319" spans="1:7">
      <c r="A1319">
        <v>1318</v>
      </c>
      <c r="B1319" t="s">
        <v>2347</v>
      </c>
      <c r="C1319" t="s">
        <v>750</v>
      </c>
      <c r="E1319">
        <v>0.01</v>
      </c>
      <c r="F1319" t="s">
        <v>546</v>
      </c>
      <c r="G1319" s="174">
        <v>45576.460914351854</v>
      </c>
    </row>
    <row r="1320" spans="1:7">
      <c r="A1320">
        <v>1319</v>
      </c>
      <c r="B1320" t="s">
        <v>2348</v>
      </c>
      <c r="C1320" t="s">
        <v>2242</v>
      </c>
      <c r="E1320">
        <v>0.1</v>
      </c>
      <c r="F1320" t="s">
        <v>546</v>
      </c>
      <c r="G1320" s="174">
        <v>45576.460914351854</v>
      </c>
    </row>
    <row r="1321" spans="1:7">
      <c r="A1321">
        <v>1320</v>
      </c>
      <c r="B1321" t="s">
        <v>2349</v>
      </c>
      <c r="C1321" t="s">
        <v>794</v>
      </c>
      <c r="E1321">
        <v>0.01</v>
      </c>
      <c r="F1321" t="s">
        <v>546</v>
      </c>
      <c r="G1321" s="174">
        <v>45576.460914351854</v>
      </c>
    </row>
    <row r="1322" spans="1:7">
      <c r="A1322">
        <v>1321</v>
      </c>
      <c r="B1322" t="s">
        <v>2350</v>
      </c>
      <c r="C1322" t="s">
        <v>1060</v>
      </c>
      <c r="E1322">
        <v>0.05</v>
      </c>
      <c r="F1322" t="s">
        <v>546</v>
      </c>
      <c r="G1322" s="174">
        <v>45576.460914351854</v>
      </c>
    </row>
    <row r="1323" spans="1:7">
      <c r="A1323">
        <v>1322</v>
      </c>
      <c r="B1323" t="s">
        <v>2351</v>
      </c>
      <c r="C1323" t="s">
        <v>1353</v>
      </c>
      <c r="E1323">
        <v>0.01</v>
      </c>
      <c r="F1323" t="s">
        <v>546</v>
      </c>
      <c r="G1323" s="174">
        <v>45576.460914351854</v>
      </c>
    </row>
    <row r="1324" spans="1:7">
      <c r="A1324">
        <v>1323</v>
      </c>
      <c r="B1324" t="s">
        <v>2352</v>
      </c>
      <c r="C1324" t="s">
        <v>1480</v>
      </c>
      <c r="E1324">
        <v>0.01</v>
      </c>
      <c r="F1324" t="s">
        <v>546</v>
      </c>
      <c r="G1324" s="174">
        <v>45576.460914351854</v>
      </c>
    </row>
    <row r="1325" spans="1:7">
      <c r="A1325">
        <v>1324</v>
      </c>
      <c r="B1325" t="s">
        <v>2353</v>
      </c>
      <c r="C1325" t="s">
        <v>1716</v>
      </c>
      <c r="E1325">
        <v>0.01</v>
      </c>
      <c r="F1325" t="s">
        <v>546</v>
      </c>
      <c r="G1325" s="174">
        <v>45576.460914351854</v>
      </c>
    </row>
    <row r="1326" spans="1:7">
      <c r="A1326">
        <v>1325</v>
      </c>
      <c r="B1326" t="s">
        <v>2354</v>
      </c>
      <c r="C1326" t="s">
        <v>1196</v>
      </c>
      <c r="E1326">
        <v>0.01</v>
      </c>
      <c r="F1326" t="s">
        <v>546</v>
      </c>
      <c r="G1326" s="174">
        <v>45576.460914351854</v>
      </c>
    </row>
    <row r="1327" spans="1:7">
      <c r="A1327">
        <v>1326</v>
      </c>
      <c r="B1327" t="s">
        <v>2355</v>
      </c>
      <c r="C1327" t="s">
        <v>1177</v>
      </c>
      <c r="E1327">
        <v>0.01</v>
      </c>
      <c r="F1327" t="s">
        <v>546</v>
      </c>
      <c r="G1327" s="174">
        <v>45576.460914351854</v>
      </c>
    </row>
    <row r="1328" spans="1:7">
      <c r="A1328">
        <v>1327</v>
      </c>
      <c r="B1328" t="s">
        <v>2356</v>
      </c>
      <c r="C1328" t="s">
        <v>1175</v>
      </c>
      <c r="E1328">
        <v>0.01</v>
      </c>
      <c r="F1328" t="s">
        <v>546</v>
      </c>
      <c r="G1328" s="174">
        <v>45576.460914351854</v>
      </c>
    </row>
    <row r="1329" spans="1:7">
      <c r="A1329">
        <v>1328</v>
      </c>
      <c r="B1329" t="s">
        <v>2357</v>
      </c>
      <c r="C1329" t="s">
        <v>1536</v>
      </c>
      <c r="E1329">
        <v>0.01</v>
      </c>
      <c r="F1329" t="s">
        <v>546</v>
      </c>
      <c r="G1329" s="174">
        <v>45576.460914351854</v>
      </c>
    </row>
    <row r="1330" spans="1:7">
      <c r="A1330">
        <v>1329</v>
      </c>
      <c r="B1330" t="s">
        <v>2358</v>
      </c>
      <c r="C1330" t="s">
        <v>1019</v>
      </c>
      <c r="E1330">
        <v>0.01</v>
      </c>
      <c r="F1330" t="s">
        <v>546</v>
      </c>
      <c r="G1330" s="174">
        <v>45576.460914351854</v>
      </c>
    </row>
    <row r="1331" spans="1:7">
      <c r="A1331">
        <v>1330</v>
      </c>
      <c r="B1331" t="s">
        <v>2359</v>
      </c>
      <c r="C1331" t="s">
        <v>2360</v>
      </c>
      <c r="E1331">
        <v>0.01</v>
      </c>
      <c r="F1331" t="s">
        <v>546</v>
      </c>
      <c r="G1331" s="174">
        <v>45576.460914351854</v>
      </c>
    </row>
    <row r="1332" spans="1:7">
      <c r="A1332">
        <v>1331</v>
      </c>
      <c r="B1332" t="s">
        <v>2361</v>
      </c>
      <c r="C1332" t="s">
        <v>2157</v>
      </c>
      <c r="E1332">
        <v>0.01</v>
      </c>
      <c r="F1332" t="s">
        <v>546</v>
      </c>
      <c r="G1332" s="174">
        <v>45576.460914351854</v>
      </c>
    </row>
    <row r="1333" spans="1:7">
      <c r="A1333">
        <v>1332</v>
      </c>
      <c r="B1333" t="s">
        <v>2362</v>
      </c>
      <c r="C1333" t="s">
        <v>1659</v>
      </c>
      <c r="E1333">
        <v>0.01</v>
      </c>
      <c r="F1333" t="s">
        <v>546</v>
      </c>
      <c r="G1333" s="174">
        <v>45576.460914351854</v>
      </c>
    </row>
    <row r="1334" spans="1:7">
      <c r="A1334">
        <v>1333</v>
      </c>
      <c r="B1334" t="s">
        <v>2362</v>
      </c>
      <c r="C1334" t="s">
        <v>730</v>
      </c>
      <c r="E1334">
        <v>0.05</v>
      </c>
      <c r="F1334" t="s">
        <v>546</v>
      </c>
      <c r="G1334" s="174">
        <v>45576.460914351854</v>
      </c>
    </row>
    <row r="1335" spans="1:7">
      <c r="A1335">
        <v>1334</v>
      </c>
      <c r="B1335" t="s">
        <v>2362</v>
      </c>
      <c r="C1335" t="s">
        <v>2363</v>
      </c>
      <c r="E1335">
        <v>0.01</v>
      </c>
      <c r="F1335" t="s">
        <v>546</v>
      </c>
      <c r="G1335" s="174">
        <v>45576.460914351854</v>
      </c>
    </row>
    <row r="1336" spans="1:7">
      <c r="A1336">
        <v>1335</v>
      </c>
      <c r="B1336" t="s">
        <v>2364</v>
      </c>
      <c r="C1336" t="s">
        <v>592</v>
      </c>
      <c r="E1336">
        <v>0.01</v>
      </c>
      <c r="F1336" t="s">
        <v>546</v>
      </c>
      <c r="G1336" s="174">
        <v>45576.460914351854</v>
      </c>
    </row>
    <row r="1337" spans="1:7">
      <c r="A1337">
        <v>1336</v>
      </c>
      <c r="B1337" t="s">
        <v>2365</v>
      </c>
      <c r="C1337" t="s">
        <v>2366</v>
      </c>
      <c r="E1337">
        <v>0.01</v>
      </c>
      <c r="F1337" t="s">
        <v>546</v>
      </c>
      <c r="G1337" s="174">
        <v>45576.460914351854</v>
      </c>
    </row>
    <row r="1338" spans="1:7">
      <c r="A1338">
        <v>1337</v>
      </c>
      <c r="B1338" t="s">
        <v>2367</v>
      </c>
      <c r="C1338" t="s">
        <v>881</v>
      </c>
      <c r="E1338">
        <v>0.1</v>
      </c>
      <c r="F1338" t="s">
        <v>546</v>
      </c>
      <c r="G1338" s="174">
        <v>45576.460914351854</v>
      </c>
    </row>
    <row r="1339" spans="1:7">
      <c r="A1339">
        <v>1338</v>
      </c>
      <c r="B1339" t="s">
        <v>2368</v>
      </c>
      <c r="C1339" t="s">
        <v>2369</v>
      </c>
      <c r="E1339">
        <v>0.01</v>
      </c>
      <c r="F1339" t="s">
        <v>546</v>
      </c>
      <c r="G1339" s="174">
        <v>45576.460914351854</v>
      </c>
    </row>
    <row r="1340" spans="1:7">
      <c r="A1340">
        <v>1339</v>
      </c>
      <c r="B1340" t="s">
        <v>2370</v>
      </c>
      <c r="C1340" t="s">
        <v>1570</v>
      </c>
      <c r="E1340">
        <v>0.01</v>
      </c>
      <c r="F1340" t="s">
        <v>546</v>
      </c>
      <c r="G1340" s="174">
        <v>45576.460914351854</v>
      </c>
    </row>
    <row r="1341" spans="1:7">
      <c r="A1341">
        <v>1340</v>
      </c>
      <c r="B1341" t="s">
        <v>2371</v>
      </c>
      <c r="C1341" t="s">
        <v>1912</v>
      </c>
      <c r="E1341">
        <v>0.01</v>
      </c>
      <c r="F1341" t="s">
        <v>546</v>
      </c>
      <c r="G1341" s="174">
        <v>45576.460914351854</v>
      </c>
    </row>
    <row r="1342" spans="1:7">
      <c r="A1342">
        <v>1341</v>
      </c>
      <c r="B1342" t="s">
        <v>2372</v>
      </c>
      <c r="C1342" t="s">
        <v>2373</v>
      </c>
      <c r="E1342">
        <v>0.01</v>
      </c>
      <c r="F1342" t="s">
        <v>546</v>
      </c>
      <c r="G1342" s="174">
        <v>45576.460914351854</v>
      </c>
    </row>
    <row r="1343" spans="1:7">
      <c r="A1343">
        <v>1342</v>
      </c>
      <c r="B1343" t="s">
        <v>2374</v>
      </c>
      <c r="C1343" t="s">
        <v>2375</v>
      </c>
      <c r="E1343">
        <v>0.01</v>
      </c>
      <c r="F1343" t="s">
        <v>546</v>
      </c>
      <c r="G1343" s="174">
        <v>45576.460914351854</v>
      </c>
    </row>
    <row r="1344" spans="1:7">
      <c r="A1344">
        <v>1343</v>
      </c>
      <c r="B1344" t="s">
        <v>2376</v>
      </c>
      <c r="C1344" t="s">
        <v>1116</v>
      </c>
      <c r="E1344">
        <v>0.01</v>
      </c>
      <c r="F1344" t="s">
        <v>546</v>
      </c>
      <c r="G1344" s="174">
        <v>45576.460914351854</v>
      </c>
    </row>
    <row r="1345" spans="1:7">
      <c r="A1345">
        <v>1344</v>
      </c>
      <c r="B1345" t="s">
        <v>2377</v>
      </c>
      <c r="C1345" t="s">
        <v>1652</v>
      </c>
      <c r="E1345">
        <v>0.01</v>
      </c>
      <c r="F1345" t="s">
        <v>546</v>
      </c>
      <c r="G1345" s="174">
        <v>45576.460914351854</v>
      </c>
    </row>
    <row r="1346" spans="1:7">
      <c r="A1346">
        <v>1345</v>
      </c>
      <c r="B1346" t="s">
        <v>2378</v>
      </c>
      <c r="C1346" t="s">
        <v>2379</v>
      </c>
      <c r="E1346">
        <v>0.01</v>
      </c>
      <c r="F1346" t="s">
        <v>546</v>
      </c>
      <c r="G1346" s="174">
        <v>45576.460914351854</v>
      </c>
    </row>
    <row r="1347" spans="1:7">
      <c r="A1347">
        <v>1346</v>
      </c>
      <c r="B1347" t="s">
        <v>2380</v>
      </c>
      <c r="C1347" t="s">
        <v>552</v>
      </c>
      <c r="E1347">
        <v>0.01</v>
      </c>
      <c r="F1347" t="s">
        <v>546</v>
      </c>
      <c r="G1347" s="174">
        <v>45576.460914351854</v>
      </c>
    </row>
    <row r="1348" spans="1:7">
      <c r="A1348">
        <v>1347</v>
      </c>
      <c r="B1348" t="s">
        <v>2381</v>
      </c>
      <c r="C1348" t="s">
        <v>859</v>
      </c>
      <c r="E1348">
        <v>0.01</v>
      </c>
      <c r="F1348" t="s">
        <v>546</v>
      </c>
      <c r="G1348" s="174">
        <v>45576.460914351854</v>
      </c>
    </row>
    <row r="1349" spans="1:7">
      <c r="A1349">
        <v>1348</v>
      </c>
      <c r="B1349" t="s">
        <v>2382</v>
      </c>
      <c r="C1349" t="s">
        <v>1383</v>
      </c>
      <c r="E1349">
        <v>0.01</v>
      </c>
      <c r="F1349" t="s">
        <v>546</v>
      </c>
      <c r="G1349" s="174">
        <v>45576.460914351854</v>
      </c>
    </row>
    <row r="1350" spans="1:7">
      <c r="A1350">
        <v>1349</v>
      </c>
      <c r="B1350" t="s">
        <v>2383</v>
      </c>
      <c r="C1350" t="s">
        <v>2384</v>
      </c>
      <c r="E1350">
        <v>0.01</v>
      </c>
      <c r="F1350" t="s">
        <v>546</v>
      </c>
      <c r="G1350" s="174">
        <v>45576.460914351854</v>
      </c>
    </row>
    <row r="1351" spans="1:7">
      <c r="A1351">
        <v>1350</v>
      </c>
      <c r="B1351" t="s">
        <v>2385</v>
      </c>
      <c r="C1351" t="s">
        <v>839</v>
      </c>
      <c r="E1351">
        <v>0.01</v>
      </c>
      <c r="F1351" t="s">
        <v>546</v>
      </c>
      <c r="G1351" s="174">
        <v>45576.460914351854</v>
      </c>
    </row>
    <row r="1352" spans="1:7">
      <c r="A1352">
        <v>1351</v>
      </c>
      <c r="B1352" t="s">
        <v>2386</v>
      </c>
      <c r="C1352" t="s">
        <v>2387</v>
      </c>
      <c r="E1352">
        <v>0.1</v>
      </c>
      <c r="F1352" t="s">
        <v>546</v>
      </c>
      <c r="G1352" s="174">
        <v>45576.460914351854</v>
      </c>
    </row>
    <row r="1353" spans="1:7">
      <c r="A1353">
        <v>1352</v>
      </c>
      <c r="B1353" t="s">
        <v>2388</v>
      </c>
      <c r="C1353" t="s">
        <v>2199</v>
      </c>
      <c r="E1353">
        <v>0.01</v>
      </c>
      <c r="F1353" t="s">
        <v>546</v>
      </c>
      <c r="G1353" s="174">
        <v>45576.460914351854</v>
      </c>
    </row>
    <row r="1354" spans="1:7">
      <c r="A1354">
        <v>1353</v>
      </c>
      <c r="B1354" t="s">
        <v>2389</v>
      </c>
      <c r="C1354" t="s">
        <v>978</v>
      </c>
      <c r="E1354">
        <v>0.1</v>
      </c>
      <c r="F1354" t="s">
        <v>546</v>
      </c>
      <c r="G1354" s="174">
        <v>45576.460914351854</v>
      </c>
    </row>
    <row r="1355" spans="1:7">
      <c r="A1355">
        <v>1354</v>
      </c>
      <c r="B1355" t="s">
        <v>2390</v>
      </c>
      <c r="C1355" t="s">
        <v>2391</v>
      </c>
      <c r="E1355">
        <v>0.01</v>
      </c>
      <c r="F1355" t="s">
        <v>546</v>
      </c>
      <c r="G1355" s="174">
        <v>45576.460914351854</v>
      </c>
    </row>
    <row r="1356" spans="1:7">
      <c r="A1356">
        <v>1355</v>
      </c>
      <c r="B1356" t="s">
        <v>2392</v>
      </c>
      <c r="C1356" t="s">
        <v>2393</v>
      </c>
      <c r="E1356">
        <v>0.01</v>
      </c>
      <c r="F1356" t="s">
        <v>546</v>
      </c>
      <c r="G1356" s="174">
        <v>45576.460914351854</v>
      </c>
    </row>
    <row r="1357" spans="1:7">
      <c r="A1357">
        <v>1356</v>
      </c>
      <c r="B1357" t="s">
        <v>2394</v>
      </c>
      <c r="C1357" t="s">
        <v>735</v>
      </c>
      <c r="E1357">
        <v>0.01</v>
      </c>
      <c r="F1357" t="s">
        <v>546</v>
      </c>
      <c r="G1357" s="174">
        <v>45576.460914351854</v>
      </c>
    </row>
    <row r="1358" spans="1:7">
      <c r="A1358">
        <v>1357</v>
      </c>
      <c r="B1358" t="s">
        <v>2395</v>
      </c>
      <c r="C1358" t="s">
        <v>1177</v>
      </c>
      <c r="E1358">
        <v>0.8</v>
      </c>
      <c r="F1358" t="s">
        <v>2396</v>
      </c>
      <c r="G1358" s="174">
        <v>45576.460914351854</v>
      </c>
    </row>
    <row r="1359" spans="1:7">
      <c r="A1359">
        <v>1358</v>
      </c>
      <c r="B1359" t="s">
        <v>2397</v>
      </c>
      <c r="C1359" t="s">
        <v>1042</v>
      </c>
      <c r="E1359">
        <v>0.01</v>
      </c>
      <c r="F1359" t="s">
        <v>546</v>
      </c>
      <c r="G1359" s="174">
        <v>45576.460914351854</v>
      </c>
    </row>
    <row r="1360" spans="1:7">
      <c r="A1360">
        <v>1359</v>
      </c>
      <c r="B1360" t="s">
        <v>2398</v>
      </c>
      <c r="C1360" t="s">
        <v>721</v>
      </c>
      <c r="E1360">
        <v>0.01</v>
      </c>
      <c r="F1360" t="s">
        <v>546</v>
      </c>
      <c r="G1360" s="174">
        <v>45576.460914351854</v>
      </c>
    </row>
    <row r="1361" spans="1:7">
      <c r="A1361">
        <v>1360</v>
      </c>
      <c r="B1361" t="s">
        <v>2399</v>
      </c>
      <c r="C1361" t="s">
        <v>835</v>
      </c>
      <c r="E1361">
        <v>0.01</v>
      </c>
      <c r="F1361" t="s">
        <v>546</v>
      </c>
      <c r="G1361" s="174">
        <v>45576.460914351854</v>
      </c>
    </row>
    <row r="1362" spans="1:7">
      <c r="A1362">
        <v>1361</v>
      </c>
      <c r="B1362" t="s">
        <v>2400</v>
      </c>
      <c r="C1362" t="s">
        <v>857</v>
      </c>
      <c r="E1362">
        <v>0.01</v>
      </c>
      <c r="F1362" t="s">
        <v>546</v>
      </c>
      <c r="G1362" s="174">
        <v>45576.460914351854</v>
      </c>
    </row>
    <row r="1363" spans="1:7">
      <c r="A1363">
        <v>1362</v>
      </c>
      <c r="B1363" t="s">
        <v>2401</v>
      </c>
      <c r="C1363" t="s">
        <v>1044</v>
      </c>
      <c r="E1363">
        <v>0.01</v>
      </c>
      <c r="F1363" t="s">
        <v>546</v>
      </c>
      <c r="G1363" s="174">
        <v>45576.460914351854</v>
      </c>
    </row>
    <row r="1364" spans="1:7">
      <c r="A1364">
        <v>1363</v>
      </c>
      <c r="B1364" t="s">
        <v>2401</v>
      </c>
      <c r="C1364" t="s">
        <v>1045</v>
      </c>
      <c r="E1364">
        <v>0.05</v>
      </c>
      <c r="F1364" t="s">
        <v>546</v>
      </c>
      <c r="G1364" s="174">
        <v>45576.460914351854</v>
      </c>
    </row>
    <row r="1365" spans="1:7">
      <c r="A1365">
        <v>1364</v>
      </c>
      <c r="B1365" t="s">
        <v>2402</v>
      </c>
      <c r="C1365" t="s">
        <v>1839</v>
      </c>
      <c r="E1365">
        <v>0.01</v>
      </c>
      <c r="F1365" t="s">
        <v>546</v>
      </c>
      <c r="G1365" s="174">
        <v>45576.460914351854</v>
      </c>
    </row>
    <row r="1366" spans="1:7">
      <c r="A1366">
        <v>1365</v>
      </c>
      <c r="B1366" t="s">
        <v>2403</v>
      </c>
      <c r="C1366" t="s">
        <v>1862</v>
      </c>
      <c r="E1366">
        <v>0.01</v>
      </c>
      <c r="F1366" t="s">
        <v>546</v>
      </c>
      <c r="G1366" s="174">
        <v>45576.460914351854</v>
      </c>
    </row>
    <row r="1367" spans="1:7">
      <c r="A1367">
        <v>1366</v>
      </c>
      <c r="B1367" t="s">
        <v>2404</v>
      </c>
      <c r="C1367" t="s">
        <v>1209</v>
      </c>
      <c r="E1367">
        <v>0.01</v>
      </c>
      <c r="F1367" t="s">
        <v>546</v>
      </c>
      <c r="G1367" s="174">
        <v>45576.460914351854</v>
      </c>
    </row>
    <row r="1368" spans="1:7">
      <c r="A1368">
        <v>1367</v>
      </c>
      <c r="B1368" t="s">
        <v>2405</v>
      </c>
      <c r="C1368" t="s">
        <v>2406</v>
      </c>
      <c r="E1368">
        <v>0.01</v>
      </c>
      <c r="F1368" t="s">
        <v>546</v>
      </c>
      <c r="G1368" s="174">
        <v>45576.460914351854</v>
      </c>
    </row>
    <row r="1369" spans="1:7">
      <c r="A1369">
        <v>1368</v>
      </c>
      <c r="B1369" t="s">
        <v>2407</v>
      </c>
      <c r="C1369" t="s">
        <v>1044</v>
      </c>
      <c r="E1369">
        <v>0.01</v>
      </c>
      <c r="F1369" t="s">
        <v>546</v>
      </c>
      <c r="G1369" s="174">
        <v>45576.460914351854</v>
      </c>
    </row>
    <row r="1370" spans="1:7">
      <c r="A1370">
        <v>1369</v>
      </c>
      <c r="B1370" t="s">
        <v>2407</v>
      </c>
      <c r="C1370" t="s">
        <v>1045</v>
      </c>
      <c r="E1370">
        <v>0.01</v>
      </c>
      <c r="F1370" t="s">
        <v>546</v>
      </c>
      <c r="G1370" s="174">
        <v>45576.460914351854</v>
      </c>
    </row>
    <row r="1371" spans="1:7">
      <c r="A1371">
        <v>1370</v>
      </c>
      <c r="B1371" t="s">
        <v>2408</v>
      </c>
      <c r="C1371" t="s">
        <v>1480</v>
      </c>
      <c r="E1371">
        <v>0.01</v>
      </c>
      <c r="F1371" t="s">
        <v>546</v>
      </c>
      <c r="G1371" s="174">
        <v>45576.460914351854</v>
      </c>
    </row>
    <row r="1372" spans="1:7">
      <c r="A1372">
        <v>1371</v>
      </c>
      <c r="B1372" t="s">
        <v>2409</v>
      </c>
      <c r="C1372" t="s">
        <v>2133</v>
      </c>
      <c r="E1372">
        <v>0.01</v>
      </c>
      <c r="F1372" t="s">
        <v>546</v>
      </c>
      <c r="G1372" s="174">
        <v>45576.460914351854</v>
      </c>
    </row>
    <row r="1373" spans="1:7">
      <c r="A1373">
        <v>1372</v>
      </c>
      <c r="B1373" t="s">
        <v>2410</v>
      </c>
      <c r="C1373" t="s">
        <v>1017</v>
      </c>
      <c r="E1373">
        <v>0.01</v>
      </c>
      <c r="F1373" t="s">
        <v>546</v>
      </c>
      <c r="G1373" s="174">
        <v>45576.460914351854</v>
      </c>
    </row>
    <row r="1374" spans="1:7">
      <c r="A1374">
        <v>1373</v>
      </c>
      <c r="B1374" t="s">
        <v>2411</v>
      </c>
      <c r="C1374" t="s">
        <v>941</v>
      </c>
      <c r="E1374">
        <v>0.01</v>
      </c>
      <c r="F1374" t="s">
        <v>546</v>
      </c>
      <c r="G1374" s="174">
        <v>45576.460914351854</v>
      </c>
    </row>
    <row r="1375" spans="1:7">
      <c r="A1375">
        <v>1374</v>
      </c>
      <c r="B1375" t="s">
        <v>2412</v>
      </c>
      <c r="C1375" t="s">
        <v>1965</v>
      </c>
      <c r="E1375">
        <v>0.01</v>
      </c>
      <c r="F1375" t="s">
        <v>546</v>
      </c>
      <c r="G1375" s="174">
        <v>45576.460914351854</v>
      </c>
    </row>
    <row r="1376" spans="1:7">
      <c r="A1376">
        <v>1375</v>
      </c>
      <c r="B1376" t="s">
        <v>2413</v>
      </c>
      <c r="C1376" t="s">
        <v>1534</v>
      </c>
      <c r="E1376">
        <v>0.01</v>
      </c>
      <c r="F1376" t="s">
        <v>546</v>
      </c>
      <c r="G1376" s="174">
        <v>45576.460914351854</v>
      </c>
    </row>
    <row r="1377" spans="1:7">
      <c r="A1377">
        <v>1376</v>
      </c>
      <c r="B1377" t="s">
        <v>2414</v>
      </c>
      <c r="C1377" t="s">
        <v>2037</v>
      </c>
      <c r="E1377">
        <v>0.01</v>
      </c>
      <c r="F1377" t="s">
        <v>546</v>
      </c>
      <c r="G1377" s="174">
        <v>45576.460914351854</v>
      </c>
    </row>
    <row r="1378" spans="1:7">
      <c r="A1378">
        <v>1377</v>
      </c>
      <c r="B1378" t="s">
        <v>2415</v>
      </c>
      <c r="C1378" t="s">
        <v>2416</v>
      </c>
      <c r="E1378">
        <v>0.01</v>
      </c>
      <c r="F1378" t="s">
        <v>546</v>
      </c>
      <c r="G1378" s="174">
        <v>45576.460914351854</v>
      </c>
    </row>
    <row r="1379" spans="1:7">
      <c r="A1379">
        <v>1378</v>
      </c>
      <c r="B1379" t="s">
        <v>2417</v>
      </c>
      <c r="C1379" t="s">
        <v>1894</v>
      </c>
      <c r="E1379">
        <v>0.01</v>
      </c>
      <c r="F1379" t="s">
        <v>546</v>
      </c>
      <c r="G1379" s="174">
        <v>45576.460914351854</v>
      </c>
    </row>
    <row r="1380" spans="1:7">
      <c r="A1380">
        <v>1379</v>
      </c>
      <c r="B1380" t="s">
        <v>2418</v>
      </c>
      <c r="C1380" t="s">
        <v>1127</v>
      </c>
      <c r="E1380">
        <v>0.01</v>
      </c>
      <c r="F1380" t="s">
        <v>546</v>
      </c>
      <c r="G1380" s="174">
        <v>45576.460914351854</v>
      </c>
    </row>
    <row r="1381" spans="1:7">
      <c r="A1381">
        <v>1380</v>
      </c>
      <c r="B1381" t="s">
        <v>2419</v>
      </c>
      <c r="C1381" t="s">
        <v>1616</v>
      </c>
      <c r="E1381">
        <v>0.8</v>
      </c>
      <c r="F1381" t="s">
        <v>546</v>
      </c>
      <c r="G1381" s="174">
        <v>45576.460914351854</v>
      </c>
    </row>
    <row r="1382" spans="1:7">
      <c r="A1382">
        <v>1381</v>
      </c>
      <c r="B1382" t="s">
        <v>2420</v>
      </c>
      <c r="C1382" t="s">
        <v>1720</v>
      </c>
      <c r="E1382">
        <v>0.01</v>
      </c>
      <c r="F1382" t="s">
        <v>546</v>
      </c>
      <c r="G1382" s="174">
        <v>45576.460914351854</v>
      </c>
    </row>
    <row r="1383" spans="1:7">
      <c r="A1383">
        <v>1382</v>
      </c>
      <c r="B1383" t="s">
        <v>2421</v>
      </c>
      <c r="C1383" t="s">
        <v>1035</v>
      </c>
      <c r="E1383">
        <v>0.01</v>
      </c>
      <c r="F1383" t="s">
        <v>546</v>
      </c>
      <c r="G1383" s="174">
        <v>45576.460914351854</v>
      </c>
    </row>
    <row r="1384" spans="1:7">
      <c r="A1384">
        <v>1383</v>
      </c>
      <c r="B1384" t="s">
        <v>2422</v>
      </c>
      <c r="C1384" t="s">
        <v>681</v>
      </c>
      <c r="E1384">
        <v>0.01</v>
      </c>
      <c r="F1384" t="s">
        <v>546</v>
      </c>
      <c r="G1384" s="174">
        <v>45576.460914351854</v>
      </c>
    </row>
    <row r="1385" spans="1:7">
      <c r="A1385">
        <v>1384</v>
      </c>
      <c r="B1385" t="s">
        <v>2423</v>
      </c>
      <c r="C1385" t="s">
        <v>2424</v>
      </c>
      <c r="E1385">
        <v>0.1</v>
      </c>
      <c r="F1385" t="s">
        <v>546</v>
      </c>
      <c r="G1385" s="174">
        <v>45576.460914351854</v>
      </c>
    </row>
    <row r="1386" spans="1:7">
      <c r="A1386">
        <v>1385</v>
      </c>
      <c r="B1386" t="s">
        <v>2425</v>
      </c>
      <c r="C1386" t="s">
        <v>2426</v>
      </c>
      <c r="E1386">
        <v>0.01</v>
      </c>
      <c r="F1386" t="s">
        <v>546</v>
      </c>
      <c r="G1386" s="174">
        <v>45576.460914351854</v>
      </c>
    </row>
    <row r="1387" spans="1:7">
      <c r="A1387">
        <v>1386</v>
      </c>
      <c r="B1387" t="s">
        <v>2427</v>
      </c>
      <c r="C1387" t="s">
        <v>2428</v>
      </c>
      <c r="E1387">
        <v>0.01</v>
      </c>
      <c r="F1387" t="s">
        <v>546</v>
      </c>
      <c r="G1387" s="174">
        <v>45576.460914351854</v>
      </c>
    </row>
    <row r="1388" spans="1:7">
      <c r="A1388">
        <v>1387</v>
      </c>
      <c r="B1388" t="s">
        <v>2429</v>
      </c>
      <c r="C1388" t="s">
        <v>681</v>
      </c>
      <c r="E1388">
        <v>0.01</v>
      </c>
      <c r="F1388" t="s">
        <v>546</v>
      </c>
      <c r="G1388" s="174">
        <v>45576.460914351854</v>
      </c>
    </row>
    <row r="1389" spans="1:7">
      <c r="A1389">
        <v>1388</v>
      </c>
      <c r="B1389" t="s">
        <v>2430</v>
      </c>
      <c r="C1389" t="s">
        <v>1894</v>
      </c>
      <c r="E1389">
        <v>0.01</v>
      </c>
      <c r="F1389" t="s">
        <v>546</v>
      </c>
      <c r="G1389" s="174">
        <v>45576.460914351854</v>
      </c>
    </row>
    <row r="1390" spans="1:7">
      <c r="A1390">
        <v>1389</v>
      </c>
      <c r="B1390" t="s">
        <v>2431</v>
      </c>
      <c r="C1390" t="s">
        <v>2428</v>
      </c>
      <c r="E1390">
        <v>0.01</v>
      </c>
      <c r="F1390" t="s">
        <v>546</v>
      </c>
      <c r="G1390" s="174">
        <v>45576.460914351854</v>
      </c>
    </row>
    <row r="1391" spans="1:7">
      <c r="A1391">
        <v>1390</v>
      </c>
      <c r="B1391" t="s">
        <v>2432</v>
      </c>
      <c r="C1391" t="s">
        <v>1570</v>
      </c>
      <c r="E1391">
        <v>0.01</v>
      </c>
      <c r="F1391" t="s">
        <v>546</v>
      </c>
      <c r="G1391" s="174">
        <v>45576.460914351854</v>
      </c>
    </row>
    <row r="1392" spans="1:7">
      <c r="A1392">
        <v>1391</v>
      </c>
      <c r="B1392" t="s">
        <v>2433</v>
      </c>
      <c r="C1392" t="s">
        <v>1013</v>
      </c>
      <c r="E1392">
        <v>0.01</v>
      </c>
      <c r="F1392" t="s">
        <v>546</v>
      </c>
      <c r="G1392" s="174">
        <v>45576.460914351854</v>
      </c>
    </row>
    <row r="1393" spans="1:7">
      <c r="A1393">
        <v>1392</v>
      </c>
      <c r="B1393" t="s">
        <v>2434</v>
      </c>
      <c r="C1393" t="s">
        <v>2168</v>
      </c>
      <c r="E1393">
        <v>0.01</v>
      </c>
      <c r="F1393" t="s">
        <v>546</v>
      </c>
      <c r="G1393" s="174">
        <v>45576.460914351854</v>
      </c>
    </row>
    <row r="1394" spans="1:7">
      <c r="A1394">
        <v>1393</v>
      </c>
      <c r="B1394" t="s">
        <v>2435</v>
      </c>
      <c r="C1394" t="s">
        <v>548</v>
      </c>
      <c r="E1394">
        <v>0.01</v>
      </c>
      <c r="F1394" t="s">
        <v>546</v>
      </c>
      <c r="G1394" s="174">
        <v>45576.460914351854</v>
      </c>
    </row>
    <row r="1395" spans="1:7">
      <c r="A1395">
        <v>1394</v>
      </c>
      <c r="B1395" t="s">
        <v>2436</v>
      </c>
      <c r="C1395" t="s">
        <v>1359</v>
      </c>
      <c r="E1395">
        <v>0.01</v>
      </c>
      <c r="F1395" t="s">
        <v>546</v>
      </c>
      <c r="G1395" s="174">
        <v>45576.460914351854</v>
      </c>
    </row>
    <row r="1396" spans="1:7">
      <c r="A1396">
        <v>1395</v>
      </c>
      <c r="B1396" t="s">
        <v>2437</v>
      </c>
      <c r="C1396" t="s">
        <v>1599</v>
      </c>
      <c r="E1396">
        <v>0.01</v>
      </c>
      <c r="F1396" t="s">
        <v>546</v>
      </c>
      <c r="G1396" s="174">
        <v>45576.460914351854</v>
      </c>
    </row>
    <row r="1397" spans="1:7">
      <c r="A1397">
        <v>1396</v>
      </c>
      <c r="B1397" t="s">
        <v>2438</v>
      </c>
      <c r="C1397" t="s">
        <v>1060</v>
      </c>
      <c r="E1397">
        <v>0.01</v>
      </c>
      <c r="F1397" t="s">
        <v>546</v>
      </c>
      <c r="G1397" s="174">
        <v>45576.460914351854</v>
      </c>
    </row>
    <row r="1398" spans="1:7">
      <c r="A1398">
        <v>1397</v>
      </c>
      <c r="B1398" t="s">
        <v>2439</v>
      </c>
      <c r="C1398" t="s">
        <v>573</v>
      </c>
      <c r="E1398">
        <v>0.01</v>
      </c>
      <c r="F1398" t="s">
        <v>546</v>
      </c>
      <c r="G1398" s="174">
        <v>45576.460914351854</v>
      </c>
    </row>
    <row r="1399" spans="1:7">
      <c r="A1399">
        <v>1398</v>
      </c>
      <c r="B1399" t="s">
        <v>2440</v>
      </c>
      <c r="C1399" t="s">
        <v>771</v>
      </c>
      <c r="E1399">
        <v>0.01</v>
      </c>
      <c r="F1399" t="s">
        <v>546</v>
      </c>
      <c r="G1399" s="174">
        <v>45576.460914351854</v>
      </c>
    </row>
    <row r="1400" spans="1:7">
      <c r="A1400">
        <v>1399</v>
      </c>
      <c r="B1400" t="s">
        <v>2441</v>
      </c>
      <c r="C1400" t="s">
        <v>1919</v>
      </c>
      <c r="E1400">
        <v>0.05</v>
      </c>
      <c r="F1400" t="s">
        <v>546</v>
      </c>
      <c r="G1400" s="174">
        <v>45576.460914351854</v>
      </c>
    </row>
    <row r="1401" spans="1:7">
      <c r="A1401">
        <v>1400</v>
      </c>
      <c r="B1401" t="s">
        <v>2442</v>
      </c>
      <c r="C1401" t="s">
        <v>2443</v>
      </c>
      <c r="E1401">
        <v>0.01</v>
      </c>
      <c r="F1401" t="s">
        <v>546</v>
      </c>
      <c r="G1401" s="174">
        <v>45576.460914351854</v>
      </c>
    </row>
    <row r="1402" spans="1:7">
      <c r="A1402">
        <v>1401</v>
      </c>
      <c r="B1402" t="s">
        <v>2444</v>
      </c>
      <c r="C1402" t="s">
        <v>2445</v>
      </c>
      <c r="E1402">
        <v>0.01</v>
      </c>
      <c r="F1402" t="s">
        <v>546</v>
      </c>
      <c r="G1402" s="174">
        <v>45576.460914351854</v>
      </c>
    </row>
    <row r="1403" spans="1:7">
      <c r="A1403">
        <v>1402</v>
      </c>
      <c r="B1403" t="s">
        <v>2446</v>
      </c>
      <c r="C1403" t="s">
        <v>1040</v>
      </c>
      <c r="E1403">
        <v>0.01</v>
      </c>
      <c r="F1403" t="s">
        <v>546</v>
      </c>
      <c r="G1403" s="174">
        <v>45576.460914351854</v>
      </c>
    </row>
    <row r="1404" spans="1:7">
      <c r="A1404">
        <v>1403</v>
      </c>
      <c r="B1404" t="s">
        <v>2446</v>
      </c>
      <c r="C1404" t="s">
        <v>2447</v>
      </c>
      <c r="E1404">
        <v>0.1</v>
      </c>
      <c r="F1404" t="s">
        <v>546</v>
      </c>
      <c r="G1404" s="174">
        <v>45576.460914351854</v>
      </c>
    </row>
    <row r="1405" spans="1:7">
      <c r="A1405">
        <v>1404</v>
      </c>
      <c r="B1405" t="s">
        <v>2448</v>
      </c>
      <c r="C1405" t="s">
        <v>1564</v>
      </c>
      <c r="E1405">
        <v>0.01</v>
      </c>
      <c r="F1405" t="s">
        <v>546</v>
      </c>
      <c r="G1405" s="174">
        <v>45576.460914351854</v>
      </c>
    </row>
    <row r="1406" spans="1:7">
      <c r="A1406">
        <v>1405</v>
      </c>
      <c r="B1406" t="s">
        <v>2449</v>
      </c>
      <c r="C1406" t="s">
        <v>1727</v>
      </c>
      <c r="E1406">
        <v>0.01</v>
      </c>
      <c r="F1406" t="s">
        <v>546</v>
      </c>
      <c r="G1406" s="174">
        <v>45576.460914351854</v>
      </c>
    </row>
    <row r="1407" spans="1:7">
      <c r="A1407">
        <v>1406</v>
      </c>
      <c r="B1407" t="s">
        <v>2450</v>
      </c>
      <c r="C1407" t="s">
        <v>773</v>
      </c>
      <c r="E1407">
        <v>0.01</v>
      </c>
      <c r="F1407" t="s">
        <v>546</v>
      </c>
      <c r="G1407" s="174">
        <v>45576.460914351854</v>
      </c>
    </row>
    <row r="1408" spans="1:7">
      <c r="A1408">
        <v>1407</v>
      </c>
      <c r="B1408" t="s">
        <v>2451</v>
      </c>
      <c r="C1408" t="s">
        <v>2452</v>
      </c>
      <c r="E1408">
        <v>0.6</v>
      </c>
      <c r="F1408" t="s">
        <v>546</v>
      </c>
      <c r="G1408" s="174">
        <v>45576.460914351854</v>
      </c>
    </row>
    <row r="1409" spans="1:7">
      <c r="A1409">
        <v>1408</v>
      </c>
      <c r="B1409" t="s">
        <v>2453</v>
      </c>
      <c r="C1409" t="s">
        <v>2454</v>
      </c>
      <c r="E1409">
        <v>0.01</v>
      </c>
      <c r="F1409" t="s">
        <v>546</v>
      </c>
      <c r="G1409" s="174">
        <v>45576.460914351854</v>
      </c>
    </row>
    <row r="1410" spans="1:7">
      <c r="A1410">
        <v>1409</v>
      </c>
      <c r="B1410" t="s">
        <v>2455</v>
      </c>
      <c r="C1410" t="s">
        <v>710</v>
      </c>
      <c r="E1410">
        <v>0.01</v>
      </c>
      <c r="F1410" t="s">
        <v>546</v>
      </c>
      <c r="G1410" s="174">
        <v>45576.460914351854</v>
      </c>
    </row>
    <row r="1411" spans="1:7">
      <c r="A1411">
        <v>1410</v>
      </c>
      <c r="B1411" t="s">
        <v>2455</v>
      </c>
      <c r="C1411" t="s">
        <v>2456</v>
      </c>
      <c r="E1411">
        <v>0.01</v>
      </c>
      <c r="F1411" t="s">
        <v>546</v>
      </c>
      <c r="G1411" s="174">
        <v>45576.460914351854</v>
      </c>
    </row>
    <row r="1412" spans="1:7">
      <c r="A1412">
        <v>1411</v>
      </c>
      <c r="B1412" t="s">
        <v>2457</v>
      </c>
      <c r="C1412" t="s">
        <v>2147</v>
      </c>
      <c r="E1412">
        <v>0.01</v>
      </c>
      <c r="F1412" t="s">
        <v>546</v>
      </c>
      <c r="G1412" s="174">
        <v>45576.460914351854</v>
      </c>
    </row>
    <row r="1413" spans="1:7">
      <c r="A1413">
        <v>1412</v>
      </c>
      <c r="B1413" t="s">
        <v>2458</v>
      </c>
      <c r="C1413" t="s">
        <v>2416</v>
      </c>
      <c r="E1413">
        <v>0.01</v>
      </c>
      <c r="F1413" t="s">
        <v>546</v>
      </c>
      <c r="G1413" s="174">
        <v>45576.460914351854</v>
      </c>
    </row>
    <row r="1414" spans="1:7">
      <c r="A1414">
        <v>1413</v>
      </c>
      <c r="B1414" t="s">
        <v>2459</v>
      </c>
      <c r="C1414" t="s">
        <v>2460</v>
      </c>
      <c r="E1414">
        <v>0.6</v>
      </c>
      <c r="F1414" t="s">
        <v>546</v>
      </c>
      <c r="G1414" s="174">
        <v>45576.460914351854</v>
      </c>
    </row>
    <row r="1415" spans="1:7">
      <c r="A1415">
        <v>1414</v>
      </c>
      <c r="B1415" t="s">
        <v>2461</v>
      </c>
      <c r="C1415" t="s">
        <v>1616</v>
      </c>
      <c r="E1415">
        <v>0.01</v>
      </c>
      <c r="F1415" t="s">
        <v>546</v>
      </c>
      <c r="G1415" s="174">
        <v>45576.460914351854</v>
      </c>
    </row>
    <row r="1416" spans="1:7">
      <c r="A1416">
        <v>1415</v>
      </c>
      <c r="B1416" t="s">
        <v>2462</v>
      </c>
      <c r="C1416" t="s">
        <v>579</v>
      </c>
      <c r="E1416">
        <v>0.1</v>
      </c>
      <c r="F1416" t="s">
        <v>546</v>
      </c>
      <c r="G1416" s="174">
        <v>45576.460914351854</v>
      </c>
    </row>
    <row r="1417" spans="1:7">
      <c r="A1417">
        <v>1416</v>
      </c>
      <c r="B1417" t="s">
        <v>2463</v>
      </c>
      <c r="C1417" t="s">
        <v>1865</v>
      </c>
      <c r="E1417">
        <v>0.01</v>
      </c>
      <c r="F1417" t="s">
        <v>546</v>
      </c>
      <c r="G1417" s="174">
        <v>45576.460914351854</v>
      </c>
    </row>
    <row r="1418" spans="1:7">
      <c r="A1418">
        <v>1417</v>
      </c>
      <c r="B1418" t="s">
        <v>2464</v>
      </c>
      <c r="C1418" t="s">
        <v>2465</v>
      </c>
      <c r="E1418">
        <v>0.01</v>
      </c>
      <c r="F1418" t="s">
        <v>546</v>
      </c>
      <c r="G1418" s="174">
        <v>45576.460914351854</v>
      </c>
    </row>
    <row r="1419" spans="1:7">
      <c r="A1419">
        <v>1418</v>
      </c>
      <c r="B1419" t="s">
        <v>2466</v>
      </c>
      <c r="C1419" t="s">
        <v>2168</v>
      </c>
      <c r="E1419">
        <v>0.01</v>
      </c>
      <c r="F1419" t="s">
        <v>546</v>
      </c>
      <c r="G1419" s="174">
        <v>45576.460914351854</v>
      </c>
    </row>
    <row r="1420" spans="1:7">
      <c r="A1420">
        <v>1419</v>
      </c>
      <c r="B1420" t="s">
        <v>2466</v>
      </c>
      <c r="C1420" t="s">
        <v>1532</v>
      </c>
      <c r="E1420">
        <v>0.01</v>
      </c>
      <c r="F1420" t="s">
        <v>546</v>
      </c>
      <c r="G1420" s="174">
        <v>45576.460914351854</v>
      </c>
    </row>
    <row r="1421" spans="1:7">
      <c r="A1421">
        <v>1420</v>
      </c>
      <c r="B1421" t="s">
        <v>2467</v>
      </c>
      <c r="C1421" t="s">
        <v>2468</v>
      </c>
      <c r="E1421">
        <v>0.01</v>
      </c>
      <c r="F1421" t="s">
        <v>546</v>
      </c>
      <c r="G1421" s="174">
        <v>45576.460914351854</v>
      </c>
    </row>
    <row r="1422" spans="1:7">
      <c r="A1422">
        <v>1421</v>
      </c>
      <c r="B1422" t="s">
        <v>2469</v>
      </c>
      <c r="C1422" t="s">
        <v>1749</v>
      </c>
      <c r="E1422">
        <v>0.1</v>
      </c>
      <c r="F1422" t="s">
        <v>546</v>
      </c>
      <c r="G1422" s="174">
        <v>45576.460914351854</v>
      </c>
    </row>
    <row r="1423" spans="1:7">
      <c r="A1423">
        <v>1422</v>
      </c>
      <c r="B1423" t="s">
        <v>2470</v>
      </c>
      <c r="C1423" t="s">
        <v>1172</v>
      </c>
      <c r="E1423">
        <v>0.01</v>
      </c>
      <c r="F1423" t="s">
        <v>546</v>
      </c>
      <c r="G1423" s="174">
        <v>45576.460914351854</v>
      </c>
    </row>
    <row r="1424" spans="1:7">
      <c r="A1424">
        <v>1423</v>
      </c>
      <c r="B1424" t="s">
        <v>2471</v>
      </c>
      <c r="C1424" t="s">
        <v>2472</v>
      </c>
      <c r="E1424">
        <v>0.05</v>
      </c>
      <c r="F1424" t="s">
        <v>546</v>
      </c>
      <c r="G1424" s="174">
        <v>45576.460914351854</v>
      </c>
    </row>
    <row r="1425" spans="1:7">
      <c r="A1425">
        <v>1424</v>
      </c>
      <c r="B1425" t="s">
        <v>2471</v>
      </c>
      <c r="C1425" t="s">
        <v>2473</v>
      </c>
      <c r="E1425">
        <v>0.01</v>
      </c>
      <c r="F1425" t="s">
        <v>546</v>
      </c>
      <c r="G1425" s="174">
        <v>45576.460914351854</v>
      </c>
    </row>
    <row r="1426" spans="1:7">
      <c r="A1426">
        <v>1425</v>
      </c>
      <c r="B1426" t="s">
        <v>2474</v>
      </c>
      <c r="C1426" t="s">
        <v>959</v>
      </c>
      <c r="E1426">
        <v>0.01</v>
      </c>
      <c r="F1426" t="s">
        <v>546</v>
      </c>
      <c r="G1426" s="174">
        <v>45576.460914351854</v>
      </c>
    </row>
    <row r="1427" spans="1:7">
      <c r="A1427">
        <v>1426</v>
      </c>
      <c r="B1427" t="s">
        <v>2475</v>
      </c>
      <c r="C1427" t="s">
        <v>967</v>
      </c>
      <c r="E1427">
        <v>0.05</v>
      </c>
      <c r="F1427" t="s">
        <v>546</v>
      </c>
      <c r="G1427" s="174">
        <v>45576.460914351854</v>
      </c>
    </row>
    <row r="1428" spans="1:7">
      <c r="A1428">
        <v>1427</v>
      </c>
      <c r="B1428" t="s">
        <v>2475</v>
      </c>
      <c r="C1428" t="s">
        <v>2181</v>
      </c>
      <c r="E1428">
        <v>0.01</v>
      </c>
      <c r="F1428" t="s">
        <v>546</v>
      </c>
      <c r="G1428" s="174">
        <v>45576.460914351854</v>
      </c>
    </row>
    <row r="1429" spans="1:7">
      <c r="A1429">
        <v>1428</v>
      </c>
      <c r="B1429" t="s">
        <v>2475</v>
      </c>
      <c r="C1429" t="s">
        <v>2476</v>
      </c>
      <c r="E1429">
        <v>0.01</v>
      </c>
      <c r="F1429" t="s">
        <v>546</v>
      </c>
      <c r="G1429" s="174">
        <v>45576.460914351854</v>
      </c>
    </row>
    <row r="1430" spans="1:7">
      <c r="A1430">
        <v>1429</v>
      </c>
      <c r="B1430" t="s">
        <v>2477</v>
      </c>
      <c r="C1430" t="s">
        <v>655</v>
      </c>
      <c r="E1430">
        <v>0.01</v>
      </c>
      <c r="F1430" t="s">
        <v>546</v>
      </c>
      <c r="G1430" s="174">
        <v>45576.460914351854</v>
      </c>
    </row>
    <row r="1431" spans="1:7">
      <c r="A1431">
        <v>1430</v>
      </c>
      <c r="B1431" t="s">
        <v>2478</v>
      </c>
      <c r="C1431" t="s">
        <v>866</v>
      </c>
      <c r="E1431">
        <v>0.01</v>
      </c>
      <c r="F1431" t="s">
        <v>546</v>
      </c>
      <c r="G1431" s="174">
        <v>45576.460914351854</v>
      </c>
    </row>
    <row r="1432" spans="1:7">
      <c r="A1432">
        <v>1431</v>
      </c>
      <c r="B1432" t="s">
        <v>2479</v>
      </c>
      <c r="C1432" t="s">
        <v>1349</v>
      </c>
      <c r="E1432">
        <v>0.01</v>
      </c>
      <c r="F1432" t="s">
        <v>546</v>
      </c>
      <c r="G1432" s="174">
        <v>45576.460914351854</v>
      </c>
    </row>
    <row r="1433" spans="1:7">
      <c r="A1433">
        <v>1432</v>
      </c>
      <c r="B1433" t="s">
        <v>2480</v>
      </c>
      <c r="C1433" t="s">
        <v>2481</v>
      </c>
      <c r="E1433">
        <v>0.01</v>
      </c>
      <c r="F1433" t="s">
        <v>546</v>
      </c>
      <c r="G1433" s="174">
        <v>45576.460914351854</v>
      </c>
    </row>
    <row r="1434" spans="1:7">
      <c r="A1434">
        <v>1433</v>
      </c>
      <c r="B1434" t="s">
        <v>2482</v>
      </c>
      <c r="C1434" t="s">
        <v>1277</v>
      </c>
      <c r="E1434">
        <v>0.01</v>
      </c>
      <c r="F1434" t="s">
        <v>546</v>
      </c>
      <c r="G1434" s="174">
        <v>45576.460914351854</v>
      </c>
    </row>
    <row r="1435" spans="1:7">
      <c r="A1435">
        <v>1434</v>
      </c>
      <c r="B1435" t="s">
        <v>2483</v>
      </c>
      <c r="C1435" t="s">
        <v>1908</v>
      </c>
      <c r="E1435">
        <v>0.01</v>
      </c>
      <c r="F1435" t="s">
        <v>546</v>
      </c>
      <c r="G1435" s="174">
        <v>45576.460914351854</v>
      </c>
    </row>
    <row r="1436" spans="1:7">
      <c r="A1436">
        <v>1435</v>
      </c>
      <c r="B1436" t="s">
        <v>2484</v>
      </c>
      <c r="C1436" t="s">
        <v>1995</v>
      </c>
      <c r="E1436">
        <v>0.01</v>
      </c>
      <c r="F1436" t="s">
        <v>546</v>
      </c>
      <c r="G1436" s="174">
        <v>45576.460914351854</v>
      </c>
    </row>
    <row r="1437" spans="1:7">
      <c r="A1437">
        <v>1436</v>
      </c>
      <c r="B1437" t="s">
        <v>2485</v>
      </c>
      <c r="C1437" t="s">
        <v>1829</v>
      </c>
      <c r="E1437">
        <v>0.01</v>
      </c>
      <c r="F1437" t="s">
        <v>546</v>
      </c>
      <c r="G1437" s="174">
        <v>45576.460914351854</v>
      </c>
    </row>
    <row r="1438" spans="1:7">
      <c r="A1438">
        <v>1437</v>
      </c>
      <c r="B1438" t="s">
        <v>2486</v>
      </c>
      <c r="C1438" t="s">
        <v>943</v>
      </c>
      <c r="E1438">
        <v>0.01</v>
      </c>
      <c r="F1438" t="s">
        <v>546</v>
      </c>
      <c r="G1438" s="174">
        <v>45576.460914351854</v>
      </c>
    </row>
    <row r="1439" spans="1:7">
      <c r="A1439">
        <v>1438</v>
      </c>
      <c r="B1439" t="s">
        <v>2487</v>
      </c>
      <c r="C1439" t="s">
        <v>1536</v>
      </c>
      <c r="E1439">
        <v>0.8</v>
      </c>
      <c r="F1439" t="s">
        <v>546</v>
      </c>
      <c r="G1439" s="174">
        <v>45576.460914351854</v>
      </c>
    </row>
    <row r="1440" spans="1:7">
      <c r="A1440">
        <v>1439</v>
      </c>
      <c r="B1440" t="s">
        <v>2488</v>
      </c>
      <c r="C1440" t="s">
        <v>1932</v>
      </c>
      <c r="E1440">
        <v>0.01</v>
      </c>
      <c r="F1440" t="s">
        <v>546</v>
      </c>
      <c r="G1440" s="174">
        <v>45576.460914351854</v>
      </c>
    </row>
    <row r="1441" spans="1:7">
      <c r="A1441">
        <v>1440</v>
      </c>
      <c r="B1441" t="s">
        <v>2489</v>
      </c>
      <c r="C1441" t="s">
        <v>793</v>
      </c>
      <c r="E1441">
        <v>0.01</v>
      </c>
      <c r="F1441" t="s">
        <v>546</v>
      </c>
      <c r="G1441" s="174">
        <v>45576.460914351854</v>
      </c>
    </row>
    <row r="1442" spans="1:7">
      <c r="A1442">
        <v>1441</v>
      </c>
      <c r="B1442" t="s">
        <v>2490</v>
      </c>
      <c r="C1442" t="s">
        <v>727</v>
      </c>
      <c r="E1442">
        <v>0.01</v>
      </c>
      <c r="F1442" t="s">
        <v>546</v>
      </c>
      <c r="G1442" s="174">
        <v>45576.460914351854</v>
      </c>
    </row>
    <row r="1443" spans="1:7">
      <c r="A1443">
        <v>1442</v>
      </c>
      <c r="B1443" t="s">
        <v>2491</v>
      </c>
      <c r="C1443" t="s">
        <v>675</v>
      </c>
      <c r="E1443">
        <v>0.01</v>
      </c>
      <c r="F1443" t="s">
        <v>546</v>
      </c>
      <c r="G1443" s="174">
        <v>45576.460914351854</v>
      </c>
    </row>
    <row r="1444" spans="1:7">
      <c r="A1444">
        <v>1443</v>
      </c>
      <c r="B1444" t="s">
        <v>2492</v>
      </c>
      <c r="C1444" t="s">
        <v>1616</v>
      </c>
      <c r="E1444">
        <v>0.1</v>
      </c>
      <c r="F1444" t="s">
        <v>546</v>
      </c>
      <c r="G1444" s="174">
        <v>45576.460914351854</v>
      </c>
    </row>
    <row r="1445" spans="1:7">
      <c r="A1445">
        <v>1444</v>
      </c>
      <c r="B1445" t="s">
        <v>2493</v>
      </c>
      <c r="C1445" t="s">
        <v>571</v>
      </c>
      <c r="E1445">
        <v>0.01</v>
      </c>
      <c r="F1445" t="s">
        <v>546</v>
      </c>
      <c r="G1445" s="174">
        <v>45576.460914351854</v>
      </c>
    </row>
    <row r="1446" spans="1:7">
      <c r="A1446">
        <v>1445</v>
      </c>
      <c r="B1446" t="s">
        <v>2494</v>
      </c>
      <c r="C1446" t="s">
        <v>2495</v>
      </c>
      <c r="E1446">
        <v>0.1</v>
      </c>
      <c r="F1446" t="s">
        <v>546</v>
      </c>
      <c r="G1446" s="174">
        <v>45576.460914351854</v>
      </c>
    </row>
    <row r="1447" spans="1:7">
      <c r="A1447">
        <v>1446</v>
      </c>
      <c r="B1447" t="s">
        <v>2496</v>
      </c>
      <c r="C1447" t="s">
        <v>1859</v>
      </c>
      <c r="E1447">
        <v>0.01</v>
      </c>
      <c r="F1447" t="s">
        <v>546</v>
      </c>
      <c r="G1447" s="174">
        <v>45576.460914351854</v>
      </c>
    </row>
    <row r="1448" spans="1:7">
      <c r="A1448">
        <v>1447</v>
      </c>
      <c r="B1448" t="s">
        <v>2497</v>
      </c>
      <c r="C1448" t="s">
        <v>918</v>
      </c>
      <c r="E1448">
        <v>0.01</v>
      </c>
      <c r="F1448" t="s">
        <v>546</v>
      </c>
      <c r="G1448" s="174">
        <v>45576.460914351854</v>
      </c>
    </row>
    <row r="1449" spans="1:7">
      <c r="A1449">
        <v>1448</v>
      </c>
      <c r="B1449" t="s">
        <v>2498</v>
      </c>
      <c r="C1449" t="s">
        <v>712</v>
      </c>
      <c r="E1449">
        <v>0.1</v>
      </c>
      <c r="F1449" t="s">
        <v>546</v>
      </c>
      <c r="G1449" s="174">
        <v>45576.460914351854</v>
      </c>
    </row>
    <row r="1450" spans="1:7">
      <c r="A1450">
        <v>1449</v>
      </c>
      <c r="B1450" t="s">
        <v>2499</v>
      </c>
      <c r="C1450" t="s">
        <v>1435</v>
      </c>
      <c r="E1450">
        <v>0.01</v>
      </c>
      <c r="F1450" t="s">
        <v>546</v>
      </c>
      <c r="G1450" s="174">
        <v>45576.460914351854</v>
      </c>
    </row>
    <row r="1451" spans="1:7">
      <c r="A1451">
        <v>1450</v>
      </c>
      <c r="B1451" t="s">
        <v>2500</v>
      </c>
      <c r="C1451" t="s">
        <v>1835</v>
      </c>
      <c r="E1451">
        <v>0.1</v>
      </c>
      <c r="F1451" t="s">
        <v>546</v>
      </c>
      <c r="G1451" s="174">
        <v>45576.460914351854</v>
      </c>
    </row>
    <row r="1452" spans="1:7">
      <c r="A1452">
        <v>1451</v>
      </c>
      <c r="B1452" t="s">
        <v>2501</v>
      </c>
      <c r="C1452" t="s">
        <v>2502</v>
      </c>
      <c r="E1452">
        <v>0.01</v>
      </c>
      <c r="F1452" t="s">
        <v>546</v>
      </c>
      <c r="G1452" s="174">
        <v>45576.460914351854</v>
      </c>
    </row>
    <row r="1453" spans="1:7">
      <c r="A1453">
        <v>1452</v>
      </c>
      <c r="B1453" t="s">
        <v>2503</v>
      </c>
      <c r="C1453" t="s">
        <v>638</v>
      </c>
      <c r="E1453">
        <v>0.01</v>
      </c>
      <c r="F1453" t="s">
        <v>546</v>
      </c>
      <c r="G1453" s="174">
        <v>45576.460914351854</v>
      </c>
    </row>
    <row r="1454" spans="1:7">
      <c r="A1454">
        <v>1453</v>
      </c>
      <c r="B1454" t="s">
        <v>2504</v>
      </c>
      <c r="C1454" t="s">
        <v>2181</v>
      </c>
      <c r="E1454">
        <v>0.01</v>
      </c>
      <c r="F1454" t="s">
        <v>546</v>
      </c>
      <c r="G1454" s="174">
        <v>45576.460914351854</v>
      </c>
    </row>
    <row r="1455" spans="1:7">
      <c r="A1455">
        <v>1454</v>
      </c>
      <c r="B1455" t="s">
        <v>2505</v>
      </c>
      <c r="C1455" t="s">
        <v>2506</v>
      </c>
      <c r="E1455">
        <v>0.01</v>
      </c>
      <c r="F1455" t="s">
        <v>546</v>
      </c>
      <c r="G1455" s="174">
        <v>45576.460914351854</v>
      </c>
    </row>
    <row r="1456" spans="1:7">
      <c r="A1456">
        <v>1455</v>
      </c>
      <c r="B1456" t="s">
        <v>2507</v>
      </c>
      <c r="C1456" t="s">
        <v>1339</v>
      </c>
      <c r="E1456">
        <v>0.01</v>
      </c>
      <c r="F1456" t="s">
        <v>546</v>
      </c>
      <c r="G1456" s="174">
        <v>45576.460914351854</v>
      </c>
    </row>
    <row r="1457" spans="1:7">
      <c r="A1457">
        <v>1456</v>
      </c>
      <c r="B1457" t="s">
        <v>2508</v>
      </c>
      <c r="C1457" t="s">
        <v>2506</v>
      </c>
      <c r="E1457">
        <v>0.01</v>
      </c>
      <c r="F1457" t="s">
        <v>546</v>
      </c>
      <c r="G1457" s="174">
        <v>45576.460914351854</v>
      </c>
    </row>
    <row r="1458" spans="1:7">
      <c r="A1458">
        <v>1457</v>
      </c>
      <c r="B1458" t="s">
        <v>2509</v>
      </c>
      <c r="C1458" t="s">
        <v>2406</v>
      </c>
      <c r="E1458">
        <v>0.01</v>
      </c>
      <c r="F1458" t="s">
        <v>546</v>
      </c>
      <c r="G1458" s="174">
        <v>45576.460914351854</v>
      </c>
    </row>
    <row r="1459" spans="1:7">
      <c r="A1459">
        <v>1458</v>
      </c>
      <c r="B1459" t="s">
        <v>2510</v>
      </c>
      <c r="C1459" t="s">
        <v>2315</v>
      </c>
      <c r="E1459">
        <v>0.01</v>
      </c>
      <c r="F1459" t="s">
        <v>546</v>
      </c>
      <c r="G1459" s="174">
        <v>45576.460914351854</v>
      </c>
    </row>
    <row r="1460" spans="1:7">
      <c r="A1460">
        <v>1459</v>
      </c>
      <c r="B1460" t="s">
        <v>2510</v>
      </c>
      <c r="C1460" t="s">
        <v>1385</v>
      </c>
      <c r="E1460">
        <v>0.01</v>
      </c>
      <c r="F1460" t="s">
        <v>546</v>
      </c>
      <c r="G1460" s="174">
        <v>45576.460914351854</v>
      </c>
    </row>
    <row r="1461" spans="1:7">
      <c r="A1461">
        <v>1460</v>
      </c>
      <c r="B1461" t="s">
        <v>2511</v>
      </c>
      <c r="C1461" t="s">
        <v>2512</v>
      </c>
      <c r="E1461">
        <v>0.01</v>
      </c>
      <c r="F1461" t="s">
        <v>546</v>
      </c>
      <c r="G1461" s="174">
        <v>45576.460914351854</v>
      </c>
    </row>
    <row r="1462" spans="1:7">
      <c r="A1462">
        <v>1461</v>
      </c>
      <c r="B1462" t="s">
        <v>2513</v>
      </c>
      <c r="C1462" t="s">
        <v>683</v>
      </c>
      <c r="E1462">
        <v>0.01</v>
      </c>
      <c r="F1462" t="s">
        <v>546</v>
      </c>
      <c r="G1462" s="174">
        <v>45576.460914351854</v>
      </c>
    </row>
    <row r="1463" spans="1:7">
      <c r="A1463">
        <v>1462</v>
      </c>
      <c r="B1463" t="s">
        <v>2514</v>
      </c>
      <c r="C1463" t="s">
        <v>2303</v>
      </c>
      <c r="E1463">
        <v>0.01</v>
      </c>
      <c r="F1463" t="s">
        <v>546</v>
      </c>
      <c r="G1463" s="174">
        <v>45576.460914351854</v>
      </c>
    </row>
    <row r="1464" spans="1:7">
      <c r="A1464">
        <v>1463</v>
      </c>
      <c r="B1464" t="s">
        <v>2515</v>
      </c>
      <c r="C1464" t="s">
        <v>2516</v>
      </c>
      <c r="E1464">
        <v>0.01</v>
      </c>
      <c r="F1464" t="s">
        <v>546</v>
      </c>
      <c r="G1464" s="174">
        <v>45576.460914351854</v>
      </c>
    </row>
    <row r="1465" spans="1:7">
      <c r="A1465">
        <v>1464</v>
      </c>
      <c r="B1465" t="s">
        <v>2517</v>
      </c>
      <c r="C1465" t="s">
        <v>1226</v>
      </c>
      <c r="E1465">
        <v>0.1</v>
      </c>
      <c r="F1465" t="s">
        <v>546</v>
      </c>
      <c r="G1465" s="174">
        <v>45576.460914351854</v>
      </c>
    </row>
    <row r="1466" spans="1:7">
      <c r="A1466">
        <v>1465</v>
      </c>
      <c r="B1466" t="s">
        <v>2518</v>
      </c>
      <c r="C1466" t="s">
        <v>1475</v>
      </c>
      <c r="E1466">
        <v>0.01</v>
      </c>
      <c r="F1466" t="s">
        <v>546</v>
      </c>
      <c r="G1466" s="174">
        <v>45576.460914351854</v>
      </c>
    </row>
    <row r="1467" spans="1:7">
      <c r="A1467">
        <v>1466</v>
      </c>
      <c r="B1467" t="s">
        <v>2518</v>
      </c>
      <c r="C1467" t="s">
        <v>683</v>
      </c>
      <c r="E1467">
        <v>0.01</v>
      </c>
      <c r="F1467" t="s">
        <v>546</v>
      </c>
      <c r="G1467" s="174">
        <v>45576.460914351854</v>
      </c>
    </row>
    <row r="1468" spans="1:7">
      <c r="A1468">
        <v>1467</v>
      </c>
      <c r="B1468" t="s">
        <v>2519</v>
      </c>
      <c r="C1468" t="s">
        <v>1353</v>
      </c>
      <c r="E1468">
        <v>0.01</v>
      </c>
      <c r="F1468" t="s">
        <v>546</v>
      </c>
      <c r="G1468" s="174">
        <v>45576.460914351854</v>
      </c>
    </row>
    <row r="1469" spans="1:7">
      <c r="A1469">
        <v>1468</v>
      </c>
      <c r="B1469" t="s">
        <v>2520</v>
      </c>
      <c r="C1469" t="s">
        <v>1393</v>
      </c>
      <c r="E1469">
        <v>0.01</v>
      </c>
      <c r="F1469" t="s">
        <v>546</v>
      </c>
      <c r="G1469" s="174">
        <v>45576.460914351854</v>
      </c>
    </row>
    <row r="1470" spans="1:7">
      <c r="A1470">
        <v>1469</v>
      </c>
      <c r="B1470" t="s">
        <v>2521</v>
      </c>
      <c r="C1470" t="s">
        <v>638</v>
      </c>
      <c r="E1470">
        <v>0.01</v>
      </c>
      <c r="F1470" t="s">
        <v>546</v>
      </c>
      <c r="G1470" s="174">
        <v>45576.460914351854</v>
      </c>
    </row>
    <row r="1471" spans="1:7">
      <c r="A1471">
        <v>1470</v>
      </c>
      <c r="B1471" t="s">
        <v>2522</v>
      </c>
      <c r="C1471" t="s">
        <v>1814</v>
      </c>
      <c r="E1471">
        <v>0.01</v>
      </c>
      <c r="F1471" t="s">
        <v>546</v>
      </c>
      <c r="G1471" s="174">
        <v>45576.460914351854</v>
      </c>
    </row>
    <row r="1472" spans="1:7">
      <c r="A1472">
        <v>1471</v>
      </c>
      <c r="B1472" t="s">
        <v>2523</v>
      </c>
      <c r="C1472" t="s">
        <v>2516</v>
      </c>
      <c r="E1472">
        <v>0.01</v>
      </c>
      <c r="F1472" t="s">
        <v>546</v>
      </c>
      <c r="G1472" s="174">
        <v>45576.460914351854</v>
      </c>
    </row>
    <row r="1473" spans="1:7">
      <c r="A1473">
        <v>1472</v>
      </c>
      <c r="B1473" t="s">
        <v>2524</v>
      </c>
      <c r="C1473" t="s">
        <v>1407</v>
      </c>
      <c r="E1473">
        <v>0.01</v>
      </c>
      <c r="F1473" t="s">
        <v>546</v>
      </c>
      <c r="G1473" s="174">
        <v>45576.460914351854</v>
      </c>
    </row>
    <row r="1474" spans="1:7">
      <c r="A1474">
        <v>1473</v>
      </c>
      <c r="B1474" t="s">
        <v>2525</v>
      </c>
      <c r="C1474" t="s">
        <v>581</v>
      </c>
      <c r="E1474">
        <v>0.01</v>
      </c>
      <c r="F1474" t="s">
        <v>546</v>
      </c>
      <c r="G1474" s="174">
        <v>45576.460914351854</v>
      </c>
    </row>
    <row r="1475" spans="1:7">
      <c r="A1475">
        <v>1474</v>
      </c>
      <c r="B1475" t="s">
        <v>2526</v>
      </c>
      <c r="C1475" t="s">
        <v>1139</v>
      </c>
      <c r="E1475">
        <v>0.8</v>
      </c>
      <c r="F1475" t="s">
        <v>546</v>
      </c>
      <c r="G1475" s="174">
        <v>45576.460914351854</v>
      </c>
    </row>
    <row r="1476" spans="1:7">
      <c r="A1476">
        <v>1475</v>
      </c>
      <c r="B1476" t="s">
        <v>2527</v>
      </c>
      <c r="C1476" t="s">
        <v>2528</v>
      </c>
      <c r="E1476">
        <v>0.01</v>
      </c>
      <c r="F1476" t="s">
        <v>546</v>
      </c>
      <c r="G1476" s="174">
        <v>45576.460914351854</v>
      </c>
    </row>
    <row r="1477" spans="1:7">
      <c r="A1477">
        <v>1476</v>
      </c>
      <c r="B1477" t="s">
        <v>2529</v>
      </c>
      <c r="C1477" t="s">
        <v>1011</v>
      </c>
      <c r="E1477">
        <v>0.05</v>
      </c>
      <c r="F1477" t="s">
        <v>546</v>
      </c>
      <c r="G1477" s="174">
        <v>45576.460914351854</v>
      </c>
    </row>
    <row r="1478" spans="1:7">
      <c r="A1478">
        <v>1477</v>
      </c>
      <c r="B1478" t="s">
        <v>2529</v>
      </c>
      <c r="C1478" t="s">
        <v>922</v>
      </c>
      <c r="E1478">
        <v>0.1</v>
      </c>
      <c r="F1478" t="s">
        <v>546</v>
      </c>
      <c r="G1478" s="174">
        <v>45576.460914351854</v>
      </c>
    </row>
    <row r="1479" spans="1:7">
      <c r="A1479">
        <v>1478</v>
      </c>
      <c r="B1479" t="s">
        <v>2530</v>
      </c>
      <c r="C1479" t="s">
        <v>2454</v>
      </c>
      <c r="E1479">
        <v>0.01</v>
      </c>
      <c r="F1479" t="s">
        <v>546</v>
      </c>
      <c r="G1479" s="174">
        <v>45576.460914351854</v>
      </c>
    </row>
    <row r="1480" spans="1:7">
      <c r="A1480">
        <v>1479</v>
      </c>
      <c r="B1480" t="s">
        <v>2531</v>
      </c>
      <c r="C1480" t="s">
        <v>1264</v>
      </c>
      <c r="E1480">
        <v>0.01</v>
      </c>
      <c r="F1480" t="s">
        <v>546</v>
      </c>
      <c r="G1480" s="174">
        <v>45576.460914351854</v>
      </c>
    </row>
    <row r="1481" spans="1:7">
      <c r="A1481">
        <v>1480</v>
      </c>
      <c r="B1481" t="s">
        <v>2532</v>
      </c>
      <c r="C1481" t="s">
        <v>1970</v>
      </c>
      <c r="E1481">
        <v>0.01</v>
      </c>
      <c r="F1481" t="s">
        <v>546</v>
      </c>
      <c r="G1481" s="174">
        <v>45576.460914351854</v>
      </c>
    </row>
    <row r="1482" spans="1:7">
      <c r="A1482">
        <v>1481</v>
      </c>
      <c r="B1482" t="s">
        <v>2533</v>
      </c>
      <c r="C1482" t="s">
        <v>2162</v>
      </c>
      <c r="E1482">
        <v>0.01</v>
      </c>
      <c r="F1482" t="s">
        <v>546</v>
      </c>
      <c r="G1482" s="174">
        <v>45576.460914351854</v>
      </c>
    </row>
    <row r="1483" spans="1:7">
      <c r="A1483">
        <v>1482</v>
      </c>
      <c r="B1483" t="s">
        <v>2533</v>
      </c>
      <c r="C1483" t="s">
        <v>2534</v>
      </c>
      <c r="E1483">
        <v>0.01</v>
      </c>
      <c r="F1483" t="s">
        <v>546</v>
      </c>
      <c r="G1483" s="174">
        <v>45576.460914351854</v>
      </c>
    </row>
    <row r="1484" spans="1:7">
      <c r="A1484">
        <v>1483</v>
      </c>
      <c r="B1484" t="s">
        <v>2535</v>
      </c>
      <c r="C1484" t="s">
        <v>2536</v>
      </c>
      <c r="E1484">
        <v>0.01</v>
      </c>
      <c r="F1484" t="s">
        <v>546</v>
      </c>
      <c r="G1484" s="174">
        <v>45576.460914351854</v>
      </c>
    </row>
    <row r="1485" spans="1:7">
      <c r="A1485">
        <v>1484</v>
      </c>
      <c r="B1485" t="s">
        <v>2537</v>
      </c>
      <c r="C1485" t="s">
        <v>1704</v>
      </c>
      <c r="E1485">
        <v>0.01</v>
      </c>
      <c r="F1485" t="s">
        <v>546</v>
      </c>
      <c r="G1485" s="174">
        <v>45576.460914351854</v>
      </c>
    </row>
    <row r="1486" spans="1:7">
      <c r="A1486">
        <v>1485</v>
      </c>
      <c r="B1486" t="s">
        <v>2538</v>
      </c>
      <c r="C1486" t="s">
        <v>587</v>
      </c>
      <c r="E1486">
        <v>0.6</v>
      </c>
      <c r="F1486" t="s">
        <v>2539</v>
      </c>
      <c r="G1486" s="174">
        <v>45576.460914351854</v>
      </c>
    </row>
    <row r="1487" spans="1:7">
      <c r="A1487">
        <v>1486</v>
      </c>
      <c r="B1487" t="s">
        <v>2540</v>
      </c>
      <c r="C1487" t="s">
        <v>561</v>
      </c>
      <c r="E1487">
        <v>0.01</v>
      </c>
      <c r="F1487" t="s">
        <v>546</v>
      </c>
      <c r="G1487" s="174">
        <v>45576.460914351854</v>
      </c>
    </row>
    <row r="1488" spans="1:7">
      <c r="A1488">
        <v>1487</v>
      </c>
      <c r="B1488" t="s">
        <v>2541</v>
      </c>
      <c r="C1488" t="s">
        <v>1564</v>
      </c>
      <c r="E1488">
        <v>0.01</v>
      </c>
      <c r="F1488" t="s">
        <v>546</v>
      </c>
      <c r="G1488" s="174">
        <v>45576.460914351854</v>
      </c>
    </row>
    <row r="1489" spans="1:7">
      <c r="A1489">
        <v>1488</v>
      </c>
      <c r="B1489" t="s">
        <v>2542</v>
      </c>
      <c r="C1489" t="s">
        <v>2543</v>
      </c>
      <c r="E1489">
        <v>0.01</v>
      </c>
      <c r="F1489" t="s">
        <v>546</v>
      </c>
      <c r="G1489" s="174">
        <v>45576.460914351854</v>
      </c>
    </row>
    <row r="1490" spans="1:7">
      <c r="A1490">
        <v>1489</v>
      </c>
      <c r="B1490" t="s">
        <v>2544</v>
      </c>
      <c r="C1490" t="s">
        <v>2445</v>
      </c>
      <c r="E1490">
        <v>0.01</v>
      </c>
      <c r="F1490" t="s">
        <v>546</v>
      </c>
      <c r="G1490" s="174">
        <v>45576.460914351854</v>
      </c>
    </row>
    <row r="1491" spans="1:7">
      <c r="A1491">
        <v>1490</v>
      </c>
      <c r="B1491" t="s">
        <v>2545</v>
      </c>
      <c r="C1491" t="s">
        <v>1025</v>
      </c>
      <c r="E1491">
        <v>0.01</v>
      </c>
      <c r="F1491" t="s">
        <v>546</v>
      </c>
      <c r="G1491" s="174">
        <v>45576.460914351854</v>
      </c>
    </row>
    <row r="1492" spans="1:7">
      <c r="A1492">
        <v>1491</v>
      </c>
      <c r="B1492" t="s">
        <v>2546</v>
      </c>
      <c r="C1492" t="s">
        <v>1667</v>
      </c>
      <c r="E1492">
        <v>0.01</v>
      </c>
      <c r="F1492" t="s">
        <v>546</v>
      </c>
      <c r="G1492" s="174">
        <v>45576.460914351854</v>
      </c>
    </row>
    <row r="1493" spans="1:7">
      <c r="A1493">
        <v>1492</v>
      </c>
      <c r="B1493" t="s">
        <v>2547</v>
      </c>
      <c r="C1493" t="s">
        <v>685</v>
      </c>
      <c r="E1493">
        <v>0.05</v>
      </c>
      <c r="F1493" t="s">
        <v>546</v>
      </c>
      <c r="G1493" s="174">
        <v>45576.460914351854</v>
      </c>
    </row>
    <row r="1494" spans="1:7">
      <c r="A1494">
        <v>1493</v>
      </c>
      <c r="B1494" t="s">
        <v>2547</v>
      </c>
      <c r="C1494" t="s">
        <v>751</v>
      </c>
      <c r="E1494">
        <v>0.01</v>
      </c>
      <c r="F1494" t="s">
        <v>546</v>
      </c>
      <c r="G1494" s="174">
        <v>45576.460914351854</v>
      </c>
    </row>
    <row r="1495" spans="1:7">
      <c r="A1495">
        <v>1494</v>
      </c>
      <c r="B1495" t="s">
        <v>2548</v>
      </c>
      <c r="C1495" t="s">
        <v>557</v>
      </c>
      <c r="E1495">
        <v>0.01</v>
      </c>
      <c r="F1495" t="s">
        <v>546</v>
      </c>
      <c r="G1495" s="174">
        <v>45576.460914351854</v>
      </c>
    </row>
    <row r="1496" spans="1:7">
      <c r="A1496">
        <v>1495</v>
      </c>
      <c r="B1496" t="s">
        <v>2549</v>
      </c>
      <c r="C1496" t="s">
        <v>2226</v>
      </c>
      <c r="E1496">
        <v>0.01</v>
      </c>
      <c r="F1496" t="s">
        <v>546</v>
      </c>
      <c r="G1496" s="174">
        <v>45576.460914351854</v>
      </c>
    </row>
    <row r="1497" spans="1:7">
      <c r="A1497">
        <v>1496</v>
      </c>
      <c r="B1497" t="s">
        <v>2550</v>
      </c>
      <c r="C1497" t="s">
        <v>2295</v>
      </c>
      <c r="E1497">
        <v>0.06</v>
      </c>
      <c r="F1497" t="s">
        <v>546</v>
      </c>
      <c r="G1497" s="174">
        <v>45576.460914351854</v>
      </c>
    </row>
    <row r="1498" spans="1:7">
      <c r="A1498">
        <v>1497</v>
      </c>
      <c r="B1498" t="s">
        <v>2551</v>
      </c>
      <c r="C1498" t="s">
        <v>2552</v>
      </c>
      <c r="E1498">
        <v>0.01</v>
      </c>
      <c r="F1498" t="s">
        <v>546</v>
      </c>
      <c r="G1498" s="174">
        <v>45576.460914351854</v>
      </c>
    </row>
    <row r="1499" spans="1:7">
      <c r="A1499">
        <v>1498</v>
      </c>
      <c r="B1499" t="s">
        <v>2553</v>
      </c>
      <c r="C1499" t="s">
        <v>2554</v>
      </c>
      <c r="E1499">
        <v>0.01</v>
      </c>
      <c r="F1499" t="s">
        <v>546</v>
      </c>
      <c r="G1499" s="174">
        <v>45576.460914351854</v>
      </c>
    </row>
    <row r="1500" spans="1:7">
      <c r="A1500">
        <v>1499</v>
      </c>
      <c r="B1500" t="s">
        <v>2555</v>
      </c>
      <c r="C1500" t="s">
        <v>2043</v>
      </c>
      <c r="E1500">
        <v>0.01</v>
      </c>
      <c r="F1500" t="s">
        <v>546</v>
      </c>
      <c r="G1500" s="174">
        <v>45576.460914351854</v>
      </c>
    </row>
    <row r="1501" spans="1:7">
      <c r="A1501">
        <v>1500</v>
      </c>
      <c r="B1501" t="s">
        <v>2556</v>
      </c>
      <c r="C1501" t="s">
        <v>1734</v>
      </c>
      <c r="E1501">
        <v>0.01</v>
      </c>
      <c r="F1501" t="s">
        <v>546</v>
      </c>
      <c r="G1501" s="174">
        <v>45576.460914351854</v>
      </c>
    </row>
    <row r="1502" spans="1:7">
      <c r="A1502">
        <v>1501</v>
      </c>
      <c r="B1502" t="s">
        <v>2557</v>
      </c>
      <c r="C1502" t="s">
        <v>2558</v>
      </c>
      <c r="E1502">
        <v>0.01</v>
      </c>
      <c r="F1502" t="s">
        <v>546</v>
      </c>
      <c r="G1502" s="174">
        <v>45576.460914351854</v>
      </c>
    </row>
    <row r="1503" spans="1:7">
      <c r="A1503">
        <v>1502</v>
      </c>
      <c r="B1503" t="s">
        <v>2559</v>
      </c>
      <c r="C1503" t="s">
        <v>655</v>
      </c>
      <c r="E1503">
        <v>0.01</v>
      </c>
      <c r="F1503" t="s">
        <v>546</v>
      </c>
      <c r="G1503" s="174">
        <v>45576.460914351854</v>
      </c>
    </row>
    <row r="1504" spans="1:7">
      <c r="A1504">
        <v>1503</v>
      </c>
      <c r="B1504" t="s">
        <v>2560</v>
      </c>
      <c r="C1504" t="s">
        <v>2561</v>
      </c>
      <c r="E1504">
        <v>0.01</v>
      </c>
      <c r="F1504" t="s">
        <v>546</v>
      </c>
      <c r="G1504" s="174">
        <v>45576.460914351854</v>
      </c>
    </row>
    <row r="1505" spans="1:7">
      <c r="A1505">
        <v>1504</v>
      </c>
      <c r="B1505" t="s">
        <v>2562</v>
      </c>
      <c r="C1505" t="s">
        <v>1351</v>
      </c>
      <c r="E1505">
        <v>0.01</v>
      </c>
      <c r="F1505" t="s">
        <v>546</v>
      </c>
      <c r="G1505" s="174">
        <v>45576.460914351854</v>
      </c>
    </row>
    <row r="1506" spans="1:7">
      <c r="A1506">
        <v>1505</v>
      </c>
      <c r="B1506" t="s">
        <v>2563</v>
      </c>
      <c r="C1506" t="s">
        <v>1011</v>
      </c>
      <c r="E1506">
        <v>0.01</v>
      </c>
      <c r="F1506" t="s">
        <v>546</v>
      </c>
      <c r="G1506" s="174">
        <v>45576.460914351854</v>
      </c>
    </row>
    <row r="1507" spans="1:7">
      <c r="A1507">
        <v>1506</v>
      </c>
      <c r="B1507" t="s">
        <v>2564</v>
      </c>
      <c r="C1507" t="s">
        <v>1152</v>
      </c>
      <c r="E1507">
        <v>0.01</v>
      </c>
      <c r="F1507" t="s">
        <v>546</v>
      </c>
      <c r="G1507" s="174">
        <v>45576.460914351854</v>
      </c>
    </row>
    <row r="1508" spans="1:7">
      <c r="A1508">
        <v>1507</v>
      </c>
      <c r="B1508" t="s">
        <v>2565</v>
      </c>
      <c r="C1508" t="s">
        <v>2566</v>
      </c>
      <c r="E1508">
        <v>0.01</v>
      </c>
      <c r="F1508" t="s">
        <v>546</v>
      </c>
      <c r="G1508" s="174">
        <v>45576.460914351854</v>
      </c>
    </row>
    <row r="1509" spans="1:7">
      <c r="A1509">
        <v>1508</v>
      </c>
      <c r="B1509" t="s">
        <v>2567</v>
      </c>
      <c r="C1509" t="s">
        <v>2568</v>
      </c>
      <c r="E1509">
        <v>0.01</v>
      </c>
      <c r="F1509" t="s">
        <v>546</v>
      </c>
      <c r="G1509" s="174">
        <v>45576.460914351854</v>
      </c>
    </row>
    <row r="1510" spans="1:7">
      <c r="A1510">
        <v>1509</v>
      </c>
      <c r="B1510" t="s">
        <v>2569</v>
      </c>
      <c r="C1510" t="s">
        <v>2570</v>
      </c>
      <c r="E1510">
        <v>0.01</v>
      </c>
      <c r="F1510" t="s">
        <v>546</v>
      </c>
      <c r="G1510" s="174">
        <v>45576.460914351854</v>
      </c>
    </row>
    <row r="1511" spans="1:7">
      <c r="A1511">
        <v>1510</v>
      </c>
      <c r="B1511" t="s">
        <v>2571</v>
      </c>
      <c r="C1511" t="s">
        <v>794</v>
      </c>
      <c r="E1511">
        <v>0.01</v>
      </c>
      <c r="F1511" t="s">
        <v>546</v>
      </c>
      <c r="G1511" s="174">
        <v>45576.460914351854</v>
      </c>
    </row>
    <row r="1512" spans="1:7">
      <c r="A1512">
        <v>1511</v>
      </c>
      <c r="B1512" t="s">
        <v>2572</v>
      </c>
      <c r="C1512" t="s">
        <v>1353</v>
      </c>
      <c r="E1512">
        <v>0.01</v>
      </c>
      <c r="F1512" t="s">
        <v>546</v>
      </c>
      <c r="G1512" s="174">
        <v>45576.460914351854</v>
      </c>
    </row>
    <row r="1513" spans="1:7">
      <c r="A1513">
        <v>1512</v>
      </c>
      <c r="B1513" t="s">
        <v>2573</v>
      </c>
      <c r="C1513" t="s">
        <v>881</v>
      </c>
      <c r="E1513">
        <v>0.01</v>
      </c>
      <c r="F1513" t="s">
        <v>546</v>
      </c>
      <c r="G1513" s="174">
        <v>45576.460914351854</v>
      </c>
    </row>
    <row r="1514" spans="1:7">
      <c r="A1514">
        <v>1513</v>
      </c>
      <c r="B1514" t="s">
        <v>2574</v>
      </c>
      <c r="C1514" t="s">
        <v>806</v>
      </c>
      <c r="E1514">
        <v>0.01</v>
      </c>
      <c r="F1514" t="s">
        <v>546</v>
      </c>
      <c r="G1514" s="174">
        <v>45576.460914351854</v>
      </c>
    </row>
    <row r="1515" spans="1:7">
      <c r="A1515">
        <v>1514</v>
      </c>
      <c r="B1515" t="s">
        <v>2575</v>
      </c>
      <c r="C1515" t="s">
        <v>2576</v>
      </c>
      <c r="E1515">
        <v>0.01</v>
      </c>
      <c r="F1515" t="s">
        <v>546</v>
      </c>
      <c r="G1515" s="174">
        <v>45576.460914351854</v>
      </c>
    </row>
    <row r="1516" spans="1:7">
      <c r="A1516">
        <v>1515</v>
      </c>
      <c r="B1516" t="s">
        <v>2577</v>
      </c>
      <c r="C1516" t="s">
        <v>1616</v>
      </c>
      <c r="E1516">
        <v>0.01</v>
      </c>
      <c r="F1516" t="s">
        <v>546</v>
      </c>
      <c r="G1516" s="174">
        <v>45576.460914351854</v>
      </c>
    </row>
    <row r="1517" spans="1:7">
      <c r="A1517">
        <v>1516</v>
      </c>
      <c r="B1517" t="s">
        <v>2578</v>
      </c>
      <c r="C1517" t="s">
        <v>1599</v>
      </c>
      <c r="E1517">
        <v>0.01</v>
      </c>
      <c r="F1517" t="s">
        <v>546</v>
      </c>
      <c r="G1517" s="174">
        <v>45576.460914351854</v>
      </c>
    </row>
    <row r="1518" spans="1:7">
      <c r="A1518">
        <v>1517</v>
      </c>
      <c r="B1518" t="s">
        <v>2579</v>
      </c>
      <c r="C1518" t="s">
        <v>2171</v>
      </c>
      <c r="E1518">
        <v>0.01</v>
      </c>
      <c r="F1518" t="s">
        <v>546</v>
      </c>
      <c r="G1518" s="174">
        <v>45576.460914351854</v>
      </c>
    </row>
    <row r="1519" spans="1:7">
      <c r="A1519">
        <v>1518</v>
      </c>
      <c r="B1519" t="s">
        <v>2580</v>
      </c>
      <c r="C1519" t="s">
        <v>2315</v>
      </c>
      <c r="E1519">
        <v>0.01</v>
      </c>
      <c r="F1519" t="s">
        <v>546</v>
      </c>
      <c r="G1519" s="174">
        <v>45576.460914351854</v>
      </c>
    </row>
    <row r="1520" spans="1:7">
      <c r="A1520">
        <v>1519</v>
      </c>
      <c r="B1520" t="s">
        <v>2580</v>
      </c>
      <c r="C1520" t="s">
        <v>1435</v>
      </c>
      <c r="E1520">
        <v>0.01</v>
      </c>
      <c r="F1520" t="s">
        <v>546</v>
      </c>
      <c r="G1520" s="174">
        <v>45576.460914351854</v>
      </c>
    </row>
    <row r="1521" spans="1:7">
      <c r="A1521">
        <v>1520</v>
      </c>
      <c r="B1521" t="s">
        <v>2581</v>
      </c>
      <c r="C1521" t="s">
        <v>2582</v>
      </c>
      <c r="E1521">
        <v>0.01</v>
      </c>
      <c r="F1521" t="s">
        <v>546</v>
      </c>
      <c r="G1521" s="174">
        <v>45576.460914351854</v>
      </c>
    </row>
    <row r="1522" spans="1:7">
      <c r="A1522">
        <v>1521</v>
      </c>
      <c r="B1522" t="s">
        <v>2583</v>
      </c>
      <c r="C1522" t="s">
        <v>2584</v>
      </c>
      <c r="E1522">
        <v>0.01</v>
      </c>
      <c r="F1522" t="s">
        <v>546</v>
      </c>
      <c r="G1522" s="174">
        <v>45576.460914351854</v>
      </c>
    </row>
    <row r="1523" spans="1:7">
      <c r="A1523">
        <v>1522</v>
      </c>
      <c r="B1523" t="s">
        <v>2585</v>
      </c>
      <c r="C1523" t="s">
        <v>735</v>
      </c>
      <c r="E1523">
        <v>0.01</v>
      </c>
      <c r="F1523" t="s">
        <v>546</v>
      </c>
      <c r="G1523" s="174">
        <v>45576.460914351854</v>
      </c>
    </row>
    <row r="1524" spans="1:7">
      <c r="A1524">
        <v>1523</v>
      </c>
      <c r="B1524" t="s">
        <v>2586</v>
      </c>
      <c r="C1524" t="s">
        <v>2326</v>
      </c>
      <c r="E1524">
        <v>0.01</v>
      </c>
      <c r="F1524" t="s">
        <v>546</v>
      </c>
      <c r="G1524" s="174">
        <v>45576.460914351854</v>
      </c>
    </row>
    <row r="1525" spans="1:7">
      <c r="A1525">
        <v>1524</v>
      </c>
      <c r="B1525" t="s">
        <v>2587</v>
      </c>
      <c r="C1525" t="s">
        <v>2552</v>
      </c>
      <c r="E1525">
        <v>0.01</v>
      </c>
      <c r="F1525" t="s">
        <v>546</v>
      </c>
      <c r="G1525" s="174">
        <v>45576.460914351854</v>
      </c>
    </row>
    <row r="1526" spans="1:7">
      <c r="A1526">
        <v>1525</v>
      </c>
      <c r="B1526" t="s">
        <v>2588</v>
      </c>
      <c r="C1526" t="s">
        <v>1814</v>
      </c>
      <c r="E1526">
        <v>0.01</v>
      </c>
      <c r="F1526" t="s">
        <v>546</v>
      </c>
      <c r="G1526" s="174">
        <v>45576.460914351854</v>
      </c>
    </row>
    <row r="1527" spans="1:7">
      <c r="A1527">
        <v>1526</v>
      </c>
      <c r="B1527" t="s">
        <v>2589</v>
      </c>
      <c r="C1527" t="s">
        <v>1736</v>
      </c>
      <c r="E1527">
        <v>0.1</v>
      </c>
      <c r="F1527" t="s">
        <v>546</v>
      </c>
      <c r="G1527" s="174">
        <v>45576.460914351854</v>
      </c>
    </row>
    <row r="1528" spans="1:7">
      <c r="A1528">
        <v>1527</v>
      </c>
      <c r="B1528" t="s">
        <v>2590</v>
      </c>
      <c r="C1528" t="s">
        <v>786</v>
      </c>
      <c r="E1528">
        <v>0.01</v>
      </c>
      <c r="F1528" t="s">
        <v>546</v>
      </c>
      <c r="G1528" s="174">
        <v>45576.460914351854</v>
      </c>
    </row>
    <row r="1529" spans="1:7">
      <c r="A1529">
        <v>1528</v>
      </c>
      <c r="B1529" t="s">
        <v>2591</v>
      </c>
      <c r="C1529" t="s">
        <v>2226</v>
      </c>
      <c r="E1529">
        <v>0.01</v>
      </c>
      <c r="F1529" t="s">
        <v>546</v>
      </c>
      <c r="G1529" s="174">
        <v>45576.460914351854</v>
      </c>
    </row>
    <row r="1530" spans="1:7">
      <c r="A1530">
        <v>1529</v>
      </c>
      <c r="B1530" t="s">
        <v>2592</v>
      </c>
      <c r="C1530" t="s">
        <v>1817</v>
      </c>
      <c r="E1530">
        <v>0.01</v>
      </c>
      <c r="F1530" t="s">
        <v>546</v>
      </c>
      <c r="G1530" s="174">
        <v>45576.460914351854</v>
      </c>
    </row>
    <row r="1531" spans="1:7">
      <c r="A1531">
        <v>1530</v>
      </c>
      <c r="B1531" t="s">
        <v>2593</v>
      </c>
      <c r="C1531" t="s">
        <v>2594</v>
      </c>
      <c r="E1531">
        <v>0.01</v>
      </c>
      <c r="F1531" t="s">
        <v>546</v>
      </c>
      <c r="G1531" s="174">
        <v>45576.460914351854</v>
      </c>
    </row>
    <row r="1532" spans="1:7">
      <c r="A1532">
        <v>1531</v>
      </c>
      <c r="B1532" t="s">
        <v>2595</v>
      </c>
      <c r="C1532" t="s">
        <v>2596</v>
      </c>
      <c r="E1532">
        <v>0.01</v>
      </c>
      <c r="F1532" t="s">
        <v>546</v>
      </c>
      <c r="G1532" s="174">
        <v>45576.460914351854</v>
      </c>
    </row>
    <row r="1533" spans="1:7">
      <c r="A1533">
        <v>1532</v>
      </c>
      <c r="B1533" t="s">
        <v>2597</v>
      </c>
      <c r="C1533" t="s">
        <v>1431</v>
      </c>
      <c r="E1533">
        <v>0.01</v>
      </c>
      <c r="F1533" t="s">
        <v>546</v>
      </c>
      <c r="G1533" s="174">
        <v>45576.460914351854</v>
      </c>
    </row>
    <row r="1534" spans="1:7">
      <c r="A1534">
        <v>1533</v>
      </c>
      <c r="B1534" t="s">
        <v>2598</v>
      </c>
      <c r="C1534" t="s">
        <v>1998</v>
      </c>
      <c r="E1534">
        <v>0.01</v>
      </c>
      <c r="F1534" t="s">
        <v>546</v>
      </c>
      <c r="G1534" s="174">
        <v>45576.460914351854</v>
      </c>
    </row>
    <row r="1535" spans="1:7">
      <c r="A1535">
        <v>1534</v>
      </c>
      <c r="B1535" t="s">
        <v>2598</v>
      </c>
      <c r="C1535" t="s">
        <v>2599</v>
      </c>
      <c r="E1535">
        <v>0.01</v>
      </c>
      <c r="F1535" t="s">
        <v>546</v>
      </c>
      <c r="G1535" s="174">
        <v>45576.460914351854</v>
      </c>
    </row>
    <row r="1536" spans="1:7">
      <c r="A1536">
        <v>1535</v>
      </c>
      <c r="B1536" t="s">
        <v>2600</v>
      </c>
      <c r="C1536" t="s">
        <v>1921</v>
      </c>
      <c r="E1536">
        <v>0.01</v>
      </c>
      <c r="F1536" t="s">
        <v>546</v>
      </c>
      <c r="G1536" s="174">
        <v>45576.460914351854</v>
      </c>
    </row>
    <row r="1537" spans="1:7">
      <c r="A1537">
        <v>1536</v>
      </c>
      <c r="B1537" t="s">
        <v>2601</v>
      </c>
      <c r="C1537" t="s">
        <v>645</v>
      </c>
      <c r="E1537">
        <v>0.01</v>
      </c>
      <c r="F1537" t="s">
        <v>546</v>
      </c>
      <c r="G1537" s="174">
        <v>45576.460914351854</v>
      </c>
    </row>
    <row r="1538" spans="1:7">
      <c r="A1538">
        <v>1537</v>
      </c>
      <c r="B1538" t="s">
        <v>2602</v>
      </c>
      <c r="C1538" t="s">
        <v>1970</v>
      </c>
      <c r="E1538">
        <v>0.01</v>
      </c>
      <c r="F1538" t="s">
        <v>546</v>
      </c>
      <c r="G1538" s="174">
        <v>45576.460914351854</v>
      </c>
    </row>
    <row r="1539" spans="1:7">
      <c r="A1539">
        <v>1538</v>
      </c>
      <c r="B1539" t="s">
        <v>2603</v>
      </c>
      <c r="C1539" t="s">
        <v>1536</v>
      </c>
      <c r="E1539">
        <v>0.01</v>
      </c>
      <c r="F1539" t="s">
        <v>546</v>
      </c>
      <c r="G1539" s="174">
        <v>45576.460914351854</v>
      </c>
    </row>
    <row r="1540" spans="1:7">
      <c r="A1540">
        <v>1539</v>
      </c>
      <c r="B1540" t="s">
        <v>2604</v>
      </c>
      <c r="C1540" t="s">
        <v>964</v>
      </c>
      <c r="E1540">
        <v>0.01</v>
      </c>
      <c r="F1540" t="s">
        <v>546</v>
      </c>
      <c r="G1540" s="174">
        <v>45576.460914351854</v>
      </c>
    </row>
    <row r="1541" spans="1:7">
      <c r="A1541">
        <v>1540</v>
      </c>
      <c r="B1541" t="s">
        <v>2605</v>
      </c>
      <c r="C1541" t="s">
        <v>1040</v>
      </c>
      <c r="E1541">
        <v>0.01</v>
      </c>
      <c r="F1541" t="s">
        <v>546</v>
      </c>
      <c r="G1541" s="174">
        <v>45576.460914351854</v>
      </c>
    </row>
    <row r="1542" spans="1:7">
      <c r="A1542">
        <v>1541</v>
      </c>
      <c r="B1542" t="s">
        <v>2606</v>
      </c>
      <c r="C1542" t="s">
        <v>2607</v>
      </c>
      <c r="E1542">
        <v>0.01</v>
      </c>
      <c r="F1542" t="s">
        <v>546</v>
      </c>
      <c r="G1542" s="174">
        <v>45576.460914351854</v>
      </c>
    </row>
    <row r="1543" spans="1:7">
      <c r="A1543">
        <v>1542</v>
      </c>
      <c r="B1543" t="s">
        <v>2608</v>
      </c>
      <c r="C1543" t="s">
        <v>2609</v>
      </c>
      <c r="E1543">
        <v>0.01</v>
      </c>
      <c r="F1543" t="s">
        <v>546</v>
      </c>
      <c r="G1543" s="174">
        <v>45576.460914351854</v>
      </c>
    </row>
    <row r="1544" spans="1:7">
      <c r="A1544">
        <v>1543</v>
      </c>
      <c r="B1544" t="s">
        <v>2610</v>
      </c>
      <c r="C1544" t="s">
        <v>1014</v>
      </c>
      <c r="E1544">
        <v>0.1</v>
      </c>
      <c r="F1544" t="s">
        <v>546</v>
      </c>
      <c r="G1544" s="174">
        <v>45576.460914351854</v>
      </c>
    </row>
    <row r="1545" spans="1:7">
      <c r="A1545">
        <v>1544</v>
      </c>
      <c r="B1545" t="s">
        <v>2611</v>
      </c>
      <c r="C1545" t="s">
        <v>2612</v>
      </c>
      <c r="E1545">
        <v>0.01</v>
      </c>
      <c r="F1545" t="s">
        <v>546</v>
      </c>
      <c r="G1545" s="174">
        <v>45576.460914351854</v>
      </c>
    </row>
    <row r="1546" spans="1:7">
      <c r="A1546">
        <v>1545</v>
      </c>
      <c r="B1546" t="s">
        <v>2613</v>
      </c>
      <c r="C1546" t="s">
        <v>1998</v>
      </c>
      <c r="E1546">
        <v>0.01</v>
      </c>
      <c r="F1546" t="s">
        <v>546</v>
      </c>
      <c r="G1546" s="174">
        <v>45576.460914351854</v>
      </c>
    </row>
    <row r="1547" spans="1:7">
      <c r="A1547">
        <v>1546</v>
      </c>
      <c r="B1547" t="s">
        <v>2614</v>
      </c>
      <c r="C1547" t="s">
        <v>2615</v>
      </c>
      <c r="E1547">
        <v>0.01</v>
      </c>
      <c r="F1547" t="s">
        <v>546</v>
      </c>
      <c r="G1547" s="174">
        <v>45576.460914351854</v>
      </c>
    </row>
    <row r="1548" spans="1:7">
      <c r="A1548">
        <v>1547</v>
      </c>
      <c r="B1548" t="s">
        <v>2616</v>
      </c>
      <c r="C1548" t="s">
        <v>1506</v>
      </c>
      <c r="E1548">
        <v>0.01</v>
      </c>
      <c r="F1548" t="s">
        <v>546</v>
      </c>
      <c r="G1548" s="174">
        <v>45576.460914351854</v>
      </c>
    </row>
    <row r="1549" spans="1:7">
      <c r="A1549">
        <v>1548</v>
      </c>
      <c r="B1549" t="s">
        <v>2617</v>
      </c>
      <c r="C1549" t="s">
        <v>2618</v>
      </c>
      <c r="E1549">
        <v>0.01</v>
      </c>
      <c r="F1549" t="s">
        <v>546</v>
      </c>
      <c r="G1549" s="174">
        <v>45576.460914351854</v>
      </c>
    </row>
    <row r="1550" spans="1:7">
      <c r="A1550">
        <v>1549</v>
      </c>
      <c r="B1550" t="s">
        <v>2619</v>
      </c>
      <c r="C1550" t="s">
        <v>1998</v>
      </c>
      <c r="E1550">
        <v>0.8</v>
      </c>
      <c r="F1550" t="s">
        <v>546</v>
      </c>
      <c r="G1550" s="174">
        <v>45576.460914351854</v>
      </c>
    </row>
    <row r="1551" spans="1:7">
      <c r="A1551">
        <v>1550</v>
      </c>
      <c r="B1551" t="s">
        <v>2620</v>
      </c>
      <c r="C1551" t="s">
        <v>1011</v>
      </c>
      <c r="E1551">
        <v>0.01</v>
      </c>
      <c r="F1551" t="s">
        <v>546</v>
      </c>
      <c r="G1551" s="174">
        <v>45576.460914351854</v>
      </c>
    </row>
    <row r="1552" spans="1:7">
      <c r="A1552">
        <v>1551</v>
      </c>
      <c r="B1552" t="s">
        <v>2620</v>
      </c>
      <c r="C1552" t="s">
        <v>922</v>
      </c>
      <c r="E1552">
        <v>0.01</v>
      </c>
      <c r="F1552" t="s">
        <v>546</v>
      </c>
      <c r="G1552" s="174">
        <v>45576.460914351854</v>
      </c>
    </row>
    <row r="1553" spans="1:7">
      <c r="A1553">
        <v>1552</v>
      </c>
      <c r="B1553" t="s">
        <v>2621</v>
      </c>
      <c r="C1553" t="s">
        <v>2506</v>
      </c>
      <c r="E1553">
        <v>0.01</v>
      </c>
      <c r="F1553" t="s">
        <v>546</v>
      </c>
      <c r="G1553" s="174">
        <v>45576.460914351854</v>
      </c>
    </row>
    <row r="1554" spans="1:7">
      <c r="A1554">
        <v>1553</v>
      </c>
      <c r="B1554" t="s">
        <v>2622</v>
      </c>
      <c r="C1554" t="s">
        <v>2424</v>
      </c>
      <c r="E1554">
        <v>0.01</v>
      </c>
      <c r="F1554" t="s">
        <v>546</v>
      </c>
      <c r="G1554" s="174">
        <v>45576.460914351854</v>
      </c>
    </row>
    <row r="1555" spans="1:7">
      <c r="A1555">
        <v>1554</v>
      </c>
      <c r="B1555" t="s">
        <v>2623</v>
      </c>
      <c r="C1555" t="s">
        <v>1940</v>
      </c>
      <c r="E1555">
        <v>0.01</v>
      </c>
      <c r="F1555" t="s">
        <v>546</v>
      </c>
      <c r="G1555" s="174">
        <v>45576.460914351854</v>
      </c>
    </row>
    <row r="1556" spans="1:7">
      <c r="A1556">
        <v>1555</v>
      </c>
      <c r="B1556" t="s">
        <v>2624</v>
      </c>
      <c r="C1556" t="s">
        <v>2106</v>
      </c>
      <c r="E1556">
        <v>0.01</v>
      </c>
      <c r="F1556" t="s">
        <v>546</v>
      </c>
      <c r="G1556" s="174">
        <v>45576.460914351854</v>
      </c>
    </row>
    <row r="1557" spans="1:7">
      <c r="A1557">
        <v>1556</v>
      </c>
      <c r="B1557" t="s">
        <v>2625</v>
      </c>
      <c r="C1557" t="s">
        <v>922</v>
      </c>
      <c r="E1557">
        <v>0.01</v>
      </c>
      <c r="F1557" t="s">
        <v>546</v>
      </c>
      <c r="G1557" s="174">
        <v>45576.460914351854</v>
      </c>
    </row>
    <row r="1558" spans="1:7">
      <c r="A1558">
        <v>1557</v>
      </c>
      <c r="B1558" t="s">
        <v>2626</v>
      </c>
      <c r="C1558" t="s">
        <v>934</v>
      </c>
      <c r="E1558">
        <v>0.01</v>
      </c>
      <c r="F1558" t="s">
        <v>546</v>
      </c>
      <c r="G1558" s="174">
        <v>45576.460914351854</v>
      </c>
    </row>
    <row r="1559" spans="1:7">
      <c r="A1559">
        <v>1558</v>
      </c>
      <c r="B1559" t="s">
        <v>2627</v>
      </c>
      <c r="C1559" t="s">
        <v>2628</v>
      </c>
      <c r="E1559">
        <v>0.6</v>
      </c>
      <c r="F1559" t="s">
        <v>546</v>
      </c>
      <c r="G1559" s="174">
        <v>45576.460914351854</v>
      </c>
    </row>
    <row r="1560" spans="1:7">
      <c r="A1560">
        <v>1559</v>
      </c>
      <c r="B1560" t="s">
        <v>2629</v>
      </c>
      <c r="C1560" t="s">
        <v>2630</v>
      </c>
      <c r="E1560">
        <v>0.01</v>
      </c>
      <c r="F1560" t="s">
        <v>546</v>
      </c>
      <c r="G1560" s="174">
        <v>45576.460914351854</v>
      </c>
    </row>
    <row r="1561" spans="1:7">
      <c r="A1561">
        <v>1560</v>
      </c>
      <c r="B1561" t="s">
        <v>2631</v>
      </c>
      <c r="C1561" t="s">
        <v>2426</v>
      </c>
      <c r="E1561">
        <v>0.01</v>
      </c>
      <c r="F1561" t="s">
        <v>546</v>
      </c>
      <c r="G1561" s="174">
        <v>45576.460914351854</v>
      </c>
    </row>
    <row r="1562" spans="1:7">
      <c r="A1562">
        <v>1561</v>
      </c>
      <c r="B1562" t="s">
        <v>2632</v>
      </c>
      <c r="C1562" t="s">
        <v>1609</v>
      </c>
      <c r="E1562">
        <v>0.01</v>
      </c>
      <c r="F1562" t="s">
        <v>546</v>
      </c>
      <c r="G1562" s="174">
        <v>45576.460914351854</v>
      </c>
    </row>
    <row r="1563" spans="1:7">
      <c r="A1563">
        <v>1562</v>
      </c>
      <c r="B1563" t="s">
        <v>2633</v>
      </c>
      <c r="C1563" t="s">
        <v>2369</v>
      </c>
      <c r="E1563">
        <v>0.01</v>
      </c>
      <c r="F1563" t="s">
        <v>546</v>
      </c>
      <c r="G1563" s="174">
        <v>45576.460914351854</v>
      </c>
    </row>
    <row r="1564" spans="1:7">
      <c r="A1564">
        <v>1563</v>
      </c>
      <c r="B1564" t="s">
        <v>2634</v>
      </c>
      <c r="C1564" t="s">
        <v>1564</v>
      </c>
      <c r="E1564">
        <v>0.01</v>
      </c>
      <c r="F1564" t="s">
        <v>546</v>
      </c>
      <c r="G1564" s="174">
        <v>45576.460914351854</v>
      </c>
    </row>
    <row r="1565" spans="1:7">
      <c r="A1565">
        <v>1564</v>
      </c>
      <c r="B1565" t="s">
        <v>2635</v>
      </c>
      <c r="C1565" t="s">
        <v>2065</v>
      </c>
      <c r="E1565">
        <v>0.01</v>
      </c>
      <c r="F1565" t="s">
        <v>546</v>
      </c>
      <c r="G1565" s="174">
        <v>45576.460914351854</v>
      </c>
    </row>
    <row r="1566" spans="1:7">
      <c r="A1566">
        <v>1565</v>
      </c>
      <c r="B1566" t="s">
        <v>2636</v>
      </c>
      <c r="C1566" t="s">
        <v>2162</v>
      </c>
      <c r="E1566">
        <v>0.01</v>
      </c>
      <c r="F1566" t="s">
        <v>546</v>
      </c>
      <c r="G1566" s="174">
        <v>45576.460914351854</v>
      </c>
    </row>
    <row r="1567" spans="1:7">
      <c r="A1567">
        <v>1566</v>
      </c>
      <c r="B1567" t="s">
        <v>2637</v>
      </c>
      <c r="C1567" t="s">
        <v>849</v>
      </c>
      <c r="E1567">
        <v>0.01</v>
      </c>
      <c r="F1567" t="s">
        <v>546</v>
      </c>
      <c r="G1567" s="174">
        <v>45576.460914351854</v>
      </c>
    </row>
    <row r="1568" spans="1:7">
      <c r="A1568">
        <v>1567</v>
      </c>
      <c r="B1568" t="s">
        <v>2637</v>
      </c>
      <c r="C1568" t="s">
        <v>2638</v>
      </c>
      <c r="E1568">
        <v>0.1</v>
      </c>
      <c r="F1568" t="s">
        <v>546</v>
      </c>
      <c r="G1568" s="174">
        <v>45576.460914351854</v>
      </c>
    </row>
    <row r="1569" spans="1:7">
      <c r="A1569">
        <v>1568</v>
      </c>
      <c r="B1569" t="s">
        <v>2639</v>
      </c>
      <c r="C1569" t="s">
        <v>1303</v>
      </c>
      <c r="E1569">
        <v>0.05</v>
      </c>
      <c r="F1569" t="s">
        <v>546</v>
      </c>
      <c r="G1569" s="174">
        <v>45576.460914351854</v>
      </c>
    </row>
    <row r="1570" spans="1:7">
      <c r="A1570">
        <v>1569</v>
      </c>
      <c r="B1570" t="s">
        <v>2640</v>
      </c>
      <c r="C1570" t="s">
        <v>1572</v>
      </c>
      <c r="E1570">
        <v>0.01</v>
      </c>
      <c r="F1570" t="s">
        <v>546</v>
      </c>
      <c r="G1570" s="174">
        <v>45576.460914351854</v>
      </c>
    </row>
    <row r="1571" spans="1:7">
      <c r="A1571">
        <v>1570</v>
      </c>
      <c r="B1571" t="s">
        <v>2641</v>
      </c>
      <c r="C1571" t="s">
        <v>1407</v>
      </c>
      <c r="E1571">
        <v>0.01</v>
      </c>
      <c r="F1571" t="s">
        <v>546</v>
      </c>
      <c r="G1571" s="174">
        <v>45576.460914351854</v>
      </c>
    </row>
    <row r="1572" spans="1:7">
      <c r="A1572">
        <v>1571</v>
      </c>
      <c r="B1572" t="s">
        <v>2641</v>
      </c>
      <c r="C1572" t="s">
        <v>681</v>
      </c>
      <c r="E1572">
        <v>0.01</v>
      </c>
      <c r="F1572" t="s">
        <v>546</v>
      </c>
      <c r="G1572" s="174">
        <v>45576.460914351854</v>
      </c>
    </row>
    <row r="1573" spans="1:7">
      <c r="A1573">
        <v>1572</v>
      </c>
      <c r="B1573" t="s">
        <v>2642</v>
      </c>
      <c r="C1573" t="s">
        <v>1407</v>
      </c>
      <c r="E1573">
        <v>0.05</v>
      </c>
      <c r="F1573" t="s">
        <v>546</v>
      </c>
      <c r="G1573" s="174">
        <v>45576.460914351854</v>
      </c>
    </row>
    <row r="1574" spans="1:7">
      <c r="A1574">
        <v>1573</v>
      </c>
      <c r="B1574" t="s">
        <v>2642</v>
      </c>
      <c r="C1574" t="s">
        <v>681</v>
      </c>
      <c r="E1574">
        <v>0.01</v>
      </c>
      <c r="F1574" t="s">
        <v>546</v>
      </c>
      <c r="G1574" s="174">
        <v>45576.460914351854</v>
      </c>
    </row>
    <row r="1575" spans="1:7">
      <c r="A1575">
        <v>1574</v>
      </c>
      <c r="B1575" t="s">
        <v>2643</v>
      </c>
      <c r="C1575" t="s">
        <v>1998</v>
      </c>
      <c r="E1575">
        <v>0.01</v>
      </c>
      <c r="F1575" t="s">
        <v>546</v>
      </c>
      <c r="G1575" s="174">
        <v>45576.460914351854</v>
      </c>
    </row>
    <row r="1576" spans="1:7">
      <c r="A1576">
        <v>1575</v>
      </c>
      <c r="B1576" t="s">
        <v>2644</v>
      </c>
      <c r="C1576" t="s">
        <v>2576</v>
      </c>
      <c r="E1576">
        <v>0.01</v>
      </c>
      <c r="F1576" t="s">
        <v>546</v>
      </c>
      <c r="G1576" s="174">
        <v>45576.460914351854</v>
      </c>
    </row>
    <row r="1577" spans="1:7">
      <c r="A1577">
        <v>1576</v>
      </c>
      <c r="B1577" t="s">
        <v>2645</v>
      </c>
      <c r="C1577" t="s">
        <v>2646</v>
      </c>
      <c r="E1577">
        <v>0.01</v>
      </c>
      <c r="F1577" t="s">
        <v>546</v>
      </c>
      <c r="G1577" s="174">
        <v>45576.460914351854</v>
      </c>
    </row>
    <row r="1578" spans="1:7">
      <c r="A1578">
        <v>1577</v>
      </c>
      <c r="B1578" t="s">
        <v>2647</v>
      </c>
      <c r="C1578" t="s">
        <v>2599</v>
      </c>
      <c r="E1578">
        <v>0.01</v>
      </c>
      <c r="F1578" t="s">
        <v>546</v>
      </c>
      <c r="G1578" s="174">
        <v>45576.460914351854</v>
      </c>
    </row>
    <row r="1579" spans="1:7">
      <c r="A1579">
        <v>1578</v>
      </c>
      <c r="B1579" t="s">
        <v>2648</v>
      </c>
      <c r="C1579" t="s">
        <v>2649</v>
      </c>
      <c r="E1579">
        <v>0.01</v>
      </c>
      <c r="F1579" t="s">
        <v>546</v>
      </c>
      <c r="G1579" s="174">
        <v>45576.460914351854</v>
      </c>
    </row>
    <row r="1580" spans="1:7">
      <c r="A1580">
        <v>1579</v>
      </c>
      <c r="B1580" t="s">
        <v>2650</v>
      </c>
      <c r="C1580" t="s">
        <v>2618</v>
      </c>
      <c r="E1580">
        <v>0.01</v>
      </c>
      <c r="F1580" t="s">
        <v>546</v>
      </c>
      <c r="G1580" s="174">
        <v>45576.460914351854</v>
      </c>
    </row>
    <row r="1581" spans="1:7">
      <c r="A1581">
        <v>1580</v>
      </c>
      <c r="B1581" t="s">
        <v>2651</v>
      </c>
      <c r="C1581" t="s">
        <v>724</v>
      </c>
      <c r="E1581">
        <v>0.05</v>
      </c>
      <c r="F1581" t="s">
        <v>546</v>
      </c>
      <c r="G1581" s="174">
        <v>45576.460914351854</v>
      </c>
    </row>
    <row r="1582" spans="1:7">
      <c r="A1582">
        <v>1581</v>
      </c>
      <c r="B1582" t="s">
        <v>2652</v>
      </c>
      <c r="C1582" t="s">
        <v>1998</v>
      </c>
      <c r="E1582">
        <v>0.01</v>
      </c>
      <c r="F1582" t="s">
        <v>546</v>
      </c>
      <c r="G1582" s="174">
        <v>45576.460914351854</v>
      </c>
    </row>
    <row r="1583" spans="1:7">
      <c r="A1583">
        <v>1582</v>
      </c>
      <c r="B1583" t="s">
        <v>2653</v>
      </c>
      <c r="C1583" t="s">
        <v>2315</v>
      </c>
      <c r="E1583">
        <v>0.01</v>
      </c>
      <c r="F1583" t="s">
        <v>546</v>
      </c>
      <c r="G1583" s="174">
        <v>45576.460914351854</v>
      </c>
    </row>
    <row r="1584" spans="1:7">
      <c r="A1584">
        <v>1583</v>
      </c>
      <c r="B1584" t="s">
        <v>2653</v>
      </c>
      <c r="C1584" t="s">
        <v>1435</v>
      </c>
      <c r="E1584">
        <v>0.01</v>
      </c>
      <c r="F1584" t="s">
        <v>546</v>
      </c>
      <c r="G1584" s="174">
        <v>45576.460914351854</v>
      </c>
    </row>
    <row r="1585" spans="1:7">
      <c r="A1585">
        <v>1584</v>
      </c>
      <c r="B1585" t="s">
        <v>2654</v>
      </c>
      <c r="C1585" t="s">
        <v>1454</v>
      </c>
      <c r="E1585">
        <v>0.01</v>
      </c>
      <c r="F1585" t="s">
        <v>546</v>
      </c>
      <c r="G1585" s="174">
        <v>45576.460914351854</v>
      </c>
    </row>
    <row r="1586" spans="1:7">
      <c r="A1586">
        <v>1585</v>
      </c>
      <c r="B1586" t="s">
        <v>2655</v>
      </c>
      <c r="C1586" t="s">
        <v>2369</v>
      </c>
      <c r="E1586">
        <v>0.01</v>
      </c>
      <c r="F1586" t="s">
        <v>546</v>
      </c>
      <c r="G1586" s="174">
        <v>45576.460914351854</v>
      </c>
    </row>
    <row r="1587" spans="1:7">
      <c r="A1587">
        <v>1586</v>
      </c>
      <c r="B1587" t="s">
        <v>2656</v>
      </c>
      <c r="C1587" t="s">
        <v>1616</v>
      </c>
      <c r="E1587">
        <v>0.01</v>
      </c>
      <c r="F1587" t="s">
        <v>546</v>
      </c>
      <c r="G1587" s="174">
        <v>45576.460914351854</v>
      </c>
    </row>
    <row r="1588" spans="1:7">
      <c r="A1588">
        <v>1587</v>
      </c>
      <c r="B1588" t="s">
        <v>2657</v>
      </c>
      <c r="C1588" t="s">
        <v>2043</v>
      </c>
      <c r="E1588">
        <v>0.05</v>
      </c>
      <c r="F1588" t="s">
        <v>546</v>
      </c>
      <c r="G1588" s="174">
        <v>45576.460914351854</v>
      </c>
    </row>
    <row r="1589" spans="1:7">
      <c r="A1589">
        <v>1588</v>
      </c>
      <c r="B1589" t="s">
        <v>2658</v>
      </c>
      <c r="C1589" t="s">
        <v>1464</v>
      </c>
      <c r="E1589">
        <v>0.1</v>
      </c>
      <c r="F1589" t="s">
        <v>546</v>
      </c>
      <c r="G1589" s="174">
        <v>45576.460914351854</v>
      </c>
    </row>
    <row r="1590" spans="1:7">
      <c r="A1590">
        <v>1589</v>
      </c>
      <c r="B1590" t="s">
        <v>2659</v>
      </c>
      <c r="C1590" t="s">
        <v>561</v>
      </c>
      <c r="E1590">
        <v>0.01</v>
      </c>
      <c r="F1590" t="s">
        <v>546</v>
      </c>
      <c r="G1590" s="174">
        <v>45576.460914351854</v>
      </c>
    </row>
    <row r="1591" spans="1:7">
      <c r="A1591">
        <v>1590</v>
      </c>
      <c r="B1591" t="s">
        <v>2660</v>
      </c>
      <c r="C1591" t="s">
        <v>1876</v>
      </c>
      <c r="E1591">
        <v>0.01</v>
      </c>
      <c r="F1591" t="s">
        <v>546</v>
      </c>
      <c r="G1591" s="174">
        <v>45576.460914351854</v>
      </c>
    </row>
    <row r="1592" spans="1:7">
      <c r="A1592">
        <v>1591</v>
      </c>
      <c r="B1592" t="s">
        <v>2661</v>
      </c>
      <c r="C1592" t="s">
        <v>1086</v>
      </c>
      <c r="E1592">
        <v>0.01</v>
      </c>
      <c r="F1592" t="s">
        <v>546</v>
      </c>
      <c r="G1592" s="174">
        <v>45576.460914351854</v>
      </c>
    </row>
    <row r="1593" spans="1:7">
      <c r="A1593">
        <v>1592</v>
      </c>
      <c r="B1593" t="s">
        <v>2662</v>
      </c>
      <c r="C1593" t="s">
        <v>2663</v>
      </c>
      <c r="E1593">
        <v>0.01</v>
      </c>
      <c r="F1593" t="s">
        <v>546</v>
      </c>
      <c r="G1593" s="174">
        <v>45576.460914351854</v>
      </c>
    </row>
    <row r="1594" spans="1:7">
      <c r="A1594">
        <v>1593</v>
      </c>
      <c r="B1594" t="s">
        <v>2664</v>
      </c>
      <c r="C1594" t="s">
        <v>2584</v>
      </c>
      <c r="E1594">
        <v>0.01</v>
      </c>
      <c r="F1594" t="s">
        <v>546</v>
      </c>
      <c r="G1594" s="174">
        <v>45576.460914351854</v>
      </c>
    </row>
    <row r="1595" spans="1:7">
      <c r="A1595">
        <v>1594</v>
      </c>
      <c r="B1595" t="s">
        <v>2665</v>
      </c>
      <c r="C1595" t="s">
        <v>2646</v>
      </c>
      <c r="E1595">
        <v>0.1</v>
      </c>
      <c r="F1595" t="s">
        <v>546</v>
      </c>
      <c r="G1595" s="174">
        <v>45576.460914351854</v>
      </c>
    </row>
    <row r="1596" spans="1:7">
      <c r="A1596">
        <v>1595</v>
      </c>
      <c r="B1596" t="s">
        <v>2666</v>
      </c>
      <c r="C1596" t="s">
        <v>1268</v>
      </c>
      <c r="E1596">
        <v>0.01</v>
      </c>
      <c r="F1596" t="s">
        <v>546</v>
      </c>
      <c r="G1596" s="174">
        <v>45576.460914351854</v>
      </c>
    </row>
    <row r="1597" spans="1:7">
      <c r="A1597">
        <v>1596</v>
      </c>
      <c r="B1597" t="s">
        <v>2667</v>
      </c>
      <c r="C1597" t="s">
        <v>2584</v>
      </c>
      <c r="E1597">
        <v>0.01</v>
      </c>
      <c r="F1597" t="s">
        <v>546</v>
      </c>
      <c r="G1597" s="174">
        <v>45576.460914351854</v>
      </c>
    </row>
    <row r="1598" spans="1:7">
      <c r="A1598">
        <v>1597</v>
      </c>
      <c r="B1598" t="s">
        <v>2668</v>
      </c>
      <c r="C1598" t="s">
        <v>1876</v>
      </c>
      <c r="E1598">
        <v>0.45</v>
      </c>
      <c r="F1598" t="s">
        <v>2669</v>
      </c>
      <c r="G1598" s="174">
        <v>45576.460914351854</v>
      </c>
    </row>
    <row r="1599" spans="1:7">
      <c r="A1599">
        <v>1598</v>
      </c>
      <c r="B1599" t="s">
        <v>2668</v>
      </c>
      <c r="C1599" t="s">
        <v>2670</v>
      </c>
      <c r="E1599">
        <v>0.5</v>
      </c>
      <c r="F1599" t="s">
        <v>2671</v>
      </c>
      <c r="G1599" s="174">
        <v>45576.460914351854</v>
      </c>
    </row>
    <row r="1600" spans="1:7">
      <c r="A1600">
        <v>1599</v>
      </c>
      <c r="B1600" t="s">
        <v>2672</v>
      </c>
      <c r="C1600" t="s">
        <v>685</v>
      </c>
      <c r="E1600">
        <v>0.01</v>
      </c>
      <c r="F1600" t="s">
        <v>546</v>
      </c>
      <c r="G1600" s="174">
        <v>45576.460914351854</v>
      </c>
    </row>
    <row r="1601" spans="1:7">
      <c r="A1601">
        <v>1600</v>
      </c>
      <c r="B1601" t="s">
        <v>2673</v>
      </c>
      <c r="C1601" t="s">
        <v>2568</v>
      </c>
      <c r="E1601">
        <v>0.01</v>
      </c>
      <c r="F1601" t="s">
        <v>546</v>
      </c>
      <c r="G1601" s="174">
        <v>45576.460914351854</v>
      </c>
    </row>
    <row r="1602" spans="1:7">
      <c r="A1602">
        <v>1601</v>
      </c>
      <c r="B1602" t="s">
        <v>2673</v>
      </c>
      <c r="C1602" t="s">
        <v>2147</v>
      </c>
      <c r="E1602">
        <v>0.01</v>
      </c>
      <c r="F1602" t="s">
        <v>546</v>
      </c>
      <c r="G1602" s="174">
        <v>45576.460914351854</v>
      </c>
    </row>
    <row r="1603" spans="1:7">
      <c r="A1603">
        <v>1602</v>
      </c>
      <c r="B1603" t="s">
        <v>2673</v>
      </c>
      <c r="C1603" t="s">
        <v>2674</v>
      </c>
      <c r="E1603">
        <v>0.01</v>
      </c>
      <c r="F1603" t="s">
        <v>546</v>
      </c>
      <c r="G1603" s="174">
        <v>45576.460914351854</v>
      </c>
    </row>
    <row r="1604" spans="1:7">
      <c r="A1604">
        <v>1603</v>
      </c>
      <c r="B1604" t="s">
        <v>2675</v>
      </c>
      <c r="C1604" t="s">
        <v>2676</v>
      </c>
      <c r="E1604">
        <v>0.6</v>
      </c>
      <c r="F1604" t="s">
        <v>546</v>
      </c>
      <c r="G1604" s="174">
        <v>45576.460914351854</v>
      </c>
    </row>
    <row r="1605" spans="1:7">
      <c r="A1605">
        <v>1604</v>
      </c>
      <c r="B1605" t="s">
        <v>2677</v>
      </c>
      <c r="C1605" t="s">
        <v>2147</v>
      </c>
      <c r="E1605">
        <v>0.01</v>
      </c>
      <c r="F1605" t="s">
        <v>546</v>
      </c>
      <c r="G1605" s="174">
        <v>45576.460914351854</v>
      </c>
    </row>
    <row r="1606" spans="1:7">
      <c r="A1606">
        <v>1605</v>
      </c>
      <c r="B1606" t="s">
        <v>2678</v>
      </c>
      <c r="C1606" t="s">
        <v>2428</v>
      </c>
      <c r="E1606">
        <v>0.01</v>
      </c>
      <c r="F1606" t="s">
        <v>546</v>
      </c>
      <c r="G1606" s="174">
        <v>45576.460914351854</v>
      </c>
    </row>
    <row r="1607" spans="1:7">
      <c r="A1607">
        <v>1606</v>
      </c>
      <c r="B1607" t="s">
        <v>2679</v>
      </c>
      <c r="C1607" t="s">
        <v>936</v>
      </c>
      <c r="E1607">
        <v>0.5</v>
      </c>
      <c r="F1607" t="s">
        <v>2680</v>
      </c>
      <c r="G1607" s="174">
        <v>45576.460914351854</v>
      </c>
    </row>
    <row r="1608" spans="1:7">
      <c r="A1608">
        <v>1607</v>
      </c>
      <c r="B1608" t="s">
        <v>2679</v>
      </c>
      <c r="C1608" t="s">
        <v>2681</v>
      </c>
      <c r="E1608">
        <v>0.6</v>
      </c>
      <c r="F1608" t="s">
        <v>546</v>
      </c>
      <c r="G1608" s="174">
        <v>45576.460914351854</v>
      </c>
    </row>
    <row r="1609" spans="1:7">
      <c r="A1609">
        <v>1608</v>
      </c>
      <c r="B1609" t="s">
        <v>2682</v>
      </c>
      <c r="C1609" t="s">
        <v>2089</v>
      </c>
      <c r="E1609">
        <v>0.01</v>
      </c>
      <c r="F1609" t="s">
        <v>546</v>
      </c>
      <c r="G1609" s="174">
        <v>45576.460914351854</v>
      </c>
    </row>
    <row r="1610" spans="1:7">
      <c r="A1610">
        <v>1609</v>
      </c>
      <c r="B1610" t="s">
        <v>2683</v>
      </c>
      <c r="C1610" t="s">
        <v>1257</v>
      </c>
      <c r="E1610">
        <v>0.01</v>
      </c>
      <c r="F1610" t="s">
        <v>546</v>
      </c>
      <c r="G1610" s="174">
        <v>45576.460914351854</v>
      </c>
    </row>
    <row r="1611" spans="1:7">
      <c r="A1611">
        <v>1610</v>
      </c>
      <c r="B1611" t="s">
        <v>2684</v>
      </c>
      <c r="C1611" t="s">
        <v>1000</v>
      </c>
      <c r="E1611">
        <v>0.01</v>
      </c>
      <c r="F1611" t="s">
        <v>546</v>
      </c>
      <c r="G1611" s="174">
        <v>45576.460914351854</v>
      </c>
    </row>
    <row r="1612" spans="1:7">
      <c r="A1612">
        <v>1611</v>
      </c>
      <c r="B1612" t="s">
        <v>2685</v>
      </c>
      <c r="C1612" t="s">
        <v>1572</v>
      </c>
      <c r="E1612">
        <v>0.01</v>
      </c>
      <c r="F1612" t="s">
        <v>546</v>
      </c>
      <c r="G1612" s="174">
        <v>45576.460914351854</v>
      </c>
    </row>
    <row r="1613" spans="1:7">
      <c r="A1613">
        <v>1612</v>
      </c>
      <c r="B1613" t="s">
        <v>2686</v>
      </c>
      <c r="C1613" t="s">
        <v>733</v>
      </c>
      <c r="E1613">
        <v>0.01</v>
      </c>
      <c r="F1613" t="s">
        <v>546</v>
      </c>
      <c r="G1613" s="174">
        <v>45576.460914351854</v>
      </c>
    </row>
    <row r="1614" spans="1:7">
      <c r="A1614">
        <v>1613</v>
      </c>
      <c r="B1614" t="s">
        <v>2687</v>
      </c>
      <c r="C1614" t="s">
        <v>773</v>
      </c>
      <c r="E1614">
        <v>0.01</v>
      </c>
      <c r="F1614" t="s">
        <v>546</v>
      </c>
      <c r="G1614" s="174">
        <v>45576.460914351854</v>
      </c>
    </row>
    <row r="1615" spans="1:7">
      <c r="A1615">
        <v>1614</v>
      </c>
      <c r="B1615" t="s">
        <v>2688</v>
      </c>
      <c r="C1615" t="s">
        <v>2175</v>
      </c>
      <c r="E1615">
        <v>0.01</v>
      </c>
      <c r="F1615" t="s">
        <v>546</v>
      </c>
      <c r="G1615" s="174">
        <v>45576.460914351854</v>
      </c>
    </row>
    <row r="1616" spans="1:7">
      <c r="A1616">
        <v>1615</v>
      </c>
      <c r="B1616" t="s">
        <v>2689</v>
      </c>
      <c r="C1616" t="s">
        <v>2690</v>
      </c>
      <c r="E1616">
        <v>0.01</v>
      </c>
      <c r="F1616" t="s">
        <v>546</v>
      </c>
      <c r="G1616" s="174">
        <v>45576.460914351854</v>
      </c>
    </row>
    <row r="1617" spans="1:7">
      <c r="A1617">
        <v>1616</v>
      </c>
      <c r="B1617" t="s">
        <v>2691</v>
      </c>
      <c r="C1617" t="s">
        <v>1685</v>
      </c>
      <c r="E1617">
        <v>0.01</v>
      </c>
      <c r="F1617" t="s">
        <v>546</v>
      </c>
      <c r="G1617" s="174">
        <v>45576.460914351854</v>
      </c>
    </row>
    <row r="1618" spans="1:7">
      <c r="A1618">
        <v>1617</v>
      </c>
      <c r="B1618" t="s">
        <v>2692</v>
      </c>
      <c r="C1618" t="s">
        <v>1599</v>
      </c>
      <c r="E1618">
        <v>0.01</v>
      </c>
      <c r="F1618" t="s">
        <v>546</v>
      </c>
      <c r="G1618" s="174">
        <v>45576.460914351854</v>
      </c>
    </row>
    <row r="1619" spans="1:7">
      <c r="A1619">
        <v>1618</v>
      </c>
      <c r="B1619" t="s">
        <v>2693</v>
      </c>
      <c r="C1619" t="s">
        <v>1002</v>
      </c>
      <c r="E1619">
        <v>0.01</v>
      </c>
      <c r="F1619" t="s">
        <v>546</v>
      </c>
      <c r="G1619" s="174">
        <v>45576.460914351854</v>
      </c>
    </row>
    <row r="1620" spans="1:7">
      <c r="A1620">
        <v>1619</v>
      </c>
      <c r="B1620" t="s">
        <v>2694</v>
      </c>
      <c r="C1620" t="s">
        <v>2576</v>
      </c>
      <c r="E1620">
        <v>0.01</v>
      </c>
      <c r="F1620" t="s">
        <v>546</v>
      </c>
      <c r="G1620" s="174">
        <v>45576.460914351854</v>
      </c>
    </row>
    <row r="1621" spans="1:7">
      <c r="A1621">
        <v>1620</v>
      </c>
      <c r="B1621" t="s">
        <v>2695</v>
      </c>
      <c r="C1621" t="s">
        <v>2696</v>
      </c>
      <c r="E1621">
        <v>0.6</v>
      </c>
      <c r="F1621" t="s">
        <v>546</v>
      </c>
      <c r="G1621" s="174">
        <v>45576.460914351854</v>
      </c>
    </row>
    <row r="1622" spans="1:7">
      <c r="A1622">
        <v>1621</v>
      </c>
      <c r="B1622" t="s">
        <v>2697</v>
      </c>
      <c r="C1622" t="s">
        <v>1398</v>
      </c>
      <c r="E1622">
        <v>0.01</v>
      </c>
      <c r="F1622" t="s">
        <v>546</v>
      </c>
      <c r="G1622" s="174">
        <v>45576.460914351854</v>
      </c>
    </row>
    <row r="1623" spans="1:7">
      <c r="A1623">
        <v>1622</v>
      </c>
      <c r="B1623" t="s">
        <v>2698</v>
      </c>
      <c r="C1623" t="s">
        <v>2576</v>
      </c>
      <c r="E1623">
        <v>0.01</v>
      </c>
      <c r="F1623" t="s">
        <v>546</v>
      </c>
      <c r="G1623" s="174">
        <v>45576.460914351854</v>
      </c>
    </row>
    <row r="1624" spans="1:7">
      <c r="A1624">
        <v>1623</v>
      </c>
      <c r="B1624" t="s">
        <v>2698</v>
      </c>
      <c r="C1624" t="s">
        <v>945</v>
      </c>
      <c r="E1624">
        <v>0.01</v>
      </c>
      <c r="F1624" t="s">
        <v>546</v>
      </c>
      <c r="G1624" s="174">
        <v>45576.460914351854</v>
      </c>
    </row>
    <row r="1625" spans="1:7">
      <c r="A1625">
        <v>1624</v>
      </c>
      <c r="B1625" t="s">
        <v>2699</v>
      </c>
      <c r="C1625" t="s">
        <v>1223</v>
      </c>
      <c r="E1625">
        <v>0.01</v>
      </c>
      <c r="F1625" t="s">
        <v>546</v>
      </c>
      <c r="G1625" s="174">
        <v>45576.460914351854</v>
      </c>
    </row>
    <row r="1626" spans="1:7">
      <c r="A1626">
        <v>1625</v>
      </c>
      <c r="B1626" t="s">
        <v>2699</v>
      </c>
      <c r="C1626" t="s">
        <v>1475</v>
      </c>
      <c r="E1626">
        <v>0.01</v>
      </c>
      <c r="F1626" t="s">
        <v>546</v>
      </c>
      <c r="G1626" s="174">
        <v>45576.460914351854</v>
      </c>
    </row>
    <row r="1627" spans="1:7">
      <c r="A1627">
        <v>1626</v>
      </c>
      <c r="B1627" t="s">
        <v>2700</v>
      </c>
      <c r="C1627" t="s">
        <v>2701</v>
      </c>
      <c r="E1627">
        <v>0.1</v>
      </c>
      <c r="F1627" t="s">
        <v>546</v>
      </c>
      <c r="G1627" s="174">
        <v>45576.460914351854</v>
      </c>
    </row>
    <row r="1628" spans="1:7">
      <c r="A1628">
        <v>1627</v>
      </c>
      <c r="B1628" t="s">
        <v>2702</v>
      </c>
      <c r="C1628" t="s">
        <v>2199</v>
      </c>
      <c r="E1628">
        <v>0.01</v>
      </c>
      <c r="F1628" t="s">
        <v>546</v>
      </c>
      <c r="G1628" s="174">
        <v>45576.460914351854</v>
      </c>
    </row>
    <row r="1629" spans="1:7">
      <c r="A1629">
        <v>1628</v>
      </c>
      <c r="B1629" t="s">
        <v>2703</v>
      </c>
      <c r="C1629" t="s">
        <v>2704</v>
      </c>
      <c r="E1629">
        <v>0.01</v>
      </c>
      <c r="F1629" t="s">
        <v>546</v>
      </c>
      <c r="G1629" s="174">
        <v>45576.460914351854</v>
      </c>
    </row>
    <row r="1630" spans="1:7">
      <c r="A1630">
        <v>1629</v>
      </c>
      <c r="B1630" t="s">
        <v>2705</v>
      </c>
      <c r="C1630" t="s">
        <v>2706</v>
      </c>
      <c r="E1630">
        <v>0.1</v>
      </c>
      <c r="F1630" t="s">
        <v>546</v>
      </c>
      <c r="G1630" s="174">
        <v>45576.460914351854</v>
      </c>
    </row>
    <row r="1631" spans="1:7">
      <c r="A1631">
        <v>1630</v>
      </c>
      <c r="B1631" t="s">
        <v>2707</v>
      </c>
      <c r="C1631" t="s">
        <v>949</v>
      </c>
      <c r="E1631">
        <v>0.6</v>
      </c>
      <c r="F1631" t="s">
        <v>546</v>
      </c>
      <c r="G1631" s="174">
        <v>45576.460914351854</v>
      </c>
    </row>
    <row r="1632" spans="1:7">
      <c r="A1632">
        <v>1631</v>
      </c>
      <c r="B1632" t="s">
        <v>2708</v>
      </c>
      <c r="C1632" t="s">
        <v>2709</v>
      </c>
      <c r="E1632">
        <v>0.6</v>
      </c>
      <c r="F1632" t="s">
        <v>2710</v>
      </c>
      <c r="G1632" s="174">
        <v>45576.460914351854</v>
      </c>
    </row>
    <row r="1633" spans="1:7">
      <c r="A1633">
        <v>1632</v>
      </c>
      <c r="B1633" t="s">
        <v>2711</v>
      </c>
      <c r="C1633" t="s">
        <v>1998</v>
      </c>
      <c r="E1633">
        <v>0.01</v>
      </c>
      <c r="F1633" t="s">
        <v>546</v>
      </c>
      <c r="G1633" s="174">
        <v>45576.460914351854</v>
      </c>
    </row>
    <row r="1634" spans="1:7">
      <c r="A1634">
        <v>1633</v>
      </c>
      <c r="B1634" t="s">
        <v>2712</v>
      </c>
      <c r="C1634" t="s">
        <v>1719</v>
      </c>
      <c r="E1634">
        <v>0.01</v>
      </c>
      <c r="F1634" t="s">
        <v>546</v>
      </c>
      <c r="G1634" s="174">
        <v>45576.460914351854</v>
      </c>
    </row>
    <row r="1635" spans="1:7">
      <c r="A1635">
        <v>1634</v>
      </c>
      <c r="B1635" t="s">
        <v>2713</v>
      </c>
      <c r="C1635" t="s">
        <v>1464</v>
      </c>
      <c r="E1635">
        <v>0.01</v>
      </c>
      <c r="F1635" t="s">
        <v>546</v>
      </c>
      <c r="G1635" s="174">
        <v>45576.460914351854</v>
      </c>
    </row>
    <row r="1636" spans="1:7">
      <c r="A1636">
        <v>1635</v>
      </c>
      <c r="B1636" t="s">
        <v>2714</v>
      </c>
      <c r="C1636" t="s">
        <v>1454</v>
      </c>
      <c r="E1636">
        <v>0.01</v>
      </c>
      <c r="F1636" t="s">
        <v>546</v>
      </c>
      <c r="G1636" s="174">
        <v>45576.460914351854</v>
      </c>
    </row>
    <row r="1637" spans="1:7">
      <c r="A1637">
        <v>1636</v>
      </c>
      <c r="B1637" t="s">
        <v>2715</v>
      </c>
      <c r="C1637" t="s">
        <v>1921</v>
      </c>
      <c r="E1637">
        <v>0.01</v>
      </c>
      <c r="F1637" t="s">
        <v>546</v>
      </c>
      <c r="G1637" s="174">
        <v>45576.460914351854</v>
      </c>
    </row>
    <row r="1638" spans="1:7">
      <c r="A1638">
        <v>1637</v>
      </c>
      <c r="B1638" t="s">
        <v>2716</v>
      </c>
      <c r="C1638" t="s">
        <v>1090</v>
      </c>
      <c r="E1638">
        <v>0.1</v>
      </c>
      <c r="F1638" t="s">
        <v>546</v>
      </c>
      <c r="G1638" s="174">
        <v>45576.460914351854</v>
      </c>
    </row>
    <row r="1639" spans="1:7">
      <c r="A1639">
        <v>1638</v>
      </c>
      <c r="B1639" t="s">
        <v>2717</v>
      </c>
      <c r="C1639" t="s">
        <v>2048</v>
      </c>
      <c r="E1639">
        <v>0.01</v>
      </c>
      <c r="F1639" t="s">
        <v>546</v>
      </c>
      <c r="G1639" s="174">
        <v>45576.460914351854</v>
      </c>
    </row>
    <row r="1640" spans="1:7">
      <c r="A1640">
        <v>1639</v>
      </c>
      <c r="B1640" t="s">
        <v>2718</v>
      </c>
      <c r="C1640" t="s">
        <v>2089</v>
      </c>
      <c r="E1640">
        <v>0.01</v>
      </c>
      <c r="F1640" t="s">
        <v>546</v>
      </c>
      <c r="G1640" s="174">
        <v>45576.460914351854</v>
      </c>
    </row>
    <row r="1641" spans="1:7">
      <c r="A1641">
        <v>1640</v>
      </c>
      <c r="B1641" t="s">
        <v>2719</v>
      </c>
      <c r="C1641" t="s">
        <v>994</v>
      </c>
      <c r="E1641">
        <v>0.01</v>
      </c>
      <c r="F1641" t="s">
        <v>546</v>
      </c>
      <c r="G1641" s="174">
        <v>45576.460914351854</v>
      </c>
    </row>
    <row r="1642" spans="1:7">
      <c r="A1642">
        <v>1641</v>
      </c>
      <c r="B1642" t="s">
        <v>2720</v>
      </c>
      <c r="C1642" t="s">
        <v>1189</v>
      </c>
      <c r="E1642">
        <v>0.01</v>
      </c>
      <c r="F1642" t="s">
        <v>546</v>
      </c>
      <c r="G1642" s="174">
        <v>45576.460914351854</v>
      </c>
    </row>
    <row r="1643" spans="1:7">
      <c r="A1643">
        <v>1642</v>
      </c>
      <c r="B1643" t="s">
        <v>2721</v>
      </c>
      <c r="C1643" t="s">
        <v>1720</v>
      </c>
      <c r="E1643">
        <v>0.01</v>
      </c>
      <c r="F1643" t="s">
        <v>546</v>
      </c>
      <c r="G1643" s="174">
        <v>45576.460914351854</v>
      </c>
    </row>
    <row r="1644" spans="1:7">
      <c r="A1644">
        <v>1643</v>
      </c>
      <c r="B1644" t="s">
        <v>2722</v>
      </c>
      <c r="C1644" t="s">
        <v>2723</v>
      </c>
      <c r="E1644">
        <v>0.01</v>
      </c>
      <c r="F1644" t="s">
        <v>546</v>
      </c>
      <c r="G1644" s="174">
        <v>45576.460914351854</v>
      </c>
    </row>
    <row r="1645" spans="1:7">
      <c r="A1645">
        <v>1644</v>
      </c>
      <c r="B1645" t="s">
        <v>2724</v>
      </c>
      <c r="C1645" t="s">
        <v>906</v>
      </c>
      <c r="E1645">
        <v>0.01</v>
      </c>
      <c r="F1645" t="s">
        <v>546</v>
      </c>
      <c r="G1645" s="174">
        <v>45576.460914351854</v>
      </c>
    </row>
    <row r="1646" spans="1:7">
      <c r="A1646">
        <v>1645</v>
      </c>
      <c r="B1646" t="s">
        <v>2725</v>
      </c>
      <c r="C1646" t="s">
        <v>2676</v>
      </c>
      <c r="E1646">
        <v>0.01</v>
      </c>
      <c r="F1646" t="s">
        <v>546</v>
      </c>
      <c r="G1646" s="174">
        <v>45576.460914351854</v>
      </c>
    </row>
    <row r="1647" spans="1:7">
      <c r="A1647">
        <v>1646</v>
      </c>
      <c r="B1647" t="s">
        <v>2726</v>
      </c>
      <c r="C1647" t="s">
        <v>939</v>
      </c>
      <c r="E1647">
        <v>0.01</v>
      </c>
      <c r="F1647" t="s">
        <v>546</v>
      </c>
      <c r="G1647" s="174">
        <v>45576.460914351854</v>
      </c>
    </row>
    <row r="1648" spans="1:7">
      <c r="A1648">
        <v>1647</v>
      </c>
      <c r="B1648" t="s">
        <v>2726</v>
      </c>
      <c r="C1648" t="s">
        <v>1454</v>
      </c>
      <c r="E1648">
        <v>0.01</v>
      </c>
      <c r="F1648" t="s">
        <v>546</v>
      </c>
      <c r="G1648" s="174">
        <v>45576.460914351854</v>
      </c>
    </row>
    <row r="1649" spans="1:7">
      <c r="A1649">
        <v>1648</v>
      </c>
      <c r="B1649" t="s">
        <v>2727</v>
      </c>
      <c r="C1649" t="s">
        <v>1970</v>
      </c>
      <c r="E1649">
        <v>0.01</v>
      </c>
      <c r="F1649" t="s">
        <v>546</v>
      </c>
      <c r="G1649" s="174">
        <v>45576.460914351854</v>
      </c>
    </row>
    <row r="1650" spans="1:7">
      <c r="A1650">
        <v>1649</v>
      </c>
      <c r="B1650" t="s">
        <v>2728</v>
      </c>
      <c r="C1650" t="s">
        <v>1982</v>
      </c>
      <c r="E1650">
        <v>0.01</v>
      </c>
      <c r="F1650" t="s">
        <v>546</v>
      </c>
      <c r="G1650" s="174">
        <v>45576.460914351854</v>
      </c>
    </row>
    <row r="1651" spans="1:7">
      <c r="A1651">
        <v>1650</v>
      </c>
      <c r="B1651" t="s">
        <v>2729</v>
      </c>
      <c r="C1651" t="s">
        <v>2126</v>
      </c>
      <c r="E1651">
        <v>0.01</v>
      </c>
      <c r="F1651" t="s">
        <v>546</v>
      </c>
      <c r="G1651" s="174">
        <v>45576.460914351854</v>
      </c>
    </row>
    <row r="1652" spans="1:7">
      <c r="A1652">
        <v>1651</v>
      </c>
      <c r="B1652" t="s">
        <v>2730</v>
      </c>
      <c r="C1652" t="s">
        <v>2731</v>
      </c>
      <c r="E1652">
        <v>0.01</v>
      </c>
      <c r="F1652" t="s">
        <v>546</v>
      </c>
      <c r="G1652" s="174">
        <v>45576.460914351854</v>
      </c>
    </row>
    <row r="1653" spans="1:7">
      <c r="A1653">
        <v>1652</v>
      </c>
      <c r="B1653" t="s">
        <v>2732</v>
      </c>
      <c r="C1653" t="s">
        <v>1727</v>
      </c>
      <c r="E1653">
        <v>0.01</v>
      </c>
      <c r="F1653" t="s">
        <v>546</v>
      </c>
      <c r="G1653" s="174">
        <v>45576.460914351854</v>
      </c>
    </row>
    <row r="1654" spans="1:7">
      <c r="A1654">
        <v>1653</v>
      </c>
      <c r="B1654" t="s">
        <v>2733</v>
      </c>
      <c r="C1654" t="s">
        <v>1936</v>
      </c>
      <c r="E1654">
        <v>0.01</v>
      </c>
      <c r="F1654" t="s">
        <v>546</v>
      </c>
      <c r="G1654" s="174">
        <v>45576.460914351854</v>
      </c>
    </row>
    <row r="1655" spans="1:7">
      <c r="A1655">
        <v>1654</v>
      </c>
      <c r="B1655" t="s">
        <v>2733</v>
      </c>
      <c r="C1655" t="s">
        <v>1736</v>
      </c>
      <c r="E1655">
        <v>0.1</v>
      </c>
      <c r="F1655" t="s">
        <v>546</v>
      </c>
      <c r="G1655" s="174">
        <v>45576.460914351854</v>
      </c>
    </row>
    <row r="1656" spans="1:7">
      <c r="A1656">
        <v>1655</v>
      </c>
      <c r="B1656" t="s">
        <v>2734</v>
      </c>
      <c r="C1656" t="s">
        <v>1407</v>
      </c>
      <c r="E1656">
        <v>0.01</v>
      </c>
      <c r="F1656" t="s">
        <v>546</v>
      </c>
      <c r="G1656" s="174">
        <v>45576.460914351854</v>
      </c>
    </row>
    <row r="1657" spans="1:7">
      <c r="A1657">
        <v>1656</v>
      </c>
      <c r="B1657" t="s">
        <v>2735</v>
      </c>
      <c r="C1657" t="s">
        <v>1454</v>
      </c>
      <c r="E1657">
        <v>0.01</v>
      </c>
      <c r="F1657" t="s">
        <v>546</v>
      </c>
      <c r="G1657" s="174">
        <v>45576.460914351854</v>
      </c>
    </row>
    <row r="1658" spans="1:7">
      <c r="A1658">
        <v>1657</v>
      </c>
      <c r="B1658" t="s">
        <v>2736</v>
      </c>
      <c r="C1658" t="s">
        <v>1090</v>
      </c>
      <c r="E1658">
        <v>0.01</v>
      </c>
      <c r="F1658" t="s">
        <v>546</v>
      </c>
      <c r="G1658" s="174">
        <v>45576.460914351854</v>
      </c>
    </row>
    <row r="1659" spans="1:7">
      <c r="A1659">
        <v>1658</v>
      </c>
      <c r="B1659" t="s">
        <v>2737</v>
      </c>
      <c r="C1659" t="s">
        <v>2738</v>
      </c>
      <c r="E1659">
        <v>0.01</v>
      </c>
      <c r="F1659" t="s">
        <v>546</v>
      </c>
      <c r="G1659" s="174">
        <v>45576.460914351854</v>
      </c>
    </row>
    <row r="1660" spans="1:7">
      <c r="A1660">
        <v>1659</v>
      </c>
      <c r="B1660" t="s">
        <v>2739</v>
      </c>
      <c r="C1660" t="s">
        <v>1090</v>
      </c>
      <c r="E1660">
        <v>0.01</v>
      </c>
      <c r="F1660" t="s">
        <v>546</v>
      </c>
      <c r="G1660" s="174">
        <v>45576.460914351854</v>
      </c>
    </row>
    <row r="1661" spans="1:7">
      <c r="A1661">
        <v>1660</v>
      </c>
      <c r="B1661" t="s">
        <v>2740</v>
      </c>
      <c r="C1661" t="s">
        <v>1065</v>
      </c>
      <c r="E1661">
        <v>0.01</v>
      </c>
      <c r="F1661" t="s">
        <v>546</v>
      </c>
      <c r="G1661" s="174">
        <v>45576.460914351854</v>
      </c>
    </row>
    <row r="1662" spans="1:7">
      <c r="A1662">
        <v>1661</v>
      </c>
      <c r="B1662" t="s">
        <v>2741</v>
      </c>
      <c r="C1662" t="s">
        <v>1065</v>
      </c>
      <c r="E1662">
        <v>0.01</v>
      </c>
      <c r="F1662" t="s">
        <v>546</v>
      </c>
      <c r="G1662" s="174">
        <v>45576.460914351854</v>
      </c>
    </row>
    <row r="1663" spans="1:7">
      <c r="A1663">
        <v>1662</v>
      </c>
      <c r="B1663" t="s">
        <v>2742</v>
      </c>
      <c r="C1663" t="s">
        <v>1065</v>
      </c>
      <c r="E1663">
        <v>0.01</v>
      </c>
      <c r="F1663" t="s">
        <v>546</v>
      </c>
      <c r="G1663" s="174">
        <v>45576.460914351854</v>
      </c>
    </row>
    <row r="1664" spans="1:7">
      <c r="A1664">
        <v>1663</v>
      </c>
      <c r="B1664" t="s">
        <v>2743</v>
      </c>
      <c r="C1664" t="s">
        <v>2744</v>
      </c>
      <c r="E1664">
        <v>0.01</v>
      </c>
      <c r="F1664" t="s">
        <v>546</v>
      </c>
      <c r="G1664" s="174">
        <v>45576.460914351854</v>
      </c>
    </row>
    <row r="1665" spans="1:7">
      <c r="A1665">
        <v>1664</v>
      </c>
      <c r="B1665" t="s">
        <v>2745</v>
      </c>
      <c r="C1665" t="s">
        <v>1065</v>
      </c>
      <c r="E1665">
        <v>0.01</v>
      </c>
      <c r="F1665" t="s">
        <v>546</v>
      </c>
      <c r="G1665" s="174">
        <v>45576.460914351854</v>
      </c>
    </row>
    <row r="1666" spans="1:7">
      <c r="A1666">
        <v>1665</v>
      </c>
      <c r="B1666" t="s">
        <v>2746</v>
      </c>
      <c r="C1666" t="s">
        <v>2747</v>
      </c>
      <c r="E1666">
        <v>0.8</v>
      </c>
      <c r="F1666" t="s">
        <v>546</v>
      </c>
      <c r="G1666" s="174">
        <v>45576.460914351854</v>
      </c>
    </row>
    <row r="1667" spans="1:7">
      <c r="A1667">
        <v>1666</v>
      </c>
      <c r="B1667" t="s">
        <v>2746</v>
      </c>
      <c r="C1667" t="s">
        <v>2748</v>
      </c>
      <c r="E1667">
        <v>0.6</v>
      </c>
      <c r="F1667" t="s">
        <v>546</v>
      </c>
      <c r="G1667" s="174">
        <v>45576.460914351854</v>
      </c>
    </row>
    <row r="1668" spans="1:7">
      <c r="A1668">
        <v>1667</v>
      </c>
      <c r="B1668" t="s">
        <v>2749</v>
      </c>
      <c r="C1668" t="s">
        <v>2747</v>
      </c>
      <c r="E1668">
        <v>0.01</v>
      </c>
      <c r="F1668" t="s">
        <v>546</v>
      </c>
      <c r="G1668" s="174">
        <v>45576.460914351854</v>
      </c>
    </row>
    <row r="1669" spans="1:7">
      <c r="A1669">
        <v>1668</v>
      </c>
      <c r="B1669" t="s">
        <v>2750</v>
      </c>
      <c r="C1669" t="s">
        <v>2751</v>
      </c>
      <c r="E1669">
        <v>0.01</v>
      </c>
      <c r="F1669" t="s">
        <v>546</v>
      </c>
      <c r="G1669" s="174">
        <v>45576.460914351854</v>
      </c>
    </row>
    <row r="1670" spans="1:7">
      <c r="A1670">
        <v>1669</v>
      </c>
      <c r="B1670" t="s">
        <v>2752</v>
      </c>
      <c r="C1670" t="s">
        <v>2753</v>
      </c>
      <c r="E1670">
        <v>0.01</v>
      </c>
      <c r="F1670" t="s">
        <v>546</v>
      </c>
      <c r="G1670" s="174">
        <v>45576.460914351854</v>
      </c>
    </row>
    <row r="1671" spans="1:7">
      <c r="A1671">
        <v>1670</v>
      </c>
      <c r="B1671" t="s">
        <v>2754</v>
      </c>
      <c r="C1671" t="s">
        <v>2755</v>
      </c>
      <c r="E1671">
        <v>0.1</v>
      </c>
      <c r="F1671" t="s">
        <v>546</v>
      </c>
      <c r="G1671" s="174">
        <v>45576.460914351854</v>
      </c>
    </row>
    <row r="1672" spans="1:7">
      <c r="A1672">
        <v>1671</v>
      </c>
      <c r="B1672" t="s">
        <v>544</v>
      </c>
      <c r="C1672" t="s">
        <v>2756</v>
      </c>
      <c r="E1672">
        <v>0.8</v>
      </c>
      <c r="F1672" t="s">
        <v>546</v>
      </c>
      <c r="G1672" s="174">
        <v>45576.460914351854</v>
      </c>
    </row>
    <row r="1673" spans="1:7">
      <c r="A1673">
        <v>1672</v>
      </c>
      <c r="B1673" t="s">
        <v>2757</v>
      </c>
      <c r="C1673" t="s">
        <v>2758</v>
      </c>
      <c r="E1673">
        <v>0.1</v>
      </c>
      <c r="F1673" t="s">
        <v>546</v>
      </c>
      <c r="G1673" s="174">
        <v>45576.460914351854</v>
      </c>
    </row>
    <row r="1674" spans="1:7">
      <c r="A1674">
        <v>1673</v>
      </c>
      <c r="B1674" t="s">
        <v>2759</v>
      </c>
      <c r="C1674" t="s">
        <v>2760</v>
      </c>
      <c r="E1674">
        <v>0.8</v>
      </c>
      <c r="F1674" t="s">
        <v>546</v>
      </c>
      <c r="G1674" s="174">
        <v>45576.460914351854</v>
      </c>
    </row>
    <row r="1675" spans="1:7">
      <c r="A1675">
        <v>1674</v>
      </c>
      <c r="B1675" t="s">
        <v>2759</v>
      </c>
      <c r="C1675" t="s">
        <v>2147</v>
      </c>
      <c r="E1675">
        <v>0.6</v>
      </c>
      <c r="F1675" t="s">
        <v>546</v>
      </c>
      <c r="G1675" s="174">
        <v>45576.460914351854</v>
      </c>
    </row>
    <row r="1676" spans="1:7">
      <c r="A1676">
        <v>1676</v>
      </c>
      <c r="B1676" t="s">
        <v>2761</v>
      </c>
      <c r="C1676" t="s">
        <v>2762</v>
      </c>
      <c r="E1676">
        <v>0.8</v>
      </c>
      <c r="F1676" t="s">
        <v>546</v>
      </c>
      <c r="G1676" s="174">
        <v>45576.460914351854</v>
      </c>
    </row>
    <row r="1677" spans="1:7">
      <c r="A1677">
        <v>1677</v>
      </c>
      <c r="B1677" t="s">
        <v>549</v>
      </c>
      <c r="C1677" t="s">
        <v>2763</v>
      </c>
      <c r="E1677">
        <v>0.01</v>
      </c>
      <c r="F1677" t="s">
        <v>546</v>
      </c>
      <c r="G1677" s="174">
        <v>45576.460914351854</v>
      </c>
    </row>
    <row r="1678" spans="1:7">
      <c r="A1678">
        <v>1678</v>
      </c>
      <c r="B1678" t="s">
        <v>549</v>
      </c>
      <c r="C1678" t="s">
        <v>2764</v>
      </c>
      <c r="E1678">
        <v>0.6</v>
      </c>
      <c r="F1678" t="s">
        <v>546</v>
      </c>
      <c r="G1678" s="174">
        <v>45576.460914351854</v>
      </c>
    </row>
    <row r="1679" spans="1:7">
      <c r="A1679">
        <v>1679</v>
      </c>
      <c r="B1679" t="s">
        <v>2765</v>
      </c>
      <c r="C1679" t="s">
        <v>2766</v>
      </c>
      <c r="E1679">
        <v>1</v>
      </c>
      <c r="F1679" t="s">
        <v>546</v>
      </c>
      <c r="G1679" s="174">
        <v>45576.460914351854</v>
      </c>
    </row>
    <row r="1680" spans="1:7">
      <c r="A1680">
        <v>1680</v>
      </c>
      <c r="B1680" t="s">
        <v>2767</v>
      </c>
      <c r="C1680" t="s">
        <v>2768</v>
      </c>
      <c r="E1680">
        <v>0.1</v>
      </c>
      <c r="F1680" t="s">
        <v>546</v>
      </c>
      <c r="G1680" s="174">
        <v>45576.460914351854</v>
      </c>
    </row>
    <row r="1681" spans="1:7">
      <c r="A1681">
        <v>1681</v>
      </c>
      <c r="B1681" t="s">
        <v>554</v>
      </c>
      <c r="C1681" t="s">
        <v>2769</v>
      </c>
      <c r="E1681">
        <v>1</v>
      </c>
      <c r="F1681" t="s">
        <v>546</v>
      </c>
      <c r="G1681" s="174">
        <v>45576.460914351854</v>
      </c>
    </row>
    <row r="1682" spans="1:7">
      <c r="A1682">
        <v>1682</v>
      </c>
      <c r="B1682" t="s">
        <v>2770</v>
      </c>
      <c r="C1682" t="s">
        <v>2771</v>
      </c>
      <c r="E1682">
        <v>0.01</v>
      </c>
      <c r="F1682" t="s">
        <v>546</v>
      </c>
      <c r="G1682" s="174">
        <v>45576.460914351854</v>
      </c>
    </row>
    <row r="1683" spans="1:7">
      <c r="A1683">
        <v>1683</v>
      </c>
      <c r="B1683" t="s">
        <v>556</v>
      </c>
      <c r="C1683" t="s">
        <v>2772</v>
      </c>
      <c r="E1683">
        <v>0.8</v>
      </c>
      <c r="F1683" t="s">
        <v>546</v>
      </c>
      <c r="G1683" s="174">
        <v>45576.460914351854</v>
      </c>
    </row>
    <row r="1684" spans="1:7">
      <c r="A1684">
        <v>1684</v>
      </c>
      <c r="B1684" t="s">
        <v>2773</v>
      </c>
      <c r="C1684" t="s">
        <v>2774</v>
      </c>
      <c r="E1684">
        <v>0.01</v>
      </c>
      <c r="F1684" t="s">
        <v>546</v>
      </c>
      <c r="G1684" s="174">
        <v>45576.460914351854</v>
      </c>
    </row>
    <row r="1685" spans="1:7">
      <c r="A1685">
        <v>1685</v>
      </c>
      <c r="B1685" t="s">
        <v>2773</v>
      </c>
      <c r="C1685" t="s">
        <v>2775</v>
      </c>
      <c r="E1685">
        <v>0.01</v>
      </c>
      <c r="F1685" t="s">
        <v>546</v>
      </c>
      <c r="G1685" s="174">
        <v>45576.460914351854</v>
      </c>
    </row>
    <row r="1686" spans="1:7">
      <c r="A1686">
        <v>1686</v>
      </c>
      <c r="B1686" t="s">
        <v>2776</v>
      </c>
      <c r="C1686" t="s">
        <v>2777</v>
      </c>
      <c r="E1686">
        <v>0.1</v>
      </c>
      <c r="F1686" t="s">
        <v>546</v>
      </c>
      <c r="G1686" s="174">
        <v>45576.460914351854</v>
      </c>
    </row>
    <row r="1687" spans="1:7">
      <c r="A1687">
        <v>1687</v>
      </c>
      <c r="B1687" t="s">
        <v>2778</v>
      </c>
      <c r="C1687" t="s">
        <v>2779</v>
      </c>
      <c r="E1687">
        <v>0.01</v>
      </c>
      <c r="F1687" t="s">
        <v>546</v>
      </c>
      <c r="G1687" s="174">
        <v>45576.460914351854</v>
      </c>
    </row>
    <row r="1688" spans="1:7">
      <c r="A1688">
        <v>1688</v>
      </c>
      <c r="B1688" t="s">
        <v>2778</v>
      </c>
      <c r="C1688" t="s">
        <v>2780</v>
      </c>
      <c r="E1688">
        <v>0.01</v>
      </c>
      <c r="F1688" t="s">
        <v>546</v>
      </c>
      <c r="G1688" s="174">
        <v>45576.460914351854</v>
      </c>
    </row>
    <row r="1689" spans="1:7">
      <c r="A1689">
        <v>1689</v>
      </c>
      <c r="B1689" t="s">
        <v>2778</v>
      </c>
      <c r="C1689" t="s">
        <v>2781</v>
      </c>
      <c r="E1689">
        <v>0.01</v>
      </c>
      <c r="F1689" t="s">
        <v>546</v>
      </c>
      <c r="G1689" s="174">
        <v>45576.460914351854</v>
      </c>
    </row>
    <row r="1690" spans="1:7">
      <c r="A1690">
        <v>1690</v>
      </c>
      <c r="B1690" t="s">
        <v>2782</v>
      </c>
      <c r="C1690" t="s">
        <v>2783</v>
      </c>
      <c r="E1690">
        <v>0.01</v>
      </c>
      <c r="F1690" t="s">
        <v>546</v>
      </c>
      <c r="G1690" s="174">
        <v>45576.460914351854</v>
      </c>
    </row>
    <row r="1691" spans="1:7">
      <c r="A1691">
        <v>1691</v>
      </c>
      <c r="B1691" t="s">
        <v>2782</v>
      </c>
      <c r="C1691" t="s">
        <v>2784</v>
      </c>
      <c r="E1691">
        <v>0.1</v>
      </c>
      <c r="F1691" t="s">
        <v>546</v>
      </c>
      <c r="G1691" s="174">
        <v>45576.460914351854</v>
      </c>
    </row>
    <row r="1692" spans="1:7">
      <c r="A1692">
        <v>1692</v>
      </c>
      <c r="B1692" t="s">
        <v>2782</v>
      </c>
      <c r="C1692" t="s">
        <v>2785</v>
      </c>
      <c r="E1692">
        <v>0.1</v>
      </c>
      <c r="F1692" t="s">
        <v>546</v>
      </c>
      <c r="G1692" s="174">
        <v>45576.460914351854</v>
      </c>
    </row>
    <row r="1693" spans="1:7">
      <c r="A1693">
        <v>1693</v>
      </c>
      <c r="B1693" t="s">
        <v>2782</v>
      </c>
      <c r="C1693" t="s">
        <v>2786</v>
      </c>
      <c r="E1693">
        <v>0.01</v>
      </c>
      <c r="F1693" t="s">
        <v>546</v>
      </c>
      <c r="G1693" s="174">
        <v>45576.460914351854</v>
      </c>
    </row>
    <row r="1694" spans="1:7">
      <c r="A1694">
        <v>1694</v>
      </c>
      <c r="B1694" t="s">
        <v>2782</v>
      </c>
      <c r="C1694" t="s">
        <v>2787</v>
      </c>
      <c r="E1694">
        <v>0.06</v>
      </c>
      <c r="F1694" t="s">
        <v>546</v>
      </c>
      <c r="G1694" s="174">
        <v>45576.460914351854</v>
      </c>
    </row>
    <row r="1695" spans="1:7">
      <c r="A1695">
        <v>1695</v>
      </c>
      <c r="B1695" t="s">
        <v>562</v>
      </c>
      <c r="C1695" t="s">
        <v>2788</v>
      </c>
      <c r="E1695">
        <v>0.01</v>
      </c>
      <c r="F1695" t="s">
        <v>546</v>
      </c>
      <c r="G1695" s="174">
        <v>45576.460914351854</v>
      </c>
    </row>
    <row r="1696" spans="1:7">
      <c r="A1696">
        <v>1696</v>
      </c>
      <c r="B1696" t="s">
        <v>562</v>
      </c>
      <c r="C1696" t="s">
        <v>2789</v>
      </c>
      <c r="E1696">
        <v>0.01</v>
      </c>
      <c r="F1696" t="s">
        <v>546</v>
      </c>
      <c r="G1696" s="174">
        <v>45576.460914351854</v>
      </c>
    </row>
    <row r="1697" spans="1:7">
      <c r="A1697">
        <v>1697</v>
      </c>
      <c r="B1697" t="s">
        <v>562</v>
      </c>
      <c r="C1697" t="s">
        <v>2790</v>
      </c>
      <c r="E1697">
        <v>0.05</v>
      </c>
      <c r="F1697" t="s">
        <v>546</v>
      </c>
      <c r="G1697" s="174">
        <v>45576.460914351854</v>
      </c>
    </row>
    <row r="1698" spans="1:7">
      <c r="A1698">
        <v>1698</v>
      </c>
      <c r="B1698" t="s">
        <v>562</v>
      </c>
      <c r="C1698" t="s">
        <v>2791</v>
      </c>
      <c r="E1698">
        <v>0.05</v>
      </c>
      <c r="F1698" t="s">
        <v>546</v>
      </c>
      <c r="G1698" s="174">
        <v>45576.460914351854</v>
      </c>
    </row>
    <row r="1699" spans="1:7">
      <c r="A1699">
        <v>1699</v>
      </c>
      <c r="B1699" t="s">
        <v>562</v>
      </c>
      <c r="C1699" t="s">
        <v>2792</v>
      </c>
      <c r="E1699">
        <v>0.5</v>
      </c>
      <c r="F1699" t="s">
        <v>546</v>
      </c>
      <c r="G1699" s="174">
        <v>45576.460914351854</v>
      </c>
    </row>
    <row r="1700" spans="1:7">
      <c r="A1700">
        <v>1700</v>
      </c>
      <c r="B1700" t="s">
        <v>2793</v>
      </c>
      <c r="C1700" t="s">
        <v>2794</v>
      </c>
      <c r="E1700">
        <v>0.1</v>
      </c>
      <c r="F1700" t="s">
        <v>546</v>
      </c>
      <c r="G1700" s="174">
        <v>45576.460914351854</v>
      </c>
    </row>
    <row r="1701" spans="1:7">
      <c r="A1701">
        <v>1701</v>
      </c>
      <c r="B1701" t="s">
        <v>2795</v>
      </c>
      <c r="C1701" t="s">
        <v>2796</v>
      </c>
      <c r="E1701">
        <v>0.01</v>
      </c>
      <c r="F1701" t="s">
        <v>546</v>
      </c>
      <c r="G1701" s="174">
        <v>45576.460914351854</v>
      </c>
    </row>
    <row r="1702" spans="1:7">
      <c r="A1702">
        <v>1702</v>
      </c>
      <c r="B1702" t="s">
        <v>2795</v>
      </c>
      <c r="C1702" t="s">
        <v>2797</v>
      </c>
      <c r="E1702">
        <v>0.01</v>
      </c>
      <c r="F1702" t="s">
        <v>546</v>
      </c>
      <c r="G1702" s="174">
        <v>45576.460914351854</v>
      </c>
    </row>
    <row r="1703" spans="1:7">
      <c r="A1703">
        <v>1703</v>
      </c>
      <c r="B1703" t="s">
        <v>2798</v>
      </c>
      <c r="C1703" t="s">
        <v>2799</v>
      </c>
      <c r="E1703">
        <v>0.1</v>
      </c>
      <c r="F1703" t="s">
        <v>546</v>
      </c>
      <c r="G1703" s="174">
        <v>45576.460914351854</v>
      </c>
    </row>
    <row r="1704" spans="1:7">
      <c r="A1704">
        <v>1704</v>
      </c>
      <c r="B1704" t="s">
        <v>2798</v>
      </c>
      <c r="C1704" t="s">
        <v>2756</v>
      </c>
      <c r="E1704">
        <v>0.01</v>
      </c>
      <c r="F1704" t="s">
        <v>546</v>
      </c>
      <c r="G1704" s="174">
        <v>45576.460914351854</v>
      </c>
    </row>
    <row r="1705" spans="1:7">
      <c r="A1705">
        <v>1705</v>
      </c>
      <c r="B1705" t="s">
        <v>2800</v>
      </c>
      <c r="C1705" t="s">
        <v>2801</v>
      </c>
      <c r="E1705">
        <v>0.01</v>
      </c>
      <c r="F1705" t="s">
        <v>546</v>
      </c>
      <c r="G1705" s="174">
        <v>45576.460914351854</v>
      </c>
    </row>
    <row r="1706" spans="1:7">
      <c r="A1706">
        <v>1706</v>
      </c>
      <c r="B1706" t="s">
        <v>2802</v>
      </c>
      <c r="C1706" t="s">
        <v>2803</v>
      </c>
      <c r="E1706">
        <v>0.01</v>
      </c>
      <c r="F1706" t="s">
        <v>546</v>
      </c>
      <c r="G1706" s="174">
        <v>45576.460914351854</v>
      </c>
    </row>
    <row r="1707" spans="1:7">
      <c r="A1707">
        <v>1707</v>
      </c>
      <c r="B1707" t="s">
        <v>2804</v>
      </c>
      <c r="C1707" t="s">
        <v>2805</v>
      </c>
      <c r="E1707">
        <v>0.1</v>
      </c>
      <c r="F1707" t="s">
        <v>546</v>
      </c>
      <c r="G1707" s="174">
        <v>45576.460914351854</v>
      </c>
    </row>
    <row r="1708" spans="1:7">
      <c r="A1708">
        <v>1708</v>
      </c>
      <c r="B1708" t="s">
        <v>2804</v>
      </c>
      <c r="C1708" t="s">
        <v>2806</v>
      </c>
      <c r="E1708">
        <v>0.1</v>
      </c>
      <c r="F1708" t="s">
        <v>546</v>
      </c>
      <c r="G1708" s="174">
        <v>45576.460914351854</v>
      </c>
    </row>
    <row r="1709" spans="1:7">
      <c r="A1709">
        <v>1709</v>
      </c>
      <c r="B1709" t="s">
        <v>2807</v>
      </c>
      <c r="C1709" t="s">
        <v>2808</v>
      </c>
      <c r="E1709">
        <v>0.01</v>
      </c>
      <c r="F1709" t="s">
        <v>546</v>
      </c>
      <c r="G1709" s="174">
        <v>45576.460914351854</v>
      </c>
    </row>
    <row r="1710" spans="1:7">
      <c r="A1710">
        <v>1710</v>
      </c>
      <c r="B1710" t="s">
        <v>2809</v>
      </c>
      <c r="C1710" t="s">
        <v>2810</v>
      </c>
      <c r="E1710">
        <v>0.01</v>
      </c>
      <c r="F1710" t="s">
        <v>546</v>
      </c>
      <c r="G1710" s="174">
        <v>45576.460914351854</v>
      </c>
    </row>
    <row r="1711" spans="1:7">
      <c r="A1711">
        <v>1711</v>
      </c>
      <c r="B1711" t="s">
        <v>2811</v>
      </c>
      <c r="C1711" t="s">
        <v>2812</v>
      </c>
      <c r="E1711">
        <v>0.01</v>
      </c>
      <c r="F1711" t="s">
        <v>546</v>
      </c>
      <c r="G1711" s="174">
        <v>45576.460914351854</v>
      </c>
    </row>
    <row r="1712" spans="1:7">
      <c r="A1712">
        <v>1712</v>
      </c>
      <c r="B1712" t="s">
        <v>2813</v>
      </c>
      <c r="C1712" t="s">
        <v>2814</v>
      </c>
      <c r="E1712">
        <v>0.1</v>
      </c>
      <c r="F1712" t="s">
        <v>546</v>
      </c>
      <c r="G1712" s="174">
        <v>45576.460914351854</v>
      </c>
    </row>
    <row r="1713" spans="1:7">
      <c r="A1713">
        <v>1713</v>
      </c>
      <c r="B1713" t="s">
        <v>2815</v>
      </c>
      <c r="C1713" t="s">
        <v>2816</v>
      </c>
      <c r="E1713">
        <v>0.01</v>
      </c>
      <c r="F1713" t="s">
        <v>546</v>
      </c>
      <c r="G1713" s="174">
        <v>45576.460914351854</v>
      </c>
    </row>
    <row r="1714" spans="1:7">
      <c r="A1714">
        <v>1714</v>
      </c>
      <c r="B1714" t="s">
        <v>564</v>
      </c>
      <c r="C1714" t="s">
        <v>2817</v>
      </c>
      <c r="E1714">
        <v>0.8</v>
      </c>
      <c r="F1714" t="s">
        <v>546</v>
      </c>
      <c r="G1714" s="174">
        <v>45576.460914351854</v>
      </c>
    </row>
    <row r="1715" spans="1:7">
      <c r="A1715">
        <v>1715</v>
      </c>
      <c r="B1715" t="s">
        <v>566</v>
      </c>
      <c r="C1715" t="s">
        <v>2818</v>
      </c>
      <c r="E1715">
        <v>0.01</v>
      </c>
      <c r="F1715" t="s">
        <v>546</v>
      </c>
      <c r="G1715" s="174">
        <v>45576.460914351854</v>
      </c>
    </row>
    <row r="1716" spans="1:7">
      <c r="A1716">
        <v>1716</v>
      </c>
      <c r="B1716" t="s">
        <v>568</v>
      </c>
      <c r="C1716" t="s">
        <v>2819</v>
      </c>
      <c r="E1716">
        <v>0.01</v>
      </c>
      <c r="F1716" t="s">
        <v>546</v>
      </c>
      <c r="G1716" s="174">
        <v>45576.460914351854</v>
      </c>
    </row>
    <row r="1717" spans="1:7">
      <c r="A1717">
        <v>1717</v>
      </c>
      <c r="B1717" t="s">
        <v>2820</v>
      </c>
      <c r="C1717" t="s">
        <v>2821</v>
      </c>
      <c r="E1717">
        <v>0.8</v>
      </c>
      <c r="F1717" t="s">
        <v>546</v>
      </c>
      <c r="G1717" s="174">
        <v>45576.460914351854</v>
      </c>
    </row>
    <row r="1718" spans="1:7">
      <c r="A1718">
        <v>1718</v>
      </c>
      <c r="B1718" t="s">
        <v>2822</v>
      </c>
      <c r="C1718" t="s">
        <v>2823</v>
      </c>
      <c r="E1718">
        <v>0.1</v>
      </c>
      <c r="F1718" t="s">
        <v>546</v>
      </c>
      <c r="G1718" s="174">
        <v>45576.460914351854</v>
      </c>
    </row>
    <row r="1719" spans="1:7">
      <c r="A1719">
        <v>1719</v>
      </c>
      <c r="B1719" t="s">
        <v>2822</v>
      </c>
      <c r="C1719" t="s">
        <v>2824</v>
      </c>
      <c r="E1719">
        <v>0.5</v>
      </c>
      <c r="F1719" t="s">
        <v>546</v>
      </c>
      <c r="G1719" s="174">
        <v>45576.460914351854</v>
      </c>
    </row>
    <row r="1720" spans="1:7">
      <c r="A1720">
        <v>1720</v>
      </c>
      <c r="B1720" t="s">
        <v>2825</v>
      </c>
      <c r="C1720" t="s">
        <v>2826</v>
      </c>
      <c r="E1720">
        <v>0.01</v>
      </c>
      <c r="F1720" t="s">
        <v>546</v>
      </c>
      <c r="G1720" s="174">
        <v>45576.460914351854</v>
      </c>
    </row>
    <row r="1721" spans="1:7">
      <c r="A1721">
        <v>1721</v>
      </c>
      <c r="B1721" t="s">
        <v>570</v>
      </c>
      <c r="C1721" t="s">
        <v>2827</v>
      </c>
      <c r="E1721">
        <v>0.6</v>
      </c>
      <c r="F1721" t="s">
        <v>546</v>
      </c>
      <c r="G1721" s="174">
        <v>45576.460914351854</v>
      </c>
    </row>
    <row r="1722" spans="1:7">
      <c r="A1722">
        <v>1722</v>
      </c>
      <c r="B1722" t="s">
        <v>2828</v>
      </c>
      <c r="C1722" t="s">
        <v>2829</v>
      </c>
      <c r="E1722">
        <v>0.4</v>
      </c>
      <c r="F1722" t="s">
        <v>1890</v>
      </c>
      <c r="G1722" s="174">
        <v>45576.460914351854</v>
      </c>
    </row>
    <row r="1723" spans="1:7">
      <c r="A1723">
        <v>1724</v>
      </c>
      <c r="B1723" t="s">
        <v>2830</v>
      </c>
      <c r="C1723" t="s">
        <v>2831</v>
      </c>
      <c r="E1723">
        <v>0.5</v>
      </c>
      <c r="F1723" t="s">
        <v>546</v>
      </c>
      <c r="G1723" s="174">
        <v>45576.460914351854</v>
      </c>
    </row>
    <row r="1724" spans="1:7">
      <c r="A1724">
        <v>1726</v>
      </c>
      <c r="B1724" t="s">
        <v>2830</v>
      </c>
      <c r="C1724" t="s">
        <v>2832</v>
      </c>
      <c r="E1724">
        <v>0.1</v>
      </c>
      <c r="F1724" t="s">
        <v>546</v>
      </c>
      <c r="G1724" s="174">
        <v>45576.460914351854</v>
      </c>
    </row>
    <row r="1725" spans="1:7">
      <c r="A1725">
        <v>1727</v>
      </c>
      <c r="B1725" t="s">
        <v>2830</v>
      </c>
      <c r="C1725" t="s">
        <v>2833</v>
      </c>
      <c r="E1725">
        <v>0.8</v>
      </c>
      <c r="F1725" t="s">
        <v>546</v>
      </c>
      <c r="G1725" s="174">
        <v>45576.460914351854</v>
      </c>
    </row>
    <row r="1726" spans="1:7">
      <c r="A1726">
        <v>1728</v>
      </c>
      <c r="B1726" t="s">
        <v>2834</v>
      </c>
      <c r="C1726" t="s">
        <v>2835</v>
      </c>
      <c r="E1726">
        <v>0.01</v>
      </c>
      <c r="F1726" t="s">
        <v>546</v>
      </c>
      <c r="G1726" s="174">
        <v>45576.460914351854</v>
      </c>
    </row>
    <row r="1727" spans="1:7">
      <c r="A1727">
        <v>1729</v>
      </c>
      <c r="B1727" t="s">
        <v>2836</v>
      </c>
      <c r="C1727" t="s">
        <v>2837</v>
      </c>
      <c r="E1727">
        <v>0.01</v>
      </c>
      <c r="F1727" t="s">
        <v>546</v>
      </c>
      <c r="G1727" s="174">
        <v>45576.460914351854</v>
      </c>
    </row>
    <row r="1728" spans="1:7">
      <c r="A1728">
        <v>1730</v>
      </c>
      <c r="B1728" t="s">
        <v>572</v>
      </c>
      <c r="C1728" t="s">
        <v>2838</v>
      </c>
      <c r="E1728">
        <v>0.1</v>
      </c>
      <c r="F1728" t="s">
        <v>546</v>
      </c>
      <c r="G1728" s="174">
        <v>45576.460914351854</v>
      </c>
    </row>
    <row r="1729" spans="1:7">
      <c r="A1729">
        <v>1731</v>
      </c>
      <c r="B1729" t="s">
        <v>2839</v>
      </c>
      <c r="C1729" t="s">
        <v>2840</v>
      </c>
      <c r="E1729">
        <v>0.1</v>
      </c>
      <c r="F1729" t="s">
        <v>546</v>
      </c>
      <c r="G1729" s="174">
        <v>45576.460914351854</v>
      </c>
    </row>
    <row r="1730" spans="1:7">
      <c r="A1730">
        <v>1732</v>
      </c>
      <c r="B1730" t="s">
        <v>2839</v>
      </c>
      <c r="C1730" t="s">
        <v>2841</v>
      </c>
      <c r="E1730">
        <v>0.1</v>
      </c>
      <c r="F1730" t="s">
        <v>546</v>
      </c>
      <c r="G1730" s="174">
        <v>45576.460914351854</v>
      </c>
    </row>
    <row r="1731" spans="1:7">
      <c r="A1731">
        <v>1733</v>
      </c>
      <c r="B1731" t="s">
        <v>574</v>
      </c>
      <c r="C1731" t="s">
        <v>2842</v>
      </c>
      <c r="E1731">
        <v>0.6</v>
      </c>
      <c r="F1731" t="s">
        <v>546</v>
      </c>
      <c r="G1731" s="174">
        <v>45576.460914351854</v>
      </c>
    </row>
    <row r="1732" spans="1:7">
      <c r="A1732">
        <v>1734</v>
      </c>
      <c r="B1732" t="s">
        <v>2843</v>
      </c>
      <c r="C1732" t="s">
        <v>2844</v>
      </c>
      <c r="E1732">
        <v>0.01</v>
      </c>
      <c r="F1732" t="s">
        <v>546</v>
      </c>
      <c r="G1732" s="174">
        <v>45576.460914351854</v>
      </c>
    </row>
    <row r="1733" spans="1:7">
      <c r="A1733">
        <v>1735</v>
      </c>
      <c r="B1733" t="s">
        <v>2843</v>
      </c>
      <c r="C1733" t="s">
        <v>2845</v>
      </c>
      <c r="E1733">
        <v>0.01</v>
      </c>
      <c r="F1733" t="s">
        <v>546</v>
      </c>
      <c r="G1733" s="174">
        <v>45576.460914351854</v>
      </c>
    </row>
    <row r="1734" spans="1:7">
      <c r="A1734">
        <v>1736</v>
      </c>
      <c r="B1734" t="s">
        <v>576</v>
      </c>
      <c r="C1734" t="s">
        <v>2846</v>
      </c>
      <c r="E1734">
        <v>0.05</v>
      </c>
      <c r="F1734" t="s">
        <v>546</v>
      </c>
      <c r="G1734" s="174">
        <v>45576.460914351854</v>
      </c>
    </row>
    <row r="1735" spans="1:7">
      <c r="A1735">
        <v>1737</v>
      </c>
      <c r="B1735" t="s">
        <v>2847</v>
      </c>
      <c r="C1735" t="s">
        <v>2848</v>
      </c>
      <c r="E1735">
        <v>0.8</v>
      </c>
      <c r="F1735" t="s">
        <v>2849</v>
      </c>
      <c r="G1735" s="174">
        <v>45576.460914351854</v>
      </c>
    </row>
    <row r="1736" spans="1:7">
      <c r="A1736">
        <v>1738</v>
      </c>
      <c r="B1736" t="s">
        <v>2847</v>
      </c>
      <c r="C1736" t="s">
        <v>2850</v>
      </c>
      <c r="E1736">
        <v>0.6</v>
      </c>
      <c r="F1736" t="s">
        <v>2851</v>
      </c>
      <c r="G1736" s="174">
        <v>45576.460914351854</v>
      </c>
    </row>
    <row r="1737" spans="1:7">
      <c r="A1737">
        <v>1739</v>
      </c>
      <c r="B1737" t="s">
        <v>2852</v>
      </c>
      <c r="C1737" t="s">
        <v>2853</v>
      </c>
      <c r="E1737">
        <v>0.1</v>
      </c>
      <c r="F1737" t="s">
        <v>546</v>
      </c>
      <c r="G1737" s="174">
        <v>45576.460914351854</v>
      </c>
    </row>
    <row r="1738" spans="1:7">
      <c r="A1738">
        <v>1740</v>
      </c>
      <c r="B1738" t="s">
        <v>2854</v>
      </c>
      <c r="C1738" t="s">
        <v>2823</v>
      </c>
      <c r="E1738">
        <v>0.01</v>
      </c>
      <c r="F1738" t="s">
        <v>546</v>
      </c>
      <c r="G1738" s="174">
        <v>45576.460914351854</v>
      </c>
    </row>
    <row r="1739" spans="1:7">
      <c r="A1739">
        <v>1741</v>
      </c>
      <c r="B1739" t="s">
        <v>2855</v>
      </c>
      <c r="C1739" t="s">
        <v>2856</v>
      </c>
      <c r="E1739">
        <v>0.1</v>
      </c>
      <c r="F1739" t="s">
        <v>546</v>
      </c>
      <c r="G1739" s="174">
        <v>45576.460914351854</v>
      </c>
    </row>
    <row r="1740" spans="1:7">
      <c r="A1740">
        <v>1742</v>
      </c>
      <c r="B1740" t="s">
        <v>2857</v>
      </c>
      <c r="C1740" t="s">
        <v>1848</v>
      </c>
      <c r="E1740">
        <v>0.1</v>
      </c>
      <c r="F1740" t="s">
        <v>546</v>
      </c>
      <c r="G1740" s="174">
        <v>45576.460914351854</v>
      </c>
    </row>
    <row r="1741" spans="1:7">
      <c r="A1741">
        <v>1743</v>
      </c>
      <c r="B1741" t="s">
        <v>2858</v>
      </c>
      <c r="C1741" t="s">
        <v>2859</v>
      </c>
      <c r="E1741">
        <v>0.8</v>
      </c>
      <c r="F1741" t="s">
        <v>546</v>
      </c>
      <c r="G1741" s="174">
        <v>45576.460914351854</v>
      </c>
    </row>
    <row r="1742" spans="1:7">
      <c r="A1742">
        <v>1744</v>
      </c>
      <c r="B1742" t="s">
        <v>2858</v>
      </c>
      <c r="C1742" t="s">
        <v>2860</v>
      </c>
      <c r="E1742">
        <v>0.6</v>
      </c>
      <c r="F1742" t="s">
        <v>546</v>
      </c>
      <c r="G1742" s="174">
        <v>45576.460914351854</v>
      </c>
    </row>
    <row r="1743" spans="1:7">
      <c r="A1743">
        <v>1745</v>
      </c>
      <c r="B1743" t="s">
        <v>2858</v>
      </c>
      <c r="C1743" t="s">
        <v>2861</v>
      </c>
      <c r="E1743">
        <v>0.5</v>
      </c>
      <c r="F1743" t="s">
        <v>546</v>
      </c>
      <c r="G1743" s="174">
        <v>45576.460914351854</v>
      </c>
    </row>
    <row r="1744" spans="1:7">
      <c r="A1744">
        <v>1746</v>
      </c>
      <c r="B1744" t="s">
        <v>2862</v>
      </c>
      <c r="C1744" t="s">
        <v>2863</v>
      </c>
      <c r="E1744">
        <v>0.01</v>
      </c>
      <c r="F1744" t="s">
        <v>546</v>
      </c>
      <c r="G1744" s="174">
        <v>45576.460914351854</v>
      </c>
    </row>
    <row r="1745" spans="1:7">
      <c r="A1745">
        <v>1747</v>
      </c>
      <c r="B1745" t="s">
        <v>2864</v>
      </c>
      <c r="C1745" t="s">
        <v>2865</v>
      </c>
      <c r="E1745">
        <v>0.01</v>
      </c>
      <c r="F1745" t="s">
        <v>546</v>
      </c>
      <c r="G1745" s="174">
        <v>45576.460914351854</v>
      </c>
    </row>
    <row r="1746" spans="1:7">
      <c r="A1746">
        <v>1748</v>
      </c>
      <c r="B1746" t="s">
        <v>2864</v>
      </c>
      <c r="C1746" t="s">
        <v>2866</v>
      </c>
      <c r="E1746">
        <v>0.06</v>
      </c>
      <c r="F1746" t="s">
        <v>546</v>
      </c>
      <c r="G1746" s="174">
        <v>45576.460914351854</v>
      </c>
    </row>
    <row r="1747" spans="1:7">
      <c r="A1747">
        <v>1749</v>
      </c>
      <c r="B1747" t="s">
        <v>2867</v>
      </c>
      <c r="C1747" t="s">
        <v>2868</v>
      </c>
      <c r="E1747">
        <v>0.8</v>
      </c>
      <c r="F1747" t="s">
        <v>546</v>
      </c>
      <c r="G1747" s="174">
        <v>45576.460914351854</v>
      </c>
    </row>
    <row r="1748" spans="1:7">
      <c r="A1748">
        <v>1750</v>
      </c>
      <c r="B1748" t="s">
        <v>2869</v>
      </c>
      <c r="C1748" t="s">
        <v>2870</v>
      </c>
      <c r="E1748">
        <v>0.01</v>
      </c>
      <c r="F1748" t="s">
        <v>546</v>
      </c>
      <c r="G1748" s="174">
        <v>45576.460914351854</v>
      </c>
    </row>
    <row r="1749" spans="1:7">
      <c r="A1749">
        <v>1751</v>
      </c>
      <c r="B1749" t="s">
        <v>2869</v>
      </c>
      <c r="C1749" t="s">
        <v>2871</v>
      </c>
      <c r="E1749">
        <v>0.8</v>
      </c>
      <c r="F1749" t="s">
        <v>2872</v>
      </c>
      <c r="G1749" s="174">
        <v>45576.460914351854</v>
      </c>
    </row>
    <row r="1750" spans="1:7">
      <c r="A1750">
        <v>1752</v>
      </c>
      <c r="B1750" t="s">
        <v>2869</v>
      </c>
      <c r="C1750" t="s">
        <v>1065</v>
      </c>
      <c r="E1750">
        <v>0.7</v>
      </c>
      <c r="F1750" t="s">
        <v>2873</v>
      </c>
      <c r="G1750" s="174">
        <v>45576.460914351854</v>
      </c>
    </row>
    <row r="1751" spans="1:7">
      <c r="A1751">
        <v>1753</v>
      </c>
      <c r="B1751" t="s">
        <v>2874</v>
      </c>
      <c r="C1751" t="s">
        <v>2875</v>
      </c>
      <c r="E1751">
        <v>0.01</v>
      </c>
      <c r="F1751" t="s">
        <v>546</v>
      </c>
      <c r="G1751" s="174">
        <v>45576.460914351854</v>
      </c>
    </row>
    <row r="1752" spans="1:7">
      <c r="A1752">
        <v>1754</v>
      </c>
      <c r="B1752" t="s">
        <v>2876</v>
      </c>
      <c r="C1752" t="s">
        <v>2877</v>
      </c>
      <c r="E1752">
        <v>0.1</v>
      </c>
      <c r="F1752" t="s">
        <v>546</v>
      </c>
      <c r="G1752" s="174">
        <v>45576.460914351854</v>
      </c>
    </row>
    <row r="1753" spans="1:7">
      <c r="A1753">
        <v>1755</v>
      </c>
      <c r="B1753" t="s">
        <v>2878</v>
      </c>
      <c r="C1753" t="s">
        <v>2879</v>
      </c>
      <c r="E1753">
        <v>0.6</v>
      </c>
      <c r="F1753" t="s">
        <v>546</v>
      </c>
      <c r="G1753" s="174">
        <v>45576.460914351854</v>
      </c>
    </row>
    <row r="1754" spans="1:7">
      <c r="A1754">
        <v>1756</v>
      </c>
      <c r="B1754" t="s">
        <v>2878</v>
      </c>
      <c r="C1754" t="s">
        <v>2880</v>
      </c>
      <c r="E1754">
        <v>0.8</v>
      </c>
      <c r="F1754" t="s">
        <v>546</v>
      </c>
      <c r="G1754" s="174">
        <v>45576.460914351854</v>
      </c>
    </row>
    <row r="1755" spans="1:7">
      <c r="A1755">
        <v>1757</v>
      </c>
      <c r="B1755" t="s">
        <v>2878</v>
      </c>
      <c r="C1755" t="s">
        <v>1064</v>
      </c>
      <c r="E1755">
        <v>0.01</v>
      </c>
      <c r="F1755" t="s">
        <v>2881</v>
      </c>
      <c r="G1755" s="174">
        <v>45576.460914351854</v>
      </c>
    </row>
    <row r="1756" spans="1:7">
      <c r="A1756">
        <v>1759</v>
      </c>
      <c r="B1756" t="s">
        <v>2882</v>
      </c>
      <c r="C1756" t="s">
        <v>2883</v>
      </c>
      <c r="E1756">
        <v>0.01</v>
      </c>
      <c r="F1756" t="s">
        <v>546</v>
      </c>
      <c r="G1756" s="174">
        <v>45576.460914351854</v>
      </c>
    </row>
    <row r="1757" spans="1:7">
      <c r="A1757">
        <v>1760</v>
      </c>
      <c r="B1757" t="s">
        <v>2882</v>
      </c>
      <c r="C1757" t="s">
        <v>2884</v>
      </c>
      <c r="E1757">
        <v>0.01</v>
      </c>
      <c r="F1757" t="s">
        <v>546</v>
      </c>
      <c r="G1757" s="174">
        <v>45576.460914351854</v>
      </c>
    </row>
    <row r="1758" spans="1:7">
      <c r="A1758">
        <v>1761</v>
      </c>
      <c r="B1758" t="s">
        <v>2885</v>
      </c>
      <c r="C1758" t="s">
        <v>2886</v>
      </c>
      <c r="E1758">
        <v>0.01</v>
      </c>
      <c r="F1758" t="s">
        <v>546</v>
      </c>
      <c r="G1758" s="174">
        <v>45576.460914351854</v>
      </c>
    </row>
    <row r="1759" spans="1:7">
      <c r="A1759">
        <v>1762</v>
      </c>
      <c r="B1759" t="s">
        <v>2887</v>
      </c>
      <c r="C1759" t="s">
        <v>2772</v>
      </c>
      <c r="E1759">
        <v>0.01</v>
      </c>
      <c r="F1759" t="s">
        <v>546</v>
      </c>
      <c r="G1759" s="174">
        <v>45576.460914351854</v>
      </c>
    </row>
    <row r="1760" spans="1:7">
      <c r="A1760">
        <v>1763</v>
      </c>
      <c r="B1760" t="s">
        <v>2888</v>
      </c>
      <c r="C1760" t="s">
        <v>2760</v>
      </c>
      <c r="E1760">
        <v>0.01</v>
      </c>
      <c r="F1760" t="s">
        <v>546</v>
      </c>
      <c r="G1760" s="174">
        <v>45576.460914351854</v>
      </c>
    </row>
    <row r="1761" spans="1:7">
      <c r="A1761">
        <v>1764</v>
      </c>
      <c r="B1761" t="s">
        <v>2889</v>
      </c>
      <c r="C1761" t="s">
        <v>2890</v>
      </c>
      <c r="E1761">
        <v>0.01</v>
      </c>
      <c r="F1761" t="s">
        <v>546</v>
      </c>
      <c r="G1761" s="174">
        <v>45576.460914351854</v>
      </c>
    </row>
    <row r="1762" spans="1:7">
      <c r="A1762">
        <v>1765</v>
      </c>
      <c r="B1762" t="s">
        <v>2891</v>
      </c>
      <c r="C1762" t="s">
        <v>2892</v>
      </c>
      <c r="E1762">
        <v>0.01</v>
      </c>
      <c r="F1762" t="s">
        <v>546</v>
      </c>
      <c r="G1762" s="174">
        <v>45576.460914351854</v>
      </c>
    </row>
    <row r="1763" spans="1:7">
      <c r="A1763">
        <v>1766</v>
      </c>
      <c r="B1763" t="s">
        <v>2891</v>
      </c>
      <c r="C1763" t="s">
        <v>2893</v>
      </c>
      <c r="E1763">
        <v>0.1</v>
      </c>
      <c r="F1763" t="s">
        <v>546</v>
      </c>
      <c r="G1763" s="174">
        <v>45576.460914351854</v>
      </c>
    </row>
    <row r="1764" spans="1:7">
      <c r="A1764">
        <v>1767</v>
      </c>
      <c r="B1764" t="s">
        <v>588</v>
      </c>
      <c r="C1764" t="s">
        <v>2894</v>
      </c>
      <c r="E1764">
        <v>0.8</v>
      </c>
      <c r="F1764" t="s">
        <v>546</v>
      </c>
      <c r="G1764" s="174">
        <v>45576.460914351854</v>
      </c>
    </row>
    <row r="1765" spans="1:7">
      <c r="A1765">
        <v>1768</v>
      </c>
      <c r="B1765" t="s">
        <v>588</v>
      </c>
      <c r="C1765" t="s">
        <v>2895</v>
      </c>
      <c r="E1765">
        <v>0.6</v>
      </c>
      <c r="F1765" t="s">
        <v>546</v>
      </c>
      <c r="G1765" s="174">
        <v>45576.460914351854</v>
      </c>
    </row>
    <row r="1766" spans="1:7">
      <c r="A1766">
        <v>1769</v>
      </c>
      <c r="B1766" t="s">
        <v>2896</v>
      </c>
      <c r="C1766" t="s">
        <v>2897</v>
      </c>
      <c r="E1766">
        <v>0.01</v>
      </c>
      <c r="F1766" t="s">
        <v>546</v>
      </c>
      <c r="G1766" s="174">
        <v>45576.460914351854</v>
      </c>
    </row>
    <row r="1767" spans="1:7">
      <c r="A1767">
        <v>1770</v>
      </c>
      <c r="B1767" t="s">
        <v>2898</v>
      </c>
      <c r="C1767" t="s">
        <v>2899</v>
      </c>
      <c r="E1767">
        <v>0.1</v>
      </c>
      <c r="F1767" t="s">
        <v>546</v>
      </c>
      <c r="G1767" s="174">
        <v>45576.460914351854</v>
      </c>
    </row>
    <row r="1768" spans="1:7">
      <c r="A1768">
        <v>1771</v>
      </c>
      <c r="B1768" t="s">
        <v>2900</v>
      </c>
      <c r="C1768" t="s">
        <v>2901</v>
      </c>
      <c r="E1768">
        <v>0.01</v>
      </c>
      <c r="F1768" t="s">
        <v>546</v>
      </c>
      <c r="G1768" s="174">
        <v>45576.460914351854</v>
      </c>
    </row>
    <row r="1769" spans="1:7">
      <c r="A1769">
        <v>1772</v>
      </c>
      <c r="B1769" t="s">
        <v>591</v>
      </c>
      <c r="C1769" t="s">
        <v>2902</v>
      </c>
      <c r="E1769">
        <v>0.8</v>
      </c>
      <c r="F1769" t="s">
        <v>546</v>
      </c>
      <c r="G1769" s="174">
        <v>45576.460914351854</v>
      </c>
    </row>
    <row r="1770" spans="1:7">
      <c r="A1770">
        <v>1773</v>
      </c>
      <c r="B1770" t="s">
        <v>593</v>
      </c>
      <c r="C1770" t="s">
        <v>2846</v>
      </c>
      <c r="E1770">
        <v>1</v>
      </c>
      <c r="F1770" t="s">
        <v>546</v>
      </c>
      <c r="G1770" s="174">
        <v>45576.460914351854</v>
      </c>
    </row>
    <row r="1771" spans="1:7">
      <c r="A1771">
        <v>1774</v>
      </c>
      <c r="B1771" t="s">
        <v>2903</v>
      </c>
      <c r="C1771" t="s">
        <v>2794</v>
      </c>
      <c r="E1771">
        <v>0.1</v>
      </c>
      <c r="F1771" t="s">
        <v>546</v>
      </c>
      <c r="G1771" s="174">
        <v>45576.460914351854</v>
      </c>
    </row>
    <row r="1772" spans="1:7">
      <c r="A1772">
        <v>1775</v>
      </c>
      <c r="B1772" t="s">
        <v>2903</v>
      </c>
      <c r="C1772" t="s">
        <v>2904</v>
      </c>
      <c r="E1772">
        <v>0.01</v>
      </c>
      <c r="F1772" t="s">
        <v>546</v>
      </c>
      <c r="G1772" s="174">
        <v>45576.460914351854</v>
      </c>
    </row>
    <row r="1773" spans="1:7">
      <c r="A1773">
        <v>1776</v>
      </c>
      <c r="B1773" t="s">
        <v>2905</v>
      </c>
      <c r="C1773" t="s">
        <v>2906</v>
      </c>
      <c r="E1773">
        <v>0.01</v>
      </c>
      <c r="F1773" t="s">
        <v>546</v>
      </c>
      <c r="G1773" s="174">
        <v>45576.460914351854</v>
      </c>
    </row>
    <row r="1774" spans="1:7">
      <c r="A1774">
        <v>1777</v>
      </c>
      <c r="B1774" t="s">
        <v>2907</v>
      </c>
      <c r="C1774" t="s">
        <v>2908</v>
      </c>
      <c r="E1774">
        <v>0.1</v>
      </c>
      <c r="F1774" t="s">
        <v>546</v>
      </c>
      <c r="G1774" s="174">
        <v>45576.460914351854</v>
      </c>
    </row>
    <row r="1775" spans="1:7">
      <c r="A1775">
        <v>1778</v>
      </c>
      <c r="B1775" t="s">
        <v>2909</v>
      </c>
      <c r="C1775" t="s">
        <v>2910</v>
      </c>
      <c r="E1775">
        <v>0.01</v>
      </c>
      <c r="F1775" t="s">
        <v>546</v>
      </c>
      <c r="G1775" s="174">
        <v>45576.460914351854</v>
      </c>
    </row>
    <row r="1776" spans="1:7">
      <c r="A1776">
        <v>1779</v>
      </c>
      <c r="B1776" t="s">
        <v>2909</v>
      </c>
      <c r="C1776" t="s">
        <v>2911</v>
      </c>
      <c r="E1776">
        <v>0.1</v>
      </c>
      <c r="F1776" t="s">
        <v>546</v>
      </c>
      <c r="G1776" s="174">
        <v>45576.460914351854</v>
      </c>
    </row>
    <row r="1777" spans="1:7">
      <c r="A1777">
        <v>1780</v>
      </c>
      <c r="B1777" t="s">
        <v>2909</v>
      </c>
      <c r="C1777" t="s">
        <v>2912</v>
      </c>
      <c r="E1777">
        <v>0.01</v>
      </c>
      <c r="F1777" t="s">
        <v>546</v>
      </c>
      <c r="G1777" s="174">
        <v>45576.460914351854</v>
      </c>
    </row>
    <row r="1778" spans="1:7">
      <c r="A1778">
        <v>1781</v>
      </c>
      <c r="B1778" t="s">
        <v>2913</v>
      </c>
      <c r="C1778" t="s">
        <v>2914</v>
      </c>
      <c r="E1778">
        <v>0.7</v>
      </c>
      <c r="F1778" t="s">
        <v>546</v>
      </c>
      <c r="G1778" s="174">
        <v>45576.460914351854</v>
      </c>
    </row>
    <row r="1779" spans="1:7">
      <c r="A1779">
        <v>1782</v>
      </c>
      <c r="B1779" t="s">
        <v>2913</v>
      </c>
      <c r="C1779" t="s">
        <v>2915</v>
      </c>
      <c r="E1779">
        <v>0.8</v>
      </c>
      <c r="F1779" t="s">
        <v>546</v>
      </c>
      <c r="G1779" s="174">
        <v>45576.460914351854</v>
      </c>
    </row>
    <row r="1780" spans="1:7">
      <c r="A1780">
        <v>1783</v>
      </c>
      <c r="B1780" t="s">
        <v>2916</v>
      </c>
      <c r="C1780" t="s">
        <v>2917</v>
      </c>
      <c r="E1780">
        <v>0.01</v>
      </c>
      <c r="F1780" t="s">
        <v>546</v>
      </c>
      <c r="G1780" s="174">
        <v>45576.460914351854</v>
      </c>
    </row>
    <row r="1781" spans="1:7">
      <c r="A1781">
        <v>1784</v>
      </c>
      <c r="B1781" t="s">
        <v>2918</v>
      </c>
      <c r="C1781" t="s">
        <v>2875</v>
      </c>
      <c r="E1781">
        <v>0.1</v>
      </c>
      <c r="F1781" t="s">
        <v>546</v>
      </c>
      <c r="G1781" s="174">
        <v>45576.460914351854</v>
      </c>
    </row>
    <row r="1782" spans="1:7">
      <c r="A1782">
        <v>1785</v>
      </c>
      <c r="B1782" t="s">
        <v>2919</v>
      </c>
      <c r="C1782" t="s">
        <v>2920</v>
      </c>
      <c r="E1782">
        <v>0.01</v>
      </c>
      <c r="F1782" t="s">
        <v>546</v>
      </c>
      <c r="G1782" s="174">
        <v>45576.460914351854</v>
      </c>
    </row>
    <row r="1783" spans="1:7">
      <c r="A1783">
        <v>1786</v>
      </c>
      <c r="B1783" t="s">
        <v>598</v>
      </c>
      <c r="C1783" t="s">
        <v>2921</v>
      </c>
      <c r="E1783">
        <v>0.01</v>
      </c>
      <c r="F1783" t="s">
        <v>546</v>
      </c>
      <c r="G1783" s="174">
        <v>45576.460914351854</v>
      </c>
    </row>
    <row r="1784" spans="1:7">
      <c r="A1784">
        <v>1787</v>
      </c>
      <c r="B1784" t="s">
        <v>2922</v>
      </c>
      <c r="C1784" t="s">
        <v>2923</v>
      </c>
      <c r="E1784">
        <v>0.01</v>
      </c>
      <c r="F1784" t="s">
        <v>546</v>
      </c>
      <c r="G1784" s="174">
        <v>45576.460914351854</v>
      </c>
    </row>
    <row r="1785" spans="1:7">
      <c r="A1785">
        <v>1788</v>
      </c>
      <c r="B1785" t="s">
        <v>2924</v>
      </c>
      <c r="C1785" t="s">
        <v>2925</v>
      </c>
      <c r="E1785">
        <v>1</v>
      </c>
      <c r="F1785" t="s">
        <v>546</v>
      </c>
      <c r="G1785" s="174">
        <v>45576.460914351854</v>
      </c>
    </row>
    <row r="1786" spans="1:7">
      <c r="A1786">
        <v>1789</v>
      </c>
      <c r="B1786" t="s">
        <v>2924</v>
      </c>
      <c r="C1786" t="s">
        <v>2926</v>
      </c>
      <c r="E1786">
        <v>0.01</v>
      </c>
      <c r="F1786" t="s">
        <v>546</v>
      </c>
      <c r="G1786" s="174">
        <v>45576.460914351854</v>
      </c>
    </row>
    <row r="1787" spans="1:7">
      <c r="A1787">
        <v>1790</v>
      </c>
      <c r="B1787" t="s">
        <v>2927</v>
      </c>
      <c r="C1787" t="s">
        <v>2928</v>
      </c>
      <c r="E1787">
        <v>0.01</v>
      </c>
      <c r="F1787" t="s">
        <v>546</v>
      </c>
      <c r="G1787" s="174">
        <v>45576.460914351854</v>
      </c>
    </row>
    <row r="1788" spans="1:7">
      <c r="A1788">
        <v>1791</v>
      </c>
      <c r="B1788" t="s">
        <v>2929</v>
      </c>
      <c r="C1788" t="s">
        <v>2930</v>
      </c>
      <c r="E1788">
        <v>0.01</v>
      </c>
      <c r="F1788" t="s">
        <v>546</v>
      </c>
      <c r="G1788" s="174">
        <v>45576.460914351854</v>
      </c>
    </row>
    <row r="1789" spans="1:7">
      <c r="A1789">
        <v>1792</v>
      </c>
      <c r="B1789" t="s">
        <v>2929</v>
      </c>
      <c r="C1789" t="s">
        <v>741</v>
      </c>
      <c r="E1789">
        <v>0.01</v>
      </c>
      <c r="F1789" t="s">
        <v>546</v>
      </c>
      <c r="G1789" s="174">
        <v>45576.460914351854</v>
      </c>
    </row>
    <row r="1790" spans="1:7">
      <c r="A1790">
        <v>1793</v>
      </c>
      <c r="B1790" t="s">
        <v>2931</v>
      </c>
      <c r="C1790" t="s">
        <v>2932</v>
      </c>
      <c r="E1790">
        <v>0.01</v>
      </c>
      <c r="F1790" t="s">
        <v>546</v>
      </c>
      <c r="G1790" s="174">
        <v>45576.460914351854</v>
      </c>
    </row>
    <row r="1791" spans="1:7">
      <c r="A1791">
        <v>1794</v>
      </c>
      <c r="B1791" t="s">
        <v>2931</v>
      </c>
      <c r="C1791" t="s">
        <v>2880</v>
      </c>
      <c r="E1791">
        <v>0.01</v>
      </c>
      <c r="F1791" t="s">
        <v>546</v>
      </c>
      <c r="G1791" s="174">
        <v>45576.460914351854</v>
      </c>
    </row>
    <row r="1792" spans="1:7">
      <c r="A1792">
        <v>1795</v>
      </c>
      <c r="B1792" t="s">
        <v>2933</v>
      </c>
      <c r="C1792" t="s">
        <v>2934</v>
      </c>
      <c r="E1792">
        <v>0.01</v>
      </c>
      <c r="F1792" t="s">
        <v>546</v>
      </c>
      <c r="G1792" s="174">
        <v>45576.460914351854</v>
      </c>
    </row>
    <row r="1793" spans="1:7">
      <c r="A1793">
        <v>1796</v>
      </c>
      <c r="B1793" t="s">
        <v>2933</v>
      </c>
      <c r="C1793" t="s">
        <v>2935</v>
      </c>
      <c r="E1793">
        <v>0.01</v>
      </c>
      <c r="F1793" t="s">
        <v>546</v>
      </c>
      <c r="G1793" s="174">
        <v>45576.460914351854</v>
      </c>
    </row>
    <row r="1794" spans="1:7">
      <c r="A1794">
        <v>1797</v>
      </c>
      <c r="B1794" t="s">
        <v>2936</v>
      </c>
      <c r="C1794" t="s">
        <v>2937</v>
      </c>
      <c r="E1794">
        <v>0.01</v>
      </c>
      <c r="F1794" t="s">
        <v>546</v>
      </c>
      <c r="G1794" s="174">
        <v>45576.460914351854</v>
      </c>
    </row>
    <row r="1795" spans="1:7">
      <c r="A1795">
        <v>1798</v>
      </c>
      <c r="B1795" t="s">
        <v>2938</v>
      </c>
      <c r="C1795" t="s">
        <v>2939</v>
      </c>
      <c r="E1795">
        <v>0.1</v>
      </c>
      <c r="F1795" t="s">
        <v>546</v>
      </c>
      <c r="G1795" s="174">
        <v>45576.460914351854</v>
      </c>
    </row>
    <row r="1796" spans="1:7">
      <c r="A1796">
        <v>1799</v>
      </c>
      <c r="B1796" t="s">
        <v>602</v>
      </c>
      <c r="C1796" t="s">
        <v>2940</v>
      </c>
      <c r="E1796">
        <v>0.1</v>
      </c>
      <c r="F1796" t="s">
        <v>546</v>
      </c>
      <c r="G1796" s="174">
        <v>45576.460914351854</v>
      </c>
    </row>
    <row r="1797" spans="1:7">
      <c r="A1797">
        <v>1800</v>
      </c>
      <c r="B1797" t="s">
        <v>2941</v>
      </c>
      <c r="C1797" t="s">
        <v>2942</v>
      </c>
      <c r="E1797">
        <v>0.01</v>
      </c>
      <c r="F1797" t="s">
        <v>546</v>
      </c>
      <c r="G1797" s="174">
        <v>45576.460914351854</v>
      </c>
    </row>
    <row r="1798" spans="1:7">
      <c r="A1798">
        <v>1801</v>
      </c>
      <c r="B1798" t="s">
        <v>604</v>
      </c>
      <c r="C1798" t="s">
        <v>2943</v>
      </c>
      <c r="E1798">
        <v>0.6</v>
      </c>
      <c r="F1798" t="s">
        <v>546</v>
      </c>
      <c r="G1798" s="174">
        <v>45576.460914351854</v>
      </c>
    </row>
    <row r="1799" spans="1:7">
      <c r="A1799">
        <v>1802</v>
      </c>
      <c r="B1799" t="s">
        <v>2944</v>
      </c>
      <c r="C1799" t="s">
        <v>2945</v>
      </c>
      <c r="E1799">
        <v>0.01</v>
      </c>
      <c r="F1799" t="s">
        <v>546</v>
      </c>
      <c r="G1799" s="174">
        <v>45576.460914351854</v>
      </c>
    </row>
    <row r="1800" spans="1:7">
      <c r="A1800">
        <v>1803</v>
      </c>
      <c r="B1800" t="s">
        <v>611</v>
      </c>
      <c r="C1800" t="s">
        <v>1554</v>
      </c>
      <c r="E1800">
        <v>0.5</v>
      </c>
      <c r="F1800" t="s">
        <v>546</v>
      </c>
      <c r="G1800" s="174">
        <v>45576.460914351854</v>
      </c>
    </row>
    <row r="1801" spans="1:7">
      <c r="A1801">
        <v>1804</v>
      </c>
      <c r="B1801" t="s">
        <v>613</v>
      </c>
      <c r="C1801" t="s">
        <v>2946</v>
      </c>
      <c r="E1801">
        <v>0.6</v>
      </c>
      <c r="F1801" t="s">
        <v>546</v>
      </c>
      <c r="G1801" s="174">
        <v>45576.460914351854</v>
      </c>
    </row>
    <row r="1802" spans="1:7">
      <c r="A1802">
        <v>1805</v>
      </c>
      <c r="B1802" t="s">
        <v>2947</v>
      </c>
      <c r="C1802" t="s">
        <v>2948</v>
      </c>
      <c r="E1802">
        <v>0.01</v>
      </c>
      <c r="F1802" t="s">
        <v>546</v>
      </c>
      <c r="G1802" s="174">
        <v>45576.460914351854</v>
      </c>
    </row>
    <row r="1803" spans="1:7">
      <c r="A1803">
        <v>1806</v>
      </c>
      <c r="B1803" t="s">
        <v>2949</v>
      </c>
      <c r="C1803" t="s">
        <v>2899</v>
      </c>
      <c r="E1803">
        <v>0.01</v>
      </c>
      <c r="F1803" t="s">
        <v>546</v>
      </c>
      <c r="G1803" s="174">
        <v>45576.460914351854</v>
      </c>
    </row>
    <row r="1804" spans="1:7">
      <c r="A1804">
        <v>1807</v>
      </c>
      <c r="B1804" t="s">
        <v>2950</v>
      </c>
      <c r="C1804" t="s">
        <v>2951</v>
      </c>
      <c r="E1804">
        <v>0.01</v>
      </c>
      <c r="F1804" t="s">
        <v>546</v>
      </c>
      <c r="G1804" s="174">
        <v>45576.460914351854</v>
      </c>
    </row>
    <row r="1805" spans="1:7">
      <c r="A1805">
        <v>1808</v>
      </c>
      <c r="B1805" t="s">
        <v>2950</v>
      </c>
      <c r="C1805" t="s">
        <v>2952</v>
      </c>
      <c r="E1805">
        <v>0.01</v>
      </c>
      <c r="F1805" t="s">
        <v>546</v>
      </c>
      <c r="G1805" s="174">
        <v>45576.460914351854</v>
      </c>
    </row>
    <row r="1806" spans="1:7">
      <c r="A1806">
        <v>1809</v>
      </c>
      <c r="B1806" t="s">
        <v>2950</v>
      </c>
      <c r="C1806" t="s">
        <v>2953</v>
      </c>
      <c r="E1806">
        <v>0.8</v>
      </c>
      <c r="F1806" t="s">
        <v>546</v>
      </c>
      <c r="G1806" s="174">
        <v>45576.460914351854</v>
      </c>
    </row>
    <row r="1807" spans="1:7">
      <c r="A1807">
        <v>1810</v>
      </c>
      <c r="B1807" t="s">
        <v>2954</v>
      </c>
      <c r="C1807" t="s">
        <v>2955</v>
      </c>
      <c r="E1807">
        <v>0.01</v>
      </c>
      <c r="F1807" t="s">
        <v>546</v>
      </c>
      <c r="G1807" s="174">
        <v>45576.460914351854</v>
      </c>
    </row>
    <row r="1808" spans="1:7">
      <c r="A1808">
        <v>1811</v>
      </c>
      <c r="B1808" t="s">
        <v>2954</v>
      </c>
      <c r="C1808" t="s">
        <v>2956</v>
      </c>
      <c r="E1808">
        <v>0.01</v>
      </c>
      <c r="F1808" t="s">
        <v>546</v>
      </c>
      <c r="G1808" s="174">
        <v>45576.460914351854</v>
      </c>
    </row>
    <row r="1809" spans="1:7">
      <c r="A1809">
        <v>1812</v>
      </c>
      <c r="B1809" t="s">
        <v>2957</v>
      </c>
      <c r="C1809" t="s">
        <v>2958</v>
      </c>
      <c r="E1809">
        <v>0.1</v>
      </c>
      <c r="F1809" t="s">
        <v>546</v>
      </c>
      <c r="G1809" s="174">
        <v>45576.460914351854</v>
      </c>
    </row>
    <row r="1810" spans="1:7">
      <c r="A1810">
        <v>1813</v>
      </c>
      <c r="B1810" t="s">
        <v>2959</v>
      </c>
      <c r="C1810" t="s">
        <v>2960</v>
      </c>
      <c r="E1810">
        <v>0.1</v>
      </c>
      <c r="F1810" t="s">
        <v>546</v>
      </c>
      <c r="G1810" s="174">
        <v>45576.460914351854</v>
      </c>
    </row>
    <row r="1811" spans="1:7">
      <c r="A1811">
        <v>1814</v>
      </c>
      <c r="B1811" t="s">
        <v>2961</v>
      </c>
      <c r="C1811" t="s">
        <v>2962</v>
      </c>
      <c r="E1811">
        <v>0.8</v>
      </c>
      <c r="F1811" t="s">
        <v>546</v>
      </c>
      <c r="G1811" s="174">
        <v>45576.460914351854</v>
      </c>
    </row>
    <row r="1812" spans="1:7">
      <c r="A1812">
        <v>1816</v>
      </c>
      <c r="B1812" t="s">
        <v>2963</v>
      </c>
      <c r="C1812" t="s">
        <v>2964</v>
      </c>
      <c r="E1812">
        <v>0.01</v>
      </c>
      <c r="F1812" t="s">
        <v>546</v>
      </c>
      <c r="G1812" s="174">
        <v>45576.460914351854</v>
      </c>
    </row>
    <row r="1813" spans="1:7">
      <c r="A1813">
        <v>1817</v>
      </c>
      <c r="B1813" t="s">
        <v>2965</v>
      </c>
      <c r="C1813" t="s">
        <v>2966</v>
      </c>
      <c r="E1813">
        <v>0.01</v>
      </c>
      <c r="F1813" t="s">
        <v>546</v>
      </c>
      <c r="G1813" s="174">
        <v>45576.460914351854</v>
      </c>
    </row>
    <row r="1814" spans="1:7">
      <c r="A1814">
        <v>1818</v>
      </c>
      <c r="B1814" t="s">
        <v>2967</v>
      </c>
      <c r="C1814" t="s">
        <v>2968</v>
      </c>
      <c r="E1814">
        <v>0.1</v>
      </c>
      <c r="F1814" t="s">
        <v>546</v>
      </c>
      <c r="G1814" s="174">
        <v>45576.460914351854</v>
      </c>
    </row>
    <row r="1815" spans="1:7">
      <c r="A1815">
        <v>1819</v>
      </c>
      <c r="B1815" t="s">
        <v>2967</v>
      </c>
      <c r="C1815" t="s">
        <v>2969</v>
      </c>
      <c r="E1815">
        <v>0.01</v>
      </c>
      <c r="F1815" t="s">
        <v>546</v>
      </c>
      <c r="G1815" s="174">
        <v>45576.460914351854</v>
      </c>
    </row>
    <row r="1816" spans="1:7">
      <c r="A1816">
        <v>1820</v>
      </c>
      <c r="B1816" t="s">
        <v>2970</v>
      </c>
      <c r="C1816" t="s">
        <v>2766</v>
      </c>
      <c r="E1816">
        <v>0.1</v>
      </c>
      <c r="F1816" t="s">
        <v>546</v>
      </c>
      <c r="G1816" s="174">
        <v>45576.460914351854</v>
      </c>
    </row>
    <row r="1817" spans="1:7">
      <c r="A1817">
        <v>1821</v>
      </c>
      <c r="B1817" t="s">
        <v>2970</v>
      </c>
      <c r="C1817" t="s">
        <v>2868</v>
      </c>
      <c r="E1817">
        <v>0.01</v>
      </c>
      <c r="F1817" t="s">
        <v>546</v>
      </c>
      <c r="G1817" s="174">
        <v>45576.460914351854</v>
      </c>
    </row>
    <row r="1818" spans="1:7">
      <c r="A1818">
        <v>1822</v>
      </c>
      <c r="B1818" t="s">
        <v>2971</v>
      </c>
      <c r="C1818" t="s">
        <v>2972</v>
      </c>
      <c r="E1818">
        <v>0.1</v>
      </c>
      <c r="F1818" t="s">
        <v>546</v>
      </c>
      <c r="G1818" s="174">
        <v>45576.460914351854</v>
      </c>
    </row>
    <row r="1819" spans="1:7">
      <c r="A1819">
        <v>1823</v>
      </c>
      <c r="B1819" t="s">
        <v>626</v>
      </c>
      <c r="C1819" t="s">
        <v>1808</v>
      </c>
      <c r="E1819">
        <v>0.01</v>
      </c>
      <c r="F1819" t="s">
        <v>546</v>
      </c>
      <c r="G1819" s="174">
        <v>45576.460914351854</v>
      </c>
    </row>
    <row r="1820" spans="1:7">
      <c r="A1820">
        <v>1824</v>
      </c>
      <c r="B1820" t="s">
        <v>2973</v>
      </c>
      <c r="C1820" t="s">
        <v>2856</v>
      </c>
      <c r="E1820">
        <v>0.1</v>
      </c>
      <c r="F1820" t="s">
        <v>546</v>
      </c>
      <c r="G1820" s="174">
        <v>45576.460914351854</v>
      </c>
    </row>
    <row r="1821" spans="1:7">
      <c r="A1821">
        <v>1825</v>
      </c>
      <c r="B1821" t="s">
        <v>2974</v>
      </c>
      <c r="C1821" t="s">
        <v>2975</v>
      </c>
      <c r="E1821">
        <v>0.01</v>
      </c>
      <c r="F1821" t="s">
        <v>546</v>
      </c>
      <c r="G1821" s="174">
        <v>45576.460914351854</v>
      </c>
    </row>
    <row r="1822" spans="1:7">
      <c r="A1822">
        <v>1826</v>
      </c>
      <c r="B1822" t="s">
        <v>2974</v>
      </c>
      <c r="C1822" t="s">
        <v>2976</v>
      </c>
      <c r="E1822">
        <v>0.1</v>
      </c>
      <c r="F1822" t="s">
        <v>546</v>
      </c>
      <c r="G1822" s="174">
        <v>45576.460914351854</v>
      </c>
    </row>
    <row r="1823" spans="1:7">
      <c r="A1823">
        <v>1827</v>
      </c>
      <c r="B1823" t="s">
        <v>2974</v>
      </c>
      <c r="C1823" t="s">
        <v>2977</v>
      </c>
      <c r="E1823">
        <v>0.01</v>
      </c>
      <c r="F1823" t="s">
        <v>546</v>
      </c>
      <c r="G1823" s="174">
        <v>45576.460914351854</v>
      </c>
    </row>
    <row r="1824" spans="1:7">
      <c r="A1824">
        <v>1828</v>
      </c>
      <c r="B1824" t="s">
        <v>2978</v>
      </c>
      <c r="C1824" t="s">
        <v>2979</v>
      </c>
      <c r="E1824">
        <v>0.8</v>
      </c>
      <c r="F1824" t="s">
        <v>546</v>
      </c>
      <c r="G1824" s="174">
        <v>45576.460914351854</v>
      </c>
    </row>
    <row r="1825" spans="1:7">
      <c r="A1825">
        <v>1829</v>
      </c>
      <c r="B1825" t="s">
        <v>2980</v>
      </c>
      <c r="C1825" t="s">
        <v>2981</v>
      </c>
      <c r="E1825">
        <v>0.8</v>
      </c>
      <c r="F1825" t="s">
        <v>546</v>
      </c>
      <c r="G1825" s="174">
        <v>45576.460914351854</v>
      </c>
    </row>
    <row r="1826" spans="1:7">
      <c r="A1826">
        <v>1830</v>
      </c>
      <c r="B1826" t="s">
        <v>2982</v>
      </c>
      <c r="C1826" t="s">
        <v>2983</v>
      </c>
      <c r="E1826">
        <v>0.01</v>
      </c>
      <c r="F1826" t="s">
        <v>546</v>
      </c>
      <c r="G1826" s="174">
        <v>45576.460914351854</v>
      </c>
    </row>
    <row r="1827" spans="1:7">
      <c r="A1827">
        <v>1831</v>
      </c>
      <c r="B1827" t="s">
        <v>2982</v>
      </c>
      <c r="C1827" t="s">
        <v>2984</v>
      </c>
      <c r="E1827">
        <v>0.01</v>
      </c>
      <c r="F1827" t="s">
        <v>546</v>
      </c>
      <c r="G1827" s="174">
        <v>45576.460914351854</v>
      </c>
    </row>
    <row r="1828" spans="1:7">
      <c r="A1828">
        <v>1832</v>
      </c>
      <c r="B1828" t="s">
        <v>2982</v>
      </c>
      <c r="C1828" t="s">
        <v>2985</v>
      </c>
      <c r="E1828">
        <v>0.06</v>
      </c>
      <c r="F1828" t="s">
        <v>546</v>
      </c>
      <c r="G1828" s="174">
        <v>45576.460914351854</v>
      </c>
    </row>
    <row r="1829" spans="1:7">
      <c r="A1829">
        <v>1833</v>
      </c>
      <c r="B1829" t="s">
        <v>628</v>
      </c>
      <c r="C1829" t="s">
        <v>2986</v>
      </c>
      <c r="E1829">
        <v>0.01</v>
      </c>
      <c r="F1829" t="s">
        <v>546</v>
      </c>
      <c r="G1829" s="174">
        <v>45576.460914351854</v>
      </c>
    </row>
    <row r="1830" spans="1:7">
      <c r="A1830">
        <v>1834</v>
      </c>
      <c r="B1830" t="s">
        <v>2987</v>
      </c>
      <c r="C1830" t="s">
        <v>2831</v>
      </c>
      <c r="E1830">
        <v>0.1</v>
      </c>
      <c r="F1830" t="s">
        <v>546</v>
      </c>
      <c r="G1830" s="174">
        <v>45576.460914351854</v>
      </c>
    </row>
    <row r="1831" spans="1:7">
      <c r="A1831">
        <v>1835</v>
      </c>
      <c r="B1831" t="s">
        <v>2988</v>
      </c>
      <c r="C1831" t="s">
        <v>2860</v>
      </c>
      <c r="E1831">
        <v>0.1</v>
      </c>
      <c r="F1831" t="s">
        <v>546</v>
      </c>
      <c r="G1831" s="174">
        <v>45576.460914351854</v>
      </c>
    </row>
    <row r="1832" spans="1:7">
      <c r="A1832">
        <v>1836</v>
      </c>
      <c r="B1832" t="s">
        <v>2989</v>
      </c>
      <c r="C1832" t="s">
        <v>2771</v>
      </c>
      <c r="E1832">
        <v>0.1</v>
      </c>
      <c r="F1832" t="s">
        <v>546</v>
      </c>
      <c r="G1832" s="174">
        <v>45576.460914351854</v>
      </c>
    </row>
    <row r="1833" spans="1:7">
      <c r="A1833">
        <v>1837</v>
      </c>
      <c r="B1833" t="s">
        <v>2990</v>
      </c>
      <c r="C1833" t="s">
        <v>2991</v>
      </c>
      <c r="E1833">
        <v>0.01</v>
      </c>
      <c r="F1833" t="s">
        <v>546</v>
      </c>
      <c r="G1833" s="174">
        <v>45576.460914351854</v>
      </c>
    </row>
    <row r="1834" spans="1:7">
      <c r="A1834">
        <v>1838</v>
      </c>
      <c r="B1834" t="s">
        <v>2990</v>
      </c>
      <c r="C1834" t="s">
        <v>2992</v>
      </c>
      <c r="E1834">
        <v>0.01</v>
      </c>
      <c r="F1834" t="s">
        <v>546</v>
      </c>
      <c r="G1834" s="174">
        <v>45576.460914351854</v>
      </c>
    </row>
    <row r="1835" spans="1:7">
      <c r="A1835">
        <v>1839</v>
      </c>
      <c r="B1835" t="s">
        <v>2993</v>
      </c>
      <c r="C1835" t="s">
        <v>2994</v>
      </c>
      <c r="E1835">
        <v>0.01</v>
      </c>
      <c r="F1835" t="s">
        <v>546</v>
      </c>
      <c r="G1835" s="174">
        <v>45576.460914351854</v>
      </c>
    </row>
    <row r="1836" spans="1:7">
      <c r="A1836">
        <v>1840</v>
      </c>
      <c r="B1836" t="s">
        <v>2995</v>
      </c>
      <c r="C1836" t="s">
        <v>2996</v>
      </c>
      <c r="E1836">
        <v>0.1</v>
      </c>
      <c r="F1836" t="s">
        <v>546</v>
      </c>
      <c r="G1836" s="174">
        <v>45576.460914351854</v>
      </c>
    </row>
    <row r="1837" spans="1:7">
      <c r="A1837">
        <v>1841</v>
      </c>
      <c r="B1837" t="s">
        <v>2995</v>
      </c>
      <c r="C1837" t="s">
        <v>2997</v>
      </c>
      <c r="E1837">
        <v>0.05</v>
      </c>
      <c r="F1837" t="s">
        <v>546</v>
      </c>
      <c r="G1837" s="174">
        <v>45576.460914351854</v>
      </c>
    </row>
    <row r="1838" spans="1:7">
      <c r="A1838">
        <v>1842</v>
      </c>
      <c r="B1838" t="s">
        <v>2998</v>
      </c>
      <c r="C1838" t="s">
        <v>2999</v>
      </c>
      <c r="E1838">
        <v>0.01</v>
      </c>
      <c r="F1838" t="s">
        <v>546</v>
      </c>
      <c r="G1838" s="174">
        <v>45576.460914351854</v>
      </c>
    </row>
    <row r="1839" spans="1:7">
      <c r="A1839">
        <v>1843</v>
      </c>
      <c r="B1839" t="s">
        <v>2998</v>
      </c>
      <c r="C1839" t="s">
        <v>3000</v>
      </c>
      <c r="E1839">
        <v>0.8</v>
      </c>
      <c r="F1839" t="s">
        <v>546</v>
      </c>
      <c r="G1839" s="174">
        <v>45576.460914351854</v>
      </c>
    </row>
    <row r="1840" spans="1:7">
      <c r="A1840">
        <v>1844</v>
      </c>
      <c r="B1840" t="s">
        <v>3001</v>
      </c>
      <c r="C1840" t="s">
        <v>3002</v>
      </c>
      <c r="E1840">
        <v>0.1</v>
      </c>
      <c r="F1840" t="s">
        <v>546</v>
      </c>
      <c r="G1840" s="174">
        <v>45576.460914351854</v>
      </c>
    </row>
    <row r="1841" spans="1:7">
      <c r="A1841">
        <v>1845</v>
      </c>
      <c r="B1841" t="s">
        <v>3001</v>
      </c>
      <c r="C1841" t="s">
        <v>3003</v>
      </c>
      <c r="E1841">
        <v>10</v>
      </c>
      <c r="F1841" s="175">
        <v>0.05</v>
      </c>
      <c r="G1841" s="174">
        <v>45576.460914351854</v>
      </c>
    </row>
    <row r="1842" spans="1:7">
      <c r="A1842">
        <v>1846</v>
      </c>
      <c r="B1842" t="s">
        <v>644</v>
      </c>
      <c r="C1842" t="s">
        <v>3004</v>
      </c>
      <c r="E1842">
        <v>0.01</v>
      </c>
      <c r="F1842" t="s">
        <v>546</v>
      </c>
      <c r="G1842" s="174">
        <v>45576.460914351854</v>
      </c>
    </row>
    <row r="1843" spans="1:7">
      <c r="A1843">
        <v>1847</v>
      </c>
      <c r="B1843" t="s">
        <v>646</v>
      </c>
      <c r="C1843" t="s">
        <v>3005</v>
      </c>
      <c r="E1843">
        <v>0.01</v>
      </c>
      <c r="F1843" t="s">
        <v>546</v>
      </c>
      <c r="G1843" s="174">
        <v>45576.460914351854</v>
      </c>
    </row>
    <row r="1844" spans="1:7">
      <c r="A1844">
        <v>1848</v>
      </c>
      <c r="B1844" t="s">
        <v>3006</v>
      </c>
      <c r="C1844" t="s">
        <v>3007</v>
      </c>
      <c r="E1844">
        <v>0.1</v>
      </c>
      <c r="F1844" t="s">
        <v>546</v>
      </c>
      <c r="G1844" s="174">
        <v>45576.460914351854</v>
      </c>
    </row>
    <row r="1845" spans="1:7">
      <c r="A1845">
        <v>1849</v>
      </c>
      <c r="B1845" t="s">
        <v>3006</v>
      </c>
      <c r="C1845" t="s">
        <v>3008</v>
      </c>
      <c r="E1845">
        <v>0.05</v>
      </c>
      <c r="F1845" t="s">
        <v>546</v>
      </c>
      <c r="G1845" s="174">
        <v>45576.460914351854</v>
      </c>
    </row>
    <row r="1846" spans="1:7">
      <c r="A1846">
        <v>1850</v>
      </c>
      <c r="B1846" t="s">
        <v>3009</v>
      </c>
      <c r="C1846" t="s">
        <v>3010</v>
      </c>
      <c r="E1846">
        <v>0.01</v>
      </c>
      <c r="F1846" t="s">
        <v>546</v>
      </c>
      <c r="G1846" s="174">
        <v>45576.460914351854</v>
      </c>
    </row>
    <row r="1847" spans="1:7">
      <c r="A1847">
        <v>1851</v>
      </c>
      <c r="B1847" t="s">
        <v>3011</v>
      </c>
      <c r="C1847" t="s">
        <v>3012</v>
      </c>
      <c r="E1847">
        <v>0.1</v>
      </c>
      <c r="F1847" t="s">
        <v>546</v>
      </c>
      <c r="G1847" s="174">
        <v>45576.460914351854</v>
      </c>
    </row>
    <row r="1848" spans="1:7">
      <c r="A1848">
        <v>1852</v>
      </c>
      <c r="B1848" t="s">
        <v>3013</v>
      </c>
      <c r="C1848" t="s">
        <v>3014</v>
      </c>
      <c r="E1848">
        <v>0.01</v>
      </c>
      <c r="F1848" t="s">
        <v>546</v>
      </c>
      <c r="G1848" s="174">
        <v>45576.460914351854</v>
      </c>
    </row>
    <row r="1849" spans="1:7">
      <c r="A1849">
        <v>1853</v>
      </c>
      <c r="B1849" t="s">
        <v>3015</v>
      </c>
      <c r="C1849" t="s">
        <v>3016</v>
      </c>
      <c r="E1849">
        <v>1</v>
      </c>
      <c r="F1849" t="s">
        <v>546</v>
      </c>
      <c r="G1849" s="174">
        <v>45576.460914351854</v>
      </c>
    </row>
    <row r="1850" spans="1:7">
      <c r="A1850">
        <v>1854</v>
      </c>
      <c r="B1850" t="s">
        <v>3015</v>
      </c>
      <c r="C1850" t="s">
        <v>2744</v>
      </c>
      <c r="E1850">
        <v>0.5</v>
      </c>
      <c r="F1850" t="s">
        <v>546</v>
      </c>
      <c r="G1850" s="174">
        <v>45576.460914351854</v>
      </c>
    </row>
    <row r="1851" spans="1:7">
      <c r="A1851">
        <v>1855</v>
      </c>
      <c r="B1851" t="s">
        <v>3017</v>
      </c>
      <c r="C1851" t="s">
        <v>3018</v>
      </c>
      <c r="E1851">
        <v>0.6</v>
      </c>
      <c r="F1851" t="s">
        <v>546</v>
      </c>
      <c r="G1851" s="174">
        <v>45576.460914351854</v>
      </c>
    </row>
    <row r="1852" spans="1:7">
      <c r="A1852">
        <v>1856</v>
      </c>
      <c r="B1852" t="s">
        <v>3017</v>
      </c>
      <c r="C1852" t="s">
        <v>3019</v>
      </c>
      <c r="E1852">
        <v>0.8</v>
      </c>
      <c r="F1852" t="s">
        <v>546</v>
      </c>
      <c r="G1852" s="174">
        <v>45576.460914351854</v>
      </c>
    </row>
    <row r="1853" spans="1:7">
      <c r="A1853">
        <v>1857</v>
      </c>
      <c r="B1853" t="s">
        <v>650</v>
      </c>
      <c r="C1853" t="s">
        <v>3020</v>
      </c>
      <c r="E1853">
        <v>0.01</v>
      </c>
      <c r="F1853" t="s">
        <v>546</v>
      </c>
      <c r="G1853" s="174">
        <v>45576.460914351854</v>
      </c>
    </row>
    <row r="1854" spans="1:7">
      <c r="A1854">
        <v>1858</v>
      </c>
      <c r="B1854" t="s">
        <v>3021</v>
      </c>
      <c r="C1854" t="s">
        <v>2833</v>
      </c>
      <c r="E1854">
        <v>0.1</v>
      </c>
      <c r="F1854" t="s">
        <v>546</v>
      </c>
      <c r="G1854" s="174">
        <v>45576.460914351854</v>
      </c>
    </row>
    <row r="1855" spans="1:7">
      <c r="A1855">
        <v>1859</v>
      </c>
      <c r="B1855" t="s">
        <v>3022</v>
      </c>
      <c r="C1855" t="s">
        <v>3023</v>
      </c>
      <c r="E1855">
        <v>0.8</v>
      </c>
      <c r="F1855" t="s">
        <v>546</v>
      </c>
      <c r="G1855" s="174">
        <v>45576.460914351854</v>
      </c>
    </row>
    <row r="1856" spans="1:7">
      <c r="A1856">
        <v>1860</v>
      </c>
      <c r="B1856" t="s">
        <v>654</v>
      </c>
      <c r="C1856" t="s">
        <v>3024</v>
      </c>
      <c r="E1856">
        <v>0.01</v>
      </c>
      <c r="F1856" t="s">
        <v>546</v>
      </c>
      <c r="G1856" s="174">
        <v>45576.460914351854</v>
      </c>
    </row>
    <row r="1857" spans="1:7">
      <c r="A1857">
        <v>1861</v>
      </c>
      <c r="B1857" t="s">
        <v>656</v>
      </c>
      <c r="C1857" t="s">
        <v>2832</v>
      </c>
      <c r="E1857">
        <v>0.05</v>
      </c>
      <c r="F1857" t="s">
        <v>546</v>
      </c>
      <c r="G1857" s="174">
        <v>45576.460914351854</v>
      </c>
    </row>
    <row r="1858" spans="1:7">
      <c r="A1858">
        <v>1862</v>
      </c>
      <c r="B1858" t="s">
        <v>3025</v>
      </c>
      <c r="C1858" t="s">
        <v>2823</v>
      </c>
      <c r="E1858">
        <v>0.01</v>
      </c>
      <c r="F1858" t="s">
        <v>546</v>
      </c>
      <c r="G1858" s="174">
        <v>45576.460914351854</v>
      </c>
    </row>
    <row r="1859" spans="1:7">
      <c r="A1859">
        <v>1863</v>
      </c>
      <c r="B1859" t="s">
        <v>3026</v>
      </c>
      <c r="C1859" t="s">
        <v>2779</v>
      </c>
      <c r="E1859">
        <v>0.01</v>
      </c>
      <c r="F1859" t="s">
        <v>546</v>
      </c>
      <c r="G1859" s="174">
        <v>45576.460914351854</v>
      </c>
    </row>
    <row r="1860" spans="1:7">
      <c r="A1860">
        <v>1864</v>
      </c>
      <c r="B1860" t="s">
        <v>3026</v>
      </c>
      <c r="C1860" t="s">
        <v>3027</v>
      </c>
      <c r="E1860">
        <v>0.01</v>
      </c>
      <c r="F1860" t="s">
        <v>546</v>
      </c>
      <c r="G1860" s="174">
        <v>45576.460914351854</v>
      </c>
    </row>
    <row r="1861" spans="1:7">
      <c r="A1861">
        <v>1865</v>
      </c>
      <c r="B1861" t="s">
        <v>3028</v>
      </c>
      <c r="C1861" t="s">
        <v>3029</v>
      </c>
      <c r="E1861">
        <v>0.8</v>
      </c>
      <c r="F1861" t="s">
        <v>546</v>
      </c>
      <c r="G1861" s="174">
        <v>45576.460914351854</v>
      </c>
    </row>
    <row r="1862" spans="1:7">
      <c r="A1862">
        <v>1866</v>
      </c>
      <c r="B1862" t="s">
        <v>3028</v>
      </c>
      <c r="C1862" t="s">
        <v>2877</v>
      </c>
      <c r="E1862">
        <v>0.6</v>
      </c>
      <c r="F1862" t="s">
        <v>546</v>
      </c>
      <c r="G1862" s="174">
        <v>45576.460914351854</v>
      </c>
    </row>
    <row r="1863" spans="1:7">
      <c r="A1863">
        <v>1867</v>
      </c>
      <c r="B1863" t="s">
        <v>3030</v>
      </c>
      <c r="C1863" t="s">
        <v>3031</v>
      </c>
      <c r="E1863">
        <v>0.1</v>
      </c>
      <c r="F1863" t="s">
        <v>546</v>
      </c>
      <c r="G1863" s="174">
        <v>45576.460914351854</v>
      </c>
    </row>
    <row r="1864" spans="1:7">
      <c r="A1864">
        <v>1868</v>
      </c>
      <c r="B1864" t="s">
        <v>3032</v>
      </c>
      <c r="C1864" t="s">
        <v>3033</v>
      </c>
      <c r="E1864">
        <v>0.01</v>
      </c>
      <c r="F1864" t="s">
        <v>546</v>
      </c>
      <c r="G1864" s="174">
        <v>45576.460914351854</v>
      </c>
    </row>
    <row r="1865" spans="1:7">
      <c r="A1865">
        <v>1869</v>
      </c>
      <c r="B1865" t="s">
        <v>3034</v>
      </c>
      <c r="C1865" t="s">
        <v>2812</v>
      </c>
      <c r="E1865">
        <v>0.01</v>
      </c>
      <c r="F1865" t="s">
        <v>546</v>
      </c>
      <c r="G1865" s="174">
        <v>45576.460914351854</v>
      </c>
    </row>
    <row r="1866" spans="1:7">
      <c r="A1866">
        <v>1870</v>
      </c>
      <c r="B1866" t="s">
        <v>662</v>
      </c>
      <c r="C1866" t="s">
        <v>3035</v>
      </c>
      <c r="E1866">
        <v>0.01</v>
      </c>
      <c r="F1866" t="s">
        <v>546</v>
      </c>
      <c r="G1866" s="174">
        <v>45576.460914351854</v>
      </c>
    </row>
    <row r="1867" spans="1:7">
      <c r="A1867">
        <v>1871</v>
      </c>
      <c r="B1867" t="s">
        <v>3036</v>
      </c>
      <c r="C1867" t="s">
        <v>2906</v>
      </c>
      <c r="E1867">
        <v>0.8</v>
      </c>
      <c r="F1867" t="s">
        <v>546</v>
      </c>
      <c r="G1867" s="174">
        <v>45576.460914351854</v>
      </c>
    </row>
    <row r="1868" spans="1:7">
      <c r="A1868">
        <v>1872</v>
      </c>
      <c r="B1868" t="s">
        <v>3037</v>
      </c>
      <c r="C1868" t="s">
        <v>2853</v>
      </c>
      <c r="E1868">
        <v>0.8</v>
      </c>
      <c r="F1868" t="s">
        <v>546</v>
      </c>
      <c r="G1868" s="174">
        <v>45576.460914351854</v>
      </c>
    </row>
    <row r="1869" spans="1:7">
      <c r="A1869">
        <v>1873</v>
      </c>
      <c r="B1869" t="s">
        <v>663</v>
      </c>
      <c r="C1869" t="s">
        <v>3038</v>
      </c>
      <c r="E1869">
        <v>0.01</v>
      </c>
      <c r="F1869" t="s">
        <v>546</v>
      </c>
      <c r="G1869" s="174">
        <v>45576.460914351854</v>
      </c>
    </row>
    <row r="1870" spans="1:7">
      <c r="A1870">
        <v>1874</v>
      </c>
      <c r="B1870" t="s">
        <v>3039</v>
      </c>
      <c r="C1870" t="s">
        <v>3040</v>
      </c>
      <c r="E1870">
        <v>0.1</v>
      </c>
      <c r="F1870" t="s">
        <v>546</v>
      </c>
      <c r="G1870" s="174">
        <v>45576.460914351854</v>
      </c>
    </row>
    <row r="1871" spans="1:7">
      <c r="A1871">
        <v>1875</v>
      </c>
      <c r="B1871" t="s">
        <v>3041</v>
      </c>
      <c r="C1871" t="s">
        <v>3042</v>
      </c>
      <c r="E1871">
        <v>0.01</v>
      </c>
      <c r="F1871" t="s">
        <v>546</v>
      </c>
      <c r="G1871" s="174">
        <v>45576.460914351854</v>
      </c>
    </row>
    <row r="1872" spans="1:7">
      <c r="A1872">
        <v>1876</v>
      </c>
      <c r="B1872" t="s">
        <v>3041</v>
      </c>
      <c r="C1872" t="s">
        <v>2952</v>
      </c>
      <c r="E1872">
        <v>0.01</v>
      </c>
      <c r="F1872" t="s">
        <v>546</v>
      </c>
      <c r="G1872" s="174">
        <v>45576.460914351854</v>
      </c>
    </row>
    <row r="1873" spans="1:7">
      <c r="A1873">
        <v>1877</v>
      </c>
      <c r="B1873" t="s">
        <v>667</v>
      </c>
      <c r="C1873" t="s">
        <v>3043</v>
      </c>
      <c r="E1873">
        <v>0.01</v>
      </c>
      <c r="F1873" t="s">
        <v>546</v>
      </c>
      <c r="G1873" s="174">
        <v>45576.460914351854</v>
      </c>
    </row>
    <row r="1874" spans="1:7">
      <c r="A1874">
        <v>1878</v>
      </c>
      <c r="B1874" t="s">
        <v>3044</v>
      </c>
      <c r="C1874" t="s">
        <v>3045</v>
      </c>
      <c r="E1874">
        <v>0.01</v>
      </c>
      <c r="F1874" t="s">
        <v>546</v>
      </c>
      <c r="G1874" s="174">
        <v>45576.460914351854</v>
      </c>
    </row>
    <row r="1875" spans="1:7">
      <c r="A1875">
        <v>1879</v>
      </c>
      <c r="B1875" t="s">
        <v>3046</v>
      </c>
      <c r="C1875" t="s">
        <v>3047</v>
      </c>
      <c r="E1875">
        <v>0.01</v>
      </c>
      <c r="F1875" t="s">
        <v>546</v>
      </c>
      <c r="G1875" s="174">
        <v>45576.460914351854</v>
      </c>
    </row>
    <row r="1876" spans="1:7">
      <c r="A1876">
        <v>1880</v>
      </c>
      <c r="B1876" t="s">
        <v>673</v>
      </c>
      <c r="C1876" t="s">
        <v>2846</v>
      </c>
      <c r="E1876">
        <v>0.8</v>
      </c>
      <c r="F1876" t="s">
        <v>546</v>
      </c>
      <c r="G1876" s="174">
        <v>45576.460914351854</v>
      </c>
    </row>
    <row r="1877" spans="1:7">
      <c r="A1877">
        <v>1881</v>
      </c>
      <c r="B1877" t="s">
        <v>674</v>
      </c>
      <c r="C1877" t="s">
        <v>3048</v>
      </c>
      <c r="E1877">
        <v>0.01</v>
      </c>
      <c r="F1877" t="s">
        <v>546</v>
      </c>
      <c r="G1877" s="174">
        <v>45576.460914351854</v>
      </c>
    </row>
    <row r="1878" spans="1:7">
      <c r="A1878">
        <v>1882</v>
      </c>
      <c r="B1878" t="s">
        <v>3049</v>
      </c>
      <c r="C1878" t="s">
        <v>3050</v>
      </c>
      <c r="E1878">
        <v>0.01</v>
      </c>
      <c r="F1878" t="s">
        <v>546</v>
      </c>
      <c r="G1878" s="174">
        <v>45576.460914351854</v>
      </c>
    </row>
    <row r="1879" spans="1:7">
      <c r="A1879">
        <v>1883</v>
      </c>
      <c r="B1879" t="s">
        <v>678</v>
      </c>
      <c r="C1879" t="s">
        <v>2775</v>
      </c>
      <c r="E1879">
        <v>0.8</v>
      </c>
      <c r="F1879" t="s">
        <v>546</v>
      </c>
      <c r="G1879" s="174">
        <v>45576.460914351854</v>
      </c>
    </row>
    <row r="1880" spans="1:7">
      <c r="A1880">
        <v>1884</v>
      </c>
      <c r="B1880" t="s">
        <v>3051</v>
      </c>
      <c r="C1880" t="s">
        <v>3052</v>
      </c>
      <c r="E1880">
        <v>0.01</v>
      </c>
      <c r="F1880" t="s">
        <v>546</v>
      </c>
      <c r="G1880" s="174">
        <v>45576.460914351854</v>
      </c>
    </row>
    <row r="1881" spans="1:7">
      <c r="A1881">
        <v>1885</v>
      </c>
      <c r="B1881" t="s">
        <v>3053</v>
      </c>
      <c r="C1881" t="s">
        <v>3054</v>
      </c>
      <c r="E1881">
        <v>0.1</v>
      </c>
      <c r="F1881" t="s">
        <v>546</v>
      </c>
      <c r="G1881" s="174">
        <v>45576.460914351854</v>
      </c>
    </row>
    <row r="1882" spans="1:7">
      <c r="A1882">
        <v>1886</v>
      </c>
      <c r="B1882" t="s">
        <v>3053</v>
      </c>
      <c r="C1882" t="s">
        <v>3055</v>
      </c>
      <c r="E1882">
        <v>0.05</v>
      </c>
      <c r="F1882" t="s">
        <v>546</v>
      </c>
      <c r="G1882" s="174">
        <v>45576.460914351854</v>
      </c>
    </row>
    <row r="1883" spans="1:7">
      <c r="A1883">
        <v>1888</v>
      </c>
      <c r="B1883" t="s">
        <v>3056</v>
      </c>
      <c r="C1883" t="s">
        <v>3057</v>
      </c>
      <c r="E1883">
        <v>0.4</v>
      </c>
      <c r="F1883" t="s">
        <v>1890</v>
      </c>
      <c r="G1883" s="174">
        <v>45576.460914351854</v>
      </c>
    </row>
    <row r="1884" spans="1:7">
      <c r="A1884">
        <v>1889</v>
      </c>
      <c r="B1884" t="s">
        <v>3056</v>
      </c>
      <c r="C1884" t="s">
        <v>3058</v>
      </c>
      <c r="E1884">
        <v>0.6</v>
      </c>
      <c r="F1884" t="s">
        <v>546</v>
      </c>
      <c r="G1884" s="174">
        <v>45576.460914351854</v>
      </c>
    </row>
    <row r="1885" spans="1:7">
      <c r="A1885">
        <v>1890</v>
      </c>
      <c r="B1885" t="s">
        <v>3056</v>
      </c>
      <c r="C1885" t="s">
        <v>3059</v>
      </c>
      <c r="E1885">
        <v>0.8</v>
      </c>
      <c r="F1885" t="s">
        <v>546</v>
      </c>
      <c r="G1885" s="174">
        <v>45576.460914351854</v>
      </c>
    </row>
    <row r="1886" spans="1:7">
      <c r="A1886">
        <v>1891</v>
      </c>
      <c r="B1886" t="s">
        <v>3056</v>
      </c>
      <c r="C1886" t="s">
        <v>3060</v>
      </c>
      <c r="E1886">
        <v>0.7</v>
      </c>
      <c r="F1886" t="s">
        <v>546</v>
      </c>
      <c r="G1886" s="174">
        <v>45576.460914351854</v>
      </c>
    </row>
    <row r="1887" spans="1:7">
      <c r="A1887">
        <v>1892</v>
      </c>
      <c r="B1887" t="s">
        <v>3061</v>
      </c>
      <c r="C1887" t="s">
        <v>3062</v>
      </c>
      <c r="E1887">
        <v>0.1</v>
      </c>
      <c r="F1887" t="s">
        <v>546</v>
      </c>
      <c r="G1887" s="174">
        <v>45576.460914351854</v>
      </c>
    </row>
    <row r="1888" spans="1:7">
      <c r="A1888">
        <v>1893</v>
      </c>
      <c r="B1888" t="s">
        <v>3063</v>
      </c>
      <c r="C1888" t="s">
        <v>3064</v>
      </c>
      <c r="E1888">
        <v>0.1</v>
      </c>
      <c r="F1888" t="s">
        <v>546</v>
      </c>
      <c r="G1888" s="174">
        <v>45576.460914351854</v>
      </c>
    </row>
    <row r="1889" spans="1:7">
      <c r="A1889">
        <v>1894</v>
      </c>
      <c r="B1889" t="s">
        <v>3065</v>
      </c>
      <c r="C1889" t="s">
        <v>2906</v>
      </c>
      <c r="E1889">
        <v>0.1</v>
      </c>
      <c r="F1889" t="s">
        <v>546</v>
      </c>
      <c r="G1889" s="174">
        <v>45576.460914351854</v>
      </c>
    </row>
    <row r="1890" spans="1:7">
      <c r="A1890">
        <v>1895</v>
      </c>
      <c r="B1890" t="s">
        <v>3066</v>
      </c>
      <c r="C1890" t="s">
        <v>3067</v>
      </c>
      <c r="E1890">
        <v>0.01</v>
      </c>
      <c r="F1890" t="s">
        <v>546</v>
      </c>
      <c r="G1890" s="174">
        <v>45576.460914351854</v>
      </c>
    </row>
    <row r="1891" spans="1:7">
      <c r="A1891">
        <v>1896</v>
      </c>
      <c r="B1891" t="s">
        <v>3068</v>
      </c>
      <c r="C1891" t="s">
        <v>3069</v>
      </c>
      <c r="E1891">
        <v>0.01</v>
      </c>
      <c r="F1891" t="s">
        <v>546</v>
      </c>
      <c r="G1891" s="174">
        <v>45576.460914351854</v>
      </c>
    </row>
    <row r="1892" spans="1:7">
      <c r="A1892">
        <v>1897</v>
      </c>
      <c r="B1892" t="s">
        <v>3070</v>
      </c>
      <c r="C1892" t="s">
        <v>2831</v>
      </c>
      <c r="E1892">
        <v>0.1</v>
      </c>
      <c r="F1892" t="s">
        <v>546</v>
      </c>
      <c r="G1892" s="174">
        <v>45576.460914351854</v>
      </c>
    </row>
    <row r="1893" spans="1:7">
      <c r="A1893">
        <v>1898</v>
      </c>
      <c r="B1893" t="s">
        <v>689</v>
      </c>
      <c r="C1893" t="s">
        <v>3071</v>
      </c>
      <c r="E1893">
        <v>0.1</v>
      </c>
      <c r="F1893" t="s">
        <v>546</v>
      </c>
      <c r="G1893" s="174">
        <v>45576.460914351854</v>
      </c>
    </row>
    <row r="1894" spans="1:7">
      <c r="A1894">
        <v>1899</v>
      </c>
      <c r="B1894" t="s">
        <v>3072</v>
      </c>
      <c r="C1894" t="s">
        <v>2751</v>
      </c>
      <c r="E1894">
        <v>0.01</v>
      </c>
      <c r="F1894" t="s">
        <v>546</v>
      </c>
      <c r="G1894" s="174">
        <v>45576.460914351854</v>
      </c>
    </row>
    <row r="1895" spans="1:7">
      <c r="A1895">
        <v>1900</v>
      </c>
      <c r="B1895" t="s">
        <v>3073</v>
      </c>
      <c r="C1895" t="s">
        <v>3074</v>
      </c>
      <c r="E1895">
        <v>0.01</v>
      </c>
      <c r="F1895" t="s">
        <v>546</v>
      </c>
      <c r="G1895" s="174">
        <v>45576.460914351854</v>
      </c>
    </row>
    <row r="1896" spans="1:7">
      <c r="A1896">
        <v>1901</v>
      </c>
      <c r="B1896" t="s">
        <v>3073</v>
      </c>
      <c r="C1896" t="s">
        <v>3075</v>
      </c>
      <c r="E1896">
        <v>0.01</v>
      </c>
      <c r="F1896" t="s">
        <v>546</v>
      </c>
      <c r="G1896" s="174">
        <v>45576.460914351854</v>
      </c>
    </row>
    <row r="1897" spans="1:7">
      <c r="A1897">
        <v>1902</v>
      </c>
      <c r="B1897" t="s">
        <v>3073</v>
      </c>
      <c r="C1897" t="s">
        <v>3076</v>
      </c>
      <c r="E1897">
        <v>0.1</v>
      </c>
      <c r="F1897" t="s">
        <v>546</v>
      </c>
      <c r="G1897" s="174">
        <v>45576.460914351854</v>
      </c>
    </row>
    <row r="1898" spans="1:7">
      <c r="A1898">
        <v>1903</v>
      </c>
      <c r="B1898" t="s">
        <v>3077</v>
      </c>
      <c r="C1898" t="s">
        <v>2952</v>
      </c>
      <c r="E1898">
        <v>0.01</v>
      </c>
      <c r="F1898" t="s">
        <v>546</v>
      </c>
      <c r="G1898" s="174">
        <v>45576.460914351854</v>
      </c>
    </row>
    <row r="1899" spans="1:7">
      <c r="A1899">
        <v>1904</v>
      </c>
      <c r="B1899" t="s">
        <v>694</v>
      </c>
      <c r="C1899" t="s">
        <v>3078</v>
      </c>
      <c r="E1899">
        <v>0.1</v>
      </c>
      <c r="F1899" t="s">
        <v>546</v>
      </c>
      <c r="G1899" s="174">
        <v>45576.460914351854</v>
      </c>
    </row>
    <row r="1900" spans="1:7">
      <c r="A1900">
        <v>1905</v>
      </c>
      <c r="B1900" t="s">
        <v>3079</v>
      </c>
      <c r="C1900" t="s">
        <v>2777</v>
      </c>
      <c r="E1900">
        <v>0.1</v>
      </c>
      <c r="F1900" t="s">
        <v>546</v>
      </c>
      <c r="G1900" s="174">
        <v>45576.460914351854</v>
      </c>
    </row>
    <row r="1901" spans="1:7">
      <c r="A1901">
        <v>1906</v>
      </c>
      <c r="B1901" t="s">
        <v>697</v>
      </c>
      <c r="C1901" t="s">
        <v>2840</v>
      </c>
      <c r="E1901">
        <v>0.6</v>
      </c>
      <c r="F1901" t="s">
        <v>546</v>
      </c>
      <c r="G1901" s="174">
        <v>45576.460914351854</v>
      </c>
    </row>
    <row r="1902" spans="1:7">
      <c r="A1902">
        <v>1907</v>
      </c>
      <c r="B1902" t="s">
        <v>697</v>
      </c>
      <c r="C1902" t="s">
        <v>3080</v>
      </c>
      <c r="E1902">
        <v>0.01</v>
      </c>
      <c r="F1902" t="s">
        <v>546</v>
      </c>
      <c r="G1902" s="174">
        <v>45576.460914351854</v>
      </c>
    </row>
    <row r="1903" spans="1:7">
      <c r="A1903">
        <v>1908</v>
      </c>
      <c r="B1903" t="s">
        <v>3081</v>
      </c>
      <c r="C1903" t="s">
        <v>2893</v>
      </c>
      <c r="E1903">
        <v>0.01</v>
      </c>
      <c r="F1903" t="s">
        <v>546</v>
      </c>
      <c r="G1903" s="174">
        <v>45576.460914351854</v>
      </c>
    </row>
    <row r="1904" spans="1:7">
      <c r="A1904">
        <v>1909</v>
      </c>
      <c r="B1904" t="s">
        <v>3082</v>
      </c>
      <c r="C1904" t="s">
        <v>2744</v>
      </c>
      <c r="E1904">
        <v>0.6</v>
      </c>
      <c r="F1904" t="s">
        <v>546</v>
      </c>
      <c r="G1904" s="174">
        <v>45576.460914351854</v>
      </c>
    </row>
    <row r="1905" spans="1:7">
      <c r="A1905">
        <v>1910</v>
      </c>
      <c r="B1905" t="s">
        <v>3082</v>
      </c>
      <c r="C1905" t="s">
        <v>3083</v>
      </c>
      <c r="E1905">
        <v>0.05</v>
      </c>
      <c r="F1905" t="s">
        <v>546</v>
      </c>
      <c r="G1905" s="174">
        <v>45576.460914351854</v>
      </c>
    </row>
    <row r="1906" spans="1:7">
      <c r="A1906">
        <v>1911</v>
      </c>
      <c r="B1906" t="s">
        <v>3084</v>
      </c>
      <c r="C1906" t="s">
        <v>3085</v>
      </c>
      <c r="E1906">
        <v>0.01</v>
      </c>
      <c r="F1906" t="s">
        <v>546</v>
      </c>
      <c r="G1906" s="174">
        <v>45576.460914351854</v>
      </c>
    </row>
    <row r="1907" spans="1:7">
      <c r="A1907">
        <v>1912</v>
      </c>
      <c r="B1907" t="s">
        <v>3084</v>
      </c>
      <c r="C1907" t="s">
        <v>2917</v>
      </c>
      <c r="E1907">
        <v>0.01</v>
      </c>
      <c r="F1907" t="s">
        <v>546</v>
      </c>
      <c r="G1907" s="174">
        <v>45576.460914351854</v>
      </c>
    </row>
    <row r="1908" spans="1:7">
      <c r="A1908">
        <v>1913</v>
      </c>
      <c r="B1908" t="s">
        <v>3086</v>
      </c>
      <c r="C1908" t="s">
        <v>3087</v>
      </c>
      <c r="E1908">
        <v>0.1</v>
      </c>
      <c r="F1908" t="s">
        <v>546</v>
      </c>
      <c r="G1908" s="174">
        <v>45576.460914351854</v>
      </c>
    </row>
    <row r="1909" spans="1:7">
      <c r="A1909">
        <v>1914</v>
      </c>
      <c r="B1909" t="s">
        <v>3086</v>
      </c>
      <c r="C1909" t="s">
        <v>3088</v>
      </c>
      <c r="E1909">
        <v>0.01</v>
      </c>
      <c r="F1909" t="s">
        <v>546</v>
      </c>
      <c r="G1909" s="174">
        <v>45576.460914351854</v>
      </c>
    </row>
    <row r="1910" spans="1:7">
      <c r="A1910">
        <v>1915</v>
      </c>
      <c r="B1910" t="s">
        <v>3089</v>
      </c>
      <c r="C1910" t="s">
        <v>3090</v>
      </c>
      <c r="E1910">
        <v>0.1</v>
      </c>
      <c r="F1910" t="s">
        <v>546</v>
      </c>
      <c r="G1910" s="174">
        <v>45576.460914351854</v>
      </c>
    </row>
    <row r="1911" spans="1:7">
      <c r="A1911">
        <v>1916</v>
      </c>
      <c r="B1911" t="s">
        <v>3091</v>
      </c>
      <c r="C1911" t="s">
        <v>3092</v>
      </c>
      <c r="E1911">
        <v>0.01</v>
      </c>
      <c r="F1911" t="s">
        <v>546</v>
      </c>
      <c r="G1911" s="174">
        <v>45576.460914351854</v>
      </c>
    </row>
    <row r="1912" spans="1:7">
      <c r="A1912">
        <v>1917</v>
      </c>
      <c r="B1912" t="s">
        <v>3093</v>
      </c>
      <c r="C1912" t="s">
        <v>3094</v>
      </c>
      <c r="E1912">
        <v>0.01</v>
      </c>
      <c r="F1912" t="s">
        <v>546</v>
      </c>
      <c r="G1912" s="174">
        <v>45576.460914351854</v>
      </c>
    </row>
    <row r="1913" spans="1:7">
      <c r="A1913">
        <v>1918</v>
      </c>
      <c r="B1913" t="s">
        <v>3093</v>
      </c>
      <c r="C1913" t="s">
        <v>3095</v>
      </c>
      <c r="E1913">
        <v>0.01</v>
      </c>
      <c r="F1913" t="s">
        <v>546</v>
      </c>
      <c r="G1913" s="174">
        <v>45576.460914351854</v>
      </c>
    </row>
    <row r="1914" spans="1:7">
      <c r="A1914">
        <v>1919</v>
      </c>
      <c r="B1914" t="s">
        <v>3093</v>
      </c>
      <c r="C1914" t="s">
        <v>3096</v>
      </c>
      <c r="E1914">
        <v>0.01</v>
      </c>
      <c r="F1914" t="s">
        <v>546</v>
      </c>
      <c r="G1914" s="174">
        <v>45576.460914351854</v>
      </c>
    </row>
    <row r="1915" spans="1:7">
      <c r="A1915">
        <v>1920</v>
      </c>
      <c r="B1915" t="s">
        <v>3097</v>
      </c>
      <c r="C1915" t="s">
        <v>3098</v>
      </c>
      <c r="E1915">
        <v>0.01</v>
      </c>
      <c r="F1915" t="s">
        <v>546</v>
      </c>
      <c r="G1915" s="174">
        <v>45576.460914351854</v>
      </c>
    </row>
    <row r="1916" spans="1:7">
      <c r="A1916">
        <v>1921</v>
      </c>
      <c r="B1916" t="s">
        <v>3099</v>
      </c>
      <c r="C1916" t="s">
        <v>3100</v>
      </c>
      <c r="E1916">
        <v>0.01</v>
      </c>
      <c r="F1916" t="s">
        <v>546</v>
      </c>
      <c r="G1916" s="174">
        <v>45576.460914351854</v>
      </c>
    </row>
    <row r="1917" spans="1:7">
      <c r="A1917">
        <v>1922</v>
      </c>
      <c r="B1917" t="s">
        <v>3101</v>
      </c>
      <c r="C1917" t="s">
        <v>3102</v>
      </c>
      <c r="E1917">
        <v>0.1</v>
      </c>
      <c r="F1917" t="s">
        <v>546</v>
      </c>
      <c r="G1917" s="174">
        <v>45576.460914351854</v>
      </c>
    </row>
    <row r="1918" spans="1:7">
      <c r="A1918">
        <v>1923</v>
      </c>
      <c r="B1918" t="s">
        <v>3101</v>
      </c>
      <c r="C1918" t="s">
        <v>3103</v>
      </c>
      <c r="E1918">
        <v>0.1</v>
      </c>
      <c r="F1918" t="s">
        <v>546</v>
      </c>
      <c r="G1918" s="174">
        <v>45576.460914351854</v>
      </c>
    </row>
    <row r="1919" spans="1:7">
      <c r="A1919">
        <v>1924</v>
      </c>
      <c r="B1919" t="s">
        <v>3104</v>
      </c>
      <c r="C1919" t="s">
        <v>3105</v>
      </c>
      <c r="E1919">
        <v>0.01</v>
      </c>
      <c r="F1919" t="s">
        <v>546</v>
      </c>
      <c r="G1919" s="174">
        <v>45576.460914351854</v>
      </c>
    </row>
    <row r="1920" spans="1:7">
      <c r="A1920">
        <v>1925</v>
      </c>
      <c r="B1920" t="s">
        <v>3106</v>
      </c>
      <c r="C1920" t="s">
        <v>3107</v>
      </c>
      <c r="E1920">
        <v>0.1</v>
      </c>
      <c r="F1920" t="s">
        <v>546</v>
      </c>
      <c r="G1920" s="174">
        <v>45576.460914351854</v>
      </c>
    </row>
    <row r="1921" spans="1:7">
      <c r="A1921">
        <v>1926</v>
      </c>
      <c r="B1921" t="s">
        <v>3108</v>
      </c>
      <c r="C1921" t="s">
        <v>3109</v>
      </c>
      <c r="E1921">
        <v>0.8</v>
      </c>
      <c r="F1921" t="s">
        <v>546</v>
      </c>
      <c r="G1921" s="174">
        <v>45576.460914351854</v>
      </c>
    </row>
    <row r="1922" spans="1:7">
      <c r="A1922">
        <v>1927</v>
      </c>
      <c r="B1922" t="s">
        <v>705</v>
      </c>
      <c r="C1922" t="s">
        <v>3110</v>
      </c>
      <c r="E1922">
        <v>0.1</v>
      </c>
      <c r="F1922" t="s">
        <v>546</v>
      </c>
      <c r="G1922" s="174">
        <v>45576.460914351854</v>
      </c>
    </row>
    <row r="1923" spans="1:7">
      <c r="A1923">
        <v>1929</v>
      </c>
      <c r="B1923" t="s">
        <v>705</v>
      </c>
      <c r="C1923" t="s">
        <v>3111</v>
      </c>
      <c r="E1923">
        <v>0.1</v>
      </c>
      <c r="F1923" t="s">
        <v>546</v>
      </c>
      <c r="G1923" s="174">
        <v>45576.460914351854</v>
      </c>
    </row>
    <row r="1924" spans="1:7">
      <c r="A1924">
        <v>1930</v>
      </c>
      <c r="B1924" t="s">
        <v>705</v>
      </c>
      <c r="C1924" t="s">
        <v>3112</v>
      </c>
      <c r="E1924">
        <v>0.6</v>
      </c>
      <c r="F1924" t="s">
        <v>3113</v>
      </c>
      <c r="G1924" s="174">
        <v>45576.460914351854</v>
      </c>
    </row>
    <row r="1925" spans="1:7">
      <c r="A1925">
        <v>1931</v>
      </c>
      <c r="B1925" t="s">
        <v>705</v>
      </c>
      <c r="C1925" t="s">
        <v>3114</v>
      </c>
      <c r="E1925">
        <v>0.45</v>
      </c>
      <c r="F1925" t="s">
        <v>3115</v>
      </c>
      <c r="G1925" s="174">
        <v>45576.460914351854</v>
      </c>
    </row>
    <row r="1926" spans="1:7">
      <c r="A1926">
        <v>1932</v>
      </c>
      <c r="B1926" t="s">
        <v>705</v>
      </c>
      <c r="C1926" t="s">
        <v>3116</v>
      </c>
      <c r="E1926">
        <v>0.8</v>
      </c>
      <c r="F1926" t="s">
        <v>546</v>
      </c>
      <c r="G1926" s="174">
        <v>45576.460914351854</v>
      </c>
    </row>
    <row r="1927" spans="1:7">
      <c r="A1927">
        <v>1934</v>
      </c>
      <c r="B1927" t="s">
        <v>3117</v>
      </c>
      <c r="C1927" t="s">
        <v>3118</v>
      </c>
      <c r="E1927">
        <v>0.1</v>
      </c>
      <c r="F1927" t="s">
        <v>546</v>
      </c>
      <c r="G1927" s="174">
        <v>45576.460914351854</v>
      </c>
    </row>
    <row r="1928" spans="1:7">
      <c r="A1928">
        <v>1935</v>
      </c>
      <c r="B1928" t="s">
        <v>3119</v>
      </c>
      <c r="C1928" t="s">
        <v>3120</v>
      </c>
      <c r="E1928">
        <v>0.01</v>
      </c>
      <c r="F1928" t="s">
        <v>546</v>
      </c>
      <c r="G1928" s="174">
        <v>45576.460914351854</v>
      </c>
    </row>
    <row r="1929" spans="1:7">
      <c r="A1929">
        <v>1936</v>
      </c>
      <c r="B1929" t="s">
        <v>3121</v>
      </c>
      <c r="C1929" t="s">
        <v>3122</v>
      </c>
      <c r="E1929">
        <v>0.01</v>
      </c>
      <c r="F1929" t="s">
        <v>546</v>
      </c>
      <c r="G1929" s="174">
        <v>45576.460914351854</v>
      </c>
    </row>
    <row r="1930" spans="1:7">
      <c r="A1930">
        <v>1937</v>
      </c>
      <c r="B1930" t="s">
        <v>3123</v>
      </c>
      <c r="C1930" t="s">
        <v>3124</v>
      </c>
      <c r="E1930">
        <v>0.01</v>
      </c>
      <c r="F1930" t="s">
        <v>546</v>
      </c>
      <c r="G1930" s="174">
        <v>45576.460914351854</v>
      </c>
    </row>
    <row r="1931" spans="1:7">
      <c r="A1931">
        <v>1938</v>
      </c>
      <c r="B1931" t="s">
        <v>3125</v>
      </c>
      <c r="C1931" t="s">
        <v>3126</v>
      </c>
      <c r="E1931">
        <v>0.01</v>
      </c>
      <c r="F1931" t="s">
        <v>546</v>
      </c>
      <c r="G1931" s="174">
        <v>45576.460914351854</v>
      </c>
    </row>
    <row r="1932" spans="1:7">
      <c r="A1932">
        <v>1939</v>
      </c>
      <c r="B1932" t="s">
        <v>3125</v>
      </c>
      <c r="C1932" t="s">
        <v>3127</v>
      </c>
      <c r="E1932">
        <v>0.01</v>
      </c>
      <c r="F1932" t="s">
        <v>546</v>
      </c>
      <c r="G1932" s="174">
        <v>45576.460914351854</v>
      </c>
    </row>
    <row r="1933" spans="1:7">
      <c r="A1933">
        <v>1940</v>
      </c>
      <c r="B1933" t="s">
        <v>3128</v>
      </c>
      <c r="C1933" t="s">
        <v>3129</v>
      </c>
      <c r="E1933">
        <v>0.01</v>
      </c>
      <c r="F1933" t="s">
        <v>546</v>
      </c>
      <c r="G1933" s="174">
        <v>45576.460914351854</v>
      </c>
    </row>
    <row r="1934" spans="1:7">
      <c r="A1934">
        <v>1941</v>
      </c>
      <c r="B1934" t="s">
        <v>3128</v>
      </c>
      <c r="C1934" t="s">
        <v>2952</v>
      </c>
      <c r="E1934">
        <v>0.01</v>
      </c>
      <c r="F1934" t="s">
        <v>546</v>
      </c>
      <c r="G1934" s="174">
        <v>45576.460914351854</v>
      </c>
    </row>
    <row r="1935" spans="1:7">
      <c r="A1935">
        <v>1942</v>
      </c>
      <c r="B1935" t="s">
        <v>711</v>
      </c>
      <c r="C1935" t="s">
        <v>3130</v>
      </c>
      <c r="E1935">
        <v>0.01</v>
      </c>
      <c r="F1935" t="s">
        <v>546</v>
      </c>
      <c r="G1935" s="174">
        <v>45576.460914351854</v>
      </c>
    </row>
    <row r="1936" spans="1:7">
      <c r="A1936">
        <v>1943</v>
      </c>
      <c r="B1936" t="s">
        <v>3131</v>
      </c>
      <c r="C1936" t="s">
        <v>3132</v>
      </c>
      <c r="E1936">
        <v>1</v>
      </c>
      <c r="F1936" t="s">
        <v>546</v>
      </c>
      <c r="G1936" s="174">
        <v>45576.460914351854</v>
      </c>
    </row>
    <row r="1937" spans="1:7">
      <c r="A1937">
        <v>1944</v>
      </c>
      <c r="B1937" t="s">
        <v>3131</v>
      </c>
      <c r="C1937" t="s">
        <v>3133</v>
      </c>
      <c r="E1937">
        <v>0.6</v>
      </c>
      <c r="F1937" t="s">
        <v>546</v>
      </c>
      <c r="G1937" s="174">
        <v>45576.460914351854</v>
      </c>
    </row>
    <row r="1938" spans="1:7">
      <c r="A1938">
        <v>1945</v>
      </c>
      <c r="B1938" t="s">
        <v>3131</v>
      </c>
      <c r="C1938" t="s">
        <v>2861</v>
      </c>
      <c r="E1938">
        <v>0.5</v>
      </c>
      <c r="F1938" t="s">
        <v>3134</v>
      </c>
      <c r="G1938" s="174">
        <v>45576.460914351854</v>
      </c>
    </row>
    <row r="1939" spans="1:7">
      <c r="A1939">
        <v>1946</v>
      </c>
      <c r="B1939" t="s">
        <v>3135</v>
      </c>
      <c r="C1939" t="s">
        <v>3136</v>
      </c>
      <c r="E1939">
        <v>0.01</v>
      </c>
      <c r="F1939" t="s">
        <v>546</v>
      </c>
      <c r="G1939" s="174">
        <v>45576.460914351854</v>
      </c>
    </row>
    <row r="1940" spans="1:7">
      <c r="A1940">
        <v>1947</v>
      </c>
      <c r="B1940" t="s">
        <v>3135</v>
      </c>
      <c r="C1940" t="s">
        <v>3137</v>
      </c>
      <c r="E1940">
        <v>0.01</v>
      </c>
      <c r="F1940" t="s">
        <v>546</v>
      </c>
      <c r="G1940" s="174">
        <v>45576.460914351854</v>
      </c>
    </row>
    <row r="1941" spans="1:7">
      <c r="A1941">
        <v>1948</v>
      </c>
      <c r="B1941" t="s">
        <v>3138</v>
      </c>
      <c r="C1941" t="s">
        <v>3139</v>
      </c>
      <c r="E1941">
        <v>0.01</v>
      </c>
      <c r="F1941" t="s">
        <v>546</v>
      </c>
      <c r="G1941" s="174">
        <v>45576.460914351854</v>
      </c>
    </row>
    <row r="1942" spans="1:7">
      <c r="A1942">
        <v>1949</v>
      </c>
      <c r="B1942" t="s">
        <v>3138</v>
      </c>
      <c r="C1942" t="s">
        <v>3140</v>
      </c>
      <c r="E1942">
        <v>0.8</v>
      </c>
      <c r="F1942" t="s">
        <v>546</v>
      </c>
      <c r="G1942" s="174">
        <v>45576.460914351854</v>
      </c>
    </row>
    <row r="1943" spans="1:7">
      <c r="A1943">
        <v>1950</v>
      </c>
      <c r="B1943" t="s">
        <v>3141</v>
      </c>
      <c r="C1943" t="s">
        <v>3142</v>
      </c>
      <c r="E1943">
        <v>0.01</v>
      </c>
      <c r="F1943" t="s">
        <v>546</v>
      </c>
      <c r="G1943" s="174">
        <v>45576.460914351854</v>
      </c>
    </row>
    <row r="1944" spans="1:7">
      <c r="A1944">
        <v>1951</v>
      </c>
      <c r="B1944" t="s">
        <v>714</v>
      </c>
      <c r="C1944" t="s">
        <v>3143</v>
      </c>
      <c r="E1944">
        <v>0.7</v>
      </c>
      <c r="F1944" t="s">
        <v>546</v>
      </c>
      <c r="G1944" s="174">
        <v>45576.460914351854</v>
      </c>
    </row>
    <row r="1945" spans="1:7">
      <c r="A1945">
        <v>1952</v>
      </c>
      <c r="B1945" t="s">
        <v>714</v>
      </c>
      <c r="C1945" t="s">
        <v>3144</v>
      </c>
      <c r="E1945">
        <v>0.8</v>
      </c>
      <c r="F1945" t="s">
        <v>546</v>
      </c>
      <c r="G1945" s="174">
        <v>45576.460914351854</v>
      </c>
    </row>
    <row r="1946" spans="1:7">
      <c r="A1946">
        <v>1953</v>
      </c>
      <c r="B1946" t="s">
        <v>3145</v>
      </c>
      <c r="C1946" t="s">
        <v>3146</v>
      </c>
      <c r="E1946">
        <v>0.05</v>
      </c>
      <c r="F1946" t="s">
        <v>546</v>
      </c>
      <c r="G1946" s="174">
        <v>45576.460914351854</v>
      </c>
    </row>
    <row r="1947" spans="1:7">
      <c r="A1947">
        <v>1955</v>
      </c>
      <c r="B1947" t="s">
        <v>3145</v>
      </c>
      <c r="C1947" t="s">
        <v>3147</v>
      </c>
      <c r="E1947">
        <v>0.1</v>
      </c>
      <c r="F1947" t="s">
        <v>546</v>
      </c>
      <c r="G1947" s="174">
        <v>45576.460914351854</v>
      </c>
    </row>
    <row r="1948" spans="1:7">
      <c r="A1948">
        <v>1956</v>
      </c>
      <c r="B1948" t="s">
        <v>3145</v>
      </c>
      <c r="C1948" t="s">
        <v>3148</v>
      </c>
      <c r="E1948" t="s">
        <v>3149</v>
      </c>
      <c r="F1948" t="s">
        <v>546</v>
      </c>
      <c r="G1948" s="174">
        <v>45576.460914351854</v>
      </c>
    </row>
    <row r="1949" spans="1:7">
      <c r="A1949">
        <v>1957</v>
      </c>
      <c r="B1949" t="s">
        <v>3150</v>
      </c>
      <c r="C1949" t="s">
        <v>3151</v>
      </c>
      <c r="E1949">
        <v>0.01</v>
      </c>
      <c r="F1949" t="s">
        <v>546</v>
      </c>
      <c r="G1949" s="174">
        <v>45576.460914351854</v>
      </c>
    </row>
    <row r="1950" spans="1:7">
      <c r="A1950">
        <v>1958</v>
      </c>
      <c r="B1950" t="s">
        <v>3152</v>
      </c>
      <c r="C1950" t="s">
        <v>3153</v>
      </c>
      <c r="E1950">
        <v>0.1</v>
      </c>
      <c r="F1950" t="s">
        <v>546</v>
      </c>
      <c r="G1950" s="174">
        <v>45576.460914351854</v>
      </c>
    </row>
    <row r="1951" spans="1:7">
      <c r="A1951">
        <v>1959</v>
      </c>
      <c r="B1951" t="s">
        <v>3154</v>
      </c>
      <c r="C1951" t="s">
        <v>3155</v>
      </c>
      <c r="E1951">
        <v>0.1</v>
      </c>
      <c r="F1951" t="s">
        <v>546</v>
      </c>
      <c r="G1951" s="174">
        <v>45576.460914351854</v>
      </c>
    </row>
    <row r="1952" spans="1:7">
      <c r="A1952">
        <v>1960</v>
      </c>
      <c r="B1952" t="s">
        <v>3156</v>
      </c>
      <c r="C1952" t="s">
        <v>3157</v>
      </c>
      <c r="E1952">
        <v>1</v>
      </c>
      <c r="F1952" t="s">
        <v>546</v>
      </c>
      <c r="G1952" s="174">
        <v>45576.460914351854</v>
      </c>
    </row>
    <row r="1953" spans="1:7">
      <c r="A1953">
        <v>1961</v>
      </c>
      <c r="B1953" t="s">
        <v>3158</v>
      </c>
      <c r="C1953" t="s">
        <v>3159</v>
      </c>
      <c r="E1953">
        <v>0.01</v>
      </c>
      <c r="F1953" t="s">
        <v>546</v>
      </c>
      <c r="G1953" s="174">
        <v>45576.460914351854</v>
      </c>
    </row>
    <row r="1954" spans="1:7">
      <c r="A1954">
        <v>1962</v>
      </c>
      <c r="B1954" t="s">
        <v>3160</v>
      </c>
      <c r="C1954" t="s">
        <v>3161</v>
      </c>
      <c r="E1954">
        <v>0.01</v>
      </c>
      <c r="F1954" t="s">
        <v>546</v>
      </c>
      <c r="G1954" s="174">
        <v>45576.460914351854</v>
      </c>
    </row>
    <row r="1955" spans="1:7">
      <c r="A1955">
        <v>1963</v>
      </c>
      <c r="B1955" t="s">
        <v>3160</v>
      </c>
      <c r="C1955" t="s">
        <v>3162</v>
      </c>
      <c r="E1955">
        <v>0.06</v>
      </c>
      <c r="F1955" t="s">
        <v>546</v>
      </c>
      <c r="G1955" s="174">
        <v>45576.460914351854</v>
      </c>
    </row>
    <row r="1956" spans="1:7">
      <c r="A1956">
        <v>1964</v>
      </c>
      <c r="B1956" t="s">
        <v>3163</v>
      </c>
      <c r="C1956" t="s">
        <v>3164</v>
      </c>
      <c r="E1956">
        <v>0.05</v>
      </c>
      <c r="F1956" t="s">
        <v>546</v>
      </c>
      <c r="G1956" s="174">
        <v>45576.460914351854</v>
      </c>
    </row>
    <row r="1957" spans="1:7">
      <c r="A1957">
        <v>1965</v>
      </c>
      <c r="B1957" t="s">
        <v>3163</v>
      </c>
      <c r="C1957" t="s">
        <v>3165</v>
      </c>
      <c r="E1957">
        <v>0.01</v>
      </c>
      <c r="F1957" t="s">
        <v>546</v>
      </c>
      <c r="G1957" s="174">
        <v>45576.460914351854</v>
      </c>
    </row>
    <row r="1958" spans="1:7">
      <c r="A1958">
        <v>1966</v>
      </c>
      <c r="B1958" t="s">
        <v>3166</v>
      </c>
      <c r="C1958" t="s">
        <v>3167</v>
      </c>
      <c r="E1958">
        <v>0.01</v>
      </c>
      <c r="F1958" t="s">
        <v>546</v>
      </c>
      <c r="G1958" s="174">
        <v>45576.460914351854</v>
      </c>
    </row>
    <row r="1959" spans="1:7">
      <c r="A1959">
        <v>1968</v>
      </c>
      <c r="B1959" t="s">
        <v>3168</v>
      </c>
      <c r="C1959" t="s">
        <v>3169</v>
      </c>
      <c r="E1959">
        <v>0.6</v>
      </c>
      <c r="F1959" t="s">
        <v>546</v>
      </c>
      <c r="G1959" s="174">
        <v>45576.460914351854</v>
      </c>
    </row>
    <row r="1960" spans="1:7">
      <c r="A1960">
        <v>1969</v>
      </c>
      <c r="B1960" t="s">
        <v>3168</v>
      </c>
      <c r="C1960" t="s">
        <v>741</v>
      </c>
      <c r="E1960">
        <v>0.8</v>
      </c>
      <c r="F1960" t="s">
        <v>546</v>
      </c>
      <c r="G1960" s="174">
        <v>45576.460914351854</v>
      </c>
    </row>
    <row r="1961" spans="1:7">
      <c r="A1961">
        <v>1970</v>
      </c>
      <c r="B1961" t="s">
        <v>3168</v>
      </c>
      <c r="C1961" t="s">
        <v>3170</v>
      </c>
      <c r="E1961">
        <v>0.01</v>
      </c>
      <c r="F1961" t="s">
        <v>546</v>
      </c>
      <c r="G1961" s="174">
        <v>45576.460914351854</v>
      </c>
    </row>
    <row r="1962" spans="1:7">
      <c r="A1962">
        <v>1971</v>
      </c>
      <c r="B1962" t="s">
        <v>3171</v>
      </c>
      <c r="C1962" t="s">
        <v>3172</v>
      </c>
      <c r="E1962">
        <v>0.6</v>
      </c>
      <c r="F1962" t="s">
        <v>546</v>
      </c>
      <c r="G1962" s="174">
        <v>45576.460914351854</v>
      </c>
    </row>
    <row r="1963" spans="1:7">
      <c r="A1963">
        <v>1972</v>
      </c>
      <c r="B1963" t="s">
        <v>3173</v>
      </c>
      <c r="C1963" t="s">
        <v>2948</v>
      </c>
      <c r="E1963">
        <v>0.1</v>
      </c>
      <c r="F1963" t="s">
        <v>546</v>
      </c>
      <c r="G1963" s="174">
        <v>45576.460914351854</v>
      </c>
    </row>
    <row r="1964" spans="1:7">
      <c r="A1964">
        <v>1973</v>
      </c>
      <c r="B1964" t="s">
        <v>3174</v>
      </c>
      <c r="C1964" t="s">
        <v>3175</v>
      </c>
      <c r="E1964">
        <v>0.01</v>
      </c>
      <c r="F1964" t="s">
        <v>546</v>
      </c>
      <c r="G1964" s="174">
        <v>45576.460914351854</v>
      </c>
    </row>
    <row r="1965" spans="1:7">
      <c r="A1965">
        <v>1974</v>
      </c>
      <c r="B1965" t="s">
        <v>3176</v>
      </c>
      <c r="C1965" t="s">
        <v>3177</v>
      </c>
      <c r="E1965">
        <v>0.01</v>
      </c>
      <c r="F1965" t="s">
        <v>546</v>
      </c>
      <c r="G1965" s="174">
        <v>45576.460914351854</v>
      </c>
    </row>
    <row r="1966" spans="1:7">
      <c r="A1966">
        <v>1975</v>
      </c>
      <c r="B1966" t="s">
        <v>3176</v>
      </c>
      <c r="C1966" t="s">
        <v>3178</v>
      </c>
      <c r="E1966">
        <v>0.8</v>
      </c>
      <c r="F1966" t="s">
        <v>546</v>
      </c>
      <c r="G1966" s="174">
        <v>45576.460914351854</v>
      </c>
    </row>
    <row r="1967" spans="1:7">
      <c r="A1967">
        <v>1976</v>
      </c>
      <c r="B1967" t="s">
        <v>3176</v>
      </c>
      <c r="C1967" t="s">
        <v>833</v>
      </c>
      <c r="E1967">
        <v>0.1</v>
      </c>
      <c r="F1967" t="s">
        <v>546</v>
      </c>
      <c r="G1967" s="174">
        <v>45576.460914351854</v>
      </c>
    </row>
    <row r="1968" spans="1:7">
      <c r="A1968">
        <v>1977</v>
      </c>
      <c r="B1968" t="s">
        <v>3176</v>
      </c>
      <c r="C1968" t="s">
        <v>3179</v>
      </c>
      <c r="E1968">
        <v>0.6</v>
      </c>
      <c r="F1968" t="s">
        <v>546</v>
      </c>
      <c r="G1968" s="174">
        <v>45576.460914351854</v>
      </c>
    </row>
    <row r="1969" spans="1:7">
      <c r="A1969">
        <v>1978</v>
      </c>
      <c r="B1969" t="s">
        <v>3180</v>
      </c>
      <c r="C1969" t="s">
        <v>3181</v>
      </c>
      <c r="E1969">
        <v>0.01</v>
      </c>
      <c r="F1969" t="s">
        <v>546</v>
      </c>
      <c r="G1969" s="174">
        <v>45576.460914351854</v>
      </c>
    </row>
    <row r="1970" spans="1:7">
      <c r="A1970">
        <v>1979</v>
      </c>
      <c r="B1970" t="s">
        <v>3180</v>
      </c>
      <c r="C1970" t="s">
        <v>3182</v>
      </c>
      <c r="E1970">
        <v>0.1</v>
      </c>
      <c r="F1970" t="s">
        <v>546</v>
      </c>
      <c r="G1970" s="174">
        <v>45576.460914351854</v>
      </c>
    </row>
    <row r="1971" spans="1:7">
      <c r="A1971">
        <v>1980</v>
      </c>
      <c r="B1971" t="s">
        <v>3183</v>
      </c>
      <c r="C1971" t="s">
        <v>3184</v>
      </c>
      <c r="E1971">
        <v>0.01</v>
      </c>
      <c r="F1971" t="s">
        <v>546</v>
      </c>
      <c r="G1971" s="174">
        <v>45576.460914351854</v>
      </c>
    </row>
    <row r="1972" spans="1:7">
      <c r="A1972">
        <v>1981</v>
      </c>
      <c r="B1972" t="s">
        <v>728</v>
      </c>
      <c r="C1972" t="s">
        <v>2986</v>
      </c>
      <c r="E1972">
        <v>0.05</v>
      </c>
      <c r="F1972" t="s">
        <v>546</v>
      </c>
      <c r="G1972" s="174">
        <v>45576.460914351854</v>
      </c>
    </row>
    <row r="1973" spans="1:7">
      <c r="A1973">
        <v>1982</v>
      </c>
      <c r="B1973" t="s">
        <v>3185</v>
      </c>
      <c r="C1973" t="s">
        <v>3186</v>
      </c>
      <c r="E1973">
        <v>0.01</v>
      </c>
      <c r="F1973" t="s">
        <v>546</v>
      </c>
      <c r="G1973" s="174">
        <v>45576.460914351854</v>
      </c>
    </row>
    <row r="1974" spans="1:7">
      <c r="A1974">
        <v>1983</v>
      </c>
      <c r="B1974" t="s">
        <v>3187</v>
      </c>
      <c r="C1974" t="s">
        <v>2826</v>
      </c>
      <c r="E1974">
        <v>0.01</v>
      </c>
      <c r="F1974" t="s">
        <v>546</v>
      </c>
      <c r="G1974" s="174">
        <v>45576.460914351854</v>
      </c>
    </row>
    <row r="1975" spans="1:7">
      <c r="A1975">
        <v>1984</v>
      </c>
      <c r="B1975" t="s">
        <v>3187</v>
      </c>
      <c r="C1975" t="s">
        <v>3188</v>
      </c>
      <c r="E1975">
        <v>0.01</v>
      </c>
      <c r="F1975" t="s">
        <v>546</v>
      </c>
      <c r="G1975" s="174">
        <v>45576.460914351854</v>
      </c>
    </row>
    <row r="1976" spans="1:7">
      <c r="A1976">
        <v>1985</v>
      </c>
      <c r="B1976" t="s">
        <v>3189</v>
      </c>
      <c r="C1976" t="s">
        <v>3190</v>
      </c>
      <c r="E1976">
        <v>0.1</v>
      </c>
      <c r="F1976" t="s">
        <v>546</v>
      </c>
      <c r="G1976" s="174">
        <v>45576.460914351854</v>
      </c>
    </row>
    <row r="1977" spans="1:7">
      <c r="A1977">
        <v>1986</v>
      </c>
      <c r="B1977" t="s">
        <v>3191</v>
      </c>
      <c r="C1977" t="s">
        <v>3192</v>
      </c>
      <c r="E1977">
        <v>0.01</v>
      </c>
      <c r="F1977" t="s">
        <v>546</v>
      </c>
      <c r="G1977" s="174">
        <v>45576.460914351854</v>
      </c>
    </row>
    <row r="1978" spans="1:7">
      <c r="A1978">
        <v>1987</v>
      </c>
      <c r="B1978" t="s">
        <v>3193</v>
      </c>
      <c r="C1978" t="s">
        <v>3194</v>
      </c>
      <c r="E1978">
        <v>0.01</v>
      </c>
      <c r="F1978" t="s">
        <v>546</v>
      </c>
      <c r="G1978" s="174">
        <v>45576.460914351854</v>
      </c>
    </row>
    <row r="1979" spans="1:7">
      <c r="A1979">
        <v>1988</v>
      </c>
      <c r="B1979" t="s">
        <v>3195</v>
      </c>
      <c r="C1979" t="s">
        <v>3196</v>
      </c>
      <c r="E1979">
        <v>0.01</v>
      </c>
      <c r="F1979" t="s">
        <v>546</v>
      </c>
      <c r="G1979" s="174">
        <v>45576.460914351854</v>
      </c>
    </row>
    <row r="1980" spans="1:7">
      <c r="A1980">
        <v>1989</v>
      </c>
      <c r="B1980" t="s">
        <v>3197</v>
      </c>
      <c r="C1980" t="s">
        <v>3198</v>
      </c>
      <c r="E1980">
        <v>0.01</v>
      </c>
      <c r="F1980" t="s">
        <v>546</v>
      </c>
      <c r="G1980" s="174">
        <v>45576.460914351854</v>
      </c>
    </row>
    <row r="1981" spans="1:7">
      <c r="A1981">
        <v>1990</v>
      </c>
      <c r="B1981" t="s">
        <v>3199</v>
      </c>
      <c r="C1981" t="s">
        <v>3200</v>
      </c>
      <c r="E1981">
        <v>0.01</v>
      </c>
      <c r="F1981" t="s">
        <v>546</v>
      </c>
      <c r="G1981" s="174">
        <v>45576.460914351854</v>
      </c>
    </row>
    <row r="1982" spans="1:7">
      <c r="A1982">
        <v>1991</v>
      </c>
      <c r="B1982" t="s">
        <v>3201</v>
      </c>
      <c r="C1982" t="s">
        <v>3202</v>
      </c>
      <c r="E1982">
        <v>0.01</v>
      </c>
      <c r="F1982" t="s">
        <v>546</v>
      </c>
      <c r="G1982" s="174">
        <v>45576.460914351854</v>
      </c>
    </row>
    <row r="1983" spans="1:7">
      <c r="A1983">
        <v>1992</v>
      </c>
      <c r="B1983" t="s">
        <v>3203</v>
      </c>
      <c r="C1983" t="s">
        <v>3204</v>
      </c>
      <c r="E1983">
        <v>0.01</v>
      </c>
      <c r="F1983" t="s">
        <v>546</v>
      </c>
      <c r="G1983" s="174">
        <v>45576.460914351854</v>
      </c>
    </row>
    <row r="1984" spans="1:7">
      <c r="A1984">
        <v>1993</v>
      </c>
      <c r="B1984" t="s">
        <v>3205</v>
      </c>
      <c r="C1984" t="s">
        <v>2766</v>
      </c>
      <c r="E1984">
        <v>0.01</v>
      </c>
      <c r="F1984" t="s">
        <v>546</v>
      </c>
      <c r="G1984" s="174">
        <v>45576.460914351854</v>
      </c>
    </row>
    <row r="1985" spans="1:7">
      <c r="A1985">
        <v>1994</v>
      </c>
      <c r="B1985" t="s">
        <v>3206</v>
      </c>
      <c r="C1985" t="s">
        <v>3207</v>
      </c>
      <c r="E1985">
        <v>0.8</v>
      </c>
      <c r="F1985" t="s">
        <v>546</v>
      </c>
      <c r="G1985" s="174">
        <v>45576.460914351854</v>
      </c>
    </row>
    <row r="1986" spans="1:7">
      <c r="A1986">
        <v>1995</v>
      </c>
      <c r="B1986" t="s">
        <v>3206</v>
      </c>
      <c r="C1986" t="s">
        <v>3208</v>
      </c>
      <c r="E1986">
        <v>0.6</v>
      </c>
      <c r="F1986" t="s">
        <v>546</v>
      </c>
      <c r="G1986" s="174">
        <v>45576.460914351854</v>
      </c>
    </row>
    <row r="1987" spans="1:7">
      <c r="A1987">
        <v>1996</v>
      </c>
      <c r="B1987" t="s">
        <v>3209</v>
      </c>
      <c r="C1987" t="s">
        <v>3210</v>
      </c>
      <c r="E1987">
        <v>0.01</v>
      </c>
      <c r="F1987" t="s">
        <v>546</v>
      </c>
      <c r="G1987" s="174">
        <v>45576.460914351854</v>
      </c>
    </row>
    <row r="1988" spans="1:7">
      <c r="A1988">
        <v>1997</v>
      </c>
      <c r="B1988" t="s">
        <v>3209</v>
      </c>
      <c r="C1988" t="s">
        <v>3211</v>
      </c>
      <c r="E1988">
        <v>0.1</v>
      </c>
      <c r="F1988" t="s">
        <v>546</v>
      </c>
      <c r="G1988" s="174">
        <v>45576.460914351854</v>
      </c>
    </row>
    <row r="1989" spans="1:7">
      <c r="A1989">
        <v>1998</v>
      </c>
      <c r="B1989" t="s">
        <v>3209</v>
      </c>
      <c r="C1989" t="s">
        <v>3212</v>
      </c>
      <c r="E1989">
        <v>0.1</v>
      </c>
      <c r="F1989" t="s">
        <v>546</v>
      </c>
      <c r="G1989" s="174">
        <v>45576.460914351854</v>
      </c>
    </row>
    <row r="1990" spans="1:7">
      <c r="A1990">
        <v>1999</v>
      </c>
      <c r="B1990" t="s">
        <v>3213</v>
      </c>
      <c r="C1990" t="s">
        <v>2880</v>
      </c>
      <c r="E1990">
        <v>0.01</v>
      </c>
      <c r="F1990" t="s">
        <v>546</v>
      </c>
      <c r="G1990" s="174">
        <v>45576.460914351854</v>
      </c>
    </row>
    <row r="1991" spans="1:7">
      <c r="A1991">
        <v>2000</v>
      </c>
      <c r="B1991" t="s">
        <v>736</v>
      </c>
      <c r="C1991" t="s">
        <v>3214</v>
      </c>
      <c r="E1991">
        <v>0.05</v>
      </c>
      <c r="F1991" t="s">
        <v>546</v>
      </c>
      <c r="G1991" s="174">
        <v>45576.460914351854</v>
      </c>
    </row>
    <row r="1992" spans="1:7">
      <c r="A1992">
        <v>2001</v>
      </c>
      <c r="B1992" t="s">
        <v>3215</v>
      </c>
      <c r="C1992" t="s">
        <v>2942</v>
      </c>
      <c r="E1992">
        <v>0.01</v>
      </c>
      <c r="F1992" t="s">
        <v>546</v>
      </c>
      <c r="G1992" s="174">
        <v>45576.460914351854</v>
      </c>
    </row>
    <row r="1993" spans="1:7">
      <c r="A1993">
        <v>2002</v>
      </c>
      <c r="B1993" t="s">
        <v>3215</v>
      </c>
      <c r="C1993" t="s">
        <v>2816</v>
      </c>
      <c r="E1993">
        <v>0.1</v>
      </c>
      <c r="F1993" t="s">
        <v>546</v>
      </c>
      <c r="G1993" s="174">
        <v>45576.460914351854</v>
      </c>
    </row>
    <row r="1994" spans="1:7">
      <c r="A1994">
        <v>2003</v>
      </c>
      <c r="B1994" t="s">
        <v>3216</v>
      </c>
      <c r="C1994" t="s">
        <v>2912</v>
      </c>
      <c r="E1994">
        <v>0.01</v>
      </c>
      <c r="F1994" t="s">
        <v>546</v>
      </c>
      <c r="G1994" s="174">
        <v>45576.460914351854</v>
      </c>
    </row>
    <row r="1995" spans="1:7">
      <c r="A1995">
        <v>2004</v>
      </c>
      <c r="B1995" t="s">
        <v>3217</v>
      </c>
      <c r="C1995" t="s">
        <v>3218</v>
      </c>
      <c r="E1995">
        <v>0.1</v>
      </c>
      <c r="F1995" t="s">
        <v>546</v>
      </c>
      <c r="G1995" s="174">
        <v>45576.460914351854</v>
      </c>
    </row>
    <row r="1996" spans="1:7">
      <c r="A1996">
        <v>2005</v>
      </c>
      <c r="B1996" t="s">
        <v>3219</v>
      </c>
      <c r="C1996" t="s">
        <v>3058</v>
      </c>
      <c r="E1996">
        <v>0.1</v>
      </c>
      <c r="F1996" t="s">
        <v>546</v>
      </c>
      <c r="G1996" s="174">
        <v>45576.460914351854</v>
      </c>
    </row>
    <row r="1997" spans="1:7">
      <c r="A1997">
        <v>2006</v>
      </c>
      <c r="B1997" t="s">
        <v>3220</v>
      </c>
      <c r="C1997" t="s">
        <v>2886</v>
      </c>
      <c r="E1997">
        <v>0.01</v>
      </c>
      <c r="F1997" t="s">
        <v>546</v>
      </c>
      <c r="G1997" s="174">
        <v>45576.460914351854</v>
      </c>
    </row>
    <row r="1998" spans="1:7">
      <c r="A1998">
        <v>2007</v>
      </c>
      <c r="B1998" t="s">
        <v>3221</v>
      </c>
      <c r="C1998" t="s">
        <v>3222</v>
      </c>
      <c r="E1998">
        <v>0.8</v>
      </c>
      <c r="F1998" t="s">
        <v>546</v>
      </c>
      <c r="G1998" s="174">
        <v>45576.460914351854</v>
      </c>
    </row>
    <row r="1999" spans="1:7">
      <c r="A1999">
        <v>2008</v>
      </c>
      <c r="B1999" t="s">
        <v>3223</v>
      </c>
      <c r="C1999" t="s">
        <v>2880</v>
      </c>
      <c r="E1999">
        <v>0.01</v>
      </c>
      <c r="F1999" t="s">
        <v>546</v>
      </c>
      <c r="G1999" s="174">
        <v>45576.460914351854</v>
      </c>
    </row>
    <row r="2000" spans="1:7">
      <c r="A2000">
        <v>2009</v>
      </c>
      <c r="B2000" t="s">
        <v>3224</v>
      </c>
      <c r="C2000" t="s">
        <v>3225</v>
      </c>
      <c r="E2000">
        <v>0.01</v>
      </c>
      <c r="F2000" t="s">
        <v>546</v>
      </c>
      <c r="G2000" s="174">
        <v>45576.460914351854</v>
      </c>
    </row>
    <row r="2001" spans="1:7">
      <c r="A2001">
        <v>2010</v>
      </c>
      <c r="B2001" t="s">
        <v>3226</v>
      </c>
      <c r="C2001" t="s">
        <v>3227</v>
      </c>
      <c r="E2001">
        <v>0.8</v>
      </c>
      <c r="F2001" t="s">
        <v>3228</v>
      </c>
      <c r="G2001" s="174">
        <v>45576.460914351854</v>
      </c>
    </row>
    <row r="2002" spans="1:7">
      <c r="A2002">
        <v>2011</v>
      </c>
      <c r="B2002" t="s">
        <v>3226</v>
      </c>
      <c r="C2002" t="s">
        <v>3229</v>
      </c>
      <c r="E2002">
        <v>0.7</v>
      </c>
      <c r="F2002" t="s">
        <v>3230</v>
      </c>
      <c r="G2002" s="174">
        <v>45576.460914351854</v>
      </c>
    </row>
    <row r="2003" spans="1:7">
      <c r="A2003">
        <v>2012</v>
      </c>
      <c r="B2003" t="s">
        <v>3231</v>
      </c>
      <c r="C2003" t="s">
        <v>3232</v>
      </c>
      <c r="E2003">
        <v>0.01</v>
      </c>
      <c r="F2003" t="s">
        <v>546</v>
      </c>
      <c r="G2003" s="174">
        <v>45576.460914351854</v>
      </c>
    </row>
    <row r="2004" spans="1:7">
      <c r="A2004">
        <v>2013</v>
      </c>
      <c r="B2004" t="s">
        <v>3231</v>
      </c>
      <c r="C2004" t="s">
        <v>3024</v>
      </c>
      <c r="E2004">
        <v>0.01</v>
      </c>
      <c r="F2004" t="s">
        <v>546</v>
      </c>
      <c r="G2004" s="174">
        <v>45576.460914351854</v>
      </c>
    </row>
    <row r="2005" spans="1:7">
      <c r="A2005">
        <v>2014</v>
      </c>
      <c r="B2005" t="s">
        <v>3233</v>
      </c>
      <c r="C2005" t="s">
        <v>3234</v>
      </c>
      <c r="E2005">
        <v>0.01</v>
      </c>
      <c r="F2005" t="s">
        <v>546</v>
      </c>
      <c r="G2005" s="174">
        <v>45576.460914351854</v>
      </c>
    </row>
    <row r="2006" spans="1:7">
      <c r="A2006">
        <v>2015</v>
      </c>
      <c r="B2006" t="s">
        <v>3235</v>
      </c>
      <c r="C2006" t="s">
        <v>2999</v>
      </c>
      <c r="E2006">
        <v>0.01</v>
      </c>
      <c r="F2006" t="s">
        <v>546</v>
      </c>
      <c r="G2006" s="174">
        <v>45576.460914351854</v>
      </c>
    </row>
    <row r="2007" spans="1:7">
      <c r="A2007">
        <v>2016</v>
      </c>
      <c r="B2007" t="s">
        <v>740</v>
      </c>
      <c r="C2007" t="s">
        <v>3031</v>
      </c>
      <c r="E2007">
        <v>0.8</v>
      </c>
      <c r="F2007" t="s">
        <v>546</v>
      </c>
      <c r="G2007" s="174">
        <v>45576.460914351854</v>
      </c>
    </row>
    <row r="2008" spans="1:7">
      <c r="A2008">
        <v>2017</v>
      </c>
      <c r="B2008" t="s">
        <v>3236</v>
      </c>
      <c r="C2008" t="s">
        <v>3237</v>
      </c>
      <c r="E2008">
        <v>0.6</v>
      </c>
      <c r="F2008" t="s">
        <v>546</v>
      </c>
      <c r="G2008" s="174">
        <v>45576.460914351854</v>
      </c>
    </row>
    <row r="2009" spans="1:7">
      <c r="A2009">
        <v>2018</v>
      </c>
      <c r="B2009" t="s">
        <v>3236</v>
      </c>
      <c r="C2009" t="s">
        <v>2846</v>
      </c>
      <c r="E2009">
        <v>0.8</v>
      </c>
      <c r="F2009" t="s">
        <v>546</v>
      </c>
      <c r="G2009" s="174">
        <v>45576.460914351854</v>
      </c>
    </row>
    <row r="2010" spans="1:7">
      <c r="A2010">
        <v>2019</v>
      </c>
      <c r="B2010" t="s">
        <v>3238</v>
      </c>
      <c r="C2010" t="s">
        <v>3239</v>
      </c>
      <c r="E2010">
        <v>0.1</v>
      </c>
      <c r="F2010" t="s">
        <v>546</v>
      </c>
      <c r="G2010" s="174">
        <v>45576.460914351854</v>
      </c>
    </row>
    <row r="2011" spans="1:7">
      <c r="A2011">
        <v>2020</v>
      </c>
      <c r="B2011" t="s">
        <v>3238</v>
      </c>
      <c r="C2011" t="s">
        <v>3240</v>
      </c>
      <c r="E2011">
        <v>0.01</v>
      </c>
      <c r="F2011" t="s">
        <v>546</v>
      </c>
      <c r="G2011" s="174">
        <v>45576.460914351854</v>
      </c>
    </row>
    <row r="2012" spans="1:7">
      <c r="A2012">
        <v>2021</v>
      </c>
      <c r="B2012" t="s">
        <v>3241</v>
      </c>
      <c r="C2012" t="s">
        <v>3242</v>
      </c>
      <c r="E2012">
        <v>0.1</v>
      </c>
      <c r="F2012" t="s">
        <v>546</v>
      </c>
      <c r="G2012" s="174">
        <v>45576.460914351854</v>
      </c>
    </row>
    <row r="2013" spans="1:7">
      <c r="A2013">
        <v>2022</v>
      </c>
      <c r="B2013" t="s">
        <v>3243</v>
      </c>
      <c r="C2013" t="s">
        <v>3244</v>
      </c>
      <c r="E2013">
        <v>0.01</v>
      </c>
      <c r="F2013" t="s">
        <v>546</v>
      </c>
      <c r="G2013" s="174">
        <v>45576.460914351854</v>
      </c>
    </row>
    <row r="2014" spans="1:7">
      <c r="A2014">
        <v>2023</v>
      </c>
      <c r="B2014" t="s">
        <v>3245</v>
      </c>
      <c r="C2014" t="s">
        <v>3246</v>
      </c>
      <c r="E2014">
        <v>0.01</v>
      </c>
      <c r="F2014" t="s">
        <v>546</v>
      </c>
      <c r="G2014" s="174">
        <v>45576.460914351854</v>
      </c>
    </row>
    <row r="2015" spans="1:7">
      <c r="A2015">
        <v>2024</v>
      </c>
      <c r="B2015" t="s">
        <v>3247</v>
      </c>
      <c r="C2015" t="s">
        <v>3248</v>
      </c>
      <c r="E2015">
        <v>0.01</v>
      </c>
      <c r="F2015" t="s">
        <v>546</v>
      </c>
      <c r="G2015" s="174">
        <v>45576.460914351854</v>
      </c>
    </row>
    <row r="2016" spans="1:7">
      <c r="A2016">
        <v>2025</v>
      </c>
      <c r="B2016" t="s">
        <v>3249</v>
      </c>
      <c r="C2016" t="s">
        <v>3250</v>
      </c>
      <c r="E2016">
        <v>0.01</v>
      </c>
      <c r="F2016" t="s">
        <v>546</v>
      </c>
      <c r="G2016" s="174">
        <v>45576.460914351854</v>
      </c>
    </row>
    <row r="2017" spans="1:7">
      <c r="A2017">
        <v>2026</v>
      </c>
      <c r="B2017" t="s">
        <v>3251</v>
      </c>
      <c r="C2017" t="s">
        <v>3252</v>
      </c>
      <c r="E2017">
        <v>0.01</v>
      </c>
      <c r="F2017" t="s">
        <v>546</v>
      </c>
      <c r="G2017" s="174">
        <v>45576.460914351854</v>
      </c>
    </row>
    <row r="2018" spans="1:7">
      <c r="A2018">
        <v>2027</v>
      </c>
      <c r="B2018" t="s">
        <v>3253</v>
      </c>
      <c r="C2018" t="s">
        <v>3254</v>
      </c>
      <c r="E2018">
        <v>0.01</v>
      </c>
      <c r="F2018" t="s">
        <v>546</v>
      </c>
      <c r="G2018" s="174">
        <v>45576.460914351854</v>
      </c>
    </row>
    <row r="2019" spans="1:7">
      <c r="A2019">
        <v>2028</v>
      </c>
      <c r="B2019" t="s">
        <v>3255</v>
      </c>
      <c r="C2019" t="s">
        <v>3256</v>
      </c>
      <c r="E2019">
        <v>0.01</v>
      </c>
      <c r="F2019" t="s">
        <v>546</v>
      </c>
      <c r="G2019" s="174">
        <v>45576.460914351854</v>
      </c>
    </row>
    <row r="2020" spans="1:7">
      <c r="A2020">
        <v>2029</v>
      </c>
      <c r="B2020" t="s">
        <v>3257</v>
      </c>
      <c r="C2020" t="s">
        <v>3258</v>
      </c>
      <c r="E2020">
        <v>0.8</v>
      </c>
      <c r="F2020" t="s">
        <v>546</v>
      </c>
      <c r="G2020" s="174">
        <v>45576.460914351854</v>
      </c>
    </row>
    <row r="2021" spans="1:7">
      <c r="A2021">
        <v>2030</v>
      </c>
      <c r="B2021" t="s">
        <v>3259</v>
      </c>
      <c r="C2021" t="s">
        <v>3260</v>
      </c>
      <c r="E2021">
        <v>0.01</v>
      </c>
      <c r="F2021" t="s">
        <v>546</v>
      </c>
      <c r="G2021" s="174">
        <v>45576.460914351854</v>
      </c>
    </row>
    <row r="2022" spans="1:7">
      <c r="A2022">
        <v>2031</v>
      </c>
      <c r="B2022" t="s">
        <v>3261</v>
      </c>
      <c r="C2022" t="s">
        <v>2945</v>
      </c>
      <c r="E2022">
        <v>0.01</v>
      </c>
      <c r="F2022" t="s">
        <v>546</v>
      </c>
      <c r="G2022" s="174">
        <v>45576.460914351854</v>
      </c>
    </row>
    <row r="2023" spans="1:7">
      <c r="A2023">
        <v>2032</v>
      </c>
      <c r="B2023" t="s">
        <v>3262</v>
      </c>
      <c r="C2023" t="s">
        <v>2803</v>
      </c>
      <c r="E2023">
        <v>0.01</v>
      </c>
      <c r="F2023" t="s">
        <v>546</v>
      </c>
      <c r="G2023" s="174">
        <v>45576.460914351854</v>
      </c>
    </row>
    <row r="2024" spans="1:7">
      <c r="A2024">
        <v>2033</v>
      </c>
      <c r="B2024" t="s">
        <v>3263</v>
      </c>
      <c r="C2024" t="s">
        <v>1235</v>
      </c>
      <c r="E2024">
        <v>0.5</v>
      </c>
      <c r="F2024" t="s">
        <v>3264</v>
      </c>
      <c r="G2024" s="174">
        <v>45576.460914351854</v>
      </c>
    </row>
    <row r="2025" spans="1:7">
      <c r="A2025">
        <v>2034</v>
      </c>
      <c r="B2025" t="s">
        <v>3263</v>
      </c>
      <c r="C2025" t="s">
        <v>3265</v>
      </c>
      <c r="E2025">
        <v>0.8</v>
      </c>
      <c r="F2025" t="s">
        <v>546</v>
      </c>
      <c r="G2025" s="174">
        <v>45576.460914351854</v>
      </c>
    </row>
    <row r="2026" spans="1:7">
      <c r="A2026">
        <v>2035</v>
      </c>
      <c r="B2026" t="s">
        <v>3266</v>
      </c>
      <c r="C2026" t="s">
        <v>2835</v>
      </c>
      <c r="E2026">
        <v>0.01</v>
      </c>
      <c r="F2026" t="s">
        <v>546</v>
      </c>
      <c r="G2026" s="174">
        <v>45576.460914351854</v>
      </c>
    </row>
    <row r="2027" spans="1:7">
      <c r="A2027">
        <v>2036</v>
      </c>
      <c r="B2027" t="s">
        <v>3266</v>
      </c>
      <c r="C2027" t="s">
        <v>3267</v>
      </c>
      <c r="E2027">
        <v>0.01</v>
      </c>
      <c r="F2027" t="s">
        <v>546</v>
      </c>
      <c r="G2027" s="174">
        <v>45576.460914351854</v>
      </c>
    </row>
    <row r="2028" spans="1:7">
      <c r="A2028">
        <v>2037</v>
      </c>
      <c r="B2028" t="s">
        <v>3268</v>
      </c>
      <c r="C2028" t="s">
        <v>2837</v>
      </c>
      <c r="E2028">
        <v>0.01</v>
      </c>
      <c r="F2028" t="s">
        <v>546</v>
      </c>
      <c r="G2028" s="174">
        <v>45576.460914351854</v>
      </c>
    </row>
    <row r="2029" spans="1:7">
      <c r="A2029">
        <v>2038</v>
      </c>
      <c r="B2029" t="s">
        <v>753</v>
      </c>
      <c r="C2029" t="s">
        <v>3269</v>
      </c>
      <c r="E2029">
        <v>0.8</v>
      </c>
      <c r="F2029" t="s">
        <v>546</v>
      </c>
      <c r="G2029" s="174">
        <v>45576.460914351854</v>
      </c>
    </row>
    <row r="2030" spans="1:7">
      <c r="A2030">
        <v>2039</v>
      </c>
      <c r="B2030" t="s">
        <v>756</v>
      </c>
      <c r="C2030" t="s">
        <v>3270</v>
      </c>
      <c r="E2030">
        <v>0.8</v>
      </c>
      <c r="F2030" t="s">
        <v>546</v>
      </c>
      <c r="G2030" s="174">
        <v>45576.460914351854</v>
      </c>
    </row>
    <row r="2031" spans="1:7">
      <c r="A2031">
        <v>2040</v>
      </c>
      <c r="B2031" t="s">
        <v>3271</v>
      </c>
      <c r="C2031" t="s">
        <v>3272</v>
      </c>
      <c r="E2031">
        <v>0.01</v>
      </c>
      <c r="F2031" t="s">
        <v>546</v>
      </c>
      <c r="G2031" s="174">
        <v>45576.460914351854</v>
      </c>
    </row>
    <row r="2032" spans="1:7">
      <c r="A2032">
        <v>2042</v>
      </c>
      <c r="B2032" t="s">
        <v>3273</v>
      </c>
      <c r="C2032" t="s">
        <v>3274</v>
      </c>
      <c r="E2032">
        <v>0.01</v>
      </c>
      <c r="F2032" t="s">
        <v>546</v>
      </c>
      <c r="G2032" s="174">
        <v>45576.460914351854</v>
      </c>
    </row>
    <row r="2033" spans="1:7">
      <c r="A2033">
        <v>2043</v>
      </c>
      <c r="B2033" t="s">
        <v>3275</v>
      </c>
      <c r="C2033" t="s">
        <v>2821</v>
      </c>
      <c r="E2033">
        <v>0.01</v>
      </c>
      <c r="F2033" t="s">
        <v>546</v>
      </c>
      <c r="G2033" s="174">
        <v>45576.460914351854</v>
      </c>
    </row>
    <row r="2034" spans="1:7">
      <c r="A2034">
        <v>2044</v>
      </c>
      <c r="B2034" t="s">
        <v>3275</v>
      </c>
      <c r="C2034" t="s">
        <v>3276</v>
      </c>
      <c r="E2034">
        <v>0.01</v>
      </c>
      <c r="F2034" t="s">
        <v>546</v>
      </c>
      <c r="G2034" s="174">
        <v>45576.460914351854</v>
      </c>
    </row>
    <row r="2035" spans="1:7">
      <c r="A2035">
        <v>2045</v>
      </c>
      <c r="B2035" t="s">
        <v>758</v>
      </c>
      <c r="C2035" t="s">
        <v>3277</v>
      </c>
      <c r="E2035">
        <v>1</v>
      </c>
      <c r="F2035" t="s">
        <v>546</v>
      </c>
      <c r="G2035" s="174">
        <v>45576.460914351854</v>
      </c>
    </row>
    <row r="2036" spans="1:7">
      <c r="A2036">
        <v>2046</v>
      </c>
      <c r="B2036" t="s">
        <v>758</v>
      </c>
      <c r="C2036" t="s">
        <v>3278</v>
      </c>
      <c r="E2036">
        <v>0.5</v>
      </c>
      <c r="F2036" t="s">
        <v>3279</v>
      </c>
      <c r="G2036" s="174">
        <v>45576.460914351854</v>
      </c>
    </row>
    <row r="2037" spans="1:7">
      <c r="A2037">
        <v>2047</v>
      </c>
      <c r="B2037" t="s">
        <v>3280</v>
      </c>
      <c r="C2037" t="s">
        <v>3281</v>
      </c>
      <c r="E2037">
        <v>0.8</v>
      </c>
      <c r="F2037" t="s">
        <v>546</v>
      </c>
      <c r="G2037" s="174">
        <v>45576.460914351854</v>
      </c>
    </row>
    <row r="2038" spans="1:7">
      <c r="A2038">
        <v>2048</v>
      </c>
      <c r="B2038" t="s">
        <v>3280</v>
      </c>
      <c r="C2038" t="s">
        <v>3282</v>
      </c>
      <c r="E2038">
        <v>0.01</v>
      </c>
      <c r="F2038" t="s">
        <v>546</v>
      </c>
      <c r="G2038" s="174">
        <v>45576.460914351854</v>
      </c>
    </row>
    <row r="2039" spans="1:7">
      <c r="A2039">
        <v>2049</v>
      </c>
      <c r="B2039" t="s">
        <v>3283</v>
      </c>
      <c r="C2039" t="s">
        <v>3284</v>
      </c>
      <c r="E2039">
        <v>0.01</v>
      </c>
      <c r="F2039" t="s">
        <v>546</v>
      </c>
      <c r="G2039" s="174">
        <v>45576.460914351854</v>
      </c>
    </row>
    <row r="2040" spans="1:7">
      <c r="A2040">
        <v>2050</v>
      </c>
      <c r="B2040" t="s">
        <v>3285</v>
      </c>
      <c r="C2040" t="s">
        <v>3286</v>
      </c>
      <c r="E2040">
        <v>0.1</v>
      </c>
      <c r="F2040" t="s">
        <v>546</v>
      </c>
      <c r="G2040" s="174">
        <v>45576.460914351854</v>
      </c>
    </row>
    <row r="2041" spans="1:7">
      <c r="A2041">
        <v>2051</v>
      </c>
      <c r="B2041" t="s">
        <v>3287</v>
      </c>
      <c r="C2041" t="s">
        <v>3288</v>
      </c>
      <c r="E2041">
        <v>0.01</v>
      </c>
      <c r="F2041" t="s">
        <v>546</v>
      </c>
      <c r="G2041" s="174">
        <v>45576.460914351854</v>
      </c>
    </row>
    <row r="2042" spans="1:7">
      <c r="A2042">
        <v>2052</v>
      </c>
      <c r="B2042" t="s">
        <v>3287</v>
      </c>
      <c r="C2042" t="s">
        <v>3289</v>
      </c>
      <c r="E2042" t="s">
        <v>1380</v>
      </c>
      <c r="F2042" t="s">
        <v>546</v>
      </c>
      <c r="G2042" s="174">
        <v>45576.460914351854</v>
      </c>
    </row>
    <row r="2043" spans="1:7">
      <c r="A2043">
        <v>2053</v>
      </c>
      <c r="B2043" t="s">
        <v>3287</v>
      </c>
      <c r="C2043" t="s">
        <v>1226</v>
      </c>
      <c r="E2043" t="s">
        <v>1380</v>
      </c>
      <c r="F2043" t="s">
        <v>546</v>
      </c>
      <c r="G2043" s="174">
        <v>45576.460914351854</v>
      </c>
    </row>
    <row r="2044" spans="1:7">
      <c r="A2044">
        <v>2054</v>
      </c>
      <c r="B2044" t="s">
        <v>3290</v>
      </c>
      <c r="C2044" t="s">
        <v>3291</v>
      </c>
      <c r="E2044">
        <v>0.01</v>
      </c>
      <c r="F2044" t="s">
        <v>546</v>
      </c>
      <c r="G2044" s="174">
        <v>45576.460914351854</v>
      </c>
    </row>
    <row r="2045" spans="1:7">
      <c r="A2045">
        <v>2055</v>
      </c>
      <c r="B2045" t="s">
        <v>3292</v>
      </c>
      <c r="C2045" t="s">
        <v>3293</v>
      </c>
      <c r="E2045">
        <v>0.1</v>
      </c>
      <c r="F2045" t="s">
        <v>546</v>
      </c>
      <c r="G2045" s="174">
        <v>45576.460914351854</v>
      </c>
    </row>
    <row r="2046" spans="1:7">
      <c r="A2046">
        <v>2056</v>
      </c>
      <c r="B2046" t="s">
        <v>3292</v>
      </c>
      <c r="C2046" t="s">
        <v>3294</v>
      </c>
      <c r="E2046">
        <v>0.01</v>
      </c>
      <c r="F2046" t="s">
        <v>546</v>
      </c>
      <c r="G2046" s="174">
        <v>45576.460914351854</v>
      </c>
    </row>
    <row r="2047" spans="1:7">
      <c r="A2047">
        <v>2057</v>
      </c>
      <c r="B2047" t="s">
        <v>3292</v>
      </c>
      <c r="C2047" t="s">
        <v>3295</v>
      </c>
      <c r="E2047">
        <v>0.01</v>
      </c>
      <c r="F2047" t="s">
        <v>546</v>
      </c>
      <c r="G2047" s="174">
        <v>45576.460914351854</v>
      </c>
    </row>
    <row r="2048" spans="1:7">
      <c r="A2048">
        <v>2058</v>
      </c>
      <c r="B2048" t="s">
        <v>3292</v>
      </c>
      <c r="C2048" t="s">
        <v>3296</v>
      </c>
      <c r="E2048">
        <v>0.1</v>
      </c>
      <c r="F2048" t="s">
        <v>546</v>
      </c>
      <c r="G2048" s="174">
        <v>45576.460914351854</v>
      </c>
    </row>
    <row r="2049" spans="1:7">
      <c r="A2049">
        <v>2059</v>
      </c>
      <c r="B2049" t="s">
        <v>3297</v>
      </c>
      <c r="C2049" t="s">
        <v>3298</v>
      </c>
      <c r="E2049">
        <v>0.01</v>
      </c>
      <c r="F2049" t="s">
        <v>546</v>
      </c>
      <c r="G2049" s="174">
        <v>45576.460914351854</v>
      </c>
    </row>
    <row r="2050" spans="1:7">
      <c r="A2050">
        <v>2060</v>
      </c>
      <c r="B2050" t="s">
        <v>3299</v>
      </c>
      <c r="C2050" t="s">
        <v>2768</v>
      </c>
      <c r="E2050">
        <v>0.01</v>
      </c>
      <c r="F2050" t="s">
        <v>546</v>
      </c>
      <c r="G2050" s="174">
        <v>45576.460914351854</v>
      </c>
    </row>
    <row r="2051" spans="1:7">
      <c r="A2051">
        <v>2061</v>
      </c>
      <c r="B2051" t="s">
        <v>3299</v>
      </c>
      <c r="C2051" t="s">
        <v>3300</v>
      </c>
      <c r="E2051">
        <v>0.01</v>
      </c>
      <c r="F2051" t="s">
        <v>546</v>
      </c>
      <c r="G2051" s="174">
        <v>45576.460914351854</v>
      </c>
    </row>
    <row r="2052" spans="1:7">
      <c r="A2052">
        <v>2062</v>
      </c>
      <c r="B2052" t="s">
        <v>3301</v>
      </c>
      <c r="C2052" t="s">
        <v>3302</v>
      </c>
      <c r="E2052">
        <v>0.01</v>
      </c>
      <c r="F2052" t="s">
        <v>546</v>
      </c>
      <c r="G2052" s="174">
        <v>45576.460914351854</v>
      </c>
    </row>
    <row r="2053" spans="1:7">
      <c r="A2053">
        <v>2063</v>
      </c>
      <c r="B2053" t="s">
        <v>3303</v>
      </c>
      <c r="C2053" t="s">
        <v>3304</v>
      </c>
      <c r="E2053">
        <v>0.05</v>
      </c>
      <c r="F2053" t="s">
        <v>546</v>
      </c>
      <c r="G2053" s="174">
        <v>45576.460914351854</v>
      </c>
    </row>
    <row r="2054" spans="1:7">
      <c r="A2054">
        <v>2064</v>
      </c>
      <c r="B2054" t="s">
        <v>3303</v>
      </c>
      <c r="C2054" t="s">
        <v>3305</v>
      </c>
      <c r="E2054">
        <v>0.1</v>
      </c>
      <c r="F2054" t="s">
        <v>546</v>
      </c>
      <c r="G2054" s="174">
        <v>45576.460914351854</v>
      </c>
    </row>
    <row r="2055" spans="1:7">
      <c r="A2055">
        <v>2065</v>
      </c>
      <c r="B2055" t="s">
        <v>3306</v>
      </c>
      <c r="C2055" t="s">
        <v>3307</v>
      </c>
      <c r="E2055">
        <v>0.1</v>
      </c>
      <c r="F2055" t="s">
        <v>546</v>
      </c>
      <c r="G2055" s="174">
        <v>45576.460914351854</v>
      </c>
    </row>
    <row r="2056" spans="1:7">
      <c r="A2056">
        <v>2066</v>
      </c>
      <c r="B2056" t="s">
        <v>3306</v>
      </c>
      <c r="C2056" t="s">
        <v>3308</v>
      </c>
      <c r="E2056">
        <v>1</v>
      </c>
      <c r="F2056" t="s">
        <v>546</v>
      </c>
      <c r="G2056" s="174">
        <v>45576.460914351854</v>
      </c>
    </row>
    <row r="2057" spans="1:7">
      <c r="A2057">
        <v>2069</v>
      </c>
      <c r="B2057" t="s">
        <v>3309</v>
      </c>
      <c r="C2057" t="s">
        <v>3310</v>
      </c>
      <c r="E2057">
        <v>0.01</v>
      </c>
      <c r="F2057" t="s">
        <v>546</v>
      </c>
      <c r="G2057" s="174">
        <v>45576.460914351854</v>
      </c>
    </row>
    <row r="2058" spans="1:7">
      <c r="A2058">
        <v>2070</v>
      </c>
      <c r="B2058" t="s">
        <v>3311</v>
      </c>
      <c r="C2058" t="s">
        <v>3312</v>
      </c>
      <c r="E2058">
        <v>0.01</v>
      </c>
      <c r="F2058" t="s">
        <v>546</v>
      </c>
      <c r="G2058" s="174">
        <v>45576.460914351854</v>
      </c>
    </row>
    <row r="2059" spans="1:7">
      <c r="A2059">
        <v>2072</v>
      </c>
      <c r="B2059" t="s">
        <v>3313</v>
      </c>
      <c r="C2059" t="s">
        <v>2758</v>
      </c>
      <c r="E2059">
        <v>0.1</v>
      </c>
      <c r="F2059" t="s">
        <v>546</v>
      </c>
      <c r="G2059" s="174">
        <v>45576.460914351854</v>
      </c>
    </row>
    <row r="2060" spans="1:7">
      <c r="A2060">
        <v>2073</v>
      </c>
      <c r="B2060" t="s">
        <v>3313</v>
      </c>
      <c r="C2060" t="s">
        <v>3314</v>
      </c>
      <c r="E2060">
        <v>0.01</v>
      </c>
      <c r="F2060" t="s">
        <v>546</v>
      </c>
      <c r="G2060" s="174">
        <v>45576.460914351854</v>
      </c>
    </row>
    <row r="2061" spans="1:7">
      <c r="A2061">
        <v>2074</v>
      </c>
      <c r="B2061" t="s">
        <v>3315</v>
      </c>
      <c r="C2061" t="s">
        <v>1136</v>
      </c>
      <c r="E2061">
        <v>0.1</v>
      </c>
      <c r="F2061" t="s">
        <v>546</v>
      </c>
      <c r="G2061" s="174">
        <v>45576.460914351854</v>
      </c>
    </row>
    <row r="2062" spans="1:7">
      <c r="A2062">
        <v>2075</v>
      </c>
      <c r="B2062" t="s">
        <v>3315</v>
      </c>
      <c r="C2062" t="s">
        <v>3316</v>
      </c>
      <c r="E2062">
        <v>0.01</v>
      </c>
      <c r="F2062" t="s">
        <v>546</v>
      </c>
      <c r="G2062" s="174">
        <v>45576.460914351854</v>
      </c>
    </row>
    <row r="2063" spans="1:7">
      <c r="A2063">
        <v>2076</v>
      </c>
      <c r="B2063" t="s">
        <v>3317</v>
      </c>
      <c r="C2063" t="s">
        <v>3318</v>
      </c>
      <c r="E2063">
        <v>0.01</v>
      </c>
      <c r="F2063" t="s">
        <v>546</v>
      </c>
      <c r="G2063" s="174">
        <v>45576.460914351854</v>
      </c>
    </row>
    <row r="2064" spans="1:7">
      <c r="A2064">
        <v>2077</v>
      </c>
      <c r="B2064" t="s">
        <v>3317</v>
      </c>
      <c r="C2064" t="s">
        <v>3319</v>
      </c>
      <c r="E2064">
        <v>0.01</v>
      </c>
      <c r="F2064" t="s">
        <v>546</v>
      </c>
      <c r="G2064" s="174">
        <v>45576.460914351854</v>
      </c>
    </row>
    <row r="2065" spans="1:7">
      <c r="A2065">
        <v>2078</v>
      </c>
      <c r="B2065" t="s">
        <v>3320</v>
      </c>
      <c r="C2065" t="s">
        <v>2871</v>
      </c>
      <c r="E2065">
        <v>0.01</v>
      </c>
      <c r="F2065" t="s">
        <v>546</v>
      </c>
      <c r="G2065" s="174">
        <v>45576.460914351854</v>
      </c>
    </row>
    <row r="2066" spans="1:7">
      <c r="A2066">
        <v>2079</v>
      </c>
      <c r="B2066" t="s">
        <v>3321</v>
      </c>
      <c r="C2066" t="s">
        <v>3322</v>
      </c>
      <c r="E2066">
        <v>0.6</v>
      </c>
      <c r="F2066" t="s">
        <v>546</v>
      </c>
      <c r="G2066" s="174">
        <v>45576.460914351854</v>
      </c>
    </row>
    <row r="2067" spans="1:7">
      <c r="A2067">
        <v>2080</v>
      </c>
      <c r="B2067" t="s">
        <v>3321</v>
      </c>
      <c r="C2067" t="s">
        <v>2969</v>
      </c>
      <c r="E2067">
        <v>0.8</v>
      </c>
      <c r="F2067" t="s">
        <v>546</v>
      </c>
      <c r="G2067" s="174">
        <v>45576.460914351854</v>
      </c>
    </row>
    <row r="2068" spans="1:7">
      <c r="A2068">
        <v>2081</v>
      </c>
      <c r="B2068" t="s">
        <v>767</v>
      </c>
      <c r="C2068" t="s">
        <v>3323</v>
      </c>
      <c r="E2068">
        <v>0.01</v>
      </c>
      <c r="F2068" t="s">
        <v>546</v>
      </c>
      <c r="G2068" s="174">
        <v>45576.460914351854</v>
      </c>
    </row>
    <row r="2069" spans="1:7">
      <c r="A2069">
        <v>2082</v>
      </c>
      <c r="B2069" t="s">
        <v>3324</v>
      </c>
      <c r="C2069" t="s">
        <v>3190</v>
      </c>
      <c r="E2069">
        <v>0.01</v>
      </c>
      <c r="F2069" t="s">
        <v>546</v>
      </c>
      <c r="G2069" s="174">
        <v>45576.460914351854</v>
      </c>
    </row>
    <row r="2070" spans="1:7">
      <c r="A2070">
        <v>2083</v>
      </c>
      <c r="B2070" t="s">
        <v>3325</v>
      </c>
      <c r="C2070" t="s">
        <v>2812</v>
      </c>
      <c r="E2070">
        <v>0.01</v>
      </c>
      <c r="F2070" t="s">
        <v>546</v>
      </c>
      <c r="G2070" s="174">
        <v>45576.460914351854</v>
      </c>
    </row>
    <row r="2071" spans="1:7">
      <c r="A2071">
        <v>2084</v>
      </c>
      <c r="B2071" t="s">
        <v>3326</v>
      </c>
      <c r="C2071" t="s">
        <v>3327</v>
      </c>
      <c r="E2071">
        <v>0.01</v>
      </c>
      <c r="F2071" t="s">
        <v>546</v>
      </c>
      <c r="G2071" s="174">
        <v>45576.460914351854</v>
      </c>
    </row>
    <row r="2072" spans="1:7">
      <c r="A2072">
        <v>2085</v>
      </c>
      <c r="B2072" t="s">
        <v>770</v>
      </c>
      <c r="C2072" t="s">
        <v>2814</v>
      </c>
      <c r="E2072">
        <v>0.01</v>
      </c>
      <c r="F2072" t="s">
        <v>546</v>
      </c>
      <c r="G2072" s="174">
        <v>45576.460914351854</v>
      </c>
    </row>
    <row r="2073" spans="1:7">
      <c r="A2073">
        <v>2086</v>
      </c>
      <c r="B2073" t="s">
        <v>772</v>
      </c>
      <c r="C2073" t="s">
        <v>3100</v>
      </c>
      <c r="E2073">
        <v>0.6</v>
      </c>
      <c r="F2073" t="s">
        <v>546</v>
      </c>
      <c r="G2073" s="174">
        <v>45576.460914351854</v>
      </c>
    </row>
    <row r="2074" spans="1:7">
      <c r="A2074">
        <v>2087</v>
      </c>
      <c r="B2074" t="s">
        <v>3328</v>
      </c>
      <c r="C2074" t="s">
        <v>3329</v>
      </c>
      <c r="E2074">
        <v>0.01</v>
      </c>
      <c r="F2074" t="s">
        <v>546</v>
      </c>
      <c r="G2074" s="174">
        <v>45576.460914351854</v>
      </c>
    </row>
    <row r="2075" spans="1:7">
      <c r="A2075">
        <v>2088</v>
      </c>
      <c r="B2075" t="s">
        <v>3330</v>
      </c>
      <c r="C2075" t="s">
        <v>3331</v>
      </c>
      <c r="E2075">
        <v>0.01</v>
      </c>
      <c r="F2075" t="s">
        <v>546</v>
      </c>
      <c r="G2075" s="174">
        <v>45576.460914351854</v>
      </c>
    </row>
    <row r="2076" spans="1:7">
      <c r="A2076">
        <v>2089</v>
      </c>
      <c r="B2076" t="s">
        <v>3332</v>
      </c>
      <c r="C2076" t="s">
        <v>3333</v>
      </c>
      <c r="E2076">
        <v>0.01</v>
      </c>
      <c r="F2076" t="s">
        <v>546</v>
      </c>
      <c r="G2076" s="174">
        <v>45576.460914351854</v>
      </c>
    </row>
    <row r="2077" spans="1:7">
      <c r="A2077">
        <v>2090</v>
      </c>
      <c r="B2077" t="s">
        <v>3334</v>
      </c>
      <c r="C2077" t="s">
        <v>3335</v>
      </c>
      <c r="E2077">
        <v>0.01</v>
      </c>
      <c r="F2077" t="s">
        <v>546</v>
      </c>
      <c r="G2077" s="174">
        <v>45576.460914351854</v>
      </c>
    </row>
    <row r="2078" spans="1:7">
      <c r="A2078">
        <v>2091</v>
      </c>
      <c r="B2078" t="s">
        <v>3336</v>
      </c>
      <c r="C2078" t="s">
        <v>3337</v>
      </c>
      <c r="E2078">
        <v>0.01</v>
      </c>
      <c r="F2078" t="s">
        <v>546</v>
      </c>
      <c r="G2078" s="174">
        <v>45576.460914351854</v>
      </c>
    </row>
    <row r="2079" spans="1:7">
      <c r="A2079">
        <v>2092</v>
      </c>
      <c r="B2079" t="s">
        <v>774</v>
      </c>
      <c r="C2079" t="s">
        <v>2810</v>
      </c>
      <c r="E2079">
        <v>0.01</v>
      </c>
      <c r="F2079" t="s">
        <v>546</v>
      </c>
      <c r="G2079" s="174">
        <v>45576.460914351854</v>
      </c>
    </row>
    <row r="2080" spans="1:7">
      <c r="A2080">
        <v>2093</v>
      </c>
      <c r="B2080" t="s">
        <v>3338</v>
      </c>
      <c r="C2080" t="s">
        <v>3339</v>
      </c>
      <c r="E2080">
        <v>0.01</v>
      </c>
      <c r="F2080" t="s">
        <v>546</v>
      </c>
      <c r="G2080" s="174">
        <v>45576.460914351854</v>
      </c>
    </row>
    <row r="2081" spans="1:7">
      <c r="A2081">
        <v>2094</v>
      </c>
      <c r="B2081" t="s">
        <v>3340</v>
      </c>
      <c r="C2081" t="s">
        <v>3341</v>
      </c>
      <c r="E2081">
        <v>0.01</v>
      </c>
      <c r="F2081" t="s">
        <v>546</v>
      </c>
      <c r="G2081" s="174">
        <v>45576.460914351854</v>
      </c>
    </row>
    <row r="2082" spans="1:7">
      <c r="A2082">
        <v>2095</v>
      </c>
      <c r="B2082" t="s">
        <v>776</v>
      </c>
      <c r="C2082" t="s">
        <v>3198</v>
      </c>
      <c r="E2082">
        <v>0.8</v>
      </c>
      <c r="F2082" t="s">
        <v>546</v>
      </c>
      <c r="G2082" s="174">
        <v>45576.460914351854</v>
      </c>
    </row>
    <row r="2083" spans="1:7">
      <c r="A2083">
        <v>2096</v>
      </c>
      <c r="B2083" t="s">
        <v>3342</v>
      </c>
      <c r="C2083" t="s">
        <v>3343</v>
      </c>
      <c r="E2083">
        <v>0.8</v>
      </c>
      <c r="F2083" t="s">
        <v>546</v>
      </c>
      <c r="G2083" s="174">
        <v>45576.460914351854</v>
      </c>
    </row>
    <row r="2084" spans="1:7">
      <c r="A2084">
        <v>2097</v>
      </c>
      <c r="B2084" t="s">
        <v>3342</v>
      </c>
      <c r="C2084" t="s">
        <v>3344</v>
      </c>
      <c r="E2084">
        <v>0.6</v>
      </c>
      <c r="F2084" t="s">
        <v>546</v>
      </c>
      <c r="G2084" s="174">
        <v>45576.460914351854</v>
      </c>
    </row>
    <row r="2085" spans="1:7">
      <c r="A2085">
        <v>2098</v>
      </c>
      <c r="B2085" t="s">
        <v>780</v>
      </c>
      <c r="C2085" t="s">
        <v>3237</v>
      </c>
      <c r="E2085">
        <v>0.01</v>
      </c>
      <c r="F2085" t="s">
        <v>546</v>
      </c>
      <c r="G2085" s="174">
        <v>45576.460914351854</v>
      </c>
    </row>
    <row r="2086" spans="1:7">
      <c r="A2086">
        <v>2099</v>
      </c>
      <c r="B2086" t="s">
        <v>3345</v>
      </c>
      <c r="C2086" t="s">
        <v>3346</v>
      </c>
      <c r="E2086">
        <v>0.01</v>
      </c>
      <c r="F2086" t="s">
        <v>546</v>
      </c>
      <c r="G2086" s="174">
        <v>45576.460914351854</v>
      </c>
    </row>
    <row r="2087" spans="1:7">
      <c r="A2087">
        <v>2100</v>
      </c>
      <c r="B2087" t="s">
        <v>3347</v>
      </c>
      <c r="C2087" t="s">
        <v>3348</v>
      </c>
      <c r="E2087">
        <v>0.01</v>
      </c>
      <c r="F2087" t="s">
        <v>546</v>
      </c>
      <c r="G2087" s="174">
        <v>45576.460914351854</v>
      </c>
    </row>
    <row r="2088" spans="1:7">
      <c r="A2088">
        <v>2101</v>
      </c>
      <c r="B2088" t="s">
        <v>781</v>
      </c>
      <c r="C2088" t="s">
        <v>3069</v>
      </c>
      <c r="E2088">
        <v>0.01</v>
      </c>
      <c r="F2088" t="s">
        <v>546</v>
      </c>
      <c r="G2088" s="174">
        <v>45576.460914351854</v>
      </c>
    </row>
    <row r="2089" spans="1:7">
      <c r="A2089">
        <v>2102</v>
      </c>
      <c r="B2089" t="s">
        <v>3349</v>
      </c>
      <c r="C2089" t="s">
        <v>3350</v>
      </c>
      <c r="E2089">
        <v>0.1</v>
      </c>
      <c r="F2089" t="s">
        <v>546</v>
      </c>
      <c r="G2089" s="174">
        <v>45576.460914351854</v>
      </c>
    </row>
    <row r="2090" spans="1:7">
      <c r="A2090">
        <v>2103</v>
      </c>
      <c r="B2090" t="s">
        <v>3351</v>
      </c>
      <c r="C2090" t="s">
        <v>2831</v>
      </c>
      <c r="E2090">
        <v>0.01</v>
      </c>
      <c r="F2090" t="s">
        <v>546</v>
      </c>
      <c r="G2090" s="174">
        <v>45576.460914351854</v>
      </c>
    </row>
    <row r="2091" spans="1:7">
      <c r="A2091">
        <v>2104</v>
      </c>
      <c r="B2091" t="s">
        <v>783</v>
      </c>
      <c r="C2091" t="s">
        <v>3102</v>
      </c>
      <c r="E2091">
        <v>0.01</v>
      </c>
      <c r="F2091" t="s">
        <v>546</v>
      </c>
      <c r="G2091" s="174">
        <v>45576.460914351854</v>
      </c>
    </row>
    <row r="2092" spans="1:7">
      <c r="A2092">
        <v>2105</v>
      </c>
      <c r="B2092" t="s">
        <v>3352</v>
      </c>
      <c r="C2092" t="s">
        <v>3353</v>
      </c>
      <c r="E2092">
        <v>0.01</v>
      </c>
      <c r="F2092" t="s">
        <v>546</v>
      </c>
      <c r="G2092" s="174">
        <v>45576.460914351854</v>
      </c>
    </row>
    <row r="2093" spans="1:7">
      <c r="A2093">
        <v>2106</v>
      </c>
      <c r="B2093" t="s">
        <v>785</v>
      </c>
      <c r="C2093" t="s">
        <v>3354</v>
      </c>
      <c r="E2093">
        <v>0.8</v>
      </c>
      <c r="F2093" t="s">
        <v>546</v>
      </c>
      <c r="G2093" s="174">
        <v>45576.460914351854</v>
      </c>
    </row>
    <row r="2094" spans="1:7">
      <c r="A2094">
        <v>2107</v>
      </c>
      <c r="B2094" t="s">
        <v>3355</v>
      </c>
      <c r="C2094" t="s">
        <v>3356</v>
      </c>
      <c r="E2094">
        <v>0.1</v>
      </c>
      <c r="F2094" t="s">
        <v>546</v>
      </c>
      <c r="G2094" s="174">
        <v>45576.460914351854</v>
      </c>
    </row>
    <row r="2095" spans="1:7">
      <c r="A2095">
        <v>2108</v>
      </c>
      <c r="B2095" t="s">
        <v>3355</v>
      </c>
      <c r="C2095" t="s">
        <v>3357</v>
      </c>
      <c r="E2095">
        <v>0.6</v>
      </c>
      <c r="F2095" t="s">
        <v>546</v>
      </c>
      <c r="G2095" s="174">
        <v>45576.460914351854</v>
      </c>
    </row>
    <row r="2096" spans="1:7">
      <c r="A2096">
        <v>2109</v>
      </c>
      <c r="B2096" t="s">
        <v>3355</v>
      </c>
      <c r="C2096" t="s">
        <v>2939</v>
      </c>
      <c r="E2096">
        <v>0.8</v>
      </c>
      <c r="F2096" t="s">
        <v>546</v>
      </c>
      <c r="G2096" s="174">
        <v>45576.460914351854</v>
      </c>
    </row>
    <row r="2097" spans="1:7">
      <c r="A2097">
        <v>2111</v>
      </c>
      <c r="B2097" t="s">
        <v>3358</v>
      </c>
      <c r="C2097" t="s">
        <v>2257</v>
      </c>
      <c r="E2097">
        <v>0.01</v>
      </c>
      <c r="F2097" t="s">
        <v>546</v>
      </c>
      <c r="G2097" s="174">
        <v>45576.460914351854</v>
      </c>
    </row>
    <row r="2098" spans="1:7">
      <c r="A2098">
        <v>2112</v>
      </c>
      <c r="B2098" t="s">
        <v>3359</v>
      </c>
      <c r="C2098" t="s">
        <v>3360</v>
      </c>
      <c r="E2098">
        <v>0.01</v>
      </c>
      <c r="F2098" t="s">
        <v>546</v>
      </c>
      <c r="G2098" s="174">
        <v>45576.460914351854</v>
      </c>
    </row>
    <row r="2099" spans="1:7">
      <c r="A2099">
        <v>2113</v>
      </c>
      <c r="B2099" t="s">
        <v>3361</v>
      </c>
      <c r="C2099" t="s">
        <v>3362</v>
      </c>
      <c r="E2099">
        <v>0.1</v>
      </c>
      <c r="F2099" t="s">
        <v>546</v>
      </c>
      <c r="G2099" s="174">
        <v>45576.460914351854</v>
      </c>
    </row>
    <row r="2100" spans="1:7">
      <c r="A2100">
        <v>2114</v>
      </c>
      <c r="B2100" t="s">
        <v>3363</v>
      </c>
      <c r="C2100" t="s">
        <v>3364</v>
      </c>
      <c r="E2100">
        <v>0.1</v>
      </c>
      <c r="F2100" t="s">
        <v>546</v>
      </c>
      <c r="G2100" s="174">
        <v>45576.460914351854</v>
      </c>
    </row>
    <row r="2101" spans="1:7">
      <c r="A2101">
        <v>2115</v>
      </c>
      <c r="B2101" t="s">
        <v>3365</v>
      </c>
      <c r="C2101" t="s">
        <v>3186</v>
      </c>
      <c r="E2101">
        <v>0.6</v>
      </c>
      <c r="F2101" t="s">
        <v>546</v>
      </c>
      <c r="G2101" s="174">
        <v>45576.460914351854</v>
      </c>
    </row>
    <row r="2102" spans="1:7">
      <c r="A2102">
        <v>2116</v>
      </c>
      <c r="B2102" t="s">
        <v>3365</v>
      </c>
      <c r="C2102" t="s">
        <v>3366</v>
      </c>
      <c r="E2102">
        <v>0.8</v>
      </c>
      <c r="F2102" t="s">
        <v>546</v>
      </c>
      <c r="G2102" s="174">
        <v>45576.460914351854</v>
      </c>
    </row>
    <row r="2103" spans="1:7">
      <c r="A2103">
        <v>2117</v>
      </c>
      <c r="B2103" t="s">
        <v>3367</v>
      </c>
      <c r="C2103" t="s">
        <v>2826</v>
      </c>
      <c r="E2103">
        <v>0.01</v>
      </c>
      <c r="F2103" t="s">
        <v>546</v>
      </c>
      <c r="G2103" s="174">
        <v>45576.460914351854</v>
      </c>
    </row>
    <row r="2104" spans="1:7">
      <c r="A2104">
        <v>2118</v>
      </c>
      <c r="B2104" t="s">
        <v>3368</v>
      </c>
      <c r="C2104" t="s">
        <v>3369</v>
      </c>
      <c r="E2104">
        <v>0.01</v>
      </c>
      <c r="F2104" t="s">
        <v>546</v>
      </c>
      <c r="G2104" s="174">
        <v>45576.460914351854</v>
      </c>
    </row>
    <row r="2105" spans="1:7">
      <c r="A2105">
        <v>2119</v>
      </c>
      <c r="B2105" t="s">
        <v>790</v>
      </c>
      <c r="C2105" t="s">
        <v>3370</v>
      </c>
      <c r="E2105">
        <v>0.01</v>
      </c>
      <c r="F2105" t="s">
        <v>546</v>
      </c>
      <c r="G2105" s="174">
        <v>45576.460914351854</v>
      </c>
    </row>
    <row r="2106" spans="1:7">
      <c r="A2106">
        <v>2120</v>
      </c>
      <c r="B2106" t="s">
        <v>792</v>
      </c>
      <c r="C2106" t="s">
        <v>3371</v>
      </c>
      <c r="E2106">
        <v>0.1</v>
      </c>
      <c r="F2106" t="s">
        <v>546</v>
      </c>
      <c r="G2106" s="174">
        <v>45576.460914351854</v>
      </c>
    </row>
    <row r="2107" spans="1:7">
      <c r="A2107">
        <v>2121</v>
      </c>
      <c r="B2107" t="s">
        <v>3372</v>
      </c>
      <c r="C2107" t="s">
        <v>3284</v>
      </c>
      <c r="E2107">
        <v>0.01</v>
      </c>
      <c r="F2107" t="s">
        <v>546</v>
      </c>
      <c r="G2107" s="174">
        <v>45576.460914351854</v>
      </c>
    </row>
    <row r="2108" spans="1:7">
      <c r="A2108">
        <v>2122</v>
      </c>
      <c r="B2108" t="s">
        <v>3373</v>
      </c>
      <c r="C2108" t="s">
        <v>2829</v>
      </c>
      <c r="E2108">
        <v>0.1</v>
      </c>
      <c r="F2108" t="s">
        <v>546</v>
      </c>
      <c r="G2108" s="174">
        <v>45576.460914351854</v>
      </c>
    </row>
    <row r="2109" spans="1:7">
      <c r="A2109">
        <v>2123</v>
      </c>
      <c r="B2109" t="s">
        <v>3373</v>
      </c>
      <c r="C2109" t="s">
        <v>3374</v>
      </c>
      <c r="E2109">
        <v>0.8</v>
      </c>
      <c r="G2109" s="174">
        <v>45576.460914351854</v>
      </c>
    </row>
    <row r="2110" spans="1:7">
      <c r="A2110">
        <v>2124</v>
      </c>
      <c r="B2110" t="s">
        <v>3373</v>
      </c>
      <c r="C2110" t="s">
        <v>3375</v>
      </c>
      <c r="E2110">
        <v>0.6</v>
      </c>
      <c r="F2110" t="s">
        <v>546</v>
      </c>
      <c r="G2110" s="174">
        <v>45576.460914351854</v>
      </c>
    </row>
    <row r="2111" spans="1:7">
      <c r="A2111">
        <v>2125</v>
      </c>
      <c r="B2111" t="s">
        <v>3373</v>
      </c>
      <c r="C2111" t="s">
        <v>3376</v>
      </c>
      <c r="E2111">
        <v>0.7</v>
      </c>
      <c r="F2111" t="s">
        <v>546</v>
      </c>
      <c r="G2111" s="174">
        <v>45576.460914351854</v>
      </c>
    </row>
    <row r="2112" spans="1:7">
      <c r="A2112">
        <v>2126</v>
      </c>
      <c r="B2112" t="s">
        <v>3377</v>
      </c>
      <c r="C2112" t="s">
        <v>3378</v>
      </c>
      <c r="E2112">
        <v>0.1</v>
      </c>
      <c r="F2112" t="s">
        <v>546</v>
      </c>
      <c r="G2112" s="174">
        <v>45576.460914351854</v>
      </c>
    </row>
    <row r="2113" spans="1:7">
      <c r="A2113">
        <v>2127</v>
      </c>
      <c r="B2113" t="s">
        <v>3379</v>
      </c>
      <c r="C2113" t="s">
        <v>1064</v>
      </c>
      <c r="E2113">
        <v>0.01</v>
      </c>
      <c r="F2113" t="s">
        <v>546</v>
      </c>
      <c r="G2113" s="174">
        <v>45576.460914351854</v>
      </c>
    </row>
    <row r="2114" spans="1:7">
      <c r="A2114">
        <v>2128</v>
      </c>
      <c r="B2114" t="s">
        <v>3380</v>
      </c>
      <c r="C2114" t="s">
        <v>3381</v>
      </c>
      <c r="E2114">
        <v>0.01</v>
      </c>
      <c r="F2114" t="s">
        <v>546</v>
      </c>
      <c r="G2114" s="174">
        <v>45576.460914351854</v>
      </c>
    </row>
    <row r="2115" spans="1:7">
      <c r="A2115">
        <v>2129</v>
      </c>
      <c r="B2115" t="s">
        <v>3380</v>
      </c>
      <c r="C2115" t="s">
        <v>3382</v>
      </c>
      <c r="E2115">
        <v>0.01</v>
      </c>
      <c r="F2115" t="s">
        <v>546</v>
      </c>
      <c r="G2115" s="174">
        <v>45576.460914351854</v>
      </c>
    </row>
    <row r="2116" spans="1:7">
      <c r="A2116">
        <v>2130</v>
      </c>
      <c r="B2116" t="s">
        <v>3383</v>
      </c>
      <c r="C2116" t="s">
        <v>3384</v>
      </c>
      <c r="E2116">
        <v>0.01</v>
      </c>
      <c r="F2116" t="s">
        <v>546</v>
      </c>
      <c r="G2116" s="174">
        <v>45576.460914351854</v>
      </c>
    </row>
    <row r="2117" spans="1:7">
      <c r="A2117">
        <v>2131</v>
      </c>
      <c r="B2117" t="s">
        <v>3385</v>
      </c>
      <c r="C2117" t="s">
        <v>3386</v>
      </c>
      <c r="E2117">
        <v>0.01</v>
      </c>
      <c r="F2117" t="s">
        <v>546</v>
      </c>
      <c r="G2117" s="174">
        <v>45576.460914351854</v>
      </c>
    </row>
    <row r="2118" spans="1:7">
      <c r="A2118">
        <v>2132</v>
      </c>
      <c r="B2118" t="s">
        <v>3387</v>
      </c>
      <c r="C2118" t="s">
        <v>3388</v>
      </c>
      <c r="E2118">
        <v>0.01</v>
      </c>
      <c r="F2118" t="s">
        <v>546</v>
      </c>
      <c r="G2118" s="174">
        <v>45576.460914351854</v>
      </c>
    </row>
    <row r="2119" spans="1:7">
      <c r="A2119">
        <v>2133</v>
      </c>
      <c r="B2119" t="s">
        <v>796</v>
      </c>
      <c r="C2119" t="s">
        <v>3389</v>
      </c>
      <c r="E2119">
        <v>0.01</v>
      </c>
      <c r="F2119" t="s">
        <v>546</v>
      </c>
      <c r="G2119" s="174">
        <v>45576.460914351854</v>
      </c>
    </row>
    <row r="2120" spans="1:7">
      <c r="A2120">
        <v>2134</v>
      </c>
      <c r="B2120" t="s">
        <v>796</v>
      </c>
      <c r="C2120" t="s">
        <v>3390</v>
      </c>
      <c r="E2120">
        <v>0.8</v>
      </c>
      <c r="F2120" t="s">
        <v>546</v>
      </c>
      <c r="G2120" s="174">
        <v>45576.460914351854</v>
      </c>
    </row>
    <row r="2121" spans="1:7">
      <c r="A2121">
        <v>2135</v>
      </c>
      <c r="B2121" t="s">
        <v>3391</v>
      </c>
      <c r="C2121" t="s">
        <v>3392</v>
      </c>
      <c r="E2121">
        <v>0.6</v>
      </c>
      <c r="F2121" t="s">
        <v>546</v>
      </c>
      <c r="G2121" s="174">
        <v>45576.460914351854</v>
      </c>
    </row>
    <row r="2122" spans="1:7">
      <c r="A2122">
        <v>2136</v>
      </c>
      <c r="B2122" t="s">
        <v>3393</v>
      </c>
      <c r="C2122" t="s">
        <v>3394</v>
      </c>
      <c r="E2122">
        <v>0.1</v>
      </c>
      <c r="F2122" t="s">
        <v>546</v>
      </c>
      <c r="G2122" s="174">
        <v>45576.460914351854</v>
      </c>
    </row>
    <row r="2123" spans="1:7">
      <c r="A2123">
        <v>2137</v>
      </c>
      <c r="B2123" t="s">
        <v>3395</v>
      </c>
      <c r="C2123" t="s">
        <v>3396</v>
      </c>
      <c r="E2123">
        <v>0.05</v>
      </c>
      <c r="F2123" t="s">
        <v>546</v>
      </c>
      <c r="G2123" s="174">
        <v>45576.460914351854</v>
      </c>
    </row>
    <row r="2124" spans="1:7">
      <c r="A2124">
        <v>2138</v>
      </c>
      <c r="B2124" t="s">
        <v>3395</v>
      </c>
      <c r="C2124" t="s">
        <v>3397</v>
      </c>
      <c r="E2124">
        <v>0.1</v>
      </c>
      <c r="F2124" t="s">
        <v>546</v>
      </c>
      <c r="G2124" s="174">
        <v>45576.460914351854</v>
      </c>
    </row>
    <row r="2125" spans="1:7">
      <c r="A2125">
        <v>2139</v>
      </c>
      <c r="B2125" t="s">
        <v>3398</v>
      </c>
      <c r="C2125" t="s">
        <v>2871</v>
      </c>
      <c r="E2125">
        <v>0.01</v>
      </c>
      <c r="F2125" t="s">
        <v>546</v>
      </c>
      <c r="G2125" s="174">
        <v>45576.460914351854</v>
      </c>
    </row>
    <row r="2126" spans="1:7">
      <c r="A2126">
        <v>2140</v>
      </c>
      <c r="B2126" t="s">
        <v>798</v>
      </c>
      <c r="C2126" t="s">
        <v>2068</v>
      </c>
      <c r="E2126">
        <v>0.6</v>
      </c>
      <c r="F2126" t="s">
        <v>3399</v>
      </c>
      <c r="G2126" s="174">
        <v>45576.460914351854</v>
      </c>
    </row>
    <row r="2127" spans="1:7">
      <c r="A2127">
        <v>2141</v>
      </c>
      <c r="B2127" t="s">
        <v>798</v>
      </c>
      <c r="C2127" t="s">
        <v>3400</v>
      </c>
      <c r="E2127">
        <v>0.8</v>
      </c>
      <c r="F2127" t="s">
        <v>546</v>
      </c>
      <c r="G2127" s="174">
        <v>45576.460914351854</v>
      </c>
    </row>
    <row r="2128" spans="1:7">
      <c r="A2128">
        <v>2142</v>
      </c>
      <c r="B2128" t="s">
        <v>798</v>
      </c>
      <c r="C2128" t="s">
        <v>3401</v>
      </c>
      <c r="E2128">
        <v>0.7</v>
      </c>
      <c r="F2128" t="s">
        <v>546</v>
      </c>
      <c r="G2128" s="174">
        <v>45576.460914351854</v>
      </c>
    </row>
    <row r="2129" spans="1:7">
      <c r="A2129">
        <v>2143</v>
      </c>
      <c r="B2129" t="s">
        <v>3402</v>
      </c>
      <c r="C2129" t="s">
        <v>3075</v>
      </c>
      <c r="E2129">
        <v>0.01</v>
      </c>
      <c r="F2129" t="s">
        <v>546</v>
      </c>
      <c r="G2129" s="174">
        <v>45576.460914351854</v>
      </c>
    </row>
    <row r="2130" spans="1:7">
      <c r="A2130">
        <v>2144</v>
      </c>
      <c r="B2130" t="s">
        <v>3402</v>
      </c>
      <c r="C2130" t="s">
        <v>3076</v>
      </c>
      <c r="E2130">
        <v>0.1</v>
      </c>
      <c r="F2130" t="s">
        <v>546</v>
      </c>
      <c r="G2130" s="174">
        <v>45576.460914351854</v>
      </c>
    </row>
    <row r="2131" spans="1:7">
      <c r="A2131">
        <v>2145</v>
      </c>
      <c r="B2131" t="s">
        <v>3403</v>
      </c>
      <c r="C2131" t="s">
        <v>3404</v>
      </c>
      <c r="E2131">
        <v>0.8</v>
      </c>
      <c r="F2131" t="s">
        <v>546</v>
      </c>
      <c r="G2131" s="174">
        <v>45576.460914351854</v>
      </c>
    </row>
    <row r="2132" spans="1:7">
      <c r="A2132">
        <v>2146</v>
      </c>
      <c r="B2132" t="s">
        <v>3405</v>
      </c>
      <c r="C2132" t="s">
        <v>3406</v>
      </c>
      <c r="E2132">
        <v>0.1</v>
      </c>
      <c r="F2132" t="s">
        <v>546</v>
      </c>
      <c r="G2132" s="174">
        <v>45576.460914351854</v>
      </c>
    </row>
    <row r="2133" spans="1:7">
      <c r="A2133">
        <v>2147</v>
      </c>
      <c r="B2133" t="s">
        <v>3405</v>
      </c>
      <c r="C2133" t="s">
        <v>3407</v>
      </c>
      <c r="E2133">
        <v>10</v>
      </c>
      <c r="F2133" t="s">
        <v>3408</v>
      </c>
      <c r="G2133" s="174">
        <v>45576.460914351854</v>
      </c>
    </row>
    <row r="2134" spans="1:7">
      <c r="A2134">
        <v>2148</v>
      </c>
      <c r="B2134" t="s">
        <v>3405</v>
      </c>
      <c r="C2134" t="s">
        <v>3409</v>
      </c>
      <c r="E2134">
        <v>0.05</v>
      </c>
      <c r="F2134" t="s">
        <v>546</v>
      </c>
      <c r="G2134" s="174">
        <v>45576.460914351854</v>
      </c>
    </row>
    <row r="2135" spans="1:7">
      <c r="A2135">
        <v>2149</v>
      </c>
      <c r="B2135" t="s">
        <v>3410</v>
      </c>
      <c r="C2135" t="s">
        <v>3411</v>
      </c>
      <c r="E2135">
        <v>0.01</v>
      </c>
      <c r="F2135" t="s">
        <v>546</v>
      </c>
      <c r="G2135" s="174">
        <v>45576.460914351854</v>
      </c>
    </row>
    <row r="2136" spans="1:7">
      <c r="A2136">
        <v>2150</v>
      </c>
      <c r="B2136" t="s">
        <v>803</v>
      </c>
      <c r="C2136" t="s">
        <v>3412</v>
      </c>
      <c r="E2136">
        <v>0.8</v>
      </c>
      <c r="F2136" t="s">
        <v>546</v>
      </c>
      <c r="G2136" s="174">
        <v>45576.460914351854</v>
      </c>
    </row>
    <row r="2137" spans="1:7">
      <c r="A2137">
        <v>2151</v>
      </c>
      <c r="B2137" t="s">
        <v>3413</v>
      </c>
      <c r="C2137" t="s">
        <v>2769</v>
      </c>
      <c r="E2137">
        <v>0.01</v>
      </c>
      <c r="F2137" t="s">
        <v>546</v>
      </c>
      <c r="G2137" s="174">
        <v>45576.460914351854</v>
      </c>
    </row>
    <row r="2138" spans="1:7">
      <c r="A2138">
        <v>2152</v>
      </c>
      <c r="B2138" t="s">
        <v>3414</v>
      </c>
      <c r="C2138" t="s">
        <v>2766</v>
      </c>
      <c r="E2138">
        <v>0.01</v>
      </c>
      <c r="F2138" t="s">
        <v>546</v>
      </c>
      <c r="G2138" s="174">
        <v>45576.460914351854</v>
      </c>
    </row>
    <row r="2139" spans="1:7">
      <c r="A2139">
        <v>2153</v>
      </c>
      <c r="B2139" t="s">
        <v>3415</v>
      </c>
      <c r="C2139" t="s">
        <v>3416</v>
      </c>
      <c r="E2139">
        <v>0.01</v>
      </c>
      <c r="F2139" t="s">
        <v>546</v>
      </c>
      <c r="G2139" s="174">
        <v>45576.460914351854</v>
      </c>
    </row>
    <row r="2140" spans="1:7">
      <c r="A2140">
        <v>2154</v>
      </c>
      <c r="B2140" t="s">
        <v>3417</v>
      </c>
      <c r="C2140" t="s">
        <v>3314</v>
      </c>
      <c r="E2140">
        <v>0.1</v>
      </c>
      <c r="F2140" t="s">
        <v>546</v>
      </c>
      <c r="G2140" s="174">
        <v>45576.460914351854</v>
      </c>
    </row>
    <row r="2141" spans="1:7">
      <c r="A2141">
        <v>2155</v>
      </c>
      <c r="B2141" t="s">
        <v>3418</v>
      </c>
      <c r="C2141" t="s">
        <v>3419</v>
      </c>
      <c r="E2141">
        <v>0.01</v>
      </c>
      <c r="F2141" t="s">
        <v>546</v>
      </c>
      <c r="G2141" s="174">
        <v>45576.460914351854</v>
      </c>
    </row>
    <row r="2142" spans="1:7">
      <c r="A2142">
        <v>2156</v>
      </c>
      <c r="B2142" t="s">
        <v>3420</v>
      </c>
      <c r="C2142" t="s">
        <v>3421</v>
      </c>
      <c r="E2142">
        <v>0.01</v>
      </c>
      <c r="F2142" t="s">
        <v>546</v>
      </c>
      <c r="G2142" s="174">
        <v>45576.460914351854</v>
      </c>
    </row>
    <row r="2143" spans="1:7">
      <c r="A2143">
        <v>2157</v>
      </c>
      <c r="B2143" t="s">
        <v>3420</v>
      </c>
      <c r="C2143" t="s">
        <v>3422</v>
      </c>
      <c r="E2143">
        <v>0.01</v>
      </c>
      <c r="F2143" t="s">
        <v>546</v>
      </c>
      <c r="G2143" s="174">
        <v>45576.460914351854</v>
      </c>
    </row>
    <row r="2144" spans="1:7">
      <c r="A2144">
        <v>2158</v>
      </c>
      <c r="B2144" t="s">
        <v>3423</v>
      </c>
      <c r="C2144" t="s">
        <v>3424</v>
      </c>
      <c r="E2144">
        <v>0.8</v>
      </c>
      <c r="F2144" t="s">
        <v>546</v>
      </c>
      <c r="G2144" s="174">
        <v>45576.460914351854</v>
      </c>
    </row>
    <row r="2145" spans="1:7">
      <c r="A2145">
        <v>2159</v>
      </c>
      <c r="B2145" t="s">
        <v>3423</v>
      </c>
      <c r="C2145" t="s">
        <v>3425</v>
      </c>
      <c r="E2145">
        <v>0.6</v>
      </c>
      <c r="F2145" t="s">
        <v>546</v>
      </c>
      <c r="G2145" s="174">
        <v>45576.460914351854</v>
      </c>
    </row>
    <row r="2146" spans="1:7">
      <c r="A2146">
        <v>2160</v>
      </c>
      <c r="B2146" t="s">
        <v>3426</v>
      </c>
      <c r="C2146" t="s">
        <v>3327</v>
      </c>
      <c r="E2146">
        <v>0.01</v>
      </c>
      <c r="F2146" t="s">
        <v>546</v>
      </c>
      <c r="G2146" s="174">
        <v>45576.460914351854</v>
      </c>
    </row>
    <row r="2147" spans="1:7">
      <c r="A2147">
        <v>2161</v>
      </c>
      <c r="B2147" t="s">
        <v>3427</v>
      </c>
      <c r="C2147" t="s">
        <v>3428</v>
      </c>
      <c r="E2147">
        <v>0.01</v>
      </c>
      <c r="F2147" t="s">
        <v>546</v>
      </c>
      <c r="G2147" s="174">
        <v>45576.460914351854</v>
      </c>
    </row>
    <row r="2148" spans="1:7">
      <c r="A2148">
        <v>2162</v>
      </c>
      <c r="B2148" t="s">
        <v>3429</v>
      </c>
      <c r="C2148" t="s">
        <v>3333</v>
      </c>
      <c r="E2148">
        <v>0.8</v>
      </c>
      <c r="F2148" t="s">
        <v>546</v>
      </c>
      <c r="G2148" s="174">
        <v>45576.460914351854</v>
      </c>
    </row>
    <row r="2149" spans="1:7">
      <c r="A2149">
        <v>2164</v>
      </c>
      <c r="B2149" t="s">
        <v>805</v>
      </c>
      <c r="C2149" t="s">
        <v>3430</v>
      </c>
      <c r="E2149">
        <v>0.01</v>
      </c>
      <c r="F2149" t="s">
        <v>546</v>
      </c>
      <c r="G2149" s="174">
        <v>45576.460914351854</v>
      </c>
    </row>
    <row r="2150" spans="1:7">
      <c r="A2150">
        <v>2165</v>
      </c>
      <c r="B2150" t="s">
        <v>3431</v>
      </c>
      <c r="C2150" t="s">
        <v>3432</v>
      </c>
      <c r="E2150">
        <v>0.8</v>
      </c>
      <c r="F2150" t="s">
        <v>546</v>
      </c>
      <c r="G2150" s="174">
        <v>45576.460914351854</v>
      </c>
    </row>
    <row r="2151" spans="1:7">
      <c r="A2151">
        <v>2166</v>
      </c>
      <c r="B2151" t="s">
        <v>3431</v>
      </c>
      <c r="C2151" t="s">
        <v>3433</v>
      </c>
      <c r="E2151">
        <v>0.5</v>
      </c>
      <c r="F2151" t="s">
        <v>546</v>
      </c>
      <c r="G2151" s="174">
        <v>45576.460914351854</v>
      </c>
    </row>
    <row r="2152" spans="1:7">
      <c r="A2152">
        <v>2167</v>
      </c>
      <c r="B2152" t="s">
        <v>808</v>
      </c>
      <c r="C2152" t="s">
        <v>3246</v>
      </c>
      <c r="E2152">
        <v>0.7</v>
      </c>
      <c r="F2152" t="s">
        <v>3434</v>
      </c>
      <c r="G2152" s="174">
        <v>45576.460914351854</v>
      </c>
    </row>
    <row r="2153" spans="1:7">
      <c r="A2153">
        <v>2168</v>
      </c>
      <c r="B2153" t="s">
        <v>808</v>
      </c>
      <c r="C2153" t="s">
        <v>3435</v>
      </c>
      <c r="E2153">
        <v>0.01</v>
      </c>
      <c r="F2153" t="s">
        <v>546</v>
      </c>
      <c r="G2153" s="174">
        <v>45576.460914351854</v>
      </c>
    </row>
    <row r="2154" spans="1:7">
      <c r="A2154">
        <v>2169</v>
      </c>
      <c r="B2154" t="s">
        <v>3436</v>
      </c>
      <c r="C2154" t="s">
        <v>3222</v>
      </c>
      <c r="E2154">
        <v>0.01</v>
      </c>
      <c r="F2154" t="s">
        <v>546</v>
      </c>
      <c r="G2154" s="174">
        <v>45576.460914351854</v>
      </c>
    </row>
    <row r="2155" spans="1:7">
      <c r="A2155">
        <v>2170</v>
      </c>
      <c r="B2155" t="s">
        <v>3436</v>
      </c>
      <c r="C2155" t="s">
        <v>3437</v>
      </c>
      <c r="E2155">
        <v>0.01</v>
      </c>
      <c r="F2155" t="s">
        <v>546</v>
      </c>
      <c r="G2155" s="174">
        <v>45576.460914351854</v>
      </c>
    </row>
    <row r="2156" spans="1:7">
      <c r="A2156">
        <v>2171</v>
      </c>
      <c r="B2156" t="s">
        <v>812</v>
      </c>
      <c r="C2156" t="s">
        <v>3438</v>
      </c>
      <c r="E2156">
        <v>0.8</v>
      </c>
      <c r="F2156" t="s">
        <v>546</v>
      </c>
      <c r="G2156" s="174">
        <v>45576.460914351854</v>
      </c>
    </row>
    <row r="2157" spans="1:7">
      <c r="A2157">
        <v>2172</v>
      </c>
      <c r="B2157" t="s">
        <v>3439</v>
      </c>
      <c r="C2157" t="s">
        <v>2817</v>
      </c>
      <c r="E2157">
        <v>0.8</v>
      </c>
      <c r="F2157" t="s">
        <v>546</v>
      </c>
      <c r="G2157" s="174">
        <v>45576.460914351854</v>
      </c>
    </row>
    <row r="2158" spans="1:7">
      <c r="A2158">
        <v>2173</v>
      </c>
      <c r="B2158" t="s">
        <v>3440</v>
      </c>
      <c r="C2158" t="s">
        <v>3441</v>
      </c>
      <c r="E2158">
        <v>0.01</v>
      </c>
      <c r="F2158" t="s">
        <v>546</v>
      </c>
      <c r="G2158" s="174">
        <v>45576.460914351854</v>
      </c>
    </row>
    <row r="2159" spans="1:7">
      <c r="A2159">
        <v>2174</v>
      </c>
      <c r="B2159" t="s">
        <v>3442</v>
      </c>
      <c r="C2159" t="s">
        <v>3443</v>
      </c>
      <c r="E2159">
        <v>0.01</v>
      </c>
      <c r="F2159" t="s">
        <v>546</v>
      </c>
      <c r="G2159" s="174">
        <v>45576.460914351854</v>
      </c>
    </row>
    <row r="2160" spans="1:7">
      <c r="A2160">
        <v>2175</v>
      </c>
      <c r="B2160" t="s">
        <v>3442</v>
      </c>
      <c r="C2160" t="s">
        <v>3444</v>
      </c>
      <c r="E2160">
        <v>0.01</v>
      </c>
      <c r="F2160" t="s">
        <v>546</v>
      </c>
      <c r="G2160" s="174">
        <v>45576.460914351854</v>
      </c>
    </row>
    <row r="2161" spans="1:7">
      <c r="A2161">
        <v>2176</v>
      </c>
      <c r="B2161" t="s">
        <v>3445</v>
      </c>
      <c r="C2161" t="s">
        <v>3038</v>
      </c>
      <c r="E2161">
        <v>0.01</v>
      </c>
      <c r="F2161" t="s">
        <v>546</v>
      </c>
      <c r="G2161" s="174">
        <v>45576.460914351854</v>
      </c>
    </row>
    <row r="2162" spans="1:7">
      <c r="A2162">
        <v>2177</v>
      </c>
      <c r="B2162" t="s">
        <v>3446</v>
      </c>
      <c r="C2162" t="s">
        <v>3389</v>
      </c>
      <c r="E2162">
        <v>0.01</v>
      </c>
      <c r="F2162" t="s">
        <v>546</v>
      </c>
      <c r="G2162" s="174">
        <v>45576.460914351854</v>
      </c>
    </row>
    <row r="2163" spans="1:7">
      <c r="A2163">
        <v>2178</v>
      </c>
      <c r="B2163" t="s">
        <v>3446</v>
      </c>
      <c r="C2163" t="s">
        <v>3390</v>
      </c>
      <c r="E2163">
        <v>0.01</v>
      </c>
      <c r="F2163" t="s">
        <v>546</v>
      </c>
      <c r="G2163" s="174">
        <v>45576.460914351854</v>
      </c>
    </row>
    <row r="2164" spans="1:7">
      <c r="A2164">
        <v>2179</v>
      </c>
      <c r="B2164" t="s">
        <v>3446</v>
      </c>
      <c r="C2164" t="s">
        <v>3447</v>
      </c>
      <c r="E2164">
        <v>0.01</v>
      </c>
      <c r="F2164" t="s">
        <v>546</v>
      </c>
      <c r="G2164" s="174">
        <v>45576.460914351854</v>
      </c>
    </row>
    <row r="2165" spans="1:7">
      <c r="A2165">
        <v>2180</v>
      </c>
      <c r="B2165" t="s">
        <v>3448</v>
      </c>
      <c r="C2165" t="s">
        <v>3062</v>
      </c>
      <c r="E2165">
        <v>0.01</v>
      </c>
      <c r="F2165" t="s">
        <v>546</v>
      </c>
      <c r="G2165" s="174">
        <v>45576.460914351854</v>
      </c>
    </row>
    <row r="2166" spans="1:7">
      <c r="A2166">
        <v>2181</v>
      </c>
      <c r="B2166" t="s">
        <v>3449</v>
      </c>
      <c r="C2166" t="s">
        <v>3450</v>
      </c>
      <c r="E2166">
        <v>0.1</v>
      </c>
      <c r="F2166" t="s">
        <v>546</v>
      </c>
      <c r="G2166" s="174">
        <v>45576.460914351854</v>
      </c>
    </row>
    <row r="2167" spans="1:7">
      <c r="A2167">
        <v>2182</v>
      </c>
      <c r="B2167" t="s">
        <v>3449</v>
      </c>
      <c r="C2167" t="s">
        <v>3451</v>
      </c>
      <c r="E2167">
        <v>0.01</v>
      </c>
      <c r="F2167" t="s">
        <v>546</v>
      </c>
      <c r="G2167" s="174">
        <v>45576.460914351854</v>
      </c>
    </row>
    <row r="2168" spans="1:7">
      <c r="A2168">
        <v>2183</v>
      </c>
      <c r="B2168" t="s">
        <v>3452</v>
      </c>
      <c r="C2168" t="s">
        <v>3453</v>
      </c>
      <c r="E2168">
        <v>0.01</v>
      </c>
      <c r="F2168" t="s">
        <v>546</v>
      </c>
      <c r="G2168" s="174">
        <v>45576.460914351854</v>
      </c>
    </row>
    <row r="2169" spans="1:7">
      <c r="A2169">
        <v>2184</v>
      </c>
      <c r="B2169" t="s">
        <v>3452</v>
      </c>
      <c r="C2169" t="s">
        <v>3454</v>
      </c>
      <c r="E2169">
        <v>0.01</v>
      </c>
      <c r="F2169" t="s">
        <v>546</v>
      </c>
      <c r="G2169" s="174">
        <v>45576.460914351854</v>
      </c>
    </row>
    <row r="2170" spans="1:7">
      <c r="A2170">
        <v>2185</v>
      </c>
      <c r="B2170" t="s">
        <v>3455</v>
      </c>
      <c r="C2170" t="s">
        <v>3175</v>
      </c>
      <c r="E2170">
        <v>0.01</v>
      </c>
      <c r="F2170" t="s">
        <v>546</v>
      </c>
      <c r="G2170" s="174">
        <v>45576.460914351854</v>
      </c>
    </row>
    <row r="2171" spans="1:7">
      <c r="A2171">
        <v>2186</v>
      </c>
      <c r="B2171" t="s">
        <v>3455</v>
      </c>
      <c r="C2171" t="s">
        <v>3456</v>
      </c>
      <c r="E2171">
        <v>0.01</v>
      </c>
      <c r="F2171" t="s">
        <v>546</v>
      </c>
      <c r="G2171" s="174">
        <v>45576.460914351854</v>
      </c>
    </row>
    <row r="2172" spans="1:7">
      <c r="A2172">
        <v>2187</v>
      </c>
      <c r="B2172" t="s">
        <v>3455</v>
      </c>
      <c r="C2172" t="s">
        <v>3457</v>
      </c>
      <c r="E2172">
        <v>0.01</v>
      </c>
      <c r="F2172" t="s">
        <v>546</v>
      </c>
      <c r="G2172" s="174">
        <v>45576.460914351854</v>
      </c>
    </row>
    <row r="2173" spans="1:7">
      <c r="A2173">
        <v>2188</v>
      </c>
      <c r="B2173" t="s">
        <v>3458</v>
      </c>
      <c r="C2173" t="s">
        <v>3083</v>
      </c>
      <c r="E2173">
        <v>0.01</v>
      </c>
      <c r="F2173" t="s">
        <v>546</v>
      </c>
      <c r="G2173" s="174">
        <v>45576.460914351854</v>
      </c>
    </row>
    <row r="2174" spans="1:7">
      <c r="A2174">
        <v>2189</v>
      </c>
      <c r="B2174" t="s">
        <v>813</v>
      </c>
      <c r="C2174" t="s">
        <v>2823</v>
      </c>
      <c r="E2174">
        <v>0.01</v>
      </c>
      <c r="F2174" t="s">
        <v>546</v>
      </c>
      <c r="G2174" s="174">
        <v>45576.460914351854</v>
      </c>
    </row>
    <row r="2175" spans="1:7">
      <c r="A2175">
        <v>2190</v>
      </c>
      <c r="B2175" t="s">
        <v>3459</v>
      </c>
      <c r="C2175" t="s">
        <v>3143</v>
      </c>
      <c r="E2175">
        <v>0.01</v>
      </c>
      <c r="F2175" t="s">
        <v>546</v>
      </c>
      <c r="G2175" s="174">
        <v>45576.460914351854</v>
      </c>
    </row>
    <row r="2176" spans="1:7">
      <c r="A2176">
        <v>2191</v>
      </c>
      <c r="B2176" t="s">
        <v>3460</v>
      </c>
      <c r="C2176" t="s">
        <v>3461</v>
      </c>
      <c r="E2176">
        <v>0.1</v>
      </c>
      <c r="F2176" t="s">
        <v>546</v>
      </c>
      <c r="G2176" s="174">
        <v>45576.460914351854</v>
      </c>
    </row>
    <row r="2177" spans="1:7">
      <c r="A2177">
        <v>2193</v>
      </c>
      <c r="B2177" t="s">
        <v>3462</v>
      </c>
      <c r="C2177" t="s">
        <v>3109</v>
      </c>
      <c r="E2177">
        <v>0.01</v>
      </c>
      <c r="F2177" t="s">
        <v>546</v>
      </c>
      <c r="G2177" s="174">
        <v>45576.460914351854</v>
      </c>
    </row>
    <row r="2178" spans="1:7">
      <c r="A2178">
        <v>2194</v>
      </c>
      <c r="B2178" t="s">
        <v>3463</v>
      </c>
      <c r="C2178" t="s">
        <v>3464</v>
      </c>
      <c r="E2178">
        <v>0.01</v>
      </c>
      <c r="F2178" t="s">
        <v>546</v>
      </c>
      <c r="G2178" s="174">
        <v>45576.460914351854</v>
      </c>
    </row>
    <row r="2179" spans="1:7">
      <c r="A2179">
        <v>2195</v>
      </c>
      <c r="B2179" t="s">
        <v>3465</v>
      </c>
      <c r="C2179" t="s">
        <v>3466</v>
      </c>
      <c r="E2179">
        <v>0.1</v>
      </c>
      <c r="F2179" t="s">
        <v>546</v>
      </c>
      <c r="G2179" s="174">
        <v>45576.460914351854</v>
      </c>
    </row>
    <row r="2180" spans="1:7">
      <c r="A2180">
        <v>2196</v>
      </c>
      <c r="B2180" t="s">
        <v>3467</v>
      </c>
      <c r="C2180" t="s">
        <v>3151</v>
      </c>
      <c r="E2180">
        <v>0.8</v>
      </c>
      <c r="F2180" t="s">
        <v>546</v>
      </c>
      <c r="G2180" s="174">
        <v>45576.460914351854</v>
      </c>
    </row>
    <row r="2181" spans="1:7">
      <c r="A2181">
        <v>2197</v>
      </c>
      <c r="B2181" t="s">
        <v>3467</v>
      </c>
      <c r="C2181" t="s">
        <v>3468</v>
      </c>
      <c r="E2181">
        <v>0.6</v>
      </c>
      <c r="F2181" t="s">
        <v>546</v>
      </c>
      <c r="G2181" s="174">
        <v>45576.460914351854</v>
      </c>
    </row>
    <row r="2182" spans="1:7">
      <c r="A2182">
        <v>2198</v>
      </c>
      <c r="B2182" t="s">
        <v>3469</v>
      </c>
      <c r="C2182" t="s">
        <v>3470</v>
      </c>
      <c r="E2182">
        <v>0.8</v>
      </c>
      <c r="F2182" t="s">
        <v>546</v>
      </c>
      <c r="G2182" s="174">
        <v>45576.460914351854</v>
      </c>
    </row>
    <row r="2183" spans="1:7">
      <c r="A2183">
        <v>2199</v>
      </c>
      <c r="B2183" t="s">
        <v>3469</v>
      </c>
      <c r="C2183" t="s">
        <v>3471</v>
      </c>
      <c r="E2183">
        <v>0.1</v>
      </c>
      <c r="F2183" t="s">
        <v>546</v>
      </c>
      <c r="G2183" s="174">
        <v>45576.460914351854</v>
      </c>
    </row>
    <row r="2184" spans="1:7">
      <c r="A2184">
        <v>2200</v>
      </c>
      <c r="B2184" t="s">
        <v>3469</v>
      </c>
      <c r="C2184" t="s">
        <v>3472</v>
      </c>
      <c r="E2184">
        <v>0.6</v>
      </c>
      <c r="F2184" t="s">
        <v>546</v>
      </c>
      <c r="G2184" s="174">
        <v>45576.460914351854</v>
      </c>
    </row>
    <row r="2185" spans="1:7">
      <c r="A2185">
        <v>2201</v>
      </c>
      <c r="B2185" t="s">
        <v>3473</v>
      </c>
      <c r="C2185" t="s">
        <v>3474</v>
      </c>
      <c r="E2185">
        <v>0.01</v>
      </c>
      <c r="F2185" t="s">
        <v>546</v>
      </c>
      <c r="G2185" s="174">
        <v>45576.460914351854</v>
      </c>
    </row>
    <row r="2186" spans="1:7">
      <c r="A2186">
        <v>2202</v>
      </c>
      <c r="B2186" t="s">
        <v>3475</v>
      </c>
      <c r="C2186" t="s">
        <v>2777</v>
      </c>
      <c r="E2186">
        <v>0.01</v>
      </c>
      <c r="F2186" t="s">
        <v>546</v>
      </c>
      <c r="G2186" s="174">
        <v>45576.460914351854</v>
      </c>
    </row>
    <row r="2187" spans="1:7">
      <c r="A2187">
        <v>2203</v>
      </c>
      <c r="B2187" t="s">
        <v>3476</v>
      </c>
      <c r="C2187" t="s">
        <v>3477</v>
      </c>
      <c r="E2187">
        <v>0.01</v>
      </c>
      <c r="F2187" t="s">
        <v>546</v>
      </c>
      <c r="G2187" s="174">
        <v>45576.460914351854</v>
      </c>
    </row>
    <row r="2188" spans="1:7">
      <c r="A2188">
        <v>2204</v>
      </c>
      <c r="B2188" t="s">
        <v>3476</v>
      </c>
      <c r="C2188" t="s">
        <v>3192</v>
      </c>
      <c r="E2188">
        <v>0.8</v>
      </c>
      <c r="F2188" t="s">
        <v>546</v>
      </c>
      <c r="G2188" s="174">
        <v>45576.460914351854</v>
      </c>
    </row>
    <row r="2189" spans="1:7">
      <c r="A2189">
        <v>2205</v>
      </c>
      <c r="B2189" t="s">
        <v>3478</v>
      </c>
      <c r="C2189" t="s">
        <v>3479</v>
      </c>
      <c r="E2189">
        <v>0.1</v>
      </c>
      <c r="F2189" t="s">
        <v>546</v>
      </c>
      <c r="G2189" s="174">
        <v>45576.460914351854</v>
      </c>
    </row>
    <row r="2190" spans="1:7">
      <c r="A2190">
        <v>2206</v>
      </c>
      <c r="B2190" t="s">
        <v>3480</v>
      </c>
      <c r="C2190" t="s">
        <v>3481</v>
      </c>
      <c r="E2190">
        <v>0.01</v>
      </c>
      <c r="F2190" t="s">
        <v>546</v>
      </c>
      <c r="G2190" s="174">
        <v>45576.460914351854</v>
      </c>
    </row>
    <row r="2191" spans="1:7">
      <c r="A2191">
        <v>2207</v>
      </c>
      <c r="B2191" t="s">
        <v>3482</v>
      </c>
      <c r="C2191" t="s">
        <v>3483</v>
      </c>
      <c r="E2191">
        <v>0.01</v>
      </c>
      <c r="F2191" t="s">
        <v>546</v>
      </c>
      <c r="G2191" s="174">
        <v>45576.460914351854</v>
      </c>
    </row>
    <row r="2192" spans="1:7">
      <c r="A2192">
        <v>2208</v>
      </c>
      <c r="B2192" t="s">
        <v>3484</v>
      </c>
      <c r="C2192" t="s">
        <v>3485</v>
      </c>
      <c r="E2192">
        <v>0.6</v>
      </c>
      <c r="F2192" t="s">
        <v>546</v>
      </c>
      <c r="G2192" s="174">
        <v>45576.460914351854</v>
      </c>
    </row>
    <row r="2193" spans="1:7">
      <c r="A2193">
        <v>2209</v>
      </c>
      <c r="B2193" t="s">
        <v>3484</v>
      </c>
      <c r="C2193" t="s">
        <v>3486</v>
      </c>
      <c r="E2193">
        <v>0.8</v>
      </c>
      <c r="F2193" t="s">
        <v>546</v>
      </c>
      <c r="G2193" s="174">
        <v>45576.460914351854</v>
      </c>
    </row>
    <row r="2194" spans="1:7">
      <c r="A2194">
        <v>2210</v>
      </c>
      <c r="B2194" t="s">
        <v>3487</v>
      </c>
      <c r="C2194" t="s">
        <v>3488</v>
      </c>
      <c r="E2194">
        <v>0.01</v>
      </c>
      <c r="F2194" t="s">
        <v>546</v>
      </c>
      <c r="G2194" s="174">
        <v>45576.460914351854</v>
      </c>
    </row>
    <row r="2195" spans="1:7">
      <c r="A2195">
        <v>2211</v>
      </c>
      <c r="B2195" t="s">
        <v>3487</v>
      </c>
      <c r="C2195" t="s">
        <v>3489</v>
      </c>
      <c r="E2195">
        <v>0.6</v>
      </c>
      <c r="F2195" t="s">
        <v>546</v>
      </c>
      <c r="G2195" s="174">
        <v>45576.460914351854</v>
      </c>
    </row>
    <row r="2196" spans="1:7">
      <c r="A2196">
        <v>2212</v>
      </c>
      <c r="B2196" t="s">
        <v>3487</v>
      </c>
      <c r="C2196" t="s">
        <v>3490</v>
      </c>
      <c r="E2196">
        <v>0.8</v>
      </c>
      <c r="F2196" t="s">
        <v>546</v>
      </c>
      <c r="G2196" s="174">
        <v>45576.460914351854</v>
      </c>
    </row>
    <row r="2197" spans="1:7">
      <c r="A2197">
        <v>2213</v>
      </c>
      <c r="B2197" t="s">
        <v>3491</v>
      </c>
      <c r="C2197" t="s">
        <v>2906</v>
      </c>
      <c r="E2197">
        <v>0.01</v>
      </c>
      <c r="F2197" t="s">
        <v>546</v>
      </c>
      <c r="G2197" s="174">
        <v>45576.460914351854</v>
      </c>
    </row>
    <row r="2198" spans="1:7">
      <c r="A2198">
        <v>2214</v>
      </c>
      <c r="B2198" t="s">
        <v>3492</v>
      </c>
      <c r="C2198" t="s">
        <v>3269</v>
      </c>
      <c r="E2198">
        <v>0.01</v>
      </c>
      <c r="F2198" t="s">
        <v>546</v>
      </c>
      <c r="G2198" s="174">
        <v>45576.460914351854</v>
      </c>
    </row>
    <row r="2199" spans="1:7">
      <c r="A2199">
        <v>2215</v>
      </c>
      <c r="B2199" t="s">
        <v>3493</v>
      </c>
      <c r="C2199" t="s">
        <v>3409</v>
      </c>
      <c r="E2199">
        <v>0.01</v>
      </c>
      <c r="F2199" t="s">
        <v>546</v>
      </c>
      <c r="G2199" s="174">
        <v>45576.460914351854</v>
      </c>
    </row>
    <row r="2200" spans="1:7">
      <c r="A2200">
        <v>2216</v>
      </c>
      <c r="B2200" t="s">
        <v>823</v>
      </c>
      <c r="C2200" t="s">
        <v>788</v>
      </c>
      <c r="E2200">
        <v>0.01</v>
      </c>
      <c r="F2200" t="s">
        <v>546</v>
      </c>
      <c r="G2200" s="174">
        <v>45576.460914351854</v>
      </c>
    </row>
    <row r="2201" spans="1:7">
      <c r="A2201">
        <v>2217</v>
      </c>
      <c r="B2201" t="s">
        <v>3494</v>
      </c>
      <c r="C2201" t="s">
        <v>3495</v>
      </c>
      <c r="E2201">
        <v>0.01</v>
      </c>
      <c r="F2201" t="s">
        <v>546</v>
      </c>
      <c r="G2201" s="174">
        <v>45576.460914351854</v>
      </c>
    </row>
    <row r="2202" spans="1:7">
      <c r="A2202">
        <v>2218</v>
      </c>
      <c r="B2202" t="s">
        <v>827</v>
      </c>
      <c r="C2202" t="s">
        <v>3242</v>
      </c>
      <c r="E2202">
        <v>0.1</v>
      </c>
      <c r="F2202" t="s">
        <v>546</v>
      </c>
      <c r="G2202" s="174">
        <v>45576.460914351854</v>
      </c>
    </row>
    <row r="2203" spans="1:7">
      <c r="A2203">
        <v>2219</v>
      </c>
      <c r="B2203" t="s">
        <v>3496</v>
      </c>
      <c r="C2203" t="s">
        <v>3453</v>
      </c>
      <c r="E2203">
        <v>0.1</v>
      </c>
      <c r="F2203" t="s">
        <v>546</v>
      </c>
      <c r="G2203" s="174">
        <v>45576.460914351854</v>
      </c>
    </row>
    <row r="2204" spans="1:7">
      <c r="A2204">
        <v>2220</v>
      </c>
      <c r="B2204" t="s">
        <v>3497</v>
      </c>
      <c r="C2204" t="s">
        <v>3498</v>
      </c>
      <c r="E2204">
        <v>0.01</v>
      </c>
      <c r="F2204" t="s">
        <v>546</v>
      </c>
      <c r="G2204" s="174">
        <v>45576.460914351854</v>
      </c>
    </row>
    <row r="2205" spans="1:7">
      <c r="A2205">
        <v>2221</v>
      </c>
      <c r="B2205" t="s">
        <v>3499</v>
      </c>
      <c r="C2205" t="s">
        <v>3500</v>
      </c>
      <c r="E2205">
        <v>0.01</v>
      </c>
      <c r="F2205" t="s">
        <v>546</v>
      </c>
      <c r="G2205" s="174">
        <v>45576.460914351854</v>
      </c>
    </row>
    <row r="2206" spans="1:7">
      <c r="A2206">
        <v>2222</v>
      </c>
      <c r="B2206" t="s">
        <v>3499</v>
      </c>
      <c r="C2206" t="s">
        <v>3501</v>
      </c>
      <c r="E2206">
        <v>0.01</v>
      </c>
      <c r="F2206" t="s">
        <v>546</v>
      </c>
      <c r="G2206" s="174">
        <v>45576.460914351854</v>
      </c>
    </row>
    <row r="2207" spans="1:7">
      <c r="A2207">
        <v>2223</v>
      </c>
      <c r="B2207" t="s">
        <v>836</v>
      </c>
      <c r="C2207" t="s">
        <v>3274</v>
      </c>
      <c r="E2207">
        <v>0.1</v>
      </c>
      <c r="F2207" t="s">
        <v>546</v>
      </c>
      <c r="G2207" s="174">
        <v>45576.460914351854</v>
      </c>
    </row>
    <row r="2208" spans="1:7">
      <c r="A2208">
        <v>2224</v>
      </c>
      <c r="B2208" t="s">
        <v>836</v>
      </c>
      <c r="C2208" t="s">
        <v>3502</v>
      </c>
      <c r="E2208">
        <v>0.1</v>
      </c>
      <c r="F2208" t="s">
        <v>546</v>
      </c>
      <c r="G2208" s="174">
        <v>45576.460914351854</v>
      </c>
    </row>
    <row r="2209" spans="1:7">
      <c r="A2209">
        <v>2225</v>
      </c>
      <c r="B2209" t="s">
        <v>3503</v>
      </c>
      <c r="C2209" t="s">
        <v>3504</v>
      </c>
      <c r="E2209">
        <v>0.1</v>
      </c>
      <c r="F2209" t="s">
        <v>546</v>
      </c>
      <c r="G2209" s="174">
        <v>45576.460914351854</v>
      </c>
    </row>
    <row r="2210" spans="1:7">
      <c r="A2210">
        <v>2226</v>
      </c>
      <c r="B2210" t="s">
        <v>3505</v>
      </c>
      <c r="C2210" t="s">
        <v>3506</v>
      </c>
      <c r="E2210">
        <v>0.01</v>
      </c>
      <c r="F2210" t="s">
        <v>546</v>
      </c>
      <c r="G2210" s="174">
        <v>45576.460914351854</v>
      </c>
    </row>
    <row r="2211" spans="1:7">
      <c r="A2211">
        <v>2227</v>
      </c>
      <c r="B2211" t="s">
        <v>843</v>
      </c>
      <c r="C2211" t="s">
        <v>3507</v>
      </c>
      <c r="E2211">
        <v>0.01</v>
      </c>
      <c r="F2211" t="s">
        <v>546</v>
      </c>
      <c r="G2211" s="174">
        <v>45576.460914351854</v>
      </c>
    </row>
    <row r="2212" spans="1:7">
      <c r="A2212">
        <v>2228</v>
      </c>
      <c r="B2212" t="s">
        <v>843</v>
      </c>
      <c r="C2212" t="s">
        <v>3508</v>
      </c>
      <c r="E2212">
        <v>0.8</v>
      </c>
      <c r="F2212" t="s">
        <v>546</v>
      </c>
      <c r="G2212" s="174">
        <v>45576.460914351854</v>
      </c>
    </row>
    <row r="2213" spans="1:7">
      <c r="A2213">
        <v>2230</v>
      </c>
      <c r="B2213" t="s">
        <v>3509</v>
      </c>
      <c r="C2213" t="s">
        <v>3510</v>
      </c>
      <c r="E2213">
        <v>0.8</v>
      </c>
      <c r="F2213" t="s">
        <v>546</v>
      </c>
      <c r="G2213" s="174">
        <v>45576.460914351854</v>
      </c>
    </row>
    <row r="2214" spans="1:7">
      <c r="A2214">
        <v>2231</v>
      </c>
      <c r="B2214" t="s">
        <v>3509</v>
      </c>
      <c r="C2214" t="s">
        <v>3511</v>
      </c>
      <c r="E2214">
        <v>0.5</v>
      </c>
      <c r="F2214" t="s">
        <v>546</v>
      </c>
      <c r="G2214" s="174">
        <v>45576.460914351854</v>
      </c>
    </row>
    <row r="2215" spans="1:7">
      <c r="A2215">
        <v>2232</v>
      </c>
      <c r="B2215" t="s">
        <v>3512</v>
      </c>
      <c r="C2215" t="s">
        <v>2856</v>
      </c>
      <c r="E2215">
        <v>0.01</v>
      </c>
      <c r="F2215" t="s">
        <v>546</v>
      </c>
      <c r="G2215" s="174">
        <v>45576.460914351854</v>
      </c>
    </row>
    <row r="2216" spans="1:7">
      <c r="A2216">
        <v>2233</v>
      </c>
      <c r="B2216" t="s">
        <v>3513</v>
      </c>
      <c r="C2216" t="s">
        <v>3514</v>
      </c>
      <c r="E2216">
        <v>0.01</v>
      </c>
      <c r="F2216" t="s">
        <v>546</v>
      </c>
      <c r="G2216" s="174">
        <v>45576.460914351854</v>
      </c>
    </row>
    <row r="2217" spans="1:7">
      <c r="A2217">
        <v>2234</v>
      </c>
      <c r="B2217" t="s">
        <v>3515</v>
      </c>
      <c r="C2217" t="s">
        <v>3516</v>
      </c>
      <c r="E2217">
        <v>0.01</v>
      </c>
      <c r="F2217" t="s">
        <v>546</v>
      </c>
      <c r="G2217" s="174">
        <v>45576.460914351854</v>
      </c>
    </row>
    <row r="2218" spans="1:7">
      <c r="A2218">
        <v>2235</v>
      </c>
      <c r="B2218" t="s">
        <v>3517</v>
      </c>
      <c r="C2218" t="s">
        <v>3518</v>
      </c>
      <c r="E2218">
        <v>0.01</v>
      </c>
      <c r="F2218" t="s">
        <v>546</v>
      </c>
      <c r="G2218" s="174">
        <v>45576.460914351854</v>
      </c>
    </row>
    <row r="2219" spans="1:7">
      <c r="A2219">
        <v>2236</v>
      </c>
      <c r="B2219" t="s">
        <v>3519</v>
      </c>
      <c r="C2219" t="s">
        <v>3520</v>
      </c>
      <c r="E2219">
        <v>0.01</v>
      </c>
      <c r="F2219" t="s">
        <v>546</v>
      </c>
      <c r="G2219" s="174">
        <v>45576.460914351854</v>
      </c>
    </row>
    <row r="2220" spans="1:7">
      <c r="A2220">
        <v>2237</v>
      </c>
      <c r="B2220" t="s">
        <v>3519</v>
      </c>
      <c r="C2220" t="s">
        <v>3521</v>
      </c>
      <c r="E2220">
        <v>0.01</v>
      </c>
      <c r="F2220" t="s">
        <v>546</v>
      </c>
      <c r="G2220" s="174">
        <v>45576.460914351854</v>
      </c>
    </row>
    <row r="2221" spans="1:7">
      <c r="A2221">
        <v>2238</v>
      </c>
      <c r="B2221" t="s">
        <v>3522</v>
      </c>
      <c r="C2221" t="s">
        <v>3523</v>
      </c>
      <c r="E2221">
        <v>0.7</v>
      </c>
      <c r="F2221" t="s">
        <v>546</v>
      </c>
      <c r="G2221" s="174">
        <v>45576.460914351854</v>
      </c>
    </row>
    <row r="2222" spans="1:7">
      <c r="A2222">
        <v>2239</v>
      </c>
      <c r="B2222" t="s">
        <v>3522</v>
      </c>
      <c r="C2222" t="s">
        <v>3524</v>
      </c>
      <c r="E2222">
        <v>0.8</v>
      </c>
      <c r="F2222" t="s">
        <v>3525</v>
      </c>
      <c r="G2222" s="174">
        <v>45576.460914351854</v>
      </c>
    </row>
    <row r="2223" spans="1:7">
      <c r="A2223">
        <v>2240</v>
      </c>
      <c r="B2223" t="s">
        <v>3526</v>
      </c>
      <c r="C2223" t="s">
        <v>3527</v>
      </c>
      <c r="E2223">
        <v>0.01</v>
      </c>
      <c r="F2223" t="s">
        <v>546</v>
      </c>
      <c r="G2223" s="174">
        <v>45576.460914351854</v>
      </c>
    </row>
    <row r="2224" spans="1:7">
      <c r="A2224">
        <v>2241</v>
      </c>
      <c r="B2224" t="s">
        <v>3526</v>
      </c>
      <c r="C2224" t="s">
        <v>2911</v>
      </c>
      <c r="E2224">
        <v>0.01</v>
      </c>
      <c r="F2224" t="s">
        <v>546</v>
      </c>
      <c r="G2224" s="174">
        <v>45576.460914351854</v>
      </c>
    </row>
    <row r="2225" spans="1:7">
      <c r="A2225">
        <v>2242</v>
      </c>
      <c r="B2225" t="s">
        <v>3528</v>
      </c>
      <c r="C2225" t="s">
        <v>3529</v>
      </c>
      <c r="E2225">
        <v>0.01</v>
      </c>
      <c r="F2225" t="s">
        <v>546</v>
      </c>
      <c r="G2225" s="174">
        <v>45576.460914351854</v>
      </c>
    </row>
    <row r="2226" spans="1:7">
      <c r="A2226">
        <v>2243</v>
      </c>
      <c r="B2226" t="s">
        <v>3528</v>
      </c>
      <c r="C2226" t="s">
        <v>3530</v>
      </c>
      <c r="E2226">
        <v>0.01</v>
      </c>
      <c r="F2226" t="s">
        <v>546</v>
      </c>
      <c r="G2226" s="174">
        <v>45576.460914351854</v>
      </c>
    </row>
    <row r="2227" spans="1:7">
      <c r="A2227">
        <v>2244</v>
      </c>
      <c r="B2227" t="s">
        <v>3531</v>
      </c>
      <c r="C2227" t="s">
        <v>3532</v>
      </c>
      <c r="E2227">
        <v>0.01</v>
      </c>
      <c r="F2227" t="s">
        <v>546</v>
      </c>
      <c r="G2227" s="174">
        <v>45576.460914351854</v>
      </c>
    </row>
    <row r="2228" spans="1:7">
      <c r="A2228">
        <v>2245</v>
      </c>
      <c r="B2228" t="s">
        <v>3533</v>
      </c>
      <c r="C2228" t="s">
        <v>3534</v>
      </c>
      <c r="E2228">
        <v>0.01</v>
      </c>
      <c r="F2228" t="s">
        <v>546</v>
      </c>
      <c r="G2228" s="174">
        <v>45576.460914351854</v>
      </c>
    </row>
    <row r="2229" spans="1:7">
      <c r="A2229">
        <v>2246</v>
      </c>
      <c r="B2229" t="s">
        <v>3533</v>
      </c>
      <c r="C2229" t="s">
        <v>3535</v>
      </c>
      <c r="E2229">
        <v>0.01</v>
      </c>
      <c r="F2229" t="s">
        <v>546</v>
      </c>
      <c r="G2229" s="174">
        <v>45576.460914351854</v>
      </c>
    </row>
    <row r="2230" spans="1:7">
      <c r="A2230">
        <v>2247</v>
      </c>
      <c r="B2230" t="s">
        <v>3536</v>
      </c>
      <c r="C2230" t="s">
        <v>2766</v>
      </c>
      <c r="E2230">
        <v>0.01</v>
      </c>
      <c r="F2230" t="s">
        <v>546</v>
      </c>
      <c r="G2230" s="174">
        <v>45576.460914351854</v>
      </c>
    </row>
    <row r="2231" spans="1:7">
      <c r="A2231">
        <v>2248</v>
      </c>
      <c r="B2231" t="s">
        <v>3537</v>
      </c>
      <c r="C2231" t="s">
        <v>3538</v>
      </c>
      <c r="E2231">
        <v>0.01</v>
      </c>
      <c r="F2231" t="s">
        <v>546</v>
      </c>
      <c r="G2231" s="174">
        <v>45576.460914351854</v>
      </c>
    </row>
    <row r="2232" spans="1:7">
      <c r="A2232">
        <v>2249</v>
      </c>
      <c r="B2232" t="s">
        <v>3537</v>
      </c>
      <c r="C2232" t="s">
        <v>3529</v>
      </c>
      <c r="E2232">
        <v>0.01</v>
      </c>
      <c r="F2232" t="s">
        <v>546</v>
      </c>
      <c r="G2232" s="174">
        <v>45576.460914351854</v>
      </c>
    </row>
    <row r="2233" spans="1:7">
      <c r="A2233">
        <v>2250</v>
      </c>
      <c r="B2233" t="s">
        <v>3539</v>
      </c>
      <c r="C2233" t="s">
        <v>3540</v>
      </c>
      <c r="E2233">
        <v>0.01</v>
      </c>
      <c r="F2233" t="s">
        <v>546</v>
      </c>
      <c r="G2233" s="174">
        <v>45576.460914351854</v>
      </c>
    </row>
    <row r="2234" spans="1:7">
      <c r="A2234">
        <v>2251</v>
      </c>
      <c r="B2234" t="s">
        <v>3541</v>
      </c>
      <c r="C2234" t="s">
        <v>3542</v>
      </c>
      <c r="E2234">
        <v>0.01</v>
      </c>
      <c r="F2234" t="s">
        <v>546</v>
      </c>
      <c r="G2234" s="174">
        <v>45576.460914351854</v>
      </c>
    </row>
    <row r="2235" spans="1:7">
      <c r="A2235">
        <v>2252</v>
      </c>
      <c r="B2235" t="s">
        <v>3541</v>
      </c>
      <c r="C2235" t="s">
        <v>3543</v>
      </c>
      <c r="E2235">
        <v>0.01</v>
      </c>
      <c r="F2235" t="s">
        <v>546</v>
      </c>
      <c r="G2235" s="174">
        <v>45576.460914351854</v>
      </c>
    </row>
    <row r="2236" spans="1:7">
      <c r="A2236">
        <v>2253</v>
      </c>
      <c r="B2236" t="s">
        <v>3541</v>
      </c>
      <c r="C2236" t="s">
        <v>3544</v>
      </c>
      <c r="E2236">
        <v>0.06</v>
      </c>
      <c r="F2236" t="s">
        <v>546</v>
      </c>
      <c r="G2236" s="174">
        <v>45576.460914351854</v>
      </c>
    </row>
    <row r="2237" spans="1:7">
      <c r="A2237">
        <v>2254</v>
      </c>
      <c r="B2237" t="s">
        <v>3545</v>
      </c>
      <c r="C2237" t="s">
        <v>3244</v>
      </c>
      <c r="E2237">
        <v>0.01</v>
      </c>
      <c r="F2237" t="s">
        <v>546</v>
      </c>
      <c r="G2237" s="174">
        <v>45576.460914351854</v>
      </c>
    </row>
    <row r="2238" spans="1:7">
      <c r="A2238">
        <v>2255</v>
      </c>
      <c r="B2238" t="s">
        <v>3546</v>
      </c>
      <c r="C2238" t="s">
        <v>3529</v>
      </c>
      <c r="E2238">
        <v>0.1</v>
      </c>
      <c r="F2238" t="s">
        <v>546</v>
      </c>
      <c r="G2238" s="174">
        <v>45576.460914351854</v>
      </c>
    </row>
    <row r="2239" spans="1:7">
      <c r="A2239">
        <v>2256</v>
      </c>
      <c r="B2239" t="s">
        <v>3546</v>
      </c>
      <c r="C2239" t="s">
        <v>3538</v>
      </c>
      <c r="E2239">
        <v>0.1</v>
      </c>
      <c r="F2239" t="s">
        <v>546</v>
      </c>
      <c r="G2239" s="174">
        <v>45576.460914351854</v>
      </c>
    </row>
    <row r="2240" spans="1:7">
      <c r="A2240">
        <v>2257</v>
      </c>
      <c r="B2240" t="s">
        <v>3547</v>
      </c>
      <c r="C2240" t="s">
        <v>3548</v>
      </c>
      <c r="E2240">
        <v>0.01</v>
      </c>
      <c r="F2240" t="s">
        <v>546</v>
      </c>
      <c r="G2240" s="174">
        <v>45576.460914351854</v>
      </c>
    </row>
    <row r="2241" spans="1:7">
      <c r="A2241">
        <v>2258</v>
      </c>
      <c r="B2241" t="s">
        <v>3547</v>
      </c>
      <c r="C2241" t="s">
        <v>3274</v>
      </c>
      <c r="E2241">
        <v>0.1</v>
      </c>
      <c r="F2241" t="s">
        <v>546</v>
      </c>
      <c r="G2241" s="174">
        <v>45576.460914351854</v>
      </c>
    </row>
    <row r="2242" spans="1:7">
      <c r="A2242">
        <v>2259</v>
      </c>
      <c r="B2242" t="s">
        <v>3549</v>
      </c>
      <c r="C2242" t="s">
        <v>3550</v>
      </c>
      <c r="E2242">
        <v>0.01</v>
      </c>
      <c r="F2242" t="s">
        <v>546</v>
      </c>
      <c r="G2242" s="174">
        <v>45576.460914351854</v>
      </c>
    </row>
    <row r="2243" spans="1:7">
      <c r="A2243">
        <v>2260</v>
      </c>
      <c r="B2243" t="s">
        <v>3551</v>
      </c>
      <c r="C2243" t="s">
        <v>3552</v>
      </c>
      <c r="E2243">
        <v>0.01</v>
      </c>
      <c r="F2243" t="s">
        <v>546</v>
      </c>
      <c r="G2243" s="174">
        <v>45576.460914351854</v>
      </c>
    </row>
    <row r="2244" spans="1:7">
      <c r="A2244">
        <v>2261</v>
      </c>
      <c r="B2244" t="s">
        <v>3553</v>
      </c>
      <c r="C2244" t="s">
        <v>3554</v>
      </c>
      <c r="E2244">
        <v>0.01</v>
      </c>
      <c r="F2244" t="s">
        <v>546</v>
      </c>
      <c r="G2244" s="174">
        <v>45576.460914351854</v>
      </c>
    </row>
    <row r="2245" spans="1:7">
      <c r="A2245">
        <v>2262</v>
      </c>
      <c r="B2245" t="s">
        <v>3555</v>
      </c>
      <c r="C2245" t="s">
        <v>3248</v>
      </c>
      <c r="E2245">
        <v>0.8</v>
      </c>
      <c r="F2245" t="s">
        <v>3556</v>
      </c>
      <c r="G2245" s="174">
        <v>45576.460914351854</v>
      </c>
    </row>
    <row r="2246" spans="1:7">
      <c r="A2246">
        <v>2263</v>
      </c>
      <c r="B2246" t="s">
        <v>3555</v>
      </c>
      <c r="C2246" t="s">
        <v>3557</v>
      </c>
      <c r="E2246">
        <v>0.7</v>
      </c>
      <c r="F2246" t="s">
        <v>3558</v>
      </c>
      <c r="G2246" s="174">
        <v>45576.460914351854</v>
      </c>
    </row>
    <row r="2247" spans="1:7">
      <c r="A2247">
        <v>2264</v>
      </c>
      <c r="B2247" t="s">
        <v>3559</v>
      </c>
      <c r="C2247" t="s">
        <v>3560</v>
      </c>
      <c r="E2247">
        <v>0.01</v>
      </c>
      <c r="F2247" t="s">
        <v>546</v>
      </c>
      <c r="G2247" s="174">
        <v>45576.460914351854</v>
      </c>
    </row>
    <row r="2248" spans="1:7">
      <c r="A2248">
        <v>2265</v>
      </c>
      <c r="B2248" t="s">
        <v>3561</v>
      </c>
      <c r="C2248" t="s">
        <v>3562</v>
      </c>
      <c r="E2248">
        <v>0.01</v>
      </c>
      <c r="F2248" t="s">
        <v>546</v>
      </c>
      <c r="G2248" s="174">
        <v>45576.460914351854</v>
      </c>
    </row>
    <row r="2249" spans="1:7">
      <c r="A2249">
        <v>2266</v>
      </c>
      <c r="B2249" t="s">
        <v>3563</v>
      </c>
      <c r="C2249" t="s">
        <v>3564</v>
      </c>
      <c r="E2249">
        <v>0.1</v>
      </c>
      <c r="F2249" t="s">
        <v>546</v>
      </c>
      <c r="G2249" s="174">
        <v>45576.460914351854</v>
      </c>
    </row>
    <row r="2250" spans="1:7">
      <c r="A2250">
        <v>2267</v>
      </c>
      <c r="B2250" t="s">
        <v>3565</v>
      </c>
      <c r="C2250" t="s">
        <v>3050</v>
      </c>
      <c r="E2250">
        <v>0.01</v>
      </c>
      <c r="F2250" t="s">
        <v>546</v>
      </c>
      <c r="G2250" s="174">
        <v>45576.460914351854</v>
      </c>
    </row>
    <row r="2251" spans="1:7">
      <c r="A2251">
        <v>2268</v>
      </c>
      <c r="B2251" t="s">
        <v>3566</v>
      </c>
      <c r="C2251" t="s">
        <v>3567</v>
      </c>
      <c r="E2251">
        <v>0.01</v>
      </c>
      <c r="F2251" t="s">
        <v>546</v>
      </c>
      <c r="G2251" s="174">
        <v>45576.460914351854</v>
      </c>
    </row>
    <row r="2252" spans="1:7">
      <c r="A2252">
        <v>2269</v>
      </c>
      <c r="B2252" t="s">
        <v>3568</v>
      </c>
      <c r="C2252" t="s">
        <v>3569</v>
      </c>
      <c r="E2252">
        <v>0.1</v>
      </c>
      <c r="F2252" t="s">
        <v>546</v>
      </c>
      <c r="G2252" s="174">
        <v>45576.460914351854</v>
      </c>
    </row>
    <row r="2253" spans="1:7">
      <c r="A2253">
        <v>2270</v>
      </c>
      <c r="B2253" t="s">
        <v>3570</v>
      </c>
      <c r="C2253" t="s">
        <v>3571</v>
      </c>
      <c r="E2253">
        <v>0.01</v>
      </c>
      <c r="F2253" t="s">
        <v>546</v>
      </c>
      <c r="G2253" s="174">
        <v>45576.460914351854</v>
      </c>
    </row>
    <row r="2254" spans="1:7">
      <c r="A2254">
        <v>2271</v>
      </c>
      <c r="B2254" t="s">
        <v>3572</v>
      </c>
      <c r="C2254" t="s">
        <v>2831</v>
      </c>
      <c r="E2254">
        <v>0.01</v>
      </c>
      <c r="F2254" t="s">
        <v>546</v>
      </c>
      <c r="G2254" s="174">
        <v>45576.460914351854</v>
      </c>
    </row>
    <row r="2255" spans="1:7">
      <c r="A2255">
        <v>2272</v>
      </c>
      <c r="B2255" t="s">
        <v>3573</v>
      </c>
      <c r="C2255" t="s">
        <v>3574</v>
      </c>
      <c r="E2255">
        <v>0.01</v>
      </c>
      <c r="F2255" t="s">
        <v>546</v>
      </c>
      <c r="G2255" s="174">
        <v>45576.460914351854</v>
      </c>
    </row>
    <row r="2256" spans="1:7">
      <c r="A2256">
        <v>2273</v>
      </c>
      <c r="B2256" t="s">
        <v>3575</v>
      </c>
      <c r="C2256" t="s">
        <v>2856</v>
      </c>
      <c r="E2256">
        <v>0.01</v>
      </c>
      <c r="F2256" t="s">
        <v>546</v>
      </c>
      <c r="G2256" s="174">
        <v>45576.460914351854</v>
      </c>
    </row>
    <row r="2257" spans="1:7">
      <c r="A2257">
        <v>2274</v>
      </c>
      <c r="B2257" t="s">
        <v>3576</v>
      </c>
      <c r="C2257" t="s">
        <v>3577</v>
      </c>
      <c r="E2257">
        <v>0.01</v>
      </c>
      <c r="F2257" t="s">
        <v>546</v>
      </c>
      <c r="G2257" s="174">
        <v>45576.460914351854</v>
      </c>
    </row>
    <row r="2258" spans="1:7">
      <c r="A2258">
        <v>2275</v>
      </c>
      <c r="B2258" t="s">
        <v>3578</v>
      </c>
      <c r="C2258" t="s">
        <v>2976</v>
      </c>
      <c r="E2258">
        <v>0.01</v>
      </c>
      <c r="F2258" t="s">
        <v>546</v>
      </c>
      <c r="G2258" s="174">
        <v>45576.460914351854</v>
      </c>
    </row>
    <row r="2259" spans="1:7">
      <c r="A2259">
        <v>2276</v>
      </c>
      <c r="B2259" t="s">
        <v>3578</v>
      </c>
      <c r="C2259" t="s">
        <v>2977</v>
      </c>
      <c r="E2259">
        <v>0.01</v>
      </c>
      <c r="F2259" t="s">
        <v>546</v>
      </c>
      <c r="G2259" s="174">
        <v>45576.460914351854</v>
      </c>
    </row>
    <row r="2260" spans="1:7">
      <c r="A2260">
        <v>2277</v>
      </c>
      <c r="B2260" t="s">
        <v>3579</v>
      </c>
      <c r="C2260" t="s">
        <v>3580</v>
      </c>
      <c r="E2260">
        <v>0.01</v>
      </c>
      <c r="F2260" t="s">
        <v>546</v>
      </c>
      <c r="G2260" s="174">
        <v>45576.460914351854</v>
      </c>
    </row>
    <row r="2261" spans="1:7">
      <c r="A2261">
        <v>2278</v>
      </c>
      <c r="B2261" t="s">
        <v>3579</v>
      </c>
      <c r="C2261" t="s">
        <v>3581</v>
      </c>
      <c r="E2261">
        <v>0.8</v>
      </c>
      <c r="F2261" t="s">
        <v>546</v>
      </c>
      <c r="G2261" s="174">
        <v>45576.460914351854</v>
      </c>
    </row>
    <row r="2262" spans="1:7">
      <c r="A2262">
        <v>2279</v>
      </c>
      <c r="B2262" t="s">
        <v>3582</v>
      </c>
      <c r="C2262" t="s">
        <v>3583</v>
      </c>
      <c r="E2262">
        <v>0.01</v>
      </c>
      <c r="F2262" t="s">
        <v>546</v>
      </c>
      <c r="G2262" s="174">
        <v>45576.460914351854</v>
      </c>
    </row>
    <row r="2263" spans="1:7">
      <c r="A2263">
        <v>2280</v>
      </c>
      <c r="B2263" t="s">
        <v>3582</v>
      </c>
      <c r="C2263" t="s">
        <v>3584</v>
      </c>
      <c r="E2263">
        <v>0.01</v>
      </c>
      <c r="F2263" t="s">
        <v>546</v>
      </c>
      <c r="G2263" s="174">
        <v>45576.460914351854</v>
      </c>
    </row>
    <row r="2264" spans="1:7">
      <c r="A2264">
        <v>2281</v>
      </c>
      <c r="B2264" t="s">
        <v>3585</v>
      </c>
      <c r="C2264" t="s">
        <v>3586</v>
      </c>
      <c r="E2264">
        <v>0.1</v>
      </c>
      <c r="F2264" t="s">
        <v>546</v>
      </c>
      <c r="G2264" s="174">
        <v>45576.460914351854</v>
      </c>
    </row>
    <row r="2265" spans="1:7">
      <c r="A2265">
        <v>2282</v>
      </c>
      <c r="B2265" t="s">
        <v>864</v>
      </c>
      <c r="C2265" t="s">
        <v>3587</v>
      </c>
      <c r="E2265">
        <v>0.01</v>
      </c>
      <c r="F2265" t="s">
        <v>546</v>
      </c>
      <c r="G2265" s="174">
        <v>45576.460914351854</v>
      </c>
    </row>
    <row r="2266" spans="1:7">
      <c r="A2266">
        <v>2283</v>
      </c>
      <c r="B2266" t="s">
        <v>864</v>
      </c>
      <c r="C2266" t="s">
        <v>3588</v>
      </c>
      <c r="E2266">
        <v>0.01</v>
      </c>
      <c r="F2266" t="s">
        <v>546</v>
      </c>
      <c r="G2266" s="174">
        <v>45576.460914351854</v>
      </c>
    </row>
    <row r="2267" spans="1:7">
      <c r="A2267">
        <v>2284</v>
      </c>
      <c r="B2267" t="s">
        <v>864</v>
      </c>
      <c r="C2267" t="s">
        <v>3589</v>
      </c>
      <c r="E2267">
        <v>0.6</v>
      </c>
      <c r="F2267" t="s">
        <v>546</v>
      </c>
      <c r="G2267" s="174">
        <v>45576.460914351854</v>
      </c>
    </row>
    <row r="2268" spans="1:7">
      <c r="A2268">
        <v>2285</v>
      </c>
      <c r="B2268" t="s">
        <v>3590</v>
      </c>
      <c r="C2268" t="s">
        <v>2816</v>
      </c>
      <c r="E2268">
        <v>0.01</v>
      </c>
      <c r="F2268" t="s">
        <v>546</v>
      </c>
      <c r="G2268" s="174">
        <v>45576.460914351854</v>
      </c>
    </row>
    <row r="2269" spans="1:7">
      <c r="A2269">
        <v>2286</v>
      </c>
      <c r="B2269" t="s">
        <v>3591</v>
      </c>
      <c r="C2269" t="s">
        <v>3592</v>
      </c>
      <c r="E2269">
        <v>0.01</v>
      </c>
      <c r="F2269" t="s">
        <v>546</v>
      </c>
      <c r="G2269" s="174">
        <v>45576.460914351854</v>
      </c>
    </row>
    <row r="2270" spans="1:7">
      <c r="A2270">
        <v>2287</v>
      </c>
      <c r="B2270" t="s">
        <v>3593</v>
      </c>
      <c r="C2270" t="s">
        <v>3594</v>
      </c>
      <c r="E2270">
        <v>0.01</v>
      </c>
      <c r="F2270" t="s">
        <v>546</v>
      </c>
      <c r="G2270" s="174">
        <v>45576.460914351854</v>
      </c>
    </row>
    <row r="2271" spans="1:7">
      <c r="A2271">
        <v>2288</v>
      </c>
      <c r="B2271" t="s">
        <v>3595</v>
      </c>
      <c r="C2271" t="s">
        <v>2766</v>
      </c>
      <c r="E2271">
        <v>0.01</v>
      </c>
      <c r="F2271" t="s">
        <v>546</v>
      </c>
      <c r="G2271" s="174">
        <v>45576.460914351854</v>
      </c>
    </row>
    <row r="2272" spans="1:7">
      <c r="A2272">
        <v>2289</v>
      </c>
      <c r="B2272" t="s">
        <v>3596</v>
      </c>
      <c r="C2272" t="s">
        <v>3597</v>
      </c>
      <c r="E2272">
        <v>0.01</v>
      </c>
      <c r="F2272" t="s">
        <v>546</v>
      </c>
      <c r="G2272" s="174">
        <v>45576.460914351854</v>
      </c>
    </row>
    <row r="2273" spans="1:7">
      <c r="A2273">
        <v>2290</v>
      </c>
      <c r="B2273" t="s">
        <v>3598</v>
      </c>
      <c r="C2273" t="s">
        <v>3599</v>
      </c>
      <c r="E2273">
        <v>0.1</v>
      </c>
      <c r="F2273" t="s">
        <v>546</v>
      </c>
      <c r="G2273" s="174">
        <v>45576.460914351854</v>
      </c>
    </row>
    <row r="2274" spans="1:7">
      <c r="A2274">
        <v>2291</v>
      </c>
      <c r="B2274" t="s">
        <v>3598</v>
      </c>
      <c r="C2274" t="s">
        <v>3331</v>
      </c>
      <c r="E2274">
        <v>0.01</v>
      </c>
      <c r="F2274" t="s">
        <v>546</v>
      </c>
      <c r="G2274" s="174">
        <v>45576.460914351854</v>
      </c>
    </row>
    <row r="2275" spans="1:7">
      <c r="A2275">
        <v>2292</v>
      </c>
      <c r="B2275" t="s">
        <v>3600</v>
      </c>
      <c r="C2275" t="s">
        <v>2771</v>
      </c>
      <c r="E2275">
        <v>0.01</v>
      </c>
      <c r="F2275" t="s">
        <v>546</v>
      </c>
      <c r="G2275" s="174">
        <v>45576.460914351854</v>
      </c>
    </row>
    <row r="2276" spans="1:7">
      <c r="A2276">
        <v>2293</v>
      </c>
      <c r="B2276" t="s">
        <v>3601</v>
      </c>
      <c r="C2276" t="s">
        <v>3481</v>
      </c>
      <c r="E2276">
        <v>0.01</v>
      </c>
      <c r="F2276" t="s">
        <v>546</v>
      </c>
      <c r="G2276" s="174">
        <v>45576.460914351854</v>
      </c>
    </row>
    <row r="2277" spans="1:7">
      <c r="A2277">
        <v>2294</v>
      </c>
      <c r="B2277" t="s">
        <v>3602</v>
      </c>
      <c r="C2277" t="s">
        <v>3603</v>
      </c>
      <c r="E2277">
        <v>0.01</v>
      </c>
      <c r="F2277" t="s">
        <v>546</v>
      </c>
      <c r="G2277" s="174">
        <v>45576.460914351854</v>
      </c>
    </row>
    <row r="2278" spans="1:7">
      <c r="A2278">
        <v>2295</v>
      </c>
      <c r="B2278" t="s">
        <v>3604</v>
      </c>
      <c r="C2278" t="s">
        <v>2976</v>
      </c>
      <c r="E2278">
        <v>0.01</v>
      </c>
      <c r="F2278" t="s">
        <v>546</v>
      </c>
      <c r="G2278" s="174">
        <v>45576.460914351854</v>
      </c>
    </row>
    <row r="2279" spans="1:7">
      <c r="A2279">
        <v>2296</v>
      </c>
      <c r="B2279" t="s">
        <v>3605</v>
      </c>
      <c r="C2279" t="s">
        <v>3606</v>
      </c>
      <c r="E2279">
        <v>0.01</v>
      </c>
      <c r="F2279" t="s">
        <v>546</v>
      </c>
      <c r="G2279" s="174">
        <v>45576.460914351854</v>
      </c>
    </row>
    <row r="2280" spans="1:7">
      <c r="A2280">
        <v>2297</v>
      </c>
      <c r="B2280" t="s">
        <v>3607</v>
      </c>
      <c r="C2280" t="s">
        <v>3608</v>
      </c>
      <c r="E2280">
        <v>0.01</v>
      </c>
      <c r="F2280" t="s">
        <v>546</v>
      </c>
      <c r="G2280" s="174">
        <v>45576.460914351854</v>
      </c>
    </row>
    <row r="2281" spans="1:7">
      <c r="A2281">
        <v>2298</v>
      </c>
      <c r="B2281" t="s">
        <v>3609</v>
      </c>
      <c r="C2281" t="s">
        <v>2796</v>
      </c>
      <c r="E2281">
        <v>0.1</v>
      </c>
      <c r="F2281" t="s">
        <v>546</v>
      </c>
      <c r="G2281" s="174">
        <v>45576.460914351854</v>
      </c>
    </row>
    <row r="2282" spans="1:7">
      <c r="A2282">
        <v>2299</v>
      </c>
      <c r="B2282" t="s">
        <v>3610</v>
      </c>
      <c r="C2282" t="s">
        <v>1299</v>
      </c>
      <c r="E2282">
        <v>0.01</v>
      </c>
      <c r="F2282" t="s">
        <v>546</v>
      </c>
      <c r="G2282" s="174">
        <v>45576.460914351854</v>
      </c>
    </row>
    <row r="2283" spans="1:7">
      <c r="A2283">
        <v>2300</v>
      </c>
      <c r="B2283" t="s">
        <v>3611</v>
      </c>
      <c r="C2283" t="s">
        <v>3612</v>
      </c>
      <c r="E2283">
        <v>0.01</v>
      </c>
      <c r="F2283" t="s">
        <v>546</v>
      </c>
      <c r="G2283" s="174">
        <v>45576.460914351854</v>
      </c>
    </row>
    <row r="2284" spans="1:7">
      <c r="A2284">
        <v>2301</v>
      </c>
      <c r="B2284" t="s">
        <v>3613</v>
      </c>
      <c r="C2284" t="s">
        <v>3614</v>
      </c>
      <c r="E2284">
        <v>0.01</v>
      </c>
      <c r="F2284" t="s">
        <v>546</v>
      </c>
      <c r="G2284" s="174">
        <v>45576.460914351854</v>
      </c>
    </row>
    <row r="2285" spans="1:7">
      <c r="A2285">
        <v>2302</v>
      </c>
      <c r="B2285" t="s">
        <v>3615</v>
      </c>
      <c r="C2285" t="s">
        <v>3616</v>
      </c>
      <c r="E2285">
        <v>0.01</v>
      </c>
      <c r="F2285" t="s">
        <v>546</v>
      </c>
      <c r="G2285" s="174">
        <v>45576.460914351854</v>
      </c>
    </row>
    <row r="2286" spans="1:7">
      <c r="A2286">
        <v>2303</v>
      </c>
      <c r="B2286" t="s">
        <v>3617</v>
      </c>
      <c r="C2286" t="s">
        <v>3618</v>
      </c>
      <c r="E2286">
        <v>0.01</v>
      </c>
      <c r="F2286" t="s">
        <v>546</v>
      </c>
      <c r="G2286" s="174">
        <v>45576.460914351854</v>
      </c>
    </row>
    <row r="2287" spans="1:7">
      <c r="A2287">
        <v>2304</v>
      </c>
      <c r="B2287" t="s">
        <v>3617</v>
      </c>
      <c r="C2287" t="s">
        <v>3619</v>
      </c>
      <c r="E2287">
        <v>0.01</v>
      </c>
      <c r="F2287" t="s">
        <v>546</v>
      </c>
      <c r="G2287" s="174">
        <v>45576.460914351854</v>
      </c>
    </row>
    <row r="2288" spans="1:7">
      <c r="A2288">
        <v>2305</v>
      </c>
      <c r="B2288" t="s">
        <v>3620</v>
      </c>
      <c r="C2288" t="s">
        <v>3621</v>
      </c>
      <c r="E2288">
        <v>0.01</v>
      </c>
      <c r="F2288" t="s">
        <v>546</v>
      </c>
      <c r="G2288" s="174">
        <v>45576.460914351854</v>
      </c>
    </row>
    <row r="2289" spans="1:7">
      <c r="A2289">
        <v>2306</v>
      </c>
      <c r="B2289" t="s">
        <v>3622</v>
      </c>
      <c r="C2289" t="s">
        <v>3518</v>
      </c>
      <c r="E2289">
        <v>0.01</v>
      </c>
      <c r="F2289" t="s">
        <v>546</v>
      </c>
      <c r="G2289" s="174">
        <v>45576.460914351854</v>
      </c>
    </row>
    <row r="2290" spans="1:7">
      <c r="A2290">
        <v>2307</v>
      </c>
      <c r="B2290" t="s">
        <v>3622</v>
      </c>
      <c r="C2290" t="s">
        <v>3623</v>
      </c>
      <c r="E2290">
        <v>0.01</v>
      </c>
      <c r="F2290" t="s">
        <v>546</v>
      </c>
      <c r="G2290" s="174">
        <v>45576.460914351854</v>
      </c>
    </row>
    <row r="2291" spans="1:7">
      <c r="A2291">
        <v>2308</v>
      </c>
      <c r="B2291" t="s">
        <v>3624</v>
      </c>
      <c r="C2291" t="s">
        <v>3353</v>
      </c>
      <c r="E2291">
        <v>0.1</v>
      </c>
      <c r="F2291" t="s">
        <v>546</v>
      </c>
      <c r="G2291" s="174">
        <v>45576.460914351854</v>
      </c>
    </row>
    <row r="2292" spans="1:7">
      <c r="A2292">
        <v>2309</v>
      </c>
      <c r="B2292" t="s">
        <v>3625</v>
      </c>
      <c r="C2292" t="s">
        <v>3626</v>
      </c>
      <c r="E2292">
        <v>0.01</v>
      </c>
      <c r="F2292" t="s">
        <v>546</v>
      </c>
      <c r="G2292" s="174">
        <v>45576.460914351854</v>
      </c>
    </row>
    <row r="2293" spans="1:7">
      <c r="A2293">
        <v>2310</v>
      </c>
      <c r="B2293" t="s">
        <v>3627</v>
      </c>
      <c r="C2293" t="s">
        <v>3628</v>
      </c>
      <c r="E2293">
        <v>0.1</v>
      </c>
      <c r="F2293" t="s">
        <v>546</v>
      </c>
      <c r="G2293" s="174">
        <v>45576.460914351854</v>
      </c>
    </row>
    <row r="2294" spans="1:7">
      <c r="A2294">
        <v>2311</v>
      </c>
      <c r="B2294" t="s">
        <v>3629</v>
      </c>
      <c r="C2294" t="s">
        <v>3630</v>
      </c>
      <c r="E2294">
        <v>0.01</v>
      </c>
      <c r="F2294" t="s">
        <v>546</v>
      </c>
      <c r="G2294" s="174">
        <v>45576.460914351854</v>
      </c>
    </row>
    <row r="2295" spans="1:7">
      <c r="A2295">
        <v>2312</v>
      </c>
      <c r="B2295" t="s">
        <v>3631</v>
      </c>
      <c r="C2295" t="s">
        <v>3632</v>
      </c>
      <c r="E2295">
        <v>0.8</v>
      </c>
      <c r="F2295" t="s">
        <v>546</v>
      </c>
      <c r="G2295" s="174">
        <v>45576.460914351854</v>
      </c>
    </row>
    <row r="2296" spans="1:7">
      <c r="A2296">
        <v>2313</v>
      </c>
      <c r="B2296" t="s">
        <v>3631</v>
      </c>
      <c r="C2296" t="s">
        <v>3633</v>
      </c>
      <c r="E2296">
        <v>0.6</v>
      </c>
      <c r="F2296" t="s">
        <v>546</v>
      </c>
      <c r="G2296" s="174">
        <v>45576.460914351854</v>
      </c>
    </row>
    <row r="2297" spans="1:7">
      <c r="A2297">
        <v>2314</v>
      </c>
      <c r="B2297" t="s">
        <v>3631</v>
      </c>
      <c r="C2297" t="s">
        <v>3634</v>
      </c>
      <c r="E2297">
        <v>0.01</v>
      </c>
      <c r="F2297" t="s">
        <v>546</v>
      </c>
      <c r="G2297" s="174">
        <v>45576.460914351854</v>
      </c>
    </row>
    <row r="2298" spans="1:7">
      <c r="A2298">
        <v>2315</v>
      </c>
      <c r="B2298" t="s">
        <v>3635</v>
      </c>
      <c r="C2298" t="s">
        <v>2994</v>
      </c>
      <c r="E2298">
        <v>0.01</v>
      </c>
      <c r="F2298" t="s">
        <v>546</v>
      </c>
      <c r="G2298" s="174">
        <v>45576.460914351854</v>
      </c>
    </row>
    <row r="2299" spans="1:7">
      <c r="A2299">
        <v>2316</v>
      </c>
      <c r="B2299" t="s">
        <v>3635</v>
      </c>
      <c r="C2299" t="s">
        <v>3636</v>
      </c>
      <c r="E2299">
        <v>0.01</v>
      </c>
      <c r="F2299" t="s">
        <v>546</v>
      </c>
      <c r="G2299" s="174">
        <v>45576.460914351854</v>
      </c>
    </row>
    <row r="2300" spans="1:7">
      <c r="A2300">
        <v>2317</v>
      </c>
      <c r="B2300" t="s">
        <v>3637</v>
      </c>
      <c r="C2300" t="s">
        <v>3638</v>
      </c>
      <c r="E2300">
        <v>0.01</v>
      </c>
      <c r="F2300" t="s">
        <v>546</v>
      </c>
      <c r="G2300" s="174">
        <v>45576.460914351854</v>
      </c>
    </row>
    <row r="2301" spans="1:7">
      <c r="A2301">
        <v>2318</v>
      </c>
      <c r="B2301" t="s">
        <v>875</v>
      </c>
      <c r="C2301" t="s">
        <v>3639</v>
      </c>
      <c r="E2301">
        <v>0.01</v>
      </c>
      <c r="F2301" t="s">
        <v>546</v>
      </c>
      <c r="G2301" s="174">
        <v>45576.460914351854</v>
      </c>
    </row>
    <row r="2302" spans="1:7">
      <c r="A2302">
        <v>2319</v>
      </c>
      <c r="B2302" t="s">
        <v>3640</v>
      </c>
      <c r="C2302" t="s">
        <v>3293</v>
      </c>
      <c r="E2302">
        <v>0.8</v>
      </c>
      <c r="F2302" t="s">
        <v>546</v>
      </c>
      <c r="G2302" s="174">
        <v>45576.460914351854</v>
      </c>
    </row>
    <row r="2303" spans="1:7">
      <c r="A2303">
        <v>2320</v>
      </c>
      <c r="B2303" t="s">
        <v>3640</v>
      </c>
      <c r="C2303" t="s">
        <v>3294</v>
      </c>
      <c r="E2303">
        <v>0.6</v>
      </c>
      <c r="F2303" t="s">
        <v>546</v>
      </c>
      <c r="G2303" s="174">
        <v>45576.460914351854</v>
      </c>
    </row>
    <row r="2304" spans="1:7">
      <c r="A2304">
        <v>2321</v>
      </c>
      <c r="B2304" t="s">
        <v>3641</v>
      </c>
      <c r="C2304" t="s">
        <v>3246</v>
      </c>
      <c r="E2304">
        <v>0.1</v>
      </c>
      <c r="F2304" t="s">
        <v>546</v>
      </c>
      <c r="G2304" s="174">
        <v>45576.460914351854</v>
      </c>
    </row>
    <row r="2305" spans="1:7">
      <c r="A2305">
        <v>2322</v>
      </c>
      <c r="B2305" t="s">
        <v>3642</v>
      </c>
      <c r="C2305" t="s">
        <v>3269</v>
      </c>
      <c r="E2305">
        <v>0.01</v>
      </c>
      <c r="F2305" t="s">
        <v>546</v>
      </c>
      <c r="G2305" s="174">
        <v>45576.460914351854</v>
      </c>
    </row>
    <row r="2306" spans="1:7">
      <c r="A2306">
        <v>2323</v>
      </c>
      <c r="B2306" t="s">
        <v>3643</v>
      </c>
      <c r="C2306" t="s">
        <v>3218</v>
      </c>
      <c r="E2306">
        <v>0.01</v>
      </c>
      <c r="F2306" t="s">
        <v>546</v>
      </c>
      <c r="G2306" s="174">
        <v>45576.460914351854</v>
      </c>
    </row>
    <row r="2307" spans="1:7">
      <c r="A2307">
        <v>2324</v>
      </c>
      <c r="B2307" t="s">
        <v>3644</v>
      </c>
      <c r="C2307" t="s">
        <v>3207</v>
      </c>
      <c r="E2307">
        <v>0.8</v>
      </c>
      <c r="F2307" t="s">
        <v>546</v>
      </c>
      <c r="G2307" s="174">
        <v>45576.460914351854</v>
      </c>
    </row>
    <row r="2308" spans="1:7">
      <c r="A2308">
        <v>2325</v>
      </c>
      <c r="B2308" t="s">
        <v>3645</v>
      </c>
      <c r="C2308" t="s">
        <v>2850</v>
      </c>
      <c r="E2308">
        <v>0.1</v>
      </c>
      <c r="F2308" t="s">
        <v>546</v>
      </c>
      <c r="G2308" s="174">
        <v>45576.460914351854</v>
      </c>
    </row>
    <row r="2309" spans="1:7">
      <c r="A2309">
        <v>2326</v>
      </c>
      <c r="B2309" t="s">
        <v>3645</v>
      </c>
      <c r="C2309" t="s">
        <v>3646</v>
      </c>
      <c r="E2309">
        <v>0.01</v>
      </c>
      <c r="F2309" t="s">
        <v>546</v>
      </c>
      <c r="G2309" s="174">
        <v>45576.460914351854</v>
      </c>
    </row>
    <row r="2310" spans="1:7">
      <c r="A2310">
        <v>2327</v>
      </c>
      <c r="B2310" t="s">
        <v>3647</v>
      </c>
      <c r="C2310" t="s">
        <v>3648</v>
      </c>
      <c r="E2310">
        <v>0.8</v>
      </c>
      <c r="F2310" t="s">
        <v>546</v>
      </c>
      <c r="G2310" s="174">
        <v>45576.460914351854</v>
      </c>
    </row>
    <row r="2311" spans="1:7">
      <c r="A2311">
        <v>2328</v>
      </c>
      <c r="B2311" t="s">
        <v>3647</v>
      </c>
      <c r="C2311" t="s">
        <v>3649</v>
      </c>
      <c r="E2311">
        <v>0.6</v>
      </c>
      <c r="F2311" t="s">
        <v>546</v>
      </c>
      <c r="G2311" s="174">
        <v>45576.460914351854</v>
      </c>
    </row>
    <row r="2312" spans="1:7">
      <c r="A2312">
        <v>2329</v>
      </c>
      <c r="B2312" t="s">
        <v>3650</v>
      </c>
      <c r="C2312" t="s">
        <v>3651</v>
      </c>
      <c r="E2312">
        <v>0.01</v>
      </c>
      <c r="F2312" t="s">
        <v>546</v>
      </c>
      <c r="G2312" s="174">
        <v>45576.460914351854</v>
      </c>
    </row>
    <row r="2313" spans="1:7">
      <c r="A2313">
        <v>2330</v>
      </c>
      <c r="B2313" t="s">
        <v>3652</v>
      </c>
      <c r="C2313" t="s">
        <v>3129</v>
      </c>
      <c r="E2313">
        <v>0.01</v>
      </c>
      <c r="F2313" t="s">
        <v>546</v>
      </c>
      <c r="G2313" s="174">
        <v>45576.460914351854</v>
      </c>
    </row>
    <row r="2314" spans="1:7">
      <c r="A2314">
        <v>2331</v>
      </c>
      <c r="B2314" t="s">
        <v>3652</v>
      </c>
      <c r="C2314" t="s">
        <v>3651</v>
      </c>
      <c r="E2314">
        <v>0.01</v>
      </c>
      <c r="F2314" t="s">
        <v>546</v>
      </c>
      <c r="G2314" s="174">
        <v>45576.460914351854</v>
      </c>
    </row>
    <row r="2315" spans="1:7">
      <c r="A2315">
        <v>2332</v>
      </c>
      <c r="B2315" t="s">
        <v>3653</v>
      </c>
      <c r="C2315" t="s">
        <v>3419</v>
      </c>
      <c r="E2315">
        <v>0.1</v>
      </c>
      <c r="F2315" t="s">
        <v>546</v>
      </c>
      <c r="G2315" s="174">
        <v>45576.460914351854</v>
      </c>
    </row>
    <row r="2316" spans="1:7">
      <c r="A2316">
        <v>2333</v>
      </c>
      <c r="B2316" t="s">
        <v>3654</v>
      </c>
      <c r="C2316" t="s">
        <v>3312</v>
      </c>
      <c r="E2316">
        <v>0.01</v>
      </c>
      <c r="F2316" t="s">
        <v>546</v>
      </c>
      <c r="G2316" s="174">
        <v>45576.460914351854</v>
      </c>
    </row>
    <row r="2317" spans="1:7">
      <c r="A2317">
        <v>2334</v>
      </c>
      <c r="B2317" t="s">
        <v>3655</v>
      </c>
      <c r="C2317" t="s">
        <v>3656</v>
      </c>
      <c r="E2317">
        <v>0.01</v>
      </c>
      <c r="F2317" t="s">
        <v>546</v>
      </c>
      <c r="G2317" s="174">
        <v>45576.460914351854</v>
      </c>
    </row>
    <row r="2318" spans="1:7">
      <c r="A2318">
        <v>2335</v>
      </c>
      <c r="B2318" t="s">
        <v>3655</v>
      </c>
      <c r="C2318" t="s">
        <v>2880</v>
      </c>
      <c r="E2318">
        <v>0.01</v>
      </c>
      <c r="F2318" t="s">
        <v>546</v>
      </c>
      <c r="G2318" s="174">
        <v>45576.460914351854</v>
      </c>
    </row>
    <row r="2319" spans="1:7">
      <c r="A2319">
        <v>2336</v>
      </c>
      <c r="B2319" t="s">
        <v>3657</v>
      </c>
      <c r="C2319" t="s">
        <v>3658</v>
      </c>
      <c r="E2319">
        <v>0.01</v>
      </c>
      <c r="F2319" t="s">
        <v>546</v>
      </c>
      <c r="G2319" s="174">
        <v>45576.460914351854</v>
      </c>
    </row>
    <row r="2320" spans="1:7">
      <c r="A2320">
        <v>2337</v>
      </c>
      <c r="B2320" t="s">
        <v>3657</v>
      </c>
      <c r="C2320" t="s">
        <v>3659</v>
      </c>
      <c r="E2320">
        <v>0.01</v>
      </c>
      <c r="F2320" t="s">
        <v>546</v>
      </c>
      <c r="G2320" s="174">
        <v>45576.460914351854</v>
      </c>
    </row>
    <row r="2321" spans="1:7">
      <c r="A2321">
        <v>2338</v>
      </c>
      <c r="B2321" t="s">
        <v>3657</v>
      </c>
      <c r="C2321" t="s">
        <v>3660</v>
      </c>
      <c r="E2321">
        <v>0.01</v>
      </c>
      <c r="F2321" t="s">
        <v>546</v>
      </c>
      <c r="G2321" s="174">
        <v>45576.460914351854</v>
      </c>
    </row>
    <row r="2322" spans="1:7">
      <c r="A2322">
        <v>2339</v>
      </c>
      <c r="B2322" t="s">
        <v>3657</v>
      </c>
      <c r="C2322" t="s">
        <v>3661</v>
      </c>
      <c r="E2322">
        <v>0.01</v>
      </c>
      <c r="F2322" t="s">
        <v>546</v>
      </c>
      <c r="G2322" s="174">
        <v>45576.460914351854</v>
      </c>
    </row>
    <row r="2323" spans="1:7">
      <c r="A2323">
        <v>2340</v>
      </c>
      <c r="B2323" t="s">
        <v>3662</v>
      </c>
      <c r="C2323" t="s">
        <v>3663</v>
      </c>
      <c r="E2323">
        <v>0.01</v>
      </c>
      <c r="F2323" t="s">
        <v>546</v>
      </c>
      <c r="G2323" s="174">
        <v>45576.460914351854</v>
      </c>
    </row>
    <row r="2324" spans="1:7">
      <c r="A2324">
        <v>2341</v>
      </c>
      <c r="B2324" t="s">
        <v>3664</v>
      </c>
      <c r="C2324" t="s">
        <v>3167</v>
      </c>
      <c r="E2324">
        <v>0.6</v>
      </c>
      <c r="F2324" t="s">
        <v>546</v>
      </c>
      <c r="G2324" s="174">
        <v>45576.460914351854</v>
      </c>
    </row>
    <row r="2325" spans="1:7">
      <c r="A2325">
        <v>2342</v>
      </c>
      <c r="B2325" t="s">
        <v>3664</v>
      </c>
      <c r="C2325" t="s">
        <v>2880</v>
      </c>
      <c r="E2325">
        <v>0.8</v>
      </c>
      <c r="F2325" t="s">
        <v>546</v>
      </c>
      <c r="G2325" s="174">
        <v>45576.460914351854</v>
      </c>
    </row>
    <row r="2326" spans="1:7">
      <c r="A2326">
        <v>2343</v>
      </c>
      <c r="B2326" t="s">
        <v>3665</v>
      </c>
      <c r="C2326" t="s">
        <v>3666</v>
      </c>
      <c r="E2326">
        <v>0.01</v>
      </c>
      <c r="F2326" t="s">
        <v>546</v>
      </c>
      <c r="G2326" s="174">
        <v>45576.460914351854</v>
      </c>
    </row>
    <row r="2327" spans="1:7">
      <c r="A2327">
        <v>2344</v>
      </c>
      <c r="B2327" t="s">
        <v>3665</v>
      </c>
      <c r="C2327" t="s">
        <v>3667</v>
      </c>
      <c r="E2327">
        <v>0.01</v>
      </c>
      <c r="F2327" t="s">
        <v>546</v>
      </c>
      <c r="G2327" s="174">
        <v>45576.460914351854</v>
      </c>
    </row>
    <row r="2328" spans="1:7">
      <c r="A2328">
        <v>2345</v>
      </c>
      <c r="B2328" t="s">
        <v>3668</v>
      </c>
      <c r="C2328" t="s">
        <v>3669</v>
      </c>
      <c r="E2328">
        <v>0.01</v>
      </c>
      <c r="F2328" t="s">
        <v>546</v>
      </c>
      <c r="G2328" s="174">
        <v>45576.460914351854</v>
      </c>
    </row>
    <row r="2329" spans="1:7">
      <c r="A2329">
        <v>2346</v>
      </c>
      <c r="B2329" t="s">
        <v>3670</v>
      </c>
      <c r="C2329" t="s">
        <v>3671</v>
      </c>
      <c r="E2329">
        <v>0.01</v>
      </c>
      <c r="F2329" t="s">
        <v>546</v>
      </c>
      <c r="G2329" s="174">
        <v>45576.460914351854</v>
      </c>
    </row>
    <row r="2330" spans="1:7">
      <c r="A2330">
        <v>2347</v>
      </c>
      <c r="B2330" t="s">
        <v>3672</v>
      </c>
      <c r="C2330" t="s">
        <v>3673</v>
      </c>
      <c r="E2330">
        <v>0.01</v>
      </c>
      <c r="F2330" t="s">
        <v>546</v>
      </c>
      <c r="G2330" s="174">
        <v>45576.460914351854</v>
      </c>
    </row>
    <row r="2331" spans="1:7">
      <c r="A2331">
        <v>2348</v>
      </c>
      <c r="B2331" t="s">
        <v>3674</v>
      </c>
      <c r="C2331" t="s">
        <v>3675</v>
      </c>
      <c r="E2331">
        <v>0.6</v>
      </c>
      <c r="F2331" t="s">
        <v>546</v>
      </c>
      <c r="G2331" s="174">
        <v>45576.460914351854</v>
      </c>
    </row>
    <row r="2332" spans="1:7">
      <c r="A2332">
        <v>2349</v>
      </c>
      <c r="B2332" t="s">
        <v>3674</v>
      </c>
      <c r="C2332" t="s">
        <v>3676</v>
      </c>
      <c r="E2332">
        <v>0.8</v>
      </c>
      <c r="F2332" t="s">
        <v>546</v>
      </c>
      <c r="G2332" s="174">
        <v>45576.460914351854</v>
      </c>
    </row>
    <row r="2333" spans="1:7">
      <c r="A2333">
        <v>2350</v>
      </c>
      <c r="B2333" t="s">
        <v>3677</v>
      </c>
      <c r="C2333" t="s">
        <v>3678</v>
      </c>
      <c r="E2333">
        <v>0.01</v>
      </c>
      <c r="F2333" t="s">
        <v>546</v>
      </c>
      <c r="G2333" s="174">
        <v>45576.460914351854</v>
      </c>
    </row>
    <row r="2334" spans="1:7">
      <c r="A2334">
        <v>2351</v>
      </c>
      <c r="B2334" t="s">
        <v>3677</v>
      </c>
      <c r="C2334" t="s">
        <v>3679</v>
      </c>
      <c r="E2334">
        <v>0.01</v>
      </c>
      <c r="F2334" t="s">
        <v>546</v>
      </c>
      <c r="G2334" s="174">
        <v>45576.460914351854</v>
      </c>
    </row>
    <row r="2335" spans="1:7">
      <c r="A2335">
        <v>2352</v>
      </c>
      <c r="B2335" t="s">
        <v>3680</v>
      </c>
      <c r="C2335" t="s">
        <v>2935</v>
      </c>
      <c r="E2335">
        <v>0.01</v>
      </c>
      <c r="F2335" t="s">
        <v>546</v>
      </c>
      <c r="G2335" s="174">
        <v>45576.460914351854</v>
      </c>
    </row>
    <row r="2336" spans="1:7">
      <c r="A2336">
        <v>2353</v>
      </c>
      <c r="B2336" t="s">
        <v>3680</v>
      </c>
      <c r="C2336" t="s">
        <v>3681</v>
      </c>
      <c r="E2336">
        <v>0.01</v>
      </c>
      <c r="F2336" t="s">
        <v>546</v>
      </c>
      <c r="G2336" s="174">
        <v>45576.460914351854</v>
      </c>
    </row>
    <row r="2337" spans="1:7">
      <c r="A2337">
        <v>2354</v>
      </c>
      <c r="B2337" t="s">
        <v>3682</v>
      </c>
      <c r="C2337" t="s">
        <v>2766</v>
      </c>
      <c r="E2337">
        <v>0.1</v>
      </c>
      <c r="F2337" t="s">
        <v>546</v>
      </c>
      <c r="G2337" s="174">
        <v>45576.460914351854</v>
      </c>
    </row>
    <row r="2338" spans="1:7">
      <c r="A2338">
        <v>2355</v>
      </c>
      <c r="B2338" t="s">
        <v>3683</v>
      </c>
      <c r="C2338" t="s">
        <v>3684</v>
      </c>
      <c r="E2338">
        <v>0.01</v>
      </c>
      <c r="F2338" t="s">
        <v>546</v>
      </c>
      <c r="G2338" s="174">
        <v>45576.460914351854</v>
      </c>
    </row>
    <row r="2339" spans="1:7">
      <c r="A2339">
        <v>2356</v>
      </c>
      <c r="B2339" t="s">
        <v>3685</v>
      </c>
      <c r="C2339" t="s">
        <v>3686</v>
      </c>
      <c r="E2339">
        <v>0.01</v>
      </c>
      <c r="F2339" t="s">
        <v>546</v>
      </c>
      <c r="G2339" s="174">
        <v>45576.460914351854</v>
      </c>
    </row>
    <row r="2340" spans="1:7">
      <c r="A2340">
        <v>2357</v>
      </c>
      <c r="B2340" t="s">
        <v>888</v>
      </c>
      <c r="C2340" t="s">
        <v>3687</v>
      </c>
      <c r="E2340">
        <v>0.05</v>
      </c>
      <c r="F2340" t="s">
        <v>546</v>
      </c>
      <c r="G2340" s="174">
        <v>45576.460914351854</v>
      </c>
    </row>
    <row r="2341" spans="1:7">
      <c r="A2341">
        <v>2358</v>
      </c>
      <c r="B2341" t="s">
        <v>3688</v>
      </c>
      <c r="C2341" t="s">
        <v>3689</v>
      </c>
      <c r="E2341">
        <v>0.01</v>
      </c>
      <c r="F2341" t="s">
        <v>546</v>
      </c>
      <c r="G2341" s="174">
        <v>45576.460914351854</v>
      </c>
    </row>
    <row r="2342" spans="1:7">
      <c r="A2342">
        <v>2359</v>
      </c>
      <c r="B2342" t="s">
        <v>3688</v>
      </c>
      <c r="C2342" t="s">
        <v>3690</v>
      </c>
      <c r="E2342">
        <v>0.01</v>
      </c>
      <c r="F2342" t="s">
        <v>546</v>
      </c>
      <c r="G2342" s="174">
        <v>45576.460914351854</v>
      </c>
    </row>
    <row r="2343" spans="1:7">
      <c r="A2343">
        <v>2360</v>
      </c>
      <c r="B2343" t="s">
        <v>3691</v>
      </c>
      <c r="C2343" t="s">
        <v>2935</v>
      </c>
      <c r="E2343">
        <v>0.01</v>
      </c>
      <c r="F2343" t="s">
        <v>546</v>
      </c>
      <c r="G2343" s="174">
        <v>45576.460914351854</v>
      </c>
    </row>
    <row r="2344" spans="1:7">
      <c r="A2344">
        <v>2361</v>
      </c>
      <c r="B2344" t="s">
        <v>3692</v>
      </c>
      <c r="C2344" t="s">
        <v>3693</v>
      </c>
      <c r="E2344">
        <v>0.01</v>
      </c>
      <c r="F2344" t="s">
        <v>546</v>
      </c>
      <c r="G2344" s="174">
        <v>45576.460914351854</v>
      </c>
    </row>
    <row r="2345" spans="1:7">
      <c r="A2345">
        <v>2362</v>
      </c>
      <c r="B2345" t="s">
        <v>3694</v>
      </c>
      <c r="C2345" t="s">
        <v>2859</v>
      </c>
      <c r="E2345">
        <v>0.01</v>
      </c>
      <c r="F2345" t="s">
        <v>546</v>
      </c>
      <c r="G2345" s="174">
        <v>45576.460914351854</v>
      </c>
    </row>
    <row r="2346" spans="1:7">
      <c r="A2346">
        <v>2363</v>
      </c>
      <c r="B2346" t="s">
        <v>894</v>
      </c>
      <c r="C2346" t="s">
        <v>3695</v>
      </c>
      <c r="E2346">
        <v>0.01</v>
      </c>
      <c r="F2346" t="s">
        <v>546</v>
      </c>
      <c r="G2346" s="174">
        <v>45576.460914351854</v>
      </c>
    </row>
    <row r="2347" spans="1:7">
      <c r="A2347">
        <v>2364</v>
      </c>
      <c r="B2347" t="s">
        <v>3696</v>
      </c>
      <c r="C2347" t="s">
        <v>2886</v>
      </c>
      <c r="E2347">
        <v>0.01</v>
      </c>
      <c r="F2347" t="s">
        <v>546</v>
      </c>
      <c r="G2347" s="174">
        <v>45576.460914351854</v>
      </c>
    </row>
    <row r="2348" spans="1:7">
      <c r="A2348">
        <v>2365</v>
      </c>
      <c r="B2348" t="s">
        <v>3697</v>
      </c>
      <c r="C2348" t="s">
        <v>3698</v>
      </c>
      <c r="E2348">
        <v>0.01</v>
      </c>
      <c r="F2348" t="s">
        <v>546</v>
      </c>
      <c r="G2348" s="174">
        <v>45576.460914351854</v>
      </c>
    </row>
    <row r="2349" spans="1:7">
      <c r="A2349">
        <v>2366</v>
      </c>
      <c r="B2349" t="s">
        <v>3697</v>
      </c>
      <c r="C2349" t="s">
        <v>3424</v>
      </c>
      <c r="E2349">
        <v>0.01</v>
      </c>
      <c r="F2349" t="s">
        <v>546</v>
      </c>
      <c r="G2349" s="174">
        <v>45576.460914351854</v>
      </c>
    </row>
    <row r="2350" spans="1:7">
      <c r="A2350">
        <v>2367</v>
      </c>
      <c r="B2350" t="s">
        <v>3697</v>
      </c>
      <c r="C2350" t="s">
        <v>3425</v>
      </c>
      <c r="E2350">
        <v>0.01</v>
      </c>
      <c r="F2350" t="s">
        <v>546</v>
      </c>
      <c r="G2350" s="174">
        <v>45576.460914351854</v>
      </c>
    </row>
    <row r="2351" spans="1:7">
      <c r="A2351">
        <v>2368</v>
      </c>
      <c r="B2351" t="s">
        <v>3699</v>
      </c>
      <c r="C2351" t="s">
        <v>2948</v>
      </c>
      <c r="E2351">
        <v>0.7</v>
      </c>
      <c r="F2351" t="s">
        <v>546</v>
      </c>
      <c r="G2351" s="174">
        <v>45576.460914351854</v>
      </c>
    </row>
    <row r="2352" spans="1:7">
      <c r="A2352">
        <v>2369</v>
      </c>
      <c r="B2352" t="s">
        <v>896</v>
      </c>
      <c r="C2352" t="s">
        <v>3700</v>
      </c>
      <c r="E2352">
        <v>0.1</v>
      </c>
      <c r="F2352" t="s">
        <v>546</v>
      </c>
      <c r="G2352" s="174">
        <v>45576.460914351854</v>
      </c>
    </row>
    <row r="2353" spans="1:7">
      <c r="A2353">
        <v>2370</v>
      </c>
      <c r="B2353" t="s">
        <v>3701</v>
      </c>
      <c r="C2353" t="s">
        <v>2846</v>
      </c>
      <c r="E2353">
        <v>0.01</v>
      </c>
      <c r="F2353" t="s">
        <v>546</v>
      </c>
      <c r="G2353" s="174">
        <v>45576.460914351854</v>
      </c>
    </row>
    <row r="2354" spans="1:7">
      <c r="A2354">
        <v>2371</v>
      </c>
      <c r="B2354" t="s">
        <v>898</v>
      </c>
      <c r="C2354" t="s">
        <v>3702</v>
      </c>
      <c r="E2354">
        <v>0.01</v>
      </c>
      <c r="F2354" t="s">
        <v>546</v>
      </c>
      <c r="G2354" s="174">
        <v>45576.460914351854</v>
      </c>
    </row>
    <row r="2355" spans="1:7">
      <c r="A2355">
        <v>2372</v>
      </c>
      <c r="B2355" t="s">
        <v>898</v>
      </c>
      <c r="C2355" t="s">
        <v>3348</v>
      </c>
      <c r="E2355">
        <v>0.01</v>
      </c>
      <c r="F2355" t="s">
        <v>546</v>
      </c>
      <c r="G2355" s="174">
        <v>45576.460914351854</v>
      </c>
    </row>
    <row r="2356" spans="1:7">
      <c r="A2356">
        <v>2373</v>
      </c>
      <c r="B2356" t="s">
        <v>3703</v>
      </c>
      <c r="C2356" t="s">
        <v>3704</v>
      </c>
      <c r="E2356">
        <v>0.05</v>
      </c>
      <c r="F2356" t="s">
        <v>546</v>
      </c>
      <c r="G2356" s="174">
        <v>45576.460914351854</v>
      </c>
    </row>
    <row r="2357" spans="1:7">
      <c r="A2357">
        <v>2374</v>
      </c>
      <c r="B2357" t="s">
        <v>3703</v>
      </c>
      <c r="C2357" t="s">
        <v>1848</v>
      </c>
      <c r="E2357">
        <v>0.01</v>
      </c>
      <c r="F2357" t="s">
        <v>546</v>
      </c>
      <c r="G2357" s="174">
        <v>45576.460914351854</v>
      </c>
    </row>
    <row r="2358" spans="1:7">
      <c r="A2358">
        <v>2375</v>
      </c>
      <c r="B2358" t="s">
        <v>3703</v>
      </c>
      <c r="C2358" t="s">
        <v>3705</v>
      </c>
      <c r="E2358">
        <v>0.1</v>
      </c>
      <c r="F2358" t="s">
        <v>546</v>
      </c>
      <c r="G2358" s="174">
        <v>45576.460914351854</v>
      </c>
    </row>
    <row r="2359" spans="1:7">
      <c r="A2359">
        <v>2376</v>
      </c>
      <c r="B2359" t="s">
        <v>3703</v>
      </c>
      <c r="C2359" t="s">
        <v>3706</v>
      </c>
      <c r="E2359">
        <v>0.01</v>
      </c>
      <c r="F2359" t="s">
        <v>546</v>
      </c>
      <c r="G2359" s="174">
        <v>45576.460914351854</v>
      </c>
    </row>
    <row r="2360" spans="1:7">
      <c r="A2360">
        <v>2377</v>
      </c>
      <c r="B2360" t="s">
        <v>3703</v>
      </c>
      <c r="C2360" t="s">
        <v>3707</v>
      </c>
      <c r="E2360">
        <v>0.01</v>
      </c>
      <c r="F2360" t="s">
        <v>546</v>
      </c>
      <c r="G2360" s="174">
        <v>45576.460914351854</v>
      </c>
    </row>
    <row r="2361" spans="1:7">
      <c r="A2361">
        <v>2378</v>
      </c>
      <c r="B2361" t="s">
        <v>900</v>
      </c>
      <c r="C2361" t="s">
        <v>3708</v>
      </c>
      <c r="E2361">
        <v>0.01</v>
      </c>
      <c r="F2361" t="s">
        <v>546</v>
      </c>
      <c r="G2361" s="174">
        <v>45576.460914351854</v>
      </c>
    </row>
    <row r="2362" spans="1:7">
      <c r="A2362">
        <v>2379</v>
      </c>
      <c r="B2362" t="s">
        <v>3709</v>
      </c>
      <c r="C2362" t="s">
        <v>3375</v>
      </c>
      <c r="E2362">
        <v>0.1</v>
      </c>
      <c r="F2362" t="s">
        <v>546</v>
      </c>
      <c r="G2362" s="174">
        <v>45576.460914351854</v>
      </c>
    </row>
    <row r="2363" spans="1:7">
      <c r="A2363">
        <v>2380</v>
      </c>
      <c r="B2363" t="s">
        <v>3710</v>
      </c>
      <c r="C2363" t="s">
        <v>3711</v>
      </c>
      <c r="E2363">
        <v>0.01</v>
      </c>
      <c r="F2363" t="s">
        <v>546</v>
      </c>
      <c r="G2363" s="174">
        <v>45576.460914351854</v>
      </c>
    </row>
    <row r="2364" spans="1:7">
      <c r="A2364">
        <v>2381</v>
      </c>
      <c r="B2364" t="s">
        <v>3712</v>
      </c>
      <c r="C2364" t="s">
        <v>2844</v>
      </c>
      <c r="E2364">
        <v>0.8</v>
      </c>
      <c r="F2364" t="s">
        <v>546</v>
      </c>
      <c r="G2364" s="174">
        <v>45576.460914351854</v>
      </c>
    </row>
    <row r="2365" spans="1:7">
      <c r="A2365">
        <v>2382</v>
      </c>
      <c r="B2365" t="s">
        <v>3712</v>
      </c>
      <c r="C2365" t="s">
        <v>3457</v>
      </c>
      <c r="E2365">
        <v>0.3</v>
      </c>
      <c r="F2365" t="s">
        <v>546</v>
      </c>
      <c r="G2365" s="174">
        <v>45576.460914351854</v>
      </c>
    </row>
    <row r="2366" spans="1:7">
      <c r="A2366">
        <v>2383</v>
      </c>
      <c r="B2366" t="s">
        <v>3712</v>
      </c>
      <c r="C2366" t="s">
        <v>3456</v>
      </c>
      <c r="E2366">
        <v>0.6</v>
      </c>
      <c r="F2366" t="s">
        <v>546</v>
      </c>
      <c r="G2366" s="174">
        <v>45576.460914351854</v>
      </c>
    </row>
    <row r="2367" spans="1:7">
      <c r="A2367">
        <v>2384</v>
      </c>
      <c r="B2367" t="s">
        <v>3713</v>
      </c>
      <c r="C2367" t="s">
        <v>3714</v>
      </c>
      <c r="E2367">
        <v>0.8</v>
      </c>
      <c r="F2367" t="s">
        <v>546</v>
      </c>
      <c r="G2367" s="174">
        <v>45576.460914351854</v>
      </c>
    </row>
    <row r="2368" spans="1:7">
      <c r="A2368">
        <v>2385</v>
      </c>
      <c r="B2368" t="s">
        <v>3713</v>
      </c>
      <c r="C2368" t="s">
        <v>3715</v>
      </c>
      <c r="E2368">
        <v>0.6</v>
      </c>
      <c r="F2368" t="s">
        <v>546</v>
      </c>
      <c r="G2368" s="174">
        <v>45576.460914351854</v>
      </c>
    </row>
    <row r="2369" spans="1:7">
      <c r="A2369">
        <v>2386</v>
      </c>
      <c r="B2369" t="s">
        <v>3716</v>
      </c>
      <c r="C2369" t="s">
        <v>3717</v>
      </c>
      <c r="E2369">
        <v>0.01</v>
      </c>
      <c r="F2369" t="s">
        <v>546</v>
      </c>
      <c r="G2369" s="174">
        <v>45576.460914351854</v>
      </c>
    </row>
    <row r="2370" spans="1:7">
      <c r="A2370">
        <v>2387</v>
      </c>
      <c r="B2370" t="s">
        <v>3718</v>
      </c>
      <c r="C2370" t="s">
        <v>2848</v>
      </c>
      <c r="E2370">
        <v>0.01</v>
      </c>
      <c r="F2370" t="s">
        <v>546</v>
      </c>
      <c r="G2370" s="174">
        <v>45576.460914351854</v>
      </c>
    </row>
    <row r="2371" spans="1:7">
      <c r="A2371">
        <v>2388</v>
      </c>
      <c r="B2371" t="s">
        <v>3719</v>
      </c>
      <c r="C2371" t="s">
        <v>3720</v>
      </c>
      <c r="E2371">
        <v>0.01</v>
      </c>
      <c r="F2371" t="s">
        <v>546</v>
      </c>
      <c r="G2371" s="174">
        <v>45576.460914351854</v>
      </c>
    </row>
    <row r="2372" spans="1:7">
      <c r="A2372">
        <v>2389</v>
      </c>
      <c r="B2372" t="s">
        <v>3721</v>
      </c>
      <c r="C2372" t="s">
        <v>3722</v>
      </c>
      <c r="E2372">
        <v>0.1</v>
      </c>
      <c r="F2372" t="s">
        <v>546</v>
      </c>
      <c r="G2372" s="174">
        <v>45576.460914351854</v>
      </c>
    </row>
    <row r="2373" spans="1:7">
      <c r="A2373">
        <v>2390</v>
      </c>
      <c r="B2373" t="s">
        <v>3723</v>
      </c>
      <c r="C2373" t="s">
        <v>3724</v>
      </c>
      <c r="E2373">
        <v>0.8</v>
      </c>
      <c r="F2373" t="s">
        <v>546</v>
      </c>
      <c r="G2373" s="174">
        <v>45576.460914351854</v>
      </c>
    </row>
    <row r="2374" spans="1:7">
      <c r="A2374">
        <v>2391</v>
      </c>
      <c r="B2374" t="s">
        <v>3725</v>
      </c>
      <c r="C2374" t="s">
        <v>2892</v>
      </c>
      <c r="E2374">
        <v>0.1</v>
      </c>
      <c r="F2374" t="s">
        <v>546</v>
      </c>
      <c r="G2374" s="174">
        <v>45576.460914351854</v>
      </c>
    </row>
    <row r="2375" spans="1:7">
      <c r="A2375">
        <v>2392</v>
      </c>
      <c r="B2375" t="s">
        <v>3726</v>
      </c>
      <c r="C2375" t="s">
        <v>3727</v>
      </c>
      <c r="E2375">
        <v>0.01</v>
      </c>
      <c r="F2375" t="s">
        <v>546</v>
      </c>
      <c r="G2375" s="174">
        <v>45576.460914351854</v>
      </c>
    </row>
    <row r="2376" spans="1:7">
      <c r="A2376">
        <v>2393</v>
      </c>
      <c r="B2376" t="s">
        <v>3726</v>
      </c>
      <c r="C2376" t="s">
        <v>3411</v>
      </c>
      <c r="E2376">
        <v>0.01</v>
      </c>
      <c r="F2376" t="s">
        <v>546</v>
      </c>
      <c r="G2376" s="174">
        <v>45576.460914351854</v>
      </c>
    </row>
    <row r="2377" spans="1:7">
      <c r="A2377">
        <v>2394</v>
      </c>
      <c r="B2377" t="s">
        <v>3728</v>
      </c>
      <c r="C2377" t="s">
        <v>3729</v>
      </c>
      <c r="E2377">
        <v>0.01</v>
      </c>
      <c r="F2377" t="s">
        <v>546</v>
      </c>
      <c r="G2377" s="174">
        <v>45576.460914351854</v>
      </c>
    </row>
    <row r="2378" spans="1:7">
      <c r="A2378">
        <v>2395</v>
      </c>
      <c r="B2378" t="s">
        <v>903</v>
      </c>
      <c r="C2378" t="s">
        <v>3730</v>
      </c>
      <c r="E2378">
        <v>0.01</v>
      </c>
      <c r="F2378" t="s">
        <v>546</v>
      </c>
      <c r="G2378" s="174">
        <v>45576.460914351854</v>
      </c>
    </row>
    <row r="2379" spans="1:7">
      <c r="A2379">
        <v>2396</v>
      </c>
      <c r="B2379" t="s">
        <v>3731</v>
      </c>
      <c r="C2379" t="s">
        <v>3732</v>
      </c>
      <c r="E2379">
        <v>0.01</v>
      </c>
      <c r="F2379" t="s">
        <v>546</v>
      </c>
      <c r="G2379" s="174">
        <v>45576.460914351854</v>
      </c>
    </row>
    <row r="2380" spans="1:7">
      <c r="A2380">
        <v>2397</v>
      </c>
      <c r="B2380" t="s">
        <v>3733</v>
      </c>
      <c r="C2380" t="s">
        <v>3734</v>
      </c>
      <c r="E2380">
        <v>0.01</v>
      </c>
      <c r="F2380" t="s">
        <v>546</v>
      </c>
      <c r="G2380" s="174">
        <v>45576.460914351854</v>
      </c>
    </row>
    <row r="2381" spans="1:7">
      <c r="A2381">
        <v>2398</v>
      </c>
      <c r="B2381" t="s">
        <v>3735</v>
      </c>
      <c r="C2381" t="s">
        <v>3686</v>
      </c>
      <c r="E2381">
        <v>0.01</v>
      </c>
      <c r="F2381" t="s">
        <v>546</v>
      </c>
      <c r="G2381" s="174">
        <v>45576.460914351854</v>
      </c>
    </row>
    <row r="2382" spans="1:7">
      <c r="A2382">
        <v>2399</v>
      </c>
      <c r="B2382" t="s">
        <v>3736</v>
      </c>
      <c r="C2382" t="s">
        <v>3058</v>
      </c>
      <c r="E2382">
        <v>0.1</v>
      </c>
      <c r="F2382" t="s">
        <v>546</v>
      </c>
      <c r="G2382" s="174">
        <v>45576.460914351854</v>
      </c>
    </row>
    <row r="2383" spans="1:7">
      <c r="A2383">
        <v>2400</v>
      </c>
      <c r="B2383" t="s">
        <v>3737</v>
      </c>
      <c r="C2383" t="s">
        <v>3738</v>
      </c>
      <c r="E2383">
        <v>0.01</v>
      </c>
      <c r="F2383" t="s">
        <v>546</v>
      </c>
      <c r="G2383" s="174">
        <v>45576.460914351854</v>
      </c>
    </row>
    <row r="2384" spans="1:7">
      <c r="A2384">
        <v>2401</v>
      </c>
      <c r="B2384" t="s">
        <v>3739</v>
      </c>
      <c r="C2384" t="s">
        <v>3740</v>
      </c>
      <c r="E2384">
        <v>0.01</v>
      </c>
      <c r="F2384" t="s">
        <v>546</v>
      </c>
      <c r="G2384" s="174">
        <v>45576.460914351854</v>
      </c>
    </row>
    <row r="2385" spans="1:7">
      <c r="A2385">
        <v>2402</v>
      </c>
      <c r="B2385" t="s">
        <v>3741</v>
      </c>
      <c r="C2385" t="s">
        <v>3742</v>
      </c>
      <c r="E2385">
        <v>0.01</v>
      </c>
      <c r="F2385" t="s">
        <v>546</v>
      </c>
      <c r="G2385" s="174">
        <v>45576.460914351854</v>
      </c>
    </row>
    <row r="2386" spans="1:7">
      <c r="A2386">
        <v>2403</v>
      </c>
      <c r="B2386" t="s">
        <v>905</v>
      </c>
      <c r="C2386" t="s">
        <v>3743</v>
      </c>
      <c r="E2386">
        <v>0.01</v>
      </c>
      <c r="F2386" t="s">
        <v>546</v>
      </c>
      <c r="G2386" s="174">
        <v>45576.460914351854</v>
      </c>
    </row>
    <row r="2387" spans="1:7">
      <c r="A2387">
        <v>2404</v>
      </c>
      <c r="B2387" t="s">
        <v>3744</v>
      </c>
      <c r="C2387" t="s">
        <v>3745</v>
      </c>
      <c r="E2387">
        <v>0.01</v>
      </c>
      <c r="F2387" t="s">
        <v>546</v>
      </c>
      <c r="G2387" s="174">
        <v>45576.460914351854</v>
      </c>
    </row>
    <row r="2388" spans="1:7">
      <c r="A2388">
        <v>2405</v>
      </c>
      <c r="B2388" t="s">
        <v>907</v>
      </c>
      <c r="C2388" t="s">
        <v>3746</v>
      </c>
      <c r="E2388">
        <v>0.01</v>
      </c>
      <c r="F2388" t="s">
        <v>546</v>
      </c>
      <c r="G2388" s="174">
        <v>45576.460914351854</v>
      </c>
    </row>
    <row r="2389" spans="1:7">
      <c r="A2389">
        <v>2406</v>
      </c>
      <c r="B2389" t="s">
        <v>3747</v>
      </c>
      <c r="C2389" t="s">
        <v>3748</v>
      </c>
      <c r="E2389">
        <v>0.01</v>
      </c>
      <c r="F2389" t="s">
        <v>546</v>
      </c>
      <c r="G2389" s="174">
        <v>45576.460914351854</v>
      </c>
    </row>
    <row r="2390" spans="1:7">
      <c r="A2390">
        <v>2407</v>
      </c>
      <c r="B2390" t="s">
        <v>909</v>
      </c>
      <c r="C2390" t="s">
        <v>2986</v>
      </c>
      <c r="E2390">
        <v>0.01</v>
      </c>
      <c r="F2390" t="s">
        <v>546</v>
      </c>
      <c r="G2390" s="174">
        <v>45576.460914351854</v>
      </c>
    </row>
    <row r="2391" spans="1:7">
      <c r="A2391">
        <v>2408</v>
      </c>
      <c r="B2391" t="s">
        <v>3749</v>
      </c>
      <c r="C2391" t="s">
        <v>2923</v>
      </c>
      <c r="E2391">
        <v>0.01</v>
      </c>
      <c r="F2391" t="s">
        <v>546</v>
      </c>
      <c r="G2391" s="174">
        <v>45576.460914351854</v>
      </c>
    </row>
    <row r="2392" spans="1:7">
      <c r="A2392">
        <v>2409</v>
      </c>
      <c r="B2392" t="s">
        <v>3750</v>
      </c>
      <c r="C2392" t="s">
        <v>2325</v>
      </c>
      <c r="E2392">
        <v>0.01</v>
      </c>
      <c r="F2392" t="s">
        <v>546</v>
      </c>
      <c r="G2392" s="174">
        <v>45576.460914351854</v>
      </c>
    </row>
    <row r="2393" spans="1:7">
      <c r="A2393">
        <v>2410</v>
      </c>
      <c r="B2393" t="s">
        <v>911</v>
      </c>
      <c r="C2393" t="s">
        <v>3751</v>
      </c>
      <c r="E2393">
        <v>0.6</v>
      </c>
      <c r="F2393" t="s">
        <v>546</v>
      </c>
      <c r="G2393" s="174">
        <v>45576.460914351854</v>
      </c>
    </row>
    <row r="2394" spans="1:7">
      <c r="A2394">
        <v>2411</v>
      </c>
      <c r="B2394" t="s">
        <v>3752</v>
      </c>
      <c r="C2394" t="s">
        <v>2953</v>
      </c>
      <c r="E2394">
        <v>0.01</v>
      </c>
      <c r="F2394" t="s">
        <v>546</v>
      </c>
      <c r="G2394" s="174">
        <v>45576.460914351854</v>
      </c>
    </row>
    <row r="2395" spans="1:7">
      <c r="A2395">
        <v>2412</v>
      </c>
      <c r="B2395" t="s">
        <v>915</v>
      </c>
      <c r="C2395" t="s">
        <v>3474</v>
      </c>
      <c r="E2395">
        <v>0.01</v>
      </c>
      <c r="F2395" t="s">
        <v>546</v>
      </c>
      <c r="G2395" s="174">
        <v>45576.460914351854</v>
      </c>
    </row>
    <row r="2396" spans="1:7">
      <c r="A2396">
        <v>2413</v>
      </c>
      <c r="B2396" t="s">
        <v>3753</v>
      </c>
      <c r="C2396" t="s">
        <v>3064</v>
      </c>
      <c r="E2396">
        <v>0.01</v>
      </c>
      <c r="F2396" t="s">
        <v>546</v>
      </c>
      <c r="G2396" s="174">
        <v>45576.460914351854</v>
      </c>
    </row>
    <row r="2397" spans="1:7">
      <c r="A2397">
        <v>2414</v>
      </c>
      <c r="B2397" t="s">
        <v>3754</v>
      </c>
      <c r="C2397" t="s">
        <v>3755</v>
      </c>
      <c r="E2397">
        <v>0.8</v>
      </c>
      <c r="F2397" t="s">
        <v>546</v>
      </c>
      <c r="G2397" s="174">
        <v>45576.460914351854</v>
      </c>
    </row>
    <row r="2398" spans="1:7">
      <c r="A2398">
        <v>2415</v>
      </c>
      <c r="B2398" t="s">
        <v>917</v>
      </c>
      <c r="C2398" t="s">
        <v>3756</v>
      </c>
      <c r="E2398">
        <v>0.01</v>
      </c>
      <c r="F2398" t="s">
        <v>546</v>
      </c>
      <c r="G2398" s="174">
        <v>45576.460914351854</v>
      </c>
    </row>
    <row r="2399" spans="1:7">
      <c r="A2399">
        <v>2416</v>
      </c>
      <c r="B2399" t="s">
        <v>3757</v>
      </c>
      <c r="C2399" t="s">
        <v>3758</v>
      </c>
      <c r="E2399">
        <v>0.8</v>
      </c>
      <c r="F2399" t="s">
        <v>546</v>
      </c>
      <c r="G2399" s="174">
        <v>45576.460914351854</v>
      </c>
    </row>
    <row r="2400" spans="1:7">
      <c r="A2400">
        <v>2417</v>
      </c>
      <c r="B2400" t="s">
        <v>919</v>
      </c>
      <c r="C2400" t="s">
        <v>3759</v>
      </c>
      <c r="E2400">
        <v>0.01</v>
      </c>
      <c r="F2400" t="s">
        <v>546</v>
      </c>
      <c r="G2400" s="174">
        <v>45576.460914351854</v>
      </c>
    </row>
    <row r="2401" spans="1:7">
      <c r="A2401">
        <v>2418</v>
      </c>
      <c r="B2401" t="s">
        <v>3760</v>
      </c>
      <c r="C2401" t="s">
        <v>3761</v>
      </c>
      <c r="E2401">
        <v>0.01</v>
      </c>
      <c r="F2401" t="s">
        <v>546</v>
      </c>
      <c r="G2401" s="174">
        <v>45576.460914351854</v>
      </c>
    </row>
    <row r="2402" spans="1:7">
      <c r="A2402">
        <v>2419</v>
      </c>
      <c r="B2402" t="s">
        <v>3762</v>
      </c>
      <c r="C2402" t="s">
        <v>3319</v>
      </c>
      <c r="E2402">
        <v>0.01</v>
      </c>
      <c r="F2402" t="s">
        <v>546</v>
      </c>
      <c r="G2402" s="174">
        <v>45576.460914351854</v>
      </c>
    </row>
    <row r="2403" spans="1:7">
      <c r="A2403">
        <v>2420</v>
      </c>
      <c r="B2403" t="s">
        <v>3763</v>
      </c>
      <c r="C2403" t="s">
        <v>2756</v>
      </c>
      <c r="E2403">
        <v>0.01</v>
      </c>
      <c r="F2403" t="s">
        <v>546</v>
      </c>
      <c r="G2403" s="174">
        <v>45576.460914351854</v>
      </c>
    </row>
    <row r="2404" spans="1:7">
      <c r="A2404">
        <v>2421</v>
      </c>
      <c r="B2404" t="s">
        <v>3764</v>
      </c>
      <c r="C2404" t="s">
        <v>3765</v>
      </c>
      <c r="E2404">
        <v>0.01</v>
      </c>
      <c r="F2404" t="s">
        <v>546</v>
      </c>
      <c r="G2404" s="174">
        <v>45576.460914351854</v>
      </c>
    </row>
    <row r="2405" spans="1:7">
      <c r="A2405">
        <v>2422</v>
      </c>
      <c r="B2405" t="s">
        <v>3766</v>
      </c>
      <c r="C2405" t="s">
        <v>2751</v>
      </c>
      <c r="E2405">
        <v>0.01</v>
      </c>
      <c r="F2405" t="s">
        <v>546</v>
      </c>
      <c r="G2405" s="174">
        <v>45576.460914351854</v>
      </c>
    </row>
    <row r="2406" spans="1:7">
      <c r="A2406">
        <v>2423</v>
      </c>
      <c r="B2406" t="s">
        <v>3767</v>
      </c>
      <c r="C2406" t="s">
        <v>3523</v>
      </c>
      <c r="E2406">
        <v>0.01</v>
      </c>
      <c r="F2406" t="s">
        <v>546</v>
      </c>
      <c r="G2406" s="174">
        <v>45576.460914351854</v>
      </c>
    </row>
    <row r="2407" spans="1:7">
      <c r="A2407">
        <v>2424</v>
      </c>
      <c r="B2407" t="s">
        <v>3768</v>
      </c>
      <c r="C2407" t="s">
        <v>3769</v>
      </c>
      <c r="E2407">
        <v>0.01</v>
      </c>
      <c r="F2407" t="s">
        <v>546</v>
      </c>
      <c r="G2407" s="174">
        <v>45576.460914351854</v>
      </c>
    </row>
    <row r="2408" spans="1:7">
      <c r="A2408">
        <v>2425</v>
      </c>
      <c r="B2408" t="s">
        <v>924</v>
      </c>
      <c r="C2408" t="s">
        <v>2853</v>
      </c>
      <c r="E2408">
        <v>0.6</v>
      </c>
      <c r="F2408" t="s">
        <v>546</v>
      </c>
      <c r="G2408" s="174">
        <v>45576.460914351854</v>
      </c>
    </row>
    <row r="2409" spans="1:7">
      <c r="A2409">
        <v>2426</v>
      </c>
      <c r="B2409" t="s">
        <v>3770</v>
      </c>
      <c r="C2409" t="s">
        <v>3344</v>
      </c>
      <c r="E2409">
        <v>0.01</v>
      </c>
      <c r="F2409" t="s">
        <v>546</v>
      </c>
      <c r="G2409" s="174">
        <v>45576.460914351854</v>
      </c>
    </row>
    <row r="2410" spans="1:7">
      <c r="A2410">
        <v>2427</v>
      </c>
      <c r="B2410" t="s">
        <v>3770</v>
      </c>
      <c r="C2410" t="s">
        <v>3771</v>
      </c>
      <c r="E2410">
        <v>0.01</v>
      </c>
      <c r="F2410" t="s">
        <v>546</v>
      </c>
      <c r="G2410" s="174">
        <v>45576.460914351854</v>
      </c>
    </row>
    <row r="2411" spans="1:7">
      <c r="A2411">
        <v>2428</v>
      </c>
      <c r="B2411" t="s">
        <v>3772</v>
      </c>
      <c r="C2411" t="s">
        <v>3773</v>
      </c>
      <c r="E2411">
        <v>0.1</v>
      </c>
      <c r="F2411" t="s">
        <v>546</v>
      </c>
      <c r="G2411" s="174">
        <v>45576.460914351854</v>
      </c>
    </row>
    <row r="2412" spans="1:7">
      <c r="A2412">
        <v>2429</v>
      </c>
      <c r="B2412" t="s">
        <v>926</v>
      </c>
      <c r="C2412" t="s">
        <v>2840</v>
      </c>
      <c r="E2412">
        <v>0.6</v>
      </c>
      <c r="F2412" t="s">
        <v>546</v>
      </c>
      <c r="G2412" s="174">
        <v>45576.460914351854</v>
      </c>
    </row>
    <row r="2413" spans="1:7">
      <c r="A2413">
        <v>2430</v>
      </c>
      <c r="B2413" t="s">
        <v>926</v>
      </c>
      <c r="C2413" t="s">
        <v>3080</v>
      </c>
      <c r="E2413">
        <v>0.01</v>
      </c>
      <c r="F2413" t="s">
        <v>546</v>
      </c>
      <c r="G2413" s="174">
        <v>45576.460914351854</v>
      </c>
    </row>
    <row r="2414" spans="1:7">
      <c r="A2414">
        <v>2431</v>
      </c>
      <c r="B2414" t="s">
        <v>3774</v>
      </c>
      <c r="C2414" t="s">
        <v>3775</v>
      </c>
      <c r="E2414">
        <v>0.01</v>
      </c>
      <c r="F2414" t="s">
        <v>546</v>
      </c>
      <c r="G2414" s="174">
        <v>45576.460914351854</v>
      </c>
    </row>
    <row r="2415" spans="1:7">
      <c r="A2415">
        <v>2432</v>
      </c>
      <c r="B2415" t="s">
        <v>3776</v>
      </c>
      <c r="C2415" t="s">
        <v>3777</v>
      </c>
      <c r="E2415">
        <v>0.01</v>
      </c>
      <c r="F2415" t="s">
        <v>546</v>
      </c>
      <c r="G2415" s="174">
        <v>45576.460914351854</v>
      </c>
    </row>
    <row r="2416" spans="1:7">
      <c r="A2416">
        <v>2433</v>
      </c>
      <c r="B2416" t="s">
        <v>3778</v>
      </c>
      <c r="C2416" t="s">
        <v>3779</v>
      </c>
      <c r="E2416">
        <v>0.01</v>
      </c>
      <c r="F2416" t="s">
        <v>546</v>
      </c>
      <c r="G2416" s="174">
        <v>45576.460914351854</v>
      </c>
    </row>
    <row r="2417" spans="1:7">
      <c r="A2417">
        <v>2434</v>
      </c>
      <c r="B2417" t="s">
        <v>3780</v>
      </c>
      <c r="C2417" t="s">
        <v>3781</v>
      </c>
      <c r="E2417">
        <v>0.1</v>
      </c>
      <c r="F2417" t="s">
        <v>546</v>
      </c>
      <c r="G2417" s="174">
        <v>45576.460914351854</v>
      </c>
    </row>
    <row r="2418" spans="1:7">
      <c r="A2418">
        <v>2435</v>
      </c>
      <c r="B2418" t="s">
        <v>3780</v>
      </c>
      <c r="C2418" t="s">
        <v>3717</v>
      </c>
      <c r="E2418">
        <v>0.01</v>
      </c>
      <c r="F2418" t="s">
        <v>546</v>
      </c>
      <c r="G2418" s="174">
        <v>45576.460914351854</v>
      </c>
    </row>
    <row r="2419" spans="1:7">
      <c r="A2419">
        <v>2436</v>
      </c>
      <c r="B2419" t="s">
        <v>931</v>
      </c>
      <c r="C2419" t="s">
        <v>3782</v>
      </c>
      <c r="E2419">
        <v>0.01</v>
      </c>
      <c r="F2419" t="s">
        <v>546</v>
      </c>
      <c r="G2419" s="174">
        <v>45576.460914351854</v>
      </c>
    </row>
    <row r="2420" spans="1:7">
      <c r="A2420">
        <v>2437</v>
      </c>
      <c r="B2420" t="s">
        <v>3783</v>
      </c>
      <c r="C2420" t="s">
        <v>2801</v>
      </c>
      <c r="E2420">
        <v>0.01</v>
      </c>
      <c r="F2420" t="s">
        <v>546</v>
      </c>
      <c r="G2420" s="174">
        <v>45576.460914351854</v>
      </c>
    </row>
    <row r="2421" spans="1:7">
      <c r="A2421">
        <v>2438</v>
      </c>
      <c r="B2421" t="s">
        <v>3784</v>
      </c>
      <c r="C2421" t="s">
        <v>3785</v>
      </c>
      <c r="E2421">
        <v>0.1</v>
      </c>
      <c r="F2421" t="s">
        <v>546</v>
      </c>
      <c r="G2421" s="174">
        <v>45576.460914351854</v>
      </c>
    </row>
    <row r="2422" spans="1:7">
      <c r="A2422">
        <v>2439</v>
      </c>
      <c r="B2422" t="s">
        <v>3784</v>
      </c>
      <c r="C2422" t="s">
        <v>3786</v>
      </c>
      <c r="E2422">
        <v>0.1</v>
      </c>
      <c r="F2422" t="s">
        <v>546</v>
      </c>
      <c r="G2422" s="174">
        <v>45576.460914351854</v>
      </c>
    </row>
    <row r="2423" spans="1:7">
      <c r="A2423">
        <v>2441</v>
      </c>
      <c r="B2423" t="s">
        <v>3787</v>
      </c>
      <c r="C2423" t="s">
        <v>2817</v>
      </c>
      <c r="E2423">
        <v>0.01</v>
      </c>
      <c r="F2423" t="s">
        <v>546</v>
      </c>
      <c r="G2423" s="174">
        <v>45576.460914351854</v>
      </c>
    </row>
    <row r="2424" spans="1:7">
      <c r="A2424">
        <v>2442</v>
      </c>
      <c r="B2424" t="s">
        <v>3788</v>
      </c>
      <c r="C2424" t="s">
        <v>3789</v>
      </c>
      <c r="E2424">
        <v>0.1</v>
      </c>
      <c r="F2424" t="s">
        <v>546</v>
      </c>
      <c r="G2424" s="174">
        <v>45576.460914351854</v>
      </c>
    </row>
    <row r="2425" spans="1:7">
      <c r="A2425">
        <v>2443</v>
      </c>
      <c r="B2425" t="s">
        <v>3788</v>
      </c>
      <c r="C2425" t="s">
        <v>3357</v>
      </c>
      <c r="E2425">
        <v>0.01</v>
      </c>
      <c r="F2425" t="s">
        <v>546</v>
      </c>
      <c r="G2425" s="174">
        <v>45576.460914351854</v>
      </c>
    </row>
    <row r="2426" spans="1:7">
      <c r="A2426">
        <v>2444</v>
      </c>
      <c r="B2426" t="s">
        <v>932</v>
      </c>
      <c r="C2426" t="s">
        <v>3790</v>
      </c>
      <c r="E2426">
        <v>0.01</v>
      </c>
      <c r="F2426" t="s">
        <v>546</v>
      </c>
      <c r="G2426" s="174">
        <v>45576.460914351854</v>
      </c>
    </row>
    <row r="2427" spans="1:7">
      <c r="A2427">
        <v>2445</v>
      </c>
      <c r="B2427" t="s">
        <v>932</v>
      </c>
      <c r="C2427" t="s">
        <v>2810</v>
      </c>
      <c r="E2427">
        <v>0.01</v>
      </c>
      <c r="F2427" t="s">
        <v>546</v>
      </c>
      <c r="G2427" s="174">
        <v>45576.460914351854</v>
      </c>
    </row>
    <row r="2428" spans="1:7">
      <c r="A2428">
        <v>2446</v>
      </c>
      <c r="B2428" t="s">
        <v>3791</v>
      </c>
      <c r="C2428" t="s">
        <v>3792</v>
      </c>
      <c r="E2428">
        <v>0.8</v>
      </c>
      <c r="F2428" t="s">
        <v>546</v>
      </c>
      <c r="G2428" s="174">
        <v>45576.460914351854</v>
      </c>
    </row>
    <row r="2429" spans="1:7">
      <c r="A2429">
        <v>2447</v>
      </c>
      <c r="B2429" t="s">
        <v>3791</v>
      </c>
      <c r="C2429" t="s">
        <v>3793</v>
      </c>
      <c r="E2429">
        <v>0.6</v>
      </c>
      <c r="F2429" t="s">
        <v>546</v>
      </c>
      <c r="G2429" s="174">
        <v>45576.460914351854</v>
      </c>
    </row>
    <row r="2430" spans="1:7">
      <c r="A2430">
        <v>2448</v>
      </c>
      <c r="B2430" t="s">
        <v>3794</v>
      </c>
      <c r="C2430" t="s">
        <v>3795</v>
      </c>
      <c r="E2430">
        <v>0.8</v>
      </c>
      <c r="F2430" t="s">
        <v>546</v>
      </c>
      <c r="G2430" s="174">
        <v>45576.460914351854</v>
      </c>
    </row>
    <row r="2431" spans="1:7">
      <c r="A2431">
        <v>2449</v>
      </c>
      <c r="B2431" t="s">
        <v>3794</v>
      </c>
      <c r="C2431" t="s">
        <v>2295</v>
      </c>
      <c r="E2431">
        <v>0.6</v>
      </c>
      <c r="F2431" t="s">
        <v>546</v>
      </c>
      <c r="G2431" s="174">
        <v>45576.460914351854</v>
      </c>
    </row>
    <row r="2432" spans="1:7">
      <c r="A2432">
        <v>2450</v>
      </c>
      <c r="B2432" t="s">
        <v>3796</v>
      </c>
      <c r="C2432" t="s">
        <v>3265</v>
      </c>
      <c r="E2432">
        <v>0.01</v>
      </c>
      <c r="F2432" t="s">
        <v>546</v>
      </c>
      <c r="G2432" s="174">
        <v>45576.460914351854</v>
      </c>
    </row>
    <row r="2433" spans="1:7">
      <c r="A2433">
        <v>2451</v>
      </c>
      <c r="B2433" t="s">
        <v>935</v>
      </c>
      <c r="C2433" t="s">
        <v>3797</v>
      </c>
      <c r="E2433">
        <v>0.01</v>
      </c>
      <c r="F2433" t="s">
        <v>546</v>
      </c>
      <c r="G2433" s="174">
        <v>45576.460914351854</v>
      </c>
    </row>
    <row r="2434" spans="1:7">
      <c r="A2434">
        <v>2452</v>
      </c>
      <c r="B2434" t="s">
        <v>3798</v>
      </c>
      <c r="C2434" t="s">
        <v>3799</v>
      </c>
      <c r="E2434">
        <v>0.01</v>
      </c>
      <c r="F2434" t="s">
        <v>546</v>
      </c>
      <c r="G2434" s="174">
        <v>45576.460914351854</v>
      </c>
    </row>
    <row r="2435" spans="1:7">
      <c r="A2435">
        <v>2453</v>
      </c>
      <c r="B2435" t="s">
        <v>3798</v>
      </c>
      <c r="C2435" t="s">
        <v>3800</v>
      </c>
      <c r="E2435">
        <v>0.01</v>
      </c>
      <c r="F2435" t="s">
        <v>546</v>
      </c>
      <c r="G2435" s="174">
        <v>45576.460914351854</v>
      </c>
    </row>
    <row r="2436" spans="1:7">
      <c r="A2436">
        <v>2454</v>
      </c>
      <c r="B2436" t="s">
        <v>3801</v>
      </c>
      <c r="C2436" t="s">
        <v>3802</v>
      </c>
      <c r="E2436">
        <v>0.01</v>
      </c>
      <c r="F2436" t="s">
        <v>546</v>
      </c>
      <c r="G2436" s="174">
        <v>45576.460914351854</v>
      </c>
    </row>
    <row r="2437" spans="1:7">
      <c r="A2437">
        <v>2455</v>
      </c>
      <c r="B2437" t="s">
        <v>3803</v>
      </c>
      <c r="C2437" t="s">
        <v>2952</v>
      </c>
      <c r="E2437">
        <v>0.01</v>
      </c>
      <c r="F2437" t="s">
        <v>546</v>
      </c>
      <c r="G2437" s="174">
        <v>45576.460914351854</v>
      </c>
    </row>
    <row r="2438" spans="1:7">
      <c r="A2438">
        <v>2456</v>
      </c>
      <c r="B2438" t="s">
        <v>937</v>
      </c>
      <c r="C2438" t="s">
        <v>2946</v>
      </c>
      <c r="E2438">
        <v>0.01</v>
      </c>
      <c r="F2438" t="s">
        <v>546</v>
      </c>
      <c r="G2438" s="174">
        <v>45576.460914351854</v>
      </c>
    </row>
    <row r="2439" spans="1:7">
      <c r="A2439">
        <v>2457</v>
      </c>
      <c r="B2439" t="s">
        <v>3804</v>
      </c>
      <c r="C2439" t="s">
        <v>3755</v>
      </c>
      <c r="E2439">
        <v>0.8</v>
      </c>
      <c r="F2439" t="s">
        <v>546</v>
      </c>
      <c r="G2439" s="174">
        <v>45576.460914351854</v>
      </c>
    </row>
    <row r="2440" spans="1:7">
      <c r="A2440">
        <v>2458</v>
      </c>
      <c r="B2440" t="s">
        <v>3805</v>
      </c>
      <c r="C2440" t="s">
        <v>3175</v>
      </c>
      <c r="E2440">
        <v>0.1</v>
      </c>
      <c r="F2440" t="s">
        <v>546</v>
      </c>
      <c r="G2440" s="174">
        <v>45576.460914351854</v>
      </c>
    </row>
    <row r="2441" spans="1:7">
      <c r="A2441">
        <v>2459</v>
      </c>
      <c r="B2441" t="s">
        <v>3806</v>
      </c>
      <c r="C2441" t="s">
        <v>3807</v>
      </c>
      <c r="E2441">
        <v>0.05</v>
      </c>
      <c r="F2441" t="s">
        <v>546</v>
      </c>
      <c r="G2441" s="174">
        <v>45576.460914351854</v>
      </c>
    </row>
    <row r="2442" spans="1:7">
      <c r="A2442">
        <v>2460</v>
      </c>
      <c r="B2442" t="s">
        <v>3808</v>
      </c>
      <c r="C2442" t="s">
        <v>3175</v>
      </c>
      <c r="E2442">
        <v>0.01</v>
      </c>
      <c r="F2442" t="s">
        <v>546</v>
      </c>
      <c r="G2442" s="174">
        <v>45576.460914351854</v>
      </c>
    </row>
    <row r="2443" spans="1:7">
      <c r="A2443">
        <v>2461</v>
      </c>
      <c r="B2443" t="s">
        <v>3809</v>
      </c>
      <c r="C2443" t="s">
        <v>3416</v>
      </c>
      <c r="E2443">
        <v>0.01</v>
      </c>
      <c r="F2443" t="s">
        <v>546</v>
      </c>
      <c r="G2443" s="174">
        <v>45576.460914351854</v>
      </c>
    </row>
    <row r="2444" spans="1:7">
      <c r="A2444">
        <v>2462</v>
      </c>
      <c r="B2444" t="s">
        <v>3810</v>
      </c>
      <c r="C2444" t="s">
        <v>1064</v>
      </c>
      <c r="E2444">
        <v>0.01</v>
      </c>
      <c r="F2444" t="s">
        <v>546</v>
      </c>
      <c r="G2444" s="174">
        <v>45576.460914351854</v>
      </c>
    </row>
    <row r="2445" spans="1:7">
      <c r="A2445">
        <v>2464</v>
      </c>
      <c r="B2445" t="s">
        <v>3811</v>
      </c>
      <c r="C2445" t="s">
        <v>3812</v>
      </c>
      <c r="E2445">
        <v>0.01</v>
      </c>
      <c r="F2445" t="s">
        <v>546</v>
      </c>
      <c r="G2445" s="174">
        <v>45576.460914351854</v>
      </c>
    </row>
    <row r="2446" spans="1:7">
      <c r="A2446">
        <v>2465</v>
      </c>
      <c r="B2446" t="s">
        <v>3811</v>
      </c>
      <c r="C2446" t="s">
        <v>3813</v>
      </c>
      <c r="E2446">
        <v>0.01</v>
      </c>
      <c r="F2446" t="s">
        <v>546</v>
      </c>
      <c r="G2446" s="174">
        <v>45576.460914351854</v>
      </c>
    </row>
    <row r="2447" spans="1:7">
      <c r="A2447">
        <v>2466</v>
      </c>
      <c r="B2447" t="s">
        <v>3814</v>
      </c>
      <c r="C2447" t="s">
        <v>3284</v>
      </c>
      <c r="E2447">
        <v>0.01</v>
      </c>
      <c r="F2447" t="s">
        <v>546</v>
      </c>
      <c r="G2447" s="174">
        <v>45576.460914351854</v>
      </c>
    </row>
    <row r="2448" spans="1:7">
      <c r="A2448">
        <v>2467</v>
      </c>
      <c r="B2448" t="s">
        <v>3815</v>
      </c>
      <c r="C2448" t="s">
        <v>3816</v>
      </c>
      <c r="E2448">
        <v>0.01</v>
      </c>
      <c r="F2448" t="s">
        <v>546</v>
      </c>
      <c r="G2448" s="174">
        <v>45576.460914351854</v>
      </c>
    </row>
    <row r="2449" spans="1:7">
      <c r="A2449">
        <v>2468</v>
      </c>
      <c r="B2449" t="s">
        <v>3817</v>
      </c>
      <c r="C2449" t="s">
        <v>3246</v>
      </c>
      <c r="E2449">
        <v>0.01</v>
      </c>
      <c r="F2449" t="s">
        <v>546</v>
      </c>
      <c r="G2449" s="174">
        <v>45576.460914351854</v>
      </c>
    </row>
    <row r="2450" spans="1:7">
      <c r="A2450">
        <v>2469</v>
      </c>
      <c r="B2450" t="s">
        <v>938</v>
      </c>
      <c r="C2450" t="s">
        <v>3759</v>
      </c>
      <c r="E2450">
        <v>0.65</v>
      </c>
      <c r="F2450" t="s">
        <v>546</v>
      </c>
      <c r="G2450" s="174">
        <v>45576.460914351854</v>
      </c>
    </row>
    <row r="2451" spans="1:7">
      <c r="A2451">
        <v>2470</v>
      </c>
      <c r="B2451" t="s">
        <v>3818</v>
      </c>
      <c r="C2451" t="s">
        <v>2939</v>
      </c>
      <c r="E2451">
        <v>0.01</v>
      </c>
      <c r="F2451" t="s">
        <v>546</v>
      </c>
      <c r="G2451" s="174">
        <v>45576.460914351854</v>
      </c>
    </row>
    <row r="2452" spans="1:7">
      <c r="A2452">
        <v>2471</v>
      </c>
      <c r="B2452" t="s">
        <v>3819</v>
      </c>
      <c r="C2452" t="s">
        <v>3375</v>
      </c>
      <c r="E2452">
        <v>0.01</v>
      </c>
      <c r="F2452" t="s">
        <v>546</v>
      </c>
      <c r="G2452" s="174">
        <v>45576.460914351854</v>
      </c>
    </row>
    <row r="2453" spans="1:7">
      <c r="A2453">
        <v>2472</v>
      </c>
      <c r="B2453" t="s">
        <v>3820</v>
      </c>
      <c r="C2453" t="s">
        <v>3821</v>
      </c>
      <c r="E2453">
        <v>0.8</v>
      </c>
      <c r="F2453" t="s">
        <v>546</v>
      </c>
      <c r="G2453" s="174">
        <v>45576.460914351854</v>
      </c>
    </row>
    <row r="2454" spans="1:7">
      <c r="A2454">
        <v>2473</v>
      </c>
      <c r="B2454" t="s">
        <v>3820</v>
      </c>
      <c r="C2454" t="s">
        <v>3822</v>
      </c>
      <c r="E2454">
        <v>0.5</v>
      </c>
      <c r="F2454" t="s">
        <v>546</v>
      </c>
      <c r="G2454" s="174">
        <v>45576.460914351854</v>
      </c>
    </row>
    <row r="2455" spans="1:7">
      <c r="A2455">
        <v>2474</v>
      </c>
      <c r="B2455" t="s">
        <v>3820</v>
      </c>
      <c r="C2455" t="s">
        <v>3823</v>
      </c>
      <c r="E2455">
        <v>0.6</v>
      </c>
      <c r="F2455" t="s">
        <v>546</v>
      </c>
      <c r="G2455" s="174">
        <v>45576.460914351854</v>
      </c>
    </row>
    <row r="2456" spans="1:7">
      <c r="A2456">
        <v>2475</v>
      </c>
      <c r="B2456" t="s">
        <v>3824</v>
      </c>
      <c r="C2456" t="s">
        <v>2883</v>
      </c>
      <c r="E2456">
        <v>0.01</v>
      </c>
      <c r="F2456" t="s">
        <v>546</v>
      </c>
      <c r="G2456" s="174">
        <v>45576.460914351854</v>
      </c>
    </row>
    <row r="2457" spans="1:7">
      <c r="A2457">
        <v>2476</v>
      </c>
      <c r="B2457" t="s">
        <v>3824</v>
      </c>
      <c r="C2457" t="s">
        <v>2884</v>
      </c>
      <c r="E2457">
        <v>0.01</v>
      </c>
      <c r="F2457" t="s">
        <v>546</v>
      </c>
      <c r="G2457" s="174">
        <v>45576.460914351854</v>
      </c>
    </row>
    <row r="2458" spans="1:7">
      <c r="A2458">
        <v>2477</v>
      </c>
      <c r="B2458" t="s">
        <v>3825</v>
      </c>
      <c r="C2458" t="s">
        <v>1299</v>
      </c>
      <c r="E2458">
        <v>0.1</v>
      </c>
      <c r="F2458" t="s">
        <v>546</v>
      </c>
      <c r="G2458" s="174">
        <v>45576.460914351854</v>
      </c>
    </row>
    <row r="2459" spans="1:7">
      <c r="A2459">
        <v>2478</v>
      </c>
      <c r="B2459" t="s">
        <v>3826</v>
      </c>
      <c r="C2459" t="s">
        <v>3432</v>
      </c>
      <c r="E2459">
        <v>0.01</v>
      </c>
      <c r="F2459" t="s">
        <v>546</v>
      </c>
      <c r="G2459" s="174">
        <v>45576.460914351854</v>
      </c>
    </row>
    <row r="2460" spans="1:7">
      <c r="A2460">
        <v>2479</v>
      </c>
      <c r="B2460" t="s">
        <v>3827</v>
      </c>
      <c r="C2460" t="s">
        <v>3329</v>
      </c>
      <c r="E2460">
        <v>0.8</v>
      </c>
      <c r="F2460" t="s">
        <v>546</v>
      </c>
      <c r="G2460" s="174">
        <v>45576.460914351854</v>
      </c>
    </row>
    <row r="2461" spans="1:7">
      <c r="A2461">
        <v>2480</v>
      </c>
      <c r="B2461" t="s">
        <v>3827</v>
      </c>
      <c r="C2461" t="s">
        <v>3828</v>
      </c>
      <c r="E2461">
        <v>0.6</v>
      </c>
      <c r="F2461" t="s">
        <v>546</v>
      </c>
      <c r="G2461" s="174">
        <v>45576.460914351854</v>
      </c>
    </row>
    <row r="2462" spans="1:7">
      <c r="A2462">
        <v>2481</v>
      </c>
      <c r="B2462" t="s">
        <v>3829</v>
      </c>
      <c r="C2462" t="s">
        <v>3830</v>
      </c>
      <c r="E2462">
        <v>0.01</v>
      </c>
      <c r="F2462" t="s">
        <v>546</v>
      </c>
      <c r="G2462" s="174">
        <v>45576.460914351854</v>
      </c>
    </row>
    <row r="2463" spans="1:7">
      <c r="A2463">
        <v>2482</v>
      </c>
      <c r="B2463" t="s">
        <v>3831</v>
      </c>
      <c r="C2463" t="s">
        <v>3374</v>
      </c>
      <c r="E2463">
        <v>0.01</v>
      </c>
      <c r="F2463" t="s">
        <v>546</v>
      </c>
      <c r="G2463" s="174">
        <v>45576.460914351854</v>
      </c>
    </row>
    <row r="2464" spans="1:7">
      <c r="A2464">
        <v>2483</v>
      </c>
      <c r="B2464" t="s">
        <v>3832</v>
      </c>
      <c r="C2464" t="s">
        <v>3833</v>
      </c>
      <c r="E2464">
        <v>0.1</v>
      </c>
      <c r="F2464" t="s">
        <v>546</v>
      </c>
      <c r="G2464" s="174">
        <v>45576.460914351854</v>
      </c>
    </row>
    <row r="2465" spans="1:7">
      <c r="A2465">
        <v>2484</v>
      </c>
      <c r="B2465" t="s">
        <v>3832</v>
      </c>
      <c r="C2465" t="s">
        <v>2824</v>
      </c>
      <c r="E2465">
        <v>0.8</v>
      </c>
      <c r="F2465" t="s">
        <v>546</v>
      </c>
      <c r="G2465" s="174">
        <v>45576.460914351854</v>
      </c>
    </row>
    <row r="2466" spans="1:7">
      <c r="A2466">
        <v>2485</v>
      </c>
      <c r="B2466" t="s">
        <v>3834</v>
      </c>
      <c r="C2466" t="s">
        <v>3835</v>
      </c>
      <c r="E2466">
        <v>0.01</v>
      </c>
      <c r="F2466" t="s">
        <v>546</v>
      </c>
      <c r="G2466" s="174">
        <v>45576.460914351854</v>
      </c>
    </row>
    <row r="2467" spans="1:7">
      <c r="A2467">
        <v>2486</v>
      </c>
      <c r="B2467" t="s">
        <v>948</v>
      </c>
      <c r="C2467" t="s">
        <v>1848</v>
      </c>
      <c r="E2467">
        <v>0.01</v>
      </c>
      <c r="F2467" t="s">
        <v>546</v>
      </c>
      <c r="G2467" s="174">
        <v>45576.460914351854</v>
      </c>
    </row>
    <row r="2468" spans="1:7">
      <c r="A2468">
        <v>2487</v>
      </c>
      <c r="B2468" t="s">
        <v>3836</v>
      </c>
      <c r="C2468" t="s">
        <v>3837</v>
      </c>
      <c r="E2468">
        <v>0.1</v>
      </c>
      <c r="F2468" t="s">
        <v>546</v>
      </c>
      <c r="G2468" s="174">
        <v>45576.460914351854</v>
      </c>
    </row>
    <row r="2469" spans="1:7">
      <c r="A2469">
        <v>2488</v>
      </c>
      <c r="B2469" t="s">
        <v>3838</v>
      </c>
      <c r="C2469" t="s">
        <v>3839</v>
      </c>
      <c r="E2469">
        <v>0.01</v>
      </c>
      <c r="F2469" t="s">
        <v>546</v>
      </c>
      <c r="G2469" s="174">
        <v>45576.460914351854</v>
      </c>
    </row>
    <row r="2470" spans="1:7">
      <c r="A2470">
        <v>2489</v>
      </c>
      <c r="B2470" t="s">
        <v>3840</v>
      </c>
      <c r="C2470" t="s">
        <v>3329</v>
      </c>
      <c r="E2470">
        <v>0.01</v>
      </c>
      <c r="F2470" t="s">
        <v>546</v>
      </c>
      <c r="G2470" s="174">
        <v>45576.460914351854</v>
      </c>
    </row>
    <row r="2471" spans="1:7">
      <c r="A2471">
        <v>2490</v>
      </c>
      <c r="B2471" t="s">
        <v>3841</v>
      </c>
      <c r="C2471" t="s">
        <v>3483</v>
      </c>
      <c r="E2471">
        <v>0.01</v>
      </c>
      <c r="F2471" t="s">
        <v>546</v>
      </c>
      <c r="G2471" s="174">
        <v>45576.460914351854</v>
      </c>
    </row>
    <row r="2472" spans="1:7">
      <c r="A2472">
        <v>2491</v>
      </c>
      <c r="B2472" t="s">
        <v>957</v>
      </c>
      <c r="C2472" t="s">
        <v>3078</v>
      </c>
      <c r="E2472">
        <v>0.01</v>
      </c>
      <c r="F2472" t="s">
        <v>546</v>
      </c>
      <c r="G2472" s="174">
        <v>45576.460914351854</v>
      </c>
    </row>
    <row r="2473" spans="1:7">
      <c r="A2473">
        <v>2492</v>
      </c>
      <c r="B2473" t="s">
        <v>957</v>
      </c>
      <c r="C2473" t="s">
        <v>3083</v>
      </c>
      <c r="E2473">
        <v>0.01</v>
      </c>
      <c r="F2473" t="s">
        <v>546</v>
      </c>
      <c r="G2473" s="174">
        <v>45576.460914351854</v>
      </c>
    </row>
    <row r="2474" spans="1:7">
      <c r="A2474">
        <v>2493</v>
      </c>
      <c r="B2474" t="s">
        <v>963</v>
      </c>
      <c r="C2474" t="s">
        <v>3842</v>
      </c>
      <c r="E2474">
        <v>0.1</v>
      </c>
      <c r="F2474" t="s">
        <v>546</v>
      </c>
      <c r="G2474" s="174">
        <v>45576.460914351854</v>
      </c>
    </row>
    <row r="2475" spans="1:7">
      <c r="A2475">
        <v>2494</v>
      </c>
      <c r="B2475" t="s">
        <v>3843</v>
      </c>
      <c r="C2475" t="s">
        <v>3844</v>
      </c>
      <c r="E2475">
        <v>0.01</v>
      </c>
      <c r="F2475" t="s">
        <v>546</v>
      </c>
      <c r="G2475" s="174">
        <v>45576.460914351854</v>
      </c>
    </row>
    <row r="2476" spans="1:7">
      <c r="A2476">
        <v>2495</v>
      </c>
      <c r="B2476" t="s">
        <v>3845</v>
      </c>
      <c r="C2476" t="s">
        <v>3502</v>
      </c>
      <c r="E2476">
        <v>0.1</v>
      </c>
      <c r="F2476" t="s">
        <v>546</v>
      </c>
      <c r="G2476" s="174">
        <v>45576.460914351854</v>
      </c>
    </row>
    <row r="2477" spans="1:7">
      <c r="A2477">
        <v>2496</v>
      </c>
      <c r="B2477" t="s">
        <v>965</v>
      </c>
      <c r="C2477" t="s">
        <v>3190</v>
      </c>
      <c r="E2477">
        <v>1</v>
      </c>
      <c r="F2477" t="s">
        <v>546</v>
      </c>
      <c r="G2477" s="174">
        <v>45576.460914351854</v>
      </c>
    </row>
    <row r="2478" spans="1:7">
      <c r="A2478">
        <v>2497</v>
      </c>
      <c r="B2478" t="s">
        <v>3846</v>
      </c>
      <c r="C2478" t="s">
        <v>2777</v>
      </c>
      <c r="E2478">
        <v>0.01</v>
      </c>
      <c r="F2478" t="s">
        <v>546</v>
      </c>
      <c r="G2478" s="174">
        <v>45576.460914351854</v>
      </c>
    </row>
    <row r="2479" spans="1:7">
      <c r="A2479">
        <v>2498</v>
      </c>
      <c r="B2479" t="s">
        <v>3847</v>
      </c>
      <c r="C2479" t="s">
        <v>3848</v>
      </c>
      <c r="E2479">
        <v>0.01</v>
      </c>
      <c r="F2479" t="s">
        <v>546</v>
      </c>
      <c r="G2479" s="174">
        <v>45576.460914351854</v>
      </c>
    </row>
    <row r="2480" spans="1:7">
      <c r="A2480">
        <v>2499</v>
      </c>
      <c r="B2480" t="s">
        <v>3849</v>
      </c>
      <c r="C2480" t="s">
        <v>3850</v>
      </c>
      <c r="E2480">
        <v>0.01</v>
      </c>
      <c r="F2480" t="s">
        <v>546</v>
      </c>
      <c r="G2480" s="174">
        <v>45576.460914351854</v>
      </c>
    </row>
    <row r="2481" spans="1:7">
      <c r="A2481">
        <v>2500</v>
      </c>
      <c r="B2481" t="s">
        <v>3849</v>
      </c>
      <c r="C2481" t="s">
        <v>3851</v>
      </c>
      <c r="E2481">
        <v>0.01</v>
      </c>
      <c r="F2481" t="s">
        <v>546</v>
      </c>
      <c r="G2481" s="174">
        <v>45576.460914351854</v>
      </c>
    </row>
    <row r="2482" spans="1:7">
      <c r="A2482">
        <v>2501</v>
      </c>
      <c r="B2482" t="s">
        <v>3852</v>
      </c>
      <c r="C2482" t="s">
        <v>1848</v>
      </c>
      <c r="E2482">
        <v>0.01</v>
      </c>
      <c r="F2482" t="s">
        <v>546</v>
      </c>
      <c r="G2482" s="174">
        <v>45576.460914351854</v>
      </c>
    </row>
    <row r="2483" spans="1:7">
      <c r="A2483">
        <v>2502</v>
      </c>
      <c r="B2483" t="s">
        <v>3853</v>
      </c>
      <c r="C2483" t="s">
        <v>3222</v>
      </c>
      <c r="E2483">
        <v>0.01</v>
      </c>
      <c r="F2483" t="s">
        <v>546</v>
      </c>
      <c r="G2483" s="174">
        <v>45576.460914351854</v>
      </c>
    </row>
    <row r="2484" spans="1:7">
      <c r="A2484">
        <v>2503</v>
      </c>
      <c r="B2484" t="s">
        <v>3854</v>
      </c>
      <c r="C2484" t="s">
        <v>3404</v>
      </c>
      <c r="E2484">
        <v>0.01</v>
      </c>
      <c r="F2484" t="s">
        <v>546</v>
      </c>
      <c r="G2484" s="174">
        <v>45576.460914351854</v>
      </c>
    </row>
    <row r="2485" spans="1:7">
      <c r="A2485">
        <v>2504</v>
      </c>
      <c r="B2485" t="s">
        <v>3854</v>
      </c>
      <c r="C2485" t="s">
        <v>3855</v>
      </c>
      <c r="E2485">
        <v>0.1</v>
      </c>
      <c r="F2485" t="s">
        <v>546</v>
      </c>
      <c r="G2485" s="174">
        <v>45576.460914351854</v>
      </c>
    </row>
    <row r="2486" spans="1:7">
      <c r="A2486">
        <v>2505</v>
      </c>
      <c r="B2486" t="s">
        <v>3856</v>
      </c>
      <c r="C2486" t="s">
        <v>3276</v>
      </c>
      <c r="E2486">
        <v>0.01</v>
      </c>
      <c r="F2486" t="s">
        <v>546</v>
      </c>
      <c r="G2486" s="174">
        <v>45576.460914351854</v>
      </c>
    </row>
    <row r="2487" spans="1:7">
      <c r="A2487">
        <v>2506</v>
      </c>
      <c r="B2487" t="s">
        <v>3857</v>
      </c>
      <c r="C2487" t="s">
        <v>3858</v>
      </c>
      <c r="E2487">
        <v>0.1</v>
      </c>
      <c r="F2487" t="s">
        <v>546</v>
      </c>
      <c r="G2487" s="174">
        <v>45576.460914351854</v>
      </c>
    </row>
    <row r="2488" spans="1:7">
      <c r="A2488">
        <v>2507</v>
      </c>
      <c r="B2488" t="s">
        <v>3857</v>
      </c>
      <c r="C2488" t="s">
        <v>3859</v>
      </c>
      <c r="E2488">
        <v>0.01</v>
      </c>
      <c r="F2488" t="s">
        <v>546</v>
      </c>
      <c r="G2488" s="174">
        <v>45576.460914351854</v>
      </c>
    </row>
    <row r="2489" spans="1:7">
      <c r="A2489">
        <v>2508</v>
      </c>
      <c r="B2489" t="s">
        <v>3857</v>
      </c>
      <c r="C2489" t="s">
        <v>3860</v>
      </c>
      <c r="E2489">
        <v>0.01</v>
      </c>
      <c r="F2489" t="s">
        <v>546</v>
      </c>
      <c r="G2489" s="174">
        <v>45576.460914351854</v>
      </c>
    </row>
    <row r="2490" spans="1:7">
      <c r="A2490">
        <v>2509</v>
      </c>
      <c r="B2490" t="s">
        <v>3857</v>
      </c>
      <c r="C2490" t="s">
        <v>3861</v>
      </c>
      <c r="E2490">
        <v>0.1</v>
      </c>
      <c r="F2490" t="s">
        <v>546</v>
      </c>
      <c r="G2490" s="174">
        <v>45576.460914351854</v>
      </c>
    </row>
    <row r="2491" spans="1:7">
      <c r="A2491">
        <v>2510</v>
      </c>
      <c r="B2491" t="s">
        <v>3862</v>
      </c>
      <c r="C2491" t="s">
        <v>3621</v>
      </c>
      <c r="E2491">
        <v>0.8</v>
      </c>
      <c r="F2491" t="s">
        <v>3863</v>
      </c>
      <c r="G2491" s="174">
        <v>45576.460914351854</v>
      </c>
    </row>
    <row r="2492" spans="1:7">
      <c r="A2492">
        <v>2511</v>
      </c>
      <c r="B2492" t="s">
        <v>3864</v>
      </c>
      <c r="C2492" t="s">
        <v>3865</v>
      </c>
      <c r="E2492">
        <v>0.01</v>
      </c>
      <c r="F2492" t="s">
        <v>546</v>
      </c>
      <c r="G2492" s="174">
        <v>45576.460914351854</v>
      </c>
    </row>
    <row r="2493" spans="1:7">
      <c r="A2493">
        <v>2512</v>
      </c>
      <c r="B2493" t="s">
        <v>3864</v>
      </c>
      <c r="C2493" t="s">
        <v>3866</v>
      </c>
      <c r="E2493">
        <v>0.01</v>
      </c>
      <c r="F2493" t="s">
        <v>546</v>
      </c>
      <c r="G2493" s="174">
        <v>45576.460914351854</v>
      </c>
    </row>
    <row r="2494" spans="1:7">
      <c r="A2494">
        <v>2513</v>
      </c>
      <c r="B2494" t="s">
        <v>3867</v>
      </c>
      <c r="C2494" t="s">
        <v>3868</v>
      </c>
      <c r="E2494">
        <v>0.01</v>
      </c>
      <c r="F2494" t="s">
        <v>546</v>
      </c>
      <c r="G2494" s="174">
        <v>45576.460914351854</v>
      </c>
    </row>
    <row r="2495" spans="1:7">
      <c r="A2495">
        <v>2514</v>
      </c>
      <c r="B2495" t="s">
        <v>3867</v>
      </c>
      <c r="C2495" t="s">
        <v>3869</v>
      </c>
      <c r="E2495">
        <v>1</v>
      </c>
      <c r="F2495" t="s">
        <v>546</v>
      </c>
      <c r="G2495" s="174">
        <v>45576.460914351854</v>
      </c>
    </row>
    <row r="2496" spans="1:7">
      <c r="A2496">
        <v>2515</v>
      </c>
      <c r="B2496" t="s">
        <v>3870</v>
      </c>
      <c r="C2496" t="s">
        <v>3686</v>
      </c>
      <c r="E2496">
        <v>0.05</v>
      </c>
      <c r="F2496" t="s">
        <v>546</v>
      </c>
      <c r="G2496" s="174">
        <v>45576.460914351854</v>
      </c>
    </row>
    <row r="2497" spans="1:7">
      <c r="A2497">
        <v>2516</v>
      </c>
      <c r="B2497" t="s">
        <v>3870</v>
      </c>
      <c r="C2497" t="s">
        <v>3871</v>
      </c>
      <c r="E2497">
        <v>0.01</v>
      </c>
      <c r="F2497" t="s">
        <v>546</v>
      </c>
      <c r="G2497" s="174">
        <v>45576.460914351854</v>
      </c>
    </row>
    <row r="2498" spans="1:7">
      <c r="A2498">
        <v>2517</v>
      </c>
      <c r="B2498" t="s">
        <v>3870</v>
      </c>
      <c r="C2498" t="s">
        <v>3872</v>
      </c>
      <c r="E2498">
        <v>0.01</v>
      </c>
      <c r="F2498" t="s">
        <v>546</v>
      </c>
      <c r="G2498" s="174">
        <v>45576.460914351854</v>
      </c>
    </row>
    <row r="2499" spans="1:7">
      <c r="A2499">
        <v>2518</v>
      </c>
      <c r="B2499" t="s">
        <v>970</v>
      </c>
      <c r="C2499" t="s">
        <v>3873</v>
      </c>
      <c r="E2499">
        <v>0.05</v>
      </c>
      <c r="F2499" t="s">
        <v>546</v>
      </c>
      <c r="G2499" s="174">
        <v>45576.460914351854</v>
      </c>
    </row>
    <row r="2500" spans="1:7">
      <c r="A2500">
        <v>2519</v>
      </c>
      <c r="B2500" t="s">
        <v>970</v>
      </c>
      <c r="C2500" t="s">
        <v>3594</v>
      </c>
      <c r="E2500">
        <v>0.05</v>
      </c>
      <c r="F2500" t="s">
        <v>546</v>
      </c>
      <c r="G2500" s="174">
        <v>45576.460914351854</v>
      </c>
    </row>
    <row r="2501" spans="1:7">
      <c r="A2501">
        <v>2521</v>
      </c>
      <c r="B2501" t="s">
        <v>3874</v>
      </c>
      <c r="C2501" t="s">
        <v>3875</v>
      </c>
      <c r="E2501">
        <v>0.1</v>
      </c>
      <c r="F2501" t="s">
        <v>546</v>
      </c>
      <c r="G2501" s="174">
        <v>45576.460914351854</v>
      </c>
    </row>
    <row r="2502" spans="1:7">
      <c r="A2502">
        <v>2522</v>
      </c>
      <c r="B2502" t="s">
        <v>3876</v>
      </c>
      <c r="C2502" t="s">
        <v>3877</v>
      </c>
      <c r="E2502">
        <v>0.01</v>
      </c>
      <c r="F2502" t="s">
        <v>546</v>
      </c>
      <c r="G2502" s="174">
        <v>45576.460914351854</v>
      </c>
    </row>
    <row r="2503" spans="1:7">
      <c r="A2503">
        <v>2523</v>
      </c>
      <c r="B2503" t="s">
        <v>3878</v>
      </c>
      <c r="C2503" t="s">
        <v>3879</v>
      </c>
      <c r="E2503">
        <v>0.01</v>
      </c>
      <c r="F2503" t="s">
        <v>546</v>
      </c>
      <c r="G2503" s="174">
        <v>45576.460914351854</v>
      </c>
    </row>
    <row r="2504" spans="1:7">
      <c r="A2504">
        <v>2524</v>
      </c>
      <c r="B2504" t="s">
        <v>3878</v>
      </c>
      <c r="C2504" t="s">
        <v>3880</v>
      </c>
      <c r="E2504">
        <v>0.01</v>
      </c>
      <c r="F2504" t="s">
        <v>546</v>
      </c>
      <c r="G2504" s="174">
        <v>45576.460914351854</v>
      </c>
    </row>
    <row r="2505" spans="1:7">
      <c r="A2505">
        <v>2525</v>
      </c>
      <c r="B2505" t="s">
        <v>3881</v>
      </c>
      <c r="C2505" t="s">
        <v>3882</v>
      </c>
      <c r="E2505">
        <v>0.1</v>
      </c>
      <c r="F2505" t="s">
        <v>546</v>
      </c>
      <c r="G2505" s="174">
        <v>45576.460914351854</v>
      </c>
    </row>
    <row r="2506" spans="1:7">
      <c r="A2506">
        <v>2526</v>
      </c>
      <c r="B2506" t="s">
        <v>3883</v>
      </c>
      <c r="C2506" t="s">
        <v>788</v>
      </c>
      <c r="E2506">
        <v>0.01</v>
      </c>
      <c r="F2506" t="s">
        <v>546</v>
      </c>
      <c r="G2506" s="174">
        <v>45576.460914351854</v>
      </c>
    </row>
    <row r="2507" spans="1:7">
      <c r="A2507">
        <v>2527</v>
      </c>
      <c r="B2507" t="s">
        <v>3884</v>
      </c>
      <c r="C2507" t="s">
        <v>3885</v>
      </c>
      <c r="E2507">
        <v>0.01</v>
      </c>
      <c r="F2507" t="s">
        <v>546</v>
      </c>
      <c r="G2507" s="174">
        <v>45576.460914351854</v>
      </c>
    </row>
    <row r="2508" spans="1:7">
      <c r="A2508">
        <v>2528</v>
      </c>
      <c r="B2508" t="s">
        <v>3886</v>
      </c>
      <c r="C2508" t="s">
        <v>3887</v>
      </c>
      <c r="E2508">
        <v>0.01</v>
      </c>
      <c r="F2508" t="s">
        <v>546</v>
      </c>
      <c r="G2508" s="174">
        <v>45576.460914351854</v>
      </c>
    </row>
    <row r="2509" spans="1:7">
      <c r="A2509">
        <v>2529</v>
      </c>
      <c r="B2509" t="s">
        <v>3888</v>
      </c>
      <c r="C2509" t="s">
        <v>3889</v>
      </c>
      <c r="E2509">
        <v>0.01</v>
      </c>
      <c r="F2509" t="s">
        <v>546</v>
      </c>
      <c r="G2509" s="174">
        <v>45576.460914351854</v>
      </c>
    </row>
    <row r="2510" spans="1:7">
      <c r="A2510">
        <v>2530</v>
      </c>
      <c r="B2510" t="s">
        <v>3890</v>
      </c>
      <c r="C2510" t="s">
        <v>3891</v>
      </c>
      <c r="E2510">
        <v>0.01</v>
      </c>
      <c r="F2510" t="s">
        <v>546</v>
      </c>
      <c r="G2510" s="174">
        <v>45576.460914351854</v>
      </c>
    </row>
    <row r="2511" spans="1:7">
      <c r="A2511">
        <v>2531</v>
      </c>
      <c r="B2511" t="s">
        <v>3892</v>
      </c>
      <c r="C2511" t="s">
        <v>3893</v>
      </c>
      <c r="E2511">
        <v>0.01</v>
      </c>
      <c r="F2511" t="s">
        <v>546</v>
      </c>
      <c r="G2511" s="174">
        <v>45576.460914351854</v>
      </c>
    </row>
    <row r="2512" spans="1:7">
      <c r="A2512">
        <v>2532</v>
      </c>
      <c r="B2512" t="s">
        <v>3892</v>
      </c>
      <c r="C2512" t="s">
        <v>3885</v>
      </c>
      <c r="E2512">
        <v>0.01</v>
      </c>
      <c r="F2512" t="s">
        <v>546</v>
      </c>
      <c r="G2512" s="174">
        <v>45576.460914351854</v>
      </c>
    </row>
    <row r="2513" spans="1:7">
      <c r="A2513">
        <v>2533</v>
      </c>
      <c r="B2513" t="s">
        <v>3894</v>
      </c>
      <c r="C2513" t="s">
        <v>3895</v>
      </c>
      <c r="E2513">
        <v>0.01</v>
      </c>
      <c r="F2513" t="s">
        <v>546</v>
      </c>
      <c r="G2513" s="174">
        <v>45576.460914351854</v>
      </c>
    </row>
    <row r="2514" spans="1:7">
      <c r="A2514">
        <v>2534</v>
      </c>
      <c r="B2514" t="s">
        <v>3896</v>
      </c>
      <c r="C2514" t="s">
        <v>3897</v>
      </c>
      <c r="E2514">
        <v>0.01</v>
      </c>
      <c r="F2514" t="s">
        <v>546</v>
      </c>
      <c r="G2514" s="174">
        <v>45576.460914351854</v>
      </c>
    </row>
    <row r="2515" spans="1:7">
      <c r="A2515">
        <v>2535</v>
      </c>
      <c r="B2515" t="s">
        <v>3896</v>
      </c>
      <c r="C2515" t="s">
        <v>3879</v>
      </c>
      <c r="E2515">
        <v>0.01</v>
      </c>
      <c r="F2515" t="s">
        <v>546</v>
      </c>
      <c r="G2515" s="174">
        <v>45576.460914351854</v>
      </c>
    </row>
    <row r="2516" spans="1:7">
      <c r="A2516">
        <v>2536</v>
      </c>
      <c r="B2516" t="s">
        <v>3896</v>
      </c>
      <c r="C2516" t="s">
        <v>3898</v>
      </c>
      <c r="E2516">
        <v>0.01</v>
      </c>
      <c r="F2516" t="s">
        <v>546</v>
      </c>
      <c r="G2516" s="174">
        <v>45576.460914351854</v>
      </c>
    </row>
    <row r="2517" spans="1:7">
      <c r="A2517">
        <v>2537</v>
      </c>
      <c r="B2517" t="s">
        <v>3896</v>
      </c>
      <c r="C2517" t="s">
        <v>3880</v>
      </c>
      <c r="E2517">
        <v>0.01</v>
      </c>
      <c r="F2517" t="s">
        <v>546</v>
      </c>
      <c r="G2517" s="174">
        <v>45576.460914351854</v>
      </c>
    </row>
    <row r="2518" spans="1:7">
      <c r="A2518">
        <v>2538</v>
      </c>
      <c r="B2518" t="s">
        <v>3899</v>
      </c>
      <c r="C2518" t="s">
        <v>2890</v>
      </c>
      <c r="E2518">
        <v>0.01</v>
      </c>
      <c r="F2518" t="s">
        <v>546</v>
      </c>
      <c r="G2518" s="174">
        <v>45576.460914351854</v>
      </c>
    </row>
    <row r="2519" spans="1:7">
      <c r="A2519">
        <v>2539</v>
      </c>
      <c r="B2519" t="s">
        <v>3899</v>
      </c>
      <c r="C2519" t="s">
        <v>3508</v>
      </c>
      <c r="E2519">
        <v>0.01</v>
      </c>
      <c r="F2519" t="s">
        <v>546</v>
      </c>
      <c r="G2519" s="174">
        <v>45576.460914351854</v>
      </c>
    </row>
    <row r="2520" spans="1:7">
      <c r="A2520">
        <v>2540</v>
      </c>
      <c r="B2520" t="s">
        <v>3900</v>
      </c>
      <c r="C2520" t="s">
        <v>3901</v>
      </c>
      <c r="E2520">
        <v>0.01</v>
      </c>
      <c r="F2520" t="s">
        <v>546</v>
      </c>
      <c r="G2520" s="174">
        <v>45576.460914351854</v>
      </c>
    </row>
    <row r="2521" spans="1:7">
      <c r="A2521">
        <v>2541</v>
      </c>
      <c r="B2521" t="s">
        <v>3902</v>
      </c>
      <c r="C2521" t="s">
        <v>3903</v>
      </c>
      <c r="E2521">
        <v>1</v>
      </c>
      <c r="F2521" t="s">
        <v>3904</v>
      </c>
      <c r="G2521" s="174">
        <v>45576.460914351854</v>
      </c>
    </row>
    <row r="2522" spans="1:7">
      <c r="A2522">
        <v>2542</v>
      </c>
      <c r="B2522" t="s">
        <v>3905</v>
      </c>
      <c r="C2522" t="s">
        <v>3906</v>
      </c>
      <c r="E2522">
        <v>0.01</v>
      </c>
      <c r="F2522" t="s">
        <v>546</v>
      </c>
      <c r="G2522" s="174">
        <v>45576.460914351854</v>
      </c>
    </row>
    <row r="2523" spans="1:7">
      <c r="A2523">
        <v>2543</v>
      </c>
      <c r="B2523" t="s">
        <v>3905</v>
      </c>
      <c r="C2523" t="s">
        <v>3094</v>
      </c>
      <c r="E2523">
        <v>0.01</v>
      </c>
      <c r="F2523" t="s">
        <v>546</v>
      </c>
      <c r="G2523" s="174">
        <v>45576.460914351854</v>
      </c>
    </row>
    <row r="2524" spans="1:7">
      <c r="A2524">
        <v>2544</v>
      </c>
      <c r="B2524" t="s">
        <v>3905</v>
      </c>
      <c r="C2524" t="s">
        <v>3100</v>
      </c>
      <c r="E2524">
        <v>0.01</v>
      </c>
      <c r="F2524" t="s">
        <v>546</v>
      </c>
      <c r="G2524" s="174">
        <v>45576.460914351854</v>
      </c>
    </row>
    <row r="2525" spans="1:7">
      <c r="A2525">
        <v>2545</v>
      </c>
      <c r="B2525" t="s">
        <v>3907</v>
      </c>
      <c r="C2525" t="s">
        <v>3327</v>
      </c>
      <c r="E2525">
        <v>0.01</v>
      </c>
      <c r="F2525" t="s">
        <v>546</v>
      </c>
      <c r="G2525" s="174">
        <v>45576.460914351854</v>
      </c>
    </row>
    <row r="2526" spans="1:7">
      <c r="A2526">
        <v>2546</v>
      </c>
      <c r="B2526" t="s">
        <v>3908</v>
      </c>
      <c r="C2526" t="s">
        <v>3164</v>
      </c>
      <c r="E2526">
        <v>0.01</v>
      </c>
      <c r="F2526" t="s">
        <v>546</v>
      </c>
      <c r="G2526" s="174">
        <v>45576.460914351854</v>
      </c>
    </row>
    <row r="2527" spans="1:7">
      <c r="A2527">
        <v>2547</v>
      </c>
      <c r="B2527" t="s">
        <v>3909</v>
      </c>
      <c r="C2527" t="s">
        <v>3132</v>
      </c>
      <c r="E2527">
        <v>0.8</v>
      </c>
      <c r="F2527" t="s">
        <v>546</v>
      </c>
      <c r="G2527" s="174">
        <v>45576.460914351854</v>
      </c>
    </row>
    <row r="2528" spans="1:7">
      <c r="A2528">
        <v>2548</v>
      </c>
      <c r="B2528" t="s">
        <v>3910</v>
      </c>
      <c r="C2528" t="s">
        <v>3911</v>
      </c>
      <c r="E2528">
        <v>0.01</v>
      </c>
      <c r="F2528" t="s">
        <v>546</v>
      </c>
      <c r="G2528" s="174">
        <v>45576.460914351854</v>
      </c>
    </row>
    <row r="2529" spans="1:7">
      <c r="A2529">
        <v>2549</v>
      </c>
      <c r="B2529" t="s">
        <v>3912</v>
      </c>
      <c r="C2529" t="s">
        <v>3619</v>
      </c>
      <c r="E2529">
        <v>0.01</v>
      </c>
      <c r="F2529" t="s">
        <v>546</v>
      </c>
      <c r="G2529" s="174">
        <v>45576.460914351854</v>
      </c>
    </row>
    <row r="2530" spans="1:7">
      <c r="A2530">
        <v>2550</v>
      </c>
      <c r="B2530" t="s">
        <v>977</v>
      </c>
      <c r="C2530" t="s">
        <v>3175</v>
      </c>
      <c r="E2530">
        <v>0.01</v>
      </c>
      <c r="F2530" t="s">
        <v>546</v>
      </c>
      <c r="G2530" s="174">
        <v>45576.460914351854</v>
      </c>
    </row>
    <row r="2531" spans="1:7">
      <c r="A2531">
        <v>2551</v>
      </c>
      <c r="B2531" t="s">
        <v>3913</v>
      </c>
      <c r="C2531" t="s">
        <v>3914</v>
      </c>
      <c r="E2531">
        <v>0.01</v>
      </c>
      <c r="F2531" t="s">
        <v>546</v>
      </c>
      <c r="G2531" s="174">
        <v>45576.460914351854</v>
      </c>
    </row>
    <row r="2532" spans="1:7">
      <c r="A2532">
        <v>2552</v>
      </c>
      <c r="B2532" t="s">
        <v>3913</v>
      </c>
      <c r="C2532" t="s">
        <v>3915</v>
      </c>
      <c r="E2532">
        <v>0.01</v>
      </c>
      <c r="F2532" t="s">
        <v>546</v>
      </c>
      <c r="G2532" s="174">
        <v>45576.460914351854</v>
      </c>
    </row>
    <row r="2533" spans="1:7">
      <c r="A2533">
        <v>2553</v>
      </c>
      <c r="B2533" t="s">
        <v>979</v>
      </c>
      <c r="C2533" t="s">
        <v>3916</v>
      </c>
      <c r="E2533">
        <v>0.8</v>
      </c>
      <c r="F2533" t="s">
        <v>546</v>
      </c>
      <c r="G2533" s="174">
        <v>45576.460914351854</v>
      </c>
    </row>
    <row r="2534" spans="1:7">
      <c r="A2534">
        <v>2554</v>
      </c>
      <c r="B2534" t="s">
        <v>3917</v>
      </c>
      <c r="C2534" t="s">
        <v>3918</v>
      </c>
      <c r="E2534">
        <v>0.01</v>
      </c>
      <c r="F2534" t="s">
        <v>546</v>
      </c>
      <c r="G2534" s="174">
        <v>45576.460914351854</v>
      </c>
    </row>
    <row r="2535" spans="1:7">
      <c r="A2535">
        <v>2555</v>
      </c>
      <c r="B2535" t="s">
        <v>3919</v>
      </c>
      <c r="C2535" t="s">
        <v>3920</v>
      </c>
      <c r="E2535">
        <v>0.01</v>
      </c>
      <c r="F2535" t="s">
        <v>546</v>
      </c>
      <c r="G2535" s="174">
        <v>45576.460914351854</v>
      </c>
    </row>
    <row r="2536" spans="1:7">
      <c r="A2536">
        <v>2556</v>
      </c>
      <c r="B2536" t="s">
        <v>3921</v>
      </c>
      <c r="C2536" t="s">
        <v>3922</v>
      </c>
      <c r="E2536">
        <v>0.01</v>
      </c>
      <c r="F2536" t="s">
        <v>546</v>
      </c>
      <c r="G2536" s="174">
        <v>45576.460914351854</v>
      </c>
    </row>
    <row r="2537" spans="1:7">
      <c r="A2537">
        <v>2557</v>
      </c>
      <c r="B2537" t="s">
        <v>3923</v>
      </c>
      <c r="C2537" t="s">
        <v>3282</v>
      </c>
      <c r="E2537">
        <v>0.01</v>
      </c>
      <c r="F2537" t="s">
        <v>546</v>
      </c>
      <c r="G2537" s="174">
        <v>45576.460914351854</v>
      </c>
    </row>
    <row r="2538" spans="1:7">
      <c r="A2538">
        <v>2558</v>
      </c>
      <c r="B2538" t="s">
        <v>3923</v>
      </c>
      <c r="C2538" t="s">
        <v>3192</v>
      </c>
      <c r="E2538">
        <v>1</v>
      </c>
      <c r="F2538" t="s">
        <v>546</v>
      </c>
      <c r="G2538" s="174">
        <v>45576.460914351854</v>
      </c>
    </row>
    <row r="2539" spans="1:7">
      <c r="A2539">
        <v>2559</v>
      </c>
      <c r="B2539" t="s">
        <v>3924</v>
      </c>
      <c r="C2539" t="s">
        <v>3925</v>
      </c>
      <c r="E2539">
        <v>0.01</v>
      </c>
      <c r="F2539" t="s">
        <v>546</v>
      </c>
      <c r="G2539" s="174">
        <v>45576.460914351854</v>
      </c>
    </row>
    <row r="2540" spans="1:7">
      <c r="A2540">
        <v>2560</v>
      </c>
      <c r="B2540" t="s">
        <v>3926</v>
      </c>
      <c r="C2540" t="s">
        <v>3029</v>
      </c>
      <c r="E2540">
        <v>0.01</v>
      </c>
      <c r="F2540" t="s">
        <v>546</v>
      </c>
      <c r="G2540" s="174">
        <v>45576.460914351854</v>
      </c>
    </row>
    <row r="2541" spans="1:7">
      <c r="A2541">
        <v>2561</v>
      </c>
      <c r="B2541" t="s">
        <v>3927</v>
      </c>
      <c r="C2541" t="s">
        <v>3928</v>
      </c>
      <c r="E2541">
        <v>0.1</v>
      </c>
      <c r="F2541" t="s">
        <v>546</v>
      </c>
      <c r="G2541" s="174">
        <v>45576.460914351854</v>
      </c>
    </row>
    <row r="2542" spans="1:7">
      <c r="A2542">
        <v>2562</v>
      </c>
      <c r="B2542" t="s">
        <v>3929</v>
      </c>
      <c r="C2542" t="s">
        <v>3930</v>
      </c>
      <c r="E2542">
        <v>0.01</v>
      </c>
      <c r="F2542" t="s">
        <v>546</v>
      </c>
      <c r="G2542" s="174">
        <v>45576.460914351854</v>
      </c>
    </row>
    <row r="2543" spans="1:7">
      <c r="A2543">
        <v>2563</v>
      </c>
      <c r="B2543" t="s">
        <v>3929</v>
      </c>
      <c r="C2543" t="s">
        <v>3931</v>
      </c>
      <c r="E2543">
        <v>0.01</v>
      </c>
      <c r="F2543" t="s">
        <v>546</v>
      </c>
      <c r="G2543" s="174">
        <v>45576.460914351854</v>
      </c>
    </row>
    <row r="2544" spans="1:7">
      <c r="A2544">
        <v>2564</v>
      </c>
      <c r="B2544" t="s">
        <v>985</v>
      </c>
      <c r="C2544" t="s">
        <v>2964</v>
      </c>
      <c r="E2544">
        <v>0.01</v>
      </c>
      <c r="F2544" t="s">
        <v>546</v>
      </c>
      <c r="G2544" s="174">
        <v>45576.460914351854</v>
      </c>
    </row>
    <row r="2545" spans="1:7">
      <c r="A2545">
        <v>2565</v>
      </c>
      <c r="B2545" t="s">
        <v>3932</v>
      </c>
      <c r="C2545" t="s">
        <v>3933</v>
      </c>
      <c r="E2545">
        <v>0.01</v>
      </c>
      <c r="F2545" t="s">
        <v>546</v>
      </c>
      <c r="G2545" s="174">
        <v>45576.460914351854</v>
      </c>
    </row>
    <row r="2546" spans="1:7">
      <c r="A2546">
        <v>2566</v>
      </c>
      <c r="B2546" t="s">
        <v>3934</v>
      </c>
      <c r="C2546" t="s">
        <v>3935</v>
      </c>
      <c r="E2546">
        <v>0.01</v>
      </c>
      <c r="F2546" t="s">
        <v>546</v>
      </c>
      <c r="G2546" s="174">
        <v>45576.460914351854</v>
      </c>
    </row>
    <row r="2547" spans="1:7">
      <c r="A2547">
        <v>2567</v>
      </c>
      <c r="B2547" t="s">
        <v>3936</v>
      </c>
      <c r="C2547" t="s">
        <v>3937</v>
      </c>
      <c r="E2547">
        <v>0.01</v>
      </c>
      <c r="F2547" t="s">
        <v>546</v>
      </c>
      <c r="G2547" s="174">
        <v>45576.460914351854</v>
      </c>
    </row>
    <row r="2548" spans="1:7">
      <c r="A2548">
        <v>2568</v>
      </c>
      <c r="B2548" t="s">
        <v>990</v>
      </c>
      <c r="C2548" t="s">
        <v>3110</v>
      </c>
      <c r="E2548">
        <v>0.01</v>
      </c>
      <c r="F2548" t="s">
        <v>546</v>
      </c>
      <c r="G2548" s="174">
        <v>45576.460914351854</v>
      </c>
    </row>
    <row r="2549" spans="1:7">
      <c r="A2549">
        <v>2569</v>
      </c>
      <c r="B2549" t="s">
        <v>990</v>
      </c>
      <c r="C2549" t="s">
        <v>3938</v>
      </c>
      <c r="E2549">
        <v>0.01</v>
      </c>
      <c r="F2549" t="s">
        <v>546</v>
      </c>
      <c r="G2549" s="174">
        <v>45576.460914351854</v>
      </c>
    </row>
    <row r="2550" spans="1:7">
      <c r="A2550">
        <v>2570</v>
      </c>
      <c r="B2550" t="s">
        <v>3939</v>
      </c>
      <c r="C2550" t="s">
        <v>3940</v>
      </c>
      <c r="E2550">
        <v>0.01</v>
      </c>
      <c r="F2550" t="s">
        <v>546</v>
      </c>
      <c r="G2550" s="174">
        <v>45576.460914351854</v>
      </c>
    </row>
    <row r="2551" spans="1:7">
      <c r="A2551">
        <v>2571</v>
      </c>
      <c r="B2551" t="s">
        <v>3939</v>
      </c>
      <c r="C2551" t="s">
        <v>3941</v>
      </c>
      <c r="E2551">
        <v>0.01</v>
      </c>
      <c r="F2551" t="s">
        <v>546</v>
      </c>
      <c r="G2551" s="174">
        <v>45576.460914351854</v>
      </c>
    </row>
    <row r="2552" spans="1:7">
      <c r="A2552">
        <v>2572</v>
      </c>
      <c r="B2552" t="s">
        <v>3942</v>
      </c>
      <c r="C2552" t="s">
        <v>3943</v>
      </c>
      <c r="E2552">
        <v>0.01</v>
      </c>
      <c r="F2552" t="s">
        <v>546</v>
      </c>
      <c r="G2552" s="174">
        <v>45576.460914351854</v>
      </c>
    </row>
    <row r="2553" spans="1:7">
      <c r="A2553">
        <v>2573</v>
      </c>
      <c r="B2553" t="s">
        <v>3944</v>
      </c>
      <c r="C2553" t="s">
        <v>3018</v>
      </c>
      <c r="E2553">
        <v>0.01</v>
      </c>
      <c r="F2553" t="s">
        <v>546</v>
      </c>
      <c r="G2553" s="174">
        <v>45576.460914351854</v>
      </c>
    </row>
    <row r="2554" spans="1:7">
      <c r="A2554">
        <v>2574</v>
      </c>
      <c r="B2554" t="s">
        <v>3944</v>
      </c>
      <c r="C2554" t="s">
        <v>3019</v>
      </c>
      <c r="E2554">
        <v>0.01</v>
      </c>
      <c r="F2554" t="s">
        <v>546</v>
      </c>
      <c r="G2554" s="174">
        <v>45576.460914351854</v>
      </c>
    </row>
    <row r="2555" spans="1:7">
      <c r="A2555">
        <v>2575</v>
      </c>
      <c r="B2555" t="s">
        <v>3945</v>
      </c>
      <c r="C2555" t="s">
        <v>3075</v>
      </c>
      <c r="E2555">
        <v>0.01</v>
      </c>
      <c r="F2555" t="s">
        <v>546</v>
      </c>
      <c r="G2555" s="174">
        <v>45576.460914351854</v>
      </c>
    </row>
    <row r="2556" spans="1:7">
      <c r="A2556">
        <v>2576</v>
      </c>
      <c r="B2556" t="s">
        <v>3945</v>
      </c>
      <c r="C2556" t="s">
        <v>3076</v>
      </c>
      <c r="E2556">
        <v>0.01</v>
      </c>
      <c r="F2556" t="s">
        <v>546</v>
      </c>
      <c r="G2556" s="174">
        <v>45576.460914351854</v>
      </c>
    </row>
    <row r="2557" spans="1:7">
      <c r="A2557">
        <v>2577</v>
      </c>
      <c r="B2557" t="s">
        <v>3946</v>
      </c>
      <c r="C2557" t="s">
        <v>2805</v>
      </c>
      <c r="E2557">
        <v>0.06</v>
      </c>
      <c r="F2557" t="s">
        <v>546</v>
      </c>
      <c r="G2557" s="174">
        <v>45576.460914351854</v>
      </c>
    </row>
    <row r="2558" spans="1:7">
      <c r="A2558">
        <v>2579</v>
      </c>
      <c r="B2558" t="s">
        <v>3947</v>
      </c>
      <c r="C2558" t="s">
        <v>3621</v>
      </c>
      <c r="E2558">
        <v>0.1</v>
      </c>
      <c r="F2558" t="s">
        <v>546</v>
      </c>
      <c r="G2558" s="174">
        <v>45576.460914351854</v>
      </c>
    </row>
    <row r="2559" spans="1:7">
      <c r="A2559">
        <v>2580</v>
      </c>
      <c r="B2559" t="s">
        <v>3948</v>
      </c>
      <c r="C2559" t="s">
        <v>3949</v>
      </c>
      <c r="E2559">
        <v>1</v>
      </c>
      <c r="F2559" t="s">
        <v>546</v>
      </c>
      <c r="G2559" s="174">
        <v>45576.460914351854</v>
      </c>
    </row>
    <row r="2560" spans="1:7">
      <c r="A2560">
        <v>2581</v>
      </c>
      <c r="B2560" t="s">
        <v>3950</v>
      </c>
      <c r="C2560" t="s">
        <v>3951</v>
      </c>
      <c r="E2560">
        <v>0.01</v>
      </c>
      <c r="F2560" t="s">
        <v>546</v>
      </c>
      <c r="G2560" s="174">
        <v>45576.460914351854</v>
      </c>
    </row>
    <row r="2561" spans="1:7">
      <c r="A2561">
        <v>2582</v>
      </c>
      <c r="B2561" t="s">
        <v>3952</v>
      </c>
      <c r="C2561" t="s">
        <v>3100</v>
      </c>
      <c r="E2561">
        <v>0.01</v>
      </c>
      <c r="F2561" t="s">
        <v>546</v>
      </c>
      <c r="G2561" s="174">
        <v>45576.460914351854</v>
      </c>
    </row>
    <row r="2562" spans="1:7">
      <c r="A2562">
        <v>2583</v>
      </c>
      <c r="B2562" t="s">
        <v>3953</v>
      </c>
      <c r="C2562" t="s">
        <v>3954</v>
      </c>
      <c r="E2562">
        <v>0.01</v>
      </c>
      <c r="F2562" t="s">
        <v>546</v>
      </c>
      <c r="G2562" s="174">
        <v>45576.460914351854</v>
      </c>
    </row>
    <row r="2563" spans="1:7">
      <c r="A2563">
        <v>2584</v>
      </c>
      <c r="B2563" t="s">
        <v>3953</v>
      </c>
      <c r="C2563" t="s">
        <v>3955</v>
      </c>
      <c r="E2563">
        <v>0.01</v>
      </c>
      <c r="F2563" t="s">
        <v>546</v>
      </c>
      <c r="G2563" s="174">
        <v>45576.460914351854</v>
      </c>
    </row>
    <row r="2564" spans="1:7">
      <c r="A2564">
        <v>2585</v>
      </c>
      <c r="B2564" t="s">
        <v>3953</v>
      </c>
      <c r="C2564" t="s">
        <v>3956</v>
      </c>
      <c r="E2564">
        <v>0.01</v>
      </c>
      <c r="F2564" t="s">
        <v>546</v>
      </c>
      <c r="G2564" s="174">
        <v>45576.460914351854</v>
      </c>
    </row>
    <row r="2565" spans="1:7">
      <c r="A2565">
        <v>2586</v>
      </c>
      <c r="B2565" t="s">
        <v>3957</v>
      </c>
      <c r="C2565" t="s">
        <v>3958</v>
      </c>
      <c r="E2565">
        <v>0.01</v>
      </c>
      <c r="F2565" t="s">
        <v>546</v>
      </c>
      <c r="G2565" s="174">
        <v>45576.460914351854</v>
      </c>
    </row>
    <row r="2566" spans="1:7">
      <c r="A2566">
        <v>2587</v>
      </c>
      <c r="B2566" t="s">
        <v>3959</v>
      </c>
      <c r="C2566" t="s">
        <v>3960</v>
      </c>
      <c r="E2566">
        <v>0.01</v>
      </c>
      <c r="F2566" t="s">
        <v>546</v>
      </c>
      <c r="G2566" s="174">
        <v>45576.460914351854</v>
      </c>
    </row>
    <row r="2567" spans="1:7">
      <c r="A2567">
        <v>2588</v>
      </c>
      <c r="B2567" t="s">
        <v>3961</v>
      </c>
      <c r="C2567" t="s">
        <v>2831</v>
      </c>
      <c r="E2567">
        <v>0.1</v>
      </c>
      <c r="F2567" t="s">
        <v>546</v>
      </c>
      <c r="G2567" s="174">
        <v>45576.460914351854</v>
      </c>
    </row>
    <row r="2568" spans="1:7">
      <c r="A2568">
        <v>2589</v>
      </c>
      <c r="B2568" t="s">
        <v>3962</v>
      </c>
      <c r="C2568" t="s">
        <v>3186</v>
      </c>
      <c r="E2568">
        <v>0.01</v>
      </c>
      <c r="F2568" t="s">
        <v>546</v>
      </c>
      <c r="G2568" s="174">
        <v>45576.460914351854</v>
      </c>
    </row>
    <row r="2569" spans="1:7">
      <c r="A2569">
        <v>2590</v>
      </c>
      <c r="B2569" t="s">
        <v>3962</v>
      </c>
      <c r="C2569" t="s">
        <v>3366</v>
      </c>
      <c r="E2569">
        <v>0.1</v>
      </c>
      <c r="F2569" t="s">
        <v>546</v>
      </c>
      <c r="G2569" s="174">
        <v>45576.460914351854</v>
      </c>
    </row>
    <row r="2570" spans="1:7">
      <c r="A2570">
        <v>2591</v>
      </c>
      <c r="B2570" t="s">
        <v>3963</v>
      </c>
      <c r="C2570" t="s">
        <v>3930</v>
      </c>
      <c r="E2570">
        <v>0.01</v>
      </c>
      <c r="F2570" t="s">
        <v>546</v>
      </c>
      <c r="G2570" s="174">
        <v>45576.460914351854</v>
      </c>
    </row>
    <row r="2571" spans="1:7">
      <c r="A2571">
        <v>2592</v>
      </c>
      <c r="B2571" t="s">
        <v>1004</v>
      </c>
      <c r="C2571" t="s">
        <v>2823</v>
      </c>
      <c r="E2571">
        <v>0.01</v>
      </c>
      <c r="F2571" t="s">
        <v>546</v>
      </c>
      <c r="G2571" s="174">
        <v>45576.460914351854</v>
      </c>
    </row>
    <row r="2572" spans="1:7">
      <c r="A2572">
        <v>2593</v>
      </c>
      <c r="B2572" t="s">
        <v>3964</v>
      </c>
      <c r="C2572" t="s">
        <v>3965</v>
      </c>
      <c r="E2572">
        <v>0.01</v>
      </c>
      <c r="F2572" t="s">
        <v>546</v>
      </c>
      <c r="G2572" s="174">
        <v>45576.460914351854</v>
      </c>
    </row>
    <row r="2573" spans="1:7">
      <c r="A2573">
        <v>2594</v>
      </c>
      <c r="B2573" t="s">
        <v>3964</v>
      </c>
      <c r="C2573" t="s">
        <v>3966</v>
      </c>
      <c r="E2573">
        <v>0.01</v>
      </c>
      <c r="F2573" t="s">
        <v>546</v>
      </c>
      <c r="G2573" s="174">
        <v>45576.460914351854</v>
      </c>
    </row>
    <row r="2574" spans="1:7">
      <c r="A2574">
        <v>2595</v>
      </c>
      <c r="B2574" t="s">
        <v>3967</v>
      </c>
      <c r="C2574" t="s">
        <v>3968</v>
      </c>
      <c r="E2574">
        <v>0.1</v>
      </c>
      <c r="F2574" t="s">
        <v>546</v>
      </c>
      <c r="G2574" s="174">
        <v>45576.460914351854</v>
      </c>
    </row>
    <row r="2575" spans="1:7">
      <c r="A2575">
        <v>2596</v>
      </c>
      <c r="B2575" t="s">
        <v>3969</v>
      </c>
      <c r="C2575" t="s">
        <v>3916</v>
      </c>
      <c r="E2575">
        <v>0.01</v>
      </c>
      <c r="F2575" t="s">
        <v>546</v>
      </c>
      <c r="G2575" s="174">
        <v>45576.460914351854</v>
      </c>
    </row>
    <row r="2576" spans="1:7">
      <c r="A2576">
        <v>2597</v>
      </c>
      <c r="B2576" t="s">
        <v>3970</v>
      </c>
      <c r="C2576" t="s">
        <v>3971</v>
      </c>
      <c r="E2576">
        <v>0.1</v>
      </c>
      <c r="F2576" t="s">
        <v>546</v>
      </c>
      <c r="G2576" s="174">
        <v>45576.460914351854</v>
      </c>
    </row>
    <row r="2577" spans="1:7">
      <c r="A2577">
        <v>2598</v>
      </c>
      <c r="B2577" t="s">
        <v>3972</v>
      </c>
      <c r="C2577" t="s">
        <v>3930</v>
      </c>
      <c r="E2577">
        <v>0.1</v>
      </c>
      <c r="F2577" t="s">
        <v>546</v>
      </c>
      <c r="G2577" s="174">
        <v>45576.460914351854</v>
      </c>
    </row>
    <row r="2578" spans="1:7">
      <c r="A2578">
        <v>2599</v>
      </c>
      <c r="B2578" t="s">
        <v>3973</v>
      </c>
      <c r="C2578" t="s">
        <v>3974</v>
      </c>
      <c r="E2578">
        <v>0.01</v>
      </c>
      <c r="F2578" t="s">
        <v>546</v>
      </c>
      <c r="G2578" s="174">
        <v>45576.460914351854</v>
      </c>
    </row>
    <row r="2579" spans="1:7">
      <c r="A2579">
        <v>2600</v>
      </c>
      <c r="B2579" t="s">
        <v>3975</v>
      </c>
      <c r="C2579" t="s">
        <v>3599</v>
      </c>
      <c r="E2579">
        <v>0.1</v>
      </c>
      <c r="F2579" t="s">
        <v>546</v>
      </c>
      <c r="G2579" s="174">
        <v>45576.460914351854</v>
      </c>
    </row>
    <row r="2580" spans="1:7">
      <c r="A2580">
        <v>2601</v>
      </c>
      <c r="B2580" t="s">
        <v>3976</v>
      </c>
      <c r="C2580" t="s">
        <v>3782</v>
      </c>
      <c r="E2580">
        <v>0.01</v>
      </c>
      <c r="F2580" t="s">
        <v>546</v>
      </c>
      <c r="G2580" s="174">
        <v>45576.460914351854</v>
      </c>
    </row>
    <row r="2581" spans="1:7">
      <c r="A2581">
        <v>2602</v>
      </c>
      <c r="B2581" t="s">
        <v>3976</v>
      </c>
      <c r="C2581" t="s">
        <v>3977</v>
      </c>
      <c r="E2581">
        <v>0.01</v>
      </c>
      <c r="F2581" t="s">
        <v>546</v>
      </c>
      <c r="G2581" s="174">
        <v>45576.460914351854</v>
      </c>
    </row>
    <row r="2582" spans="1:7">
      <c r="A2582">
        <v>2603</v>
      </c>
      <c r="B2582" t="s">
        <v>3978</v>
      </c>
      <c r="C2582" t="s">
        <v>3979</v>
      </c>
      <c r="E2582">
        <v>0.1</v>
      </c>
      <c r="F2582" t="s">
        <v>546</v>
      </c>
      <c r="G2582" s="174">
        <v>45576.460914351854</v>
      </c>
    </row>
    <row r="2583" spans="1:7">
      <c r="A2583">
        <v>2604</v>
      </c>
      <c r="B2583" t="s">
        <v>1005</v>
      </c>
      <c r="C2583" t="s">
        <v>3980</v>
      </c>
      <c r="E2583">
        <v>0.8</v>
      </c>
      <c r="F2583" t="s">
        <v>546</v>
      </c>
      <c r="G2583" s="174">
        <v>45576.460914351854</v>
      </c>
    </row>
    <row r="2584" spans="1:7">
      <c r="A2584">
        <v>2605</v>
      </c>
      <c r="B2584" t="s">
        <v>3981</v>
      </c>
      <c r="C2584" t="s">
        <v>3982</v>
      </c>
      <c r="E2584">
        <v>0.01</v>
      </c>
      <c r="F2584" t="s">
        <v>546</v>
      </c>
      <c r="G2584" s="174">
        <v>45576.460914351854</v>
      </c>
    </row>
    <row r="2585" spans="1:7">
      <c r="A2585">
        <v>2606</v>
      </c>
      <c r="B2585" t="s">
        <v>3983</v>
      </c>
      <c r="C2585" t="s">
        <v>3984</v>
      </c>
      <c r="E2585">
        <v>0.01</v>
      </c>
      <c r="F2585" t="s">
        <v>546</v>
      </c>
      <c r="G2585" s="174">
        <v>45576.460914351854</v>
      </c>
    </row>
    <row r="2586" spans="1:7">
      <c r="A2586">
        <v>2607</v>
      </c>
      <c r="B2586" t="s">
        <v>3985</v>
      </c>
      <c r="C2586" t="s">
        <v>2784</v>
      </c>
      <c r="E2586">
        <v>0.01</v>
      </c>
      <c r="F2586" t="s">
        <v>546</v>
      </c>
      <c r="G2586" s="174">
        <v>45576.460914351854</v>
      </c>
    </row>
    <row r="2587" spans="1:7">
      <c r="A2587">
        <v>2608</v>
      </c>
      <c r="B2587" t="s">
        <v>3985</v>
      </c>
      <c r="C2587" t="s">
        <v>3986</v>
      </c>
      <c r="E2587">
        <v>0.01</v>
      </c>
      <c r="F2587" t="s">
        <v>546</v>
      </c>
      <c r="G2587" s="174">
        <v>45576.460914351854</v>
      </c>
    </row>
    <row r="2588" spans="1:7">
      <c r="A2588">
        <v>2609</v>
      </c>
      <c r="B2588" t="s">
        <v>3985</v>
      </c>
      <c r="C2588" t="s">
        <v>2787</v>
      </c>
      <c r="E2588">
        <v>0.1</v>
      </c>
      <c r="F2588" t="s">
        <v>546</v>
      </c>
      <c r="G2588" s="174">
        <v>45576.460914351854</v>
      </c>
    </row>
    <row r="2589" spans="1:7">
      <c r="A2589">
        <v>2610</v>
      </c>
      <c r="B2589" t="s">
        <v>3987</v>
      </c>
      <c r="C2589" t="s">
        <v>3807</v>
      </c>
      <c r="E2589">
        <v>0.01</v>
      </c>
      <c r="F2589" t="s">
        <v>546</v>
      </c>
      <c r="G2589" s="174">
        <v>45576.460914351854</v>
      </c>
    </row>
    <row r="2590" spans="1:7">
      <c r="A2590">
        <v>2611</v>
      </c>
      <c r="B2590" t="s">
        <v>3987</v>
      </c>
      <c r="C2590" t="s">
        <v>2766</v>
      </c>
      <c r="E2590">
        <v>0.1</v>
      </c>
      <c r="F2590" t="s">
        <v>546</v>
      </c>
      <c r="G2590" s="174">
        <v>45576.460914351854</v>
      </c>
    </row>
    <row r="2591" spans="1:7">
      <c r="A2591">
        <v>2612</v>
      </c>
      <c r="B2591" t="s">
        <v>3988</v>
      </c>
      <c r="C2591" t="s">
        <v>3989</v>
      </c>
      <c r="E2591">
        <v>0.01</v>
      </c>
      <c r="F2591" t="s">
        <v>546</v>
      </c>
      <c r="G2591" s="174">
        <v>45576.460914351854</v>
      </c>
    </row>
    <row r="2592" spans="1:7">
      <c r="A2592">
        <v>2613</v>
      </c>
      <c r="B2592" t="s">
        <v>3990</v>
      </c>
      <c r="C2592" t="s">
        <v>2846</v>
      </c>
      <c r="E2592">
        <v>0.01</v>
      </c>
      <c r="F2592" t="s">
        <v>546</v>
      </c>
      <c r="G2592" s="174">
        <v>45576.460914351854</v>
      </c>
    </row>
    <row r="2593" spans="1:7">
      <c r="A2593">
        <v>2614</v>
      </c>
      <c r="B2593" t="s">
        <v>3991</v>
      </c>
      <c r="C2593" t="s">
        <v>3903</v>
      </c>
      <c r="E2593">
        <v>0.1</v>
      </c>
      <c r="F2593" t="s">
        <v>546</v>
      </c>
      <c r="G2593" s="174">
        <v>45576.460914351854</v>
      </c>
    </row>
    <row r="2594" spans="1:7">
      <c r="A2594">
        <v>2615</v>
      </c>
      <c r="B2594" t="s">
        <v>3992</v>
      </c>
      <c r="C2594" t="s">
        <v>3153</v>
      </c>
      <c r="E2594">
        <v>0.01</v>
      </c>
      <c r="F2594" t="s">
        <v>546</v>
      </c>
      <c r="G2594" s="174">
        <v>45576.460914351854</v>
      </c>
    </row>
    <row r="2595" spans="1:7">
      <c r="A2595">
        <v>2616</v>
      </c>
      <c r="B2595" t="s">
        <v>1018</v>
      </c>
      <c r="C2595" t="s">
        <v>3348</v>
      </c>
      <c r="E2595">
        <v>0.6</v>
      </c>
      <c r="F2595" t="s">
        <v>546</v>
      </c>
      <c r="G2595" s="174">
        <v>45576.460914351854</v>
      </c>
    </row>
    <row r="2596" spans="1:7">
      <c r="A2596">
        <v>2617</v>
      </c>
      <c r="B2596" t="s">
        <v>1020</v>
      </c>
      <c r="C2596" t="s">
        <v>3993</v>
      </c>
      <c r="E2596">
        <v>0.01</v>
      </c>
      <c r="F2596" t="s">
        <v>546</v>
      </c>
      <c r="G2596" s="174">
        <v>45576.460914351854</v>
      </c>
    </row>
    <row r="2597" spans="1:7">
      <c r="A2597">
        <v>2618</v>
      </c>
      <c r="B2597" t="s">
        <v>3994</v>
      </c>
      <c r="C2597" t="s">
        <v>3322</v>
      </c>
      <c r="E2597">
        <v>0.01</v>
      </c>
      <c r="F2597" t="s">
        <v>546</v>
      </c>
      <c r="G2597" s="174">
        <v>45576.460914351854</v>
      </c>
    </row>
    <row r="2598" spans="1:7">
      <c r="A2598">
        <v>2619</v>
      </c>
      <c r="B2598" t="s">
        <v>3994</v>
      </c>
      <c r="C2598" t="s">
        <v>2968</v>
      </c>
      <c r="E2598">
        <v>0.01</v>
      </c>
      <c r="F2598" t="s">
        <v>546</v>
      </c>
      <c r="G2598" s="174">
        <v>45576.460914351854</v>
      </c>
    </row>
    <row r="2599" spans="1:7">
      <c r="A2599">
        <v>2620</v>
      </c>
      <c r="B2599" t="s">
        <v>3995</v>
      </c>
      <c r="C2599" t="s">
        <v>3177</v>
      </c>
      <c r="E2599">
        <v>0.01</v>
      </c>
      <c r="F2599" t="s">
        <v>546</v>
      </c>
      <c r="G2599" s="174">
        <v>45576.460914351854</v>
      </c>
    </row>
    <row r="2600" spans="1:7">
      <c r="A2600">
        <v>2621</v>
      </c>
      <c r="B2600" t="s">
        <v>3995</v>
      </c>
      <c r="C2600" t="s">
        <v>3178</v>
      </c>
      <c r="E2600">
        <v>0.01</v>
      </c>
      <c r="F2600" t="s">
        <v>546</v>
      </c>
      <c r="G2600" s="174">
        <v>45576.460914351854</v>
      </c>
    </row>
    <row r="2601" spans="1:7">
      <c r="A2601">
        <v>2622</v>
      </c>
      <c r="B2601" t="s">
        <v>3996</v>
      </c>
      <c r="C2601" t="s">
        <v>3435</v>
      </c>
      <c r="E2601">
        <v>0.1</v>
      </c>
      <c r="F2601" t="s">
        <v>546</v>
      </c>
      <c r="G2601" s="174">
        <v>45576.460914351854</v>
      </c>
    </row>
    <row r="2602" spans="1:7">
      <c r="A2602">
        <v>2623</v>
      </c>
      <c r="B2602" t="s">
        <v>3997</v>
      </c>
      <c r="C2602" t="s">
        <v>3998</v>
      </c>
      <c r="E2602">
        <v>0.01</v>
      </c>
      <c r="F2602" t="s">
        <v>546</v>
      </c>
      <c r="G2602" s="174">
        <v>45576.460914351854</v>
      </c>
    </row>
    <row r="2603" spans="1:7">
      <c r="A2603">
        <v>2624</v>
      </c>
      <c r="B2603" t="s">
        <v>3997</v>
      </c>
      <c r="C2603" t="s">
        <v>3800</v>
      </c>
      <c r="E2603">
        <v>0.1</v>
      </c>
      <c r="F2603" t="s">
        <v>546</v>
      </c>
      <c r="G2603" s="174">
        <v>45576.460914351854</v>
      </c>
    </row>
    <row r="2604" spans="1:7">
      <c r="A2604">
        <v>2625</v>
      </c>
      <c r="B2604" t="s">
        <v>3997</v>
      </c>
      <c r="C2604" t="s">
        <v>3999</v>
      </c>
      <c r="E2604">
        <v>0.01</v>
      </c>
      <c r="F2604" t="s">
        <v>546</v>
      </c>
      <c r="G2604" s="174">
        <v>45576.460914351854</v>
      </c>
    </row>
    <row r="2605" spans="1:7">
      <c r="A2605">
        <v>2626</v>
      </c>
      <c r="B2605" t="s">
        <v>4000</v>
      </c>
      <c r="C2605" t="s">
        <v>3704</v>
      </c>
      <c r="E2605">
        <v>0.01</v>
      </c>
      <c r="F2605" t="s">
        <v>546</v>
      </c>
      <c r="G2605" s="174">
        <v>45576.460914351854</v>
      </c>
    </row>
    <row r="2606" spans="1:7">
      <c r="A2606">
        <v>2627</v>
      </c>
      <c r="B2606" t="s">
        <v>4000</v>
      </c>
      <c r="C2606" t="s">
        <v>1848</v>
      </c>
      <c r="E2606">
        <v>0.01</v>
      </c>
      <c r="F2606" t="s">
        <v>546</v>
      </c>
      <c r="G2606" s="174">
        <v>45576.460914351854</v>
      </c>
    </row>
    <row r="2607" spans="1:7">
      <c r="A2607">
        <v>2628</v>
      </c>
      <c r="B2607" t="s">
        <v>4000</v>
      </c>
      <c r="C2607" t="s">
        <v>3706</v>
      </c>
      <c r="E2607">
        <v>0.01</v>
      </c>
      <c r="F2607" t="s">
        <v>546</v>
      </c>
      <c r="G2607" s="174">
        <v>45576.460914351854</v>
      </c>
    </row>
    <row r="2608" spans="1:7">
      <c r="A2608">
        <v>2629</v>
      </c>
      <c r="B2608" t="s">
        <v>4001</v>
      </c>
      <c r="C2608" t="s">
        <v>3765</v>
      </c>
      <c r="E2608">
        <v>0.1</v>
      </c>
      <c r="F2608" t="s">
        <v>546</v>
      </c>
      <c r="G2608" s="174">
        <v>45576.460914351854</v>
      </c>
    </row>
    <row r="2609" spans="1:7">
      <c r="A2609">
        <v>2630</v>
      </c>
      <c r="B2609" t="s">
        <v>1030</v>
      </c>
      <c r="C2609" t="s">
        <v>4002</v>
      </c>
      <c r="E2609">
        <v>0.01</v>
      </c>
      <c r="F2609" t="s">
        <v>546</v>
      </c>
      <c r="G2609" s="174">
        <v>45576.460914351854</v>
      </c>
    </row>
    <row r="2610" spans="1:7">
      <c r="A2610">
        <v>2631</v>
      </c>
      <c r="B2610" t="s">
        <v>4003</v>
      </c>
      <c r="C2610" t="s">
        <v>3159</v>
      </c>
      <c r="E2610">
        <v>0.01</v>
      </c>
      <c r="F2610" t="s">
        <v>546</v>
      </c>
      <c r="G2610" s="174">
        <v>45576.460914351854</v>
      </c>
    </row>
    <row r="2611" spans="1:7">
      <c r="A2611">
        <v>2632</v>
      </c>
      <c r="B2611" t="s">
        <v>4004</v>
      </c>
      <c r="C2611" t="s">
        <v>4005</v>
      </c>
      <c r="E2611">
        <v>0.01</v>
      </c>
      <c r="F2611" t="s">
        <v>546</v>
      </c>
      <c r="G2611" s="174">
        <v>45576.460914351854</v>
      </c>
    </row>
    <row r="2612" spans="1:7">
      <c r="A2612">
        <v>2633</v>
      </c>
      <c r="B2612" t="s">
        <v>4004</v>
      </c>
      <c r="C2612" t="s">
        <v>3023</v>
      </c>
      <c r="E2612">
        <v>0.01</v>
      </c>
      <c r="F2612" t="s">
        <v>546</v>
      </c>
      <c r="G2612" s="174">
        <v>45576.460914351854</v>
      </c>
    </row>
    <row r="2613" spans="1:7">
      <c r="A2613">
        <v>2634</v>
      </c>
      <c r="B2613" t="s">
        <v>4006</v>
      </c>
      <c r="C2613" t="s">
        <v>3506</v>
      </c>
      <c r="E2613">
        <v>0.01</v>
      </c>
      <c r="F2613" t="s">
        <v>546</v>
      </c>
      <c r="G2613" s="174">
        <v>45576.460914351854</v>
      </c>
    </row>
    <row r="2614" spans="1:7">
      <c r="A2614">
        <v>2635</v>
      </c>
      <c r="B2614" t="s">
        <v>4007</v>
      </c>
      <c r="C2614" t="s">
        <v>4008</v>
      </c>
      <c r="E2614">
        <v>0.5</v>
      </c>
      <c r="F2614" t="s">
        <v>546</v>
      </c>
      <c r="G2614" s="174">
        <v>45576.460914351854</v>
      </c>
    </row>
    <row r="2615" spans="1:7">
      <c r="A2615">
        <v>2636</v>
      </c>
      <c r="B2615" t="s">
        <v>4007</v>
      </c>
      <c r="C2615" t="s">
        <v>2771</v>
      </c>
      <c r="E2615">
        <v>0.8</v>
      </c>
      <c r="F2615" t="s">
        <v>546</v>
      </c>
      <c r="G2615" s="174">
        <v>45576.460914351854</v>
      </c>
    </row>
    <row r="2616" spans="1:7">
      <c r="A2616">
        <v>2637</v>
      </c>
      <c r="B2616" t="s">
        <v>4007</v>
      </c>
      <c r="C2616" t="s">
        <v>3812</v>
      </c>
      <c r="E2616">
        <v>0.6</v>
      </c>
      <c r="F2616" t="s">
        <v>546</v>
      </c>
      <c r="G2616" s="174">
        <v>45576.460914351854</v>
      </c>
    </row>
    <row r="2617" spans="1:7">
      <c r="A2617">
        <v>2638</v>
      </c>
      <c r="B2617" t="s">
        <v>4009</v>
      </c>
      <c r="C2617" t="s">
        <v>3567</v>
      </c>
      <c r="E2617">
        <v>0.01</v>
      </c>
      <c r="F2617" t="s">
        <v>546</v>
      </c>
      <c r="G2617" s="174">
        <v>45576.460914351854</v>
      </c>
    </row>
    <row r="2618" spans="1:7">
      <c r="A2618">
        <v>2639</v>
      </c>
      <c r="B2618" t="s">
        <v>4010</v>
      </c>
      <c r="C2618" t="s">
        <v>3155</v>
      </c>
      <c r="E2618">
        <v>0.6</v>
      </c>
      <c r="F2618" t="s">
        <v>546</v>
      </c>
      <c r="G2618" s="174">
        <v>45576.460914351854</v>
      </c>
    </row>
    <row r="2619" spans="1:7">
      <c r="A2619">
        <v>2640</v>
      </c>
      <c r="B2619" t="s">
        <v>4010</v>
      </c>
      <c r="C2619" t="s">
        <v>4011</v>
      </c>
      <c r="E2619">
        <v>1</v>
      </c>
      <c r="F2619" t="s">
        <v>546</v>
      </c>
      <c r="G2619" s="174">
        <v>45576.460914351854</v>
      </c>
    </row>
    <row r="2620" spans="1:7">
      <c r="A2620">
        <v>2641</v>
      </c>
      <c r="B2620" t="s">
        <v>4012</v>
      </c>
      <c r="C2620" t="s">
        <v>3143</v>
      </c>
      <c r="E2620">
        <v>0.01</v>
      </c>
      <c r="F2620" t="s">
        <v>546</v>
      </c>
      <c r="G2620" s="174">
        <v>45576.460914351854</v>
      </c>
    </row>
    <row r="2621" spans="1:7">
      <c r="A2621">
        <v>2642</v>
      </c>
      <c r="B2621" t="s">
        <v>4013</v>
      </c>
      <c r="C2621" t="s">
        <v>3567</v>
      </c>
      <c r="E2621">
        <v>0.01</v>
      </c>
      <c r="F2621" t="s">
        <v>546</v>
      </c>
      <c r="G2621" s="174">
        <v>45576.460914351854</v>
      </c>
    </row>
    <row r="2622" spans="1:7">
      <c r="A2622">
        <v>2643</v>
      </c>
      <c r="B2622" t="s">
        <v>4014</v>
      </c>
      <c r="C2622" t="s">
        <v>4015</v>
      </c>
      <c r="E2622">
        <v>0.01</v>
      </c>
      <c r="F2622" t="s">
        <v>546</v>
      </c>
      <c r="G2622" s="174">
        <v>45576.460914351854</v>
      </c>
    </row>
    <row r="2623" spans="1:7">
      <c r="A2623">
        <v>2644</v>
      </c>
      <c r="B2623" t="s">
        <v>4016</v>
      </c>
      <c r="C2623" t="s">
        <v>4017</v>
      </c>
      <c r="E2623">
        <v>0.01</v>
      </c>
      <c r="F2623" t="s">
        <v>546</v>
      </c>
      <c r="G2623" s="174">
        <v>45576.460914351854</v>
      </c>
    </row>
    <row r="2624" spans="1:7">
      <c r="A2624">
        <v>2645</v>
      </c>
      <c r="B2624" t="s">
        <v>4018</v>
      </c>
      <c r="C2624" t="s">
        <v>3143</v>
      </c>
      <c r="E2624">
        <v>0.01</v>
      </c>
      <c r="F2624" t="s">
        <v>546</v>
      </c>
      <c r="G2624" s="174">
        <v>45576.460914351854</v>
      </c>
    </row>
    <row r="2625" spans="1:7">
      <c r="A2625">
        <v>2646</v>
      </c>
      <c r="B2625" t="s">
        <v>4019</v>
      </c>
      <c r="C2625" t="s">
        <v>3109</v>
      </c>
      <c r="E2625">
        <v>0.01</v>
      </c>
      <c r="F2625" t="s">
        <v>546</v>
      </c>
      <c r="G2625" s="174">
        <v>45576.460914351854</v>
      </c>
    </row>
    <row r="2626" spans="1:7">
      <c r="A2626">
        <v>2647</v>
      </c>
      <c r="B2626" t="s">
        <v>4020</v>
      </c>
      <c r="C2626" t="s">
        <v>4021</v>
      </c>
      <c r="E2626">
        <v>0.01</v>
      </c>
      <c r="F2626" t="s">
        <v>546</v>
      </c>
      <c r="G2626" s="174">
        <v>45576.460914351854</v>
      </c>
    </row>
    <row r="2627" spans="1:7">
      <c r="A2627">
        <v>2648</v>
      </c>
      <c r="B2627" t="s">
        <v>4020</v>
      </c>
      <c r="C2627" t="s">
        <v>2966</v>
      </c>
      <c r="E2627">
        <v>0.01</v>
      </c>
      <c r="F2627" t="s">
        <v>546</v>
      </c>
      <c r="G2627" s="174">
        <v>45576.460914351854</v>
      </c>
    </row>
    <row r="2628" spans="1:7">
      <c r="A2628">
        <v>2649</v>
      </c>
      <c r="B2628" t="s">
        <v>4022</v>
      </c>
      <c r="C2628" t="s">
        <v>3302</v>
      </c>
      <c r="E2628">
        <v>0.01</v>
      </c>
      <c r="F2628" t="s">
        <v>546</v>
      </c>
      <c r="G2628" s="174">
        <v>45576.460914351854</v>
      </c>
    </row>
    <row r="2629" spans="1:7">
      <c r="A2629">
        <v>2650</v>
      </c>
      <c r="B2629" t="s">
        <v>4023</v>
      </c>
      <c r="C2629" t="s">
        <v>4024</v>
      </c>
      <c r="E2629">
        <v>0.01</v>
      </c>
      <c r="F2629" t="s">
        <v>546</v>
      </c>
      <c r="G2629" s="174">
        <v>45576.460914351854</v>
      </c>
    </row>
    <row r="2630" spans="1:7">
      <c r="A2630">
        <v>2651</v>
      </c>
      <c r="B2630" t="s">
        <v>4025</v>
      </c>
      <c r="C2630" t="s">
        <v>4026</v>
      </c>
      <c r="E2630">
        <v>0.01</v>
      </c>
      <c r="F2630" t="s">
        <v>546</v>
      </c>
      <c r="G2630" s="174">
        <v>45576.460914351854</v>
      </c>
    </row>
    <row r="2631" spans="1:7">
      <c r="A2631">
        <v>2652</v>
      </c>
      <c r="B2631" t="s">
        <v>4025</v>
      </c>
      <c r="C2631" t="s">
        <v>4027</v>
      </c>
      <c r="E2631">
        <v>0.01</v>
      </c>
      <c r="F2631" t="s">
        <v>546</v>
      </c>
      <c r="G2631" s="174">
        <v>45576.460914351854</v>
      </c>
    </row>
    <row r="2632" spans="1:7">
      <c r="A2632">
        <v>2653</v>
      </c>
      <c r="B2632" t="s">
        <v>4028</v>
      </c>
      <c r="C2632" t="s">
        <v>3965</v>
      </c>
      <c r="E2632">
        <v>0.01</v>
      </c>
      <c r="F2632" t="s">
        <v>546</v>
      </c>
      <c r="G2632" s="174">
        <v>45576.460914351854</v>
      </c>
    </row>
    <row r="2633" spans="1:7">
      <c r="A2633">
        <v>2654</v>
      </c>
      <c r="B2633" t="s">
        <v>4028</v>
      </c>
      <c r="C2633" t="s">
        <v>3966</v>
      </c>
      <c r="E2633">
        <v>0.1</v>
      </c>
      <c r="F2633" t="s">
        <v>546</v>
      </c>
      <c r="G2633" s="174">
        <v>45576.460914351854</v>
      </c>
    </row>
    <row r="2634" spans="1:7">
      <c r="A2634">
        <v>2655</v>
      </c>
      <c r="B2634" t="s">
        <v>4029</v>
      </c>
      <c r="C2634" t="s">
        <v>4030</v>
      </c>
      <c r="E2634">
        <v>0.1</v>
      </c>
      <c r="F2634" t="s">
        <v>546</v>
      </c>
      <c r="G2634" s="174">
        <v>45576.460914351854</v>
      </c>
    </row>
    <row r="2635" spans="1:7">
      <c r="A2635">
        <v>2656</v>
      </c>
      <c r="B2635" t="s">
        <v>4029</v>
      </c>
      <c r="C2635" t="s">
        <v>4031</v>
      </c>
      <c r="E2635">
        <v>0.01</v>
      </c>
      <c r="F2635" t="s">
        <v>546</v>
      </c>
      <c r="G2635" s="174">
        <v>45576.460914351854</v>
      </c>
    </row>
    <row r="2636" spans="1:7">
      <c r="A2636">
        <v>2657</v>
      </c>
      <c r="B2636" t="s">
        <v>4032</v>
      </c>
      <c r="C2636" t="s">
        <v>3498</v>
      </c>
      <c r="E2636">
        <v>0.01</v>
      </c>
      <c r="F2636" t="s">
        <v>546</v>
      </c>
      <c r="G2636" s="174">
        <v>45576.460914351854</v>
      </c>
    </row>
    <row r="2637" spans="1:7">
      <c r="A2637">
        <v>2658</v>
      </c>
      <c r="B2637" t="s">
        <v>4033</v>
      </c>
      <c r="C2637" t="s">
        <v>3887</v>
      </c>
      <c r="E2637">
        <v>0.8</v>
      </c>
      <c r="F2637" t="s">
        <v>546</v>
      </c>
      <c r="G2637" s="174">
        <v>45576.460914351854</v>
      </c>
    </row>
    <row r="2638" spans="1:7">
      <c r="A2638">
        <v>2659</v>
      </c>
      <c r="B2638" t="s">
        <v>4034</v>
      </c>
      <c r="C2638" t="s">
        <v>4035</v>
      </c>
      <c r="E2638">
        <v>0.01</v>
      </c>
      <c r="F2638" t="s">
        <v>546</v>
      </c>
      <c r="G2638" s="174">
        <v>45576.460914351854</v>
      </c>
    </row>
    <row r="2639" spans="1:7">
      <c r="A2639">
        <v>2660</v>
      </c>
      <c r="B2639" t="s">
        <v>4036</v>
      </c>
      <c r="C2639" t="s">
        <v>3502</v>
      </c>
      <c r="E2639">
        <v>0.01</v>
      </c>
      <c r="F2639" t="s">
        <v>546</v>
      </c>
      <c r="G2639" s="174">
        <v>45576.460914351854</v>
      </c>
    </row>
    <row r="2640" spans="1:7">
      <c r="A2640">
        <v>2661</v>
      </c>
      <c r="B2640" t="s">
        <v>1039</v>
      </c>
      <c r="C2640" t="s">
        <v>4037</v>
      </c>
      <c r="E2640">
        <v>0.01</v>
      </c>
      <c r="F2640" t="s">
        <v>546</v>
      </c>
      <c r="G2640" s="174">
        <v>45576.460914351854</v>
      </c>
    </row>
    <row r="2641" spans="1:7">
      <c r="A2641">
        <v>2662</v>
      </c>
      <c r="B2641" t="s">
        <v>4038</v>
      </c>
      <c r="C2641" t="s">
        <v>4039</v>
      </c>
      <c r="E2641">
        <v>0.8</v>
      </c>
      <c r="F2641" t="s">
        <v>546</v>
      </c>
      <c r="G2641" s="174">
        <v>45576.460914351854</v>
      </c>
    </row>
    <row r="2642" spans="1:7">
      <c r="A2642">
        <v>2663</v>
      </c>
      <c r="B2642" t="s">
        <v>4040</v>
      </c>
      <c r="C2642" t="s">
        <v>3416</v>
      </c>
      <c r="E2642">
        <v>0.6</v>
      </c>
      <c r="F2642" t="s">
        <v>546</v>
      </c>
      <c r="G2642" s="174">
        <v>45576.460914351854</v>
      </c>
    </row>
    <row r="2643" spans="1:7">
      <c r="A2643">
        <v>2664</v>
      </c>
      <c r="B2643" t="s">
        <v>4040</v>
      </c>
      <c r="C2643" t="s">
        <v>3198</v>
      </c>
      <c r="E2643">
        <v>0.8</v>
      </c>
      <c r="F2643" t="s">
        <v>546</v>
      </c>
      <c r="G2643" s="174">
        <v>45576.460914351854</v>
      </c>
    </row>
    <row r="2644" spans="1:7">
      <c r="A2644">
        <v>2665</v>
      </c>
      <c r="B2644" t="s">
        <v>4041</v>
      </c>
      <c r="C2644" t="s">
        <v>3014</v>
      </c>
      <c r="E2644">
        <v>0.01</v>
      </c>
      <c r="F2644" t="s">
        <v>546</v>
      </c>
      <c r="G2644" s="174">
        <v>45576.460914351854</v>
      </c>
    </row>
    <row r="2645" spans="1:7">
      <c r="A2645">
        <v>2666</v>
      </c>
      <c r="B2645" t="s">
        <v>4042</v>
      </c>
      <c r="C2645" t="s">
        <v>4043</v>
      </c>
      <c r="E2645">
        <v>0.6</v>
      </c>
      <c r="F2645" t="s">
        <v>546</v>
      </c>
      <c r="G2645" s="174">
        <v>45576.460914351854</v>
      </c>
    </row>
    <row r="2646" spans="1:7">
      <c r="A2646">
        <v>2667</v>
      </c>
      <c r="B2646" t="s">
        <v>4044</v>
      </c>
      <c r="C2646" t="s">
        <v>3998</v>
      </c>
      <c r="E2646">
        <v>0.01</v>
      </c>
      <c r="F2646" t="s">
        <v>546</v>
      </c>
      <c r="G2646" s="174">
        <v>45576.460914351854</v>
      </c>
    </row>
    <row r="2647" spans="1:7">
      <c r="A2647">
        <v>2668</v>
      </c>
      <c r="B2647" t="s">
        <v>4044</v>
      </c>
      <c r="C2647" t="s">
        <v>4045</v>
      </c>
      <c r="E2647">
        <v>0.01</v>
      </c>
      <c r="F2647" t="s">
        <v>546</v>
      </c>
      <c r="G2647" s="174">
        <v>45576.460914351854</v>
      </c>
    </row>
    <row r="2648" spans="1:7">
      <c r="A2648">
        <v>2669</v>
      </c>
      <c r="B2648" t="s">
        <v>4046</v>
      </c>
      <c r="C2648" t="s">
        <v>4047</v>
      </c>
      <c r="E2648">
        <v>0.01</v>
      </c>
      <c r="F2648" t="s">
        <v>546</v>
      </c>
      <c r="G2648" s="174">
        <v>45576.460914351854</v>
      </c>
    </row>
    <row r="2649" spans="1:7">
      <c r="A2649">
        <v>2670</v>
      </c>
      <c r="B2649" t="s">
        <v>4046</v>
      </c>
      <c r="C2649" t="s">
        <v>4048</v>
      </c>
      <c r="E2649">
        <v>0.01</v>
      </c>
      <c r="F2649" t="s">
        <v>546</v>
      </c>
      <c r="G2649" s="174">
        <v>45576.460914351854</v>
      </c>
    </row>
    <row r="2650" spans="1:7">
      <c r="A2650">
        <v>2671</v>
      </c>
      <c r="B2650" t="s">
        <v>4049</v>
      </c>
      <c r="C2650" t="s">
        <v>4050</v>
      </c>
      <c r="E2650">
        <v>0.01</v>
      </c>
      <c r="F2650" t="s">
        <v>546</v>
      </c>
      <c r="G2650" s="174">
        <v>45576.460914351854</v>
      </c>
    </row>
    <row r="2651" spans="1:7">
      <c r="A2651">
        <v>2672</v>
      </c>
      <c r="B2651" t="s">
        <v>4051</v>
      </c>
      <c r="C2651" t="s">
        <v>4052</v>
      </c>
      <c r="E2651">
        <v>0.01</v>
      </c>
      <c r="F2651" t="s">
        <v>546</v>
      </c>
      <c r="G2651" s="174">
        <v>45576.460914351854</v>
      </c>
    </row>
    <row r="2652" spans="1:7">
      <c r="A2652">
        <v>2673</v>
      </c>
      <c r="B2652" t="s">
        <v>4053</v>
      </c>
      <c r="C2652" t="s">
        <v>4054</v>
      </c>
      <c r="E2652">
        <v>0.01</v>
      </c>
      <c r="F2652" t="s">
        <v>546</v>
      </c>
      <c r="G2652" s="174">
        <v>45576.460914351854</v>
      </c>
    </row>
    <row r="2653" spans="1:7">
      <c r="A2653">
        <v>2674</v>
      </c>
      <c r="B2653" t="s">
        <v>4055</v>
      </c>
      <c r="C2653" t="s">
        <v>3567</v>
      </c>
      <c r="E2653">
        <v>0.01</v>
      </c>
      <c r="F2653" t="s">
        <v>546</v>
      </c>
      <c r="G2653" s="174">
        <v>45576.460914351854</v>
      </c>
    </row>
    <row r="2654" spans="1:7">
      <c r="A2654">
        <v>2675</v>
      </c>
      <c r="B2654" t="s">
        <v>4056</v>
      </c>
      <c r="C2654" t="s">
        <v>4057</v>
      </c>
      <c r="E2654">
        <v>0.01</v>
      </c>
      <c r="F2654" t="s">
        <v>546</v>
      </c>
      <c r="G2654" s="174">
        <v>45576.460914351854</v>
      </c>
    </row>
    <row r="2655" spans="1:7">
      <c r="A2655">
        <v>2676</v>
      </c>
      <c r="B2655" t="s">
        <v>4058</v>
      </c>
      <c r="C2655" t="s">
        <v>3147</v>
      </c>
      <c r="E2655">
        <v>0.01</v>
      </c>
      <c r="F2655" t="s">
        <v>546</v>
      </c>
      <c r="G2655" s="174">
        <v>45576.460914351854</v>
      </c>
    </row>
    <row r="2656" spans="1:7">
      <c r="A2656">
        <v>2677</v>
      </c>
      <c r="B2656" t="s">
        <v>4059</v>
      </c>
      <c r="C2656" t="s">
        <v>3094</v>
      </c>
      <c r="E2656">
        <v>0.01</v>
      </c>
      <c r="F2656" t="s">
        <v>546</v>
      </c>
      <c r="G2656" s="174">
        <v>45576.460914351854</v>
      </c>
    </row>
    <row r="2657" spans="1:7">
      <c r="A2657">
        <v>2678</v>
      </c>
      <c r="B2657" t="s">
        <v>1049</v>
      </c>
      <c r="C2657" t="s">
        <v>4060</v>
      </c>
      <c r="E2657">
        <v>0.01</v>
      </c>
      <c r="F2657" t="s">
        <v>546</v>
      </c>
      <c r="G2657" s="174">
        <v>45576.460914351854</v>
      </c>
    </row>
    <row r="2658" spans="1:7">
      <c r="A2658">
        <v>2679</v>
      </c>
      <c r="B2658" t="s">
        <v>4061</v>
      </c>
      <c r="C2658" t="s">
        <v>4062</v>
      </c>
      <c r="E2658">
        <v>0.01</v>
      </c>
      <c r="F2658" t="s">
        <v>546</v>
      </c>
      <c r="G2658" s="174">
        <v>45576.460914351854</v>
      </c>
    </row>
    <row r="2659" spans="1:7">
      <c r="A2659">
        <v>2680</v>
      </c>
      <c r="B2659" t="s">
        <v>4061</v>
      </c>
      <c r="C2659" t="s">
        <v>4063</v>
      </c>
      <c r="E2659">
        <v>0.01</v>
      </c>
      <c r="F2659" t="s">
        <v>546</v>
      </c>
      <c r="G2659" s="174">
        <v>45576.460914351854</v>
      </c>
    </row>
    <row r="2660" spans="1:7">
      <c r="A2660">
        <v>2681</v>
      </c>
      <c r="B2660" t="s">
        <v>1052</v>
      </c>
      <c r="C2660" t="s">
        <v>3447</v>
      </c>
      <c r="E2660">
        <v>0.01</v>
      </c>
      <c r="F2660" t="s">
        <v>546</v>
      </c>
      <c r="G2660" s="174">
        <v>45576.460914351854</v>
      </c>
    </row>
    <row r="2661" spans="1:7">
      <c r="A2661">
        <v>2682</v>
      </c>
      <c r="B2661" t="s">
        <v>4064</v>
      </c>
      <c r="C2661" t="s">
        <v>4065</v>
      </c>
      <c r="E2661">
        <v>0.01</v>
      </c>
      <c r="F2661" t="s">
        <v>546</v>
      </c>
      <c r="G2661" s="174">
        <v>45576.460914351854</v>
      </c>
    </row>
    <row r="2662" spans="1:7">
      <c r="A2662">
        <v>2683</v>
      </c>
      <c r="B2662" t="s">
        <v>4066</v>
      </c>
      <c r="C2662" t="s">
        <v>4067</v>
      </c>
      <c r="E2662">
        <v>0.01</v>
      </c>
      <c r="F2662" t="s">
        <v>546</v>
      </c>
      <c r="G2662" s="174">
        <v>45576.460914351854</v>
      </c>
    </row>
    <row r="2663" spans="1:7">
      <c r="A2663">
        <v>2684</v>
      </c>
      <c r="B2663" t="s">
        <v>4068</v>
      </c>
      <c r="C2663" t="s">
        <v>3105</v>
      </c>
      <c r="E2663">
        <v>0.01</v>
      </c>
      <c r="F2663" t="s">
        <v>546</v>
      </c>
      <c r="G2663" s="174">
        <v>45576.460914351854</v>
      </c>
    </row>
    <row r="2664" spans="1:7">
      <c r="A2664">
        <v>2685</v>
      </c>
      <c r="B2664" t="s">
        <v>4069</v>
      </c>
      <c r="C2664" t="s">
        <v>3343</v>
      </c>
      <c r="E2664">
        <v>0.01</v>
      </c>
      <c r="F2664" t="s">
        <v>546</v>
      </c>
      <c r="G2664" s="174">
        <v>45576.460914351854</v>
      </c>
    </row>
    <row r="2665" spans="1:7">
      <c r="A2665">
        <v>2686</v>
      </c>
      <c r="B2665" t="s">
        <v>4069</v>
      </c>
      <c r="C2665" t="s">
        <v>3507</v>
      </c>
      <c r="E2665">
        <v>0.1</v>
      </c>
      <c r="F2665" t="s">
        <v>546</v>
      </c>
      <c r="G2665" s="174">
        <v>45576.460914351854</v>
      </c>
    </row>
    <row r="2666" spans="1:7">
      <c r="A2666">
        <v>2687</v>
      </c>
      <c r="B2666" t="s">
        <v>4070</v>
      </c>
      <c r="C2666" t="s">
        <v>4071</v>
      </c>
      <c r="E2666">
        <v>0.05</v>
      </c>
      <c r="F2666" t="s">
        <v>546</v>
      </c>
      <c r="G2666" s="174">
        <v>45576.460914351854</v>
      </c>
    </row>
    <row r="2667" spans="1:7">
      <c r="A2667">
        <v>2688</v>
      </c>
      <c r="B2667" t="s">
        <v>4070</v>
      </c>
      <c r="C2667" t="s">
        <v>4072</v>
      </c>
      <c r="E2667">
        <v>0.01</v>
      </c>
      <c r="F2667" t="s">
        <v>546</v>
      </c>
      <c r="G2667" s="174">
        <v>45576.460914351854</v>
      </c>
    </row>
    <row r="2668" spans="1:7">
      <c r="A2668">
        <v>2689</v>
      </c>
      <c r="B2668" t="s">
        <v>4070</v>
      </c>
      <c r="C2668" t="s">
        <v>3179</v>
      </c>
      <c r="E2668">
        <v>0.01</v>
      </c>
      <c r="F2668" t="s">
        <v>546</v>
      </c>
      <c r="G2668" s="174">
        <v>45576.460914351854</v>
      </c>
    </row>
    <row r="2669" spans="1:7">
      <c r="A2669">
        <v>2690</v>
      </c>
      <c r="B2669" t="s">
        <v>4073</v>
      </c>
      <c r="C2669" t="s">
        <v>4074</v>
      </c>
      <c r="E2669">
        <v>0.01</v>
      </c>
      <c r="F2669" t="s">
        <v>546</v>
      </c>
      <c r="G2669" s="174">
        <v>45576.460914351854</v>
      </c>
    </row>
    <row r="2670" spans="1:7">
      <c r="A2670">
        <v>2691</v>
      </c>
      <c r="B2670" t="s">
        <v>4073</v>
      </c>
      <c r="C2670" t="s">
        <v>3067</v>
      </c>
      <c r="E2670">
        <v>0.01</v>
      </c>
      <c r="F2670" t="s">
        <v>546</v>
      </c>
      <c r="G2670" s="174">
        <v>45576.460914351854</v>
      </c>
    </row>
    <row r="2671" spans="1:7">
      <c r="A2671">
        <v>2692</v>
      </c>
      <c r="B2671" t="s">
        <v>4075</v>
      </c>
      <c r="C2671" t="s">
        <v>4076</v>
      </c>
      <c r="E2671">
        <v>0.01</v>
      </c>
      <c r="F2671" t="s">
        <v>546</v>
      </c>
      <c r="G2671" s="174">
        <v>45576.460914351854</v>
      </c>
    </row>
    <row r="2672" spans="1:7">
      <c r="A2672">
        <v>2693</v>
      </c>
      <c r="B2672" t="s">
        <v>1059</v>
      </c>
      <c r="C2672" t="s">
        <v>4077</v>
      </c>
      <c r="E2672">
        <v>0.01</v>
      </c>
      <c r="F2672" t="s">
        <v>546</v>
      </c>
      <c r="G2672" s="174">
        <v>45576.460914351854</v>
      </c>
    </row>
    <row r="2673" spans="1:7">
      <c r="A2673">
        <v>2694</v>
      </c>
      <c r="B2673" t="s">
        <v>1061</v>
      </c>
      <c r="C2673" t="s">
        <v>4078</v>
      </c>
      <c r="E2673">
        <v>0.8</v>
      </c>
      <c r="F2673" t="s">
        <v>546</v>
      </c>
      <c r="G2673" s="174">
        <v>45576.460914351854</v>
      </c>
    </row>
    <row r="2674" spans="1:7">
      <c r="A2674">
        <v>2695</v>
      </c>
      <c r="B2674" t="s">
        <v>4079</v>
      </c>
      <c r="C2674" t="s">
        <v>4080</v>
      </c>
      <c r="E2674">
        <v>0.01</v>
      </c>
      <c r="F2674" t="s">
        <v>546</v>
      </c>
      <c r="G2674" s="174">
        <v>45576.460914351854</v>
      </c>
    </row>
    <row r="2675" spans="1:7">
      <c r="A2675">
        <v>2696</v>
      </c>
      <c r="B2675" t="s">
        <v>4079</v>
      </c>
      <c r="C2675" t="s">
        <v>3765</v>
      </c>
      <c r="E2675">
        <v>0.01</v>
      </c>
      <c r="F2675" t="s">
        <v>546</v>
      </c>
      <c r="G2675" s="174">
        <v>45576.460914351854</v>
      </c>
    </row>
    <row r="2676" spans="1:7">
      <c r="A2676">
        <v>2697</v>
      </c>
      <c r="B2676" t="s">
        <v>1063</v>
      </c>
      <c r="C2676" t="s">
        <v>2808</v>
      </c>
      <c r="E2676">
        <v>0.01</v>
      </c>
      <c r="F2676" t="s">
        <v>546</v>
      </c>
      <c r="G2676" s="174">
        <v>45576.460914351854</v>
      </c>
    </row>
    <row r="2677" spans="1:7">
      <c r="A2677">
        <v>2698</v>
      </c>
      <c r="B2677" t="s">
        <v>1063</v>
      </c>
      <c r="C2677" t="s">
        <v>3302</v>
      </c>
      <c r="E2677">
        <v>0.5</v>
      </c>
      <c r="F2677" t="s">
        <v>546</v>
      </c>
      <c r="G2677" s="174">
        <v>45576.460914351854</v>
      </c>
    </row>
    <row r="2678" spans="1:7">
      <c r="A2678">
        <v>2702</v>
      </c>
      <c r="B2678" t="s">
        <v>4081</v>
      </c>
      <c r="C2678" t="s">
        <v>4082</v>
      </c>
      <c r="E2678">
        <v>0.1</v>
      </c>
      <c r="F2678" t="s">
        <v>546</v>
      </c>
      <c r="G2678" s="174">
        <v>45576.460914351854</v>
      </c>
    </row>
    <row r="2679" spans="1:7">
      <c r="A2679">
        <v>2703</v>
      </c>
      <c r="B2679" t="s">
        <v>4083</v>
      </c>
      <c r="C2679" t="s">
        <v>3153</v>
      </c>
      <c r="E2679">
        <v>0.01</v>
      </c>
      <c r="F2679" t="s">
        <v>546</v>
      </c>
      <c r="G2679" s="174">
        <v>45576.460914351854</v>
      </c>
    </row>
    <row r="2680" spans="1:7">
      <c r="A2680">
        <v>2704</v>
      </c>
      <c r="B2680" t="s">
        <v>4084</v>
      </c>
      <c r="C2680" t="s">
        <v>4085</v>
      </c>
      <c r="E2680">
        <v>0.01</v>
      </c>
      <c r="F2680" t="s">
        <v>546</v>
      </c>
      <c r="G2680" s="174">
        <v>45576.460914351854</v>
      </c>
    </row>
    <row r="2681" spans="1:7">
      <c r="A2681">
        <v>2705</v>
      </c>
      <c r="B2681" t="s">
        <v>4086</v>
      </c>
      <c r="C2681" t="s">
        <v>3937</v>
      </c>
      <c r="E2681">
        <v>0.01</v>
      </c>
      <c r="F2681" t="s">
        <v>546</v>
      </c>
      <c r="G2681" s="174">
        <v>45576.460914351854</v>
      </c>
    </row>
    <row r="2682" spans="1:7">
      <c r="A2682">
        <v>2706</v>
      </c>
      <c r="B2682" t="s">
        <v>4087</v>
      </c>
      <c r="C2682" t="s">
        <v>741</v>
      </c>
      <c r="E2682">
        <v>0.1</v>
      </c>
      <c r="F2682" t="s">
        <v>546</v>
      </c>
      <c r="G2682" s="174">
        <v>45576.460914351854</v>
      </c>
    </row>
    <row r="2683" spans="1:7">
      <c r="A2683">
        <v>2707</v>
      </c>
      <c r="B2683" t="s">
        <v>4088</v>
      </c>
      <c r="C2683" t="s">
        <v>4089</v>
      </c>
      <c r="E2683">
        <v>0.01</v>
      </c>
      <c r="F2683" t="s">
        <v>546</v>
      </c>
      <c r="G2683" s="174">
        <v>45576.460914351854</v>
      </c>
    </row>
    <row r="2684" spans="1:7">
      <c r="A2684">
        <v>2708</v>
      </c>
      <c r="B2684" t="s">
        <v>4090</v>
      </c>
      <c r="C2684" t="s">
        <v>4091</v>
      </c>
      <c r="E2684">
        <v>0.01</v>
      </c>
      <c r="F2684" t="s">
        <v>546</v>
      </c>
      <c r="G2684" s="174">
        <v>45576.460914351854</v>
      </c>
    </row>
    <row r="2685" spans="1:7">
      <c r="A2685">
        <v>2709</v>
      </c>
      <c r="B2685" t="s">
        <v>1066</v>
      </c>
      <c r="C2685" t="s">
        <v>4092</v>
      </c>
      <c r="E2685">
        <v>0.01</v>
      </c>
      <c r="F2685" t="s">
        <v>546</v>
      </c>
      <c r="G2685" s="174">
        <v>45576.460914351854</v>
      </c>
    </row>
    <row r="2686" spans="1:7">
      <c r="A2686">
        <v>2710</v>
      </c>
      <c r="B2686" t="s">
        <v>1066</v>
      </c>
      <c r="C2686" t="s">
        <v>3153</v>
      </c>
      <c r="E2686">
        <v>0.6</v>
      </c>
      <c r="F2686" t="s">
        <v>546</v>
      </c>
      <c r="G2686" s="174">
        <v>45576.460914351854</v>
      </c>
    </row>
    <row r="2687" spans="1:7">
      <c r="A2687">
        <v>2711</v>
      </c>
      <c r="B2687" t="s">
        <v>1066</v>
      </c>
      <c r="C2687" t="s">
        <v>3270</v>
      </c>
      <c r="E2687">
        <v>0.8</v>
      </c>
      <c r="F2687" t="s">
        <v>546</v>
      </c>
      <c r="G2687" s="174">
        <v>45576.460914351854</v>
      </c>
    </row>
    <row r="2688" spans="1:7">
      <c r="A2688">
        <v>2712</v>
      </c>
      <c r="B2688" t="s">
        <v>4093</v>
      </c>
      <c r="C2688" t="s">
        <v>4094</v>
      </c>
      <c r="E2688">
        <v>0.01</v>
      </c>
      <c r="F2688" t="s">
        <v>546</v>
      </c>
      <c r="G2688" s="174">
        <v>45576.460914351854</v>
      </c>
    </row>
    <row r="2689" spans="1:7">
      <c r="A2689">
        <v>2713</v>
      </c>
      <c r="B2689" t="s">
        <v>4093</v>
      </c>
      <c r="C2689" t="s">
        <v>2911</v>
      </c>
      <c r="E2689">
        <v>0.1</v>
      </c>
      <c r="F2689" t="s">
        <v>546</v>
      </c>
      <c r="G2689" s="174">
        <v>45576.460914351854</v>
      </c>
    </row>
    <row r="2690" spans="1:7">
      <c r="A2690">
        <v>2714</v>
      </c>
      <c r="B2690" t="s">
        <v>4095</v>
      </c>
      <c r="C2690" t="s">
        <v>4096</v>
      </c>
      <c r="E2690">
        <v>0.6</v>
      </c>
      <c r="F2690" t="s">
        <v>546</v>
      </c>
      <c r="G2690" s="174">
        <v>45576.460914351854</v>
      </c>
    </row>
    <row r="2691" spans="1:7">
      <c r="A2691">
        <v>2715</v>
      </c>
      <c r="B2691" t="s">
        <v>4095</v>
      </c>
      <c r="C2691" t="s">
        <v>3207</v>
      </c>
      <c r="E2691">
        <v>0.8</v>
      </c>
      <c r="F2691" t="s">
        <v>546</v>
      </c>
      <c r="G2691" s="174">
        <v>45576.460914351854</v>
      </c>
    </row>
    <row r="2692" spans="1:7">
      <c r="A2692">
        <v>2716</v>
      </c>
      <c r="B2692" t="s">
        <v>4097</v>
      </c>
      <c r="C2692" t="s">
        <v>3333</v>
      </c>
      <c r="E2692">
        <v>0.01</v>
      </c>
      <c r="F2692" t="s">
        <v>546</v>
      </c>
      <c r="G2692" s="174">
        <v>45576.460914351854</v>
      </c>
    </row>
    <row r="2693" spans="1:7">
      <c r="A2693">
        <v>2717</v>
      </c>
      <c r="B2693" t="s">
        <v>4098</v>
      </c>
      <c r="C2693" t="s">
        <v>3116</v>
      </c>
      <c r="E2693">
        <v>0.1</v>
      </c>
      <c r="F2693" t="s">
        <v>546</v>
      </c>
      <c r="G2693" s="174">
        <v>45576.460914351854</v>
      </c>
    </row>
    <row r="2694" spans="1:7">
      <c r="A2694">
        <v>2718</v>
      </c>
      <c r="B2694" t="s">
        <v>4099</v>
      </c>
      <c r="C2694" t="s">
        <v>3227</v>
      </c>
      <c r="E2694">
        <v>0.01</v>
      </c>
      <c r="F2694" t="s">
        <v>546</v>
      </c>
      <c r="G2694" s="174">
        <v>45576.460914351854</v>
      </c>
    </row>
    <row r="2695" spans="1:7">
      <c r="A2695">
        <v>2719</v>
      </c>
      <c r="B2695" t="s">
        <v>4100</v>
      </c>
      <c r="C2695" t="s">
        <v>4101</v>
      </c>
      <c r="E2695">
        <v>0.01</v>
      </c>
      <c r="F2695" t="s">
        <v>546</v>
      </c>
      <c r="G2695" s="174">
        <v>45576.460914351854</v>
      </c>
    </row>
    <row r="2696" spans="1:7">
      <c r="A2696">
        <v>2720</v>
      </c>
      <c r="B2696" t="s">
        <v>4102</v>
      </c>
      <c r="C2696" t="s">
        <v>4103</v>
      </c>
      <c r="E2696">
        <v>0.1</v>
      </c>
      <c r="F2696" t="s">
        <v>546</v>
      </c>
      <c r="G2696" s="174">
        <v>45576.460914351854</v>
      </c>
    </row>
    <row r="2697" spans="1:7">
      <c r="A2697">
        <v>2721</v>
      </c>
      <c r="B2697" t="s">
        <v>4104</v>
      </c>
      <c r="C2697" t="s">
        <v>4105</v>
      </c>
      <c r="E2697">
        <v>0.01</v>
      </c>
      <c r="F2697" t="s">
        <v>546</v>
      </c>
      <c r="G2697" s="174">
        <v>45576.460914351854</v>
      </c>
    </row>
    <row r="2698" spans="1:7">
      <c r="A2698">
        <v>2722</v>
      </c>
      <c r="B2698" t="s">
        <v>1068</v>
      </c>
      <c r="C2698" t="s">
        <v>3043</v>
      </c>
      <c r="E2698">
        <v>0.01</v>
      </c>
      <c r="F2698" t="s">
        <v>546</v>
      </c>
      <c r="G2698" s="174">
        <v>45576.460914351854</v>
      </c>
    </row>
    <row r="2699" spans="1:7">
      <c r="A2699">
        <v>2723</v>
      </c>
      <c r="B2699" t="s">
        <v>4106</v>
      </c>
      <c r="C2699" t="s">
        <v>4107</v>
      </c>
      <c r="E2699">
        <v>0.01</v>
      </c>
      <c r="F2699" t="s">
        <v>546</v>
      </c>
      <c r="G2699" s="174">
        <v>45576.460914351854</v>
      </c>
    </row>
    <row r="2700" spans="1:7">
      <c r="A2700">
        <v>2724</v>
      </c>
      <c r="B2700" t="s">
        <v>1070</v>
      </c>
      <c r="C2700" t="s">
        <v>3127</v>
      </c>
      <c r="E2700">
        <v>0.01</v>
      </c>
      <c r="F2700" t="s">
        <v>546</v>
      </c>
      <c r="G2700" s="174">
        <v>45576.460914351854</v>
      </c>
    </row>
    <row r="2701" spans="1:7">
      <c r="A2701">
        <v>2725</v>
      </c>
      <c r="B2701" t="s">
        <v>4108</v>
      </c>
      <c r="C2701" t="s">
        <v>3461</v>
      </c>
      <c r="E2701">
        <v>0.01</v>
      </c>
      <c r="F2701" t="s">
        <v>546</v>
      </c>
      <c r="G2701" s="174">
        <v>45576.460914351854</v>
      </c>
    </row>
    <row r="2702" spans="1:7">
      <c r="A2702">
        <v>2726</v>
      </c>
      <c r="B2702" t="s">
        <v>4109</v>
      </c>
      <c r="C2702" t="s">
        <v>4110</v>
      </c>
      <c r="E2702">
        <v>0.5</v>
      </c>
      <c r="F2702" t="s">
        <v>4111</v>
      </c>
      <c r="G2702" s="174">
        <v>45576.460914351854</v>
      </c>
    </row>
    <row r="2703" spans="1:7">
      <c r="A2703">
        <v>2727</v>
      </c>
      <c r="B2703" t="s">
        <v>4109</v>
      </c>
      <c r="C2703" t="s">
        <v>4112</v>
      </c>
      <c r="E2703">
        <v>0.6</v>
      </c>
      <c r="F2703" t="s">
        <v>4113</v>
      </c>
      <c r="G2703" s="174">
        <v>45576.460914351854</v>
      </c>
    </row>
    <row r="2704" spans="1:7">
      <c r="A2704">
        <v>2728</v>
      </c>
      <c r="B2704" t="s">
        <v>4114</v>
      </c>
      <c r="C2704" t="s">
        <v>4115</v>
      </c>
      <c r="E2704">
        <v>0.01</v>
      </c>
      <c r="F2704" t="s">
        <v>546</v>
      </c>
      <c r="G2704" s="174">
        <v>45576.460914351854</v>
      </c>
    </row>
    <row r="2705" spans="1:7">
      <c r="A2705">
        <v>2729</v>
      </c>
      <c r="B2705" t="s">
        <v>4116</v>
      </c>
      <c r="C2705" t="s">
        <v>4011</v>
      </c>
      <c r="E2705">
        <v>0.01</v>
      </c>
      <c r="F2705" t="s">
        <v>546</v>
      </c>
      <c r="G2705" s="174">
        <v>45576.460914351854</v>
      </c>
    </row>
    <row r="2706" spans="1:7">
      <c r="A2706">
        <v>2730</v>
      </c>
      <c r="B2706" t="s">
        <v>4117</v>
      </c>
      <c r="C2706" t="s">
        <v>3333</v>
      </c>
      <c r="E2706">
        <v>0.01</v>
      </c>
      <c r="F2706" t="s">
        <v>546</v>
      </c>
      <c r="G2706" s="174">
        <v>45576.460914351854</v>
      </c>
    </row>
    <row r="2707" spans="1:7">
      <c r="A2707">
        <v>2731</v>
      </c>
      <c r="B2707" t="s">
        <v>4118</v>
      </c>
      <c r="C2707" t="s">
        <v>4119</v>
      </c>
      <c r="E2707">
        <v>0.1</v>
      </c>
      <c r="F2707" t="s">
        <v>546</v>
      </c>
      <c r="G2707" s="174">
        <v>45576.460914351854</v>
      </c>
    </row>
    <row r="2708" spans="1:7">
      <c r="A2708">
        <v>2732</v>
      </c>
      <c r="B2708" t="s">
        <v>1074</v>
      </c>
      <c r="C2708" t="s">
        <v>4120</v>
      </c>
      <c r="E2708">
        <v>0.8</v>
      </c>
      <c r="F2708" t="s">
        <v>546</v>
      </c>
      <c r="G2708" s="174">
        <v>45576.460914351854</v>
      </c>
    </row>
    <row r="2709" spans="1:7">
      <c r="A2709">
        <v>2733</v>
      </c>
      <c r="B2709" t="s">
        <v>4121</v>
      </c>
      <c r="C2709" t="s">
        <v>4122</v>
      </c>
      <c r="E2709">
        <v>0.05</v>
      </c>
      <c r="F2709" t="s">
        <v>546</v>
      </c>
      <c r="G2709" s="174">
        <v>45576.460914351854</v>
      </c>
    </row>
    <row r="2710" spans="1:7">
      <c r="A2710">
        <v>2734</v>
      </c>
      <c r="B2710" t="s">
        <v>4121</v>
      </c>
      <c r="C2710" t="s">
        <v>4123</v>
      </c>
      <c r="E2710">
        <v>0.1</v>
      </c>
      <c r="F2710" t="s">
        <v>546</v>
      </c>
      <c r="G2710" s="174">
        <v>45576.460914351854</v>
      </c>
    </row>
    <row r="2711" spans="1:7">
      <c r="A2711">
        <v>2735</v>
      </c>
      <c r="B2711" t="s">
        <v>4121</v>
      </c>
      <c r="C2711" t="s">
        <v>3062</v>
      </c>
      <c r="E2711">
        <v>0.1</v>
      </c>
      <c r="F2711" t="s">
        <v>546</v>
      </c>
      <c r="G2711" s="174">
        <v>45576.460914351854</v>
      </c>
    </row>
    <row r="2712" spans="1:7">
      <c r="A2712">
        <v>2736</v>
      </c>
      <c r="B2712" t="s">
        <v>4124</v>
      </c>
      <c r="C2712" t="s">
        <v>2766</v>
      </c>
      <c r="E2712">
        <v>0.1</v>
      </c>
      <c r="F2712" t="s">
        <v>546</v>
      </c>
      <c r="G2712" s="174">
        <v>45576.460914351854</v>
      </c>
    </row>
    <row r="2713" spans="1:7">
      <c r="A2713">
        <v>2737</v>
      </c>
      <c r="B2713" t="s">
        <v>4124</v>
      </c>
      <c r="C2713" t="s">
        <v>2868</v>
      </c>
      <c r="E2713">
        <v>0.01</v>
      </c>
      <c r="F2713" t="s">
        <v>546</v>
      </c>
      <c r="G2713" s="174">
        <v>45576.460914351854</v>
      </c>
    </row>
    <row r="2714" spans="1:7">
      <c r="A2714">
        <v>2738</v>
      </c>
      <c r="B2714" t="s">
        <v>4125</v>
      </c>
      <c r="C2714" t="s">
        <v>3147</v>
      </c>
      <c r="E2714">
        <v>0.1</v>
      </c>
      <c r="F2714" t="s">
        <v>546</v>
      </c>
      <c r="G2714" s="174">
        <v>45576.460914351854</v>
      </c>
    </row>
    <row r="2715" spans="1:7">
      <c r="A2715">
        <v>2739</v>
      </c>
      <c r="B2715" t="s">
        <v>4126</v>
      </c>
      <c r="C2715" t="s">
        <v>3621</v>
      </c>
      <c r="E2715">
        <v>0.01</v>
      </c>
      <c r="F2715" t="s">
        <v>546</v>
      </c>
      <c r="G2715" s="174">
        <v>45576.460914351854</v>
      </c>
    </row>
    <row r="2716" spans="1:7">
      <c r="A2716">
        <v>2740</v>
      </c>
      <c r="B2716" t="s">
        <v>4127</v>
      </c>
      <c r="C2716" t="s">
        <v>2923</v>
      </c>
      <c r="E2716">
        <v>0.01</v>
      </c>
      <c r="F2716" t="s">
        <v>546</v>
      </c>
      <c r="G2716" s="174">
        <v>45576.460914351854</v>
      </c>
    </row>
    <row r="2717" spans="1:7">
      <c r="A2717">
        <v>2741</v>
      </c>
      <c r="B2717" t="s">
        <v>4128</v>
      </c>
      <c r="C2717" t="s">
        <v>2911</v>
      </c>
      <c r="E2717">
        <v>0.01</v>
      </c>
      <c r="F2717" t="s">
        <v>546</v>
      </c>
      <c r="G2717" s="174">
        <v>45576.460914351854</v>
      </c>
    </row>
    <row r="2718" spans="1:7">
      <c r="A2718">
        <v>2742</v>
      </c>
      <c r="B2718" t="s">
        <v>4129</v>
      </c>
      <c r="C2718" t="s">
        <v>4130</v>
      </c>
      <c r="E2718">
        <v>0.01</v>
      </c>
      <c r="F2718" t="s">
        <v>546</v>
      </c>
      <c r="G2718" s="174">
        <v>45576.460914351854</v>
      </c>
    </row>
    <row r="2719" spans="1:7">
      <c r="A2719">
        <v>2743</v>
      </c>
      <c r="B2719" t="s">
        <v>4131</v>
      </c>
      <c r="C2719" t="s">
        <v>3132</v>
      </c>
      <c r="E2719">
        <v>0.01</v>
      </c>
      <c r="F2719" t="s">
        <v>546</v>
      </c>
      <c r="G2719" s="174">
        <v>45576.460914351854</v>
      </c>
    </row>
    <row r="2720" spans="1:7">
      <c r="A2720">
        <v>2744</v>
      </c>
      <c r="B2720" t="s">
        <v>4132</v>
      </c>
      <c r="C2720" t="s">
        <v>4133</v>
      </c>
      <c r="E2720">
        <v>0.01</v>
      </c>
      <c r="F2720" t="s">
        <v>546</v>
      </c>
      <c r="G2720" s="174">
        <v>45576.460914351854</v>
      </c>
    </row>
    <row r="2721" spans="1:7">
      <c r="A2721">
        <v>2745</v>
      </c>
      <c r="B2721" t="s">
        <v>4134</v>
      </c>
      <c r="C2721" t="s">
        <v>4135</v>
      </c>
      <c r="E2721">
        <v>0.01</v>
      </c>
      <c r="F2721" t="s">
        <v>546</v>
      </c>
      <c r="G2721" s="174">
        <v>45576.460914351854</v>
      </c>
    </row>
    <row r="2722" spans="1:7">
      <c r="A2722">
        <v>2746</v>
      </c>
      <c r="B2722" t="s">
        <v>4136</v>
      </c>
      <c r="C2722" t="s">
        <v>3192</v>
      </c>
      <c r="E2722">
        <v>0.01</v>
      </c>
      <c r="F2722" t="s">
        <v>546</v>
      </c>
      <c r="G2722" s="174">
        <v>45576.460914351854</v>
      </c>
    </row>
    <row r="2723" spans="1:7">
      <c r="A2723">
        <v>2747</v>
      </c>
      <c r="B2723" t="s">
        <v>4137</v>
      </c>
      <c r="C2723" t="s">
        <v>4138</v>
      </c>
      <c r="E2723">
        <v>0.01</v>
      </c>
      <c r="F2723" t="s">
        <v>546</v>
      </c>
      <c r="G2723" s="174">
        <v>45576.460914351854</v>
      </c>
    </row>
    <row r="2724" spans="1:7">
      <c r="A2724">
        <v>2748</v>
      </c>
      <c r="B2724" t="s">
        <v>4137</v>
      </c>
      <c r="C2724" t="s">
        <v>3052</v>
      </c>
      <c r="E2724">
        <v>0.01</v>
      </c>
      <c r="F2724" t="s">
        <v>546</v>
      </c>
      <c r="G2724" s="174">
        <v>45576.460914351854</v>
      </c>
    </row>
    <row r="2725" spans="1:7">
      <c r="A2725">
        <v>2749</v>
      </c>
      <c r="B2725" t="s">
        <v>4137</v>
      </c>
      <c r="C2725" t="s">
        <v>3567</v>
      </c>
      <c r="E2725">
        <v>0.01</v>
      </c>
      <c r="F2725" t="s">
        <v>546</v>
      </c>
      <c r="G2725" s="174">
        <v>45576.460914351854</v>
      </c>
    </row>
    <row r="2726" spans="1:7">
      <c r="A2726">
        <v>2750</v>
      </c>
      <c r="B2726" t="s">
        <v>4139</v>
      </c>
      <c r="C2726" t="s">
        <v>2948</v>
      </c>
      <c r="E2726">
        <v>0.1</v>
      </c>
      <c r="F2726" t="s">
        <v>546</v>
      </c>
      <c r="G2726" s="174">
        <v>45576.460914351854</v>
      </c>
    </row>
    <row r="2727" spans="1:7">
      <c r="A2727">
        <v>2751</v>
      </c>
      <c r="B2727" t="s">
        <v>4140</v>
      </c>
      <c r="C2727" t="s">
        <v>3294</v>
      </c>
      <c r="E2727">
        <v>0.8</v>
      </c>
      <c r="F2727" t="s">
        <v>4141</v>
      </c>
      <c r="G2727" s="174">
        <v>45576.460914351854</v>
      </c>
    </row>
    <row r="2728" spans="1:7">
      <c r="A2728">
        <v>2752</v>
      </c>
      <c r="B2728" t="s">
        <v>4142</v>
      </c>
      <c r="C2728" t="s">
        <v>3930</v>
      </c>
      <c r="E2728">
        <v>0.01</v>
      </c>
      <c r="F2728" t="s">
        <v>546</v>
      </c>
      <c r="G2728" s="174">
        <v>45576.460914351854</v>
      </c>
    </row>
    <row r="2729" spans="1:7">
      <c r="A2729">
        <v>2753</v>
      </c>
      <c r="B2729" t="s">
        <v>4143</v>
      </c>
      <c r="C2729" t="s">
        <v>3218</v>
      </c>
      <c r="E2729">
        <v>0.1</v>
      </c>
      <c r="F2729" t="s">
        <v>546</v>
      </c>
      <c r="G2729" s="174">
        <v>45576.460914351854</v>
      </c>
    </row>
    <row r="2730" spans="1:7">
      <c r="A2730">
        <v>2754</v>
      </c>
      <c r="B2730" t="s">
        <v>4144</v>
      </c>
      <c r="C2730" t="s">
        <v>4145</v>
      </c>
      <c r="E2730">
        <v>0.01</v>
      </c>
      <c r="F2730" t="s">
        <v>546</v>
      </c>
      <c r="G2730" s="174">
        <v>45576.460914351854</v>
      </c>
    </row>
    <row r="2731" spans="1:7">
      <c r="A2731">
        <v>2755</v>
      </c>
      <c r="B2731" t="s">
        <v>4144</v>
      </c>
      <c r="C2731" t="s">
        <v>4146</v>
      </c>
      <c r="E2731">
        <v>0.01</v>
      </c>
      <c r="F2731" t="s">
        <v>546</v>
      </c>
      <c r="G2731" s="174">
        <v>45576.460914351854</v>
      </c>
    </row>
    <row r="2732" spans="1:7">
      <c r="A2732">
        <v>2756</v>
      </c>
      <c r="B2732" t="s">
        <v>4147</v>
      </c>
      <c r="C2732" t="s">
        <v>2893</v>
      </c>
      <c r="E2732">
        <v>0.1</v>
      </c>
      <c r="F2732" t="s">
        <v>546</v>
      </c>
      <c r="G2732" s="174">
        <v>45576.460914351854</v>
      </c>
    </row>
    <row r="2733" spans="1:7">
      <c r="A2733">
        <v>2757</v>
      </c>
      <c r="B2733" t="s">
        <v>4148</v>
      </c>
      <c r="C2733" t="s">
        <v>4149</v>
      </c>
      <c r="E2733">
        <v>0.01</v>
      </c>
      <c r="F2733" t="s">
        <v>546</v>
      </c>
      <c r="G2733" s="174">
        <v>45576.460914351854</v>
      </c>
    </row>
    <row r="2734" spans="1:7">
      <c r="A2734">
        <v>2758</v>
      </c>
      <c r="B2734" t="s">
        <v>4150</v>
      </c>
      <c r="C2734" t="s">
        <v>4151</v>
      </c>
      <c r="E2734">
        <v>0.05</v>
      </c>
      <c r="F2734" t="s">
        <v>546</v>
      </c>
      <c r="G2734" s="174">
        <v>45576.460914351854</v>
      </c>
    </row>
    <row r="2735" spans="1:7">
      <c r="A2735">
        <v>2759</v>
      </c>
      <c r="B2735" t="s">
        <v>4150</v>
      </c>
      <c r="C2735" t="s">
        <v>4076</v>
      </c>
      <c r="E2735">
        <v>0.01</v>
      </c>
      <c r="F2735" t="s">
        <v>546</v>
      </c>
      <c r="G2735" s="174">
        <v>45576.460914351854</v>
      </c>
    </row>
    <row r="2736" spans="1:7">
      <c r="A2736">
        <v>2760</v>
      </c>
      <c r="B2736" t="s">
        <v>4152</v>
      </c>
      <c r="C2736" t="s">
        <v>4153</v>
      </c>
      <c r="E2736">
        <v>0.8</v>
      </c>
      <c r="F2736" t="s">
        <v>546</v>
      </c>
      <c r="G2736" s="174">
        <v>45576.460914351854</v>
      </c>
    </row>
    <row r="2737" spans="1:7">
      <c r="A2737">
        <v>2761</v>
      </c>
      <c r="B2737" t="s">
        <v>4154</v>
      </c>
      <c r="C2737" t="s">
        <v>2958</v>
      </c>
      <c r="E2737">
        <v>0.01</v>
      </c>
      <c r="F2737" t="s">
        <v>546</v>
      </c>
      <c r="G2737" s="174">
        <v>45576.460914351854</v>
      </c>
    </row>
    <row r="2738" spans="1:7">
      <c r="A2738">
        <v>2762</v>
      </c>
      <c r="B2738" t="s">
        <v>1087</v>
      </c>
      <c r="C2738" t="s">
        <v>3935</v>
      </c>
      <c r="E2738">
        <v>0.01</v>
      </c>
      <c r="F2738" t="s">
        <v>546</v>
      </c>
      <c r="G2738" s="174">
        <v>45576.460914351854</v>
      </c>
    </row>
    <row r="2739" spans="1:7">
      <c r="A2739">
        <v>2763</v>
      </c>
      <c r="B2739" t="s">
        <v>4155</v>
      </c>
      <c r="C2739" t="s">
        <v>3935</v>
      </c>
      <c r="E2739">
        <v>0.01</v>
      </c>
      <c r="F2739" t="s">
        <v>546</v>
      </c>
      <c r="G2739" s="174">
        <v>45576.460914351854</v>
      </c>
    </row>
    <row r="2740" spans="1:7">
      <c r="A2740">
        <v>2764</v>
      </c>
      <c r="B2740" t="s">
        <v>4156</v>
      </c>
      <c r="C2740" t="s">
        <v>3540</v>
      </c>
      <c r="E2740">
        <v>0.01</v>
      </c>
      <c r="F2740" t="s">
        <v>546</v>
      </c>
      <c r="G2740" s="174">
        <v>45576.460914351854</v>
      </c>
    </row>
    <row r="2741" spans="1:7">
      <c r="A2741">
        <v>2765</v>
      </c>
      <c r="B2741" t="s">
        <v>4157</v>
      </c>
      <c r="C2741" t="s">
        <v>3100</v>
      </c>
      <c r="E2741">
        <v>0.01</v>
      </c>
      <c r="F2741" t="s">
        <v>546</v>
      </c>
      <c r="G2741" s="174">
        <v>45576.460914351854</v>
      </c>
    </row>
    <row r="2742" spans="1:7">
      <c r="A2742">
        <v>2766</v>
      </c>
      <c r="B2742" t="s">
        <v>4158</v>
      </c>
      <c r="C2742" t="s">
        <v>4159</v>
      </c>
      <c r="E2742">
        <v>0.01</v>
      </c>
      <c r="F2742" t="s">
        <v>546</v>
      </c>
      <c r="G2742" s="174">
        <v>45576.460914351854</v>
      </c>
    </row>
    <row r="2743" spans="1:7">
      <c r="A2743">
        <v>2767</v>
      </c>
      <c r="B2743" t="s">
        <v>4158</v>
      </c>
      <c r="C2743" t="s">
        <v>4160</v>
      </c>
      <c r="E2743">
        <v>0.01</v>
      </c>
      <c r="F2743" t="s">
        <v>546</v>
      </c>
      <c r="G2743" s="174">
        <v>45576.460914351854</v>
      </c>
    </row>
    <row r="2744" spans="1:7">
      <c r="A2744">
        <v>2768</v>
      </c>
      <c r="B2744" t="s">
        <v>4161</v>
      </c>
      <c r="C2744" t="s">
        <v>3501</v>
      </c>
      <c r="E2744">
        <v>0.01</v>
      </c>
      <c r="F2744" t="s">
        <v>546</v>
      </c>
      <c r="G2744" s="174">
        <v>45576.460914351854</v>
      </c>
    </row>
    <row r="2745" spans="1:7">
      <c r="A2745">
        <v>2769</v>
      </c>
      <c r="B2745" t="s">
        <v>4162</v>
      </c>
      <c r="C2745" t="s">
        <v>4054</v>
      </c>
      <c r="E2745">
        <v>0.01</v>
      </c>
      <c r="F2745" t="s">
        <v>546</v>
      </c>
      <c r="G2745" s="174">
        <v>45576.460914351854</v>
      </c>
    </row>
    <row r="2746" spans="1:7">
      <c r="A2746">
        <v>2770</v>
      </c>
      <c r="B2746" t="s">
        <v>4163</v>
      </c>
      <c r="C2746" t="s">
        <v>3087</v>
      </c>
      <c r="E2746">
        <v>0.01</v>
      </c>
      <c r="F2746" t="s">
        <v>546</v>
      </c>
      <c r="G2746" s="174">
        <v>45576.460914351854</v>
      </c>
    </row>
    <row r="2747" spans="1:7">
      <c r="A2747">
        <v>2771</v>
      </c>
      <c r="B2747" t="s">
        <v>4164</v>
      </c>
      <c r="C2747" t="s">
        <v>3155</v>
      </c>
      <c r="E2747">
        <v>0.01</v>
      </c>
      <c r="F2747" t="s">
        <v>546</v>
      </c>
      <c r="G2747" s="174">
        <v>45576.460914351854</v>
      </c>
    </row>
    <row r="2748" spans="1:7">
      <c r="A2748">
        <v>2772</v>
      </c>
      <c r="B2748" t="s">
        <v>4165</v>
      </c>
      <c r="C2748" t="s">
        <v>3971</v>
      </c>
      <c r="E2748">
        <v>0.01</v>
      </c>
      <c r="F2748" t="s">
        <v>546</v>
      </c>
      <c r="G2748" s="174">
        <v>45576.460914351854</v>
      </c>
    </row>
    <row r="2749" spans="1:7">
      <c r="A2749">
        <v>2773</v>
      </c>
      <c r="B2749" t="s">
        <v>4166</v>
      </c>
      <c r="C2749" t="s">
        <v>3543</v>
      </c>
      <c r="E2749">
        <v>0.01</v>
      </c>
      <c r="F2749" t="s">
        <v>546</v>
      </c>
      <c r="G2749" s="174">
        <v>45576.460914351854</v>
      </c>
    </row>
    <row r="2750" spans="1:7">
      <c r="A2750">
        <v>2774</v>
      </c>
      <c r="B2750" t="s">
        <v>4167</v>
      </c>
      <c r="C2750" t="s">
        <v>2886</v>
      </c>
      <c r="E2750">
        <v>0.1</v>
      </c>
      <c r="F2750" t="s">
        <v>546</v>
      </c>
      <c r="G2750" s="174">
        <v>45576.460914351854</v>
      </c>
    </row>
    <row r="2751" spans="1:7">
      <c r="A2751">
        <v>2775</v>
      </c>
      <c r="B2751" t="s">
        <v>4168</v>
      </c>
      <c r="C2751" t="s">
        <v>3127</v>
      </c>
      <c r="E2751">
        <v>0.1</v>
      </c>
      <c r="F2751" t="s">
        <v>546</v>
      </c>
      <c r="G2751" s="174">
        <v>45576.460914351854</v>
      </c>
    </row>
    <row r="2752" spans="1:7">
      <c r="A2752">
        <v>2776</v>
      </c>
      <c r="B2752" t="s">
        <v>4169</v>
      </c>
      <c r="C2752" t="s">
        <v>4170</v>
      </c>
      <c r="E2752">
        <v>0.1</v>
      </c>
      <c r="F2752" t="s">
        <v>546</v>
      </c>
      <c r="G2752" s="174">
        <v>45576.460914351854</v>
      </c>
    </row>
    <row r="2753" spans="1:7">
      <c r="A2753">
        <v>2777</v>
      </c>
      <c r="B2753" t="s">
        <v>4169</v>
      </c>
      <c r="C2753" t="s">
        <v>4171</v>
      </c>
      <c r="E2753">
        <v>0.1</v>
      </c>
      <c r="F2753" t="s">
        <v>546</v>
      </c>
      <c r="G2753" s="174">
        <v>45576.460914351854</v>
      </c>
    </row>
    <row r="2754" spans="1:7">
      <c r="A2754">
        <v>2778</v>
      </c>
      <c r="B2754" t="s">
        <v>4169</v>
      </c>
      <c r="C2754" t="s">
        <v>3143</v>
      </c>
      <c r="E2754">
        <v>0.01</v>
      </c>
      <c r="F2754" t="s">
        <v>546</v>
      </c>
      <c r="G2754" s="174">
        <v>45576.460914351854</v>
      </c>
    </row>
    <row r="2755" spans="1:7">
      <c r="A2755">
        <v>2779</v>
      </c>
      <c r="B2755" t="s">
        <v>4169</v>
      </c>
      <c r="C2755" t="s">
        <v>4172</v>
      </c>
      <c r="E2755">
        <v>0.01</v>
      </c>
      <c r="F2755" t="s">
        <v>546</v>
      </c>
      <c r="G2755" s="174">
        <v>45576.460914351854</v>
      </c>
    </row>
    <row r="2756" spans="1:7">
      <c r="A2756">
        <v>2780</v>
      </c>
      <c r="B2756" t="s">
        <v>4173</v>
      </c>
      <c r="C2756" t="s">
        <v>2986</v>
      </c>
      <c r="E2756">
        <v>0.01</v>
      </c>
      <c r="F2756" t="s">
        <v>546</v>
      </c>
      <c r="G2756" s="174">
        <v>45576.460914351854</v>
      </c>
    </row>
    <row r="2757" spans="1:7">
      <c r="A2757">
        <v>2782</v>
      </c>
      <c r="B2757" t="s">
        <v>4174</v>
      </c>
      <c r="C2757" t="s">
        <v>4175</v>
      </c>
      <c r="E2757">
        <v>0.6</v>
      </c>
      <c r="F2757" t="s">
        <v>546</v>
      </c>
      <c r="G2757" s="174">
        <v>45576.460914351854</v>
      </c>
    </row>
    <row r="2758" spans="1:7">
      <c r="A2758">
        <v>2783</v>
      </c>
      <c r="B2758" t="s">
        <v>4174</v>
      </c>
      <c r="C2758" t="s">
        <v>2923</v>
      </c>
      <c r="E2758">
        <v>0.8</v>
      </c>
      <c r="F2758" t="s">
        <v>546</v>
      </c>
      <c r="G2758" s="174">
        <v>45576.460914351854</v>
      </c>
    </row>
    <row r="2759" spans="1:7">
      <c r="A2759">
        <v>2784</v>
      </c>
      <c r="B2759" t="s">
        <v>4174</v>
      </c>
      <c r="C2759" t="s">
        <v>4176</v>
      </c>
      <c r="E2759">
        <v>0.01</v>
      </c>
      <c r="F2759" t="s">
        <v>546</v>
      </c>
      <c r="G2759" s="174">
        <v>45576.460914351854</v>
      </c>
    </row>
    <row r="2760" spans="1:7">
      <c r="A2760">
        <v>2785</v>
      </c>
      <c r="B2760" t="s">
        <v>4177</v>
      </c>
      <c r="C2760" t="s">
        <v>4178</v>
      </c>
      <c r="E2760">
        <v>0.01</v>
      </c>
      <c r="F2760" t="s">
        <v>546</v>
      </c>
      <c r="G2760" s="174">
        <v>45576.460914351854</v>
      </c>
    </row>
    <row r="2761" spans="1:7">
      <c r="A2761">
        <v>2786</v>
      </c>
      <c r="B2761" t="s">
        <v>4177</v>
      </c>
      <c r="C2761" t="s">
        <v>4179</v>
      </c>
      <c r="E2761">
        <v>0.1</v>
      </c>
      <c r="F2761" t="s">
        <v>546</v>
      </c>
      <c r="G2761" s="174">
        <v>45576.460914351854</v>
      </c>
    </row>
    <row r="2762" spans="1:7">
      <c r="A2762">
        <v>2787</v>
      </c>
      <c r="B2762" t="s">
        <v>4177</v>
      </c>
      <c r="C2762" t="s">
        <v>4180</v>
      </c>
      <c r="E2762">
        <v>0.01</v>
      </c>
      <c r="F2762" t="s">
        <v>546</v>
      </c>
      <c r="G2762" s="174">
        <v>45576.460914351854</v>
      </c>
    </row>
    <row r="2763" spans="1:7">
      <c r="A2763">
        <v>2788</v>
      </c>
      <c r="B2763" t="s">
        <v>4181</v>
      </c>
      <c r="C2763" t="s">
        <v>3023</v>
      </c>
      <c r="E2763">
        <v>0.01</v>
      </c>
      <c r="F2763" t="s">
        <v>546</v>
      </c>
      <c r="G2763" s="174">
        <v>45576.460914351854</v>
      </c>
    </row>
    <row r="2764" spans="1:7">
      <c r="A2764">
        <v>2789</v>
      </c>
      <c r="B2764" t="s">
        <v>1095</v>
      </c>
      <c r="C2764" t="s">
        <v>4182</v>
      </c>
      <c r="E2764">
        <v>0.01</v>
      </c>
      <c r="F2764" t="s">
        <v>546</v>
      </c>
      <c r="G2764" s="174">
        <v>45576.460914351854</v>
      </c>
    </row>
    <row r="2765" spans="1:7">
      <c r="A2765">
        <v>2790</v>
      </c>
      <c r="B2765" t="s">
        <v>4183</v>
      </c>
      <c r="C2765" t="s">
        <v>4184</v>
      </c>
      <c r="E2765">
        <v>0.01</v>
      </c>
      <c r="F2765" t="s">
        <v>546</v>
      </c>
      <c r="G2765" s="174">
        <v>45576.460914351854</v>
      </c>
    </row>
    <row r="2766" spans="1:7">
      <c r="A2766">
        <v>2791</v>
      </c>
      <c r="B2766" t="s">
        <v>4185</v>
      </c>
      <c r="C2766" t="s">
        <v>2983</v>
      </c>
      <c r="E2766">
        <v>0.01</v>
      </c>
      <c r="F2766" t="s">
        <v>546</v>
      </c>
      <c r="G2766" s="174">
        <v>45576.460914351854</v>
      </c>
    </row>
    <row r="2767" spans="1:7">
      <c r="A2767">
        <v>2792</v>
      </c>
      <c r="B2767" t="s">
        <v>4186</v>
      </c>
      <c r="C2767" t="s">
        <v>3821</v>
      </c>
      <c r="E2767">
        <v>0.01</v>
      </c>
      <c r="F2767" t="s">
        <v>546</v>
      </c>
      <c r="G2767" s="174">
        <v>45576.460914351854</v>
      </c>
    </row>
    <row r="2768" spans="1:7">
      <c r="A2768">
        <v>2793</v>
      </c>
      <c r="B2768" t="s">
        <v>4187</v>
      </c>
      <c r="C2768" t="s">
        <v>4188</v>
      </c>
      <c r="E2768">
        <v>0.01</v>
      </c>
      <c r="F2768" t="s">
        <v>546</v>
      </c>
      <c r="G2768" s="174">
        <v>45576.460914351854</v>
      </c>
    </row>
    <row r="2769" spans="1:7">
      <c r="A2769">
        <v>2794</v>
      </c>
      <c r="B2769" t="s">
        <v>4189</v>
      </c>
      <c r="C2769" t="s">
        <v>3775</v>
      </c>
      <c r="E2769">
        <v>0.8</v>
      </c>
      <c r="F2769" t="s">
        <v>546</v>
      </c>
      <c r="G2769" s="174">
        <v>45576.460914351854</v>
      </c>
    </row>
    <row r="2770" spans="1:7">
      <c r="A2770">
        <v>2795</v>
      </c>
      <c r="B2770" t="s">
        <v>4190</v>
      </c>
      <c r="C2770" t="s">
        <v>3392</v>
      </c>
      <c r="E2770">
        <v>0.8</v>
      </c>
      <c r="F2770" t="s">
        <v>546</v>
      </c>
      <c r="G2770" s="174">
        <v>45576.460914351854</v>
      </c>
    </row>
    <row r="2771" spans="1:7">
      <c r="A2771">
        <v>2796</v>
      </c>
      <c r="B2771" t="s">
        <v>4191</v>
      </c>
      <c r="C2771" t="s">
        <v>1065</v>
      </c>
      <c r="E2771">
        <v>0.01</v>
      </c>
      <c r="F2771" t="s">
        <v>546</v>
      </c>
      <c r="G2771" s="174">
        <v>45576.460914351854</v>
      </c>
    </row>
    <row r="2772" spans="1:7">
      <c r="A2772">
        <v>2797</v>
      </c>
      <c r="B2772" t="s">
        <v>4192</v>
      </c>
      <c r="C2772" t="s">
        <v>3790</v>
      </c>
      <c r="E2772">
        <v>0.01</v>
      </c>
      <c r="F2772" t="s">
        <v>546</v>
      </c>
      <c r="G2772" s="174">
        <v>45576.460914351854</v>
      </c>
    </row>
    <row r="2773" spans="1:7">
      <c r="A2773">
        <v>2798</v>
      </c>
      <c r="B2773" t="s">
        <v>4192</v>
      </c>
      <c r="C2773" t="s">
        <v>2810</v>
      </c>
      <c r="E2773">
        <v>0.01</v>
      </c>
      <c r="F2773" t="s">
        <v>546</v>
      </c>
      <c r="G2773" s="174">
        <v>45576.460914351854</v>
      </c>
    </row>
    <row r="2774" spans="1:7">
      <c r="A2774">
        <v>2799</v>
      </c>
      <c r="B2774" t="s">
        <v>4193</v>
      </c>
      <c r="C2774" t="s">
        <v>4194</v>
      </c>
      <c r="E2774">
        <v>0.01</v>
      </c>
      <c r="F2774" t="s">
        <v>546</v>
      </c>
      <c r="G2774" s="174">
        <v>45576.460914351854</v>
      </c>
    </row>
    <row r="2775" spans="1:7">
      <c r="A2775">
        <v>2800</v>
      </c>
      <c r="B2775" t="s">
        <v>4193</v>
      </c>
      <c r="C2775" t="s">
        <v>3319</v>
      </c>
      <c r="E2775">
        <v>0.01</v>
      </c>
      <c r="F2775" t="s">
        <v>546</v>
      </c>
      <c r="G2775" s="174">
        <v>45576.460914351854</v>
      </c>
    </row>
    <row r="2776" spans="1:7">
      <c r="A2776">
        <v>2801</v>
      </c>
      <c r="B2776" t="s">
        <v>1098</v>
      </c>
      <c r="C2776" t="s">
        <v>4195</v>
      </c>
      <c r="E2776">
        <v>0.8</v>
      </c>
      <c r="F2776" t="s">
        <v>546</v>
      </c>
      <c r="G2776" s="174">
        <v>45576.460914351854</v>
      </c>
    </row>
    <row r="2777" spans="1:7">
      <c r="A2777">
        <v>2802</v>
      </c>
      <c r="B2777" t="s">
        <v>4196</v>
      </c>
      <c r="C2777" t="s">
        <v>2826</v>
      </c>
      <c r="E2777">
        <v>0.01</v>
      </c>
      <c r="F2777" t="s">
        <v>546</v>
      </c>
      <c r="G2777" s="174">
        <v>45576.460914351854</v>
      </c>
    </row>
    <row r="2778" spans="1:7">
      <c r="A2778">
        <v>2803</v>
      </c>
      <c r="B2778" t="s">
        <v>1100</v>
      </c>
      <c r="C2778" t="s">
        <v>2994</v>
      </c>
      <c r="E2778">
        <v>0.01</v>
      </c>
      <c r="F2778" t="s">
        <v>546</v>
      </c>
      <c r="G2778" s="174">
        <v>45576.460914351854</v>
      </c>
    </row>
    <row r="2779" spans="1:7">
      <c r="A2779">
        <v>2804</v>
      </c>
      <c r="B2779" t="s">
        <v>1100</v>
      </c>
      <c r="C2779" t="s">
        <v>2823</v>
      </c>
      <c r="E2779">
        <v>0.01</v>
      </c>
      <c r="F2779" t="s">
        <v>546</v>
      </c>
      <c r="G2779" s="174">
        <v>45576.460914351854</v>
      </c>
    </row>
    <row r="2780" spans="1:7">
      <c r="A2780">
        <v>2805</v>
      </c>
      <c r="B2780" t="s">
        <v>4197</v>
      </c>
      <c r="C2780" t="s">
        <v>3621</v>
      </c>
      <c r="E2780">
        <v>0.01</v>
      </c>
      <c r="F2780" t="s">
        <v>546</v>
      </c>
      <c r="G2780" s="174">
        <v>45576.460914351854</v>
      </c>
    </row>
    <row r="2781" spans="1:7">
      <c r="A2781">
        <v>2806</v>
      </c>
      <c r="B2781" t="s">
        <v>4198</v>
      </c>
      <c r="C2781" t="s">
        <v>3020</v>
      </c>
      <c r="E2781">
        <v>0.01</v>
      </c>
      <c r="F2781" t="s">
        <v>546</v>
      </c>
      <c r="G2781" s="174">
        <v>45576.460914351854</v>
      </c>
    </row>
    <row r="2782" spans="1:7">
      <c r="A2782">
        <v>2807</v>
      </c>
      <c r="B2782" t="s">
        <v>1102</v>
      </c>
      <c r="C2782" t="s">
        <v>3254</v>
      </c>
      <c r="E2782">
        <v>0.1</v>
      </c>
      <c r="F2782" t="s">
        <v>546</v>
      </c>
      <c r="G2782" s="174">
        <v>45576.460914351854</v>
      </c>
    </row>
    <row r="2783" spans="1:7">
      <c r="A2783">
        <v>2808</v>
      </c>
      <c r="B2783" t="s">
        <v>1102</v>
      </c>
      <c r="C2783" t="s">
        <v>2886</v>
      </c>
      <c r="E2783">
        <v>0.01</v>
      </c>
      <c r="F2783" t="s">
        <v>546</v>
      </c>
      <c r="G2783" s="174">
        <v>45576.460914351854</v>
      </c>
    </row>
    <row r="2784" spans="1:7">
      <c r="A2784">
        <v>2809</v>
      </c>
      <c r="B2784" t="s">
        <v>4199</v>
      </c>
      <c r="C2784" t="s">
        <v>3775</v>
      </c>
      <c r="E2784">
        <v>0.1</v>
      </c>
      <c r="F2784" t="s">
        <v>546</v>
      </c>
      <c r="G2784" s="174">
        <v>45576.460914351854</v>
      </c>
    </row>
    <row r="2785" spans="1:7">
      <c r="A2785">
        <v>2810</v>
      </c>
      <c r="B2785" t="s">
        <v>4200</v>
      </c>
      <c r="C2785" t="s">
        <v>4201</v>
      </c>
      <c r="E2785">
        <v>0.01</v>
      </c>
      <c r="F2785" t="s">
        <v>546</v>
      </c>
      <c r="G2785" s="174">
        <v>45576.460914351854</v>
      </c>
    </row>
    <row r="2786" spans="1:7">
      <c r="A2786">
        <v>2811</v>
      </c>
      <c r="B2786" t="s">
        <v>4202</v>
      </c>
      <c r="C2786" t="s">
        <v>4203</v>
      </c>
      <c r="E2786">
        <v>0.01</v>
      </c>
      <c r="F2786" t="s">
        <v>546</v>
      </c>
      <c r="G2786" s="174">
        <v>45576.460914351854</v>
      </c>
    </row>
    <row r="2787" spans="1:7">
      <c r="A2787">
        <v>2812</v>
      </c>
      <c r="B2787" t="s">
        <v>4202</v>
      </c>
      <c r="C2787" t="s">
        <v>4204</v>
      </c>
      <c r="E2787">
        <v>0.01</v>
      </c>
      <c r="F2787" t="s">
        <v>546</v>
      </c>
      <c r="G2787" s="174">
        <v>45576.460914351854</v>
      </c>
    </row>
    <row r="2788" spans="1:7">
      <c r="A2788">
        <v>2813</v>
      </c>
      <c r="B2788" t="s">
        <v>4205</v>
      </c>
      <c r="C2788" t="s">
        <v>4206</v>
      </c>
      <c r="E2788">
        <v>0.8</v>
      </c>
      <c r="F2788" t="s">
        <v>546</v>
      </c>
      <c r="G2788" s="174">
        <v>45576.460914351854</v>
      </c>
    </row>
    <row r="2789" spans="1:7">
      <c r="A2789">
        <v>2814</v>
      </c>
      <c r="B2789" t="s">
        <v>4207</v>
      </c>
      <c r="C2789" t="s">
        <v>3062</v>
      </c>
      <c r="E2789">
        <v>0.01</v>
      </c>
      <c r="F2789" t="s">
        <v>546</v>
      </c>
      <c r="G2789" s="174">
        <v>45576.460914351854</v>
      </c>
    </row>
    <row r="2790" spans="1:7">
      <c r="A2790">
        <v>2815</v>
      </c>
      <c r="B2790" t="s">
        <v>4208</v>
      </c>
      <c r="C2790" t="s">
        <v>2766</v>
      </c>
      <c r="E2790">
        <v>0.01</v>
      </c>
      <c r="F2790" t="s">
        <v>546</v>
      </c>
      <c r="G2790" s="174">
        <v>45576.460914351854</v>
      </c>
    </row>
    <row r="2791" spans="1:7">
      <c r="A2791">
        <v>2816</v>
      </c>
      <c r="B2791" t="s">
        <v>4209</v>
      </c>
      <c r="C2791" t="s">
        <v>4210</v>
      </c>
      <c r="E2791">
        <v>0.1</v>
      </c>
      <c r="F2791" t="s">
        <v>546</v>
      </c>
      <c r="G2791" s="174">
        <v>45576.460914351854</v>
      </c>
    </row>
    <row r="2792" spans="1:7">
      <c r="A2792">
        <v>2817</v>
      </c>
      <c r="B2792" t="s">
        <v>4209</v>
      </c>
      <c r="C2792" t="s">
        <v>4211</v>
      </c>
      <c r="E2792">
        <v>0.05</v>
      </c>
      <c r="F2792" t="s">
        <v>546</v>
      </c>
      <c r="G2792" s="174">
        <v>45576.460914351854</v>
      </c>
    </row>
    <row r="2793" spans="1:7">
      <c r="A2793">
        <v>2818</v>
      </c>
      <c r="B2793" t="s">
        <v>1105</v>
      </c>
      <c r="C2793" t="s">
        <v>4212</v>
      </c>
      <c r="E2793">
        <v>0.05</v>
      </c>
      <c r="F2793" t="s">
        <v>546</v>
      </c>
      <c r="G2793" s="174">
        <v>45576.460914351854</v>
      </c>
    </row>
    <row r="2794" spans="1:7">
      <c r="A2794">
        <v>2819</v>
      </c>
      <c r="B2794" t="s">
        <v>4213</v>
      </c>
      <c r="C2794" t="s">
        <v>4214</v>
      </c>
      <c r="E2794">
        <v>0.01</v>
      </c>
      <c r="F2794" t="s">
        <v>546</v>
      </c>
      <c r="G2794" s="174">
        <v>45576.460914351854</v>
      </c>
    </row>
    <row r="2795" spans="1:7">
      <c r="A2795">
        <v>2820</v>
      </c>
      <c r="B2795" t="s">
        <v>4213</v>
      </c>
      <c r="C2795" t="s">
        <v>4215</v>
      </c>
      <c r="E2795">
        <v>0.1</v>
      </c>
      <c r="F2795" t="s">
        <v>546</v>
      </c>
      <c r="G2795" s="174">
        <v>45576.460914351854</v>
      </c>
    </row>
    <row r="2796" spans="1:7">
      <c r="A2796">
        <v>2821</v>
      </c>
      <c r="B2796" t="s">
        <v>4213</v>
      </c>
      <c r="C2796" t="s">
        <v>4216</v>
      </c>
      <c r="E2796">
        <v>0.01</v>
      </c>
      <c r="F2796" t="s">
        <v>546</v>
      </c>
      <c r="G2796" s="174">
        <v>45576.460914351854</v>
      </c>
    </row>
    <row r="2797" spans="1:7">
      <c r="A2797">
        <v>2822</v>
      </c>
      <c r="B2797" t="s">
        <v>4217</v>
      </c>
      <c r="C2797" t="s">
        <v>2846</v>
      </c>
      <c r="E2797">
        <v>0.01</v>
      </c>
      <c r="F2797" t="s">
        <v>546</v>
      </c>
      <c r="G2797" s="174">
        <v>45576.460914351854</v>
      </c>
    </row>
    <row r="2798" spans="1:7">
      <c r="A2798">
        <v>2823</v>
      </c>
      <c r="B2798" t="s">
        <v>4218</v>
      </c>
      <c r="C2798" t="s">
        <v>3052</v>
      </c>
      <c r="E2798">
        <v>0.01</v>
      </c>
      <c r="F2798" t="s">
        <v>546</v>
      </c>
      <c r="G2798" s="174">
        <v>45576.460914351854</v>
      </c>
    </row>
    <row r="2799" spans="1:7">
      <c r="A2799">
        <v>2824</v>
      </c>
      <c r="B2799" t="s">
        <v>4219</v>
      </c>
      <c r="C2799" t="s">
        <v>4220</v>
      </c>
      <c r="E2799">
        <v>0.8</v>
      </c>
      <c r="F2799" t="s">
        <v>4221</v>
      </c>
      <c r="G2799" s="174">
        <v>45576.460914351854</v>
      </c>
    </row>
    <row r="2800" spans="1:7">
      <c r="A2800">
        <v>2825</v>
      </c>
      <c r="B2800" t="s">
        <v>4219</v>
      </c>
      <c r="C2800" t="s">
        <v>4222</v>
      </c>
      <c r="E2800">
        <v>0.7</v>
      </c>
      <c r="F2800" t="s">
        <v>4223</v>
      </c>
      <c r="G2800" s="174">
        <v>45576.460914351854</v>
      </c>
    </row>
    <row r="2801" spans="1:7">
      <c r="A2801">
        <v>2826</v>
      </c>
      <c r="B2801" t="s">
        <v>4219</v>
      </c>
      <c r="C2801" t="s">
        <v>3569</v>
      </c>
      <c r="E2801">
        <v>0.6</v>
      </c>
      <c r="F2801" t="s">
        <v>4224</v>
      </c>
      <c r="G2801" s="174">
        <v>45576.460914351854</v>
      </c>
    </row>
    <row r="2802" spans="1:7">
      <c r="A2802">
        <v>2827</v>
      </c>
      <c r="B2802" t="s">
        <v>4225</v>
      </c>
      <c r="C2802" t="s">
        <v>1065</v>
      </c>
      <c r="E2802">
        <v>0.01</v>
      </c>
      <c r="F2802" t="s">
        <v>546</v>
      </c>
      <c r="G2802" s="174">
        <v>45576.460914351854</v>
      </c>
    </row>
    <row r="2803" spans="1:7">
      <c r="A2803">
        <v>2828</v>
      </c>
      <c r="B2803" t="s">
        <v>4226</v>
      </c>
      <c r="C2803" t="s">
        <v>4227</v>
      </c>
      <c r="E2803">
        <v>0.01</v>
      </c>
      <c r="F2803" t="s">
        <v>546</v>
      </c>
      <c r="G2803" s="174">
        <v>45576.460914351854</v>
      </c>
    </row>
    <row r="2804" spans="1:7">
      <c r="A2804">
        <v>2829</v>
      </c>
      <c r="B2804" t="s">
        <v>4226</v>
      </c>
      <c r="C2804" t="s">
        <v>3676</v>
      </c>
      <c r="E2804">
        <v>0.01</v>
      </c>
      <c r="F2804" t="s">
        <v>546</v>
      </c>
      <c r="G2804" s="174">
        <v>45576.460914351854</v>
      </c>
    </row>
    <row r="2805" spans="1:7">
      <c r="A2805">
        <v>2830</v>
      </c>
      <c r="B2805" t="s">
        <v>4228</v>
      </c>
      <c r="C2805" t="s">
        <v>2868</v>
      </c>
      <c r="E2805">
        <v>0.01</v>
      </c>
      <c r="F2805" t="s">
        <v>546</v>
      </c>
      <c r="G2805" s="174">
        <v>45576.460914351854</v>
      </c>
    </row>
    <row r="2806" spans="1:7">
      <c r="A2806">
        <v>2831</v>
      </c>
      <c r="B2806" t="s">
        <v>1109</v>
      </c>
      <c r="C2806" t="s">
        <v>3895</v>
      </c>
      <c r="E2806">
        <v>0.01</v>
      </c>
      <c r="F2806" t="s">
        <v>546</v>
      </c>
      <c r="G2806" s="174">
        <v>45576.460914351854</v>
      </c>
    </row>
    <row r="2807" spans="1:7">
      <c r="A2807">
        <v>2832</v>
      </c>
      <c r="B2807" t="s">
        <v>4229</v>
      </c>
      <c r="C2807" t="s">
        <v>2911</v>
      </c>
      <c r="E2807">
        <v>0.01</v>
      </c>
      <c r="F2807" t="s">
        <v>546</v>
      </c>
      <c r="G2807" s="174">
        <v>45576.460914351854</v>
      </c>
    </row>
    <row r="2808" spans="1:7">
      <c r="A2808">
        <v>2833</v>
      </c>
      <c r="B2808" t="s">
        <v>4230</v>
      </c>
      <c r="C2808" t="s">
        <v>2962</v>
      </c>
      <c r="E2808">
        <v>0.01</v>
      </c>
      <c r="F2808" t="s">
        <v>546</v>
      </c>
      <c r="G2808" s="174">
        <v>45576.460914351854</v>
      </c>
    </row>
    <row r="2809" spans="1:7">
      <c r="A2809">
        <v>2834</v>
      </c>
      <c r="B2809" t="s">
        <v>4231</v>
      </c>
      <c r="C2809" t="s">
        <v>4232</v>
      </c>
      <c r="E2809">
        <v>0.8</v>
      </c>
      <c r="F2809" t="s">
        <v>546</v>
      </c>
      <c r="G2809" s="174">
        <v>45576.460914351854</v>
      </c>
    </row>
    <row r="2810" spans="1:7">
      <c r="A2810">
        <v>2835</v>
      </c>
      <c r="B2810" t="s">
        <v>4231</v>
      </c>
      <c r="C2810" t="s">
        <v>4233</v>
      </c>
      <c r="E2810">
        <v>0.01</v>
      </c>
      <c r="F2810" t="s">
        <v>546</v>
      </c>
      <c r="G2810" s="174">
        <v>45576.460914351854</v>
      </c>
    </row>
    <row r="2811" spans="1:7">
      <c r="A2811">
        <v>2836</v>
      </c>
      <c r="B2811" t="s">
        <v>4231</v>
      </c>
      <c r="C2811" t="s">
        <v>3381</v>
      </c>
      <c r="E2811">
        <v>0.6</v>
      </c>
      <c r="F2811" t="s">
        <v>546</v>
      </c>
      <c r="G2811" s="174">
        <v>45576.460914351854</v>
      </c>
    </row>
    <row r="2812" spans="1:7">
      <c r="A2812">
        <v>2837</v>
      </c>
      <c r="B2812" t="s">
        <v>1112</v>
      </c>
      <c r="C2812" t="s">
        <v>2976</v>
      </c>
      <c r="E2812">
        <v>0.05</v>
      </c>
      <c r="F2812" t="s">
        <v>546</v>
      </c>
      <c r="G2812" s="174">
        <v>45576.460914351854</v>
      </c>
    </row>
    <row r="2813" spans="1:7">
      <c r="A2813">
        <v>2838</v>
      </c>
      <c r="B2813" t="s">
        <v>4234</v>
      </c>
      <c r="C2813" t="s">
        <v>2831</v>
      </c>
      <c r="E2813">
        <v>0.01</v>
      </c>
      <c r="F2813" t="s">
        <v>546</v>
      </c>
      <c r="G2813" s="174">
        <v>45576.460914351854</v>
      </c>
    </row>
    <row r="2814" spans="1:7">
      <c r="A2814">
        <v>2839</v>
      </c>
      <c r="B2814" t="s">
        <v>4235</v>
      </c>
      <c r="C2814" t="s">
        <v>2875</v>
      </c>
      <c r="E2814">
        <v>0.01</v>
      </c>
      <c r="F2814" t="s">
        <v>546</v>
      </c>
      <c r="G2814" s="174">
        <v>45576.460914351854</v>
      </c>
    </row>
    <row r="2815" spans="1:7">
      <c r="A2815">
        <v>2840</v>
      </c>
      <c r="B2815" t="s">
        <v>4235</v>
      </c>
      <c r="C2815" t="s">
        <v>3738</v>
      </c>
      <c r="E2815">
        <v>0.01</v>
      </c>
      <c r="F2815" t="s">
        <v>546</v>
      </c>
      <c r="G2815" s="174">
        <v>45576.460914351854</v>
      </c>
    </row>
    <row r="2816" spans="1:7">
      <c r="A2816">
        <v>2841</v>
      </c>
      <c r="B2816" t="s">
        <v>4236</v>
      </c>
      <c r="C2816" t="s">
        <v>4237</v>
      </c>
      <c r="E2816">
        <v>0.01</v>
      </c>
      <c r="F2816" t="s">
        <v>546</v>
      </c>
      <c r="G2816" s="174">
        <v>45576.460914351854</v>
      </c>
    </row>
    <row r="2817" spans="1:7">
      <c r="A2817">
        <v>2842</v>
      </c>
      <c r="B2817" t="s">
        <v>1114</v>
      </c>
      <c r="C2817" t="s">
        <v>3005</v>
      </c>
      <c r="E2817">
        <v>0.01</v>
      </c>
      <c r="F2817" t="s">
        <v>546</v>
      </c>
      <c r="G2817" s="174">
        <v>45576.460914351854</v>
      </c>
    </row>
    <row r="2818" spans="1:7">
      <c r="A2818">
        <v>2843</v>
      </c>
      <c r="B2818" t="s">
        <v>4238</v>
      </c>
      <c r="C2818" t="s">
        <v>3524</v>
      </c>
      <c r="E2818">
        <v>0.01</v>
      </c>
      <c r="F2818" t="s">
        <v>546</v>
      </c>
      <c r="G2818" s="174">
        <v>45576.460914351854</v>
      </c>
    </row>
    <row r="2819" spans="1:7">
      <c r="A2819">
        <v>2844</v>
      </c>
      <c r="B2819" t="s">
        <v>4239</v>
      </c>
      <c r="C2819" t="s">
        <v>4240</v>
      </c>
      <c r="E2819">
        <v>0.1</v>
      </c>
      <c r="F2819" t="s">
        <v>546</v>
      </c>
      <c r="G2819" s="174">
        <v>45576.460914351854</v>
      </c>
    </row>
    <row r="2820" spans="1:7">
      <c r="A2820">
        <v>2845</v>
      </c>
      <c r="B2820" t="s">
        <v>1115</v>
      </c>
      <c r="C2820" t="s">
        <v>4241</v>
      </c>
      <c r="E2820">
        <v>0.6</v>
      </c>
      <c r="F2820" t="s">
        <v>546</v>
      </c>
      <c r="G2820" s="174">
        <v>45576.460914351854</v>
      </c>
    </row>
    <row r="2821" spans="1:7">
      <c r="A2821">
        <v>2846</v>
      </c>
      <c r="B2821" t="s">
        <v>4242</v>
      </c>
      <c r="C2821" t="s">
        <v>4243</v>
      </c>
      <c r="E2821">
        <v>0.01</v>
      </c>
      <c r="F2821" t="s">
        <v>546</v>
      </c>
      <c r="G2821" s="174">
        <v>45576.460914351854</v>
      </c>
    </row>
    <row r="2822" spans="1:7">
      <c r="A2822">
        <v>2847</v>
      </c>
      <c r="B2822" t="s">
        <v>1119</v>
      </c>
      <c r="C2822" t="s">
        <v>4244</v>
      </c>
      <c r="E2822">
        <v>0.8</v>
      </c>
      <c r="F2822" t="s">
        <v>546</v>
      </c>
      <c r="G2822" s="174">
        <v>45576.460914351854</v>
      </c>
    </row>
    <row r="2823" spans="1:7">
      <c r="A2823">
        <v>2848</v>
      </c>
      <c r="B2823" t="s">
        <v>4245</v>
      </c>
      <c r="C2823" t="s">
        <v>4246</v>
      </c>
      <c r="E2823">
        <v>0.7</v>
      </c>
      <c r="F2823" t="s">
        <v>546</v>
      </c>
      <c r="G2823" s="174">
        <v>45576.460914351854</v>
      </c>
    </row>
    <row r="2824" spans="1:7">
      <c r="A2824">
        <v>2849</v>
      </c>
      <c r="B2824" t="s">
        <v>4247</v>
      </c>
      <c r="C2824" t="s">
        <v>2940</v>
      </c>
      <c r="E2824">
        <v>0.01</v>
      </c>
      <c r="F2824" t="s">
        <v>546</v>
      </c>
      <c r="G2824" s="174">
        <v>45576.460914351854</v>
      </c>
    </row>
    <row r="2825" spans="1:7">
      <c r="A2825">
        <v>2850</v>
      </c>
      <c r="B2825" t="s">
        <v>4248</v>
      </c>
      <c r="C2825" t="s">
        <v>3018</v>
      </c>
      <c r="E2825">
        <v>0.01</v>
      </c>
      <c r="F2825" t="s">
        <v>546</v>
      </c>
      <c r="G2825" s="174">
        <v>45576.460914351854</v>
      </c>
    </row>
    <row r="2826" spans="1:7">
      <c r="A2826">
        <v>2851</v>
      </c>
      <c r="B2826" t="s">
        <v>1122</v>
      </c>
      <c r="C2826" t="s">
        <v>4249</v>
      </c>
      <c r="E2826">
        <v>0.01</v>
      </c>
      <c r="F2826" t="s">
        <v>546</v>
      </c>
      <c r="G2826" s="174">
        <v>45576.460914351854</v>
      </c>
    </row>
    <row r="2827" spans="1:7">
      <c r="A2827">
        <v>2852</v>
      </c>
      <c r="B2827" t="s">
        <v>4250</v>
      </c>
      <c r="C2827" t="s">
        <v>3998</v>
      </c>
      <c r="E2827">
        <v>0.01</v>
      </c>
      <c r="F2827" t="s">
        <v>546</v>
      </c>
      <c r="G2827" s="174">
        <v>45576.460914351854</v>
      </c>
    </row>
    <row r="2828" spans="1:7">
      <c r="A2828">
        <v>2853</v>
      </c>
      <c r="B2828" t="s">
        <v>4251</v>
      </c>
      <c r="C2828" t="s">
        <v>2894</v>
      </c>
      <c r="E2828">
        <v>0.01</v>
      </c>
      <c r="F2828" t="s">
        <v>546</v>
      </c>
      <c r="G2828" s="174">
        <v>45576.460914351854</v>
      </c>
    </row>
    <row r="2829" spans="1:7">
      <c r="A2829">
        <v>2854</v>
      </c>
      <c r="B2829" t="s">
        <v>4252</v>
      </c>
      <c r="C2829" t="s">
        <v>4253</v>
      </c>
      <c r="E2829">
        <v>0.01</v>
      </c>
      <c r="F2829" t="s">
        <v>546</v>
      </c>
      <c r="G2829" s="174">
        <v>45576.460914351854</v>
      </c>
    </row>
    <row r="2830" spans="1:7">
      <c r="A2830">
        <v>2855</v>
      </c>
      <c r="B2830" t="s">
        <v>4252</v>
      </c>
      <c r="C2830" t="s">
        <v>4254</v>
      </c>
      <c r="E2830">
        <v>0.01</v>
      </c>
      <c r="F2830" t="s">
        <v>546</v>
      </c>
      <c r="G2830" s="174">
        <v>45576.460914351854</v>
      </c>
    </row>
    <row r="2831" spans="1:7">
      <c r="A2831">
        <v>2856</v>
      </c>
      <c r="B2831" t="s">
        <v>4252</v>
      </c>
      <c r="C2831" t="s">
        <v>4255</v>
      </c>
      <c r="E2831">
        <v>0.01</v>
      </c>
      <c r="F2831" t="s">
        <v>546</v>
      </c>
      <c r="G2831" s="174">
        <v>45576.460914351854</v>
      </c>
    </row>
    <row r="2832" spans="1:7">
      <c r="A2832">
        <v>2857</v>
      </c>
      <c r="B2832" t="s">
        <v>4252</v>
      </c>
      <c r="C2832" t="s">
        <v>4256</v>
      </c>
      <c r="E2832">
        <v>0.8</v>
      </c>
      <c r="F2832" t="s">
        <v>546</v>
      </c>
      <c r="G2832" s="174">
        <v>45576.460914351854</v>
      </c>
    </row>
    <row r="2833" spans="1:7">
      <c r="A2833">
        <v>2858</v>
      </c>
      <c r="B2833" t="s">
        <v>4252</v>
      </c>
      <c r="C2833" t="s">
        <v>4257</v>
      </c>
      <c r="E2833">
        <v>0.6</v>
      </c>
      <c r="F2833" t="s">
        <v>546</v>
      </c>
      <c r="G2833" s="174">
        <v>45576.460914351854</v>
      </c>
    </row>
    <row r="2834" spans="1:7">
      <c r="A2834">
        <v>2859</v>
      </c>
      <c r="B2834" t="s">
        <v>4252</v>
      </c>
      <c r="C2834" t="s">
        <v>4258</v>
      </c>
      <c r="E2834">
        <v>0.6</v>
      </c>
      <c r="F2834" t="s">
        <v>546</v>
      </c>
      <c r="G2834" s="174">
        <v>45576.460914351854</v>
      </c>
    </row>
    <row r="2835" spans="1:7">
      <c r="A2835">
        <v>2860</v>
      </c>
      <c r="B2835" t="s">
        <v>4252</v>
      </c>
      <c r="C2835" t="s">
        <v>4259</v>
      </c>
      <c r="E2835">
        <v>0.01</v>
      </c>
      <c r="F2835" t="s">
        <v>546</v>
      </c>
      <c r="G2835" s="174">
        <v>45576.460914351854</v>
      </c>
    </row>
    <row r="2836" spans="1:7">
      <c r="A2836">
        <v>2861</v>
      </c>
      <c r="B2836" t="s">
        <v>4252</v>
      </c>
      <c r="C2836" t="s">
        <v>4260</v>
      </c>
      <c r="E2836">
        <v>0.5</v>
      </c>
      <c r="F2836" t="s">
        <v>4261</v>
      </c>
      <c r="G2836" s="174">
        <v>45576.460914351854</v>
      </c>
    </row>
    <row r="2837" spans="1:7">
      <c r="A2837">
        <v>2863</v>
      </c>
      <c r="B2837" t="s">
        <v>4262</v>
      </c>
      <c r="C2837" t="s">
        <v>4263</v>
      </c>
      <c r="E2837">
        <v>0.01</v>
      </c>
      <c r="F2837" t="s">
        <v>546</v>
      </c>
      <c r="G2837" s="174">
        <v>45576.460914351854</v>
      </c>
    </row>
    <row r="2838" spans="1:7">
      <c r="A2838">
        <v>2864</v>
      </c>
      <c r="B2838" t="s">
        <v>4262</v>
      </c>
      <c r="C2838" t="s">
        <v>2972</v>
      </c>
      <c r="E2838">
        <v>0.05</v>
      </c>
      <c r="F2838" t="s">
        <v>546</v>
      </c>
      <c r="G2838" s="174">
        <v>45576.460914351854</v>
      </c>
    </row>
    <row r="2839" spans="1:7">
      <c r="A2839">
        <v>2865</v>
      </c>
      <c r="B2839" t="s">
        <v>4262</v>
      </c>
      <c r="C2839" t="s">
        <v>2992</v>
      </c>
      <c r="E2839">
        <v>0.06</v>
      </c>
      <c r="F2839" t="s">
        <v>546</v>
      </c>
      <c r="G2839" s="174">
        <v>45576.460914351854</v>
      </c>
    </row>
    <row r="2840" spans="1:7">
      <c r="A2840">
        <v>2866</v>
      </c>
      <c r="B2840" t="s">
        <v>4264</v>
      </c>
      <c r="C2840" t="s">
        <v>3003</v>
      </c>
      <c r="E2840">
        <v>0.01</v>
      </c>
      <c r="F2840" t="s">
        <v>546</v>
      </c>
      <c r="G2840" s="174">
        <v>45576.460914351854</v>
      </c>
    </row>
    <row r="2841" spans="1:7">
      <c r="A2841">
        <v>2867</v>
      </c>
      <c r="B2841" t="s">
        <v>4265</v>
      </c>
      <c r="C2841" t="s">
        <v>3103</v>
      </c>
      <c r="E2841">
        <v>0.01</v>
      </c>
      <c r="F2841" t="s">
        <v>546</v>
      </c>
      <c r="G2841" s="174">
        <v>45576.460914351854</v>
      </c>
    </row>
    <row r="2842" spans="1:7">
      <c r="A2842">
        <v>2868</v>
      </c>
      <c r="B2842" t="s">
        <v>1125</v>
      </c>
      <c r="C2842" t="s">
        <v>3911</v>
      </c>
      <c r="E2842">
        <v>0.05</v>
      </c>
      <c r="F2842" t="s">
        <v>546</v>
      </c>
      <c r="G2842" s="174">
        <v>45576.460914351854</v>
      </c>
    </row>
    <row r="2843" spans="1:7">
      <c r="A2843">
        <v>2869</v>
      </c>
      <c r="B2843" t="s">
        <v>4266</v>
      </c>
      <c r="C2843" t="s">
        <v>4135</v>
      </c>
      <c r="E2843">
        <v>0.01</v>
      </c>
      <c r="F2843" t="s">
        <v>546</v>
      </c>
      <c r="G2843" s="174">
        <v>45576.460914351854</v>
      </c>
    </row>
    <row r="2844" spans="1:7">
      <c r="A2844">
        <v>2870</v>
      </c>
      <c r="B2844" t="s">
        <v>4266</v>
      </c>
      <c r="C2844" t="s">
        <v>4267</v>
      </c>
      <c r="E2844">
        <v>0.01</v>
      </c>
      <c r="F2844" t="s">
        <v>546</v>
      </c>
      <c r="G2844" s="174">
        <v>45576.460914351854</v>
      </c>
    </row>
    <row r="2845" spans="1:7">
      <c r="A2845">
        <v>2871</v>
      </c>
      <c r="B2845" t="s">
        <v>4268</v>
      </c>
      <c r="C2845" t="s">
        <v>3029</v>
      </c>
      <c r="E2845">
        <v>0.1</v>
      </c>
      <c r="F2845" t="s">
        <v>546</v>
      </c>
      <c r="G2845" s="174">
        <v>45576.460914351854</v>
      </c>
    </row>
    <row r="2846" spans="1:7">
      <c r="A2846">
        <v>2872</v>
      </c>
      <c r="B2846" t="s">
        <v>4269</v>
      </c>
      <c r="C2846" t="s">
        <v>2877</v>
      </c>
      <c r="E2846">
        <v>0.6</v>
      </c>
      <c r="F2846" t="s">
        <v>546</v>
      </c>
      <c r="G2846" s="174">
        <v>45576.460914351854</v>
      </c>
    </row>
    <row r="2847" spans="1:7">
      <c r="A2847">
        <v>2873</v>
      </c>
      <c r="B2847" t="s">
        <v>4269</v>
      </c>
      <c r="C2847" t="s">
        <v>2871</v>
      </c>
      <c r="E2847">
        <v>0.8</v>
      </c>
      <c r="F2847" t="s">
        <v>546</v>
      </c>
      <c r="G2847" s="174">
        <v>45576.460914351854</v>
      </c>
    </row>
    <row r="2848" spans="1:7">
      <c r="A2848">
        <v>2874</v>
      </c>
      <c r="B2848" t="s">
        <v>4270</v>
      </c>
      <c r="C2848" t="s">
        <v>4271</v>
      </c>
      <c r="E2848">
        <v>0.01</v>
      </c>
      <c r="F2848" t="s">
        <v>546</v>
      </c>
      <c r="G2848" s="174">
        <v>45576.460914351854</v>
      </c>
    </row>
    <row r="2849" spans="1:7">
      <c r="A2849">
        <v>2875</v>
      </c>
      <c r="B2849" t="s">
        <v>4270</v>
      </c>
      <c r="C2849" t="s">
        <v>4272</v>
      </c>
      <c r="E2849">
        <v>0.01</v>
      </c>
      <c r="F2849" t="s">
        <v>546</v>
      </c>
      <c r="G2849" s="174">
        <v>45576.460914351854</v>
      </c>
    </row>
    <row r="2850" spans="1:7">
      <c r="A2850">
        <v>2876</v>
      </c>
      <c r="B2850" t="s">
        <v>4273</v>
      </c>
      <c r="C2850" t="s">
        <v>3310</v>
      </c>
      <c r="E2850">
        <v>0.8</v>
      </c>
      <c r="F2850" t="s">
        <v>546</v>
      </c>
      <c r="G2850" s="174">
        <v>45576.460914351854</v>
      </c>
    </row>
    <row r="2851" spans="1:7">
      <c r="A2851">
        <v>2877</v>
      </c>
      <c r="B2851" t="s">
        <v>4274</v>
      </c>
      <c r="C2851" t="s">
        <v>4146</v>
      </c>
      <c r="E2851">
        <v>0.01</v>
      </c>
      <c r="F2851" t="s">
        <v>546</v>
      </c>
      <c r="G2851" s="174">
        <v>45576.460914351854</v>
      </c>
    </row>
    <row r="2852" spans="1:7">
      <c r="A2852">
        <v>2878</v>
      </c>
      <c r="B2852" t="s">
        <v>4275</v>
      </c>
      <c r="C2852" t="s">
        <v>4276</v>
      </c>
      <c r="E2852">
        <v>0.01</v>
      </c>
      <c r="F2852" t="s">
        <v>546</v>
      </c>
      <c r="G2852" s="174">
        <v>45576.460914351854</v>
      </c>
    </row>
    <row r="2853" spans="1:7">
      <c r="A2853">
        <v>2879</v>
      </c>
      <c r="B2853" t="s">
        <v>4275</v>
      </c>
      <c r="C2853" t="s">
        <v>2753</v>
      </c>
      <c r="E2853">
        <v>0.01</v>
      </c>
      <c r="F2853" t="s">
        <v>546</v>
      </c>
      <c r="G2853" s="174">
        <v>45576.460914351854</v>
      </c>
    </row>
    <row r="2854" spans="1:7">
      <c r="A2854">
        <v>2880</v>
      </c>
      <c r="B2854" t="s">
        <v>4277</v>
      </c>
      <c r="C2854" t="s">
        <v>4278</v>
      </c>
      <c r="E2854">
        <v>0.01</v>
      </c>
      <c r="F2854" t="s">
        <v>546</v>
      </c>
      <c r="G2854" s="174">
        <v>45576.460914351854</v>
      </c>
    </row>
    <row r="2855" spans="1:7">
      <c r="A2855">
        <v>2881</v>
      </c>
      <c r="B2855" t="s">
        <v>1126</v>
      </c>
      <c r="C2855" t="s">
        <v>3638</v>
      </c>
      <c r="E2855">
        <v>1</v>
      </c>
      <c r="F2855" t="s">
        <v>546</v>
      </c>
      <c r="G2855" s="174">
        <v>45576.460914351854</v>
      </c>
    </row>
    <row r="2856" spans="1:7">
      <c r="A2856">
        <v>2882</v>
      </c>
      <c r="B2856" t="s">
        <v>4279</v>
      </c>
      <c r="C2856" t="s">
        <v>4280</v>
      </c>
      <c r="E2856">
        <v>0.01</v>
      </c>
      <c r="F2856" t="s">
        <v>546</v>
      </c>
      <c r="G2856" s="174">
        <v>45576.460914351854</v>
      </c>
    </row>
    <row r="2857" spans="1:7">
      <c r="A2857">
        <v>2884</v>
      </c>
      <c r="B2857" t="s">
        <v>4281</v>
      </c>
      <c r="C2857" t="s">
        <v>3147</v>
      </c>
      <c r="E2857">
        <v>0.1</v>
      </c>
      <c r="F2857" t="s">
        <v>546</v>
      </c>
      <c r="G2857" s="174">
        <v>45576.460914351854</v>
      </c>
    </row>
    <row r="2858" spans="1:7">
      <c r="A2858">
        <v>2885</v>
      </c>
      <c r="B2858" t="s">
        <v>1128</v>
      </c>
      <c r="C2858" t="s">
        <v>4282</v>
      </c>
      <c r="E2858">
        <v>0.01</v>
      </c>
      <c r="F2858" t="s">
        <v>546</v>
      </c>
      <c r="G2858" s="174">
        <v>45576.460914351854</v>
      </c>
    </row>
    <row r="2859" spans="1:7">
      <c r="A2859">
        <v>2886</v>
      </c>
      <c r="B2859" t="s">
        <v>4283</v>
      </c>
      <c r="C2859" t="s">
        <v>4284</v>
      </c>
      <c r="E2859">
        <v>0.01</v>
      </c>
      <c r="F2859" t="s">
        <v>546</v>
      </c>
      <c r="G2859" s="174">
        <v>45576.460914351854</v>
      </c>
    </row>
    <row r="2860" spans="1:7">
      <c r="A2860">
        <v>2887</v>
      </c>
      <c r="B2860" t="s">
        <v>4285</v>
      </c>
      <c r="C2860" t="s">
        <v>3548</v>
      </c>
      <c r="E2860">
        <v>0.01</v>
      </c>
      <c r="F2860" t="s">
        <v>546</v>
      </c>
      <c r="G2860" s="174">
        <v>45576.460914351854</v>
      </c>
    </row>
    <row r="2861" spans="1:7">
      <c r="A2861">
        <v>2888</v>
      </c>
      <c r="B2861" t="s">
        <v>4286</v>
      </c>
      <c r="C2861" t="s">
        <v>3777</v>
      </c>
      <c r="E2861">
        <v>0.01</v>
      </c>
      <c r="F2861" t="s">
        <v>546</v>
      </c>
      <c r="G2861" s="174">
        <v>45576.460914351854</v>
      </c>
    </row>
    <row r="2862" spans="1:7">
      <c r="A2862">
        <v>2889</v>
      </c>
      <c r="B2862" t="s">
        <v>4287</v>
      </c>
      <c r="C2862" t="s">
        <v>2952</v>
      </c>
      <c r="E2862">
        <v>0.01</v>
      </c>
      <c r="F2862" t="s">
        <v>546</v>
      </c>
      <c r="G2862" s="174">
        <v>45576.460914351854</v>
      </c>
    </row>
    <row r="2863" spans="1:7">
      <c r="A2863">
        <v>2890</v>
      </c>
      <c r="B2863" t="s">
        <v>4288</v>
      </c>
      <c r="C2863" t="s">
        <v>3529</v>
      </c>
      <c r="E2863">
        <v>0.01</v>
      </c>
      <c r="F2863" t="s">
        <v>546</v>
      </c>
      <c r="G2863" s="174">
        <v>45576.460914351854</v>
      </c>
    </row>
    <row r="2864" spans="1:7">
      <c r="A2864">
        <v>2891</v>
      </c>
      <c r="B2864" t="s">
        <v>4288</v>
      </c>
      <c r="C2864" t="s">
        <v>3530</v>
      </c>
      <c r="E2864">
        <v>0.01</v>
      </c>
      <c r="F2864" t="s">
        <v>546</v>
      </c>
      <c r="G2864" s="174">
        <v>45576.460914351854</v>
      </c>
    </row>
    <row r="2865" spans="1:7">
      <c r="A2865">
        <v>2892</v>
      </c>
      <c r="B2865" t="s">
        <v>4289</v>
      </c>
      <c r="C2865" t="s">
        <v>3298</v>
      </c>
      <c r="E2865">
        <v>0.01</v>
      </c>
      <c r="F2865" t="s">
        <v>546</v>
      </c>
      <c r="G2865" s="174">
        <v>45576.460914351854</v>
      </c>
    </row>
    <row r="2866" spans="1:7">
      <c r="A2866">
        <v>2893</v>
      </c>
      <c r="B2866" t="s">
        <v>4290</v>
      </c>
      <c r="C2866" t="s">
        <v>3103</v>
      </c>
      <c r="E2866">
        <v>0.01</v>
      </c>
      <c r="F2866" t="s">
        <v>546</v>
      </c>
      <c r="G2866" s="174">
        <v>45576.460914351854</v>
      </c>
    </row>
    <row r="2867" spans="1:7">
      <c r="A2867">
        <v>2894</v>
      </c>
      <c r="B2867" t="s">
        <v>1132</v>
      </c>
      <c r="C2867" t="s">
        <v>4291</v>
      </c>
      <c r="E2867">
        <v>0.01</v>
      </c>
      <c r="F2867" t="s">
        <v>546</v>
      </c>
      <c r="G2867" s="174">
        <v>45576.460914351854</v>
      </c>
    </row>
    <row r="2868" spans="1:7">
      <c r="A2868">
        <v>2895</v>
      </c>
      <c r="B2868" t="s">
        <v>4292</v>
      </c>
      <c r="C2868" t="s">
        <v>3274</v>
      </c>
      <c r="E2868">
        <v>0.01</v>
      </c>
      <c r="F2868" t="s">
        <v>546</v>
      </c>
      <c r="G2868" s="174">
        <v>45576.460914351854</v>
      </c>
    </row>
    <row r="2869" spans="1:7">
      <c r="A2869">
        <v>2896</v>
      </c>
      <c r="B2869" t="s">
        <v>4293</v>
      </c>
      <c r="C2869" t="s">
        <v>3375</v>
      </c>
      <c r="E2869">
        <v>0.01</v>
      </c>
      <c r="F2869" t="s">
        <v>546</v>
      </c>
      <c r="G2869" s="174">
        <v>45576.460914351854</v>
      </c>
    </row>
    <row r="2870" spans="1:7">
      <c r="A2870">
        <v>2897</v>
      </c>
      <c r="B2870" t="s">
        <v>4294</v>
      </c>
      <c r="C2870" t="s">
        <v>4295</v>
      </c>
      <c r="E2870">
        <v>0.1</v>
      </c>
      <c r="F2870" t="s">
        <v>546</v>
      </c>
      <c r="G2870" s="174">
        <v>45576.460914351854</v>
      </c>
    </row>
    <row r="2871" spans="1:7">
      <c r="A2871">
        <v>2898</v>
      </c>
      <c r="B2871" t="s">
        <v>4296</v>
      </c>
      <c r="C2871" t="s">
        <v>3308</v>
      </c>
      <c r="E2871">
        <v>0.01</v>
      </c>
      <c r="F2871" t="s">
        <v>546</v>
      </c>
      <c r="G2871" s="174">
        <v>45576.460914351854</v>
      </c>
    </row>
    <row r="2872" spans="1:7">
      <c r="A2872">
        <v>2899</v>
      </c>
      <c r="B2872" t="s">
        <v>4297</v>
      </c>
      <c r="C2872" t="s">
        <v>2823</v>
      </c>
      <c r="E2872">
        <v>0.01</v>
      </c>
      <c r="F2872" t="s">
        <v>546</v>
      </c>
      <c r="G2872" s="174">
        <v>45576.460914351854</v>
      </c>
    </row>
    <row r="2873" spans="1:7">
      <c r="A2873">
        <v>2900</v>
      </c>
      <c r="B2873" t="s">
        <v>4298</v>
      </c>
      <c r="C2873" t="s">
        <v>3284</v>
      </c>
      <c r="E2873">
        <v>0.1</v>
      </c>
      <c r="F2873" t="s">
        <v>546</v>
      </c>
      <c r="G2873" s="174">
        <v>45576.460914351854</v>
      </c>
    </row>
    <row r="2874" spans="1:7">
      <c r="A2874">
        <v>2901</v>
      </c>
      <c r="B2874" t="s">
        <v>4299</v>
      </c>
      <c r="C2874" t="s">
        <v>3979</v>
      </c>
      <c r="E2874">
        <v>0.01</v>
      </c>
      <c r="F2874" t="s">
        <v>546</v>
      </c>
      <c r="G2874" s="174">
        <v>45576.460914351854</v>
      </c>
    </row>
    <row r="2875" spans="1:7">
      <c r="A2875">
        <v>2902</v>
      </c>
      <c r="B2875" t="s">
        <v>4300</v>
      </c>
      <c r="C2875" t="s">
        <v>4301</v>
      </c>
      <c r="E2875">
        <v>0.01</v>
      </c>
      <c r="F2875" t="s">
        <v>546</v>
      </c>
      <c r="G2875" s="174">
        <v>45576.460914351854</v>
      </c>
    </row>
    <row r="2876" spans="1:7">
      <c r="A2876">
        <v>2903</v>
      </c>
      <c r="B2876" t="s">
        <v>4302</v>
      </c>
      <c r="C2876" t="s">
        <v>3977</v>
      </c>
      <c r="E2876">
        <v>0.7</v>
      </c>
      <c r="F2876" t="s">
        <v>546</v>
      </c>
      <c r="G2876" s="174">
        <v>45576.460914351854</v>
      </c>
    </row>
    <row r="2877" spans="1:7">
      <c r="A2877">
        <v>2904</v>
      </c>
      <c r="B2877" t="s">
        <v>4302</v>
      </c>
      <c r="C2877" t="s">
        <v>3879</v>
      </c>
      <c r="E2877">
        <v>0.8</v>
      </c>
      <c r="F2877" t="s">
        <v>546</v>
      </c>
      <c r="G2877" s="174">
        <v>45576.460914351854</v>
      </c>
    </row>
    <row r="2878" spans="1:7">
      <c r="A2878">
        <v>2905</v>
      </c>
      <c r="B2878" t="s">
        <v>4303</v>
      </c>
      <c r="C2878" t="s">
        <v>4304</v>
      </c>
      <c r="E2878">
        <v>0.01</v>
      </c>
      <c r="F2878" t="s">
        <v>546</v>
      </c>
      <c r="G2878" s="174">
        <v>45576.460914351854</v>
      </c>
    </row>
    <row r="2879" spans="1:7">
      <c r="A2879">
        <v>2906</v>
      </c>
      <c r="B2879" t="s">
        <v>4303</v>
      </c>
      <c r="C2879" t="s">
        <v>4305</v>
      </c>
      <c r="E2879">
        <v>0.01</v>
      </c>
      <c r="F2879" t="s">
        <v>546</v>
      </c>
      <c r="G2879" s="174">
        <v>45576.460914351854</v>
      </c>
    </row>
    <row r="2880" spans="1:7">
      <c r="A2880">
        <v>2907</v>
      </c>
      <c r="B2880" t="s">
        <v>4306</v>
      </c>
      <c r="C2880" t="s">
        <v>3508</v>
      </c>
      <c r="E2880">
        <v>0.8</v>
      </c>
      <c r="F2880" t="s">
        <v>546</v>
      </c>
      <c r="G2880" s="174">
        <v>45576.460914351854</v>
      </c>
    </row>
    <row r="2881" spans="1:7">
      <c r="A2881">
        <v>2908</v>
      </c>
      <c r="B2881" t="s">
        <v>4306</v>
      </c>
      <c r="C2881" t="s">
        <v>4307</v>
      </c>
      <c r="E2881">
        <v>0.01</v>
      </c>
      <c r="F2881" t="s">
        <v>546</v>
      </c>
      <c r="G2881" s="174">
        <v>45576.460914351854</v>
      </c>
    </row>
    <row r="2882" spans="1:7">
      <c r="A2882">
        <v>2910</v>
      </c>
      <c r="B2882" t="s">
        <v>4308</v>
      </c>
      <c r="C2882" t="s">
        <v>4309</v>
      </c>
      <c r="E2882">
        <v>0.1</v>
      </c>
      <c r="F2882" t="s">
        <v>546</v>
      </c>
      <c r="G2882" s="174">
        <v>45576.460914351854</v>
      </c>
    </row>
    <row r="2883" spans="1:7">
      <c r="A2883">
        <v>2911</v>
      </c>
      <c r="B2883" t="s">
        <v>4310</v>
      </c>
      <c r="C2883" t="s">
        <v>788</v>
      </c>
      <c r="E2883">
        <v>0.01</v>
      </c>
      <c r="F2883" t="s">
        <v>546</v>
      </c>
      <c r="G2883" s="174">
        <v>45576.460914351854</v>
      </c>
    </row>
    <row r="2884" spans="1:7">
      <c r="A2884">
        <v>2912</v>
      </c>
      <c r="B2884" t="s">
        <v>1135</v>
      </c>
      <c r="C2884" t="s">
        <v>4311</v>
      </c>
      <c r="E2884">
        <v>0.8</v>
      </c>
      <c r="F2884" t="s">
        <v>546</v>
      </c>
      <c r="G2884" s="174">
        <v>45576.460914351854</v>
      </c>
    </row>
    <row r="2885" spans="1:7">
      <c r="A2885">
        <v>2913</v>
      </c>
      <c r="B2885" t="s">
        <v>1135</v>
      </c>
      <c r="C2885" t="s">
        <v>4312</v>
      </c>
      <c r="E2885">
        <v>0.6</v>
      </c>
      <c r="F2885" t="s">
        <v>4313</v>
      </c>
      <c r="G2885" s="174">
        <v>45576.460914351854</v>
      </c>
    </row>
    <row r="2886" spans="1:7">
      <c r="A2886">
        <v>2914</v>
      </c>
      <c r="B2886" t="s">
        <v>4314</v>
      </c>
      <c r="C2886" t="s">
        <v>3705</v>
      </c>
      <c r="E2886">
        <v>0.01</v>
      </c>
      <c r="F2886" t="s">
        <v>546</v>
      </c>
      <c r="G2886" s="174">
        <v>45576.460914351854</v>
      </c>
    </row>
    <row r="2887" spans="1:7">
      <c r="A2887">
        <v>2915</v>
      </c>
      <c r="B2887" t="s">
        <v>4315</v>
      </c>
      <c r="C2887" t="s">
        <v>3485</v>
      </c>
      <c r="E2887">
        <v>0.01</v>
      </c>
      <c r="F2887" t="s">
        <v>546</v>
      </c>
      <c r="G2887" s="174">
        <v>45576.460914351854</v>
      </c>
    </row>
    <row r="2888" spans="1:7">
      <c r="A2888">
        <v>2916</v>
      </c>
      <c r="B2888" t="s">
        <v>4316</v>
      </c>
      <c r="C2888" t="s">
        <v>4317</v>
      </c>
      <c r="E2888">
        <v>0.01</v>
      </c>
      <c r="F2888" t="s">
        <v>546</v>
      </c>
      <c r="G2888" s="174">
        <v>45576.460914351854</v>
      </c>
    </row>
    <row r="2889" spans="1:7">
      <c r="A2889">
        <v>2917</v>
      </c>
      <c r="B2889" t="s">
        <v>4318</v>
      </c>
      <c r="C2889" t="s">
        <v>4319</v>
      </c>
      <c r="E2889">
        <v>0.01</v>
      </c>
      <c r="F2889" t="s">
        <v>546</v>
      </c>
      <c r="G2889" s="174">
        <v>45576.460914351854</v>
      </c>
    </row>
    <row r="2890" spans="1:7">
      <c r="A2890">
        <v>2918</v>
      </c>
      <c r="B2890" t="s">
        <v>4320</v>
      </c>
      <c r="C2890" t="s">
        <v>4321</v>
      </c>
      <c r="E2890">
        <v>0.01</v>
      </c>
      <c r="F2890" t="s">
        <v>546</v>
      </c>
      <c r="G2890" s="174">
        <v>45576.460914351854</v>
      </c>
    </row>
    <row r="2891" spans="1:7">
      <c r="A2891">
        <v>2919</v>
      </c>
      <c r="B2891" t="s">
        <v>4320</v>
      </c>
      <c r="C2891" t="s">
        <v>4052</v>
      </c>
      <c r="E2891">
        <v>0.05</v>
      </c>
      <c r="F2891" t="s">
        <v>546</v>
      </c>
      <c r="G2891" s="174">
        <v>45576.460914351854</v>
      </c>
    </row>
    <row r="2892" spans="1:7">
      <c r="A2892">
        <v>2920</v>
      </c>
      <c r="B2892" t="s">
        <v>4320</v>
      </c>
      <c r="C2892" t="s">
        <v>3354</v>
      </c>
      <c r="E2892">
        <v>0.1</v>
      </c>
      <c r="F2892" t="s">
        <v>546</v>
      </c>
      <c r="G2892" s="174">
        <v>45576.460914351854</v>
      </c>
    </row>
    <row r="2893" spans="1:7">
      <c r="A2893">
        <v>2922</v>
      </c>
      <c r="B2893" t="s">
        <v>4322</v>
      </c>
      <c r="C2893" t="s">
        <v>3855</v>
      </c>
      <c r="E2893">
        <v>0.01</v>
      </c>
      <c r="F2893" t="s">
        <v>546</v>
      </c>
      <c r="G2893" s="174">
        <v>45576.460914351854</v>
      </c>
    </row>
    <row r="2894" spans="1:7">
      <c r="A2894">
        <v>2923</v>
      </c>
      <c r="B2894" t="s">
        <v>1142</v>
      </c>
      <c r="C2894" t="s">
        <v>3272</v>
      </c>
      <c r="E2894">
        <v>0.01</v>
      </c>
      <c r="F2894" t="s">
        <v>546</v>
      </c>
      <c r="G2894" s="174">
        <v>45576.460914351854</v>
      </c>
    </row>
    <row r="2895" spans="1:7">
      <c r="A2895">
        <v>2924</v>
      </c>
      <c r="B2895" t="s">
        <v>4323</v>
      </c>
      <c r="C2895" t="s">
        <v>4324</v>
      </c>
      <c r="E2895">
        <v>0.01</v>
      </c>
      <c r="F2895" t="s">
        <v>546</v>
      </c>
      <c r="G2895" s="174">
        <v>45576.460914351854</v>
      </c>
    </row>
    <row r="2896" spans="1:7">
      <c r="A2896">
        <v>2925</v>
      </c>
      <c r="B2896" t="s">
        <v>4325</v>
      </c>
      <c r="C2896" t="s">
        <v>4326</v>
      </c>
      <c r="E2896">
        <v>0.01</v>
      </c>
      <c r="F2896" t="s">
        <v>546</v>
      </c>
      <c r="G2896" s="174">
        <v>45576.460914351854</v>
      </c>
    </row>
    <row r="2897" spans="1:7">
      <c r="A2897">
        <v>2926</v>
      </c>
      <c r="B2897" t="s">
        <v>4327</v>
      </c>
      <c r="C2897" t="s">
        <v>4328</v>
      </c>
      <c r="E2897">
        <v>0.01</v>
      </c>
      <c r="F2897" t="s">
        <v>546</v>
      </c>
      <c r="G2897" s="174">
        <v>45576.460914351854</v>
      </c>
    </row>
    <row r="2898" spans="1:7">
      <c r="A2898">
        <v>2927</v>
      </c>
      <c r="B2898" t="s">
        <v>4327</v>
      </c>
      <c r="C2898" t="s">
        <v>4329</v>
      </c>
      <c r="E2898">
        <v>0.01</v>
      </c>
      <c r="F2898" t="s">
        <v>546</v>
      </c>
      <c r="G2898" s="174">
        <v>45576.460914351854</v>
      </c>
    </row>
    <row r="2899" spans="1:7">
      <c r="A2899">
        <v>2928</v>
      </c>
      <c r="B2899" t="s">
        <v>4327</v>
      </c>
      <c r="C2899" t="s">
        <v>4330</v>
      </c>
      <c r="E2899">
        <v>0.01</v>
      </c>
      <c r="F2899" t="s">
        <v>546</v>
      </c>
      <c r="G2899" s="174">
        <v>45576.460914351854</v>
      </c>
    </row>
    <row r="2900" spans="1:7">
      <c r="A2900">
        <v>2929</v>
      </c>
      <c r="B2900" t="s">
        <v>4331</v>
      </c>
      <c r="C2900" t="s">
        <v>3606</v>
      </c>
      <c r="E2900">
        <v>0.01</v>
      </c>
      <c r="F2900" t="s">
        <v>546</v>
      </c>
      <c r="G2900" s="174">
        <v>45576.460914351854</v>
      </c>
    </row>
    <row r="2901" spans="1:7">
      <c r="A2901">
        <v>2930</v>
      </c>
      <c r="B2901" t="s">
        <v>4332</v>
      </c>
      <c r="C2901" t="s">
        <v>4333</v>
      </c>
      <c r="E2901">
        <v>0.01</v>
      </c>
      <c r="F2901" t="s">
        <v>546</v>
      </c>
      <c r="G2901" s="174">
        <v>45576.460914351854</v>
      </c>
    </row>
    <row r="2902" spans="1:7">
      <c r="A2902">
        <v>2931</v>
      </c>
      <c r="B2902" t="s">
        <v>4334</v>
      </c>
      <c r="C2902" t="s">
        <v>4335</v>
      </c>
      <c r="E2902">
        <v>0.01</v>
      </c>
      <c r="F2902" t="s">
        <v>546</v>
      </c>
      <c r="G2902" s="174">
        <v>45576.460914351854</v>
      </c>
    </row>
    <row r="2903" spans="1:7">
      <c r="A2903">
        <v>2932</v>
      </c>
      <c r="B2903" t="s">
        <v>4336</v>
      </c>
      <c r="C2903" t="s">
        <v>2831</v>
      </c>
      <c r="E2903">
        <v>0.01</v>
      </c>
      <c r="F2903" t="s">
        <v>546</v>
      </c>
      <c r="G2903" s="174">
        <v>45576.460914351854</v>
      </c>
    </row>
    <row r="2904" spans="1:7">
      <c r="A2904">
        <v>2933</v>
      </c>
      <c r="B2904" t="s">
        <v>4337</v>
      </c>
      <c r="C2904" t="s">
        <v>3222</v>
      </c>
      <c r="E2904">
        <v>0.01</v>
      </c>
      <c r="F2904" t="s">
        <v>546</v>
      </c>
      <c r="G2904" s="174">
        <v>45576.460914351854</v>
      </c>
    </row>
    <row r="2905" spans="1:7">
      <c r="A2905">
        <v>2934</v>
      </c>
      <c r="B2905" t="s">
        <v>4338</v>
      </c>
      <c r="C2905" t="s">
        <v>4339</v>
      </c>
      <c r="E2905">
        <v>0.01</v>
      </c>
      <c r="F2905" t="s">
        <v>546</v>
      </c>
      <c r="G2905" s="174">
        <v>45576.460914351854</v>
      </c>
    </row>
    <row r="2906" spans="1:7">
      <c r="A2906">
        <v>2935</v>
      </c>
      <c r="B2906" t="s">
        <v>4340</v>
      </c>
      <c r="C2906" t="s">
        <v>4341</v>
      </c>
      <c r="E2906">
        <v>0.01</v>
      </c>
      <c r="F2906" t="s">
        <v>546</v>
      </c>
      <c r="G2906" s="174">
        <v>45576.460914351854</v>
      </c>
    </row>
    <row r="2907" spans="1:7">
      <c r="A2907">
        <v>2936</v>
      </c>
      <c r="B2907" t="s">
        <v>4342</v>
      </c>
      <c r="C2907" t="s">
        <v>2768</v>
      </c>
      <c r="E2907">
        <v>0.01</v>
      </c>
      <c r="F2907" t="s">
        <v>546</v>
      </c>
      <c r="G2907" s="174">
        <v>45576.460914351854</v>
      </c>
    </row>
    <row r="2908" spans="1:7">
      <c r="A2908">
        <v>2937</v>
      </c>
      <c r="B2908" t="s">
        <v>4343</v>
      </c>
      <c r="C2908" t="s">
        <v>4344</v>
      </c>
      <c r="E2908">
        <v>0.01</v>
      </c>
      <c r="F2908" t="s">
        <v>546</v>
      </c>
      <c r="G2908" s="174">
        <v>45576.460914351854</v>
      </c>
    </row>
    <row r="2909" spans="1:7">
      <c r="A2909">
        <v>2938</v>
      </c>
      <c r="B2909" t="s">
        <v>4345</v>
      </c>
      <c r="C2909" t="s">
        <v>2777</v>
      </c>
      <c r="E2909">
        <v>0.01</v>
      </c>
      <c r="F2909" t="s">
        <v>546</v>
      </c>
      <c r="G2909" s="174">
        <v>45576.460914351854</v>
      </c>
    </row>
    <row r="2910" spans="1:7">
      <c r="A2910">
        <v>2939</v>
      </c>
      <c r="B2910" t="s">
        <v>4346</v>
      </c>
      <c r="C2910" t="s">
        <v>4347</v>
      </c>
      <c r="E2910">
        <v>0.5</v>
      </c>
      <c r="F2910" t="s">
        <v>546</v>
      </c>
      <c r="G2910" s="174">
        <v>45576.460914351854</v>
      </c>
    </row>
    <row r="2911" spans="1:7">
      <c r="A2911">
        <v>2940</v>
      </c>
      <c r="B2911" t="s">
        <v>4346</v>
      </c>
      <c r="C2911" t="s">
        <v>4348</v>
      </c>
      <c r="E2911">
        <v>0.8</v>
      </c>
      <c r="F2911" t="s">
        <v>546</v>
      </c>
      <c r="G2911" s="174">
        <v>45576.460914351854</v>
      </c>
    </row>
    <row r="2912" spans="1:7">
      <c r="A2912">
        <v>2941</v>
      </c>
      <c r="B2912" t="s">
        <v>4346</v>
      </c>
      <c r="C2912" t="s">
        <v>4349</v>
      </c>
      <c r="E2912">
        <v>0.01</v>
      </c>
      <c r="F2912" t="s">
        <v>546</v>
      </c>
      <c r="G2912" s="174">
        <v>45576.460914351854</v>
      </c>
    </row>
    <row r="2913" spans="1:7">
      <c r="A2913">
        <v>2942</v>
      </c>
      <c r="B2913" t="s">
        <v>4350</v>
      </c>
      <c r="C2913" t="s">
        <v>3246</v>
      </c>
      <c r="E2913">
        <v>0.1</v>
      </c>
      <c r="F2913" t="s">
        <v>546</v>
      </c>
      <c r="G2913" s="174">
        <v>45576.460914351854</v>
      </c>
    </row>
    <row r="2914" spans="1:7">
      <c r="A2914">
        <v>2943</v>
      </c>
      <c r="B2914" t="s">
        <v>4351</v>
      </c>
      <c r="C2914" t="s">
        <v>3742</v>
      </c>
      <c r="E2914">
        <v>0.01</v>
      </c>
      <c r="F2914" t="s">
        <v>546</v>
      </c>
      <c r="G2914" s="174">
        <v>45576.460914351854</v>
      </c>
    </row>
    <row r="2915" spans="1:7">
      <c r="A2915">
        <v>2944</v>
      </c>
      <c r="B2915" t="s">
        <v>1168</v>
      </c>
      <c r="C2915" t="s">
        <v>3198</v>
      </c>
      <c r="E2915">
        <v>0.8</v>
      </c>
      <c r="F2915" t="s">
        <v>546</v>
      </c>
      <c r="G2915" s="174">
        <v>45576.460914351854</v>
      </c>
    </row>
    <row r="2916" spans="1:7">
      <c r="A2916">
        <v>2946</v>
      </c>
      <c r="B2916" t="s">
        <v>4352</v>
      </c>
      <c r="C2916" t="s">
        <v>4353</v>
      </c>
      <c r="E2916">
        <v>0.01</v>
      </c>
      <c r="F2916" t="s">
        <v>546</v>
      </c>
      <c r="G2916" s="174">
        <v>45576.460914351854</v>
      </c>
    </row>
    <row r="2917" spans="1:7">
      <c r="A2917">
        <v>2947</v>
      </c>
      <c r="B2917" t="s">
        <v>4352</v>
      </c>
      <c r="C2917" t="s">
        <v>3291</v>
      </c>
      <c r="E2917">
        <v>0.01</v>
      </c>
      <c r="F2917" t="s">
        <v>546</v>
      </c>
      <c r="G2917" s="174">
        <v>45576.460914351854</v>
      </c>
    </row>
    <row r="2918" spans="1:7">
      <c r="A2918">
        <v>2948</v>
      </c>
      <c r="B2918" t="s">
        <v>1169</v>
      </c>
      <c r="C2918" t="s">
        <v>4354</v>
      </c>
      <c r="E2918">
        <v>0.01</v>
      </c>
      <c r="F2918" t="s">
        <v>546</v>
      </c>
      <c r="G2918" s="174">
        <v>45576.460914351854</v>
      </c>
    </row>
    <row r="2919" spans="1:7">
      <c r="A2919">
        <v>2949</v>
      </c>
      <c r="B2919" t="s">
        <v>4355</v>
      </c>
      <c r="C2919" t="s">
        <v>2958</v>
      </c>
      <c r="E2919">
        <v>0.01</v>
      </c>
      <c r="F2919" t="s">
        <v>546</v>
      </c>
      <c r="G2919" s="174">
        <v>45576.460914351854</v>
      </c>
    </row>
    <row r="2920" spans="1:7">
      <c r="A2920">
        <v>2950</v>
      </c>
      <c r="B2920" t="s">
        <v>4356</v>
      </c>
      <c r="C2920" t="s">
        <v>4357</v>
      </c>
      <c r="E2920">
        <v>0.8</v>
      </c>
      <c r="F2920" t="s">
        <v>546</v>
      </c>
      <c r="G2920" s="174">
        <v>45576.460914351854</v>
      </c>
    </row>
    <row r="2921" spans="1:7">
      <c r="A2921">
        <v>2951</v>
      </c>
      <c r="B2921" t="s">
        <v>4356</v>
      </c>
      <c r="C2921" t="s">
        <v>4358</v>
      </c>
      <c r="E2921">
        <v>0.7</v>
      </c>
      <c r="F2921" t="s">
        <v>4359</v>
      </c>
      <c r="G2921" s="174">
        <v>45576.460914351854</v>
      </c>
    </row>
    <row r="2922" spans="1:7">
      <c r="A2922">
        <v>2952</v>
      </c>
      <c r="B2922" t="s">
        <v>4356</v>
      </c>
      <c r="C2922" t="s">
        <v>3660</v>
      </c>
      <c r="E2922">
        <v>0.6</v>
      </c>
      <c r="F2922" t="s">
        <v>4360</v>
      </c>
      <c r="G2922" s="174">
        <v>45576.460914351854</v>
      </c>
    </row>
    <row r="2923" spans="1:7">
      <c r="A2923">
        <v>2953</v>
      </c>
      <c r="B2923" t="s">
        <v>4361</v>
      </c>
      <c r="C2923" t="s">
        <v>4362</v>
      </c>
      <c r="E2923">
        <v>0.1</v>
      </c>
      <c r="F2923" t="s">
        <v>546</v>
      </c>
      <c r="G2923" s="174">
        <v>45576.460914351854</v>
      </c>
    </row>
    <row r="2924" spans="1:7">
      <c r="A2924">
        <v>2954</v>
      </c>
      <c r="B2924" t="s">
        <v>4361</v>
      </c>
      <c r="C2924" t="s">
        <v>3207</v>
      </c>
      <c r="E2924">
        <v>0.01</v>
      </c>
      <c r="F2924" t="s">
        <v>546</v>
      </c>
      <c r="G2924" s="174">
        <v>45576.460914351854</v>
      </c>
    </row>
    <row r="2925" spans="1:7">
      <c r="A2925">
        <v>2955</v>
      </c>
      <c r="B2925" t="s">
        <v>4363</v>
      </c>
      <c r="C2925" t="s">
        <v>4364</v>
      </c>
      <c r="E2925">
        <v>0.01</v>
      </c>
      <c r="F2925" t="s">
        <v>546</v>
      </c>
      <c r="G2925" s="174">
        <v>45576.460914351854</v>
      </c>
    </row>
    <row r="2926" spans="1:7">
      <c r="A2926">
        <v>2956</v>
      </c>
      <c r="B2926" t="s">
        <v>1171</v>
      </c>
      <c r="C2926" t="s">
        <v>4365</v>
      </c>
      <c r="E2926">
        <v>0.01</v>
      </c>
      <c r="F2926" t="s">
        <v>546</v>
      </c>
      <c r="G2926" s="174">
        <v>45576.460914351854</v>
      </c>
    </row>
    <row r="2927" spans="1:7">
      <c r="A2927">
        <v>2957</v>
      </c>
      <c r="B2927" t="s">
        <v>4366</v>
      </c>
      <c r="C2927" t="s">
        <v>4203</v>
      </c>
      <c r="E2927">
        <v>0.01</v>
      </c>
      <c r="F2927" t="s">
        <v>546</v>
      </c>
      <c r="G2927" s="174">
        <v>45576.460914351854</v>
      </c>
    </row>
    <row r="2928" spans="1:7">
      <c r="A2928">
        <v>2958</v>
      </c>
      <c r="B2928" t="s">
        <v>4366</v>
      </c>
      <c r="C2928" t="s">
        <v>4367</v>
      </c>
      <c r="E2928">
        <v>0.01</v>
      </c>
      <c r="F2928" t="s">
        <v>546</v>
      </c>
      <c r="G2928" s="174">
        <v>45576.460914351854</v>
      </c>
    </row>
    <row r="2929" spans="1:7">
      <c r="A2929">
        <v>2959</v>
      </c>
      <c r="B2929" t="s">
        <v>4368</v>
      </c>
      <c r="C2929" t="s">
        <v>4369</v>
      </c>
      <c r="E2929">
        <v>0.01</v>
      </c>
      <c r="F2929" t="s">
        <v>546</v>
      </c>
      <c r="G2929" s="174">
        <v>45576.460914351854</v>
      </c>
    </row>
    <row r="2930" spans="1:7">
      <c r="A2930">
        <v>2960</v>
      </c>
      <c r="B2930" t="s">
        <v>4370</v>
      </c>
      <c r="C2930" t="s">
        <v>3302</v>
      </c>
      <c r="E2930">
        <v>0.1</v>
      </c>
      <c r="F2930" t="s">
        <v>546</v>
      </c>
      <c r="G2930" s="174">
        <v>45576.460914351854</v>
      </c>
    </row>
    <row r="2931" spans="1:7">
      <c r="A2931">
        <v>2961</v>
      </c>
      <c r="B2931" t="s">
        <v>4371</v>
      </c>
      <c r="C2931" t="s">
        <v>4194</v>
      </c>
      <c r="E2931">
        <v>0.01</v>
      </c>
      <c r="F2931" t="s">
        <v>546</v>
      </c>
      <c r="G2931" s="174">
        <v>45576.460914351854</v>
      </c>
    </row>
    <row r="2932" spans="1:7">
      <c r="A2932">
        <v>2962</v>
      </c>
      <c r="B2932" t="s">
        <v>4372</v>
      </c>
      <c r="C2932" t="s">
        <v>3286</v>
      </c>
      <c r="E2932">
        <v>0.01</v>
      </c>
      <c r="F2932" t="s">
        <v>546</v>
      </c>
      <c r="G2932" s="174">
        <v>45576.460914351854</v>
      </c>
    </row>
    <row r="2933" spans="1:7">
      <c r="A2933">
        <v>2963</v>
      </c>
      <c r="B2933" t="s">
        <v>4373</v>
      </c>
      <c r="C2933" t="s">
        <v>2753</v>
      </c>
      <c r="E2933">
        <v>0.01</v>
      </c>
      <c r="F2933" t="s">
        <v>546</v>
      </c>
      <c r="G2933" s="174">
        <v>45576.460914351854</v>
      </c>
    </row>
    <row r="2934" spans="1:7">
      <c r="A2934">
        <v>2964</v>
      </c>
      <c r="B2934" t="s">
        <v>4374</v>
      </c>
      <c r="C2934" t="s">
        <v>3606</v>
      </c>
      <c r="E2934">
        <v>0.01</v>
      </c>
      <c r="F2934" t="s">
        <v>546</v>
      </c>
      <c r="G2934" s="174">
        <v>45576.460914351854</v>
      </c>
    </row>
    <row r="2935" spans="1:7">
      <c r="A2935">
        <v>2965</v>
      </c>
      <c r="B2935" t="s">
        <v>4375</v>
      </c>
      <c r="C2935" t="s">
        <v>3437</v>
      </c>
      <c r="E2935">
        <v>0.1</v>
      </c>
      <c r="F2935" t="s">
        <v>546</v>
      </c>
      <c r="G2935" s="174">
        <v>45576.460914351854</v>
      </c>
    </row>
    <row r="2936" spans="1:7">
      <c r="A2936">
        <v>2966</v>
      </c>
      <c r="B2936" t="s">
        <v>4376</v>
      </c>
      <c r="C2936" t="s">
        <v>4344</v>
      </c>
      <c r="E2936">
        <v>0.01</v>
      </c>
      <c r="F2936" t="s">
        <v>546</v>
      </c>
      <c r="G2936" s="174">
        <v>45576.460914351854</v>
      </c>
    </row>
    <row r="2937" spans="1:7">
      <c r="A2937">
        <v>2967</v>
      </c>
      <c r="B2937" t="s">
        <v>4377</v>
      </c>
      <c r="C2937" t="s">
        <v>4378</v>
      </c>
      <c r="E2937">
        <v>0.01</v>
      </c>
      <c r="F2937" t="s">
        <v>546</v>
      </c>
      <c r="G2937" s="174">
        <v>45576.460914351854</v>
      </c>
    </row>
    <row r="2938" spans="1:7">
      <c r="A2938">
        <v>2968</v>
      </c>
      <c r="B2938" t="s">
        <v>4377</v>
      </c>
      <c r="C2938" t="s">
        <v>788</v>
      </c>
      <c r="E2938">
        <v>0.01</v>
      </c>
      <c r="F2938" t="s">
        <v>546</v>
      </c>
      <c r="G2938" s="174">
        <v>45576.460914351854</v>
      </c>
    </row>
    <row r="2939" spans="1:7">
      <c r="A2939">
        <v>2969</v>
      </c>
      <c r="B2939" t="s">
        <v>4379</v>
      </c>
      <c r="C2939" t="s">
        <v>4380</v>
      </c>
      <c r="E2939">
        <v>0.1</v>
      </c>
      <c r="F2939" t="s">
        <v>546</v>
      </c>
      <c r="G2939" s="174">
        <v>45576.460914351854</v>
      </c>
    </row>
    <row r="2940" spans="1:7">
      <c r="A2940">
        <v>2970</v>
      </c>
      <c r="B2940" t="s">
        <v>4381</v>
      </c>
      <c r="C2940" t="s">
        <v>3090</v>
      </c>
      <c r="E2940">
        <v>0.01</v>
      </c>
      <c r="F2940" t="s">
        <v>546</v>
      </c>
      <c r="G2940" s="174">
        <v>45576.460914351854</v>
      </c>
    </row>
    <row r="2941" spans="1:7">
      <c r="A2941">
        <v>2971</v>
      </c>
      <c r="B2941" t="s">
        <v>4381</v>
      </c>
      <c r="C2941" t="s">
        <v>3333</v>
      </c>
      <c r="E2941">
        <v>0.01</v>
      </c>
      <c r="F2941" t="s">
        <v>546</v>
      </c>
      <c r="G2941" s="174">
        <v>45576.460914351854</v>
      </c>
    </row>
    <row r="2942" spans="1:7">
      <c r="A2942">
        <v>2972</v>
      </c>
      <c r="B2942" t="s">
        <v>4382</v>
      </c>
      <c r="C2942" t="s">
        <v>2777</v>
      </c>
      <c r="E2942">
        <v>0.01</v>
      </c>
      <c r="F2942" t="s">
        <v>546</v>
      </c>
      <c r="G2942" s="174">
        <v>45576.460914351854</v>
      </c>
    </row>
    <row r="2943" spans="1:7">
      <c r="A2943">
        <v>2973</v>
      </c>
      <c r="B2943" t="s">
        <v>1178</v>
      </c>
      <c r="C2943" t="s">
        <v>2976</v>
      </c>
      <c r="E2943">
        <v>0.01</v>
      </c>
      <c r="F2943" t="s">
        <v>546</v>
      </c>
      <c r="G2943" s="174">
        <v>45576.460914351854</v>
      </c>
    </row>
    <row r="2944" spans="1:7">
      <c r="A2944">
        <v>2974</v>
      </c>
      <c r="B2944" t="s">
        <v>4383</v>
      </c>
      <c r="C2944" t="s">
        <v>3743</v>
      </c>
      <c r="E2944">
        <v>0.01</v>
      </c>
      <c r="F2944" t="s">
        <v>546</v>
      </c>
      <c r="G2944" s="174">
        <v>45576.460914351854</v>
      </c>
    </row>
    <row r="2945" spans="1:7">
      <c r="A2945">
        <v>2975</v>
      </c>
      <c r="B2945" t="s">
        <v>4384</v>
      </c>
      <c r="C2945" t="s">
        <v>2840</v>
      </c>
      <c r="E2945">
        <v>0.01</v>
      </c>
      <c r="F2945" t="s">
        <v>546</v>
      </c>
      <c r="G2945" s="174">
        <v>45576.460914351854</v>
      </c>
    </row>
    <row r="2946" spans="1:7">
      <c r="A2946">
        <v>2976</v>
      </c>
      <c r="B2946" t="s">
        <v>1179</v>
      </c>
      <c r="C2946" t="s">
        <v>3078</v>
      </c>
      <c r="E2946">
        <v>0.01</v>
      </c>
      <c r="F2946" t="s">
        <v>546</v>
      </c>
      <c r="G2946" s="174">
        <v>45576.460914351854</v>
      </c>
    </row>
    <row r="2947" spans="1:7">
      <c r="A2947">
        <v>2977</v>
      </c>
      <c r="B2947" t="s">
        <v>4385</v>
      </c>
      <c r="C2947" t="s">
        <v>4386</v>
      </c>
      <c r="E2947">
        <v>0.1</v>
      </c>
      <c r="F2947" t="s">
        <v>546</v>
      </c>
      <c r="G2947" s="174">
        <v>45576.460914351854</v>
      </c>
    </row>
    <row r="2948" spans="1:7">
      <c r="A2948">
        <v>2978</v>
      </c>
      <c r="B2948" t="s">
        <v>4385</v>
      </c>
      <c r="C2948" t="s">
        <v>3116</v>
      </c>
      <c r="E2948">
        <v>0.01</v>
      </c>
      <c r="F2948" t="s">
        <v>546</v>
      </c>
      <c r="G2948" s="174">
        <v>45576.460914351854</v>
      </c>
    </row>
    <row r="2949" spans="1:7">
      <c r="A2949">
        <v>2979</v>
      </c>
      <c r="B2949" t="s">
        <v>4387</v>
      </c>
      <c r="C2949" t="s">
        <v>4388</v>
      </c>
      <c r="E2949">
        <v>0.01</v>
      </c>
      <c r="F2949" t="s">
        <v>546</v>
      </c>
      <c r="G2949" s="174">
        <v>45576.460914351854</v>
      </c>
    </row>
    <row r="2950" spans="1:7">
      <c r="A2950">
        <v>2980</v>
      </c>
      <c r="B2950" t="s">
        <v>4387</v>
      </c>
      <c r="C2950" t="s">
        <v>3353</v>
      </c>
      <c r="E2950">
        <v>0.01</v>
      </c>
      <c r="F2950" t="s">
        <v>546</v>
      </c>
      <c r="G2950" s="174">
        <v>45576.460914351854</v>
      </c>
    </row>
    <row r="2951" spans="1:7">
      <c r="A2951">
        <v>2981</v>
      </c>
      <c r="B2951" t="s">
        <v>4389</v>
      </c>
      <c r="C2951" t="s">
        <v>3800</v>
      </c>
      <c r="E2951">
        <v>0.01</v>
      </c>
      <c r="F2951" t="s">
        <v>546</v>
      </c>
      <c r="G2951" s="174">
        <v>45576.460914351854</v>
      </c>
    </row>
    <row r="2952" spans="1:7">
      <c r="A2952">
        <v>2982</v>
      </c>
      <c r="B2952" t="s">
        <v>4390</v>
      </c>
      <c r="C2952" t="s">
        <v>4391</v>
      </c>
      <c r="E2952">
        <v>0.01</v>
      </c>
      <c r="F2952" t="s">
        <v>546</v>
      </c>
      <c r="G2952" s="174">
        <v>45576.460914351854</v>
      </c>
    </row>
    <row r="2953" spans="1:7">
      <c r="A2953">
        <v>2983</v>
      </c>
      <c r="B2953" t="s">
        <v>4392</v>
      </c>
      <c r="C2953" t="s">
        <v>4393</v>
      </c>
      <c r="E2953">
        <v>0.01</v>
      </c>
      <c r="F2953" t="s">
        <v>546</v>
      </c>
      <c r="G2953" s="174">
        <v>45576.460914351854</v>
      </c>
    </row>
    <row r="2954" spans="1:7">
      <c r="A2954">
        <v>2984</v>
      </c>
      <c r="B2954" t="s">
        <v>4394</v>
      </c>
      <c r="C2954" t="s">
        <v>4395</v>
      </c>
      <c r="E2954">
        <v>0.01</v>
      </c>
      <c r="F2954" t="s">
        <v>546</v>
      </c>
      <c r="G2954" s="174">
        <v>45576.460914351854</v>
      </c>
    </row>
    <row r="2955" spans="1:7">
      <c r="A2955">
        <v>2985</v>
      </c>
      <c r="B2955" t="s">
        <v>4396</v>
      </c>
      <c r="C2955" t="s">
        <v>4397</v>
      </c>
      <c r="E2955">
        <v>1</v>
      </c>
      <c r="F2955" t="s">
        <v>546</v>
      </c>
      <c r="G2955" s="174">
        <v>45576.460914351854</v>
      </c>
    </row>
    <row r="2956" spans="1:7">
      <c r="A2956">
        <v>2986</v>
      </c>
      <c r="B2956" t="s">
        <v>4396</v>
      </c>
      <c r="C2956" t="s">
        <v>4398</v>
      </c>
      <c r="E2956">
        <v>0.7</v>
      </c>
      <c r="F2956" t="s">
        <v>4399</v>
      </c>
      <c r="G2956" s="174">
        <v>45576.460914351854</v>
      </c>
    </row>
    <row r="2957" spans="1:7">
      <c r="A2957">
        <v>2987</v>
      </c>
      <c r="B2957" t="s">
        <v>4400</v>
      </c>
      <c r="C2957" t="s">
        <v>3792</v>
      </c>
      <c r="E2957">
        <v>0.1</v>
      </c>
      <c r="F2957" t="s">
        <v>546</v>
      </c>
      <c r="G2957" s="174">
        <v>45576.460914351854</v>
      </c>
    </row>
    <row r="2958" spans="1:7">
      <c r="A2958">
        <v>2988</v>
      </c>
      <c r="B2958" t="s">
        <v>4401</v>
      </c>
      <c r="C2958" t="s">
        <v>3207</v>
      </c>
      <c r="E2958">
        <v>0.01</v>
      </c>
      <c r="F2958" t="s">
        <v>546</v>
      </c>
      <c r="G2958" s="174">
        <v>45576.460914351854</v>
      </c>
    </row>
    <row r="2959" spans="1:7">
      <c r="A2959">
        <v>2989</v>
      </c>
      <c r="B2959" t="s">
        <v>4402</v>
      </c>
      <c r="C2959" t="s">
        <v>3394</v>
      </c>
      <c r="E2959">
        <v>0.01</v>
      </c>
      <c r="F2959" t="s">
        <v>546</v>
      </c>
      <c r="G2959" s="174">
        <v>45576.460914351854</v>
      </c>
    </row>
    <row r="2960" spans="1:7">
      <c r="A2960">
        <v>2990</v>
      </c>
      <c r="B2960" t="s">
        <v>4403</v>
      </c>
      <c r="C2960" t="s">
        <v>4404</v>
      </c>
      <c r="E2960">
        <v>0.01</v>
      </c>
      <c r="F2960" t="s">
        <v>546</v>
      </c>
      <c r="G2960" s="174">
        <v>45576.460914351854</v>
      </c>
    </row>
    <row r="2961" spans="1:7">
      <c r="A2961">
        <v>2991</v>
      </c>
      <c r="B2961" t="s">
        <v>4405</v>
      </c>
      <c r="C2961" t="s">
        <v>4406</v>
      </c>
      <c r="E2961">
        <v>0.01</v>
      </c>
      <c r="F2961" t="s">
        <v>546</v>
      </c>
      <c r="G2961" s="174">
        <v>45576.460914351854</v>
      </c>
    </row>
    <row r="2962" spans="1:7">
      <c r="A2962">
        <v>2992</v>
      </c>
      <c r="B2962" t="s">
        <v>4405</v>
      </c>
      <c r="C2962" t="s">
        <v>3281</v>
      </c>
      <c r="E2962">
        <v>0.01</v>
      </c>
      <c r="F2962" t="s">
        <v>546</v>
      </c>
      <c r="G2962" s="174">
        <v>45576.460914351854</v>
      </c>
    </row>
    <row r="2963" spans="1:7">
      <c r="A2963">
        <v>2993</v>
      </c>
      <c r="B2963" t="s">
        <v>4407</v>
      </c>
      <c r="C2963" t="s">
        <v>4408</v>
      </c>
      <c r="E2963">
        <v>0.01</v>
      </c>
      <c r="F2963" t="s">
        <v>546</v>
      </c>
      <c r="G2963" s="174">
        <v>45576.460914351854</v>
      </c>
    </row>
    <row r="2964" spans="1:7">
      <c r="A2964">
        <v>2995</v>
      </c>
      <c r="B2964" t="s">
        <v>1187</v>
      </c>
      <c r="C2964" t="s">
        <v>3272</v>
      </c>
      <c r="E2964">
        <v>0.7</v>
      </c>
      <c r="F2964" t="s">
        <v>2104</v>
      </c>
      <c r="G2964" s="174">
        <v>45576.460914351854</v>
      </c>
    </row>
    <row r="2965" spans="1:7">
      <c r="A2965">
        <v>2996</v>
      </c>
      <c r="B2965" t="s">
        <v>1187</v>
      </c>
      <c r="C2965" t="s">
        <v>4409</v>
      </c>
      <c r="E2965">
        <v>0.6</v>
      </c>
      <c r="F2965" t="s">
        <v>546</v>
      </c>
      <c r="G2965" s="174">
        <v>45576.460914351854</v>
      </c>
    </row>
    <row r="2966" spans="1:7">
      <c r="A2966">
        <v>2997</v>
      </c>
      <c r="B2966" t="s">
        <v>1187</v>
      </c>
      <c r="C2966" t="s">
        <v>2877</v>
      </c>
      <c r="E2966">
        <v>0.8</v>
      </c>
      <c r="F2966" t="s">
        <v>546</v>
      </c>
      <c r="G2966" s="174">
        <v>45576.460914351854</v>
      </c>
    </row>
    <row r="2967" spans="1:7">
      <c r="A2967">
        <v>2998</v>
      </c>
      <c r="B2967" t="s">
        <v>4410</v>
      </c>
      <c r="C2967" t="s">
        <v>4411</v>
      </c>
      <c r="E2967">
        <v>0.1</v>
      </c>
      <c r="F2967" t="s">
        <v>546</v>
      </c>
      <c r="G2967" s="174">
        <v>45576.460914351854</v>
      </c>
    </row>
    <row r="2968" spans="1:7">
      <c r="A2968">
        <v>2999</v>
      </c>
      <c r="B2968" t="s">
        <v>4410</v>
      </c>
      <c r="C2968" t="s">
        <v>4119</v>
      </c>
      <c r="E2968">
        <v>0.01</v>
      </c>
      <c r="F2968" t="s">
        <v>546</v>
      </c>
      <c r="G2968" s="174">
        <v>45576.460914351854</v>
      </c>
    </row>
    <row r="2969" spans="1:7">
      <c r="A2969">
        <v>3000</v>
      </c>
      <c r="B2969" t="s">
        <v>4412</v>
      </c>
      <c r="C2969" t="s">
        <v>4413</v>
      </c>
      <c r="E2969">
        <v>0.01</v>
      </c>
      <c r="F2969" t="s">
        <v>546</v>
      </c>
      <c r="G2969" s="174">
        <v>45576.460914351854</v>
      </c>
    </row>
    <row r="2970" spans="1:7">
      <c r="A2970">
        <v>3001</v>
      </c>
      <c r="B2970" t="s">
        <v>4414</v>
      </c>
      <c r="C2970" t="s">
        <v>2840</v>
      </c>
      <c r="E2970">
        <v>0.6</v>
      </c>
      <c r="F2970" t="s">
        <v>546</v>
      </c>
      <c r="G2970" s="174">
        <v>45576.460914351854</v>
      </c>
    </row>
    <row r="2971" spans="1:7">
      <c r="A2971">
        <v>3002</v>
      </c>
      <c r="B2971" t="s">
        <v>4414</v>
      </c>
      <c r="C2971" t="s">
        <v>3080</v>
      </c>
      <c r="E2971">
        <v>0.1</v>
      </c>
      <c r="F2971" t="s">
        <v>546</v>
      </c>
      <c r="G2971" s="174">
        <v>45576.460914351854</v>
      </c>
    </row>
    <row r="2972" spans="1:7">
      <c r="A2972">
        <v>3003</v>
      </c>
      <c r="B2972" t="s">
        <v>4414</v>
      </c>
      <c r="C2972" t="s">
        <v>3083</v>
      </c>
      <c r="E2972">
        <v>0.01</v>
      </c>
      <c r="F2972" t="s">
        <v>546</v>
      </c>
      <c r="G2972" s="174">
        <v>45576.460914351854</v>
      </c>
    </row>
    <row r="2973" spans="1:7">
      <c r="A2973">
        <v>3004</v>
      </c>
      <c r="B2973" t="s">
        <v>4415</v>
      </c>
      <c r="C2973" t="s">
        <v>3732</v>
      </c>
      <c r="E2973">
        <v>0.01</v>
      </c>
      <c r="F2973" t="s">
        <v>546</v>
      </c>
      <c r="G2973" s="174">
        <v>45576.460914351854</v>
      </c>
    </row>
    <row r="2974" spans="1:7">
      <c r="A2974">
        <v>3005</v>
      </c>
      <c r="B2974" t="s">
        <v>4416</v>
      </c>
      <c r="C2974" t="s">
        <v>4417</v>
      </c>
      <c r="E2974">
        <v>0.1</v>
      </c>
      <c r="F2974" t="s">
        <v>546</v>
      </c>
      <c r="G2974" s="174">
        <v>45576.460914351854</v>
      </c>
    </row>
    <row r="2975" spans="1:7">
      <c r="A2975">
        <v>3006</v>
      </c>
      <c r="B2975" t="s">
        <v>4418</v>
      </c>
      <c r="C2975" t="s">
        <v>3286</v>
      </c>
      <c r="E2975">
        <v>0.1</v>
      </c>
      <c r="F2975" t="s">
        <v>546</v>
      </c>
      <c r="G2975" s="174">
        <v>45576.460914351854</v>
      </c>
    </row>
    <row r="2976" spans="1:7">
      <c r="A2976">
        <v>3007</v>
      </c>
      <c r="B2976" t="s">
        <v>4419</v>
      </c>
      <c r="C2976" t="s">
        <v>4420</v>
      </c>
      <c r="E2976">
        <v>0.01</v>
      </c>
      <c r="F2976" t="s">
        <v>546</v>
      </c>
      <c r="G2976" s="174">
        <v>45576.460914351854</v>
      </c>
    </row>
    <row r="2977" spans="1:7">
      <c r="A2977">
        <v>3008</v>
      </c>
      <c r="B2977" t="s">
        <v>4421</v>
      </c>
      <c r="C2977" t="s">
        <v>2994</v>
      </c>
      <c r="E2977">
        <v>0.01</v>
      </c>
      <c r="F2977" t="s">
        <v>546</v>
      </c>
      <c r="G2977" s="174">
        <v>45576.460914351854</v>
      </c>
    </row>
    <row r="2978" spans="1:7">
      <c r="A2978">
        <v>3009</v>
      </c>
      <c r="B2978" t="s">
        <v>4422</v>
      </c>
      <c r="C2978" t="s">
        <v>3246</v>
      </c>
      <c r="E2978">
        <v>0.01</v>
      </c>
      <c r="F2978" t="s">
        <v>546</v>
      </c>
      <c r="G2978" s="174">
        <v>45576.460914351854</v>
      </c>
    </row>
    <row r="2979" spans="1:7">
      <c r="A2979">
        <v>3010</v>
      </c>
      <c r="B2979" t="s">
        <v>4423</v>
      </c>
      <c r="C2979" t="s">
        <v>3218</v>
      </c>
      <c r="E2979">
        <v>0.01</v>
      </c>
      <c r="F2979" t="s">
        <v>546</v>
      </c>
      <c r="G2979" s="174">
        <v>45576.460914351854</v>
      </c>
    </row>
    <row r="2980" spans="1:7">
      <c r="A2980">
        <v>3011</v>
      </c>
      <c r="B2980" t="s">
        <v>4424</v>
      </c>
      <c r="C2980" t="s">
        <v>3871</v>
      </c>
      <c r="E2980">
        <v>0.01</v>
      </c>
      <c r="F2980" t="s">
        <v>546</v>
      </c>
      <c r="G2980" s="174">
        <v>45576.460914351854</v>
      </c>
    </row>
    <row r="2981" spans="1:7">
      <c r="A2981">
        <v>3012</v>
      </c>
      <c r="B2981" t="s">
        <v>4425</v>
      </c>
      <c r="C2981" t="s">
        <v>3339</v>
      </c>
      <c r="E2981">
        <v>0.01</v>
      </c>
      <c r="F2981" t="s">
        <v>546</v>
      </c>
      <c r="G2981" s="174">
        <v>45576.460914351854</v>
      </c>
    </row>
    <row r="2982" spans="1:7">
      <c r="A2982">
        <v>3013</v>
      </c>
      <c r="B2982" t="s">
        <v>4426</v>
      </c>
      <c r="C2982" t="s">
        <v>2912</v>
      </c>
      <c r="E2982">
        <v>0.8</v>
      </c>
      <c r="F2982" t="s">
        <v>546</v>
      </c>
      <c r="G2982" s="174">
        <v>45576.460914351854</v>
      </c>
    </row>
    <row r="2983" spans="1:7">
      <c r="A2983">
        <v>3014</v>
      </c>
      <c r="B2983" t="s">
        <v>4426</v>
      </c>
      <c r="C2983" t="s">
        <v>4427</v>
      </c>
      <c r="E2983">
        <v>0.6</v>
      </c>
      <c r="F2983" t="s">
        <v>546</v>
      </c>
      <c r="G2983" s="174">
        <v>45576.460914351854</v>
      </c>
    </row>
    <row r="2984" spans="1:7">
      <c r="A2984">
        <v>3015</v>
      </c>
      <c r="B2984" t="s">
        <v>4428</v>
      </c>
      <c r="C2984" t="s">
        <v>3557</v>
      </c>
      <c r="E2984">
        <v>0.01</v>
      </c>
      <c r="F2984" t="s">
        <v>546</v>
      </c>
      <c r="G2984" s="174">
        <v>45576.460914351854</v>
      </c>
    </row>
    <row r="2985" spans="1:7">
      <c r="A2985">
        <v>3016</v>
      </c>
      <c r="B2985" t="s">
        <v>1195</v>
      </c>
      <c r="C2985" t="s">
        <v>4429</v>
      </c>
      <c r="E2985">
        <v>0.01</v>
      </c>
      <c r="F2985" t="s">
        <v>546</v>
      </c>
      <c r="G2985" s="174">
        <v>45576.460914351854</v>
      </c>
    </row>
    <row r="2986" spans="1:7">
      <c r="A2986">
        <v>3017</v>
      </c>
      <c r="B2986" t="s">
        <v>4430</v>
      </c>
      <c r="C2986" t="s">
        <v>4431</v>
      </c>
      <c r="E2986">
        <v>0.01</v>
      </c>
      <c r="F2986" t="s">
        <v>546</v>
      </c>
      <c r="G2986" s="174">
        <v>45576.460914351854</v>
      </c>
    </row>
    <row r="2987" spans="1:7">
      <c r="A2987">
        <v>3018</v>
      </c>
      <c r="B2987" t="s">
        <v>4430</v>
      </c>
      <c r="C2987" t="s">
        <v>3686</v>
      </c>
      <c r="E2987">
        <v>0.01</v>
      </c>
      <c r="F2987" t="s">
        <v>546</v>
      </c>
      <c r="G2987" s="174">
        <v>45576.460914351854</v>
      </c>
    </row>
    <row r="2988" spans="1:7">
      <c r="A2988">
        <v>3019</v>
      </c>
      <c r="B2988" t="s">
        <v>4432</v>
      </c>
      <c r="C2988" t="s">
        <v>2753</v>
      </c>
      <c r="E2988">
        <v>0.01</v>
      </c>
      <c r="F2988" t="s">
        <v>546</v>
      </c>
      <c r="G2988" s="174">
        <v>45576.460914351854</v>
      </c>
    </row>
    <row r="2989" spans="1:7">
      <c r="A2989">
        <v>3020</v>
      </c>
      <c r="B2989" t="s">
        <v>4433</v>
      </c>
      <c r="C2989" t="s">
        <v>2835</v>
      </c>
      <c r="E2989">
        <v>0.01</v>
      </c>
      <c r="F2989" t="s">
        <v>546</v>
      </c>
      <c r="G2989" s="174">
        <v>45576.460914351854</v>
      </c>
    </row>
    <row r="2990" spans="1:7">
      <c r="A2990">
        <v>3021</v>
      </c>
      <c r="B2990" t="s">
        <v>4434</v>
      </c>
      <c r="C2990" t="s">
        <v>4435</v>
      </c>
      <c r="E2990">
        <v>0.01</v>
      </c>
      <c r="F2990" t="s">
        <v>546</v>
      </c>
      <c r="G2990" s="174">
        <v>45576.460914351854</v>
      </c>
    </row>
    <row r="2991" spans="1:7">
      <c r="A2991">
        <v>3022</v>
      </c>
      <c r="B2991" t="s">
        <v>4434</v>
      </c>
      <c r="C2991" t="s">
        <v>2884</v>
      </c>
      <c r="E2991">
        <v>0.01</v>
      </c>
      <c r="F2991" t="s">
        <v>546</v>
      </c>
      <c r="G2991" s="174">
        <v>45576.460914351854</v>
      </c>
    </row>
    <row r="2992" spans="1:7">
      <c r="A2992">
        <v>3023</v>
      </c>
      <c r="B2992" t="s">
        <v>4436</v>
      </c>
      <c r="C2992" t="s">
        <v>4437</v>
      </c>
      <c r="E2992">
        <v>0.1</v>
      </c>
      <c r="F2992" t="s">
        <v>546</v>
      </c>
      <c r="G2992" s="174">
        <v>45576.460914351854</v>
      </c>
    </row>
    <row r="2993" spans="1:7">
      <c r="A2993">
        <v>3024</v>
      </c>
      <c r="B2993" t="s">
        <v>4438</v>
      </c>
      <c r="C2993" t="s">
        <v>4380</v>
      </c>
      <c r="E2993">
        <v>0.01</v>
      </c>
      <c r="F2993" t="s">
        <v>546</v>
      </c>
      <c r="G2993" s="174">
        <v>45576.460914351854</v>
      </c>
    </row>
    <row r="2994" spans="1:7">
      <c r="A2994">
        <v>3025</v>
      </c>
      <c r="B2994" t="s">
        <v>4439</v>
      </c>
      <c r="C2994" t="s">
        <v>3075</v>
      </c>
      <c r="E2994">
        <v>0.01</v>
      </c>
      <c r="F2994" t="s">
        <v>546</v>
      </c>
      <c r="G2994" s="174">
        <v>45576.460914351854</v>
      </c>
    </row>
    <row r="2995" spans="1:7">
      <c r="A2995">
        <v>3026</v>
      </c>
      <c r="B2995" t="s">
        <v>4439</v>
      </c>
      <c r="C2995" t="s">
        <v>3076</v>
      </c>
      <c r="E2995">
        <v>0.01</v>
      </c>
      <c r="F2995" t="s">
        <v>546</v>
      </c>
      <c r="G2995" s="174">
        <v>45576.460914351854</v>
      </c>
    </row>
    <row r="2996" spans="1:7">
      <c r="A2996">
        <v>3027</v>
      </c>
      <c r="B2996" t="s">
        <v>4440</v>
      </c>
      <c r="C2996" t="s">
        <v>4027</v>
      </c>
      <c r="E2996">
        <v>0.01</v>
      </c>
      <c r="F2996" t="s">
        <v>546</v>
      </c>
      <c r="G2996" s="174">
        <v>45576.460914351854</v>
      </c>
    </row>
    <row r="2997" spans="1:7">
      <c r="A2997">
        <v>3028</v>
      </c>
      <c r="B2997" t="s">
        <v>4441</v>
      </c>
      <c r="C2997" t="s">
        <v>2772</v>
      </c>
      <c r="E2997">
        <v>0.01</v>
      </c>
      <c r="F2997" t="s">
        <v>546</v>
      </c>
      <c r="G2997" s="174">
        <v>45576.460914351854</v>
      </c>
    </row>
    <row r="2998" spans="1:7">
      <c r="A2998">
        <v>3029</v>
      </c>
      <c r="B2998" t="s">
        <v>4442</v>
      </c>
      <c r="C2998" t="s">
        <v>3378</v>
      </c>
      <c r="E2998">
        <v>0.6</v>
      </c>
      <c r="F2998" t="s">
        <v>546</v>
      </c>
      <c r="G2998" s="174">
        <v>45576.460914351854</v>
      </c>
    </row>
    <row r="2999" spans="1:7">
      <c r="A2999">
        <v>3030</v>
      </c>
      <c r="B2999" t="s">
        <v>4442</v>
      </c>
      <c r="C2999" t="s">
        <v>4443</v>
      </c>
      <c r="E2999">
        <v>0.8</v>
      </c>
      <c r="F2999" t="s">
        <v>546</v>
      </c>
      <c r="G2999" s="174">
        <v>45576.460914351854</v>
      </c>
    </row>
    <row r="3000" spans="1:7">
      <c r="A3000">
        <v>3031</v>
      </c>
      <c r="B3000" t="s">
        <v>4444</v>
      </c>
      <c r="C3000" t="s">
        <v>3971</v>
      </c>
      <c r="E3000">
        <v>0.1</v>
      </c>
      <c r="F3000" t="s">
        <v>546</v>
      </c>
      <c r="G3000" s="174">
        <v>45576.460914351854</v>
      </c>
    </row>
    <row r="3001" spans="1:7">
      <c r="A3001">
        <v>3032</v>
      </c>
      <c r="B3001" t="s">
        <v>4445</v>
      </c>
      <c r="C3001" t="s">
        <v>4446</v>
      </c>
      <c r="E3001">
        <v>0.01</v>
      </c>
      <c r="F3001" t="s">
        <v>546</v>
      </c>
      <c r="G3001" s="174">
        <v>45576.460914351854</v>
      </c>
    </row>
    <row r="3002" spans="1:7">
      <c r="A3002">
        <v>3033</v>
      </c>
      <c r="B3002" t="s">
        <v>1200</v>
      </c>
      <c r="C3002" t="s">
        <v>2848</v>
      </c>
      <c r="E3002">
        <v>0.1</v>
      </c>
      <c r="F3002" t="s">
        <v>546</v>
      </c>
      <c r="G3002" s="174">
        <v>45576.460914351854</v>
      </c>
    </row>
    <row r="3003" spans="1:7">
      <c r="A3003">
        <v>3034</v>
      </c>
      <c r="B3003" t="s">
        <v>1200</v>
      </c>
      <c r="C3003" t="s">
        <v>2831</v>
      </c>
      <c r="E3003">
        <v>0.1</v>
      </c>
      <c r="F3003" t="s">
        <v>546</v>
      </c>
      <c r="G3003" s="174">
        <v>45576.460914351854</v>
      </c>
    </row>
    <row r="3004" spans="1:7">
      <c r="A3004">
        <v>3035</v>
      </c>
      <c r="B3004" t="s">
        <v>1200</v>
      </c>
      <c r="C3004" t="s">
        <v>2884</v>
      </c>
      <c r="E3004">
        <v>0.01</v>
      </c>
      <c r="F3004" t="s">
        <v>546</v>
      </c>
      <c r="G3004" s="174">
        <v>45576.460914351854</v>
      </c>
    </row>
    <row r="3005" spans="1:7">
      <c r="A3005">
        <v>3036</v>
      </c>
      <c r="B3005" t="s">
        <v>1200</v>
      </c>
      <c r="C3005" t="s">
        <v>4447</v>
      </c>
      <c r="E3005">
        <v>0.01</v>
      </c>
      <c r="F3005" t="s">
        <v>546</v>
      </c>
      <c r="G3005" s="174">
        <v>45576.460914351854</v>
      </c>
    </row>
    <row r="3006" spans="1:7">
      <c r="A3006">
        <v>3037</v>
      </c>
      <c r="B3006" t="s">
        <v>1205</v>
      </c>
      <c r="C3006" t="s">
        <v>4448</v>
      </c>
      <c r="E3006">
        <v>0.01</v>
      </c>
      <c r="F3006" t="s">
        <v>546</v>
      </c>
      <c r="G3006" s="174">
        <v>45576.460914351854</v>
      </c>
    </row>
    <row r="3007" spans="1:7">
      <c r="A3007">
        <v>3038</v>
      </c>
      <c r="B3007" t="s">
        <v>4449</v>
      </c>
      <c r="C3007" t="s">
        <v>4450</v>
      </c>
      <c r="E3007">
        <v>0.01</v>
      </c>
      <c r="F3007" t="s">
        <v>546</v>
      </c>
      <c r="G3007" s="174">
        <v>45576.460914351854</v>
      </c>
    </row>
    <row r="3008" spans="1:7">
      <c r="A3008">
        <v>3039</v>
      </c>
      <c r="B3008" t="s">
        <v>4451</v>
      </c>
      <c r="C3008" t="s">
        <v>4452</v>
      </c>
      <c r="E3008">
        <v>0.01</v>
      </c>
      <c r="F3008" t="s">
        <v>546</v>
      </c>
      <c r="G3008" s="174">
        <v>45576.460914351854</v>
      </c>
    </row>
    <row r="3009" spans="1:7">
      <c r="A3009">
        <v>3040</v>
      </c>
      <c r="B3009" t="s">
        <v>4451</v>
      </c>
      <c r="C3009" t="s">
        <v>4453</v>
      </c>
      <c r="E3009">
        <v>0.01</v>
      </c>
      <c r="F3009" t="s">
        <v>546</v>
      </c>
      <c r="G3009" s="174">
        <v>45576.460914351854</v>
      </c>
    </row>
    <row r="3010" spans="1:7">
      <c r="A3010">
        <v>3041</v>
      </c>
      <c r="B3010" t="s">
        <v>4454</v>
      </c>
      <c r="C3010" t="s">
        <v>3144</v>
      </c>
      <c r="E3010">
        <v>0.1</v>
      </c>
      <c r="F3010" t="s">
        <v>546</v>
      </c>
      <c r="G3010" s="174">
        <v>45576.460914351854</v>
      </c>
    </row>
    <row r="3011" spans="1:7">
      <c r="A3011">
        <v>3042</v>
      </c>
      <c r="B3011" t="s">
        <v>4455</v>
      </c>
      <c r="C3011" t="s">
        <v>3933</v>
      </c>
      <c r="E3011">
        <v>0.8</v>
      </c>
      <c r="F3011" t="s">
        <v>546</v>
      </c>
      <c r="G3011" s="174">
        <v>45576.460914351854</v>
      </c>
    </row>
    <row r="3012" spans="1:7">
      <c r="A3012">
        <v>3043</v>
      </c>
      <c r="B3012" t="s">
        <v>4456</v>
      </c>
      <c r="C3012" t="s">
        <v>2840</v>
      </c>
      <c r="E3012">
        <v>0.8</v>
      </c>
      <c r="F3012" t="s">
        <v>546</v>
      </c>
      <c r="G3012" s="174">
        <v>45576.460914351854</v>
      </c>
    </row>
    <row r="3013" spans="1:7">
      <c r="A3013">
        <v>3044</v>
      </c>
      <c r="B3013" t="s">
        <v>4457</v>
      </c>
      <c r="C3013" t="s">
        <v>4458</v>
      </c>
      <c r="E3013">
        <v>0.1</v>
      </c>
      <c r="F3013" t="s">
        <v>546</v>
      </c>
      <c r="G3013" s="174">
        <v>45576.460914351854</v>
      </c>
    </row>
    <row r="3014" spans="1:7">
      <c r="A3014">
        <v>3045</v>
      </c>
      <c r="B3014" t="s">
        <v>1210</v>
      </c>
      <c r="C3014" t="s">
        <v>4271</v>
      </c>
      <c r="E3014">
        <v>0.6</v>
      </c>
      <c r="F3014" t="s">
        <v>546</v>
      </c>
      <c r="G3014" s="174">
        <v>45576.460914351854</v>
      </c>
    </row>
    <row r="3015" spans="1:7">
      <c r="A3015">
        <v>3046</v>
      </c>
      <c r="B3015" t="s">
        <v>1210</v>
      </c>
      <c r="C3015" t="s">
        <v>741</v>
      </c>
      <c r="E3015">
        <v>0.8</v>
      </c>
      <c r="F3015" t="s">
        <v>546</v>
      </c>
      <c r="G3015" s="174">
        <v>45576.460914351854</v>
      </c>
    </row>
    <row r="3016" spans="1:7">
      <c r="A3016">
        <v>3047</v>
      </c>
      <c r="B3016" t="s">
        <v>4459</v>
      </c>
      <c r="C3016" t="s">
        <v>4460</v>
      </c>
      <c r="E3016">
        <v>0.6</v>
      </c>
      <c r="F3016" t="s">
        <v>546</v>
      </c>
      <c r="G3016" s="174">
        <v>45576.460914351854</v>
      </c>
    </row>
    <row r="3017" spans="1:7">
      <c r="A3017">
        <v>3048</v>
      </c>
      <c r="B3017" t="s">
        <v>4461</v>
      </c>
      <c r="C3017" t="s">
        <v>3456</v>
      </c>
      <c r="E3017">
        <v>0.01</v>
      </c>
      <c r="F3017" t="s">
        <v>546</v>
      </c>
      <c r="G3017" s="174">
        <v>45576.460914351854</v>
      </c>
    </row>
    <row r="3018" spans="1:7">
      <c r="A3018">
        <v>3049</v>
      </c>
      <c r="B3018" t="s">
        <v>4462</v>
      </c>
      <c r="C3018" t="s">
        <v>4463</v>
      </c>
      <c r="E3018">
        <v>0.8</v>
      </c>
      <c r="F3018" t="s">
        <v>4464</v>
      </c>
      <c r="G3018" s="174">
        <v>45576.460914351854</v>
      </c>
    </row>
    <row r="3019" spans="1:7">
      <c r="A3019">
        <v>3050</v>
      </c>
      <c r="B3019" t="s">
        <v>1212</v>
      </c>
      <c r="C3019" t="s">
        <v>4465</v>
      </c>
      <c r="E3019">
        <v>0.01</v>
      </c>
      <c r="F3019" t="s">
        <v>546</v>
      </c>
      <c r="G3019" s="174">
        <v>45576.460914351854</v>
      </c>
    </row>
    <row r="3020" spans="1:7">
      <c r="A3020">
        <v>3051</v>
      </c>
      <c r="B3020" t="s">
        <v>1212</v>
      </c>
      <c r="C3020" t="s">
        <v>4466</v>
      </c>
      <c r="E3020">
        <v>0.01</v>
      </c>
      <c r="F3020" t="s">
        <v>546</v>
      </c>
      <c r="G3020" s="174">
        <v>45576.460914351854</v>
      </c>
    </row>
    <row r="3021" spans="1:7">
      <c r="A3021">
        <v>3052</v>
      </c>
      <c r="B3021" t="s">
        <v>4467</v>
      </c>
      <c r="C3021" t="s">
        <v>3190</v>
      </c>
      <c r="E3021">
        <v>0.8</v>
      </c>
      <c r="F3021" t="s">
        <v>546</v>
      </c>
      <c r="G3021" s="174">
        <v>45576.460914351854</v>
      </c>
    </row>
    <row r="3022" spans="1:7">
      <c r="A3022">
        <v>3053</v>
      </c>
      <c r="B3022" t="s">
        <v>4468</v>
      </c>
      <c r="C3022" t="s">
        <v>3914</v>
      </c>
      <c r="E3022">
        <v>0.01</v>
      </c>
      <c r="F3022" t="s">
        <v>546</v>
      </c>
      <c r="G3022" s="174">
        <v>45576.460914351854</v>
      </c>
    </row>
    <row r="3023" spans="1:7">
      <c r="A3023">
        <v>3054</v>
      </c>
      <c r="B3023" t="s">
        <v>4469</v>
      </c>
      <c r="C3023" t="s">
        <v>4065</v>
      </c>
      <c r="E3023">
        <v>0.01</v>
      </c>
      <c r="F3023" t="s">
        <v>546</v>
      </c>
      <c r="G3023" s="174">
        <v>45576.460914351854</v>
      </c>
    </row>
    <row r="3024" spans="1:7">
      <c r="A3024">
        <v>3055</v>
      </c>
      <c r="B3024" t="s">
        <v>1218</v>
      </c>
      <c r="C3024" t="s">
        <v>4470</v>
      </c>
      <c r="E3024">
        <v>0.01</v>
      </c>
      <c r="F3024" t="s">
        <v>546</v>
      </c>
      <c r="G3024" s="174">
        <v>45576.460914351854</v>
      </c>
    </row>
    <row r="3025" spans="1:7">
      <c r="A3025">
        <v>3056</v>
      </c>
      <c r="B3025" t="s">
        <v>4471</v>
      </c>
      <c r="C3025" t="s">
        <v>4472</v>
      </c>
      <c r="E3025">
        <v>0.01</v>
      </c>
      <c r="F3025" t="s">
        <v>546</v>
      </c>
      <c r="G3025" s="174">
        <v>45576.460914351854</v>
      </c>
    </row>
    <row r="3026" spans="1:7">
      <c r="A3026">
        <v>3057</v>
      </c>
      <c r="B3026" t="s">
        <v>4473</v>
      </c>
      <c r="C3026" t="s">
        <v>4182</v>
      </c>
      <c r="E3026">
        <v>0.01</v>
      </c>
      <c r="F3026" t="s">
        <v>546</v>
      </c>
      <c r="G3026" s="174">
        <v>45576.460914351854</v>
      </c>
    </row>
    <row r="3027" spans="1:7">
      <c r="A3027">
        <v>3058</v>
      </c>
      <c r="B3027" t="s">
        <v>4474</v>
      </c>
      <c r="C3027" t="s">
        <v>4475</v>
      </c>
      <c r="E3027">
        <v>0.01</v>
      </c>
      <c r="F3027" t="s">
        <v>546</v>
      </c>
      <c r="G3027" s="174">
        <v>45576.460914351854</v>
      </c>
    </row>
    <row r="3028" spans="1:7">
      <c r="A3028">
        <v>3059</v>
      </c>
      <c r="B3028" t="s">
        <v>4474</v>
      </c>
      <c r="C3028" t="s">
        <v>3329</v>
      </c>
      <c r="E3028">
        <v>0.01</v>
      </c>
      <c r="F3028" t="s">
        <v>546</v>
      </c>
      <c r="G3028" s="174">
        <v>45576.460914351854</v>
      </c>
    </row>
    <row r="3029" spans="1:7">
      <c r="A3029">
        <v>3060</v>
      </c>
      <c r="B3029" t="s">
        <v>4476</v>
      </c>
      <c r="C3029" t="s">
        <v>3389</v>
      </c>
      <c r="E3029">
        <v>0.01</v>
      </c>
      <c r="F3029" t="s">
        <v>546</v>
      </c>
      <c r="G3029" s="174">
        <v>45576.460914351854</v>
      </c>
    </row>
    <row r="3030" spans="1:7">
      <c r="A3030">
        <v>3061</v>
      </c>
      <c r="B3030" t="s">
        <v>4476</v>
      </c>
      <c r="C3030" t="s">
        <v>3390</v>
      </c>
      <c r="E3030">
        <v>0.01</v>
      </c>
      <c r="F3030" t="s">
        <v>546</v>
      </c>
      <c r="G3030" s="174">
        <v>45576.460914351854</v>
      </c>
    </row>
    <row r="3031" spans="1:7">
      <c r="A3031">
        <v>3062</v>
      </c>
      <c r="B3031" t="s">
        <v>4477</v>
      </c>
      <c r="C3031" t="s">
        <v>3758</v>
      </c>
      <c r="E3031">
        <v>0.1</v>
      </c>
      <c r="F3031" t="s">
        <v>546</v>
      </c>
      <c r="G3031" s="174">
        <v>45576.460914351854</v>
      </c>
    </row>
    <row r="3032" spans="1:7">
      <c r="A3032">
        <v>3063</v>
      </c>
      <c r="B3032" t="s">
        <v>1221</v>
      </c>
      <c r="C3032" t="s">
        <v>3409</v>
      </c>
      <c r="E3032">
        <v>0.01</v>
      </c>
      <c r="F3032" t="s">
        <v>546</v>
      </c>
      <c r="G3032" s="174">
        <v>45576.460914351854</v>
      </c>
    </row>
    <row r="3033" spans="1:7">
      <c r="A3033">
        <v>3064</v>
      </c>
      <c r="B3033" t="s">
        <v>4478</v>
      </c>
      <c r="C3033" t="s">
        <v>4479</v>
      </c>
      <c r="E3033">
        <v>0.01</v>
      </c>
      <c r="F3033" t="s">
        <v>546</v>
      </c>
      <c r="G3033" s="174">
        <v>45576.460914351854</v>
      </c>
    </row>
    <row r="3034" spans="1:7">
      <c r="A3034">
        <v>3065</v>
      </c>
      <c r="B3034" t="s">
        <v>4480</v>
      </c>
      <c r="C3034" t="s">
        <v>2777</v>
      </c>
      <c r="E3034">
        <v>0.01</v>
      </c>
      <c r="F3034" t="s">
        <v>546</v>
      </c>
      <c r="G3034" s="174">
        <v>45576.460914351854</v>
      </c>
    </row>
    <row r="3035" spans="1:7">
      <c r="A3035">
        <v>3066</v>
      </c>
      <c r="B3035" t="s">
        <v>4481</v>
      </c>
      <c r="C3035" t="s">
        <v>3421</v>
      </c>
      <c r="E3035">
        <v>0.01</v>
      </c>
      <c r="F3035" t="s">
        <v>546</v>
      </c>
      <c r="G3035" s="174">
        <v>45576.460914351854</v>
      </c>
    </row>
    <row r="3036" spans="1:7">
      <c r="A3036">
        <v>3067</v>
      </c>
      <c r="B3036" t="s">
        <v>4481</v>
      </c>
      <c r="C3036" t="s">
        <v>3422</v>
      </c>
      <c r="E3036">
        <v>0.01</v>
      </c>
      <c r="F3036" t="s">
        <v>546</v>
      </c>
      <c r="G3036" s="174">
        <v>45576.460914351854</v>
      </c>
    </row>
    <row r="3037" spans="1:7">
      <c r="A3037">
        <v>3068</v>
      </c>
      <c r="B3037" t="s">
        <v>4482</v>
      </c>
      <c r="C3037" t="s">
        <v>3164</v>
      </c>
      <c r="E3037">
        <v>0.05</v>
      </c>
      <c r="F3037" t="s">
        <v>546</v>
      </c>
      <c r="G3037" s="174">
        <v>45576.460914351854</v>
      </c>
    </row>
    <row r="3038" spans="1:7">
      <c r="A3038">
        <v>3069</v>
      </c>
      <c r="B3038" t="s">
        <v>4482</v>
      </c>
      <c r="C3038" t="s">
        <v>4483</v>
      </c>
      <c r="E3038">
        <v>0.01</v>
      </c>
      <c r="F3038" t="s">
        <v>546</v>
      </c>
      <c r="G3038" s="174">
        <v>45576.460914351854</v>
      </c>
    </row>
    <row r="3039" spans="1:7">
      <c r="A3039">
        <v>3070</v>
      </c>
      <c r="B3039" t="s">
        <v>1228</v>
      </c>
      <c r="C3039" t="s">
        <v>3470</v>
      </c>
      <c r="E3039">
        <v>0.8</v>
      </c>
      <c r="F3039" t="s">
        <v>546</v>
      </c>
      <c r="G3039" s="174">
        <v>45576.460914351854</v>
      </c>
    </row>
    <row r="3040" spans="1:7">
      <c r="A3040">
        <v>3071</v>
      </c>
      <c r="B3040" t="s">
        <v>4484</v>
      </c>
      <c r="C3040" t="s">
        <v>3666</v>
      </c>
      <c r="E3040">
        <v>0.1</v>
      </c>
      <c r="F3040" t="s">
        <v>546</v>
      </c>
      <c r="G3040" s="174">
        <v>45576.460914351854</v>
      </c>
    </row>
    <row r="3041" spans="1:7">
      <c r="A3041">
        <v>3072</v>
      </c>
      <c r="B3041" t="s">
        <v>4485</v>
      </c>
      <c r="C3041" t="s">
        <v>4486</v>
      </c>
      <c r="E3041">
        <v>0.01</v>
      </c>
      <c r="F3041" t="s">
        <v>546</v>
      </c>
      <c r="G3041" s="174">
        <v>45576.460914351854</v>
      </c>
    </row>
    <row r="3042" spans="1:7">
      <c r="A3042">
        <v>3073</v>
      </c>
      <c r="B3042" t="s">
        <v>4487</v>
      </c>
      <c r="C3042" t="s">
        <v>4488</v>
      </c>
      <c r="E3042">
        <v>0.01</v>
      </c>
      <c r="F3042" t="s">
        <v>546</v>
      </c>
      <c r="G3042" s="174">
        <v>45576.460914351854</v>
      </c>
    </row>
    <row r="3043" spans="1:7">
      <c r="A3043">
        <v>3074</v>
      </c>
      <c r="B3043" t="s">
        <v>4489</v>
      </c>
      <c r="C3043" t="s">
        <v>3087</v>
      </c>
      <c r="E3043">
        <v>0.01</v>
      </c>
      <c r="F3043" t="s">
        <v>546</v>
      </c>
      <c r="G3043" s="174">
        <v>45576.460914351854</v>
      </c>
    </row>
    <row r="3044" spans="1:7">
      <c r="A3044">
        <v>3075</v>
      </c>
      <c r="B3044" t="s">
        <v>4490</v>
      </c>
      <c r="C3044" t="s">
        <v>4491</v>
      </c>
      <c r="E3044">
        <v>0.1</v>
      </c>
      <c r="F3044" t="s">
        <v>546</v>
      </c>
      <c r="G3044" s="174">
        <v>45576.460914351854</v>
      </c>
    </row>
    <row r="3045" spans="1:7">
      <c r="A3045">
        <v>3076</v>
      </c>
      <c r="B3045" t="s">
        <v>4490</v>
      </c>
      <c r="C3045" t="s">
        <v>4492</v>
      </c>
      <c r="E3045">
        <v>0.01</v>
      </c>
      <c r="F3045" t="s">
        <v>546</v>
      </c>
      <c r="G3045" s="174">
        <v>45576.460914351854</v>
      </c>
    </row>
    <row r="3046" spans="1:7">
      <c r="A3046">
        <v>3077</v>
      </c>
      <c r="B3046" t="s">
        <v>1233</v>
      </c>
      <c r="C3046" t="s">
        <v>4398</v>
      </c>
      <c r="E3046">
        <v>0.01</v>
      </c>
      <c r="F3046" t="s">
        <v>546</v>
      </c>
      <c r="G3046" s="174">
        <v>45576.460914351854</v>
      </c>
    </row>
    <row r="3047" spans="1:7">
      <c r="A3047">
        <v>3078</v>
      </c>
      <c r="B3047" t="s">
        <v>4493</v>
      </c>
      <c r="C3047" t="s">
        <v>4115</v>
      </c>
      <c r="E3047">
        <v>0.01</v>
      </c>
      <c r="F3047" t="s">
        <v>546</v>
      </c>
      <c r="G3047" s="174">
        <v>45576.460914351854</v>
      </c>
    </row>
    <row r="3048" spans="1:7">
      <c r="A3048">
        <v>3079</v>
      </c>
      <c r="B3048" t="s">
        <v>4494</v>
      </c>
      <c r="C3048" t="s">
        <v>4495</v>
      </c>
      <c r="E3048">
        <v>0.01</v>
      </c>
      <c r="F3048" t="s">
        <v>546</v>
      </c>
      <c r="G3048" s="174">
        <v>45576.460914351854</v>
      </c>
    </row>
    <row r="3049" spans="1:7">
      <c r="A3049">
        <v>3080</v>
      </c>
      <c r="B3049" t="s">
        <v>4494</v>
      </c>
      <c r="C3049" t="s">
        <v>3239</v>
      </c>
      <c r="E3049">
        <v>0.01</v>
      </c>
      <c r="F3049" t="s">
        <v>546</v>
      </c>
      <c r="G3049" s="174">
        <v>45576.460914351854</v>
      </c>
    </row>
    <row r="3050" spans="1:7">
      <c r="A3050">
        <v>3081</v>
      </c>
      <c r="B3050" t="s">
        <v>4496</v>
      </c>
      <c r="C3050" t="s">
        <v>4497</v>
      </c>
      <c r="E3050">
        <v>0.01</v>
      </c>
      <c r="F3050" t="s">
        <v>546</v>
      </c>
      <c r="G3050" s="174">
        <v>45576.460914351854</v>
      </c>
    </row>
    <row r="3051" spans="1:7">
      <c r="A3051">
        <v>3082</v>
      </c>
      <c r="B3051" t="s">
        <v>4498</v>
      </c>
      <c r="C3051" t="s">
        <v>3396</v>
      </c>
      <c r="E3051">
        <v>0.05</v>
      </c>
      <c r="F3051" t="s">
        <v>546</v>
      </c>
      <c r="G3051" s="174">
        <v>45576.460914351854</v>
      </c>
    </row>
    <row r="3052" spans="1:7">
      <c r="A3052">
        <v>3083</v>
      </c>
      <c r="B3052" t="s">
        <v>4498</v>
      </c>
      <c r="C3052" t="s">
        <v>3397</v>
      </c>
      <c r="E3052">
        <v>0.1</v>
      </c>
      <c r="F3052" t="s">
        <v>546</v>
      </c>
      <c r="G3052" s="174">
        <v>45576.460914351854</v>
      </c>
    </row>
    <row r="3053" spans="1:7">
      <c r="A3053">
        <v>3084</v>
      </c>
      <c r="B3053" t="s">
        <v>4499</v>
      </c>
      <c r="C3053" t="s">
        <v>3016</v>
      </c>
      <c r="E3053">
        <v>0.01</v>
      </c>
      <c r="F3053" t="s">
        <v>546</v>
      </c>
      <c r="G3053" s="174">
        <v>45576.460914351854</v>
      </c>
    </row>
    <row r="3054" spans="1:7">
      <c r="A3054">
        <v>3085</v>
      </c>
      <c r="B3054" t="s">
        <v>4500</v>
      </c>
      <c r="C3054" t="s">
        <v>4501</v>
      </c>
      <c r="E3054">
        <v>0.05</v>
      </c>
      <c r="F3054" t="s">
        <v>546</v>
      </c>
      <c r="G3054" s="174">
        <v>45576.460914351854</v>
      </c>
    </row>
    <row r="3055" spans="1:7">
      <c r="A3055">
        <v>3086</v>
      </c>
      <c r="B3055" t="s">
        <v>4500</v>
      </c>
      <c r="C3055" t="s">
        <v>4502</v>
      </c>
      <c r="E3055">
        <v>0.01</v>
      </c>
      <c r="F3055" t="s">
        <v>546</v>
      </c>
      <c r="G3055" s="174">
        <v>45576.460914351854</v>
      </c>
    </row>
    <row r="3056" spans="1:7">
      <c r="A3056">
        <v>3087</v>
      </c>
      <c r="B3056" t="s">
        <v>4503</v>
      </c>
      <c r="C3056" t="s">
        <v>3076</v>
      </c>
      <c r="E3056">
        <v>0.1</v>
      </c>
      <c r="F3056" t="s">
        <v>546</v>
      </c>
      <c r="G3056" s="174">
        <v>45576.460914351854</v>
      </c>
    </row>
    <row r="3057" spans="1:7">
      <c r="A3057">
        <v>3088</v>
      </c>
      <c r="B3057" t="s">
        <v>4504</v>
      </c>
      <c r="C3057" t="s">
        <v>4505</v>
      </c>
      <c r="E3057">
        <v>0.01</v>
      </c>
      <c r="F3057" t="s">
        <v>546</v>
      </c>
      <c r="G3057" s="174">
        <v>45576.460914351854</v>
      </c>
    </row>
    <row r="3058" spans="1:7">
      <c r="A3058">
        <v>3089</v>
      </c>
      <c r="B3058" t="s">
        <v>4504</v>
      </c>
      <c r="C3058" t="s">
        <v>4506</v>
      </c>
      <c r="E3058">
        <v>0.01</v>
      </c>
      <c r="F3058" t="s">
        <v>546</v>
      </c>
      <c r="G3058" s="174">
        <v>45576.460914351854</v>
      </c>
    </row>
    <row r="3059" spans="1:7">
      <c r="A3059">
        <v>3090</v>
      </c>
      <c r="B3059" t="s">
        <v>4507</v>
      </c>
      <c r="C3059" t="s">
        <v>1499</v>
      </c>
      <c r="E3059">
        <v>0.1</v>
      </c>
      <c r="F3059" t="s">
        <v>546</v>
      </c>
      <c r="G3059" s="174">
        <v>45576.460914351854</v>
      </c>
    </row>
    <row r="3060" spans="1:7">
      <c r="A3060">
        <v>3091</v>
      </c>
      <c r="B3060" t="s">
        <v>4508</v>
      </c>
      <c r="C3060" t="s">
        <v>4509</v>
      </c>
      <c r="E3060">
        <v>0.01</v>
      </c>
      <c r="F3060" t="s">
        <v>546</v>
      </c>
      <c r="G3060" s="174">
        <v>45576.460914351854</v>
      </c>
    </row>
    <row r="3061" spans="1:7">
      <c r="A3061">
        <v>3092</v>
      </c>
      <c r="B3061" t="s">
        <v>4508</v>
      </c>
      <c r="C3061" t="s">
        <v>2930</v>
      </c>
      <c r="E3061">
        <v>0.01</v>
      </c>
      <c r="F3061" t="s">
        <v>546</v>
      </c>
      <c r="G3061" s="174">
        <v>45576.460914351854</v>
      </c>
    </row>
    <row r="3062" spans="1:7">
      <c r="A3062">
        <v>3093</v>
      </c>
      <c r="B3062" t="s">
        <v>1236</v>
      </c>
      <c r="C3062" t="s">
        <v>1299</v>
      </c>
      <c r="E3062">
        <v>0.01</v>
      </c>
      <c r="F3062" t="s">
        <v>546</v>
      </c>
      <c r="G3062" s="174">
        <v>45576.460914351854</v>
      </c>
    </row>
    <row r="3063" spans="1:7">
      <c r="A3063">
        <v>3094</v>
      </c>
      <c r="B3063" t="s">
        <v>4510</v>
      </c>
      <c r="C3063" t="s">
        <v>3327</v>
      </c>
      <c r="E3063">
        <v>0.01</v>
      </c>
      <c r="F3063" t="s">
        <v>546</v>
      </c>
      <c r="G3063" s="174">
        <v>45576.460914351854</v>
      </c>
    </row>
    <row r="3064" spans="1:7">
      <c r="A3064">
        <v>3095</v>
      </c>
      <c r="B3064" t="s">
        <v>4511</v>
      </c>
      <c r="C3064" t="s">
        <v>4388</v>
      </c>
      <c r="E3064">
        <v>0.01</v>
      </c>
      <c r="F3064" t="s">
        <v>546</v>
      </c>
      <c r="G3064" s="174">
        <v>45576.460914351854</v>
      </c>
    </row>
    <row r="3065" spans="1:7">
      <c r="A3065">
        <v>3096</v>
      </c>
      <c r="B3065" t="s">
        <v>4511</v>
      </c>
      <c r="C3065" t="s">
        <v>3353</v>
      </c>
      <c r="E3065">
        <v>0.01</v>
      </c>
      <c r="F3065" t="s">
        <v>546</v>
      </c>
      <c r="G3065" s="174">
        <v>45576.460914351854</v>
      </c>
    </row>
    <row r="3066" spans="1:7">
      <c r="A3066">
        <v>3097</v>
      </c>
      <c r="B3066" t="s">
        <v>4512</v>
      </c>
      <c r="C3066" t="s">
        <v>4513</v>
      </c>
      <c r="E3066">
        <v>0.01</v>
      </c>
      <c r="F3066" t="s">
        <v>546</v>
      </c>
      <c r="G3066" s="174">
        <v>45576.460914351854</v>
      </c>
    </row>
    <row r="3067" spans="1:7">
      <c r="A3067">
        <v>3098</v>
      </c>
      <c r="B3067" t="s">
        <v>4512</v>
      </c>
      <c r="C3067" t="s">
        <v>2981</v>
      </c>
      <c r="E3067">
        <v>0.01</v>
      </c>
      <c r="F3067" t="s">
        <v>546</v>
      </c>
      <c r="G3067" s="174">
        <v>45576.460914351854</v>
      </c>
    </row>
    <row r="3068" spans="1:7">
      <c r="A3068">
        <v>3099</v>
      </c>
      <c r="B3068" t="s">
        <v>4512</v>
      </c>
      <c r="C3068" t="s">
        <v>3024</v>
      </c>
      <c r="E3068">
        <v>0.01</v>
      </c>
      <c r="F3068" t="s">
        <v>546</v>
      </c>
      <c r="G3068" s="174">
        <v>45576.460914351854</v>
      </c>
    </row>
    <row r="3069" spans="1:7">
      <c r="A3069">
        <v>3100</v>
      </c>
      <c r="B3069" t="s">
        <v>1241</v>
      </c>
      <c r="C3069" t="s">
        <v>4514</v>
      </c>
      <c r="E3069">
        <v>0.8</v>
      </c>
      <c r="F3069" t="s">
        <v>546</v>
      </c>
      <c r="G3069" s="174">
        <v>45576.460914351854</v>
      </c>
    </row>
    <row r="3070" spans="1:7">
      <c r="A3070">
        <v>3101</v>
      </c>
      <c r="B3070" t="s">
        <v>4515</v>
      </c>
      <c r="C3070" t="s">
        <v>4483</v>
      </c>
      <c r="E3070">
        <v>0.01</v>
      </c>
      <c r="F3070" t="s">
        <v>546</v>
      </c>
      <c r="G3070" s="174">
        <v>45576.460914351854</v>
      </c>
    </row>
    <row r="3071" spans="1:7">
      <c r="A3071">
        <v>3102</v>
      </c>
      <c r="B3071" t="s">
        <v>4516</v>
      </c>
      <c r="C3071" t="s">
        <v>4517</v>
      </c>
      <c r="E3071">
        <v>0.01</v>
      </c>
      <c r="F3071" t="s">
        <v>546</v>
      </c>
      <c r="G3071" s="174">
        <v>45576.460914351854</v>
      </c>
    </row>
    <row r="3072" spans="1:7">
      <c r="A3072">
        <v>3103</v>
      </c>
      <c r="B3072" t="s">
        <v>4518</v>
      </c>
      <c r="C3072" t="s">
        <v>3105</v>
      </c>
      <c r="E3072">
        <v>0.01</v>
      </c>
      <c r="F3072" t="s">
        <v>546</v>
      </c>
      <c r="G3072" s="174">
        <v>45576.460914351854</v>
      </c>
    </row>
    <row r="3073" spans="1:7">
      <c r="A3073">
        <v>3104</v>
      </c>
      <c r="B3073" t="s">
        <v>4519</v>
      </c>
      <c r="C3073" t="s">
        <v>4520</v>
      </c>
      <c r="E3073">
        <v>0.01</v>
      </c>
      <c r="F3073" t="s">
        <v>546</v>
      </c>
      <c r="G3073" s="174">
        <v>45576.460914351854</v>
      </c>
    </row>
    <row r="3074" spans="1:7">
      <c r="A3074">
        <v>3105</v>
      </c>
      <c r="B3074" t="s">
        <v>4521</v>
      </c>
      <c r="C3074" t="s">
        <v>4522</v>
      </c>
      <c r="E3074">
        <v>0.01</v>
      </c>
      <c r="F3074" t="s">
        <v>546</v>
      </c>
      <c r="G3074" s="174">
        <v>45576.460914351854</v>
      </c>
    </row>
    <row r="3075" spans="1:7">
      <c r="A3075">
        <v>3106</v>
      </c>
      <c r="B3075" t="s">
        <v>4523</v>
      </c>
      <c r="C3075" t="s">
        <v>4524</v>
      </c>
      <c r="E3075">
        <v>0.01</v>
      </c>
      <c r="F3075" t="s">
        <v>546</v>
      </c>
      <c r="G3075" s="174">
        <v>45576.460914351854</v>
      </c>
    </row>
    <row r="3076" spans="1:7">
      <c r="A3076">
        <v>3107</v>
      </c>
      <c r="B3076" t="s">
        <v>4525</v>
      </c>
      <c r="C3076" t="s">
        <v>4526</v>
      </c>
      <c r="E3076">
        <v>0.8</v>
      </c>
      <c r="F3076" t="s">
        <v>546</v>
      </c>
      <c r="G3076" s="174">
        <v>45576.460914351854</v>
      </c>
    </row>
    <row r="3077" spans="1:7">
      <c r="A3077">
        <v>3108</v>
      </c>
      <c r="B3077" t="s">
        <v>4525</v>
      </c>
      <c r="C3077" t="s">
        <v>3466</v>
      </c>
      <c r="E3077">
        <v>0.6</v>
      </c>
      <c r="F3077" t="s">
        <v>546</v>
      </c>
      <c r="G3077" s="174">
        <v>45576.460914351854</v>
      </c>
    </row>
    <row r="3078" spans="1:7">
      <c r="A3078">
        <v>3109</v>
      </c>
      <c r="B3078" t="s">
        <v>4527</v>
      </c>
      <c r="C3078" t="s">
        <v>3164</v>
      </c>
      <c r="E3078">
        <v>0.01</v>
      </c>
      <c r="F3078" t="s">
        <v>546</v>
      </c>
      <c r="G3078" s="174">
        <v>45576.460914351854</v>
      </c>
    </row>
    <row r="3079" spans="1:7">
      <c r="A3079">
        <v>3110</v>
      </c>
      <c r="B3079" t="s">
        <v>4528</v>
      </c>
      <c r="C3079" t="s">
        <v>3062</v>
      </c>
      <c r="E3079">
        <v>0.01</v>
      </c>
      <c r="F3079" t="s">
        <v>546</v>
      </c>
      <c r="G3079" s="174">
        <v>45576.460914351854</v>
      </c>
    </row>
    <row r="3080" spans="1:7">
      <c r="A3080">
        <v>3111</v>
      </c>
      <c r="B3080" t="s">
        <v>4529</v>
      </c>
      <c r="C3080" t="s">
        <v>3169</v>
      </c>
      <c r="E3080">
        <v>0.01</v>
      </c>
      <c r="F3080" t="s">
        <v>546</v>
      </c>
      <c r="G3080" s="174">
        <v>45576.460914351854</v>
      </c>
    </row>
    <row r="3081" spans="1:7">
      <c r="A3081">
        <v>3112</v>
      </c>
      <c r="B3081" t="s">
        <v>4529</v>
      </c>
      <c r="C3081" t="s">
        <v>741</v>
      </c>
      <c r="E3081">
        <v>0.01</v>
      </c>
      <c r="F3081" t="s">
        <v>546</v>
      </c>
      <c r="G3081" s="174">
        <v>45576.460914351854</v>
      </c>
    </row>
    <row r="3082" spans="1:7">
      <c r="A3082">
        <v>3113</v>
      </c>
      <c r="B3082" t="s">
        <v>4529</v>
      </c>
      <c r="C3082" t="s">
        <v>3170</v>
      </c>
      <c r="E3082">
        <v>0.01</v>
      </c>
      <c r="F3082" t="s">
        <v>546</v>
      </c>
      <c r="G3082" s="174">
        <v>45576.460914351854</v>
      </c>
    </row>
    <row r="3083" spans="1:7">
      <c r="A3083">
        <v>3114</v>
      </c>
      <c r="B3083" t="s">
        <v>4530</v>
      </c>
      <c r="C3083" t="s">
        <v>4404</v>
      </c>
      <c r="E3083">
        <v>0.01</v>
      </c>
      <c r="F3083" t="s">
        <v>546</v>
      </c>
      <c r="G3083" s="174">
        <v>45576.460914351854</v>
      </c>
    </row>
    <row r="3084" spans="1:7">
      <c r="A3084">
        <v>3115</v>
      </c>
      <c r="B3084" t="s">
        <v>4531</v>
      </c>
      <c r="C3084" t="s">
        <v>3773</v>
      </c>
      <c r="E3084">
        <v>0.01</v>
      </c>
      <c r="F3084" t="s">
        <v>546</v>
      </c>
      <c r="G3084" s="174">
        <v>45576.460914351854</v>
      </c>
    </row>
    <row r="3085" spans="1:7">
      <c r="A3085">
        <v>3116</v>
      </c>
      <c r="B3085" t="s">
        <v>4532</v>
      </c>
      <c r="C3085" t="s">
        <v>3454</v>
      </c>
      <c r="E3085">
        <v>0.01</v>
      </c>
      <c r="F3085" t="s">
        <v>546</v>
      </c>
      <c r="G3085" s="174">
        <v>45576.460914351854</v>
      </c>
    </row>
    <row r="3086" spans="1:7">
      <c r="A3086">
        <v>3117</v>
      </c>
      <c r="B3086" t="s">
        <v>4533</v>
      </c>
      <c r="C3086" t="s">
        <v>4534</v>
      </c>
      <c r="E3086">
        <v>0.01</v>
      </c>
      <c r="F3086" t="s">
        <v>546</v>
      </c>
      <c r="G3086" s="174">
        <v>45576.460914351854</v>
      </c>
    </row>
    <row r="3087" spans="1:7">
      <c r="A3087">
        <v>3118</v>
      </c>
      <c r="B3087" t="s">
        <v>4535</v>
      </c>
      <c r="C3087" t="s">
        <v>3447</v>
      </c>
      <c r="E3087">
        <v>0.01</v>
      </c>
      <c r="F3087" t="s">
        <v>546</v>
      </c>
      <c r="G3087" s="174">
        <v>45576.460914351854</v>
      </c>
    </row>
    <row r="3088" spans="1:7">
      <c r="A3088">
        <v>3119</v>
      </c>
      <c r="B3088" t="s">
        <v>4536</v>
      </c>
      <c r="C3088" t="s">
        <v>4483</v>
      </c>
      <c r="E3088">
        <v>0.01</v>
      </c>
      <c r="F3088" t="s">
        <v>546</v>
      </c>
      <c r="G3088" s="174">
        <v>45576.460914351854</v>
      </c>
    </row>
    <row r="3089" spans="1:7">
      <c r="A3089">
        <v>3120</v>
      </c>
      <c r="B3089" t="s">
        <v>4537</v>
      </c>
      <c r="C3089" t="s">
        <v>4509</v>
      </c>
      <c r="E3089">
        <v>0.01</v>
      </c>
      <c r="F3089" t="s">
        <v>546</v>
      </c>
      <c r="G3089" s="174">
        <v>45576.460914351854</v>
      </c>
    </row>
    <row r="3090" spans="1:7">
      <c r="A3090">
        <v>3121</v>
      </c>
      <c r="B3090" t="s">
        <v>4538</v>
      </c>
      <c r="C3090" t="s">
        <v>4539</v>
      </c>
      <c r="E3090">
        <v>0.8</v>
      </c>
      <c r="F3090" t="s">
        <v>4540</v>
      </c>
      <c r="G3090" s="174">
        <v>45576.460914351854</v>
      </c>
    </row>
    <row r="3091" spans="1:7">
      <c r="A3091">
        <v>3122</v>
      </c>
      <c r="B3091" t="s">
        <v>4538</v>
      </c>
      <c r="C3091" t="s">
        <v>1515</v>
      </c>
      <c r="E3091">
        <v>0.6</v>
      </c>
      <c r="F3091" t="s">
        <v>4541</v>
      </c>
      <c r="G3091" s="174">
        <v>45576.460914351854</v>
      </c>
    </row>
    <row r="3092" spans="1:7">
      <c r="A3092">
        <v>3123</v>
      </c>
      <c r="B3092" t="s">
        <v>1250</v>
      </c>
      <c r="C3092" t="s">
        <v>4542</v>
      </c>
      <c r="E3092">
        <v>0.01</v>
      </c>
      <c r="F3092" t="s">
        <v>546</v>
      </c>
      <c r="G3092" s="174">
        <v>45576.460914351854</v>
      </c>
    </row>
    <row r="3093" spans="1:7">
      <c r="A3093">
        <v>3124</v>
      </c>
      <c r="B3093" t="s">
        <v>4543</v>
      </c>
      <c r="C3093" t="s">
        <v>4544</v>
      </c>
      <c r="E3093">
        <v>0.1</v>
      </c>
      <c r="F3093" t="s">
        <v>546</v>
      </c>
      <c r="G3093" s="174">
        <v>45576.460914351854</v>
      </c>
    </row>
    <row r="3094" spans="1:7">
      <c r="A3094">
        <v>3125</v>
      </c>
      <c r="B3094" t="s">
        <v>4545</v>
      </c>
      <c r="C3094" t="s">
        <v>3207</v>
      </c>
      <c r="E3094">
        <v>0.01</v>
      </c>
      <c r="F3094" t="s">
        <v>546</v>
      </c>
      <c r="G3094" s="174">
        <v>45576.460914351854</v>
      </c>
    </row>
    <row r="3095" spans="1:7">
      <c r="A3095">
        <v>3126</v>
      </c>
      <c r="B3095" t="s">
        <v>4546</v>
      </c>
      <c r="C3095" t="s">
        <v>4547</v>
      </c>
      <c r="E3095">
        <v>0.01</v>
      </c>
      <c r="F3095" t="s">
        <v>546</v>
      </c>
      <c r="G3095" s="174">
        <v>45576.460914351854</v>
      </c>
    </row>
    <row r="3096" spans="1:7">
      <c r="A3096">
        <v>3127</v>
      </c>
      <c r="B3096" t="s">
        <v>4548</v>
      </c>
      <c r="C3096" t="s">
        <v>1299</v>
      </c>
      <c r="E3096">
        <v>0.1</v>
      </c>
      <c r="F3096" t="s">
        <v>546</v>
      </c>
      <c r="G3096" s="174">
        <v>45576.460914351854</v>
      </c>
    </row>
    <row r="3097" spans="1:7">
      <c r="A3097">
        <v>3128</v>
      </c>
      <c r="B3097" t="s">
        <v>4549</v>
      </c>
      <c r="C3097" t="s">
        <v>3291</v>
      </c>
      <c r="E3097">
        <v>0.01</v>
      </c>
      <c r="F3097" t="s">
        <v>546</v>
      </c>
      <c r="G3097" s="174">
        <v>45576.460914351854</v>
      </c>
    </row>
    <row r="3098" spans="1:7">
      <c r="A3098">
        <v>3129</v>
      </c>
      <c r="B3098" t="s">
        <v>4550</v>
      </c>
      <c r="C3098" t="s">
        <v>4103</v>
      </c>
      <c r="E3098">
        <v>0.01</v>
      </c>
      <c r="F3098" t="s">
        <v>546</v>
      </c>
      <c r="G3098" s="174">
        <v>45576.460914351854</v>
      </c>
    </row>
    <row r="3099" spans="1:7">
      <c r="A3099">
        <v>3130</v>
      </c>
      <c r="B3099" t="s">
        <v>4551</v>
      </c>
      <c r="C3099" t="s">
        <v>4552</v>
      </c>
      <c r="E3099">
        <v>0.01</v>
      </c>
      <c r="F3099" t="s">
        <v>546</v>
      </c>
      <c r="G3099" s="174">
        <v>45576.460914351854</v>
      </c>
    </row>
    <row r="3100" spans="1:7">
      <c r="A3100">
        <v>3131</v>
      </c>
      <c r="B3100" t="s">
        <v>4553</v>
      </c>
      <c r="C3100" t="s">
        <v>4554</v>
      </c>
      <c r="E3100">
        <v>0.01</v>
      </c>
      <c r="F3100" t="s">
        <v>546</v>
      </c>
      <c r="G3100" s="174">
        <v>45576.460914351854</v>
      </c>
    </row>
    <row r="3101" spans="1:7">
      <c r="A3101">
        <v>3132</v>
      </c>
      <c r="B3101" t="s">
        <v>1252</v>
      </c>
      <c r="C3101" t="s">
        <v>4555</v>
      </c>
      <c r="E3101">
        <v>0.05</v>
      </c>
      <c r="F3101" t="s">
        <v>3134</v>
      </c>
      <c r="G3101" s="174">
        <v>45576.460914351854</v>
      </c>
    </row>
    <row r="3102" spans="1:7">
      <c r="A3102">
        <v>3133</v>
      </c>
      <c r="B3102" t="s">
        <v>1252</v>
      </c>
      <c r="C3102" t="s">
        <v>4556</v>
      </c>
      <c r="E3102">
        <v>0.05</v>
      </c>
      <c r="F3102" t="s">
        <v>3134</v>
      </c>
      <c r="G3102" s="174">
        <v>45576.460914351854</v>
      </c>
    </row>
    <row r="3103" spans="1:7">
      <c r="A3103">
        <v>3134</v>
      </c>
      <c r="B3103" t="s">
        <v>1252</v>
      </c>
      <c r="C3103" t="s">
        <v>2783</v>
      </c>
      <c r="E3103">
        <v>0.05</v>
      </c>
      <c r="F3103" t="s">
        <v>546</v>
      </c>
      <c r="G3103" s="174">
        <v>45576.460914351854</v>
      </c>
    </row>
    <row r="3104" spans="1:7">
      <c r="A3104">
        <v>3135</v>
      </c>
      <c r="B3104" t="s">
        <v>1252</v>
      </c>
      <c r="C3104" t="s">
        <v>4557</v>
      </c>
      <c r="E3104">
        <v>0.01</v>
      </c>
      <c r="F3104" t="s">
        <v>3134</v>
      </c>
      <c r="G3104" s="174">
        <v>45576.460914351854</v>
      </c>
    </row>
    <row r="3105" spans="1:7">
      <c r="A3105">
        <v>3136</v>
      </c>
      <c r="B3105" t="s">
        <v>1252</v>
      </c>
      <c r="C3105" t="s">
        <v>4558</v>
      </c>
      <c r="E3105">
        <v>0.6</v>
      </c>
      <c r="F3105" t="s">
        <v>4559</v>
      </c>
      <c r="G3105" s="174">
        <v>45576.460914351854</v>
      </c>
    </row>
    <row r="3106" spans="1:7">
      <c r="A3106">
        <v>3137</v>
      </c>
      <c r="B3106" t="s">
        <v>1252</v>
      </c>
      <c r="C3106" t="s">
        <v>4560</v>
      </c>
      <c r="E3106">
        <v>0.5</v>
      </c>
      <c r="F3106" t="s">
        <v>4561</v>
      </c>
      <c r="G3106" s="174">
        <v>45576.460914351854</v>
      </c>
    </row>
    <row r="3107" spans="1:7">
      <c r="A3107">
        <v>3138</v>
      </c>
      <c r="B3107" t="s">
        <v>1252</v>
      </c>
      <c r="C3107" t="s">
        <v>4562</v>
      </c>
      <c r="E3107">
        <v>0.8</v>
      </c>
      <c r="F3107" t="s">
        <v>4563</v>
      </c>
      <c r="G3107" s="174">
        <v>45576.460914351854</v>
      </c>
    </row>
    <row r="3108" spans="1:7">
      <c r="A3108">
        <v>3139</v>
      </c>
      <c r="B3108" t="s">
        <v>1252</v>
      </c>
      <c r="C3108" t="s">
        <v>4564</v>
      </c>
      <c r="E3108">
        <v>0.7</v>
      </c>
      <c r="F3108" t="s">
        <v>4565</v>
      </c>
      <c r="G3108" s="174">
        <v>45576.460914351854</v>
      </c>
    </row>
    <row r="3109" spans="1:7">
      <c r="A3109">
        <v>3140</v>
      </c>
      <c r="B3109" t="s">
        <v>4566</v>
      </c>
      <c r="C3109" t="s">
        <v>3562</v>
      </c>
      <c r="E3109">
        <v>0.01</v>
      </c>
      <c r="F3109" t="s">
        <v>546</v>
      </c>
      <c r="G3109" s="174">
        <v>45576.460914351854</v>
      </c>
    </row>
    <row r="3110" spans="1:7">
      <c r="A3110">
        <v>3141</v>
      </c>
      <c r="B3110" t="s">
        <v>4567</v>
      </c>
      <c r="C3110" t="s">
        <v>4568</v>
      </c>
      <c r="E3110">
        <v>0.01</v>
      </c>
      <c r="F3110" t="s">
        <v>546</v>
      </c>
      <c r="G3110" s="174">
        <v>45576.460914351854</v>
      </c>
    </row>
    <row r="3111" spans="1:7">
      <c r="A3111">
        <v>3142</v>
      </c>
      <c r="B3111" t="s">
        <v>4567</v>
      </c>
      <c r="C3111" t="s">
        <v>4569</v>
      </c>
      <c r="E3111">
        <v>0.01</v>
      </c>
      <c r="F3111" t="s">
        <v>546</v>
      </c>
      <c r="G3111" s="174">
        <v>45576.460914351854</v>
      </c>
    </row>
    <row r="3112" spans="1:7">
      <c r="A3112">
        <v>3143</v>
      </c>
      <c r="B3112" t="s">
        <v>1256</v>
      </c>
      <c r="C3112" t="s">
        <v>4570</v>
      </c>
      <c r="E3112">
        <v>0.01</v>
      </c>
      <c r="F3112" t="s">
        <v>546</v>
      </c>
      <c r="G3112" s="174">
        <v>45576.460914351854</v>
      </c>
    </row>
    <row r="3113" spans="1:7">
      <c r="A3113">
        <v>3144</v>
      </c>
      <c r="B3113" t="s">
        <v>1258</v>
      </c>
      <c r="C3113" t="s">
        <v>3659</v>
      </c>
      <c r="E3113">
        <v>0.1</v>
      </c>
      <c r="F3113" t="s">
        <v>546</v>
      </c>
      <c r="G3113" s="174">
        <v>45576.460914351854</v>
      </c>
    </row>
    <row r="3114" spans="1:7">
      <c r="A3114">
        <v>3145</v>
      </c>
      <c r="B3114" t="s">
        <v>4571</v>
      </c>
      <c r="C3114" t="s">
        <v>1848</v>
      </c>
      <c r="E3114">
        <v>0.01</v>
      </c>
      <c r="F3114" t="s">
        <v>546</v>
      </c>
      <c r="G3114" s="174">
        <v>45576.460914351854</v>
      </c>
    </row>
    <row r="3115" spans="1:7">
      <c r="A3115">
        <v>3146</v>
      </c>
      <c r="B3115" t="s">
        <v>4572</v>
      </c>
      <c r="C3115" t="s">
        <v>4341</v>
      </c>
      <c r="E3115">
        <v>0.01</v>
      </c>
      <c r="F3115" t="s">
        <v>546</v>
      </c>
      <c r="G3115" s="174">
        <v>45576.460914351854</v>
      </c>
    </row>
    <row r="3116" spans="1:7">
      <c r="A3116">
        <v>3147</v>
      </c>
      <c r="B3116" t="s">
        <v>4573</v>
      </c>
      <c r="C3116" t="s">
        <v>3751</v>
      </c>
      <c r="E3116">
        <v>0.01</v>
      </c>
      <c r="F3116" t="s">
        <v>546</v>
      </c>
      <c r="G3116" s="174">
        <v>45576.460914351854</v>
      </c>
    </row>
    <row r="3117" spans="1:7">
      <c r="A3117">
        <v>3148</v>
      </c>
      <c r="B3117" t="s">
        <v>4573</v>
      </c>
      <c r="C3117" t="s">
        <v>4574</v>
      </c>
      <c r="E3117">
        <v>0.01</v>
      </c>
      <c r="F3117" t="s">
        <v>546</v>
      </c>
      <c r="G3117" s="174">
        <v>45576.460914351854</v>
      </c>
    </row>
    <row r="3118" spans="1:7">
      <c r="A3118">
        <v>3149</v>
      </c>
      <c r="B3118" t="s">
        <v>4575</v>
      </c>
      <c r="C3118" t="s">
        <v>4576</v>
      </c>
      <c r="E3118">
        <v>0.01</v>
      </c>
      <c r="F3118" t="s">
        <v>546</v>
      </c>
      <c r="G3118" s="174">
        <v>45576.460914351854</v>
      </c>
    </row>
    <row r="3119" spans="1:7">
      <c r="A3119">
        <v>3150</v>
      </c>
      <c r="B3119" t="s">
        <v>4577</v>
      </c>
      <c r="C3119" t="s">
        <v>3014</v>
      </c>
      <c r="E3119">
        <v>0.01</v>
      </c>
      <c r="F3119" t="s">
        <v>546</v>
      </c>
      <c r="G3119" s="174">
        <v>45576.460914351854</v>
      </c>
    </row>
    <row r="3120" spans="1:7">
      <c r="A3120">
        <v>3151</v>
      </c>
      <c r="B3120" t="s">
        <v>1261</v>
      </c>
      <c r="C3120" t="s">
        <v>3592</v>
      </c>
      <c r="E3120">
        <v>0.01</v>
      </c>
      <c r="F3120" t="s">
        <v>546</v>
      </c>
      <c r="G3120" s="174">
        <v>45576.460914351854</v>
      </c>
    </row>
    <row r="3121" spans="1:7">
      <c r="A3121">
        <v>3152</v>
      </c>
      <c r="B3121" t="s">
        <v>4578</v>
      </c>
      <c r="C3121" t="s">
        <v>3621</v>
      </c>
      <c r="E3121">
        <v>0.01</v>
      </c>
      <c r="F3121" t="s">
        <v>546</v>
      </c>
      <c r="G3121" s="174">
        <v>45576.460914351854</v>
      </c>
    </row>
    <row r="3122" spans="1:7">
      <c r="A3122">
        <v>3153</v>
      </c>
      <c r="B3122" t="s">
        <v>4579</v>
      </c>
      <c r="C3122" t="s">
        <v>3621</v>
      </c>
      <c r="E3122">
        <v>0.01</v>
      </c>
      <c r="F3122" t="s">
        <v>546</v>
      </c>
      <c r="G3122" s="174">
        <v>45576.460914351854</v>
      </c>
    </row>
    <row r="3123" spans="1:7">
      <c r="A3123">
        <v>3154</v>
      </c>
      <c r="B3123" t="s">
        <v>4580</v>
      </c>
      <c r="C3123" t="s">
        <v>2831</v>
      </c>
      <c r="E3123">
        <v>0.01</v>
      </c>
      <c r="F3123" t="s">
        <v>546</v>
      </c>
      <c r="G3123" s="174">
        <v>45576.460914351854</v>
      </c>
    </row>
    <row r="3124" spans="1:7">
      <c r="A3124">
        <v>3155</v>
      </c>
      <c r="B3124" t="s">
        <v>4581</v>
      </c>
      <c r="C3124" t="s">
        <v>2871</v>
      </c>
      <c r="E3124">
        <v>0.01</v>
      </c>
      <c r="F3124" t="s">
        <v>546</v>
      </c>
      <c r="G3124" s="174">
        <v>45576.460914351854</v>
      </c>
    </row>
    <row r="3125" spans="1:7">
      <c r="A3125">
        <v>3156</v>
      </c>
      <c r="B3125" t="s">
        <v>4582</v>
      </c>
      <c r="C3125" t="s">
        <v>4583</v>
      </c>
      <c r="E3125">
        <v>0.01</v>
      </c>
      <c r="F3125" t="s">
        <v>546</v>
      </c>
      <c r="G3125" s="174">
        <v>45576.460914351854</v>
      </c>
    </row>
    <row r="3126" spans="1:7">
      <c r="A3126">
        <v>3157</v>
      </c>
      <c r="B3126" t="s">
        <v>4584</v>
      </c>
      <c r="C3126" t="s">
        <v>4585</v>
      </c>
      <c r="E3126">
        <v>0.01</v>
      </c>
      <c r="F3126" t="s">
        <v>546</v>
      </c>
      <c r="G3126" s="174">
        <v>45576.460914351854</v>
      </c>
    </row>
    <row r="3127" spans="1:7">
      <c r="A3127">
        <v>3158</v>
      </c>
      <c r="B3127" t="s">
        <v>4584</v>
      </c>
      <c r="C3127" t="s">
        <v>4483</v>
      </c>
      <c r="E3127">
        <v>1</v>
      </c>
      <c r="F3127" t="s">
        <v>546</v>
      </c>
      <c r="G3127" s="174">
        <v>45576.460914351854</v>
      </c>
    </row>
    <row r="3128" spans="1:7">
      <c r="A3128">
        <v>3159</v>
      </c>
      <c r="B3128" t="s">
        <v>1263</v>
      </c>
      <c r="C3128" t="s">
        <v>3146</v>
      </c>
      <c r="E3128">
        <v>0.01</v>
      </c>
      <c r="F3128" t="s">
        <v>546</v>
      </c>
      <c r="G3128" s="174">
        <v>45576.460914351854</v>
      </c>
    </row>
    <row r="3129" spans="1:7">
      <c r="A3129">
        <v>3160</v>
      </c>
      <c r="B3129" t="s">
        <v>4586</v>
      </c>
      <c r="C3129" t="s">
        <v>2844</v>
      </c>
      <c r="E3129">
        <v>0.05</v>
      </c>
      <c r="F3129" t="s">
        <v>546</v>
      </c>
      <c r="G3129" s="174">
        <v>45576.460914351854</v>
      </c>
    </row>
    <row r="3130" spans="1:7">
      <c r="A3130">
        <v>3161</v>
      </c>
      <c r="B3130" t="s">
        <v>4586</v>
      </c>
      <c r="C3130" t="s">
        <v>4587</v>
      </c>
      <c r="E3130">
        <v>0.01</v>
      </c>
      <c r="F3130" t="s">
        <v>546</v>
      </c>
      <c r="G3130" s="174">
        <v>45576.460914351854</v>
      </c>
    </row>
    <row r="3131" spans="1:7">
      <c r="A3131">
        <v>3162</v>
      </c>
      <c r="B3131" t="s">
        <v>4586</v>
      </c>
      <c r="C3131" t="s">
        <v>2845</v>
      </c>
      <c r="E3131">
        <v>0.05</v>
      </c>
      <c r="F3131" t="s">
        <v>546</v>
      </c>
      <c r="G3131" s="174">
        <v>45576.460914351854</v>
      </c>
    </row>
    <row r="3132" spans="1:7">
      <c r="A3132">
        <v>3163</v>
      </c>
      <c r="B3132" t="s">
        <v>4588</v>
      </c>
      <c r="C3132" t="s">
        <v>3045</v>
      </c>
      <c r="E3132">
        <v>0.1</v>
      </c>
      <c r="F3132" t="s">
        <v>546</v>
      </c>
      <c r="G3132" s="174">
        <v>45576.460914351854</v>
      </c>
    </row>
    <row r="3133" spans="1:7">
      <c r="A3133">
        <v>3164</v>
      </c>
      <c r="B3133" t="s">
        <v>4589</v>
      </c>
      <c r="C3133" t="s">
        <v>1065</v>
      </c>
      <c r="E3133">
        <v>0.01</v>
      </c>
      <c r="F3133" t="s">
        <v>546</v>
      </c>
      <c r="G3133" s="174">
        <v>45576.460914351854</v>
      </c>
    </row>
    <row r="3134" spans="1:7">
      <c r="A3134">
        <v>3165</v>
      </c>
      <c r="B3134" t="s">
        <v>1265</v>
      </c>
      <c r="C3134" t="s">
        <v>3782</v>
      </c>
      <c r="E3134">
        <v>0.01</v>
      </c>
      <c r="F3134" t="s">
        <v>546</v>
      </c>
      <c r="G3134" s="174">
        <v>45576.460914351854</v>
      </c>
    </row>
    <row r="3135" spans="1:7">
      <c r="A3135">
        <v>3166</v>
      </c>
      <c r="B3135" t="s">
        <v>4590</v>
      </c>
      <c r="C3135" t="s">
        <v>2848</v>
      </c>
      <c r="E3135">
        <v>0.1</v>
      </c>
      <c r="F3135" t="s">
        <v>546</v>
      </c>
      <c r="G3135" s="174">
        <v>45576.460914351854</v>
      </c>
    </row>
    <row r="3136" spans="1:7">
      <c r="A3136">
        <v>3167</v>
      </c>
      <c r="B3136" t="s">
        <v>4591</v>
      </c>
      <c r="C3136" t="s">
        <v>3979</v>
      </c>
      <c r="E3136">
        <v>0.01</v>
      </c>
      <c r="F3136" t="s">
        <v>546</v>
      </c>
      <c r="G3136" s="174">
        <v>45576.460914351854</v>
      </c>
    </row>
    <row r="3137" spans="1:7">
      <c r="A3137">
        <v>3168</v>
      </c>
      <c r="B3137" t="s">
        <v>4592</v>
      </c>
      <c r="C3137" t="s">
        <v>4593</v>
      </c>
      <c r="E3137">
        <v>0.01</v>
      </c>
      <c r="F3137" t="s">
        <v>546</v>
      </c>
      <c r="G3137" s="174">
        <v>45576.460914351854</v>
      </c>
    </row>
    <row r="3138" spans="1:7">
      <c r="A3138">
        <v>3169</v>
      </c>
      <c r="B3138" t="s">
        <v>1266</v>
      </c>
      <c r="C3138" t="s">
        <v>1299</v>
      </c>
      <c r="E3138">
        <v>0.01</v>
      </c>
      <c r="F3138" t="s">
        <v>546</v>
      </c>
      <c r="G3138" s="174">
        <v>45576.460914351854</v>
      </c>
    </row>
    <row r="3139" spans="1:7">
      <c r="A3139">
        <v>3170</v>
      </c>
      <c r="B3139" t="s">
        <v>4594</v>
      </c>
      <c r="C3139" t="s">
        <v>2796</v>
      </c>
      <c r="E3139">
        <v>0.01</v>
      </c>
      <c r="F3139" t="s">
        <v>546</v>
      </c>
      <c r="G3139" s="174">
        <v>45576.460914351854</v>
      </c>
    </row>
    <row r="3140" spans="1:7">
      <c r="A3140">
        <v>3171</v>
      </c>
      <c r="B3140" t="s">
        <v>4595</v>
      </c>
      <c r="C3140" t="s">
        <v>2846</v>
      </c>
      <c r="E3140">
        <v>0.01</v>
      </c>
      <c r="F3140" t="s">
        <v>546</v>
      </c>
      <c r="G3140" s="174">
        <v>45576.460914351854</v>
      </c>
    </row>
    <row r="3141" spans="1:7">
      <c r="A3141">
        <v>3172</v>
      </c>
      <c r="B3141" t="s">
        <v>4595</v>
      </c>
      <c r="C3141" t="s">
        <v>3237</v>
      </c>
      <c r="E3141">
        <v>0.01</v>
      </c>
      <c r="F3141" t="s">
        <v>546</v>
      </c>
      <c r="G3141" s="174">
        <v>45576.460914351854</v>
      </c>
    </row>
    <row r="3142" spans="1:7">
      <c r="A3142">
        <v>3173</v>
      </c>
      <c r="B3142" t="s">
        <v>4596</v>
      </c>
      <c r="C3142" t="s">
        <v>3394</v>
      </c>
      <c r="E3142">
        <v>0.8</v>
      </c>
      <c r="F3142" t="s">
        <v>546</v>
      </c>
      <c r="G3142" s="174">
        <v>45576.460914351854</v>
      </c>
    </row>
    <row r="3143" spans="1:7">
      <c r="A3143">
        <v>3174</v>
      </c>
      <c r="B3143" t="s">
        <v>4596</v>
      </c>
      <c r="C3143" t="s">
        <v>3612</v>
      </c>
      <c r="E3143">
        <v>0.01</v>
      </c>
      <c r="F3143" t="s">
        <v>546</v>
      </c>
      <c r="G3143" s="174">
        <v>45576.460914351854</v>
      </c>
    </row>
    <row r="3144" spans="1:7">
      <c r="A3144">
        <v>3175</v>
      </c>
      <c r="B3144" t="s">
        <v>1267</v>
      </c>
      <c r="C3144" t="s">
        <v>4597</v>
      </c>
      <c r="E3144">
        <v>0.1</v>
      </c>
      <c r="F3144" t="s">
        <v>546</v>
      </c>
      <c r="G3144" s="174">
        <v>45576.460914351854</v>
      </c>
    </row>
    <row r="3145" spans="1:7">
      <c r="A3145">
        <v>3176</v>
      </c>
      <c r="B3145" t="s">
        <v>4598</v>
      </c>
      <c r="C3145" t="s">
        <v>3466</v>
      </c>
      <c r="E3145">
        <v>0.01</v>
      </c>
      <c r="F3145" t="s">
        <v>546</v>
      </c>
      <c r="G3145" s="174">
        <v>45576.460914351854</v>
      </c>
    </row>
    <row r="3146" spans="1:7">
      <c r="A3146">
        <v>3177</v>
      </c>
      <c r="B3146" t="s">
        <v>4599</v>
      </c>
      <c r="C3146" t="s">
        <v>3979</v>
      </c>
      <c r="E3146">
        <v>0.01</v>
      </c>
      <c r="F3146" t="s">
        <v>546</v>
      </c>
      <c r="G3146" s="174">
        <v>45576.460914351854</v>
      </c>
    </row>
    <row r="3147" spans="1:7">
      <c r="A3147">
        <v>3178</v>
      </c>
      <c r="B3147" t="s">
        <v>4600</v>
      </c>
      <c r="C3147" t="s">
        <v>3837</v>
      </c>
      <c r="E3147">
        <v>0.1</v>
      </c>
      <c r="F3147" t="s">
        <v>546</v>
      </c>
      <c r="G3147" s="174">
        <v>45576.460914351854</v>
      </c>
    </row>
    <row r="3148" spans="1:7">
      <c r="A3148">
        <v>3179</v>
      </c>
      <c r="B3148" t="s">
        <v>4600</v>
      </c>
      <c r="C3148" t="s">
        <v>4601</v>
      </c>
      <c r="E3148">
        <v>0.1</v>
      </c>
      <c r="F3148" t="s">
        <v>546</v>
      </c>
      <c r="G3148" s="174">
        <v>45576.460914351854</v>
      </c>
    </row>
    <row r="3149" spans="1:7">
      <c r="A3149">
        <v>3180</v>
      </c>
      <c r="B3149" t="s">
        <v>4600</v>
      </c>
      <c r="C3149" t="s">
        <v>4602</v>
      </c>
      <c r="E3149">
        <v>10</v>
      </c>
      <c r="F3149" t="s">
        <v>546</v>
      </c>
      <c r="G3149" s="174">
        <v>45576.460914351854</v>
      </c>
    </row>
    <row r="3150" spans="1:7">
      <c r="A3150">
        <v>3181</v>
      </c>
      <c r="B3150" t="s">
        <v>1270</v>
      </c>
      <c r="C3150" t="s">
        <v>4603</v>
      </c>
      <c r="E3150">
        <v>0.05</v>
      </c>
      <c r="F3150" t="s">
        <v>546</v>
      </c>
      <c r="G3150" s="174">
        <v>45576.460914351854</v>
      </c>
    </row>
    <row r="3151" spans="1:7">
      <c r="A3151">
        <v>3182</v>
      </c>
      <c r="B3151" t="s">
        <v>4604</v>
      </c>
      <c r="C3151" t="s">
        <v>3214</v>
      </c>
      <c r="E3151">
        <v>0.01</v>
      </c>
      <c r="F3151" t="s">
        <v>546</v>
      </c>
      <c r="G3151" s="174">
        <v>45576.460914351854</v>
      </c>
    </row>
    <row r="3152" spans="1:7">
      <c r="A3152">
        <v>3183</v>
      </c>
      <c r="B3152" t="s">
        <v>4605</v>
      </c>
      <c r="C3152" t="s">
        <v>3940</v>
      </c>
      <c r="E3152">
        <v>0.01</v>
      </c>
      <c r="F3152" t="s">
        <v>546</v>
      </c>
      <c r="G3152" s="174">
        <v>45576.460914351854</v>
      </c>
    </row>
    <row r="3153" spans="1:7">
      <c r="A3153">
        <v>3184</v>
      </c>
      <c r="B3153" t="s">
        <v>4605</v>
      </c>
      <c r="C3153" t="s">
        <v>3941</v>
      </c>
      <c r="E3153">
        <v>0.01</v>
      </c>
      <c r="F3153" t="s">
        <v>546</v>
      </c>
      <c r="G3153" s="174">
        <v>45576.460914351854</v>
      </c>
    </row>
    <row r="3154" spans="1:7">
      <c r="A3154">
        <v>3185</v>
      </c>
      <c r="B3154" t="s">
        <v>4606</v>
      </c>
      <c r="C3154" t="s">
        <v>4005</v>
      </c>
      <c r="E3154">
        <v>0.01</v>
      </c>
      <c r="F3154" t="s">
        <v>546</v>
      </c>
      <c r="G3154" s="174">
        <v>45576.460914351854</v>
      </c>
    </row>
    <row r="3155" spans="1:7">
      <c r="A3155">
        <v>3186</v>
      </c>
      <c r="B3155" t="s">
        <v>4606</v>
      </c>
      <c r="C3155" t="s">
        <v>3023</v>
      </c>
      <c r="E3155">
        <v>0.01</v>
      </c>
      <c r="F3155" t="s">
        <v>546</v>
      </c>
      <c r="G3155" s="174">
        <v>45576.460914351854</v>
      </c>
    </row>
    <row r="3156" spans="1:7">
      <c r="A3156">
        <v>3187</v>
      </c>
      <c r="B3156" t="s">
        <v>4607</v>
      </c>
      <c r="C3156" t="s">
        <v>3098</v>
      </c>
      <c r="E3156">
        <v>0.01</v>
      </c>
      <c r="F3156" t="s">
        <v>546</v>
      </c>
      <c r="G3156" s="174">
        <v>45576.460914351854</v>
      </c>
    </row>
    <row r="3157" spans="1:7">
      <c r="A3157">
        <v>3188</v>
      </c>
      <c r="B3157" t="s">
        <v>4608</v>
      </c>
      <c r="C3157" t="s">
        <v>3693</v>
      </c>
      <c r="E3157">
        <v>0.01</v>
      </c>
      <c r="F3157" t="s">
        <v>546</v>
      </c>
      <c r="G3157" s="174">
        <v>45576.460914351854</v>
      </c>
    </row>
    <row r="3158" spans="1:7">
      <c r="A3158">
        <v>3189</v>
      </c>
      <c r="B3158" t="s">
        <v>4609</v>
      </c>
      <c r="C3158" t="s">
        <v>4610</v>
      </c>
      <c r="E3158">
        <v>0.01</v>
      </c>
      <c r="F3158" t="s">
        <v>546</v>
      </c>
      <c r="G3158" s="174">
        <v>45576.460914351854</v>
      </c>
    </row>
    <row r="3159" spans="1:7">
      <c r="A3159">
        <v>3190</v>
      </c>
      <c r="B3159" t="s">
        <v>4611</v>
      </c>
      <c r="C3159" t="s">
        <v>3982</v>
      </c>
      <c r="E3159">
        <v>0.01</v>
      </c>
      <c r="F3159" t="s">
        <v>546</v>
      </c>
      <c r="G3159" s="174">
        <v>45576.460914351854</v>
      </c>
    </row>
    <row r="3160" spans="1:7">
      <c r="A3160">
        <v>3191</v>
      </c>
      <c r="B3160" t="s">
        <v>1275</v>
      </c>
      <c r="C3160" t="s">
        <v>4612</v>
      </c>
      <c r="E3160">
        <v>0.01</v>
      </c>
      <c r="F3160" t="s">
        <v>546</v>
      </c>
      <c r="G3160" s="174">
        <v>45576.460914351854</v>
      </c>
    </row>
    <row r="3161" spans="1:7">
      <c r="A3161">
        <v>3192</v>
      </c>
      <c r="B3161" t="s">
        <v>4613</v>
      </c>
      <c r="C3161" t="s">
        <v>4614</v>
      </c>
      <c r="E3161">
        <v>0.01</v>
      </c>
      <c r="F3161" t="s">
        <v>546</v>
      </c>
      <c r="G3161" s="174">
        <v>45576.460914351854</v>
      </c>
    </row>
    <row r="3162" spans="1:7">
      <c r="A3162">
        <v>3193</v>
      </c>
      <c r="B3162" t="s">
        <v>4615</v>
      </c>
      <c r="C3162" t="s">
        <v>4182</v>
      </c>
      <c r="E3162">
        <v>0.01</v>
      </c>
      <c r="F3162" t="s">
        <v>546</v>
      </c>
      <c r="G3162" s="174">
        <v>45576.460914351854</v>
      </c>
    </row>
    <row r="3163" spans="1:7">
      <c r="A3163">
        <v>3194</v>
      </c>
      <c r="B3163" t="s">
        <v>1279</v>
      </c>
      <c r="C3163" t="s">
        <v>4616</v>
      </c>
      <c r="E3163">
        <v>0.01</v>
      </c>
      <c r="F3163" t="s">
        <v>546</v>
      </c>
      <c r="G3163" s="174">
        <v>45576.460914351854</v>
      </c>
    </row>
    <row r="3164" spans="1:7">
      <c r="A3164">
        <v>3195</v>
      </c>
      <c r="B3164" t="s">
        <v>4617</v>
      </c>
      <c r="C3164" t="s">
        <v>4618</v>
      </c>
      <c r="E3164">
        <v>0.1</v>
      </c>
      <c r="F3164" t="s">
        <v>546</v>
      </c>
      <c r="G3164" s="174">
        <v>45576.460914351854</v>
      </c>
    </row>
    <row r="3165" spans="1:7">
      <c r="A3165">
        <v>3196</v>
      </c>
      <c r="B3165" t="s">
        <v>4619</v>
      </c>
      <c r="C3165" t="s">
        <v>3461</v>
      </c>
      <c r="E3165">
        <v>0.01</v>
      </c>
      <c r="F3165" t="s">
        <v>546</v>
      </c>
      <c r="G3165" s="174">
        <v>45576.460914351854</v>
      </c>
    </row>
    <row r="3166" spans="1:7">
      <c r="A3166">
        <v>3197</v>
      </c>
      <c r="B3166" t="s">
        <v>4619</v>
      </c>
      <c r="C3166" t="s">
        <v>4620</v>
      </c>
      <c r="E3166">
        <v>0.01</v>
      </c>
      <c r="F3166" t="s">
        <v>546</v>
      </c>
      <c r="G3166" s="174">
        <v>45576.460914351854</v>
      </c>
    </row>
    <row r="3167" spans="1:7">
      <c r="A3167">
        <v>3198</v>
      </c>
      <c r="B3167" t="s">
        <v>4621</v>
      </c>
      <c r="C3167" t="s">
        <v>3943</v>
      </c>
      <c r="E3167">
        <v>0.1</v>
      </c>
      <c r="F3167" t="s">
        <v>546</v>
      </c>
      <c r="G3167" s="174">
        <v>45576.460914351854</v>
      </c>
    </row>
    <row r="3168" spans="1:7">
      <c r="A3168">
        <v>3199</v>
      </c>
      <c r="B3168" t="s">
        <v>4622</v>
      </c>
      <c r="C3168" t="s">
        <v>4184</v>
      </c>
      <c r="E3168">
        <v>0.01</v>
      </c>
      <c r="F3168" t="s">
        <v>546</v>
      </c>
      <c r="G3168" s="174">
        <v>45576.460914351854</v>
      </c>
    </row>
    <row r="3169" spans="1:7">
      <c r="A3169">
        <v>3200</v>
      </c>
      <c r="B3169" t="s">
        <v>4622</v>
      </c>
      <c r="C3169" t="s">
        <v>3470</v>
      </c>
      <c r="E3169">
        <v>0.01</v>
      </c>
      <c r="F3169" t="s">
        <v>546</v>
      </c>
      <c r="G3169" s="174">
        <v>45576.460914351854</v>
      </c>
    </row>
    <row r="3170" spans="1:7">
      <c r="A3170">
        <v>3201</v>
      </c>
      <c r="B3170" t="s">
        <v>4623</v>
      </c>
      <c r="C3170" t="s">
        <v>3938</v>
      </c>
      <c r="E3170">
        <v>0.01</v>
      </c>
      <c r="F3170" t="s">
        <v>546</v>
      </c>
      <c r="G3170" s="174">
        <v>45576.460914351854</v>
      </c>
    </row>
    <row r="3171" spans="1:7">
      <c r="A3171">
        <v>3202</v>
      </c>
      <c r="B3171" t="s">
        <v>4624</v>
      </c>
      <c r="C3171" t="s">
        <v>3122</v>
      </c>
      <c r="E3171">
        <v>0.8</v>
      </c>
      <c r="F3171" t="s">
        <v>546</v>
      </c>
      <c r="G3171" s="174">
        <v>45576.460914351854</v>
      </c>
    </row>
    <row r="3172" spans="1:7">
      <c r="A3172">
        <v>3203</v>
      </c>
      <c r="B3172" t="s">
        <v>4625</v>
      </c>
      <c r="C3172" t="s">
        <v>4626</v>
      </c>
      <c r="E3172">
        <v>0.01</v>
      </c>
      <c r="F3172" t="s">
        <v>546</v>
      </c>
      <c r="G3172" s="174">
        <v>45576.460914351854</v>
      </c>
    </row>
    <row r="3173" spans="1:7">
      <c r="A3173">
        <v>3204</v>
      </c>
      <c r="B3173" t="s">
        <v>1280</v>
      </c>
      <c r="C3173" t="s">
        <v>4627</v>
      </c>
      <c r="E3173">
        <v>0.01</v>
      </c>
      <c r="F3173" t="s">
        <v>546</v>
      </c>
      <c r="G3173" s="174">
        <v>45576.460914351854</v>
      </c>
    </row>
    <row r="3174" spans="1:7">
      <c r="A3174">
        <v>3205</v>
      </c>
      <c r="B3174" t="s">
        <v>1281</v>
      </c>
      <c r="C3174" t="s">
        <v>4628</v>
      </c>
      <c r="E3174">
        <v>0.01</v>
      </c>
      <c r="F3174" t="s">
        <v>546</v>
      </c>
      <c r="G3174" s="174">
        <v>45576.460914351854</v>
      </c>
    </row>
    <row r="3175" spans="1:7">
      <c r="A3175">
        <v>3206</v>
      </c>
      <c r="B3175" t="s">
        <v>4629</v>
      </c>
      <c r="C3175" t="s">
        <v>3136</v>
      </c>
      <c r="E3175">
        <v>0.01</v>
      </c>
      <c r="F3175" t="s">
        <v>546</v>
      </c>
      <c r="G3175" s="174">
        <v>45576.460914351854</v>
      </c>
    </row>
    <row r="3176" spans="1:7">
      <c r="A3176">
        <v>3207</v>
      </c>
      <c r="B3176" t="s">
        <v>4630</v>
      </c>
      <c r="C3176" t="s">
        <v>3162</v>
      </c>
      <c r="E3176">
        <v>0.8</v>
      </c>
      <c r="F3176" t="s">
        <v>546</v>
      </c>
      <c r="G3176" s="174">
        <v>45576.460914351854</v>
      </c>
    </row>
    <row r="3177" spans="1:7">
      <c r="A3177">
        <v>3208</v>
      </c>
      <c r="B3177" t="s">
        <v>4630</v>
      </c>
      <c r="C3177" t="s">
        <v>4631</v>
      </c>
      <c r="E3177">
        <v>0.5</v>
      </c>
      <c r="F3177" t="s">
        <v>546</v>
      </c>
      <c r="G3177" s="174">
        <v>45576.460914351854</v>
      </c>
    </row>
    <row r="3178" spans="1:7">
      <c r="A3178">
        <v>3209</v>
      </c>
      <c r="B3178" t="s">
        <v>4632</v>
      </c>
      <c r="C3178" t="s">
        <v>4633</v>
      </c>
      <c r="E3178">
        <v>0.1</v>
      </c>
      <c r="F3178" t="s">
        <v>546</v>
      </c>
      <c r="G3178" s="174">
        <v>45576.460914351854</v>
      </c>
    </row>
    <row r="3179" spans="1:7">
      <c r="A3179">
        <v>3210</v>
      </c>
      <c r="B3179" t="s">
        <v>4632</v>
      </c>
      <c r="C3179" t="s">
        <v>1299</v>
      </c>
      <c r="E3179">
        <v>0.01</v>
      </c>
      <c r="F3179" t="s">
        <v>546</v>
      </c>
      <c r="G3179" s="174">
        <v>45576.460914351854</v>
      </c>
    </row>
    <row r="3180" spans="1:7">
      <c r="A3180">
        <v>3211</v>
      </c>
      <c r="B3180" t="s">
        <v>4634</v>
      </c>
      <c r="C3180" t="s">
        <v>3980</v>
      </c>
      <c r="E3180">
        <v>0.1</v>
      </c>
      <c r="F3180" t="s">
        <v>546</v>
      </c>
      <c r="G3180" s="174">
        <v>45576.460914351854</v>
      </c>
    </row>
    <row r="3181" spans="1:7">
      <c r="A3181">
        <v>3212</v>
      </c>
      <c r="B3181" t="s">
        <v>4635</v>
      </c>
      <c r="C3181" t="s">
        <v>3029</v>
      </c>
      <c r="E3181">
        <v>0.01</v>
      </c>
      <c r="F3181" t="s">
        <v>546</v>
      </c>
      <c r="G3181" s="174">
        <v>45576.460914351854</v>
      </c>
    </row>
    <row r="3182" spans="1:7">
      <c r="A3182">
        <v>3213</v>
      </c>
      <c r="B3182" t="s">
        <v>4636</v>
      </c>
      <c r="C3182" t="s">
        <v>4637</v>
      </c>
      <c r="E3182">
        <v>0.1</v>
      </c>
      <c r="F3182" t="s">
        <v>546</v>
      </c>
      <c r="G3182" s="174">
        <v>45576.460914351854</v>
      </c>
    </row>
    <row r="3183" spans="1:7">
      <c r="A3183">
        <v>3214</v>
      </c>
      <c r="B3183" t="s">
        <v>4636</v>
      </c>
      <c r="C3183" t="s">
        <v>4458</v>
      </c>
      <c r="E3183">
        <v>0.01</v>
      </c>
      <c r="F3183" t="s">
        <v>546</v>
      </c>
      <c r="G3183" s="174">
        <v>45576.460914351854</v>
      </c>
    </row>
    <row r="3184" spans="1:7">
      <c r="A3184">
        <v>3215</v>
      </c>
      <c r="B3184" t="s">
        <v>4638</v>
      </c>
      <c r="C3184" t="s">
        <v>3143</v>
      </c>
      <c r="E3184">
        <v>0.01</v>
      </c>
      <c r="F3184" t="s">
        <v>546</v>
      </c>
      <c r="G3184" s="174">
        <v>45576.460914351854</v>
      </c>
    </row>
    <row r="3185" spans="1:7">
      <c r="A3185">
        <v>3216</v>
      </c>
      <c r="B3185" t="s">
        <v>4639</v>
      </c>
      <c r="C3185" t="s">
        <v>3003</v>
      </c>
      <c r="E3185">
        <v>0.1</v>
      </c>
      <c r="F3185" t="s">
        <v>546</v>
      </c>
      <c r="G3185" s="174">
        <v>45576.460914351854</v>
      </c>
    </row>
    <row r="3186" spans="1:7">
      <c r="A3186">
        <v>3217</v>
      </c>
      <c r="B3186" t="s">
        <v>4640</v>
      </c>
      <c r="C3186" t="s">
        <v>3029</v>
      </c>
      <c r="E3186">
        <v>0.1</v>
      </c>
      <c r="F3186" t="s">
        <v>546</v>
      </c>
      <c r="G3186" s="174">
        <v>45576.460914351854</v>
      </c>
    </row>
    <row r="3187" spans="1:7">
      <c r="A3187">
        <v>3218</v>
      </c>
      <c r="B3187" t="s">
        <v>4641</v>
      </c>
      <c r="C3187" t="s">
        <v>4547</v>
      </c>
      <c r="E3187">
        <v>0.01</v>
      </c>
      <c r="F3187" t="s">
        <v>546</v>
      </c>
      <c r="G3187" s="174">
        <v>45576.460914351854</v>
      </c>
    </row>
    <row r="3188" spans="1:7">
      <c r="A3188">
        <v>3219</v>
      </c>
      <c r="B3188" t="s">
        <v>4641</v>
      </c>
      <c r="C3188" t="s">
        <v>4642</v>
      </c>
      <c r="E3188">
        <v>0.01</v>
      </c>
      <c r="F3188" t="s">
        <v>546</v>
      </c>
      <c r="G3188" s="174">
        <v>45576.460914351854</v>
      </c>
    </row>
    <row r="3189" spans="1:7">
      <c r="A3189">
        <v>3220</v>
      </c>
      <c r="B3189" t="s">
        <v>4643</v>
      </c>
      <c r="C3189" t="s">
        <v>2856</v>
      </c>
      <c r="E3189">
        <v>0.1</v>
      </c>
      <c r="F3189" t="s">
        <v>546</v>
      </c>
      <c r="G3189" s="174">
        <v>45576.460914351854</v>
      </c>
    </row>
    <row r="3190" spans="1:7">
      <c r="A3190">
        <v>3221</v>
      </c>
      <c r="B3190" t="s">
        <v>4644</v>
      </c>
      <c r="C3190" t="s">
        <v>2853</v>
      </c>
      <c r="E3190">
        <v>0.01</v>
      </c>
      <c r="F3190" t="s">
        <v>546</v>
      </c>
      <c r="G3190" s="174">
        <v>45576.460914351854</v>
      </c>
    </row>
    <row r="3191" spans="1:7">
      <c r="A3191">
        <v>3222</v>
      </c>
      <c r="B3191" t="s">
        <v>4645</v>
      </c>
      <c r="C3191" t="s">
        <v>3319</v>
      </c>
      <c r="E3191">
        <v>0.01</v>
      </c>
      <c r="F3191" t="s">
        <v>546</v>
      </c>
      <c r="G3191" s="174">
        <v>45576.460914351854</v>
      </c>
    </row>
    <row r="3192" spans="1:7">
      <c r="A3192">
        <v>3223</v>
      </c>
      <c r="B3192" t="s">
        <v>4646</v>
      </c>
      <c r="C3192" t="s">
        <v>3390</v>
      </c>
      <c r="E3192">
        <v>0.1</v>
      </c>
      <c r="F3192" t="s">
        <v>546</v>
      </c>
      <c r="G3192" s="174">
        <v>45576.460914351854</v>
      </c>
    </row>
    <row r="3193" spans="1:7">
      <c r="A3193">
        <v>3224</v>
      </c>
      <c r="B3193" t="s">
        <v>4647</v>
      </c>
      <c r="C3193" t="s">
        <v>4648</v>
      </c>
      <c r="E3193">
        <v>0.01</v>
      </c>
      <c r="F3193" t="s">
        <v>546</v>
      </c>
      <c r="G3193" s="174">
        <v>45576.460914351854</v>
      </c>
    </row>
    <row r="3194" spans="1:7">
      <c r="A3194">
        <v>3225</v>
      </c>
      <c r="B3194" t="s">
        <v>4649</v>
      </c>
      <c r="C3194" t="s">
        <v>4650</v>
      </c>
      <c r="E3194">
        <v>0.1</v>
      </c>
      <c r="F3194" t="s">
        <v>546</v>
      </c>
      <c r="G3194" s="174">
        <v>45576.460914351854</v>
      </c>
    </row>
    <row r="3195" spans="1:7">
      <c r="A3195">
        <v>3226</v>
      </c>
      <c r="B3195" t="s">
        <v>4649</v>
      </c>
      <c r="C3195" t="s">
        <v>4651</v>
      </c>
      <c r="E3195">
        <v>0.01</v>
      </c>
      <c r="F3195" t="s">
        <v>546</v>
      </c>
      <c r="G3195" s="174">
        <v>45576.460914351854</v>
      </c>
    </row>
    <row r="3196" spans="1:7">
      <c r="A3196">
        <v>3227</v>
      </c>
      <c r="B3196" t="s">
        <v>4652</v>
      </c>
      <c r="C3196" t="s">
        <v>2948</v>
      </c>
      <c r="E3196">
        <v>0.01</v>
      </c>
      <c r="F3196" t="s">
        <v>546</v>
      </c>
      <c r="G3196" s="174">
        <v>45576.460914351854</v>
      </c>
    </row>
    <row r="3197" spans="1:7">
      <c r="A3197">
        <v>3228</v>
      </c>
      <c r="B3197" t="s">
        <v>4652</v>
      </c>
      <c r="C3197" t="s">
        <v>2893</v>
      </c>
      <c r="E3197">
        <v>0.01</v>
      </c>
      <c r="F3197" t="s">
        <v>546</v>
      </c>
      <c r="G3197" s="174">
        <v>45576.460914351854</v>
      </c>
    </row>
    <row r="3198" spans="1:7">
      <c r="A3198">
        <v>3229</v>
      </c>
      <c r="B3198" t="s">
        <v>1295</v>
      </c>
      <c r="C3198" t="s">
        <v>3638</v>
      </c>
      <c r="E3198">
        <v>0.5</v>
      </c>
      <c r="F3198" t="s">
        <v>4653</v>
      </c>
      <c r="G3198" s="174">
        <v>45576.460914351854</v>
      </c>
    </row>
    <row r="3199" spans="1:7">
      <c r="A3199">
        <v>3230</v>
      </c>
      <c r="B3199" t="s">
        <v>4654</v>
      </c>
      <c r="C3199" t="s">
        <v>4655</v>
      </c>
      <c r="E3199">
        <v>0.01</v>
      </c>
      <c r="F3199" t="s">
        <v>546</v>
      </c>
      <c r="G3199" s="174">
        <v>45576.460914351854</v>
      </c>
    </row>
    <row r="3200" spans="1:7">
      <c r="A3200">
        <v>3231</v>
      </c>
      <c r="B3200" t="s">
        <v>4656</v>
      </c>
      <c r="C3200" t="s">
        <v>4657</v>
      </c>
      <c r="E3200">
        <v>0.01</v>
      </c>
      <c r="F3200" t="s">
        <v>546</v>
      </c>
      <c r="G3200" s="174">
        <v>45576.460914351854</v>
      </c>
    </row>
    <row r="3201" spans="1:7">
      <c r="A3201">
        <v>3232</v>
      </c>
      <c r="B3201" t="s">
        <v>4658</v>
      </c>
      <c r="C3201" t="s">
        <v>4659</v>
      </c>
      <c r="E3201">
        <v>0.8</v>
      </c>
      <c r="F3201" t="s">
        <v>546</v>
      </c>
      <c r="G3201" s="174">
        <v>45576.460914351854</v>
      </c>
    </row>
    <row r="3202" spans="1:7">
      <c r="A3202">
        <v>3233</v>
      </c>
      <c r="B3202" t="s">
        <v>1302</v>
      </c>
      <c r="C3202" t="s">
        <v>4660</v>
      </c>
      <c r="E3202">
        <v>0.1</v>
      </c>
      <c r="F3202" t="s">
        <v>546</v>
      </c>
      <c r="G3202" s="174">
        <v>45576.460914351854</v>
      </c>
    </row>
    <row r="3203" spans="1:7">
      <c r="A3203">
        <v>3234</v>
      </c>
      <c r="B3203" t="s">
        <v>4661</v>
      </c>
      <c r="C3203" t="s">
        <v>1802</v>
      </c>
      <c r="E3203">
        <v>0.01</v>
      </c>
      <c r="F3203" t="s">
        <v>546</v>
      </c>
      <c r="G3203" s="174">
        <v>45576.460914351854</v>
      </c>
    </row>
    <row r="3204" spans="1:7">
      <c r="A3204">
        <v>3235</v>
      </c>
      <c r="B3204" t="s">
        <v>4662</v>
      </c>
      <c r="C3204" t="s">
        <v>4526</v>
      </c>
      <c r="E3204">
        <v>0.01</v>
      </c>
      <c r="F3204" t="s">
        <v>546</v>
      </c>
      <c r="G3204" s="174">
        <v>45576.460914351854</v>
      </c>
    </row>
    <row r="3205" spans="1:7">
      <c r="A3205">
        <v>3236</v>
      </c>
      <c r="B3205" t="s">
        <v>4663</v>
      </c>
      <c r="C3205" t="s">
        <v>2799</v>
      </c>
      <c r="E3205">
        <v>0.01</v>
      </c>
      <c r="F3205" t="s">
        <v>546</v>
      </c>
      <c r="G3205" s="174">
        <v>45576.460914351854</v>
      </c>
    </row>
    <row r="3206" spans="1:7">
      <c r="A3206">
        <v>3237</v>
      </c>
      <c r="B3206" t="s">
        <v>4664</v>
      </c>
      <c r="C3206" t="s">
        <v>4665</v>
      </c>
      <c r="E3206">
        <v>0.01</v>
      </c>
      <c r="F3206" t="s">
        <v>546</v>
      </c>
      <c r="G3206" s="174">
        <v>45576.460914351854</v>
      </c>
    </row>
    <row r="3207" spans="1:7">
      <c r="A3207">
        <v>3238</v>
      </c>
      <c r="B3207" t="s">
        <v>4666</v>
      </c>
      <c r="C3207" t="s">
        <v>3194</v>
      </c>
      <c r="E3207">
        <v>0.01</v>
      </c>
      <c r="F3207" t="s">
        <v>546</v>
      </c>
      <c r="G3207" s="174">
        <v>45576.460914351854</v>
      </c>
    </row>
    <row r="3208" spans="1:7">
      <c r="A3208">
        <v>3239</v>
      </c>
      <c r="B3208" t="s">
        <v>4667</v>
      </c>
      <c r="C3208" t="s">
        <v>4668</v>
      </c>
      <c r="E3208">
        <v>0.01</v>
      </c>
      <c r="F3208" t="s">
        <v>546</v>
      </c>
      <c r="G3208" s="174">
        <v>45576.460914351854</v>
      </c>
    </row>
    <row r="3209" spans="1:7">
      <c r="A3209">
        <v>3240</v>
      </c>
      <c r="B3209" t="s">
        <v>4667</v>
      </c>
      <c r="C3209" t="s">
        <v>2976</v>
      </c>
      <c r="E3209">
        <v>0.1</v>
      </c>
      <c r="F3209" t="s">
        <v>546</v>
      </c>
      <c r="G3209" s="174">
        <v>45576.460914351854</v>
      </c>
    </row>
    <row r="3210" spans="1:7">
      <c r="A3210">
        <v>3241</v>
      </c>
      <c r="B3210" t="s">
        <v>4669</v>
      </c>
      <c r="C3210" t="s">
        <v>3310</v>
      </c>
      <c r="E3210">
        <v>0.8</v>
      </c>
      <c r="F3210" t="s">
        <v>546</v>
      </c>
      <c r="G3210" s="174">
        <v>45576.460914351854</v>
      </c>
    </row>
    <row r="3211" spans="1:7">
      <c r="A3211">
        <v>3242</v>
      </c>
      <c r="B3211" t="s">
        <v>4669</v>
      </c>
      <c r="C3211" t="s">
        <v>4670</v>
      </c>
      <c r="E3211">
        <v>0.1</v>
      </c>
      <c r="F3211" t="s">
        <v>546</v>
      </c>
      <c r="G3211" s="174">
        <v>45576.460914351854</v>
      </c>
    </row>
    <row r="3212" spans="1:7">
      <c r="A3212">
        <v>3243</v>
      </c>
      <c r="B3212" t="s">
        <v>4669</v>
      </c>
      <c r="C3212" t="s">
        <v>4103</v>
      </c>
      <c r="E3212">
        <v>0.6</v>
      </c>
      <c r="F3212" t="s">
        <v>546</v>
      </c>
      <c r="G3212" s="174">
        <v>45576.460914351854</v>
      </c>
    </row>
    <row r="3213" spans="1:7">
      <c r="A3213">
        <v>3244</v>
      </c>
      <c r="B3213" t="s">
        <v>4671</v>
      </c>
      <c r="C3213" t="s">
        <v>4672</v>
      </c>
      <c r="E3213">
        <v>0.8</v>
      </c>
      <c r="F3213" t="s">
        <v>546</v>
      </c>
      <c r="G3213" s="174">
        <v>45576.460914351854</v>
      </c>
    </row>
    <row r="3214" spans="1:7">
      <c r="A3214">
        <v>3245</v>
      </c>
      <c r="B3214" t="s">
        <v>4671</v>
      </c>
      <c r="C3214" t="s">
        <v>2824</v>
      </c>
      <c r="E3214">
        <v>0.7</v>
      </c>
      <c r="F3214" t="s">
        <v>4673</v>
      </c>
      <c r="G3214" s="174">
        <v>45576.460914351854</v>
      </c>
    </row>
    <row r="3215" spans="1:7">
      <c r="A3215">
        <v>3246</v>
      </c>
      <c r="B3215" t="s">
        <v>4674</v>
      </c>
      <c r="C3215" t="s">
        <v>2969</v>
      </c>
      <c r="E3215">
        <v>0.01</v>
      </c>
      <c r="F3215" t="s">
        <v>546</v>
      </c>
      <c r="G3215" s="174">
        <v>45576.460914351854</v>
      </c>
    </row>
    <row r="3216" spans="1:7">
      <c r="A3216">
        <v>3247</v>
      </c>
      <c r="B3216" t="s">
        <v>4675</v>
      </c>
      <c r="C3216" t="s">
        <v>4676</v>
      </c>
      <c r="E3216">
        <v>0.5</v>
      </c>
      <c r="F3216" t="s">
        <v>546</v>
      </c>
      <c r="G3216" s="174">
        <v>45576.460914351854</v>
      </c>
    </row>
    <row r="3217" spans="1:7">
      <c r="A3217">
        <v>3248</v>
      </c>
      <c r="B3217" t="s">
        <v>4675</v>
      </c>
      <c r="C3217" t="s">
        <v>4677</v>
      </c>
      <c r="E3217">
        <v>0.6</v>
      </c>
      <c r="F3217" t="s">
        <v>546</v>
      </c>
      <c r="G3217" s="174">
        <v>45576.460914351854</v>
      </c>
    </row>
    <row r="3218" spans="1:7">
      <c r="A3218">
        <v>3249</v>
      </c>
      <c r="B3218" t="s">
        <v>4675</v>
      </c>
      <c r="C3218" t="s">
        <v>1113</v>
      </c>
      <c r="E3218">
        <v>0.6</v>
      </c>
      <c r="F3218" t="s">
        <v>546</v>
      </c>
      <c r="G3218" s="174">
        <v>45576.460914351854</v>
      </c>
    </row>
    <row r="3219" spans="1:7">
      <c r="A3219">
        <v>3250</v>
      </c>
      <c r="B3219" t="s">
        <v>4675</v>
      </c>
      <c r="C3219" t="s">
        <v>4678</v>
      </c>
      <c r="E3219">
        <v>0.06</v>
      </c>
      <c r="F3219" t="s">
        <v>546</v>
      </c>
      <c r="G3219" s="174">
        <v>45576.460914351854</v>
      </c>
    </row>
    <row r="3220" spans="1:7">
      <c r="A3220">
        <v>3251</v>
      </c>
      <c r="B3220" t="s">
        <v>4679</v>
      </c>
      <c r="C3220" t="s">
        <v>3198</v>
      </c>
      <c r="E3220">
        <v>0.01</v>
      </c>
      <c r="F3220" t="s">
        <v>546</v>
      </c>
      <c r="G3220" s="174">
        <v>45576.460914351854</v>
      </c>
    </row>
    <row r="3221" spans="1:7">
      <c r="A3221">
        <v>3252</v>
      </c>
      <c r="B3221" t="s">
        <v>4679</v>
      </c>
      <c r="C3221" t="s">
        <v>4680</v>
      </c>
      <c r="E3221">
        <v>0.01</v>
      </c>
      <c r="F3221" t="s">
        <v>546</v>
      </c>
      <c r="G3221" s="174">
        <v>45576.460914351854</v>
      </c>
    </row>
    <row r="3222" spans="1:7">
      <c r="A3222">
        <v>3253</v>
      </c>
      <c r="B3222" t="s">
        <v>4681</v>
      </c>
      <c r="C3222" t="s">
        <v>3350</v>
      </c>
      <c r="E3222">
        <v>0.1</v>
      </c>
      <c r="F3222" t="s">
        <v>546</v>
      </c>
      <c r="G3222" s="174">
        <v>45576.460914351854</v>
      </c>
    </row>
    <row r="3223" spans="1:7">
      <c r="A3223">
        <v>3254</v>
      </c>
      <c r="B3223" t="s">
        <v>4682</v>
      </c>
      <c r="C3223" t="s">
        <v>3765</v>
      </c>
      <c r="E3223">
        <v>0.01</v>
      </c>
      <c r="F3223" t="s">
        <v>546</v>
      </c>
      <c r="G3223" s="174">
        <v>45576.460914351854</v>
      </c>
    </row>
    <row r="3224" spans="1:7">
      <c r="A3224">
        <v>3255</v>
      </c>
      <c r="B3224" t="s">
        <v>4683</v>
      </c>
      <c r="C3224" t="s">
        <v>4684</v>
      </c>
      <c r="E3224">
        <v>0.8</v>
      </c>
      <c r="F3224" t="s">
        <v>546</v>
      </c>
      <c r="G3224" s="174">
        <v>45576.460914351854</v>
      </c>
    </row>
    <row r="3225" spans="1:7">
      <c r="A3225">
        <v>3256</v>
      </c>
      <c r="B3225" t="s">
        <v>4685</v>
      </c>
      <c r="C3225" t="s">
        <v>3949</v>
      </c>
      <c r="E3225">
        <v>0.01</v>
      </c>
      <c r="F3225" t="s">
        <v>546</v>
      </c>
      <c r="G3225" s="174">
        <v>45576.460914351854</v>
      </c>
    </row>
    <row r="3226" spans="1:7">
      <c r="A3226">
        <v>3257</v>
      </c>
      <c r="B3226" t="s">
        <v>4686</v>
      </c>
      <c r="C3226" t="s">
        <v>3050</v>
      </c>
      <c r="E3226">
        <v>0.8</v>
      </c>
      <c r="F3226" t="s">
        <v>546</v>
      </c>
      <c r="G3226" s="174">
        <v>45576.460914351854</v>
      </c>
    </row>
    <row r="3227" spans="1:7">
      <c r="A3227">
        <v>3258</v>
      </c>
      <c r="B3227" t="s">
        <v>4686</v>
      </c>
      <c r="C3227" t="s">
        <v>3457</v>
      </c>
      <c r="E3227">
        <v>0.6</v>
      </c>
      <c r="F3227" t="s">
        <v>546</v>
      </c>
      <c r="G3227" s="174">
        <v>45576.460914351854</v>
      </c>
    </row>
    <row r="3228" spans="1:7">
      <c r="A3228">
        <v>3259</v>
      </c>
      <c r="B3228" t="s">
        <v>4687</v>
      </c>
      <c r="C3228" t="s">
        <v>3248</v>
      </c>
      <c r="E3228">
        <v>0.1</v>
      </c>
      <c r="F3228" t="s">
        <v>546</v>
      </c>
      <c r="G3228" s="174">
        <v>45576.460914351854</v>
      </c>
    </row>
    <row r="3229" spans="1:7">
      <c r="A3229">
        <v>3260</v>
      </c>
      <c r="B3229" t="s">
        <v>4688</v>
      </c>
      <c r="C3229" t="s">
        <v>4689</v>
      </c>
      <c r="E3229">
        <v>0.01</v>
      </c>
      <c r="F3229" t="s">
        <v>546</v>
      </c>
      <c r="G3229" s="174">
        <v>45576.460914351854</v>
      </c>
    </row>
    <row r="3230" spans="1:7">
      <c r="A3230">
        <v>3261</v>
      </c>
      <c r="B3230" t="s">
        <v>4688</v>
      </c>
      <c r="C3230" t="s">
        <v>4690</v>
      </c>
      <c r="E3230">
        <v>0.1</v>
      </c>
      <c r="F3230" t="s">
        <v>546</v>
      </c>
      <c r="G3230" s="174">
        <v>45576.460914351854</v>
      </c>
    </row>
    <row r="3231" spans="1:7">
      <c r="A3231">
        <v>3262</v>
      </c>
      <c r="B3231" t="s">
        <v>4691</v>
      </c>
      <c r="C3231" t="s">
        <v>2972</v>
      </c>
      <c r="E3231">
        <v>0.01</v>
      </c>
      <c r="F3231" t="s">
        <v>546</v>
      </c>
      <c r="G3231" s="174">
        <v>45576.460914351854</v>
      </c>
    </row>
    <row r="3232" spans="1:7">
      <c r="A3232">
        <v>3263</v>
      </c>
      <c r="B3232" t="s">
        <v>4692</v>
      </c>
      <c r="C3232" t="s">
        <v>3479</v>
      </c>
      <c r="E3232">
        <v>0.01</v>
      </c>
      <c r="F3232" t="s">
        <v>546</v>
      </c>
      <c r="G3232" s="174">
        <v>45576.460914351854</v>
      </c>
    </row>
    <row r="3233" spans="1:7">
      <c r="A3233">
        <v>3264</v>
      </c>
      <c r="B3233" t="s">
        <v>4692</v>
      </c>
      <c r="C3233" t="s">
        <v>3873</v>
      </c>
      <c r="E3233">
        <v>0.1</v>
      </c>
      <c r="F3233" t="s">
        <v>546</v>
      </c>
      <c r="G3233" s="174">
        <v>45576.460914351854</v>
      </c>
    </row>
    <row r="3234" spans="1:7">
      <c r="A3234">
        <v>3265</v>
      </c>
      <c r="B3234" t="s">
        <v>4693</v>
      </c>
      <c r="C3234" t="s">
        <v>4694</v>
      </c>
      <c r="E3234">
        <v>0.01</v>
      </c>
      <c r="F3234" t="s">
        <v>546</v>
      </c>
      <c r="G3234" s="174">
        <v>45576.460914351854</v>
      </c>
    </row>
    <row r="3235" spans="1:7">
      <c r="A3235">
        <v>3266</v>
      </c>
      <c r="B3235" t="s">
        <v>4695</v>
      </c>
      <c r="C3235" t="s">
        <v>3435</v>
      </c>
      <c r="E3235">
        <v>0.01</v>
      </c>
      <c r="F3235" t="s">
        <v>546</v>
      </c>
      <c r="G3235" s="174">
        <v>45576.460914351854</v>
      </c>
    </row>
    <row r="3236" spans="1:7">
      <c r="A3236">
        <v>3267</v>
      </c>
      <c r="B3236" t="s">
        <v>1312</v>
      </c>
      <c r="C3236" t="s">
        <v>4696</v>
      </c>
      <c r="E3236">
        <v>0.01</v>
      </c>
      <c r="F3236" t="s">
        <v>546</v>
      </c>
      <c r="G3236" s="174">
        <v>45576.460914351854</v>
      </c>
    </row>
    <row r="3237" spans="1:7">
      <c r="A3237">
        <v>3268</v>
      </c>
      <c r="B3237" t="s">
        <v>4697</v>
      </c>
      <c r="C3237" t="s">
        <v>4698</v>
      </c>
      <c r="E3237">
        <v>0.1</v>
      </c>
      <c r="F3237" t="s">
        <v>546</v>
      </c>
      <c r="G3237" s="174">
        <v>45576.460914351854</v>
      </c>
    </row>
    <row r="3238" spans="1:7">
      <c r="A3238">
        <v>3269</v>
      </c>
      <c r="B3238" t="s">
        <v>4697</v>
      </c>
      <c r="C3238" t="s">
        <v>2853</v>
      </c>
      <c r="E3238">
        <v>0.01</v>
      </c>
      <c r="F3238" t="s">
        <v>546</v>
      </c>
      <c r="G3238" s="174">
        <v>45576.460914351854</v>
      </c>
    </row>
    <row r="3239" spans="1:7">
      <c r="A3239">
        <v>3270</v>
      </c>
      <c r="B3239" t="s">
        <v>4699</v>
      </c>
      <c r="C3239" t="s">
        <v>3129</v>
      </c>
      <c r="E3239">
        <v>0.01</v>
      </c>
      <c r="F3239" t="s">
        <v>546</v>
      </c>
      <c r="G3239" s="174">
        <v>45576.460914351854</v>
      </c>
    </row>
    <row r="3240" spans="1:7">
      <c r="A3240">
        <v>3271</v>
      </c>
      <c r="B3240" t="s">
        <v>4700</v>
      </c>
      <c r="C3240" t="s">
        <v>4701</v>
      </c>
      <c r="E3240">
        <v>0.01</v>
      </c>
      <c r="F3240" t="s">
        <v>546</v>
      </c>
      <c r="G3240" s="174">
        <v>45576.460914351854</v>
      </c>
    </row>
    <row r="3241" spans="1:7">
      <c r="A3241">
        <v>3272</v>
      </c>
      <c r="B3241" t="s">
        <v>4702</v>
      </c>
      <c r="C3241" t="s">
        <v>4703</v>
      </c>
      <c r="E3241">
        <v>0.01</v>
      </c>
      <c r="F3241" t="s">
        <v>546</v>
      </c>
      <c r="G3241" s="174">
        <v>45576.460914351854</v>
      </c>
    </row>
    <row r="3242" spans="1:7">
      <c r="A3242">
        <v>3273</v>
      </c>
      <c r="B3242" t="s">
        <v>4704</v>
      </c>
      <c r="C3242" t="s">
        <v>3218</v>
      </c>
      <c r="E3242">
        <v>0.01</v>
      </c>
      <c r="F3242" t="s">
        <v>546</v>
      </c>
      <c r="G3242" s="174">
        <v>45576.460914351854</v>
      </c>
    </row>
    <row r="3243" spans="1:7">
      <c r="A3243">
        <v>3274</v>
      </c>
      <c r="B3243" t="s">
        <v>4705</v>
      </c>
      <c r="C3243" t="s">
        <v>3254</v>
      </c>
      <c r="E3243">
        <v>0.01</v>
      </c>
      <c r="F3243" t="s">
        <v>546</v>
      </c>
      <c r="G3243" s="174">
        <v>45576.460914351854</v>
      </c>
    </row>
    <row r="3244" spans="1:7">
      <c r="A3244">
        <v>3275</v>
      </c>
      <c r="B3244" t="s">
        <v>4706</v>
      </c>
      <c r="C3244" t="s">
        <v>4707</v>
      </c>
      <c r="E3244">
        <v>0.01</v>
      </c>
      <c r="F3244" t="s">
        <v>546</v>
      </c>
      <c r="G3244" s="174">
        <v>45576.460914351854</v>
      </c>
    </row>
    <row r="3245" spans="1:7">
      <c r="A3245">
        <v>3276</v>
      </c>
      <c r="B3245" t="s">
        <v>4708</v>
      </c>
      <c r="C3245" t="s">
        <v>4709</v>
      </c>
      <c r="E3245">
        <v>0.01</v>
      </c>
      <c r="F3245" t="s">
        <v>546</v>
      </c>
      <c r="G3245" s="174">
        <v>45576.460914351854</v>
      </c>
    </row>
    <row r="3246" spans="1:7">
      <c r="A3246">
        <v>3277</v>
      </c>
      <c r="B3246" t="s">
        <v>1313</v>
      </c>
      <c r="C3246" t="s">
        <v>4710</v>
      </c>
      <c r="E3246">
        <v>0.01</v>
      </c>
      <c r="F3246" t="s">
        <v>546</v>
      </c>
      <c r="G3246" s="174">
        <v>45576.460914351854</v>
      </c>
    </row>
    <row r="3247" spans="1:7">
      <c r="A3247">
        <v>3278</v>
      </c>
      <c r="B3247" t="s">
        <v>4711</v>
      </c>
      <c r="C3247" t="s">
        <v>4712</v>
      </c>
      <c r="E3247">
        <v>0.01</v>
      </c>
      <c r="F3247" t="s">
        <v>546</v>
      </c>
      <c r="G3247" s="174">
        <v>45576.460914351854</v>
      </c>
    </row>
    <row r="3248" spans="1:7">
      <c r="A3248">
        <v>3279</v>
      </c>
      <c r="B3248" t="s">
        <v>4711</v>
      </c>
      <c r="C3248" t="s">
        <v>4713</v>
      </c>
      <c r="E3248">
        <v>0.01</v>
      </c>
      <c r="F3248" t="s">
        <v>546</v>
      </c>
      <c r="G3248" s="174">
        <v>45576.460914351854</v>
      </c>
    </row>
    <row r="3249" spans="1:7">
      <c r="A3249">
        <v>3280</v>
      </c>
      <c r="B3249" t="s">
        <v>4714</v>
      </c>
      <c r="C3249" t="s">
        <v>3848</v>
      </c>
      <c r="E3249">
        <v>0.01</v>
      </c>
      <c r="F3249" t="s">
        <v>546</v>
      </c>
      <c r="G3249" s="174">
        <v>45576.460914351854</v>
      </c>
    </row>
    <row r="3250" spans="1:7">
      <c r="A3250">
        <v>3281</v>
      </c>
      <c r="B3250" t="s">
        <v>4715</v>
      </c>
      <c r="C3250" t="s">
        <v>4716</v>
      </c>
      <c r="E3250">
        <v>0.01</v>
      </c>
      <c r="F3250" t="s">
        <v>546</v>
      </c>
      <c r="G3250" s="174">
        <v>45576.460914351854</v>
      </c>
    </row>
    <row r="3251" spans="1:7">
      <c r="A3251">
        <v>3282</v>
      </c>
      <c r="B3251" t="s">
        <v>4717</v>
      </c>
      <c r="C3251" t="s">
        <v>4110</v>
      </c>
      <c r="E3251">
        <v>0.01</v>
      </c>
      <c r="F3251" t="s">
        <v>546</v>
      </c>
      <c r="G3251" s="174">
        <v>45576.460914351854</v>
      </c>
    </row>
    <row r="3252" spans="1:7">
      <c r="A3252">
        <v>3283</v>
      </c>
      <c r="B3252" t="s">
        <v>1315</v>
      </c>
      <c r="C3252" t="s">
        <v>4194</v>
      </c>
      <c r="E3252">
        <v>0.8</v>
      </c>
      <c r="F3252" t="s">
        <v>546</v>
      </c>
      <c r="G3252" s="174">
        <v>45576.460914351854</v>
      </c>
    </row>
    <row r="3253" spans="1:7">
      <c r="A3253">
        <v>3284</v>
      </c>
      <c r="B3253" t="s">
        <v>1315</v>
      </c>
      <c r="C3253" t="s">
        <v>3294</v>
      </c>
      <c r="E3253">
        <v>0.7</v>
      </c>
      <c r="F3253" t="s">
        <v>546</v>
      </c>
      <c r="G3253" s="174">
        <v>45576.460914351854</v>
      </c>
    </row>
    <row r="3254" spans="1:7">
      <c r="A3254">
        <v>3285</v>
      </c>
      <c r="B3254" t="s">
        <v>4718</v>
      </c>
      <c r="C3254" t="s">
        <v>4719</v>
      </c>
      <c r="E3254">
        <v>0.1</v>
      </c>
      <c r="F3254" t="s">
        <v>546</v>
      </c>
      <c r="G3254" s="174">
        <v>45576.460914351854</v>
      </c>
    </row>
    <row r="3255" spans="1:7">
      <c r="A3255">
        <v>3286</v>
      </c>
      <c r="B3255" t="s">
        <v>4720</v>
      </c>
      <c r="C3255" t="s">
        <v>3270</v>
      </c>
      <c r="E3255">
        <v>0.01</v>
      </c>
      <c r="F3255" t="s">
        <v>546</v>
      </c>
      <c r="G3255" s="174">
        <v>45576.460914351854</v>
      </c>
    </row>
    <row r="3256" spans="1:7">
      <c r="A3256">
        <v>3287</v>
      </c>
      <c r="B3256" t="s">
        <v>4721</v>
      </c>
      <c r="C3256" t="s">
        <v>4722</v>
      </c>
      <c r="E3256">
        <v>0.1</v>
      </c>
      <c r="F3256" t="s">
        <v>546</v>
      </c>
      <c r="G3256" s="174">
        <v>45576.460914351854</v>
      </c>
    </row>
    <row r="3257" spans="1:7">
      <c r="A3257">
        <v>3288</v>
      </c>
      <c r="B3257" t="s">
        <v>4723</v>
      </c>
      <c r="C3257" t="s">
        <v>4724</v>
      </c>
      <c r="E3257">
        <v>0.1</v>
      </c>
      <c r="F3257" t="s">
        <v>546</v>
      </c>
      <c r="G3257" s="174">
        <v>45576.460914351854</v>
      </c>
    </row>
    <row r="3258" spans="1:7">
      <c r="A3258">
        <v>3289</v>
      </c>
      <c r="B3258" t="s">
        <v>4723</v>
      </c>
      <c r="C3258" t="s">
        <v>4725</v>
      </c>
      <c r="E3258">
        <v>0.01</v>
      </c>
      <c r="F3258" t="s">
        <v>546</v>
      </c>
      <c r="G3258" s="174">
        <v>45576.460914351854</v>
      </c>
    </row>
    <row r="3259" spans="1:7">
      <c r="A3259">
        <v>3290</v>
      </c>
      <c r="B3259" t="s">
        <v>4726</v>
      </c>
      <c r="C3259" t="s">
        <v>3454</v>
      </c>
      <c r="E3259">
        <v>0.01</v>
      </c>
      <c r="F3259" t="s">
        <v>546</v>
      </c>
      <c r="G3259" s="174">
        <v>45576.460914351854</v>
      </c>
    </row>
    <row r="3260" spans="1:7">
      <c r="A3260">
        <v>3291</v>
      </c>
      <c r="B3260" t="s">
        <v>1320</v>
      </c>
      <c r="C3260" t="s">
        <v>4727</v>
      </c>
      <c r="E3260">
        <v>0.05</v>
      </c>
      <c r="F3260" t="s">
        <v>546</v>
      </c>
      <c r="G3260" s="174">
        <v>45576.460914351854</v>
      </c>
    </row>
    <row r="3261" spans="1:7">
      <c r="A3261">
        <v>3292</v>
      </c>
      <c r="B3261" t="s">
        <v>1322</v>
      </c>
      <c r="C3261" t="s">
        <v>3129</v>
      </c>
      <c r="E3261">
        <v>0.01</v>
      </c>
      <c r="F3261" t="s">
        <v>546</v>
      </c>
      <c r="G3261" s="174">
        <v>45576.460914351854</v>
      </c>
    </row>
    <row r="3262" spans="1:7">
      <c r="A3262">
        <v>3293</v>
      </c>
      <c r="B3262" t="s">
        <v>4728</v>
      </c>
      <c r="C3262" t="s">
        <v>4729</v>
      </c>
      <c r="E3262">
        <v>0.01</v>
      </c>
      <c r="F3262" t="s">
        <v>546</v>
      </c>
      <c r="G3262" s="174">
        <v>45576.460914351854</v>
      </c>
    </row>
    <row r="3263" spans="1:7">
      <c r="A3263">
        <v>3294</v>
      </c>
      <c r="B3263" t="s">
        <v>4730</v>
      </c>
      <c r="C3263" t="s">
        <v>2846</v>
      </c>
      <c r="E3263">
        <v>0.01</v>
      </c>
      <c r="F3263" t="s">
        <v>546</v>
      </c>
      <c r="G3263" s="174">
        <v>45576.460914351854</v>
      </c>
    </row>
    <row r="3264" spans="1:7">
      <c r="A3264">
        <v>3295</v>
      </c>
      <c r="B3264" t="s">
        <v>4731</v>
      </c>
      <c r="C3264" t="s">
        <v>4203</v>
      </c>
      <c r="E3264">
        <v>0.01</v>
      </c>
      <c r="F3264" t="s">
        <v>546</v>
      </c>
      <c r="G3264" s="174">
        <v>45576.460914351854</v>
      </c>
    </row>
    <row r="3265" spans="1:7">
      <c r="A3265">
        <v>3296</v>
      </c>
      <c r="B3265" t="s">
        <v>4732</v>
      </c>
      <c r="C3265" t="s">
        <v>4733</v>
      </c>
      <c r="E3265">
        <v>0.01</v>
      </c>
      <c r="F3265" t="s">
        <v>546</v>
      </c>
      <c r="G3265" s="174">
        <v>45576.460914351854</v>
      </c>
    </row>
    <row r="3266" spans="1:7">
      <c r="A3266">
        <v>3297</v>
      </c>
      <c r="B3266" t="s">
        <v>4734</v>
      </c>
      <c r="C3266" t="s">
        <v>3584</v>
      </c>
      <c r="E3266">
        <v>0.01</v>
      </c>
      <c r="F3266" t="s">
        <v>546</v>
      </c>
      <c r="G3266" s="174">
        <v>45576.460914351854</v>
      </c>
    </row>
    <row r="3267" spans="1:7">
      <c r="A3267">
        <v>3298</v>
      </c>
      <c r="B3267" t="s">
        <v>4735</v>
      </c>
      <c r="C3267" t="s">
        <v>4736</v>
      </c>
      <c r="E3267">
        <v>0.01</v>
      </c>
      <c r="F3267" t="s">
        <v>546</v>
      </c>
      <c r="G3267" s="174">
        <v>45576.460914351854</v>
      </c>
    </row>
    <row r="3268" spans="1:7">
      <c r="A3268">
        <v>3299</v>
      </c>
      <c r="B3268" t="s">
        <v>4737</v>
      </c>
      <c r="C3268" t="s">
        <v>2901</v>
      </c>
      <c r="E3268">
        <v>0.1</v>
      </c>
      <c r="F3268" t="s">
        <v>546</v>
      </c>
      <c r="G3268" s="174">
        <v>45576.460914351854</v>
      </c>
    </row>
    <row r="3269" spans="1:7">
      <c r="A3269">
        <v>3300</v>
      </c>
      <c r="B3269" t="s">
        <v>4738</v>
      </c>
      <c r="C3269" t="s">
        <v>2838</v>
      </c>
      <c r="E3269">
        <v>0.01</v>
      </c>
      <c r="F3269" t="s">
        <v>546</v>
      </c>
      <c r="G3269" s="174">
        <v>45576.460914351854</v>
      </c>
    </row>
    <row r="3270" spans="1:7">
      <c r="A3270">
        <v>3301</v>
      </c>
      <c r="B3270" t="s">
        <v>4738</v>
      </c>
      <c r="C3270" t="s">
        <v>4039</v>
      </c>
      <c r="E3270">
        <v>0.1</v>
      </c>
      <c r="F3270" t="s">
        <v>546</v>
      </c>
      <c r="G3270" s="174">
        <v>45576.460914351854</v>
      </c>
    </row>
    <row r="3271" spans="1:7">
      <c r="A3271">
        <v>3302</v>
      </c>
      <c r="B3271" t="s">
        <v>4739</v>
      </c>
      <c r="C3271" t="s">
        <v>2796</v>
      </c>
      <c r="E3271">
        <v>0.1</v>
      </c>
      <c r="F3271" t="s">
        <v>546</v>
      </c>
      <c r="G3271" s="174">
        <v>45576.460914351854</v>
      </c>
    </row>
    <row r="3272" spans="1:7">
      <c r="A3272">
        <v>3303</v>
      </c>
      <c r="B3272" t="s">
        <v>4740</v>
      </c>
      <c r="C3272" t="s">
        <v>2964</v>
      </c>
      <c r="E3272">
        <v>0.01</v>
      </c>
      <c r="F3272" t="s">
        <v>546</v>
      </c>
      <c r="G3272" s="174">
        <v>45576.460914351854</v>
      </c>
    </row>
    <row r="3273" spans="1:7">
      <c r="A3273">
        <v>3304</v>
      </c>
      <c r="B3273" t="s">
        <v>4741</v>
      </c>
      <c r="C3273" t="s">
        <v>4742</v>
      </c>
      <c r="E3273">
        <v>0.01</v>
      </c>
      <c r="F3273" t="s">
        <v>546</v>
      </c>
      <c r="G3273" s="174">
        <v>45576.460914351854</v>
      </c>
    </row>
    <row r="3274" spans="1:7">
      <c r="A3274">
        <v>3305</v>
      </c>
      <c r="B3274" t="s">
        <v>4743</v>
      </c>
      <c r="C3274" t="s">
        <v>4744</v>
      </c>
      <c r="E3274">
        <v>0.01</v>
      </c>
      <c r="F3274" t="s">
        <v>546</v>
      </c>
      <c r="G3274" s="174">
        <v>45576.460914351854</v>
      </c>
    </row>
    <row r="3275" spans="1:7">
      <c r="A3275">
        <v>3306</v>
      </c>
      <c r="B3275" t="s">
        <v>1328</v>
      </c>
      <c r="C3275" t="s">
        <v>3557</v>
      </c>
      <c r="E3275">
        <v>0.05</v>
      </c>
      <c r="F3275" t="s">
        <v>546</v>
      </c>
      <c r="G3275" s="174">
        <v>45576.460914351854</v>
      </c>
    </row>
    <row r="3276" spans="1:7">
      <c r="A3276">
        <v>3307</v>
      </c>
      <c r="B3276" t="s">
        <v>1330</v>
      </c>
      <c r="C3276" t="s">
        <v>4745</v>
      </c>
      <c r="E3276">
        <v>0.6</v>
      </c>
      <c r="F3276" t="s">
        <v>546</v>
      </c>
      <c r="G3276" s="174">
        <v>45576.460914351854</v>
      </c>
    </row>
    <row r="3277" spans="1:7">
      <c r="A3277">
        <v>3308</v>
      </c>
      <c r="B3277" t="s">
        <v>4746</v>
      </c>
      <c r="C3277" t="s">
        <v>3722</v>
      </c>
      <c r="E3277">
        <v>0.01</v>
      </c>
      <c r="F3277" t="s">
        <v>546</v>
      </c>
      <c r="G3277" s="174">
        <v>45576.460914351854</v>
      </c>
    </row>
    <row r="3278" spans="1:7">
      <c r="A3278">
        <v>3309</v>
      </c>
      <c r="B3278" t="s">
        <v>4747</v>
      </c>
      <c r="C3278" t="s">
        <v>4748</v>
      </c>
      <c r="E3278">
        <v>0.01</v>
      </c>
      <c r="F3278" t="s">
        <v>546</v>
      </c>
      <c r="G3278" s="174">
        <v>45576.460914351854</v>
      </c>
    </row>
    <row r="3279" spans="1:7">
      <c r="A3279">
        <v>3310</v>
      </c>
      <c r="B3279" t="s">
        <v>4747</v>
      </c>
      <c r="C3279" t="s">
        <v>3038</v>
      </c>
      <c r="E3279">
        <v>0.01</v>
      </c>
      <c r="F3279" t="s">
        <v>546</v>
      </c>
      <c r="G3279" s="174">
        <v>45576.460914351854</v>
      </c>
    </row>
    <row r="3280" spans="1:7">
      <c r="A3280">
        <v>3311</v>
      </c>
      <c r="B3280" t="s">
        <v>4747</v>
      </c>
      <c r="C3280" t="s">
        <v>4749</v>
      </c>
      <c r="E3280">
        <v>0.01</v>
      </c>
      <c r="F3280" t="s">
        <v>546</v>
      </c>
      <c r="G3280" s="174">
        <v>45576.460914351854</v>
      </c>
    </row>
    <row r="3281" spans="1:7">
      <c r="A3281">
        <v>3312</v>
      </c>
      <c r="B3281" t="s">
        <v>4750</v>
      </c>
      <c r="C3281" t="s">
        <v>4751</v>
      </c>
      <c r="E3281">
        <v>0.01</v>
      </c>
      <c r="F3281" t="s">
        <v>546</v>
      </c>
      <c r="G3281" s="174">
        <v>45576.460914351854</v>
      </c>
    </row>
    <row r="3282" spans="1:7">
      <c r="A3282">
        <v>3313</v>
      </c>
      <c r="B3282" t="s">
        <v>4750</v>
      </c>
      <c r="C3282" t="s">
        <v>4522</v>
      </c>
      <c r="E3282">
        <v>0.01</v>
      </c>
      <c r="F3282" t="s">
        <v>546</v>
      </c>
      <c r="G3282" s="174">
        <v>45576.460914351854</v>
      </c>
    </row>
    <row r="3283" spans="1:7">
      <c r="A3283">
        <v>3314</v>
      </c>
      <c r="B3283" t="s">
        <v>4752</v>
      </c>
      <c r="C3283" t="s">
        <v>4753</v>
      </c>
      <c r="E3283">
        <v>0.01</v>
      </c>
      <c r="F3283" t="s">
        <v>546</v>
      </c>
      <c r="G3283" s="174">
        <v>45576.460914351854</v>
      </c>
    </row>
    <row r="3284" spans="1:7">
      <c r="A3284">
        <v>3315</v>
      </c>
      <c r="B3284" t="s">
        <v>4754</v>
      </c>
      <c r="C3284" t="s">
        <v>4755</v>
      </c>
      <c r="E3284">
        <v>0.01</v>
      </c>
      <c r="F3284" t="s">
        <v>546</v>
      </c>
      <c r="G3284" s="174">
        <v>45576.460914351854</v>
      </c>
    </row>
    <row r="3285" spans="1:7">
      <c r="A3285">
        <v>3316</v>
      </c>
      <c r="B3285" t="s">
        <v>4756</v>
      </c>
      <c r="C3285" t="s">
        <v>2956</v>
      </c>
      <c r="E3285">
        <v>0.1</v>
      </c>
      <c r="F3285" t="s">
        <v>546</v>
      </c>
      <c r="G3285" s="174">
        <v>45576.460914351854</v>
      </c>
    </row>
    <row r="3286" spans="1:7">
      <c r="A3286">
        <v>3317</v>
      </c>
      <c r="B3286" t="s">
        <v>4756</v>
      </c>
      <c r="C3286" t="s">
        <v>3353</v>
      </c>
      <c r="E3286">
        <v>0.01</v>
      </c>
      <c r="F3286" t="s">
        <v>546</v>
      </c>
      <c r="G3286" s="174">
        <v>45576.460914351854</v>
      </c>
    </row>
    <row r="3287" spans="1:7">
      <c r="A3287">
        <v>3318</v>
      </c>
      <c r="B3287" t="s">
        <v>4757</v>
      </c>
      <c r="C3287" t="s">
        <v>3628</v>
      </c>
      <c r="E3287">
        <v>0.01</v>
      </c>
      <c r="F3287" t="s">
        <v>546</v>
      </c>
      <c r="G3287" s="174">
        <v>45576.460914351854</v>
      </c>
    </row>
    <row r="3288" spans="1:7">
      <c r="A3288">
        <v>3319</v>
      </c>
      <c r="B3288" t="s">
        <v>4758</v>
      </c>
      <c r="C3288" t="s">
        <v>3269</v>
      </c>
      <c r="E3288">
        <v>0.01</v>
      </c>
      <c r="F3288" t="s">
        <v>546</v>
      </c>
      <c r="G3288" s="174">
        <v>45576.460914351854</v>
      </c>
    </row>
    <row r="3289" spans="1:7">
      <c r="A3289">
        <v>3320</v>
      </c>
      <c r="B3289" t="s">
        <v>4758</v>
      </c>
      <c r="C3289" t="s">
        <v>4258</v>
      </c>
      <c r="E3289">
        <v>0.05</v>
      </c>
      <c r="F3289" t="s">
        <v>546</v>
      </c>
      <c r="G3289" s="174">
        <v>45576.460914351854</v>
      </c>
    </row>
    <row r="3290" spans="1:7">
      <c r="A3290">
        <v>3321</v>
      </c>
      <c r="B3290" t="s">
        <v>4759</v>
      </c>
      <c r="C3290" t="s">
        <v>4760</v>
      </c>
      <c r="E3290">
        <v>0.01</v>
      </c>
      <c r="F3290" t="s">
        <v>546</v>
      </c>
      <c r="G3290" s="174">
        <v>45576.460914351854</v>
      </c>
    </row>
    <row r="3291" spans="1:7">
      <c r="A3291">
        <v>3322</v>
      </c>
      <c r="B3291" t="s">
        <v>4761</v>
      </c>
      <c r="C3291" t="s">
        <v>4762</v>
      </c>
      <c r="E3291">
        <v>0.1</v>
      </c>
      <c r="F3291" t="s">
        <v>546</v>
      </c>
      <c r="G3291" s="174">
        <v>45576.460914351854</v>
      </c>
    </row>
    <row r="3292" spans="1:7">
      <c r="A3292">
        <v>3323</v>
      </c>
      <c r="B3292" t="s">
        <v>4763</v>
      </c>
      <c r="C3292" t="s">
        <v>4764</v>
      </c>
      <c r="E3292">
        <v>0.01</v>
      </c>
      <c r="F3292" t="s">
        <v>546</v>
      </c>
      <c r="G3292" s="174">
        <v>45576.460914351854</v>
      </c>
    </row>
    <row r="3293" spans="1:7">
      <c r="A3293">
        <v>3324</v>
      </c>
      <c r="B3293" t="s">
        <v>4765</v>
      </c>
      <c r="C3293" t="s">
        <v>4766</v>
      </c>
      <c r="E3293">
        <v>0.01</v>
      </c>
      <c r="F3293" t="s">
        <v>546</v>
      </c>
      <c r="G3293" s="174">
        <v>45576.460914351854</v>
      </c>
    </row>
    <row r="3294" spans="1:7">
      <c r="A3294">
        <v>3325</v>
      </c>
      <c r="B3294" t="s">
        <v>1342</v>
      </c>
      <c r="C3294" t="s">
        <v>4767</v>
      </c>
      <c r="E3294">
        <v>0.8</v>
      </c>
      <c r="F3294" t="s">
        <v>546</v>
      </c>
      <c r="G3294" s="174">
        <v>45576.460914351854</v>
      </c>
    </row>
    <row r="3295" spans="1:7">
      <c r="A3295">
        <v>3326</v>
      </c>
      <c r="B3295" t="s">
        <v>4768</v>
      </c>
      <c r="C3295" t="s">
        <v>3603</v>
      </c>
      <c r="E3295">
        <v>0.01</v>
      </c>
      <c r="F3295" t="s">
        <v>546</v>
      </c>
      <c r="G3295" s="174">
        <v>45576.460914351854</v>
      </c>
    </row>
    <row r="3296" spans="1:7">
      <c r="A3296">
        <v>3327</v>
      </c>
      <c r="B3296" t="s">
        <v>4769</v>
      </c>
      <c r="C3296" t="s">
        <v>4770</v>
      </c>
      <c r="E3296">
        <v>0.01</v>
      </c>
      <c r="F3296" t="s">
        <v>546</v>
      </c>
      <c r="G3296" s="174">
        <v>45576.460914351854</v>
      </c>
    </row>
    <row r="3297" spans="1:7">
      <c r="A3297">
        <v>3328</v>
      </c>
      <c r="B3297" t="s">
        <v>4771</v>
      </c>
      <c r="C3297" t="s">
        <v>2904</v>
      </c>
      <c r="E3297">
        <v>0.8</v>
      </c>
      <c r="F3297" t="s">
        <v>546</v>
      </c>
      <c r="G3297" s="174">
        <v>45576.460914351854</v>
      </c>
    </row>
    <row r="3298" spans="1:7">
      <c r="A3298">
        <v>3329</v>
      </c>
      <c r="B3298" t="s">
        <v>4772</v>
      </c>
      <c r="C3298" t="s">
        <v>2766</v>
      </c>
      <c r="E3298">
        <v>0.01</v>
      </c>
      <c r="F3298" t="s">
        <v>546</v>
      </c>
      <c r="G3298" s="174">
        <v>45576.460914351854</v>
      </c>
    </row>
    <row r="3299" spans="1:7">
      <c r="A3299">
        <v>3330</v>
      </c>
      <c r="B3299" t="s">
        <v>4773</v>
      </c>
      <c r="C3299" t="s">
        <v>4027</v>
      </c>
      <c r="E3299">
        <v>0.01</v>
      </c>
      <c r="F3299" t="s">
        <v>546</v>
      </c>
      <c r="G3299" s="174">
        <v>45576.460914351854</v>
      </c>
    </row>
    <row r="3300" spans="1:7">
      <c r="A3300">
        <v>3331</v>
      </c>
      <c r="B3300" t="s">
        <v>4774</v>
      </c>
      <c r="C3300" t="s">
        <v>3375</v>
      </c>
      <c r="E3300">
        <v>0.01</v>
      </c>
      <c r="F3300" t="s">
        <v>546</v>
      </c>
      <c r="G3300" s="174">
        <v>45576.460914351854</v>
      </c>
    </row>
    <row r="3301" spans="1:7">
      <c r="A3301">
        <v>3332</v>
      </c>
      <c r="B3301" t="s">
        <v>4775</v>
      </c>
      <c r="C3301" t="s">
        <v>4755</v>
      </c>
      <c r="E3301">
        <v>0.01</v>
      </c>
      <c r="F3301" t="s">
        <v>546</v>
      </c>
      <c r="G3301" s="174">
        <v>45576.460914351854</v>
      </c>
    </row>
    <row r="3302" spans="1:7">
      <c r="A3302">
        <v>3333</v>
      </c>
      <c r="B3302" t="s">
        <v>1343</v>
      </c>
      <c r="C3302" t="s">
        <v>3785</v>
      </c>
      <c r="E3302">
        <v>0.01</v>
      </c>
      <c r="F3302" t="s">
        <v>546</v>
      </c>
      <c r="G3302" s="174">
        <v>45576.460914351854</v>
      </c>
    </row>
    <row r="3303" spans="1:7">
      <c r="A3303">
        <v>3335</v>
      </c>
      <c r="B3303" t="s">
        <v>1343</v>
      </c>
      <c r="C3303" t="s">
        <v>4776</v>
      </c>
      <c r="E3303">
        <v>0.1</v>
      </c>
      <c r="F3303" t="s">
        <v>546</v>
      </c>
      <c r="G3303" s="174">
        <v>45576.460914351854</v>
      </c>
    </row>
    <row r="3304" spans="1:7">
      <c r="A3304">
        <v>3336</v>
      </c>
      <c r="B3304" t="s">
        <v>4777</v>
      </c>
      <c r="C3304" t="s">
        <v>3007</v>
      </c>
      <c r="E3304">
        <v>0.01</v>
      </c>
      <c r="F3304" t="s">
        <v>546</v>
      </c>
      <c r="G3304" s="174">
        <v>45576.460914351854</v>
      </c>
    </row>
    <row r="3305" spans="1:7">
      <c r="A3305">
        <v>3337</v>
      </c>
      <c r="B3305" t="s">
        <v>4778</v>
      </c>
      <c r="C3305" t="s">
        <v>3977</v>
      </c>
      <c r="E3305">
        <v>0.01</v>
      </c>
      <c r="F3305" t="s">
        <v>546</v>
      </c>
      <c r="G3305" s="174">
        <v>45576.460914351854</v>
      </c>
    </row>
    <row r="3306" spans="1:7">
      <c r="A3306">
        <v>3338</v>
      </c>
      <c r="B3306" t="s">
        <v>4779</v>
      </c>
      <c r="C3306" t="s">
        <v>3175</v>
      </c>
      <c r="E3306">
        <v>0.01</v>
      </c>
      <c r="F3306" t="s">
        <v>546</v>
      </c>
      <c r="G3306" s="174">
        <v>45576.460914351854</v>
      </c>
    </row>
    <row r="3307" spans="1:7">
      <c r="A3307">
        <v>3339</v>
      </c>
      <c r="B3307" t="s">
        <v>4780</v>
      </c>
      <c r="C3307" t="s">
        <v>4781</v>
      </c>
      <c r="E3307">
        <v>0.01</v>
      </c>
      <c r="F3307" t="s">
        <v>546</v>
      </c>
      <c r="G3307" s="174">
        <v>45576.460914351854</v>
      </c>
    </row>
    <row r="3308" spans="1:7">
      <c r="A3308">
        <v>3340</v>
      </c>
      <c r="B3308" t="s">
        <v>4782</v>
      </c>
      <c r="C3308" t="s">
        <v>3529</v>
      </c>
      <c r="E3308">
        <v>0.01</v>
      </c>
      <c r="F3308" t="s">
        <v>546</v>
      </c>
      <c r="G3308" s="174">
        <v>45576.460914351854</v>
      </c>
    </row>
    <row r="3309" spans="1:7">
      <c r="A3309">
        <v>3341</v>
      </c>
      <c r="B3309" t="s">
        <v>4782</v>
      </c>
      <c r="C3309" t="s">
        <v>3530</v>
      </c>
      <c r="E3309">
        <v>0.01</v>
      </c>
      <c r="F3309" t="s">
        <v>546</v>
      </c>
      <c r="G3309" s="174">
        <v>45576.460914351854</v>
      </c>
    </row>
    <row r="3310" spans="1:7">
      <c r="A3310">
        <v>3342</v>
      </c>
      <c r="B3310" t="s">
        <v>4783</v>
      </c>
      <c r="C3310" t="s">
        <v>4784</v>
      </c>
      <c r="E3310">
        <v>0.01</v>
      </c>
      <c r="F3310" t="s">
        <v>546</v>
      </c>
      <c r="G3310" s="174">
        <v>45576.460914351854</v>
      </c>
    </row>
    <row r="3311" spans="1:7">
      <c r="A3311">
        <v>3343</v>
      </c>
      <c r="B3311" t="s">
        <v>4783</v>
      </c>
      <c r="C3311" t="s">
        <v>4388</v>
      </c>
      <c r="E3311">
        <v>0.1</v>
      </c>
      <c r="F3311" t="s">
        <v>546</v>
      </c>
      <c r="G3311" s="174">
        <v>45576.460914351854</v>
      </c>
    </row>
    <row r="3312" spans="1:7">
      <c r="A3312">
        <v>3344</v>
      </c>
      <c r="B3312" t="s">
        <v>4785</v>
      </c>
      <c r="C3312" t="s">
        <v>1848</v>
      </c>
      <c r="E3312">
        <v>0.6</v>
      </c>
      <c r="F3312" t="s">
        <v>546</v>
      </c>
      <c r="G3312" s="174">
        <v>45576.460914351854</v>
      </c>
    </row>
    <row r="3313" spans="1:7">
      <c r="A3313">
        <v>3345</v>
      </c>
      <c r="B3313" t="s">
        <v>1354</v>
      </c>
      <c r="C3313" t="s">
        <v>3048</v>
      </c>
      <c r="E3313">
        <v>0.01</v>
      </c>
      <c r="F3313" t="s">
        <v>546</v>
      </c>
      <c r="G3313" s="174">
        <v>45576.460914351854</v>
      </c>
    </row>
    <row r="3314" spans="1:7">
      <c r="A3314">
        <v>3346</v>
      </c>
      <c r="B3314" t="s">
        <v>1354</v>
      </c>
      <c r="C3314" t="s">
        <v>4637</v>
      </c>
      <c r="E3314">
        <v>0.06</v>
      </c>
      <c r="F3314" t="s">
        <v>546</v>
      </c>
      <c r="G3314" s="174">
        <v>45576.460914351854</v>
      </c>
    </row>
    <row r="3315" spans="1:7">
      <c r="A3315">
        <v>3347</v>
      </c>
      <c r="B3315" t="s">
        <v>4786</v>
      </c>
      <c r="C3315" t="s">
        <v>3416</v>
      </c>
      <c r="E3315">
        <v>0.01</v>
      </c>
      <c r="F3315" t="s">
        <v>546</v>
      </c>
      <c r="G3315" s="174">
        <v>45576.460914351854</v>
      </c>
    </row>
    <row r="3316" spans="1:7">
      <c r="A3316">
        <v>3348</v>
      </c>
      <c r="B3316" t="s">
        <v>4787</v>
      </c>
      <c r="C3316" t="s">
        <v>4788</v>
      </c>
      <c r="E3316">
        <v>0.06</v>
      </c>
      <c r="F3316" t="s">
        <v>546</v>
      </c>
      <c r="G3316" s="174">
        <v>45576.460914351854</v>
      </c>
    </row>
    <row r="3317" spans="1:7">
      <c r="A3317">
        <v>3349</v>
      </c>
      <c r="B3317" t="s">
        <v>4789</v>
      </c>
      <c r="C3317" t="s">
        <v>4790</v>
      </c>
      <c r="E3317">
        <v>0.1</v>
      </c>
      <c r="F3317" t="s">
        <v>546</v>
      </c>
      <c r="G3317" s="174">
        <v>45576.460914351854</v>
      </c>
    </row>
    <row r="3318" spans="1:7">
      <c r="A3318">
        <v>3350</v>
      </c>
      <c r="B3318" t="s">
        <v>4791</v>
      </c>
      <c r="C3318" t="s">
        <v>4145</v>
      </c>
      <c r="E3318">
        <v>0.05</v>
      </c>
      <c r="F3318" t="s">
        <v>546</v>
      </c>
      <c r="G3318" s="174">
        <v>45576.460914351854</v>
      </c>
    </row>
    <row r="3319" spans="1:7">
      <c r="A3319">
        <v>3351</v>
      </c>
      <c r="B3319" t="s">
        <v>4791</v>
      </c>
      <c r="C3319" t="s">
        <v>4792</v>
      </c>
      <c r="E3319">
        <v>0.01</v>
      </c>
      <c r="F3319" t="s">
        <v>546</v>
      </c>
      <c r="G3319" s="174">
        <v>45576.460914351854</v>
      </c>
    </row>
    <row r="3320" spans="1:7">
      <c r="A3320">
        <v>3352</v>
      </c>
      <c r="B3320" t="s">
        <v>4791</v>
      </c>
      <c r="C3320" t="s">
        <v>3339</v>
      </c>
      <c r="E3320">
        <v>0.01</v>
      </c>
      <c r="F3320" t="s">
        <v>546</v>
      </c>
      <c r="G3320" s="174">
        <v>45576.460914351854</v>
      </c>
    </row>
    <row r="3321" spans="1:7">
      <c r="A3321">
        <v>3353</v>
      </c>
      <c r="B3321" t="s">
        <v>4793</v>
      </c>
      <c r="C3321" t="s">
        <v>3529</v>
      </c>
      <c r="E3321">
        <v>0.01</v>
      </c>
      <c r="F3321" t="s">
        <v>546</v>
      </c>
      <c r="G3321" s="174">
        <v>45576.460914351854</v>
      </c>
    </row>
    <row r="3322" spans="1:7">
      <c r="A3322">
        <v>3354</v>
      </c>
      <c r="B3322" t="s">
        <v>4793</v>
      </c>
      <c r="C3322" t="s">
        <v>3530</v>
      </c>
      <c r="E3322">
        <v>0.01</v>
      </c>
      <c r="F3322" t="s">
        <v>546</v>
      </c>
      <c r="G3322" s="174">
        <v>45576.460914351854</v>
      </c>
    </row>
    <row r="3323" spans="1:7">
      <c r="A3323">
        <v>3355</v>
      </c>
      <c r="B3323" t="s">
        <v>4794</v>
      </c>
      <c r="C3323" t="s">
        <v>2976</v>
      </c>
      <c r="E3323">
        <v>0.1</v>
      </c>
      <c r="F3323" t="s">
        <v>546</v>
      </c>
      <c r="G3323" s="174">
        <v>45576.460914351854</v>
      </c>
    </row>
    <row r="3324" spans="1:7">
      <c r="A3324">
        <v>3356</v>
      </c>
      <c r="B3324" t="s">
        <v>4795</v>
      </c>
      <c r="C3324" t="s">
        <v>3479</v>
      </c>
      <c r="E3324">
        <v>0.1</v>
      </c>
      <c r="F3324" t="s">
        <v>546</v>
      </c>
      <c r="G3324" s="174">
        <v>45576.460914351854</v>
      </c>
    </row>
    <row r="3325" spans="1:7">
      <c r="A3325">
        <v>3357</v>
      </c>
      <c r="B3325" t="s">
        <v>4795</v>
      </c>
      <c r="C3325" t="s">
        <v>3781</v>
      </c>
      <c r="E3325">
        <v>0.1</v>
      </c>
      <c r="F3325" t="s">
        <v>546</v>
      </c>
      <c r="G3325" s="174">
        <v>45576.460914351854</v>
      </c>
    </row>
    <row r="3326" spans="1:7">
      <c r="A3326">
        <v>3358</v>
      </c>
      <c r="B3326" t="s">
        <v>4796</v>
      </c>
      <c r="C3326" t="s">
        <v>3298</v>
      </c>
      <c r="E3326">
        <v>0.01</v>
      </c>
      <c r="F3326" t="s">
        <v>546</v>
      </c>
      <c r="G3326" s="174">
        <v>45576.460914351854</v>
      </c>
    </row>
    <row r="3327" spans="1:7">
      <c r="A3327">
        <v>3359</v>
      </c>
      <c r="B3327" t="s">
        <v>1360</v>
      </c>
      <c r="C3327" t="s">
        <v>2818</v>
      </c>
      <c r="E3327">
        <v>0.01</v>
      </c>
      <c r="F3327" t="s">
        <v>546</v>
      </c>
      <c r="G3327" s="174">
        <v>45576.460914351854</v>
      </c>
    </row>
    <row r="3328" spans="1:7">
      <c r="A3328">
        <v>3360</v>
      </c>
      <c r="B3328" t="s">
        <v>1360</v>
      </c>
      <c r="C3328" t="s">
        <v>4797</v>
      </c>
      <c r="E3328">
        <v>0.01</v>
      </c>
      <c r="F3328" t="s">
        <v>546</v>
      </c>
      <c r="G3328" s="174">
        <v>45576.460914351854</v>
      </c>
    </row>
    <row r="3329" spans="1:7">
      <c r="A3329">
        <v>3361</v>
      </c>
      <c r="B3329" t="s">
        <v>1362</v>
      </c>
      <c r="C3329" t="s">
        <v>3080</v>
      </c>
      <c r="E3329">
        <v>0.01</v>
      </c>
      <c r="F3329" t="s">
        <v>546</v>
      </c>
      <c r="G3329" s="174">
        <v>45576.460914351854</v>
      </c>
    </row>
    <row r="3330" spans="1:7">
      <c r="A3330">
        <v>3362</v>
      </c>
      <c r="B3330" t="s">
        <v>4798</v>
      </c>
      <c r="C3330" t="s">
        <v>2826</v>
      </c>
      <c r="E3330">
        <v>0.01</v>
      </c>
      <c r="F3330" t="s">
        <v>546</v>
      </c>
      <c r="G3330" s="174">
        <v>45576.460914351854</v>
      </c>
    </row>
    <row r="3331" spans="1:7">
      <c r="A3331">
        <v>3363</v>
      </c>
      <c r="B3331" t="s">
        <v>4799</v>
      </c>
      <c r="C3331" t="s">
        <v>3769</v>
      </c>
      <c r="E3331">
        <v>0.01</v>
      </c>
      <c r="F3331" t="s">
        <v>546</v>
      </c>
      <c r="G3331" s="174">
        <v>45576.460914351854</v>
      </c>
    </row>
    <row r="3332" spans="1:7">
      <c r="A3332">
        <v>3364</v>
      </c>
      <c r="B3332" t="s">
        <v>4799</v>
      </c>
      <c r="C3332" t="s">
        <v>3581</v>
      </c>
      <c r="E3332">
        <v>0.5</v>
      </c>
      <c r="F3332" t="s">
        <v>546</v>
      </c>
      <c r="G3332" s="174">
        <v>45576.460914351854</v>
      </c>
    </row>
    <row r="3333" spans="1:7">
      <c r="A3333">
        <v>3365</v>
      </c>
      <c r="B3333" t="s">
        <v>4800</v>
      </c>
      <c r="C3333" t="s">
        <v>4017</v>
      </c>
      <c r="E3333">
        <v>0.01</v>
      </c>
      <c r="F3333" t="s">
        <v>546</v>
      </c>
      <c r="G3333" s="174">
        <v>45576.460914351854</v>
      </c>
    </row>
    <row r="3334" spans="1:7">
      <c r="A3334">
        <v>3366</v>
      </c>
      <c r="B3334" t="s">
        <v>1363</v>
      </c>
      <c r="C3334" t="s">
        <v>3638</v>
      </c>
      <c r="E3334">
        <v>0.01</v>
      </c>
      <c r="F3334" t="s">
        <v>546</v>
      </c>
      <c r="G3334" s="174">
        <v>45576.460914351854</v>
      </c>
    </row>
    <row r="3335" spans="1:7">
      <c r="A3335">
        <v>3367</v>
      </c>
      <c r="B3335" t="s">
        <v>4801</v>
      </c>
      <c r="C3335" t="s">
        <v>4616</v>
      </c>
      <c r="E3335">
        <v>0.01</v>
      </c>
      <c r="F3335" t="s">
        <v>546</v>
      </c>
      <c r="G3335" s="174">
        <v>45576.460914351854</v>
      </c>
    </row>
    <row r="3336" spans="1:7">
      <c r="A3336">
        <v>3368</v>
      </c>
      <c r="B3336" t="s">
        <v>4801</v>
      </c>
      <c r="C3336" t="s">
        <v>3412</v>
      </c>
      <c r="E3336">
        <v>0.1</v>
      </c>
      <c r="F3336" t="s">
        <v>546</v>
      </c>
      <c r="G3336" s="174">
        <v>45576.460914351854</v>
      </c>
    </row>
    <row r="3337" spans="1:7">
      <c r="A3337">
        <v>3369</v>
      </c>
      <c r="B3337" t="s">
        <v>4801</v>
      </c>
      <c r="C3337" t="s">
        <v>1454</v>
      </c>
      <c r="E3337">
        <v>0.1</v>
      </c>
      <c r="F3337" t="s">
        <v>546</v>
      </c>
      <c r="G3337" s="174">
        <v>45576.460914351854</v>
      </c>
    </row>
    <row r="3338" spans="1:7">
      <c r="A3338">
        <v>3370</v>
      </c>
      <c r="B3338" t="s">
        <v>4802</v>
      </c>
      <c r="C3338" t="s">
        <v>4803</v>
      </c>
      <c r="E3338">
        <v>0.01</v>
      </c>
      <c r="F3338" t="s">
        <v>546</v>
      </c>
      <c r="G3338" s="174">
        <v>45576.460914351854</v>
      </c>
    </row>
    <row r="3339" spans="1:7">
      <c r="A3339">
        <v>3372</v>
      </c>
      <c r="B3339" t="s">
        <v>4802</v>
      </c>
      <c r="C3339" t="s">
        <v>4804</v>
      </c>
      <c r="E3339">
        <v>0.01</v>
      </c>
      <c r="F3339" t="s">
        <v>546</v>
      </c>
      <c r="G3339" s="174">
        <v>45576.460914351854</v>
      </c>
    </row>
    <row r="3340" spans="1:7">
      <c r="A3340">
        <v>3373</v>
      </c>
      <c r="B3340" t="s">
        <v>4805</v>
      </c>
      <c r="C3340" t="s">
        <v>3705</v>
      </c>
      <c r="E3340">
        <v>0.01</v>
      </c>
      <c r="F3340" t="s">
        <v>546</v>
      </c>
      <c r="G3340" s="174">
        <v>45576.460914351854</v>
      </c>
    </row>
    <row r="3341" spans="1:7">
      <c r="A3341">
        <v>3374</v>
      </c>
      <c r="B3341" t="s">
        <v>4806</v>
      </c>
      <c r="C3341" t="s">
        <v>4267</v>
      </c>
      <c r="E3341">
        <v>0.1</v>
      </c>
      <c r="F3341" t="s">
        <v>546</v>
      </c>
      <c r="G3341" s="174">
        <v>45576.460914351854</v>
      </c>
    </row>
    <row r="3342" spans="1:7">
      <c r="A3342">
        <v>3375</v>
      </c>
      <c r="B3342" t="s">
        <v>4807</v>
      </c>
      <c r="C3342" t="s">
        <v>4808</v>
      </c>
      <c r="E3342">
        <v>0.01</v>
      </c>
      <c r="F3342" t="s">
        <v>546</v>
      </c>
      <c r="G3342" s="174">
        <v>45576.460914351854</v>
      </c>
    </row>
    <row r="3343" spans="1:7">
      <c r="A3343">
        <v>3376</v>
      </c>
      <c r="B3343" t="s">
        <v>4809</v>
      </c>
      <c r="C3343" t="s">
        <v>4810</v>
      </c>
      <c r="E3343">
        <v>0.01</v>
      </c>
      <c r="F3343" t="s">
        <v>546</v>
      </c>
      <c r="G3343" s="174">
        <v>45576.460914351854</v>
      </c>
    </row>
    <row r="3344" spans="1:7">
      <c r="A3344">
        <v>3377</v>
      </c>
      <c r="B3344" t="s">
        <v>4811</v>
      </c>
      <c r="C3344" t="s">
        <v>4812</v>
      </c>
      <c r="E3344">
        <v>0.6</v>
      </c>
      <c r="F3344" t="s">
        <v>546</v>
      </c>
      <c r="G3344" s="174">
        <v>45576.460914351854</v>
      </c>
    </row>
    <row r="3345" spans="1:7">
      <c r="A3345">
        <v>3378</v>
      </c>
      <c r="B3345" t="s">
        <v>4813</v>
      </c>
      <c r="C3345" t="s">
        <v>4814</v>
      </c>
      <c r="E3345">
        <v>0.01</v>
      </c>
      <c r="F3345" t="s">
        <v>546</v>
      </c>
      <c r="G3345" s="174">
        <v>45576.460914351854</v>
      </c>
    </row>
    <row r="3346" spans="1:7">
      <c r="A3346">
        <v>3379</v>
      </c>
      <c r="B3346" t="s">
        <v>4815</v>
      </c>
      <c r="C3346" t="s">
        <v>4816</v>
      </c>
      <c r="E3346">
        <v>0.01</v>
      </c>
      <c r="F3346" t="s">
        <v>546</v>
      </c>
      <c r="G3346" s="174">
        <v>45576.460914351854</v>
      </c>
    </row>
    <row r="3347" spans="1:7">
      <c r="A3347">
        <v>3380</v>
      </c>
      <c r="B3347" t="s">
        <v>4817</v>
      </c>
      <c r="C3347" t="s">
        <v>4818</v>
      </c>
      <c r="E3347">
        <v>1</v>
      </c>
      <c r="F3347" t="s">
        <v>546</v>
      </c>
      <c r="G3347" s="174">
        <v>45576.460914351854</v>
      </c>
    </row>
    <row r="3348" spans="1:7">
      <c r="A3348">
        <v>3381</v>
      </c>
      <c r="B3348" t="s">
        <v>4819</v>
      </c>
      <c r="C3348" t="s">
        <v>3090</v>
      </c>
      <c r="E3348">
        <v>0.01</v>
      </c>
      <c r="F3348" t="s">
        <v>546</v>
      </c>
      <c r="G3348" s="174">
        <v>45576.460914351854</v>
      </c>
    </row>
    <row r="3349" spans="1:7">
      <c r="A3349">
        <v>3382</v>
      </c>
      <c r="B3349" t="s">
        <v>4819</v>
      </c>
      <c r="C3349" t="s">
        <v>3333</v>
      </c>
      <c r="E3349">
        <v>0.01</v>
      </c>
      <c r="F3349" t="s">
        <v>546</v>
      </c>
      <c r="G3349" s="174">
        <v>45576.460914351854</v>
      </c>
    </row>
    <row r="3350" spans="1:7">
      <c r="A3350">
        <v>3383</v>
      </c>
      <c r="B3350" t="s">
        <v>1366</v>
      </c>
      <c r="C3350" t="s">
        <v>2981</v>
      </c>
      <c r="E3350">
        <v>0.01</v>
      </c>
      <c r="F3350" t="s">
        <v>546</v>
      </c>
      <c r="G3350" s="174">
        <v>45576.460914351854</v>
      </c>
    </row>
    <row r="3351" spans="1:7">
      <c r="A3351">
        <v>3384</v>
      </c>
      <c r="B3351" t="s">
        <v>4820</v>
      </c>
      <c r="C3351" t="s">
        <v>4781</v>
      </c>
      <c r="E3351">
        <v>0.01</v>
      </c>
      <c r="F3351" t="s">
        <v>546</v>
      </c>
      <c r="G3351" s="174">
        <v>45576.460914351854</v>
      </c>
    </row>
    <row r="3352" spans="1:7">
      <c r="A3352">
        <v>3385</v>
      </c>
      <c r="B3352" t="s">
        <v>4821</v>
      </c>
      <c r="C3352" t="s">
        <v>4822</v>
      </c>
      <c r="E3352">
        <v>0.1</v>
      </c>
      <c r="F3352" t="s">
        <v>546</v>
      </c>
      <c r="G3352" s="174">
        <v>45576.460914351854</v>
      </c>
    </row>
    <row r="3353" spans="1:7">
      <c r="A3353">
        <v>3386</v>
      </c>
      <c r="B3353" t="s">
        <v>4823</v>
      </c>
      <c r="C3353" t="s">
        <v>3837</v>
      </c>
      <c r="E3353">
        <v>0.01</v>
      </c>
      <c r="F3353" t="s">
        <v>546</v>
      </c>
      <c r="G3353" s="174">
        <v>45576.460914351854</v>
      </c>
    </row>
    <row r="3354" spans="1:7">
      <c r="A3354">
        <v>3387</v>
      </c>
      <c r="B3354" t="s">
        <v>4824</v>
      </c>
      <c r="C3354" t="s">
        <v>2879</v>
      </c>
      <c r="E3354">
        <v>0.01</v>
      </c>
      <c r="F3354" t="s">
        <v>546</v>
      </c>
      <c r="G3354" s="174">
        <v>45576.460914351854</v>
      </c>
    </row>
    <row r="3355" spans="1:7">
      <c r="A3355">
        <v>3388</v>
      </c>
      <c r="B3355" t="s">
        <v>4825</v>
      </c>
      <c r="C3355" t="s">
        <v>4826</v>
      </c>
      <c r="E3355">
        <v>0.05</v>
      </c>
      <c r="F3355" t="s">
        <v>546</v>
      </c>
      <c r="G3355" s="174">
        <v>45576.460914351854</v>
      </c>
    </row>
    <row r="3356" spans="1:7">
      <c r="A3356">
        <v>3389</v>
      </c>
      <c r="B3356" t="s">
        <v>4825</v>
      </c>
      <c r="C3356" t="s">
        <v>4827</v>
      </c>
      <c r="E3356">
        <v>0.01</v>
      </c>
      <c r="F3356" t="s">
        <v>546</v>
      </c>
      <c r="G3356" s="174">
        <v>45576.460914351854</v>
      </c>
    </row>
    <row r="3357" spans="1:7">
      <c r="A3357">
        <v>3390</v>
      </c>
      <c r="B3357" t="s">
        <v>4828</v>
      </c>
      <c r="C3357" t="s">
        <v>4829</v>
      </c>
      <c r="E3357">
        <v>0.05</v>
      </c>
      <c r="F3357" t="s">
        <v>546</v>
      </c>
      <c r="G3357" s="174">
        <v>45576.460914351854</v>
      </c>
    </row>
    <row r="3358" spans="1:7">
      <c r="A3358">
        <v>3391</v>
      </c>
      <c r="B3358" t="s">
        <v>4828</v>
      </c>
      <c r="C3358" t="s">
        <v>4830</v>
      </c>
      <c r="E3358">
        <v>0.01</v>
      </c>
      <c r="F3358" t="s">
        <v>546</v>
      </c>
      <c r="G3358" s="174">
        <v>45576.460914351854</v>
      </c>
    </row>
    <row r="3359" spans="1:7">
      <c r="A3359">
        <v>3392</v>
      </c>
      <c r="B3359" t="s">
        <v>4831</v>
      </c>
      <c r="C3359" t="s">
        <v>3307</v>
      </c>
      <c r="E3359">
        <v>0.01</v>
      </c>
      <c r="F3359" t="s">
        <v>546</v>
      </c>
      <c r="G3359" s="174">
        <v>45576.460914351854</v>
      </c>
    </row>
    <row r="3360" spans="1:7">
      <c r="A3360">
        <v>3393</v>
      </c>
      <c r="B3360" t="s">
        <v>1370</v>
      </c>
      <c r="C3360" t="s">
        <v>4832</v>
      </c>
      <c r="E3360">
        <v>0.01</v>
      </c>
      <c r="F3360" t="s">
        <v>546</v>
      </c>
      <c r="G3360" s="174">
        <v>45576.460914351854</v>
      </c>
    </row>
    <row r="3361" spans="1:7">
      <c r="A3361">
        <v>3394</v>
      </c>
      <c r="B3361" t="s">
        <v>4833</v>
      </c>
      <c r="C3361" t="s">
        <v>4834</v>
      </c>
      <c r="E3361">
        <v>0.01</v>
      </c>
      <c r="F3361" t="s">
        <v>546</v>
      </c>
      <c r="G3361" s="174">
        <v>45576.460914351854</v>
      </c>
    </row>
    <row r="3362" spans="1:7">
      <c r="A3362">
        <v>3395</v>
      </c>
      <c r="B3362" t="s">
        <v>4835</v>
      </c>
      <c r="C3362" t="s">
        <v>4836</v>
      </c>
      <c r="E3362">
        <v>0.01</v>
      </c>
      <c r="F3362" t="s">
        <v>546</v>
      </c>
      <c r="G3362" s="174">
        <v>45576.460914351854</v>
      </c>
    </row>
    <row r="3363" spans="1:7">
      <c r="A3363">
        <v>3396</v>
      </c>
      <c r="B3363" t="s">
        <v>4837</v>
      </c>
      <c r="C3363" t="s">
        <v>4309</v>
      </c>
      <c r="E3363">
        <v>0.01</v>
      </c>
      <c r="F3363" t="s">
        <v>546</v>
      </c>
      <c r="G3363" s="174">
        <v>45576.460914351854</v>
      </c>
    </row>
    <row r="3364" spans="1:7">
      <c r="A3364">
        <v>3397</v>
      </c>
      <c r="B3364" t="s">
        <v>4838</v>
      </c>
      <c r="C3364" t="s">
        <v>4839</v>
      </c>
      <c r="E3364">
        <v>0.01</v>
      </c>
      <c r="F3364" t="s">
        <v>546</v>
      </c>
      <c r="G3364" s="174">
        <v>45576.460914351854</v>
      </c>
    </row>
    <row r="3365" spans="1:7">
      <c r="A3365">
        <v>3398</v>
      </c>
      <c r="B3365" t="s">
        <v>4838</v>
      </c>
      <c r="C3365" t="s">
        <v>4435</v>
      </c>
      <c r="E3365">
        <v>0.01</v>
      </c>
      <c r="F3365" t="s">
        <v>546</v>
      </c>
      <c r="G3365" s="174">
        <v>45576.460914351854</v>
      </c>
    </row>
    <row r="3366" spans="1:7">
      <c r="A3366">
        <v>3399</v>
      </c>
      <c r="B3366" t="s">
        <v>4840</v>
      </c>
      <c r="C3366" t="s">
        <v>4841</v>
      </c>
      <c r="E3366">
        <v>0.01</v>
      </c>
      <c r="F3366" t="s">
        <v>546</v>
      </c>
      <c r="G3366" s="174">
        <v>45576.460914351854</v>
      </c>
    </row>
    <row r="3367" spans="1:7">
      <c r="A3367">
        <v>3400</v>
      </c>
      <c r="B3367" t="s">
        <v>4842</v>
      </c>
      <c r="C3367" t="s">
        <v>3816</v>
      </c>
      <c r="E3367">
        <v>0.01</v>
      </c>
      <c r="F3367" t="s">
        <v>546</v>
      </c>
      <c r="G3367" s="174">
        <v>45576.460914351854</v>
      </c>
    </row>
    <row r="3368" spans="1:7">
      <c r="A3368">
        <v>3401</v>
      </c>
      <c r="B3368" t="s">
        <v>1371</v>
      </c>
      <c r="C3368" t="s">
        <v>4843</v>
      </c>
      <c r="E3368">
        <v>0.01</v>
      </c>
      <c r="F3368" t="s">
        <v>546</v>
      </c>
      <c r="G3368" s="174">
        <v>45576.460914351854</v>
      </c>
    </row>
    <row r="3369" spans="1:7">
      <c r="A3369">
        <v>3402</v>
      </c>
      <c r="B3369" t="s">
        <v>4844</v>
      </c>
      <c r="C3369" t="s">
        <v>4845</v>
      </c>
      <c r="E3369">
        <v>0.01</v>
      </c>
      <c r="F3369" t="s">
        <v>546</v>
      </c>
      <c r="G3369" s="174">
        <v>45576.460914351854</v>
      </c>
    </row>
    <row r="3370" spans="1:7">
      <c r="A3370">
        <v>3403</v>
      </c>
      <c r="B3370" t="s">
        <v>1375</v>
      </c>
      <c r="C3370" t="s">
        <v>4846</v>
      </c>
      <c r="E3370">
        <v>0.01</v>
      </c>
      <c r="F3370" t="s">
        <v>546</v>
      </c>
      <c r="G3370" s="174">
        <v>45576.460914351854</v>
      </c>
    </row>
    <row r="3371" spans="1:7">
      <c r="A3371">
        <v>3404</v>
      </c>
      <c r="B3371" t="s">
        <v>1375</v>
      </c>
      <c r="C3371" t="s">
        <v>4847</v>
      </c>
      <c r="E3371">
        <v>0.01</v>
      </c>
      <c r="F3371" t="s">
        <v>546</v>
      </c>
      <c r="G3371" s="174">
        <v>45576.460914351854</v>
      </c>
    </row>
    <row r="3372" spans="1:7">
      <c r="A3372">
        <v>3405</v>
      </c>
      <c r="B3372" t="s">
        <v>1375</v>
      </c>
      <c r="C3372" t="s">
        <v>4848</v>
      </c>
      <c r="E3372">
        <v>0.01</v>
      </c>
      <c r="F3372" t="s">
        <v>546</v>
      </c>
      <c r="G3372" s="174">
        <v>45576.460914351854</v>
      </c>
    </row>
    <row r="3373" spans="1:7">
      <c r="A3373">
        <v>3406</v>
      </c>
      <c r="B3373" t="s">
        <v>1375</v>
      </c>
      <c r="C3373" t="s">
        <v>4849</v>
      </c>
      <c r="E3373">
        <v>0.01</v>
      </c>
      <c r="F3373" t="s">
        <v>546</v>
      </c>
      <c r="G3373" s="174">
        <v>45576.460914351854</v>
      </c>
    </row>
    <row r="3374" spans="1:7">
      <c r="A3374">
        <v>3407</v>
      </c>
      <c r="B3374" t="s">
        <v>4850</v>
      </c>
      <c r="C3374" t="s">
        <v>4851</v>
      </c>
      <c r="E3374">
        <v>0.01</v>
      </c>
      <c r="F3374" t="s">
        <v>546</v>
      </c>
      <c r="G3374" s="174">
        <v>45576.460914351854</v>
      </c>
    </row>
    <row r="3375" spans="1:7">
      <c r="A3375">
        <v>3408</v>
      </c>
      <c r="B3375" t="s">
        <v>4852</v>
      </c>
      <c r="C3375" t="s">
        <v>4853</v>
      </c>
      <c r="E3375">
        <v>0.01</v>
      </c>
      <c r="F3375" t="s">
        <v>546</v>
      </c>
      <c r="G3375" s="174">
        <v>45576.460914351854</v>
      </c>
    </row>
    <row r="3376" spans="1:7">
      <c r="A3376">
        <v>3409</v>
      </c>
      <c r="B3376" t="s">
        <v>4854</v>
      </c>
      <c r="C3376" t="s">
        <v>4855</v>
      </c>
      <c r="E3376">
        <v>0.01</v>
      </c>
      <c r="F3376" t="s">
        <v>546</v>
      </c>
      <c r="G3376" s="174">
        <v>45576.460914351854</v>
      </c>
    </row>
    <row r="3377" spans="1:7">
      <c r="A3377">
        <v>3410</v>
      </c>
      <c r="B3377" t="s">
        <v>1384</v>
      </c>
      <c r="C3377" t="s">
        <v>4856</v>
      </c>
      <c r="E3377">
        <v>0.01</v>
      </c>
      <c r="F3377" t="s">
        <v>546</v>
      </c>
      <c r="G3377" s="174">
        <v>45576.460914351854</v>
      </c>
    </row>
    <row r="3378" spans="1:7">
      <c r="A3378">
        <v>3411</v>
      </c>
      <c r="B3378" t="s">
        <v>1384</v>
      </c>
      <c r="C3378" t="s">
        <v>4857</v>
      </c>
      <c r="E3378">
        <v>0.01</v>
      </c>
      <c r="F3378" t="s">
        <v>546</v>
      </c>
      <c r="G3378" s="174">
        <v>45576.460914351854</v>
      </c>
    </row>
    <row r="3379" spans="1:7">
      <c r="A3379">
        <v>3412</v>
      </c>
      <c r="B3379" t="s">
        <v>1386</v>
      </c>
      <c r="C3379" t="s">
        <v>3977</v>
      </c>
      <c r="E3379">
        <v>0.1</v>
      </c>
      <c r="F3379" t="s">
        <v>546</v>
      </c>
      <c r="G3379" s="174">
        <v>45576.460914351854</v>
      </c>
    </row>
    <row r="3380" spans="1:7">
      <c r="A3380">
        <v>3413</v>
      </c>
      <c r="B3380" t="s">
        <v>4858</v>
      </c>
      <c r="C3380" t="s">
        <v>3722</v>
      </c>
      <c r="E3380">
        <v>0.01</v>
      </c>
      <c r="F3380" t="s">
        <v>546</v>
      </c>
      <c r="G3380" s="174">
        <v>45576.460914351854</v>
      </c>
    </row>
    <row r="3381" spans="1:7">
      <c r="A3381">
        <v>3414</v>
      </c>
      <c r="B3381" t="s">
        <v>4859</v>
      </c>
      <c r="C3381" t="s">
        <v>3722</v>
      </c>
      <c r="E3381">
        <v>0.01</v>
      </c>
      <c r="F3381" t="s">
        <v>546</v>
      </c>
      <c r="G3381" s="174">
        <v>45576.460914351854</v>
      </c>
    </row>
    <row r="3382" spans="1:7">
      <c r="A3382">
        <v>3415</v>
      </c>
      <c r="B3382" t="s">
        <v>4860</v>
      </c>
      <c r="C3382" t="s">
        <v>4861</v>
      </c>
      <c r="E3382">
        <v>0.1</v>
      </c>
      <c r="F3382" t="s">
        <v>546</v>
      </c>
      <c r="G3382" s="174">
        <v>45576.460914351854</v>
      </c>
    </row>
    <row r="3383" spans="1:7">
      <c r="A3383">
        <v>3416</v>
      </c>
      <c r="B3383" t="s">
        <v>4862</v>
      </c>
      <c r="C3383" t="s">
        <v>4863</v>
      </c>
      <c r="E3383">
        <v>0.01</v>
      </c>
      <c r="F3383" t="s">
        <v>546</v>
      </c>
      <c r="G3383" s="174">
        <v>45576.460914351854</v>
      </c>
    </row>
    <row r="3384" spans="1:7">
      <c r="A3384">
        <v>3417</v>
      </c>
      <c r="B3384" t="s">
        <v>4864</v>
      </c>
      <c r="C3384" t="s">
        <v>4037</v>
      </c>
      <c r="E3384">
        <v>0.01</v>
      </c>
      <c r="F3384" t="s">
        <v>546</v>
      </c>
      <c r="G3384" s="174">
        <v>45576.460914351854</v>
      </c>
    </row>
    <row r="3385" spans="1:7">
      <c r="A3385">
        <v>3418</v>
      </c>
      <c r="B3385" t="s">
        <v>4865</v>
      </c>
      <c r="C3385" t="s">
        <v>2829</v>
      </c>
      <c r="E3385">
        <v>0.01</v>
      </c>
      <c r="F3385" t="s">
        <v>546</v>
      </c>
      <c r="G3385" s="174">
        <v>45576.460914351854</v>
      </c>
    </row>
    <row r="3386" spans="1:7">
      <c r="A3386">
        <v>3419</v>
      </c>
      <c r="B3386" t="s">
        <v>4866</v>
      </c>
      <c r="C3386" t="s">
        <v>3335</v>
      </c>
      <c r="E3386">
        <v>0.1</v>
      </c>
      <c r="F3386" t="s">
        <v>546</v>
      </c>
      <c r="G3386" s="174">
        <v>45576.460914351854</v>
      </c>
    </row>
    <row r="3387" spans="1:7">
      <c r="A3387">
        <v>3420</v>
      </c>
      <c r="B3387" t="s">
        <v>4867</v>
      </c>
      <c r="C3387" t="s">
        <v>4868</v>
      </c>
      <c r="E3387">
        <v>0.01</v>
      </c>
      <c r="F3387" t="s">
        <v>546</v>
      </c>
      <c r="G3387" s="174">
        <v>45576.460914351854</v>
      </c>
    </row>
    <row r="3388" spans="1:7">
      <c r="A3388">
        <v>3421</v>
      </c>
      <c r="B3388" t="s">
        <v>4869</v>
      </c>
      <c r="C3388" t="s">
        <v>4870</v>
      </c>
      <c r="E3388">
        <v>0.01</v>
      </c>
      <c r="F3388" t="s">
        <v>546</v>
      </c>
      <c r="G3388" s="174">
        <v>45576.460914351854</v>
      </c>
    </row>
    <row r="3389" spans="1:7">
      <c r="A3389">
        <v>3422</v>
      </c>
      <c r="B3389" t="s">
        <v>1395</v>
      </c>
      <c r="C3389" t="s">
        <v>4871</v>
      </c>
      <c r="E3389">
        <v>0.1</v>
      </c>
      <c r="F3389" t="s">
        <v>546</v>
      </c>
      <c r="G3389" s="174">
        <v>45576.460914351854</v>
      </c>
    </row>
    <row r="3390" spans="1:7">
      <c r="A3390">
        <v>3423</v>
      </c>
      <c r="B3390" t="s">
        <v>1395</v>
      </c>
      <c r="C3390" t="s">
        <v>1019</v>
      </c>
      <c r="E3390">
        <v>0.1</v>
      </c>
      <c r="F3390" t="s">
        <v>546</v>
      </c>
      <c r="G3390" s="174">
        <v>45576.460914351854</v>
      </c>
    </row>
    <row r="3391" spans="1:7">
      <c r="A3391">
        <v>3424</v>
      </c>
      <c r="B3391" t="s">
        <v>4872</v>
      </c>
      <c r="C3391" t="s">
        <v>4873</v>
      </c>
      <c r="E3391">
        <v>0.01</v>
      </c>
      <c r="F3391" t="s">
        <v>546</v>
      </c>
      <c r="G3391" s="174">
        <v>45576.460914351854</v>
      </c>
    </row>
    <row r="3392" spans="1:7">
      <c r="A3392">
        <v>3425</v>
      </c>
      <c r="B3392" t="s">
        <v>4872</v>
      </c>
      <c r="C3392" t="s">
        <v>3693</v>
      </c>
      <c r="E3392">
        <v>0.01</v>
      </c>
      <c r="F3392" t="s">
        <v>546</v>
      </c>
      <c r="G3392" s="174">
        <v>45576.460914351854</v>
      </c>
    </row>
    <row r="3393" spans="1:7">
      <c r="A3393">
        <v>3426</v>
      </c>
      <c r="B3393" t="s">
        <v>4874</v>
      </c>
      <c r="C3393" t="s">
        <v>3720</v>
      </c>
      <c r="E3393">
        <v>0.01</v>
      </c>
      <c r="F3393" t="s">
        <v>546</v>
      </c>
      <c r="G3393" s="174">
        <v>45576.460914351854</v>
      </c>
    </row>
    <row r="3394" spans="1:7">
      <c r="A3394">
        <v>3427</v>
      </c>
      <c r="B3394" t="s">
        <v>4875</v>
      </c>
      <c r="C3394" t="s">
        <v>4876</v>
      </c>
      <c r="E3394">
        <v>0.01</v>
      </c>
      <c r="F3394" t="s">
        <v>546</v>
      </c>
      <c r="G3394" s="174">
        <v>45576.460914351854</v>
      </c>
    </row>
    <row r="3395" spans="1:7">
      <c r="A3395">
        <v>3428</v>
      </c>
      <c r="B3395" t="s">
        <v>4877</v>
      </c>
      <c r="C3395" t="s">
        <v>4878</v>
      </c>
      <c r="E3395">
        <v>0.01</v>
      </c>
      <c r="F3395" t="s">
        <v>546</v>
      </c>
      <c r="G3395" s="174">
        <v>45576.460914351854</v>
      </c>
    </row>
    <row r="3396" spans="1:7">
      <c r="A3396">
        <v>3429</v>
      </c>
      <c r="B3396" t="s">
        <v>4879</v>
      </c>
      <c r="C3396" t="s">
        <v>4784</v>
      </c>
      <c r="E3396">
        <v>0.01</v>
      </c>
      <c r="F3396" t="s">
        <v>546</v>
      </c>
      <c r="G3396" s="174">
        <v>45576.460914351854</v>
      </c>
    </row>
    <row r="3397" spans="1:7">
      <c r="A3397">
        <v>3430</v>
      </c>
      <c r="B3397" t="s">
        <v>1399</v>
      </c>
      <c r="C3397" t="s">
        <v>4880</v>
      </c>
      <c r="E3397">
        <v>0.01</v>
      </c>
      <c r="F3397" t="s">
        <v>546</v>
      </c>
      <c r="G3397" s="174">
        <v>45576.460914351854</v>
      </c>
    </row>
    <row r="3398" spans="1:7">
      <c r="A3398">
        <v>3431</v>
      </c>
      <c r="B3398" t="s">
        <v>4881</v>
      </c>
      <c r="C3398" t="s">
        <v>3765</v>
      </c>
      <c r="E3398">
        <v>0.01</v>
      </c>
      <c r="F3398" t="s">
        <v>546</v>
      </c>
      <c r="G3398" s="174">
        <v>45576.460914351854</v>
      </c>
    </row>
    <row r="3399" spans="1:7">
      <c r="A3399">
        <v>3432</v>
      </c>
      <c r="B3399" t="s">
        <v>4882</v>
      </c>
      <c r="C3399" t="s">
        <v>4278</v>
      </c>
      <c r="E3399">
        <v>0.01</v>
      </c>
      <c r="F3399" t="s">
        <v>546</v>
      </c>
      <c r="G3399" s="174">
        <v>45576.460914351854</v>
      </c>
    </row>
    <row r="3400" spans="1:7">
      <c r="A3400">
        <v>3433</v>
      </c>
      <c r="B3400" t="s">
        <v>4883</v>
      </c>
      <c r="C3400" t="s">
        <v>4884</v>
      </c>
      <c r="E3400">
        <v>0.01</v>
      </c>
      <c r="F3400" t="s">
        <v>546</v>
      </c>
      <c r="G3400" s="174">
        <v>45576.460914351854</v>
      </c>
    </row>
    <row r="3401" spans="1:7">
      <c r="A3401">
        <v>3434</v>
      </c>
      <c r="B3401" t="s">
        <v>4885</v>
      </c>
      <c r="C3401" t="s">
        <v>3887</v>
      </c>
      <c r="E3401">
        <v>0.01</v>
      </c>
      <c r="F3401" t="s">
        <v>546</v>
      </c>
      <c r="G3401" s="174">
        <v>45576.460914351854</v>
      </c>
    </row>
    <row r="3402" spans="1:7">
      <c r="A3402">
        <v>3435</v>
      </c>
      <c r="B3402" t="s">
        <v>4885</v>
      </c>
      <c r="C3402" t="s">
        <v>3486</v>
      </c>
      <c r="E3402">
        <v>0.01</v>
      </c>
      <c r="F3402" t="s">
        <v>546</v>
      </c>
      <c r="G3402" s="174">
        <v>45576.460914351854</v>
      </c>
    </row>
    <row r="3403" spans="1:7">
      <c r="A3403">
        <v>3436</v>
      </c>
      <c r="B3403" t="s">
        <v>4886</v>
      </c>
      <c r="C3403" t="s">
        <v>2856</v>
      </c>
      <c r="E3403">
        <v>0.8</v>
      </c>
      <c r="F3403" t="s">
        <v>546</v>
      </c>
      <c r="G3403" s="174">
        <v>45576.460914351854</v>
      </c>
    </row>
    <row r="3404" spans="1:7">
      <c r="A3404">
        <v>3437</v>
      </c>
      <c r="B3404" t="s">
        <v>4887</v>
      </c>
      <c r="C3404" t="s">
        <v>4888</v>
      </c>
      <c r="E3404">
        <v>0.01</v>
      </c>
      <c r="F3404" t="s">
        <v>546</v>
      </c>
      <c r="G3404" s="174">
        <v>45576.460914351854</v>
      </c>
    </row>
    <row r="3405" spans="1:7">
      <c r="A3405">
        <v>3438</v>
      </c>
      <c r="B3405" t="s">
        <v>4887</v>
      </c>
      <c r="C3405" t="s">
        <v>1802</v>
      </c>
      <c r="E3405">
        <v>0.01</v>
      </c>
      <c r="F3405" t="s">
        <v>546</v>
      </c>
      <c r="G3405" s="174">
        <v>45576.460914351854</v>
      </c>
    </row>
    <row r="3406" spans="1:7">
      <c r="A3406">
        <v>3439</v>
      </c>
      <c r="B3406" t="s">
        <v>4889</v>
      </c>
      <c r="C3406" t="s">
        <v>4105</v>
      </c>
      <c r="E3406">
        <v>0.01</v>
      </c>
      <c r="F3406" t="s">
        <v>546</v>
      </c>
      <c r="G3406" s="174">
        <v>45576.460914351854</v>
      </c>
    </row>
    <row r="3407" spans="1:7">
      <c r="A3407">
        <v>3440</v>
      </c>
      <c r="B3407" t="s">
        <v>4890</v>
      </c>
      <c r="C3407" t="s">
        <v>3971</v>
      </c>
      <c r="E3407">
        <v>0.01</v>
      </c>
      <c r="F3407" t="s">
        <v>546</v>
      </c>
      <c r="G3407" s="174">
        <v>45576.460914351854</v>
      </c>
    </row>
    <row r="3408" spans="1:7">
      <c r="A3408">
        <v>3441</v>
      </c>
      <c r="B3408" t="s">
        <v>4891</v>
      </c>
      <c r="C3408" t="s">
        <v>4135</v>
      </c>
      <c r="E3408">
        <v>0.01</v>
      </c>
      <c r="F3408" t="s">
        <v>546</v>
      </c>
      <c r="G3408" s="174">
        <v>45576.460914351854</v>
      </c>
    </row>
    <row r="3409" spans="1:7">
      <c r="A3409">
        <v>3442</v>
      </c>
      <c r="B3409" t="s">
        <v>4891</v>
      </c>
      <c r="C3409" t="s">
        <v>4243</v>
      </c>
      <c r="E3409">
        <v>0.1</v>
      </c>
      <c r="F3409" t="s">
        <v>546</v>
      </c>
      <c r="G3409" s="174">
        <v>45576.460914351854</v>
      </c>
    </row>
    <row r="3410" spans="1:7">
      <c r="A3410">
        <v>3443</v>
      </c>
      <c r="B3410" t="s">
        <v>4892</v>
      </c>
      <c r="C3410" t="s">
        <v>3258</v>
      </c>
      <c r="E3410">
        <v>0.01</v>
      </c>
      <c r="F3410" t="s">
        <v>546</v>
      </c>
      <c r="G3410" s="174">
        <v>45576.460914351854</v>
      </c>
    </row>
    <row r="3411" spans="1:7">
      <c r="A3411">
        <v>3444</v>
      </c>
      <c r="B3411" t="s">
        <v>4893</v>
      </c>
      <c r="C3411" t="s">
        <v>3584</v>
      </c>
      <c r="E3411">
        <v>0.01</v>
      </c>
      <c r="F3411" t="s">
        <v>546</v>
      </c>
      <c r="G3411" s="174">
        <v>45576.460914351854</v>
      </c>
    </row>
    <row r="3412" spans="1:7">
      <c r="A3412">
        <v>3445</v>
      </c>
      <c r="B3412" t="s">
        <v>4893</v>
      </c>
      <c r="C3412" t="s">
        <v>3254</v>
      </c>
      <c r="E3412">
        <v>0.01</v>
      </c>
      <c r="F3412" t="s">
        <v>546</v>
      </c>
      <c r="G3412" s="174">
        <v>45576.460914351854</v>
      </c>
    </row>
    <row r="3413" spans="1:7">
      <c r="A3413">
        <v>3446</v>
      </c>
      <c r="B3413" t="s">
        <v>1402</v>
      </c>
      <c r="C3413" t="s">
        <v>4871</v>
      </c>
      <c r="E3413">
        <v>0.01</v>
      </c>
      <c r="F3413" t="s">
        <v>546</v>
      </c>
      <c r="G3413" s="174">
        <v>45576.460914351854</v>
      </c>
    </row>
    <row r="3414" spans="1:7">
      <c r="A3414">
        <v>3447</v>
      </c>
      <c r="B3414" t="s">
        <v>4894</v>
      </c>
      <c r="C3414" t="s">
        <v>3893</v>
      </c>
      <c r="E3414">
        <v>0.01</v>
      </c>
      <c r="F3414" t="s">
        <v>546</v>
      </c>
      <c r="G3414" s="174">
        <v>45576.460914351854</v>
      </c>
    </row>
    <row r="3415" spans="1:7">
      <c r="A3415">
        <v>3448</v>
      </c>
      <c r="B3415" t="s">
        <v>4895</v>
      </c>
      <c r="C3415" t="s">
        <v>3507</v>
      </c>
      <c r="E3415">
        <v>0.01</v>
      </c>
      <c r="F3415" t="s">
        <v>546</v>
      </c>
      <c r="G3415" s="174">
        <v>45576.460914351854</v>
      </c>
    </row>
    <row r="3416" spans="1:7">
      <c r="A3416">
        <v>3449</v>
      </c>
      <c r="B3416" t="s">
        <v>4896</v>
      </c>
      <c r="C3416" t="s">
        <v>3269</v>
      </c>
      <c r="E3416">
        <v>0.01</v>
      </c>
      <c r="F3416" t="s">
        <v>546</v>
      </c>
      <c r="G3416" s="174">
        <v>45576.460914351854</v>
      </c>
    </row>
    <row r="3417" spans="1:7">
      <c r="A3417">
        <v>3450</v>
      </c>
      <c r="B3417" t="s">
        <v>4897</v>
      </c>
      <c r="C3417" t="s">
        <v>4898</v>
      </c>
      <c r="E3417">
        <v>0.8</v>
      </c>
      <c r="F3417" t="s">
        <v>546</v>
      </c>
      <c r="G3417" s="174">
        <v>45576.460914351854</v>
      </c>
    </row>
    <row r="3418" spans="1:7">
      <c r="A3418">
        <v>3451</v>
      </c>
      <c r="B3418" t="s">
        <v>4897</v>
      </c>
      <c r="C3418" t="s">
        <v>4899</v>
      </c>
      <c r="E3418">
        <v>0.6</v>
      </c>
      <c r="F3418" t="s">
        <v>546</v>
      </c>
      <c r="G3418" s="174">
        <v>45576.460914351854</v>
      </c>
    </row>
    <row r="3419" spans="1:7">
      <c r="A3419">
        <v>3452</v>
      </c>
      <c r="B3419" t="s">
        <v>4900</v>
      </c>
      <c r="C3419" t="s">
        <v>2814</v>
      </c>
      <c r="E3419">
        <v>0.01</v>
      </c>
      <c r="F3419" t="s">
        <v>546</v>
      </c>
      <c r="G3419" s="174">
        <v>45576.460914351854</v>
      </c>
    </row>
    <row r="3420" spans="1:7">
      <c r="A3420">
        <v>3453</v>
      </c>
      <c r="B3420" t="s">
        <v>4901</v>
      </c>
      <c r="C3420" t="s">
        <v>2835</v>
      </c>
      <c r="E3420">
        <v>0.01</v>
      </c>
      <c r="F3420" t="s">
        <v>546</v>
      </c>
      <c r="G3420" s="174">
        <v>45576.460914351854</v>
      </c>
    </row>
    <row r="3421" spans="1:7">
      <c r="A3421">
        <v>3454</v>
      </c>
      <c r="B3421" t="s">
        <v>4901</v>
      </c>
      <c r="C3421" t="s">
        <v>4902</v>
      </c>
      <c r="E3421">
        <v>0.01</v>
      </c>
      <c r="F3421" t="s">
        <v>546</v>
      </c>
      <c r="G3421" s="174">
        <v>45576.460914351854</v>
      </c>
    </row>
    <row r="3422" spans="1:7">
      <c r="A3422">
        <v>3455</v>
      </c>
      <c r="B3422" t="s">
        <v>4903</v>
      </c>
      <c r="C3422" t="s">
        <v>4904</v>
      </c>
      <c r="E3422">
        <v>0.01</v>
      </c>
      <c r="F3422" t="s">
        <v>546</v>
      </c>
      <c r="G3422" s="174">
        <v>45576.460914351854</v>
      </c>
    </row>
    <row r="3423" spans="1:7">
      <c r="A3423">
        <v>3456</v>
      </c>
      <c r="B3423" t="s">
        <v>4903</v>
      </c>
      <c r="C3423" t="s">
        <v>4905</v>
      </c>
      <c r="E3423">
        <v>0.01</v>
      </c>
      <c r="F3423" t="s">
        <v>546</v>
      </c>
      <c r="G3423" s="174">
        <v>45576.460914351854</v>
      </c>
    </row>
    <row r="3424" spans="1:7">
      <c r="A3424">
        <v>3457</v>
      </c>
      <c r="B3424" t="s">
        <v>4906</v>
      </c>
      <c r="C3424" t="s">
        <v>4907</v>
      </c>
      <c r="E3424">
        <v>0.01</v>
      </c>
      <c r="F3424" t="s">
        <v>546</v>
      </c>
      <c r="G3424" s="174">
        <v>45576.460914351854</v>
      </c>
    </row>
    <row r="3425" spans="1:7">
      <c r="A3425">
        <v>3458</v>
      </c>
      <c r="B3425" t="s">
        <v>4908</v>
      </c>
      <c r="C3425" t="s">
        <v>4909</v>
      </c>
      <c r="E3425">
        <v>0.01</v>
      </c>
      <c r="F3425" t="s">
        <v>546</v>
      </c>
      <c r="G3425" s="174">
        <v>45576.460914351854</v>
      </c>
    </row>
    <row r="3426" spans="1:7">
      <c r="A3426">
        <v>3459</v>
      </c>
      <c r="B3426" t="s">
        <v>4910</v>
      </c>
      <c r="C3426" t="s">
        <v>4911</v>
      </c>
      <c r="E3426">
        <v>0.8</v>
      </c>
      <c r="F3426" t="s">
        <v>546</v>
      </c>
      <c r="G3426" s="174">
        <v>45576.460914351854</v>
      </c>
    </row>
    <row r="3427" spans="1:7">
      <c r="A3427">
        <v>3460</v>
      </c>
      <c r="B3427" t="s">
        <v>4912</v>
      </c>
      <c r="C3427" t="s">
        <v>4818</v>
      </c>
      <c r="E3427">
        <v>0.01</v>
      </c>
      <c r="F3427" t="s">
        <v>546</v>
      </c>
      <c r="G3427" s="174">
        <v>45576.460914351854</v>
      </c>
    </row>
    <row r="3428" spans="1:7">
      <c r="A3428">
        <v>3461</v>
      </c>
      <c r="B3428" t="s">
        <v>4913</v>
      </c>
      <c r="C3428" t="s">
        <v>3058</v>
      </c>
      <c r="E3428">
        <v>0.1</v>
      </c>
      <c r="F3428" t="s">
        <v>546</v>
      </c>
      <c r="G3428" s="174">
        <v>45576.460914351854</v>
      </c>
    </row>
    <row r="3429" spans="1:7">
      <c r="A3429">
        <v>3462</v>
      </c>
      <c r="B3429" t="s">
        <v>4913</v>
      </c>
      <c r="C3429" t="s">
        <v>4914</v>
      </c>
      <c r="E3429">
        <v>0.1</v>
      </c>
      <c r="F3429" t="s">
        <v>546</v>
      </c>
      <c r="G3429" s="174">
        <v>45576.460914351854</v>
      </c>
    </row>
    <row r="3430" spans="1:7">
      <c r="A3430">
        <v>3463</v>
      </c>
      <c r="B3430" t="s">
        <v>4915</v>
      </c>
      <c r="C3430" t="s">
        <v>4916</v>
      </c>
      <c r="E3430">
        <v>0.1</v>
      </c>
      <c r="F3430" t="s">
        <v>546</v>
      </c>
      <c r="G3430" s="174">
        <v>45576.460914351854</v>
      </c>
    </row>
    <row r="3431" spans="1:7">
      <c r="A3431">
        <v>3464</v>
      </c>
      <c r="B3431" t="s">
        <v>1403</v>
      </c>
      <c r="C3431" t="s">
        <v>4917</v>
      </c>
      <c r="E3431">
        <v>0.01</v>
      </c>
      <c r="F3431" t="s">
        <v>546</v>
      </c>
      <c r="G3431" s="174">
        <v>45576.460914351854</v>
      </c>
    </row>
    <row r="3432" spans="1:7">
      <c r="A3432">
        <v>3465</v>
      </c>
      <c r="B3432" t="s">
        <v>4918</v>
      </c>
      <c r="C3432" t="s">
        <v>3698</v>
      </c>
      <c r="E3432">
        <v>0.01</v>
      </c>
      <c r="F3432" t="s">
        <v>546</v>
      </c>
      <c r="G3432" s="174">
        <v>45576.460914351854</v>
      </c>
    </row>
    <row r="3433" spans="1:7">
      <c r="A3433">
        <v>3466</v>
      </c>
      <c r="B3433" t="s">
        <v>4919</v>
      </c>
      <c r="C3433" t="s">
        <v>3298</v>
      </c>
      <c r="E3433">
        <v>0.01</v>
      </c>
      <c r="F3433" t="s">
        <v>546</v>
      </c>
      <c r="G3433" s="174">
        <v>45576.460914351854</v>
      </c>
    </row>
    <row r="3434" spans="1:7">
      <c r="A3434">
        <v>3467</v>
      </c>
      <c r="B3434" t="s">
        <v>4920</v>
      </c>
      <c r="C3434" t="s">
        <v>4921</v>
      </c>
      <c r="E3434">
        <v>0.01</v>
      </c>
      <c r="F3434" t="s">
        <v>546</v>
      </c>
      <c r="G3434" s="174">
        <v>45576.460914351854</v>
      </c>
    </row>
    <row r="3435" spans="1:7">
      <c r="A3435">
        <v>3468</v>
      </c>
      <c r="B3435" t="s">
        <v>4920</v>
      </c>
      <c r="C3435" t="s">
        <v>4922</v>
      </c>
      <c r="E3435">
        <v>0.01</v>
      </c>
      <c r="F3435" t="s">
        <v>546</v>
      </c>
      <c r="G3435" s="174">
        <v>45576.460914351854</v>
      </c>
    </row>
    <row r="3436" spans="1:7">
      <c r="A3436">
        <v>3469</v>
      </c>
      <c r="B3436" t="s">
        <v>4923</v>
      </c>
      <c r="C3436" t="s">
        <v>4924</v>
      </c>
      <c r="E3436">
        <v>0.01</v>
      </c>
      <c r="F3436" t="s">
        <v>546</v>
      </c>
      <c r="G3436" s="174">
        <v>45576.460914351854</v>
      </c>
    </row>
    <row r="3437" spans="1:7">
      <c r="A3437">
        <v>3470</v>
      </c>
      <c r="B3437" t="s">
        <v>4925</v>
      </c>
      <c r="C3437" t="s">
        <v>4764</v>
      </c>
      <c r="E3437">
        <v>0.01</v>
      </c>
      <c r="F3437" t="s">
        <v>546</v>
      </c>
      <c r="G3437" s="174">
        <v>45576.460914351854</v>
      </c>
    </row>
    <row r="3438" spans="1:7">
      <c r="A3438">
        <v>3471</v>
      </c>
      <c r="B3438" t="s">
        <v>4925</v>
      </c>
      <c r="C3438" t="s">
        <v>4926</v>
      </c>
      <c r="E3438">
        <v>0.01</v>
      </c>
      <c r="F3438" t="s">
        <v>546</v>
      </c>
      <c r="G3438" s="174">
        <v>45576.460914351854</v>
      </c>
    </row>
    <row r="3439" spans="1:7">
      <c r="A3439">
        <v>3472</v>
      </c>
      <c r="B3439" t="s">
        <v>4927</v>
      </c>
      <c r="C3439" t="s">
        <v>4928</v>
      </c>
      <c r="E3439">
        <v>1</v>
      </c>
      <c r="F3439" t="s">
        <v>546</v>
      </c>
      <c r="G3439" s="174">
        <v>45576.460914351854</v>
      </c>
    </row>
    <row r="3440" spans="1:7">
      <c r="A3440">
        <v>3473</v>
      </c>
      <c r="B3440" t="s">
        <v>4929</v>
      </c>
      <c r="C3440" t="s">
        <v>3639</v>
      </c>
      <c r="E3440">
        <v>0.1</v>
      </c>
      <c r="F3440" t="s">
        <v>546</v>
      </c>
      <c r="G3440" s="174">
        <v>45576.460914351854</v>
      </c>
    </row>
    <row r="3441" spans="1:7">
      <c r="A3441">
        <v>3474</v>
      </c>
      <c r="B3441" t="s">
        <v>4930</v>
      </c>
      <c r="C3441" t="s">
        <v>4227</v>
      </c>
      <c r="E3441">
        <v>0.01</v>
      </c>
      <c r="F3441" t="s">
        <v>546</v>
      </c>
      <c r="G3441" s="174">
        <v>45576.460914351854</v>
      </c>
    </row>
    <row r="3442" spans="1:7">
      <c r="A3442">
        <v>3475</v>
      </c>
      <c r="B3442" t="s">
        <v>4930</v>
      </c>
      <c r="C3442" t="s">
        <v>3676</v>
      </c>
      <c r="E3442">
        <v>0.01</v>
      </c>
      <c r="F3442" t="s">
        <v>546</v>
      </c>
      <c r="G3442" s="174">
        <v>45576.460914351854</v>
      </c>
    </row>
    <row r="3443" spans="1:7">
      <c r="A3443">
        <v>3476</v>
      </c>
      <c r="B3443" t="s">
        <v>4931</v>
      </c>
      <c r="C3443" t="s">
        <v>3887</v>
      </c>
      <c r="E3443">
        <v>0.01</v>
      </c>
      <c r="F3443" t="s">
        <v>546</v>
      </c>
      <c r="G3443" s="174">
        <v>45576.460914351854</v>
      </c>
    </row>
    <row r="3444" spans="1:7">
      <c r="A3444">
        <v>3477</v>
      </c>
      <c r="B3444" t="s">
        <v>4932</v>
      </c>
      <c r="C3444" t="s">
        <v>4933</v>
      </c>
      <c r="E3444">
        <v>0.1</v>
      </c>
      <c r="F3444" t="s">
        <v>546</v>
      </c>
      <c r="G3444" s="174">
        <v>45576.460914351854</v>
      </c>
    </row>
    <row r="3445" spans="1:7">
      <c r="A3445">
        <v>3478</v>
      </c>
      <c r="B3445" t="s">
        <v>4934</v>
      </c>
      <c r="C3445" t="s">
        <v>4935</v>
      </c>
      <c r="E3445">
        <v>0.6</v>
      </c>
      <c r="F3445" t="s">
        <v>546</v>
      </c>
      <c r="G3445" s="174">
        <v>45576.460914351854</v>
      </c>
    </row>
    <row r="3446" spans="1:7">
      <c r="A3446">
        <v>3479</v>
      </c>
      <c r="B3446" t="s">
        <v>4936</v>
      </c>
      <c r="C3446" t="s">
        <v>3977</v>
      </c>
      <c r="E3446">
        <v>0.01</v>
      </c>
      <c r="F3446" t="s">
        <v>546</v>
      </c>
      <c r="G3446" s="174">
        <v>45576.460914351854</v>
      </c>
    </row>
    <row r="3447" spans="1:7">
      <c r="A3447">
        <v>3480</v>
      </c>
      <c r="B3447" t="s">
        <v>4937</v>
      </c>
      <c r="C3447" t="s">
        <v>4938</v>
      </c>
      <c r="E3447">
        <v>0.01</v>
      </c>
      <c r="F3447" t="s">
        <v>546</v>
      </c>
      <c r="G3447" s="174">
        <v>45576.460914351854</v>
      </c>
    </row>
    <row r="3448" spans="1:7">
      <c r="A3448">
        <v>3481</v>
      </c>
      <c r="B3448" t="s">
        <v>4939</v>
      </c>
      <c r="C3448" t="s">
        <v>4393</v>
      </c>
      <c r="E3448">
        <v>0.01</v>
      </c>
      <c r="F3448" t="s">
        <v>546</v>
      </c>
      <c r="G3448" s="174">
        <v>45576.460914351854</v>
      </c>
    </row>
    <row r="3449" spans="1:7">
      <c r="A3449">
        <v>3482</v>
      </c>
      <c r="B3449" t="s">
        <v>4940</v>
      </c>
      <c r="C3449" t="s">
        <v>2945</v>
      </c>
      <c r="E3449">
        <v>0.01</v>
      </c>
      <c r="F3449" t="s">
        <v>546</v>
      </c>
      <c r="G3449" s="174">
        <v>45576.460914351854</v>
      </c>
    </row>
    <row r="3450" spans="1:7">
      <c r="A3450">
        <v>3483</v>
      </c>
      <c r="B3450" t="s">
        <v>4941</v>
      </c>
      <c r="C3450" t="s">
        <v>4942</v>
      </c>
      <c r="E3450">
        <v>0.1</v>
      </c>
      <c r="F3450" t="s">
        <v>546</v>
      </c>
      <c r="G3450" s="174">
        <v>45576.460914351854</v>
      </c>
    </row>
    <row r="3451" spans="1:7">
      <c r="A3451">
        <v>3484</v>
      </c>
      <c r="B3451" t="s">
        <v>1413</v>
      </c>
      <c r="C3451" t="s">
        <v>2976</v>
      </c>
      <c r="E3451">
        <v>0.01</v>
      </c>
      <c r="F3451" t="s">
        <v>546</v>
      </c>
      <c r="G3451" s="174">
        <v>45576.460914351854</v>
      </c>
    </row>
    <row r="3452" spans="1:7">
      <c r="A3452">
        <v>3485</v>
      </c>
      <c r="B3452" t="s">
        <v>4943</v>
      </c>
      <c r="C3452" t="s">
        <v>4944</v>
      </c>
      <c r="E3452">
        <v>0.01</v>
      </c>
      <c r="F3452" t="s">
        <v>546</v>
      </c>
      <c r="G3452" s="174">
        <v>45576.460914351854</v>
      </c>
    </row>
    <row r="3453" spans="1:7">
      <c r="A3453">
        <v>3486</v>
      </c>
      <c r="B3453" t="s">
        <v>4943</v>
      </c>
      <c r="C3453" t="s">
        <v>4506</v>
      </c>
      <c r="E3453">
        <v>0.01</v>
      </c>
      <c r="F3453" t="s">
        <v>546</v>
      </c>
      <c r="G3453" s="174">
        <v>45576.460914351854</v>
      </c>
    </row>
    <row r="3454" spans="1:7">
      <c r="A3454">
        <v>3487</v>
      </c>
      <c r="B3454" t="s">
        <v>4945</v>
      </c>
      <c r="C3454" t="s">
        <v>2775</v>
      </c>
      <c r="E3454">
        <v>0.01</v>
      </c>
      <c r="F3454" t="s">
        <v>546</v>
      </c>
      <c r="G3454" s="174">
        <v>45576.460914351854</v>
      </c>
    </row>
    <row r="3455" spans="1:7">
      <c r="A3455">
        <v>3488</v>
      </c>
      <c r="B3455" t="s">
        <v>4946</v>
      </c>
      <c r="C3455" t="s">
        <v>3075</v>
      </c>
      <c r="E3455">
        <v>0.01</v>
      </c>
      <c r="F3455" t="s">
        <v>546</v>
      </c>
      <c r="G3455" s="174">
        <v>45576.460914351854</v>
      </c>
    </row>
    <row r="3456" spans="1:7">
      <c r="A3456">
        <v>3489</v>
      </c>
      <c r="B3456" t="s">
        <v>4946</v>
      </c>
      <c r="C3456" t="s">
        <v>3076</v>
      </c>
      <c r="E3456">
        <v>0.01</v>
      </c>
      <c r="F3456" t="s">
        <v>546</v>
      </c>
      <c r="G3456" s="174">
        <v>45576.460914351854</v>
      </c>
    </row>
    <row r="3457" spans="1:7">
      <c r="A3457">
        <v>3490</v>
      </c>
      <c r="B3457" t="s">
        <v>4947</v>
      </c>
      <c r="C3457" t="s">
        <v>3319</v>
      </c>
      <c r="E3457">
        <v>0.1</v>
      </c>
      <c r="F3457" t="s">
        <v>546</v>
      </c>
      <c r="G3457" s="174">
        <v>45576.460914351854</v>
      </c>
    </row>
    <row r="3458" spans="1:7">
      <c r="A3458">
        <v>3491</v>
      </c>
      <c r="B3458" t="s">
        <v>4947</v>
      </c>
      <c r="C3458" t="s">
        <v>4948</v>
      </c>
      <c r="E3458">
        <v>0.01</v>
      </c>
      <c r="F3458" t="s">
        <v>546</v>
      </c>
      <c r="G3458" s="174">
        <v>45576.460914351854</v>
      </c>
    </row>
    <row r="3459" spans="1:7">
      <c r="A3459">
        <v>3492</v>
      </c>
      <c r="B3459" t="s">
        <v>4949</v>
      </c>
      <c r="C3459" t="s">
        <v>3855</v>
      </c>
      <c r="E3459">
        <v>0.01</v>
      </c>
      <c r="F3459" t="s">
        <v>546</v>
      </c>
      <c r="G3459" s="174">
        <v>45576.460914351854</v>
      </c>
    </row>
    <row r="3460" spans="1:7">
      <c r="A3460">
        <v>3493</v>
      </c>
      <c r="B3460" t="s">
        <v>1415</v>
      </c>
      <c r="C3460" t="s">
        <v>4950</v>
      </c>
      <c r="E3460">
        <v>0.01</v>
      </c>
      <c r="F3460" t="s">
        <v>546</v>
      </c>
      <c r="G3460" s="174">
        <v>45576.460914351854</v>
      </c>
    </row>
    <row r="3461" spans="1:7">
      <c r="A3461">
        <v>3494</v>
      </c>
      <c r="B3461" t="s">
        <v>4951</v>
      </c>
      <c r="C3461" t="s">
        <v>4650</v>
      </c>
      <c r="E3461">
        <v>0.1</v>
      </c>
      <c r="F3461" t="s">
        <v>546</v>
      </c>
      <c r="G3461" s="174">
        <v>45576.460914351854</v>
      </c>
    </row>
    <row r="3462" spans="1:7">
      <c r="A3462">
        <v>3495</v>
      </c>
      <c r="B3462" t="s">
        <v>4952</v>
      </c>
      <c r="C3462" t="s">
        <v>3802</v>
      </c>
      <c r="E3462">
        <v>0.01</v>
      </c>
      <c r="F3462" t="s">
        <v>546</v>
      </c>
      <c r="G3462" s="174">
        <v>45576.460914351854</v>
      </c>
    </row>
    <row r="3463" spans="1:7">
      <c r="A3463">
        <v>3496</v>
      </c>
      <c r="B3463" t="s">
        <v>4953</v>
      </c>
      <c r="C3463" t="s">
        <v>2257</v>
      </c>
      <c r="E3463">
        <v>0.01</v>
      </c>
      <c r="F3463" t="s">
        <v>546</v>
      </c>
      <c r="G3463" s="174">
        <v>45576.460914351854</v>
      </c>
    </row>
    <row r="3464" spans="1:7">
      <c r="A3464">
        <v>3497</v>
      </c>
      <c r="B3464" t="s">
        <v>4954</v>
      </c>
      <c r="C3464" t="s">
        <v>4388</v>
      </c>
      <c r="E3464">
        <v>0.01</v>
      </c>
      <c r="F3464" t="s">
        <v>546</v>
      </c>
      <c r="G3464" s="174">
        <v>45576.460914351854</v>
      </c>
    </row>
    <row r="3465" spans="1:7">
      <c r="A3465">
        <v>3498</v>
      </c>
      <c r="B3465" t="s">
        <v>4955</v>
      </c>
      <c r="C3465" t="s">
        <v>3837</v>
      </c>
      <c r="E3465">
        <v>0.01</v>
      </c>
      <c r="F3465" t="s">
        <v>546</v>
      </c>
      <c r="G3465" s="174">
        <v>45576.460914351854</v>
      </c>
    </row>
    <row r="3466" spans="1:7">
      <c r="A3466">
        <v>3499</v>
      </c>
      <c r="B3466" t="s">
        <v>4956</v>
      </c>
      <c r="C3466" t="s">
        <v>4514</v>
      </c>
      <c r="E3466">
        <v>0.01</v>
      </c>
      <c r="F3466" t="s">
        <v>546</v>
      </c>
      <c r="G3466" s="174">
        <v>45576.460914351854</v>
      </c>
    </row>
    <row r="3467" spans="1:7">
      <c r="A3467">
        <v>3500</v>
      </c>
      <c r="B3467" t="s">
        <v>4957</v>
      </c>
      <c r="C3467" t="s">
        <v>4324</v>
      </c>
      <c r="E3467">
        <v>0.01</v>
      </c>
      <c r="F3467" t="s">
        <v>546</v>
      </c>
      <c r="G3467" s="174">
        <v>45576.460914351854</v>
      </c>
    </row>
    <row r="3468" spans="1:7">
      <c r="A3468">
        <v>3501</v>
      </c>
      <c r="B3468" t="s">
        <v>1417</v>
      </c>
      <c r="C3468" t="s">
        <v>4514</v>
      </c>
      <c r="E3468">
        <v>0.01</v>
      </c>
      <c r="F3468" t="s">
        <v>546</v>
      </c>
      <c r="G3468" s="174">
        <v>45576.460914351854</v>
      </c>
    </row>
    <row r="3469" spans="1:7">
      <c r="A3469">
        <v>3502</v>
      </c>
      <c r="B3469" t="s">
        <v>4958</v>
      </c>
      <c r="C3469" t="s">
        <v>4959</v>
      </c>
      <c r="E3469">
        <v>0.01</v>
      </c>
      <c r="F3469" t="s">
        <v>546</v>
      </c>
      <c r="G3469" s="174">
        <v>45576.460914351854</v>
      </c>
    </row>
    <row r="3470" spans="1:7">
      <c r="A3470">
        <v>3503</v>
      </c>
      <c r="B3470" t="s">
        <v>4960</v>
      </c>
      <c r="C3470" t="s">
        <v>3129</v>
      </c>
      <c r="E3470">
        <v>0.01</v>
      </c>
      <c r="F3470" t="s">
        <v>546</v>
      </c>
      <c r="G3470" s="174">
        <v>45576.460914351854</v>
      </c>
    </row>
    <row r="3471" spans="1:7">
      <c r="A3471">
        <v>3504</v>
      </c>
      <c r="B3471" t="s">
        <v>4961</v>
      </c>
      <c r="C3471" t="s">
        <v>3758</v>
      </c>
      <c r="E3471">
        <v>0.01</v>
      </c>
      <c r="F3471" t="s">
        <v>546</v>
      </c>
      <c r="G3471" s="174">
        <v>45576.460914351854</v>
      </c>
    </row>
    <row r="3472" spans="1:7">
      <c r="A3472">
        <v>3505</v>
      </c>
      <c r="B3472" t="s">
        <v>4962</v>
      </c>
      <c r="C3472" t="s">
        <v>3181</v>
      </c>
      <c r="E3472">
        <v>0.01</v>
      </c>
      <c r="F3472" t="s">
        <v>546</v>
      </c>
      <c r="G3472" s="174">
        <v>45576.460914351854</v>
      </c>
    </row>
    <row r="3473" spans="1:7">
      <c r="A3473">
        <v>3506</v>
      </c>
      <c r="B3473" t="s">
        <v>4963</v>
      </c>
      <c r="C3473" t="s">
        <v>4964</v>
      </c>
      <c r="E3473">
        <v>0.01</v>
      </c>
      <c r="F3473" t="s">
        <v>546</v>
      </c>
      <c r="G3473" s="174">
        <v>45576.460914351854</v>
      </c>
    </row>
    <row r="3474" spans="1:7">
      <c r="A3474">
        <v>3507</v>
      </c>
      <c r="B3474" t="s">
        <v>4965</v>
      </c>
      <c r="C3474" t="s">
        <v>4435</v>
      </c>
      <c r="E3474">
        <v>0.01</v>
      </c>
      <c r="F3474" t="s">
        <v>546</v>
      </c>
      <c r="G3474" s="174">
        <v>45576.460914351854</v>
      </c>
    </row>
    <row r="3475" spans="1:7">
      <c r="A3475">
        <v>3508</v>
      </c>
      <c r="B3475" t="s">
        <v>4966</v>
      </c>
      <c r="C3475" t="s">
        <v>2748</v>
      </c>
      <c r="E3475">
        <v>0.01</v>
      </c>
      <c r="F3475" t="s">
        <v>546</v>
      </c>
      <c r="G3475" s="174">
        <v>45576.460914351854</v>
      </c>
    </row>
    <row r="3476" spans="1:7">
      <c r="A3476">
        <v>3509</v>
      </c>
      <c r="B3476" t="s">
        <v>4967</v>
      </c>
      <c r="C3476" t="s">
        <v>4684</v>
      </c>
      <c r="E3476">
        <v>0.01</v>
      </c>
      <c r="F3476" t="s">
        <v>546</v>
      </c>
      <c r="G3476" s="174">
        <v>45576.460914351854</v>
      </c>
    </row>
    <row r="3477" spans="1:7">
      <c r="A3477">
        <v>3510</v>
      </c>
      <c r="B3477" t="s">
        <v>4968</v>
      </c>
      <c r="C3477" t="s">
        <v>4969</v>
      </c>
      <c r="E3477">
        <v>0.6</v>
      </c>
      <c r="F3477" t="s">
        <v>546</v>
      </c>
      <c r="G3477" s="174">
        <v>45576.460914351854</v>
      </c>
    </row>
    <row r="3478" spans="1:7">
      <c r="A3478">
        <v>3511</v>
      </c>
      <c r="B3478" t="s">
        <v>4968</v>
      </c>
      <c r="C3478" t="s">
        <v>4970</v>
      </c>
      <c r="E3478">
        <v>0.8</v>
      </c>
      <c r="F3478" t="s">
        <v>546</v>
      </c>
      <c r="G3478" s="174">
        <v>45576.460914351854</v>
      </c>
    </row>
    <row r="3479" spans="1:7">
      <c r="A3479">
        <v>3512</v>
      </c>
      <c r="B3479" t="s">
        <v>4971</v>
      </c>
      <c r="C3479" t="s">
        <v>3144</v>
      </c>
      <c r="E3479">
        <v>0.1</v>
      </c>
      <c r="F3479" t="s">
        <v>546</v>
      </c>
      <c r="G3479" s="174">
        <v>45576.460914351854</v>
      </c>
    </row>
    <row r="3480" spans="1:7">
      <c r="A3480">
        <v>3513</v>
      </c>
      <c r="B3480" t="s">
        <v>4972</v>
      </c>
      <c r="C3480" t="s">
        <v>2964</v>
      </c>
      <c r="E3480">
        <v>0.01</v>
      </c>
      <c r="F3480" t="s">
        <v>546</v>
      </c>
      <c r="G3480" s="174">
        <v>45576.460914351854</v>
      </c>
    </row>
    <row r="3481" spans="1:7">
      <c r="A3481">
        <v>3514</v>
      </c>
      <c r="B3481" t="s">
        <v>4973</v>
      </c>
      <c r="C3481" t="s">
        <v>2935</v>
      </c>
      <c r="E3481">
        <v>0.1</v>
      </c>
      <c r="F3481" t="s">
        <v>546</v>
      </c>
      <c r="G3481" s="174">
        <v>45576.460914351854</v>
      </c>
    </row>
    <row r="3482" spans="1:7">
      <c r="A3482">
        <v>3515</v>
      </c>
      <c r="B3482" t="s">
        <v>4974</v>
      </c>
      <c r="C3482" t="s">
        <v>3143</v>
      </c>
      <c r="E3482">
        <v>0.01</v>
      </c>
      <c r="F3482" t="s">
        <v>546</v>
      </c>
      <c r="G3482" s="174">
        <v>45576.460914351854</v>
      </c>
    </row>
    <row r="3483" spans="1:7">
      <c r="A3483">
        <v>3516</v>
      </c>
      <c r="B3483" t="s">
        <v>4975</v>
      </c>
      <c r="C3483" t="s">
        <v>2930</v>
      </c>
      <c r="E3483">
        <v>0.1</v>
      </c>
      <c r="F3483" t="s">
        <v>546</v>
      </c>
      <c r="G3483" s="174">
        <v>45576.460914351854</v>
      </c>
    </row>
    <row r="3484" spans="1:7">
      <c r="A3484">
        <v>3517</v>
      </c>
      <c r="B3484" t="s">
        <v>1423</v>
      </c>
      <c r="C3484" t="s">
        <v>3153</v>
      </c>
      <c r="E3484">
        <v>0.01</v>
      </c>
      <c r="F3484" t="s">
        <v>546</v>
      </c>
      <c r="G3484" s="174">
        <v>45576.460914351854</v>
      </c>
    </row>
    <row r="3485" spans="1:7">
      <c r="A3485">
        <v>3518</v>
      </c>
      <c r="B3485" t="s">
        <v>4976</v>
      </c>
      <c r="C3485" t="s">
        <v>4977</v>
      </c>
      <c r="E3485">
        <v>0.01</v>
      </c>
      <c r="F3485" t="s">
        <v>546</v>
      </c>
      <c r="G3485" s="174">
        <v>45576.460914351854</v>
      </c>
    </row>
    <row r="3486" spans="1:7">
      <c r="A3486">
        <v>3519</v>
      </c>
      <c r="B3486" t="s">
        <v>4978</v>
      </c>
      <c r="C3486" t="s">
        <v>4979</v>
      </c>
      <c r="E3486">
        <v>0.01</v>
      </c>
      <c r="F3486" t="s">
        <v>546</v>
      </c>
      <c r="G3486" s="174">
        <v>45576.460914351854</v>
      </c>
    </row>
    <row r="3487" spans="1:7">
      <c r="A3487">
        <v>3520</v>
      </c>
      <c r="B3487" t="s">
        <v>4980</v>
      </c>
      <c r="C3487" t="s">
        <v>4981</v>
      </c>
      <c r="E3487">
        <v>0.01</v>
      </c>
      <c r="F3487" t="s">
        <v>546</v>
      </c>
      <c r="G3487" s="174">
        <v>45576.460914351854</v>
      </c>
    </row>
    <row r="3488" spans="1:7">
      <c r="A3488">
        <v>3521</v>
      </c>
      <c r="B3488" t="s">
        <v>4980</v>
      </c>
      <c r="C3488" t="s">
        <v>4027</v>
      </c>
      <c r="E3488">
        <v>0.01</v>
      </c>
      <c r="F3488" t="s">
        <v>546</v>
      </c>
      <c r="G3488" s="174">
        <v>45576.460914351854</v>
      </c>
    </row>
    <row r="3489" spans="1:7">
      <c r="A3489">
        <v>3522</v>
      </c>
      <c r="B3489" t="s">
        <v>4982</v>
      </c>
      <c r="C3489" t="s">
        <v>4983</v>
      </c>
      <c r="E3489">
        <v>0.1</v>
      </c>
      <c r="F3489" t="s">
        <v>546</v>
      </c>
      <c r="G3489" s="174">
        <v>45576.460914351854</v>
      </c>
    </row>
    <row r="3490" spans="1:7">
      <c r="A3490">
        <v>3523</v>
      </c>
      <c r="B3490" t="s">
        <v>4982</v>
      </c>
      <c r="C3490" t="s">
        <v>4984</v>
      </c>
      <c r="E3490">
        <v>0.01</v>
      </c>
      <c r="F3490" t="s">
        <v>546</v>
      </c>
      <c r="G3490" s="174">
        <v>45576.460914351854</v>
      </c>
    </row>
    <row r="3491" spans="1:7">
      <c r="A3491">
        <v>3524</v>
      </c>
      <c r="B3491" t="s">
        <v>4982</v>
      </c>
      <c r="C3491" t="s">
        <v>4985</v>
      </c>
      <c r="E3491">
        <v>0.01</v>
      </c>
      <c r="F3491" t="s">
        <v>546</v>
      </c>
      <c r="G3491" s="174">
        <v>45576.460914351854</v>
      </c>
    </row>
    <row r="3492" spans="1:7">
      <c r="A3492">
        <v>3525</v>
      </c>
      <c r="B3492" t="s">
        <v>4986</v>
      </c>
      <c r="C3492" t="s">
        <v>2777</v>
      </c>
      <c r="E3492">
        <v>0.01</v>
      </c>
      <c r="F3492" t="s">
        <v>546</v>
      </c>
      <c r="G3492" s="174">
        <v>45576.460914351854</v>
      </c>
    </row>
    <row r="3493" spans="1:7">
      <c r="A3493">
        <v>3526</v>
      </c>
      <c r="B3493" t="s">
        <v>4987</v>
      </c>
      <c r="C3493" t="s">
        <v>3103</v>
      </c>
      <c r="E3493">
        <v>0.01</v>
      </c>
      <c r="F3493" t="s">
        <v>546</v>
      </c>
      <c r="G3493" s="174">
        <v>45576.460914351854</v>
      </c>
    </row>
    <row r="3494" spans="1:7">
      <c r="A3494">
        <v>3527</v>
      </c>
      <c r="B3494" t="s">
        <v>4988</v>
      </c>
      <c r="C3494" t="s">
        <v>3464</v>
      </c>
      <c r="E3494">
        <v>0.01</v>
      </c>
      <c r="F3494" t="s">
        <v>546</v>
      </c>
      <c r="G3494" s="174">
        <v>45576.460914351854</v>
      </c>
    </row>
    <row r="3495" spans="1:7">
      <c r="A3495">
        <v>3528</v>
      </c>
      <c r="B3495" t="s">
        <v>4989</v>
      </c>
      <c r="C3495" t="s">
        <v>3416</v>
      </c>
      <c r="E3495">
        <v>0.1</v>
      </c>
      <c r="F3495" t="s">
        <v>546</v>
      </c>
      <c r="G3495" s="174">
        <v>45576.460914351854</v>
      </c>
    </row>
    <row r="3496" spans="1:7">
      <c r="A3496">
        <v>3529</v>
      </c>
      <c r="B3496" t="s">
        <v>4990</v>
      </c>
      <c r="C3496" t="s">
        <v>4991</v>
      </c>
      <c r="E3496">
        <v>0.01</v>
      </c>
      <c r="F3496" t="s">
        <v>546</v>
      </c>
      <c r="G3496" s="174">
        <v>45576.460914351854</v>
      </c>
    </row>
    <row r="3497" spans="1:7">
      <c r="A3497">
        <v>3530</v>
      </c>
      <c r="B3497" t="s">
        <v>4992</v>
      </c>
      <c r="C3497" t="s">
        <v>4993</v>
      </c>
      <c r="E3497">
        <v>0.01</v>
      </c>
      <c r="F3497" t="s">
        <v>546</v>
      </c>
      <c r="G3497" s="174">
        <v>45576.460914351854</v>
      </c>
    </row>
    <row r="3498" spans="1:7">
      <c r="A3498">
        <v>3531</v>
      </c>
      <c r="B3498" t="s">
        <v>4994</v>
      </c>
      <c r="C3498" t="s">
        <v>3630</v>
      </c>
      <c r="E3498">
        <v>0.1</v>
      </c>
      <c r="F3498" t="s">
        <v>546</v>
      </c>
      <c r="G3498" s="174">
        <v>45576.460914351854</v>
      </c>
    </row>
    <row r="3499" spans="1:7">
      <c r="A3499">
        <v>3532</v>
      </c>
      <c r="B3499" t="s">
        <v>4995</v>
      </c>
      <c r="C3499" t="s">
        <v>4996</v>
      </c>
      <c r="E3499">
        <v>0.1</v>
      </c>
      <c r="F3499" t="s">
        <v>546</v>
      </c>
      <c r="G3499" s="174">
        <v>45576.460914351854</v>
      </c>
    </row>
    <row r="3500" spans="1:7">
      <c r="A3500">
        <v>3533</v>
      </c>
      <c r="B3500" t="s">
        <v>4997</v>
      </c>
      <c r="C3500" t="s">
        <v>4724</v>
      </c>
      <c r="E3500">
        <v>0.1</v>
      </c>
      <c r="F3500" t="s">
        <v>546</v>
      </c>
      <c r="G3500" s="174">
        <v>45576.460914351854</v>
      </c>
    </row>
    <row r="3501" spans="1:7">
      <c r="A3501">
        <v>3534</v>
      </c>
      <c r="B3501" t="s">
        <v>4997</v>
      </c>
      <c r="C3501" t="s">
        <v>3116</v>
      </c>
      <c r="E3501">
        <v>0.01</v>
      </c>
      <c r="F3501" t="s">
        <v>546</v>
      </c>
      <c r="G3501" s="174">
        <v>45576.460914351854</v>
      </c>
    </row>
    <row r="3502" spans="1:7">
      <c r="A3502">
        <v>3535</v>
      </c>
      <c r="B3502" t="s">
        <v>4998</v>
      </c>
      <c r="C3502" t="s">
        <v>4999</v>
      </c>
      <c r="E3502">
        <v>0.01</v>
      </c>
      <c r="F3502" t="s">
        <v>546</v>
      </c>
      <c r="G3502" s="174">
        <v>45576.460914351854</v>
      </c>
    </row>
    <row r="3503" spans="1:7">
      <c r="A3503">
        <v>3536</v>
      </c>
      <c r="B3503" t="s">
        <v>5000</v>
      </c>
      <c r="C3503" t="s">
        <v>3087</v>
      </c>
      <c r="E3503">
        <v>0.01</v>
      </c>
      <c r="F3503" t="s">
        <v>546</v>
      </c>
      <c r="G3503" s="174">
        <v>45576.460914351854</v>
      </c>
    </row>
    <row r="3504" spans="1:7">
      <c r="A3504">
        <v>3537</v>
      </c>
      <c r="B3504" t="s">
        <v>5000</v>
      </c>
      <c r="C3504" t="s">
        <v>3088</v>
      </c>
      <c r="E3504">
        <v>0.01</v>
      </c>
      <c r="F3504" t="s">
        <v>546</v>
      </c>
      <c r="G3504" s="174">
        <v>45576.460914351854</v>
      </c>
    </row>
    <row r="3505" spans="1:7">
      <c r="A3505">
        <v>3538</v>
      </c>
      <c r="B3505" t="s">
        <v>1428</v>
      </c>
      <c r="C3505" t="s">
        <v>4194</v>
      </c>
      <c r="E3505">
        <v>0.01</v>
      </c>
      <c r="F3505" t="s">
        <v>546</v>
      </c>
      <c r="G3505" s="174">
        <v>45576.460914351854</v>
      </c>
    </row>
    <row r="3506" spans="1:7">
      <c r="A3506">
        <v>3539</v>
      </c>
      <c r="B3506" t="s">
        <v>5001</v>
      </c>
      <c r="C3506" t="s">
        <v>3142</v>
      </c>
      <c r="E3506">
        <v>0.01</v>
      </c>
      <c r="F3506" t="s">
        <v>546</v>
      </c>
      <c r="G3506" s="174">
        <v>45576.460914351854</v>
      </c>
    </row>
    <row r="3507" spans="1:7">
      <c r="A3507">
        <v>3540</v>
      </c>
      <c r="B3507" t="s">
        <v>5002</v>
      </c>
      <c r="C3507" t="s">
        <v>3508</v>
      </c>
      <c r="E3507">
        <v>0.01</v>
      </c>
      <c r="F3507" t="s">
        <v>546</v>
      </c>
      <c r="G3507" s="174">
        <v>45576.460914351854</v>
      </c>
    </row>
    <row r="3508" spans="1:7">
      <c r="A3508">
        <v>3541</v>
      </c>
      <c r="B3508" t="s">
        <v>5003</v>
      </c>
      <c r="C3508" t="s">
        <v>2937</v>
      </c>
      <c r="E3508">
        <v>0.01</v>
      </c>
      <c r="F3508" t="s">
        <v>546</v>
      </c>
      <c r="G3508" s="174">
        <v>45576.460914351854</v>
      </c>
    </row>
    <row r="3509" spans="1:7">
      <c r="A3509">
        <v>3542</v>
      </c>
      <c r="B3509" t="s">
        <v>1433</v>
      </c>
      <c r="C3509" t="s">
        <v>4291</v>
      </c>
      <c r="E3509">
        <v>0.1</v>
      </c>
      <c r="F3509" t="s">
        <v>546</v>
      </c>
      <c r="G3509" s="174">
        <v>45576.460914351854</v>
      </c>
    </row>
    <row r="3510" spans="1:7">
      <c r="A3510">
        <v>3543</v>
      </c>
      <c r="B3510" t="s">
        <v>5004</v>
      </c>
      <c r="C3510" t="s">
        <v>5005</v>
      </c>
      <c r="E3510">
        <v>0.01</v>
      </c>
      <c r="F3510" t="s">
        <v>546</v>
      </c>
      <c r="G3510" s="174">
        <v>45576.460914351854</v>
      </c>
    </row>
    <row r="3511" spans="1:7">
      <c r="A3511">
        <v>3544</v>
      </c>
      <c r="B3511" t="s">
        <v>5006</v>
      </c>
      <c r="C3511" t="s">
        <v>4404</v>
      </c>
      <c r="E3511">
        <v>0.1</v>
      </c>
      <c r="F3511" t="s">
        <v>546</v>
      </c>
      <c r="G3511" s="174">
        <v>45576.460914351854</v>
      </c>
    </row>
    <row r="3512" spans="1:7">
      <c r="A3512">
        <v>3545</v>
      </c>
      <c r="B3512" t="s">
        <v>5007</v>
      </c>
      <c r="C3512" t="s">
        <v>3734</v>
      </c>
      <c r="E3512">
        <v>0.01</v>
      </c>
      <c r="F3512" t="s">
        <v>546</v>
      </c>
      <c r="G3512" s="174">
        <v>45576.460914351854</v>
      </c>
    </row>
    <row r="3513" spans="1:7">
      <c r="A3513">
        <v>3546</v>
      </c>
      <c r="B3513" t="s">
        <v>5008</v>
      </c>
      <c r="C3513" t="s">
        <v>2972</v>
      </c>
      <c r="E3513">
        <v>0.01</v>
      </c>
      <c r="F3513" t="s">
        <v>546</v>
      </c>
      <c r="G3513" s="174">
        <v>45576.460914351854</v>
      </c>
    </row>
    <row r="3514" spans="1:7">
      <c r="A3514">
        <v>3547</v>
      </c>
      <c r="B3514" t="s">
        <v>5009</v>
      </c>
      <c r="C3514" t="s">
        <v>3666</v>
      </c>
      <c r="E3514">
        <v>0.01</v>
      </c>
      <c r="F3514" t="s">
        <v>546</v>
      </c>
      <c r="G3514" s="174">
        <v>45576.460914351854</v>
      </c>
    </row>
    <row r="3515" spans="1:7">
      <c r="A3515">
        <v>3548</v>
      </c>
      <c r="B3515" t="s">
        <v>5010</v>
      </c>
      <c r="C3515" t="s">
        <v>3693</v>
      </c>
      <c r="E3515">
        <v>0.01</v>
      </c>
      <c r="F3515" t="s">
        <v>546</v>
      </c>
      <c r="G3515" s="174">
        <v>45576.460914351854</v>
      </c>
    </row>
    <row r="3516" spans="1:7">
      <c r="A3516">
        <v>3549</v>
      </c>
      <c r="B3516" t="s">
        <v>5011</v>
      </c>
      <c r="C3516" t="s">
        <v>3353</v>
      </c>
      <c r="E3516">
        <v>0.01</v>
      </c>
      <c r="F3516" t="s">
        <v>546</v>
      </c>
      <c r="G3516" s="174">
        <v>45576.460914351854</v>
      </c>
    </row>
    <row r="3517" spans="1:7">
      <c r="A3517">
        <v>3550</v>
      </c>
      <c r="B3517" t="s">
        <v>5012</v>
      </c>
      <c r="C3517" t="s">
        <v>3014</v>
      </c>
      <c r="E3517">
        <v>0.01</v>
      </c>
      <c r="F3517" t="s">
        <v>546</v>
      </c>
      <c r="G3517" s="174">
        <v>45576.460914351854</v>
      </c>
    </row>
    <row r="3518" spans="1:7">
      <c r="A3518">
        <v>3551</v>
      </c>
      <c r="B3518" t="s">
        <v>1436</v>
      </c>
      <c r="C3518" t="s">
        <v>4574</v>
      </c>
      <c r="E3518">
        <v>0.01</v>
      </c>
      <c r="F3518" t="s">
        <v>546</v>
      </c>
      <c r="G3518" s="174">
        <v>45576.460914351854</v>
      </c>
    </row>
    <row r="3519" spans="1:7">
      <c r="A3519">
        <v>3552</v>
      </c>
      <c r="B3519" t="s">
        <v>5013</v>
      </c>
      <c r="C3519" t="s">
        <v>5014</v>
      </c>
      <c r="E3519">
        <v>0.01</v>
      </c>
      <c r="F3519" t="s">
        <v>546</v>
      </c>
      <c r="G3519" s="174">
        <v>45576.460914351854</v>
      </c>
    </row>
    <row r="3520" spans="1:7">
      <c r="A3520">
        <v>3553</v>
      </c>
      <c r="B3520" t="s">
        <v>5013</v>
      </c>
      <c r="C3520" t="s">
        <v>2831</v>
      </c>
      <c r="E3520">
        <v>0.01</v>
      </c>
      <c r="F3520" t="s">
        <v>546</v>
      </c>
      <c r="G3520" s="174">
        <v>45576.460914351854</v>
      </c>
    </row>
    <row r="3521" spans="1:7">
      <c r="A3521">
        <v>3554</v>
      </c>
      <c r="B3521" t="s">
        <v>5015</v>
      </c>
      <c r="C3521" t="s">
        <v>3732</v>
      </c>
      <c r="E3521">
        <v>0.01</v>
      </c>
      <c r="F3521" t="s">
        <v>546</v>
      </c>
      <c r="G3521" s="174">
        <v>45576.460914351854</v>
      </c>
    </row>
    <row r="3522" spans="1:7">
      <c r="A3522">
        <v>3555</v>
      </c>
      <c r="B3522" t="s">
        <v>5015</v>
      </c>
      <c r="C3522" t="s">
        <v>3540</v>
      </c>
      <c r="E3522">
        <v>0.01</v>
      </c>
      <c r="F3522" t="s">
        <v>546</v>
      </c>
      <c r="G3522" s="174">
        <v>45576.460914351854</v>
      </c>
    </row>
    <row r="3523" spans="1:7">
      <c r="A3523">
        <v>3556</v>
      </c>
      <c r="B3523" t="s">
        <v>5016</v>
      </c>
      <c r="C3523" t="s">
        <v>2911</v>
      </c>
      <c r="E3523">
        <v>0.01</v>
      </c>
      <c r="F3523" t="s">
        <v>546</v>
      </c>
      <c r="G3523" s="174">
        <v>45576.460914351854</v>
      </c>
    </row>
    <row r="3524" spans="1:7">
      <c r="A3524">
        <v>3557</v>
      </c>
      <c r="B3524" t="s">
        <v>5017</v>
      </c>
      <c r="C3524" t="s">
        <v>2875</v>
      </c>
      <c r="E3524">
        <v>0.01</v>
      </c>
      <c r="F3524" t="s">
        <v>546</v>
      </c>
      <c r="G3524" s="174">
        <v>45576.460914351854</v>
      </c>
    </row>
    <row r="3525" spans="1:7">
      <c r="A3525">
        <v>3558</v>
      </c>
      <c r="B3525" t="s">
        <v>5018</v>
      </c>
      <c r="C3525" t="s">
        <v>5019</v>
      </c>
      <c r="E3525">
        <v>0.1</v>
      </c>
      <c r="F3525" t="s">
        <v>546</v>
      </c>
      <c r="G3525" s="174">
        <v>45576.460914351854</v>
      </c>
    </row>
    <row r="3526" spans="1:7">
      <c r="A3526">
        <v>3559</v>
      </c>
      <c r="B3526" t="s">
        <v>1437</v>
      </c>
      <c r="C3526" t="s">
        <v>3218</v>
      </c>
      <c r="E3526">
        <v>0.01</v>
      </c>
      <c r="F3526" t="s">
        <v>546</v>
      </c>
      <c r="G3526" s="174">
        <v>45576.460914351854</v>
      </c>
    </row>
    <row r="3527" spans="1:7">
      <c r="A3527">
        <v>3560</v>
      </c>
      <c r="B3527" t="s">
        <v>5020</v>
      </c>
      <c r="C3527" t="s">
        <v>3333</v>
      </c>
      <c r="E3527">
        <v>0.01</v>
      </c>
      <c r="F3527" t="s">
        <v>546</v>
      </c>
      <c r="G3527" s="174">
        <v>45576.460914351854</v>
      </c>
    </row>
    <row r="3528" spans="1:7">
      <c r="A3528">
        <v>3561</v>
      </c>
      <c r="B3528" t="s">
        <v>5020</v>
      </c>
      <c r="C3528" t="s">
        <v>5021</v>
      </c>
      <c r="E3528">
        <v>0.01</v>
      </c>
      <c r="F3528" t="s">
        <v>546</v>
      </c>
      <c r="G3528" s="174">
        <v>45576.460914351854</v>
      </c>
    </row>
    <row r="3529" spans="1:7">
      <c r="A3529">
        <v>3562</v>
      </c>
      <c r="B3529" t="s">
        <v>5020</v>
      </c>
      <c r="C3529" t="s">
        <v>3720</v>
      </c>
      <c r="E3529">
        <v>0.01</v>
      </c>
      <c r="F3529" t="s">
        <v>546</v>
      </c>
      <c r="G3529" s="174">
        <v>45576.460914351854</v>
      </c>
    </row>
    <row r="3530" spans="1:7">
      <c r="A3530">
        <v>3563</v>
      </c>
      <c r="B3530" t="s">
        <v>5022</v>
      </c>
      <c r="C3530" t="s">
        <v>5023</v>
      </c>
      <c r="E3530">
        <v>0.01</v>
      </c>
      <c r="F3530" t="s">
        <v>546</v>
      </c>
      <c r="G3530" s="174">
        <v>45576.460914351854</v>
      </c>
    </row>
    <row r="3531" spans="1:7">
      <c r="A3531">
        <v>3564</v>
      </c>
      <c r="B3531" t="s">
        <v>5022</v>
      </c>
      <c r="C3531" t="s">
        <v>5024</v>
      </c>
      <c r="E3531">
        <v>0.01</v>
      </c>
      <c r="F3531" t="s">
        <v>546</v>
      </c>
      <c r="G3531" s="174">
        <v>45576.460914351854</v>
      </c>
    </row>
    <row r="3532" spans="1:7">
      <c r="A3532">
        <v>3565</v>
      </c>
      <c r="B3532" t="s">
        <v>5022</v>
      </c>
      <c r="C3532" t="s">
        <v>5025</v>
      </c>
      <c r="E3532">
        <v>0.01</v>
      </c>
      <c r="F3532" t="s">
        <v>546</v>
      </c>
      <c r="G3532" s="174">
        <v>45576.460914351854</v>
      </c>
    </row>
    <row r="3533" spans="1:7">
      <c r="A3533">
        <v>3566</v>
      </c>
      <c r="B3533" t="s">
        <v>5026</v>
      </c>
      <c r="C3533" t="s">
        <v>2964</v>
      </c>
      <c r="E3533">
        <v>0.01</v>
      </c>
      <c r="F3533" t="s">
        <v>546</v>
      </c>
      <c r="G3533" s="174">
        <v>45576.460914351854</v>
      </c>
    </row>
    <row r="3534" spans="1:7">
      <c r="A3534">
        <v>3567</v>
      </c>
      <c r="B3534" t="s">
        <v>1439</v>
      </c>
      <c r="C3534" t="s">
        <v>3729</v>
      </c>
      <c r="E3534">
        <v>0.05</v>
      </c>
      <c r="F3534" t="s">
        <v>546</v>
      </c>
      <c r="G3534" s="174">
        <v>45576.460914351854</v>
      </c>
    </row>
    <row r="3535" spans="1:7">
      <c r="A3535">
        <v>3568</v>
      </c>
      <c r="B3535" t="s">
        <v>5027</v>
      </c>
      <c r="C3535" t="s">
        <v>3882</v>
      </c>
      <c r="E3535">
        <v>0.01</v>
      </c>
      <c r="F3535" t="s">
        <v>546</v>
      </c>
      <c r="G3535" s="174">
        <v>45576.460914351854</v>
      </c>
    </row>
    <row r="3536" spans="1:7">
      <c r="A3536">
        <v>3569</v>
      </c>
      <c r="B3536" t="s">
        <v>5028</v>
      </c>
      <c r="C3536" t="s">
        <v>4301</v>
      </c>
      <c r="E3536">
        <v>0.01</v>
      </c>
      <c r="F3536" t="s">
        <v>546</v>
      </c>
      <c r="G3536" s="174">
        <v>45576.460914351854</v>
      </c>
    </row>
    <row r="3537" spans="1:7">
      <c r="A3537">
        <v>3570</v>
      </c>
      <c r="B3537" t="s">
        <v>5029</v>
      </c>
      <c r="C3537" t="s">
        <v>1848</v>
      </c>
      <c r="E3537">
        <v>0.01</v>
      </c>
      <c r="F3537" t="s">
        <v>546</v>
      </c>
      <c r="G3537" s="174">
        <v>45576.460914351854</v>
      </c>
    </row>
    <row r="3538" spans="1:7">
      <c r="A3538">
        <v>3571</v>
      </c>
      <c r="B3538" t="s">
        <v>5030</v>
      </c>
      <c r="C3538" t="s">
        <v>3304</v>
      </c>
      <c r="E3538">
        <v>0.01</v>
      </c>
      <c r="F3538" t="s">
        <v>546</v>
      </c>
      <c r="G3538" s="174">
        <v>45576.460914351854</v>
      </c>
    </row>
    <row r="3539" spans="1:7">
      <c r="A3539">
        <v>3572</v>
      </c>
      <c r="B3539" t="s">
        <v>5031</v>
      </c>
      <c r="C3539" t="s">
        <v>2875</v>
      </c>
      <c r="E3539">
        <v>0.01</v>
      </c>
      <c r="F3539" t="s">
        <v>546</v>
      </c>
      <c r="G3539" s="174">
        <v>45576.460914351854</v>
      </c>
    </row>
    <row r="3540" spans="1:7">
      <c r="A3540">
        <v>3573</v>
      </c>
      <c r="B3540" t="s">
        <v>5032</v>
      </c>
      <c r="C3540" t="s">
        <v>3127</v>
      </c>
      <c r="E3540">
        <v>0.01</v>
      </c>
      <c r="F3540" t="s">
        <v>546</v>
      </c>
      <c r="G3540" s="174">
        <v>45576.460914351854</v>
      </c>
    </row>
    <row r="3541" spans="1:7">
      <c r="A3541">
        <v>3574</v>
      </c>
      <c r="B3541" t="s">
        <v>5033</v>
      </c>
      <c r="C3541" t="s">
        <v>4522</v>
      </c>
      <c r="E3541">
        <v>0.01</v>
      </c>
      <c r="F3541" t="s">
        <v>546</v>
      </c>
      <c r="G3541" s="174">
        <v>45576.460914351854</v>
      </c>
    </row>
    <row r="3542" spans="1:7">
      <c r="A3542">
        <v>3575</v>
      </c>
      <c r="B3542" t="s">
        <v>5034</v>
      </c>
      <c r="C3542" t="s">
        <v>5035</v>
      </c>
      <c r="E3542">
        <v>0.01</v>
      </c>
      <c r="F3542" t="s">
        <v>546</v>
      </c>
      <c r="G3542" s="174">
        <v>45576.460914351854</v>
      </c>
    </row>
    <row r="3543" spans="1:7">
      <c r="A3543">
        <v>3576</v>
      </c>
      <c r="B3543" t="s">
        <v>5036</v>
      </c>
      <c r="C3543" t="s">
        <v>3302</v>
      </c>
      <c r="E3543">
        <v>0.01</v>
      </c>
      <c r="F3543" t="s">
        <v>546</v>
      </c>
      <c r="G3543" s="174">
        <v>45576.460914351854</v>
      </c>
    </row>
    <row r="3544" spans="1:7">
      <c r="A3544">
        <v>3577</v>
      </c>
      <c r="B3544" t="s">
        <v>5037</v>
      </c>
      <c r="C3544" t="s">
        <v>2846</v>
      </c>
      <c r="E3544">
        <v>0.01</v>
      </c>
      <c r="F3544" t="s">
        <v>546</v>
      </c>
      <c r="G3544" s="174">
        <v>45576.460914351854</v>
      </c>
    </row>
    <row r="3545" spans="1:7">
      <c r="A3545">
        <v>3578</v>
      </c>
      <c r="B3545" t="s">
        <v>5038</v>
      </c>
      <c r="C3545" t="s">
        <v>5039</v>
      </c>
      <c r="E3545">
        <v>0.01</v>
      </c>
      <c r="F3545" t="s">
        <v>546</v>
      </c>
      <c r="G3545" s="174">
        <v>45576.460914351854</v>
      </c>
    </row>
    <row r="3546" spans="1:7">
      <c r="A3546">
        <v>3579</v>
      </c>
      <c r="B3546" t="s">
        <v>5040</v>
      </c>
      <c r="C3546" t="s">
        <v>3038</v>
      </c>
      <c r="E3546">
        <v>0.01</v>
      </c>
      <c r="F3546" t="s">
        <v>546</v>
      </c>
      <c r="G3546" s="174">
        <v>45576.460914351854</v>
      </c>
    </row>
    <row r="3547" spans="1:7">
      <c r="A3547">
        <v>3580</v>
      </c>
      <c r="B3547" t="s">
        <v>5041</v>
      </c>
      <c r="C3547" t="s">
        <v>3454</v>
      </c>
      <c r="E3547">
        <v>0.1</v>
      </c>
      <c r="F3547" t="s">
        <v>546</v>
      </c>
      <c r="G3547" s="174">
        <v>45576.460914351854</v>
      </c>
    </row>
    <row r="3548" spans="1:7">
      <c r="A3548">
        <v>3581</v>
      </c>
      <c r="B3548" t="s">
        <v>5041</v>
      </c>
      <c r="C3548" t="s">
        <v>5042</v>
      </c>
      <c r="E3548">
        <v>0.01</v>
      </c>
      <c r="F3548" t="s">
        <v>546</v>
      </c>
      <c r="G3548" s="174">
        <v>45576.460914351854</v>
      </c>
    </row>
    <row r="3549" spans="1:7">
      <c r="A3549">
        <v>3582</v>
      </c>
      <c r="B3549" t="s">
        <v>5043</v>
      </c>
      <c r="C3549" t="s">
        <v>3291</v>
      </c>
      <c r="E3549">
        <v>0.01</v>
      </c>
      <c r="F3549" t="s">
        <v>546</v>
      </c>
      <c r="G3549" s="174">
        <v>45576.460914351854</v>
      </c>
    </row>
    <row r="3550" spans="1:7">
      <c r="A3550">
        <v>3583</v>
      </c>
      <c r="B3550" t="s">
        <v>5044</v>
      </c>
      <c r="C3550" t="s">
        <v>2868</v>
      </c>
      <c r="E3550">
        <v>0.01</v>
      </c>
      <c r="F3550" t="s">
        <v>546</v>
      </c>
      <c r="G3550" s="174">
        <v>45576.460914351854</v>
      </c>
    </row>
    <row r="3551" spans="1:7">
      <c r="A3551">
        <v>3584</v>
      </c>
      <c r="B3551" t="s">
        <v>5045</v>
      </c>
      <c r="C3551" t="s">
        <v>5046</v>
      </c>
      <c r="E3551">
        <v>0.01</v>
      </c>
      <c r="F3551" t="s">
        <v>546</v>
      </c>
      <c r="G3551" s="174">
        <v>45576.460914351854</v>
      </c>
    </row>
    <row r="3552" spans="1:7">
      <c r="A3552">
        <v>3585</v>
      </c>
      <c r="B3552" t="s">
        <v>5045</v>
      </c>
      <c r="C3552" t="s">
        <v>5047</v>
      </c>
      <c r="E3552">
        <v>0.01</v>
      </c>
      <c r="F3552" t="s">
        <v>546</v>
      </c>
      <c r="G3552" s="174">
        <v>45576.460914351854</v>
      </c>
    </row>
    <row r="3553" spans="1:7">
      <c r="A3553">
        <v>3586</v>
      </c>
      <c r="B3553" t="s">
        <v>5048</v>
      </c>
      <c r="C3553" t="s">
        <v>5049</v>
      </c>
      <c r="E3553">
        <v>0.01</v>
      </c>
      <c r="F3553" t="s">
        <v>546</v>
      </c>
      <c r="G3553" s="174">
        <v>45576.460914351854</v>
      </c>
    </row>
    <row r="3554" spans="1:7">
      <c r="A3554">
        <v>3587</v>
      </c>
      <c r="B3554" t="s">
        <v>5048</v>
      </c>
      <c r="C3554" t="s">
        <v>5050</v>
      </c>
      <c r="E3554">
        <v>0.01</v>
      </c>
      <c r="F3554" t="s">
        <v>546</v>
      </c>
      <c r="G3554" s="174">
        <v>45576.460914351854</v>
      </c>
    </row>
    <row r="3555" spans="1:7">
      <c r="A3555">
        <v>3588</v>
      </c>
      <c r="B3555" t="s">
        <v>5048</v>
      </c>
      <c r="C3555" t="s">
        <v>4659</v>
      </c>
      <c r="E3555">
        <v>0.01</v>
      </c>
      <c r="F3555" t="s">
        <v>546</v>
      </c>
      <c r="G3555" s="174">
        <v>45576.460914351854</v>
      </c>
    </row>
    <row r="3556" spans="1:7">
      <c r="A3556">
        <v>3589</v>
      </c>
      <c r="B3556" t="s">
        <v>5051</v>
      </c>
      <c r="C3556" t="s">
        <v>3507</v>
      </c>
      <c r="E3556">
        <v>0.01</v>
      </c>
      <c r="F3556" t="s">
        <v>546</v>
      </c>
      <c r="G3556" s="174">
        <v>45576.460914351854</v>
      </c>
    </row>
    <row r="3557" spans="1:7">
      <c r="A3557">
        <v>3590</v>
      </c>
      <c r="B3557" t="s">
        <v>5051</v>
      </c>
      <c r="C3557" t="s">
        <v>3508</v>
      </c>
      <c r="E3557">
        <v>0.01</v>
      </c>
      <c r="F3557" t="s">
        <v>546</v>
      </c>
      <c r="G3557" s="174">
        <v>45576.460914351854</v>
      </c>
    </row>
    <row r="3558" spans="1:7">
      <c r="A3558">
        <v>3591</v>
      </c>
      <c r="B3558" t="s">
        <v>1446</v>
      </c>
      <c r="C3558" t="s">
        <v>5052</v>
      </c>
      <c r="E3558">
        <v>0.05</v>
      </c>
      <c r="F3558" t="s">
        <v>546</v>
      </c>
      <c r="G3558" s="174">
        <v>45576.460914351854</v>
      </c>
    </row>
    <row r="3559" spans="1:7">
      <c r="A3559">
        <v>3592</v>
      </c>
      <c r="B3559" t="s">
        <v>5053</v>
      </c>
      <c r="C3559" t="s">
        <v>5054</v>
      </c>
      <c r="E3559">
        <v>0.01</v>
      </c>
      <c r="F3559" t="s">
        <v>546</v>
      </c>
      <c r="G3559" s="174">
        <v>45576.460914351854</v>
      </c>
    </row>
    <row r="3560" spans="1:7">
      <c r="A3560">
        <v>3593</v>
      </c>
      <c r="B3560" t="s">
        <v>5053</v>
      </c>
      <c r="C3560" t="s">
        <v>5055</v>
      </c>
      <c r="E3560">
        <v>0.01</v>
      </c>
      <c r="F3560" t="s">
        <v>546</v>
      </c>
      <c r="G3560" s="174">
        <v>45576.460914351854</v>
      </c>
    </row>
    <row r="3561" spans="1:7">
      <c r="A3561">
        <v>3594</v>
      </c>
      <c r="B3561" t="s">
        <v>5056</v>
      </c>
      <c r="C3561" t="s">
        <v>5057</v>
      </c>
      <c r="E3561">
        <v>0.01</v>
      </c>
      <c r="F3561" t="s">
        <v>546</v>
      </c>
      <c r="G3561" s="174">
        <v>45576.460914351854</v>
      </c>
    </row>
    <row r="3562" spans="1:7">
      <c r="A3562">
        <v>3595</v>
      </c>
      <c r="B3562" t="s">
        <v>5056</v>
      </c>
      <c r="C3562" t="s">
        <v>5058</v>
      </c>
      <c r="E3562">
        <v>0.01</v>
      </c>
      <c r="F3562" t="s">
        <v>546</v>
      </c>
      <c r="G3562" s="174">
        <v>45576.460914351854</v>
      </c>
    </row>
    <row r="3563" spans="1:7">
      <c r="A3563">
        <v>3596</v>
      </c>
      <c r="B3563" t="s">
        <v>5059</v>
      </c>
      <c r="C3563" t="s">
        <v>3218</v>
      </c>
      <c r="E3563">
        <v>0.01</v>
      </c>
      <c r="F3563" t="s">
        <v>546</v>
      </c>
      <c r="G3563" s="174">
        <v>45576.460914351854</v>
      </c>
    </row>
    <row r="3564" spans="1:7">
      <c r="A3564">
        <v>3597</v>
      </c>
      <c r="B3564" t="s">
        <v>5060</v>
      </c>
      <c r="C3564" t="s">
        <v>5061</v>
      </c>
      <c r="E3564">
        <v>0.01</v>
      </c>
      <c r="F3564" t="s">
        <v>546</v>
      </c>
      <c r="G3564" s="174">
        <v>45576.460914351854</v>
      </c>
    </row>
    <row r="3565" spans="1:7">
      <c r="A3565">
        <v>3598</v>
      </c>
      <c r="B3565" t="s">
        <v>5060</v>
      </c>
      <c r="C3565" t="s">
        <v>5062</v>
      </c>
      <c r="E3565">
        <v>0.01</v>
      </c>
      <c r="F3565" t="s">
        <v>546</v>
      </c>
      <c r="G3565" s="174">
        <v>45576.460914351854</v>
      </c>
    </row>
    <row r="3566" spans="1:7">
      <c r="A3566">
        <v>3599</v>
      </c>
      <c r="B3566" t="s">
        <v>5060</v>
      </c>
      <c r="C3566" t="s">
        <v>5063</v>
      </c>
      <c r="E3566">
        <v>0.01</v>
      </c>
      <c r="F3566" t="s">
        <v>546</v>
      </c>
      <c r="G3566" s="174">
        <v>45576.460914351854</v>
      </c>
    </row>
    <row r="3567" spans="1:7">
      <c r="A3567">
        <v>3600</v>
      </c>
      <c r="B3567" t="s">
        <v>5064</v>
      </c>
      <c r="C3567" t="s">
        <v>5065</v>
      </c>
      <c r="E3567">
        <v>0.01</v>
      </c>
      <c r="F3567" t="s">
        <v>546</v>
      </c>
      <c r="G3567" s="174">
        <v>45576.460914351854</v>
      </c>
    </row>
    <row r="3568" spans="1:7">
      <c r="A3568">
        <v>3601</v>
      </c>
      <c r="B3568" t="s">
        <v>5066</v>
      </c>
      <c r="C3568" t="s">
        <v>3270</v>
      </c>
      <c r="E3568">
        <v>0.01</v>
      </c>
      <c r="F3568" t="s">
        <v>546</v>
      </c>
      <c r="G3568" s="174">
        <v>45576.460914351854</v>
      </c>
    </row>
    <row r="3569" spans="1:7">
      <c r="A3569">
        <v>3602</v>
      </c>
      <c r="B3569" t="s">
        <v>5067</v>
      </c>
      <c r="C3569" t="s">
        <v>4710</v>
      </c>
      <c r="E3569">
        <v>0.01</v>
      </c>
      <c r="F3569" t="s">
        <v>546</v>
      </c>
      <c r="G3569" s="174">
        <v>45576.460914351854</v>
      </c>
    </row>
    <row r="3570" spans="1:7">
      <c r="A3570">
        <v>3603</v>
      </c>
      <c r="B3570" t="s">
        <v>1450</v>
      </c>
      <c r="C3570" t="s">
        <v>2810</v>
      </c>
      <c r="E3570">
        <v>0.1</v>
      </c>
      <c r="F3570" t="s">
        <v>546</v>
      </c>
      <c r="G3570" s="174">
        <v>45576.460914351854</v>
      </c>
    </row>
    <row r="3571" spans="1:7">
      <c r="A3571">
        <v>3604</v>
      </c>
      <c r="B3571" t="s">
        <v>5068</v>
      </c>
      <c r="C3571" t="s">
        <v>2257</v>
      </c>
      <c r="E3571">
        <v>0.01</v>
      </c>
      <c r="F3571" t="s">
        <v>546</v>
      </c>
      <c r="G3571" s="174">
        <v>45576.460914351854</v>
      </c>
    </row>
    <row r="3572" spans="1:7">
      <c r="A3572">
        <v>3605</v>
      </c>
      <c r="B3572" t="s">
        <v>5069</v>
      </c>
      <c r="C3572" t="s">
        <v>3606</v>
      </c>
      <c r="E3572">
        <v>0.01</v>
      </c>
      <c r="F3572" t="s">
        <v>546</v>
      </c>
      <c r="G3572" s="174">
        <v>45576.460914351854</v>
      </c>
    </row>
    <row r="3573" spans="1:7">
      <c r="A3573">
        <v>3606</v>
      </c>
      <c r="B3573" t="s">
        <v>5070</v>
      </c>
      <c r="C3573" t="s">
        <v>3286</v>
      </c>
      <c r="E3573">
        <v>0.01</v>
      </c>
      <c r="F3573" t="s">
        <v>546</v>
      </c>
      <c r="G3573" s="174">
        <v>45576.460914351854</v>
      </c>
    </row>
    <row r="3574" spans="1:7">
      <c r="A3574">
        <v>3607</v>
      </c>
      <c r="B3574" t="s">
        <v>5071</v>
      </c>
      <c r="C3574" t="s">
        <v>5072</v>
      </c>
      <c r="E3574">
        <v>0.01</v>
      </c>
      <c r="F3574" t="s">
        <v>546</v>
      </c>
      <c r="G3574" s="174">
        <v>45576.460914351854</v>
      </c>
    </row>
    <row r="3575" spans="1:7">
      <c r="A3575">
        <v>3608</v>
      </c>
      <c r="B3575" t="s">
        <v>5073</v>
      </c>
      <c r="C3575" t="s">
        <v>3307</v>
      </c>
      <c r="E3575">
        <v>0.01</v>
      </c>
      <c r="F3575" t="s">
        <v>546</v>
      </c>
      <c r="G3575" s="174">
        <v>45576.460914351854</v>
      </c>
    </row>
    <row r="3576" spans="1:7">
      <c r="A3576">
        <v>3609</v>
      </c>
      <c r="B3576" t="s">
        <v>5074</v>
      </c>
      <c r="C3576" t="s">
        <v>4388</v>
      </c>
      <c r="E3576">
        <v>0.01</v>
      </c>
      <c r="F3576" t="s">
        <v>546</v>
      </c>
      <c r="G3576" s="174">
        <v>45576.460914351854</v>
      </c>
    </row>
    <row r="3577" spans="1:7">
      <c r="A3577">
        <v>3610</v>
      </c>
      <c r="B3577" t="s">
        <v>5074</v>
      </c>
      <c r="C3577" t="s">
        <v>3353</v>
      </c>
      <c r="E3577">
        <v>0.01</v>
      </c>
      <c r="F3577" t="s">
        <v>546</v>
      </c>
      <c r="G3577" s="174">
        <v>45576.460914351854</v>
      </c>
    </row>
    <row r="3578" spans="1:7">
      <c r="A3578">
        <v>3611</v>
      </c>
      <c r="B3578" t="s">
        <v>5075</v>
      </c>
      <c r="C3578" t="s">
        <v>3711</v>
      </c>
      <c r="E3578">
        <v>0.01</v>
      </c>
      <c r="F3578" t="s">
        <v>546</v>
      </c>
      <c r="G3578" s="174">
        <v>45576.460914351854</v>
      </c>
    </row>
    <row r="3579" spans="1:7">
      <c r="A3579">
        <v>3612</v>
      </c>
      <c r="B3579" t="s">
        <v>1452</v>
      </c>
      <c r="C3579" t="s">
        <v>5076</v>
      </c>
      <c r="E3579">
        <v>0.5</v>
      </c>
      <c r="F3579" t="s">
        <v>546</v>
      </c>
      <c r="G3579" s="174">
        <v>45576.460914351854</v>
      </c>
    </row>
    <row r="3580" spans="1:7">
      <c r="A3580">
        <v>3613</v>
      </c>
      <c r="B3580" t="s">
        <v>5077</v>
      </c>
      <c r="C3580" t="s">
        <v>1848</v>
      </c>
      <c r="E3580">
        <v>0.01</v>
      </c>
      <c r="F3580" t="s">
        <v>546</v>
      </c>
      <c r="G3580" s="174">
        <v>45576.460914351854</v>
      </c>
    </row>
    <row r="3581" spans="1:7">
      <c r="A3581">
        <v>3614</v>
      </c>
      <c r="B3581" t="s">
        <v>5078</v>
      </c>
      <c r="C3581" t="s">
        <v>5079</v>
      </c>
      <c r="E3581">
        <v>0.01</v>
      </c>
      <c r="F3581" t="s">
        <v>546</v>
      </c>
      <c r="G3581" s="174">
        <v>45576.460914351854</v>
      </c>
    </row>
    <row r="3582" spans="1:7">
      <c r="A3582">
        <v>3615</v>
      </c>
      <c r="B3582" t="s">
        <v>5080</v>
      </c>
      <c r="C3582" t="s">
        <v>5081</v>
      </c>
      <c r="E3582">
        <v>0.01</v>
      </c>
      <c r="F3582" t="s">
        <v>546</v>
      </c>
      <c r="G3582" s="174">
        <v>45576.460914351854</v>
      </c>
    </row>
    <row r="3583" spans="1:7">
      <c r="A3583">
        <v>3616</v>
      </c>
      <c r="B3583" t="s">
        <v>5082</v>
      </c>
      <c r="C3583" t="s">
        <v>4094</v>
      </c>
      <c r="E3583">
        <v>0.01</v>
      </c>
      <c r="F3583" t="s">
        <v>546</v>
      </c>
      <c r="G3583" s="174">
        <v>45576.460914351854</v>
      </c>
    </row>
    <row r="3584" spans="1:7">
      <c r="A3584">
        <v>3617</v>
      </c>
      <c r="B3584" t="s">
        <v>5082</v>
      </c>
      <c r="C3584" t="s">
        <v>2976</v>
      </c>
      <c r="E3584">
        <v>0.01</v>
      </c>
      <c r="F3584" t="s">
        <v>546</v>
      </c>
      <c r="G3584" s="174">
        <v>45576.460914351854</v>
      </c>
    </row>
    <row r="3585" spans="1:7">
      <c r="A3585">
        <v>3618</v>
      </c>
      <c r="B3585" t="s">
        <v>1455</v>
      </c>
      <c r="C3585" t="s">
        <v>3502</v>
      </c>
      <c r="E3585">
        <v>0.01</v>
      </c>
      <c r="F3585" t="s">
        <v>546</v>
      </c>
      <c r="G3585" s="174">
        <v>45576.460914351854</v>
      </c>
    </row>
    <row r="3586" spans="1:7">
      <c r="A3586">
        <v>3619</v>
      </c>
      <c r="B3586" t="s">
        <v>5083</v>
      </c>
      <c r="C3586" t="s">
        <v>5084</v>
      </c>
      <c r="E3586">
        <v>0.01</v>
      </c>
      <c r="F3586" t="s">
        <v>546</v>
      </c>
      <c r="G3586" s="174">
        <v>45576.460914351854</v>
      </c>
    </row>
    <row r="3587" spans="1:7">
      <c r="A3587">
        <v>3620</v>
      </c>
      <c r="B3587" t="s">
        <v>5085</v>
      </c>
      <c r="C3587" t="s">
        <v>2972</v>
      </c>
      <c r="E3587">
        <v>0.01</v>
      </c>
      <c r="F3587" t="s">
        <v>546</v>
      </c>
      <c r="G3587" s="174">
        <v>45576.460914351854</v>
      </c>
    </row>
    <row r="3588" spans="1:7">
      <c r="A3588">
        <v>3621</v>
      </c>
      <c r="B3588" t="s">
        <v>5086</v>
      </c>
      <c r="C3588" t="s">
        <v>2899</v>
      </c>
      <c r="E3588">
        <v>0.01</v>
      </c>
      <c r="F3588" t="s">
        <v>546</v>
      </c>
      <c r="G3588" s="174">
        <v>45576.460914351854</v>
      </c>
    </row>
    <row r="3589" spans="1:7">
      <c r="A3589">
        <v>3622</v>
      </c>
      <c r="B3589" t="s">
        <v>1460</v>
      </c>
      <c r="C3589" t="s">
        <v>2846</v>
      </c>
      <c r="E3589">
        <v>0.01</v>
      </c>
      <c r="F3589" t="s">
        <v>546</v>
      </c>
      <c r="G3589" s="174">
        <v>45576.460914351854</v>
      </c>
    </row>
    <row r="3590" spans="1:7">
      <c r="A3590">
        <v>3623</v>
      </c>
      <c r="B3590" t="s">
        <v>5087</v>
      </c>
      <c r="C3590" t="s">
        <v>5088</v>
      </c>
      <c r="E3590">
        <v>0.01</v>
      </c>
      <c r="F3590" t="s">
        <v>546</v>
      </c>
      <c r="G3590" s="174">
        <v>45576.460914351854</v>
      </c>
    </row>
    <row r="3591" spans="1:7">
      <c r="A3591">
        <v>3624</v>
      </c>
      <c r="B3591" t="s">
        <v>5089</v>
      </c>
      <c r="C3591" t="s">
        <v>2796</v>
      </c>
      <c r="E3591">
        <v>0.01</v>
      </c>
      <c r="F3591" t="s">
        <v>546</v>
      </c>
      <c r="G3591" s="174">
        <v>45576.460914351854</v>
      </c>
    </row>
    <row r="3592" spans="1:7">
      <c r="A3592">
        <v>3625</v>
      </c>
      <c r="B3592" t="s">
        <v>5090</v>
      </c>
      <c r="C3592" t="s">
        <v>3133</v>
      </c>
      <c r="E3592">
        <v>0.01</v>
      </c>
      <c r="F3592" t="s">
        <v>546</v>
      </c>
      <c r="G3592" s="174">
        <v>45576.460914351854</v>
      </c>
    </row>
    <row r="3593" spans="1:7">
      <c r="A3593">
        <v>3626</v>
      </c>
      <c r="B3593" t="s">
        <v>5090</v>
      </c>
      <c r="C3593" t="s">
        <v>5091</v>
      </c>
      <c r="E3593">
        <v>0.1</v>
      </c>
      <c r="F3593" t="s">
        <v>546</v>
      </c>
      <c r="G3593" s="174">
        <v>45576.460914351854</v>
      </c>
    </row>
    <row r="3594" spans="1:7">
      <c r="A3594">
        <v>3627</v>
      </c>
      <c r="B3594" t="s">
        <v>5092</v>
      </c>
      <c r="C3594" t="s">
        <v>3284</v>
      </c>
      <c r="E3594">
        <v>0.01</v>
      </c>
      <c r="F3594" t="s">
        <v>546</v>
      </c>
      <c r="G3594" s="174">
        <v>45576.460914351854</v>
      </c>
    </row>
    <row r="3595" spans="1:7">
      <c r="A3595">
        <v>3628</v>
      </c>
      <c r="B3595" t="s">
        <v>5093</v>
      </c>
      <c r="C3595" t="s">
        <v>5094</v>
      </c>
      <c r="E3595">
        <v>0.1</v>
      </c>
      <c r="F3595" t="s">
        <v>546</v>
      </c>
      <c r="G3595" s="174">
        <v>45576.460914351854</v>
      </c>
    </row>
    <row r="3596" spans="1:7">
      <c r="A3596">
        <v>3629</v>
      </c>
      <c r="B3596" t="s">
        <v>5095</v>
      </c>
      <c r="C3596" t="s">
        <v>4015</v>
      </c>
      <c r="E3596">
        <v>0.1</v>
      </c>
      <c r="F3596" t="s">
        <v>546</v>
      </c>
      <c r="G3596" s="174">
        <v>45576.460914351854</v>
      </c>
    </row>
    <row r="3597" spans="1:7">
      <c r="A3597">
        <v>3630</v>
      </c>
      <c r="B3597" t="s">
        <v>5096</v>
      </c>
      <c r="C3597" t="s">
        <v>4380</v>
      </c>
      <c r="E3597">
        <v>0.01</v>
      </c>
      <c r="F3597" t="s">
        <v>546</v>
      </c>
      <c r="G3597" s="174">
        <v>45576.460914351854</v>
      </c>
    </row>
    <row r="3598" spans="1:7">
      <c r="A3598">
        <v>3631</v>
      </c>
      <c r="B3598" t="s">
        <v>5097</v>
      </c>
      <c r="C3598" t="s">
        <v>3813</v>
      </c>
      <c r="E3598">
        <v>0.7</v>
      </c>
      <c r="F3598" t="s">
        <v>5098</v>
      </c>
      <c r="G3598" s="174">
        <v>45576.460914351854</v>
      </c>
    </row>
    <row r="3599" spans="1:7">
      <c r="A3599">
        <v>3632</v>
      </c>
      <c r="B3599" t="s">
        <v>5097</v>
      </c>
      <c r="C3599" t="s">
        <v>3267</v>
      </c>
      <c r="E3599">
        <v>0.8</v>
      </c>
      <c r="F3599" t="s">
        <v>546</v>
      </c>
      <c r="G3599" s="174">
        <v>45576.460914351854</v>
      </c>
    </row>
    <row r="3600" spans="1:7">
      <c r="A3600">
        <v>3633</v>
      </c>
      <c r="B3600" t="s">
        <v>5099</v>
      </c>
      <c r="C3600" t="s">
        <v>3343</v>
      </c>
      <c r="E3600">
        <v>1</v>
      </c>
      <c r="F3600" t="s">
        <v>546</v>
      </c>
      <c r="G3600" s="174">
        <v>45576.460914351854</v>
      </c>
    </row>
    <row r="3601" spans="1:7">
      <c r="A3601">
        <v>3634</v>
      </c>
      <c r="B3601" t="s">
        <v>5100</v>
      </c>
      <c r="C3601" t="s">
        <v>4458</v>
      </c>
      <c r="E3601">
        <v>0.1</v>
      </c>
      <c r="F3601" t="s">
        <v>546</v>
      </c>
      <c r="G3601" s="174">
        <v>45576.460914351854</v>
      </c>
    </row>
    <row r="3602" spans="1:7">
      <c r="A3602">
        <v>3635</v>
      </c>
      <c r="B3602" t="s">
        <v>5101</v>
      </c>
      <c r="C3602" t="s">
        <v>5102</v>
      </c>
      <c r="E3602">
        <v>0.01</v>
      </c>
      <c r="F3602" t="s">
        <v>546</v>
      </c>
      <c r="G3602" s="174">
        <v>45576.460914351854</v>
      </c>
    </row>
    <row r="3603" spans="1:7">
      <c r="A3603">
        <v>3636</v>
      </c>
      <c r="B3603" t="s">
        <v>5103</v>
      </c>
      <c r="C3603" t="s">
        <v>5104</v>
      </c>
      <c r="E3603">
        <v>0.01</v>
      </c>
      <c r="F3603" t="s">
        <v>546</v>
      </c>
      <c r="G3603" s="174">
        <v>45576.460914351854</v>
      </c>
    </row>
    <row r="3604" spans="1:7">
      <c r="A3604">
        <v>3637</v>
      </c>
      <c r="B3604" t="s">
        <v>5105</v>
      </c>
      <c r="C3604" t="s">
        <v>5102</v>
      </c>
      <c r="E3604">
        <v>0.1</v>
      </c>
      <c r="F3604" t="s">
        <v>546</v>
      </c>
      <c r="G3604" s="174">
        <v>45576.460914351854</v>
      </c>
    </row>
    <row r="3605" spans="1:7">
      <c r="A3605">
        <v>3638</v>
      </c>
      <c r="B3605" t="s">
        <v>5106</v>
      </c>
      <c r="C3605" t="s">
        <v>5107</v>
      </c>
      <c r="E3605">
        <v>0.01</v>
      </c>
      <c r="F3605" t="s">
        <v>546</v>
      </c>
      <c r="G3605" s="174">
        <v>45576.460914351854</v>
      </c>
    </row>
    <row r="3606" spans="1:7">
      <c r="A3606">
        <v>3639</v>
      </c>
      <c r="B3606" t="s">
        <v>5108</v>
      </c>
      <c r="C3606" t="s">
        <v>3033</v>
      </c>
      <c r="E3606">
        <v>0.01</v>
      </c>
      <c r="F3606" t="s">
        <v>546</v>
      </c>
      <c r="G3606" s="174">
        <v>45576.460914351854</v>
      </c>
    </row>
    <row r="3607" spans="1:7">
      <c r="A3607">
        <v>3640</v>
      </c>
      <c r="B3607" t="s">
        <v>5109</v>
      </c>
      <c r="C3607" t="s">
        <v>3281</v>
      </c>
      <c r="E3607">
        <v>0.01</v>
      </c>
      <c r="F3607" t="s">
        <v>546</v>
      </c>
      <c r="G3607" s="174">
        <v>45576.460914351854</v>
      </c>
    </row>
    <row r="3608" spans="1:7">
      <c r="A3608">
        <v>3641</v>
      </c>
      <c r="B3608" t="s">
        <v>5110</v>
      </c>
      <c r="C3608" t="s">
        <v>5111</v>
      </c>
      <c r="E3608">
        <v>0.01</v>
      </c>
      <c r="F3608" t="s">
        <v>546</v>
      </c>
      <c r="G3608" s="174">
        <v>45576.460914351854</v>
      </c>
    </row>
    <row r="3609" spans="1:7">
      <c r="A3609">
        <v>3642</v>
      </c>
      <c r="B3609" t="s">
        <v>5112</v>
      </c>
      <c r="C3609" t="s">
        <v>5113</v>
      </c>
      <c r="E3609">
        <v>0.01</v>
      </c>
      <c r="F3609" t="s">
        <v>546</v>
      </c>
      <c r="G3609" s="174">
        <v>45576.460914351854</v>
      </c>
    </row>
    <row r="3610" spans="1:7">
      <c r="A3610">
        <v>3643</v>
      </c>
      <c r="B3610" t="s">
        <v>5114</v>
      </c>
      <c r="C3610" t="s">
        <v>5115</v>
      </c>
      <c r="E3610">
        <v>0.01</v>
      </c>
      <c r="F3610" t="s">
        <v>546</v>
      </c>
      <c r="G3610" s="174">
        <v>45576.460914351854</v>
      </c>
    </row>
    <row r="3611" spans="1:7">
      <c r="A3611">
        <v>3644</v>
      </c>
      <c r="B3611" t="s">
        <v>5116</v>
      </c>
      <c r="C3611" t="s">
        <v>5117</v>
      </c>
      <c r="E3611">
        <v>0.05</v>
      </c>
      <c r="F3611" t="s">
        <v>546</v>
      </c>
      <c r="G3611" s="174">
        <v>45576.460914351854</v>
      </c>
    </row>
    <row r="3612" spans="1:7">
      <c r="A3612">
        <v>3645</v>
      </c>
      <c r="B3612" t="s">
        <v>5116</v>
      </c>
      <c r="C3612" t="s">
        <v>5118</v>
      </c>
      <c r="E3612">
        <v>0.01</v>
      </c>
      <c r="F3612" t="s">
        <v>546</v>
      </c>
      <c r="G3612" s="174">
        <v>45576.460914351854</v>
      </c>
    </row>
    <row r="3613" spans="1:7">
      <c r="A3613">
        <v>3646</v>
      </c>
      <c r="B3613" t="s">
        <v>1470</v>
      </c>
      <c r="C3613" t="s">
        <v>3608</v>
      </c>
      <c r="E3613">
        <v>0.05</v>
      </c>
      <c r="F3613" t="s">
        <v>546</v>
      </c>
      <c r="G3613" s="174">
        <v>45576.460914351854</v>
      </c>
    </row>
    <row r="3614" spans="1:7">
      <c r="A3614">
        <v>3647</v>
      </c>
      <c r="B3614" t="s">
        <v>5119</v>
      </c>
      <c r="C3614" t="s">
        <v>4135</v>
      </c>
      <c r="E3614">
        <v>0.01</v>
      </c>
      <c r="F3614" t="s">
        <v>546</v>
      </c>
      <c r="G3614" s="174">
        <v>45576.460914351854</v>
      </c>
    </row>
    <row r="3615" spans="1:7">
      <c r="A3615">
        <v>3648</v>
      </c>
      <c r="B3615" t="s">
        <v>5120</v>
      </c>
      <c r="C3615" t="s">
        <v>4696</v>
      </c>
      <c r="E3615">
        <v>0.01</v>
      </c>
      <c r="F3615" t="s">
        <v>546</v>
      </c>
      <c r="G3615" s="174">
        <v>45576.460914351854</v>
      </c>
    </row>
    <row r="3616" spans="1:7">
      <c r="A3616">
        <v>3649</v>
      </c>
      <c r="B3616" t="s">
        <v>5121</v>
      </c>
      <c r="C3616" t="s">
        <v>3161</v>
      </c>
      <c r="E3616">
        <v>0.01</v>
      </c>
      <c r="F3616" t="s">
        <v>546</v>
      </c>
      <c r="G3616" s="174">
        <v>45576.460914351854</v>
      </c>
    </row>
    <row r="3617" spans="1:7">
      <c r="A3617">
        <v>3650</v>
      </c>
      <c r="B3617" t="s">
        <v>5122</v>
      </c>
      <c r="C3617" t="s">
        <v>5123</v>
      </c>
      <c r="E3617">
        <v>0.01</v>
      </c>
      <c r="F3617" t="s">
        <v>546</v>
      </c>
      <c r="G3617" s="174">
        <v>45576.460914351854</v>
      </c>
    </row>
    <row r="3618" spans="1:7">
      <c r="A3618">
        <v>3651</v>
      </c>
      <c r="B3618" t="s">
        <v>5124</v>
      </c>
      <c r="C3618" t="s">
        <v>5125</v>
      </c>
      <c r="E3618">
        <v>0.01</v>
      </c>
      <c r="F3618" t="s">
        <v>546</v>
      </c>
      <c r="G3618" s="174">
        <v>45576.460914351854</v>
      </c>
    </row>
    <row r="3619" spans="1:7">
      <c r="A3619">
        <v>3652</v>
      </c>
      <c r="B3619" t="s">
        <v>5126</v>
      </c>
      <c r="C3619" t="s">
        <v>3155</v>
      </c>
      <c r="E3619">
        <v>0.01</v>
      </c>
      <c r="F3619" t="s">
        <v>546</v>
      </c>
      <c r="G3619" s="174">
        <v>45576.460914351854</v>
      </c>
    </row>
    <row r="3620" spans="1:7">
      <c r="A3620">
        <v>3653</v>
      </c>
      <c r="B3620" t="s">
        <v>5127</v>
      </c>
      <c r="C3620" t="s">
        <v>5128</v>
      </c>
      <c r="E3620">
        <v>0.01</v>
      </c>
      <c r="F3620" t="s">
        <v>546</v>
      </c>
      <c r="G3620" s="174">
        <v>45576.460914351854</v>
      </c>
    </row>
    <row r="3621" spans="1:7">
      <c r="A3621">
        <v>3654</v>
      </c>
      <c r="B3621" t="s">
        <v>5127</v>
      </c>
      <c r="C3621" t="s">
        <v>4101</v>
      </c>
      <c r="E3621">
        <v>0.1</v>
      </c>
      <c r="F3621" t="s">
        <v>546</v>
      </c>
      <c r="G3621" s="174">
        <v>45576.460914351854</v>
      </c>
    </row>
    <row r="3622" spans="1:7">
      <c r="A3622">
        <v>3655</v>
      </c>
      <c r="B3622" t="s">
        <v>5129</v>
      </c>
      <c r="C3622" t="s">
        <v>3322</v>
      </c>
      <c r="E3622">
        <v>0.1</v>
      </c>
      <c r="F3622" t="s">
        <v>546</v>
      </c>
      <c r="G3622" s="174">
        <v>45576.460914351854</v>
      </c>
    </row>
    <row r="3623" spans="1:7">
      <c r="A3623">
        <v>3656</v>
      </c>
      <c r="B3623" t="s">
        <v>1473</v>
      </c>
      <c r="C3623" t="s">
        <v>2751</v>
      </c>
      <c r="E3623">
        <v>0.01</v>
      </c>
      <c r="F3623" t="s">
        <v>546</v>
      </c>
      <c r="G3623" s="174">
        <v>45576.460914351854</v>
      </c>
    </row>
    <row r="3624" spans="1:7">
      <c r="A3624">
        <v>3657</v>
      </c>
      <c r="B3624" t="s">
        <v>1473</v>
      </c>
      <c r="C3624" t="s">
        <v>2865</v>
      </c>
      <c r="E3624">
        <v>0.01</v>
      </c>
      <c r="F3624" t="s">
        <v>546</v>
      </c>
      <c r="G3624" s="174">
        <v>45576.460914351854</v>
      </c>
    </row>
    <row r="3625" spans="1:7">
      <c r="A3625">
        <v>3658</v>
      </c>
      <c r="B3625" t="s">
        <v>5130</v>
      </c>
      <c r="C3625" t="s">
        <v>3765</v>
      </c>
      <c r="E3625">
        <v>0.01</v>
      </c>
      <c r="F3625" t="s">
        <v>546</v>
      </c>
      <c r="G3625" s="174">
        <v>45576.460914351854</v>
      </c>
    </row>
    <row r="3626" spans="1:7">
      <c r="A3626">
        <v>3659</v>
      </c>
      <c r="B3626" t="s">
        <v>1474</v>
      </c>
      <c r="C3626" t="s">
        <v>4762</v>
      </c>
      <c r="E3626">
        <v>0.01</v>
      </c>
      <c r="F3626" t="s">
        <v>546</v>
      </c>
      <c r="G3626" s="174">
        <v>45576.460914351854</v>
      </c>
    </row>
    <row r="3627" spans="1:7">
      <c r="A3627">
        <v>3660</v>
      </c>
      <c r="B3627" t="s">
        <v>5131</v>
      </c>
      <c r="C3627" t="s">
        <v>5132</v>
      </c>
      <c r="E3627">
        <v>0.8</v>
      </c>
      <c r="F3627" t="s">
        <v>546</v>
      </c>
      <c r="G3627" s="174">
        <v>45576.460914351854</v>
      </c>
    </row>
    <row r="3628" spans="1:7">
      <c r="A3628">
        <v>3661</v>
      </c>
      <c r="B3628" t="s">
        <v>5133</v>
      </c>
      <c r="C3628" t="s">
        <v>5134</v>
      </c>
      <c r="E3628">
        <v>0.8</v>
      </c>
      <c r="F3628" t="s">
        <v>546</v>
      </c>
      <c r="G3628" s="174">
        <v>45576.460914351854</v>
      </c>
    </row>
    <row r="3629" spans="1:7">
      <c r="A3629">
        <v>3662</v>
      </c>
      <c r="B3629" t="s">
        <v>5133</v>
      </c>
      <c r="C3629" t="s">
        <v>5135</v>
      </c>
      <c r="E3629">
        <v>0.6</v>
      </c>
      <c r="F3629" t="s">
        <v>546</v>
      </c>
      <c r="G3629" s="174">
        <v>45576.460914351854</v>
      </c>
    </row>
    <row r="3630" spans="1:7">
      <c r="A3630">
        <v>3663</v>
      </c>
      <c r="B3630" t="s">
        <v>5136</v>
      </c>
      <c r="C3630" t="s">
        <v>5137</v>
      </c>
      <c r="E3630">
        <v>1</v>
      </c>
      <c r="F3630" t="s">
        <v>546</v>
      </c>
      <c r="G3630" s="174">
        <v>45576.460914351854</v>
      </c>
    </row>
    <row r="3631" spans="1:7">
      <c r="A3631">
        <v>3664</v>
      </c>
      <c r="B3631" t="s">
        <v>5136</v>
      </c>
      <c r="C3631" t="s">
        <v>5138</v>
      </c>
      <c r="E3631">
        <v>0.5</v>
      </c>
      <c r="F3631" t="s">
        <v>546</v>
      </c>
      <c r="G3631" s="174">
        <v>45576.460914351854</v>
      </c>
    </row>
    <row r="3632" spans="1:7">
      <c r="A3632">
        <v>3665</v>
      </c>
      <c r="B3632" t="s">
        <v>5139</v>
      </c>
      <c r="C3632" t="s">
        <v>5140</v>
      </c>
      <c r="E3632">
        <v>0.01</v>
      </c>
      <c r="F3632" t="s">
        <v>546</v>
      </c>
      <c r="G3632" s="174">
        <v>45576.460914351854</v>
      </c>
    </row>
    <row r="3633" spans="1:7">
      <c r="A3633">
        <v>3666</v>
      </c>
      <c r="B3633" t="s">
        <v>5141</v>
      </c>
      <c r="C3633" t="s">
        <v>3508</v>
      </c>
      <c r="E3633">
        <v>0.01</v>
      </c>
      <c r="F3633" t="s">
        <v>546</v>
      </c>
      <c r="G3633" s="174">
        <v>45576.460914351854</v>
      </c>
    </row>
    <row r="3634" spans="1:7">
      <c r="A3634">
        <v>3667</v>
      </c>
      <c r="B3634" t="s">
        <v>5142</v>
      </c>
      <c r="C3634" t="s">
        <v>2766</v>
      </c>
      <c r="E3634">
        <v>0.01</v>
      </c>
      <c r="F3634" t="s">
        <v>546</v>
      </c>
      <c r="G3634" s="174">
        <v>45576.460914351854</v>
      </c>
    </row>
    <row r="3635" spans="1:7">
      <c r="A3635">
        <v>3668</v>
      </c>
      <c r="B3635" t="s">
        <v>1479</v>
      </c>
      <c r="C3635" t="s">
        <v>5143</v>
      </c>
      <c r="E3635">
        <v>0.01</v>
      </c>
      <c r="F3635" t="s">
        <v>546</v>
      </c>
      <c r="G3635" s="174">
        <v>45576.460914351854</v>
      </c>
    </row>
    <row r="3636" spans="1:7">
      <c r="A3636">
        <v>3669</v>
      </c>
      <c r="B3636" t="s">
        <v>5144</v>
      </c>
      <c r="C3636" t="s">
        <v>5145</v>
      </c>
      <c r="E3636">
        <v>0.1</v>
      </c>
      <c r="F3636" t="s">
        <v>546</v>
      </c>
      <c r="G3636" s="174">
        <v>45576.460914351854</v>
      </c>
    </row>
    <row r="3637" spans="1:7">
      <c r="A3637">
        <v>3670</v>
      </c>
      <c r="B3637" t="s">
        <v>5146</v>
      </c>
      <c r="C3637" t="s">
        <v>2964</v>
      </c>
      <c r="E3637">
        <v>0.1</v>
      </c>
      <c r="F3637" t="s">
        <v>546</v>
      </c>
      <c r="G3637" s="174">
        <v>45576.460914351854</v>
      </c>
    </row>
    <row r="3638" spans="1:7">
      <c r="A3638">
        <v>3671</v>
      </c>
      <c r="B3638" t="s">
        <v>5146</v>
      </c>
      <c r="C3638" t="s">
        <v>3930</v>
      </c>
      <c r="E3638">
        <v>0.1</v>
      </c>
      <c r="F3638" t="s">
        <v>546</v>
      </c>
      <c r="G3638" s="174">
        <v>45576.460914351854</v>
      </c>
    </row>
    <row r="3639" spans="1:7">
      <c r="A3639">
        <v>3672</v>
      </c>
      <c r="B3639" t="s">
        <v>1481</v>
      </c>
      <c r="C3639" t="s">
        <v>5147</v>
      </c>
      <c r="E3639">
        <v>0.01</v>
      </c>
      <c r="F3639" t="s">
        <v>546</v>
      </c>
      <c r="G3639" s="174">
        <v>45576.460914351854</v>
      </c>
    </row>
    <row r="3640" spans="1:7">
      <c r="A3640">
        <v>3673</v>
      </c>
      <c r="B3640" t="s">
        <v>5148</v>
      </c>
      <c r="C3640" t="s">
        <v>4547</v>
      </c>
      <c r="E3640">
        <v>0.1</v>
      </c>
      <c r="F3640" t="s">
        <v>546</v>
      </c>
      <c r="G3640" s="174">
        <v>45576.460914351854</v>
      </c>
    </row>
    <row r="3641" spans="1:7">
      <c r="A3641">
        <v>3674</v>
      </c>
      <c r="B3641" t="s">
        <v>5149</v>
      </c>
      <c r="C3641" t="s">
        <v>3885</v>
      </c>
      <c r="E3641">
        <v>0.01</v>
      </c>
      <c r="F3641" t="s">
        <v>546</v>
      </c>
      <c r="G3641" s="174">
        <v>45576.460914351854</v>
      </c>
    </row>
    <row r="3642" spans="1:7">
      <c r="A3642">
        <v>3675</v>
      </c>
      <c r="B3642" t="s">
        <v>5150</v>
      </c>
      <c r="C3642" t="s">
        <v>5151</v>
      </c>
      <c r="E3642">
        <v>0.01</v>
      </c>
      <c r="F3642" t="s">
        <v>546</v>
      </c>
      <c r="G3642" s="174">
        <v>45576.460914351854</v>
      </c>
    </row>
    <row r="3643" spans="1:7">
      <c r="A3643">
        <v>3676</v>
      </c>
      <c r="B3643" t="s">
        <v>1484</v>
      </c>
      <c r="C3643" t="s">
        <v>5084</v>
      </c>
      <c r="E3643">
        <v>0.01</v>
      </c>
      <c r="F3643" t="s">
        <v>546</v>
      </c>
      <c r="G3643" s="174">
        <v>45576.460914351854</v>
      </c>
    </row>
    <row r="3644" spans="1:7">
      <c r="A3644">
        <v>3677</v>
      </c>
      <c r="B3644" t="s">
        <v>1484</v>
      </c>
      <c r="C3644" t="s">
        <v>3782</v>
      </c>
      <c r="E3644">
        <v>0.05</v>
      </c>
      <c r="F3644" t="s">
        <v>546</v>
      </c>
      <c r="G3644" s="174">
        <v>45576.460914351854</v>
      </c>
    </row>
    <row r="3645" spans="1:7">
      <c r="A3645">
        <v>3678</v>
      </c>
      <c r="B3645" t="s">
        <v>1486</v>
      </c>
      <c r="C3645" t="s">
        <v>5152</v>
      </c>
      <c r="E3645">
        <v>0.01</v>
      </c>
      <c r="F3645" t="s">
        <v>546</v>
      </c>
      <c r="G3645" s="174">
        <v>45576.460914351854</v>
      </c>
    </row>
    <row r="3646" spans="1:7">
      <c r="A3646">
        <v>3679</v>
      </c>
      <c r="B3646" t="s">
        <v>5153</v>
      </c>
      <c r="C3646" t="s">
        <v>3468</v>
      </c>
      <c r="E3646">
        <v>0.01</v>
      </c>
      <c r="F3646" t="s">
        <v>546</v>
      </c>
      <c r="G3646" s="174">
        <v>45576.460914351854</v>
      </c>
    </row>
    <row r="3647" spans="1:7">
      <c r="A3647">
        <v>3680</v>
      </c>
      <c r="B3647" t="s">
        <v>5154</v>
      </c>
      <c r="C3647" t="s">
        <v>3968</v>
      </c>
      <c r="E3647">
        <v>0.1</v>
      </c>
      <c r="F3647" t="s">
        <v>546</v>
      </c>
      <c r="G3647" s="174">
        <v>45576.460914351854</v>
      </c>
    </row>
    <row r="3648" spans="1:7">
      <c r="A3648">
        <v>3681</v>
      </c>
      <c r="B3648" t="s">
        <v>5155</v>
      </c>
      <c r="C3648" t="s">
        <v>5156</v>
      </c>
      <c r="E3648">
        <v>0.01</v>
      </c>
      <c r="F3648" t="s">
        <v>546</v>
      </c>
      <c r="G3648" s="174">
        <v>45576.460914351854</v>
      </c>
    </row>
    <row r="3649" spans="1:7">
      <c r="A3649">
        <v>3682</v>
      </c>
      <c r="B3649" t="s">
        <v>1488</v>
      </c>
      <c r="C3649" t="s">
        <v>5157</v>
      </c>
      <c r="E3649">
        <v>0.01</v>
      </c>
      <c r="F3649" t="s">
        <v>546</v>
      </c>
      <c r="G3649" s="174">
        <v>45576.460914351854</v>
      </c>
    </row>
    <row r="3650" spans="1:7">
      <c r="A3650">
        <v>3683</v>
      </c>
      <c r="B3650" t="s">
        <v>5158</v>
      </c>
      <c r="C3650" t="s">
        <v>5159</v>
      </c>
      <c r="E3650">
        <v>0.1</v>
      </c>
      <c r="F3650" t="s">
        <v>546</v>
      </c>
      <c r="G3650" s="174">
        <v>45576.460914351854</v>
      </c>
    </row>
    <row r="3651" spans="1:7">
      <c r="A3651">
        <v>3684</v>
      </c>
      <c r="B3651" t="s">
        <v>5158</v>
      </c>
      <c r="C3651" t="s">
        <v>3474</v>
      </c>
      <c r="E3651">
        <v>0.1</v>
      </c>
      <c r="F3651" t="s">
        <v>546</v>
      </c>
      <c r="G3651" s="174">
        <v>45576.460914351854</v>
      </c>
    </row>
    <row r="3652" spans="1:7">
      <c r="A3652">
        <v>3685</v>
      </c>
      <c r="B3652" t="s">
        <v>5160</v>
      </c>
      <c r="C3652" t="s">
        <v>3554</v>
      </c>
      <c r="E3652">
        <v>0.1</v>
      </c>
      <c r="F3652" t="s">
        <v>546</v>
      </c>
      <c r="G3652" s="174">
        <v>45576.460914351854</v>
      </c>
    </row>
    <row r="3653" spans="1:7">
      <c r="A3653">
        <v>3686</v>
      </c>
      <c r="B3653" t="s">
        <v>5161</v>
      </c>
      <c r="C3653" t="s">
        <v>4812</v>
      </c>
      <c r="E3653">
        <v>0.01</v>
      </c>
      <c r="F3653" t="s">
        <v>546</v>
      </c>
      <c r="G3653" s="174">
        <v>45576.460914351854</v>
      </c>
    </row>
    <row r="3654" spans="1:7">
      <c r="A3654">
        <v>3687</v>
      </c>
      <c r="B3654" t="s">
        <v>5161</v>
      </c>
      <c r="C3654" t="s">
        <v>5162</v>
      </c>
      <c r="E3654">
        <v>0.01</v>
      </c>
      <c r="F3654" t="s">
        <v>546</v>
      </c>
      <c r="G3654" s="174">
        <v>45576.460914351854</v>
      </c>
    </row>
    <row r="3655" spans="1:7">
      <c r="A3655">
        <v>3688</v>
      </c>
      <c r="B3655" t="s">
        <v>5161</v>
      </c>
      <c r="C3655" t="s">
        <v>715</v>
      </c>
      <c r="E3655">
        <v>0.01</v>
      </c>
      <c r="F3655" t="s">
        <v>546</v>
      </c>
      <c r="G3655" s="174">
        <v>45576.460914351854</v>
      </c>
    </row>
    <row r="3656" spans="1:7">
      <c r="A3656">
        <v>3689</v>
      </c>
      <c r="B3656" t="s">
        <v>5161</v>
      </c>
      <c r="C3656" t="s">
        <v>5163</v>
      </c>
      <c r="E3656">
        <v>0.01</v>
      </c>
      <c r="F3656" t="s">
        <v>546</v>
      </c>
      <c r="G3656" s="174">
        <v>45576.460914351854</v>
      </c>
    </row>
    <row r="3657" spans="1:7">
      <c r="A3657">
        <v>3690</v>
      </c>
      <c r="B3657" t="s">
        <v>1491</v>
      </c>
      <c r="C3657" t="s">
        <v>5164</v>
      </c>
      <c r="E3657">
        <v>0.01</v>
      </c>
      <c r="F3657" t="s">
        <v>546</v>
      </c>
      <c r="G3657" s="174">
        <v>45576.460914351854</v>
      </c>
    </row>
    <row r="3658" spans="1:7">
      <c r="A3658">
        <v>3691</v>
      </c>
      <c r="B3658" t="s">
        <v>5165</v>
      </c>
      <c r="C3658" t="s">
        <v>2952</v>
      </c>
      <c r="E3658">
        <v>0.01</v>
      </c>
      <c r="F3658" t="s">
        <v>546</v>
      </c>
      <c r="G3658" s="174">
        <v>45576.460914351854</v>
      </c>
    </row>
    <row r="3659" spans="1:7">
      <c r="A3659">
        <v>3692</v>
      </c>
      <c r="B3659" t="s">
        <v>5166</v>
      </c>
      <c r="C3659" t="s">
        <v>3143</v>
      </c>
      <c r="E3659">
        <v>0.01</v>
      </c>
      <c r="F3659" t="s">
        <v>546</v>
      </c>
      <c r="G3659" s="174">
        <v>45576.460914351854</v>
      </c>
    </row>
    <row r="3660" spans="1:7">
      <c r="A3660">
        <v>3693</v>
      </c>
      <c r="B3660" t="s">
        <v>5167</v>
      </c>
      <c r="C3660" t="s">
        <v>2880</v>
      </c>
      <c r="E3660">
        <v>0.01</v>
      </c>
      <c r="F3660" t="s">
        <v>546</v>
      </c>
      <c r="G3660" s="174">
        <v>45576.460914351854</v>
      </c>
    </row>
    <row r="3661" spans="1:7">
      <c r="A3661">
        <v>3694</v>
      </c>
      <c r="B3661" t="s">
        <v>5167</v>
      </c>
      <c r="C3661" t="s">
        <v>5168</v>
      </c>
      <c r="E3661">
        <v>0.01</v>
      </c>
      <c r="F3661" t="s">
        <v>546</v>
      </c>
      <c r="G3661" s="174">
        <v>45576.460914351854</v>
      </c>
    </row>
    <row r="3662" spans="1:7">
      <c r="A3662">
        <v>3695</v>
      </c>
      <c r="B3662" t="s">
        <v>1493</v>
      </c>
      <c r="C3662" t="s">
        <v>4448</v>
      </c>
      <c r="E3662">
        <v>0.01</v>
      </c>
      <c r="F3662" t="s">
        <v>546</v>
      </c>
      <c r="G3662" s="174">
        <v>45576.460914351854</v>
      </c>
    </row>
    <row r="3663" spans="1:7">
      <c r="A3663">
        <v>3696</v>
      </c>
      <c r="B3663" t="s">
        <v>5169</v>
      </c>
      <c r="C3663" t="s">
        <v>5170</v>
      </c>
      <c r="E3663">
        <v>0.01</v>
      </c>
      <c r="F3663" t="s">
        <v>546</v>
      </c>
      <c r="G3663" s="174">
        <v>45576.460914351854</v>
      </c>
    </row>
    <row r="3664" spans="1:7">
      <c r="A3664">
        <v>3697</v>
      </c>
      <c r="B3664" t="s">
        <v>5171</v>
      </c>
      <c r="C3664" t="s">
        <v>1299</v>
      </c>
      <c r="E3664">
        <v>0.01</v>
      </c>
      <c r="F3664" t="s">
        <v>546</v>
      </c>
      <c r="G3664" s="174">
        <v>45576.460914351854</v>
      </c>
    </row>
    <row r="3665" spans="1:7">
      <c r="A3665">
        <v>3698</v>
      </c>
      <c r="B3665" t="s">
        <v>5172</v>
      </c>
      <c r="C3665" t="s">
        <v>5173</v>
      </c>
      <c r="E3665">
        <v>0.1</v>
      </c>
      <c r="F3665" t="s">
        <v>546</v>
      </c>
      <c r="G3665" s="174">
        <v>45576.460914351854</v>
      </c>
    </row>
    <row r="3666" spans="1:7">
      <c r="A3666">
        <v>3699</v>
      </c>
      <c r="B3666" t="s">
        <v>5172</v>
      </c>
      <c r="C3666" t="s">
        <v>5174</v>
      </c>
      <c r="E3666">
        <v>0.01</v>
      </c>
      <c r="F3666" t="s">
        <v>546</v>
      </c>
      <c r="G3666" s="174">
        <v>45576.460914351854</v>
      </c>
    </row>
    <row r="3667" spans="1:7">
      <c r="A3667">
        <v>3700</v>
      </c>
      <c r="B3667" t="s">
        <v>5175</v>
      </c>
      <c r="C3667" t="s">
        <v>3029</v>
      </c>
      <c r="E3667">
        <v>0.1</v>
      </c>
      <c r="F3667" t="s">
        <v>546</v>
      </c>
      <c r="G3667" s="174">
        <v>45576.460914351854</v>
      </c>
    </row>
    <row r="3668" spans="1:7">
      <c r="A3668">
        <v>3701</v>
      </c>
      <c r="B3668" t="s">
        <v>5176</v>
      </c>
      <c r="C3668" t="s">
        <v>5177</v>
      </c>
      <c r="E3668">
        <v>0.01</v>
      </c>
      <c r="F3668" t="s">
        <v>546</v>
      </c>
      <c r="G3668" s="174">
        <v>45576.460914351854</v>
      </c>
    </row>
    <row r="3669" spans="1:7">
      <c r="A3669">
        <v>3702</v>
      </c>
      <c r="B3669" t="s">
        <v>5176</v>
      </c>
      <c r="C3669" t="s">
        <v>2769</v>
      </c>
      <c r="E3669">
        <v>0.01</v>
      </c>
      <c r="F3669" t="s">
        <v>546</v>
      </c>
      <c r="G3669" s="174">
        <v>45576.460914351854</v>
      </c>
    </row>
    <row r="3670" spans="1:7">
      <c r="A3670">
        <v>3703</v>
      </c>
      <c r="B3670" t="s">
        <v>1498</v>
      </c>
      <c r="C3670" t="s">
        <v>1296</v>
      </c>
      <c r="E3670">
        <v>0.6</v>
      </c>
      <c r="F3670" t="s">
        <v>546</v>
      </c>
      <c r="G3670" s="174">
        <v>45576.460914351854</v>
      </c>
    </row>
    <row r="3671" spans="1:7">
      <c r="A3671">
        <v>3704</v>
      </c>
      <c r="B3671" t="s">
        <v>5178</v>
      </c>
      <c r="C3671" t="s">
        <v>5179</v>
      </c>
      <c r="E3671">
        <v>0.1</v>
      </c>
      <c r="F3671" t="s">
        <v>546</v>
      </c>
      <c r="G3671" s="174">
        <v>45576.460914351854</v>
      </c>
    </row>
    <row r="3672" spans="1:7">
      <c r="A3672">
        <v>3705</v>
      </c>
      <c r="B3672" t="s">
        <v>5180</v>
      </c>
      <c r="C3672" t="s">
        <v>4524</v>
      </c>
      <c r="E3672">
        <v>0.01</v>
      </c>
      <c r="F3672" t="s">
        <v>546</v>
      </c>
      <c r="G3672" s="174">
        <v>45576.460914351854</v>
      </c>
    </row>
    <row r="3673" spans="1:7">
      <c r="A3673">
        <v>3706</v>
      </c>
      <c r="B3673" t="s">
        <v>5181</v>
      </c>
      <c r="C3673" t="s">
        <v>3227</v>
      </c>
      <c r="E3673">
        <v>0.01</v>
      </c>
      <c r="F3673" t="s">
        <v>546</v>
      </c>
      <c r="G3673" s="174">
        <v>45576.460914351854</v>
      </c>
    </row>
    <row r="3674" spans="1:7">
      <c r="A3674">
        <v>3707</v>
      </c>
      <c r="B3674" t="s">
        <v>5182</v>
      </c>
      <c r="C3674" t="s">
        <v>3335</v>
      </c>
      <c r="E3674">
        <v>0.01</v>
      </c>
      <c r="F3674" t="s">
        <v>546</v>
      </c>
      <c r="G3674" s="174">
        <v>45576.460914351854</v>
      </c>
    </row>
    <row r="3675" spans="1:7">
      <c r="A3675">
        <v>3708</v>
      </c>
      <c r="B3675" t="s">
        <v>5183</v>
      </c>
      <c r="C3675" t="s">
        <v>2769</v>
      </c>
      <c r="E3675">
        <v>0.01</v>
      </c>
      <c r="F3675" t="s">
        <v>546</v>
      </c>
      <c r="G3675" s="174">
        <v>45576.460914351854</v>
      </c>
    </row>
    <row r="3676" spans="1:7">
      <c r="A3676">
        <v>3709</v>
      </c>
      <c r="B3676" t="s">
        <v>1503</v>
      </c>
      <c r="C3676" t="s">
        <v>3018</v>
      </c>
      <c r="E3676">
        <v>0.01</v>
      </c>
      <c r="F3676" t="s">
        <v>546</v>
      </c>
      <c r="G3676" s="174">
        <v>45576.460914351854</v>
      </c>
    </row>
    <row r="3677" spans="1:7">
      <c r="A3677">
        <v>3710</v>
      </c>
      <c r="B3677" t="s">
        <v>1505</v>
      </c>
      <c r="C3677" t="s">
        <v>2962</v>
      </c>
      <c r="E3677">
        <v>0.01</v>
      </c>
      <c r="F3677" t="s">
        <v>546</v>
      </c>
      <c r="G3677" s="174">
        <v>45576.460914351854</v>
      </c>
    </row>
    <row r="3678" spans="1:7">
      <c r="A3678">
        <v>3711</v>
      </c>
      <c r="B3678" t="s">
        <v>1505</v>
      </c>
      <c r="C3678" t="s">
        <v>5184</v>
      </c>
      <c r="E3678">
        <v>0.01</v>
      </c>
      <c r="F3678" t="s">
        <v>546</v>
      </c>
      <c r="G3678" s="174">
        <v>45576.460914351854</v>
      </c>
    </row>
    <row r="3679" spans="1:7">
      <c r="A3679">
        <v>3712</v>
      </c>
      <c r="B3679" t="s">
        <v>5185</v>
      </c>
      <c r="C3679" t="s">
        <v>3524</v>
      </c>
      <c r="E3679">
        <v>0.01</v>
      </c>
      <c r="F3679" t="s">
        <v>546</v>
      </c>
      <c r="G3679" s="174">
        <v>45576.460914351854</v>
      </c>
    </row>
    <row r="3680" spans="1:7">
      <c r="A3680">
        <v>3713</v>
      </c>
      <c r="B3680" t="s">
        <v>5186</v>
      </c>
      <c r="C3680" t="s">
        <v>3903</v>
      </c>
      <c r="E3680">
        <v>0.01</v>
      </c>
      <c r="F3680" t="s">
        <v>546</v>
      </c>
      <c r="G3680" s="174">
        <v>45576.460914351854</v>
      </c>
    </row>
    <row r="3681" spans="1:7">
      <c r="A3681">
        <v>3714</v>
      </c>
      <c r="B3681" t="s">
        <v>5187</v>
      </c>
      <c r="C3681" t="s">
        <v>4526</v>
      </c>
      <c r="E3681">
        <v>0.1</v>
      </c>
      <c r="F3681" t="s">
        <v>546</v>
      </c>
      <c r="G3681" s="174">
        <v>45576.460914351854</v>
      </c>
    </row>
    <row r="3682" spans="1:7">
      <c r="A3682">
        <v>3715</v>
      </c>
      <c r="B3682" t="s">
        <v>5188</v>
      </c>
      <c r="C3682" t="s">
        <v>4703</v>
      </c>
      <c r="E3682">
        <v>0.01</v>
      </c>
      <c r="F3682" t="s">
        <v>546</v>
      </c>
      <c r="G3682" s="174">
        <v>45576.460914351854</v>
      </c>
    </row>
    <row r="3683" spans="1:7">
      <c r="A3683">
        <v>3717</v>
      </c>
      <c r="B3683" t="s">
        <v>5188</v>
      </c>
      <c r="C3683" t="s">
        <v>3560</v>
      </c>
      <c r="E3683">
        <v>0.1</v>
      </c>
      <c r="F3683" t="s">
        <v>546</v>
      </c>
      <c r="G3683" s="174">
        <v>45576.460914351854</v>
      </c>
    </row>
    <row r="3684" spans="1:7">
      <c r="A3684">
        <v>3718</v>
      </c>
      <c r="B3684" t="s">
        <v>5189</v>
      </c>
      <c r="C3684" t="s">
        <v>5190</v>
      </c>
      <c r="E3684">
        <v>0.01</v>
      </c>
      <c r="F3684" t="s">
        <v>546</v>
      </c>
      <c r="G3684" s="174">
        <v>45576.460914351854</v>
      </c>
    </row>
    <row r="3685" spans="1:7">
      <c r="A3685">
        <v>3719</v>
      </c>
      <c r="B3685" t="s">
        <v>5191</v>
      </c>
      <c r="C3685" t="s">
        <v>4329</v>
      </c>
      <c r="E3685">
        <v>0.01</v>
      </c>
      <c r="F3685" t="s">
        <v>546</v>
      </c>
      <c r="G3685" s="174">
        <v>45576.460914351854</v>
      </c>
    </row>
    <row r="3686" spans="1:7">
      <c r="A3686">
        <v>3720</v>
      </c>
      <c r="B3686" t="s">
        <v>5191</v>
      </c>
      <c r="C3686" t="s">
        <v>3885</v>
      </c>
      <c r="E3686">
        <v>0.01</v>
      </c>
      <c r="F3686" t="s">
        <v>546</v>
      </c>
      <c r="G3686" s="174">
        <v>45576.460914351854</v>
      </c>
    </row>
    <row r="3687" spans="1:7">
      <c r="A3687">
        <v>3721</v>
      </c>
      <c r="B3687" t="s">
        <v>5192</v>
      </c>
      <c r="C3687" t="s">
        <v>4555</v>
      </c>
      <c r="E3687">
        <v>0.01</v>
      </c>
      <c r="F3687" t="s">
        <v>546</v>
      </c>
      <c r="G3687" s="174">
        <v>45576.460914351854</v>
      </c>
    </row>
    <row r="3688" spans="1:7">
      <c r="A3688">
        <v>3722</v>
      </c>
      <c r="B3688" t="s">
        <v>5193</v>
      </c>
      <c r="C3688" t="s">
        <v>5194</v>
      </c>
      <c r="E3688">
        <v>0.1</v>
      </c>
      <c r="F3688" t="s">
        <v>546</v>
      </c>
      <c r="G3688" s="174">
        <v>45576.460914351854</v>
      </c>
    </row>
    <row r="3689" spans="1:7">
      <c r="A3689">
        <v>3723</v>
      </c>
      <c r="B3689" t="s">
        <v>5195</v>
      </c>
      <c r="C3689" t="s">
        <v>4463</v>
      </c>
      <c r="E3689">
        <v>0.01</v>
      </c>
      <c r="F3689" t="s">
        <v>546</v>
      </c>
      <c r="G3689" s="174">
        <v>45576.460914351854</v>
      </c>
    </row>
    <row r="3690" spans="1:7">
      <c r="A3690">
        <v>3724</v>
      </c>
      <c r="B3690" t="s">
        <v>5195</v>
      </c>
      <c r="C3690" t="s">
        <v>3734</v>
      </c>
      <c r="E3690">
        <v>0.8</v>
      </c>
      <c r="F3690" t="s">
        <v>546</v>
      </c>
      <c r="G3690" s="174">
        <v>45576.460914351854</v>
      </c>
    </row>
    <row r="3691" spans="1:7">
      <c r="A3691">
        <v>3725</v>
      </c>
      <c r="B3691" t="s">
        <v>5195</v>
      </c>
      <c r="C3691" t="s">
        <v>5196</v>
      </c>
      <c r="E3691">
        <v>0.6</v>
      </c>
      <c r="F3691" t="s">
        <v>546</v>
      </c>
      <c r="G3691" s="174">
        <v>45576.460914351854</v>
      </c>
    </row>
    <row r="3692" spans="1:7">
      <c r="A3692">
        <v>3726</v>
      </c>
      <c r="B3692" t="s">
        <v>1513</v>
      </c>
      <c r="C3692" t="s">
        <v>5197</v>
      </c>
      <c r="E3692">
        <v>0.01</v>
      </c>
      <c r="F3692" t="s">
        <v>546</v>
      </c>
      <c r="G3692" s="174">
        <v>45576.460914351854</v>
      </c>
    </row>
    <row r="3693" spans="1:7">
      <c r="A3693">
        <v>3727</v>
      </c>
      <c r="B3693" t="s">
        <v>5198</v>
      </c>
      <c r="C3693" t="s">
        <v>5199</v>
      </c>
      <c r="E3693">
        <v>0.01</v>
      </c>
      <c r="F3693" t="s">
        <v>546</v>
      </c>
      <c r="G3693" s="174">
        <v>45576.460914351854</v>
      </c>
    </row>
    <row r="3694" spans="1:7">
      <c r="A3694">
        <v>3728</v>
      </c>
      <c r="B3694" t="s">
        <v>5200</v>
      </c>
      <c r="C3694" t="s">
        <v>3889</v>
      </c>
      <c r="E3694">
        <v>0.01</v>
      </c>
      <c r="F3694" t="s">
        <v>546</v>
      </c>
      <c r="G3694" s="174">
        <v>45576.460914351854</v>
      </c>
    </row>
    <row r="3695" spans="1:7">
      <c r="A3695">
        <v>3729</v>
      </c>
      <c r="B3695" t="s">
        <v>5201</v>
      </c>
      <c r="C3695" t="s">
        <v>3889</v>
      </c>
      <c r="E3695">
        <v>0.01</v>
      </c>
      <c r="F3695" t="s">
        <v>546</v>
      </c>
      <c r="G3695" s="174">
        <v>45576.460914351854</v>
      </c>
    </row>
    <row r="3696" spans="1:7">
      <c r="A3696">
        <v>3730</v>
      </c>
      <c r="B3696" t="s">
        <v>5202</v>
      </c>
      <c r="C3696" t="s">
        <v>5203</v>
      </c>
      <c r="E3696">
        <v>0.01</v>
      </c>
      <c r="F3696" t="s">
        <v>546</v>
      </c>
      <c r="G3696" s="174">
        <v>45576.460914351854</v>
      </c>
    </row>
    <row r="3697" spans="1:7">
      <c r="A3697">
        <v>3731</v>
      </c>
      <c r="B3697" t="s">
        <v>5204</v>
      </c>
      <c r="C3697" t="s">
        <v>5205</v>
      </c>
      <c r="E3697">
        <v>0.01</v>
      </c>
      <c r="F3697" t="s">
        <v>546</v>
      </c>
      <c r="G3697" s="174">
        <v>45576.460914351854</v>
      </c>
    </row>
    <row r="3698" spans="1:7">
      <c r="A3698">
        <v>3732</v>
      </c>
      <c r="B3698" t="s">
        <v>5204</v>
      </c>
      <c r="C3698" t="s">
        <v>3848</v>
      </c>
      <c r="E3698">
        <v>0.01</v>
      </c>
      <c r="F3698" t="s">
        <v>546</v>
      </c>
      <c r="G3698" s="174">
        <v>45576.460914351854</v>
      </c>
    </row>
    <row r="3699" spans="1:7">
      <c r="A3699">
        <v>3733</v>
      </c>
      <c r="B3699" t="s">
        <v>5206</v>
      </c>
      <c r="C3699" t="s">
        <v>5207</v>
      </c>
      <c r="E3699">
        <v>0.01</v>
      </c>
      <c r="F3699" t="s">
        <v>546</v>
      </c>
      <c r="G3699" s="174">
        <v>45576.460914351854</v>
      </c>
    </row>
    <row r="3700" spans="1:7">
      <c r="A3700">
        <v>3734</v>
      </c>
      <c r="B3700" t="s">
        <v>5208</v>
      </c>
      <c r="C3700" t="s">
        <v>3265</v>
      </c>
      <c r="E3700">
        <v>0.8</v>
      </c>
      <c r="F3700" t="s">
        <v>546</v>
      </c>
      <c r="G3700" s="174">
        <v>45576.460914351854</v>
      </c>
    </row>
    <row r="3701" spans="1:7">
      <c r="A3701">
        <v>3735</v>
      </c>
      <c r="B3701" t="s">
        <v>5209</v>
      </c>
      <c r="C3701" t="s">
        <v>3207</v>
      </c>
      <c r="E3701">
        <v>0.01</v>
      </c>
      <c r="F3701" t="s">
        <v>546</v>
      </c>
      <c r="G3701" s="174">
        <v>45576.460914351854</v>
      </c>
    </row>
    <row r="3702" spans="1:7">
      <c r="A3702">
        <v>3736</v>
      </c>
      <c r="B3702" t="s">
        <v>5209</v>
      </c>
      <c r="C3702" t="s">
        <v>3887</v>
      </c>
      <c r="E3702">
        <v>0.01</v>
      </c>
      <c r="F3702" t="s">
        <v>546</v>
      </c>
      <c r="G3702" s="174">
        <v>45576.460914351854</v>
      </c>
    </row>
    <row r="3703" spans="1:7">
      <c r="A3703">
        <v>3737</v>
      </c>
      <c r="B3703" t="s">
        <v>5210</v>
      </c>
      <c r="C3703" t="s">
        <v>4766</v>
      </c>
      <c r="E3703">
        <v>0.01</v>
      </c>
      <c r="F3703" t="s">
        <v>546</v>
      </c>
      <c r="G3703" s="174">
        <v>45576.460914351854</v>
      </c>
    </row>
    <row r="3704" spans="1:7">
      <c r="A3704">
        <v>3738</v>
      </c>
      <c r="B3704" t="s">
        <v>5211</v>
      </c>
      <c r="C3704" t="s">
        <v>3889</v>
      </c>
      <c r="E3704">
        <v>0.01</v>
      </c>
      <c r="F3704" t="s">
        <v>546</v>
      </c>
      <c r="G3704" s="174">
        <v>45576.460914351854</v>
      </c>
    </row>
    <row r="3705" spans="1:7">
      <c r="A3705">
        <v>3739</v>
      </c>
      <c r="B3705" t="s">
        <v>5212</v>
      </c>
      <c r="C3705" t="s">
        <v>3035</v>
      </c>
      <c r="E3705">
        <v>0.01</v>
      </c>
      <c r="F3705" t="s">
        <v>546</v>
      </c>
      <c r="G3705" s="174">
        <v>45576.460914351854</v>
      </c>
    </row>
    <row r="3706" spans="1:7">
      <c r="A3706">
        <v>3740</v>
      </c>
      <c r="B3706" t="s">
        <v>5213</v>
      </c>
      <c r="C3706" t="s">
        <v>5190</v>
      </c>
      <c r="E3706">
        <v>0.01</v>
      </c>
      <c r="F3706" t="s">
        <v>546</v>
      </c>
      <c r="G3706" s="174">
        <v>45576.460914351854</v>
      </c>
    </row>
    <row r="3707" spans="1:7">
      <c r="A3707">
        <v>3741</v>
      </c>
      <c r="B3707" t="s">
        <v>5214</v>
      </c>
      <c r="C3707" t="s">
        <v>5215</v>
      </c>
      <c r="E3707">
        <v>0.01</v>
      </c>
      <c r="F3707" t="s">
        <v>546</v>
      </c>
      <c r="G3707" s="174">
        <v>45576.460914351854</v>
      </c>
    </row>
    <row r="3708" spans="1:7">
      <c r="A3708">
        <v>3742</v>
      </c>
      <c r="B3708" t="s">
        <v>5214</v>
      </c>
      <c r="C3708" t="s">
        <v>4601</v>
      </c>
      <c r="E3708">
        <v>0.01</v>
      </c>
      <c r="F3708" t="s">
        <v>546</v>
      </c>
      <c r="G3708" s="174">
        <v>45576.460914351854</v>
      </c>
    </row>
    <row r="3709" spans="1:7">
      <c r="A3709">
        <v>3743</v>
      </c>
      <c r="B3709" t="s">
        <v>5216</v>
      </c>
      <c r="C3709" t="s">
        <v>2766</v>
      </c>
      <c r="E3709">
        <v>0.1</v>
      </c>
      <c r="F3709" t="s">
        <v>546</v>
      </c>
      <c r="G3709" s="174">
        <v>45576.460914351854</v>
      </c>
    </row>
    <row r="3710" spans="1:7">
      <c r="A3710">
        <v>3744</v>
      </c>
      <c r="B3710" t="s">
        <v>5217</v>
      </c>
      <c r="C3710" t="s">
        <v>5218</v>
      </c>
      <c r="E3710">
        <v>0.01</v>
      </c>
      <c r="F3710" t="s">
        <v>546</v>
      </c>
      <c r="G3710" s="174">
        <v>45576.460914351854</v>
      </c>
    </row>
    <row r="3711" spans="1:7">
      <c r="A3711">
        <v>3745</v>
      </c>
      <c r="B3711" t="s">
        <v>5219</v>
      </c>
      <c r="C3711" t="s">
        <v>3989</v>
      </c>
      <c r="E3711">
        <v>0.01</v>
      </c>
      <c r="F3711" t="s">
        <v>546</v>
      </c>
      <c r="G3711" s="174">
        <v>45576.460914351854</v>
      </c>
    </row>
    <row r="3712" spans="1:7">
      <c r="A3712">
        <v>3746</v>
      </c>
      <c r="B3712" t="s">
        <v>5220</v>
      </c>
      <c r="C3712" t="s">
        <v>3269</v>
      </c>
      <c r="E3712">
        <v>0.05</v>
      </c>
      <c r="F3712" t="s">
        <v>546</v>
      </c>
      <c r="G3712" s="174">
        <v>45576.460914351854</v>
      </c>
    </row>
    <row r="3713" spans="1:7">
      <c r="A3713">
        <v>3747</v>
      </c>
      <c r="B3713" t="s">
        <v>5220</v>
      </c>
      <c r="C3713" t="s">
        <v>4258</v>
      </c>
      <c r="E3713">
        <v>0.01</v>
      </c>
      <c r="F3713" t="s">
        <v>546</v>
      </c>
      <c r="G3713" s="174">
        <v>45576.460914351854</v>
      </c>
    </row>
    <row r="3714" spans="1:7">
      <c r="A3714">
        <v>3748</v>
      </c>
      <c r="B3714" t="s">
        <v>5221</v>
      </c>
      <c r="C3714" t="s">
        <v>4212</v>
      </c>
      <c r="E3714">
        <v>0.1</v>
      </c>
      <c r="F3714" t="s">
        <v>546</v>
      </c>
      <c r="G3714" s="174">
        <v>45576.460914351854</v>
      </c>
    </row>
    <row r="3715" spans="1:7">
      <c r="A3715">
        <v>3749</v>
      </c>
      <c r="B3715" t="s">
        <v>5222</v>
      </c>
      <c r="C3715" t="s">
        <v>5115</v>
      </c>
      <c r="E3715">
        <v>0.01</v>
      </c>
      <c r="F3715" t="s">
        <v>546</v>
      </c>
      <c r="G3715" s="174">
        <v>45576.460914351854</v>
      </c>
    </row>
    <row r="3716" spans="1:7">
      <c r="A3716">
        <v>3750</v>
      </c>
      <c r="B3716" t="s">
        <v>5223</v>
      </c>
      <c r="C3716" t="s">
        <v>3781</v>
      </c>
      <c r="E3716">
        <v>0.01</v>
      </c>
      <c r="F3716" t="s">
        <v>546</v>
      </c>
      <c r="G3716" s="174">
        <v>45576.460914351854</v>
      </c>
    </row>
    <row r="3717" spans="1:7">
      <c r="A3717">
        <v>3751</v>
      </c>
      <c r="B3717" t="s">
        <v>5224</v>
      </c>
      <c r="C3717" t="s">
        <v>4146</v>
      </c>
      <c r="E3717">
        <v>0.01</v>
      </c>
      <c r="F3717" t="s">
        <v>546</v>
      </c>
      <c r="G3717" s="174">
        <v>45576.460914351854</v>
      </c>
    </row>
    <row r="3718" spans="1:7">
      <c r="A3718">
        <v>3752</v>
      </c>
      <c r="B3718" t="s">
        <v>5224</v>
      </c>
      <c r="C3718" t="s">
        <v>3901</v>
      </c>
      <c r="E3718">
        <v>0.01</v>
      </c>
      <c r="F3718" t="s">
        <v>546</v>
      </c>
      <c r="G3718" s="174">
        <v>45576.460914351854</v>
      </c>
    </row>
    <row r="3719" spans="1:7">
      <c r="A3719">
        <v>3753</v>
      </c>
      <c r="B3719" t="s">
        <v>5225</v>
      </c>
      <c r="C3719" t="s">
        <v>4091</v>
      </c>
      <c r="E3719">
        <v>0.01</v>
      </c>
      <c r="F3719" t="s">
        <v>546</v>
      </c>
      <c r="G3719" s="174">
        <v>45576.460914351854</v>
      </c>
    </row>
    <row r="3720" spans="1:7">
      <c r="A3720">
        <v>3754</v>
      </c>
      <c r="B3720" t="s">
        <v>5226</v>
      </c>
      <c r="C3720" t="s">
        <v>5227</v>
      </c>
      <c r="E3720">
        <v>0.01</v>
      </c>
      <c r="F3720" t="s">
        <v>546</v>
      </c>
      <c r="G3720" s="174">
        <v>45576.460914351854</v>
      </c>
    </row>
    <row r="3721" spans="1:7">
      <c r="A3721">
        <v>3755</v>
      </c>
      <c r="B3721" t="s">
        <v>5228</v>
      </c>
      <c r="C3721" t="s">
        <v>5229</v>
      </c>
      <c r="E3721">
        <v>0.01</v>
      </c>
      <c r="F3721" t="s">
        <v>546</v>
      </c>
      <c r="G3721" s="174">
        <v>45576.460914351854</v>
      </c>
    </row>
    <row r="3722" spans="1:7">
      <c r="A3722">
        <v>3756</v>
      </c>
      <c r="B3722" t="s">
        <v>5230</v>
      </c>
      <c r="C3722" t="s">
        <v>3982</v>
      </c>
      <c r="E3722">
        <v>0.01</v>
      </c>
      <c r="F3722" t="s">
        <v>546</v>
      </c>
      <c r="G3722" s="174">
        <v>45576.460914351854</v>
      </c>
    </row>
    <row r="3723" spans="1:7">
      <c r="A3723">
        <v>3757</v>
      </c>
      <c r="B3723" t="s">
        <v>5231</v>
      </c>
      <c r="C3723" t="s">
        <v>2911</v>
      </c>
      <c r="E3723">
        <v>0.1</v>
      </c>
      <c r="F3723" t="s">
        <v>546</v>
      </c>
      <c r="G3723" s="174">
        <v>45576.460914351854</v>
      </c>
    </row>
    <row r="3724" spans="1:7">
      <c r="A3724">
        <v>3758</v>
      </c>
      <c r="B3724" t="s">
        <v>5232</v>
      </c>
      <c r="C3724" t="s">
        <v>5233</v>
      </c>
      <c r="E3724">
        <v>0.01</v>
      </c>
      <c r="F3724" t="s">
        <v>546</v>
      </c>
      <c r="G3724" s="174">
        <v>45576.460914351854</v>
      </c>
    </row>
    <row r="3725" spans="1:7">
      <c r="A3725">
        <v>3759</v>
      </c>
      <c r="B3725" t="s">
        <v>5234</v>
      </c>
      <c r="C3725" t="s">
        <v>5235</v>
      </c>
      <c r="E3725">
        <v>0.01</v>
      </c>
      <c r="F3725" t="s">
        <v>546</v>
      </c>
      <c r="G3725" s="174">
        <v>45576.460914351854</v>
      </c>
    </row>
    <row r="3726" spans="1:7">
      <c r="A3726">
        <v>3760</v>
      </c>
      <c r="B3726" t="s">
        <v>5234</v>
      </c>
      <c r="C3726" t="s">
        <v>3003</v>
      </c>
      <c r="E3726">
        <v>0.01</v>
      </c>
      <c r="F3726" t="s">
        <v>546</v>
      </c>
      <c r="G3726" s="174">
        <v>45576.460914351854</v>
      </c>
    </row>
    <row r="3727" spans="1:7">
      <c r="A3727">
        <v>3761</v>
      </c>
      <c r="B3727" t="s">
        <v>5236</v>
      </c>
      <c r="C3727" t="s">
        <v>3720</v>
      </c>
      <c r="E3727">
        <v>0.01</v>
      </c>
      <c r="F3727" t="s">
        <v>546</v>
      </c>
      <c r="G3727" s="174">
        <v>45576.460914351854</v>
      </c>
    </row>
    <row r="3728" spans="1:7">
      <c r="A3728">
        <v>3762</v>
      </c>
      <c r="B3728" t="s">
        <v>5236</v>
      </c>
      <c r="C3728" t="s">
        <v>5237</v>
      </c>
      <c r="E3728">
        <v>0.1</v>
      </c>
      <c r="F3728" t="s">
        <v>546</v>
      </c>
      <c r="G3728" s="174">
        <v>45576.460914351854</v>
      </c>
    </row>
    <row r="3729" spans="1:7">
      <c r="A3729">
        <v>3763</v>
      </c>
      <c r="B3729" t="s">
        <v>5236</v>
      </c>
      <c r="C3729" t="s">
        <v>5238</v>
      </c>
      <c r="E3729">
        <v>0.1</v>
      </c>
      <c r="F3729" t="s">
        <v>546</v>
      </c>
      <c r="G3729" s="174">
        <v>45576.460914351854</v>
      </c>
    </row>
    <row r="3730" spans="1:7">
      <c r="A3730">
        <v>3764</v>
      </c>
      <c r="B3730" t="s">
        <v>5236</v>
      </c>
      <c r="C3730" t="s">
        <v>3773</v>
      </c>
      <c r="E3730">
        <v>0.01</v>
      </c>
      <c r="F3730" t="s">
        <v>546</v>
      </c>
      <c r="G3730" s="174">
        <v>45576.460914351854</v>
      </c>
    </row>
    <row r="3731" spans="1:7">
      <c r="A3731">
        <v>3765</v>
      </c>
      <c r="B3731" t="s">
        <v>5239</v>
      </c>
      <c r="C3731" t="s">
        <v>5240</v>
      </c>
      <c r="E3731">
        <v>0.01</v>
      </c>
      <c r="F3731" t="s">
        <v>546</v>
      </c>
      <c r="G3731" s="174">
        <v>45576.460914351854</v>
      </c>
    </row>
    <row r="3732" spans="1:7">
      <c r="A3732">
        <v>3766</v>
      </c>
      <c r="B3732" t="s">
        <v>5239</v>
      </c>
      <c r="C3732" t="s">
        <v>5241</v>
      </c>
      <c r="E3732">
        <v>0.01</v>
      </c>
      <c r="F3732" t="s">
        <v>546</v>
      </c>
      <c r="G3732" s="174">
        <v>45576.460914351854</v>
      </c>
    </row>
    <row r="3733" spans="1:7">
      <c r="A3733">
        <v>3767</v>
      </c>
      <c r="B3733" t="s">
        <v>5242</v>
      </c>
      <c r="C3733" t="s">
        <v>4458</v>
      </c>
      <c r="E3733">
        <v>0.8</v>
      </c>
      <c r="F3733" t="s">
        <v>546</v>
      </c>
      <c r="G3733" s="174">
        <v>45576.460914351854</v>
      </c>
    </row>
    <row r="3734" spans="1:7">
      <c r="A3734">
        <v>3768</v>
      </c>
      <c r="B3734" t="s">
        <v>5243</v>
      </c>
      <c r="C3734" t="s">
        <v>5244</v>
      </c>
      <c r="E3734">
        <v>0.01</v>
      </c>
      <c r="F3734" t="s">
        <v>546</v>
      </c>
      <c r="G3734" s="174">
        <v>45576.460914351854</v>
      </c>
    </row>
    <row r="3735" spans="1:7">
      <c r="A3735">
        <v>3769</v>
      </c>
      <c r="B3735" t="s">
        <v>1525</v>
      </c>
      <c r="C3735" t="s">
        <v>3974</v>
      </c>
      <c r="E3735">
        <v>0.01</v>
      </c>
      <c r="F3735" t="s">
        <v>546</v>
      </c>
      <c r="G3735" s="174">
        <v>45576.460914351854</v>
      </c>
    </row>
    <row r="3736" spans="1:7">
      <c r="A3736">
        <v>3770</v>
      </c>
      <c r="B3736" t="s">
        <v>5245</v>
      </c>
      <c r="C3736" t="s">
        <v>3069</v>
      </c>
      <c r="E3736">
        <v>0.01</v>
      </c>
      <c r="F3736" t="s">
        <v>546</v>
      </c>
      <c r="G3736" s="174">
        <v>45576.460914351854</v>
      </c>
    </row>
    <row r="3737" spans="1:7">
      <c r="A3737">
        <v>3771</v>
      </c>
      <c r="B3737" t="s">
        <v>5246</v>
      </c>
      <c r="C3737" t="s">
        <v>5247</v>
      </c>
      <c r="E3737">
        <v>0.5</v>
      </c>
      <c r="F3737" t="s">
        <v>546</v>
      </c>
      <c r="G3737" s="174">
        <v>45576.460914351854</v>
      </c>
    </row>
    <row r="3738" spans="1:7">
      <c r="A3738">
        <v>3772</v>
      </c>
      <c r="B3738" t="s">
        <v>5246</v>
      </c>
      <c r="C3738" t="s">
        <v>5248</v>
      </c>
      <c r="E3738">
        <v>0.6</v>
      </c>
      <c r="F3738" t="s">
        <v>5249</v>
      </c>
      <c r="G3738" s="174">
        <v>45576.460914351854</v>
      </c>
    </row>
    <row r="3739" spans="1:7">
      <c r="A3739">
        <v>3773</v>
      </c>
      <c r="B3739" t="s">
        <v>5246</v>
      </c>
      <c r="C3739" t="s">
        <v>5250</v>
      </c>
      <c r="E3739">
        <v>0.8</v>
      </c>
      <c r="F3739" t="s">
        <v>5251</v>
      </c>
      <c r="G3739" s="174">
        <v>45576.460914351854</v>
      </c>
    </row>
    <row r="3740" spans="1:7">
      <c r="A3740">
        <v>3774</v>
      </c>
      <c r="B3740" t="s">
        <v>5246</v>
      </c>
      <c r="C3740" t="s">
        <v>5252</v>
      </c>
      <c r="E3740">
        <v>0.7</v>
      </c>
      <c r="F3740" t="s">
        <v>5253</v>
      </c>
      <c r="G3740" s="174">
        <v>45576.460914351854</v>
      </c>
    </row>
    <row r="3741" spans="1:7">
      <c r="A3741">
        <v>3775</v>
      </c>
      <c r="B3741" t="s">
        <v>5254</v>
      </c>
      <c r="C3741" t="s">
        <v>5255</v>
      </c>
      <c r="E3741">
        <v>0.1</v>
      </c>
      <c r="F3741" t="s">
        <v>546</v>
      </c>
      <c r="G3741" s="174">
        <v>45576.460914351854</v>
      </c>
    </row>
    <row r="3742" spans="1:7">
      <c r="A3742">
        <v>3776</v>
      </c>
      <c r="B3742" t="s">
        <v>5256</v>
      </c>
      <c r="C3742" t="s">
        <v>5257</v>
      </c>
      <c r="E3742">
        <v>0.01</v>
      </c>
      <c r="F3742" t="s">
        <v>546</v>
      </c>
      <c r="G3742" s="174">
        <v>45576.460914351854</v>
      </c>
    </row>
    <row r="3743" spans="1:7">
      <c r="A3743">
        <v>3777</v>
      </c>
      <c r="B3743" t="s">
        <v>5258</v>
      </c>
      <c r="C3743" t="s">
        <v>4834</v>
      </c>
      <c r="E3743">
        <v>0.01</v>
      </c>
      <c r="F3743" t="s">
        <v>546</v>
      </c>
      <c r="G3743" s="174">
        <v>45576.460914351854</v>
      </c>
    </row>
    <row r="3744" spans="1:7">
      <c r="A3744">
        <v>3778</v>
      </c>
      <c r="B3744" t="s">
        <v>5259</v>
      </c>
      <c r="C3744" t="s">
        <v>4267</v>
      </c>
      <c r="E3744">
        <v>0.01</v>
      </c>
      <c r="F3744" t="s">
        <v>546</v>
      </c>
      <c r="G3744" s="174">
        <v>45576.460914351854</v>
      </c>
    </row>
    <row r="3745" spans="1:7">
      <c r="A3745">
        <v>3779</v>
      </c>
      <c r="B3745" t="s">
        <v>5260</v>
      </c>
      <c r="C3745" t="s">
        <v>5261</v>
      </c>
      <c r="E3745">
        <v>0.01</v>
      </c>
      <c r="F3745" t="s">
        <v>546</v>
      </c>
      <c r="G3745" s="174">
        <v>45576.460914351854</v>
      </c>
    </row>
    <row r="3746" spans="1:7">
      <c r="A3746">
        <v>3780</v>
      </c>
      <c r="B3746" t="s">
        <v>5262</v>
      </c>
      <c r="C3746" t="s">
        <v>3937</v>
      </c>
      <c r="E3746">
        <v>0.01</v>
      </c>
      <c r="F3746" t="s">
        <v>546</v>
      </c>
      <c r="G3746" s="174">
        <v>45576.460914351854</v>
      </c>
    </row>
    <row r="3747" spans="1:7">
      <c r="A3747">
        <v>3781</v>
      </c>
      <c r="B3747" t="s">
        <v>5263</v>
      </c>
      <c r="C3747" t="s">
        <v>3542</v>
      </c>
      <c r="E3747">
        <v>0.01</v>
      </c>
      <c r="F3747" t="s">
        <v>546</v>
      </c>
      <c r="G3747" s="174">
        <v>45576.460914351854</v>
      </c>
    </row>
    <row r="3748" spans="1:7">
      <c r="A3748">
        <v>3782</v>
      </c>
      <c r="B3748" t="s">
        <v>1529</v>
      </c>
      <c r="C3748" t="s">
        <v>2846</v>
      </c>
      <c r="E3748">
        <v>0.01</v>
      </c>
      <c r="F3748" t="s">
        <v>546</v>
      </c>
      <c r="G3748" s="174">
        <v>45576.460914351854</v>
      </c>
    </row>
    <row r="3749" spans="1:7">
      <c r="A3749">
        <v>3783</v>
      </c>
      <c r="B3749" t="s">
        <v>5264</v>
      </c>
      <c r="C3749" t="s">
        <v>3848</v>
      </c>
      <c r="E3749">
        <v>0.01</v>
      </c>
      <c r="F3749" t="s">
        <v>546</v>
      </c>
      <c r="G3749" s="174">
        <v>45576.460914351854</v>
      </c>
    </row>
    <row r="3750" spans="1:7">
      <c r="A3750">
        <v>3784</v>
      </c>
      <c r="B3750" t="s">
        <v>5265</v>
      </c>
      <c r="C3750" t="s">
        <v>4694</v>
      </c>
      <c r="E3750">
        <v>0.01</v>
      </c>
      <c r="F3750" t="s">
        <v>546</v>
      </c>
      <c r="G3750" s="174">
        <v>45576.460914351854</v>
      </c>
    </row>
    <row r="3751" spans="1:7">
      <c r="A3751">
        <v>3785</v>
      </c>
      <c r="B3751" t="s">
        <v>5266</v>
      </c>
      <c r="C3751" t="s">
        <v>3143</v>
      </c>
      <c r="E3751">
        <v>0.01</v>
      </c>
      <c r="F3751" t="s">
        <v>546</v>
      </c>
      <c r="G3751" s="174">
        <v>45576.460914351854</v>
      </c>
    </row>
    <row r="3752" spans="1:7">
      <c r="A3752">
        <v>3786</v>
      </c>
      <c r="B3752" t="s">
        <v>5266</v>
      </c>
      <c r="C3752" t="s">
        <v>4172</v>
      </c>
      <c r="E3752">
        <v>0.01</v>
      </c>
      <c r="F3752" t="s">
        <v>546</v>
      </c>
      <c r="G3752" s="174">
        <v>45576.460914351854</v>
      </c>
    </row>
    <row r="3753" spans="1:7">
      <c r="A3753">
        <v>3787</v>
      </c>
      <c r="B3753" t="s">
        <v>1530</v>
      </c>
      <c r="C3753" t="s">
        <v>3242</v>
      </c>
      <c r="E3753">
        <v>0.01</v>
      </c>
      <c r="F3753" t="s">
        <v>546</v>
      </c>
      <c r="G3753" s="174">
        <v>45576.460914351854</v>
      </c>
    </row>
    <row r="3754" spans="1:7">
      <c r="A3754">
        <v>3788</v>
      </c>
      <c r="B3754" t="s">
        <v>5267</v>
      </c>
      <c r="C3754" t="s">
        <v>4254</v>
      </c>
      <c r="E3754">
        <v>0.01</v>
      </c>
      <c r="F3754" t="s">
        <v>546</v>
      </c>
      <c r="G3754" s="174">
        <v>45576.460914351854</v>
      </c>
    </row>
    <row r="3755" spans="1:7">
      <c r="A3755">
        <v>3789</v>
      </c>
      <c r="B3755" t="s">
        <v>5267</v>
      </c>
      <c r="C3755" t="s">
        <v>5268</v>
      </c>
      <c r="E3755">
        <v>0.01</v>
      </c>
      <c r="F3755" t="s">
        <v>546</v>
      </c>
      <c r="G3755" s="174">
        <v>45576.460914351854</v>
      </c>
    </row>
    <row r="3756" spans="1:7">
      <c r="A3756">
        <v>3790</v>
      </c>
      <c r="B3756" t="s">
        <v>1533</v>
      </c>
      <c r="C3756" t="s">
        <v>3472</v>
      </c>
      <c r="E3756">
        <v>0.6</v>
      </c>
      <c r="F3756" t="s">
        <v>546</v>
      </c>
      <c r="G3756" s="174">
        <v>45576.460914351854</v>
      </c>
    </row>
    <row r="3757" spans="1:7">
      <c r="A3757">
        <v>3791</v>
      </c>
      <c r="B3757" t="s">
        <v>5269</v>
      </c>
      <c r="C3757" t="s">
        <v>4526</v>
      </c>
      <c r="E3757">
        <v>0.01</v>
      </c>
      <c r="F3757" t="s">
        <v>546</v>
      </c>
      <c r="G3757" s="174">
        <v>45576.460914351854</v>
      </c>
    </row>
    <row r="3758" spans="1:7">
      <c r="A3758">
        <v>3792</v>
      </c>
      <c r="B3758" t="s">
        <v>5270</v>
      </c>
      <c r="C3758" t="s">
        <v>3850</v>
      </c>
      <c r="E3758">
        <v>0.1</v>
      </c>
      <c r="F3758" t="s">
        <v>546</v>
      </c>
      <c r="G3758" s="174">
        <v>45576.460914351854</v>
      </c>
    </row>
    <row r="3759" spans="1:7">
      <c r="A3759">
        <v>3793</v>
      </c>
      <c r="B3759" t="s">
        <v>5271</v>
      </c>
      <c r="C3759" t="s">
        <v>4810</v>
      </c>
      <c r="E3759">
        <v>0.01</v>
      </c>
      <c r="F3759" t="s">
        <v>546</v>
      </c>
      <c r="G3759" s="174">
        <v>45576.460914351854</v>
      </c>
    </row>
    <row r="3760" spans="1:7">
      <c r="A3760">
        <v>3794</v>
      </c>
      <c r="B3760" t="s">
        <v>5272</v>
      </c>
      <c r="C3760" t="s">
        <v>3254</v>
      </c>
      <c r="E3760">
        <v>0.1</v>
      </c>
      <c r="F3760" t="s">
        <v>546</v>
      </c>
      <c r="G3760" s="174">
        <v>45576.460914351854</v>
      </c>
    </row>
    <row r="3761" spans="1:7">
      <c r="A3761">
        <v>3795</v>
      </c>
      <c r="B3761" t="s">
        <v>5272</v>
      </c>
      <c r="C3761" t="s">
        <v>5273</v>
      </c>
      <c r="E3761">
        <v>0.01</v>
      </c>
      <c r="F3761" t="s">
        <v>546</v>
      </c>
      <c r="G3761" s="174">
        <v>45576.460914351854</v>
      </c>
    </row>
    <row r="3762" spans="1:7">
      <c r="A3762">
        <v>3796</v>
      </c>
      <c r="B3762" t="s">
        <v>5274</v>
      </c>
      <c r="C3762" t="s">
        <v>3374</v>
      </c>
      <c r="E3762">
        <v>0.01</v>
      </c>
      <c r="F3762" t="s">
        <v>546</v>
      </c>
      <c r="G3762" s="174">
        <v>45576.460914351854</v>
      </c>
    </row>
    <row r="3763" spans="1:7">
      <c r="A3763">
        <v>3797</v>
      </c>
      <c r="B3763" t="s">
        <v>5275</v>
      </c>
      <c r="C3763" t="s">
        <v>5276</v>
      </c>
      <c r="E3763">
        <v>0.5</v>
      </c>
      <c r="F3763" t="s">
        <v>5277</v>
      </c>
      <c r="G3763" s="174">
        <v>45576.460914351854</v>
      </c>
    </row>
    <row r="3764" spans="1:7">
      <c r="A3764">
        <v>3798</v>
      </c>
      <c r="B3764" t="s">
        <v>5275</v>
      </c>
      <c r="C3764" t="s">
        <v>5278</v>
      </c>
      <c r="E3764">
        <v>0.6</v>
      </c>
      <c r="F3764" t="s">
        <v>5279</v>
      </c>
      <c r="G3764" s="174">
        <v>45576.460914351854</v>
      </c>
    </row>
    <row r="3765" spans="1:7">
      <c r="A3765">
        <v>3799</v>
      </c>
      <c r="B3765" t="s">
        <v>5275</v>
      </c>
      <c r="C3765" t="s">
        <v>2866</v>
      </c>
      <c r="E3765">
        <v>0.8</v>
      </c>
      <c r="F3765" t="s">
        <v>546</v>
      </c>
      <c r="G3765" s="174">
        <v>45576.460914351854</v>
      </c>
    </row>
    <row r="3766" spans="1:7">
      <c r="A3766">
        <v>3800</v>
      </c>
      <c r="B3766" t="s">
        <v>5280</v>
      </c>
      <c r="C3766" t="s">
        <v>5281</v>
      </c>
      <c r="E3766">
        <v>0.01</v>
      </c>
      <c r="F3766" t="s">
        <v>546</v>
      </c>
      <c r="G3766" s="174">
        <v>45576.460914351854</v>
      </c>
    </row>
    <row r="3767" spans="1:7">
      <c r="A3767">
        <v>3801</v>
      </c>
      <c r="B3767" t="s">
        <v>5280</v>
      </c>
      <c r="C3767" t="s">
        <v>5282</v>
      </c>
      <c r="E3767">
        <v>0.1</v>
      </c>
      <c r="F3767" t="s">
        <v>546</v>
      </c>
      <c r="G3767" s="174">
        <v>45576.460914351854</v>
      </c>
    </row>
    <row r="3768" spans="1:7">
      <c r="A3768">
        <v>3802</v>
      </c>
      <c r="B3768" t="s">
        <v>5280</v>
      </c>
      <c r="C3768" t="s">
        <v>5283</v>
      </c>
      <c r="E3768">
        <v>0.01</v>
      </c>
      <c r="F3768" t="s">
        <v>546</v>
      </c>
      <c r="G3768" s="174">
        <v>45576.460914351854</v>
      </c>
    </row>
    <row r="3769" spans="1:7">
      <c r="A3769">
        <v>3803</v>
      </c>
      <c r="B3769" t="s">
        <v>5280</v>
      </c>
      <c r="C3769" t="s">
        <v>5284</v>
      </c>
      <c r="E3769">
        <v>0.06</v>
      </c>
      <c r="F3769" t="s">
        <v>546</v>
      </c>
      <c r="G3769" s="174">
        <v>45576.460914351854</v>
      </c>
    </row>
    <row r="3770" spans="1:7">
      <c r="A3770">
        <v>3804</v>
      </c>
      <c r="B3770" t="s">
        <v>5285</v>
      </c>
      <c r="C3770" t="s">
        <v>3521</v>
      </c>
      <c r="E3770">
        <v>0.01</v>
      </c>
      <c r="F3770" t="s">
        <v>546</v>
      </c>
      <c r="G3770" s="174">
        <v>45576.460914351854</v>
      </c>
    </row>
    <row r="3771" spans="1:7">
      <c r="A3771">
        <v>3805</v>
      </c>
      <c r="B3771" t="s">
        <v>5286</v>
      </c>
      <c r="C3771" t="s">
        <v>5287</v>
      </c>
      <c r="E3771">
        <v>0.01</v>
      </c>
      <c r="F3771" t="s">
        <v>546</v>
      </c>
      <c r="G3771" s="174">
        <v>45576.460914351854</v>
      </c>
    </row>
    <row r="3772" spans="1:7">
      <c r="A3772">
        <v>3806</v>
      </c>
      <c r="B3772" t="s">
        <v>5288</v>
      </c>
      <c r="C3772" t="s">
        <v>5289</v>
      </c>
      <c r="E3772">
        <v>0.01</v>
      </c>
      <c r="F3772" t="s">
        <v>546</v>
      </c>
      <c r="G3772" s="174">
        <v>45576.460914351854</v>
      </c>
    </row>
    <row r="3773" spans="1:7">
      <c r="A3773">
        <v>3807</v>
      </c>
      <c r="B3773" t="s">
        <v>5290</v>
      </c>
      <c r="C3773" t="s">
        <v>5291</v>
      </c>
      <c r="E3773">
        <v>0.6</v>
      </c>
      <c r="F3773" t="s">
        <v>546</v>
      </c>
      <c r="G3773" s="174">
        <v>45576.460914351854</v>
      </c>
    </row>
    <row r="3774" spans="1:7">
      <c r="A3774">
        <v>3808</v>
      </c>
      <c r="B3774" t="s">
        <v>5290</v>
      </c>
      <c r="C3774" t="s">
        <v>3392</v>
      </c>
      <c r="E3774">
        <v>0.8</v>
      </c>
      <c r="F3774" t="s">
        <v>546</v>
      </c>
      <c r="G3774" s="174">
        <v>45576.460914351854</v>
      </c>
    </row>
    <row r="3775" spans="1:7">
      <c r="A3775">
        <v>3809</v>
      </c>
      <c r="B3775" t="s">
        <v>5290</v>
      </c>
      <c r="C3775" t="s">
        <v>5292</v>
      </c>
      <c r="E3775">
        <v>0.01</v>
      </c>
      <c r="F3775" t="s">
        <v>546</v>
      </c>
      <c r="G3775" s="174">
        <v>45576.460914351854</v>
      </c>
    </row>
    <row r="3776" spans="1:7">
      <c r="A3776">
        <v>3810</v>
      </c>
      <c r="B3776" t="s">
        <v>5293</v>
      </c>
      <c r="C3776" t="s">
        <v>5294</v>
      </c>
      <c r="E3776">
        <v>0.1</v>
      </c>
      <c r="F3776" t="s">
        <v>546</v>
      </c>
      <c r="G3776" s="174">
        <v>45576.460914351854</v>
      </c>
    </row>
    <row r="3777" spans="1:7">
      <c r="A3777">
        <v>3811</v>
      </c>
      <c r="B3777" t="s">
        <v>5293</v>
      </c>
      <c r="C3777" t="s">
        <v>3366</v>
      </c>
      <c r="E3777">
        <v>0.05</v>
      </c>
      <c r="F3777" t="s">
        <v>546</v>
      </c>
      <c r="G3777" s="174">
        <v>45576.460914351854</v>
      </c>
    </row>
    <row r="3778" spans="1:7">
      <c r="A3778">
        <v>3812</v>
      </c>
      <c r="B3778" t="s">
        <v>5295</v>
      </c>
      <c r="C3778" t="s">
        <v>4312</v>
      </c>
      <c r="E3778">
        <v>0.6</v>
      </c>
      <c r="F3778" t="s">
        <v>546</v>
      </c>
      <c r="G3778" s="174">
        <v>45576.460914351854</v>
      </c>
    </row>
    <row r="3779" spans="1:7">
      <c r="A3779">
        <v>3813</v>
      </c>
      <c r="B3779" t="s">
        <v>5295</v>
      </c>
      <c r="C3779" t="s">
        <v>5296</v>
      </c>
      <c r="E3779">
        <v>0.01</v>
      </c>
      <c r="F3779" t="s">
        <v>546</v>
      </c>
      <c r="G3779" s="174">
        <v>45576.460914351854</v>
      </c>
    </row>
    <row r="3780" spans="1:7">
      <c r="A3780">
        <v>3814</v>
      </c>
      <c r="B3780" t="s">
        <v>5297</v>
      </c>
      <c r="C3780" t="s">
        <v>5298</v>
      </c>
      <c r="E3780">
        <v>0.01</v>
      </c>
      <c r="F3780" t="s">
        <v>546</v>
      </c>
      <c r="G3780" s="174">
        <v>45576.460914351854</v>
      </c>
    </row>
    <row r="3781" spans="1:7">
      <c r="A3781">
        <v>3815</v>
      </c>
      <c r="B3781" t="s">
        <v>5299</v>
      </c>
      <c r="C3781" t="s">
        <v>3090</v>
      </c>
      <c r="E3781">
        <v>0.01</v>
      </c>
      <c r="F3781" t="s">
        <v>546</v>
      </c>
      <c r="G3781" s="174">
        <v>45576.460914351854</v>
      </c>
    </row>
    <row r="3782" spans="1:7">
      <c r="A3782">
        <v>3816</v>
      </c>
      <c r="B3782" t="s">
        <v>5299</v>
      </c>
      <c r="C3782" t="s">
        <v>3333</v>
      </c>
      <c r="E3782">
        <v>0.8</v>
      </c>
      <c r="F3782" t="s">
        <v>546</v>
      </c>
      <c r="G3782" s="174">
        <v>45576.460914351854</v>
      </c>
    </row>
    <row r="3783" spans="1:7">
      <c r="A3783">
        <v>3817</v>
      </c>
      <c r="B3783" t="s">
        <v>5300</v>
      </c>
      <c r="C3783" t="s">
        <v>4395</v>
      </c>
      <c r="E3783">
        <v>0.01</v>
      </c>
      <c r="F3783" t="s">
        <v>546</v>
      </c>
      <c r="G3783" s="174">
        <v>45576.460914351854</v>
      </c>
    </row>
    <row r="3784" spans="1:7">
      <c r="A3784">
        <v>3818</v>
      </c>
      <c r="B3784" t="s">
        <v>5301</v>
      </c>
      <c r="C3784" t="s">
        <v>3157</v>
      </c>
      <c r="E3784">
        <v>0.01</v>
      </c>
      <c r="F3784" t="s">
        <v>546</v>
      </c>
      <c r="G3784" s="174">
        <v>45576.460914351854</v>
      </c>
    </row>
    <row r="3785" spans="1:7">
      <c r="A3785">
        <v>3819</v>
      </c>
      <c r="B3785" t="s">
        <v>5302</v>
      </c>
      <c r="C3785" t="s">
        <v>5303</v>
      </c>
      <c r="E3785">
        <v>0.01</v>
      </c>
      <c r="F3785" t="s">
        <v>546</v>
      </c>
      <c r="G3785" s="174">
        <v>45576.460914351854</v>
      </c>
    </row>
    <row r="3786" spans="1:7">
      <c r="A3786">
        <v>3820</v>
      </c>
      <c r="B3786" t="s">
        <v>5304</v>
      </c>
      <c r="C3786" t="s">
        <v>3711</v>
      </c>
      <c r="E3786">
        <v>0.01</v>
      </c>
      <c r="F3786" t="s">
        <v>546</v>
      </c>
      <c r="G3786" s="174">
        <v>45576.460914351854</v>
      </c>
    </row>
    <row r="3787" spans="1:7">
      <c r="A3787">
        <v>3821</v>
      </c>
      <c r="B3787" t="s">
        <v>5305</v>
      </c>
      <c r="C3787" t="s">
        <v>5306</v>
      </c>
      <c r="E3787">
        <v>0.01</v>
      </c>
      <c r="F3787" t="s">
        <v>546</v>
      </c>
      <c r="G3787" s="174">
        <v>45576.460914351854</v>
      </c>
    </row>
    <row r="3788" spans="1:7">
      <c r="A3788">
        <v>3822</v>
      </c>
      <c r="B3788" t="s">
        <v>5305</v>
      </c>
      <c r="C3788" t="s">
        <v>4397</v>
      </c>
      <c r="E3788">
        <v>0.01</v>
      </c>
      <c r="F3788" t="s">
        <v>546</v>
      </c>
      <c r="G3788" s="174">
        <v>45576.460914351854</v>
      </c>
    </row>
    <row r="3789" spans="1:7">
      <c r="A3789">
        <v>3823</v>
      </c>
      <c r="B3789" t="s">
        <v>5307</v>
      </c>
      <c r="C3789" t="s">
        <v>3958</v>
      </c>
      <c r="E3789">
        <v>0.01</v>
      </c>
      <c r="F3789" t="s">
        <v>546</v>
      </c>
      <c r="G3789" s="174">
        <v>45576.460914351854</v>
      </c>
    </row>
    <row r="3790" spans="1:7">
      <c r="A3790">
        <v>3824</v>
      </c>
      <c r="B3790" t="s">
        <v>5308</v>
      </c>
      <c r="C3790" t="s">
        <v>3254</v>
      </c>
      <c r="E3790">
        <v>0.01</v>
      </c>
      <c r="F3790" t="s">
        <v>546</v>
      </c>
      <c r="G3790" s="174">
        <v>45576.460914351854</v>
      </c>
    </row>
    <row r="3791" spans="1:7">
      <c r="A3791">
        <v>3825</v>
      </c>
      <c r="B3791" t="s">
        <v>1539</v>
      </c>
      <c r="C3791" t="s">
        <v>4312</v>
      </c>
      <c r="E3791">
        <v>0.1</v>
      </c>
      <c r="F3791" t="s">
        <v>546</v>
      </c>
      <c r="G3791" s="174">
        <v>45576.460914351854</v>
      </c>
    </row>
    <row r="3792" spans="1:7">
      <c r="A3792">
        <v>3826</v>
      </c>
      <c r="B3792" t="s">
        <v>5309</v>
      </c>
      <c r="C3792" t="s">
        <v>3779</v>
      </c>
      <c r="E3792">
        <v>0.01</v>
      </c>
      <c r="F3792" t="s">
        <v>546</v>
      </c>
      <c r="G3792" s="174">
        <v>45576.460914351854</v>
      </c>
    </row>
    <row r="3793" spans="1:7">
      <c r="A3793">
        <v>3827</v>
      </c>
      <c r="B3793" t="s">
        <v>5310</v>
      </c>
      <c r="C3793" t="s">
        <v>2955</v>
      </c>
      <c r="E3793">
        <v>0.01</v>
      </c>
      <c r="F3793" t="s">
        <v>546</v>
      </c>
      <c r="G3793" s="174">
        <v>45576.460914351854</v>
      </c>
    </row>
    <row r="3794" spans="1:7">
      <c r="A3794">
        <v>3828</v>
      </c>
      <c r="B3794" t="s">
        <v>5311</v>
      </c>
      <c r="C3794" t="s">
        <v>4417</v>
      </c>
      <c r="E3794">
        <v>0.01</v>
      </c>
      <c r="F3794" t="s">
        <v>546</v>
      </c>
      <c r="G3794" s="174">
        <v>45576.460914351854</v>
      </c>
    </row>
    <row r="3795" spans="1:7">
      <c r="A3795">
        <v>3829</v>
      </c>
      <c r="B3795" t="s">
        <v>5312</v>
      </c>
      <c r="C3795" t="s">
        <v>3129</v>
      </c>
      <c r="E3795">
        <v>0.01</v>
      </c>
      <c r="F3795" t="s">
        <v>546</v>
      </c>
      <c r="G3795" s="174">
        <v>45576.460914351854</v>
      </c>
    </row>
    <row r="3796" spans="1:7">
      <c r="A3796">
        <v>3830</v>
      </c>
      <c r="B3796" t="s">
        <v>5313</v>
      </c>
      <c r="C3796" t="s">
        <v>4201</v>
      </c>
      <c r="E3796">
        <v>0.01</v>
      </c>
      <c r="F3796" t="s">
        <v>546</v>
      </c>
      <c r="G3796" s="174">
        <v>45576.460914351854</v>
      </c>
    </row>
    <row r="3797" spans="1:7">
      <c r="A3797">
        <v>3831</v>
      </c>
      <c r="B3797" t="s">
        <v>5314</v>
      </c>
      <c r="C3797" t="s">
        <v>3567</v>
      </c>
      <c r="E3797">
        <v>0.01</v>
      </c>
      <c r="F3797" t="s">
        <v>546</v>
      </c>
      <c r="G3797" s="174">
        <v>45576.460914351854</v>
      </c>
    </row>
    <row r="3798" spans="1:7">
      <c r="A3798">
        <v>3832</v>
      </c>
      <c r="B3798" t="s">
        <v>5315</v>
      </c>
      <c r="C3798" t="s">
        <v>3333</v>
      </c>
      <c r="E3798">
        <v>0.05</v>
      </c>
      <c r="F3798" t="s">
        <v>546</v>
      </c>
      <c r="G3798" s="174">
        <v>45576.460914351854</v>
      </c>
    </row>
    <row r="3799" spans="1:7">
      <c r="A3799">
        <v>3833</v>
      </c>
      <c r="B3799" t="s">
        <v>5315</v>
      </c>
      <c r="C3799" t="s">
        <v>5316</v>
      </c>
      <c r="E3799">
        <v>0.01</v>
      </c>
      <c r="F3799" t="s">
        <v>546</v>
      </c>
      <c r="G3799" s="174">
        <v>45576.460914351854</v>
      </c>
    </row>
    <row r="3800" spans="1:7">
      <c r="A3800">
        <v>3834</v>
      </c>
      <c r="B3800" t="s">
        <v>5317</v>
      </c>
      <c r="C3800" t="s">
        <v>5318</v>
      </c>
      <c r="E3800">
        <v>0.01</v>
      </c>
      <c r="F3800" t="s">
        <v>546</v>
      </c>
      <c r="G3800" s="174">
        <v>45576.460914351854</v>
      </c>
    </row>
    <row r="3801" spans="1:7">
      <c r="A3801">
        <v>3835</v>
      </c>
      <c r="B3801" t="s">
        <v>5319</v>
      </c>
      <c r="C3801" t="s">
        <v>4526</v>
      </c>
      <c r="E3801">
        <v>0.01</v>
      </c>
      <c r="F3801" t="s">
        <v>546</v>
      </c>
      <c r="G3801" s="174">
        <v>45576.460914351854</v>
      </c>
    </row>
    <row r="3802" spans="1:7">
      <c r="A3802">
        <v>3836</v>
      </c>
      <c r="B3802" t="s">
        <v>5320</v>
      </c>
      <c r="C3802" t="s">
        <v>2952</v>
      </c>
      <c r="E3802">
        <v>0.01</v>
      </c>
      <c r="F3802" t="s">
        <v>546</v>
      </c>
      <c r="G3802" s="174">
        <v>45576.460914351854</v>
      </c>
    </row>
    <row r="3803" spans="1:7">
      <c r="A3803">
        <v>3837</v>
      </c>
      <c r="B3803" t="s">
        <v>5321</v>
      </c>
      <c r="C3803" t="s">
        <v>2966</v>
      </c>
      <c r="E3803">
        <v>0.01</v>
      </c>
      <c r="F3803" t="s">
        <v>546</v>
      </c>
      <c r="G3803" s="174">
        <v>45576.460914351854</v>
      </c>
    </row>
    <row r="3804" spans="1:7">
      <c r="A3804">
        <v>3838</v>
      </c>
      <c r="B3804" t="s">
        <v>5322</v>
      </c>
      <c r="C3804" t="s">
        <v>4755</v>
      </c>
      <c r="E3804">
        <v>0.1</v>
      </c>
      <c r="F3804" t="s">
        <v>546</v>
      </c>
      <c r="G3804" s="174">
        <v>45576.460914351854</v>
      </c>
    </row>
    <row r="3805" spans="1:7">
      <c r="A3805">
        <v>3839</v>
      </c>
      <c r="B3805" t="s">
        <v>5323</v>
      </c>
      <c r="C3805" t="s">
        <v>5324</v>
      </c>
      <c r="E3805">
        <v>0.01</v>
      </c>
      <c r="F3805" t="s">
        <v>546</v>
      </c>
      <c r="G3805" s="174">
        <v>45576.460914351854</v>
      </c>
    </row>
    <row r="3806" spans="1:7">
      <c r="A3806">
        <v>3840</v>
      </c>
      <c r="B3806" t="s">
        <v>5323</v>
      </c>
      <c r="C3806" t="s">
        <v>771</v>
      </c>
      <c r="E3806">
        <v>0.1</v>
      </c>
      <c r="F3806" t="s">
        <v>546</v>
      </c>
      <c r="G3806" s="174">
        <v>45576.460914351854</v>
      </c>
    </row>
    <row r="3807" spans="1:7">
      <c r="A3807">
        <v>3841</v>
      </c>
      <c r="B3807" t="s">
        <v>5325</v>
      </c>
      <c r="C3807" t="s">
        <v>4330</v>
      </c>
      <c r="E3807">
        <v>0.01</v>
      </c>
      <c r="F3807" t="s">
        <v>546</v>
      </c>
      <c r="G3807" s="174">
        <v>45576.460914351854</v>
      </c>
    </row>
    <row r="3808" spans="1:7">
      <c r="A3808">
        <v>3842</v>
      </c>
      <c r="B3808" t="s">
        <v>5326</v>
      </c>
      <c r="C3808" t="s">
        <v>2972</v>
      </c>
      <c r="E3808">
        <v>0.01</v>
      </c>
      <c r="F3808" t="s">
        <v>546</v>
      </c>
      <c r="G3808" s="174">
        <v>45576.460914351854</v>
      </c>
    </row>
    <row r="3809" spans="1:7">
      <c r="A3809">
        <v>3843</v>
      </c>
      <c r="B3809" t="s">
        <v>5327</v>
      </c>
      <c r="C3809" t="s">
        <v>3807</v>
      </c>
      <c r="E3809">
        <v>0.01</v>
      </c>
      <c r="F3809" t="s">
        <v>546</v>
      </c>
      <c r="G3809" s="174">
        <v>45576.460914351854</v>
      </c>
    </row>
    <row r="3810" spans="1:7">
      <c r="A3810">
        <v>3844</v>
      </c>
      <c r="B3810" t="s">
        <v>5328</v>
      </c>
      <c r="C3810" t="s">
        <v>3897</v>
      </c>
      <c r="E3810">
        <v>0.01</v>
      </c>
      <c r="F3810" t="s">
        <v>546</v>
      </c>
      <c r="G3810" s="174">
        <v>45576.460914351854</v>
      </c>
    </row>
    <row r="3811" spans="1:7">
      <c r="A3811">
        <v>3845</v>
      </c>
      <c r="B3811" t="s">
        <v>5328</v>
      </c>
      <c r="C3811" t="s">
        <v>3898</v>
      </c>
      <c r="E3811">
        <v>0.01</v>
      </c>
      <c r="F3811" t="s">
        <v>546</v>
      </c>
      <c r="G3811" s="174">
        <v>45576.460914351854</v>
      </c>
    </row>
    <row r="3812" spans="1:7">
      <c r="A3812">
        <v>3846</v>
      </c>
      <c r="B3812" t="s">
        <v>5329</v>
      </c>
      <c r="C3812" t="s">
        <v>3142</v>
      </c>
      <c r="E3812">
        <v>0.01</v>
      </c>
      <c r="F3812" t="s">
        <v>546</v>
      </c>
      <c r="G3812" s="174">
        <v>45576.460914351854</v>
      </c>
    </row>
    <row r="3813" spans="1:7">
      <c r="A3813">
        <v>3847</v>
      </c>
      <c r="B3813" t="s">
        <v>5330</v>
      </c>
      <c r="C3813" t="s">
        <v>5331</v>
      </c>
      <c r="E3813">
        <v>0.1</v>
      </c>
      <c r="F3813" t="s">
        <v>546</v>
      </c>
      <c r="G3813" s="174">
        <v>45576.460914351854</v>
      </c>
    </row>
    <row r="3814" spans="1:7">
      <c r="A3814">
        <v>3848</v>
      </c>
      <c r="B3814" t="s">
        <v>5332</v>
      </c>
      <c r="C3814" t="s">
        <v>5107</v>
      </c>
      <c r="E3814">
        <v>0.01</v>
      </c>
      <c r="F3814" t="s">
        <v>546</v>
      </c>
      <c r="G3814" s="174">
        <v>45576.460914351854</v>
      </c>
    </row>
    <row r="3815" spans="1:7">
      <c r="A3815">
        <v>3849</v>
      </c>
      <c r="B3815" t="s">
        <v>5333</v>
      </c>
      <c r="C3815" t="s">
        <v>3689</v>
      </c>
      <c r="E3815">
        <v>0.01</v>
      </c>
      <c r="F3815" t="s">
        <v>546</v>
      </c>
      <c r="G3815" s="174">
        <v>45576.460914351854</v>
      </c>
    </row>
    <row r="3816" spans="1:7">
      <c r="A3816">
        <v>3850</v>
      </c>
      <c r="B3816" t="s">
        <v>1544</v>
      </c>
      <c r="C3816" t="s">
        <v>5218</v>
      </c>
      <c r="E3816">
        <v>0.01</v>
      </c>
      <c r="F3816" t="s">
        <v>546</v>
      </c>
      <c r="G3816" s="174">
        <v>45576.460914351854</v>
      </c>
    </row>
    <row r="3817" spans="1:7">
      <c r="A3817">
        <v>3851</v>
      </c>
      <c r="B3817" t="s">
        <v>5334</v>
      </c>
      <c r="C3817" t="s">
        <v>3848</v>
      </c>
      <c r="E3817">
        <v>0.01</v>
      </c>
      <c r="F3817" t="s">
        <v>546</v>
      </c>
      <c r="G3817" s="174">
        <v>45576.460914351854</v>
      </c>
    </row>
    <row r="3818" spans="1:7">
      <c r="A3818">
        <v>3852</v>
      </c>
      <c r="B3818" t="s">
        <v>5335</v>
      </c>
      <c r="C3818" t="s">
        <v>5336</v>
      </c>
      <c r="E3818">
        <v>0.6</v>
      </c>
      <c r="F3818" t="s">
        <v>546</v>
      </c>
      <c r="G3818" s="174">
        <v>45576.460914351854</v>
      </c>
    </row>
    <row r="3819" spans="1:7">
      <c r="A3819">
        <v>3853</v>
      </c>
      <c r="B3819" t="s">
        <v>5335</v>
      </c>
      <c r="C3819" t="s">
        <v>5337</v>
      </c>
      <c r="E3819">
        <v>0.8</v>
      </c>
      <c r="F3819" t="s">
        <v>546</v>
      </c>
      <c r="G3819" s="174">
        <v>45576.460914351854</v>
      </c>
    </row>
    <row r="3820" spans="1:7">
      <c r="A3820">
        <v>3854</v>
      </c>
      <c r="B3820" t="s">
        <v>5338</v>
      </c>
      <c r="C3820" t="s">
        <v>3903</v>
      </c>
      <c r="E3820">
        <v>0.01</v>
      </c>
      <c r="F3820" t="s">
        <v>546</v>
      </c>
      <c r="G3820" s="174">
        <v>45576.460914351854</v>
      </c>
    </row>
    <row r="3821" spans="1:7">
      <c r="A3821">
        <v>3855</v>
      </c>
      <c r="B3821" t="s">
        <v>5339</v>
      </c>
      <c r="C3821" t="s">
        <v>4694</v>
      </c>
      <c r="E3821">
        <v>0.01</v>
      </c>
      <c r="F3821" t="s">
        <v>546</v>
      </c>
      <c r="G3821" s="174">
        <v>45576.460914351854</v>
      </c>
    </row>
    <row r="3822" spans="1:7">
      <c r="A3822">
        <v>3856</v>
      </c>
      <c r="B3822" t="s">
        <v>5340</v>
      </c>
      <c r="C3822" t="s">
        <v>4172</v>
      </c>
      <c r="E3822">
        <v>0.01</v>
      </c>
      <c r="F3822" t="s">
        <v>546</v>
      </c>
      <c r="G3822" s="174">
        <v>45576.460914351854</v>
      </c>
    </row>
    <row r="3823" spans="1:7">
      <c r="A3823">
        <v>3857</v>
      </c>
      <c r="B3823" t="s">
        <v>5341</v>
      </c>
      <c r="C3823" t="s">
        <v>3895</v>
      </c>
      <c r="E3823">
        <v>0.01</v>
      </c>
      <c r="F3823" t="s">
        <v>546</v>
      </c>
      <c r="G3823" s="174">
        <v>45576.460914351854</v>
      </c>
    </row>
    <row r="3824" spans="1:7">
      <c r="A3824">
        <v>3858</v>
      </c>
      <c r="B3824" t="s">
        <v>5342</v>
      </c>
      <c r="C3824" t="s">
        <v>5343</v>
      </c>
      <c r="E3824">
        <v>0.01</v>
      </c>
      <c r="F3824" t="s">
        <v>546</v>
      </c>
      <c r="G3824" s="174">
        <v>45576.460914351854</v>
      </c>
    </row>
    <row r="3825" spans="1:7">
      <c r="A3825">
        <v>3859</v>
      </c>
      <c r="B3825" t="s">
        <v>5344</v>
      </c>
      <c r="C3825" t="s">
        <v>5345</v>
      </c>
      <c r="E3825">
        <v>0.01</v>
      </c>
      <c r="F3825" t="s">
        <v>546</v>
      </c>
      <c r="G3825" s="174">
        <v>45576.460914351854</v>
      </c>
    </row>
    <row r="3826" spans="1:7">
      <c r="A3826">
        <v>3860</v>
      </c>
      <c r="B3826" t="s">
        <v>1552</v>
      </c>
      <c r="C3826" t="s">
        <v>5346</v>
      </c>
      <c r="E3826">
        <v>0.01</v>
      </c>
      <c r="F3826" t="s">
        <v>546</v>
      </c>
      <c r="G3826" s="174">
        <v>45576.460914351854</v>
      </c>
    </row>
    <row r="3827" spans="1:7">
      <c r="A3827">
        <v>3861</v>
      </c>
      <c r="B3827" t="s">
        <v>1553</v>
      </c>
      <c r="C3827" t="s">
        <v>2886</v>
      </c>
      <c r="E3827">
        <v>0.1</v>
      </c>
      <c r="F3827" t="s">
        <v>546</v>
      </c>
      <c r="G3827" s="174">
        <v>45576.460914351854</v>
      </c>
    </row>
    <row r="3828" spans="1:7">
      <c r="A3828">
        <v>3862</v>
      </c>
      <c r="B3828" t="s">
        <v>5347</v>
      </c>
      <c r="C3828" t="s">
        <v>5348</v>
      </c>
      <c r="E3828">
        <v>0.01</v>
      </c>
      <c r="F3828" t="s">
        <v>546</v>
      </c>
      <c r="G3828" s="174">
        <v>45576.460914351854</v>
      </c>
    </row>
    <row r="3829" spans="1:7">
      <c r="A3829">
        <v>3863</v>
      </c>
      <c r="B3829" t="s">
        <v>5347</v>
      </c>
      <c r="C3829" t="s">
        <v>3542</v>
      </c>
      <c r="E3829">
        <v>0.01</v>
      </c>
      <c r="F3829" t="s">
        <v>546</v>
      </c>
      <c r="G3829" s="174">
        <v>45576.460914351854</v>
      </c>
    </row>
    <row r="3830" spans="1:7">
      <c r="A3830">
        <v>3864</v>
      </c>
      <c r="B3830" t="s">
        <v>5347</v>
      </c>
      <c r="C3830" t="s">
        <v>4603</v>
      </c>
      <c r="E3830">
        <v>0.01</v>
      </c>
      <c r="F3830" t="s">
        <v>546</v>
      </c>
      <c r="G3830" s="174">
        <v>45576.460914351854</v>
      </c>
    </row>
    <row r="3831" spans="1:7">
      <c r="A3831">
        <v>3865</v>
      </c>
      <c r="B3831" t="s">
        <v>1555</v>
      </c>
      <c r="C3831" t="s">
        <v>5349</v>
      </c>
      <c r="E3831">
        <v>0.01</v>
      </c>
      <c r="F3831" t="s">
        <v>546</v>
      </c>
      <c r="G3831" s="174">
        <v>45576.460914351854</v>
      </c>
    </row>
    <row r="3832" spans="1:7">
      <c r="A3832">
        <v>3866</v>
      </c>
      <c r="B3832" t="s">
        <v>1555</v>
      </c>
      <c r="C3832" t="s">
        <v>3088</v>
      </c>
      <c r="E3832">
        <v>0.1</v>
      </c>
      <c r="F3832" t="s">
        <v>546</v>
      </c>
      <c r="G3832" s="174">
        <v>45576.460914351854</v>
      </c>
    </row>
    <row r="3833" spans="1:7">
      <c r="A3833">
        <v>3867</v>
      </c>
      <c r="B3833" t="s">
        <v>5350</v>
      </c>
      <c r="C3833" t="s">
        <v>5351</v>
      </c>
      <c r="E3833">
        <v>0.01</v>
      </c>
      <c r="F3833" t="s">
        <v>546</v>
      </c>
      <c r="G3833" s="174">
        <v>45576.460914351854</v>
      </c>
    </row>
    <row r="3834" spans="1:7">
      <c r="A3834">
        <v>3868</v>
      </c>
      <c r="B3834" t="s">
        <v>5352</v>
      </c>
      <c r="C3834" t="s">
        <v>4054</v>
      </c>
      <c r="E3834">
        <v>0.01</v>
      </c>
      <c r="F3834" t="s">
        <v>546</v>
      </c>
      <c r="G3834" s="174">
        <v>45576.460914351854</v>
      </c>
    </row>
    <row r="3835" spans="1:7">
      <c r="A3835">
        <v>3869</v>
      </c>
      <c r="B3835" t="s">
        <v>5353</v>
      </c>
      <c r="C3835" t="s">
        <v>3775</v>
      </c>
      <c r="E3835">
        <v>0.1</v>
      </c>
      <c r="F3835" t="s">
        <v>546</v>
      </c>
      <c r="G3835" s="174">
        <v>45576.460914351854</v>
      </c>
    </row>
    <row r="3836" spans="1:7">
      <c r="A3836">
        <v>3870</v>
      </c>
      <c r="B3836" t="s">
        <v>5354</v>
      </c>
      <c r="C3836" t="s">
        <v>3129</v>
      </c>
      <c r="E3836">
        <v>0.01</v>
      </c>
      <c r="F3836" t="s">
        <v>546</v>
      </c>
      <c r="G3836" s="174">
        <v>45576.460914351854</v>
      </c>
    </row>
    <row r="3837" spans="1:7">
      <c r="A3837">
        <v>3871</v>
      </c>
      <c r="B3837" t="s">
        <v>5355</v>
      </c>
      <c r="C3837" t="s">
        <v>3636</v>
      </c>
      <c r="E3837">
        <v>0.01</v>
      </c>
      <c r="F3837" t="s">
        <v>546</v>
      </c>
      <c r="G3837" s="174">
        <v>45576.460914351854</v>
      </c>
    </row>
    <row r="3838" spans="1:7">
      <c r="A3838">
        <v>3872</v>
      </c>
      <c r="B3838" t="s">
        <v>5356</v>
      </c>
      <c r="C3838" t="s">
        <v>5132</v>
      </c>
      <c r="E3838">
        <v>0.01</v>
      </c>
      <c r="F3838" t="s">
        <v>546</v>
      </c>
      <c r="G3838" s="174">
        <v>45576.460914351854</v>
      </c>
    </row>
    <row r="3839" spans="1:7">
      <c r="A3839">
        <v>3873</v>
      </c>
      <c r="B3839" t="s">
        <v>5357</v>
      </c>
      <c r="C3839" t="s">
        <v>5358</v>
      </c>
      <c r="E3839">
        <v>0.01</v>
      </c>
      <c r="F3839" t="s">
        <v>546</v>
      </c>
      <c r="G3839" s="174">
        <v>45576.460914351854</v>
      </c>
    </row>
    <row r="3840" spans="1:7">
      <c r="A3840">
        <v>3874</v>
      </c>
      <c r="B3840" t="s">
        <v>5359</v>
      </c>
      <c r="C3840" t="s">
        <v>5360</v>
      </c>
      <c r="E3840">
        <v>0.1</v>
      </c>
      <c r="F3840" t="s">
        <v>546</v>
      </c>
      <c r="G3840" s="174">
        <v>45576.460914351854</v>
      </c>
    </row>
    <row r="3841" spans="1:7">
      <c r="A3841">
        <v>3875</v>
      </c>
      <c r="B3841" t="s">
        <v>5359</v>
      </c>
      <c r="C3841" t="s">
        <v>5361</v>
      </c>
      <c r="E3841">
        <v>0.01</v>
      </c>
      <c r="F3841" t="s">
        <v>546</v>
      </c>
      <c r="G3841" s="174">
        <v>45576.460914351854</v>
      </c>
    </row>
    <row r="3842" spans="1:7">
      <c r="A3842">
        <v>3876</v>
      </c>
      <c r="B3842" t="s">
        <v>5362</v>
      </c>
      <c r="C3842" t="s">
        <v>3143</v>
      </c>
      <c r="E3842">
        <v>0.01</v>
      </c>
      <c r="F3842" t="s">
        <v>546</v>
      </c>
      <c r="G3842" s="174">
        <v>45576.460914351854</v>
      </c>
    </row>
    <row r="3843" spans="1:7">
      <c r="A3843">
        <v>3877</v>
      </c>
      <c r="B3843" t="s">
        <v>5363</v>
      </c>
      <c r="C3843" t="s">
        <v>4466</v>
      </c>
      <c r="E3843">
        <v>0.01</v>
      </c>
      <c r="F3843" t="s">
        <v>546</v>
      </c>
      <c r="G3843" s="174">
        <v>45576.460914351854</v>
      </c>
    </row>
    <row r="3844" spans="1:7">
      <c r="A3844">
        <v>3878</v>
      </c>
      <c r="B3844" t="s">
        <v>5364</v>
      </c>
      <c r="C3844" t="s">
        <v>5365</v>
      </c>
      <c r="E3844">
        <v>0.01</v>
      </c>
      <c r="F3844" t="s">
        <v>546</v>
      </c>
      <c r="G3844" s="174">
        <v>45576.460914351854</v>
      </c>
    </row>
    <row r="3845" spans="1:7">
      <c r="A3845">
        <v>3879</v>
      </c>
      <c r="B3845" t="s">
        <v>5364</v>
      </c>
      <c r="C3845" t="s">
        <v>3724</v>
      </c>
      <c r="E3845">
        <v>0.01</v>
      </c>
      <c r="F3845" t="s">
        <v>546</v>
      </c>
      <c r="G3845" s="174">
        <v>45576.460914351854</v>
      </c>
    </row>
    <row r="3846" spans="1:7">
      <c r="A3846">
        <v>3880</v>
      </c>
      <c r="B3846" t="s">
        <v>1562</v>
      </c>
      <c r="C3846" t="s">
        <v>3779</v>
      </c>
      <c r="E3846">
        <v>0.01</v>
      </c>
      <c r="F3846" t="s">
        <v>546</v>
      </c>
      <c r="G3846" s="174">
        <v>45576.460914351854</v>
      </c>
    </row>
    <row r="3847" spans="1:7">
      <c r="A3847">
        <v>3881</v>
      </c>
      <c r="B3847" t="s">
        <v>5366</v>
      </c>
      <c r="C3847" t="s">
        <v>3628</v>
      </c>
      <c r="E3847">
        <v>0.01</v>
      </c>
      <c r="F3847" t="s">
        <v>546</v>
      </c>
      <c r="G3847" s="174">
        <v>45576.460914351854</v>
      </c>
    </row>
    <row r="3848" spans="1:7">
      <c r="A3848">
        <v>3882</v>
      </c>
      <c r="B3848" t="s">
        <v>5367</v>
      </c>
      <c r="C3848" t="s">
        <v>4766</v>
      </c>
      <c r="E3848">
        <v>0.01</v>
      </c>
      <c r="F3848" t="s">
        <v>546</v>
      </c>
      <c r="G3848" s="174">
        <v>45576.460914351854</v>
      </c>
    </row>
    <row r="3849" spans="1:7">
      <c r="A3849">
        <v>3883</v>
      </c>
      <c r="B3849" t="s">
        <v>5368</v>
      </c>
      <c r="C3849" t="s">
        <v>2879</v>
      </c>
      <c r="E3849">
        <v>0.01</v>
      </c>
      <c r="F3849" t="s">
        <v>546</v>
      </c>
      <c r="G3849" s="174">
        <v>45576.460914351854</v>
      </c>
    </row>
    <row r="3850" spans="1:7">
      <c r="A3850">
        <v>3884</v>
      </c>
      <c r="B3850" t="s">
        <v>5369</v>
      </c>
      <c r="C3850" t="s">
        <v>5370</v>
      </c>
      <c r="E3850">
        <v>0.01</v>
      </c>
      <c r="F3850" t="s">
        <v>546</v>
      </c>
      <c r="G3850" s="174">
        <v>45576.460914351854</v>
      </c>
    </row>
    <row r="3851" spans="1:7">
      <c r="A3851">
        <v>3885</v>
      </c>
      <c r="B3851" t="s">
        <v>5371</v>
      </c>
      <c r="C3851" t="s">
        <v>3416</v>
      </c>
      <c r="E3851">
        <v>0.01</v>
      </c>
      <c r="F3851" t="s">
        <v>546</v>
      </c>
      <c r="G3851" s="174">
        <v>45576.460914351854</v>
      </c>
    </row>
    <row r="3852" spans="1:7">
      <c r="A3852">
        <v>3886</v>
      </c>
      <c r="B3852" t="s">
        <v>5372</v>
      </c>
      <c r="C3852" t="s">
        <v>5373</v>
      </c>
      <c r="E3852">
        <v>0.01</v>
      </c>
      <c r="F3852" t="s">
        <v>546</v>
      </c>
      <c r="G3852" s="174">
        <v>45576.460914351854</v>
      </c>
    </row>
    <row r="3853" spans="1:7">
      <c r="A3853">
        <v>3887</v>
      </c>
      <c r="B3853" t="s">
        <v>1565</v>
      </c>
      <c r="C3853" t="s">
        <v>3312</v>
      </c>
      <c r="E3853">
        <v>0.1</v>
      </c>
      <c r="F3853" t="s">
        <v>546</v>
      </c>
      <c r="G3853" s="174">
        <v>45576.460914351854</v>
      </c>
    </row>
    <row r="3854" spans="1:7">
      <c r="A3854">
        <v>3888</v>
      </c>
      <c r="B3854" t="s">
        <v>5374</v>
      </c>
      <c r="C3854" t="s">
        <v>4103</v>
      </c>
      <c r="E3854">
        <v>0.01</v>
      </c>
      <c r="F3854" t="s">
        <v>546</v>
      </c>
      <c r="G3854" s="174">
        <v>45576.460914351854</v>
      </c>
    </row>
    <row r="3855" spans="1:7">
      <c r="A3855">
        <v>3889</v>
      </c>
      <c r="B3855" t="s">
        <v>5375</v>
      </c>
      <c r="C3855" t="s">
        <v>3628</v>
      </c>
      <c r="E3855">
        <v>0.01</v>
      </c>
      <c r="F3855" t="s">
        <v>546</v>
      </c>
      <c r="G3855" s="174">
        <v>45576.460914351854</v>
      </c>
    </row>
    <row r="3856" spans="1:7">
      <c r="A3856">
        <v>3890</v>
      </c>
      <c r="B3856" t="s">
        <v>5376</v>
      </c>
      <c r="C3856" t="s">
        <v>4776</v>
      </c>
      <c r="E3856">
        <v>0.01</v>
      </c>
      <c r="F3856" t="s">
        <v>546</v>
      </c>
      <c r="G3856" s="174">
        <v>45576.460914351854</v>
      </c>
    </row>
    <row r="3857" spans="1:7">
      <c r="A3857">
        <v>3891</v>
      </c>
      <c r="B3857" t="s">
        <v>5377</v>
      </c>
      <c r="C3857" t="s">
        <v>4188</v>
      </c>
      <c r="E3857">
        <v>0.01</v>
      </c>
      <c r="F3857" t="s">
        <v>546</v>
      </c>
      <c r="G3857" s="174">
        <v>45576.460914351854</v>
      </c>
    </row>
    <row r="3858" spans="1:7">
      <c r="A3858">
        <v>3892</v>
      </c>
      <c r="B3858" t="s">
        <v>5377</v>
      </c>
      <c r="C3858" t="s">
        <v>5378</v>
      </c>
      <c r="E3858">
        <v>0.01</v>
      </c>
      <c r="F3858" t="s">
        <v>546</v>
      </c>
      <c r="G3858" s="174">
        <v>45576.460914351854</v>
      </c>
    </row>
    <row r="3859" spans="1:7">
      <c r="A3859">
        <v>3893</v>
      </c>
      <c r="B3859" t="s">
        <v>5379</v>
      </c>
      <c r="C3859" t="s">
        <v>2832</v>
      </c>
      <c r="E3859">
        <v>0.01</v>
      </c>
      <c r="F3859" t="s">
        <v>546</v>
      </c>
      <c r="G3859" s="174">
        <v>45576.460914351854</v>
      </c>
    </row>
    <row r="3860" spans="1:7">
      <c r="A3860">
        <v>3894</v>
      </c>
      <c r="B3860" t="s">
        <v>5380</v>
      </c>
      <c r="C3860" t="s">
        <v>2766</v>
      </c>
      <c r="E3860">
        <v>0.01</v>
      </c>
      <c r="F3860" t="s">
        <v>546</v>
      </c>
      <c r="G3860" s="174">
        <v>45576.460914351854</v>
      </c>
    </row>
    <row r="3861" spans="1:7">
      <c r="A3861">
        <v>3895</v>
      </c>
      <c r="B3861" t="s">
        <v>5381</v>
      </c>
      <c r="C3861" t="s">
        <v>4751</v>
      </c>
      <c r="E3861">
        <v>0.01</v>
      </c>
      <c r="F3861" t="s">
        <v>546</v>
      </c>
      <c r="G3861" s="174">
        <v>45576.460914351854</v>
      </c>
    </row>
    <row r="3862" spans="1:7">
      <c r="A3862">
        <v>3896</v>
      </c>
      <c r="B3862" t="s">
        <v>5381</v>
      </c>
      <c r="C3862" t="s">
        <v>4522</v>
      </c>
      <c r="E3862">
        <v>0.01</v>
      </c>
      <c r="F3862" t="s">
        <v>546</v>
      </c>
      <c r="G3862" s="174">
        <v>45576.460914351854</v>
      </c>
    </row>
    <row r="3863" spans="1:7">
      <c r="A3863">
        <v>3897</v>
      </c>
      <c r="B3863" t="s">
        <v>5382</v>
      </c>
      <c r="C3863" t="s">
        <v>3538</v>
      </c>
      <c r="E3863">
        <v>0.01</v>
      </c>
      <c r="F3863" t="s">
        <v>546</v>
      </c>
      <c r="G3863" s="174">
        <v>45576.460914351854</v>
      </c>
    </row>
    <row r="3864" spans="1:7">
      <c r="A3864">
        <v>3898</v>
      </c>
      <c r="B3864" t="s">
        <v>1574</v>
      </c>
      <c r="C3864" t="s">
        <v>5383</v>
      </c>
      <c r="E3864">
        <v>0.01</v>
      </c>
      <c r="F3864" t="s">
        <v>546</v>
      </c>
      <c r="G3864" s="174">
        <v>45576.460914351854</v>
      </c>
    </row>
    <row r="3865" spans="1:7">
      <c r="A3865">
        <v>3899</v>
      </c>
      <c r="B3865" t="s">
        <v>5384</v>
      </c>
      <c r="C3865" t="s">
        <v>4755</v>
      </c>
      <c r="E3865">
        <v>0.01</v>
      </c>
      <c r="F3865" t="s">
        <v>546</v>
      </c>
      <c r="G3865" s="174">
        <v>45576.460914351854</v>
      </c>
    </row>
    <row r="3866" spans="1:7">
      <c r="A3866">
        <v>3900</v>
      </c>
      <c r="B3866" t="s">
        <v>5385</v>
      </c>
      <c r="C3866" t="s">
        <v>5386</v>
      </c>
      <c r="E3866">
        <v>0.01</v>
      </c>
      <c r="F3866" t="s">
        <v>546</v>
      </c>
      <c r="G3866" s="174">
        <v>45576.460914351854</v>
      </c>
    </row>
    <row r="3867" spans="1:7">
      <c r="A3867">
        <v>3901</v>
      </c>
      <c r="B3867" t="s">
        <v>5385</v>
      </c>
      <c r="C3867" t="s">
        <v>5348</v>
      </c>
      <c r="E3867">
        <v>0.01</v>
      </c>
      <c r="F3867" t="s">
        <v>546</v>
      </c>
      <c r="G3867" s="174">
        <v>45576.460914351854</v>
      </c>
    </row>
    <row r="3868" spans="1:7">
      <c r="A3868">
        <v>3902</v>
      </c>
      <c r="B3868" t="s">
        <v>5387</v>
      </c>
      <c r="C3868" t="s">
        <v>3157</v>
      </c>
      <c r="E3868">
        <v>0.01</v>
      </c>
      <c r="F3868" t="s">
        <v>546</v>
      </c>
      <c r="G3868" s="174">
        <v>45576.460914351854</v>
      </c>
    </row>
    <row r="3869" spans="1:7">
      <c r="A3869">
        <v>3903</v>
      </c>
      <c r="B3869" t="s">
        <v>5388</v>
      </c>
      <c r="C3869" t="s">
        <v>3058</v>
      </c>
      <c r="E3869">
        <v>0.01</v>
      </c>
      <c r="F3869" t="s">
        <v>546</v>
      </c>
      <c r="G3869" s="174">
        <v>45576.460914351854</v>
      </c>
    </row>
    <row r="3870" spans="1:7">
      <c r="A3870">
        <v>3904</v>
      </c>
      <c r="B3870" t="s">
        <v>5389</v>
      </c>
      <c r="C3870" t="s">
        <v>5390</v>
      </c>
      <c r="E3870">
        <v>0.1</v>
      </c>
      <c r="F3870" t="s">
        <v>546</v>
      </c>
      <c r="G3870" s="174">
        <v>45576.460914351854</v>
      </c>
    </row>
    <row r="3871" spans="1:7">
      <c r="A3871">
        <v>3905</v>
      </c>
      <c r="B3871" t="s">
        <v>5389</v>
      </c>
      <c r="C3871" t="s">
        <v>5391</v>
      </c>
      <c r="E3871">
        <v>0.6</v>
      </c>
      <c r="F3871" t="s">
        <v>3408</v>
      </c>
      <c r="G3871" s="174">
        <v>45576.460914351854</v>
      </c>
    </row>
    <row r="3872" spans="1:7">
      <c r="A3872">
        <v>3906</v>
      </c>
      <c r="B3872" t="s">
        <v>5389</v>
      </c>
      <c r="C3872" t="s">
        <v>5392</v>
      </c>
      <c r="E3872">
        <v>0.1</v>
      </c>
      <c r="F3872" t="s">
        <v>3408</v>
      </c>
      <c r="G3872" s="174">
        <v>45576.460914351854</v>
      </c>
    </row>
    <row r="3873" spans="1:7">
      <c r="A3873">
        <v>3907</v>
      </c>
      <c r="B3873" t="s">
        <v>5393</v>
      </c>
      <c r="C3873" t="s">
        <v>5394</v>
      </c>
      <c r="E3873">
        <v>0.01</v>
      </c>
      <c r="F3873" t="s">
        <v>546</v>
      </c>
      <c r="G3873" s="174">
        <v>45576.460914351854</v>
      </c>
    </row>
    <row r="3874" spans="1:7">
      <c r="A3874">
        <v>3908</v>
      </c>
      <c r="B3874" t="s">
        <v>5395</v>
      </c>
      <c r="C3874" t="s">
        <v>3192</v>
      </c>
      <c r="E3874">
        <v>0.01</v>
      </c>
      <c r="F3874" t="s">
        <v>546</v>
      </c>
      <c r="G3874" s="174">
        <v>45576.460914351854</v>
      </c>
    </row>
    <row r="3875" spans="1:7">
      <c r="A3875">
        <v>3909</v>
      </c>
      <c r="B3875" t="s">
        <v>5396</v>
      </c>
      <c r="C3875" t="s">
        <v>2892</v>
      </c>
      <c r="E3875">
        <v>0.01</v>
      </c>
      <c r="F3875" t="s">
        <v>546</v>
      </c>
      <c r="G3875" s="174">
        <v>45576.460914351854</v>
      </c>
    </row>
    <row r="3876" spans="1:7">
      <c r="A3876">
        <v>3910</v>
      </c>
      <c r="B3876" t="s">
        <v>5397</v>
      </c>
      <c r="C3876" t="s">
        <v>5398</v>
      </c>
      <c r="E3876">
        <v>0.01</v>
      </c>
      <c r="F3876" t="s">
        <v>546</v>
      </c>
      <c r="G3876" s="174">
        <v>45576.460914351854</v>
      </c>
    </row>
    <row r="3877" spans="1:7">
      <c r="A3877">
        <v>3911</v>
      </c>
      <c r="B3877" t="s">
        <v>5399</v>
      </c>
      <c r="C3877" t="s">
        <v>3207</v>
      </c>
      <c r="E3877">
        <v>0.01</v>
      </c>
      <c r="F3877" t="s">
        <v>546</v>
      </c>
      <c r="G3877" s="174">
        <v>45576.460914351854</v>
      </c>
    </row>
    <row r="3878" spans="1:7">
      <c r="A3878">
        <v>3912</v>
      </c>
      <c r="B3878" t="s">
        <v>5399</v>
      </c>
      <c r="C3878" t="s">
        <v>5241</v>
      </c>
      <c r="E3878">
        <v>0.01</v>
      </c>
      <c r="F3878" t="s">
        <v>546</v>
      </c>
      <c r="G3878" s="174">
        <v>45576.460914351854</v>
      </c>
    </row>
    <row r="3879" spans="1:7">
      <c r="A3879">
        <v>3913</v>
      </c>
      <c r="B3879" t="s">
        <v>5400</v>
      </c>
      <c r="C3879" t="s">
        <v>3557</v>
      </c>
      <c r="E3879">
        <v>0.01</v>
      </c>
      <c r="F3879" t="s">
        <v>546</v>
      </c>
      <c r="G3879" s="174">
        <v>45576.460914351854</v>
      </c>
    </row>
    <row r="3880" spans="1:7">
      <c r="A3880">
        <v>3914</v>
      </c>
      <c r="B3880" t="s">
        <v>5401</v>
      </c>
      <c r="C3880" t="s">
        <v>3785</v>
      </c>
      <c r="E3880">
        <v>0.01</v>
      </c>
      <c r="F3880" t="s">
        <v>546</v>
      </c>
      <c r="G3880" s="174">
        <v>45576.460914351854</v>
      </c>
    </row>
    <row r="3881" spans="1:7">
      <c r="A3881">
        <v>3916</v>
      </c>
      <c r="B3881" t="s">
        <v>5401</v>
      </c>
      <c r="C3881" t="s">
        <v>4776</v>
      </c>
      <c r="E3881">
        <v>0.01</v>
      </c>
      <c r="F3881" t="s">
        <v>546</v>
      </c>
      <c r="G3881" s="174">
        <v>45576.460914351854</v>
      </c>
    </row>
    <row r="3882" spans="1:7">
      <c r="A3882">
        <v>3917</v>
      </c>
      <c r="B3882" t="s">
        <v>5402</v>
      </c>
      <c r="C3882" t="s">
        <v>3606</v>
      </c>
      <c r="E3882">
        <v>0.01</v>
      </c>
      <c r="F3882" t="s">
        <v>546</v>
      </c>
      <c r="G3882" s="174">
        <v>45576.460914351854</v>
      </c>
    </row>
    <row r="3883" spans="1:7">
      <c r="A3883">
        <v>3918</v>
      </c>
      <c r="B3883" t="s">
        <v>1584</v>
      </c>
      <c r="C3883" t="s">
        <v>4120</v>
      </c>
      <c r="E3883">
        <v>0.01</v>
      </c>
      <c r="F3883" t="s">
        <v>546</v>
      </c>
      <c r="G3883" s="174">
        <v>45576.460914351854</v>
      </c>
    </row>
    <row r="3884" spans="1:7">
      <c r="A3884">
        <v>3919</v>
      </c>
      <c r="B3884" t="s">
        <v>5403</v>
      </c>
      <c r="C3884" t="s">
        <v>3958</v>
      </c>
      <c r="E3884">
        <v>0.01</v>
      </c>
      <c r="F3884" t="s">
        <v>546</v>
      </c>
      <c r="G3884" s="174">
        <v>45576.460914351854</v>
      </c>
    </row>
    <row r="3885" spans="1:7">
      <c r="A3885">
        <v>3920</v>
      </c>
      <c r="B3885" t="s">
        <v>5404</v>
      </c>
      <c r="C3885" t="s">
        <v>4135</v>
      </c>
      <c r="E3885">
        <v>0.01</v>
      </c>
      <c r="F3885" t="s">
        <v>546</v>
      </c>
      <c r="G3885" s="174">
        <v>45576.460914351854</v>
      </c>
    </row>
    <row r="3886" spans="1:7">
      <c r="A3886">
        <v>3921</v>
      </c>
      <c r="B3886" t="s">
        <v>5405</v>
      </c>
      <c r="C3886" t="s">
        <v>5406</v>
      </c>
      <c r="E3886">
        <v>0.01</v>
      </c>
      <c r="F3886" t="s">
        <v>546</v>
      </c>
      <c r="G3886" s="174">
        <v>45576.460914351854</v>
      </c>
    </row>
    <row r="3887" spans="1:7">
      <c r="A3887">
        <v>3922</v>
      </c>
      <c r="B3887" t="s">
        <v>5407</v>
      </c>
      <c r="C3887" t="s">
        <v>5408</v>
      </c>
      <c r="E3887">
        <v>0.01</v>
      </c>
      <c r="F3887" t="s">
        <v>546</v>
      </c>
      <c r="G3887" s="174">
        <v>45576.460914351854</v>
      </c>
    </row>
    <row r="3888" spans="1:7">
      <c r="A3888">
        <v>3923</v>
      </c>
      <c r="B3888" t="s">
        <v>5409</v>
      </c>
      <c r="C3888" t="s">
        <v>3848</v>
      </c>
      <c r="E3888">
        <v>0.01</v>
      </c>
      <c r="F3888" t="s">
        <v>546</v>
      </c>
      <c r="G3888" s="174">
        <v>45576.460914351854</v>
      </c>
    </row>
    <row r="3889" spans="1:7">
      <c r="A3889">
        <v>3924</v>
      </c>
      <c r="B3889" t="s">
        <v>5410</v>
      </c>
      <c r="C3889" t="s">
        <v>5411</v>
      </c>
      <c r="E3889">
        <v>0.01</v>
      </c>
      <c r="F3889" t="s">
        <v>546</v>
      </c>
      <c r="G3889" s="174">
        <v>45576.460914351854</v>
      </c>
    </row>
    <row r="3890" spans="1:7">
      <c r="A3890">
        <v>3925</v>
      </c>
      <c r="B3890" t="s">
        <v>5412</v>
      </c>
      <c r="C3890" t="s">
        <v>5046</v>
      </c>
      <c r="E3890">
        <v>0.01</v>
      </c>
      <c r="F3890" t="s">
        <v>546</v>
      </c>
      <c r="G3890" s="174">
        <v>45576.460914351854</v>
      </c>
    </row>
    <row r="3891" spans="1:7">
      <c r="A3891">
        <v>3926</v>
      </c>
      <c r="B3891" t="s">
        <v>5413</v>
      </c>
      <c r="C3891" t="s">
        <v>4406</v>
      </c>
      <c r="E3891">
        <v>0.01</v>
      </c>
      <c r="F3891" t="s">
        <v>546</v>
      </c>
      <c r="G3891" s="174">
        <v>45576.460914351854</v>
      </c>
    </row>
    <row r="3892" spans="1:7">
      <c r="A3892">
        <v>3927</v>
      </c>
      <c r="B3892" t="s">
        <v>5414</v>
      </c>
      <c r="C3892" t="s">
        <v>4284</v>
      </c>
      <c r="E3892">
        <v>0.8</v>
      </c>
      <c r="F3892" t="s">
        <v>546</v>
      </c>
      <c r="G3892" s="174">
        <v>45576.460914351854</v>
      </c>
    </row>
    <row r="3893" spans="1:7">
      <c r="A3893">
        <v>3929</v>
      </c>
      <c r="B3893" t="s">
        <v>5415</v>
      </c>
      <c r="C3893" t="s">
        <v>3353</v>
      </c>
      <c r="E3893">
        <v>0.01</v>
      </c>
      <c r="F3893" t="s">
        <v>546</v>
      </c>
      <c r="G3893" s="174">
        <v>45576.460914351854</v>
      </c>
    </row>
    <row r="3894" spans="1:7">
      <c r="A3894">
        <v>3930</v>
      </c>
      <c r="B3894" t="s">
        <v>5416</v>
      </c>
      <c r="C3894" t="s">
        <v>5417</v>
      </c>
      <c r="E3894">
        <v>0.01</v>
      </c>
      <c r="F3894" t="s">
        <v>546</v>
      </c>
      <c r="G3894" s="174">
        <v>45576.460914351854</v>
      </c>
    </row>
    <row r="3895" spans="1:7">
      <c r="A3895">
        <v>3931</v>
      </c>
      <c r="B3895" t="s">
        <v>5418</v>
      </c>
      <c r="C3895" t="s">
        <v>4665</v>
      </c>
      <c r="E3895">
        <v>0.01</v>
      </c>
      <c r="F3895" t="s">
        <v>546</v>
      </c>
      <c r="G3895" s="174">
        <v>45576.460914351854</v>
      </c>
    </row>
    <row r="3896" spans="1:7">
      <c r="A3896">
        <v>3932</v>
      </c>
      <c r="B3896" t="s">
        <v>5419</v>
      </c>
      <c r="C3896" t="s">
        <v>5420</v>
      </c>
      <c r="E3896">
        <v>0.01</v>
      </c>
      <c r="F3896" t="s">
        <v>546</v>
      </c>
      <c r="G3896" s="174">
        <v>45576.460914351854</v>
      </c>
    </row>
    <row r="3897" spans="1:7">
      <c r="A3897">
        <v>3933</v>
      </c>
      <c r="B3897" t="s">
        <v>5419</v>
      </c>
      <c r="C3897" t="s">
        <v>4214</v>
      </c>
      <c r="E3897">
        <v>0.01</v>
      </c>
      <c r="F3897" t="s">
        <v>546</v>
      </c>
      <c r="G3897" s="174">
        <v>45576.460914351854</v>
      </c>
    </row>
    <row r="3898" spans="1:7">
      <c r="A3898">
        <v>3934</v>
      </c>
      <c r="B3898" t="s">
        <v>1588</v>
      </c>
      <c r="C3898" t="s">
        <v>2943</v>
      </c>
      <c r="E3898">
        <v>0.01</v>
      </c>
      <c r="F3898" t="s">
        <v>546</v>
      </c>
      <c r="G3898" s="174">
        <v>45576.460914351854</v>
      </c>
    </row>
    <row r="3899" spans="1:7">
      <c r="A3899">
        <v>3935</v>
      </c>
      <c r="B3899" t="s">
        <v>5421</v>
      </c>
      <c r="C3899" t="s">
        <v>5422</v>
      </c>
      <c r="E3899">
        <v>0.6</v>
      </c>
      <c r="F3899" t="s">
        <v>546</v>
      </c>
      <c r="G3899" s="174">
        <v>45576.460914351854</v>
      </c>
    </row>
    <row r="3900" spans="1:7">
      <c r="A3900">
        <v>3936</v>
      </c>
      <c r="B3900" t="s">
        <v>5421</v>
      </c>
      <c r="C3900" t="s">
        <v>4272</v>
      </c>
      <c r="E3900">
        <v>0.8</v>
      </c>
      <c r="F3900" t="s">
        <v>546</v>
      </c>
      <c r="G3900" s="174">
        <v>45576.460914351854</v>
      </c>
    </row>
    <row r="3901" spans="1:7">
      <c r="A3901">
        <v>3937</v>
      </c>
      <c r="B3901" t="s">
        <v>5423</v>
      </c>
      <c r="C3901" t="s">
        <v>4227</v>
      </c>
      <c r="E3901">
        <v>0.01</v>
      </c>
      <c r="F3901" t="s">
        <v>546</v>
      </c>
      <c r="G3901" s="174">
        <v>45576.460914351854</v>
      </c>
    </row>
    <row r="3902" spans="1:7">
      <c r="A3902">
        <v>3938</v>
      </c>
      <c r="B3902" t="s">
        <v>5424</v>
      </c>
      <c r="C3902" t="s">
        <v>4027</v>
      </c>
      <c r="E3902">
        <v>0.01</v>
      </c>
      <c r="F3902" t="s">
        <v>546</v>
      </c>
      <c r="G3902" s="174">
        <v>45576.460914351854</v>
      </c>
    </row>
    <row r="3903" spans="1:7">
      <c r="A3903">
        <v>3939</v>
      </c>
      <c r="B3903" t="s">
        <v>5425</v>
      </c>
      <c r="C3903" t="s">
        <v>2976</v>
      </c>
      <c r="E3903">
        <v>0.01</v>
      </c>
      <c r="F3903" t="s">
        <v>546</v>
      </c>
      <c r="G3903" s="174">
        <v>45576.460914351854</v>
      </c>
    </row>
    <row r="3904" spans="1:7">
      <c r="A3904">
        <v>3940</v>
      </c>
      <c r="B3904" t="s">
        <v>5426</v>
      </c>
      <c r="C3904" t="s">
        <v>4830</v>
      </c>
      <c r="E3904">
        <v>0.01</v>
      </c>
      <c r="F3904" t="s">
        <v>546</v>
      </c>
      <c r="G3904" s="174">
        <v>45576.460914351854</v>
      </c>
    </row>
    <row r="3905" spans="1:7">
      <c r="A3905">
        <v>3941</v>
      </c>
      <c r="B3905" t="s">
        <v>5427</v>
      </c>
      <c r="C3905" t="s">
        <v>3348</v>
      </c>
      <c r="E3905">
        <v>0.01</v>
      </c>
      <c r="F3905" t="s">
        <v>546</v>
      </c>
      <c r="G3905" s="174">
        <v>45576.460914351854</v>
      </c>
    </row>
    <row r="3906" spans="1:7">
      <c r="A3906">
        <v>3942</v>
      </c>
      <c r="B3906" t="s">
        <v>5428</v>
      </c>
      <c r="C3906" t="s">
        <v>5429</v>
      </c>
      <c r="E3906">
        <v>0.1</v>
      </c>
      <c r="F3906" t="s">
        <v>546</v>
      </c>
      <c r="G3906" s="174">
        <v>45576.460914351854</v>
      </c>
    </row>
    <row r="3907" spans="1:7">
      <c r="A3907">
        <v>3943</v>
      </c>
      <c r="B3907" t="s">
        <v>1591</v>
      </c>
      <c r="C3907" t="s">
        <v>5430</v>
      </c>
      <c r="E3907">
        <v>0.05</v>
      </c>
      <c r="F3907" t="s">
        <v>546</v>
      </c>
      <c r="G3907" s="174">
        <v>45576.460914351854</v>
      </c>
    </row>
    <row r="3908" spans="1:7">
      <c r="A3908">
        <v>3944</v>
      </c>
      <c r="B3908" t="s">
        <v>5431</v>
      </c>
      <c r="C3908" t="s">
        <v>5383</v>
      </c>
      <c r="E3908">
        <v>0.01</v>
      </c>
      <c r="F3908" t="s">
        <v>546</v>
      </c>
      <c r="G3908" s="174">
        <v>45576.460914351854</v>
      </c>
    </row>
    <row r="3909" spans="1:7">
      <c r="A3909">
        <v>3945</v>
      </c>
      <c r="B3909" t="s">
        <v>5431</v>
      </c>
      <c r="C3909" t="s">
        <v>5432</v>
      </c>
      <c r="E3909">
        <v>0.01</v>
      </c>
      <c r="F3909" t="s">
        <v>546</v>
      </c>
      <c r="G3909" s="174">
        <v>45576.460914351854</v>
      </c>
    </row>
    <row r="3910" spans="1:7">
      <c r="A3910">
        <v>3946</v>
      </c>
      <c r="B3910" t="s">
        <v>5433</v>
      </c>
      <c r="C3910" t="s">
        <v>4712</v>
      </c>
      <c r="E3910">
        <v>0.01</v>
      </c>
      <c r="F3910" t="s">
        <v>546</v>
      </c>
      <c r="G3910" s="174">
        <v>45576.460914351854</v>
      </c>
    </row>
    <row r="3911" spans="1:7">
      <c r="A3911">
        <v>3947</v>
      </c>
      <c r="B3911" t="s">
        <v>5434</v>
      </c>
      <c r="C3911" t="s">
        <v>4091</v>
      </c>
      <c r="E3911">
        <v>0.01</v>
      </c>
      <c r="F3911" t="s">
        <v>546</v>
      </c>
      <c r="G3911" s="174">
        <v>45576.460914351854</v>
      </c>
    </row>
    <row r="3912" spans="1:7">
      <c r="A3912">
        <v>3948</v>
      </c>
      <c r="B3912" t="s">
        <v>5435</v>
      </c>
      <c r="C3912" t="s">
        <v>5436</v>
      </c>
      <c r="E3912">
        <v>0.01</v>
      </c>
      <c r="F3912" t="s">
        <v>546</v>
      </c>
      <c r="G3912" s="174">
        <v>45576.460914351854</v>
      </c>
    </row>
    <row r="3913" spans="1:7">
      <c r="A3913">
        <v>3949</v>
      </c>
      <c r="B3913" t="s">
        <v>5435</v>
      </c>
      <c r="C3913" t="s">
        <v>3184</v>
      </c>
      <c r="E3913">
        <v>0.01</v>
      </c>
      <c r="F3913" t="s">
        <v>546</v>
      </c>
      <c r="G3913" s="174">
        <v>45576.460914351854</v>
      </c>
    </row>
    <row r="3914" spans="1:7">
      <c r="A3914">
        <v>3950</v>
      </c>
      <c r="B3914" t="s">
        <v>5437</v>
      </c>
      <c r="C3914" t="s">
        <v>3047</v>
      </c>
      <c r="E3914">
        <v>0.01</v>
      </c>
      <c r="F3914" t="s">
        <v>546</v>
      </c>
      <c r="G3914" s="174">
        <v>45576.460914351854</v>
      </c>
    </row>
    <row r="3915" spans="1:7">
      <c r="A3915">
        <v>3951</v>
      </c>
      <c r="B3915" t="s">
        <v>5438</v>
      </c>
      <c r="C3915" t="s">
        <v>4408</v>
      </c>
      <c r="E3915">
        <v>0.5</v>
      </c>
      <c r="F3915" t="s">
        <v>546</v>
      </c>
      <c r="G3915" s="174">
        <v>45576.460914351854</v>
      </c>
    </row>
    <row r="3916" spans="1:7">
      <c r="A3916">
        <v>3952</v>
      </c>
      <c r="B3916" t="s">
        <v>5438</v>
      </c>
      <c r="C3916" t="s">
        <v>3339</v>
      </c>
      <c r="E3916">
        <v>0.8</v>
      </c>
      <c r="F3916" t="s">
        <v>546</v>
      </c>
      <c r="G3916" s="174">
        <v>45576.460914351854</v>
      </c>
    </row>
    <row r="3917" spans="1:7">
      <c r="A3917">
        <v>3953</v>
      </c>
      <c r="B3917" t="s">
        <v>5439</v>
      </c>
      <c r="C3917" t="s">
        <v>4517</v>
      </c>
      <c r="E3917">
        <v>0.1</v>
      </c>
      <c r="F3917" t="s">
        <v>546</v>
      </c>
      <c r="G3917" s="174">
        <v>45576.460914351854</v>
      </c>
    </row>
    <row r="3918" spans="1:7">
      <c r="A3918">
        <v>3954</v>
      </c>
      <c r="B3918" t="s">
        <v>5440</v>
      </c>
      <c r="C3918" t="s">
        <v>2892</v>
      </c>
      <c r="E3918">
        <v>0.1</v>
      </c>
      <c r="F3918" t="s">
        <v>546</v>
      </c>
      <c r="G3918" s="174">
        <v>45576.460914351854</v>
      </c>
    </row>
    <row r="3919" spans="1:7">
      <c r="A3919">
        <v>3955</v>
      </c>
      <c r="B3919" t="s">
        <v>5441</v>
      </c>
      <c r="C3919" t="s">
        <v>4650</v>
      </c>
      <c r="E3919">
        <v>0.01</v>
      </c>
      <c r="F3919" t="s">
        <v>546</v>
      </c>
      <c r="G3919" s="174">
        <v>45576.460914351854</v>
      </c>
    </row>
    <row r="3920" spans="1:7">
      <c r="A3920">
        <v>3956</v>
      </c>
      <c r="B3920" t="s">
        <v>5442</v>
      </c>
      <c r="C3920" t="s">
        <v>3375</v>
      </c>
      <c r="E3920">
        <v>0.1</v>
      </c>
      <c r="F3920" t="s">
        <v>546</v>
      </c>
      <c r="G3920" s="174">
        <v>45576.460914351854</v>
      </c>
    </row>
    <row r="3921" spans="1:7">
      <c r="A3921">
        <v>3957</v>
      </c>
      <c r="B3921" t="s">
        <v>5443</v>
      </c>
      <c r="C3921" t="s">
        <v>3773</v>
      </c>
      <c r="E3921">
        <v>0.01</v>
      </c>
      <c r="F3921" t="s">
        <v>546</v>
      </c>
      <c r="G3921" s="174">
        <v>45576.460914351854</v>
      </c>
    </row>
    <row r="3922" spans="1:7">
      <c r="A3922">
        <v>3958</v>
      </c>
      <c r="B3922" t="s">
        <v>1593</v>
      </c>
      <c r="C3922" t="s">
        <v>3116</v>
      </c>
      <c r="E3922">
        <v>0.01</v>
      </c>
      <c r="F3922" t="s">
        <v>546</v>
      </c>
      <c r="G3922" s="174">
        <v>45576.460914351854</v>
      </c>
    </row>
    <row r="3923" spans="1:7">
      <c r="A3923">
        <v>3959</v>
      </c>
      <c r="B3923" t="s">
        <v>5444</v>
      </c>
      <c r="C3923" t="s">
        <v>4211</v>
      </c>
      <c r="E3923">
        <v>0.1</v>
      </c>
      <c r="F3923" t="s">
        <v>546</v>
      </c>
      <c r="G3923" s="174">
        <v>45576.460914351854</v>
      </c>
    </row>
    <row r="3924" spans="1:7">
      <c r="A3924">
        <v>3960</v>
      </c>
      <c r="B3924" t="s">
        <v>1595</v>
      </c>
      <c r="C3924" t="s">
        <v>5445</v>
      </c>
      <c r="E3924">
        <v>0.01</v>
      </c>
      <c r="F3924" t="s">
        <v>546</v>
      </c>
      <c r="G3924" s="174">
        <v>45576.460914351854</v>
      </c>
    </row>
    <row r="3925" spans="1:7">
      <c r="A3925">
        <v>3961</v>
      </c>
      <c r="B3925" t="s">
        <v>5446</v>
      </c>
      <c r="C3925" t="s">
        <v>3120</v>
      </c>
      <c r="E3925">
        <v>0.01</v>
      </c>
      <c r="F3925" t="s">
        <v>546</v>
      </c>
      <c r="G3925" s="174">
        <v>45576.460914351854</v>
      </c>
    </row>
    <row r="3926" spans="1:7">
      <c r="A3926">
        <v>3962</v>
      </c>
      <c r="B3926" t="s">
        <v>5447</v>
      </c>
      <c r="C3926" t="s">
        <v>5345</v>
      </c>
      <c r="E3926">
        <v>0.01</v>
      </c>
      <c r="F3926" t="s">
        <v>546</v>
      </c>
      <c r="G3926" s="174">
        <v>45576.460914351854</v>
      </c>
    </row>
    <row r="3927" spans="1:7">
      <c r="A3927">
        <v>3963</v>
      </c>
      <c r="B3927" t="s">
        <v>5447</v>
      </c>
      <c r="C3927" t="s">
        <v>5448</v>
      </c>
      <c r="E3927">
        <v>0.01</v>
      </c>
      <c r="F3927" t="s">
        <v>546</v>
      </c>
      <c r="G3927" s="174">
        <v>45576.460914351854</v>
      </c>
    </row>
    <row r="3928" spans="1:7">
      <c r="A3928">
        <v>3964</v>
      </c>
      <c r="B3928" t="s">
        <v>5447</v>
      </c>
      <c r="C3928" t="s">
        <v>5449</v>
      </c>
      <c r="E3928">
        <v>0.01</v>
      </c>
      <c r="F3928" t="s">
        <v>546</v>
      </c>
      <c r="G3928" s="174">
        <v>45576.460914351854</v>
      </c>
    </row>
    <row r="3929" spans="1:7">
      <c r="A3929">
        <v>3965</v>
      </c>
      <c r="B3929" t="s">
        <v>5450</v>
      </c>
      <c r="C3929" t="s">
        <v>2904</v>
      </c>
      <c r="E3929">
        <v>0.01</v>
      </c>
      <c r="F3929" t="s">
        <v>546</v>
      </c>
      <c r="G3929" s="174">
        <v>45576.460914351854</v>
      </c>
    </row>
    <row r="3930" spans="1:7">
      <c r="A3930">
        <v>3966</v>
      </c>
      <c r="B3930" t="s">
        <v>5451</v>
      </c>
      <c r="C3930" t="s">
        <v>4096</v>
      </c>
      <c r="E3930">
        <v>0.1</v>
      </c>
      <c r="F3930" t="s">
        <v>546</v>
      </c>
      <c r="G3930" s="174">
        <v>45576.460914351854</v>
      </c>
    </row>
    <row r="3931" spans="1:7">
      <c r="A3931">
        <v>3967</v>
      </c>
      <c r="B3931" t="s">
        <v>5452</v>
      </c>
      <c r="C3931" t="s">
        <v>4904</v>
      </c>
      <c r="E3931">
        <v>0.01</v>
      </c>
      <c r="F3931" t="s">
        <v>546</v>
      </c>
      <c r="G3931" s="174">
        <v>45576.460914351854</v>
      </c>
    </row>
    <row r="3932" spans="1:7">
      <c r="A3932">
        <v>3968</v>
      </c>
      <c r="B3932" t="s">
        <v>5452</v>
      </c>
      <c r="C3932" t="s">
        <v>4905</v>
      </c>
      <c r="E3932">
        <v>0.01</v>
      </c>
      <c r="F3932" t="s">
        <v>546</v>
      </c>
      <c r="G3932" s="174">
        <v>45576.460914351854</v>
      </c>
    </row>
    <row r="3933" spans="1:7">
      <c r="A3933">
        <v>3969</v>
      </c>
      <c r="B3933" t="s">
        <v>5453</v>
      </c>
      <c r="C3933" t="s">
        <v>4797</v>
      </c>
      <c r="E3933">
        <v>0.01</v>
      </c>
      <c r="F3933" t="s">
        <v>546</v>
      </c>
      <c r="G3933" s="174">
        <v>45576.460914351854</v>
      </c>
    </row>
    <row r="3934" spans="1:7">
      <c r="A3934">
        <v>3970</v>
      </c>
      <c r="B3934" t="s">
        <v>5454</v>
      </c>
      <c r="C3934" t="s">
        <v>3800</v>
      </c>
      <c r="E3934">
        <v>0.01</v>
      </c>
      <c r="F3934" t="s">
        <v>546</v>
      </c>
      <c r="G3934" s="174">
        <v>45576.460914351854</v>
      </c>
    </row>
    <row r="3935" spans="1:7">
      <c r="A3935">
        <v>3971</v>
      </c>
      <c r="B3935" t="s">
        <v>5455</v>
      </c>
      <c r="C3935" t="s">
        <v>3738</v>
      </c>
      <c r="E3935">
        <v>0.1</v>
      </c>
      <c r="F3935" t="s">
        <v>546</v>
      </c>
      <c r="G3935" s="174">
        <v>45576.460914351854</v>
      </c>
    </row>
    <row r="3936" spans="1:7">
      <c r="A3936">
        <v>3973</v>
      </c>
      <c r="B3936" t="s">
        <v>5456</v>
      </c>
      <c r="C3936" t="s">
        <v>3871</v>
      </c>
      <c r="E3936">
        <v>0.01</v>
      </c>
      <c r="F3936" t="s">
        <v>546</v>
      </c>
      <c r="G3936" s="174">
        <v>45576.460914351854</v>
      </c>
    </row>
    <row r="3937" spans="1:7">
      <c r="A3937">
        <v>3974</v>
      </c>
      <c r="B3937" t="s">
        <v>5457</v>
      </c>
      <c r="C3937" t="s">
        <v>5306</v>
      </c>
      <c r="E3937">
        <v>0.1</v>
      </c>
      <c r="F3937" t="s">
        <v>546</v>
      </c>
      <c r="G3937" s="174">
        <v>45576.460914351854</v>
      </c>
    </row>
    <row r="3938" spans="1:7">
      <c r="A3938">
        <v>3975</v>
      </c>
      <c r="B3938" t="s">
        <v>5458</v>
      </c>
      <c r="C3938" t="s">
        <v>4680</v>
      </c>
      <c r="E3938">
        <v>0.01</v>
      </c>
      <c r="F3938" t="s">
        <v>546</v>
      </c>
      <c r="G3938" s="174">
        <v>45576.460914351854</v>
      </c>
    </row>
    <row r="3939" spans="1:7">
      <c r="A3939">
        <v>3976</v>
      </c>
      <c r="B3939" t="s">
        <v>5459</v>
      </c>
      <c r="C3939" t="s">
        <v>4570</v>
      </c>
      <c r="E3939">
        <v>0.01</v>
      </c>
      <c r="F3939" t="s">
        <v>546</v>
      </c>
      <c r="G3939" s="174">
        <v>45576.460914351854</v>
      </c>
    </row>
    <row r="3940" spans="1:7">
      <c r="A3940">
        <v>3977</v>
      </c>
      <c r="B3940" t="s">
        <v>5460</v>
      </c>
      <c r="C3940" t="s">
        <v>3254</v>
      </c>
      <c r="E3940">
        <v>0.01</v>
      </c>
      <c r="F3940" t="s">
        <v>546</v>
      </c>
      <c r="G3940" s="174">
        <v>45576.460914351854</v>
      </c>
    </row>
    <row r="3941" spans="1:7">
      <c r="A3941">
        <v>3978</v>
      </c>
      <c r="B3941" t="s">
        <v>5461</v>
      </c>
      <c r="C3941" t="s">
        <v>3879</v>
      </c>
      <c r="E3941">
        <v>0.01</v>
      </c>
      <c r="F3941" t="s">
        <v>546</v>
      </c>
      <c r="G3941" s="174">
        <v>45576.460914351854</v>
      </c>
    </row>
    <row r="3942" spans="1:7">
      <c r="A3942">
        <v>3979</v>
      </c>
      <c r="B3942" t="s">
        <v>5462</v>
      </c>
      <c r="C3942" t="s">
        <v>3386</v>
      </c>
      <c r="E3942">
        <v>0.01</v>
      </c>
      <c r="F3942" t="s">
        <v>546</v>
      </c>
      <c r="G3942" s="174">
        <v>45576.460914351854</v>
      </c>
    </row>
    <row r="3943" spans="1:7">
      <c r="A3943">
        <v>3980</v>
      </c>
      <c r="B3943" t="s">
        <v>5463</v>
      </c>
      <c r="C3943" t="s">
        <v>3144</v>
      </c>
      <c r="E3943">
        <v>0.6</v>
      </c>
      <c r="F3943" t="s">
        <v>546</v>
      </c>
      <c r="G3943" s="174">
        <v>45576.460914351854</v>
      </c>
    </row>
    <row r="3944" spans="1:7">
      <c r="A3944">
        <v>3981</v>
      </c>
      <c r="B3944" t="s">
        <v>5464</v>
      </c>
      <c r="C3944" t="s">
        <v>2257</v>
      </c>
      <c r="E3944">
        <v>0.01</v>
      </c>
      <c r="F3944" t="s">
        <v>546</v>
      </c>
      <c r="G3944" s="174">
        <v>45576.460914351854</v>
      </c>
    </row>
    <row r="3945" spans="1:7">
      <c r="A3945">
        <v>3982</v>
      </c>
      <c r="B3945" t="s">
        <v>5465</v>
      </c>
      <c r="C3945" t="s">
        <v>4514</v>
      </c>
      <c r="E3945">
        <v>0.01</v>
      </c>
      <c r="F3945" t="s">
        <v>546</v>
      </c>
      <c r="G3945" s="174">
        <v>45576.460914351854</v>
      </c>
    </row>
    <row r="3946" spans="1:7">
      <c r="A3946">
        <v>3983</v>
      </c>
      <c r="B3946" t="s">
        <v>5466</v>
      </c>
      <c r="C3946" t="s">
        <v>3850</v>
      </c>
      <c r="E3946">
        <v>0.01</v>
      </c>
      <c r="F3946" t="s">
        <v>546</v>
      </c>
      <c r="G3946" s="174">
        <v>45576.460914351854</v>
      </c>
    </row>
    <row r="3947" spans="1:7">
      <c r="A3947">
        <v>3984</v>
      </c>
      <c r="B3947" t="s">
        <v>1606</v>
      </c>
      <c r="C3947" t="s">
        <v>5467</v>
      </c>
      <c r="E3947">
        <v>0.01</v>
      </c>
      <c r="F3947" t="s">
        <v>546</v>
      </c>
      <c r="G3947" s="174">
        <v>45576.460914351854</v>
      </c>
    </row>
    <row r="3948" spans="1:7">
      <c r="A3948">
        <v>3985</v>
      </c>
      <c r="B3948" t="s">
        <v>5468</v>
      </c>
      <c r="C3948" t="s">
        <v>3875</v>
      </c>
      <c r="E3948">
        <v>0.01</v>
      </c>
      <c r="F3948" t="s">
        <v>546</v>
      </c>
      <c r="G3948" s="174">
        <v>45576.460914351854</v>
      </c>
    </row>
    <row r="3949" spans="1:7">
      <c r="A3949">
        <v>3986</v>
      </c>
      <c r="B3949" t="s">
        <v>5469</v>
      </c>
      <c r="C3949" t="s">
        <v>3302</v>
      </c>
      <c r="E3949">
        <v>0.1</v>
      </c>
      <c r="F3949" t="s">
        <v>546</v>
      </c>
      <c r="G3949" s="174">
        <v>45576.460914351854</v>
      </c>
    </row>
    <row r="3950" spans="1:7">
      <c r="A3950">
        <v>3987</v>
      </c>
      <c r="B3950" t="s">
        <v>5470</v>
      </c>
      <c r="C3950" t="s">
        <v>3705</v>
      </c>
      <c r="E3950">
        <v>0.1</v>
      </c>
      <c r="F3950" t="s">
        <v>546</v>
      </c>
      <c r="G3950" s="174">
        <v>45576.460914351854</v>
      </c>
    </row>
    <row r="3951" spans="1:7">
      <c r="A3951">
        <v>3988</v>
      </c>
      <c r="B3951" t="s">
        <v>5471</v>
      </c>
      <c r="C3951" t="s">
        <v>5247</v>
      </c>
      <c r="E3951">
        <v>0.1</v>
      </c>
      <c r="F3951" t="s">
        <v>546</v>
      </c>
      <c r="G3951" s="174">
        <v>45576.460914351854</v>
      </c>
    </row>
    <row r="3952" spans="1:7">
      <c r="A3952">
        <v>3989</v>
      </c>
      <c r="B3952" t="s">
        <v>5471</v>
      </c>
      <c r="C3952" t="s">
        <v>5250</v>
      </c>
      <c r="E3952">
        <v>0.1</v>
      </c>
      <c r="F3952" t="s">
        <v>546</v>
      </c>
      <c r="G3952" s="174">
        <v>45576.460914351854</v>
      </c>
    </row>
    <row r="3953" spans="1:7">
      <c r="A3953">
        <v>3990</v>
      </c>
      <c r="B3953" t="s">
        <v>5471</v>
      </c>
      <c r="C3953" t="s">
        <v>5472</v>
      </c>
      <c r="E3953">
        <v>0.1</v>
      </c>
      <c r="F3953" t="s">
        <v>546</v>
      </c>
      <c r="G3953" s="174">
        <v>45576.460914351854</v>
      </c>
    </row>
    <row r="3954" spans="1:7">
      <c r="A3954">
        <v>3991</v>
      </c>
      <c r="B3954" t="s">
        <v>5473</v>
      </c>
      <c r="C3954" t="s">
        <v>3389</v>
      </c>
      <c r="E3954">
        <v>0.01</v>
      </c>
      <c r="F3954" t="s">
        <v>546</v>
      </c>
      <c r="G3954" s="174">
        <v>45576.460914351854</v>
      </c>
    </row>
    <row r="3955" spans="1:7">
      <c r="A3955">
        <v>3992</v>
      </c>
      <c r="B3955" t="s">
        <v>5474</v>
      </c>
      <c r="C3955" t="s">
        <v>741</v>
      </c>
      <c r="E3955">
        <v>0.01</v>
      </c>
      <c r="F3955" t="s">
        <v>546</v>
      </c>
      <c r="G3955" s="174">
        <v>45576.460914351854</v>
      </c>
    </row>
    <row r="3956" spans="1:7">
      <c r="A3956">
        <v>3993</v>
      </c>
      <c r="B3956" t="s">
        <v>1612</v>
      </c>
      <c r="C3956" t="s">
        <v>3319</v>
      </c>
      <c r="E3956">
        <v>0.01</v>
      </c>
      <c r="F3956" t="s">
        <v>546</v>
      </c>
      <c r="G3956" s="174">
        <v>45576.460914351854</v>
      </c>
    </row>
    <row r="3957" spans="1:7">
      <c r="A3957">
        <v>3994</v>
      </c>
      <c r="B3957" t="s">
        <v>5475</v>
      </c>
      <c r="C3957" t="s">
        <v>3196</v>
      </c>
      <c r="E3957">
        <v>0.01</v>
      </c>
      <c r="F3957" t="s">
        <v>546</v>
      </c>
      <c r="G3957" s="174">
        <v>45576.460914351854</v>
      </c>
    </row>
    <row r="3958" spans="1:7">
      <c r="A3958">
        <v>3995</v>
      </c>
      <c r="B3958" t="s">
        <v>5475</v>
      </c>
      <c r="C3958" t="s">
        <v>5476</v>
      </c>
      <c r="E3958">
        <v>0.01</v>
      </c>
      <c r="F3958" t="s">
        <v>546</v>
      </c>
      <c r="G3958" s="174">
        <v>45576.460914351854</v>
      </c>
    </row>
    <row r="3959" spans="1:7">
      <c r="A3959">
        <v>3996</v>
      </c>
      <c r="B3959" t="s">
        <v>5477</v>
      </c>
      <c r="C3959" t="s">
        <v>3676</v>
      </c>
      <c r="E3959">
        <v>0.1</v>
      </c>
      <c r="F3959" t="s">
        <v>546</v>
      </c>
      <c r="G3959" s="174">
        <v>45576.460914351854</v>
      </c>
    </row>
    <row r="3960" spans="1:7">
      <c r="A3960">
        <v>3997</v>
      </c>
      <c r="B3960" t="s">
        <v>5478</v>
      </c>
      <c r="C3960" t="s">
        <v>5479</v>
      </c>
      <c r="E3960">
        <v>0.01</v>
      </c>
      <c r="F3960" t="s">
        <v>546</v>
      </c>
      <c r="G3960" s="174">
        <v>45576.460914351854</v>
      </c>
    </row>
    <row r="3961" spans="1:7">
      <c r="A3961">
        <v>3998</v>
      </c>
      <c r="B3961" t="s">
        <v>5480</v>
      </c>
      <c r="C3961" t="s">
        <v>3293</v>
      </c>
      <c r="E3961">
        <v>0.1</v>
      </c>
      <c r="F3961" t="s">
        <v>546</v>
      </c>
      <c r="G3961" s="174">
        <v>45576.460914351854</v>
      </c>
    </row>
    <row r="3962" spans="1:7">
      <c r="A3962">
        <v>3999</v>
      </c>
      <c r="B3962" t="s">
        <v>5481</v>
      </c>
      <c r="C3962" t="s">
        <v>5482</v>
      </c>
      <c r="E3962">
        <v>0.01</v>
      </c>
      <c r="F3962" t="s">
        <v>546</v>
      </c>
      <c r="G3962" s="174">
        <v>45576.460914351854</v>
      </c>
    </row>
    <row r="3963" spans="1:7">
      <c r="A3963">
        <v>4000</v>
      </c>
      <c r="B3963" t="s">
        <v>1614</v>
      </c>
      <c r="C3963" t="s">
        <v>3196</v>
      </c>
      <c r="E3963">
        <v>0.01</v>
      </c>
      <c r="F3963" t="s">
        <v>546</v>
      </c>
      <c r="G3963" s="174">
        <v>45576.460914351854</v>
      </c>
    </row>
    <row r="3964" spans="1:7">
      <c r="A3964">
        <v>4001</v>
      </c>
      <c r="B3964" t="s">
        <v>5483</v>
      </c>
      <c r="C3964" t="s">
        <v>5484</v>
      </c>
      <c r="E3964">
        <v>0.01</v>
      </c>
      <c r="F3964" t="s">
        <v>546</v>
      </c>
      <c r="G3964" s="174">
        <v>45576.460914351854</v>
      </c>
    </row>
    <row r="3965" spans="1:7">
      <c r="A3965">
        <v>4002</v>
      </c>
      <c r="B3965" t="s">
        <v>5483</v>
      </c>
      <c r="C3965" t="s">
        <v>5485</v>
      </c>
      <c r="E3965">
        <v>0.01</v>
      </c>
      <c r="F3965" t="s">
        <v>546</v>
      </c>
      <c r="G3965" s="174">
        <v>45576.460914351854</v>
      </c>
    </row>
    <row r="3966" spans="1:7">
      <c r="A3966">
        <v>4003</v>
      </c>
      <c r="B3966" t="s">
        <v>5486</v>
      </c>
      <c r="C3966" t="s">
        <v>3869</v>
      </c>
      <c r="E3966">
        <v>0.01</v>
      </c>
      <c r="F3966" t="s">
        <v>546</v>
      </c>
      <c r="G3966" s="174">
        <v>45576.460914351854</v>
      </c>
    </row>
    <row r="3967" spans="1:7">
      <c r="A3967">
        <v>4004</v>
      </c>
      <c r="B3967" t="s">
        <v>5487</v>
      </c>
      <c r="C3967" t="s">
        <v>3979</v>
      </c>
      <c r="E3967">
        <v>0.01</v>
      </c>
      <c r="F3967" t="s">
        <v>546</v>
      </c>
      <c r="G3967" s="174">
        <v>45576.460914351854</v>
      </c>
    </row>
    <row r="3968" spans="1:7">
      <c r="A3968">
        <v>4005</v>
      </c>
      <c r="B3968" t="s">
        <v>5488</v>
      </c>
      <c r="C3968" t="s">
        <v>4050</v>
      </c>
      <c r="E3968">
        <v>0.01</v>
      </c>
      <c r="F3968" t="s">
        <v>546</v>
      </c>
      <c r="G3968" s="174">
        <v>45576.460914351854</v>
      </c>
    </row>
    <row r="3969" spans="1:7">
      <c r="A3969">
        <v>4006</v>
      </c>
      <c r="B3969" t="s">
        <v>5489</v>
      </c>
      <c r="C3969" t="s">
        <v>5490</v>
      </c>
      <c r="E3969">
        <v>0.01</v>
      </c>
      <c r="F3969" t="s">
        <v>546</v>
      </c>
      <c r="G3969" s="174">
        <v>45576.460914351854</v>
      </c>
    </row>
    <row r="3970" spans="1:7">
      <c r="A3970">
        <v>4007</v>
      </c>
      <c r="B3970" t="s">
        <v>5489</v>
      </c>
      <c r="C3970" t="s">
        <v>5406</v>
      </c>
      <c r="E3970">
        <v>0.01</v>
      </c>
      <c r="F3970" t="s">
        <v>546</v>
      </c>
      <c r="G3970" s="174">
        <v>45576.460914351854</v>
      </c>
    </row>
    <row r="3971" spans="1:7">
      <c r="A3971">
        <v>4008</v>
      </c>
      <c r="B3971" t="s">
        <v>5491</v>
      </c>
      <c r="C3971" t="s">
        <v>3016</v>
      </c>
      <c r="E3971">
        <v>0.05</v>
      </c>
      <c r="F3971" t="s">
        <v>546</v>
      </c>
      <c r="G3971" s="174">
        <v>45576.460914351854</v>
      </c>
    </row>
    <row r="3972" spans="1:7">
      <c r="A3972">
        <v>4009</v>
      </c>
      <c r="B3972" t="s">
        <v>5491</v>
      </c>
      <c r="C3972" t="s">
        <v>5492</v>
      </c>
      <c r="E3972">
        <v>0.1</v>
      </c>
      <c r="F3972" t="s">
        <v>546</v>
      </c>
      <c r="G3972" s="174">
        <v>45576.460914351854</v>
      </c>
    </row>
    <row r="3973" spans="1:7">
      <c r="A3973">
        <v>4010</v>
      </c>
      <c r="B3973" t="s">
        <v>5493</v>
      </c>
      <c r="C3973" t="s">
        <v>5494</v>
      </c>
      <c r="E3973">
        <v>0.1</v>
      </c>
      <c r="F3973" t="s">
        <v>546</v>
      </c>
      <c r="G3973" s="174">
        <v>45576.460914351854</v>
      </c>
    </row>
    <row r="3974" spans="1:7">
      <c r="A3974">
        <v>4011</v>
      </c>
      <c r="B3974" t="s">
        <v>5495</v>
      </c>
      <c r="C3974" t="s">
        <v>3175</v>
      </c>
      <c r="E3974">
        <v>0.01</v>
      </c>
      <c r="F3974" t="s">
        <v>546</v>
      </c>
      <c r="G3974" s="174">
        <v>45576.460914351854</v>
      </c>
    </row>
    <row r="3975" spans="1:7">
      <c r="A3975">
        <v>4012</v>
      </c>
      <c r="B3975" t="s">
        <v>5496</v>
      </c>
      <c r="C3975" t="s">
        <v>5250</v>
      </c>
      <c r="E3975">
        <v>0.1</v>
      </c>
      <c r="F3975" t="s">
        <v>546</v>
      </c>
      <c r="G3975" s="174">
        <v>45576.460914351854</v>
      </c>
    </row>
    <row r="3976" spans="1:7">
      <c r="A3976">
        <v>4013</v>
      </c>
      <c r="B3976" t="s">
        <v>5497</v>
      </c>
      <c r="C3976" t="s">
        <v>3159</v>
      </c>
      <c r="E3976">
        <v>0.01</v>
      </c>
      <c r="F3976" t="s">
        <v>546</v>
      </c>
      <c r="G3976" s="174">
        <v>45576.460914351854</v>
      </c>
    </row>
    <row r="3977" spans="1:7">
      <c r="A3977">
        <v>4014</v>
      </c>
      <c r="B3977" t="s">
        <v>5498</v>
      </c>
      <c r="C3977" t="s">
        <v>3103</v>
      </c>
      <c r="E3977">
        <v>0.1</v>
      </c>
      <c r="F3977" t="s">
        <v>546</v>
      </c>
      <c r="G3977" s="174">
        <v>45576.460914351854</v>
      </c>
    </row>
    <row r="3978" spans="1:7">
      <c r="A3978">
        <v>4015</v>
      </c>
      <c r="B3978" t="s">
        <v>5499</v>
      </c>
      <c r="C3978" t="s">
        <v>4062</v>
      </c>
      <c r="E3978">
        <v>0.01</v>
      </c>
      <c r="F3978" t="s">
        <v>546</v>
      </c>
      <c r="G3978" s="174">
        <v>45576.460914351854</v>
      </c>
    </row>
    <row r="3979" spans="1:7">
      <c r="A3979">
        <v>4016</v>
      </c>
      <c r="B3979" t="s">
        <v>5499</v>
      </c>
      <c r="C3979" t="s">
        <v>4063</v>
      </c>
      <c r="E3979">
        <v>0.01</v>
      </c>
      <c r="F3979" t="s">
        <v>546</v>
      </c>
      <c r="G3979" s="174">
        <v>45576.460914351854</v>
      </c>
    </row>
    <row r="3980" spans="1:7">
      <c r="A3980">
        <v>4017</v>
      </c>
      <c r="B3980" t="s">
        <v>5500</v>
      </c>
      <c r="C3980" t="s">
        <v>4851</v>
      </c>
      <c r="E3980">
        <v>0.01</v>
      </c>
      <c r="F3980" t="s">
        <v>546</v>
      </c>
      <c r="G3980" s="174">
        <v>45576.460914351854</v>
      </c>
    </row>
    <row r="3981" spans="1:7">
      <c r="A3981">
        <v>4018</v>
      </c>
      <c r="B3981" t="s">
        <v>5501</v>
      </c>
      <c r="C3981" t="s">
        <v>5502</v>
      </c>
      <c r="E3981">
        <v>0.6</v>
      </c>
      <c r="F3981" t="s">
        <v>546</v>
      </c>
      <c r="G3981" s="174">
        <v>45576.460914351854</v>
      </c>
    </row>
    <row r="3982" spans="1:7">
      <c r="A3982">
        <v>4019</v>
      </c>
      <c r="B3982" t="s">
        <v>5501</v>
      </c>
      <c r="C3982" t="s">
        <v>5063</v>
      </c>
      <c r="E3982">
        <v>0.8</v>
      </c>
      <c r="F3982" t="s">
        <v>546</v>
      </c>
      <c r="G3982" s="174">
        <v>45576.460914351854</v>
      </c>
    </row>
    <row r="3983" spans="1:7">
      <c r="A3983">
        <v>4020</v>
      </c>
      <c r="B3983" t="s">
        <v>5503</v>
      </c>
      <c r="C3983" t="s">
        <v>3895</v>
      </c>
      <c r="E3983">
        <v>0.01</v>
      </c>
      <c r="F3983" t="s">
        <v>546</v>
      </c>
      <c r="G3983" s="174">
        <v>45576.460914351854</v>
      </c>
    </row>
    <row r="3984" spans="1:7">
      <c r="A3984">
        <v>4021</v>
      </c>
      <c r="B3984" t="s">
        <v>5504</v>
      </c>
      <c r="C3984" t="s">
        <v>3454</v>
      </c>
      <c r="E3984">
        <v>0.01</v>
      </c>
      <c r="F3984" t="s">
        <v>546</v>
      </c>
      <c r="G3984" s="174">
        <v>45576.460914351854</v>
      </c>
    </row>
    <row r="3985" spans="1:7">
      <c r="A3985">
        <v>4022</v>
      </c>
      <c r="B3985" t="s">
        <v>5505</v>
      </c>
      <c r="C3985" t="s">
        <v>4583</v>
      </c>
      <c r="E3985">
        <v>0.01</v>
      </c>
      <c r="F3985" t="s">
        <v>546</v>
      </c>
      <c r="G3985" s="174">
        <v>45576.460914351854</v>
      </c>
    </row>
    <row r="3986" spans="1:7">
      <c r="A3986">
        <v>4023</v>
      </c>
      <c r="B3986" t="s">
        <v>5505</v>
      </c>
      <c r="C3986" t="s">
        <v>3350</v>
      </c>
      <c r="E3986">
        <v>0.01</v>
      </c>
      <c r="F3986" t="s">
        <v>546</v>
      </c>
      <c r="G3986" s="174">
        <v>45576.460914351854</v>
      </c>
    </row>
    <row r="3987" spans="1:7">
      <c r="A3987">
        <v>4024</v>
      </c>
      <c r="B3987" t="s">
        <v>5506</v>
      </c>
      <c r="C3987" t="s">
        <v>3207</v>
      </c>
      <c r="E3987">
        <v>0.01</v>
      </c>
      <c r="F3987" t="s">
        <v>546</v>
      </c>
      <c r="G3987" s="174">
        <v>45576.460914351854</v>
      </c>
    </row>
    <row r="3988" spans="1:7">
      <c r="A3988">
        <v>4025</v>
      </c>
      <c r="B3988" t="s">
        <v>5507</v>
      </c>
      <c r="C3988" t="s">
        <v>3454</v>
      </c>
      <c r="E3988">
        <v>0.01</v>
      </c>
      <c r="F3988" t="s">
        <v>546</v>
      </c>
      <c r="G3988" s="174">
        <v>45576.460914351854</v>
      </c>
    </row>
    <row r="3989" spans="1:7">
      <c r="A3989">
        <v>4026</v>
      </c>
      <c r="B3989" t="s">
        <v>5508</v>
      </c>
      <c r="C3989" t="s">
        <v>2772</v>
      </c>
      <c r="E3989">
        <v>0.01</v>
      </c>
      <c r="F3989" t="s">
        <v>546</v>
      </c>
      <c r="G3989" s="174">
        <v>45576.460914351854</v>
      </c>
    </row>
    <row r="3990" spans="1:7">
      <c r="A3990">
        <v>4027</v>
      </c>
      <c r="B3990" t="s">
        <v>5509</v>
      </c>
      <c r="C3990" t="s">
        <v>3454</v>
      </c>
      <c r="E3990">
        <v>0.01</v>
      </c>
      <c r="F3990" t="s">
        <v>546</v>
      </c>
      <c r="G3990" s="174">
        <v>45576.460914351854</v>
      </c>
    </row>
    <row r="3991" spans="1:7">
      <c r="A3991">
        <v>4028</v>
      </c>
      <c r="B3991" t="s">
        <v>5510</v>
      </c>
      <c r="C3991" t="s">
        <v>2956</v>
      </c>
      <c r="E3991">
        <v>0.01</v>
      </c>
      <c r="F3991" t="s">
        <v>546</v>
      </c>
      <c r="G3991" s="174">
        <v>45576.460914351854</v>
      </c>
    </row>
    <row r="3992" spans="1:7">
      <c r="A3992">
        <v>4029</v>
      </c>
      <c r="B3992" t="s">
        <v>5511</v>
      </c>
      <c r="C3992" t="s">
        <v>3350</v>
      </c>
      <c r="E3992">
        <v>0.01</v>
      </c>
      <c r="F3992" t="s">
        <v>546</v>
      </c>
      <c r="G3992" s="174">
        <v>45576.460914351854</v>
      </c>
    </row>
    <row r="3993" spans="1:7">
      <c r="A3993">
        <v>4030</v>
      </c>
      <c r="B3993" t="s">
        <v>5512</v>
      </c>
      <c r="C3993" t="s">
        <v>5513</v>
      </c>
      <c r="E3993">
        <v>0.01</v>
      </c>
      <c r="F3993" t="s">
        <v>546</v>
      </c>
      <c r="G3993" s="174">
        <v>45576.460914351854</v>
      </c>
    </row>
    <row r="3994" spans="1:7">
      <c r="A3994">
        <v>4031</v>
      </c>
      <c r="B3994" t="s">
        <v>5512</v>
      </c>
      <c r="C3994" t="s">
        <v>3771</v>
      </c>
      <c r="E3994">
        <v>0.01</v>
      </c>
      <c r="F3994" t="s">
        <v>546</v>
      </c>
      <c r="G3994" s="174">
        <v>45576.460914351854</v>
      </c>
    </row>
    <row r="3995" spans="1:7">
      <c r="A3995">
        <v>4032</v>
      </c>
      <c r="B3995" t="s">
        <v>5512</v>
      </c>
      <c r="C3995" t="s">
        <v>5514</v>
      </c>
      <c r="E3995">
        <v>0.01</v>
      </c>
      <c r="F3995" t="s">
        <v>546</v>
      </c>
      <c r="G3995" s="174">
        <v>45576.460914351854</v>
      </c>
    </row>
    <row r="3996" spans="1:7">
      <c r="A3996">
        <v>4033</v>
      </c>
      <c r="B3996" t="s">
        <v>5515</v>
      </c>
      <c r="C3996" t="s">
        <v>4080</v>
      </c>
      <c r="E3996">
        <v>0.01</v>
      </c>
      <c r="F3996" t="s">
        <v>546</v>
      </c>
      <c r="G3996" s="174">
        <v>45576.460914351854</v>
      </c>
    </row>
    <row r="3997" spans="1:7">
      <c r="A3997">
        <v>4034</v>
      </c>
      <c r="B3997" t="s">
        <v>5516</v>
      </c>
      <c r="C3997" t="s">
        <v>3143</v>
      </c>
      <c r="E3997">
        <v>0.1</v>
      </c>
      <c r="F3997" t="s">
        <v>546</v>
      </c>
      <c r="G3997" s="174">
        <v>45576.460914351854</v>
      </c>
    </row>
    <row r="3998" spans="1:7">
      <c r="A3998">
        <v>4035</v>
      </c>
      <c r="B3998" t="s">
        <v>1622</v>
      </c>
      <c r="C3998" t="s">
        <v>5517</v>
      </c>
      <c r="E3998">
        <v>0.01</v>
      </c>
      <c r="F3998" t="s">
        <v>546</v>
      </c>
      <c r="G3998" s="174">
        <v>45576.460914351854</v>
      </c>
    </row>
    <row r="3999" spans="1:7">
      <c r="A3999">
        <v>4036</v>
      </c>
      <c r="B3999" t="s">
        <v>5518</v>
      </c>
      <c r="C3999" t="s">
        <v>3178</v>
      </c>
      <c r="E3999">
        <v>0.01</v>
      </c>
      <c r="F3999" t="s">
        <v>546</v>
      </c>
      <c r="G3999" s="174">
        <v>45576.460914351854</v>
      </c>
    </row>
    <row r="4000" spans="1:7">
      <c r="A4000">
        <v>4037</v>
      </c>
      <c r="B4000" t="s">
        <v>5519</v>
      </c>
      <c r="C4000" t="s">
        <v>3159</v>
      </c>
      <c r="E4000">
        <v>0.01</v>
      </c>
      <c r="F4000" t="s">
        <v>546</v>
      </c>
      <c r="G4000" s="174">
        <v>45576.460914351854</v>
      </c>
    </row>
    <row r="4001" spans="1:7">
      <c r="A4001">
        <v>4038</v>
      </c>
      <c r="B4001" t="s">
        <v>5520</v>
      </c>
      <c r="C4001" t="s">
        <v>5360</v>
      </c>
      <c r="E4001">
        <v>0.01</v>
      </c>
      <c r="F4001" t="s">
        <v>546</v>
      </c>
      <c r="G4001" s="174">
        <v>45576.460914351854</v>
      </c>
    </row>
    <row r="4002" spans="1:7">
      <c r="A4002">
        <v>4039</v>
      </c>
      <c r="B4002" t="s">
        <v>5520</v>
      </c>
      <c r="C4002" t="s">
        <v>1136</v>
      </c>
      <c r="E4002">
        <v>0.1</v>
      </c>
      <c r="F4002" t="s">
        <v>546</v>
      </c>
      <c r="G4002" s="174">
        <v>45576.460914351854</v>
      </c>
    </row>
    <row r="4003" spans="1:7">
      <c r="A4003">
        <v>4040</v>
      </c>
      <c r="B4003" t="s">
        <v>5521</v>
      </c>
      <c r="C4003" t="s">
        <v>3797</v>
      </c>
      <c r="E4003">
        <v>0.01</v>
      </c>
      <c r="F4003" t="s">
        <v>546</v>
      </c>
      <c r="G4003" s="174">
        <v>45576.460914351854</v>
      </c>
    </row>
    <row r="4004" spans="1:7">
      <c r="A4004">
        <v>4041</v>
      </c>
      <c r="B4004" t="s">
        <v>5522</v>
      </c>
      <c r="C4004" t="s">
        <v>3192</v>
      </c>
      <c r="E4004">
        <v>0.01</v>
      </c>
      <c r="F4004" t="s">
        <v>546</v>
      </c>
      <c r="G4004" s="174">
        <v>45576.460914351854</v>
      </c>
    </row>
    <row r="4005" spans="1:7">
      <c r="A4005">
        <v>4042</v>
      </c>
      <c r="B4005" t="s">
        <v>5523</v>
      </c>
      <c r="C4005" t="s">
        <v>4267</v>
      </c>
      <c r="E4005">
        <v>0.01</v>
      </c>
      <c r="F4005" t="s">
        <v>546</v>
      </c>
      <c r="G4005" s="174">
        <v>45576.460914351854</v>
      </c>
    </row>
    <row r="4006" spans="1:7">
      <c r="A4006">
        <v>4043</v>
      </c>
      <c r="B4006" t="s">
        <v>5524</v>
      </c>
      <c r="C4006" t="s">
        <v>5525</v>
      </c>
      <c r="E4006">
        <v>0.01</v>
      </c>
      <c r="F4006" t="s">
        <v>546</v>
      </c>
      <c r="G4006" s="174">
        <v>45576.460914351854</v>
      </c>
    </row>
    <row r="4007" spans="1:7">
      <c r="A4007">
        <v>4044</v>
      </c>
      <c r="B4007" t="s">
        <v>5526</v>
      </c>
      <c r="C4007" t="s">
        <v>3675</v>
      </c>
      <c r="E4007">
        <v>0.01</v>
      </c>
      <c r="F4007" t="s">
        <v>546</v>
      </c>
      <c r="G4007" s="174">
        <v>45576.460914351854</v>
      </c>
    </row>
    <row r="4008" spans="1:7">
      <c r="A4008">
        <v>4045</v>
      </c>
      <c r="B4008" t="s">
        <v>5527</v>
      </c>
      <c r="C4008" t="s">
        <v>3599</v>
      </c>
      <c r="E4008">
        <v>0.01</v>
      </c>
      <c r="F4008" t="s">
        <v>546</v>
      </c>
      <c r="G4008" s="174">
        <v>45576.460914351854</v>
      </c>
    </row>
    <row r="4009" spans="1:7">
      <c r="A4009">
        <v>4046</v>
      </c>
      <c r="B4009" t="s">
        <v>5527</v>
      </c>
      <c r="C4009" t="s">
        <v>3331</v>
      </c>
      <c r="E4009">
        <v>0.01</v>
      </c>
      <c r="F4009" t="s">
        <v>546</v>
      </c>
      <c r="G4009" s="174">
        <v>45576.460914351854</v>
      </c>
    </row>
    <row r="4010" spans="1:7">
      <c r="A4010">
        <v>4047</v>
      </c>
      <c r="B4010" t="s">
        <v>5528</v>
      </c>
      <c r="C4010" t="s">
        <v>4188</v>
      </c>
      <c r="E4010">
        <v>0.01</v>
      </c>
      <c r="F4010" t="s">
        <v>546</v>
      </c>
      <c r="G4010" s="174">
        <v>45576.460914351854</v>
      </c>
    </row>
    <row r="4011" spans="1:7">
      <c r="A4011">
        <v>4048</v>
      </c>
      <c r="B4011" t="s">
        <v>5528</v>
      </c>
      <c r="C4011" t="s">
        <v>5378</v>
      </c>
      <c r="E4011">
        <v>0.01</v>
      </c>
      <c r="F4011" t="s">
        <v>546</v>
      </c>
      <c r="G4011" s="174">
        <v>45576.460914351854</v>
      </c>
    </row>
    <row r="4012" spans="1:7">
      <c r="A4012">
        <v>4049</v>
      </c>
      <c r="B4012" t="s">
        <v>5529</v>
      </c>
      <c r="C4012" t="s">
        <v>3705</v>
      </c>
      <c r="E4012">
        <v>0.01</v>
      </c>
      <c r="F4012" t="s">
        <v>546</v>
      </c>
      <c r="G4012" s="174">
        <v>45576.460914351854</v>
      </c>
    </row>
    <row r="4013" spans="1:7">
      <c r="A4013">
        <v>4050</v>
      </c>
      <c r="B4013" t="s">
        <v>5530</v>
      </c>
      <c r="C4013" t="s">
        <v>3897</v>
      </c>
      <c r="E4013">
        <v>0.01</v>
      </c>
      <c r="F4013" t="s">
        <v>546</v>
      </c>
      <c r="G4013" s="174">
        <v>45576.460914351854</v>
      </c>
    </row>
    <row r="4014" spans="1:7">
      <c r="A4014">
        <v>4051</v>
      </c>
      <c r="B4014" t="s">
        <v>5531</v>
      </c>
      <c r="C4014" t="s">
        <v>2939</v>
      </c>
      <c r="E4014">
        <v>0.01</v>
      </c>
      <c r="F4014" t="s">
        <v>546</v>
      </c>
      <c r="G4014" s="174">
        <v>45576.460914351854</v>
      </c>
    </row>
    <row r="4015" spans="1:7">
      <c r="A4015">
        <v>4052</v>
      </c>
      <c r="B4015" t="s">
        <v>5532</v>
      </c>
      <c r="C4015" t="s">
        <v>3587</v>
      </c>
      <c r="E4015">
        <v>0.01</v>
      </c>
      <c r="F4015" t="s">
        <v>546</v>
      </c>
      <c r="G4015" s="174">
        <v>45576.460914351854</v>
      </c>
    </row>
    <row r="4016" spans="1:7">
      <c r="A4016">
        <v>4053</v>
      </c>
      <c r="B4016" t="s">
        <v>5532</v>
      </c>
      <c r="C4016" t="s">
        <v>3588</v>
      </c>
      <c r="E4016">
        <v>0.01</v>
      </c>
      <c r="F4016" t="s">
        <v>546</v>
      </c>
      <c r="G4016" s="174">
        <v>45576.460914351854</v>
      </c>
    </row>
    <row r="4017" spans="1:7">
      <c r="A4017">
        <v>4054</v>
      </c>
      <c r="B4017" t="s">
        <v>5532</v>
      </c>
      <c r="C4017" t="s">
        <v>3589</v>
      </c>
      <c r="E4017">
        <v>0.01</v>
      </c>
      <c r="F4017" t="s">
        <v>546</v>
      </c>
      <c r="G4017" s="174">
        <v>45576.460914351854</v>
      </c>
    </row>
    <row r="4018" spans="1:7">
      <c r="A4018">
        <v>4055</v>
      </c>
      <c r="B4018" t="s">
        <v>1625</v>
      </c>
      <c r="C4018" t="s">
        <v>3711</v>
      </c>
      <c r="E4018">
        <v>0.01</v>
      </c>
      <c r="F4018" t="s">
        <v>546</v>
      </c>
      <c r="G4018" s="174">
        <v>45576.460914351854</v>
      </c>
    </row>
    <row r="4019" spans="1:7">
      <c r="A4019">
        <v>4056</v>
      </c>
      <c r="B4019" t="s">
        <v>5533</v>
      </c>
      <c r="C4019" t="s">
        <v>5534</v>
      </c>
      <c r="E4019">
        <v>0.6</v>
      </c>
      <c r="F4019" t="s">
        <v>546</v>
      </c>
      <c r="G4019" s="174">
        <v>45576.460914351854</v>
      </c>
    </row>
    <row r="4020" spans="1:7">
      <c r="A4020">
        <v>4057</v>
      </c>
      <c r="B4020" t="s">
        <v>5533</v>
      </c>
      <c r="C4020" t="s">
        <v>2986</v>
      </c>
      <c r="E4020">
        <v>0.8</v>
      </c>
      <c r="F4020" t="s">
        <v>546</v>
      </c>
      <c r="G4020" s="174">
        <v>45576.460914351854</v>
      </c>
    </row>
    <row r="4021" spans="1:7">
      <c r="A4021">
        <v>4058</v>
      </c>
      <c r="B4021" t="s">
        <v>5535</v>
      </c>
      <c r="C4021" t="s">
        <v>4201</v>
      </c>
      <c r="E4021">
        <v>0.01</v>
      </c>
      <c r="F4021" t="s">
        <v>546</v>
      </c>
      <c r="G4021" s="174">
        <v>45576.460914351854</v>
      </c>
    </row>
    <row r="4022" spans="1:7">
      <c r="A4022">
        <v>4059</v>
      </c>
      <c r="B4022" t="s">
        <v>5536</v>
      </c>
      <c r="C4022" t="s">
        <v>5537</v>
      </c>
      <c r="E4022">
        <v>0.06</v>
      </c>
      <c r="F4022" t="s">
        <v>546</v>
      </c>
      <c r="G4022" s="174">
        <v>45576.460914351854</v>
      </c>
    </row>
    <row r="4023" spans="1:7">
      <c r="A4023">
        <v>4060</v>
      </c>
      <c r="B4023" t="s">
        <v>5536</v>
      </c>
      <c r="C4023" t="s">
        <v>5538</v>
      </c>
      <c r="E4023">
        <v>0.1</v>
      </c>
      <c r="F4023" t="s">
        <v>546</v>
      </c>
      <c r="G4023" s="174">
        <v>45576.460914351854</v>
      </c>
    </row>
    <row r="4024" spans="1:7">
      <c r="A4024">
        <v>4061</v>
      </c>
      <c r="B4024" t="s">
        <v>5539</v>
      </c>
      <c r="C4024" t="s">
        <v>5540</v>
      </c>
      <c r="E4024">
        <v>0.1</v>
      </c>
      <c r="F4024" t="s">
        <v>546</v>
      </c>
      <c r="G4024" s="174">
        <v>45576.460914351854</v>
      </c>
    </row>
    <row r="4025" spans="1:7">
      <c r="A4025">
        <v>4062</v>
      </c>
      <c r="B4025" t="s">
        <v>5541</v>
      </c>
      <c r="C4025" t="s">
        <v>5542</v>
      </c>
      <c r="E4025">
        <v>0.01</v>
      </c>
      <c r="F4025" t="s">
        <v>546</v>
      </c>
      <c r="G4025" s="174">
        <v>45576.460914351854</v>
      </c>
    </row>
    <row r="4026" spans="1:7">
      <c r="A4026">
        <v>4063</v>
      </c>
      <c r="B4026" t="s">
        <v>5543</v>
      </c>
      <c r="C4026" t="s">
        <v>4160</v>
      </c>
      <c r="E4026">
        <v>0.01</v>
      </c>
      <c r="F4026" t="s">
        <v>546</v>
      </c>
      <c r="G4026" s="174">
        <v>45576.460914351854</v>
      </c>
    </row>
    <row r="4027" spans="1:7">
      <c r="A4027">
        <v>4064</v>
      </c>
      <c r="B4027" t="s">
        <v>5543</v>
      </c>
      <c r="C4027" t="s">
        <v>3928</v>
      </c>
      <c r="E4027">
        <v>0.1</v>
      </c>
      <c r="F4027" t="s">
        <v>546</v>
      </c>
      <c r="G4027" s="174">
        <v>45576.460914351854</v>
      </c>
    </row>
    <row r="4028" spans="1:7">
      <c r="A4028">
        <v>4065</v>
      </c>
      <c r="B4028" t="s">
        <v>5544</v>
      </c>
      <c r="C4028" t="s">
        <v>3930</v>
      </c>
      <c r="E4028">
        <v>0.01</v>
      </c>
      <c r="F4028" t="s">
        <v>546</v>
      </c>
      <c r="G4028" s="174">
        <v>45576.460914351854</v>
      </c>
    </row>
    <row r="4029" spans="1:7">
      <c r="A4029">
        <v>4066</v>
      </c>
      <c r="B4029" t="s">
        <v>5545</v>
      </c>
      <c r="C4029" t="s">
        <v>4184</v>
      </c>
      <c r="E4029">
        <v>0.01</v>
      </c>
      <c r="F4029" t="s">
        <v>546</v>
      </c>
      <c r="G4029" s="174">
        <v>45576.460914351854</v>
      </c>
    </row>
    <row r="4030" spans="1:7">
      <c r="A4030">
        <v>4067</v>
      </c>
      <c r="B4030" t="s">
        <v>5546</v>
      </c>
      <c r="C4030" t="s">
        <v>5547</v>
      </c>
      <c r="E4030">
        <v>0.01</v>
      </c>
      <c r="F4030" t="s">
        <v>546</v>
      </c>
      <c r="G4030" s="174">
        <v>45576.460914351854</v>
      </c>
    </row>
    <row r="4031" spans="1:7">
      <c r="A4031">
        <v>4068</v>
      </c>
      <c r="B4031" t="s">
        <v>5548</v>
      </c>
      <c r="C4031" t="s">
        <v>4648</v>
      </c>
      <c r="E4031">
        <v>0.1</v>
      </c>
      <c r="F4031" t="s">
        <v>546</v>
      </c>
      <c r="G4031" s="174">
        <v>45576.460914351854</v>
      </c>
    </row>
    <row r="4032" spans="1:7">
      <c r="A4032">
        <v>4069</v>
      </c>
      <c r="B4032" t="s">
        <v>1632</v>
      </c>
      <c r="C4032" t="s">
        <v>3035</v>
      </c>
      <c r="E4032">
        <v>0.01</v>
      </c>
      <c r="F4032" t="s">
        <v>546</v>
      </c>
      <c r="G4032" s="174">
        <v>45576.460914351854</v>
      </c>
    </row>
    <row r="4033" spans="1:7">
      <c r="A4033">
        <v>4070</v>
      </c>
      <c r="B4033" t="s">
        <v>5549</v>
      </c>
      <c r="C4033" t="s">
        <v>987</v>
      </c>
      <c r="E4033">
        <v>0.5</v>
      </c>
      <c r="F4033" t="s">
        <v>546</v>
      </c>
      <c r="G4033" s="174">
        <v>45576.460914351854</v>
      </c>
    </row>
    <row r="4034" spans="1:7">
      <c r="A4034">
        <v>4071</v>
      </c>
      <c r="B4034" t="s">
        <v>5550</v>
      </c>
      <c r="C4034" t="s">
        <v>3903</v>
      </c>
      <c r="E4034">
        <v>0.01</v>
      </c>
      <c r="F4034" t="s">
        <v>546</v>
      </c>
      <c r="G4034" s="174">
        <v>45576.460914351854</v>
      </c>
    </row>
    <row r="4035" spans="1:7">
      <c r="A4035">
        <v>4072</v>
      </c>
      <c r="B4035" t="s">
        <v>5551</v>
      </c>
      <c r="C4035" t="s">
        <v>5552</v>
      </c>
      <c r="E4035">
        <v>0.01</v>
      </c>
      <c r="F4035" t="s">
        <v>546</v>
      </c>
      <c r="G4035" s="174">
        <v>45576.460914351854</v>
      </c>
    </row>
    <row r="4036" spans="1:7">
      <c r="A4036">
        <v>4073</v>
      </c>
      <c r="B4036" t="s">
        <v>5553</v>
      </c>
      <c r="C4036" t="s">
        <v>5554</v>
      </c>
      <c r="E4036">
        <v>0.01</v>
      </c>
      <c r="F4036" t="s">
        <v>546</v>
      </c>
      <c r="G4036" s="174">
        <v>45576.460914351854</v>
      </c>
    </row>
    <row r="4037" spans="1:7">
      <c r="A4037">
        <v>4074</v>
      </c>
      <c r="B4037" t="s">
        <v>5555</v>
      </c>
      <c r="C4037" t="s">
        <v>5233</v>
      </c>
      <c r="E4037">
        <v>0.01</v>
      </c>
      <c r="F4037" t="s">
        <v>546</v>
      </c>
      <c r="G4037" s="174">
        <v>45576.460914351854</v>
      </c>
    </row>
    <row r="4038" spans="1:7">
      <c r="A4038">
        <v>4075</v>
      </c>
      <c r="B4038" t="s">
        <v>5555</v>
      </c>
      <c r="C4038" t="s">
        <v>5556</v>
      </c>
      <c r="E4038">
        <v>0.1</v>
      </c>
      <c r="F4038" t="s">
        <v>546</v>
      </c>
      <c r="G4038" s="174">
        <v>45576.460914351854</v>
      </c>
    </row>
    <row r="4039" spans="1:7">
      <c r="A4039">
        <v>4076</v>
      </c>
      <c r="B4039" t="s">
        <v>5557</v>
      </c>
      <c r="C4039" t="s">
        <v>3291</v>
      </c>
      <c r="E4039">
        <v>0.1</v>
      </c>
      <c r="F4039" t="s">
        <v>546</v>
      </c>
      <c r="G4039" s="174">
        <v>45576.460914351854</v>
      </c>
    </row>
    <row r="4040" spans="1:7">
      <c r="A4040">
        <v>4077</v>
      </c>
      <c r="B4040" t="s">
        <v>1635</v>
      </c>
      <c r="C4040" t="s">
        <v>4659</v>
      </c>
      <c r="E4040">
        <v>0.01</v>
      </c>
      <c r="F4040" t="s">
        <v>546</v>
      </c>
      <c r="G4040" s="174">
        <v>45576.460914351854</v>
      </c>
    </row>
    <row r="4041" spans="1:7">
      <c r="A4041">
        <v>4078</v>
      </c>
      <c r="B4041" t="s">
        <v>1635</v>
      </c>
      <c r="C4041" t="s">
        <v>5558</v>
      </c>
      <c r="E4041">
        <v>0.06</v>
      </c>
      <c r="F4041" t="s">
        <v>546</v>
      </c>
      <c r="G4041" s="174">
        <v>45576.460914351854</v>
      </c>
    </row>
    <row r="4042" spans="1:7">
      <c r="A4042">
        <v>4079</v>
      </c>
      <c r="B4042" t="s">
        <v>5559</v>
      </c>
      <c r="C4042" t="s">
        <v>3686</v>
      </c>
      <c r="E4042">
        <v>0.01</v>
      </c>
      <c r="F4042" t="s">
        <v>546</v>
      </c>
      <c r="G4042" s="174">
        <v>45576.460914351854</v>
      </c>
    </row>
    <row r="4043" spans="1:7">
      <c r="A4043">
        <v>4080</v>
      </c>
      <c r="B4043" t="s">
        <v>5560</v>
      </c>
      <c r="C4043" t="s">
        <v>3218</v>
      </c>
      <c r="E4043">
        <v>0.1</v>
      </c>
      <c r="F4043" t="s">
        <v>546</v>
      </c>
      <c r="G4043" s="174">
        <v>45576.460914351854</v>
      </c>
    </row>
    <row r="4044" spans="1:7">
      <c r="A4044">
        <v>4081</v>
      </c>
      <c r="B4044" t="s">
        <v>5561</v>
      </c>
      <c r="C4044" t="s">
        <v>4145</v>
      </c>
      <c r="E4044">
        <v>0.01</v>
      </c>
      <c r="F4044" t="s">
        <v>546</v>
      </c>
      <c r="G4044" s="174">
        <v>45576.460914351854</v>
      </c>
    </row>
    <row r="4045" spans="1:7">
      <c r="A4045">
        <v>4082</v>
      </c>
      <c r="B4045" t="s">
        <v>5562</v>
      </c>
      <c r="C4045" t="s">
        <v>5563</v>
      </c>
      <c r="E4045">
        <v>0.01</v>
      </c>
      <c r="F4045" t="s">
        <v>546</v>
      </c>
      <c r="G4045" s="174">
        <v>45576.460914351854</v>
      </c>
    </row>
    <row r="4046" spans="1:7">
      <c r="A4046">
        <v>4083</v>
      </c>
      <c r="B4046" t="s">
        <v>5562</v>
      </c>
      <c r="C4046" t="s">
        <v>4618</v>
      </c>
      <c r="E4046">
        <v>0.5</v>
      </c>
      <c r="F4046" t="s">
        <v>5564</v>
      </c>
      <c r="G4046" s="174">
        <v>45576.460914351854</v>
      </c>
    </row>
    <row r="4047" spans="1:7">
      <c r="A4047">
        <v>4084</v>
      </c>
      <c r="B4047" t="s">
        <v>5565</v>
      </c>
      <c r="C4047" t="s">
        <v>3190</v>
      </c>
      <c r="E4047">
        <v>0.01</v>
      </c>
      <c r="F4047" t="s">
        <v>546</v>
      </c>
      <c r="G4047" s="174">
        <v>45576.460914351854</v>
      </c>
    </row>
    <row r="4048" spans="1:7">
      <c r="A4048">
        <v>4085</v>
      </c>
      <c r="B4048" t="s">
        <v>5565</v>
      </c>
      <c r="C4048" t="s">
        <v>5566</v>
      </c>
      <c r="E4048">
        <v>0.01</v>
      </c>
      <c r="F4048" t="s">
        <v>546</v>
      </c>
      <c r="G4048" s="174">
        <v>45576.460914351854</v>
      </c>
    </row>
    <row r="4049" spans="1:7">
      <c r="A4049">
        <v>4086</v>
      </c>
      <c r="B4049" t="s">
        <v>5567</v>
      </c>
      <c r="C4049" t="s">
        <v>5568</v>
      </c>
      <c r="E4049">
        <v>0.01</v>
      </c>
      <c r="F4049" t="s">
        <v>546</v>
      </c>
      <c r="G4049" s="174">
        <v>45576.460914351854</v>
      </c>
    </row>
    <row r="4050" spans="1:7">
      <c r="A4050">
        <v>4087</v>
      </c>
      <c r="B4050" t="s">
        <v>1640</v>
      </c>
      <c r="C4050" t="s">
        <v>4386</v>
      </c>
      <c r="E4050">
        <v>0.01</v>
      </c>
      <c r="F4050" t="s">
        <v>546</v>
      </c>
      <c r="G4050" s="174">
        <v>45576.460914351854</v>
      </c>
    </row>
    <row r="4051" spans="1:7">
      <c r="A4051">
        <v>4088</v>
      </c>
      <c r="B4051" t="s">
        <v>5569</v>
      </c>
      <c r="C4051" t="s">
        <v>5570</v>
      </c>
      <c r="E4051">
        <v>0.01</v>
      </c>
      <c r="F4051" t="s">
        <v>546</v>
      </c>
      <c r="G4051" s="174">
        <v>45576.460914351854</v>
      </c>
    </row>
    <row r="4052" spans="1:7">
      <c r="A4052">
        <v>4089</v>
      </c>
      <c r="B4052" t="s">
        <v>5569</v>
      </c>
      <c r="C4052" t="s">
        <v>3304</v>
      </c>
      <c r="E4052">
        <v>0.05</v>
      </c>
      <c r="F4052" t="s">
        <v>546</v>
      </c>
      <c r="G4052" s="174">
        <v>45576.460914351854</v>
      </c>
    </row>
    <row r="4053" spans="1:7">
      <c r="A4053">
        <v>4090</v>
      </c>
      <c r="B4053" t="s">
        <v>5571</v>
      </c>
      <c r="C4053" t="s">
        <v>3500</v>
      </c>
      <c r="E4053">
        <v>0.01</v>
      </c>
      <c r="F4053" t="s">
        <v>546</v>
      </c>
      <c r="G4053" s="174">
        <v>45576.460914351854</v>
      </c>
    </row>
    <row r="4054" spans="1:7">
      <c r="A4054">
        <v>4091</v>
      </c>
      <c r="B4054" t="s">
        <v>5571</v>
      </c>
      <c r="C4054" t="s">
        <v>2958</v>
      </c>
      <c r="E4054">
        <v>0.01</v>
      </c>
      <c r="F4054" t="s">
        <v>546</v>
      </c>
      <c r="G4054" s="174">
        <v>45576.460914351854</v>
      </c>
    </row>
    <row r="4055" spans="1:7">
      <c r="A4055">
        <v>4092</v>
      </c>
      <c r="B4055" t="s">
        <v>5572</v>
      </c>
      <c r="C4055" t="s">
        <v>3879</v>
      </c>
      <c r="E4055">
        <v>0.01</v>
      </c>
      <c r="F4055" t="s">
        <v>546</v>
      </c>
      <c r="G4055" s="174">
        <v>45576.460914351854</v>
      </c>
    </row>
    <row r="4056" spans="1:7">
      <c r="A4056">
        <v>4093</v>
      </c>
      <c r="B4056" t="s">
        <v>5572</v>
      </c>
      <c r="C4056" t="s">
        <v>3880</v>
      </c>
      <c r="E4056">
        <v>0.01</v>
      </c>
      <c r="F4056" t="s">
        <v>546</v>
      </c>
      <c r="G4056" s="174">
        <v>45576.460914351854</v>
      </c>
    </row>
    <row r="4057" spans="1:7">
      <c r="A4057">
        <v>4094</v>
      </c>
      <c r="B4057" t="s">
        <v>5573</v>
      </c>
      <c r="C4057" t="s">
        <v>3508</v>
      </c>
      <c r="E4057">
        <v>0.01</v>
      </c>
      <c r="F4057" t="s">
        <v>546</v>
      </c>
      <c r="G4057" s="174">
        <v>45576.460914351854</v>
      </c>
    </row>
    <row r="4058" spans="1:7">
      <c r="A4058">
        <v>4095</v>
      </c>
      <c r="B4058" t="s">
        <v>5574</v>
      </c>
      <c r="C4058" t="s">
        <v>2945</v>
      </c>
      <c r="E4058">
        <v>0.01</v>
      </c>
      <c r="F4058" t="s">
        <v>546</v>
      </c>
      <c r="G4058" s="174">
        <v>45576.460914351854</v>
      </c>
    </row>
    <row r="4059" spans="1:7">
      <c r="A4059">
        <v>4096</v>
      </c>
      <c r="B4059" t="s">
        <v>5575</v>
      </c>
      <c r="C4059" t="s">
        <v>2831</v>
      </c>
      <c r="E4059">
        <v>0.01</v>
      </c>
      <c r="F4059" t="s">
        <v>546</v>
      </c>
      <c r="G4059" s="174">
        <v>45576.460914351854</v>
      </c>
    </row>
    <row r="4060" spans="1:7">
      <c r="A4060">
        <v>4097</v>
      </c>
      <c r="B4060" t="s">
        <v>5576</v>
      </c>
      <c r="C4060" t="s">
        <v>4122</v>
      </c>
      <c r="E4060">
        <v>0.01</v>
      </c>
      <c r="F4060" t="s">
        <v>546</v>
      </c>
      <c r="G4060" s="174">
        <v>45576.460914351854</v>
      </c>
    </row>
    <row r="4061" spans="1:7">
      <c r="A4061">
        <v>4098</v>
      </c>
      <c r="B4061" t="s">
        <v>5577</v>
      </c>
      <c r="C4061" t="s">
        <v>3510</v>
      </c>
      <c r="E4061">
        <v>0.01</v>
      </c>
      <c r="F4061" t="s">
        <v>546</v>
      </c>
      <c r="G4061" s="174">
        <v>45576.460914351854</v>
      </c>
    </row>
    <row r="4062" spans="1:7">
      <c r="A4062">
        <v>4099</v>
      </c>
      <c r="B4062" t="s">
        <v>5577</v>
      </c>
      <c r="C4062" t="s">
        <v>5578</v>
      </c>
      <c r="E4062">
        <v>0.01</v>
      </c>
      <c r="F4062" t="s">
        <v>546</v>
      </c>
      <c r="G4062" s="174">
        <v>45576.460914351854</v>
      </c>
    </row>
    <row r="4063" spans="1:7">
      <c r="A4063">
        <v>4100</v>
      </c>
      <c r="B4063" t="s">
        <v>1643</v>
      </c>
      <c r="C4063" t="s">
        <v>5579</v>
      </c>
      <c r="E4063">
        <v>0.01</v>
      </c>
      <c r="F4063" t="s">
        <v>546</v>
      </c>
      <c r="G4063" s="174">
        <v>45576.460914351854</v>
      </c>
    </row>
    <row r="4064" spans="1:7">
      <c r="A4064">
        <v>4101</v>
      </c>
      <c r="B4064" t="s">
        <v>5580</v>
      </c>
      <c r="C4064" t="s">
        <v>2892</v>
      </c>
      <c r="E4064">
        <v>0.01</v>
      </c>
      <c r="F4064" t="s">
        <v>546</v>
      </c>
      <c r="G4064" s="174">
        <v>45576.460914351854</v>
      </c>
    </row>
    <row r="4065" spans="1:7">
      <c r="A4065">
        <v>4102</v>
      </c>
      <c r="B4065" t="s">
        <v>5581</v>
      </c>
      <c r="C4065" t="s">
        <v>4267</v>
      </c>
      <c r="E4065">
        <v>0.01</v>
      </c>
      <c r="F4065" t="s">
        <v>546</v>
      </c>
      <c r="G4065" s="174">
        <v>45576.460914351854</v>
      </c>
    </row>
    <row r="4066" spans="1:7">
      <c r="A4066">
        <v>4103</v>
      </c>
      <c r="B4066" t="s">
        <v>5582</v>
      </c>
      <c r="C4066" t="s">
        <v>3705</v>
      </c>
      <c r="E4066">
        <v>0.01</v>
      </c>
      <c r="F4066" t="s">
        <v>546</v>
      </c>
      <c r="G4066" s="174">
        <v>45576.460914351854</v>
      </c>
    </row>
    <row r="4067" spans="1:7">
      <c r="A4067">
        <v>4104</v>
      </c>
      <c r="B4067" t="s">
        <v>5583</v>
      </c>
      <c r="C4067" t="s">
        <v>5584</v>
      </c>
      <c r="E4067">
        <v>0.1</v>
      </c>
      <c r="F4067" t="s">
        <v>546</v>
      </c>
      <c r="G4067" s="174">
        <v>45576.460914351854</v>
      </c>
    </row>
    <row r="4068" spans="1:7">
      <c r="A4068">
        <v>4105</v>
      </c>
      <c r="B4068" t="s">
        <v>5583</v>
      </c>
      <c r="C4068" t="s">
        <v>3507</v>
      </c>
      <c r="E4068">
        <v>0.1</v>
      </c>
      <c r="F4068" t="s">
        <v>546</v>
      </c>
      <c r="G4068" s="174">
        <v>45576.460914351854</v>
      </c>
    </row>
    <row r="4069" spans="1:7">
      <c r="A4069">
        <v>4106</v>
      </c>
      <c r="B4069" t="s">
        <v>1646</v>
      </c>
      <c r="C4069" t="s">
        <v>5585</v>
      </c>
      <c r="E4069">
        <v>0.8</v>
      </c>
      <c r="F4069" t="s">
        <v>546</v>
      </c>
      <c r="G4069" s="174">
        <v>45576.460914351854</v>
      </c>
    </row>
    <row r="4070" spans="1:7">
      <c r="A4070">
        <v>4107</v>
      </c>
      <c r="B4070" t="s">
        <v>5586</v>
      </c>
      <c r="C4070" t="s">
        <v>5587</v>
      </c>
      <c r="E4070">
        <v>0.01</v>
      </c>
      <c r="F4070" t="s">
        <v>546</v>
      </c>
      <c r="G4070" s="174">
        <v>45576.460914351854</v>
      </c>
    </row>
    <row r="4071" spans="1:7">
      <c r="A4071">
        <v>4108</v>
      </c>
      <c r="B4071" t="s">
        <v>5586</v>
      </c>
      <c r="C4071" t="s">
        <v>5588</v>
      </c>
      <c r="E4071">
        <v>0.1</v>
      </c>
      <c r="F4071" t="s">
        <v>546</v>
      </c>
      <c r="G4071" s="174">
        <v>45576.460914351854</v>
      </c>
    </row>
    <row r="4072" spans="1:7">
      <c r="A4072">
        <v>4109</v>
      </c>
      <c r="B4072" t="s">
        <v>5589</v>
      </c>
      <c r="C4072" t="s">
        <v>4843</v>
      </c>
      <c r="E4072">
        <v>0.1</v>
      </c>
      <c r="F4072" t="s">
        <v>546</v>
      </c>
      <c r="G4072" s="174">
        <v>45576.460914351854</v>
      </c>
    </row>
    <row r="4073" spans="1:7">
      <c r="A4073">
        <v>4110</v>
      </c>
      <c r="B4073" t="s">
        <v>5590</v>
      </c>
      <c r="C4073" t="s">
        <v>3720</v>
      </c>
      <c r="E4073">
        <v>0.01</v>
      </c>
      <c r="F4073" t="s">
        <v>546</v>
      </c>
      <c r="G4073" s="174">
        <v>45576.460914351854</v>
      </c>
    </row>
    <row r="4074" spans="1:7">
      <c r="A4074">
        <v>4111</v>
      </c>
      <c r="B4074" t="s">
        <v>5590</v>
      </c>
      <c r="C4074" t="s">
        <v>5394</v>
      </c>
      <c r="E4074">
        <v>0.01</v>
      </c>
      <c r="F4074" t="s">
        <v>546</v>
      </c>
      <c r="G4074" s="174">
        <v>45576.460914351854</v>
      </c>
    </row>
    <row r="4075" spans="1:7">
      <c r="A4075">
        <v>4112</v>
      </c>
      <c r="B4075" t="s">
        <v>5591</v>
      </c>
      <c r="C4075" t="s">
        <v>3769</v>
      </c>
      <c r="E4075">
        <v>0.1</v>
      </c>
      <c r="F4075" t="s">
        <v>546</v>
      </c>
      <c r="G4075" s="174">
        <v>45576.460914351854</v>
      </c>
    </row>
    <row r="4076" spans="1:7">
      <c r="A4076">
        <v>4113</v>
      </c>
      <c r="B4076" t="s">
        <v>5592</v>
      </c>
      <c r="C4076" t="s">
        <v>1299</v>
      </c>
      <c r="E4076">
        <v>0.01</v>
      </c>
      <c r="F4076" t="s">
        <v>546</v>
      </c>
      <c r="G4076" s="174">
        <v>45576.460914351854</v>
      </c>
    </row>
    <row r="4077" spans="1:7">
      <c r="A4077">
        <v>4114</v>
      </c>
      <c r="B4077" t="s">
        <v>5593</v>
      </c>
      <c r="C4077" t="s">
        <v>5594</v>
      </c>
      <c r="E4077">
        <v>0.1</v>
      </c>
      <c r="F4077" t="s">
        <v>546</v>
      </c>
      <c r="G4077" s="174">
        <v>45576.460914351854</v>
      </c>
    </row>
    <row r="4078" spans="1:7">
      <c r="A4078">
        <v>4115</v>
      </c>
      <c r="B4078" t="s">
        <v>5593</v>
      </c>
      <c r="C4078" t="s">
        <v>5595</v>
      </c>
      <c r="E4078">
        <v>0.01</v>
      </c>
      <c r="F4078" t="s">
        <v>546</v>
      </c>
      <c r="G4078" s="174">
        <v>45576.460914351854</v>
      </c>
    </row>
    <row r="4079" spans="1:7">
      <c r="A4079">
        <v>4116</v>
      </c>
      <c r="B4079" t="s">
        <v>5596</v>
      </c>
      <c r="C4079" t="s">
        <v>5597</v>
      </c>
      <c r="E4079">
        <v>0.01</v>
      </c>
      <c r="F4079" t="s">
        <v>546</v>
      </c>
      <c r="G4079" s="174">
        <v>45576.460914351854</v>
      </c>
    </row>
    <row r="4080" spans="1:7">
      <c r="A4080">
        <v>4117</v>
      </c>
      <c r="B4080" t="s">
        <v>5596</v>
      </c>
      <c r="C4080" t="s">
        <v>3265</v>
      </c>
      <c r="E4080">
        <v>0.8</v>
      </c>
      <c r="F4080" t="s">
        <v>546</v>
      </c>
      <c r="G4080" s="174">
        <v>45576.460914351854</v>
      </c>
    </row>
    <row r="4081" spans="1:7">
      <c r="A4081">
        <v>4118</v>
      </c>
      <c r="B4081" t="s">
        <v>5598</v>
      </c>
      <c r="C4081" t="s">
        <v>3300</v>
      </c>
      <c r="E4081">
        <v>0.01</v>
      </c>
      <c r="F4081" t="s">
        <v>546</v>
      </c>
      <c r="G4081" s="174">
        <v>45576.460914351854</v>
      </c>
    </row>
    <row r="4082" spans="1:7">
      <c r="A4082">
        <v>4119</v>
      </c>
      <c r="B4082" t="s">
        <v>5598</v>
      </c>
      <c r="C4082" t="s">
        <v>2768</v>
      </c>
      <c r="E4082">
        <v>0.01</v>
      </c>
      <c r="F4082" t="s">
        <v>546</v>
      </c>
      <c r="G4082" s="174">
        <v>45576.460914351854</v>
      </c>
    </row>
    <row r="4083" spans="1:7">
      <c r="A4083">
        <v>4120</v>
      </c>
      <c r="B4083" t="s">
        <v>1649</v>
      </c>
      <c r="C4083" t="s">
        <v>5147</v>
      </c>
      <c r="E4083">
        <v>0.01</v>
      </c>
      <c r="F4083" t="s">
        <v>546</v>
      </c>
      <c r="G4083" s="174">
        <v>45576.460914351854</v>
      </c>
    </row>
    <row r="4084" spans="1:7">
      <c r="A4084">
        <v>4121</v>
      </c>
      <c r="B4084" t="s">
        <v>1650</v>
      </c>
      <c r="C4084" t="s">
        <v>5599</v>
      </c>
      <c r="E4084">
        <v>0.01</v>
      </c>
      <c r="F4084" t="s">
        <v>546</v>
      </c>
      <c r="G4084" s="174">
        <v>45576.460914351854</v>
      </c>
    </row>
    <row r="4085" spans="1:7">
      <c r="A4085">
        <v>4122</v>
      </c>
      <c r="B4085" t="s">
        <v>5600</v>
      </c>
      <c r="C4085" t="s">
        <v>5601</v>
      </c>
      <c r="E4085">
        <v>0.01</v>
      </c>
      <c r="F4085" t="s">
        <v>546</v>
      </c>
      <c r="G4085" s="174">
        <v>45576.460914351854</v>
      </c>
    </row>
    <row r="4086" spans="1:7">
      <c r="A4086">
        <v>4123</v>
      </c>
      <c r="B4086" t="s">
        <v>5600</v>
      </c>
      <c r="C4086" t="s">
        <v>3630</v>
      </c>
      <c r="E4086">
        <v>0.1</v>
      </c>
      <c r="F4086" t="s">
        <v>546</v>
      </c>
      <c r="G4086" s="174">
        <v>45576.460914351854</v>
      </c>
    </row>
    <row r="4087" spans="1:7">
      <c r="A4087">
        <v>4124</v>
      </c>
      <c r="B4087" t="s">
        <v>5602</v>
      </c>
      <c r="C4087" t="s">
        <v>5215</v>
      </c>
      <c r="E4087">
        <v>0.1</v>
      </c>
      <c r="F4087" t="s">
        <v>546</v>
      </c>
      <c r="G4087" s="174">
        <v>45576.460914351854</v>
      </c>
    </row>
    <row r="4088" spans="1:7">
      <c r="A4088">
        <v>4125</v>
      </c>
      <c r="B4088" t="s">
        <v>1651</v>
      </c>
      <c r="C4088" t="s">
        <v>4665</v>
      </c>
      <c r="E4088">
        <v>0.6</v>
      </c>
      <c r="F4088" t="s">
        <v>546</v>
      </c>
      <c r="G4088" s="174">
        <v>45576.460914351854</v>
      </c>
    </row>
    <row r="4089" spans="1:7">
      <c r="A4089">
        <v>4126</v>
      </c>
      <c r="B4089" t="s">
        <v>1653</v>
      </c>
      <c r="C4089" t="s">
        <v>5603</v>
      </c>
      <c r="E4089">
        <v>0.7</v>
      </c>
      <c r="F4089" t="s">
        <v>546</v>
      </c>
      <c r="G4089" s="174">
        <v>45576.460914351854</v>
      </c>
    </row>
    <row r="4090" spans="1:7">
      <c r="A4090">
        <v>4127</v>
      </c>
      <c r="B4090" t="s">
        <v>5604</v>
      </c>
      <c r="C4090" t="s">
        <v>3454</v>
      </c>
      <c r="E4090">
        <v>0.8</v>
      </c>
      <c r="F4090" t="s">
        <v>546</v>
      </c>
      <c r="G4090" s="174">
        <v>45576.460914351854</v>
      </c>
    </row>
    <row r="4091" spans="1:7">
      <c r="A4091">
        <v>4128</v>
      </c>
      <c r="B4091" t="s">
        <v>5605</v>
      </c>
      <c r="C4091" t="s">
        <v>4135</v>
      </c>
      <c r="E4091">
        <v>0.01</v>
      </c>
      <c r="F4091" t="s">
        <v>546</v>
      </c>
      <c r="G4091" s="174">
        <v>45576.460914351854</v>
      </c>
    </row>
    <row r="4092" spans="1:7">
      <c r="A4092">
        <v>4129</v>
      </c>
      <c r="B4092" t="s">
        <v>5606</v>
      </c>
      <c r="C4092" t="s">
        <v>5607</v>
      </c>
      <c r="E4092">
        <v>0.01</v>
      </c>
      <c r="F4092" t="s">
        <v>546</v>
      </c>
      <c r="G4092" s="174">
        <v>45576.460914351854</v>
      </c>
    </row>
    <row r="4093" spans="1:7">
      <c r="A4093">
        <v>4130</v>
      </c>
      <c r="B4093" t="s">
        <v>5608</v>
      </c>
      <c r="C4093" t="s">
        <v>1065</v>
      </c>
      <c r="E4093">
        <v>0.01</v>
      </c>
      <c r="F4093" t="s">
        <v>546</v>
      </c>
      <c r="G4093" s="174">
        <v>45576.460914351854</v>
      </c>
    </row>
    <row r="4094" spans="1:7">
      <c r="A4094">
        <v>4131</v>
      </c>
      <c r="B4094" t="s">
        <v>5609</v>
      </c>
      <c r="C4094" t="s">
        <v>3877</v>
      </c>
      <c r="E4094">
        <v>0.8</v>
      </c>
      <c r="F4094" t="s">
        <v>546</v>
      </c>
      <c r="G4094" s="174">
        <v>45576.460914351854</v>
      </c>
    </row>
    <row r="4095" spans="1:7">
      <c r="A4095">
        <v>4132</v>
      </c>
      <c r="B4095" t="s">
        <v>5609</v>
      </c>
      <c r="C4095" t="s">
        <v>5610</v>
      </c>
      <c r="E4095">
        <v>0.1</v>
      </c>
      <c r="F4095" t="s">
        <v>546</v>
      </c>
      <c r="G4095" s="174">
        <v>45576.460914351854</v>
      </c>
    </row>
    <row r="4096" spans="1:7">
      <c r="A4096">
        <v>4133</v>
      </c>
      <c r="B4096" t="s">
        <v>5611</v>
      </c>
      <c r="C4096" t="s">
        <v>5612</v>
      </c>
      <c r="E4096">
        <v>0.1</v>
      </c>
      <c r="F4096" t="s">
        <v>546</v>
      </c>
      <c r="G4096" s="174">
        <v>45576.460914351854</v>
      </c>
    </row>
    <row r="4097" spans="1:7">
      <c r="A4097">
        <v>4134</v>
      </c>
      <c r="B4097" t="s">
        <v>5613</v>
      </c>
      <c r="C4097" t="s">
        <v>4215</v>
      </c>
      <c r="E4097">
        <v>0.01</v>
      </c>
      <c r="F4097" t="s">
        <v>546</v>
      </c>
      <c r="G4097" s="174">
        <v>45576.460914351854</v>
      </c>
    </row>
    <row r="4098" spans="1:7">
      <c r="A4098">
        <v>4135</v>
      </c>
      <c r="B4098" t="s">
        <v>5614</v>
      </c>
      <c r="C4098" t="s">
        <v>5615</v>
      </c>
      <c r="E4098">
        <v>0.01</v>
      </c>
      <c r="F4098" t="s">
        <v>546</v>
      </c>
      <c r="G4098" s="174">
        <v>45576.460914351854</v>
      </c>
    </row>
    <row r="4099" spans="1:7">
      <c r="A4099">
        <v>4136</v>
      </c>
      <c r="B4099" t="s">
        <v>5616</v>
      </c>
      <c r="C4099" t="s">
        <v>5617</v>
      </c>
      <c r="E4099">
        <v>0.01</v>
      </c>
      <c r="F4099" t="s">
        <v>546</v>
      </c>
      <c r="G4099" s="174">
        <v>45576.460914351854</v>
      </c>
    </row>
    <row r="4100" spans="1:7">
      <c r="A4100">
        <v>4137</v>
      </c>
      <c r="B4100" t="s">
        <v>5616</v>
      </c>
      <c r="C4100" t="s">
        <v>5618</v>
      </c>
      <c r="E4100">
        <v>0.1</v>
      </c>
      <c r="F4100" t="s">
        <v>546</v>
      </c>
      <c r="G4100" s="174">
        <v>45576.460914351854</v>
      </c>
    </row>
    <row r="4101" spans="1:7">
      <c r="A4101">
        <v>4139</v>
      </c>
      <c r="B4101" t="s">
        <v>5619</v>
      </c>
      <c r="C4101" t="s">
        <v>5620</v>
      </c>
      <c r="E4101">
        <v>0.01</v>
      </c>
      <c r="F4101" t="s">
        <v>546</v>
      </c>
      <c r="G4101" s="174">
        <v>45576.460914351854</v>
      </c>
    </row>
    <row r="4102" spans="1:7">
      <c r="A4102">
        <v>4140</v>
      </c>
      <c r="B4102" t="s">
        <v>5621</v>
      </c>
      <c r="C4102" t="s">
        <v>4506</v>
      </c>
      <c r="E4102">
        <v>0.01</v>
      </c>
      <c r="F4102" t="s">
        <v>546</v>
      </c>
      <c r="G4102" s="174">
        <v>45576.460914351854</v>
      </c>
    </row>
    <row r="4103" spans="1:7">
      <c r="A4103">
        <v>4141</v>
      </c>
      <c r="B4103" t="s">
        <v>5622</v>
      </c>
      <c r="C4103" t="s">
        <v>5049</v>
      </c>
      <c r="E4103">
        <v>0.01</v>
      </c>
      <c r="F4103" t="s">
        <v>546</v>
      </c>
      <c r="G4103" s="174">
        <v>45576.460914351854</v>
      </c>
    </row>
    <row r="4104" spans="1:7">
      <c r="A4104">
        <v>4142</v>
      </c>
      <c r="B4104" t="s">
        <v>5622</v>
      </c>
      <c r="C4104" t="s">
        <v>4659</v>
      </c>
      <c r="E4104">
        <v>0.01</v>
      </c>
      <c r="F4104" t="s">
        <v>546</v>
      </c>
      <c r="G4104" s="174">
        <v>45576.460914351854</v>
      </c>
    </row>
    <row r="4105" spans="1:7">
      <c r="A4105">
        <v>4143</v>
      </c>
      <c r="B4105" t="s">
        <v>1658</v>
      </c>
      <c r="C4105" t="s">
        <v>4092</v>
      </c>
      <c r="E4105">
        <v>0.01</v>
      </c>
      <c r="F4105" t="s">
        <v>546</v>
      </c>
      <c r="G4105" s="174">
        <v>45576.460914351854</v>
      </c>
    </row>
    <row r="4106" spans="1:7">
      <c r="A4106">
        <v>4144</v>
      </c>
      <c r="B4106" t="s">
        <v>5623</v>
      </c>
      <c r="C4106" t="s">
        <v>5624</v>
      </c>
      <c r="E4106">
        <v>0.01</v>
      </c>
      <c r="F4106" t="s">
        <v>546</v>
      </c>
      <c r="G4106" s="174">
        <v>45576.460914351854</v>
      </c>
    </row>
    <row r="4107" spans="1:7">
      <c r="A4107">
        <v>4145</v>
      </c>
      <c r="B4107" t="s">
        <v>1664</v>
      </c>
      <c r="C4107" t="s">
        <v>4642</v>
      </c>
      <c r="E4107">
        <v>0.01</v>
      </c>
      <c r="F4107" t="s">
        <v>546</v>
      </c>
      <c r="G4107" s="174">
        <v>45576.460914351854</v>
      </c>
    </row>
    <row r="4108" spans="1:7">
      <c r="A4108">
        <v>4146</v>
      </c>
      <c r="B4108" t="s">
        <v>5625</v>
      </c>
      <c r="C4108" t="s">
        <v>3109</v>
      </c>
      <c r="E4108">
        <v>0.01</v>
      </c>
      <c r="F4108" t="s">
        <v>546</v>
      </c>
      <c r="G4108" s="174">
        <v>45576.460914351854</v>
      </c>
    </row>
    <row r="4109" spans="1:7">
      <c r="A4109">
        <v>4147</v>
      </c>
      <c r="B4109" t="s">
        <v>5625</v>
      </c>
      <c r="C4109" t="s">
        <v>3029</v>
      </c>
      <c r="E4109">
        <v>0.01</v>
      </c>
      <c r="F4109" t="s">
        <v>546</v>
      </c>
      <c r="G4109" s="174">
        <v>45576.460914351854</v>
      </c>
    </row>
    <row r="4110" spans="1:7">
      <c r="A4110">
        <v>4148</v>
      </c>
      <c r="B4110" t="s">
        <v>5626</v>
      </c>
      <c r="C4110" t="s">
        <v>5627</v>
      </c>
      <c r="E4110">
        <v>0.01</v>
      </c>
      <c r="F4110" t="s">
        <v>546</v>
      </c>
      <c r="G4110" s="174">
        <v>45576.460914351854</v>
      </c>
    </row>
    <row r="4111" spans="1:7">
      <c r="A4111">
        <v>4149</v>
      </c>
      <c r="B4111" t="s">
        <v>5626</v>
      </c>
      <c r="C4111" t="s">
        <v>5628</v>
      </c>
      <c r="E4111">
        <v>0.01</v>
      </c>
      <c r="F4111" t="s">
        <v>546</v>
      </c>
      <c r="G4111" s="174">
        <v>45576.460914351854</v>
      </c>
    </row>
    <row r="4112" spans="1:7">
      <c r="A4112">
        <v>4150</v>
      </c>
      <c r="B4112" t="s">
        <v>5629</v>
      </c>
      <c r="C4112" t="s">
        <v>4105</v>
      </c>
      <c r="E4112">
        <v>0.01</v>
      </c>
      <c r="F4112" t="s">
        <v>546</v>
      </c>
      <c r="G4112" s="174">
        <v>45576.460914351854</v>
      </c>
    </row>
    <row r="4113" spans="1:7">
      <c r="A4113">
        <v>4151</v>
      </c>
      <c r="B4113" t="s">
        <v>1665</v>
      </c>
      <c r="C4113" t="s">
        <v>3370</v>
      </c>
      <c r="E4113">
        <v>0.01</v>
      </c>
      <c r="F4113" t="s">
        <v>546</v>
      </c>
      <c r="G4113" s="174">
        <v>45576.460914351854</v>
      </c>
    </row>
    <row r="4114" spans="1:7">
      <c r="A4114">
        <v>4152</v>
      </c>
      <c r="B4114" t="s">
        <v>5630</v>
      </c>
      <c r="C4114" t="s">
        <v>5631</v>
      </c>
      <c r="E4114">
        <v>0.1</v>
      </c>
      <c r="F4114" t="s">
        <v>546</v>
      </c>
      <c r="G4114" s="174">
        <v>45576.460914351854</v>
      </c>
    </row>
    <row r="4115" spans="1:7">
      <c r="A4115">
        <v>4153</v>
      </c>
      <c r="B4115" t="s">
        <v>5632</v>
      </c>
      <c r="C4115" t="s">
        <v>5633</v>
      </c>
      <c r="E4115">
        <v>0.01</v>
      </c>
      <c r="F4115" t="s">
        <v>546</v>
      </c>
      <c r="G4115" s="174">
        <v>45576.460914351854</v>
      </c>
    </row>
    <row r="4116" spans="1:7">
      <c r="A4116">
        <v>4154</v>
      </c>
      <c r="B4116" t="s">
        <v>5632</v>
      </c>
      <c r="C4116" t="s">
        <v>4680</v>
      </c>
      <c r="E4116">
        <v>0.01</v>
      </c>
      <c r="F4116" t="s">
        <v>546</v>
      </c>
      <c r="G4116" s="174">
        <v>45576.460914351854</v>
      </c>
    </row>
    <row r="4117" spans="1:7">
      <c r="A4117">
        <v>4155</v>
      </c>
      <c r="B4117" t="s">
        <v>1668</v>
      </c>
      <c r="C4117" t="s">
        <v>4431</v>
      </c>
      <c r="E4117">
        <v>0.01</v>
      </c>
      <c r="F4117" t="s">
        <v>546</v>
      </c>
      <c r="G4117" s="174">
        <v>45576.460914351854</v>
      </c>
    </row>
    <row r="4118" spans="1:7">
      <c r="A4118">
        <v>4156</v>
      </c>
      <c r="B4118" t="s">
        <v>5634</v>
      </c>
      <c r="C4118" t="s">
        <v>5635</v>
      </c>
      <c r="E4118">
        <v>0.1</v>
      </c>
      <c r="F4118" t="s">
        <v>546</v>
      </c>
      <c r="G4118" s="174">
        <v>45576.460914351854</v>
      </c>
    </row>
    <row r="4119" spans="1:7">
      <c r="A4119">
        <v>4157</v>
      </c>
      <c r="B4119" t="s">
        <v>5636</v>
      </c>
      <c r="C4119" t="s">
        <v>2911</v>
      </c>
      <c r="E4119">
        <v>0.01</v>
      </c>
      <c r="F4119" t="s">
        <v>546</v>
      </c>
      <c r="G4119" s="174">
        <v>45576.460914351854</v>
      </c>
    </row>
    <row r="4120" spans="1:7">
      <c r="A4120">
        <v>4158</v>
      </c>
      <c r="B4120" t="s">
        <v>5637</v>
      </c>
      <c r="C4120" t="s">
        <v>741</v>
      </c>
      <c r="E4120">
        <v>0.7</v>
      </c>
      <c r="F4120" t="s">
        <v>546</v>
      </c>
      <c r="G4120" s="174">
        <v>45576.460914351854</v>
      </c>
    </row>
    <row r="4121" spans="1:7">
      <c r="A4121">
        <v>4159</v>
      </c>
      <c r="B4121" t="s">
        <v>5637</v>
      </c>
      <c r="C4121" t="s">
        <v>3966</v>
      </c>
      <c r="E4121">
        <v>0.8</v>
      </c>
      <c r="F4121" t="s">
        <v>546</v>
      </c>
      <c r="G4121" s="174">
        <v>45576.460914351854</v>
      </c>
    </row>
    <row r="4122" spans="1:7">
      <c r="A4122">
        <v>4160</v>
      </c>
      <c r="B4122" t="s">
        <v>5638</v>
      </c>
      <c r="C4122" t="s">
        <v>5620</v>
      </c>
      <c r="E4122">
        <v>0.01</v>
      </c>
      <c r="F4122" t="s">
        <v>546</v>
      </c>
      <c r="G4122" s="174">
        <v>45576.460914351854</v>
      </c>
    </row>
    <row r="4123" spans="1:7">
      <c r="A4123">
        <v>4161</v>
      </c>
      <c r="B4123" t="s">
        <v>5638</v>
      </c>
      <c r="C4123" t="s">
        <v>3759</v>
      </c>
      <c r="E4123">
        <v>0.1</v>
      </c>
      <c r="F4123" t="s">
        <v>546</v>
      </c>
      <c r="G4123" s="174">
        <v>45576.460914351854</v>
      </c>
    </row>
    <row r="4124" spans="1:7">
      <c r="A4124">
        <v>4162</v>
      </c>
      <c r="B4124" t="s">
        <v>5638</v>
      </c>
      <c r="C4124" t="s">
        <v>3092</v>
      </c>
      <c r="E4124">
        <v>0.1</v>
      </c>
      <c r="F4124" t="s">
        <v>546</v>
      </c>
      <c r="G4124" s="174">
        <v>45576.460914351854</v>
      </c>
    </row>
    <row r="4125" spans="1:7">
      <c r="A4125">
        <v>4163</v>
      </c>
      <c r="B4125" t="s">
        <v>5639</v>
      </c>
      <c r="C4125" t="s">
        <v>5485</v>
      </c>
      <c r="E4125">
        <v>0.01</v>
      </c>
      <c r="F4125" t="s">
        <v>546</v>
      </c>
      <c r="G4125" s="174">
        <v>45576.460914351854</v>
      </c>
    </row>
    <row r="4126" spans="1:7">
      <c r="A4126">
        <v>4164</v>
      </c>
      <c r="B4126" t="s">
        <v>5640</v>
      </c>
      <c r="C4126" t="s">
        <v>3686</v>
      </c>
      <c r="E4126">
        <v>0.01</v>
      </c>
      <c r="F4126" t="s">
        <v>546</v>
      </c>
      <c r="G4126" s="174">
        <v>45576.460914351854</v>
      </c>
    </row>
    <row r="4127" spans="1:7">
      <c r="A4127">
        <v>4165</v>
      </c>
      <c r="B4127" t="s">
        <v>5641</v>
      </c>
      <c r="C4127" t="s">
        <v>3603</v>
      </c>
      <c r="E4127">
        <v>0.01</v>
      </c>
      <c r="F4127" t="s">
        <v>546</v>
      </c>
      <c r="G4127" s="174">
        <v>45576.460914351854</v>
      </c>
    </row>
    <row r="4128" spans="1:7">
      <c r="A4128">
        <v>4166</v>
      </c>
      <c r="B4128" t="s">
        <v>5642</v>
      </c>
      <c r="C4128" t="s">
        <v>5643</v>
      </c>
      <c r="E4128">
        <v>0.01</v>
      </c>
      <c r="F4128" t="s">
        <v>546</v>
      </c>
      <c r="G4128" s="174">
        <v>45576.460914351854</v>
      </c>
    </row>
    <row r="4129" spans="1:7">
      <c r="A4129">
        <v>4167</v>
      </c>
      <c r="B4129" t="s">
        <v>5642</v>
      </c>
      <c r="C4129" t="s">
        <v>4612</v>
      </c>
      <c r="E4129">
        <v>0.01</v>
      </c>
      <c r="F4129" t="s">
        <v>546</v>
      </c>
      <c r="G4129" s="174">
        <v>45576.460914351854</v>
      </c>
    </row>
    <row r="4130" spans="1:7">
      <c r="A4130">
        <v>4168</v>
      </c>
      <c r="B4130" t="s">
        <v>5644</v>
      </c>
      <c r="C4130" t="s">
        <v>3327</v>
      </c>
      <c r="E4130">
        <v>0.01</v>
      </c>
      <c r="F4130" t="s">
        <v>546</v>
      </c>
      <c r="G4130" s="174">
        <v>45576.460914351854</v>
      </c>
    </row>
    <row r="4131" spans="1:7">
      <c r="A4131">
        <v>4169</v>
      </c>
      <c r="B4131" t="s">
        <v>5645</v>
      </c>
      <c r="C4131" t="s">
        <v>5646</v>
      </c>
      <c r="E4131">
        <v>0.01</v>
      </c>
      <c r="F4131" t="s">
        <v>546</v>
      </c>
      <c r="G4131" s="174">
        <v>45576.460914351854</v>
      </c>
    </row>
    <row r="4132" spans="1:7">
      <c r="A4132">
        <v>4170</v>
      </c>
      <c r="B4132" t="s">
        <v>5647</v>
      </c>
      <c r="C4132" t="s">
        <v>5648</v>
      </c>
      <c r="E4132">
        <v>1</v>
      </c>
      <c r="F4132" t="s">
        <v>546</v>
      </c>
      <c r="G4132" s="174">
        <v>45576.460914351854</v>
      </c>
    </row>
    <row r="4133" spans="1:7">
      <c r="A4133">
        <v>4171</v>
      </c>
      <c r="B4133" t="s">
        <v>5649</v>
      </c>
      <c r="C4133" t="s">
        <v>5650</v>
      </c>
      <c r="E4133">
        <v>0.01</v>
      </c>
      <c r="F4133" t="s">
        <v>546</v>
      </c>
      <c r="G4133" s="174">
        <v>45576.460914351854</v>
      </c>
    </row>
    <row r="4134" spans="1:7">
      <c r="A4134">
        <v>4172</v>
      </c>
      <c r="B4134" t="s">
        <v>5651</v>
      </c>
      <c r="C4134" t="s">
        <v>5652</v>
      </c>
      <c r="E4134">
        <v>0.01</v>
      </c>
      <c r="F4134" t="s">
        <v>546</v>
      </c>
      <c r="G4134" s="174">
        <v>45576.460914351854</v>
      </c>
    </row>
    <row r="4135" spans="1:7">
      <c r="A4135">
        <v>4173</v>
      </c>
      <c r="B4135" t="s">
        <v>5653</v>
      </c>
      <c r="C4135" t="s">
        <v>5654</v>
      </c>
      <c r="E4135">
        <v>0.01</v>
      </c>
      <c r="F4135" t="s">
        <v>546</v>
      </c>
      <c r="G4135" s="174">
        <v>45576.460914351854</v>
      </c>
    </row>
    <row r="4136" spans="1:7">
      <c r="A4136">
        <v>4174</v>
      </c>
      <c r="B4136" t="s">
        <v>5655</v>
      </c>
      <c r="C4136" t="s">
        <v>5046</v>
      </c>
      <c r="E4136">
        <v>0.1</v>
      </c>
      <c r="F4136" t="s">
        <v>546</v>
      </c>
      <c r="G4136" s="174">
        <v>45576.460914351854</v>
      </c>
    </row>
    <row r="4137" spans="1:7">
      <c r="A4137">
        <v>4175</v>
      </c>
      <c r="B4137" t="s">
        <v>5656</v>
      </c>
      <c r="C4137" t="s">
        <v>2958</v>
      </c>
      <c r="E4137">
        <v>0.01</v>
      </c>
      <c r="F4137" t="s">
        <v>546</v>
      </c>
      <c r="G4137" s="174">
        <v>45576.460914351854</v>
      </c>
    </row>
    <row r="4138" spans="1:7">
      <c r="A4138">
        <v>4176</v>
      </c>
      <c r="B4138" t="s">
        <v>5657</v>
      </c>
      <c r="C4138" t="s">
        <v>5658</v>
      </c>
      <c r="E4138">
        <v>0.1</v>
      </c>
      <c r="F4138" t="s">
        <v>546</v>
      </c>
      <c r="G4138" s="174">
        <v>45576.460914351854</v>
      </c>
    </row>
    <row r="4139" spans="1:7">
      <c r="A4139">
        <v>4177</v>
      </c>
      <c r="B4139" t="s">
        <v>5659</v>
      </c>
      <c r="C4139" t="s">
        <v>5660</v>
      </c>
      <c r="E4139">
        <v>0.01</v>
      </c>
      <c r="F4139" t="s">
        <v>546</v>
      </c>
      <c r="G4139" s="174">
        <v>45576.460914351854</v>
      </c>
    </row>
    <row r="4140" spans="1:7">
      <c r="A4140">
        <v>4178</v>
      </c>
      <c r="B4140" t="s">
        <v>5661</v>
      </c>
      <c r="C4140" t="s">
        <v>4380</v>
      </c>
      <c r="E4140">
        <v>0.01</v>
      </c>
      <c r="F4140" t="s">
        <v>546</v>
      </c>
      <c r="G4140" s="174">
        <v>45576.460914351854</v>
      </c>
    </row>
    <row r="4141" spans="1:7">
      <c r="A4141">
        <v>4179</v>
      </c>
      <c r="B4141" t="s">
        <v>5662</v>
      </c>
      <c r="C4141" t="s">
        <v>5663</v>
      </c>
      <c r="E4141">
        <v>0.01</v>
      </c>
      <c r="F4141" t="s">
        <v>546</v>
      </c>
      <c r="G4141" s="174">
        <v>45576.460914351854</v>
      </c>
    </row>
    <row r="4142" spans="1:7">
      <c r="A4142">
        <v>4180</v>
      </c>
      <c r="B4142" t="s">
        <v>5664</v>
      </c>
      <c r="C4142" t="s">
        <v>3608</v>
      </c>
      <c r="E4142">
        <v>0.01</v>
      </c>
      <c r="F4142" t="s">
        <v>546</v>
      </c>
      <c r="G4142" s="174">
        <v>45576.460914351854</v>
      </c>
    </row>
    <row r="4143" spans="1:7">
      <c r="A4143">
        <v>4181</v>
      </c>
      <c r="B4143" t="s">
        <v>5664</v>
      </c>
      <c r="C4143" t="s">
        <v>4899</v>
      </c>
      <c r="E4143">
        <v>0.01</v>
      </c>
      <c r="F4143" t="s">
        <v>546</v>
      </c>
      <c r="G4143" s="174">
        <v>45576.460914351854</v>
      </c>
    </row>
    <row r="4144" spans="1:7">
      <c r="A4144">
        <v>4182</v>
      </c>
      <c r="B4144" t="s">
        <v>1680</v>
      </c>
      <c r="C4144" t="s">
        <v>5665</v>
      </c>
      <c r="E4144">
        <v>0.01</v>
      </c>
      <c r="F4144" t="s">
        <v>546</v>
      </c>
      <c r="G4144" s="174">
        <v>45576.460914351854</v>
      </c>
    </row>
    <row r="4145" spans="1:7">
      <c r="A4145">
        <v>4183</v>
      </c>
      <c r="B4145" t="s">
        <v>1680</v>
      </c>
      <c r="C4145" t="s">
        <v>5666</v>
      </c>
      <c r="E4145">
        <v>0.1</v>
      </c>
      <c r="F4145" t="s">
        <v>546</v>
      </c>
      <c r="G4145" s="174">
        <v>45576.460914351854</v>
      </c>
    </row>
    <row r="4146" spans="1:7">
      <c r="A4146">
        <v>4184</v>
      </c>
      <c r="B4146" t="s">
        <v>5667</v>
      </c>
      <c r="C4146" t="s">
        <v>2801</v>
      </c>
      <c r="E4146">
        <v>0.01</v>
      </c>
      <c r="F4146" t="s">
        <v>546</v>
      </c>
      <c r="G4146" s="174">
        <v>45576.460914351854</v>
      </c>
    </row>
    <row r="4147" spans="1:7">
      <c r="A4147">
        <v>4185</v>
      </c>
      <c r="B4147" t="s">
        <v>5668</v>
      </c>
      <c r="C4147" t="s">
        <v>5669</v>
      </c>
      <c r="E4147">
        <v>0.8</v>
      </c>
      <c r="F4147" t="s">
        <v>546</v>
      </c>
      <c r="G4147" s="174">
        <v>45576.460914351854</v>
      </c>
    </row>
    <row r="4148" spans="1:7">
      <c r="A4148">
        <v>4186</v>
      </c>
      <c r="B4148" t="s">
        <v>5670</v>
      </c>
      <c r="C4148" t="s">
        <v>4526</v>
      </c>
      <c r="E4148">
        <v>0.1</v>
      </c>
      <c r="F4148" t="s">
        <v>546</v>
      </c>
      <c r="G4148" s="174">
        <v>45576.460914351854</v>
      </c>
    </row>
    <row r="4149" spans="1:7">
      <c r="A4149">
        <v>4187</v>
      </c>
      <c r="B4149" t="s">
        <v>5671</v>
      </c>
      <c r="C4149" t="s">
        <v>3911</v>
      </c>
      <c r="E4149">
        <v>0.01</v>
      </c>
      <c r="F4149" t="s">
        <v>546</v>
      </c>
      <c r="G4149" s="174">
        <v>45576.460914351854</v>
      </c>
    </row>
    <row r="4150" spans="1:7">
      <c r="A4150">
        <v>4188</v>
      </c>
      <c r="B4150" t="s">
        <v>5672</v>
      </c>
      <c r="C4150" t="s">
        <v>4295</v>
      </c>
      <c r="E4150">
        <v>0.01</v>
      </c>
      <c r="F4150" t="s">
        <v>546</v>
      </c>
      <c r="G4150" s="174">
        <v>45576.460914351854</v>
      </c>
    </row>
    <row r="4151" spans="1:7">
      <c r="A4151">
        <v>4189</v>
      </c>
      <c r="B4151" t="s">
        <v>5673</v>
      </c>
      <c r="C4151" t="s">
        <v>5643</v>
      </c>
      <c r="E4151">
        <v>0.01</v>
      </c>
      <c r="F4151" t="s">
        <v>546</v>
      </c>
      <c r="G4151" s="174">
        <v>45576.460914351854</v>
      </c>
    </row>
    <row r="4152" spans="1:7">
      <c r="A4152">
        <v>4190</v>
      </c>
      <c r="B4152" t="s">
        <v>5674</v>
      </c>
      <c r="C4152" t="s">
        <v>5675</v>
      </c>
      <c r="E4152">
        <v>0.1</v>
      </c>
      <c r="F4152" t="s">
        <v>546</v>
      </c>
      <c r="G4152" s="174">
        <v>45576.460914351854</v>
      </c>
    </row>
    <row r="4153" spans="1:7">
      <c r="A4153">
        <v>4191</v>
      </c>
      <c r="B4153" t="s">
        <v>5676</v>
      </c>
      <c r="C4153" t="s">
        <v>4255</v>
      </c>
      <c r="E4153">
        <v>0.01</v>
      </c>
      <c r="F4153" t="s">
        <v>546</v>
      </c>
      <c r="G4153" s="174">
        <v>45576.460914351854</v>
      </c>
    </row>
    <row r="4154" spans="1:7">
      <c r="A4154">
        <v>4192</v>
      </c>
      <c r="B4154" t="s">
        <v>5676</v>
      </c>
      <c r="C4154" t="s">
        <v>5677</v>
      </c>
      <c r="E4154">
        <v>0.1</v>
      </c>
      <c r="F4154" t="s">
        <v>546</v>
      </c>
      <c r="G4154" s="174">
        <v>45576.460914351854</v>
      </c>
    </row>
    <row r="4155" spans="1:7">
      <c r="A4155">
        <v>4193</v>
      </c>
      <c r="B4155" t="s">
        <v>5678</v>
      </c>
      <c r="C4155" t="s">
        <v>2747</v>
      </c>
      <c r="E4155">
        <v>0.01</v>
      </c>
      <c r="F4155" t="s">
        <v>546</v>
      </c>
      <c r="G4155" s="174">
        <v>45576.460914351854</v>
      </c>
    </row>
    <row r="4156" spans="1:7">
      <c r="A4156">
        <v>4194</v>
      </c>
      <c r="B4156" t="s">
        <v>5679</v>
      </c>
      <c r="C4156" t="s">
        <v>4005</v>
      </c>
      <c r="E4156">
        <v>0.1</v>
      </c>
      <c r="F4156" t="s">
        <v>546</v>
      </c>
      <c r="G4156" s="174">
        <v>45576.460914351854</v>
      </c>
    </row>
    <row r="4157" spans="1:7">
      <c r="A4157">
        <v>4195</v>
      </c>
      <c r="B4157" t="s">
        <v>5679</v>
      </c>
      <c r="C4157" t="s">
        <v>3023</v>
      </c>
      <c r="E4157">
        <v>0.01</v>
      </c>
      <c r="F4157" t="s">
        <v>546</v>
      </c>
      <c r="G4157" s="174">
        <v>45576.460914351854</v>
      </c>
    </row>
    <row r="4158" spans="1:7">
      <c r="A4158">
        <v>4196</v>
      </c>
      <c r="B4158" t="s">
        <v>5680</v>
      </c>
      <c r="C4158" t="s">
        <v>3554</v>
      </c>
      <c r="E4158">
        <v>0.01</v>
      </c>
      <c r="F4158" t="s">
        <v>546</v>
      </c>
      <c r="G4158" s="174">
        <v>45576.460914351854</v>
      </c>
    </row>
    <row r="4159" spans="1:7">
      <c r="A4159">
        <v>4197</v>
      </c>
      <c r="B4159" t="s">
        <v>5680</v>
      </c>
      <c r="C4159" t="s">
        <v>3638</v>
      </c>
      <c r="E4159" t="s">
        <v>1380</v>
      </c>
      <c r="F4159" t="s">
        <v>546</v>
      </c>
      <c r="G4159" s="174">
        <v>45576.460914351854</v>
      </c>
    </row>
    <row r="4160" spans="1:7">
      <c r="A4160">
        <v>4198</v>
      </c>
      <c r="B4160" t="s">
        <v>1689</v>
      </c>
      <c r="C4160" t="s">
        <v>3016</v>
      </c>
      <c r="E4160">
        <v>0.05</v>
      </c>
      <c r="F4160" t="s">
        <v>546</v>
      </c>
      <c r="G4160" s="174">
        <v>45576.460914351854</v>
      </c>
    </row>
    <row r="4161" spans="1:7">
      <c r="A4161">
        <v>4199</v>
      </c>
      <c r="B4161" t="s">
        <v>5681</v>
      </c>
      <c r="C4161" t="s">
        <v>4188</v>
      </c>
      <c r="E4161">
        <v>0.01</v>
      </c>
      <c r="F4161" t="s">
        <v>546</v>
      </c>
      <c r="G4161" s="174">
        <v>45576.460914351854</v>
      </c>
    </row>
    <row r="4162" spans="1:7">
      <c r="A4162">
        <v>4200</v>
      </c>
      <c r="B4162" t="s">
        <v>5681</v>
      </c>
      <c r="C4162" t="s">
        <v>4628</v>
      </c>
      <c r="E4162">
        <v>0.01</v>
      </c>
      <c r="F4162" t="s">
        <v>546</v>
      </c>
      <c r="G4162" s="174">
        <v>45576.460914351854</v>
      </c>
    </row>
    <row r="4163" spans="1:7">
      <c r="A4163">
        <v>4201</v>
      </c>
      <c r="B4163" t="s">
        <v>5682</v>
      </c>
      <c r="C4163" t="s">
        <v>3132</v>
      </c>
      <c r="E4163">
        <v>0.01</v>
      </c>
      <c r="F4163" t="s">
        <v>546</v>
      </c>
      <c r="G4163" s="174">
        <v>45576.460914351854</v>
      </c>
    </row>
    <row r="4164" spans="1:7">
      <c r="A4164">
        <v>4202</v>
      </c>
      <c r="B4164" t="s">
        <v>5683</v>
      </c>
      <c r="C4164" t="s">
        <v>5134</v>
      </c>
      <c r="E4164">
        <v>0.01</v>
      </c>
      <c r="F4164" t="s">
        <v>546</v>
      </c>
      <c r="G4164" s="174">
        <v>45576.460914351854</v>
      </c>
    </row>
    <row r="4165" spans="1:7">
      <c r="A4165">
        <v>4203</v>
      </c>
      <c r="B4165" t="s">
        <v>5684</v>
      </c>
      <c r="C4165" t="s">
        <v>2997</v>
      </c>
      <c r="E4165">
        <v>0.1</v>
      </c>
      <c r="F4165" t="s">
        <v>546</v>
      </c>
      <c r="G4165" s="174">
        <v>45576.460914351854</v>
      </c>
    </row>
    <row r="4166" spans="1:7">
      <c r="A4166">
        <v>4204</v>
      </c>
      <c r="B4166" t="s">
        <v>5685</v>
      </c>
      <c r="C4166" t="s">
        <v>3164</v>
      </c>
      <c r="E4166">
        <v>0.01</v>
      </c>
      <c r="F4166" t="s">
        <v>546</v>
      </c>
      <c r="G4166" s="174">
        <v>45576.460914351854</v>
      </c>
    </row>
    <row r="4167" spans="1:7">
      <c r="A4167">
        <v>4205</v>
      </c>
      <c r="B4167" t="s">
        <v>5686</v>
      </c>
      <c r="C4167" t="s">
        <v>5687</v>
      </c>
      <c r="E4167">
        <v>0.5</v>
      </c>
      <c r="F4167" t="s">
        <v>546</v>
      </c>
      <c r="G4167" s="174">
        <v>45576.460914351854</v>
      </c>
    </row>
    <row r="4168" spans="1:7">
      <c r="A4168">
        <v>4206</v>
      </c>
      <c r="B4168" t="s">
        <v>5686</v>
      </c>
      <c r="C4168" t="s">
        <v>3029</v>
      </c>
      <c r="E4168">
        <v>1</v>
      </c>
      <c r="F4168" t="s">
        <v>546</v>
      </c>
      <c r="G4168" s="174">
        <v>45576.460914351854</v>
      </c>
    </row>
    <row r="4169" spans="1:7">
      <c r="A4169">
        <v>4207</v>
      </c>
      <c r="B4169" t="s">
        <v>5688</v>
      </c>
      <c r="C4169" t="s">
        <v>3132</v>
      </c>
      <c r="E4169">
        <v>0.01</v>
      </c>
      <c r="F4169" t="s">
        <v>546</v>
      </c>
      <c r="G4169" s="174">
        <v>45576.460914351854</v>
      </c>
    </row>
    <row r="4170" spans="1:7">
      <c r="A4170">
        <v>4208</v>
      </c>
      <c r="B4170" t="s">
        <v>1692</v>
      </c>
      <c r="C4170" t="s">
        <v>5689</v>
      </c>
      <c r="E4170">
        <v>0.1</v>
      </c>
      <c r="F4170" t="s">
        <v>546</v>
      </c>
      <c r="G4170" s="174">
        <v>45576.460914351854</v>
      </c>
    </row>
    <row r="4171" spans="1:7">
      <c r="A4171">
        <v>4209</v>
      </c>
      <c r="B4171" t="s">
        <v>5690</v>
      </c>
      <c r="C4171" t="s">
        <v>5691</v>
      </c>
      <c r="E4171">
        <v>0.01</v>
      </c>
      <c r="F4171" t="s">
        <v>546</v>
      </c>
      <c r="G4171" s="174">
        <v>45576.460914351854</v>
      </c>
    </row>
    <row r="4172" spans="1:7">
      <c r="A4172">
        <v>4210</v>
      </c>
      <c r="B4172" t="s">
        <v>5692</v>
      </c>
      <c r="C4172" t="s">
        <v>5693</v>
      </c>
      <c r="E4172">
        <v>0.1</v>
      </c>
      <c r="F4172" t="s">
        <v>546</v>
      </c>
      <c r="G4172" s="174">
        <v>45576.460914351854</v>
      </c>
    </row>
    <row r="4173" spans="1:7">
      <c r="A4173">
        <v>4211</v>
      </c>
      <c r="B4173" t="s">
        <v>5694</v>
      </c>
      <c r="C4173" t="s">
        <v>5695</v>
      </c>
      <c r="E4173">
        <v>0.8</v>
      </c>
      <c r="F4173" t="s">
        <v>546</v>
      </c>
      <c r="G4173" s="174">
        <v>45576.460914351854</v>
      </c>
    </row>
    <row r="4174" spans="1:7">
      <c r="A4174">
        <v>4212</v>
      </c>
      <c r="B4174" t="s">
        <v>5696</v>
      </c>
      <c r="C4174" t="s">
        <v>5306</v>
      </c>
      <c r="E4174">
        <v>0.5</v>
      </c>
      <c r="F4174" t="s">
        <v>546</v>
      </c>
      <c r="G4174" s="174">
        <v>45576.460914351854</v>
      </c>
    </row>
    <row r="4175" spans="1:7">
      <c r="A4175">
        <v>4213</v>
      </c>
      <c r="B4175" t="s">
        <v>5696</v>
      </c>
      <c r="C4175" t="s">
        <v>3797</v>
      </c>
      <c r="E4175">
        <v>0.6</v>
      </c>
      <c r="F4175" t="s">
        <v>546</v>
      </c>
      <c r="G4175" s="174">
        <v>45576.460914351854</v>
      </c>
    </row>
    <row r="4176" spans="1:7">
      <c r="A4176">
        <v>4214</v>
      </c>
      <c r="B4176" t="s">
        <v>5696</v>
      </c>
      <c r="C4176" t="s">
        <v>5697</v>
      </c>
      <c r="E4176">
        <v>0.8</v>
      </c>
      <c r="F4176" t="s">
        <v>546</v>
      </c>
      <c r="G4176" s="174">
        <v>45576.460914351854</v>
      </c>
    </row>
    <row r="4177" spans="1:7">
      <c r="A4177">
        <v>4215</v>
      </c>
      <c r="B4177" t="s">
        <v>5698</v>
      </c>
      <c r="C4177" t="s">
        <v>5699</v>
      </c>
      <c r="E4177">
        <v>0.01</v>
      </c>
      <c r="F4177" t="s">
        <v>546</v>
      </c>
      <c r="G4177" s="174">
        <v>45576.460914351854</v>
      </c>
    </row>
    <row r="4178" spans="1:7">
      <c r="A4178">
        <v>4216</v>
      </c>
      <c r="B4178" t="s">
        <v>5698</v>
      </c>
      <c r="C4178" t="s">
        <v>5700</v>
      </c>
      <c r="E4178">
        <v>0.01</v>
      </c>
      <c r="F4178" t="s">
        <v>546</v>
      </c>
      <c r="G4178" s="174">
        <v>45576.460914351854</v>
      </c>
    </row>
    <row r="4179" spans="1:7">
      <c r="A4179">
        <v>4217</v>
      </c>
      <c r="B4179" t="s">
        <v>5698</v>
      </c>
      <c r="C4179" t="s">
        <v>5646</v>
      </c>
      <c r="E4179">
        <v>0.01</v>
      </c>
      <c r="F4179" t="s">
        <v>546</v>
      </c>
      <c r="G4179" s="174">
        <v>45576.460914351854</v>
      </c>
    </row>
    <row r="4180" spans="1:7">
      <c r="A4180">
        <v>4218</v>
      </c>
      <c r="B4180" t="s">
        <v>5701</v>
      </c>
      <c r="C4180" t="s">
        <v>4570</v>
      </c>
      <c r="E4180">
        <v>0.01</v>
      </c>
      <c r="F4180" t="s">
        <v>546</v>
      </c>
      <c r="G4180" s="174">
        <v>45576.460914351854</v>
      </c>
    </row>
    <row r="4181" spans="1:7">
      <c r="A4181">
        <v>4219</v>
      </c>
      <c r="B4181" t="s">
        <v>5702</v>
      </c>
      <c r="C4181" t="s">
        <v>4483</v>
      </c>
      <c r="E4181">
        <v>0.01</v>
      </c>
      <c r="F4181" t="s">
        <v>546</v>
      </c>
      <c r="G4181" s="174">
        <v>45576.460914351854</v>
      </c>
    </row>
    <row r="4182" spans="1:7">
      <c r="A4182">
        <v>4220</v>
      </c>
      <c r="B4182" t="s">
        <v>5703</v>
      </c>
      <c r="C4182" t="s">
        <v>5704</v>
      </c>
      <c r="E4182">
        <v>0.01</v>
      </c>
      <c r="F4182" t="s">
        <v>546</v>
      </c>
      <c r="G4182" s="174">
        <v>45576.460914351854</v>
      </c>
    </row>
    <row r="4183" spans="1:7">
      <c r="A4183">
        <v>4221</v>
      </c>
      <c r="B4183" t="s">
        <v>5705</v>
      </c>
      <c r="C4183" t="s">
        <v>5706</v>
      </c>
      <c r="E4183">
        <v>0.01</v>
      </c>
      <c r="F4183" t="s">
        <v>546</v>
      </c>
      <c r="G4183" s="174">
        <v>45576.460914351854</v>
      </c>
    </row>
    <row r="4184" spans="1:7">
      <c r="A4184">
        <v>4222</v>
      </c>
      <c r="B4184" t="s">
        <v>1697</v>
      </c>
      <c r="C4184" t="s">
        <v>5123</v>
      </c>
      <c r="E4184">
        <v>0.01</v>
      </c>
      <c r="F4184" t="s">
        <v>546</v>
      </c>
      <c r="G4184" s="174">
        <v>45576.460914351854</v>
      </c>
    </row>
    <row r="4185" spans="1:7">
      <c r="A4185">
        <v>4223</v>
      </c>
      <c r="B4185" t="s">
        <v>5707</v>
      </c>
      <c r="C4185" t="s">
        <v>2848</v>
      </c>
      <c r="E4185">
        <v>0.01</v>
      </c>
      <c r="F4185" t="s">
        <v>546</v>
      </c>
      <c r="G4185" s="174">
        <v>45576.460914351854</v>
      </c>
    </row>
    <row r="4186" spans="1:7">
      <c r="A4186">
        <v>4224</v>
      </c>
      <c r="B4186" t="s">
        <v>5707</v>
      </c>
      <c r="C4186" t="s">
        <v>4547</v>
      </c>
      <c r="E4186">
        <v>0.1</v>
      </c>
      <c r="F4186" t="s">
        <v>546</v>
      </c>
      <c r="G4186" s="174">
        <v>45576.460914351854</v>
      </c>
    </row>
    <row r="4187" spans="1:7">
      <c r="A4187">
        <v>4225</v>
      </c>
      <c r="B4187" t="s">
        <v>5708</v>
      </c>
      <c r="C4187" t="s">
        <v>5709</v>
      </c>
      <c r="E4187">
        <v>0.01</v>
      </c>
      <c r="F4187" t="s">
        <v>546</v>
      </c>
      <c r="G4187" s="174">
        <v>45576.460914351854</v>
      </c>
    </row>
    <row r="4188" spans="1:7">
      <c r="A4188">
        <v>4226</v>
      </c>
      <c r="B4188" t="s">
        <v>5710</v>
      </c>
      <c r="C4188" t="s">
        <v>4558</v>
      </c>
      <c r="E4188">
        <v>0.01</v>
      </c>
      <c r="F4188" t="s">
        <v>546</v>
      </c>
      <c r="G4188" s="174">
        <v>45576.460914351854</v>
      </c>
    </row>
    <row r="4189" spans="1:7">
      <c r="A4189">
        <v>4227</v>
      </c>
      <c r="B4189" t="s">
        <v>5711</v>
      </c>
      <c r="C4189" t="s">
        <v>4650</v>
      </c>
      <c r="E4189">
        <v>0.1</v>
      </c>
      <c r="F4189" t="s">
        <v>546</v>
      </c>
      <c r="G4189" s="174">
        <v>45576.460914351854</v>
      </c>
    </row>
    <row r="4190" spans="1:7">
      <c r="A4190">
        <v>4228</v>
      </c>
      <c r="B4190" t="s">
        <v>5712</v>
      </c>
      <c r="C4190" t="s">
        <v>5713</v>
      </c>
      <c r="E4190">
        <v>0.01</v>
      </c>
      <c r="F4190" t="s">
        <v>546</v>
      </c>
      <c r="G4190" s="174">
        <v>45576.460914351854</v>
      </c>
    </row>
    <row r="4191" spans="1:7">
      <c r="A4191">
        <v>4229</v>
      </c>
      <c r="B4191" t="s">
        <v>5714</v>
      </c>
      <c r="C4191" t="s">
        <v>3293</v>
      </c>
      <c r="E4191">
        <v>0.01</v>
      </c>
      <c r="F4191" t="s">
        <v>546</v>
      </c>
      <c r="G4191" s="174">
        <v>45576.460914351854</v>
      </c>
    </row>
    <row r="4192" spans="1:7">
      <c r="A4192">
        <v>4230</v>
      </c>
      <c r="B4192" t="s">
        <v>5715</v>
      </c>
      <c r="C4192" t="s">
        <v>3938</v>
      </c>
      <c r="E4192">
        <v>0.8</v>
      </c>
      <c r="F4192" t="s">
        <v>546</v>
      </c>
      <c r="G4192" s="174">
        <v>45576.460914351854</v>
      </c>
    </row>
    <row r="4193" spans="1:7">
      <c r="A4193">
        <v>4231</v>
      </c>
      <c r="B4193" t="s">
        <v>5716</v>
      </c>
      <c r="C4193" t="s">
        <v>3227</v>
      </c>
      <c r="E4193">
        <v>1</v>
      </c>
      <c r="F4193" t="s">
        <v>5717</v>
      </c>
      <c r="G4193" s="174">
        <v>45576.460914351854</v>
      </c>
    </row>
    <row r="4194" spans="1:7">
      <c r="A4194">
        <v>4232</v>
      </c>
      <c r="B4194" t="s">
        <v>5718</v>
      </c>
      <c r="C4194" t="s">
        <v>3353</v>
      </c>
      <c r="E4194">
        <v>0.01</v>
      </c>
      <c r="F4194" t="s">
        <v>546</v>
      </c>
      <c r="G4194" s="174">
        <v>45576.460914351854</v>
      </c>
    </row>
    <row r="4195" spans="1:7">
      <c r="A4195">
        <v>4233</v>
      </c>
      <c r="B4195" t="s">
        <v>5719</v>
      </c>
      <c r="C4195" t="s">
        <v>3889</v>
      </c>
      <c r="E4195">
        <v>0.1</v>
      </c>
      <c r="F4195" t="s">
        <v>546</v>
      </c>
      <c r="G4195" s="174">
        <v>45576.460914351854</v>
      </c>
    </row>
    <row r="4196" spans="1:7">
      <c r="A4196">
        <v>4234</v>
      </c>
      <c r="B4196" t="s">
        <v>5720</v>
      </c>
      <c r="C4196" t="s">
        <v>3734</v>
      </c>
      <c r="E4196">
        <v>0.01</v>
      </c>
      <c r="F4196" t="s">
        <v>546</v>
      </c>
      <c r="G4196" s="174">
        <v>45576.460914351854</v>
      </c>
    </row>
    <row r="4197" spans="1:7">
      <c r="A4197">
        <v>4235</v>
      </c>
      <c r="B4197" t="s">
        <v>5721</v>
      </c>
      <c r="C4197" t="s">
        <v>3887</v>
      </c>
      <c r="E4197">
        <v>0.01</v>
      </c>
      <c r="F4197" t="s">
        <v>546</v>
      </c>
      <c r="G4197" s="174">
        <v>45576.460914351854</v>
      </c>
    </row>
    <row r="4198" spans="1:7">
      <c r="A4198">
        <v>4236</v>
      </c>
      <c r="B4198" t="s">
        <v>5722</v>
      </c>
      <c r="C4198" t="s">
        <v>3521</v>
      </c>
      <c r="E4198">
        <v>0.01</v>
      </c>
      <c r="F4198" t="s">
        <v>546</v>
      </c>
      <c r="G4198" s="174">
        <v>45576.460914351854</v>
      </c>
    </row>
    <row r="4199" spans="1:7">
      <c r="A4199">
        <v>4237</v>
      </c>
      <c r="B4199" t="s">
        <v>5723</v>
      </c>
      <c r="C4199" t="s">
        <v>5724</v>
      </c>
      <c r="E4199">
        <v>0.7</v>
      </c>
      <c r="F4199" t="s">
        <v>546</v>
      </c>
      <c r="G4199" s="174">
        <v>45576.460914351854</v>
      </c>
    </row>
    <row r="4200" spans="1:7">
      <c r="A4200">
        <v>4238</v>
      </c>
      <c r="B4200" t="s">
        <v>5723</v>
      </c>
      <c r="C4200" t="s">
        <v>634</v>
      </c>
      <c r="E4200">
        <v>0.6</v>
      </c>
      <c r="F4200" t="s">
        <v>546</v>
      </c>
      <c r="G4200" s="174">
        <v>45576.460914351854</v>
      </c>
    </row>
    <row r="4201" spans="1:7">
      <c r="A4201">
        <v>4239</v>
      </c>
      <c r="B4201" t="s">
        <v>5723</v>
      </c>
      <c r="C4201" t="s">
        <v>3743</v>
      </c>
      <c r="E4201">
        <v>0.8</v>
      </c>
      <c r="F4201" t="s">
        <v>546</v>
      </c>
      <c r="G4201" s="174">
        <v>45576.460914351854</v>
      </c>
    </row>
    <row r="4202" spans="1:7">
      <c r="A4202">
        <v>4240</v>
      </c>
      <c r="B4202" t="s">
        <v>5725</v>
      </c>
      <c r="C4202" t="s">
        <v>5726</v>
      </c>
      <c r="E4202">
        <v>0.01</v>
      </c>
      <c r="F4202" t="s">
        <v>546</v>
      </c>
      <c r="G4202" s="174">
        <v>45576.460914351854</v>
      </c>
    </row>
    <row r="4203" spans="1:7">
      <c r="A4203">
        <v>4241</v>
      </c>
      <c r="B4203" t="s">
        <v>5725</v>
      </c>
      <c r="C4203" t="s">
        <v>5517</v>
      </c>
      <c r="E4203">
        <v>0.01</v>
      </c>
      <c r="F4203" t="s">
        <v>546</v>
      </c>
      <c r="G4203" s="174">
        <v>45576.460914351854</v>
      </c>
    </row>
    <row r="4204" spans="1:7">
      <c r="A4204">
        <v>4242</v>
      </c>
      <c r="B4204" t="s">
        <v>5727</v>
      </c>
      <c r="C4204" t="s">
        <v>5620</v>
      </c>
      <c r="E4204">
        <v>0.01</v>
      </c>
      <c r="F4204" t="s">
        <v>546</v>
      </c>
      <c r="G4204" s="174">
        <v>45576.460914351854</v>
      </c>
    </row>
    <row r="4205" spans="1:7">
      <c r="A4205">
        <v>4243</v>
      </c>
      <c r="B4205" t="s">
        <v>5727</v>
      </c>
      <c r="C4205" t="s">
        <v>3400</v>
      </c>
      <c r="E4205">
        <v>0.01</v>
      </c>
      <c r="F4205" t="s">
        <v>546</v>
      </c>
      <c r="G4205" s="174">
        <v>45576.460914351854</v>
      </c>
    </row>
    <row r="4206" spans="1:7">
      <c r="A4206">
        <v>4244</v>
      </c>
      <c r="B4206" t="s">
        <v>5728</v>
      </c>
      <c r="C4206" t="s">
        <v>741</v>
      </c>
      <c r="E4206">
        <v>0.01</v>
      </c>
      <c r="F4206" t="s">
        <v>546</v>
      </c>
      <c r="G4206" s="174">
        <v>45576.460914351854</v>
      </c>
    </row>
    <row r="4207" spans="1:7">
      <c r="A4207">
        <v>4245</v>
      </c>
      <c r="B4207" t="s">
        <v>5729</v>
      </c>
      <c r="C4207" t="s">
        <v>2952</v>
      </c>
      <c r="E4207">
        <v>0.01</v>
      </c>
      <c r="F4207" t="s">
        <v>546</v>
      </c>
      <c r="G4207" s="174">
        <v>45576.460914351854</v>
      </c>
    </row>
    <row r="4208" spans="1:7">
      <c r="A4208">
        <v>4246</v>
      </c>
      <c r="B4208" t="s">
        <v>5730</v>
      </c>
      <c r="C4208" t="s">
        <v>3308</v>
      </c>
      <c r="E4208">
        <v>0.01</v>
      </c>
      <c r="F4208" t="s">
        <v>546</v>
      </c>
      <c r="G4208" s="174">
        <v>45576.460914351854</v>
      </c>
    </row>
    <row r="4209" spans="1:7">
      <c r="A4209">
        <v>4247</v>
      </c>
      <c r="B4209" t="s">
        <v>5731</v>
      </c>
      <c r="C4209" t="s">
        <v>3178</v>
      </c>
      <c r="E4209">
        <v>0.01</v>
      </c>
      <c r="F4209" t="s">
        <v>546</v>
      </c>
      <c r="G4209" s="174">
        <v>45576.460914351854</v>
      </c>
    </row>
    <row r="4210" spans="1:7">
      <c r="A4210">
        <v>4248</v>
      </c>
      <c r="B4210" t="s">
        <v>5732</v>
      </c>
      <c r="C4210" t="s">
        <v>5733</v>
      </c>
      <c r="E4210">
        <v>0.01</v>
      </c>
      <c r="F4210" t="s">
        <v>546</v>
      </c>
      <c r="G4210" s="174">
        <v>45576.460914351854</v>
      </c>
    </row>
    <row r="4211" spans="1:7">
      <c r="A4211">
        <v>4249</v>
      </c>
      <c r="B4211" t="s">
        <v>5734</v>
      </c>
      <c r="C4211" t="s">
        <v>4539</v>
      </c>
      <c r="E4211">
        <v>0.01</v>
      </c>
      <c r="F4211" t="s">
        <v>546</v>
      </c>
      <c r="G4211" s="174">
        <v>45576.460914351854</v>
      </c>
    </row>
    <row r="4212" spans="1:7">
      <c r="A4212">
        <v>4250</v>
      </c>
      <c r="B4212" t="s">
        <v>5735</v>
      </c>
      <c r="C4212" t="s">
        <v>1802</v>
      </c>
      <c r="E4212">
        <v>0.01</v>
      </c>
      <c r="F4212" t="s">
        <v>546</v>
      </c>
      <c r="G4212" s="174">
        <v>45576.460914351854</v>
      </c>
    </row>
    <row r="4213" spans="1:7">
      <c r="A4213">
        <v>4251</v>
      </c>
      <c r="B4213" t="s">
        <v>5736</v>
      </c>
      <c r="C4213" t="s">
        <v>3310</v>
      </c>
      <c r="E4213">
        <v>0.01</v>
      </c>
      <c r="F4213" t="s">
        <v>546</v>
      </c>
      <c r="G4213" s="174">
        <v>45576.460914351854</v>
      </c>
    </row>
    <row r="4214" spans="1:7">
      <c r="A4214">
        <v>4252</v>
      </c>
      <c r="B4214" t="s">
        <v>5737</v>
      </c>
      <c r="C4214" t="s">
        <v>5738</v>
      </c>
      <c r="E4214">
        <v>0.01</v>
      </c>
      <c r="F4214" t="s">
        <v>546</v>
      </c>
      <c r="G4214" s="174">
        <v>45576.460914351854</v>
      </c>
    </row>
    <row r="4215" spans="1:7">
      <c r="A4215">
        <v>4253</v>
      </c>
      <c r="B4215" t="s">
        <v>5739</v>
      </c>
      <c r="C4215" t="s">
        <v>4260</v>
      </c>
      <c r="E4215">
        <v>0.1</v>
      </c>
      <c r="F4215" t="s">
        <v>546</v>
      </c>
      <c r="G4215" s="174">
        <v>45576.460914351854</v>
      </c>
    </row>
    <row r="4216" spans="1:7">
      <c r="A4216">
        <v>4254</v>
      </c>
      <c r="B4216" t="s">
        <v>5739</v>
      </c>
      <c r="C4216" t="s">
        <v>5740</v>
      </c>
      <c r="E4216">
        <v>0.01</v>
      </c>
      <c r="F4216" t="s">
        <v>546</v>
      </c>
      <c r="G4216" s="174">
        <v>45576.460914351854</v>
      </c>
    </row>
    <row r="4217" spans="1:7">
      <c r="A4217">
        <v>4255</v>
      </c>
      <c r="B4217" t="s">
        <v>5741</v>
      </c>
      <c r="C4217" t="s">
        <v>5430</v>
      </c>
      <c r="E4217">
        <v>0.01</v>
      </c>
      <c r="F4217" t="s">
        <v>546</v>
      </c>
      <c r="G4217" s="174">
        <v>45576.460914351854</v>
      </c>
    </row>
    <row r="4218" spans="1:7">
      <c r="A4218">
        <v>4256</v>
      </c>
      <c r="B4218" t="s">
        <v>5742</v>
      </c>
      <c r="C4218" t="s">
        <v>2914</v>
      </c>
      <c r="E4218">
        <v>0.01</v>
      </c>
      <c r="F4218" t="s">
        <v>546</v>
      </c>
      <c r="G4218" s="174">
        <v>45576.460914351854</v>
      </c>
    </row>
    <row r="4219" spans="1:7">
      <c r="A4219">
        <v>4257</v>
      </c>
      <c r="B4219" t="s">
        <v>5742</v>
      </c>
      <c r="C4219" t="s">
        <v>4964</v>
      </c>
      <c r="E4219">
        <v>0.01</v>
      </c>
      <c r="F4219" t="s">
        <v>546</v>
      </c>
      <c r="G4219" s="174">
        <v>45576.460914351854</v>
      </c>
    </row>
    <row r="4220" spans="1:7">
      <c r="A4220">
        <v>4258</v>
      </c>
      <c r="B4220" t="s">
        <v>5743</v>
      </c>
      <c r="C4220" t="s">
        <v>5744</v>
      </c>
      <c r="E4220">
        <v>0.01</v>
      </c>
      <c r="F4220" t="s">
        <v>546</v>
      </c>
      <c r="G4220" s="174">
        <v>45576.460914351854</v>
      </c>
    </row>
    <row r="4221" spans="1:7">
      <c r="A4221">
        <v>4259</v>
      </c>
      <c r="B4221" t="s">
        <v>5745</v>
      </c>
      <c r="C4221" t="s">
        <v>5615</v>
      </c>
      <c r="E4221">
        <v>0.01</v>
      </c>
      <c r="F4221" t="s">
        <v>546</v>
      </c>
      <c r="G4221" s="174">
        <v>45576.460914351854</v>
      </c>
    </row>
    <row r="4222" spans="1:7">
      <c r="A4222">
        <v>4260</v>
      </c>
      <c r="B4222" t="s">
        <v>5746</v>
      </c>
      <c r="C4222" t="s">
        <v>4479</v>
      </c>
      <c r="E4222">
        <v>0.01</v>
      </c>
      <c r="F4222" t="s">
        <v>546</v>
      </c>
      <c r="G4222" s="174">
        <v>45576.460914351854</v>
      </c>
    </row>
    <row r="4223" spans="1:7">
      <c r="A4223">
        <v>4261</v>
      </c>
      <c r="B4223" t="s">
        <v>5747</v>
      </c>
      <c r="C4223" t="s">
        <v>5748</v>
      </c>
      <c r="E4223">
        <v>0.01</v>
      </c>
      <c r="F4223" t="s">
        <v>546</v>
      </c>
      <c r="G4223" s="174">
        <v>45576.460914351854</v>
      </c>
    </row>
    <row r="4224" spans="1:7">
      <c r="A4224">
        <v>4262</v>
      </c>
      <c r="B4224" t="s">
        <v>1706</v>
      </c>
      <c r="C4224" t="s">
        <v>3386</v>
      </c>
      <c r="E4224">
        <v>0.01</v>
      </c>
      <c r="F4224" t="s">
        <v>546</v>
      </c>
      <c r="G4224" s="174">
        <v>45576.460914351854</v>
      </c>
    </row>
    <row r="4225" spans="1:7">
      <c r="A4225">
        <v>4263</v>
      </c>
      <c r="B4225" t="s">
        <v>5749</v>
      </c>
      <c r="C4225" t="s">
        <v>5643</v>
      </c>
      <c r="E4225">
        <v>0.8</v>
      </c>
      <c r="F4225" t="s">
        <v>546</v>
      </c>
      <c r="G4225" s="174">
        <v>45576.460914351854</v>
      </c>
    </row>
    <row r="4226" spans="1:7">
      <c r="A4226">
        <v>4264</v>
      </c>
      <c r="B4226" t="s">
        <v>5750</v>
      </c>
      <c r="C4226" t="s">
        <v>3816</v>
      </c>
      <c r="E4226">
        <v>0.01</v>
      </c>
      <c r="F4226" t="s">
        <v>546</v>
      </c>
      <c r="G4226" s="174">
        <v>45576.460914351854</v>
      </c>
    </row>
    <row r="4227" spans="1:7">
      <c r="A4227">
        <v>4265</v>
      </c>
      <c r="B4227" t="s">
        <v>5751</v>
      </c>
      <c r="C4227" t="s">
        <v>3396</v>
      </c>
      <c r="E4227">
        <v>0.1</v>
      </c>
      <c r="F4227" t="s">
        <v>546</v>
      </c>
      <c r="G4227" s="174">
        <v>45576.460914351854</v>
      </c>
    </row>
    <row r="4228" spans="1:7">
      <c r="A4228">
        <v>4266</v>
      </c>
      <c r="B4228" t="s">
        <v>5752</v>
      </c>
      <c r="C4228" t="s">
        <v>5753</v>
      </c>
      <c r="E4228">
        <v>0.1</v>
      </c>
      <c r="F4228" t="s">
        <v>546</v>
      </c>
      <c r="G4228" s="174">
        <v>45576.460914351854</v>
      </c>
    </row>
    <row r="4229" spans="1:7">
      <c r="A4229">
        <v>4267</v>
      </c>
      <c r="B4229" t="s">
        <v>5752</v>
      </c>
      <c r="C4229" t="s">
        <v>3157</v>
      </c>
      <c r="E4229">
        <v>0.01</v>
      </c>
      <c r="F4229" t="s">
        <v>546</v>
      </c>
      <c r="G4229" s="174">
        <v>45576.460914351854</v>
      </c>
    </row>
    <row r="4230" spans="1:7">
      <c r="A4230">
        <v>4268</v>
      </c>
      <c r="B4230" t="s">
        <v>5754</v>
      </c>
      <c r="C4230" t="s">
        <v>5755</v>
      </c>
      <c r="E4230">
        <v>0.1</v>
      </c>
      <c r="F4230" t="s">
        <v>546</v>
      </c>
      <c r="G4230" s="174">
        <v>45576.460914351854</v>
      </c>
    </row>
    <row r="4231" spans="1:7">
      <c r="A4231">
        <v>4269</v>
      </c>
      <c r="B4231" t="s">
        <v>5756</v>
      </c>
      <c r="C4231" t="s">
        <v>5757</v>
      </c>
      <c r="E4231">
        <v>0.01</v>
      </c>
      <c r="F4231" t="s">
        <v>546</v>
      </c>
      <c r="G4231" s="174">
        <v>45576.460914351854</v>
      </c>
    </row>
    <row r="4232" spans="1:7">
      <c r="A4232">
        <v>4270</v>
      </c>
      <c r="B4232" t="s">
        <v>5758</v>
      </c>
      <c r="C4232" t="s">
        <v>4358</v>
      </c>
      <c r="E4232">
        <v>0.01</v>
      </c>
      <c r="F4232" t="s">
        <v>546</v>
      </c>
      <c r="G4232" s="174">
        <v>45576.460914351854</v>
      </c>
    </row>
    <row r="4233" spans="1:7">
      <c r="A4233">
        <v>4271</v>
      </c>
      <c r="B4233" t="s">
        <v>5759</v>
      </c>
      <c r="C4233" t="s">
        <v>3310</v>
      </c>
      <c r="E4233">
        <v>0.01</v>
      </c>
      <c r="F4233" t="s">
        <v>546</v>
      </c>
      <c r="G4233" s="174">
        <v>45576.460914351854</v>
      </c>
    </row>
    <row r="4234" spans="1:7">
      <c r="A4234">
        <v>4272</v>
      </c>
      <c r="B4234" t="s">
        <v>5760</v>
      </c>
      <c r="C4234" t="s">
        <v>5134</v>
      </c>
      <c r="E4234">
        <v>0.01</v>
      </c>
      <c r="F4234" t="s">
        <v>546</v>
      </c>
      <c r="G4234" s="174">
        <v>45576.460914351854</v>
      </c>
    </row>
    <row r="4235" spans="1:7">
      <c r="A4235">
        <v>4273</v>
      </c>
      <c r="B4235" t="s">
        <v>5761</v>
      </c>
      <c r="C4235" t="s">
        <v>3437</v>
      </c>
      <c r="E4235">
        <v>0.01</v>
      </c>
      <c r="F4235" t="s">
        <v>546</v>
      </c>
      <c r="G4235" s="174">
        <v>45576.460914351854</v>
      </c>
    </row>
    <row r="4236" spans="1:7">
      <c r="A4236">
        <v>4274</v>
      </c>
      <c r="B4236" t="s">
        <v>1722</v>
      </c>
      <c r="C4236" t="s">
        <v>5762</v>
      </c>
      <c r="E4236">
        <v>0.5</v>
      </c>
      <c r="F4236" t="s">
        <v>546</v>
      </c>
      <c r="G4236" s="174">
        <v>45576.460914351854</v>
      </c>
    </row>
    <row r="4237" spans="1:7">
      <c r="A4237">
        <v>4275</v>
      </c>
      <c r="B4237" t="s">
        <v>1722</v>
      </c>
      <c r="C4237" t="s">
        <v>3370</v>
      </c>
      <c r="E4237">
        <v>0.6</v>
      </c>
      <c r="F4237" t="s">
        <v>546</v>
      </c>
      <c r="G4237" s="174">
        <v>45576.460914351854</v>
      </c>
    </row>
    <row r="4238" spans="1:7">
      <c r="A4238">
        <v>4276</v>
      </c>
      <c r="B4238" t="s">
        <v>5763</v>
      </c>
      <c r="C4238" t="s">
        <v>2955</v>
      </c>
      <c r="E4238">
        <v>0.01</v>
      </c>
      <c r="F4238" t="s">
        <v>546</v>
      </c>
      <c r="G4238" s="174">
        <v>45576.460914351854</v>
      </c>
    </row>
    <row r="4239" spans="1:7">
      <c r="A4239">
        <v>4277</v>
      </c>
      <c r="B4239" t="s">
        <v>5764</v>
      </c>
      <c r="C4239" t="s">
        <v>5765</v>
      </c>
      <c r="E4239">
        <v>0.01</v>
      </c>
      <c r="F4239" t="s">
        <v>546</v>
      </c>
      <c r="G4239" s="174">
        <v>45576.460914351854</v>
      </c>
    </row>
    <row r="4240" spans="1:7">
      <c r="A4240">
        <v>4278</v>
      </c>
      <c r="B4240" t="s">
        <v>5766</v>
      </c>
      <c r="C4240" t="s">
        <v>5289</v>
      </c>
      <c r="E4240">
        <v>0.01</v>
      </c>
      <c r="F4240" t="s">
        <v>546</v>
      </c>
      <c r="G4240" s="174">
        <v>45576.460914351854</v>
      </c>
    </row>
    <row r="4241" spans="1:7">
      <c r="A4241">
        <v>4279</v>
      </c>
      <c r="B4241" t="s">
        <v>5767</v>
      </c>
      <c r="C4241" t="s">
        <v>4733</v>
      </c>
      <c r="E4241">
        <v>0.01</v>
      </c>
      <c r="F4241" t="s">
        <v>546</v>
      </c>
      <c r="G4241" s="174">
        <v>45576.460914351854</v>
      </c>
    </row>
    <row r="4242" spans="1:7">
      <c r="A4242">
        <v>4280</v>
      </c>
      <c r="B4242" t="s">
        <v>5768</v>
      </c>
      <c r="C4242" t="s">
        <v>4369</v>
      </c>
      <c r="E4242">
        <v>1</v>
      </c>
      <c r="F4242" t="s">
        <v>5769</v>
      </c>
      <c r="G4242" s="174">
        <v>45576.460914351854</v>
      </c>
    </row>
    <row r="4243" spans="1:7">
      <c r="A4243">
        <v>4281</v>
      </c>
      <c r="B4243" t="s">
        <v>5770</v>
      </c>
      <c r="C4243" t="s">
        <v>5771</v>
      </c>
      <c r="E4243">
        <v>0.01</v>
      </c>
      <c r="F4243" t="s">
        <v>546</v>
      </c>
      <c r="G4243" s="174">
        <v>45576.460914351854</v>
      </c>
    </row>
    <row r="4244" spans="1:7">
      <c r="A4244">
        <v>4282</v>
      </c>
      <c r="B4244" t="s">
        <v>5772</v>
      </c>
      <c r="C4244" t="s">
        <v>4764</v>
      </c>
      <c r="E4244">
        <v>0.01</v>
      </c>
      <c r="F4244" t="s">
        <v>546</v>
      </c>
      <c r="G4244" s="174">
        <v>45576.460914351854</v>
      </c>
    </row>
    <row r="4245" spans="1:7">
      <c r="A4245">
        <v>4283</v>
      </c>
      <c r="B4245" t="s">
        <v>5773</v>
      </c>
      <c r="C4245" t="s">
        <v>4522</v>
      </c>
      <c r="E4245">
        <v>0.1</v>
      </c>
      <c r="F4245" t="s">
        <v>546</v>
      </c>
      <c r="G4245" s="174">
        <v>45576.460914351854</v>
      </c>
    </row>
    <row r="4246" spans="1:7">
      <c r="A4246">
        <v>4284</v>
      </c>
      <c r="B4246" t="s">
        <v>5774</v>
      </c>
      <c r="C4246" t="s">
        <v>3333</v>
      </c>
      <c r="E4246">
        <v>0.01</v>
      </c>
      <c r="F4246" t="s">
        <v>546</v>
      </c>
      <c r="G4246" s="174">
        <v>45576.460914351854</v>
      </c>
    </row>
    <row r="4247" spans="1:7">
      <c r="A4247">
        <v>4285</v>
      </c>
      <c r="B4247" t="s">
        <v>5775</v>
      </c>
      <c r="C4247" t="s">
        <v>4312</v>
      </c>
      <c r="E4247">
        <v>0.01</v>
      </c>
      <c r="F4247" t="s">
        <v>546</v>
      </c>
      <c r="G4247" s="174">
        <v>45576.460914351854</v>
      </c>
    </row>
    <row r="4248" spans="1:7">
      <c r="A4248">
        <v>4286</v>
      </c>
      <c r="B4248" t="s">
        <v>5776</v>
      </c>
      <c r="C4248" t="s">
        <v>4171</v>
      </c>
      <c r="E4248">
        <v>0.01</v>
      </c>
      <c r="F4248" t="s">
        <v>546</v>
      </c>
      <c r="G4248" s="174">
        <v>45576.460914351854</v>
      </c>
    </row>
    <row r="4249" spans="1:7">
      <c r="A4249">
        <v>4287</v>
      </c>
      <c r="B4249" t="s">
        <v>5776</v>
      </c>
      <c r="C4249" t="s">
        <v>3143</v>
      </c>
      <c r="E4249">
        <v>0.01</v>
      </c>
      <c r="F4249" t="s">
        <v>546</v>
      </c>
      <c r="G4249" s="174">
        <v>45576.460914351854</v>
      </c>
    </row>
    <row r="4250" spans="1:7">
      <c r="A4250">
        <v>4288</v>
      </c>
      <c r="B4250" t="s">
        <v>5777</v>
      </c>
      <c r="C4250" t="s">
        <v>4610</v>
      </c>
      <c r="E4250">
        <v>0.1</v>
      </c>
      <c r="F4250" t="s">
        <v>546</v>
      </c>
      <c r="G4250" s="174">
        <v>45576.460914351854</v>
      </c>
    </row>
    <row r="4251" spans="1:7">
      <c r="A4251">
        <v>4289</v>
      </c>
      <c r="B4251" t="s">
        <v>5778</v>
      </c>
      <c r="C4251" t="s">
        <v>5779</v>
      </c>
      <c r="E4251">
        <v>0.01</v>
      </c>
      <c r="F4251" t="s">
        <v>546</v>
      </c>
      <c r="G4251" s="174">
        <v>45576.460914351854</v>
      </c>
    </row>
    <row r="4252" spans="1:7">
      <c r="A4252">
        <v>4290</v>
      </c>
      <c r="B4252" t="s">
        <v>5780</v>
      </c>
      <c r="C4252" t="s">
        <v>3218</v>
      </c>
      <c r="E4252">
        <v>0.01</v>
      </c>
      <c r="F4252" t="s">
        <v>546</v>
      </c>
      <c r="G4252" s="174">
        <v>45576.460914351854</v>
      </c>
    </row>
    <row r="4253" spans="1:7">
      <c r="A4253">
        <v>4291</v>
      </c>
      <c r="B4253" t="s">
        <v>5781</v>
      </c>
      <c r="C4253" t="s">
        <v>5782</v>
      </c>
      <c r="E4253">
        <v>0.01</v>
      </c>
      <c r="F4253" t="s">
        <v>546</v>
      </c>
      <c r="G4253" s="174">
        <v>45576.460914351854</v>
      </c>
    </row>
    <row r="4254" spans="1:7">
      <c r="A4254">
        <v>4292</v>
      </c>
      <c r="B4254" t="s">
        <v>1726</v>
      </c>
      <c r="C4254" t="s">
        <v>3143</v>
      </c>
      <c r="E4254">
        <v>0.01</v>
      </c>
      <c r="F4254" t="s">
        <v>546</v>
      </c>
      <c r="G4254" s="174">
        <v>45576.460914351854</v>
      </c>
    </row>
    <row r="4255" spans="1:7">
      <c r="A4255">
        <v>4293</v>
      </c>
      <c r="B4255" t="s">
        <v>1726</v>
      </c>
      <c r="C4255" t="s">
        <v>4312</v>
      </c>
      <c r="E4255">
        <v>0.1</v>
      </c>
      <c r="F4255" t="s">
        <v>546</v>
      </c>
      <c r="G4255" s="174">
        <v>45576.460914351854</v>
      </c>
    </row>
    <row r="4256" spans="1:7">
      <c r="A4256">
        <v>4294</v>
      </c>
      <c r="B4256" t="s">
        <v>1726</v>
      </c>
      <c r="C4256" t="s">
        <v>1379</v>
      </c>
      <c r="E4256">
        <v>0.1</v>
      </c>
      <c r="F4256" t="s">
        <v>546</v>
      </c>
      <c r="G4256" s="174">
        <v>45576.460914351854</v>
      </c>
    </row>
    <row r="4257" spans="1:7">
      <c r="A4257">
        <v>4295</v>
      </c>
      <c r="B4257" t="s">
        <v>1726</v>
      </c>
      <c r="C4257" t="s">
        <v>4172</v>
      </c>
      <c r="E4257">
        <v>0.01</v>
      </c>
      <c r="F4257" t="s">
        <v>546</v>
      </c>
      <c r="G4257" s="174">
        <v>45576.460914351854</v>
      </c>
    </row>
    <row r="4258" spans="1:7">
      <c r="A4258">
        <v>4296</v>
      </c>
      <c r="B4258" t="s">
        <v>1726</v>
      </c>
      <c r="C4258" t="s">
        <v>5783</v>
      </c>
      <c r="E4258">
        <v>0.01</v>
      </c>
      <c r="F4258" t="s">
        <v>546</v>
      </c>
      <c r="G4258" s="174">
        <v>45576.460914351854</v>
      </c>
    </row>
    <row r="4259" spans="1:7">
      <c r="A4259">
        <v>4297</v>
      </c>
      <c r="B4259" t="s">
        <v>5784</v>
      </c>
      <c r="C4259" t="s">
        <v>4938</v>
      </c>
      <c r="E4259">
        <v>0.01</v>
      </c>
      <c r="F4259" t="s">
        <v>546</v>
      </c>
      <c r="G4259" s="174">
        <v>45576.460914351854</v>
      </c>
    </row>
    <row r="4260" spans="1:7">
      <c r="A4260">
        <v>4298</v>
      </c>
      <c r="B4260" t="s">
        <v>5784</v>
      </c>
      <c r="C4260" t="s">
        <v>5785</v>
      </c>
      <c r="E4260">
        <v>0.1</v>
      </c>
      <c r="F4260" t="s">
        <v>546</v>
      </c>
      <c r="G4260" s="174">
        <v>45576.460914351854</v>
      </c>
    </row>
    <row r="4261" spans="1:7">
      <c r="A4261">
        <v>4299</v>
      </c>
      <c r="B4261" t="s">
        <v>5786</v>
      </c>
      <c r="C4261" t="s">
        <v>5159</v>
      </c>
      <c r="E4261">
        <v>0.8</v>
      </c>
      <c r="F4261" t="s">
        <v>546</v>
      </c>
      <c r="G4261" s="174">
        <v>45576.460914351854</v>
      </c>
    </row>
    <row r="4262" spans="1:7">
      <c r="A4262">
        <v>4300</v>
      </c>
      <c r="B4262" t="s">
        <v>5787</v>
      </c>
      <c r="C4262" t="s">
        <v>3621</v>
      </c>
      <c r="E4262">
        <v>0.01</v>
      </c>
      <c r="F4262" t="s">
        <v>546</v>
      </c>
      <c r="G4262" s="174">
        <v>45576.460914351854</v>
      </c>
    </row>
    <row r="4263" spans="1:7">
      <c r="A4263">
        <v>4301</v>
      </c>
      <c r="B4263" t="s">
        <v>1729</v>
      </c>
      <c r="C4263" t="s">
        <v>5788</v>
      </c>
      <c r="E4263">
        <v>0.01</v>
      </c>
      <c r="F4263" t="s">
        <v>546</v>
      </c>
      <c r="G4263" s="174">
        <v>45576.460914351854</v>
      </c>
    </row>
    <row r="4264" spans="1:7">
      <c r="A4264">
        <v>4302</v>
      </c>
      <c r="B4264" t="s">
        <v>5789</v>
      </c>
      <c r="C4264" t="s">
        <v>3621</v>
      </c>
      <c r="E4264">
        <v>0.1</v>
      </c>
      <c r="F4264" t="s">
        <v>546</v>
      </c>
      <c r="G4264" s="174">
        <v>45576.460914351854</v>
      </c>
    </row>
    <row r="4265" spans="1:7">
      <c r="A4265">
        <v>4303</v>
      </c>
      <c r="B4265" t="s">
        <v>5790</v>
      </c>
      <c r="C4265" t="s">
        <v>3428</v>
      </c>
      <c r="E4265">
        <v>0.01</v>
      </c>
      <c r="F4265" t="s">
        <v>546</v>
      </c>
      <c r="G4265" s="174">
        <v>45576.460914351854</v>
      </c>
    </row>
    <row r="4266" spans="1:7">
      <c r="A4266">
        <v>4304</v>
      </c>
      <c r="B4266" t="s">
        <v>5791</v>
      </c>
      <c r="C4266" t="s">
        <v>3102</v>
      </c>
      <c r="E4266">
        <v>0.01</v>
      </c>
      <c r="F4266" t="s">
        <v>546</v>
      </c>
      <c r="G4266" s="174">
        <v>45576.460914351854</v>
      </c>
    </row>
    <row r="4267" spans="1:7">
      <c r="A4267">
        <v>4305</v>
      </c>
      <c r="B4267" t="s">
        <v>5792</v>
      </c>
      <c r="C4267" t="s">
        <v>1802</v>
      </c>
      <c r="E4267">
        <v>0.01</v>
      </c>
      <c r="F4267" t="s">
        <v>546</v>
      </c>
      <c r="G4267" s="174">
        <v>45576.460914351854</v>
      </c>
    </row>
    <row r="4268" spans="1:7">
      <c r="A4268">
        <v>4306</v>
      </c>
      <c r="B4268" t="s">
        <v>5793</v>
      </c>
      <c r="C4268" t="s">
        <v>3110</v>
      </c>
      <c r="E4268">
        <v>0.01</v>
      </c>
      <c r="F4268" t="s">
        <v>546</v>
      </c>
      <c r="G4268" s="174">
        <v>45576.460914351854</v>
      </c>
    </row>
    <row r="4269" spans="1:7">
      <c r="A4269">
        <v>4307</v>
      </c>
      <c r="B4269" t="s">
        <v>5793</v>
      </c>
      <c r="C4269" t="s">
        <v>3116</v>
      </c>
      <c r="E4269">
        <v>0.01</v>
      </c>
      <c r="F4269" t="s">
        <v>546</v>
      </c>
      <c r="G4269" s="174">
        <v>45576.460914351854</v>
      </c>
    </row>
    <row r="4270" spans="1:7">
      <c r="A4270">
        <v>4308</v>
      </c>
      <c r="B4270" t="s">
        <v>5794</v>
      </c>
      <c r="C4270" t="s">
        <v>4727</v>
      </c>
      <c r="E4270">
        <v>0.01</v>
      </c>
      <c r="F4270" t="s">
        <v>546</v>
      </c>
      <c r="G4270" s="174">
        <v>45576.460914351854</v>
      </c>
    </row>
    <row r="4271" spans="1:7">
      <c r="A4271">
        <v>4309</v>
      </c>
      <c r="B4271" t="s">
        <v>5795</v>
      </c>
      <c r="C4271" t="s">
        <v>3269</v>
      </c>
      <c r="E4271">
        <v>0.01</v>
      </c>
      <c r="F4271" t="s">
        <v>546</v>
      </c>
      <c r="G4271" s="174">
        <v>45576.460914351854</v>
      </c>
    </row>
    <row r="4272" spans="1:7">
      <c r="A4272">
        <v>4310</v>
      </c>
      <c r="B4272" t="s">
        <v>5796</v>
      </c>
      <c r="C4272" t="s">
        <v>3293</v>
      </c>
      <c r="E4272">
        <v>0.01</v>
      </c>
      <c r="F4272" t="s">
        <v>546</v>
      </c>
      <c r="G4272" s="174">
        <v>45576.460914351854</v>
      </c>
    </row>
    <row r="4273" spans="1:7">
      <c r="A4273">
        <v>4311</v>
      </c>
      <c r="B4273" t="s">
        <v>5797</v>
      </c>
      <c r="C4273" t="s">
        <v>5199</v>
      </c>
      <c r="E4273">
        <v>0.01</v>
      </c>
      <c r="F4273" t="s">
        <v>546</v>
      </c>
      <c r="G4273" s="174">
        <v>45576.460914351854</v>
      </c>
    </row>
    <row r="4274" spans="1:7">
      <c r="A4274">
        <v>4312</v>
      </c>
      <c r="B4274" t="s">
        <v>5798</v>
      </c>
      <c r="C4274" t="s">
        <v>2962</v>
      </c>
      <c r="E4274">
        <v>0.01</v>
      </c>
      <c r="F4274" t="s">
        <v>546</v>
      </c>
      <c r="G4274" s="174">
        <v>45576.460914351854</v>
      </c>
    </row>
    <row r="4275" spans="1:7">
      <c r="A4275">
        <v>4313</v>
      </c>
      <c r="B4275" t="s">
        <v>5798</v>
      </c>
      <c r="C4275" t="s">
        <v>5184</v>
      </c>
      <c r="E4275">
        <v>0.01</v>
      </c>
      <c r="F4275" t="s">
        <v>546</v>
      </c>
      <c r="G4275" s="174">
        <v>45576.460914351854</v>
      </c>
    </row>
    <row r="4276" spans="1:7">
      <c r="A4276">
        <v>4314</v>
      </c>
      <c r="B4276" t="s">
        <v>5799</v>
      </c>
      <c r="C4276" t="s">
        <v>3958</v>
      </c>
      <c r="E4276">
        <v>0.01</v>
      </c>
      <c r="F4276" t="s">
        <v>546</v>
      </c>
      <c r="G4276" s="174">
        <v>45576.460914351854</v>
      </c>
    </row>
    <row r="4277" spans="1:7">
      <c r="A4277">
        <v>4315</v>
      </c>
      <c r="B4277" t="s">
        <v>5800</v>
      </c>
      <c r="C4277" t="s">
        <v>3782</v>
      </c>
      <c r="E4277">
        <v>0.01</v>
      </c>
      <c r="F4277" t="s">
        <v>546</v>
      </c>
      <c r="G4277" s="174">
        <v>45576.460914351854</v>
      </c>
    </row>
    <row r="4278" spans="1:7">
      <c r="A4278">
        <v>4316</v>
      </c>
      <c r="B4278" t="s">
        <v>5800</v>
      </c>
      <c r="C4278" t="s">
        <v>3977</v>
      </c>
      <c r="E4278">
        <v>0.01</v>
      </c>
      <c r="F4278" t="s">
        <v>546</v>
      </c>
      <c r="G4278" s="174">
        <v>45576.460914351854</v>
      </c>
    </row>
    <row r="4279" spans="1:7">
      <c r="A4279">
        <v>4317</v>
      </c>
      <c r="B4279" t="s">
        <v>5801</v>
      </c>
      <c r="C4279" t="s">
        <v>2853</v>
      </c>
      <c r="E4279">
        <v>0.1</v>
      </c>
      <c r="F4279" t="s">
        <v>546</v>
      </c>
      <c r="G4279" s="174">
        <v>45576.460914351854</v>
      </c>
    </row>
    <row r="4280" spans="1:7">
      <c r="A4280">
        <v>4318</v>
      </c>
      <c r="B4280" t="s">
        <v>5802</v>
      </c>
      <c r="C4280" t="s">
        <v>4672</v>
      </c>
      <c r="E4280">
        <v>0.01</v>
      </c>
      <c r="F4280" t="s">
        <v>546</v>
      </c>
      <c r="G4280" s="174">
        <v>45576.460914351854</v>
      </c>
    </row>
    <row r="4281" spans="1:7">
      <c r="A4281">
        <v>4319</v>
      </c>
      <c r="B4281" t="s">
        <v>5802</v>
      </c>
      <c r="C4281" t="s">
        <v>2826</v>
      </c>
      <c r="E4281">
        <v>0.01</v>
      </c>
      <c r="F4281" t="s">
        <v>546</v>
      </c>
      <c r="G4281" s="174">
        <v>45576.460914351854</v>
      </c>
    </row>
    <row r="4282" spans="1:7">
      <c r="A4282">
        <v>4320</v>
      </c>
      <c r="B4282" t="s">
        <v>5803</v>
      </c>
      <c r="C4282" t="s">
        <v>5804</v>
      </c>
      <c r="E4282">
        <v>0.01</v>
      </c>
      <c r="F4282" t="s">
        <v>546</v>
      </c>
      <c r="G4282" s="174">
        <v>45576.460914351854</v>
      </c>
    </row>
    <row r="4283" spans="1:7">
      <c r="A4283">
        <v>4321</v>
      </c>
      <c r="B4283" t="s">
        <v>1739</v>
      </c>
      <c r="C4283" t="s">
        <v>4077</v>
      </c>
      <c r="E4283">
        <v>0.01</v>
      </c>
      <c r="F4283" t="s">
        <v>546</v>
      </c>
      <c r="G4283" s="174">
        <v>45576.460914351854</v>
      </c>
    </row>
    <row r="4284" spans="1:7">
      <c r="A4284">
        <v>4322</v>
      </c>
      <c r="B4284" t="s">
        <v>5805</v>
      </c>
      <c r="C4284" t="s">
        <v>5765</v>
      </c>
      <c r="E4284">
        <v>0.01</v>
      </c>
      <c r="F4284" t="s">
        <v>546</v>
      </c>
      <c r="G4284" s="174">
        <v>45576.460914351854</v>
      </c>
    </row>
    <row r="4285" spans="1:7">
      <c r="A4285">
        <v>4323</v>
      </c>
      <c r="B4285" t="s">
        <v>5806</v>
      </c>
      <c r="C4285" t="s">
        <v>5807</v>
      </c>
      <c r="E4285">
        <v>0.01</v>
      </c>
      <c r="F4285" t="s">
        <v>546</v>
      </c>
      <c r="G4285" s="174">
        <v>45576.460914351854</v>
      </c>
    </row>
    <row r="4286" spans="1:7">
      <c r="A4286">
        <v>4324</v>
      </c>
      <c r="B4286" t="s">
        <v>5808</v>
      </c>
      <c r="C4286" t="s">
        <v>5809</v>
      </c>
      <c r="E4286">
        <v>0.01</v>
      </c>
      <c r="F4286" t="s">
        <v>546</v>
      </c>
      <c r="G4286" s="174">
        <v>45576.460914351854</v>
      </c>
    </row>
    <row r="4287" spans="1:7">
      <c r="A4287">
        <v>4325</v>
      </c>
      <c r="B4287" t="s">
        <v>5808</v>
      </c>
      <c r="C4287" t="s">
        <v>5810</v>
      </c>
      <c r="E4287">
        <v>0.01</v>
      </c>
      <c r="F4287" t="s">
        <v>546</v>
      </c>
      <c r="G4287" s="174">
        <v>45576.460914351854</v>
      </c>
    </row>
    <row r="4288" spans="1:7">
      <c r="A4288">
        <v>4326</v>
      </c>
      <c r="B4288" t="s">
        <v>5811</v>
      </c>
      <c r="C4288" t="s">
        <v>5812</v>
      </c>
      <c r="E4288">
        <v>0.01</v>
      </c>
      <c r="F4288" t="s">
        <v>546</v>
      </c>
      <c r="G4288" s="174">
        <v>45576.460914351854</v>
      </c>
    </row>
    <row r="4289" spans="1:7">
      <c r="A4289">
        <v>4327</v>
      </c>
      <c r="B4289" t="s">
        <v>5813</v>
      </c>
      <c r="C4289" t="s">
        <v>4672</v>
      </c>
      <c r="E4289">
        <v>0.01</v>
      </c>
      <c r="F4289" t="s">
        <v>546</v>
      </c>
      <c r="G4289" s="174">
        <v>45576.460914351854</v>
      </c>
    </row>
    <row r="4290" spans="1:7">
      <c r="A4290">
        <v>4328</v>
      </c>
      <c r="B4290" t="s">
        <v>5813</v>
      </c>
      <c r="C4290" t="s">
        <v>2826</v>
      </c>
      <c r="E4290">
        <v>0.01</v>
      </c>
      <c r="F4290" t="s">
        <v>546</v>
      </c>
      <c r="G4290" s="174">
        <v>45576.460914351854</v>
      </c>
    </row>
    <row r="4291" spans="1:7">
      <c r="A4291">
        <v>4329</v>
      </c>
      <c r="B4291" t="s">
        <v>1740</v>
      </c>
      <c r="C4291" t="s">
        <v>4495</v>
      </c>
      <c r="E4291">
        <v>0.01</v>
      </c>
      <c r="F4291" t="s">
        <v>546</v>
      </c>
      <c r="G4291" s="174">
        <v>45576.460914351854</v>
      </c>
    </row>
    <row r="4292" spans="1:7">
      <c r="A4292">
        <v>4330</v>
      </c>
      <c r="B4292" t="s">
        <v>5814</v>
      </c>
      <c r="C4292" t="s">
        <v>2958</v>
      </c>
      <c r="E4292">
        <v>0.01</v>
      </c>
      <c r="F4292" t="s">
        <v>546</v>
      </c>
      <c r="G4292" s="174">
        <v>45576.460914351854</v>
      </c>
    </row>
    <row r="4293" spans="1:7">
      <c r="A4293">
        <v>4331</v>
      </c>
      <c r="B4293" t="s">
        <v>2740</v>
      </c>
      <c r="C4293" t="s">
        <v>3308</v>
      </c>
      <c r="E4293">
        <v>0.01</v>
      </c>
      <c r="F4293" t="s">
        <v>546</v>
      </c>
      <c r="G4293" s="174">
        <v>45576.460914351854</v>
      </c>
    </row>
    <row r="4294" spans="1:7">
      <c r="A4294">
        <v>4332</v>
      </c>
      <c r="B4294" t="s">
        <v>5815</v>
      </c>
      <c r="C4294" t="s">
        <v>5816</v>
      </c>
      <c r="E4294">
        <v>0.01</v>
      </c>
      <c r="F4294" t="s">
        <v>546</v>
      </c>
      <c r="G4294" s="174">
        <v>45576.460914351854</v>
      </c>
    </row>
    <row r="4295" spans="1:7">
      <c r="A4295">
        <v>4333</v>
      </c>
      <c r="B4295" t="s">
        <v>5817</v>
      </c>
      <c r="C4295" t="s">
        <v>4397</v>
      </c>
      <c r="E4295">
        <v>0.01</v>
      </c>
      <c r="F4295" t="s">
        <v>546</v>
      </c>
      <c r="G4295" s="174">
        <v>45576.460914351854</v>
      </c>
    </row>
    <row r="4296" spans="1:7">
      <c r="A4296">
        <v>4334</v>
      </c>
      <c r="B4296" t="s">
        <v>5818</v>
      </c>
      <c r="C4296" t="s">
        <v>5819</v>
      </c>
      <c r="E4296">
        <v>0.01</v>
      </c>
      <c r="F4296" t="s">
        <v>546</v>
      </c>
      <c r="G4296" s="174">
        <v>45576.460914351854</v>
      </c>
    </row>
    <row r="4297" spans="1:7">
      <c r="A4297">
        <v>4335</v>
      </c>
      <c r="B4297" t="s">
        <v>5820</v>
      </c>
      <c r="C4297" t="s">
        <v>3485</v>
      </c>
      <c r="E4297">
        <v>0.01</v>
      </c>
      <c r="F4297" t="s">
        <v>546</v>
      </c>
      <c r="G4297" s="174">
        <v>45576.460914351854</v>
      </c>
    </row>
    <row r="4298" spans="1:7">
      <c r="A4298">
        <v>4336</v>
      </c>
      <c r="B4298" t="s">
        <v>1747</v>
      </c>
      <c r="C4298" t="s">
        <v>3743</v>
      </c>
      <c r="E4298">
        <v>0.01</v>
      </c>
      <c r="F4298" t="s">
        <v>546</v>
      </c>
      <c r="G4298" s="174">
        <v>45576.460914351854</v>
      </c>
    </row>
    <row r="4299" spans="1:7">
      <c r="A4299">
        <v>4337</v>
      </c>
      <c r="B4299" t="s">
        <v>5821</v>
      </c>
      <c r="C4299" t="s">
        <v>4391</v>
      </c>
      <c r="E4299">
        <v>0.01</v>
      </c>
      <c r="F4299" t="s">
        <v>546</v>
      </c>
      <c r="G4299" s="174">
        <v>45576.460914351854</v>
      </c>
    </row>
    <row r="4300" spans="1:7">
      <c r="A4300">
        <v>4338</v>
      </c>
      <c r="B4300" t="s">
        <v>5822</v>
      </c>
      <c r="C4300" t="s">
        <v>2952</v>
      </c>
      <c r="E4300">
        <v>0.01</v>
      </c>
      <c r="F4300" t="s">
        <v>546</v>
      </c>
      <c r="G4300" s="174">
        <v>45576.460914351854</v>
      </c>
    </row>
    <row r="4301" spans="1:7">
      <c r="A4301">
        <v>4339</v>
      </c>
      <c r="B4301" t="s">
        <v>5823</v>
      </c>
      <c r="C4301" t="s">
        <v>3466</v>
      </c>
      <c r="E4301">
        <v>0.01</v>
      </c>
      <c r="F4301" t="s">
        <v>546</v>
      </c>
      <c r="G4301" s="174">
        <v>45576.460914351854</v>
      </c>
    </row>
    <row r="4302" spans="1:7">
      <c r="A4302">
        <v>4340</v>
      </c>
      <c r="B4302" t="s">
        <v>1750</v>
      </c>
      <c r="C4302" t="s">
        <v>5824</v>
      </c>
      <c r="E4302">
        <v>0.01</v>
      </c>
      <c r="F4302" t="s">
        <v>546</v>
      </c>
      <c r="G4302" s="174">
        <v>45576.460914351854</v>
      </c>
    </row>
    <row r="4303" spans="1:7">
      <c r="A4303">
        <v>4341</v>
      </c>
      <c r="B4303" t="s">
        <v>5825</v>
      </c>
      <c r="C4303" t="s">
        <v>2948</v>
      </c>
      <c r="E4303">
        <v>0.1</v>
      </c>
      <c r="F4303" t="s">
        <v>546</v>
      </c>
      <c r="G4303" s="174">
        <v>45576.460914351854</v>
      </c>
    </row>
    <row r="4304" spans="1:7">
      <c r="A4304">
        <v>4342</v>
      </c>
      <c r="B4304" t="s">
        <v>5826</v>
      </c>
      <c r="C4304" t="s">
        <v>3738</v>
      </c>
      <c r="E4304">
        <v>0.01</v>
      </c>
      <c r="F4304" t="s">
        <v>546</v>
      </c>
      <c r="G4304" s="174">
        <v>45576.460914351854</v>
      </c>
    </row>
    <row r="4305" spans="1:7">
      <c r="A4305">
        <v>4343</v>
      </c>
      <c r="B4305" t="s">
        <v>5827</v>
      </c>
      <c r="C4305" t="s">
        <v>4570</v>
      </c>
      <c r="E4305">
        <v>0.01</v>
      </c>
      <c r="F4305" t="s">
        <v>546</v>
      </c>
      <c r="G4305" s="174">
        <v>45576.460914351854</v>
      </c>
    </row>
    <row r="4306" spans="1:7">
      <c r="A4306">
        <v>4344</v>
      </c>
      <c r="B4306" t="s">
        <v>5828</v>
      </c>
      <c r="C4306" t="s">
        <v>4291</v>
      </c>
      <c r="E4306">
        <v>0.01</v>
      </c>
      <c r="F4306" t="s">
        <v>546</v>
      </c>
      <c r="G4306" s="174">
        <v>45576.460914351854</v>
      </c>
    </row>
    <row r="4307" spans="1:7">
      <c r="A4307">
        <v>4345</v>
      </c>
      <c r="B4307" t="s">
        <v>5829</v>
      </c>
      <c r="C4307" t="s">
        <v>5830</v>
      </c>
      <c r="E4307">
        <v>0.01</v>
      </c>
      <c r="F4307" t="s">
        <v>546</v>
      </c>
      <c r="G4307" s="174">
        <v>45576.460914351854</v>
      </c>
    </row>
    <row r="4308" spans="1:7">
      <c r="A4308">
        <v>4346</v>
      </c>
      <c r="B4308" t="s">
        <v>5831</v>
      </c>
      <c r="C4308" t="s">
        <v>4005</v>
      </c>
      <c r="E4308">
        <v>0.1</v>
      </c>
      <c r="F4308" t="s">
        <v>546</v>
      </c>
      <c r="G4308" s="174">
        <v>45576.460914351854</v>
      </c>
    </row>
    <row r="4309" spans="1:7">
      <c r="A4309">
        <v>4347</v>
      </c>
      <c r="B4309" t="s">
        <v>5831</v>
      </c>
      <c r="C4309" t="s">
        <v>3023</v>
      </c>
      <c r="E4309">
        <v>0.01</v>
      </c>
      <c r="F4309" t="s">
        <v>546</v>
      </c>
      <c r="G4309" s="174">
        <v>45576.460914351854</v>
      </c>
    </row>
    <row r="4310" spans="1:7">
      <c r="A4310">
        <v>4348</v>
      </c>
      <c r="B4310" t="s">
        <v>5832</v>
      </c>
      <c r="C4310" t="s">
        <v>4555</v>
      </c>
      <c r="E4310">
        <v>0.01</v>
      </c>
      <c r="F4310" t="s">
        <v>546</v>
      </c>
      <c r="G4310" s="174">
        <v>45576.460914351854</v>
      </c>
    </row>
    <row r="4311" spans="1:7">
      <c r="A4311">
        <v>4349</v>
      </c>
      <c r="B4311" t="s">
        <v>5833</v>
      </c>
      <c r="C4311" t="s">
        <v>4520</v>
      </c>
      <c r="E4311">
        <v>0.01</v>
      </c>
      <c r="F4311" t="s">
        <v>546</v>
      </c>
      <c r="G4311" s="174">
        <v>45576.460914351854</v>
      </c>
    </row>
    <row r="4312" spans="1:7">
      <c r="A4312">
        <v>4350</v>
      </c>
      <c r="B4312" t="s">
        <v>5834</v>
      </c>
      <c r="C4312" t="s">
        <v>3155</v>
      </c>
      <c r="E4312">
        <v>0.1</v>
      </c>
      <c r="F4312" t="s">
        <v>546</v>
      </c>
      <c r="G4312" s="174">
        <v>45576.460914351854</v>
      </c>
    </row>
    <row r="4313" spans="1:7">
      <c r="A4313">
        <v>4351</v>
      </c>
      <c r="B4313" t="s">
        <v>5835</v>
      </c>
      <c r="C4313" t="s">
        <v>5585</v>
      </c>
      <c r="E4313">
        <v>0.01</v>
      </c>
      <c r="F4313" t="s">
        <v>546</v>
      </c>
      <c r="G4313" s="174">
        <v>45576.460914351854</v>
      </c>
    </row>
    <row r="4314" spans="1:7">
      <c r="A4314">
        <v>4352</v>
      </c>
      <c r="B4314" t="s">
        <v>5835</v>
      </c>
      <c r="C4314" t="s">
        <v>5836</v>
      </c>
      <c r="E4314">
        <v>0.01</v>
      </c>
      <c r="F4314" t="s">
        <v>546</v>
      </c>
      <c r="G4314" s="174">
        <v>45576.460914351854</v>
      </c>
    </row>
    <row r="4315" spans="1:7">
      <c r="A4315">
        <v>4353</v>
      </c>
      <c r="B4315" t="s">
        <v>5837</v>
      </c>
      <c r="C4315" t="s">
        <v>3606</v>
      </c>
      <c r="E4315">
        <v>0.01</v>
      </c>
      <c r="F4315" t="s">
        <v>546</v>
      </c>
      <c r="G4315" s="174">
        <v>45576.460914351854</v>
      </c>
    </row>
    <row r="4316" spans="1:7">
      <c r="A4316">
        <v>4354</v>
      </c>
      <c r="B4316" t="s">
        <v>5838</v>
      </c>
      <c r="C4316" t="s">
        <v>3837</v>
      </c>
      <c r="E4316">
        <v>0.01</v>
      </c>
      <c r="F4316" t="s">
        <v>546</v>
      </c>
      <c r="G4316" s="174">
        <v>45576.460914351854</v>
      </c>
    </row>
    <row r="4317" spans="1:7">
      <c r="A4317">
        <v>4355</v>
      </c>
      <c r="B4317" t="s">
        <v>5838</v>
      </c>
      <c r="C4317" t="s">
        <v>4601</v>
      </c>
      <c r="E4317">
        <v>0.01</v>
      </c>
      <c r="F4317" t="s">
        <v>546</v>
      </c>
      <c r="G4317" s="174">
        <v>45576.460914351854</v>
      </c>
    </row>
    <row r="4318" spans="1:7">
      <c r="A4318">
        <v>4356</v>
      </c>
      <c r="B4318" t="s">
        <v>5839</v>
      </c>
      <c r="C4318" t="s">
        <v>3738</v>
      </c>
      <c r="E4318">
        <v>0.01</v>
      </c>
      <c r="F4318" t="s">
        <v>546</v>
      </c>
      <c r="G4318" s="174">
        <v>45576.460914351854</v>
      </c>
    </row>
    <row r="4319" spans="1:7">
      <c r="A4319">
        <v>4357</v>
      </c>
      <c r="B4319" t="s">
        <v>5840</v>
      </c>
      <c r="C4319" t="s">
        <v>5046</v>
      </c>
      <c r="E4319">
        <v>0.01</v>
      </c>
      <c r="F4319" t="s">
        <v>546</v>
      </c>
      <c r="G4319" s="174">
        <v>45576.460914351854</v>
      </c>
    </row>
    <row r="4320" spans="1:7">
      <c r="A4320">
        <v>4358</v>
      </c>
      <c r="B4320" t="s">
        <v>5840</v>
      </c>
      <c r="C4320" t="s">
        <v>5841</v>
      </c>
      <c r="E4320">
        <v>0.01</v>
      </c>
      <c r="F4320" t="s">
        <v>546</v>
      </c>
      <c r="G4320" s="174">
        <v>45576.460914351854</v>
      </c>
    </row>
    <row r="4321" spans="1:7">
      <c r="A4321">
        <v>4359</v>
      </c>
      <c r="B4321" t="s">
        <v>5842</v>
      </c>
      <c r="C4321" t="s">
        <v>5843</v>
      </c>
      <c r="E4321">
        <v>0.6</v>
      </c>
      <c r="F4321" t="s">
        <v>546</v>
      </c>
      <c r="G4321" s="174">
        <v>45576.460914351854</v>
      </c>
    </row>
    <row r="4322" spans="1:7">
      <c r="A4322">
        <v>4360</v>
      </c>
      <c r="B4322" t="s">
        <v>5842</v>
      </c>
      <c r="C4322" t="s">
        <v>3626</v>
      </c>
      <c r="E4322">
        <v>0.8</v>
      </c>
      <c r="F4322" t="s">
        <v>546</v>
      </c>
      <c r="G4322" s="174">
        <v>45576.460914351854</v>
      </c>
    </row>
    <row r="4323" spans="1:7">
      <c r="A4323">
        <v>4361</v>
      </c>
      <c r="B4323" t="s">
        <v>5844</v>
      </c>
      <c r="C4323" t="s">
        <v>5845</v>
      </c>
      <c r="E4323">
        <v>0.01</v>
      </c>
      <c r="F4323" t="s">
        <v>546</v>
      </c>
      <c r="G4323" s="174">
        <v>45576.460914351854</v>
      </c>
    </row>
    <row r="4324" spans="1:7">
      <c r="A4324">
        <v>4362</v>
      </c>
      <c r="B4324" t="s">
        <v>5846</v>
      </c>
      <c r="C4324" t="s">
        <v>5847</v>
      </c>
      <c r="E4324">
        <v>0.8</v>
      </c>
      <c r="F4324" t="s">
        <v>546</v>
      </c>
      <c r="G4324" s="174">
        <v>45576.460914351854</v>
      </c>
    </row>
    <row r="4325" spans="1:7">
      <c r="A4325">
        <v>4363</v>
      </c>
      <c r="B4325" t="s">
        <v>5848</v>
      </c>
      <c r="C4325" t="s">
        <v>3920</v>
      </c>
      <c r="E4325">
        <v>0.1</v>
      </c>
      <c r="F4325" t="s">
        <v>546</v>
      </c>
      <c r="G4325" s="174">
        <v>45576.460914351854</v>
      </c>
    </row>
    <row r="4326" spans="1:7">
      <c r="A4326">
        <v>4364</v>
      </c>
      <c r="B4326" t="s">
        <v>5849</v>
      </c>
      <c r="C4326" t="s">
        <v>5850</v>
      </c>
      <c r="E4326">
        <v>0.01</v>
      </c>
      <c r="F4326" t="s">
        <v>546</v>
      </c>
      <c r="G4326" s="174">
        <v>45576.460914351854</v>
      </c>
    </row>
    <row r="4327" spans="1:7">
      <c r="A4327">
        <v>4365</v>
      </c>
      <c r="B4327" t="s">
        <v>1761</v>
      </c>
      <c r="C4327" t="s">
        <v>3438</v>
      </c>
      <c r="E4327">
        <v>0.01</v>
      </c>
      <c r="F4327" t="s">
        <v>546</v>
      </c>
      <c r="G4327" s="174">
        <v>45576.460914351854</v>
      </c>
    </row>
    <row r="4328" spans="1:7">
      <c r="A4328">
        <v>4366</v>
      </c>
      <c r="B4328" t="s">
        <v>5851</v>
      </c>
      <c r="C4328" t="s">
        <v>5852</v>
      </c>
      <c r="E4328">
        <v>0.01</v>
      </c>
      <c r="F4328" t="s">
        <v>546</v>
      </c>
      <c r="G4328" s="174">
        <v>45576.460914351854</v>
      </c>
    </row>
    <row r="4329" spans="1:7">
      <c r="A4329">
        <v>4367</v>
      </c>
      <c r="B4329" t="s">
        <v>5853</v>
      </c>
      <c r="C4329" t="s">
        <v>3968</v>
      </c>
      <c r="E4329">
        <v>0.01</v>
      </c>
      <c r="F4329" t="s">
        <v>546</v>
      </c>
      <c r="G4329" s="174">
        <v>45576.460914351854</v>
      </c>
    </row>
    <row r="4330" spans="1:7">
      <c r="A4330">
        <v>4368</v>
      </c>
      <c r="B4330" t="s">
        <v>5854</v>
      </c>
      <c r="C4330" t="s">
        <v>741</v>
      </c>
      <c r="E4330">
        <v>0.01</v>
      </c>
      <c r="F4330" t="s">
        <v>546</v>
      </c>
      <c r="G4330" s="174">
        <v>45576.460914351854</v>
      </c>
    </row>
    <row r="4331" spans="1:7">
      <c r="A4331">
        <v>4369</v>
      </c>
      <c r="B4331" t="s">
        <v>1765</v>
      </c>
      <c r="C4331" t="s">
        <v>2948</v>
      </c>
      <c r="E4331">
        <v>0.8</v>
      </c>
      <c r="F4331" t="s">
        <v>546</v>
      </c>
      <c r="G4331" s="174">
        <v>45576.460914351854</v>
      </c>
    </row>
    <row r="4332" spans="1:7">
      <c r="A4332">
        <v>4370</v>
      </c>
      <c r="B4332" t="s">
        <v>5855</v>
      </c>
      <c r="C4332" t="s">
        <v>5856</v>
      </c>
      <c r="E4332">
        <v>0.01</v>
      </c>
      <c r="F4332" t="s">
        <v>546</v>
      </c>
      <c r="G4332" s="174">
        <v>45576.460914351854</v>
      </c>
    </row>
    <row r="4333" spans="1:7">
      <c r="A4333">
        <v>4371</v>
      </c>
      <c r="B4333" t="s">
        <v>5857</v>
      </c>
      <c r="C4333" t="s">
        <v>3885</v>
      </c>
      <c r="E4333">
        <v>0.01</v>
      </c>
      <c r="F4333" t="s">
        <v>546</v>
      </c>
      <c r="G4333" s="174">
        <v>45576.460914351854</v>
      </c>
    </row>
    <row r="4334" spans="1:7">
      <c r="A4334">
        <v>4372</v>
      </c>
      <c r="B4334" t="s">
        <v>5858</v>
      </c>
      <c r="C4334" t="s">
        <v>4272</v>
      </c>
      <c r="E4334">
        <v>0.01</v>
      </c>
      <c r="F4334" t="s">
        <v>546</v>
      </c>
      <c r="G4334" s="174">
        <v>45576.460914351854</v>
      </c>
    </row>
    <row r="4335" spans="1:7">
      <c r="A4335">
        <v>4373</v>
      </c>
      <c r="B4335" t="s">
        <v>5859</v>
      </c>
      <c r="C4335" t="s">
        <v>3524</v>
      </c>
      <c r="E4335">
        <v>0.01</v>
      </c>
      <c r="F4335" t="s">
        <v>546</v>
      </c>
      <c r="G4335" s="174">
        <v>45576.460914351854</v>
      </c>
    </row>
    <row r="4336" spans="1:7">
      <c r="A4336">
        <v>4374</v>
      </c>
      <c r="B4336" t="s">
        <v>5860</v>
      </c>
      <c r="C4336" t="s">
        <v>3621</v>
      </c>
      <c r="E4336">
        <v>0.01</v>
      </c>
      <c r="F4336" t="s">
        <v>546</v>
      </c>
      <c r="G4336" s="174">
        <v>45576.460914351854</v>
      </c>
    </row>
    <row r="4337" spans="1:7">
      <c r="A4337">
        <v>4375</v>
      </c>
      <c r="B4337" t="s">
        <v>5861</v>
      </c>
      <c r="C4337" t="s">
        <v>3937</v>
      </c>
      <c r="E4337">
        <v>0.01</v>
      </c>
      <c r="F4337" t="s">
        <v>546</v>
      </c>
      <c r="G4337" s="174">
        <v>45576.460914351854</v>
      </c>
    </row>
    <row r="4338" spans="1:7">
      <c r="A4338">
        <v>4376</v>
      </c>
      <c r="B4338" t="s">
        <v>5862</v>
      </c>
      <c r="C4338" t="s">
        <v>3621</v>
      </c>
      <c r="E4338">
        <v>0.01</v>
      </c>
      <c r="F4338" t="s">
        <v>546</v>
      </c>
      <c r="G4338" s="174">
        <v>45576.460914351854</v>
      </c>
    </row>
    <row r="4339" spans="1:7">
      <c r="A4339">
        <v>4377</v>
      </c>
      <c r="B4339" t="s">
        <v>5863</v>
      </c>
      <c r="C4339" t="s">
        <v>3982</v>
      </c>
      <c r="E4339">
        <v>0.01</v>
      </c>
      <c r="F4339" t="s">
        <v>546</v>
      </c>
      <c r="G4339" s="174">
        <v>45576.460914351854</v>
      </c>
    </row>
    <row r="4340" spans="1:7">
      <c r="A4340">
        <v>4378</v>
      </c>
      <c r="B4340" t="s">
        <v>5864</v>
      </c>
      <c r="C4340" t="s">
        <v>5261</v>
      </c>
      <c r="E4340">
        <v>0.01</v>
      </c>
      <c r="F4340" t="s">
        <v>546</v>
      </c>
      <c r="G4340" s="174">
        <v>45576.460914351854</v>
      </c>
    </row>
    <row r="4341" spans="1:7">
      <c r="A4341">
        <v>4379</v>
      </c>
      <c r="B4341" t="s">
        <v>5865</v>
      </c>
      <c r="C4341" t="s">
        <v>4120</v>
      </c>
      <c r="E4341">
        <v>0.01</v>
      </c>
      <c r="F4341" t="s">
        <v>546</v>
      </c>
      <c r="G4341" s="174">
        <v>45576.460914351854</v>
      </c>
    </row>
    <row r="4342" spans="1:7">
      <c r="A4342">
        <v>4380</v>
      </c>
      <c r="B4342" t="s">
        <v>5866</v>
      </c>
      <c r="C4342" t="s">
        <v>5867</v>
      </c>
      <c r="E4342">
        <v>0.01</v>
      </c>
      <c r="F4342" t="s">
        <v>546</v>
      </c>
      <c r="G4342" s="174">
        <v>45576.460914351854</v>
      </c>
    </row>
    <row r="4343" spans="1:7">
      <c r="A4343">
        <v>4381</v>
      </c>
      <c r="B4343" t="s">
        <v>5868</v>
      </c>
      <c r="C4343" t="s">
        <v>4115</v>
      </c>
      <c r="E4343">
        <v>0.01</v>
      </c>
      <c r="F4343" t="s">
        <v>546</v>
      </c>
      <c r="G4343" s="174">
        <v>45576.460914351854</v>
      </c>
    </row>
    <row r="4344" spans="1:7">
      <c r="A4344">
        <v>4382</v>
      </c>
      <c r="B4344" t="s">
        <v>1767</v>
      </c>
      <c r="C4344" t="s">
        <v>3127</v>
      </c>
      <c r="E4344">
        <v>0.01</v>
      </c>
      <c r="F4344" t="s">
        <v>546</v>
      </c>
      <c r="G4344" s="174">
        <v>45576.460914351854</v>
      </c>
    </row>
    <row r="4345" spans="1:7">
      <c r="A4345">
        <v>4383</v>
      </c>
      <c r="B4345" t="s">
        <v>1767</v>
      </c>
      <c r="C4345" t="s">
        <v>5869</v>
      </c>
      <c r="E4345">
        <v>0.06</v>
      </c>
      <c r="F4345" t="s">
        <v>546</v>
      </c>
      <c r="G4345" s="174">
        <v>45576.460914351854</v>
      </c>
    </row>
    <row r="4346" spans="1:7">
      <c r="A4346">
        <v>4384</v>
      </c>
      <c r="B4346" t="s">
        <v>5870</v>
      </c>
      <c r="C4346" t="s">
        <v>741</v>
      </c>
      <c r="E4346">
        <v>0.01</v>
      </c>
      <c r="F4346" t="s">
        <v>546</v>
      </c>
      <c r="G4346" s="174">
        <v>45576.460914351854</v>
      </c>
    </row>
    <row r="4347" spans="1:7">
      <c r="A4347">
        <v>4385</v>
      </c>
      <c r="B4347" t="s">
        <v>5870</v>
      </c>
      <c r="C4347" t="s">
        <v>3170</v>
      </c>
      <c r="E4347">
        <v>0.01</v>
      </c>
      <c r="F4347" t="s">
        <v>546</v>
      </c>
      <c r="G4347" s="174">
        <v>45576.460914351854</v>
      </c>
    </row>
    <row r="4348" spans="1:7">
      <c r="A4348">
        <v>4386</v>
      </c>
      <c r="B4348" t="s">
        <v>5871</v>
      </c>
      <c r="C4348" t="s">
        <v>4905</v>
      </c>
      <c r="E4348">
        <v>0.01</v>
      </c>
      <c r="F4348" t="s">
        <v>546</v>
      </c>
      <c r="G4348" s="174">
        <v>45576.460914351854</v>
      </c>
    </row>
    <row r="4349" spans="1:7">
      <c r="A4349">
        <v>4387</v>
      </c>
      <c r="B4349" t="s">
        <v>5872</v>
      </c>
      <c r="C4349" t="s">
        <v>2906</v>
      </c>
      <c r="E4349">
        <v>0.01</v>
      </c>
      <c r="F4349" t="s">
        <v>546</v>
      </c>
      <c r="G4349" s="174">
        <v>45576.460914351854</v>
      </c>
    </row>
    <row r="4350" spans="1:7">
      <c r="A4350">
        <v>4388</v>
      </c>
      <c r="B4350" t="s">
        <v>5873</v>
      </c>
      <c r="C4350" t="s">
        <v>3527</v>
      </c>
      <c r="E4350">
        <v>0.01</v>
      </c>
      <c r="F4350" t="s">
        <v>546</v>
      </c>
      <c r="G4350" s="174">
        <v>45576.460914351854</v>
      </c>
    </row>
    <row r="4351" spans="1:7">
      <c r="A4351">
        <v>4389</v>
      </c>
      <c r="B4351" t="s">
        <v>5874</v>
      </c>
      <c r="C4351" t="s">
        <v>5875</v>
      </c>
      <c r="E4351">
        <v>0.01</v>
      </c>
      <c r="F4351" t="s">
        <v>546</v>
      </c>
      <c r="G4351" s="174">
        <v>45576.460914351854</v>
      </c>
    </row>
    <row r="4352" spans="1:7">
      <c r="A4352">
        <v>4390</v>
      </c>
      <c r="B4352" t="s">
        <v>5874</v>
      </c>
      <c r="C4352" t="s">
        <v>5876</v>
      </c>
      <c r="E4352">
        <v>0.01</v>
      </c>
      <c r="F4352" t="s">
        <v>546</v>
      </c>
      <c r="G4352" s="174">
        <v>45576.460914351854</v>
      </c>
    </row>
    <row r="4353" spans="1:7">
      <c r="A4353">
        <v>4391</v>
      </c>
      <c r="B4353" t="s">
        <v>5874</v>
      </c>
      <c r="C4353" t="s">
        <v>5877</v>
      </c>
      <c r="E4353">
        <v>0.01</v>
      </c>
      <c r="F4353" t="s">
        <v>546</v>
      </c>
      <c r="G4353" s="174">
        <v>45576.460914351854</v>
      </c>
    </row>
    <row r="4354" spans="1:7">
      <c r="A4354">
        <v>4392</v>
      </c>
      <c r="B4354" t="s">
        <v>1768</v>
      </c>
      <c r="C4354" t="s">
        <v>3797</v>
      </c>
      <c r="E4354">
        <v>0.01</v>
      </c>
      <c r="F4354" t="s">
        <v>546</v>
      </c>
      <c r="G4354" s="174">
        <v>45576.460914351854</v>
      </c>
    </row>
    <row r="4355" spans="1:7">
      <c r="A4355">
        <v>4393</v>
      </c>
      <c r="B4355" t="s">
        <v>1769</v>
      </c>
      <c r="C4355" t="s">
        <v>5878</v>
      </c>
      <c r="E4355">
        <v>0.8</v>
      </c>
      <c r="F4355" t="s">
        <v>546</v>
      </c>
      <c r="G4355" s="174">
        <v>45576.460914351854</v>
      </c>
    </row>
    <row r="4356" spans="1:7">
      <c r="A4356">
        <v>4394</v>
      </c>
      <c r="B4356" t="s">
        <v>5879</v>
      </c>
      <c r="C4356" t="s">
        <v>3523</v>
      </c>
      <c r="E4356">
        <v>0.01</v>
      </c>
      <c r="F4356" t="s">
        <v>546</v>
      </c>
      <c r="G4356" s="174">
        <v>45576.460914351854</v>
      </c>
    </row>
    <row r="4357" spans="1:7">
      <c r="A4357">
        <v>4395</v>
      </c>
      <c r="B4357" t="s">
        <v>5880</v>
      </c>
      <c r="C4357" t="s">
        <v>4784</v>
      </c>
      <c r="E4357">
        <v>0.01</v>
      </c>
      <c r="F4357" t="s">
        <v>546</v>
      </c>
      <c r="G4357" s="174">
        <v>45576.460914351854</v>
      </c>
    </row>
    <row r="4358" spans="1:7">
      <c r="A4358">
        <v>4396</v>
      </c>
      <c r="B4358" t="s">
        <v>5881</v>
      </c>
      <c r="C4358" t="s">
        <v>4458</v>
      </c>
      <c r="E4358">
        <v>0.1</v>
      </c>
      <c r="F4358" t="s">
        <v>546</v>
      </c>
      <c r="G4358" s="174">
        <v>45576.460914351854</v>
      </c>
    </row>
    <row r="4359" spans="1:7">
      <c r="A4359">
        <v>4397</v>
      </c>
      <c r="B4359" t="s">
        <v>5882</v>
      </c>
      <c r="C4359" t="s">
        <v>5883</v>
      </c>
      <c r="E4359">
        <v>0.01</v>
      </c>
      <c r="F4359" t="s">
        <v>546</v>
      </c>
      <c r="G4359" s="174">
        <v>45576.460914351854</v>
      </c>
    </row>
    <row r="4360" spans="1:7">
      <c r="A4360">
        <v>4398</v>
      </c>
      <c r="B4360" t="s">
        <v>5884</v>
      </c>
      <c r="C4360" t="s">
        <v>2751</v>
      </c>
      <c r="E4360">
        <v>0.01</v>
      </c>
      <c r="F4360" t="s">
        <v>546</v>
      </c>
      <c r="G4360" s="174">
        <v>45576.460914351854</v>
      </c>
    </row>
    <row r="4361" spans="1:7">
      <c r="A4361">
        <v>4399</v>
      </c>
      <c r="B4361" t="s">
        <v>5885</v>
      </c>
      <c r="C4361" t="s">
        <v>4153</v>
      </c>
      <c r="E4361">
        <v>0.8</v>
      </c>
      <c r="F4361" t="s">
        <v>546</v>
      </c>
      <c r="G4361" s="174">
        <v>45576.460914351854</v>
      </c>
    </row>
    <row r="4362" spans="1:7">
      <c r="A4362">
        <v>4400</v>
      </c>
      <c r="B4362" t="s">
        <v>5885</v>
      </c>
      <c r="C4362" t="s">
        <v>5886</v>
      </c>
      <c r="E4362">
        <v>0.05</v>
      </c>
      <c r="F4362" t="s">
        <v>546</v>
      </c>
      <c r="G4362" s="174">
        <v>45576.460914351854</v>
      </c>
    </row>
    <row r="4363" spans="1:7">
      <c r="A4363">
        <v>4401</v>
      </c>
      <c r="B4363" t="s">
        <v>5887</v>
      </c>
      <c r="C4363" t="s">
        <v>4089</v>
      </c>
      <c r="E4363">
        <v>0.01</v>
      </c>
      <c r="F4363" t="s">
        <v>546</v>
      </c>
      <c r="G4363" s="174">
        <v>45576.460914351854</v>
      </c>
    </row>
    <row r="4364" spans="1:7">
      <c r="A4364">
        <v>4402</v>
      </c>
      <c r="B4364" t="s">
        <v>5888</v>
      </c>
      <c r="C4364" t="s">
        <v>3982</v>
      </c>
      <c r="E4364">
        <v>0.01</v>
      </c>
      <c r="F4364" t="s">
        <v>546</v>
      </c>
      <c r="G4364" s="174">
        <v>45576.460914351854</v>
      </c>
    </row>
    <row r="4365" spans="1:7">
      <c r="A4365">
        <v>4403</v>
      </c>
      <c r="B4365" t="s">
        <v>5889</v>
      </c>
      <c r="C4365" t="s">
        <v>5306</v>
      </c>
      <c r="E4365">
        <v>0.1</v>
      </c>
      <c r="F4365" t="s">
        <v>546</v>
      </c>
      <c r="G4365" s="174">
        <v>45576.460914351854</v>
      </c>
    </row>
    <row r="4366" spans="1:7">
      <c r="A4366">
        <v>4404</v>
      </c>
      <c r="B4366" t="s">
        <v>5889</v>
      </c>
      <c r="C4366" t="s">
        <v>4397</v>
      </c>
      <c r="E4366">
        <v>0.1</v>
      </c>
      <c r="F4366" t="s">
        <v>546</v>
      </c>
      <c r="G4366" s="174">
        <v>45576.460914351854</v>
      </c>
    </row>
    <row r="4367" spans="1:7">
      <c r="A4367">
        <v>4405</v>
      </c>
      <c r="B4367" t="s">
        <v>5890</v>
      </c>
      <c r="C4367" t="s">
        <v>3293</v>
      </c>
      <c r="E4367">
        <v>0.01</v>
      </c>
      <c r="F4367" t="s">
        <v>546</v>
      </c>
      <c r="G4367" s="174">
        <v>45576.460914351854</v>
      </c>
    </row>
    <row r="4368" spans="1:7">
      <c r="A4368">
        <v>4406</v>
      </c>
      <c r="B4368" t="s">
        <v>5891</v>
      </c>
      <c r="C4368" t="s">
        <v>3569</v>
      </c>
      <c r="E4368">
        <v>0.1</v>
      </c>
      <c r="F4368" t="s">
        <v>546</v>
      </c>
      <c r="G4368" s="174">
        <v>45576.460914351854</v>
      </c>
    </row>
    <row r="4369" spans="1:7">
      <c r="A4369">
        <v>4407</v>
      </c>
      <c r="B4369" t="s">
        <v>5892</v>
      </c>
      <c r="C4369" t="s">
        <v>5893</v>
      </c>
      <c r="E4369">
        <v>0.8</v>
      </c>
      <c r="F4369" t="s">
        <v>546</v>
      </c>
      <c r="G4369" s="174">
        <v>45576.460914351854</v>
      </c>
    </row>
    <row r="4370" spans="1:7">
      <c r="A4370">
        <v>4408</v>
      </c>
      <c r="B4370" t="s">
        <v>5892</v>
      </c>
      <c r="C4370" t="s">
        <v>5894</v>
      </c>
      <c r="E4370">
        <v>0.01</v>
      </c>
      <c r="F4370" t="s">
        <v>546</v>
      </c>
      <c r="G4370" s="174">
        <v>45576.460914351854</v>
      </c>
    </row>
    <row r="4371" spans="1:7">
      <c r="A4371">
        <v>4409</v>
      </c>
      <c r="B4371" t="s">
        <v>5892</v>
      </c>
      <c r="C4371" t="s">
        <v>3998</v>
      </c>
      <c r="E4371">
        <v>0.6</v>
      </c>
      <c r="F4371" t="s">
        <v>546</v>
      </c>
      <c r="G4371" s="174">
        <v>45576.460914351854</v>
      </c>
    </row>
    <row r="4372" spans="1:7">
      <c r="A4372">
        <v>4410</v>
      </c>
      <c r="B4372" t="s">
        <v>5895</v>
      </c>
      <c r="C4372" t="s">
        <v>5896</v>
      </c>
      <c r="E4372">
        <v>0.01</v>
      </c>
      <c r="F4372" t="s">
        <v>546</v>
      </c>
      <c r="G4372" s="174">
        <v>45576.460914351854</v>
      </c>
    </row>
    <row r="4373" spans="1:7">
      <c r="A4373">
        <v>4411</v>
      </c>
      <c r="B4373" t="s">
        <v>5895</v>
      </c>
      <c r="C4373" t="s">
        <v>3557</v>
      </c>
      <c r="E4373">
        <v>0.01</v>
      </c>
      <c r="F4373" t="s">
        <v>546</v>
      </c>
      <c r="G4373" s="174">
        <v>45576.460914351854</v>
      </c>
    </row>
    <row r="4374" spans="1:7">
      <c r="A4374">
        <v>4412</v>
      </c>
      <c r="B4374" t="s">
        <v>5895</v>
      </c>
      <c r="C4374" t="s">
        <v>5897</v>
      </c>
      <c r="E4374">
        <v>0.01</v>
      </c>
      <c r="F4374" t="s">
        <v>546</v>
      </c>
      <c r="G4374" s="174">
        <v>45576.460914351854</v>
      </c>
    </row>
    <row r="4375" spans="1:7">
      <c r="A4375">
        <v>4413</v>
      </c>
      <c r="B4375" t="s">
        <v>5898</v>
      </c>
      <c r="C4375" t="s">
        <v>5899</v>
      </c>
      <c r="E4375">
        <v>0.01</v>
      </c>
      <c r="F4375" t="s">
        <v>546</v>
      </c>
      <c r="G4375" s="174">
        <v>45576.460914351854</v>
      </c>
    </row>
    <row r="4376" spans="1:7">
      <c r="A4376">
        <v>4414</v>
      </c>
      <c r="B4376" t="s">
        <v>5900</v>
      </c>
      <c r="C4376" t="s">
        <v>5901</v>
      </c>
      <c r="E4376">
        <v>0.01</v>
      </c>
      <c r="F4376" t="s">
        <v>546</v>
      </c>
      <c r="G4376" s="174">
        <v>45576.460914351854</v>
      </c>
    </row>
    <row r="4377" spans="1:7">
      <c r="A4377">
        <v>4415</v>
      </c>
      <c r="B4377" t="s">
        <v>5900</v>
      </c>
      <c r="C4377" t="s">
        <v>5902</v>
      </c>
      <c r="E4377">
        <v>0.01</v>
      </c>
      <c r="F4377" t="s">
        <v>546</v>
      </c>
      <c r="G4377" s="174">
        <v>45576.460914351854</v>
      </c>
    </row>
    <row r="4378" spans="1:7">
      <c r="A4378">
        <v>4416</v>
      </c>
      <c r="B4378" t="s">
        <v>5903</v>
      </c>
      <c r="C4378" t="s">
        <v>5904</v>
      </c>
      <c r="E4378">
        <v>0.01</v>
      </c>
      <c r="F4378" t="s">
        <v>546</v>
      </c>
      <c r="G4378" s="174">
        <v>45576.460914351854</v>
      </c>
    </row>
    <row r="4379" spans="1:7">
      <c r="A4379">
        <v>4417</v>
      </c>
      <c r="B4379" t="s">
        <v>5905</v>
      </c>
      <c r="C4379" t="s">
        <v>3628</v>
      </c>
      <c r="E4379">
        <v>0.01</v>
      </c>
      <c r="F4379" t="s">
        <v>546</v>
      </c>
      <c r="G4379" s="174">
        <v>45576.460914351854</v>
      </c>
    </row>
    <row r="4380" spans="1:7">
      <c r="A4380">
        <v>4418</v>
      </c>
      <c r="B4380" t="s">
        <v>5906</v>
      </c>
      <c r="C4380" t="s">
        <v>4393</v>
      </c>
      <c r="E4380">
        <v>0.01</v>
      </c>
      <c r="F4380" t="s">
        <v>546</v>
      </c>
      <c r="G4380" s="174">
        <v>45576.460914351854</v>
      </c>
    </row>
    <row r="4381" spans="1:7">
      <c r="A4381">
        <v>4419</v>
      </c>
      <c r="B4381" t="s">
        <v>5906</v>
      </c>
      <c r="C4381" t="s">
        <v>5907</v>
      </c>
      <c r="E4381">
        <v>0.01</v>
      </c>
      <c r="F4381" t="s">
        <v>546</v>
      </c>
      <c r="G4381" s="174">
        <v>45576.460914351854</v>
      </c>
    </row>
    <row r="4382" spans="1:7">
      <c r="A4382">
        <v>4420</v>
      </c>
      <c r="B4382" t="s">
        <v>1774</v>
      </c>
      <c r="C4382" t="s">
        <v>3554</v>
      </c>
      <c r="E4382">
        <v>0.1</v>
      </c>
      <c r="F4382" t="s">
        <v>546</v>
      </c>
      <c r="G4382" s="174">
        <v>45576.460914351854</v>
      </c>
    </row>
    <row r="4383" spans="1:7">
      <c r="A4383">
        <v>4421</v>
      </c>
      <c r="B4383" t="s">
        <v>1774</v>
      </c>
      <c r="C4383" t="s">
        <v>3638</v>
      </c>
      <c r="E4383">
        <v>10</v>
      </c>
      <c r="F4383" t="s">
        <v>3408</v>
      </c>
      <c r="G4383" s="174">
        <v>45576.460914351854</v>
      </c>
    </row>
    <row r="4384" spans="1:7">
      <c r="A4384">
        <v>4422</v>
      </c>
      <c r="B4384" t="s">
        <v>1778</v>
      </c>
      <c r="C4384" t="s">
        <v>3050</v>
      </c>
      <c r="E4384">
        <v>0.01</v>
      </c>
      <c r="F4384" t="s">
        <v>546</v>
      </c>
      <c r="G4384" s="174">
        <v>45576.460914351854</v>
      </c>
    </row>
    <row r="4385" spans="1:7">
      <c r="A4385">
        <v>4423</v>
      </c>
      <c r="B4385" t="s">
        <v>5908</v>
      </c>
      <c r="C4385" t="s">
        <v>4246</v>
      </c>
      <c r="E4385">
        <v>0.01</v>
      </c>
      <c r="F4385" t="s">
        <v>546</v>
      </c>
      <c r="G4385" s="174">
        <v>45576.460914351854</v>
      </c>
    </row>
    <row r="4386" spans="1:7">
      <c r="A4386">
        <v>4424</v>
      </c>
      <c r="B4386" t="s">
        <v>5909</v>
      </c>
      <c r="C4386" t="s">
        <v>3298</v>
      </c>
      <c r="E4386">
        <v>0.01</v>
      </c>
      <c r="F4386" t="s">
        <v>546</v>
      </c>
      <c r="G4386" s="174">
        <v>45576.460914351854</v>
      </c>
    </row>
    <row r="4387" spans="1:7">
      <c r="A4387">
        <v>4425</v>
      </c>
      <c r="B4387" t="s">
        <v>1779</v>
      </c>
      <c r="C4387" t="s">
        <v>3269</v>
      </c>
      <c r="E4387">
        <v>0.01</v>
      </c>
      <c r="F4387" t="s">
        <v>546</v>
      </c>
      <c r="G4387" s="174">
        <v>45576.460914351854</v>
      </c>
    </row>
    <row r="4388" spans="1:7">
      <c r="A4388">
        <v>4426</v>
      </c>
      <c r="B4388" t="s">
        <v>5910</v>
      </c>
      <c r="C4388" t="s">
        <v>3120</v>
      </c>
      <c r="E4388">
        <v>0.01</v>
      </c>
      <c r="F4388" t="s">
        <v>546</v>
      </c>
      <c r="G4388" s="174">
        <v>45576.460914351854</v>
      </c>
    </row>
    <row r="4389" spans="1:7">
      <c r="A4389">
        <v>4427</v>
      </c>
      <c r="B4389" t="s">
        <v>1782</v>
      </c>
      <c r="C4389" t="s">
        <v>5612</v>
      </c>
      <c r="E4389">
        <v>1</v>
      </c>
      <c r="F4389" t="s">
        <v>546</v>
      </c>
      <c r="G4389" s="174">
        <v>45576.460914351854</v>
      </c>
    </row>
    <row r="4390" spans="1:7">
      <c r="A4390">
        <v>4428</v>
      </c>
      <c r="B4390" t="s">
        <v>1782</v>
      </c>
      <c r="C4390" t="s">
        <v>5911</v>
      </c>
      <c r="E4390">
        <v>0.01</v>
      </c>
      <c r="F4390" t="s">
        <v>546</v>
      </c>
      <c r="G4390" s="174">
        <v>45576.460914351854</v>
      </c>
    </row>
    <row r="4391" spans="1:7">
      <c r="A4391">
        <v>4429</v>
      </c>
      <c r="B4391" t="s">
        <v>5912</v>
      </c>
      <c r="C4391" t="s">
        <v>2856</v>
      </c>
      <c r="E4391">
        <v>0.01</v>
      </c>
      <c r="F4391" t="s">
        <v>546</v>
      </c>
      <c r="G4391" s="174">
        <v>45576.460914351854</v>
      </c>
    </row>
    <row r="4392" spans="1:7">
      <c r="A4392">
        <v>4430</v>
      </c>
      <c r="B4392" t="s">
        <v>5913</v>
      </c>
      <c r="C4392" t="s">
        <v>4420</v>
      </c>
      <c r="E4392">
        <v>0.1</v>
      </c>
      <c r="F4392" t="s">
        <v>546</v>
      </c>
      <c r="G4392" s="174">
        <v>45576.460914351854</v>
      </c>
    </row>
    <row r="4393" spans="1:7">
      <c r="A4393">
        <v>4431</v>
      </c>
      <c r="B4393" t="s">
        <v>5914</v>
      </c>
      <c r="C4393" t="s">
        <v>3254</v>
      </c>
      <c r="E4393">
        <v>0.01</v>
      </c>
      <c r="F4393" t="s">
        <v>546</v>
      </c>
      <c r="G4393" s="174">
        <v>45576.460914351854</v>
      </c>
    </row>
    <row r="4394" spans="1:7">
      <c r="A4394">
        <v>4432</v>
      </c>
      <c r="B4394" t="s">
        <v>1785</v>
      </c>
      <c r="C4394" t="s">
        <v>3269</v>
      </c>
      <c r="E4394">
        <v>0.01</v>
      </c>
      <c r="F4394" t="s">
        <v>546</v>
      </c>
      <c r="G4394" s="174">
        <v>45576.460914351854</v>
      </c>
    </row>
    <row r="4395" spans="1:7">
      <c r="A4395">
        <v>4433</v>
      </c>
      <c r="B4395" t="s">
        <v>5915</v>
      </c>
      <c r="C4395" t="s">
        <v>2952</v>
      </c>
      <c r="E4395">
        <v>0.8</v>
      </c>
      <c r="F4395" t="s">
        <v>546</v>
      </c>
      <c r="G4395" s="174">
        <v>45576.460914351854</v>
      </c>
    </row>
    <row r="4396" spans="1:7">
      <c r="A4396">
        <v>4434</v>
      </c>
      <c r="B4396" t="s">
        <v>5916</v>
      </c>
      <c r="C4396" t="s">
        <v>5917</v>
      </c>
      <c r="E4396">
        <v>0.01</v>
      </c>
      <c r="F4396" t="s">
        <v>546</v>
      </c>
      <c r="G4396" s="174">
        <v>45576.460914351854</v>
      </c>
    </row>
    <row r="4397" spans="1:7">
      <c r="A4397">
        <v>4435</v>
      </c>
      <c r="B4397" t="s">
        <v>5918</v>
      </c>
      <c r="C4397" t="s">
        <v>2952</v>
      </c>
      <c r="E4397">
        <v>0.01</v>
      </c>
      <c r="F4397" t="s">
        <v>546</v>
      </c>
      <c r="G4397" s="174">
        <v>45576.460914351854</v>
      </c>
    </row>
    <row r="4398" spans="1:7">
      <c r="A4398">
        <v>4436</v>
      </c>
      <c r="B4398" t="s">
        <v>5919</v>
      </c>
      <c r="C4398" t="s">
        <v>3755</v>
      </c>
      <c r="E4398">
        <v>0.1</v>
      </c>
      <c r="F4398" t="s">
        <v>546</v>
      </c>
      <c r="G4398" s="174">
        <v>45576.460914351854</v>
      </c>
    </row>
    <row r="4399" spans="1:7">
      <c r="A4399">
        <v>4437</v>
      </c>
      <c r="B4399" t="s">
        <v>5919</v>
      </c>
      <c r="C4399" t="s">
        <v>5920</v>
      </c>
      <c r="E4399">
        <v>0.1</v>
      </c>
      <c r="F4399" t="s">
        <v>546</v>
      </c>
      <c r="G4399" s="174">
        <v>45576.460914351854</v>
      </c>
    </row>
    <row r="4400" spans="1:7">
      <c r="A4400">
        <v>4438</v>
      </c>
      <c r="B4400" t="s">
        <v>5921</v>
      </c>
      <c r="C4400" t="s">
        <v>2831</v>
      </c>
      <c r="E4400">
        <v>0.1</v>
      </c>
      <c r="F4400" t="s">
        <v>546</v>
      </c>
      <c r="G4400" s="174">
        <v>45576.460914351854</v>
      </c>
    </row>
    <row r="4401" spans="1:7">
      <c r="A4401">
        <v>4439</v>
      </c>
      <c r="B4401" t="s">
        <v>1789</v>
      </c>
      <c r="C4401" t="s">
        <v>2835</v>
      </c>
      <c r="E4401">
        <v>0.01</v>
      </c>
      <c r="F4401" t="s">
        <v>546</v>
      </c>
      <c r="G4401" s="174">
        <v>45576.460914351854</v>
      </c>
    </row>
    <row r="4402" spans="1:7">
      <c r="A4402">
        <v>4440</v>
      </c>
      <c r="B4402" t="s">
        <v>5922</v>
      </c>
      <c r="C4402" t="s">
        <v>5923</v>
      </c>
      <c r="E4402">
        <v>0.01</v>
      </c>
      <c r="F4402" t="s">
        <v>546</v>
      </c>
      <c r="G4402" s="174">
        <v>45576.460914351854</v>
      </c>
    </row>
    <row r="4403" spans="1:7">
      <c r="A4403">
        <v>4441</v>
      </c>
      <c r="B4403" t="s">
        <v>5922</v>
      </c>
      <c r="C4403" t="s">
        <v>5924</v>
      </c>
      <c r="E4403">
        <v>0.01</v>
      </c>
      <c r="F4403" t="s">
        <v>546</v>
      </c>
      <c r="G4403" s="174">
        <v>45576.460914351854</v>
      </c>
    </row>
    <row r="4404" spans="1:7">
      <c r="A4404">
        <v>4442</v>
      </c>
      <c r="B4404" t="s">
        <v>5925</v>
      </c>
      <c r="C4404" t="s">
        <v>4017</v>
      </c>
      <c r="E4404">
        <v>0.01</v>
      </c>
      <c r="F4404" t="s">
        <v>546</v>
      </c>
      <c r="G4404" s="174">
        <v>45576.460914351854</v>
      </c>
    </row>
    <row r="4405" spans="1:7">
      <c r="A4405">
        <v>4443</v>
      </c>
      <c r="B4405" t="s">
        <v>5926</v>
      </c>
      <c r="C4405" t="s">
        <v>5927</v>
      </c>
      <c r="E4405">
        <v>0.01</v>
      </c>
      <c r="F4405" t="s">
        <v>546</v>
      </c>
      <c r="G4405" s="174">
        <v>45576.460914351854</v>
      </c>
    </row>
    <row r="4406" spans="1:7">
      <c r="A4406">
        <v>4444</v>
      </c>
      <c r="B4406" t="s">
        <v>5926</v>
      </c>
      <c r="C4406" t="s">
        <v>4505</v>
      </c>
      <c r="E4406">
        <v>0.01</v>
      </c>
      <c r="F4406" t="s">
        <v>546</v>
      </c>
      <c r="G4406" s="174">
        <v>45576.460914351854</v>
      </c>
    </row>
    <row r="4407" spans="1:7">
      <c r="A4407">
        <v>4445</v>
      </c>
      <c r="B4407" t="s">
        <v>5926</v>
      </c>
      <c r="C4407" t="s">
        <v>4506</v>
      </c>
      <c r="E4407">
        <v>0.01</v>
      </c>
      <c r="F4407" t="s">
        <v>546</v>
      </c>
      <c r="G4407" s="174">
        <v>45576.460914351854</v>
      </c>
    </row>
    <row r="4408" spans="1:7">
      <c r="A4408">
        <v>4446</v>
      </c>
      <c r="B4408" t="s">
        <v>5928</v>
      </c>
      <c r="C4408" t="s">
        <v>2958</v>
      </c>
      <c r="E4408">
        <v>0.01</v>
      </c>
      <c r="F4408" t="s">
        <v>546</v>
      </c>
      <c r="G4408" s="174">
        <v>45576.460914351854</v>
      </c>
    </row>
    <row r="4409" spans="1:7">
      <c r="A4409">
        <v>4447</v>
      </c>
      <c r="B4409" t="s">
        <v>5929</v>
      </c>
      <c r="C4409" t="s">
        <v>3732</v>
      </c>
      <c r="E4409">
        <v>0.01</v>
      </c>
      <c r="F4409" t="s">
        <v>546</v>
      </c>
      <c r="G4409" s="174">
        <v>45576.460914351854</v>
      </c>
    </row>
    <row r="4410" spans="1:7">
      <c r="A4410">
        <v>4448</v>
      </c>
      <c r="B4410" t="s">
        <v>5930</v>
      </c>
      <c r="C4410" t="s">
        <v>4810</v>
      </c>
      <c r="E4410">
        <v>0.01</v>
      </c>
      <c r="F4410" t="s">
        <v>546</v>
      </c>
      <c r="G4410" s="174">
        <v>45576.460914351854</v>
      </c>
    </row>
    <row r="4411" spans="1:7">
      <c r="A4411">
        <v>4449</v>
      </c>
      <c r="B4411" t="s">
        <v>5931</v>
      </c>
      <c r="C4411" t="s">
        <v>2840</v>
      </c>
      <c r="E4411">
        <v>0.01</v>
      </c>
      <c r="F4411" t="s">
        <v>546</v>
      </c>
      <c r="G4411" s="174">
        <v>45576.460914351854</v>
      </c>
    </row>
    <row r="4412" spans="1:7">
      <c r="A4412">
        <v>4450</v>
      </c>
      <c r="B4412" t="s">
        <v>5932</v>
      </c>
      <c r="C4412" t="s">
        <v>3850</v>
      </c>
      <c r="E4412">
        <v>0.01</v>
      </c>
      <c r="F4412" t="s">
        <v>546</v>
      </c>
      <c r="G4412" s="174">
        <v>45576.460914351854</v>
      </c>
    </row>
    <row r="4413" spans="1:7">
      <c r="A4413">
        <v>4451</v>
      </c>
      <c r="B4413" t="s">
        <v>1795</v>
      </c>
      <c r="C4413" t="s">
        <v>5933</v>
      </c>
      <c r="E4413">
        <v>0.01</v>
      </c>
      <c r="F4413" t="s">
        <v>546</v>
      </c>
      <c r="G4413" s="174">
        <v>45576.460914351854</v>
      </c>
    </row>
    <row r="4414" spans="1:7">
      <c r="A4414">
        <v>4452</v>
      </c>
      <c r="B4414" t="s">
        <v>5934</v>
      </c>
      <c r="C4414" t="s">
        <v>3720</v>
      </c>
      <c r="E4414">
        <v>0.01</v>
      </c>
      <c r="F4414" t="s">
        <v>546</v>
      </c>
      <c r="G4414" s="174">
        <v>45576.460914351854</v>
      </c>
    </row>
    <row r="4415" spans="1:7">
      <c r="A4415">
        <v>4453</v>
      </c>
      <c r="B4415" t="s">
        <v>5935</v>
      </c>
      <c r="C4415" t="s">
        <v>4254</v>
      </c>
      <c r="E4415">
        <v>0.01</v>
      </c>
      <c r="F4415" t="s">
        <v>546</v>
      </c>
      <c r="G4415" s="174">
        <v>45576.460914351854</v>
      </c>
    </row>
    <row r="4416" spans="1:7">
      <c r="A4416">
        <v>4454</v>
      </c>
      <c r="B4416" t="s">
        <v>5935</v>
      </c>
      <c r="C4416" t="s">
        <v>5268</v>
      </c>
      <c r="E4416">
        <v>0.01</v>
      </c>
      <c r="F4416" t="s">
        <v>546</v>
      </c>
      <c r="G4416" s="174">
        <v>45576.460914351854</v>
      </c>
    </row>
    <row r="4417" spans="1:7">
      <c r="A4417">
        <v>4455</v>
      </c>
      <c r="B4417" t="s">
        <v>5936</v>
      </c>
      <c r="C4417" t="s">
        <v>4115</v>
      </c>
      <c r="E4417">
        <v>0.01</v>
      </c>
      <c r="F4417" t="s">
        <v>546</v>
      </c>
      <c r="G4417" s="174">
        <v>45576.460914351854</v>
      </c>
    </row>
    <row r="4418" spans="1:7">
      <c r="A4418">
        <v>4456</v>
      </c>
      <c r="B4418" t="s">
        <v>5937</v>
      </c>
      <c r="C4418" t="s">
        <v>3848</v>
      </c>
      <c r="E4418">
        <v>0.01</v>
      </c>
      <c r="F4418" t="s">
        <v>546</v>
      </c>
      <c r="G4418" s="174">
        <v>45576.460914351854</v>
      </c>
    </row>
    <row r="4419" spans="1:7">
      <c r="A4419">
        <v>4457</v>
      </c>
      <c r="B4419" t="s">
        <v>5938</v>
      </c>
      <c r="C4419" t="s">
        <v>3207</v>
      </c>
      <c r="E4419">
        <v>0.01</v>
      </c>
      <c r="F4419" t="s">
        <v>546</v>
      </c>
      <c r="G4419" s="174">
        <v>45576.460914351854</v>
      </c>
    </row>
    <row r="4420" spans="1:7">
      <c r="A4420">
        <v>4458</v>
      </c>
      <c r="B4420" t="s">
        <v>5939</v>
      </c>
      <c r="C4420" t="s">
        <v>5665</v>
      </c>
      <c r="E4420">
        <v>0.05</v>
      </c>
      <c r="F4420" t="s">
        <v>546</v>
      </c>
      <c r="G4420" s="174">
        <v>45576.460914351854</v>
      </c>
    </row>
    <row r="4421" spans="1:7">
      <c r="A4421">
        <v>4459</v>
      </c>
      <c r="B4421" t="s">
        <v>5939</v>
      </c>
      <c r="C4421" t="s">
        <v>5633</v>
      </c>
      <c r="E4421">
        <v>0.01</v>
      </c>
      <c r="F4421" t="s">
        <v>546</v>
      </c>
      <c r="G4421" s="174">
        <v>45576.460914351854</v>
      </c>
    </row>
    <row r="4422" spans="1:7">
      <c r="A4422">
        <v>4460</v>
      </c>
      <c r="B4422" t="s">
        <v>5940</v>
      </c>
      <c r="C4422" t="s">
        <v>3765</v>
      </c>
      <c r="E4422">
        <v>0.01</v>
      </c>
      <c r="F4422" t="s">
        <v>546</v>
      </c>
      <c r="G4422" s="174">
        <v>45576.460914351854</v>
      </c>
    </row>
    <row r="4423" spans="1:7">
      <c r="A4423">
        <v>4461</v>
      </c>
      <c r="B4423" t="s">
        <v>5941</v>
      </c>
      <c r="C4423" t="s">
        <v>4203</v>
      </c>
      <c r="E4423">
        <v>0.01</v>
      </c>
      <c r="F4423" t="s">
        <v>546</v>
      </c>
      <c r="G4423" s="174">
        <v>45576.460914351854</v>
      </c>
    </row>
    <row r="4424" spans="1:7">
      <c r="A4424">
        <v>4462</v>
      </c>
      <c r="B4424" t="s">
        <v>5941</v>
      </c>
      <c r="C4424" t="s">
        <v>4367</v>
      </c>
      <c r="E4424">
        <v>0.01</v>
      </c>
      <c r="F4424" t="s">
        <v>546</v>
      </c>
      <c r="G4424" s="174">
        <v>45576.460914351854</v>
      </c>
    </row>
    <row r="4425" spans="1:7">
      <c r="A4425">
        <v>4463</v>
      </c>
      <c r="B4425" t="s">
        <v>5942</v>
      </c>
      <c r="C4425" t="s">
        <v>5943</v>
      </c>
      <c r="E4425">
        <v>0.01</v>
      </c>
      <c r="F4425" t="s">
        <v>546</v>
      </c>
      <c r="G4425" s="174">
        <v>45576.460914351854</v>
      </c>
    </row>
    <row r="4426" spans="1:7">
      <c r="A4426">
        <v>4464</v>
      </c>
      <c r="B4426" t="s">
        <v>5942</v>
      </c>
      <c r="C4426" t="s">
        <v>3982</v>
      </c>
      <c r="E4426">
        <v>0.01</v>
      </c>
      <c r="F4426" t="s">
        <v>546</v>
      </c>
      <c r="G4426" s="174">
        <v>45576.460914351854</v>
      </c>
    </row>
    <row r="4427" spans="1:7">
      <c r="A4427">
        <v>4465</v>
      </c>
      <c r="B4427" t="s">
        <v>5944</v>
      </c>
      <c r="C4427" t="s">
        <v>4184</v>
      </c>
      <c r="E4427">
        <v>0.01</v>
      </c>
      <c r="F4427" t="s">
        <v>546</v>
      </c>
      <c r="G4427" s="174">
        <v>45576.460914351854</v>
      </c>
    </row>
    <row r="4428" spans="1:7">
      <c r="A4428">
        <v>4466</v>
      </c>
      <c r="B4428" t="s">
        <v>5944</v>
      </c>
      <c r="C4428" t="s">
        <v>3693</v>
      </c>
      <c r="E4428">
        <v>0.01</v>
      </c>
      <c r="F4428" t="s">
        <v>546</v>
      </c>
      <c r="G4428" s="174">
        <v>45576.460914351854</v>
      </c>
    </row>
    <row r="4429" spans="1:7">
      <c r="A4429">
        <v>4467</v>
      </c>
      <c r="B4429" t="s">
        <v>5945</v>
      </c>
      <c r="C4429" t="s">
        <v>5704</v>
      </c>
      <c r="E4429">
        <v>0.01</v>
      </c>
      <c r="F4429" t="s">
        <v>546</v>
      </c>
      <c r="G4429" s="174">
        <v>45576.460914351854</v>
      </c>
    </row>
    <row r="4430" spans="1:7">
      <c r="A4430">
        <v>4468</v>
      </c>
      <c r="B4430" t="s">
        <v>5946</v>
      </c>
      <c r="C4430" t="s">
        <v>3982</v>
      </c>
      <c r="E4430">
        <v>0.01</v>
      </c>
      <c r="F4430" t="s">
        <v>546</v>
      </c>
      <c r="G4430" s="174">
        <v>45576.460914351854</v>
      </c>
    </row>
    <row r="4431" spans="1:7">
      <c r="A4431">
        <v>4469</v>
      </c>
      <c r="B4431" t="s">
        <v>5947</v>
      </c>
      <c r="C4431" t="s">
        <v>3143</v>
      </c>
      <c r="E4431">
        <v>0.01</v>
      </c>
      <c r="F4431" t="s">
        <v>546</v>
      </c>
      <c r="G4431" s="174">
        <v>45576.460914351854</v>
      </c>
    </row>
    <row r="4432" spans="1:7">
      <c r="A4432">
        <v>4470</v>
      </c>
      <c r="B4432" t="s">
        <v>5948</v>
      </c>
      <c r="C4432" t="s">
        <v>3782</v>
      </c>
      <c r="E4432">
        <v>0.01</v>
      </c>
      <c r="F4432" t="s">
        <v>546</v>
      </c>
      <c r="G4432" s="174">
        <v>45576.460914351854</v>
      </c>
    </row>
    <row r="4433" spans="1:7">
      <c r="A4433">
        <v>4471</v>
      </c>
      <c r="B4433" t="s">
        <v>5949</v>
      </c>
      <c r="C4433" t="s">
        <v>3930</v>
      </c>
      <c r="E4433">
        <v>0.01</v>
      </c>
      <c r="F4433" t="s">
        <v>546</v>
      </c>
      <c r="G4433" s="174">
        <v>45576.460914351854</v>
      </c>
    </row>
    <row r="4434" spans="1:7">
      <c r="A4434">
        <v>4472</v>
      </c>
      <c r="B4434" t="s">
        <v>5950</v>
      </c>
      <c r="C4434" t="s">
        <v>4853</v>
      </c>
      <c r="E4434">
        <v>0.01</v>
      </c>
      <c r="F4434" t="s">
        <v>546</v>
      </c>
      <c r="G4434" s="174">
        <v>45576.460914351854</v>
      </c>
    </row>
    <row r="4435" spans="1:7">
      <c r="A4435">
        <v>4473</v>
      </c>
      <c r="B4435" t="s">
        <v>5951</v>
      </c>
      <c r="C4435" t="s">
        <v>3192</v>
      </c>
      <c r="E4435">
        <v>0.01</v>
      </c>
      <c r="F4435" t="s">
        <v>546</v>
      </c>
      <c r="G4435" s="174">
        <v>45576.460914351854</v>
      </c>
    </row>
    <row r="4436" spans="1:7">
      <c r="A4436">
        <v>4474</v>
      </c>
      <c r="B4436" t="s">
        <v>5952</v>
      </c>
      <c r="C4436" t="s">
        <v>4071</v>
      </c>
      <c r="E4436">
        <v>0.01</v>
      </c>
      <c r="F4436" t="s">
        <v>546</v>
      </c>
      <c r="G4436" s="174">
        <v>45576.460914351854</v>
      </c>
    </row>
    <row r="4437" spans="1:7">
      <c r="A4437">
        <v>4475</v>
      </c>
      <c r="B4437" t="s">
        <v>5952</v>
      </c>
      <c r="C4437" t="s">
        <v>3485</v>
      </c>
      <c r="E4437">
        <v>0.01</v>
      </c>
      <c r="F4437" t="s">
        <v>546</v>
      </c>
      <c r="G4437" s="174">
        <v>45576.460914351854</v>
      </c>
    </row>
    <row r="4438" spans="1:7">
      <c r="A4438">
        <v>4476</v>
      </c>
      <c r="B4438" t="s">
        <v>5953</v>
      </c>
      <c r="C4438" t="s">
        <v>4534</v>
      </c>
      <c r="E4438">
        <v>0.01</v>
      </c>
      <c r="F4438" t="s">
        <v>546</v>
      </c>
      <c r="G4438" s="174">
        <v>45576.460914351854</v>
      </c>
    </row>
    <row r="4439" spans="1:7">
      <c r="A4439">
        <v>4477</v>
      </c>
      <c r="B4439" t="s">
        <v>5954</v>
      </c>
      <c r="C4439" t="s">
        <v>3675</v>
      </c>
      <c r="E4439">
        <v>0.7</v>
      </c>
      <c r="F4439" t="s">
        <v>546</v>
      </c>
      <c r="G4439" s="174">
        <v>45576.460914351854</v>
      </c>
    </row>
    <row r="4440" spans="1:7">
      <c r="A4440">
        <v>4478</v>
      </c>
      <c r="B4440" t="s">
        <v>5955</v>
      </c>
      <c r="C4440" t="s">
        <v>2925</v>
      </c>
      <c r="E4440">
        <v>0.7</v>
      </c>
      <c r="F4440" t="s">
        <v>5956</v>
      </c>
      <c r="G4440" s="174">
        <v>45576.460914351854</v>
      </c>
    </row>
    <row r="4441" spans="1:7">
      <c r="A4441">
        <v>4479</v>
      </c>
      <c r="B4441" t="s">
        <v>5955</v>
      </c>
      <c r="C4441" t="s">
        <v>5957</v>
      </c>
      <c r="E4441">
        <v>0.8</v>
      </c>
      <c r="F4441" t="s">
        <v>5958</v>
      </c>
      <c r="G4441" s="174">
        <v>45576.460914351854</v>
      </c>
    </row>
    <row r="4442" spans="1:7">
      <c r="A4442">
        <v>4480</v>
      </c>
      <c r="B4442" t="s">
        <v>5959</v>
      </c>
      <c r="C4442" t="s">
        <v>3454</v>
      </c>
      <c r="E4442">
        <v>0.01</v>
      </c>
      <c r="F4442" t="s">
        <v>546</v>
      </c>
      <c r="G4442" s="174">
        <v>45576.460914351854</v>
      </c>
    </row>
    <row r="4443" spans="1:7">
      <c r="A4443">
        <v>4481</v>
      </c>
      <c r="B4443" t="s">
        <v>5960</v>
      </c>
      <c r="C4443" t="s">
        <v>3310</v>
      </c>
      <c r="E4443">
        <v>0.01</v>
      </c>
      <c r="F4443" t="s">
        <v>546</v>
      </c>
      <c r="G4443" s="174">
        <v>45576.460914351854</v>
      </c>
    </row>
    <row r="4444" spans="1:7">
      <c r="A4444">
        <v>4482</v>
      </c>
      <c r="B4444" t="s">
        <v>5960</v>
      </c>
      <c r="C4444" t="s">
        <v>4733</v>
      </c>
      <c r="E4444">
        <v>0.01</v>
      </c>
      <c r="F4444" t="s">
        <v>546</v>
      </c>
      <c r="G4444" s="174">
        <v>45576.460914351854</v>
      </c>
    </row>
    <row r="4445" spans="1:7">
      <c r="A4445">
        <v>4483</v>
      </c>
      <c r="B4445" t="s">
        <v>5961</v>
      </c>
      <c r="C4445" t="s">
        <v>5303</v>
      </c>
      <c r="E4445">
        <v>0.01</v>
      </c>
      <c r="F4445" t="s">
        <v>546</v>
      </c>
      <c r="G4445" s="174">
        <v>45576.460914351854</v>
      </c>
    </row>
    <row r="4446" spans="1:7">
      <c r="A4446">
        <v>4484</v>
      </c>
      <c r="B4446" t="s">
        <v>5962</v>
      </c>
      <c r="C4446" t="s">
        <v>4135</v>
      </c>
      <c r="E4446">
        <v>0.01</v>
      </c>
      <c r="F4446" t="s">
        <v>546</v>
      </c>
      <c r="G4446" s="174">
        <v>45576.460914351854</v>
      </c>
    </row>
    <row r="4447" spans="1:7">
      <c r="A4447">
        <v>4485</v>
      </c>
      <c r="B4447" t="s">
        <v>5963</v>
      </c>
      <c r="C4447" t="s">
        <v>3270</v>
      </c>
      <c r="E4447">
        <v>0.01</v>
      </c>
      <c r="F4447" t="s">
        <v>546</v>
      </c>
      <c r="G4447" s="174">
        <v>45576.460914351854</v>
      </c>
    </row>
    <row r="4448" spans="1:7">
      <c r="A4448">
        <v>4486</v>
      </c>
      <c r="B4448" t="s">
        <v>5964</v>
      </c>
      <c r="C4448" t="s">
        <v>3938</v>
      </c>
      <c r="E4448">
        <v>0.01</v>
      </c>
      <c r="F4448" t="s">
        <v>546</v>
      </c>
      <c r="G4448" s="174">
        <v>45576.460914351854</v>
      </c>
    </row>
    <row r="4449" spans="1:7">
      <c r="A4449">
        <v>4487</v>
      </c>
      <c r="B4449" t="s">
        <v>5965</v>
      </c>
      <c r="C4449" t="s">
        <v>3968</v>
      </c>
      <c r="E4449">
        <v>0.01</v>
      </c>
      <c r="F4449" t="s">
        <v>546</v>
      </c>
      <c r="G4449" s="174">
        <v>45576.460914351854</v>
      </c>
    </row>
    <row r="4450" spans="1:7">
      <c r="A4450">
        <v>4488</v>
      </c>
      <c r="B4450" t="s">
        <v>1806</v>
      </c>
      <c r="C4450" t="s">
        <v>5966</v>
      </c>
      <c r="E4450">
        <v>0.01</v>
      </c>
      <c r="F4450" t="s">
        <v>546</v>
      </c>
      <c r="G4450" s="174">
        <v>45576.460914351854</v>
      </c>
    </row>
    <row r="4451" spans="1:7">
      <c r="A4451">
        <v>4489</v>
      </c>
      <c r="B4451" t="s">
        <v>1806</v>
      </c>
      <c r="C4451" t="s">
        <v>5967</v>
      </c>
      <c r="E4451">
        <v>0.8</v>
      </c>
      <c r="F4451" t="s">
        <v>546</v>
      </c>
      <c r="G4451" s="174">
        <v>45576.460914351854</v>
      </c>
    </row>
    <row r="4452" spans="1:7">
      <c r="A4452">
        <v>4490</v>
      </c>
      <c r="B4452" t="s">
        <v>1806</v>
      </c>
      <c r="C4452" t="s">
        <v>5968</v>
      </c>
      <c r="E4452">
        <v>0.6</v>
      </c>
      <c r="F4452" t="s">
        <v>546</v>
      </c>
      <c r="G4452" s="174">
        <v>45576.460914351854</v>
      </c>
    </row>
    <row r="4453" spans="1:7">
      <c r="A4453">
        <v>4492</v>
      </c>
      <c r="B4453" t="s">
        <v>5969</v>
      </c>
      <c r="C4453" t="s">
        <v>5970</v>
      </c>
      <c r="E4453">
        <v>0.01</v>
      </c>
      <c r="F4453" t="s">
        <v>546</v>
      </c>
      <c r="G4453" s="174">
        <v>45576.460914351854</v>
      </c>
    </row>
    <row r="4454" spans="1:7">
      <c r="A4454">
        <v>4493</v>
      </c>
      <c r="B4454" t="s">
        <v>5969</v>
      </c>
      <c r="C4454" t="s">
        <v>3628</v>
      </c>
      <c r="E4454">
        <v>0.6</v>
      </c>
      <c r="F4454" t="s">
        <v>546</v>
      </c>
      <c r="G4454" s="174">
        <v>45576.460914351854</v>
      </c>
    </row>
    <row r="4455" spans="1:7">
      <c r="A4455">
        <v>4495</v>
      </c>
      <c r="B4455" t="s">
        <v>5971</v>
      </c>
      <c r="C4455" t="s">
        <v>4344</v>
      </c>
      <c r="E4455">
        <v>0.01</v>
      </c>
      <c r="F4455" t="s">
        <v>546</v>
      </c>
      <c r="G4455" s="174">
        <v>45576.460914351854</v>
      </c>
    </row>
    <row r="4456" spans="1:7">
      <c r="A4456">
        <v>4496</v>
      </c>
      <c r="B4456" t="s">
        <v>5972</v>
      </c>
      <c r="C4456" t="s">
        <v>4278</v>
      </c>
      <c r="E4456">
        <v>0.01</v>
      </c>
      <c r="F4456" t="s">
        <v>546</v>
      </c>
      <c r="G4456" s="174">
        <v>45576.460914351854</v>
      </c>
    </row>
    <row r="4457" spans="1:7">
      <c r="A4457">
        <v>4497</v>
      </c>
      <c r="B4457" t="s">
        <v>5973</v>
      </c>
      <c r="C4457" t="s">
        <v>5974</v>
      </c>
      <c r="E4457">
        <v>0.1</v>
      </c>
      <c r="F4457" t="s">
        <v>546</v>
      </c>
      <c r="G4457" s="174">
        <v>45576.460914351854</v>
      </c>
    </row>
    <row r="4458" spans="1:7">
      <c r="A4458">
        <v>4498</v>
      </c>
      <c r="B4458" t="s">
        <v>5975</v>
      </c>
      <c r="C4458" t="s">
        <v>3227</v>
      </c>
      <c r="E4458">
        <v>0.01</v>
      </c>
      <c r="F4458" t="s">
        <v>546</v>
      </c>
      <c r="G4458" s="174">
        <v>45576.460914351854</v>
      </c>
    </row>
    <row r="4459" spans="1:7">
      <c r="A4459">
        <v>4499</v>
      </c>
      <c r="B4459" t="s">
        <v>1812</v>
      </c>
      <c r="C4459" t="s">
        <v>5976</v>
      </c>
      <c r="E4459">
        <v>0.6</v>
      </c>
      <c r="F4459" t="s">
        <v>546</v>
      </c>
      <c r="G4459" s="174">
        <v>45576.460914351854</v>
      </c>
    </row>
    <row r="4460" spans="1:7">
      <c r="A4460">
        <v>4500</v>
      </c>
      <c r="B4460" t="s">
        <v>5977</v>
      </c>
      <c r="C4460" t="s">
        <v>5978</v>
      </c>
      <c r="E4460">
        <v>0.01</v>
      </c>
      <c r="F4460" t="s">
        <v>546</v>
      </c>
      <c r="G4460" s="174">
        <v>45576.460914351854</v>
      </c>
    </row>
    <row r="4461" spans="1:7">
      <c r="A4461">
        <v>4501</v>
      </c>
      <c r="B4461" t="s">
        <v>5979</v>
      </c>
      <c r="C4461" t="s">
        <v>3190</v>
      </c>
      <c r="E4461">
        <v>0.1</v>
      </c>
      <c r="F4461" t="s">
        <v>546</v>
      </c>
      <c r="G4461" s="174">
        <v>45576.460914351854</v>
      </c>
    </row>
    <row r="4462" spans="1:7">
      <c r="A4462">
        <v>4502</v>
      </c>
      <c r="B4462" t="s">
        <v>5980</v>
      </c>
      <c r="C4462" t="s">
        <v>5019</v>
      </c>
      <c r="E4462">
        <v>0.01</v>
      </c>
      <c r="F4462" t="s">
        <v>546</v>
      </c>
      <c r="G4462" s="174">
        <v>45576.460914351854</v>
      </c>
    </row>
    <row r="4463" spans="1:7">
      <c r="A4463">
        <v>4503</v>
      </c>
      <c r="B4463" t="s">
        <v>5981</v>
      </c>
      <c r="C4463" t="s">
        <v>3911</v>
      </c>
      <c r="E4463">
        <v>0.8</v>
      </c>
      <c r="F4463" t="s">
        <v>5982</v>
      </c>
      <c r="G4463" s="174">
        <v>45576.460914351854</v>
      </c>
    </row>
    <row r="4464" spans="1:7">
      <c r="A4464">
        <v>4504</v>
      </c>
      <c r="B4464" t="s">
        <v>5983</v>
      </c>
      <c r="C4464" t="s">
        <v>4435</v>
      </c>
      <c r="E4464">
        <v>0.01</v>
      </c>
      <c r="F4464" t="s">
        <v>546</v>
      </c>
      <c r="G4464" s="174">
        <v>45576.460914351854</v>
      </c>
    </row>
    <row r="4465" spans="1:7">
      <c r="A4465">
        <v>4505</v>
      </c>
      <c r="B4465" t="s">
        <v>5984</v>
      </c>
      <c r="C4465" t="s">
        <v>4160</v>
      </c>
      <c r="E4465">
        <v>0.01</v>
      </c>
      <c r="F4465" t="s">
        <v>546</v>
      </c>
      <c r="G4465" s="174">
        <v>45576.460914351854</v>
      </c>
    </row>
    <row r="4466" spans="1:7">
      <c r="A4466">
        <v>4506</v>
      </c>
      <c r="B4466" t="s">
        <v>5985</v>
      </c>
      <c r="C4466" t="s">
        <v>3144</v>
      </c>
      <c r="E4466">
        <v>0.1</v>
      </c>
      <c r="F4466" t="s">
        <v>546</v>
      </c>
      <c r="G4466" s="174">
        <v>45576.460914351854</v>
      </c>
    </row>
    <row r="4467" spans="1:7">
      <c r="A4467">
        <v>4507</v>
      </c>
      <c r="B4467" t="s">
        <v>5986</v>
      </c>
      <c r="C4467" t="s">
        <v>5987</v>
      </c>
      <c r="E4467">
        <v>0.01</v>
      </c>
      <c r="F4467" t="s">
        <v>546</v>
      </c>
      <c r="G4467" s="174">
        <v>45576.460914351854</v>
      </c>
    </row>
    <row r="4468" spans="1:7">
      <c r="A4468">
        <v>4508</v>
      </c>
      <c r="B4468" t="s">
        <v>5988</v>
      </c>
      <c r="C4468" t="s">
        <v>3938</v>
      </c>
      <c r="E4468">
        <v>0.1</v>
      </c>
      <c r="F4468" t="s">
        <v>546</v>
      </c>
      <c r="G4468" s="174">
        <v>45576.460914351854</v>
      </c>
    </row>
    <row r="4469" spans="1:7">
      <c r="A4469">
        <v>4509</v>
      </c>
      <c r="B4469" t="s">
        <v>5989</v>
      </c>
      <c r="C4469" t="s">
        <v>5990</v>
      </c>
      <c r="E4469">
        <v>0.01</v>
      </c>
      <c r="F4469" t="s">
        <v>546</v>
      </c>
      <c r="G4469" s="174">
        <v>45576.460914351854</v>
      </c>
    </row>
    <row r="4470" spans="1:7">
      <c r="A4470">
        <v>4510</v>
      </c>
      <c r="B4470" t="s">
        <v>5991</v>
      </c>
      <c r="C4470" t="s">
        <v>4993</v>
      </c>
      <c r="E4470">
        <v>0.1</v>
      </c>
      <c r="F4470" t="s">
        <v>546</v>
      </c>
      <c r="G4470" s="174">
        <v>45576.460914351854</v>
      </c>
    </row>
    <row r="4471" spans="1:7">
      <c r="A4471">
        <v>4511</v>
      </c>
      <c r="B4471" t="s">
        <v>5992</v>
      </c>
      <c r="C4471" t="s">
        <v>3172</v>
      </c>
      <c r="E4471">
        <v>0.01</v>
      </c>
      <c r="F4471" t="s">
        <v>546</v>
      </c>
      <c r="G4471" s="174">
        <v>45576.460914351854</v>
      </c>
    </row>
    <row r="4472" spans="1:7">
      <c r="A4472">
        <v>4512</v>
      </c>
      <c r="B4472" t="s">
        <v>5993</v>
      </c>
      <c r="C4472" t="s">
        <v>2787</v>
      </c>
      <c r="E4472">
        <v>0.8</v>
      </c>
      <c r="F4472" t="s">
        <v>546</v>
      </c>
      <c r="G4472" s="174">
        <v>45576.460914351854</v>
      </c>
    </row>
    <row r="4473" spans="1:7">
      <c r="A4473">
        <v>4513</v>
      </c>
      <c r="B4473" t="s">
        <v>5993</v>
      </c>
      <c r="C4473" t="s">
        <v>3252</v>
      </c>
      <c r="E4473">
        <v>0.6</v>
      </c>
      <c r="F4473" t="s">
        <v>546</v>
      </c>
      <c r="G4473" s="174">
        <v>45576.460914351854</v>
      </c>
    </row>
    <row r="4474" spans="1:7">
      <c r="A4474">
        <v>4514</v>
      </c>
      <c r="B4474" t="s">
        <v>5994</v>
      </c>
      <c r="C4474" t="s">
        <v>4107</v>
      </c>
      <c r="E4474">
        <v>0.01</v>
      </c>
      <c r="F4474" t="s">
        <v>546</v>
      </c>
      <c r="G4474" s="174">
        <v>45576.460914351854</v>
      </c>
    </row>
    <row r="4475" spans="1:7">
      <c r="A4475">
        <v>4515</v>
      </c>
      <c r="B4475" t="s">
        <v>5994</v>
      </c>
      <c r="C4475" t="s">
        <v>3999</v>
      </c>
      <c r="E4475">
        <v>0.01</v>
      </c>
      <c r="F4475" t="s">
        <v>546</v>
      </c>
      <c r="G4475" s="174">
        <v>45576.460914351854</v>
      </c>
    </row>
    <row r="4476" spans="1:7">
      <c r="A4476">
        <v>4516</v>
      </c>
      <c r="B4476" t="s">
        <v>5995</v>
      </c>
      <c r="C4476" t="s">
        <v>3971</v>
      </c>
      <c r="E4476">
        <v>0.1</v>
      </c>
      <c r="F4476" t="s">
        <v>546</v>
      </c>
      <c r="G4476" s="174">
        <v>45576.460914351854</v>
      </c>
    </row>
    <row r="4477" spans="1:7">
      <c r="A4477">
        <v>4517</v>
      </c>
      <c r="B4477" t="s">
        <v>5996</v>
      </c>
      <c r="C4477" t="s">
        <v>5997</v>
      </c>
      <c r="E4477">
        <v>0.01</v>
      </c>
      <c r="F4477" t="s">
        <v>546</v>
      </c>
      <c r="G4477" s="174">
        <v>45576.460914351854</v>
      </c>
    </row>
    <row r="4478" spans="1:7">
      <c r="A4478">
        <v>4518</v>
      </c>
      <c r="B4478" t="s">
        <v>5998</v>
      </c>
      <c r="C4478" t="s">
        <v>3630</v>
      </c>
      <c r="E4478">
        <v>0.05</v>
      </c>
      <c r="F4478" t="s">
        <v>546</v>
      </c>
      <c r="G4478" s="174">
        <v>45576.460914351854</v>
      </c>
    </row>
    <row r="4479" spans="1:7">
      <c r="A4479">
        <v>4519</v>
      </c>
      <c r="B4479" t="s">
        <v>5998</v>
      </c>
      <c r="C4479" t="s">
        <v>3052</v>
      </c>
      <c r="E4479">
        <v>0.1</v>
      </c>
      <c r="F4479" t="s">
        <v>546</v>
      </c>
      <c r="G4479" s="174">
        <v>45576.460914351854</v>
      </c>
    </row>
    <row r="4480" spans="1:7">
      <c r="A4480">
        <v>4520</v>
      </c>
      <c r="B4480" t="s">
        <v>5999</v>
      </c>
      <c r="C4480" t="s">
        <v>3302</v>
      </c>
      <c r="E4480">
        <v>0.01</v>
      </c>
      <c r="F4480" t="s">
        <v>546</v>
      </c>
      <c r="G4480" s="174">
        <v>45576.460914351854</v>
      </c>
    </row>
    <row r="4481" spans="1:7">
      <c r="A4481">
        <v>4521</v>
      </c>
      <c r="B4481" t="s">
        <v>1823</v>
      </c>
      <c r="C4481" t="s">
        <v>6000</v>
      </c>
      <c r="E4481">
        <v>0.01</v>
      </c>
      <c r="F4481" t="s">
        <v>546</v>
      </c>
      <c r="G4481" s="174">
        <v>45576.460914351854</v>
      </c>
    </row>
    <row r="4482" spans="1:7">
      <c r="A4482">
        <v>4522</v>
      </c>
      <c r="B4482" t="s">
        <v>6001</v>
      </c>
      <c r="C4482" t="s">
        <v>4928</v>
      </c>
      <c r="E4482">
        <v>0.01</v>
      </c>
      <c r="F4482" t="s">
        <v>546</v>
      </c>
      <c r="G4482" s="174">
        <v>45576.460914351854</v>
      </c>
    </row>
    <row r="4483" spans="1:7">
      <c r="A4483">
        <v>4523</v>
      </c>
      <c r="B4483" t="s">
        <v>6002</v>
      </c>
      <c r="C4483" t="s">
        <v>4184</v>
      </c>
      <c r="E4483">
        <v>0.01</v>
      </c>
      <c r="F4483" t="s">
        <v>546</v>
      </c>
      <c r="G4483" s="174">
        <v>45576.460914351854</v>
      </c>
    </row>
    <row r="4484" spans="1:7">
      <c r="A4484">
        <v>4524</v>
      </c>
      <c r="B4484" t="s">
        <v>6003</v>
      </c>
      <c r="C4484" t="s">
        <v>2981</v>
      </c>
      <c r="E4484">
        <v>0.01</v>
      </c>
      <c r="F4484" t="s">
        <v>546</v>
      </c>
      <c r="G4484" s="174">
        <v>45576.460914351854</v>
      </c>
    </row>
    <row r="4485" spans="1:7">
      <c r="A4485">
        <v>4525</v>
      </c>
      <c r="B4485" t="s">
        <v>6004</v>
      </c>
      <c r="C4485" t="s">
        <v>6005</v>
      </c>
      <c r="E4485">
        <v>0.01</v>
      </c>
      <c r="F4485" t="s">
        <v>546</v>
      </c>
      <c r="G4485" s="174">
        <v>45576.460914351854</v>
      </c>
    </row>
    <row r="4486" spans="1:7">
      <c r="A4486">
        <v>4526</v>
      </c>
      <c r="B4486" t="s">
        <v>6004</v>
      </c>
      <c r="C4486" t="s">
        <v>4071</v>
      </c>
      <c r="E4486">
        <v>0.01</v>
      </c>
      <c r="F4486" t="s">
        <v>546</v>
      </c>
      <c r="G4486" s="174">
        <v>45576.460914351854</v>
      </c>
    </row>
    <row r="4487" spans="1:7">
      <c r="A4487">
        <v>4527</v>
      </c>
      <c r="B4487" t="s">
        <v>6006</v>
      </c>
      <c r="C4487" t="s">
        <v>6007</v>
      </c>
      <c r="E4487">
        <v>0.1</v>
      </c>
      <c r="F4487" t="s">
        <v>546</v>
      </c>
      <c r="G4487" s="174">
        <v>45576.460914351854</v>
      </c>
    </row>
    <row r="4488" spans="1:7">
      <c r="A4488">
        <v>4528</v>
      </c>
      <c r="B4488" t="s">
        <v>6008</v>
      </c>
      <c r="C4488" t="s">
        <v>4135</v>
      </c>
      <c r="E4488">
        <v>0.01</v>
      </c>
      <c r="F4488" t="s">
        <v>546</v>
      </c>
      <c r="G4488" s="174">
        <v>45576.460914351854</v>
      </c>
    </row>
    <row r="4489" spans="1:7">
      <c r="A4489">
        <v>4529</v>
      </c>
      <c r="B4489" t="s">
        <v>6009</v>
      </c>
      <c r="C4489" t="s">
        <v>4684</v>
      </c>
      <c r="E4489">
        <v>0.01</v>
      </c>
      <c r="F4489" t="s">
        <v>546</v>
      </c>
      <c r="G4489" s="174">
        <v>45576.460914351854</v>
      </c>
    </row>
    <row r="4490" spans="1:7">
      <c r="A4490">
        <v>4530</v>
      </c>
      <c r="B4490" t="s">
        <v>6009</v>
      </c>
      <c r="C4490" t="s">
        <v>3918</v>
      </c>
      <c r="E4490">
        <v>0.01</v>
      </c>
      <c r="F4490" t="s">
        <v>546</v>
      </c>
      <c r="G4490" s="174">
        <v>45576.460914351854</v>
      </c>
    </row>
    <row r="4491" spans="1:7">
      <c r="A4491">
        <v>4531</v>
      </c>
      <c r="B4491" t="s">
        <v>6010</v>
      </c>
      <c r="C4491" t="s">
        <v>6011</v>
      </c>
      <c r="E4491">
        <v>0.01</v>
      </c>
      <c r="F4491" t="s">
        <v>546</v>
      </c>
      <c r="G4491" s="174">
        <v>45576.460914351854</v>
      </c>
    </row>
    <row r="4492" spans="1:7">
      <c r="A4492">
        <v>4532</v>
      </c>
      <c r="B4492" t="s">
        <v>6012</v>
      </c>
      <c r="C4492" t="s">
        <v>3105</v>
      </c>
      <c r="E4492">
        <v>0.01</v>
      </c>
      <c r="F4492" t="s">
        <v>546</v>
      </c>
      <c r="G4492" s="174">
        <v>45576.460914351854</v>
      </c>
    </row>
    <row r="4493" spans="1:7">
      <c r="A4493">
        <v>4533</v>
      </c>
      <c r="B4493" t="s">
        <v>6013</v>
      </c>
      <c r="C4493" t="s">
        <v>3319</v>
      </c>
      <c r="E4493">
        <v>0.01</v>
      </c>
      <c r="F4493" t="s">
        <v>546</v>
      </c>
      <c r="G4493" s="174">
        <v>45576.460914351854</v>
      </c>
    </row>
    <row r="4494" spans="1:7">
      <c r="A4494">
        <v>4534</v>
      </c>
      <c r="B4494" t="s">
        <v>6014</v>
      </c>
      <c r="C4494" t="s">
        <v>4483</v>
      </c>
      <c r="E4494">
        <v>0.01</v>
      </c>
      <c r="F4494" t="s">
        <v>546</v>
      </c>
      <c r="G4494" s="174">
        <v>45576.460914351854</v>
      </c>
    </row>
    <row r="4495" spans="1:7">
      <c r="A4495">
        <v>4535</v>
      </c>
      <c r="B4495" t="s">
        <v>6015</v>
      </c>
      <c r="C4495" t="s">
        <v>3483</v>
      </c>
      <c r="E4495">
        <v>0.01</v>
      </c>
      <c r="F4495" t="s">
        <v>546</v>
      </c>
      <c r="G4495" s="174">
        <v>45576.460914351854</v>
      </c>
    </row>
    <row r="4496" spans="1:7">
      <c r="A4496">
        <v>4536</v>
      </c>
      <c r="B4496" t="s">
        <v>6016</v>
      </c>
      <c r="C4496" t="s">
        <v>3930</v>
      </c>
      <c r="E4496">
        <v>0.01</v>
      </c>
      <c r="F4496" t="s">
        <v>546</v>
      </c>
      <c r="G4496" s="174">
        <v>45576.460914351854</v>
      </c>
    </row>
    <row r="4497" spans="1:7">
      <c r="A4497">
        <v>4537</v>
      </c>
      <c r="B4497" t="s">
        <v>6017</v>
      </c>
      <c r="C4497" t="s">
        <v>4870</v>
      </c>
      <c r="E4497">
        <v>0.1</v>
      </c>
      <c r="F4497" t="s">
        <v>546</v>
      </c>
      <c r="G4497" s="174">
        <v>45576.460914351854</v>
      </c>
    </row>
    <row r="4498" spans="1:7">
      <c r="A4498">
        <v>4538</v>
      </c>
      <c r="B4498" t="s">
        <v>6018</v>
      </c>
      <c r="C4498" t="s">
        <v>5615</v>
      </c>
      <c r="E4498">
        <v>0.01</v>
      </c>
      <c r="F4498" t="s">
        <v>546</v>
      </c>
      <c r="G4498" s="174">
        <v>45576.460914351854</v>
      </c>
    </row>
    <row r="4499" spans="1:7">
      <c r="A4499">
        <v>4539</v>
      </c>
      <c r="B4499" t="s">
        <v>6019</v>
      </c>
      <c r="C4499" t="s">
        <v>3437</v>
      </c>
      <c r="E4499">
        <v>0.01</v>
      </c>
      <c r="F4499" t="s">
        <v>546</v>
      </c>
      <c r="G4499" s="174">
        <v>45576.460914351854</v>
      </c>
    </row>
    <row r="4500" spans="1:7">
      <c r="A4500">
        <v>4540</v>
      </c>
      <c r="B4500" t="s">
        <v>6020</v>
      </c>
      <c r="C4500" t="s">
        <v>3483</v>
      </c>
      <c r="E4500">
        <v>0.01</v>
      </c>
      <c r="F4500" t="s">
        <v>546</v>
      </c>
      <c r="G4500" s="174">
        <v>45576.460914351854</v>
      </c>
    </row>
    <row r="4501" spans="1:7">
      <c r="A4501">
        <v>4541</v>
      </c>
      <c r="B4501" t="s">
        <v>6021</v>
      </c>
      <c r="C4501" t="s">
        <v>2948</v>
      </c>
      <c r="E4501">
        <v>0.01</v>
      </c>
      <c r="F4501" t="s">
        <v>546</v>
      </c>
      <c r="G4501" s="174">
        <v>45576.460914351854</v>
      </c>
    </row>
    <row r="4502" spans="1:7">
      <c r="A4502">
        <v>4542</v>
      </c>
      <c r="B4502" t="s">
        <v>6022</v>
      </c>
      <c r="C4502" t="s">
        <v>4676</v>
      </c>
      <c r="E4502">
        <v>0.01</v>
      </c>
      <c r="F4502" t="s">
        <v>546</v>
      </c>
      <c r="G4502" s="174">
        <v>45576.460914351854</v>
      </c>
    </row>
    <row r="4503" spans="1:7">
      <c r="A4503">
        <v>4543</v>
      </c>
      <c r="B4503" t="s">
        <v>6022</v>
      </c>
      <c r="C4503" t="s">
        <v>4677</v>
      </c>
      <c r="E4503">
        <v>0.01</v>
      </c>
      <c r="F4503" t="s">
        <v>546</v>
      </c>
      <c r="G4503" s="174">
        <v>45576.460914351854</v>
      </c>
    </row>
    <row r="4504" spans="1:7">
      <c r="A4504">
        <v>4544</v>
      </c>
      <c r="B4504" t="s">
        <v>6023</v>
      </c>
      <c r="C4504" t="s">
        <v>4905</v>
      </c>
      <c r="E4504">
        <v>0.01</v>
      </c>
      <c r="F4504" t="s">
        <v>546</v>
      </c>
      <c r="G4504" s="174">
        <v>45576.460914351854</v>
      </c>
    </row>
    <row r="4505" spans="1:7">
      <c r="A4505">
        <v>4545</v>
      </c>
      <c r="B4505" t="s">
        <v>6024</v>
      </c>
      <c r="C4505" t="s">
        <v>3785</v>
      </c>
      <c r="E4505">
        <v>0.1</v>
      </c>
      <c r="F4505" t="s">
        <v>546</v>
      </c>
      <c r="G4505" s="174">
        <v>45576.460914351854</v>
      </c>
    </row>
    <row r="4506" spans="1:7">
      <c r="A4506">
        <v>4546</v>
      </c>
      <c r="B4506" t="s">
        <v>6024</v>
      </c>
      <c r="C4506" t="s">
        <v>4280</v>
      </c>
      <c r="E4506">
        <v>0.01</v>
      </c>
      <c r="F4506" t="s">
        <v>546</v>
      </c>
      <c r="G4506" s="174">
        <v>45576.460914351854</v>
      </c>
    </row>
    <row r="4507" spans="1:7">
      <c r="A4507">
        <v>4547</v>
      </c>
      <c r="B4507" t="s">
        <v>6024</v>
      </c>
      <c r="C4507" t="s">
        <v>4776</v>
      </c>
      <c r="E4507">
        <v>0.01</v>
      </c>
      <c r="F4507" t="s">
        <v>546</v>
      </c>
      <c r="G4507" s="174">
        <v>45576.460914351854</v>
      </c>
    </row>
    <row r="4508" spans="1:7">
      <c r="A4508">
        <v>4548</v>
      </c>
      <c r="B4508" t="s">
        <v>6024</v>
      </c>
      <c r="C4508" t="s">
        <v>6025</v>
      </c>
      <c r="E4508">
        <v>0.6</v>
      </c>
      <c r="F4508" t="s">
        <v>546</v>
      </c>
      <c r="G4508" s="174">
        <v>45576.460914351854</v>
      </c>
    </row>
    <row r="4509" spans="1:7">
      <c r="A4509">
        <v>4549</v>
      </c>
      <c r="B4509" t="s">
        <v>6026</v>
      </c>
      <c r="C4509" t="s">
        <v>6027</v>
      </c>
      <c r="E4509">
        <v>0.01</v>
      </c>
      <c r="F4509" t="s">
        <v>546</v>
      </c>
      <c r="G4509" s="174">
        <v>45576.460914351854</v>
      </c>
    </row>
    <row r="4510" spans="1:7">
      <c r="A4510">
        <v>4550</v>
      </c>
      <c r="B4510" t="s">
        <v>6028</v>
      </c>
      <c r="C4510" t="s">
        <v>6029</v>
      </c>
      <c r="E4510">
        <v>0.7</v>
      </c>
      <c r="F4510" t="s">
        <v>546</v>
      </c>
      <c r="G4510" s="174">
        <v>45576.460914351854</v>
      </c>
    </row>
    <row r="4511" spans="1:7">
      <c r="A4511">
        <v>4551</v>
      </c>
      <c r="B4511" t="s">
        <v>6030</v>
      </c>
      <c r="C4511" t="s">
        <v>3666</v>
      </c>
      <c r="E4511">
        <v>0.01</v>
      </c>
      <c r="F4511" t="s">
        <v>546</v>
      </c>
      <c r="G4511" s="174">
        <v>45576.460914351854</v>
      </c>
    </row>
    <row r="4512" spans="1:7">
      <c r="A4512">
        <v>4552</v>
      </c>
      <c r="B4512" t="s">
        <v>6031</v>
      </c>
      <c r="C4512" t="s">
        <v>2856</v>
      </c>
      <c r="E4512">
        <v>0.01</v>
      </c>
      <c r="F4512" t="s">
        <v>546</v>
      </c>
      <c r="G4512" s="174">
        <v>45576.460914351854</v>
      </c>
    </row>
    <row r="4513" spans="1:7">
      <c r="A4513">
        <v>4553</v>
      </c>
      <c r="B4513" t="s">
        <v>1841</v>
      </c>
      <c r="C4513" t="s">
        <v>6032</v>
      </c>
      <c r="E4513">
        <v>0.1</v>
      </c>
      <c r="F4513" t="s">
        <v>546</v>
      </c>
      <c r="G4513" s="174">
        <v>45576.460914351854</v>
      </c>
    </row>
    <row r="4514" spans="1:7">
      <c r="A4514">
        <v>4555</v>
      </c>
      <c r="B4514" t="s">
        <v>6033</v>
      </c>
      <c r="C4514" s="176">
        <v>45815</v>
      </c>
      <c r="D4514" s="176"/>
      <c r="E4514">
        <v>0.01</v>
      </c>
      <c r="F4514" t="s">
        <v>546</v>
      </c>
      <c r="G4514" s="174">
        <v>45576.460914351854</v>
      </c>
    </row>
    <row r="4515" spans="1:7">
      <c r="A4515">
        <v>4556</v>
      </c>
      <c r="B4515" t="s">
        <v>1845</v>
      </c>
      <c r="C4515" t="s">
        <v>4554</v>
      </c>
      <c r="E4515">
        <v>0.6</v>
      </c>
      <c r="F4515" t="s">
        <v>546</v>
      </c>
      <c r="G4515" s="174">
        <v>45576.460914351854</v>
      </c>
    </row>
    <row r="4516" spans="1:7">
      <c r="A4516">
        <v>4558</v>
      </c>
      <c r="B4516" t="s">
        <v>6034</v>
      </c>
      <c r="C4516" t="s">
        <v>4054</v>
      </c>
      <c r="E4516">
        <v>0.01</v>
      </c>
      <c r="F4516" t="s">
        <v>546</v>
      </c>
      <c r="G4516" s="174">
        <v>45576.460914351854</v>
      </c>
    </row>
    <row r="4517" spans="1:7">
      <c r="A4517">
        <v>4559</v>
      </c>
      <c r="B4517" t="s">
        <v>6035</v>
      </c>
      <c r="C4517" t="s">
        <v>3396</v>
      </c>
      <c r="E4517">
        <v>0.1</v>
      </c>
      <c r="F4517" t="s">
        <v>546</v>
      </c>
      <c r="G4517" s="174">
        <v>45576.460914351854</v>
      </c>
    </row>
    <row r="4518" spans="1:7">
      <c r="A4518">
        <v>4560</v>
      </c>
      <c r="B4518" t="s">
        <v>6035</v>
      </c>
      <c r="C4518" t="s">
        <v>4788</v>
      </c>
      <c r="E4518">
        <v>0.1</v>
      </c>
      <c r="F4518" t="s">
        <v>546</v>
      </c>
      <c r="G4518" s="174">
        <v>45576.460914351854</v>
      </c>
    </row>
    <row r="4519" spans="1:7">
      <c r="A4519">
        <v>4561</v>
      </c>
      <c r="B4519" t="s">
        <v>6035</v>
      </c>
      <c r="C4519" t="s">
        <v>3397</v>
      </c>
      <c r="E4519">
        <v>0.01</v>
      </c>
      <c r="F4519" t="s">
        <v>546</v>
      </c>
      <c r="G4519" s="174">
        <v>45576.460914351854</v>
      </c>
    </row>
    <row r="4520" spans="1:7">
      <c r="A4520">
        <v>4562</v>
      </c>
      <c r="B4520" t="s">
        <v>6036</v>
      </c>
      <c r="C4520" t="s">
        <v>3007</v>
      </c>
      <c r="E4520">
        <v>0.01</v>
      </c>
      <c r="F4520" t="s">
        <v>546</v>
      </c>
      <c r="G4520" s="174">
        <v>45576.460914351854</v>
      </c>
    </row>
    <row r="4521" spans="1:7">
      <c r="A4521">
        <v>4563</v>
      </c>
      <c r="B4521" t="s">
        <v>6037</v>
      </c>
      <c r="C4521" t="s">
        <v>6038</v>
      </c>
      <c r="E4521">
        <v>0.01</v>
      </c>
      <c r="F4521" t="s">
        <v>546</v>
      </c>
      <c r="G4521" s="174">
        <v>45576.460914351854</v>
      </c>
    </row>
    <row r="4522" spans="1:7">
      <c r="A4522">
        <v>4564</v>
      </c>
      <c r="B4522" t="s">
        <v>6039</v>
      </c>
      <c r="C4522" t="s">
        <v>4348</v>
      </c>
      <c r="E4522">
        <v>0.01</v>
      </c>
      <c r="F4522" t="s">
        <v>546</v>
      </c>
      <c r="G4522" s="174">
        <v>45576.460914351854</v>
      </c>
    </row>
    <row r="4523" spans="1:7">
      <c r="A4523">
        <v>4565</v>
      </c>
      <c r="B4523" t="s">
        <v>6040</v>
      </c>
      <c r="C4523" t="s">
        <v>1299</v>
      </c>
      <c r="E4523">
        <v>0.01</v>
      </c>
      <c r="F4523" t="s">
        <v>546</v>
      </c>
      <c r="G4523" s="174">
        <v>45576.460914351854</v>
      </c>
    </row>
    <row r="4524" spans="1:7">
      <c r="A4524">
        <v>4566</v>
      </c>
      <c r="B4524" t="s">
        <v>1852</v>
      </c>
      <c r="C4524" t="s">
        <v>5974</v>
      </c>
      <c r="E4524">
        <v>0.01</v>
      </c>
      <c r="F4524" t="s">
        <v>546</v>
      </c>
      <c r="G4524" s="174">
        <v>45576.460914351854</v>
      </c>
    </row>
    <row r="4525" spans="1:7">
      <c r="A4525">
        <v>4567</v>
      </c>
      <c r="B4525" t="s">
        <v>6041</v>
      </c>
      <c r="C4525" t="s">
        <v>3246</v>
      </c>
      <c r="E4525">
        <v>0.05</v>
      </c>
      <c r="F4525" t="s">
        <v>546</v>
      </c>
      <c r="G4525" s="174">
        <v>45576.460914351854</v>
      </c>
    </row>
    <row r="4526" spans="1:7">
      <c r="A4526">
        <v>4568</v>
      </c>
      <c r="B4526" t="s">
        <v>6041</v>
      </c>
      <c r="C4526" t="s">
        <v>6042</v>
      </c>
      <c r="E4526">
        <v>0.1</v>
      </c>
      <c r="F4526" t="s">
        <v>546</v>
      </c>
      <c r="G4526" s="174">
        <v>45576.460914351854</v>
      </c>
    </row>
    <row r="4527" spans="1:7">
      <c r="A4527">
        <v>4569</v>
      </c>
      <c r="B4527" t="s">
        <v>6043</v>
      </c>
      <c r="C4527" t="s">
        <v>6044</v>
      </c>
      <c r="E4527">
        <v>0.01</v>
      </c>
      <c r="F4527" t="s">
        <v>546</v>
      </c>
      <c r="G4527" s="174">
        <v>45576.460914351854</v>
      </c>
    </row>
    <row r="4528" spans="1:7">
      <c r="A4528">
        <v>4570</v>
      </c>
      <c r="B4528" t="s">
        <v>6045</v>
      </c>
      <c r="C4528" t="s">
        <v>3933</v>
      </c>
      <c r="E4528">
        <v>0.01</v>
      </c>
      <c r="F4528" t="s">
        <v>546</v>
      </c>
      <c r="G4528" s="174">
        <v>45576.460914351854</v>
      </c>
    </row>
    <row r="4529" spans="1:7">
      <c r="A4529">
        <v>4571</v>
      </c>
      <c r="B4529" t="s">
        <v>6046</v>
      </c>
      <c r="C4529" t="s">
        <v>2972</v>
      </c>
      <c r="E4529">
        <v>0.01</v>
      </c>
      <c r="F4529" t="s">
        <v>546</v>
      </c>
      <c r="G4529" s="174">
        <v>45576.460914351854</v>
      </c>
    </row>
    <row r="4530" spans="1:7">
      <c r="A4530">
        <v>4572</v>
      </c>
      <c r="B4530" t="s">
        <v>6047</v>
      </c>
      <c r="C4530" t="s">
        <v>2911</v>
      </c>
      <c r="E4530">
        <v>0.01</v>
      </c>
      <c r="F4530" t="s">
        <v>546</v>
      </c>
      <c r="G4530" s="174">
        <v>45576.460914351854</v>
      </c>
    </row>
    <row r="4531" spans="1:7">
      <c r="A4531">
        <v>4573</v>
      </c>
      <c r="B4531" t="s">
        <v>6048</v>
      </c>
      <c r="C4531" t="s">
        <v>2875</v>
      </c>
      <c r="E4531">
        <v>0.7</v>
      </c>
      <c r="F4531" t="s">
        <v>546</v>
      </c>
      <c r="G4531" s="174">
        <v>45576.460914351854</v>
      </c>
    </row>
    <row r="4532" spans="1:7">
      <c r="A4532">
        <v>4574</v>
      </c>
      <c r="B4532" t="s">
        <v>6048</v>
      </c>
      <c r="C4532" t="s">
        <v>3738</v>
      </c>
      <c r="E4532">
        <v>1</v>
      </c>
      <c r="F4532" t="s">
        <v>546</v>
      </c>
      <c r="G4532" s="174">
        <v>45576.460914351854</v>
      </c>
    </row>
    <row r="4533" spans="1:7">
      <c r="A4533">
        <v>4575</v>
      </c>
      <c r="B4533" t="s">
        <v>6049</v>
      </c>
      <c r="C4533" s="176">
        <v>45815</v>
      </c>
      <c r="D4533" s="176"/>
      <c r="E4533">
        <v>0.01</v>
      </c>
      <c r="F4533" t="s">
        <v>546</v>
      </c>
      <c r="G4533" s="174">
        <v>45576.460914351854</v>
      </c>
    </row>
    <row r="4534" spans="1:7">
      <c r="A4534">
        <v>4576</v>
      </c>
      <c r="B4534" t="s">
        <v>6050</v>
      </c>
      <c r="C4534" t="s">
        <v>4909</v>
      </c>
      <c r="E4534">
        <v>0.1</v>
      </c>
      <c r="F4534" t="s">
        <v>546</v>
      </c>
      <c r="G4534" s="174">
        <v>45576.460914351854</v>
      </c>
    </row>
    <row r="4535" spans="1:7">
      <c r="A4535">
        <v>4577</v>
      </c>
      <c r="B4535" t="s">
        <v>6051</v>
      </c>
      <c r="C4535" t="s">
        <v>4369</v>
      </c>
      <c r="E4535">
        <v>0.8</v>
      </c>
      <c r="F4535" t="s">
        <v>546</v>
      </c>
      <c r="G4535" s="174">
        <v>45576.460914351854</v>
      </c>
    </row>
    <row r="4536" spans="1:7">
      <c r="A4536">
        <v>4578</v>
      </c>
      <c r="B4536" t="s">
        <v>6052</v>
      </c>
      <c r="C4536" t="s">
        <v>2816</v>
      </c>
      <c r="E4536">
        <v>0.01</v>
      </c>
      <c r="F4536" t="s">
        <v>546</v>
      </c>
      <c r="G4536" s="174">
        <v>45576.460914351854</v>
      </c>
    </row>
    <row r="4537" spans="1:7">
      <c r="A4537">
        <v>4579</v>
      </c>
      <c r="B4537" t="s">
        <v>6053</v>
      </c>
      <c r="C4537" t="s">
        <v>6054</v>
      </c>
      <c r="E4537">
        <v>0.01</v>
      </c>
      <c r="F4537" t="s">
        <v>546</v>
      </c>
      <c r="G4537" s="174">
        <v>45576.460914351854</v>
      </c>
    </row>
    <row r="4538" spans="1:7">
      <c r="A4538">
        <v>4581</v>
      </c>
      <c r="B4538" t="s">
        <v>6055</v>
      </c>
      <c r="C4538" t="s">
        <v>3157</v>
      </c>
      <c r="E4538">
        <v>0.8</v>
      </c>
      <c r="F4538" t="s">
        <v>546</v>
      </c>
      <c r="G4538" s="174">
        <v>45576.460914351854</v>
      </c>
    </row>
    <row r="4539" spans="1:7">
      <c r="A4539">
        <v>4582</v>
      </c>
      <c r="B4539" t="s">
        <v>6055</v>
      </c>
      <c r="C4539" t="s">
        <v>5628</v>
      </c>
      <c r="E4539">
        <v>0.6</v>
      </c>
      <c r="F4539" t="s">
        <v>546</v>
      </c>
      <c r="G4539" s="174">
        <v>45576.460914351854</v>
      </c>
    </row>
    <row r="4540" spans="1:7">
      <c r="A4540">
        <v>4583</v>
      </c>
      <c r="B4540" t="s">
        <v>6056</v>
      </c>
      <c r="C4540" t="s">
        <v>6057</v>
      </c>
      <c r="E4540">
        <v>0.01</v>
      </c>
      <c r="F4540" t="s">
        <v>546</v>
      </c>
      <c r="G4540" s="174">
        <v>45576.460914351854</v>
      </c>
    </row>
    <row r="4541" spans="1:7">
      <c r="A4541">
        <v>4584</v>
      </c>
      <c r="B4541" t="s">
        <v>6058</v>
      </c>
      <c r="C4541" t="s">
        <v>5298</v>
      </c>
      <c r="E4541">
        <v>0.01</v>
      </c>
      <c r="F4541" t="s">
        <v>546</v>
      </c>
      <c r="G4541" s="174">
        <v>45576.460914351854</v>
      </c>
    </row>
    <row r="4542" spans="1:7">
      <c r="A4542">
        <v>4585</v>
      </c>
      <c r="B4542" t="s">
        <v>1860</v>
      </c>
      <c r="C4542" t="s">
        <v>1299</v>
      </c>
      <c r="E4542">
        <v>0.01</v>
      </c>
      <c r="F4542" t="s">
        <v>546</v>
      </c>
      <c r="G4542" s="174">
        <v>45576.460914351854</v>
      </c>
    </row>
    <row r="4543" spans="1:7">
      <c r="A4543">
        <v>4586</v>
      </c>
      <c r="B4543" t="s">
        <v>1860</v>
      </c>
      <c r="C4543" t="s">
        <v>3938</v>
      </c>
      <c r="E4543">
        <v>0.1</v>
      </c>
      <c r="F4543" t="s">
        <v>546</v>
      </c>
      <c r="G4543" s="174">
        <v>45576.460914351854</v>
      </c>
    </row>
    <row r="4544" spans="1:7">
      <c r="A4544">
        <v>4587</v>
      </c>
      <c r="B4544" t="s">
        <v>6059</v>
      </c>
      <c r="C4544" t="s">
        <v>6060</v>
      </c>
      <c r="E4544">
        <v>0.6</v>
      </c>
      <c r="F4544" t="s">
        <v>546</v>
      </c>
      <c r="G4544" s="174">
        <v>45576.460914351854</v>
      </c>
    </row>
    <row r="4545" spans="1:7">
      <c r="A4545">
        <v>4588</v>
      </c>
      <c r="B4545" t="s">
        <v>6059</v>
      </c>
      <c r="C4545" t="s">
        <v>1299</v>
      </c>
      <c r="E4545">
        <v>0.8</v>
      </c>
      <c r="F4545" t="s">
        <v>546</v>
      </c>
      <c r="G4545" s="174">
        <v>45576.460914351854</v>
      </c>
    </row>
    <row r="4546" spans="1:7">
      <c r="A4546">
        <v>4589</v>
      </c>
      <c r="B4546" t="s">
        <v>6061</v>
      </c>
      <c r="C4546" t="s">
        <v>4502</v>
      </c>
      <c r="E4546">
        <v>0.01</v>
      </c>
      <c r="F4546" t="s">
        <v>546</v>
      </c>
      <c r="G4546" s="174">
        <v>45576.460914351854</v>
      </c>
    </row>
    <row r="4547" spans="1:7">
      <c r="A4547">
        <v>4590</v>
      </c>
      <c r="B4547" t="s">
        <v>6062</v>
      </c>
      <c r="C4547" t="s">
        <v>6063</v>
      </c>
      <c r="E4547">
        <v>0.8</v>
      </c>
      <c r="F4547" t="s">
        <v>546</v>
      </c>
      <c r="G4547" s="174">
        <v>45576.460914351854</v>
      </c>
    </row>
    <row r="4548" spans="1:7">
      <c r="A4548">
        <v>4591</v>
      </c>
      <c r="B4548" t="s">
        <v>6064</v>
      </c>
      <c r="C4548" t="s">
        <v>5599</v>
      </c>
      <c r="E4548">
        <v>0.01</v>
      </c>
      <c r="F4548" t="s">
        <v>546</v>
      </c>
      <c r="G4548" s="174">
        <v>45576.460914351854</v>
      </c>
    </row>
    <row r="4549" spans="1:7">
      <c r="A4549">
        <v>4592</v>
      </c>
      <c r="B4549" t="s">
        <v>6065</v>
      </c>
      <c r="C4549" t="s">
        <v>6066</v>
      </c>
      <c r="E4549">
        <v>0.01</v>
      </c>
      <c r="F4549" t="s">
        <v>546</v>
      </c>
      <c r="G4549" s="174">
        <v>45576.460914351854</v>
      </c>
    </row>
    <row r="4550" spans="1:7">
      <c r="A4550">
        <v>4593</v>
      </c>
      <c r="B4550" t="s">
        <v>6067</v>
      </c>
      <c r="C4550" t="s">
        <v>3129</v>
      </c>
      <c r="E4550">
        <v>0.01</v>
      </c>
      <c r="F4550" t="s">
        <v>546</v>
      </c>
      <c r="G4550" s="174">
        <v>45576.460914351854</v>
      </c>
    </row>
    <row r="4551" spans="1:7">
      <c r="A4551">
        <v>4594</v>
      </c>
      <c r="B4551" t="s">
        <v>6068</v>
      </c>
      <c r="C4551" t="s">
        <v>6069</v>
      </c>
      <c r="E4551">
        <v>0.1</v>
      </c>
      <c r="F4551" t="s">
        <v>546</v>
      </c>
      <c r="G4551" s="174">
        <v>45576.460914351854</v>
      </c>
    </row>
    <row r="4552" spans="1:7">
      <c r="A4552">
        <v>4595</v>
      </c>
      <c r="B4552" t="s">
        <v>6070</v>
      </c>
      <c r="C4552" t="s">
        <v>6071</v>
      </c>
      <c r="E4552">
        <v>0.01</v>
      </c>
      <c r="F4552" t="s">
        <v>546</v>
      </c>
      <c r="G4552" s="174">
        <v>45576.460914351854</v>
      </c>
    </row>
    <row r="4553" spans="1:7">
      <c r="A4553">
        <v>4596</v>
      </c>
      <c r="B4553" t="s">
        <v>6072</v>
      </c>
      <c r="C4553" t="s">
        <v>3542</v>
      </c>
      <c r="E4553">
        <v>0.01</v>
      </c>
      <c r="F4553" t="s">
        <v>546</v>
      </c>
      <c r="G4553" s="174">
        <v>45576.460914351854</v>
      </c>
    </row>
    <row r="4554" spans="1:7">
      <c r="A4554">
        <v>4597</v>
      </c>
      <c r="B4554" t="s">
        <v>6073</v>
      </c>
      <c r="C4554" t="s">
        <v>4220</v>
      </c>
      <c r="E4554">
        <v>0.1</v>
      </c>
      <c r="F4554" t="s">
        <v>546</v>
      </c>
      <c r="G4554" s="174">
        <v>45576.460914351854</v>
      </c>
    </row>
    <row r="4555" spans="1:7">
      <c r="A4555">
        <v>4598</v>
      </c>
      <c r="B4555" t="s">
        <v>6073</v>
      </c>
      <c r="C4555" t="s">
        <v>4222</v>
      </c>
      <c r="E4555">
        <v>0.1</v>
      </c>
      <c r="F4555" t="s">
        <v>546</v>
      </c>
      <c r="G4555" s="174">
        <v>45576.460914351854</v>
      </c>
    </row>
    <row r="4556" spans="1:7">
      <c r="A4556">
        <v>4600</v>
      </c>
      <c r="B4556" t="s">
        <v>6074</v>
      </c>
      <c r="C4556" t="s">
        <v>4492</v>
      </c>
      <c r="E4556">
        <v>0.7</v>
      </c>
      <c r="F4556" t="s">
        <v>6075</v>
      </c>
      <c r="G4556" s="174">
        <v>45576.460914351854</v>
      </c>
    </row>
    <row r="4557" spans="1:7">
      <c r="A4557">
        <v>4601</v>
      </c>
      <c r="B4557" t="s">
        <v>6074</v>
      </c>
      <c r="C4557" t="s">
        <v>6076</v>
      </c>
      <c r="E4557">
        <v>0.8</v>
      </c>
      <c r="F4557" t="s">
        <v>6077</v>
      </c>
      <c r="G4557" s="174">
        <v>45576.460914351854</v>
      </c>
    </row>
    <row r="4558" spans="1:7">
      <c r="A4558">
        <v>4602</v>
      </c>
      <c r="B4558" t="s">
        <v>6074</v>
      </c>
      <c r="C4558" t="s">
        <v>6078</v>
      </c>
      <c r="E4558">
        <v>0.01</v>
      </c>
      <c r="F4558" t="s">
        <v>546</v>
      </c>
      <c r="G4558" s="174">
        <v>45576.460914351854</v>
      </c>
    </row>
    <row r="4559" spans="1:7">
      <c r="A4559">
        <v>4603</v>
      </c>
      <c r="B4559" t="s">
        <v>6074</v>
      </c>
      <c r="C4559" t="s">
        <v>6079</v>
      </c>
      <c r="E4559">
        <v>0.01</v>
      </c>
      <c r="F4559" t="s">
        <v>546</v>
      </c>
      <c r="G4559" s="174">
        <v>45576.460914351854</v>
      </c>
    </row>
    <row r="4560" spans="1:7">
      <c r="A4560">
        <v>4604</v>
      </c>
      <c r="B4560" t="s">
        <v>1863</v>
      </c>
      <c r="C4560" t="s">
        <v>6080</v>
      </c>
      <c r="E4560">
        <v>0.01</v>
      </c>
      <c r="F4560" t="s">
        <v>546</v>
      </c>
      <c r="G4560" s="174">
        <v>45576.460914351854</v>
      </c>
    </row>
    <row r="4561" spans="1:7">
      <c r="A4561">
        <v>4605</v>
      </c>
      <c r="B4561" t="s">
        <v>6081</v>
      </c>
      <c r="C4561" t="s">
        <v>4555</v>
      </c>
      <c r="E4561">
        <v>0.4</v>
      </c>
      <c r="F4561" t="s">
        <v>3134</v>
      </c>
      <c r="G4561" s="174">
        <v>45576.460914351854</v>
      </c>
    </row>
    <row r="4562" spans="1:7">
      <c r="A4562">
        <v>4606</v>
      </c>
      <c r="B4562" t="s">
        <v>6081</v>
      </c>
      <c r="C4562" t="s">
        <v>4558</v>
      </c>
      <c r="E4562">
        <v>0.6</v>
      </c>
      <c r="F4562" t="s">
        <v>546</v>
      </c>
      <c r="G4562" s="174">
        <v>45576.460914351854</v>
      </c>
    </row>
    <row r="4563" spans="1:7">
      <c r="A4563">
        <v>4607</v>
      </c>
      <c r="B4563" t="s">
        <v>6082</v>
      </c>
      <c r="C4563" t="s">
        <v>3584</v>
      </c>
      <c r="E4563">
        <v>0.01</v>
      </c>
      <c r="F4563" t="s">
        <v>546</v>
      </c>
      <c r="G4563" s="174">
        <v>45576.460914351854</v>
      </c>
    </row>
    <row r="4564" spans="1:7">
      <c r="A4564">
        <v>4608</v>
      </c>
      <c r="B4564" t="s">
        <v>6083</v>
      </c>
      <c r="C4564" t="s">
        <v>6084</v>
      </c>
      <c r="E4564">
        <v>0.01</v>
      </c>
      <c r="F4564" t="s">
        <v>546</v>
      </c>
      <c r="G4564" s="174">
        <v>45576.460914351854</v>
      </c>
    </row>
    <row r="4565" spans="1:7">
      <c r="A4565">
        <v>4609</v>
      </c>
      <c r="B4565" t="s">
        <v>6085</v>
      </c>
      <c r="C4565" t="s">
        <v>6086</v>
      </c>
      <c r="E4565">
        <v>0.01</v>
      </c>
      <c r="F4565" t="s">
        <v>546</v>
      </c>
      <c r="G4565" s="174">
        <v>45576.460914351854</v>
      </c>
    </row>
    <row r="4566" spans="1:7">
      <c r="A4566">
        <v>4610</v>
      </c>
      <c r="B4566" t="s">
        <v>6087</v>
      </c>
      <c r="C4566" t="s">
        <v>6088</v>
      </c>
      <c r="E4566">
        <v>0.01</v>
      </c>
      <c r="F4566" t="s">
        <v>546</v>
      </c>
      <c r="G4566" s="174">
        <v>45576.460914351854</v>
      </c>
    </row>
    <row r="4567" spans="1:7">
      <c r="A4567">
        <v>4611</v>
      </c>
      <c r="B4567" t="s">
        <v>6089</v>
      </c>
      <c r="C4567" t="s">
        <v>6090</v>
      </c>
      <c r="E4567">
        <v>0.01</v>
      </c>
      <c r="F4567" t="s">
        <v>546</v>
      </c>
      <c r="G4567" s="174">
        <v>45576.460914351854</v>
      </c>
    </row>
    <row r="4568" spans="1:7">
      <c r="A4568">
        <v>4612</v>
      </c>
      <c r="B4568" t="s">
        <v>6089</v>
      </c>
      <c r="C4568" t="s">
        <v>6078</v>
      </c>
      <c r="E4568">
        <v>0.01</v>
      </c>
      <c r="F4568" t="s">
        <v>546</v>
      </c>
      <c r="G4568" s="174">
        <v>45576.460914351854</v>
      </c>
    </row>
    <row r="4569" spans="1:7">
      <c r="A4569">
        <v>4613</v>
      </c>
      <c r="B4569" t="s">
        <v>6091</v>
      </c>
      <c r="C4569" t="s">
        <v>6092</v>
      </c>
      <c r="E4569">
        <v>0.01</v>
      </c>
      <c r="F4569" t="s">
        <v>546</v>
      </c>
      <c r="G4569" s="174">
        <v>45576.460914351854</v>
      </c>
    </row>
    <row r="4570" spans="1:7">
      <c r="A4570">
        <v>4614</v>
      </c>
      <c r="B4570" t="s">
        <v>6093</v>
      </c>
      <c r="C4570" t="s">
        <v>3122</v>
      </c>
      <c r="E4570">
        <v>0.01</v>
      </c>
      <c r="F4570" t="s">
        <v>546</v>
      </c>
      <c r="G4570" s="174">
        <v>45576.460914351854</v>
      </c>
    </row>
    <row r="4571" spans="1:7">
      <c r="A4571">
        <v>4615</v>
      </c>
      <c r="B4571" t="s">
        <v>6094</v>
      </c>
      <c r="C4571" t="s">
        <v>3016</v>
      </c>
      <c r="E4571">
        <v>0.1</v>
      </c>
      <c r="F4571" t="s">
        <v>546</v>
      </c>
      <c r="G4571" s="174">
        <v>45576.460914351854</v>
      </c>
    </row>
    <row r="4572" spans="1:7">
      <c r="A4572">
        <v>4616</v>
      </c>
      <c r="B4572" t="s">
        <v>6094</v>
      </c>
      <c r="C4572" t="s">
        <v>2744</v>
      </c>
      <c r="E4572">
        <v>0.05</v>
      </c>
      <c r="F4572" t="s">
        <v>546</v>
      </c>
      <c r="G4572" s="174">
        <v>45576.460914351854</v>
      </c>
    </row>
    <row r="4573" spans="1:7">
      <c r="A4573">
        <v>4617</v>
      </c>
      <c r="B4573" t="s">
        <v>6095</v>
      </c>
      <c r="C4573" t="s">
        <v>4237</v>
      </c>
      <c r="E4573">
        <v>0.1</v>
      </c>
      <c r="F4573" t="s">
        <v>546</v>
      </c>
      <c r="G4573" s="174">
        <v>45576.460914351854</v>
      </c>
    </row>
    <row r="4574" spans="1:7">
      <c r="A4574">
        <v>4618</v>
      </c>
      <c r="B4574" t="s">
        <v>6096</v>
      </c>
      <c r="C4574" t="s">
        <v>6097</v>
      </c>
      <c r="E4574">
        <v>0.1</v>
      </c>
      <c r="F4574" t="s">
        <v>546</v>
      </c>
      <c r="G4574" s="174">
        <v>45576.460914351854</v>
      </c>
    </row>
    <row r="4575" spans="1:7">
      <c r="A4575">
        <v>4619</v>
      </c>
      <c r="B4575" t="s">
        <v>6098</v>
      </c>
      <c r="C4575" t="s">
        <v>6099</v>
      </c>
      <c r="E4575">
        <v>0.1</v>
      </c>
      <c r="F4575" t="s">
        <v>546</v>
      </c>
      <c r="G4575" s="174">
        <v>45576.460914351854</v>
      </c>
    </row>
    <row r="4576" spans="1:7">
      <c r="A4576">
        <v>4620</v>
      </c>
      <c r="B4576" t="s">
        <v>6100</v>
      </c>
      <c r="C4576" t="s">
        <v>3124</v>
      </c>
      <c r="E4576">
        <v>0.01</v>
      </c>
      <c r="F4576" t="s">
        <v>546</v>
      </c>
      <c r="G4576" s="174">
        <v>45576.460914351854</v>
      </c>
    </row>
    <row r="4577" spans="1:7">
      <c r="A4577">
        <v>4621</v>
      </c>
      <c r="B4577" t="s">
        <v>6101</v>
      </c>
      <c r="C4577" t="s">
        <v>3333</v>
      </c>
      <c r="E4577">
        <v>0.01</v>
      </c>
      <c r="F4577" t="s">
        <v>546</v>
      </c>
      <c r="G4577" s="174">
        <v>45576.460914351854</v>
      </c>
    </row>
    <row r="4578" spans="1:7">
      <c r="A4578">
        <v>4622</v>
      </c>
      <c r="B4578" t="s">
        <v>6102</v>
      </c>
      <c r="C4578" t="s">
        <v>6103</v>
      </c>
      <c r="E4578">
        <v>0.01</v>
      </c>
      <c r="F4578" t="s">
        <v>546</v>
      </c>
      <c r="G4578" s="174">
        <v>45576.460914351854</v>
      </c>
    </row>
    <row r="4579" spans="1:7">
      <c r="A4579">
        <v>4623</v>
      </c>
      <c r="B4579" t="s">
        <v>6104</v>
      </c>
      <c r="C4579" t="s">
        <v>6105</v>
      </c>
      <c r="E4579">
        <v>0.01</v>
      </c>
      <c r="F4579" t="s">
        <v>546</v>
      </c>
      <c r="G4579" s="174">
        <v>45576.460914351854</v>
      </c>
    </row>
    <row r="4580" spans="1:7">
      <c r="A4580">
        <v>4624</v>
      </c>
      <c r="B4580" t="s">
        <v>6106</v>
      </c>
      <c r="C4580" t="s">
        <v>4942</v>
      </c>
      <c r="E4580">
        <v>0.01</v>
      </c>
      <c r="F4580" t="s">
        <v>546</v>
      </c>
      <c r="G4580" s="174">
        <v>45576.460914351854</v>
      </c>
    </row>
    <row r="4581" spans="1:7">
      <c r="A4581">
        <v>4625</v>
      </c>
      <c r="B4581" t="s">
        <v>6107</v>
      </c>
      <c r="C4581" t="s">
        <v>3190</v>
      </c>
      <c r="E4581">
        <v>0.01</v>
      </c>
      <c r="F4581" t="s">
        <v>546</v>
      </c>
      <c r="G4581" s="174">
        <v>45576.460914351854</v>
      </c>
    </row>
    <row r="4582" spans="1:7">
      <c r="A4582">
        <v>4626</v>
      </c>
      <c r="B4582" t="s">
        <v>6108</v>
      </c>
      <c r="C4582" t="s">
        <v>3833</v>
      </c>
      <c r="E4582">
        <v>0.01</v>
      </c>
      <c r="F4582" t="s">
        <v>546</v>
      </c>
      <c r="G4582" s="174">
        <v>45576.460914351854</v>
      </c>
    </row>
    <row r="4583" spans="1:7">
      <c r="A4583">
        <v>4627</v>
      </c>
      <c r="B4583" t="s">
        <v>6109</v>
      </c>
      <c r="C4583" t="s">
        <v>2841</v>
      </c>
      <c r="E4583">
        <v>0.01</v>
      </c>
      <c r="F4583" t="s">
        <v>546</v>
      </c>
      <c r="G4583" s="174">
        <v>45576.460914351854</v>
      </c>
    </row>
    <row r="4584" spans="1:7">
      <c r="A4584">
        <v>4628</v>
      </c>
      <c r="B4584" t="s">
        <v>6110</v>
      </c>
      <c r="C4584" t="s">
        <v>3088</v>
      </c>
      <c r="E4584">
        <v>0.01</v>
      </c>
      <c r="F4584" t="s">
        <v>546</v>
      </c>
      <c r="G4584" s="174">
        <v>45576.460914351854</v>
      </c>
    </row>
    <row r="4585" spans="1:7">
      <c r="A4585">
        <v>4629</v>
      </c>
      <c r="B4585" t="s">
        <v>6110</v>
      </c>
      <c r="C4585" t="s">
        <v>6111</v>
      </c>
      <c r="E4585">
        <v>0.01</v>
      </c>
      <c r="F4585" t="s">
        <v>546</v>
      </c>
      <c r="G4585" s="174">
        <v>45576.460914351854</v>
      </c>
    </row>
    <row r="4586" spans="1:7">
      <c r="A4586">
        <v>4630</v>
      </c>
      <c r="B4586" t="s">
        <v>6112</v>
      </c>
      <c r="C4586" t="s">
        <v>2796</v>
      </c>
      <c r="E4586">
        <v>0.8</v>
      </c>
      <c r="F4586" t="s">
        <v>546</v>
      </c>
      <c r="G4586" s="174">
        <v>45576.460914351854</v>
      </c>
    </row>
    <row r="4587" spans="1:7">
      <c r="A4587">
        <v>4631</v>
      </c>
      <c r="B4587" t="s">
        <v>6112</v>
      </c>
      <c r="C4587" t="s">
        <v>6113</v>
      </c>
      <c r="E4587">
        <v>0.01</v>
      </c>
      <c r="F4587" t="s">
        <v>546</v>
      </c>
      <c r="G4587" s="174">
        <v>45576.460914351854</v>
      </c>
    </row>
    <row r="4588" spans="1:7">
      <c r="A4588">
        <v>4632</v>
      </c>
      <c r="B4588" t="s">
        <v>6114</v>
      </c>
      <c r="C4588" t="s">
        <v>2796</v>
      </c>
      <c r="E4588">
        <v>0.01</v>
      </c>
      <c r="F4588" t="s">
        <v>546</v>
      </c>
      <c r="G4588" s="174">
        <v>45576.460914351854</v>
      </c>
    </row>
    <row r="4589" spans="1:7">
      <c r="A4589">
        <v>4633</v>
      </c>
      <c r="B4589" t="s">
        <v>6114</v>
      </c>
      <c r="C4589" t="s">
        <v>2797</v>
      </c>
      <c r="E4589">
        <v>0.01</v>
      </c>
      <c r="F4589" t="s">
        <v>546</v>
      </c>
      <c r="G4589" s="174">
        <v>45576.460914351854</v>
      </c>
    </row>
    <row r="4590" spans="1:7">
      <c r="A4590">
        <v>4634</v>
      </c>
      <c r="B4590" t="s">
        <v>6115</v>
      </c>
      <c r="C4590" t="s">
        <v>3658</v>
      </c>
      <c r="E4590">
        <v>0.01</v>
      </c>
      <c r="F4590" t="s">
        <v>546</v>
      </c>
      <c r="G4590" s="174">
        <v>45576.460914351854</v>
      </c>
    </row>
    <row r="4591" spans="1:7">
      <c r="A4591">
        <v>4635</v>
      </c>
      <c r="B4591" t="s">
        <v>6115</v>
      </c>
      <c r="C4591" t="s">
        <v>3295</v>
      </c>
      <c r="E4591">
        <v>0.01</v>
      </c>
      <c r="F4591" t="s">
        <v>546</v>
      </c>
      <c r="G4591" s="174">
        <v>45576.460914351854</v>
      </c>
    </row>
    <row r="4592" spans="1:7">
      <c r="A4592">
        <v>4636</v>
      </c>
      <c r="B4592" t="s">
        <v>6116</v>
      </c>
      <c r="C4592" t="s">
        <v>3720</v>
      </c>
      <c r="E4592">
        <v>0.01</v>
      </c>
      <c r="F4592" t="s">
        <v>546</v>
      </c>
      <c r="G4592" s="174">
        <v>45576.460914351854</v>
      </c>
    </row>
    <row r="4593" spans="1:7">
      <c r="A4593">
        <v>4637</v>
      </c>
      <c r="B4593" t="s">
        <v>6117</v>
      </c>
      <c r="C4593" t="s">
        <v>4267</v>
      </c>
      <c r="E4593">
        <v>0.01</v>
      </c>
      <c r="F4593" t="s">
        <v>546</v>
      </c>
      <c r="G4593" s="174">
        <v>45576.460914351854</v>
      </c>
    </row>
    <row r="4594" spans="1:7">
      <c r="A4594">
        <v>4638</v>
      </c>
      <c r="B4594" t="s">
        <v>6117</v>
      </c>
      <c r="C4594" t="s">
        <v>4935</v>
      </c>
      <c r="E4594">
        <v>0.01</v>
      </c>
      <c r="F4594" t="s">
        <v>546</v>
      </c>
      <c r="G4594" s="174">
        <v>45576.460914351854</v>
      </c>
    </row>
    <row r="4595" spans="1:7">
      <c r="A4595">
        <v>4639</v>
      </c>
      <c r="B4595" t="s">
        <v>6118</v>
      </c>
      <c r="C4595" t="s">
        <v>3269</v>
      </c>
      <c r="E4595">
        <v>0.01</v>
      </c>
      <c r="F4595" t="s">
        <v>546</v>
      </c>
      <c r="G4595" s="174">
        <v>45576.460914351854</v>
      </c>
    </row>
    <row r="4596" spans="1:7">
      <c r="A4596">
        <v>4640</v>
      </c>
      <c r="B4596" t="s">
        <v>6118</v>
      </c>
      <c r="C4596" t="s">
        <v>4258</v>
      </c>
      <c r="E4596">
        <v>0.01</v>
      </c>
      <c r="F4596" t="s">
        <v>546</v>
      </c>
      <c r="G4596" s="174">
        <v>45576.460914351854</v>
      </c>
    </row>
    <row r="4597" spans="1:7">
      <c r="A4597">
        <v>4641</v>
      </c>
      <c r="B4597" t="s">
        <v>1877</v>
      </c>
      <c r="C4597" t="s">
        <v>3333</v>
      </c>
      <c r="E4597">
        <v>0.7</v>
      </c>
      <c r="F4597" t="s">
        <v>6119</v>
      </c>
      <c r="G4597" s="174">
        <v>45576.460914351854</v>
      </c>
    </row>
    <row r="4598" spans="1:7">
      <c r="A4598">
        <v>4642</v>
      </c>
      <c r="B4598" t="s">
        <v>1877</v>
      </c>
      <c r="C4598" t="s">
        <v>6120</v>
      </c>
      <c r="E4598">
        <v>0.01</v>
      </c>
      <c r="F4598" t="s">
        <v>546</v>
      </c>
      <c r="G4598" s="174">
        <v>45576.460914351854</v>
      </c>
    </row>
    <row r="4599" spans="1:7">
      <c r="A4599">
        <v>4643</v>
      </c>
      <c r="B4599" t="s">
        <v>6121</v>
      </c>
      <c r="C4599" t="s">
        <v>3346</v>
      </c>
      <c r="E4599">
        <v>0.01</v>
      </c>
      <c r="F4599" t="s">
        <v>546</v>
      </c>
      <c r="G4599" s="174">
        <v>45576.460914351854</v>
      </c>
    </row>
    <row r="4600" spans="1:7">
      <c r="A4600">
        <v>4644</v>
      </c>
      <c r="B4600" t="s">
        <v>6122</v>
      </c>
      <c r="C4600" t="s">
        <v>6123</v>
      </c>
      <c r="E4600">
        <v>0.01</v>
      </c>
      <c r="F4600" t="s">
        <v>546</v>
      </c>
      <c r="G4600" s="174">
        <v>45576.460914351854</v>
      </c>
    </row>
    <row r="4601" spans="1:7">
      <c r="A4601">
        <v>4645</v>
      </c>
      <c r="B4601" t="s">
        <v>6124</v>
      </c>
      <c r="C4601" t="s">
        <v>6125</v>
      </c>
      <c r="E4601">
        <v>0.01</v>
      </c>
      <c r="F4601" t="s">
        <v>546</v>
      </c>
      <c r="G4601" s="174">
        <v>45576.460914351854</v>
      </c>
    </row>
    <row r="4602" spans="1:7">
      <c r="A4602">
        <v>4646</v>
      </c>
      <c r="B4602" t="s">
        <v>6126</v>
      </c>
      <c r="C4602" t="s">
        <v>6127</v>
      </c>
      <c r="E4602">
        <v>0.01</v>
      </c>
      <c r="F4602" t="s">
        <v>546</v>
      </c>
      <c r="G4602" s="174">
        <v>45576.460914351854</v>
      </c>
    </row>
    <row r="4603" spans="1:7">
      <c r="A4603">
        <v>4647</v>
      </c>
      <c r="B4603" t="s">
        <v>6128</v>
      </c>
      <c r="C4603" t="s">
        <v>3333</v>
      </c>
      <c r="E4603">
        <v>0.01</v>
      </c>
      <c r="F4603" t="s">
        <v>546</v>
      </c>
      <c r="G4603" s="174">
        <v>45576.460914351854</v>
      </c>
    </row>
    <row r="4604" spans="1:7">
      <c r="A4604">
        <v>4648</v>
      </c>
      <c r="B4604" t="s">
        <v>6129</v>
      </c>
      <c r="C4604" t="s">
        <v>6130</v>
      </c>
      <c r="E4604">
        <v>0.01</v>
      </c>
      <c r="F4604" t="s">
        <v>546</v>
      </c>
      <c r="G4604" s="174">
        <v>45576.460914351854</v>
      </c>
    </row>
    <row r="4605" spans="1:7">
      <c r="A4605">
        <v>4649</v>
      </c>
      <c r="B4605" t="s">
        <v>1884</v>
      </c>
      <c r="C4605" t="s">
        <v>4470</v>
      </c>
      <c r="E4605">
        <v>0.01</v>
      </c>
      <c r="F4605" t="s">
        <v>546</v>
      </c>
      <c r="G4605" s="174">
        <v>45576.460914351854</v>
      </c>
    </row>
    <row r="4606" spans="1:7">
      <c r="A4606">
        <v>4650</v>
      </c>
      <c r="B4606" t="s">
        <v>6131</v>
      </c>
      <c r="C4606" t="s">
        <v>6132</v>
      </c>
      <c r="E4606">
        <v>0.1</v>
      </c>
      <c r="F4606" t="s">
        <v>546</v>
      </c>
      <c r="G4606" s="174">
        <v>45576.460914351854</v>
      </c>
    </row>
    <row r="4607" spans="1:7">
      <c r="A4607">
        <v>4651</v>
      </c>
      <c r="B4607" t="s">
        <v>6133</v>
      </c>
      <c r="C4607" t="s">
        <v>2748</v>
      </c>
      <c r="E4607">
        <v>0.01</v>
      </c>
      <c r="F4607" t="s">
        <v>546</v>
      </c>
      <c r="G4607" s="174">
        <v>45576.460914351854</v>
      </c>
    </row>
    <row r="4608" spans="1:7">
      <c r="A4608">
        <v>4652</v>
      </c>
      <c r="B4608" t="s">
        <v>6134</v>
      </c>
      <c r="C4608" t="s">
        <v>3218</v>
      </c>
      <c r="E4608">
        <v>0.01</v>
      </c>
      <c r="F4608" t="s">
        <v>546</v>
      </c>
      <c r="G4608" s="174">
        <v>45576.460914351854</v>
      </c>
    </row>
    <row r="4609" spans="1:7">
      <c r="A4609">
        <v>4653</v>
      </c>
      <c r="B4609" t="s">
        <v>1890</v>
      </c>
      <c r="C4609" t="s">
        <v>2788</v>
      </c>
      <c r="E4609">
        <v>0.01</v>
      </c>
      <c r="F4609" t="s">
        <v>546</v>
      </c>
      <c r="G4609" s="174">
        <v>45576.460914351854</v>
      </c>
    </row>
    <row r="4610" spans="1:7">
      <c r="A4610">
        <v>4654</v>
      </c>
      <c r="B4610" t="s">
        <v>6135</v>
      </c>
      <c r="C4610" t="s">
        <v>2744</v>
      </c>
      <c r="E4610">
        <v>0.01</v>
      </c>
      <c r="F4610" t="s">
        <v>546</v>
      </c>
      <c r="G4610" s="174">
        <v>45576.460914351854</v>
      </c>
    </row>
    <row r="4611" spans="1:7">
      <c r="A4611">
        <v>4655</v>
      </c>
      <c r="B4611" t="s">
        <v>6136</v>
      </c>
      <c r="C4611" t="s">
        <v>5406</v>
      </c>
      <c r="E4611">
        <v>0.01</v>
      </c>
      <c r="F4611" t="s">
        <v>546</v>
      </c>
      <c r="G4611" s="174">
        <v>45576.460914351854</v>
      </c>
    </row>
    <row r="4612" spans="1:7">
      <c r="A4612">
        <v>4656</v>
      </c>
      <c r="B4612" t="s">
        <v>6137</v>
      </c>
      <c r="C4612" t="s">
        <v>4037</v>
      </c>
      <c r="E4612">
        <v>0.01</v>
      </c>
      <c r="F4612" t="s">
        <v>546</v>
      </c>
      <c r="G4612" s="174">
        <v>45576.460914351854</v>
      </c>
    </row>
    <row r="4613" spans="1:7">
      <c r="A4613">
        <v>4657</v>
      </c>
      <c r="B4613" t="s">
        <v>6138</v>
      </c>
      <c r="C4613" t="s">
        <v>4570</v>
      </c>
      <c r="E4613">
        <v>0.1</v>
      </c>
      <c r="F4613" t="s">
        <v>546</v>
      </c>
      <c r="G4613" s="174">
        <v>45576.460914351854</v>
      </c>
    </row>
    <row r="4614" spans="1:7">
      <c r="A4614">
        <v>4658</v>
      </c>
      <c r="B4614" t="s">
        <v>6138</v>
      </c>
      <c r="C4614" t="s">
        <v>6139</v>
      </c>
      <c r="E4614">
        <v>0.01</v>
      </c>
      <c r="F4614" t="s">
        <v>546</v>
      </c>
      <c r="G4614" s="174">
        <v>45576.460914351854</v>
      </c>
    </row>
    <row r="4615" spans="1:7">
      <c r="A4615">
        <v>4659</v>
      </c>
      <c r="B4615" t="s">
        <v>6138</v>
      </c>
      <c r="C4615" t="s">
        <v>6140</v>
      </c>
      <c r="E4615">
        <v>0.01</v>
      </c>
      <c r="F4615" t="s">
        <v>546</v>
      </c>
      <c r="G4615" s="174">
        <v>45576.460914351854</v>
      </c>
    </row>
    <row r="4616" spans="1:7">
      <c r="A4616">
        <v>4660</v>
      </c>
      <c r="B4616" t="s">
        <v>6141</v>
      </c>
      <c r="C4616" t="s">
        <v>6142</v>
      </c>
      <c r="E4616">
        <v>0.5</v>
      </c>
      <c r="F4616" t="s">
        <v>546</v>
      </c>
      <c r="G4616" s="174">
        <v>45576.460914351854</v>
      </c>
    </row>
    <row r="4617" spans="1:7">
      <c r="A4617">
        <v>4661</v>
      </c>
      <c r="B4617" t="s">
        <v>6141</v>
      </c>
      <c r="C4617" t="s">
        <v>3986</v>
      </c>
      <c r="E4617">
        <v>0.6</v>
      </c>
      <c r="F4617" t="s">
        <v>546</v>
      </c>
      <c r="G4617" s="174">
        <v>45576.460914351854</v>
      </c>
    </row>
    <row r="4618" spans="1:7">
      <c r="A4618">
        <v>4662</v>
      </c>
      <c r="B4618" t="s">
        <v>6143</v>
      </c>
      <c r="C4618" t="s">
        <v>6144</v>
      </c>
      <c r="E4618">
        <v>0.1</v>
      </c>
      <c r="F4618" t="s">
        <v>546</v>
      </c>
      <c r="G4618" s="174">
        <v>45576.460914351854</v>
      </c>
    </row>
    <row r="4619" spans="1:7">
      <c r="A4619">
        <v>4663</v>
      </c>
      <c r="B4619" t="s">
        <v>6145</v>
      </c>
      <c r="C4619" t="s">
        <v>5430</v>
      </c>
      <c r="E4619">
        <v>0.01</v>
      </c>
      <c r="F4619" t="s">
        <v>546</v>
      </c>
      <c r="G4619" s="174">
        <v>45576.460914351854</v>
      </c>
    </row>
    <row r="4620" spans="1:7">
      <c r="A4620">
        <v>4664</v>
      </c>
      <c r="B4620" t="s">
        <v>6146</v>
      </c>
      <c r="C4620" t="s">
        <v>3374</v>
      </c>
      <c r="E4620">
        <v>0.1</v>
      </c>
      <c r="F4620" t="s">
        <v>546</v>
      </c>
      <c r="G4620" s="174">
        <v>45576.460914351854</v>
      </c>
    </row>
    <row r="4621" spans="1:7">
      <c r="A4621">
        <v>4665</v>
      </c>
      <c r="B4621" t="s">
        <v>6146</v>
      </c>
      <c r="C4621" t="s">
        <v>6147</v>
      </c>
      <c r="E4621">
        <v>0.01</v>
      </c>
      <c r="F4621" t="s">
        <v>546</v>
      </c>
      <c r="G4621" s="174">
        <v>45576.460914351854</v>
      </c>
    </row>
    <row r="4622" spans="1:7">
      <c r="A4622">
        <v>4666</v>
      </c>
      <c r="B4622" t="s">
        <v>6148</v>
      </c>
      <c r="C4622" t="s">
        <v>6149</v>
      </c>
      <c r="E4622">
        <v>0.1</v>
      </c>
      <c r="F4622" t="s">
        <v>546</v>
      </c>
      <c r="G4622" s="174">
        <v>45576.460914351854</v>
      </c>
    </row>
    <row r="4623" spans="1:7">
      <c r="A4623">
        <v>4667</v>
      </c>
      <c r="B4623" t="s">
        <v>6150</v>
      </c>
      <c r="C4623" t="s">
        <v>3007</v>
      </c>
      <c r="E4623">
        <v>0.01</v>
      </c>
      <c r="F4623" t="s">
        <v>546</v>
      </c>
      <c r="G4623" s="174">
        <v>45576.460914351854</v>
      </c>
    </row>
    <row r="4624" spans="1:7">
      <c r="A4624">
        <v>4668</v>
      </c>
      <c r="B4624" t="s">
        <v>6151</v>
      </c>
      <c r="C4624" t="s">
        <v>4914</v>
      </c>
      <c r="E4624">
        <v>0.01</v>
      </c>
      <c r="F4624" t="s">
        <v>546</v>
      </c>
      <c r="G4624" s="174">
        <v>45576.460914351854</v>
      </c>
    </row>
    <row r="4625" spans="1:7">
      <c r="A4625">
        <v>4669</v>
      </c>
      <c r="B4625" t="s">
        <v>6152</v>
      </c>
      <c r="C4625" t="s">
        <v>5635</v>
      </c>
      <c r="E4625">
        <v>0.01</v>
      </c>
      <c r="F4625" t="s">
        <v>546</v>
      </c>
      <c r="G4625" s="174">
        <v>45576.460914351854</v>
      </c>
    </row>
    <row r="4626" spans="1:7">
      <c r="A4626">
        <v>4670</v>
      </c>
      <c r="B4626" t="s">
        <v>1898</v>
      </c>
      <c r="C4626" t="s">
        <v>4880</v>
      </c>
      <c r="E4626">
        <v>0.01</v>
      </c>
      <c r="F4626" t="s">
        <v>546</v>
      </c>
      <c r="G4626" s="174">
        <v>45576.460914351854</v>
      </c>
    </row>
    <row r="4627" spans="1:7">
      <c r="A4627">
        <v>4671</v>
      </c>
      <c r="B4627" t="s">
        <v>6153</v>
      </c>
      <c r="C4627" t="s">
        <v>6154</v>
      </c>
      <c r="E4627">
        <v>0.01</v>
      </c>
      <c r="F4627" t="s">
        <v>546</v>
      </c>
      <c r="G4627" s="174">
        <v>45576.460914351854</v>
      </c>
    </row>
    <row r="4628" spans="1:7">
      <c r="A4628">
        <v>4672</v>
      </c>
      <c r="B4628" t="s">
        <v>6155</v>
      </c>
      <c r="C4628" t="s">
        <v>2976</v>
      </c>
      <c r="E4628">
        <v>0.01</v>
      </c>
      <c r="F4628" t="s">
        <v>546</v>
      </c>
      <c r="G4628" s="174">
        <v>45576.460914351854</v>
      </c>
    </row>
    <row r="4629" spans="1:7">
      <c r="A4629">
        <v>4673</v>
      </c>
      <c r="B4629" t="s">
        <v>6156</v>
      </c>
      <c r="C4629" t="s">
        <v>6123</v>
      </c>
      <c r="E4629">
        <v>0.01</v>
      </c>
      <c r="F4629" t="s">
        <v>546</v>
      </c>
      <c r="G4629" s="174">
        <v>45576.460914351854</v>
      </c>
    </row>
    <row r="4630" spans="1:7">
      <c r="A4630">
        <v>4674</v>
      </c>
      <c r="B4630" t="s">
        <v>6157</v>
      </c>
      <c r="C4630" t="s">
        <v>5633</v>
      </c>
      <c r="E4630">
        <v>0.01</v>
      </c>
      <c r="F4630" t="s">
        <v>546</v>
      </c>
      <c r="G4630" s="174">
        <v>45576.460914351854</v>
      </c>
    </row>
    <row r="4631" spans="1:7">
      <c r="A4631">
        <v>4675</v>
      </c>
      <c r="B4631" t="s">
        <v>6158</v>
      </c>
      <c r="C4631" t="s">
        <v>5612</v>
      </c>
      <c r="E4631">
        <v>0.01</v>
      </c>
      <c r="F4631" t="s">
        <v>546</v>
      </c>
      <c r="G4631" s="174">
        <v>45576.460914351854</v>
      </c>
    </row>
    <row r="4632" spans="1:7">
      <c r="A4632">
        <v>4676</v>
      </c>
      <c r="B4632" t="s">
        <v>6159</v>
      </c>
      <c r="C4632" t="s">
        <v>6144</v>
      </c>
      <c r="E4632">
        <v>0.01</v>
      </c>
      <c r="F4632" t="s">
        <v>546</v>
      </c>
      <c r="G4632" s="174">
        <v>45576.460914351854</v>
      </c>
    </row>
    <row r="4633" spans="1:7">
      <c r="A4633">
        <v>4677</v>
      </c>
      <c r="B4633" t="s">
        <v>6160</v>
      </c>
      <c r="C4633" t="s">
        <v>4420</v>
      </c>
      <c r="E4633">
        <v>0.1</v>
      </c>
      <c r="F4633" t="s">
        <v>546</v>
      </c>
      <c r="G4633" s="174">
        <v>45576.460914351854</v>
      </c>
    </row>
    <row r="4634" spans="1:7">
      <c r="A4634">
        <v>4678</v>
      </c>
      <c r="B4634" t="s">
        <v>6160</v>
      </c>
      <c r="C4634" t="s">
        <v>4597</v>
      </c>
      <c r="E4634">
        <v>0.1</v>
      </c>
      <c r="F4634" t="s">
        <v>546</v>
      </c>
      <c r="G4634" s="174">
        <v>45576.460914351854</v>
      </c>
    </row>
    <row r="4635" spans="1:7">
      <c r="A4635">
        <v>4679</v>
      </c>
      <c r="B4635" t="s">
        <v>6161</v>
      </c>
      <c r="C4635" t="s">
        <v>5485</v>
      </c>
      <c r="E4635">
        <v>0.01</v>
      </c>
      <c r="F4635" t="s">
        <v>546</v>
      </c>
      <c r="G4635" s="174">
        <v>45576.460914351854</v>
      </c>
    </row>
    <row r="4636" spans="1:7">
      <c r="A4636">
        <v>4680</v>
      </c>
      <c r="B4636" t="s">
        <v>6162</v>
      </c>
      <c r="C4636" t="s">
        <v>6163</v>
      </c>
      <c r="E4636">
        <v>0.01</v>
      </c>
      <c r="F4636" t="s">
        <v>546</v>
      </c>
      <c r="G4636" s="174">
        <v>45576.460914351854</v>
      </c>
    </row>
    <row r="4637" spans="1:7">
      <c r="A4637">
        <v>4681</v>
      </c>
      <c r="B4637" t="s">
        <v>6164</v>
      </c>
      <c r="C4637" t="s">
        <v>2460</v>
      </c>
      <c r="E4637">
        <v>0.01</v>
      </c>
      <c r="F4637" t="s">
        <v>546</v>
      </c>
      <c r="G4637" s="174">
        <v>45576.460914351854</v>
      </c>
    </row>
    <row r="4638" spans="1:7">
      <c r="A4638">
        <v>4682</v>
      </c>
      <c r="B4638" t="s">
        <v>6165</v>
      </c>
      <c r="C4638" t="s">
        <v>4755</v>
      </c>
      <c r="E4638">
        <v>0.01</v>
      </c>
      <c r="F4638" t="s">
        <v>546</v>
      </c>
      <c r="G4638" s="174">
        <v>45576.460914351854</v>
      </c>
    </row>
    <row r="4639" spans="1:7">
      <c r="A4639">
        <v>4683</v>
      </c>
      <c r="B4639" t="s">
        <v>1899</v>
      </c>
      <c r="C4639" t="s">
        <v>4365</v>
      </c>
      <c r="E4639">
        <v>0.1</v>
      </c>
      <c r="F4639" t="s">
        <v>546</v>
      </c>
      <c r="G4639" s="174">
        <v>45576.460914351854</v>
      </c>
    </row>
    <row r="4640" spans="1:7">
      <c r="A4640">
        <v>4684</v>
      </c>
      <c r="B4640" t="s">
        <v>1900</v>
      </c>
      <c r="C4640" t="s">
        <v>4557</v>
      </c>
      <c r="E4640">
        <v>0.01</v>
      </c>
      <c r="F4640" t="s">
        <v>546</v>
      </c>
      <c r="G4640" s="174">
        <v>45576.460914351854</v>
      </c>
    </row>
    <row r="4641" spans="1:7">
      <c r="A4641">
        <v>4685</v>
      </c>
      <c r="B4641" t="s">
        <v>6166</v>
      </c>
      <c r="C4641" t="s">
        <v>6167</v>
      </c>
      <c r="E4641">
        <v>0.1</v>
      </c>
      <c r="F4641" t="s">
        <v>546</v>
      </c>
      <c r="G4641" s="174">
        <v>45576.460914351854</v>
      </c>
    </row>
    <row r="4642" spans="1:7">
      <c r="A4642">
        <v>4686</v>
      </c>
      <c r="B4642" t="s">
        <v>6166</v>
      </c>
      <c r="C4642" t="s">
        <v>6168</v>
      </c>
      <c r="E4642">
        <v>0.01</v>
      </c>
      <c r="F4642" t="s">
        <v>546</v>
      </c>
      <c r="G4642" s="174">
        <v>45576.460914351854</v>
      </c>
    </row>
    <row r="4643" spans="1:7">
      <c r="A4643">
        <v>4687</v>
      </c>
      <c r="B4643" t="s">
        <v>6169</v>
      </c>
      <c r="C4643" t="s">
        <v>6170</v>
      </c>
      <c r="E4643">
        <v>0.01</v>
      </c>
      <c r="F4643" t="s">
        <v>546</v>
      </c>
      <c r="G4643" s="174">
        <v>45576.460914351854</v>
      </c>
    </row>
    <row r="4644" spans="1:7">
      <c r="A4644">
        <v>4688</v>
      </c>
      <c r="B4644" t="s">
        <v>6171</v>
      </c>
      <c r="C4644" t="s">
        <v>4826</v>
      </c>
      <c r="E4644">
        <v>0.1</v>
      </c>
      <c r="F4644" t="s">
        <v>546</v>
      </c>
      <c r="G4644" s="174">
        <v>45576.460914351854</v>
      </c>
    </row>
    <row r="4645" spans="1:7">
      <c r="A4645">
        <v>4689</v>
      </c>
      <c r="B4645" t="s">
        <v>6172</v>
      </c>
      <c r="C4645" t="s">
        <v>5061</v>
      </c>
      <c r="E4645">
        <v>0.1</v>
      </c>
      <c r="F4645" t="s">
        <v>546</v>
      </c>
      <c r="G4645" s="174">
        <v>45576.460914351854</v>
      </c>
    </row>
    <row r="4646" spans="1:7">
      <c r="A4646">
        <v>4690</v>
      </c>
      <c r="B4646" t="s">
        <v>6172</v>
      </c>
      <c r="C4646" t="s">
        <v>5062</v>
      </c>
      <c r="E4646">
        <v>0.01</v>
      </c>
      <c r="F4646" t="s">
        <v>546</v>
      </c>
      <c r="G4646" s="174">
        <v>45576.460914351854</v>
      </c>
    </row>
    <row r="4647" spans="1:7">
      <c r="A4647">
        <v>4691</v>
      </c>
      <c r="B4647" t="s">
        <v>6173</v>
      </c>
      <c r="C4647" t="s">
        <v>6123</v>
      </c>
      <c r="E4647">
        <v>0.01</v>
      </c>
      <c r="F4647" t="s">
        <v>546</v>
      </c>
      <c r="G4647" s="174">
        <v>45576.460914351854</v>
      </c>
    </row>
    <row r="4648" spans="1:7">
      <c r="A4648">
        <v>4692</v>
      </c>
      <c r="B4648" t="s">
        <v>6174</v>
      </c>
      <c r="C4648" t="s">
        <v>5318</v>
      </c>
      <c r="E4648">
        <v>0.01</v>
      </c>
      <c r="F4648" t="s">
        <v>546</v>
      </c>
      <c r="G4648" s="174">
        <v>45576.460914351854</v>
      </c>
    </row>
    <row r="4649" spans="1:7">
      <c r="A4649">
        <v>4693</v>
      </c>
      <c r="B4649" t="s">
        <v>6174</v>
      </c>
      <c r="C4649" t="s">
        <v>6175</v>
      </c>
      <c r="E4649">
        <v>0.1</v>
      </c>
      <c r="F4649" t="s">
        <v>546</v>
      </c>
      <c r="G4649" s="174">
        <v>45576.460914351854</v>
      </c>
    </row>
    <row r="4650" spans="1:7">
      <c r="A4650">
        <v>4694</v>
      </c>
      <c r="B4650" t="s">
        <v>6176</v>
      </c>
      <c r="C4650" t="s">
        <v>6177</v>
      </c>
      <c r="E4650">
        <v>0.01</v>
      </c>
      <c r="F4650" t="s">
        <v>546</v>
      </c>
      <c r="G4650" s="174">
        <v>45576.460914351854</v>
      </c>
    </row>
    <row r="4651" spans="1:7">
      <c r="A4651">
        <v>4695</v>
      </c>
      <c r="B4651" t="s">
        <v>6178</v>
      </c>
      <c r="C4651" t="s">
        <v>5104</v>
      </c>
      <c r="E4651">
        <v>0.1</v>
      </c>
      <c r="F4651" t="s">
        <v>546</v>
      </c>
      <c r="G4651" s="174">
        <v>45576.460914351854</v>
      </c>
    </row>
    <row r="4652" spans="1:7">
      <c r="A4652">
        <v>4696</v>
      </c>
      <c r="B4652" t="s">
        <v>6179</v>
      </c>
      <c r="C4652" t="s">
        <v>3705</v>
      </c>
      <c r="E4652">
        <v>0.1</v>
      </c>
      <c r="F4652" t="s">
        <v>546</v>
      </c>
      <c r="G4652" s="174">
        <v>45576.460914351854</v>
      </c>
    </row>
    <row r="4653" spans="1:7">
      <c r="A4653">
        <v>4697</v>
      </c>
      <c r="B4653" t="s">
        <v>6180</v>
      </c>
      <c r="C4653" t="s">
        <v>4762</v>
      </c>
      <c r="E4653">
        <v>0.01</v>
      </c>
      <c r="F4653" t="s">
        <v>546</v>
      </c>
      <c r="G4653" s="174">
        <v>45576.460914351854</v>
      </c>
    </row>
    <row r="4654" spans="1:7">
      <c r="A4654">
        <v>4698</v>
      </c>
      <c r="B4654" t="s">
        <v>6180</v>
      </c>
      <c r="C4654" t="s">
        <v>6181</v>
      </c>
      <c r="E4654">
        <v>0.01</v>
      </c>
      <c r="F4654" t="s">
        <v>546</v>
      </c>
      <c r="G4654" s="174">
        <v>45576.460914351854</v>
      </c>
    </row>
    <row r="4655" spans="1:7">
      <c r="A4655">
        <v>4699</v>
      </c>
      <c r="B4655" t="s">
        <v>6182</v>
      </c>
      <c r="C4655" t="s">
        <v>3175</v>
      </c>
      <c r="E4655">
        <v>0.1</v>
      </c>
      <c r="F4655" t="s">
        <v>546</v>
      </c>
      <c r="G4655" s="174">
        <v>45576.460914351854</v>
      </c>
    </row>
    <row r="4656" spans="1:7">
      <c r="A4656">
        <v>4700</v>
      </c>
      <c r="B4656" t="s">
        <v>6183</v>
      </c>
      <c r="C4656" t="s">
        <v>3527</v>
      </c>
      <c r="E4656">
        <v>0.01</v>
      </c>
      <c r="F4656" t="s">
        <v>546</v>
      </c>
      <c r="G4656" s="174">
        <v>45576.460914351854</v>
      </c>
    </row>
    <row r="4657" spans="1:7">
      <c r="A4657">
        <v>4701</v>
      </c>
      <c r="B4657" t="s">
        <v>1903</v>
      </c>
      <c r="C4657" t="s">
        <v>2791</v>
      </c>
      <c r="E4657">
        <v>0.01</v>
      </c>
      <c r="F4657" t="s">
        <v>546</v>
      </c>
      <c r="G4657" s="174">
        <v>45576.460914351854</v>
      </c>
    </row>
    <row r="4658" spans="1:7">
      <c r="A4658">
        <v>4702</v>
      </c>
      <c r="B4658" t="s">
        <v>6184</v>
      </c>
      <c r="C4658" t="s">
        <v>6185</v>
      </c>
      <c r="E4658">
        <v>0.01</v>
      </c>
      <c r="F4658" t="s">
        <v>546</v>
      </c>
      <c r="G4658" s="174">
        <v>45576.460914351854</v>
      </c>
    </row>
    <row r="4659" spans="1:7">
      <c r="A4659">
        <v>4703</v>
      </c>
      <c r="B4659" t="s">
        <v>6184</v>
      </c>
      <c r="C4659" t="s">
        <v>6186</v>
      </c>
      <c r="E4659">
        <v>0.01</v>
      </c>
      <c r="F4659" t="s">
        <v>546</v>
      </c>
      <c r="G4659" s="174">
        <v>45576.460914351854</v>
      </c>
    </row>
    <row r="4660" spans="1:7">
      <c r="A4660">
        <v>4704</v>
      </c>
      <c r="B4660" t="s">
        <v>6187</v>
      </c>
      <c r="C4660" t="s">
        <v>3510</v>
      </c>
      <c r="E4660">
        <v>0.01</v>
      </c>
      <c r="F4660" t="s">
        <v>546</v>
      </c>
      <c r="G4660" s="174">
        <v>45576.460914351854</v>
      </c>
    </row>
    <row r="4661" spans="1:7">
      <c r="A4661">
        <v>4705</v>
      </c>
      <c r="B4661" t="s">
        <v>6188</v>
      </c>
      <c r="C4661" t="s">
        <v>6189</v>
      </c>
      <c r="E4661">
        <v>0.7</v>
      </c>
      <c r="F4661" t="s">
        <v>6190</v>
      </c>
      <c r="G4661" s="174">
        <v>45576.460914351854</v>
      </c>
    </row>
    <row r="4662" spans="1:7">
      <c r="A4662">
        <v>4706</v>
      </c>
      <c r="B4662" t="s">
        <v>6188</v>
      </c>
      <c r="C4662" t="s">
        <v>6099</v>
      </c>
      <c r="E4662">
        <v>0.8</v>
      </c>
      <c r="F4662" t="s">
        <v>546</v>
      </c>
      <c r="G4662" s="174">
        <v>45576.460914351854</v>
      </c>
    </row>
    <row r="4663" spans="1:7">
      <c r="A4663">
        <v>4707</v>
      </c>
      <c r="B4663" t="s">
        <v>6188</v>
      </c>
      <c r="C4663" t="s">
        <v>6191</v>
      </c>
      <c r="E4663">
        <v>0.01</v>
      </c>
      <c r="F4663" t="s">
        <v>546</v>
      </c>
      <c r="G4663" s="174">
        <v>45576.460914351854</v>
      </c>
    </row>
    <row r="4664" spans="1:7">
      <c r="A4664">
        <v>4708</v>
      </c>
      <c r="B4664" t="s">
        <v>6188</v>
      </c>
      <c r="C4664" t="s">
        <v>3777</v>
      </c>
      <c r="E4664">
        <v>0.5</v>
      </c>
      <c r="F4664" t="s">
        <v>6192</v>
      </c>
      <c r="G4664" s="174">
        <v>45576.460914351854</v>
      </c>
    </row>
    <row r="4665" spans="1:7">
      <c r="A4665">
        <v>4709</v>
      </c>
      <c r="B4665" t="s">
        <v>6188</v>
      </c>
      <c r="C4665" t="s">
        <v>2792</v>
      </c>
      <c r="E4665">
        <v>0.6</v>
      </c>
      <c r="F4665" t="s">
        <v>6193</v>
      </c>
      <c r="G4665" s="174">
        <v>45576.460914351854</v>
      </c>
    </row>
    <row r="4666" spans="1:7">
      <c r="A4666">
        <v>4710</v>
      </c>
      <c r="B4666" t="s">
        <v>6194</v>
      </c>
      <c r="C4666" t="s">
        <v>3516</v>
      </c>
      <c r="E4666">
        <v>0.01</v>
      </c>
      <c r="F4666" t="s">
        <v>546</v>
      </c>
      <c r="G4666" s="174">
        <v>45576.460914351854</v>
      </c>
    </row>
    <row r="4667" spans="1:7">
      <c r="A4667">
        <v>4711</v>
      </c>
      <c r="B4667" t="s">
        <v>6195</v>
      </c>
      <c r="C4667" t="s">
        <v>3396</v>
      </c>
      <c r="E4667">
        <v>0.8</v>
      </c>
      <c r="F4667" t="s">
        <v>546</v>
      </c>
      <c r="G4667" s="174">
        <v>45576.460914351854</v>
      </c>
    </row>
    <row r="4668" spans="1:7">
      <c r="A4668">
        <v>4712</v>
      </c>
      <c r="B4668" t="s">
        <v>6195</v>
      </c>
      <c r="C4668" t="s">
        <v>3397</v>
      </c>
      <c r="E4668">
        <v>0.6</v>
      </c>
      <c r="F4668" t="s">
        <v>546</v>
      </c>
      <c r="G4668" s="174">
        <v>45576.460914351854</v>
      </c>
    </row>
    <row r="4669" spans="1:7">
      <c r="A4669">
        <v>4713</v>
      </c>
      <c r="B4669" t="s">
        <v>6195</v>
      </c>
      <c r="C4669" t="s">
        <v>6196</v>
      </c>
      <c r="E4669">
        <v>0.01</v>
      </c>
      <c r="F4669" t="s">
        <v>546</v>
      </c>
      <c r="G4669" s="174">
        <v>45576.460914351854</v>
      </c>
    </row>
    <row r="4670" spans="1:7">
      <c r="A4670">
        <v>4714</v>
      </c>
      <c r="B4670" t="s">
        <v>6197</v>
      </c>
      <c r="C4670" t="s">
        <v>2975</v>
      </c>
      <c r="E4670">
        <v>0.01</v>
      </c>
      <c r="F4670" t="s">
        <v>546</v>
      </c>
      <c r="G4670" s="174">
        <v>45576.460914351854</v>
      </c>
    </row>
    <row r="4671" spans="1:7">
      <c r="A4671">
        <v>4715</v>
      </c>
      <c r="B4671" t="s">
        <v>6197</v>
      </c>
      <c r="C4671" t="s">
        <v>2976</v>
      </c>
      <c r="E4671">
        <v>0.01</v>
      </c>
      <c r="F4671" t="s">
        <v>546</v>
      </c>
      <c r="G4671" s="174">
        <v>45576.460914351854</v>
      </c>
    </row>
    <row r="4672" spans="1:7">
      <c r="A4672">
        <v>4716</v>
      </c>
      <c r="B4672" t="s">
        <v>6197</v>
      </c>
      <c r="C4672" t="s">
        <v>6198</v>
      </c>
      <c r="E4672">
        <v>0.01</v>
      </c>
      <c r="F4672" t="s">
        <v>546</v>
      </c>
      <c r="G4672" s="174">
        <v>45576.460914351854</v>
      </c>
    </row>
    <row r="4673" spans="1:7">
      <c r="A4673">
        <v>4717</v>
      </c>
      <c r="B4673" t="s">
        <v>6199</v>
      </c>
      <c r="C4673" t="s">
        <v>6200</v>
      </c>
      <c r="E4673">
        <v>0.01</v>
      </c>
      <c r="F4673" t="s">
        <v>546</v>
      </c>
      <c r="G4673" s="174">
        <v>45576.460914351854</v>
      </c>
    </row>
    <row r="4674" spans="1:7">
      <c r="A4674">
        <v>4718</v>
      </c>
      <c r="B4674" t="s">
        <v>6201</v>
      </c>
      <c r="C4674" t="s">
        <v>6202</v>
      </c>
      <c r="E4674">
        <v>0.01</v>
      </c>
      <c r="F4674" t="s">
        <v>546</v>
      </c>
      <c r="G4674" s="174">
        <v>45576.460914351854</v>
      </c>
    </row>
    <row r="4675" spans="1:7">
      <c r="A4675">
        <v>4719</v>
      </c>
      <c r="B4675" t="s">
        <v>6203</v>
      </c>
      <c r="C4675" t="s">
        <v>6204</v>
      </c>
      <c r="E4675">
        <v>0.8</v>
      </c>
      <c r="F4675" t="s">
        <v>546</v>
      </c>
      <c r="G4675" s="174">
        <v>45576.460914351854</v>
      </c>
    </row>
    <row r="4676" spans="1:7">
      <c r="A4676">
        <v>4720</v>
      </c>
      <c r="B4676" t="s">
        <v>1907</v>
      </c>
      <c r="C4676" t="s">
        <v>6205</v>
      </c>
      <c r="E4676">
        <v>0.01</v>
      </c>
      <c r="F4676" t="s">
        <v>546</v>
      </c>
      <c r="G4676" s="174">
        <v>45576.460914351854</v>
      </c>
    </row>
    <row r="4677" spans="1:7">
      <c r="A4677">
        <v>4721</v>
      </c>
      <c r="B4677" t="s">
        <v>6206</v>
      </c>
      <c r="C4677" t="s">
        <v>4326</v>
      </c>
      <c r="E4677">
        <v>0.01</v>
      </c>
      <c r="F4677" t="s">
        <v>546</v>
      </c>
      <c r="G4677" s="174">
        <v>45576.460914351854</v>
      </c>
    </row>
    <row r="4678" spans="1:7">
      <c r="A4678">
        <v>4722</v>
      </c>
      <c r="B4678" t="s">
        <v>6207</v>
      </c>
      <c r="C4678" t="s">
        <v>3616</v>
      </c>
      <c r="E4678">
        <v>0.1</v>
      </c>
      <c r="F4678" t="s">
        <v>546</v>
      </c>
      <c r="G4678" s="174">
        <v>45576.460914351854</v>
      </c>
    </row>
    <row r="4679" spans="1:7">
      <c r="A4679">
        <v>4723</v>
      </c>
      <c r="B4679" t="s">
        <v>6208</v>
      </c>
      <c r="C4679" t="s">
        <v>6209</v>
      </c>
      <c r="E4679">
        <v>0.01</v>
      </c>
      <c r="F4679" t="s">
        <v>546</v>
      </c>
      <c r="G4679" s="174">
        <v>45576.460914351854</v>
      </c>
    </row>
    <row r="4680" spans="1:7">
      <c r="A4680">
        <v>4724</v>
      </c>
      <c r="B4680" t="s">
        <v>6208</v>
      </c>
      <c r="C4680" t="s">
        <v>4554</v>
      </c>
      <c r="E4680">
        <v>0.01</v>
      </c>
      <c r="F4680" t="s">
        <v>546</v>
      </c>
      <c r="G4680" s="174">
        <v>45576.460914351854</v>
      </c>
    </row>
    <row r="4681" spans="1:7">
      <c r="A4681">
        <v>4725</v>
      </c>
      <c r="B4681" t="s">
        <v>2741</v>
      </c>
      <c r="C4681" t="s">
        <v>3308</v>
      </c>
      <c r="E4681">
        <v>0.01</v>
      </c>
      <c r="F4681" t="s">
        <v>546</v>
      </c>
      <c r="G4681" s="174">
        <v>45576.460914351854</v>
      </c>
    </row>
    <row r="4682" spans="1:7">
      <c r="A4682">
        <v>4726</v>
      </c>
      <c r="B4682" t="s">
        <v>6210</v>
      </c>
      <c r="C4682" t="s">
        <v>4650</v>
      </c>
      <c r="E4682">
        <v>0.01</v>
      </c>
      <c r="F4682" t="s">
        <v>546</v>
      </c>
      <c r="G4682" s="174">
        <v>45576.460914351854</v>
      </c>
    </row>
    <row r="4683" spans="1:7">
      <c r="A4683">
        <v>4727</v>
      </c>
      <c r="B4683" t="s">
        <v>6210</v>
      </c>
      <c r="C4683" t="s">
        <v>4651</v>
      </c>
      <c r="E4683">
        <v>0.01</v>
      </c>
      <c r="F4683" t="s">
        <v>546</v>
      </c>
      <c r="G4683" s="174">
        <v>45576.460914351854</v>
      </c>
    </row>
    <row r="4684" spans="1:7">
      <c r="A4684">
        <v>4728</v>
      </c>
      <c r="B4684" t="s">
        <v>6211</v>
      </c>
      <c r="C4684" t="s">
        <v>3432</v>
      </c>
      <c r="E4684">
        <v>0.05</v>
      </c>
      <c r="F4684" t="s">
        <v>546</v>
      </c>
      <c r="G4684" s="174">
        <v>45576.460914351854</v>
      </c>
    </row>
    <row r="4685" spans="1:7">
      <c r="A4685">
        <v>4729</v>
      </c>
      <c r="B4685" t="s">
        <v>6211</v>
      </c>
      <c r="C4685" t="s">
        <v>5238</v>
      </c>
      <c r="E4685">
        <v>0.01</v>
      </c>
      <c r="F4685" t="s">
        <v>546</v>
      </c>
      <c r="G4685" s="174">
        <v>45576.460914351854</v>
      </c>
    </row>
    <row r="4686" spans="1:7">
      <c r="A4686">
        <v>4730</v>
      </c>
      <c r="B4686" t="s">
        <v>6212</v>
      </c>
      <c r="C4686" t="s">
        <v>4393</v>
      </c>
      <c r="E4686">
        <v>0.8</v>
      </c>
      <c r="F4686" t="s">
        <v>546</v>
      </c>
      <c r="G4686" s="174">
        <v>45576.460914351854</v>
      </c>
    </row>
    <row r="4687" spans="1:7">
      <c r="A4687">
        <v>4731</v>
      </c>
      <c r="B4687" t="s">
        <v>6212</v>
      </c>
      <c r="C4687" t="s">
        <v>5570</v>
      </c>
      <c r="E4687">
        <v>0.01</v>
      </c>
      <c r="F4687" t="s">
        <v>546</v>
      </c>
      <c r="G4687" s="174">
        <v>45576.460914351854</v>
      </c>
    </row>
    <row r="4688" spans="1:7">
      <c r="A4688">
        <v>4732</v>
      </c>
      <c r="B4688" t="s">
        <v>6213</v>
      </c>
      <c r="C4688" t="s">
        <v>4733</v>
      </c>
      <c r="E4688">
        <v>0.1</v>
      </c>
      <c r="F4688" t="s">
        <v>546</v>
      </c>
      <c r="G4688" s="174">
        <v>45576.460914351854</v>
      </c>
    </row>
    <row r="4689" spans="1:7">
      <c r="A4689">
        <v>4733</v>
      </c>
      <c r="B4689" t="s">
        <v>6214</v>
      </c>
      <c r="C4689" t="s">
        <v>3792</v>
      </c>
      <c r="E4689">
        <v>0.01</v>
      </c>
      <c r="F4689" t="s">
        <v>546</v>
      </c>
      <c r="G4689" s="174">
        <v>45576.460914351854</v>
      </c>
    </row>
    <row r="4690" spans="1:7">
      <c r="A4690">
        <v>4734</v>
      </c>
      <c r="B4690" t="s">
        <v>6215</v>
      </c>
      <c r="C4690" t="s">
        <v>2901</v>
      </c>
      <c r="E4690">
        <v>0.01</v>
      </c>
      <c r="F4690" t="s">
        <v>546</v>
      </c>
      <c r="G4690" s="174">
        <v>45576.460914351854</v>
      </c>
    </row>
    <row r="4691" spans="1:7">
      <c r="A4691">
        <v>4735</v>
      </c>
      <c r="B4691" t="s">
        <v>6216</v>
      </c>
      <c r="C4691" t="s">
        <v>4722</v>
      </c>
      <c r="E4691">
        <v>0.1</v>
      </c>
      <c r="F4691" t="s">
        <v>546</v>
      </c>
      <c r="G4691" s="174">
        <v>45576.460914351854</v>
      </c>
    </row>
    <row r="4692" spans="1:7">
      <c r="A4692">
        <v>4736</v>
      </c>
      <c r="B4692" t="s">
        <v>6217</v>
      </c>
      <c r="C4692" t="s">
        <v>6218</v>
      </c>
      <c r="E4692">
        <v>0.01</v>
      </c>
      <c r="F4692" t="s">
        <v>546</v>
      </c>
      <c r="G4692" s="174">
        <v>45576.460914351854</v>
      </c>
    </row>
    <row r="4693" spans="1:7">
      <c r="A4693">
        <v>4737</v>
      </c>
      <c r="B4693" t="s">
        <v>1917</v>
      </c>
      <c r="C4693" t="s">
        <v>2921</v>
      </c>
      <c r="E4693">
        <v>0.01</v>
      </c>
      <c r="F4693" t="s">
        <v>546</v>
      </c>
      <c r="G4693" s="174">
        <v>45576.460914351854</v>
      </c>
    </row>
    <row r="4694" spans="1:7">
      <c r="A4694">
        <v>4738</v>
      </c>
      <c r="B4694" t="s">
        <v>6219</v>
      </c>
      <c r="C4694" t="s">
        <v>4443</v>
      </c>
      <c r="E4694">
        <v>0.01</v>
      </c>
      <c r="F4694" t="s">
        <v>546</v>
      </c>
      <c r="G4694" s="174">
        <v>45576.460914351854</v>
      </c>
    </row>
    <row r="4695" spans="1:7">
      <c r="A4695">
        <v>4739</v>
      </c>
      <c r="B4695" t="s">
        <v>6220</v>
      </c>
      <c r="C4695" t="s">
        <v>2935</v>
      </c>
      <c r="E4695">
        <v>0.01</v>
      </c>
      <c r="F4695" t="s">
        <v>546</v>
      </c>
      <c r="G4695" s="174">
        <v>45576.460914351854</v>
      </c>
    </row>
    <row r="4696" spans="1:7">
      <c r="A4696">
        <v>4740</v>
      </c>
      <c r="B4696" t="s">
        <v>6221</v>
      </c>
      <c r="C4696" t="s">
        <v>4880</v>
      </c>
      <c r="E4696">
        <v>0.01</v>
      </c>
      <c r="F4696" t="s">
        <v>546</v>
      </c>
      <c r="G4696" s="174">
        <v>45576.460914351854</v>
      </c>
    </row>
    <row r="4697" spans="1:7">
      <c r="A4697">
        <v>4741</v>
      </c>
      <c r="B4697" t="s">
        <v>6222</v>
      </c>
      <c r="C4697" t="s">
        <v>6223</v>
      </c>
      <c r="E4697">
        <v>0.01</v>
      </c>
      <c r="F4697" t="s">
        <v>546</v>
      </c>
      <c r="G4697" s="174">
        <v>45576.460914351854</v>
      </c>
    </row>
    <row r="4698" spans="1:7">
      <c r="A4698">
        <v>4742</v>
      </c>
      <c r="B4698" t="s">
        <v>6222</v>
      </c>
      <c r="C4698" t="s">
        <v>6224</v>
      </c>
      <c r="E4698">
        <v>0.01</v>
      </c>
      <c r="F4698" t="s">
        <v>546</v>
      </c>
      <c r="G4698" s="174">
        <v>45576.460914351854</v>
      </c>
    </row>
    <row r="4699" spans="1:7">
      <c r="A4699">
        <v>4743</v>
      </c>
      <c r="B4699" t="s">
        <v>6225</v>
      </c>
      <c r="C4699" t="s">
        <v>4818</v>
      </c>
      <c r="E4699">
        <v>0.1</v>
      </c>
      <c r="F4699" t="s">
        <v>546</v>
      </c>
      <c r="G4699" s="174">
        <v>45576.460914351854</v>
      </c>
    </row>
    <row r="4700" spans="1:7">
      <c r="A4700">
        <v>4744</v>
      </c>
      <c r="B4700" t="s">
        <v>6226</v>
      </c>
      <c r="C4700" t="s">
        <v>5019</v>
      </c>
      <c r="E4700">
        <v>0.01</v>
      </c>
      <c r="F4700" t="s">
        <v>546</v>
      </c>
      <c r="G4700" s="174">
        <v>45576.460914351854</v>
      </c>
    </row>
    <row r="4701" spans="1:7">
      <c r="A4701">
        <v>4745</v>
      </c>
      <c r="B4701" t="s">
        <v>6227</v>
      </c>
      <c r="C4701" t="s">
        <v>3397</v>
      </c>
      <c r="E4701">
        <v>0.1</v>
      </c>
      <c r="F4701" t="s">
        <v>546</v>
      </c>
      <c r="G4701" s="174">
        <v>45576.460914351854</v>
      </c>
    </row>
    <row r="4702" spans="1:7">
      <c r="A4702">
        <v>4746</v>
      </c>
      <c r="B4702" t="s">
        <v>6228</v>
      </c>
      <c r="C4702" t="s">
        <v>2769</v>
      </c>
      <c r="E4702">
        <v>0.01</v>
      </c>
      <c r="F4702" t="s">
        <v>546</v>
      </c>
      <c r="G4702" s="174">
        <v>45576.460914351854</v>
      </c>
    </row>
    <row r="4703" spans="1:7">
      <c r="A4703">
        <v>4747</v>
      </c>
      <c r="B4703" t="s">
        <v>6229</v>
      </c>
      <c r="C4703" t="s">
        <v>3204</v>
      </c>
      <c r="E4703">
        <v>0.01</v>
      </c>
      <c r="F4703" t="s">
        <v>546</v>
      </c>
      <c r="G4703" s="174">
        <v>45576.460914351854</v>
      </c>
    </row>
    <row r="4704" spans="1:7">
      <c r="A4704">
        <v>4748</v>
      </c>
      <c r="B4704" t="s">
        <v>6230</v>
      </c>
      <c r="C4704" t="s">
        <v>3050</v>
      </c>
      <c r="E4704">
        <v>0.01</v>
      </c>
      <c r="F4704" t="s">
        <v>546</v>
      </c>
      <c r="G4704" s="174">
        <v>45576.460914351854</v>
      </c>
    </row>
    <row r="4705" spans="1:7">
      <c r="A4705">
        <v>4749</v>
      </c>
      <c r="B4705" t="s">
        <v>6230</v>
      </c>
      <c r="C4705" t="s">
        <v>3457</v>
      </c>
      <c r="E4705">
        <v>0.01</v>
      </c>
      <c r="F4705" t="s">
        <v>546</v>
      </c>
      <c r="G4705" s="174">
        <v>45576.460914351854</v>
      </c>
    </row>
    <row r="4706" spans="1:7">
      <c r="A4706">
        <v>4750</v>
      </c>
      <c r="B4706" t="s">
        <v>1920</v>
      </c>
      <c r="C4706" t="s">
        <v>6231</v>
      </c>
      <c r="E4706">
        <v>0.01</v>
      </c>
      <c r="F4706" t="s">
        <v>546</v>
      </c>
      <c r="G4706" s="174">
        <v>45576.460914351854</v>
      </c>
    </row>
    <row r="4707" spans="1:7">
      <c r="A4707">
        <v>4751</v>
      </c>
      <c r="B4707" t="s">
        <v>6232</v>
      </c>
      <c r="C4707" t="s">
        <v>4694</v>
      </c>
      <c r="E4707">
        <v>0.1</v>
      </c>
      <c r="F4707" t="s">
        <v>546</v>
      </c>
      <c r="G4707" s="174">
        <v>45576.460914351854</v>
      </c>
    </row>
    <row r="4708" spans="1:7">
      <c r="A4708">
        <v>4752</v>
      </c>
      <c r="B4708" t="s">
        <v>6233</v>
      </c>
      <c r="C4708" t="s">
        <v>1299</v>
      </c>
      <c r="E4708">
        <v>0.01</v>
      </c>
      <c r="F4708" t="s">
        <v>546</v>
      </c>
      <c r="G4708" s="174">
        <v>45576.460914351854</v>
      </c>
    </row>
    <row r="4709" spans="1:7">
      <c r="A4709">
        <v>4753</v>
      </c>
      <c r="B4709" t="s">
        <v>6234</v>
      </c>
      <c r="C4709" t="s">
        <v>6235</v>
      </c>
      <c r="E4709">
        <v>0.1</v>
      </c>
      <c r="F4709" t="s">
        <v>546</v>
      </c>
      <c r="G4709" s="174">
        <v>45576.460914351854</v>
      </c>
    </row>
    <row r="4710" spans="1:7">
      <c r="A4710">
        <v>4754</v>
      </c>
      <c r="B4710" t="s">
        <v>6234</v>
      </c>
      <c r="C4710" t="s">
        <v>6236</v>
      </c>
      <c r="E4710">
        <v>0.01</v>
      </c>
      <c r="F4710" t="s">
        <v>546</v>
      </c>
      <c r="G4710" s="174">
        <v>45576.460914351854</v>
      </c>
    </row>
    <row r="4711" spans="1:7">
      <c r="A4711">
        <v>4755</v>
      </c>
      <c r="B4711" t="s">
        <v>6237</v>
      </c>
      <c r="C4711" t="s">
        <v>6238</v>
      </c>
      <c r="E4711">
        <v>0.01</v>
      </c>
      <c r="F4711" t="s">
        <v>546</v>
      </c>
      <c r="G4711" s="174">
        <v>45576.460914351854</v>
      </c>
    </row>
    <row r="4712" spans="1:7">
      <c r="A4712">
        <v>4756</v>
      </c>
      <c r="B4712" t="s">
        <v>1925</v>
      </c>
      <c r="C4712" t="s">
        <v>6239</v>
      </c>
      <c r="E4712">
        <v>0.01</v>
      </c>
      <c r="F4712" t="s">
        <v>546</v>
      </c>
      <c r="G4712" s="174">
        <v>45576.460914351854</v>
      </c>
    </row>
    <row r="4713" spans="1:7">
      <c r="A4713">
        <v>4757</v>
      </c>
      <c r="B4713" t="s">
        <v>6240</v>
      </c>
      <c r="C4713" t="s">
        <v>2803</v>
      </c>
      <c r="E4713">
        <v>0.01</v>
      </c>
      <c r="F4713" t="s">
        <v>546</v>
      </c>
      <c r="G4713" s="174">
        <v>45576.460914351854</v>
      </c>
    </row>
    <row r="4714" spans="1:7">
      <c r="A4714">
        <v>4758</v>
      </c>
      <c r="B4714" t="s">
        <v>6241</v>
      </c>
      <c r="C4714" t="s">
        <v>4188</v>
      </c>
      <c r="E4714">
        <v>0.01</v>
      </c>
      <c r="F4714" t="s">
        <v>546</v>
      </c>
      <c r="G4714" s="174">
        <v>45576.460914351854</v>
      </c>
    </row>
    <row r="4715" spans="1:7">
      <c r="A4715">
        <v>4759</v>
      </c>
      <c r="B4715" t="s">
        <v>6242</v>
      </c>
      <c r="C4715" t="s">
        <v>2958</v>
      </c>
      <c r="E4715">
        <v>0.01</v>
      </c>
      <c r="F4715" t="s">
        <v>546</v>
      </c>
      <c r="G4715" s="174">
        <v>45576.460914351854</v>
      </c>
    </row>
    <row r="4716" spans="1:7">
      <c r="A4716">
        <v>4760</v>
      </c>
      <c r="B4716" t="s">
        <v>6243</v>
      </c>
      <c r="C4716" t="s">
        <v>6244</v>
      </c>
      <c r="E4716">
        <v>0.01</v>
      </c>
      <c r="F4716" t="s">
        <v>546</v>
      </c>
      <c r="G4716" s="174">
        <v>45576.460914351854</v>
      </c>
    </row>
    <row r="4717" spans="1:7">
      <c r="A4717">
        <v>4761</v>
      </c>
      <c r="B4717" t="s">
        <v>6243</v>
      </c>
      <c r="C4717" t="s">
        <v>3029</v>
      </c>
      <c r="E4717">
        <v>0.01</v>
      </c>
      <c r="F4717" t="s">
        <v>546</v>
      </c>
      <c r="G4717" s="174">
        <v>45576.460914351854</v>
      </c>
    </row>
    <row r="4718" spans="1:7">
      <c r="A4718">
        <v>4762</v>
      </c>
      <c r="B4718" t="s">
        <v>1928</v>
      </c>
      <c r="C4718" t="s">
        <v>4354</v>
      </c>
      <c r="E4718">
        <v>0.6</v>
      </c>
      <c r="F4718" t="s">
        <v>546</v>
      </c>
      <c r="G4718" s="174">
        <v>45576.460914351854</v>
      </c>
    </row>
    <row r="4719" spans="1:7">
      <c r="A4719">
        <v>4763</v>
      </c>
      <c r="B4719" t="s">
        <v>6245</v>
      </c>
      <c r="C4719" t="s">
        <v>5646</v>
      </c>
      <c r="E4719">
        <v>0.01</v>
      </c>
      <c r="F4719" t="s">
        <v>546</v>
      </c>
      <c r="G4719" s="174">
        <v>45576.460914351854</v>
      </c>
    </row>
    <row r="4720" spans="1:7">
      <c r="A4720">
        <v>4764</v>
      </c>
      <c r="B4720" t="s">
        <v>6246</v>
      </c>
      <c r="C4720" t="s">
        <v>2814</v>
      </c>
      <c r="E4720">
        <v>0.1</v>
      </c>
      <c r="F4720" t="s">
        <v>546</v>
      </c>
      <c r="G4720" s="174">
        <v>45576.460914351854</v>
      </c>
    </row>
    <row r="4721" spans="1:7">
      <c r="A4721">
        <v>4765</v>
      </c>
      <c r="B4721" t="s">
        <v>6247</v>
      </c>
      <c r="C4721" t="s">
        <v>2948</v>
      </c>
      <c r="E4721">
        <v>0.01</v>
      </c>
      <c r="F4721" t="s">
        <v>546</v>
      </c>
      <c r="G4721" s="174">
        <v>45576.460914351854</v>
      </c>
    </row>
    <row r="4722" spans="1:7">
      <c r="A4722">
        <v>4766</v>
      </c>
      <c r="B4722" t="s">
        <v>6248</v>
      </c>
      <c r="C4722" t="s">
        <v>4694</v>
      </c>
      <c r="E4722">
        <v>0.01</v>
      </c>
      <c r="F4722" t="s">
        <v>546</v>
      </c>
      <c r="G4722" s="174">
        <v>45576.460914351854</v>
      </c>
    </row>
    <row r="4723" spans="1:7">
      <c r="A4723">
        <v>4767</v>
      </c>
      <c r="B4723" t="s">
        <v>6249</v>
      </c>
      <c r="C4723" t="s">
        <v>2796</v>
      </c>
      <c r="E4723">
        <v>0.01</v>
      </c>
      <c r="F4723" t="s">
        <v>546</v>
      </c>
      <c r="G4723" s="174">
        <v>45576.460914351854</v>
      </c>
    </row>
    <row r="4724" spans="1:7">
      <c r="A4724">
        <v>4768</v>
      </c>
      <c r="B4724" t="s">
        <v>6250</v>
      </c>
      <c r="C4724" t="s">
        <v>5134</v>
      </c>
      <c r="E4724">
        <v>0.01</v>
      </c>
      <c r="F4724" t="s">
        <v>546</v>
      </c>
      <c r="G4724" s="174">
        <v>45576.460914351854</v>
      </c>
    </row>
    <row r="4725" spans="1:7">
      <c r="A4725">
        <v>4769</v>
      </c>
      <c r="B4725" t="s">
        <v>6251</v>
      </c>
      <c r="C4725" t="s">
        <v>3400</v>
      </c>
      <c r="E4725">
        <v>0.01</v>
      </c>
      <c r="F4725" t="s">
        <v>546</v>
      </c>
      <c r="G4725" s="174">
        <v>45576.460914351854</v>
      </c>
    </row>
    <row r="4726" spans="1:7">
      <c r="A4726">
        <v>4770</v>
      </c>
      <c r="B4726" t="s">
        <v>6252</v>
      </c>
      <c r="C4726" t="s">
        <v>4005</v>
      </c>
      <c r="E4726">
        <v>0.01</v>
      </c>
      <c r="F4726" t="s">
        <v>546</v>
      </c>
      <c r="G4726" s="174">
        <v>45576.460914351854</v>
      </c>
    </row>
    <row r="4727" spans="1:7">
      <c r="A4727">
        <v>4771</v>
      </c>
      <c r="B4727" t="s">
        <v>6253</v>
      </c>
      <c r="C4727" t="s">
        <v>3943</v>
      </c>
      <c r="E4727">
        <v>0.01</v>
      </c>
      <c r="F4727" t="s">
        <v>546</v>
      </c>
      <c r="G4727" s="174">
        <v>45576.460914351854</v>
      </c>
    </row>
    <row r="4728" spans="1:7">
      <c r="A4728">
        <v>4772</v>
      </c>
      <c r="B4728" t="s">
        <v>2742</v>
      </c>
      <c r="C4728" t="s">
        <v>3308</v>
      </c>
      <c r="E4728">
        <v>0.01</v>
      </c>
      <c r="F4728" t="s">
        <v>546</v>
      </c>
      <c r="G4728" s="174">
        <v>45576.460914351854</v>
      </c>
    </row>
    <row r="4729" spans="1:7">
      <c r="A4729">
        <v>4773</v>
      </c>
      <c r="B4729" t="s">
        <v>6254</v>
      </c>
      <c r="C4729" t="s">
        <v>6255</v>
      </c>
      <c r="E4729">
        <v>0.01</v>
      </c>
      <c r="F4729" t="s">
        <v>546</v>
      </c>
      <c r="G4729" s="174">
        <v>45576.460914351854</v>
      </c>
    </row>
    <row r="4730" spans="1:7">
      <c r="A4730">
        <v>4774</v>
      </c>
      <c r="B4730" t="s">
        <v>6256</v>
      </c>
      <c r="C4730" t="s">
        <v>3090</v>
      </c>
      <c r="E4730">
        <v>0.01</v>
      </c>
      <c r="F4730" t="s">
        <v>546</v>
      </c>
      <c r="G4730" s="174">
        <v>45576.460914351854</v>
      </c>
    </row>
    <row r="4731" spans="1:7">
      <c r="A4731">
        <v>4775</v>
      </c>
      <c r="B4731" t="s">
        <v>6257</v>
      </c>
      <c r="C4731" t="s">
        <v>6258</v>
      </c>
      <c r="E4731">
        <v>0.01</v>
      </c>
      <c r="F4731" t="s">
        <v>546</v>
      </c>
      <c r="G4731" s="174">
        <v>45576.460914351854</v>
      </c>
    </row>
    <row r="4732" spans="1:7">
      <c r="A4732">
        <v>4776</v>
      </c>
      <c r="B4732" t="s">
        <v>1933</v>
      </c>
      <c r="C4732" t="s">
        <v>3043</v>
      </c>
      <c r="E4732">
        <v>0.8</v>
      </c>
      <c r="F4732" t="s">
        <v>546</v>
      </c>
      <c r="G4732" s="174">
        <v>45576.460914351854</v>
      </c>
    </row>
    <row r="4733" spans="1:7">
      <c r="A4733">
        <v>4777</v>
      </c>
      <c r="B4733" t="s">
        <v>1933</v>
      </c>
      <c r="C4733" t="s">
        <v>4727</v>
      </c>
      <c r="E4733">
        <v>0.7</v>
      </c>
      <c r="F4733" t="s">
        <v>546</v>
      </c>
      <c r="G4733" s="174">
        <v>45576.460914351854</v>
      </c>
    </row>
    <row r="4734" spans="1:7">
      <c r="A4734">
        <v>4778</v>
      </c>
      <c r="B4734" t="s">
        <v>1933</v>
      </c>
      <c r="C4734" t="s">
        <v>6259</v>
      </c>
      <c r="E4734">
        <v>0.6</v>
      </c>
      <c r="F4734" t="s">
        <v>546</v>
      </c>
      <c r="G4734" s="174">
        <v>45576.460914351854</v>
      </c>
    </row>
    <row r="4735" spans="1:7">
      <c r="A4735">
        <v>4779</v>
      </c>
      <c r="B4735" t="s">
        <v>1933</v>
      </c>
      <c r="C4735" t="s">
        <v>6260</v>
      </c>
      <c r="E4735">
        <v>0.5</v>
      </c>
      <c r="F4735" t="s">
        <v>546</v>
      </c>
      <c r="G4735" s="174">
        <v>45576.460914351854</v>
      </c>
    </row>
    <row r="4736" spans="1:7">
      <c r="A4736">
        <v>4780</v>
      </c>
      <c r="B4736" t="s">
        <v>6261</v>
      </c>
      <c r="C4736" t="s">
        <v>4138</v>
      </c>
      <c r="E4736">
        <v>0.01</v>
      </c>
      <c r="F4736" t="s">
        <v>546</v>
      </c>
      <c r="G4736" s="174">
        <v>45576.460914351854</v>
      </c>
    </row>
    <row r="4737" spans="1:7">
      <c r="A4737">
        <v>4781</v>
      </c>
      <c r="B4737" t="s">
        <v>6262</v>
      </c>
      <c r="C4737" t="s">
        <v>2841</v>
      </c>
      <c r="E4737">
        <v>0.01</v>
      </c>
      <c r="F4737" t="s">
        <v>546</v>
      </c>
      <c r="G4737" s="174">
        <v>45576.460914351854</v>
      </c>
    </row>
    <row r="4738" spans="1:7">
      <c r="A4738">
        <v>4782</v>
      </c>
      <c r="B4738" t="s">
        <v>6263</v>
      </c>
      <c r="C4738" t="s">
        <v>3630</v>
      </c>
      <c r="E4738">
        <v>0.01</v>
      </c>
      <c r="F4738" t="s">
        <v>546</v>
      </c>
      <c r="G4738" s="174">
        <v>45576.460914351854</v>
      </c>
    </row>
    <row r="4739" spans="1:7">
      <c r="A4739">
        <v>4783</v>
      </c>
      <c r="B4739" t="s">
        <v>6264</v>
      </c>
      <c r="C4739" t="s">
        <v>5303</v>
      </c>
      <c r="E4739">
        <v>0.01</v>
      </c>
      <c r="F4739" t="s">
        <v>546</v>
      </c>
      <c r="G4739" s="174">
        <v>45576.460914351854</v>
      </c>
    </row>
    <row r="4740" spans="1:7">
      <c r="A4740">
        <v>4784</v>
      </c>
      <c r="B4740" t="s">
        <v>1935</v>
      </c>
      <c r="C4740" t="s">
        <v>4411</v>
      </c>
      <c r="E4740">
        <v>0.01</v>
      </c>
      <c r="F4740" t="s">
        <v>546</v>
      </c>
      <c r="G4740" s="174">
        <v>45576.460914351854</v>
      </c>
    </row>
    <row r="4741" spans="1:7">
      <c r="A4741">
        <v>4785</v>
      </c>
      <c r="B4741" t="s">
        <v>6265</v>
      </c>
      <c r="C4741" t="s">
        <v>3270</v>
      </c>
      <c r="E4741">
        <v>0.01</v>
      </c>
      <c r="F4741" t="s">
        <v>546</v>
      </c>
      <c r="G4741" s="174">
        <v>45576.460914351854</v>
      </c>
    </row>
    <row r="4742" spans="1:7">
      <c r="A4742">
        <v>4786</v>
      </c>
      <c r="B4742" t="s">
        <v>6266</v>
      </c>
      <c r="C4742" t="s">
        <v>3143</v>
      </c>
      <c r="E4742">
        <v>0.01</v>
      </c>
      <c r="F4742" t="s">
        <v>546</v>
      </c>
      <c r="G4742" s="174">
        <v>45576.460914351854</v>
      </c>
    </row>
    <row r="4743" spans="1:7">
      <c r="A4743">
        <v>4787</v>
      </c>
      <c r="B4743" t="s">
        <v>6267</v>
      </c>
      <c r="C4743" t="s">
        <v>3885</v>
      </c>
      <c r="E4743">
        <v>0.01</v>
      </c>
      <c r="F4743" t="s">
        <v>546</v>
      </c>
      <c r="G4743" s="174">
        <v>45576.460914351854</v>
      </c>
    </row>
    <row r="4744" spans="1:7">
      <c r="A4744">
        <v>4788</v>
      </c>
      <c r="B4744" t="s">
        <v>6268</v>
      </c>
      <c r="C4744" t="s">
        <v>2986</v>
      </c>
      <c r="E4744">
        <v>0.01</v>
      </c>
      <c r="F4744" t="s">
        <v>546</v>
      </c>
      <c r="G4744" s="174">
        <v>45576.460914351854</v>
      </c>
    </row>
    <row r="4745" spans="1:7">
      <c r="A4745">
        <v>4789</v>
      </c>
      <c r="B4745" t="s">
        <v>6269</v>
      </c>
      <c r="C4745" t="s">
        <v>6270</v>
      </c>
      <c r="E4745">
        <v>0.01</v>
      </c>
      <c r="F4745" t="s">
        <v>546</v>
      </c>
      <c r="G4745" s="174">
        <v>45576.460914351854</v>
      </c>
    </row>
    <row r="4746" spans="1:7">
      <c r="A4746">
        <v>4790</v>
      </c>
      <c r="B4746" t="s">
        <v>6269</v>
      </c>
      <c r="C4746" t="s">
        <v>3742</v>
      </c>
      <c r="E4746">
        <v>0.01</v>
      </c>
      <c r="F4746" t="s">
        <v>546</v>
      </c>
      <c r="G4746" s="174">
        <v>45576.460914351854</v>
      </c>
    </row>
    <row r="4747" spans="1:7">
      <c r="A4747">
        <v>4791</v>
      </c>
      <c r="B4747" t="s">
        <v>6271</v>
      </c>
      <c r="C4747" t="s">
        <v>3327</v>
      </c>
      <c r="E4747">
        <v>0.01</v>
      </c>
      <c r="F4747" t="s">
        <v>546</v>
      </c>
      <c r="G4747" s="174">
        <v>45576.460914351854</v>
      </c>
    </row>
    <row r="4748" spans="1:7">
      <c r="A4748">
        <v>4792</v>
      </c>
      <c r="B4748" t="s">
        <v>6272</v>
      </c>
      <c r="C4748" t="s">
        <v>3781</v>
      </c>
      <c r="E4748">
        <v>0.01</v>
      </c>
      <c r="F4748" t="s">
        <v>546</v>
      </c>
      <c r="G4748" s="174">
        <v>45576.460914351854</v>
      </c>
    </row>
    <row r="4749" spans="1:7">
      <c r="A4749">
        <v>4793</v>
      </c>
      <c r="B4749" t="s">
        <v>1939</v>
      </c>
      <c r="C4749" t="s">
        <v>6273</v>
      </c>
      <c r="E4749">
        <v>0.01</v>
      </c>
      <c r="F4749" t="s">
        <v>546</v>
      </c>
      <c r="G4749" s="174">
        <v>45576.460914351854</v>
      </c>
    </row>
    <row r="4750" spans="1:7">
      <c r="A4750">
        <v>4794</v>
      </c>
      <c r="B4750" t="s">
        <v>6274</v>
      </c>
      <c r="C4750" t="s">
        <v>3621</v>
      </c>
      <c r="E4750">
        <v>0.01</v>
      </c>
      <c r="F4750" t="s">
        <v>546</v>
      </c>
      <c r="G4750" s="174">
        <v>45576.460914351854</v>
      </c>
    </row>
    <row r="4751" spans="1:7">
      <c r="A4751">
        <v>4795</v>
      </c>
      <c r="B4751" t="s">
        <v>1941</v>
      </c>
      <c r="C4751" t="s">
        <v>3980</v>
      </c>
      <c r="E4751">
        <v>0.01</v>
      </c>
      <c r="F4751" t="s">
        <v>546</v>
      </c>
      <c r="G4751" s="174">
        <v>45576.460914351854</v>
      </c>
    </row>
    <row r="4752" spans="1:7">
      <c r="A4752">
        <v>4796</v>
      </c>
      <c r="B4752" t="s">
        <v>6275</v>
      </c>
      <c r="C4752" t="s">
        <v>2769</v>
      </c>
      <c r="E4752">
        <v>0.01</v>
      </c>
      <c r="F4752" t="s">
        <v>546</v>
      </c>
      <c r="G4752" s="174">
        <v>45576.460914351854</v>
      </c>
    </row>
    <row r="4753" spans="1:7">
      <c r="A4753">
        <v>4797</v>
      </c>
      <c r="B4753" t="s">
        <v>6275</v>
      </c>
      <c r="C4753" t="s">
        <v>4506</v>
      </c>
      <c r="E4753">
        <v>0.01</v>
      </c>
      <c r="F4753" t="s">
        <v>546</v>
      </c>
      <c r="G4753" s="174">
        <v>45576.460914351854</v>
      </c>
    </row>
    <row r="4754" spans="1:7">
      <c r="A4754">
        <v>4798</v>
      </c>
      <c r="B4754" t="s">
        <v>6276</v>
      </c>
      <c r="C4754" t="s">
        <v>5046</v>
      </c>
      <c r="E4754">
        <v>0.7</v>
      </c>
      <c r="F4754" t="s">
        <v>546</v>
      </c>
      <c r="G4754" s="174">
        <v>45576.460914351854</v>
      </c>
    </row>
    <row r="4755" spans="1:7">
      <c r="A4755">
        <v>4799</v>
      </c>
      <c r="B4755" t="s">
        <v>6277</v>
      </c>
      <c r="C4755" t="s">
        <v>3889</v>
      </c>
      <c r="E4755">
        <v>0.01</v>
      </c>
      <c r="F4755" t="s">
        <v>546</v>
      </c>
      <c r="G4755" s="174">
        <v>45576.460914351854</v>
      </c>
    </row>
    <row r="4756" spans="1:7">
      <c r="A4756">
        <v>4800</v>
      </c>
      <c r="B4756" t="s">
        <v>6278</v>
      </c>
      <c r="C4756" t="s">
        <v>6279</v>
      </c>
      <c r="E4756">
        <v>0.01</v>
      </c>
      <c r="F4756" t="s">
        <v>546</v>
      </c>
      <c r="G4756" s="174">
        <v>45576.460914351854</v>
      </c>
    </row>
    <row r="4757" spans="1:7">
      <c r="A4757">
        <v>4801</v>
      </c>
      <c r="B4757" t="s">
        <v>6280</v>
      </c>
      <c r="C4757" t="s">
        <v>3649</v>
      </c>
      <c r="E4757">
        <v>0.01</v>
      </c>
      <c r="F4757" t="s">
        <v>546</v>
      </c>
      <c r="G4757" s="174">
        <v>45576.460914351854</v>
      </c>
    </row>
    <row r="4758" spans="1:7">
      <c r="A4758">
        <v>4802</v>
      </c>
      <c r="B4758" t="s">
        <v>6281</v>
      </c>
      <c r="C4758" t="s">
        <v>5943</v>
      </c>
      <c r="E4758">
        <v>0.1</v>
      </c>
      <c r="F4758" t="s">
        <v>546</v>
      </c>
      <c r="G4758" s="174">
        <v>45576.460914351854</v>
      </c>
    </row>
    <row r="4759" spans="1:7">
      <c r="A4759">
        <v>4803</v>
      </c>
      <c r="B4759" t="s">
        <v>6282</v>
      </c>
      <c r="C4759" t="s">
        <v>6283</v>
      </c>
      <c r="E4759">
        <v>0.01</v>
      </c>
      <c r="F4759" t="s">
        <v>546</v>
      </c>
      <c r="G4759" s="174">
        <v>45576.460914351854</v>
      </c>
    </row>
    <row r="4760" spans="1:7">
      <c r="A4760">
        <v>4804</v>
      </c>
      <c r="B4760" t="s">
        <v>6284</v>
      </c>
      <c r="C4760" t="s">
        <v>4506</v>
      </c>
      <c r="E4760">
        <v>0.01</v>
      </c>
      <c r="F4760" t="s">
        <v>546</v>
      </c>
      <c r="G4760" s="174">
        <v>45576.460914351854</v>
      </c>
    </row>
    <row r="4761" spans="1:7">
      <c r="A4761">
        <v>4805</v>
      </c>
      <c r="B4761" t="s">
        <v>6285</v>
      </c>
      <c r="C4761" t="s">
        <v>2894</v>
      </c>
      <c r="E4761">
        <v>0.01</v>
      </c>
      <c r="F4761" t="s">
        <v>546</v>
      </c>
      <c r="G4761" s="174">
        <v>45576.460914351854</v>
      </c>
    </row>
    <row r="4762" spans="1:7">
      <c r="A4762">
        <v>4806</v>
      </c>
      <c r="B4762" t="s">
        <v>6285</v>
      </c>
      <c r="C4762" t="s">
        <v>6286</v>
      </c>
      <c r="E4762">
        <v>0.01</v>
      </c>
      <c r="F4762" t="s">
        <v>546</v>
      </c>
      <c r="G4762" s="174">
        <v>45576.460914351854</v>
      </c>
    </row>
    <row r="4763" spans="1:7">
      <c r="A4763">
        <v>4807</v>
      </c>
      <c r="B4763" t="s">
        <v>6287</v>
      </c>
      <c r="C4763" t="s">
        <v>5867</v>
      </c>
      <c r="E4763">
        <v>0.01</v>
      </c>
      <c r="F4763" t="s">
        <v>546</v>
      </c>
      <c r="G4763" s="174">
        <v>45576.460914351854</v>
      </c>
    </row>
    <row r="4764" spans="1:7">
      <c r="A4764">
        <v>4808</v>
      </c>
      <c r="B4764" t="s">
        <v>6288</v>
      </c>
      <c r="C4764" t="s">
        <v>6289</v>
      </c>
      <c r="E4764">
        <v>0.01</v>
      </c>
      <c r="F4764" t="s">
        <v>546</v>
      </c>
      <c r="G4764" s="174">
        <v>45576.460914351854</v>
      </c>
    </row>
    <row r="4765" spans="1:7">
      <c r="A4765">
        <v>4809</v>
      </c>
      <c r="B4765" t="s">
        <v>6290</v>
      </c>
      <c r="C4765" t="s">
        <v>3294</v>
      </c>
      <c r="E4765">
        <v>0.01</v>
      </c>
      <c r="F4765" t="s">
        <v>546</v>
      </c>
      <c r="G4765" s="174">
        <v>45576.460914351854</v>
      </c>
    </row>
    <row r="4766" spans="1:7">
      <c r="A4766">
        <v>4810</v>
      </c>
      <c r="B4766" t="s">
        <v>6291</v>
      </c>
      <c r="C4766" t="s">
        <v>6292</v>
      </c>
      <c r="E4766">
        <v>0.01</v>
      </c>
      <c r="F4766" t="s">
        <v>546</v>
      </c>
      <c r="G4766" s="174">
        <v>45576.460914351854</v>
      </c>
    </row>
    <row r="4767" spans="1:7">
      <c r="A4767">
        <v>4811</v>
      </c>
      <c r="B4767" t="s">
        <v>6293</v>
      </c>
      <c r="C4767" t="s">
        <v>3779</v>
      </c>
      <c r="E4767">
        <v>0.01</v>
      </c>
      <c r="F4767" t="s">
        <v>546</v>
      </c>
      <c r="G4767" s="174">
        <v>45576.460914351854</v>
      </c>
    </row>
    <row r="4768" spans="1:7">
      <c r="A4768">
        <v>4812</v>
      </c>
      <c r="B4768" t="s">
        <v>6294</v>
      </c>
      <c r="C4768" t="s">
        <v>3989</v>
      </c>
      <c r="E4768">
        <v>0.01</v>
      </c>
      <c r="F4768" t="s">
        <v>546</v>
      </c>
      <c r="G4768" s="174">
        <v>45576.460914351854</v>
      </c>
    </row>
    <row r="4769" spans="1:7">
      <c r="A4769">
        <v>4813</v>
      </c>
      <c r="B4769" t="s">
        <v>6295</v>
      </c>
      <c r="C4769" t="s">
        <v>4483</v>
      </c>
      <c r="E4769">
        <v>0.01</v>
      </c>
      <c r="F4769" t="s">
        <v>546</v>
      </c>
      <c r="G4769" s="174">
        <v>45576.460914351854</v>
      </c>
    </row>
    <row r="4770" spans="1:7">
      <c r="A4770">
        <v>4814</v>
      </c>
      <c r="B4770" t="s">
        <v>6296</v>
      </c>
      <c r="C4770" t="s">
        <v>3339</v>
      </c>
      <c r="E4770">
        <v>0.01</v>
      </c>
      <c r="F4770" t="s">
        <v>546</v>
      </c>
      <c r="G4770" s="174">
        <v>45576.460914351854</v>
      </c>
    </row>
    <row r="4771" spans="1:7">
      <c r="A4771">
        <v>4815</v>
      </c>
      <c r="B4771" t="s">
        <v>6297</v>
      </c>
      <c r="C4771" t="s">
        <v>2875</v>
      </c>
      <c r="E4771">
        <v>0.01</v>
      </c>
      <c r="F4771" t="s">
        <v>546</v>
      </c>
      <c r="G4771" s="174">
        <v>45576.460914351854</v>
      </c>
    </row>
    <row r="4772" spans="1:7">
      <c r="A4772">
        <v>4816</v>
      </c>
      <c r="B4772" t="s">
        <v>1944</v>
      </c>
      <c r="C4772" t="s">
        <v>6298</v>
      </c>
      <c r="E4772">
        <v>0.01</v>
      </c>
      <c r="F4772" t="s">
        <v>546</v>
      </c>
      <c r="G4772" s="174">
        <v>45576.460914351854</v>
      </c>
    </row>
    <row r="4773" spans="1:7">
      <c r="A4773">
        <v>4817</v>
      </c>
      <c r="B4773" t="s">
        <v>6299</v>
      </c>
      <c r="C4773" t="s">
        <v>5588</v>
      </c>
      <c r="E4773">
        <v>0.01</v>
      </c>
      <c r="F4773" t="s">
        <v>546</v>
      </c>
      <c r="G4773" s="174">
        <v>45576.460914351854</v>
      </c>
    </row>
    <row r="4774" spans="1:7">
      <c r="A4774">
        <v>4818</v>
      </c>
      <c r="B4774" t="s">
        <v>6300</v>
      </c>
      <c r="C4774" t="s">
        <v>3658</v>
      </c>
      <c r="E4774">
        <v>0.01</v>
      </c>
      <c r="F4774" t="s">
        <v>546</v>
      </c>
      <c r="G4774" s="174">
        <v>45576.460914351854</v>
      </c>
    </row>
    <row r="4775" spans="1:7">
      <c r="A4775">
        <v>4819</v>
      </c>
      <c r="B4775" t="s">
        <v>1945</v>
      </c>
      <c r="C4775" t="s">
        <v>3698</v>
      </c>
      <c r="E4775">
        <v>0.8</v>
      </c>
      <c r="F4775" t="s">
        <v>546</v>
      </c>
      <c r="G4775" s="174">
        <v>45576.460914351854</v>
      </c>
    </row>
    <row r="4776" spans="1:7">
      <c r="A4776">
        <v>4820</v>
      </c>
      <c r="B4776" t="s">
        <v>1945</v>
      </c>
      <c r="C4776" t="s">
        <v>6301</v>
      </c>
      <c r="E4776">
        <v>0.05</v>
      </c>
      <c r="F4776" t="s">
        <v>546</v>
      </c>
      <c r="G4776" s="174">
        <v>45576.460914351854</v>
      </c>
    </row>
    <row r="4777" spans="1:7">
      <c r="A4777">
        <v>4821</v>
      </c>
      <c r="B4777" t="s">
        <v>6302</v>
      </c>
      <c r="C4777" t="s">
        <v>3785</v>
      </c>
      <c r="E4777">
        <v>0.01</v>
      </c>
      <c r="F4777" t="s">
        <v>546</v>
      </c>
      <c r="G4777" s="174">
        <v>45576.460914351854</v>
      </c>
    </row>
    <row r="4778" spans="1:7">
      <c r="A4778">
        <v>4822</v>
      </c>
      <c r="B4778" t="s">
        <v>6303</v>
      </c>
      <c r="C4778" t="s">
        <v>2981</v>
      </c>
      <c r="E4778">
        <v>0.01</v>
      </c>
      <c r="F4778" t="s">
        <v>546</v>
      </c>
      <c r="G4778" s="174">
        <v>45576.460914351854</v>
      </c>
    </row>
    <row r="4779" spans="1:7">
      <c r="A4779">
        <v>4823</v>
      </c>
      <c r="B4779" t="s">
        <v>6304</v>
      </c>
      <c r="C4779" t="s">
        <v>3879</v>
      </c>
      <c r="E4779">
        <v>0.01</v>
      </c>
      <c r="F4779" t="s">
        <v>546</v>
      </c>
      <c r="G4779" s="174">
        <v>45576.460914351854</v>
      </c>
    </row>
    <row r="4780" spans="1:7">
      <c r="A4780">
        <v>4824</v>
      </c>
      <c r="B4780" t="s">
        <v>6304</v>
      </c>
      <c r="C4780" t="s">
        <v>6305</v>
      </c>
      <c r="E4780">
        <v>0.01</v>
      </c>
      <c r="F4780" t="s">
        <v>546</v>
      </c>
      <c r="G4780" s="174">
        <v>45576.460914351854</v>
      </c>
    </row>
    <row r="4781" spans="1:7">
      <c r="A4781">
        <v>4825</v>
      </c>
      <c r="B4781" t="s">
        <v>6306</v>
      </c>
      <c r="C4781" t="s">
        <v>5525</v>
      </c>
      <c r="E4781">
        <v>0.01</v>
      </c>
      <c r="F4781" t="s">
        <v>546</v>
      </c>
      <c r="G4781" s="174">
        <v>45576.460914351854</v>
      </c>
    </row>
    <row r="4782" spans="1:7">
      <c r="A4782">
        <v>4826</v>
      </c>
      <c r="B4782" t="s">
        <v>6307</v>
      </c>
      <c r="C4782" t="s">
        <v>3704</v>
      </c>
      <c r="E4782">
        <v>0.01</v>
      </c>
      <c r="F4782" t="s">
        <v>546</v>
      </c>
      <c r="G4782" s="174">
        <v>45576.460914351854</v>
      </c>
    </row>
    <row r="4783" spans="1:7">
      <c r="A4783">
        <v>4827</v>
      </c>
      <c r="B4783" t="s">
        <v>6307</v>
      </c>
      <c r="C4783" t="s">
        <v>1848</v>
      </c>
      <c r="E4783">
        <v>0.1</v>
      </c>
      <c r="F4783" t="s">
        <v>546</v>
      </c>
      <c r="G4783" s="174">
        <v>45576.460914351854</v>
      </c>
    </row>
    <row r="4784" spans="1:7">
      <c r="A4784">
        <v>4828</v>
      </c>
      <c r="B4784" t="s">
        <v>6308</v>
      </c>
      <c r="C4784" t="s">
        <v>6309</v>
      </c>
      <c r="E4784">
        <v>1</v>
      </c>
      <c r="F4784" t="s">
        <v>546</v>
      </c>
      <c r="G4784" s="174">
        <v>45576.460914351854</v>
      </c>
    </row>
    <row r="4785" spans="1:7">
      <c r="A4785">
        <v>4829</v>
      </c>
      <c r="B4785" t="s">
        <v>6308</v>
      </c>
      <c r="C4785" t="s">
        <v>3580</v>
      </c>
      <c r="E4785">
        <v>0.01</v>
      </c>
      <c r="F4785" t="s">
        <v>546</v>
      </c>
      <c r="G4785" s="174">
        <v>45576.460914351854</v>
      </c>
    </row>
    <row r="4786" spans="1:7">
      <c r="A4786">
        <v>4830</v>
      </c>
      <c r="B4786" t="s">
        <v>6310</v>
      </c>
      <c r="C4786" t="s">
        <v>4610</v>
      </c>
      <c r="E4786">
        <v>0.01</v>
      </c>
      <c r="F4786" t="s">
        <v>546</v>
      </c>
      <c r="G4786" s="174">
        <v>45576.460914351854</v>
      </c>
    </row>
    <row r="4787" spans="1:7">
      <c r="A4787">
        <v>4831</v>
      </c>
      <c r="B4787" t="s">
        <v>6311</v>
      </c>
      <c r="C4787" t="s">
        <v>3366</v>
      </c>
      <c r="E4787">
        <v>0.01</v>
      </c>
      <c r="F4787" t="s">
        <v>546</v>
      </c>
      <c r="G4787" s="174">
        <v>45576.460914351854</v>
      </c>
    </row>
    <row r="4788" spans="1:7">
      <c r="A4788">
        <v>4832</v>
      </c>
      <c r="B4788" t="s">
        <v>6312</v>
      </c>
      <c r="C4788" t="s">
        <v>4830</v>
      </c>
      <c r="E4788">
        <v>0.01</v>
      </c>
      <c r="F4788" t="s">
        <v>546</v>
      </c>
      <c r="G4788" s="174">
        <v>45576.460914351854</v>
      </c>
    </row>
    <row r="4789" spans="1:7">
      <c r="A4789">
        <v>4833</v>
      </c>
      <c r="B4789" t="s">
        <v>6313</v>
      </c>
      <c r="C4789" t="s">
        <v>5648</v>
      </c>
      <c r="E4789">
        <v>0.8</v>
      </c>
      <c r="F4789" t="s">
        <v>546</v>
      </c>
      <c r="G4789" s="174">
        <v>45576.460914351854</v>
      </c>
    </row>
    <row r="4790" spans="1:7">
      <c r="A4790">
        <v>4834</v>
      </c>
      <c r="B4790" t="s">
        <v>6314</v>
      </c>
      <c r="C4790" t="s">
        <v>6315</v>
      </c>
      <c r="E4790">
        <v>0.01</v>
      </c>
      <c r="F4790" t="s">
        <v>546</v>
      </c>
      <c r="G4790" s="174">
        <v>45576.460914351854</v>
      </c>
    </row>
    <row r="4791" spans="1:7">
      <c r="A4791">
        <v>4835</v>
      </c>
      <c r="B4791" t="s">
        <v>1950</v>
      </c>
      <c r="C4791" t="s">
        <v>3966</v>
      </c>
      <c r="E4791">
        <v>1</v>
      </c>
      <c r="F4791" t="s">
        <v>546</v>
      </c>
      <c r="G4791" s="174">
        <v>45576.460914351854</v>
      </c>
    </row>
    <row r="4792" spans="1:7">
      <c r="A4792">
        <v>4836</v>
      </c>
      <c r="B4792" t="s">
        <v>6316</v>
      </c>
      <c r="C4792" t="s">
        <v>4364</v>
      </c>
      <c r="E4792">
        <v>1</v>
      </c>
      <c r="F4792" t="s">
        <v>546</v>
      </c>
      <c r="G4792" s="174">
        <v>45576.460914351854</v>
      </c>
    </row>
    <row r="4793" spans="1:7">
      <c r="A4793">
        <v>4837</v>
      </c>
      <c r="B4793" t="s">
        <v>6317</v>
      </c>
      <c r="C4793" t="s">
        <v>4096</v>
      </c>
      <c r="E4793">
        <v>0.01</v>
      </c>
      <c r="F4793" t="s">
        <v>546</v>
      </c>
      <c r="G4793" s="174">
        <v>45576.460914351854</v>
      </c>
    </row>
    <row r="4794" spans="1:7">
      <c r="A4794">
        <v>4838</v>
      </c>
      <c r="B4794" t="s">
        <v>6318</v>
      </c>
      <c r="C4794" t="s">
        <v>3083</v>
      </c>
      <c r="E4794">
        <v>0.01</v>
      </c>
      <c r="F4794" t="s">
        <v>546</v>
      </c>
      <c r="G4794" s="174">
        <v>45576.460914351854</v>
      </c>
    </row>
    <row r="4795" spans="1:7">
      <c r="A4795">
        <v>4839</v>
      </c>
      <c r="B4795" t="s">
        <v>6319</v>
      </c>
      <c r="C4795" t="s">
        <v>6320</v>
      </c>
      <c r="E4795">
        <v>0.01</v>
      </c>
      <c r="F4795" t="s">
        <v>546</v>
      </c>
      <c r="G4795" s="174">
        <v>45576.460914351854</v>
      </c>
    </row>
    <row r="4796" spans="1:7">
      <c r="A4796">
        <v>4840</v>
      </c>
      <c r="B4796" t="s">
        <v>6321</v>
      </c>
      <c r="C4796" t="s">
        <v>5422</v>
      </c>
      <c r="E4796">
        <v>0.6</v>
      </c>
      <c r="F4796" t="s">
        <v>546</v>
      </c>
      <c r="G4796" s="174">
        <v>45576.460914351854</v>
      </c>
    </row>
    <row r="4797" spans="1:7">
      <c r="A4797">
        <v>4841</v>
      </c>
      <c r="B4797" t="s">
        <v>1952</v>
      </c>
      <c r="C4797" t="s">
        <v>3400</v>
      </c>
      <c r="E4797">
        <v>0.01</v>
      </c>
      <c r="F4797" t="s">
        <v>546</v>
      </c>
      <c r="G4797" s="174">
        <v>45576.460914351854</v>
      </c>
    </row>
    <row r="4798" spans="1:7">
      <c r="A4798">
        <v>4842</v>
      </c>
      <c r="B4798" t="s">
        <v>6322</v>
      </c>
      <c r="C4798" t="s">
        <v>2884</v>
      </c>
      <c r="E4798">
        <v>0.1</v>
      </c>
      <c r="F4798" t="s">
        <v>546</v>
      </c>
      <c r="G4798" s="174">
        <v>45576.460914351854</v>
      </c>
    </row>
    <row r="4799" spans="1:7">
      <c r="A4799">
        <v>4843</v>
      </c>
      <c r="B4799" t="s">
        <v>1955</v>
      </c>
      <c r="C4799" t="s">
        <v>2801</v>
      </c>
      <c r="E4799">
        <v>0.1</v>
      </c>
      <c r="F4799" t="s">
        <v>546</v>
      </c>
      <c r="G4799" s="174">
        <v>45576.460914351854</v>
      </c>
    </row>
    <row r="4800" spans="1:7">
      <c r="A4800">
        <v>4844</v>
      </c>
      <c r="B4800" t="s">
        <v>6323</v>
      </c>
      <c r="C4800" t="s">
        <v>5164</v>
      </c>
      <c r="E4800">
        <v>0.01</v>
      </c>
      <c r="F4800" t="s">
        <v>546</v>
      </c>
      <c r="G4800" s="174">
        <v>45576.460914351854</v>
      </c>
    </row>
    <row r="4801" spans="1:7">
      <c r="A4801">
        <v>4845</v>
      </c>
      <c r="B4801" t="s">
        <v>6324</v>
      </c>
      <c r="C4801" t="s">
        <v>6325</v>
      </c>
      <c r="E4801">
        <v>0.01</v>
      </c>
      <c r="F4801" t="s">
        <v>546</v>
      </c>
      <c r="G4801" s="174">
        <v>45576.460914351854</v>
      </c>
    </row>
    <row r="4802" spans="1:7">
      <c r="A4802">
        <v>4846</v>
      </c>
      <c r="B4802" t="s">
        <v>6324</v>
      </c>
      <c r="C4802" t="s">
        <v>6326</v>
      </c>
      <c r="E4802">
        <v>0.01</v>
      </c>
      <c r="F4802" t="s">
        <v>546</v>
      </c>
      <c r="G4802" s="174">
        <v>45576.460914351854</v>
      </c>
    </row>
    <row r="4803" spans="1:7">
      <c r="A4803">
        <v>4847</v>
      </c>
      <c r="B4803" t="s">
        <v>6327</v>
      </c>
      <c r="C4803" t="s">
        <v>4255</v>
      </c>
      <c r="E4803">
        <v>0.01</v>
      </c>
      <c r="F4803" t="s">
        <v>546</v>
      </c>
      <c r="G4803" s="174">
        <v>45576.460914351854</v>
      </c>
    </row>
    <row r="4804" spans="1:7">
      <c r="A4804">
        <v>4848</v>
      </c>
      <c r="B4804" t="s">
        <v>6327</v>
      </c>
      <c r="C4804" t="s">
        <v>4258</v>
      </c>
      <c r="E4804">
        <v>0.01</v>
      </c>
      <c r="F4804" t="s">
        <v>546</v>
      </c>
      <c r="G4804" s="174">
        <v>45576.460914351854</v>
      </c>
    </row>
    <row r="4805" spans="1:7">
      <c r="A4805">
        <v>4849</v>
      </c>
      <c r="B4805" t="s">
        <v>1956</v>
      </c>
      <c r="C4805" t="s">
        <v>5123</v>
      </c>
      <c r="E4805">
        <v>0.01</v>
      </c>
      <c r="F4805" t="s">
        <v>546</v>
      </c>
      <c r="G4805" s="174">
        <v>45576.460914351854</v>
      </c>
    </row>
    <row r="4806" spans="1:7">
      <c r="A4806">
        <v>4850</v>
      </c>
      <c r="B4806" t="s">
        <v>6328</v>
      </c>
      <c r="C4806" t="s">
        <v>6329</v>
      </c>
      <c r="E4806">
        <v>0.01</v>
      </c>
      <c r="F4806" t="s">
        <v>546</v>
      </c>
      <c r="G4806" s="174">
        <v>45576.460914351854</v>
      </c>
    </row>
    <row r="4807" spans="1:7">
      <c r="A4807">
        <v>4851</v>
      </c>
      <c r="B4807" t="s">
        <v>6328</v>
      </c>
      <c r="C4807" t="s">
        <v>3422</v>
      </c>
      <c r="E4807">
        <v>0.05</v>
      </c>
      <c r="F4807" t="s">
        <v>546</v>
      </c>
      <c r="G4807" s="174">
        <v>45576.460914351854</v>
      </c>
    </row>
    <row r="4808" spans="1:7">
      <c r="A4808">
        <v>4852</v>
      </c>
      <c r="B4808" t="s">
        <v>6330</v>
      </c>
      <c r="C4808" t="s">
        <v>4843</v>
      </c>
      <c r="E4808">
        <v>0.01</v>
      </c>
      <c r="F4808" t="s">
        <v>546</v>
      </c>
      <c r="G4808" s="174">
        <v>45576.460914351854</v>
      </c>
    </row>
    <row r="4809" spans="1:7">
      <c r="A4809">
        <v>4853</v>
      </c>
      <c r="B4809" t="s">
        <v>6331</v>
      </c>
      <c r="C4809" t="s">
        <v>4583</v>
      </c>
      <c r="E4809">
        <v>0.01</v>
      </c>
      <c r="F4809" t="s">
        <v>546</v>
      </c>
      <c r="G4809" s="174">
        <v>45576.460914351854</v>
      </c>
    </row>
    <row r="4810" spans="1:7">
      <c r="A4810">
        <v>4854</v>
      </c>
      <c r="B4810" t="s">
        <v>6332</v>
      </c>
      <c r="C4810" t="s">
        <v>3527</v>
      </c>
      <c r="E4810">
        <v>0.01</v>
      </c>
      <c r="F4810" t="s">
        <v>546</v>
      </c>
      <c r="G4810" s="174">
        <v>45576.460914351854</v>
      </c>
    </row>
    <row r="4811" spans="1:7">
      <c r="A4811">
        <v>4855</v>
      </c>
      <c r="B4811" t="s">
        <v>6333</v>
      </c>
      <c r="C4811" t="s">
        <v>4716</v>
      </c>
      <c r="E4811">
        <v>0.01</v>
      </c>
      <c r="F4811" t="s">
        <v>546</v>
      </c>
      <c r="G4811" s="174">
        <v>45576.460914351854</v>
      </c>
    </row>
    <row r="4812" spans="1:7">
      <c r="A4812">
        <v>4856</v>
      </c>
      <c r="B4812" t="s">
        <v>6334</v>
      </c>
      <c r="C4812" t="s">
        <v>5733</v>
      </c>
      <c r="E4812">
        <v>0.01</v>
      </c>
      <c r="F4812" t="s">
        <v>546</v>
      </c>
      <c r="G4812" s="174">
        <v>45576.460914351854</v>
      </c>
    </row>
    <row r="4813" spans="1:7">
      <c r="A4813">
        <v>4857</v>
      </c>
      <c r="B4813" t="s">
        <v>1958</v>
      </c>
      <c r="C4813" t="s">
        <v>6335</v>
      </c>
      <c r="E4813">
        <v>0.5</v>
      </c>
      <c r="F4813" t="s">
        <v>546</v>
      </c>
      <c r="G4813" s="174">
        <v>45576.460914351854</v>
      </c>
    </row>
    <row r="4814" spans="1:7">
      <c r="A4814">
        <v>4858</v>
      </c>
      <c r="B4814" t="s">
        <v>1958</v>
      </c>
      <c r="C4814" t="s">
        <v>4505</v>
      </c>
      <c r="E4814">
        <v>0.01</v>
      </c>
      <c r="F4814" t="s">
        <v>546</v>
      </c>
      <c r="G4814" s="174">
        <v>45576.460914351854</v>
      </c>
    </row>
    <row r="4815" spans="1:7">
      <c r="A4815">
        <v>4859</v>
      </c>
      <c r="B4815" t="s">
        <v>1958</v>
      </c>
      <c r="C4815" t="s">
        <v>4506</v>
      </c>
      <c r="E4815">
        <v>0.8</v>
      </c>
      <c r="F4815" t="s">
        <v>546</v>
      </c>
      <c r="G4815" s="174">
        <v>45576.460914351854</v>
      </c>
    </row>
    <row r="4816" spans="1:7">
      <c r="A4816">
        <v>4860</v>
      </c>
      <c r="B4816" t="s">
        <v>1961</v>
      </c>
      <c r="C4816" t="s">
        <v>6336</v>
      </c>
      <c r="E4816">
        <v>0.6</v>
      </c>
      <c r="F4816" t="s">
        <v>546</v>
      </c>
      <c r="G4816" s="174">
        <v>45576.460914351854</v>
      </c>
    </row>
    <row r="4817" spans="1:7">
      <c r="A4817">
        <v>4861</v>
      </c>
      <c r="B4817" t="s">
        <v>6337</v>
      </c>
      <c r="C4817" t="s">
        <v>6338</v>
      </c>
      <c r="E4817">
        <v>0.01</v>
      </c>
      <c r="F4817" t="s">
        <v>546</v>
      </c>
      <c r="G4817" s="174">
        <v>45576.460914351854</v>
      </c>
    </row>
    <row r="4818" spans="1:7">
      <c r="A4818">
        <v>4862</v>
      </c>
      <c r="B4818" t="s">
        <v>1963</v>
      </c>
      <c r="C4818" t="s">
        <v>4431</v>
      </c>
      <c r="E4818">
        <v>0.01</v>
      </c>
      <c r="F4818" t="s">
        <v>546</v>
      </c>
      <c r="G4818" s="174">
        <v>45576.460914351854</v>
      </c>
    </row>
    <row r="4819" spans="1:7">
      <c r="A4819">
        <v>4863</v>
      </c>
      <c r="B4819" t="s">
        <v>6339</v>
      </c>
      <c r="C4819" t="s">
        <v>4227</v>
      </c>
      <c r="E4819">
        <v>0.01</v>
      </c>
      <c r="F4819" t="s">
        <v>546</v>
      </c>
      <c r="G4819" s="174">
        <v>45576.460914351854</v>
      </c>
    </row>
    <row r="4820" spans="1:7">
      <c r="A4820">
        <v>4864</v>
      </c>
      <c r="B4820" t="s">
        <v>1964</v>
      </c>
      <c r="C4820" t="s">
        <v>6340</v>
      </c>
      <c r="E4820">
        <v>0.01</v>
      </c>
      <c r="F4820" t="s">
        <v>546</v>
      </c>
      <c r="G4820" s="174">
        <v>45576.460914351854</v>
      </c>
    </row>
    <row r="4821" spans="1:7">
      <c r="A4821">
        <v>4865</v>
      </c>
      <c r="B4821" t="s">
        <v>6341</v>
      </c>
      <c r="C4821" t="s">
        <v>3968</v>
      </c>
      <c r="E4821">
        <v>0.01</v>
      </c>
      <c r="F4821" t="s">
        <v>546</v>
      </c>
      <c r="G4821" s="174">
        <v>45576.460914351854</v>
      </c>
    </row>
    <row r="4822" spans="1:7">
      <c r="A4822">
        <v>4866</v>
      </c>
      <c r="B4822" t="s">
        <v>6342</v>
      </c>
      <c r="C4822" t="s">
        <v>3023</v>
      </c>
      <c r="E4822">
        <v>0.01</v>
      </c>
      <c r="F4822" t="s">
        <v>546</v>
      </c>
      <c r="G4822" s="174">
        <v>45576.460914351854</v>
      </c>
    </row>
    <row r="4823" spans="1:7">
      <c r="A4823">
        <v>4867</v>
      </c>
      <c r="B4823" t="s">
        <v>6343</v>
      </c>
      <c r="C4823" t="s">
        <v>3586</v>
      </c>
      <c r="E4823">
        <v>0.01</v>
      </c>
      <c r="F4823" t="s">
        <v>546</v>
      </c>
      <c r="G4823" s="174">
        <v>45576.460914351854</v>
      </c>
    </row>
    <row r="4824" spans="1:7">
      <c r="A4824">
        <v>4868</v>
      </c>
      <c r="B4824" t="s">
        <v>6344</v>
      </c>
      <c r="C4824" t="s">
        <v>5615</v>
      </c>
      <c r="E4824">
        <v>0.01</v>
      </c>
      <c r="F4824" t="s">
        <v>546</v>
      </c>
      <c r="G4824" s="174">
        <v>45576.460914351854</v>
      </c>
    </row>
    <row r="4825" spans="1:7">
      <c r="A4825">
        <v>4869</v>
      </c>
      <c r="B4825" t="s">
        <v>6344</v>
      </c>
      <c r="C4825" t="s">
        <v>6345</v>
      </c>
      <c r="E4825">
        <v>0.01</v>
      </c>
      <c r="F4825" t="s">
        <v>546</v>
      </c>
      <c r="G4825" s="174">
        <v>45576.460914351854</v>
      </c>
    </row>
    <row r="4826" spans="1:7">
      <c r="A4826">
        <v>4870</v>
      </c>
      <c r="B4826" t="s">
        <v>6346</v>
      </c>
      <c r="C4826" t="s">
        <v>2911</v>
      </c>
      <c r="E4826">
        <v>0.01</v>
      </c>
      <c r="F4826" t="s">
        <v>546</v>
      </c>
      <c r="G4826" s="174">
        <v>45576.460914351854</v>
      </c>
    </row>
    <row r="4827" spans="1:7">
      <c r="A4827">
        <v>4871</v>
      </c>
      <c r="B4827" t="s">
        <v>6347</v>
      </c>
      <c r="C4827" t="s">
        <v>4326</v>
      </c>
      <c r="E4827">
        <v>0.01</v>
      </c>
      <c r="F4827" t="s">
        <v>546</v>
      </c>
      <c r="G4827" s="174">
        <v>45576.460914351854</v>
      </c>
    </row>
    <row r="4828" spans="1:7">
      <c r="A4828">
        <v>4872</v>
      </c>
      <c r="B4828" t="s">
        <v>6348</v>
      </c>
      <c r="C4828" t="s">
        <v>4391</v>
      </c>
      <c r="E4828">
        <v>0.01</v>
      </c>
      <c r="F4828" t="s">
        <v>546</v>
      </c>
      <c r="G4828" s="174">
        <v>45576.460914351854</v>
      </c>
    </row>
    <row r="4829" spans="1:7">
      <c r="A4829">
        <v>4873</v>
      </c>
      <c r="B4829" t="s">
        <v>6348</v>
      </c>
      <c r="C4829" t="s">
        <v>4610</v>
      </c>
      <c r="E4829">
        <v>0.01</v>
      </c>
      <c r="F4829" t="s">
        <v>546</v>
      </c>
      <c r="G4829" s="174">
        <v>45576.460914351854</v>
      </c>
    </row>
    <row r="4830" spans="1:7">
      <c r="A4830">
        <v>4874</v>
      </c>
      <c r="B4830" t="s">
        <v>6349</v>
      </c>
      <c r="C4830" t="s">
        <v>5620</v>
      </c>
      <c r="E4830">
        <v>0.01</v>
      </c>
      <c r="F4830" t="s">
        <v>546</v>
      </c>
      <c r="G4830" s="174">
        <v>45576.460914351854</v>
      </c>
    </row>
    <row r="4831" spans="1:7">
      <c r="A4831">
        <v>4875</v>
      </c>
      <c r="B4831" t="s">
        <v>6350</v>
      </c>
      <c r="C4831" t="s">
        <v>3007</v>
      </c>
      <c r="E4831">
        <v>0.01</v>
      </c>
      <c r="F4831" t="s">
        <v>546</v>
      </c>
      <c r="G4831" s="174">
        <v>45576.460914351854</v>
      </c>
    </row>
    <row r="4832" spans="1:7">
      <c r="A4832">
        <v>4876</v>
      </c>
      <c r="B4832" t="s">
        <v>6351</v>
      </c>
      <c r="C4832" t="s">
        <v>4928</v>
      </c>
      <c r="E4832">
        <v>0.1</v>
      </c>
      <c r="F4832" t="s">
        <v>546</v>
      </c>
      <c r="G4832" s="174">
        <v>45576.460914351854</v>
      </c>
    </row>
    <row r="4833" spans="1:7">
      <c r="A4833">
        <v>4877</v>
      </c>
      <c r="B4833" t="s">
        <v>6351</v>
      </c>
      <c r="C4833" t="s">
        <v>2877</v>
      </c>
      <c r="E4833">
        <v>0.1</v>
      </c>
      <c r="F4833" t="s">
        <v>546</v>
      </c>
      <c r="G4833" s="174">
        <v>45576.460914351854</v>
      </c>
    </row>
    <row r="4834" spans="1:7">
      <c r="A4834">
        <v>4878</v>
      </c>
      <c r="B4834" t="s">
        <v>6352</v>
      </c>
      <c r="C4834" t="s">
        <v>5117</v>
      </c>
      <c r="E4834">
        <v>0.01</v>
      </c>
      <c r="F4834" t="s">
        <v>546</v>
      </c>
      <c r="G4834" s="174">
        <v>45576.460914351854</v>
      </c>
    </row>
    <row r="4835" spans="1:7">
      <c r="A4835">
        <v>4879</v>
      </c>
      <c r="B4835" t="s">
        <v>6353</v>
      </c>
      <c r="C4835" t="s">
        <v>3529</v>
      </c>
      <c r="E4835">
        <v>0.01</v>
      </c>
      <c r="F4835" t="s">
        <v>546</v>
      </c>
      <c r="G4835" s="174">
        <v>45576.460914351854</v>
      </c>
    </row>
    <row r="4836" spans="1:7">
      <c r="A4836">
        <v>4880</v>
      </c>
      <c r="B4836" t="s">
        <v>6353</v>
      </c>
      <c r="C4836" t="s">
        <v>3530</v>
      </c>
      <c r="E4836">
        <v>0.01</v>
      </c>
      <c r="F4836" t="s">
        <v>546</v>
      </c>
      <c r="G4836" s="174">
        <v>45576.460914351854</v>
      </c>
    </row>
    <row r="4837" spans="1:7">
      <c r="A4837">
        <v>4881</v>
      </c>
      <c r="B4837" t="s">
        <v>6354</v>
      </c>
      <c r="C4837" t="s">
        <v>3366</v>
      </c>
      <c r="E4837">
        <v>0.1</v>
      </c>
      <c r="F4837" t="s">
        <v>546</v>
      </c>
      <c r="G4837" s="174">
        <v>45576.460914351854</v>
      </c>
    </row>
    <row r="4838" spans="1:7">
      <c r="A4838">
        <v>4882</v>
      </c>
      <c r="B4838" t="s">
        <v>6354</v>
      </c>
      <c r="C4838" t="s">
        <v>6355</v>
      </c>
      <c r="E4838">
        <v>0.1</v>
      </c>
      <c r="F4838" t="s">
        <v>546</v>
      </c>
      <c r="G4838" s="174">
        <v>45576.460914351854</v>
      </c>
    </row>
    <row r="4839" spans="1:7">
      <c r="A4839">
        <v>4883</v>
      </c>
      <c r="B4839" t="s">
        <v>1968</v>
      </c>
      <c r="C4839" t="s">
        <v>2976</v>
      </c>
      <c r="E4839">
        <v>0.01</v>
      </c>
      <c r="F4839" t="s">
        <v>546</v>
      </c>
      <c r="G4839" s="174">
        <v>45576.460914351854</v>
      </c>
    </row>
    <row r="4840" spans="1:7">
      <c r="A4840">
        <v>4884</v>
      </c>
      <c r="B4840" t="s">
        <v>6356</v>
      </c>
      <c r="C4840" t="s">
        <v>6357</v>
      </c>
      <c r="E4840">
        <v>0.01</v>
      </c>
      <c r="F4840" t="s">
        <v>546</v>
      </c>
      <c r="G4840" s="174">
        <v>45576.460914351854</v>
      </c>
    </row>
    <row r="4841" spans="1:7">
      <c r="A4841">
        <v>4885</v>
      </c>
      <c r="B4841" t="s">
        <v>6358</v>
      </c>
      <c r="C4841" t="s">
        <v>4766</v>
      </c>
      <c r="E4841">
        <v>0.01</v>
      </c>
      <c r="F4841" t="s">
        <v>546</v>
      </c>
      <c r="G4841" s="174">
        <v>45576.460914351854</v>
      </c>
    </row>
    <row r="4842" spans="1:7">
      <c r="A4842">
        <v>4886</v>
      </c>
      <c r="B4842" t="s">
        <v>6359</v>
      </c>
      <c r="C4842" t="s">
        <v>3538</v>
      </c>
      <c r="E4842">
        <v>0.01</v>
      </c>
      <c r="F4842" t="s">
        <v>546</v>
      </c>
      <c r="G4842" s="174">
        <v>45576.460914351854</v>
      </c>
    </row>
    <row r="4843" spans="1:7">
      <c r="A4843">
        <v>4887</v>
      </c>
      <c r="B4843" t="s">
        <v>6359</v>
      </c>
      <c r="C4843" t="s">
        <v>6360</v>
      </c>
      <c r="E4843">
        <v>0.1</v>
      </c>
      <c r="F4843" t="s">
        <v>546</v>
      </c>
      <c r="G4843" s="174">
        <v>45576.460914351854</v>
      </c>
    </row>
    <row r="4844" spans="1:7">
      <c r="A4844">
        <v>4888</v>
      </c>
      <c r="B4844" t="s">
        <v>6361</v>
      </c>
      <c r="C4844" t="s">
        <v>3676</v>
      </c>
      <c r="E4844">
        <v>0.01</v>
      </c>
      <c r="F4844" t="s">
        <v>546</v>
      </c>
      <c r="G4844" s="174">
        <v>45576.460914351854</v>
      </c>
    </row>
    <row r="4845" spans="1:7">
      <c r="A4845">
        <v>4889</v>
      </c>
      <c r="B4845" t="s">
        <v>6362</v>
      </c>
      <c r="C4845" t="s">
        <v>6363</v>
      </c>
      <c r="E4845">
        <v>0.01</v>
      </c>
      <c r="F4845" t="s">
        <v>546</v>
      </c>
      <c r="G4845" s="174">
        <v>45576.460914351854</v>
      </c>
    </row>
    <row r="4846" spans="1:7">
      <c r="A4846">
        <v>4890</v>
      </c>
      <c r="B4846" t="s">
        <v>6362</v>
      </c>
      <c r="C4846" t="s">
        <v>4804</v>
      </c>
      <c r="E4846">
        <v>0.01</v>
      </c>
      <c r="F4846" t="s">
        <v>546</v>
      </c>
      <c r="G4846" s="174">
        <v>45576.460914351854</v>
      </c>
    </row>
    <row r="4847" spans="1:7">
      <c r="A4847">
        <v>4891</v>
      </c>
      <c r="B4847" t="s">
        <v>1971</v>
      </c>
      <c r="C4847" t="s">
        <v>3005</v>
      </c>
      <c r="E4847">
        <v>0.01</v>
      </c>
      <c r="F4847" t="s">
        <v>546</v>
      </c>
      <c r="G4847" s="174">
        <v>45576.460914351854</v>
      </c>
    </row>
    <row r="4848" spans="1:7">
      <c r="A4848">
        <v>4892</v>
      </c>
      <c r="B4848" t="s">
        <v>6364</v>
      </c>
      <c r="C4848" t="s">
        <v>3375</v>
      </c>
      <c r="E4848">
        <v>0.01</v>
      </c>
      <c r="F4848" t="s">
        <v>546</v>
      </c>
      <c r="G4848" s="174">
        <v>45576.460914351854</v>
      </c>
    </row>
    <row r="4849" spans="1:7">
      <c r="A4849">
        <v>4893</v>
      </c>
      <c r="B4849" t="s">
        <v>6365</v>
      </c>
      <c r="C4849" t="s">
        <v>2792</v>
      </c>
      <c r="E4849">
        <v>0.01</v>
      </c>
      <c r="F4849" t="s">
        <v>546</v>
      </c>
      <c r="G4849" s="174">
        <v>45576.460914351854</v>
      </c>
    </row>
    <row r="4850" spans="1:7">
      <c r="A4850">
        <v>4894</v>
      </c>
      <c r="B4850" t="s">
        <v>6366</v>
      </c>
      <c r="C4850" t="s">
        <v>5669</v>
      </c>
      <c r="E4850">
        <v>0.01</v>
      </c>
      <c r="F4850" t="s">
        <v>546</v>
      </c>
      <c r="G4850" s="174">
        <v>45576.460914351854</v>
      </c>
    </row>
    <row r="4851" spans="1:7">
      <c r="A4851">
        <v>4895</v>
      </c>
      <c r="B4851" t="s">
        <v>6367</v>
      </c>
      <c r="C4851" t="s">
        <v>2892</v>
      </c>
      <c r="E4851">
        <v>0.01</v>
      </c>
      <c r="F4851" t="s">
        <v>546</v>
      </c>
      <c r="G4851" s="174">
        <v>45576.460914351854</v>
      </c>
    </row>
    <row r="4852" spans="1:7">
      <c r="A4852">
        <v>4896</v>
      </c>
      <c r="B4852" t="s">
        <v>6367</v>
      </c>
      <c r="C4852" t="s">
        <v>6368</v>
      </c>
      <c r="E4852">
        <v>0.01</v>
      </c>
      <c r="F4852" t="s">
        <v>546</v>
      </c>
      <c r="G4852" s="174">
        <v>45576.460914351854</v>
      </c>
    </row>
    <row r="4853" spans="1:7">
      <c r="A4853">
        <v>4897</v>
      </c>
      <c r="B4853" t="s">
        <v>6369</v>
      </c>
      <c r="C4853" t="s">
        <v>4830</v>
      </c>
      <c r="E4853">
        <v>0.1</v>
      </c>
      <c r="F4853" t="s">
        <v>546</v>
      </c>
      <c r="G4853" s="174">
        <v>45576.460914351854</v>
      </c>
    </row>
    <row r="4854" spans="1:7">
      <c r="A4854">
        <v>4898</v>
      </c>
      <c r="B4854" t="s">
        <v>6370</v>
      </c>
      <c r="C4854" t="s">
        <v>4080</v>
      </c>
      <c r="E4854">
        <v>0.1</v>
      </c>
      <c r="F4854" t="s">
        <v>546</v>
      </c>
      <c r="G4854" s="174">
        <v>45576.460914351854</v>
      </c>
    </row>
    <row r="4855" spans="1:7">
      <c r="A4855">
        <v>4899</v>
      </c>
      <c r="B4855" t="s">
        <v>6371</v>
      </c>
      <c r="C4855" t="s">
        <v>3599</v>
      </c>
      <c r="E4855">
        <v>0.1</v>
      </c>
      <c r="F4855" t="s">
        <v>546</v>
      </c>
      <c r="G4855" s="174">
        <v>45576.460914351854</v>
      </c>
    </row>
    <row r="4856" spans="1:7">
      <c r="A4856">
        <v>4900</v>
      </c>
      <c r="B4856" t="s">
        <v>6371</v>
      </c>
      <c r="C4856" t="s">
        <v>3331</v>
      </c>
      <c r="E4856">
        <v>0.01</v>
      </c>
      <c r="F4856" t="s">
        <v>546</v>
      </c>
      <c r="G4856" s="174">
        <v>45576.460914351854</v>
      </c>
    </row>
    <row r="4857" spans="1:7">
      <c r="A4857">
        <v>4901</v>
      </c>
      <c r="B4857" t="s">
        <v>6372</v>
      </c>
      <c r="C4857" t="s">
        <v>4574</v>
      </c>
      <c r="E4857">
        <v>0.01</v>
      </c>
      <c r="F4857" t="s">
        <v>546</v>
      </c>
      <c r="G4857" s="174">
        <v>45576.460914351854</v>
      </c>
    </row>
    <row r="4858" spans="1:7">
      <c r="A4858">
        <v>4902</v>
      </c>
      <c r="B4858" t="s">
        <v>6373</v>
      </c>
      <c r="C4858" t="s">
        <v>6374</v>
      </c>
      <c r="E4858">
        <v>0.01</v>
      </c>
      <c r="F4858" t="s">
        <v>546</v>
      </c>
      <c r="G4858" s="174">
        <v>45576.460914351854</v>
      </c>
    </row>
    <row r="4859" spans="1:7">
      <c r="A4859">
        <v>4903</v>
      </c>
      <c r="B4859" t="s">
        <v>6373</v>
      </c>
      <c r="C4859" t="s">
        <v>3375</v>
      </c>
      <c r="E4859">
        <v>0.01</v>
      </c>
      <c r="F4859" t="s">
        <v>546</v>
      </c>
      <c r="G4859" s="174">
        <v>45576.460914351854</v>
      </c>
    </row>
    <row r="4860" spans="1:7">
      <c r="A4860">
        <v>4904</v>
      </c>
      <c r="B4860" t="s">
        <v>6373</v>
      </c>
      <c r="C4860" t="s">
        <v>6375</v>
      </c>
      <c r="E4860">
        <v>0.01</v>
      </c>
      <c r="F4860" t="s">
        <v>546</v>
      </c>
      <c r="G4860" s="174">
        <v>45576.460914351854</v>
      </c>
    </row>
    <row r="4861" spans="1:7">
      <c r="A4861">
        <v>4905</v>
      </c>
      <c r="B4861" t="s">
        <v>6373</v>
      </c>
      <c r="C4861" t="s">
        <v>6376</v>
      </c>
      <c r="E4861">
        <v>0.01</v>
      </c>
      <c r="F4861" t="s">
        <v>546</v>
      </c>
      <c r="G4861" s="174">
        <v>45576.460914351854</v>
      </c>
    </row>
    <row r="4862" spans="1:7">
      <c r="A4862">
        <v>4906</v>
      </c>
      <c r="B4862" t="s">
        <v>1972</v>
      </c>
      <c r="C4862" t="s">
        <v>3700</v>
      </c>
      <c r="E4862">
        <v>0.05</v>
      </c>
      <c r="F4862" t="s">
        <v>546</v>
      </c>
      <c r="G4862" s="174">
        <v>45576.460914351854</v>
      </c>
    </row>
    <row r="4863" spans="1:7">
      <c r="A4863">
        <v>4907</v>
      </c>
      <c r="B4863" t="s">
        <v>6377</v>
      </c>
      <c r="C4863" t="s">
        <v>3765</v>
      </c>
      <c r="E4863">
        <v>0.01</v>
      </c>
      <c r="F4863" t="s">
        <v>546</v>
      </c>
      <c r="G4863" s="174">
        <v>45576.460914351854</v>
      </c>
    </row>
    <row r="4864" spans="1:7">
      <c r="A4864">
        <v>4908</v>
      </c>
      <c r="B4864" t="s">
        <v>6378</v>
      </c>
      <c r="C4864" t="s">
        <v>3353</v>
      </c>
      <c r="E4864">
        <v>0.01</v>
      </c>
      <c r="F4864" t="s">
        <v>546</v>
      </c>
      <c r="G4864" s="174">
        <v>45576.460914351854</v>
      </c>
    </row>
    <row r="4865" spans="1:7">
      <c r="A4865">
        <v>4909</v>
      </c>
      <c r="B4865" t="s">
        <v>6379</v>
      </c>
      <c r="C4865" t="s">
        <v>3430</v>
      </c>
      <c r="E4865">
        <v>0.8</v>
      </c>
      <c r="F4865" t="s">
        <v>546</v>
      </c>
      <c r="G4865" s="174">
        <v>45576.460914351854</v>
      </c>
    </row>
    <row r="4866" spans="1:7">
      <c r="A4866">
        <v>4910</v>
      </c>
      <c r="B4866" t="s">
        <v>2743</v>
      </c>
      <c r="C4866" t="s">
        <v>3882</v>
      </c>
      <c r="E4866">
        <v>0.1</v>
      </c>
      <c r="F4866" t="s">
        <v>546</v>
      </c>
      <c r="G4866" s="174">
        <v>45576.460914351854</v>
      </c>
    </row>
    <row r="4867" spans="1:7">
      <c r="A4867">
        <v>4911</v>
      </c>
      <c r="B4867" t="s">
        <v>6380</v>
      </c>
      <c r="C4867" t="s">
        <v>2840</v>
      </c>
      <c r="E4867">
        <v>0.01</v>
      </c>
      <c r="F4867" t="s">
        <v>546</v>
      </c>
      <c r="G4867" s="174">
        <v>45576.460914351854</v>
      </c>
    </row>
    <row r="4868" spans="1:7">
      <c r="A4868">
        <v>4912</v>
      </c>
      <c r="B4868" t="s">
        <v>6381</v>
      </c>
      <c r="C4868" t="s">
        <v>4547</v>
      </c>
      <c r="E4868">
        <v>0.01</v>
      </c>
      <c r="F4868" t="s">
        <v>546</v>
      </c>
      <c r="G4868" s="174">
        <v>45576.460914351854</v>
      </c>
    </row>
    <row r="4869" spans="1:7">
      <c r="A4869">
        <v>4913</v>
      </c>
      <c r="B4869" t="s">
        <v>6381</v>
      </c>
      <c r="C4869" t="s">
        <v>4642</v>
      </c>
      <c r="E4869">
        <v>0.01</v>
      </c>
      <c r="F4869" t="s">
        <v>546</v>
      </c>
      <c r="G4869" s="174">
        <v>45576.460914351854</v>
      </c>
    </row>
    <row r="4870" spans="1:7">
      <c r="A4870">
        <v>4914</v>
      </c>
      <c r="B4870" t="s">
        <v>6382</v>
      </c>
      <c r="C4870" t="s">
        <v>2844</v>
      </c>
      <c r="E4870">
        <v>0.01</v>
      </c>
      <c r="F4870" t="s">
        <v>546</v>
      </c>
      <c r="G4870" s="174">
        <v>45576.460914351854</v>
      </c>
    </row>
    <row r="4871" spans="1:7">
      <c r="A4871">
        <v>4915</v>
      </c>
      <c r="B4871" t="s">
        <v>6383</v>
      </c>
      <c r="C4871" t="s">
        <v>4358</v>
      </c>
      <c r="E4871">
        <v>0.01</v>
      </c>
      <c r="F4871" t="s">
        <v>546</v>
      </c>
      <c r="G4871" s="174">
        <v>45576.460914351854</v>
      </c>
    </row>
    <row r="4872" spans="1:7">
      <c r="A4872">
        <v>4916</v>
      </c>
      <c r="B4872" t="s">
        <v>6384</v>
      </c>
      <c r="C4872" t="s">
        <v>5875</v>
      </c>
      <c r="E4872">
        <v>0.01</v>
      </c>
      <c r="F4872" t="s">
        <v>546</v>
      </c>
      <c r="G4872" s="174">
        <v>45576.460914351854</v>
      </c>
    </row>
    <row r="4873" spans="1:7">
      <c r="A4873">
        <v>4917</v>
      </c>
      <c r="B4873" t="s">
        <v>6384</v>
      </c>
      <c r="C4873" t="s">
        <v>5876</v>
      </c>
      <c r="E4873">
        <v>0.01</v>
      </c>
      <c r="F4873" t="s">
        <v>546</v>
      </c>
      <c r="G4873" s="174">
        <v>45576.460914351854</v>
      </c>
    </row>
    <row r="4874" spans="1:7">
      <c r="A4874">
        <v>4918</v>
      </c>
      <c r="B4874" t="s">
        <v>6385</v>
      </c>
      <c r="C4874" t="s">
        <v>3850</v>
      </c>
      <c r="E4874">
        <v>0.1</v>
      </c>
      <c r="F4874" t="s">
        <v>546</v>
      </c>
      <c r="G4874" s="174">
        <v>45576.460914351854</v>
      </c>
    </row>
    <row r="4875" spans="1:7">
      <c r="A4875">
        <v>4919</v>
      </c>
      <c r="B4875" t="s">
        <v>6386</v>
      </c>
      <c r="C4875" t="s">
        <v>3871</v>
      </c>
      <c r="E4875">
        <v>0.01</v>
      </c>
      <c r="F4875" t="s">
        <v>546</v>
      </c>
      <c r="G4875" s="174">
        <v>45576.460914351854</v>
      </c>
    </row>
    <row r="4876" spans="1:7">
      <c r="A4876">
        <v>4920</v>
      </c>
      <c r="B4876" t="s">
        <v>6386</v>
      </c>
      <c r="C4876" t="s">
        <v>4585</v>
      </c>
      <c r="E4876">
        <v>0.01</v>
      </c>
      <c r="F4876" t="s">
        <v>546</v>
      </c>
      <c r="G4876" s="174">
        <v>45576.460914351854</v>
      </c>
    </row>
    <row r="4877" spans="1:7">
      <c r="A4877">
        <v>4921</v>
      </c>
      <c r="B4877" t="s">
        <v>6387</v>
      </c>
      <c r="C4877" t="s">
        <v>4278</v>
      </c>
      <c r="E4877">
        <v>0.01</v>
      </c>
      <c r="F4877" t="s">
        <v>546</v>
      </c>
      <c r="G4877" s="174">
        <v>45576.460914351854</v>
      </c>
    </row>
    <row r="4878" spans="1:7">
      <c r="A4878">
        <v>4922</v>
      </c>
      <c r="B4878" t="s">
        <v>6388</v>
      </c>
      <c r="C4878" t="s">
        <v>6389</v>
      </c>
      <c r="E4878">
        <v>0.01</v>
      </c>
      <c r="F4878" t="s">
        <v>546</v>
      </c>
      <c r="G4878" s="174">
        <v>45576.460914351854</v>
      </c>
    </row>
    <row r="4879" spans="1:7">
      <c r="A4879">
        <v>4923</v>
      </c>
      <c r="B4879" t="s">
        <v>1975</v>
      </c>
      <c r="C4879" t="s">
        <v>3198</v>
      </c>
      <c r="E4879">
        <v>0.8</v>
      </c>
      <c r="F4879" t="s">
        <v>546</v>
      </c>
      <c r="G4879" s="174">
        <v>45576.460914351854</v>
      </c>
    </row>
    <row r="4880" spans="1:7">
      <c r="A4880">
        <v>4924</v>
      </c>
      <c r="B4880" t="s">
        <v>6390</v>
      </c>
      <c r="C4880" t="s">
        <v>6391</v>
      </c>
      <c r="E4880">
        <v>0.01</v>
      </c>
      <c r="F4880" t="s">
        <v>546</v>
      </c>
      <c r="G4880" s="174">
        <v>45576.460914351854</v>
      </c>
    </row>
    <row r="4881" spans="1:7">
      <c r="A4881">
        <v>4925</v>
      </c>
      <c r="B4881" t="s">
        <v>6390</v>
      </c>
      <c r="C4881" t="s">
        <v>6392</v>
      </c>
      <c r="E4881">
        <v>0.01</v>
      </c>
      <c r="F4881" t="s">
        <v>546</v>
      </c>
      <c r="G4881" s="174">
        <v>45576.460914351854</v>
      </c>
    </row>
    <row r="4882" spans="1:7">
      <c r="A4882">
        <v>4926</v>
      </c>
      <c r="B4882" t="s">
        <v>6393</v>
      </c>
      <c r="C4882" t="s">
        <v>6394</v>
      </c>
      <c r="E4882">
        <v>0.01</v>
      </c>
      <c r="F4882" t="s">
        <v>546</v>
      </c>
      <c r="G4882" s="174">
        <v>45576.460914351854</v>
      </c>
    </row>
    <row r="4883" spans="1:7">
      <c r="A4883">
        <v>4927</v>
      </c>
      <c r="B4883" t="s">
        <v>6395</v>
      </c>
      <c r="C4883" t="s">
        <v>4822</v>
      </c>
      <c r="E4883">
        <v>0.01</v>
      </c>
      <c r="F4883" t="s">
        <v>546</v>
      </c>
      <c r="G4883" s="174">
        <v>45576.460914351854</v>
      </c>
    </row>
    <row r="4884" spans="1:7">
      <c r="A4884">
        <v>4928</v>
      </c>
      <c r="B4884" t="s">
        <v>6396</v>
      </c>
      <c r="C4884" t="s">
        <v>3606</v>
      </c>
      <c r="E4884">
        <v>0.1</v>
      </c>
      <c r="F4884" t="s">
        <v>546</v>
      </c>
      <c r="G4884" s="174">
        <v>45576.460914351854</v>
      </c>
    </row>
    <row r="4885" spans="1:7">
      <c r="A4885">
        <v>4929</v>
      </c>
      <c r="B4885" t="s">
        <v>1976</v>
      </c>
      <c r="C4885" t="s">
        <v>3062</v>
      </c>
      <c r="E4885">
        <v>0.01</v>
      </c>
      <c r="F4885" t="s">
        <v>546</v>
      </c>
      <c r="G4885" s="174">
        <v>45576.460914351854</v>
      </c>
    </row>
    <row r="4886" spans="1:7">
      <c r="A4886">
        <v>4930</v>
      </c>
      <c r="B4886" t="s">
        <v>1977</v>
      </c>
      <c r="C4886" t="s">
        <v>5240</v>
      </c>
      <c r="E4886">
        <v>0.8</v>
      </c>
      <c r="F4886" t="s">
        <v>546</v>
      </c>
      <c r="G4886" s="174">
        <v>45576.460914351854</v>
      </c>
    </row>
    <row r="4887" spans="1:7">
      <c r="A4887">
        <v>4931</v>
      </c>
      <c r="B4887" t="s">
        <v>1977</v>
      </c>
      <c r="C4887" t="s">
        <v>6397</v>
      </c>
      <c r="E4887">
        <v>0.01</v>
      </c>
      <c r="F4887" t="s">
        <v>546</v>
      </c>
      <c r="G4887" s="174">
        <v>45576.460914351854</v>
      </c>
    </row>
    <row r="4888" spans="1:7">
      <c r="A4888">
        <v>4932</v>
      </c>
      <c r="B4888" t="s">
        <v>6398</v>
      </c>
      <c r="C4888" t="s">
        <v>3695</v>
      </c>
      <c r="E4888">
        <v>0.01</v>
      </c>
      <c r="F4888" t="s">
        <v>546</v>
      </c>
      <c r="G4888" s="174">
        <v>45576.460914351854</v>
      </c>
    </row>
    <row r="4889" spans="1:7">
      <c r="A4889">
        <v>4933</v>
      </c>
      <c r="B4889" t="s">
        <v>6399</v>
      </c>
      <c r="C4889" t="s">
        <v>2856</v>
      </c>
      <c r="E4889">
        <v>0.01</v>
      </c>
      <c r="F4889" t="s">
        <v>546</v>
      </c>
      <c r="G4889" s="174">
        <v>45576.460914351854</v>
      </c>
    </row>
    <row r="4890" spans="1:7">
      <c r="A4890">
        <v>4934</v>
      </c>
      <c r="B4890" t="s">
        <v>6400</v>
      </c>
      <c r="C4890" t="s">
        <v>3508</v>
      </c>
      <c r="E4890">
        <v>0.8</v>
      </c>
      <c r="F4890" t="s">
        <v>546</v>
      </c>
      <c r="G4890" s="174">
        <v>45576.460914351854</v>
      </c>
    </row>
    <row r="4891" spans="1:7">
      <c r="A4891">
        <v>4935</v>
      </c>
      <c r="B4891" t="s">
        <v>6401</v>
      </c>
      <c r="C4891" t="s">
        <v>5035</v>
      </c>
      <c r="E4891">
        <v>0.01</v>
      </c>
      <c r="F4891" t="s">
        <v>546</v>
      </c>
      <c r="G4891" s="174">
        <v>45576.460914351854</v>
      </c>
    </row>
    <row r="4892" spans="1:7">
      <c r="A4892">
        <v>4936</v>
      </c>
      <c r="B4892" t="s">
        <v>6402</v>
      </c>
      <c r="C4892" t="s">
        <v>6403</v>
      </c>
      <c r="E4892">
        <v>0.01</v>
      </c>
      <c r="F4892" t="s">
        <v>546</v>
      </c>
      <c r="G4892" s="174">
        <v>45576.460914351854</v>
      </c>
    </row>
    <row r="4893" spans="1:7">
      <c r="A4893">
        <v>4937</v>
      </c>
      <c r="B4893" t="s">
        <v>6404</v>
      </c>
      <c r="C4893" t="s">
        <v>6405</v>
      </c>
      <c r="E4893">
        <v>0.1</v>
      </c>
      <c r="F4893" t="s">
        <v>546</v>
      </c>
      <c r="G4893" s="174">
        <v>45576.460914351854</v>
      </c>
    </row>
    <row r="4894" spans="1:7">
      <c r="A4894">
        <v>4938</v>
      </c>
      <c r="B4894" t="s">
        <v>6406</v>
      </c>
      <c r="C4894" t="s">
        <v>6392</v>
      </c>
      <c r="E4894">
        <v>0.1</v>
      </c>
      <c r="F4894" t="s">
        <v>546</v>
      </c>
      <c r="G4894" s="174">
        <v>45576.460914351854</v>
      </c>
    </row>
    <row r="4895" spans="1:7">
      <c r="A4895">
        <v>4939</v>
      </c>
      <c r="B4895" t="s">
        <v>6407</v>
      </c>
      <c r="C4895" t="s">
        <v>3333</v>
      </c>
      <c r="E4895">
        <v>0.6</v>
      </c>
      <c r="F4895" t="s">
        <v>546</v>
      </c>
      <c r="G4895" s="174">
        <v>45576.460914351854</v>
      </c>
    </row>
    <row r="4896" spans="1:7">
      <c r="A4896">
        <v>4941</v>
      </c>
      <c r="B4896" t="s">
        <v>6408</v>
      </c>
      <c r="C4896" t="s">
        <v>3447</v>
      </c>
      <c r="E4896">
        <v>0.8</v>
      </c>
      <c r="F4896" t="s">
        <v>546</v>
      </c>
      <c r="G4896" s="174">
        <v>45576.460914351854</v>
      </c>
    </row>
    <row r="4897" spans="1:7">
      <c r="A4897">
        <v>4942</v>
      </c>
      <c r="B4897" t="s">
        <v>6409</v>
      </c>
      <c r="C4897" t="s">
        <v>4650</v>
      </c>
      <c r="E4897">
        <v>0.01</v>
      </c>
      <c r="F4897" t="s">
        <v>546</v>
      </c>
      <c r="G4897" s="174">
        <v>45576.460914351854</v>
      </c>
    </row>
    <row r="4898" spans="1:7">
      <c r="A4898">
        <v>4943</v>
      </c>
      <c r="B4898" t="s">
        <v>6410</v>
      </c>
      <c r="C4898" t="s">
        <v>3390</v>
      </c>
      <c r="E4898">
        <v>0.8</v>
      </c>
      <c r="F4898" t="s">
        <v>546</v>
      </c>
      <c r="G4898" s="174">
        <v>45576.460914351854</v>
      </c>
    </row>
    <row r="4899" spans="1:7">
      <c r="A4899">
        <v>4944</v>
      </c>
      <c r="B4899" t="s">
        <v>2745</v>
      </c>
      <c r="C4899" t="s">
        <v>3308</v>
      </c>
      <c r="E4899">
        <v>0.01</v>
      </c>
      <c r="F4899" t="s">
        <v>546</v>
      </c>
      <c r="G4899" s="174">
        <v>45576.460914351854</v>
      </c>
    </row>
    <row r="4900" spans="1:7">
      <c r="A4900">
        <v>4945</v>
      </c>
      <c r="B4900" t="s">
        <v>6411</v>
      </c>
      <c r="C4900" t="s">
        <v>6029</v>
      </c>
      <c r="E4900">
        <v>0.01</v>
      </c>
      <c r="F4900" t="s">
        <v>546</v>
      </c>
      <c r="G4900" s="174">
        <v>45576.460914351854</v>
      </c>
    </row>
    <row r="4901" spans="1:7">
      <c r="A4901">
        <v>4946</v>
      </c>
      <c r="B4901" t="s">
        <v>6412</v>
      </c>
      <c r="C4901" t="s">
        <v>6255</v>
      </c>
      <c r="E4901">
        <v>0.01</v>
      </c>
      <c r="F4901" t="s">
        <v>546</v>
      </c>
      <c r="G4901" s="174">
        <v>45576.460914351854</v>
      </c>
    </row>
    <row r="4902" spans="1:7">
      <c r="A4902">
        <v>4947</v>
      </c>
      <c r="B4902" t="s">
        <v>6413</v>
      </c>
      <c r="C4902" t="s">
        <v>5691</v>
      </c>
      <c r="E4902">
        <v>0.1</v>
      </c>
      <c r="F4902" t="s">
        <v>546</v>
      </c>
      <c r="G4902" s="174">
        <v>45576.460914351854</v>
      </c>
    </row>
    <row r="4903" spans="1:7">
      <c r="A4903">
        <v>4948</v>
      </c>
      <c r="B4903" t="s">
        <v>6414</v>
      </c>
      <c r="C4903" t="s">
        <v>2948</v>
      </c>
      <c r="E4903">
        <v>0.1</v>
      </c>
      <c r="F4903" t="s">
        <v>546</v>
      </c>
      <c r="G4903" s="174">
        <v>45576.460914351854</v>
      </c>
    </row>
    <row r="4904" spans="1:7">
      <c r="A4904">
        <v>4949</v>
      </c>
      <c r="B4904" t="s">
        <v>6415</v>
      </c>
      <c r="C4904" t="s">
        <v>6186</v>
      </c>
      <c r="E4904">
        <v>0.1</v>
      </c>
      <c r="F4904" t="s">
        <v>546</v>
      </c>
      <c r="G4904" s="174">
        <v>45576.460914351854</v>
      </c>
    </row>
    <row r="4905" spans="1:7">
      <c r="A4905">
        <v>4950</v>
      </c>
      <c r="B4905" t="s">
        <v>6416</v>
      </c>
      <c r="C4905" t="s">
        <v>3164</v>
      </c>
      <c r="E4905">
        <v>0.01</v>
      </c>
      <c r="F4905" t="s">
        <v>546</v>
      </c>
      <c r="G4905" s="174">
        <v>45576.460914351854</v>
      </c>
    </row>
    <row r="4906" spans="1:7">
      <c r="A4906">
        <v>4951</v>
      </c>
      <c r="B4906" t="s">
        <v>6416</v>
      </c>
      <c r="C4906" t="s">
        <v>3895</v>
      </c>
      <c r="E4906">
        <v>0.01</v>
      </c>
      <c r="F4906" t="s">
        <v>546</v>
      </c>
      <c r="G4906" s="174">
        <v>45576.460914351854</v>
      </c>
    </row>
    <row r="4907" spans="1:7">
      <c r="A4907">
        <v>4952</v>
      </c>
      <c r="B4907" t="s">
        <v>6416</v>
      </c>
      <c r="C4907" t="s">
        <v>6417</v>
      </c>
      <c r="E4907">
        <v>0.1</v>
      </c>
      <c r="F4907" t="s">
        <v>546</v>
      </c>
      <c r="G4907" s="174">
        <v>45576.460914351854</v>
      </c>
    </row>
    <row r="4908" spans="1:7">
      <c r="A4908">
        <v>4953</v>
      </c>
      <c r="B4908" t="s">
        <v>6416</v>
      </c>
      <c r="C4908" t="s">
        <v>3248</v>
      </c>
      <c r="E4908">
        <v>0.8</v>
      </c>
      <c r="F4908" t="s">
        <v>546</v>
      </c>
      <c r="G4908" s="174">
        <v>45576.460914351854</v>
      </c>
    </row>
    <row r="4909" spans="1:7">
      <c r="A4909">
        <v>4954</v>
      </c>
      <c r="B4909" t="s">
        <v>6416</v>
      </c>
      <c r="C4909" t="s">
        <v>3933</v>
      </c>
      <c r="E4909">
        <v>0.05</v>
      </c>
      <c r="F4909" t="s">
        <v>546</v>
      </c>
      <c r="G4909" s="174">
        <v>45576.460914351854</v>
      </c>
    </row>
    <row r="4910" spans="1:7">
      <c r="A4910">
        <v>4955</v>
      </c>
      <c r="B4910" t="s">
        <v>6416</v>
      </c>
      <c r="C4910" t="s">
        <v>6189</v>
      </c>
      <c r="E4910">
        <v>0.5</v>
      </c>
      <c r="F4910" t="s">
        <v>546</v>
      </c>
      <c r="G4910" s="174">
        <v>45576.460914351854</v>
      </c>
    </row>
    <row r="4911" spans="1:7">
      <c r="A4911">
        <v>4956</v>
      </c>
      <c r="B4911" t="s">
        <v>6416</v>
      </c>
      <c r="C4911" t="s">
        <v>4637</v>
      </c>
      <c r="E4911">
        <v>0.5</v>
      </c>
      <c r="F4911" t="s">
        <v>546</v>
      </c>
      <c r="G4911" s="174">
        <v>45576.460914351854</v>
      </c>
    </row>
    <row r="4912" spans="1:7">
      <c r="A4912">
        <v>4959</v>
      </c>
      <c r="B4912" t="s">
        <v>6418</v>
      </c>
      <c r="C4912" t="s">
        <v>5306</v>
      </c>
      <c r="E4912">
        <v>1</v>
      </c>
      <c r="F4912" t="s">
        <v>546</v>
      </c>
      <c r="G4912" s="174">
        <v>45576.460914351854</v>
      </c>
    </row>
    <row r="4913" spans="1:7">
      <c r="A4913">
        <v>4960</v>
      </c>
      <c r="B4913" t="s">
        <v>6418</v>
      </c>
      <c r="C4913" t="s">
        <v>3717</v>
      </c>
      <c r="E4913">
        <v>0.1</v>
      </c>
      <c r="F4913" t="s">
        <v>546</v>
      </c>
      <c r="G4913" s="174">
        <v>45576.460914351854</v>
      </c>
    </row>
    <row r="4914" spans="1:7">
      <c r="A4914">
        <v>4962</v>
      </c>
      <c r="B4914" t="s">
        <v>6419</v>
      </c>
      <c r="C4914" t="s">
        <v>4526</v>
      </c>
      <c r="E4914">
        <v>0.01</v>
      </c>
      <c r="F4914" t="s">
        <v>546</v>
      </c>
      <c r="G4914" s="174">
        <v>45576.460914351854</v>
      </c>
    </row>
    <row r="4915" spans="1:7">
      <c r="A4915">
        <v>4963</v>
      </c>
      <c r="B4915" t="s">
        <v>6420</v>
      </c>
      <c r="C4915" t="s">
        <v>4077</v>
      </c>
      <c r="E4915">
        <v>0.01</v>
      </c>
      <c r="F4915" t="s">
        <v>546</v>
      </c>
      <c r="G4915" s="174">
        <v>45576.460914351854</v>
      </c>
    </row>
    <row r="4916" spans="1:7">
      <c r="A4916">
        <v>4964</v>
      </c>
      <c r="B4916" t="s">
        <v>6421</v>
      </c>
      <c r="C4916" t="s">
        <v>4942</v>
      </c>
      <c r="E4916">
        <v>0.01</v>
      </c>
      <c r="F4916" t="s">
        <v>546</v>
      </c>
      <c r="G4916" s="174">
        <v>45576.460914351854</v>
      </c>
    </row>
    <row r="4917" spans="1:7">
      <c r="A4917">
        <v>4965</v>
      </c>
      <c r="B4917" t="s">
        <v>6422</v>
      </c>
      <c r="C4917" t="s">
        <v>2893</v>
      </c>
      <c r="E4917">
        <v>0.01</v>
      </c>
      <c r="F4917" t="s">
        <v>546</v>
      </c>
      <c r="G4917" s="174">
        <v>45576.460914351854</v>
      </c>
    </row>
    <row r="4918" spans="1:7">
      <c r="A4918">
        <v>4966</v>
      </c>
      <c r="B4918" t="s">
        <v>6423</v>
      </c>
      <c r="C4918" t="s">
        <v>3454</v>
      </c>
      <c r="E4918">
        <v>0.1</v>
      </c>
      <c r="F4918" t="s">
        <v>546</v>
      </c>
      <c r="G4918" s="174">
        <v>45576.460914351854</v>
      </c>
    </row>
    <row r="4919" spans="1:7">
      <c r="A4919">
        <v>4967</v>
      </c>
      <c r="B4919" t="s">
        <v>6424</v>
      </c>
      <c r="C4919" t="s">
        <v>3062</v>
      </c>
      <c r="E4919">
        <v>0.01</v>
      </c>
      <c r="F4919" t="s">
        <v>546</v>
      </c>
      <c r="G4919" s="174">
        <v>45576.460914351854</v>
      </c>
    </row>
    <row r="4920" spans="1:7">
      <c r="A4920">
        <v>4968</v>
      </c>
      <c r="B4920" t="s">
        <v>6425</v>
      </c>
      <c r="C4920" t="s">
        <v>6005</v>
      </c>
      <c r="E4920">
        <v>0.01</v>
      </c>
      <c r="F4920" t="s">
        <v>546</v>
      </c>
      <c r="G4920" s="174">
        <v>45576.460914351854</v>
      </c>
    </row>
    <row r="4921" spans="1:7">
      <c r="A4921">
        <v>4969</v>
      </c>
      <c r="B4921" t="s">
        <v>6425</v>
      </c>
      <c r="C4921" t="s">
        <v>4071</v>
      </c>
      <c r="E4921">
        <v>0.01</v>
      </c>
      <c r="F4921" t="s">
        <v>546</v>
      </c>
      <c r="G4921" s="174">
        <v>45576.460914351854</v>
      </c>
    </row>
    <row r="4922" spans="1:7">
      <c r="A4922">
        <v>4970</v>
      </c>
      <c r="B4922" t="s">
        <v>6426</v>
      </c>
      <c r="C4922" t="s">
        <v>4517</v>
      </c>
      <c r="E4922">
        <v>0.01</v>
      </c>
      <c r="F4922" t="s">
        <v>546</v>
      </c>
      <c r="G4922" s="174">
        <v>45576.460914351854</v>
      </c>
    </row>
    <row r="4923" spans="1:7">
      <c r="A4923">
        <v>4971</v>
      </c>
      <c r="B4923" t="s">
        <v>1990</v>
      </c>
      <c r="C4923" t="s">
        <v>3031</v>
      </c>
      <c r="E4923">
        <v>0.01</v>
      </c>
      <c r="F4923" t="s">
        <v>546</v>
      </c>
      <c r="G4923" s="174">
        <v>45576.460914351854</v>
      </c>
    </row>
    <row r="4924" spans="1:7">
      <c r="A4924">
        <v>4972</v>
      </c>
      <c r="B4924" t="s">
        <v>1991</v>
      </c>
      <c r="C4924" t="s">
        <v>4067</v>
      </c>
      <c r="E4924">
        <v>0.01</v>
      </c>
      <c r="F4924" t="s">
        <v>546</v>
      </c>
      <c r="G4924" s="174">
        <v>45576.460914351854</v>
      </c>
    </row>
    <row r="4925" spans="1:7">
      <c r="A4925">
        <v>4973</v>
      </c>
      <c r="B4925" t="s">
        <v>1993</v>
      </c>
      <c r="C4925" t="s">
        <v>2921</v>
      </c>
      <c r="E4925">
        <v>0.01</v>
      </c>
      <c r="F4925" t="s">
        <v>546</v>
      </c>
      <c r="G4925" s="174">
        <v>45576.460914351854</v>
      </c>
    </row>
    <row r="4926" spans="1:7">
      <c r="A4926">
        <v>4974</v>
      </c>
      <c r="B4926" t="s">
        <v>6427</v>
      </c>
      <c r="C4926" t="s">
        <v>4725</v>
      </c>
      <c r="E4926">
        <v>0.1</v>
      </c>
      <c r="F4926" t="s">
        <v>546</v>
      </c>
      <c r="G4926" s="174">
        <v>45576.460914351854</v>
      </c>
    </row>
    <row r="4927" spans="1:7">
      <c r="A4927">
        <v>4975</v>
      </c>
      <c r="B4927" t="s">
        <v>6428</v>
      </c>
      <c r="C4927" t="s">
        <v>6429</v>
      </c>
      <c r="E4927">
        <v>0.6</v>
      </c>
      <c r="F4927" t="s">
        <v>546</v>
      </c>
      <c r="G4927" s="174">
        <v>45576.460914351854</v>
      </c>
    </row>
    <row r="4928" spans="1:7">
      <c r="A4928">
        <v>4976</v>
      </c>
      <c r="B4928" t="s">
        <v>6428</v>
      </c>
      <c r="C4928" t="s">
        <v>1802</v>
      </c>
      <c r="E4928">
        <v>0.8</v>
      </c>
      <c r="F4928" t="s">
        <v>546</v>
      </c>
      <c r="G4928" s="174">
        <v>45576.460914351854</v>
      </c>
    </row>
    <row r="4929" spans="1:7">
      <c r="A4929">
        <v>4977</v>
      </c>
      <c r="B4929" t="s">
        <v>6430</v>
      </c>
      <c r="C4929" t="s">
        <v>2899</v>
      </c>
      <c r="E4929">
        <v>0.01</v>
      </c>
      <c r="F4929" t="s">
        <v>546</v>
      </c>
      <c r="G4929" s="174">
        <v>45576.460914351854</v>
      </c>
    </row>
    <row r="4930" spans="1:7">
      <c r="A4930">
        <v>4978</v>
      </c>
      <c r="B4930" t="s">
        <v>6431</v>
      </c>
      <c r="C4930" t="s">
        <v>6432</v>
      </c>
      <c r="E4930">
        <v>0.01</v>
      </c>
      <c r="F4930" t="s">
        <v>546</v>
      </c>
      <c r="G4930" s="174">
        <v>45576.460914351854</v>
      </c>
    </row>
    <row r="4931" spans="1:7">
      <c r="A4931">
        <v>4979</v>
      </c>
      <c r="B4931" t="s">
        <v>6433</v>
      </c>
      <c r="C4931" t="s">
        <v>6434</v>
      </c>
      <c r="E4931">
        <v>0.01</v>
      </c>
      <c r="F4931" t="s">
        <v>546</v>
      </c>
      <c r="G4931" s="174">
        <v>45576.460914351854</v>
      </c>
    </row>
    <row r="4932" spans="1:7">
      <c r="A4932">
        <v>4980</v>
      </c>
      <c r="B4932" t="s">
        <v>1997</v>
      </c>
      <c r="C4932" t="s">
        <v>3454</v>
      </c>
      <c r="E4932">
        <v>0.1</v>
      </c>
      <c r="F4932" t="s">
        <v>546</v>
      </c>
      <c r="G4932" s="174">
        <v>45576.460914351854</v>
      </c>
    </row>
    <row r="4933" spans="1:7">
      <c r="A4933">
        <v>4981</v>
      </c>
      <c r="B4933" t="s">
        <v>6435</v>
      </c>
      <c r="C4933" t="s">
        <v>6436</v>
      </c>
      <c r="E4933">
        <v>0.1</v>
      </c>
      <c r="F4933" t="s">
        <v>546</v>
      </c>
      <c r="G4933" s="174">
        <v>45576.460914351854</v>
      </c>
    </row>
    <row r="4934" spans="1:7">
      <c r="A4934">
        <v>4982</v>
      </c>
      <c r="B4934" t="s">
        <v>6437</v>
      </c>
      <c r="C4934" t="s">
        <v>5408</v>
      </c>
      <c r="E4934">
        <v>0.01</v>
      </c>
      <c r="F4934" t="s">
        <v>546</v>
      </c>
      <c r="G4934" s="174">
        <v>45576.460914351854</v>
      </c>
    </row>
    <row r="4935" spans="1:7">
      <c r="A4935">
        <v>4983</v>
      </c>
      <c r="B4935" t="s">
        <v>6438</v>
      </c>
      <c r="C4935" t="s">
        <v>6305</v>
      </c>
      <c r="E4935">
        <v>0.01</v>
      </c>
      <c r="F4935" t="s">
        <v>546</v>
      </c>
      <c r="G4935" s="174">
        <v>45576.460914351854</v>
      </c>
    </row>
    <row r="4936" spans="1:7">
      <c r="A4936">
        <v>4984</v>
      </c>
      <c r="B4936" t="s">
        <v>6439</v>
      </c>
      <c r="C4936" t="s">
        <v>6440</v>
      </c>
      <c r="E4936">
        <v>0.01</v>
      </c>
      <c r="F4936" t="s">
        <v>546</v>
      </c>
      <c r="G4936" s="174">
        <v>45576.460914351854</v>
      </c>
    </row>
    <row r="4937" spans="1:7">
      <c r="A4937">
        <v>4985</v>
      </c>
      <c r="B4937" t="s">
        <v>6441</v>
      </c>
      <c r="C4937" t="s">
        <v>3687</v>
      </c>
      <c r="E4937">
        <v>0.01</v>
      </c>
      <c r="F4937" t="s">
        <v>546</v>
      </c>
      <c r="G4937" s="174">
        <v>45576.460914351854</v>
      </c>
    </row>
    <row r="4938" spans="1:7">
      <c r="A4938">
        <v>4986</v>
      </c>
      <c r="B4938" t="s">
        <v>6442</v>
      </c>
      <c r="C4938" t="s">
        <v>6443</v>
      </c>
      <c r="E4938">
        <v>0.1</v>
      </c>
      <c r="F4938" t="s">
        <v>546</v>
      </c>
      <c r="G4938" s="174">
        <v>45576.460914351854</v>
      </c>
    </row>
    <row r="4939" spans="1:7">
      <c r="A4939">
        <v>4988</v>
      </c>
      <c r="B4939" t="s">
        <v>6444</v>
      </c>
      <c r="C4939" t="s">
        <v>2901</v>
      </c>
      <c r="E4939">
        <v>0.01</v>
      </c>
      <c r="F4939" t="s">
        <v>546</v>
      </c>
      <c r="G4939" s="174">
        <v>45576.460914351854</v>
      </c>
    </row>
    <row r="4940" spans="1:7">
      <c r="A4940">
        <v>4989</v>
      </c>
      <c r="B4940" t="s">
        <v>6444</v>
      </c>
      <c r="C4940" t="s">
        <v>2796</v>
      </c>
      <c r="E4940">
        <v>0.1</v>
      </c>
      <c r="F4940" t="s">
        <v>546</v>
      </c>
      <c r="G4940" s="174">
        <v>45576.460914351854</v>
      </c>
    </row>
    <row r="4941" spans="1:7">
      <c r="A4941">
        <v>4990</v>
      </c>
      <c r="B4941" t="s">
        <v>6445</v>
      </c>
      <c r="C4941" t="s">
        <v>6260</v>
      </c>
      <c r="E4941">
        <v>0.6</v>
      </c>
      <c r="F4941" t="s">
        <v>546</v>
      </c>
      <c r="G4941" s="174">
        <v>45576.460914351854</v>
      </c>
    </row>
    <row r="4942" spans="1:7">
      <c r="A4942">
        <v>4991</v>
      </c>
      <c r="B4942" t="s">
        <v>6445</v>
      </c>
      <c r="C4942" t="s">
        <v>6446</v>
      </c>
      <c r="E4942">
        <v>0.8</v>
      </c>
      <c r="F4942" t="s">
        <v>546</v>
      </c>
      <c r="G4942" s="174">
        <v>45576.460914351854</v>
      </c>
    </row>
    <row r="4943" spans="1:7">
      <c r="A4943">
        <v>4992</v>
      </c>
      <c r="B4943" t="s">
        <v>6447</v>
      </c>
      <c r="C4943" t="s">
        <v>6448</v>
      </c>
      <c r="E4943">
        <v>0.1</v>
      </c>
      <c r="F4943" t="s">
        <v>546</v>
      </c>
      <c r="G4943" s="174">
        <v>45576.460914351854</v>
      </c>
    </row>
    <row r="4944" spans="1:7">
      <c r="A4944">
        <v>4993</v>
      </c>
      <c r="B4944" t="s">
        <v>6449</v>
      </c>
      <c r="C4944" t="s">
        <v>3333</v>
      </c>
      <c r="E4944">
        <v>0.01</v>
      </c>
      <c r="F4944" t="s">
        <v>546</v>
      </c>
      <c r="G4944" s="174">
        <v>45576.460914351854</v>
      </c>
    </row>
    <row r="4945" spans="1:7">
      <c r="A4945">
        <v>4994</v>
      </c>
      <c r="B4945" t="s">
        <v>6450</v>
      </c>
      <c r="C4945" t="s">
        <v>4135</v>
      </c>
      <c r="E4945">
        <v>0.01</v>
      </c>
      <c r="F4945" t="s">
        <v>546</v>
      </c>
      <c r="G4945" s="174">
        <v>45576.460914351854</v>
      </c>
    </row>
    <row r="4946" spans="1:7">
      <c r="A4946">
        <v>4995</v>
      </c>
      <c r="B4946" t="s">
        <v>6451</v>
      </c>
      <c r="C4946" t="s">
        <v>3378</v>
      </c>
      <c r="E4946">
        <v>0.01</v>
      </c>
      <c r="F4946" t="s">
        <v>546</v>
      </c>
      <c r="G4946" s="174">
        <v>45576.460914351854</v>
      </c>
    </row>
    <row r="4947" spans="1:7">
      <c r="A4947">
        <v>4996</v>
      </c>
      <c r="B4947" t="s">
        <v>6452</v>
      </c>
      <c r="C4947" t="s">
        <v>3353</v>
      </c>
      <c r="E4947">
        <v>0.01</v>
      </c>
      <c r="F4947" t="s">
        <v>546</v>
      </c>
      <c r="G4947" s="174">
        <v>45576.460914351854</v>
      </c>
    </row>
    <row r="4948" spans="1:7">
      <c r="A4948">
        <v>4997</v>
      </c>
      <c r="B4948" t="s">
        <v>6453</v>
      </c>
      <c r="C4948" t="s">
        <v>3937</v>
      </c>
      <c r="E4948">
        <v>0.01</v>
      </c>
      <c r="F4948" t="s">
        <v>546</v>
      </c>
      <c r="G4948" s="174">
        <v>45576.460914351854</v>
      </c>
    </row>
    <row r="4949" spans="1:7">
      <c r="A4949">
        <v>4998</v>
      </c>
      <c r="B4949" t="s">
        <v>6454</v>
      </c>
      <c r="C4949" t="s">
        <v>3019</v>
      </c>
      <c r="E4949">
        <v>0.01</v>
      </c>
      <c r="F4949" t="s">
        <v>546</v>
      </c>
      <c r="G4949" s="174">
        <v>45576.460914351854</v>
      </c>
    </row>
    <row r="4950" spans="1:7">
      <c r="A4950">
        <v>4999</v>
      </c>
      <c r="B4950" t="s">
        <v>2003</v>
      </c>
      <c r="C4950" t="s">
        <v>5612</v>
      </c>
      <c r="E4950">
        <v>0.01</v>
      </c>
      <c r="F4950" t="s">
        <v>546</v>
      </c>
      <c r="G4950" s="174">
        <v>45576.460914351854</v>
      </c>
    </row>
    <row r="4951" spans="1:7">
      <c r="A4951">
        <v>5000</v>
      </c>
      <c r="B4951" t="s">
        <v>6455</v>
      </c>
      <c r="C4951" t="s">
        <v>3062</v>
      </c>
      <c r="E4951">
        <v>0.01</v>
      </c>
      <c r="F4951" t="s">
        <v>546</v>
      </c>
      <c r="G4951" s="174">
        <v>45576.460914351854</v>
      </c>
    </row>
    <row r="4952" spans="1:7">
      <c r="A4952">
        <v>5001</v>
      </c>
      <c r="B4952" t="s">
        <v>6456</v>
      </c>
      <c r="C4952" t="s">
        <v>5537</v>
      </c>
      <c r="E4952">
        <v>0.1</v>
      </c>
      <c r="F4952" t="s">
        <v>546</v>
      </c>
      <c r="G4952" s="174">
        <v>45576.460914351854</v>
      </c>
    </row>
    <row r="4953" spans="1:7">
      <c r="A4953">
        <v>5002</v>
      </c>
      <c r="B4953" t="s">
        <v>6457</v>
      </c>
      <c r="C4953" t="s">
        <v>6458</v>
      </c>
      <c r="E4953">
        <v>0.01</v>
      </c>
      <c r="F4953" t="s">
        <v>546</v>
      </c>
      <c r="G4953" s="174">
        <v>45576.460914351854</v>
      </c>
    </row>
    <row r="4954" spans="1:7">
      <c r="A4954">
        <v>5003</v>
      </c>
      <c r="B4954" t="s">
        <v>6459</v>
      </c>
      <c r="C4954" t="s">
        <v>6460</v>
      </c>
      <c r="E4954">
        <v>0.01</v>
      </c>
      <c r="F4954" t="s">
        <v>546</v>
      </c>
      <c r="G4954" s="174">
        <v>45576.460914351854</v>
      </c>
    </row>
    <row r="4955" spans="1:7">
      <c r="A4955">
        <v>5004</v>
      </c>
      <c r="B4955" t="s">
        <v>6461</v>
      </c>
      <c r="C4955" t="s">
        <v>6462</v>
      </c>
      <c r="E4955">
        <v>0.01</v>
      </c>
      <c r="F4955" t="s">
        <v>546</v>
      </c>
      <c r="G4955" s="174">
        <v>45576.460914351854</v>
      </c>
    </row>
    <row r="4956" spans="1:7">
      <c r="A4956">
        <v>5005</v>
      </c>
      <c r="B4956" t="s">
        <v>6463</v>
      </c>
      <c r="C4956" t="s">
        <v>6464</v>
      </c>
      <c r="E4956">
        <v>0.01</v>
      </c>
      <c r="F4956" t="s">
        <v>546</v>
      </c>
      <c r="G4956" s="174">
        <v>45576.460914351854</v>
      </c>
    </row>
    <row r="4957" spans="1:7">
      <c r="A4957">
        <v>5006</v>
      </c>
      <c r="B4957" t="s">
        <v>6465</v>
      </c>
      <c r="C4957" t="s">
        <v>2783</v>
      </c>
      <c r="E4957">
        <v>0.01</v>
      </c>
      <c r="F4957" t="s">
        <v>546</v>
      </c>
      <c r="G4957" s="174">
        <v>45576.460914351854</v>
      </c>
    </row>
    <row r="4958" spans="1:7">
      <c r="A4958">
        <v>5007</v>
      </c>
      <c r="B4958" t="s">
        <v>6465</v>
      </c>
      <c r="C4958" t="s">
        <v>2786</v>
      </c>
      <c r="E4958">
        <v>0.1</v>
      </c>
      <c r="F4958" t="s">
        <v>546</v>
      </c>
      <c r="G4958" s="174">
        <v>45576.460914351854</v>
      </c>
    </row>
    <row r="4959" spans="1:7">
      <c r="A4959">
        <v>5008</v>
      </c>
      <c r="B4959" t="s">
        <v>6466</v>
      </c>
      <c r="C4959" t="s">
        <v>5665</v>
      </c>
      <c r="E4959">
        <v>0.1</v>
      </c>
      <c r="F4959" t="s">
        <v>546</v>
      </c>
      <c r="G4959" s="174">
        <v>45576.460914351854</v>
      </c>
    </row>
    <row r="4960" spans="1:7">
      <c r="A4960">
        <v>5009</v>
      </c>
      <c r="B4960" t="s">
        <v>6467</v>
      </c>
      <c r="C4960" t="s">
        <v>4149</v>
      </c>
      <c r="E4960">
        <v>0.01</v>
      </c>
      <c r="F4960" t="s">
        <v>546</v>
      </c>
      <c r="G4960" s="174">
        <v>45576.460914351854</v>
      </c>
    </row>
    <row r="4961" spans="1:7">
      <c r="A4961">
        <v>5010</v>
      </c>
      <c r="B4961" t="s">
        <v>6468</v>
      </c>
      <c r="C4961" t="s">
        <v>3143</v>
      </c>
      <c r="E4961">
        <v>0.01</v>
      </c>
      <c r="F4961" t="s">
        <v>546</v>
      </c>
      <c r="G4961" s="174">
        <v>45576.460914351854</v>
      </c>
    </row>
    <row r="4962" spans="1:7">
      <c r="A4962">
        <v>5011</v>
      </c>
      <c r="B4962" t="s">
        <v>6468</v>
      </c>
      <c r="C4962" t="s">
        <v>741</v>
      </c>
      <c r="E4962">
        <v>0.01</v>
      </c>
      <c r="F4962" t="s">
        <v>546</v>
      </c>
      <c r="G4962" s="174">
        <v>45576.460914351854</v>
      </c>
    </row>
    <row r="4963" spans="1:7">
      <c r="A4963">
        <v>5012</v>
      </c>
      <c r="B4963" t="s">
        <v>6468</v>
      </c>
      <c r="C4963" t="s">
        <v>4172</v>
      </c>
      <c r="E4963">
        <v>0.01</v>
      </c>
      <c r="F4963" t="s">
        <v>546</v>
      </c>
      <c r="G4963" s="174">
        <v>45576.460914351854</v>
      </c>
    </row>
    <row r="4964" spans="1:7">
      <c r="A4964">
        <v>5013</v>
      </c>
      <c r="B4964" t="s">
        <v>6468</v>
      </c>
      <c r="C4964" t="s">
        <v>3170</v>
      </c>
      <c r="E4964">
        <v>0.01</v>
      </c>
      <c r="F4964" t="s">
        <v>546</v>
      </c>
      <c r="G4964" s="174">
        <v>45576.460914351854</v>
      </c>
    </row>
    <row r="4965" spans="1:7">
      <c r="A4965">
        <v>5014</v>
      </c>
      <c r="B4965" t="s">
        <v>6469</v>
      </c>
      <c r="C4965" t="s">
        <v>6470</v>
      </c>
      <c r="E4965">
        <v>0.01</v>
      </c>
      <c r="F4965" t="s">
        <v>546</v>
      </c>
      <c r="G4965" s="174">
        <v>45576.460914351854</v>
      </c>
    </row>
    <row r="4966" spans="1:7">
      <c r="A4966">
        <v>5015</v>
      </c>
      <c r="B4966" t="s">
        <v>6471</v>
      </c>
      <c r="C4966" t="s">
        <v>3933</v>
      </c>
      <c r="E4966">
        <v>0.01</v>
      </c>
      <c r="F4966" t="s">
        <v>546</v>
      </c>
      <c r="G4966" s="174">
        <v>45576.460914351854</v>
      </c>
    </row>
    <row r="4967" spans="1:7">
      <c r="A4967">
        <v>5016</v>
      </c>
      <c r="B4967" t="s">
        <v>6472</v>
      </c>
      <c r="C4967" t="s">
        <v>1848</v>
      </c>
      <c r="E4967">
        <v>0.01</v>
      </c>
      <c r="F4967" t="s">
        <v>546</v>
      </c>
      <c r="G4967" s="174">
        <v>45576.460914351854</v>
      </c>
    </row>
    <row r="4968" spans="1:7">
      <c r="A4968">
        <v>5017</v>
      </c>
      <c r="B4968" t="s">
        <v>6473</v>
      </c>
      <c r="C4968" t="s">
        <v>2865</v>
      </c>
      <c r="E4968">
        <v>0.01</v>
      </c>
      <c r="F4968" t="s">
        <v>546</v>
      </c>
      <c r="G4968" s="174">
        <v>45576.460914351854</v>
      </c>
    </row>
    <row r="4969" spans="1:7">
      <c r="A4969">
        <v>5018</v>
      </c>
      <c r="B4969" t="s">
        <v>6474</v>
      </c>
      <c r="C4969" t="s">
        <v>3887</v>
      </c>
      <c r="E4969">
        <v>0.01</v>
      </c>
      <c r="F4969" t="s">
        <v>546</v>
      </c>
      <c r="G4969" s="174">
        <v>45576.460914351854</v>
      </c>
    </row>
    <row r="4970" spans="1:7">
      <c r="A4970">
        <v>5019</v>
      </c>
      <c r="B4970" t="s">
        <v>6474</v>
      </c>
      <c r="C4970" t="s">
        <v>6475</v>
      </c>
      <c r="E4970">
        <v>0.01</v>
      </c>
      <c r="F4970" t="s">
        <v>546</v>
      </c>
      <c r="G4970" s="174">
        <v>45576.460914351854</v>
      </c>
    </row>
    <row r="4971" spans="1:7">
      <c r="A4971">
        <v>5020</v>
      </c>
      <c r="B4971" t="s">
        <v>6474</v>
      </c>
      <c r="C4971" t="s">
        <v>4513</v>
      </c>
      <c r="E4971">
        <v>0.01</v>
      </c>
      <c r="F4971" t="s">
        <v>546</v>
      </c>
      <c r="G4971" s="174">
        <v>45576.460914351854</v>
      </c>
    </row>
    <row r="4972" spans="1:7">
      <c r="A4972">
        <v>5021</v>
      </c>
      <c r="B4972" t="s">
        <v>6476</v>
      </c>
      <c r="C4972" t="s">
        <v>6477</v>
      </c>
      <c r="E4972">
        <v>0.01</v>
      </c>
      <c r="F4972" t="s">
        <v>546</v>
      </c>
      <c r="G4972" s="174">
        <v>45576.460914351854</v>
      </c>
    </row>
    <row r="4973" spans="1:7">
      <c r="A4973">
        <v>5022</v>
      </c>
      <c r="B4973" t="s">
        <v>2019</v>
      </c>
      <c r="C4973" t="s">
        <v>5373</v>
      </c>
      <c r="E4973">
        <v>0.01</v>
      </c>
      <c r="F4973" t="s">
        <v>546</v>
      </c>
      <c r="G4973" s="174">
        <v>45576.460914351854</v>
      </c>
    </row>
    <row r="4974" spans="1:7">
      <c r="A4974">
        <v>5023</v>
      </c>
      <c r="B4974" t="s">
        <v>6478</v>
      </c>
      <c r="C4974" t="s">
        <v>5897</v>
      </c>
      <c r="E4974">
        <v>0.01</v>
      </c>
      <c r="F4974" t="s">
        <v>546</v>
      </c>
      <c r="G4974" s="174">
        <v>45576.460914351854</v>
      </c>
    </row>
    <row r="4975" spans="1:7">
      <c r="A4975">
        <v>5024</v>
      </c>
      <c r="B4975" t="s">
        <v>2024</v>
      </c>
      <c r="C4975" t="s">
        <v>5652</v>
      </c>
      <c r="E4975">
        <v>0.01</v>
      </c>
      <c r="F4975" t="s">
        <v>546</v>
      </c>
      <c r="G4975" s="174">
        <v>45576.460914351854</v>
      </c>
    </row>
    <row r="4976" spans="1:7">
      <c r="A4976">
        <v>5025</v>
      </c>
      <c r="B4976" t="s">
        <v>2024</v>
      </c>
      <c r="C4976" t="s">
        <v>5054</v>
      </c>
      <c r="E4976">
        <v>0.01</v>
      </c>
      <c r="F4976" t="s">
        <v>546</v>
      </c>
      <c r="G4976" s="174">
        <v>45576.460914351854</v>
      </c>
    </row>
    <row r="4977" spans="1:7">
      <c r="A4977">
        <v>5026</v>
      </c>
      <c r="B4977" t="s">
        <v>6479</v>
      </c>
      <c r="C4977" t="s">
        <v>3488</v>
      </c>
      <c r="E4977">
        <v>0.01</v>
      </c>
      <c r="F4977" t="s">
        <v>546</v>
      </c>
      <c r="G4977" s="174">
        <v>45576.460914351854</v>
      </c>
    </row>
    <row r="4978" spans="1:7">
      <c r="A4978">
        <v>5027</v>
      </c>
      <c r="B4978" t="s">
        <v>6480</v>
      </c>
      <c r="C4978" t="s">
        <v>6481</v>
      </c>
      <c r="E4978">
        <v>1</v>
      </c>
      <c r="F4978" t="s">
        <v>6482</v>
      </c>
      <c r="G4978" s="174">
        <v>45576.460914351854</v>
      </c>
    </row>
    <row r="4979" spans="1:7">
      <c r="A4979">
        <v>5028</v>
      </c>
      <c r="B4979" t="s">
        <v>6483</v>
      </c>
      <c r="C4979" t="s">
        <v>6484</v>
      </c>
      <c r="E4979">
        <v>0.01</v>
      </c>
      <c r="F4979" t="s">
        <v>546</v>
      </c>
      <c r="G4979" s="174">
        <v>45576.460914351854</v>
      </c>
    </row>
    <row r="4980" spans="1:7">
      <c r="A4980">
        <v>5029</v>
      </c>
      <c r="B4980" t="s">
        <v>6485</v>
      </c>
      <c r="C4980" t="s">
        <v>4267</v>
      </c>
      <c r="E4980">
        <v>0.1</v>
      </c>
      <c r="F4980" t="s">
        <v>546</v>
      </c>
      <c r="G4980" s="174">
        <v>45576.460914351854</v>
      </c>
    </row>
    <row r="4981" spans="1:7">
      <c r="A4981">
        <v>5030</v>
      </c>
      <c r="B4981" t="s">
        <v>6486</v>
      </c>
      <c r="C4981" t="s">
        <v>6076</v>
      </c>
      <c r="E4981">
        <v>0.01</v>
      </c>
      <c r="F4981" t="s">
        <v>546</v>
      </c>
      <c r="G4981" s="174">
        <v>45576.460914351854</v>
      </c>
    </row>
    <row r="4982" spans="1:7">
      <c r="A4982">
        <v>5031</v>
      </c>
      <c r="B4982" t="s">
        <v>6486</v>
      </c>
      <c r="C4982" t="s">
        <v>6079</v>
      </c>
      <c r="E4982">
        <v>0.01</v>
      </c>
      <c r="F4982" t="s">
        <v>546</v>
      </c>
      <c r="G4982" s="174">
        <v>45576.460914351854</v>
      </c>
    </row>
    <row r="4983" spans="1:7">
      <c r="A4983">
        <v>5032</v>
      </c>
      <c r="B4983" t="s">
        <v>6486</v>
      </c>
      <c r="C4983" t="s">
        <v>6487</v>
      </c>
      <c r="E4983">
        <v>0.01</v>
      </c>
      <c r="F4983" t="s">
        <v>546</v>
      </c>
      <c r="G4983" s="174">
        <v>45576.460914351854</v>
      </c>
    </row>
    <row r="4984" spans="1:7">
      <c r="A4984">
        <v>5033</v>
      </c>
      <c r="B4984" t="s">
        <v>6488</v>
      </c>
      <c r="C4984" t="s">
        <v>5603</v>
      </c>
      <c r="E4984">
        <v>0.01</v>
      </c>
      <c r="F4984" t="s">
        <v>546</v>
      </c>
      <c r="G4984" s="174">
        <v>45576.460914351854</v>
      </c>
    </row>
    <row r="4985" spans="1:7">
      <c r="A4985">
        <v>5034</v>
      </c>
      <c r="B4985" t="s">
        <v>6488</v>
      </c>
      <c r="C4985" t="s">
        <v>5568</v>
      </c>
      <c r="E4985">
        <v>0.01</v>
      </c>
      <c r="F4985" t="s">
        <v>546</v>
      </c>
      <c r="G4985" s="174">
        <v>45576.460914351854</v>
      </c>
    </row>
    <row r="4986" spans="1:7">
      <c r="A4986">
        <v>5035</v>
      </c>
      <c r="B4986" t="s">
        <v>6489</v>
      </c>
      <c r="C4986" t="s">
        <v>4522</v>
      </c>
      <c r="E4986">
        <v>0.1</v>
      </c>
      <c r="F4986" t="s">
        <v>546</v>
      </c>
      <c r="G4986" s="174">
        <v>45576.460914351854</v>
      </c>
    </row>
    <row r="4987" spans="1:7">
      <c r="A4987">
        <v>5036</v>
      </c>
      <c r="B4987" t="s">
        <v>6490</v>
      </c>
      <c r="C4987" t="s">
        <v>3366</v>
      </c>
      <c r="E4987">
        <v>0.01</v>
      </c>
      <c r="F4987" t="s">
        <v>546</v>
      </c>
      <c r="G4987" s="174">
        <v>45576.460914351854</v>
      </c>
    </row>
    <row r="4988" spans="1:7">
      <c r="A4988">
        <v>5037</v>
      </c>
      <c r="B4988" t="s">
        <v>6491</v>
      </c>
      <c r="C4988" t="s">
        <v>3122</v>
      </c>
      <c r="E4988">
        <v>0.1</v>
      </c>
      <c r="F4988" t="s">
        <v>546</v>
      </c>
      <c r="G4988" s="174">
        <v>45576.460914351854</v>
      </c>
    </row>
    <row r="4989" spans="1:7">
      <c r="A4989">
        <v>5038</v>
      </c>
      <c r="B4989" t="s">
        <v>6491</v>
      </c>
      <c r="C4989" t="s">
        <v>3312</v>
      </c>
      <c r="E4989">
        <v>0.01</v>
      </c>
      <c r="F4989" t="s">
        <v>546</v>
      </c>
      <c r="G4989" s="174">
        <v>45576.460914351854</v>
      </c>
    </row>
    <row r="4990" spans="1:7">
      <c r="A4990">
        <v>5039</v>
      </c>
      <c r="B4990" t="s">
        <v>6492</v>
      </c>
      <c r="C4990" t="s">
        <v>6493</v>
      </c>
      <c r="E4990">
        <v>0.01</v>
      </c>
      <c r="F4990" t="s">
        <v>546</v>
      </c>
      <c r="G4990" s="174">
        <v>45576.460914351854</v>
      </c>
    </row>
    <row r="4991" spans="1:7">
      <c r="A4991">
        <v>5040</v>
      </c>
      <c r="B4991" t="s">
        <v>6494</v>
      </c>
      <c r="C4991" t="s">
        <v>3903</v>
      </c>
      <c r="E4991">
        <v>0.8</v>
      </c>
      <c r="F4991" t="s">
        <v>546</v>
      </c>
      <c r="G4991" s="174">
        <v>45576.460914351854</v>
      </c>
    </row>
    <row r="4992" spans="1:7">
      <c r="A4992">
        <v>5041</v>
      </c>
      <c r="B4992" t="s">
        <v>2031</v>
      </c>
      <c r="C4992" t="s">
        <v>3312</v>
      </c>
      <c r="E4992">
        <v>0.01</v>
      </c>
      <c r="F4992" t="s">
        <v>546</v>
      </c>
      <c r="G4992" s="174">
        <v>45576.460914351854</v>
      </c>
    </row>
    <row r="4993" spans="1:7">
      <c r="A4993">
        <v>5042</v>
      </c>
      <c r="B4993" t="s">
        <v>6495</v>
      </c>
      <c r="C4993" t="s">
        <v>2999</v>
      </c>
      <c r="E4993">
        <v>0.01</v>
      </c>
      <c r="F4993" t="s">
        <v>546</v>
      </c>
      <c r="G4993" s="174">
        <v>45576.460914351854</v>
      </c>
    </row>
    <row r="4994" spans="1:7">
      <c r="A4994">
        <v>5043</v>
      </c>
      <c r="B4994" t="s">
        <v>6496</v>
      </c>
      <c r="C4994" t="s">
        <v>3392</v>
      </c>
      <c r="E4994">
        <v>0.01</v>
      </c>
      <c r="F4994" t="s">
        <v>546</v>
      </c>
      <c r="G4994" s="174">
        <v>45576.460914351854</v>
      </c>
    </row>
    <row r="4995" spans="1:7">
      <c r="A4995">
        <v>5044</v>
      </c>
      <c r="B4995" t="s">
        <v>6497</v>
      </c>
      <c r="C4995" t="s">
        <v>3850</v>
      </c>
      <c r="E4995">
        <v>0.01</v>
      </c>
      <c r="F4995" t="s">
        <v>546</v>
      </c>
      <c r="G4995" s="174">
        <v>45576.460914351854</v>
      </c>
    </row>
    <row r="4996" spans="1:7">
      <c r="A4996">
        <v>5045</v>
      </c>
      <c r="B4996" t="s">
        <v>6498</v>
      </c>
      <c r="C4996" t="s">
        <v>6499</v>
      </c>
      <c r="E4996">
        <v>0.01</v>
      </c>
      <c r="F4996" t="s">
        <v>546</v>
      </c>
      <c r="G4996" s="174">
        <v>45576.460914351854</v>
      </c>
    </row>
    <row r="4997" spans="1:7">
      <c r="A4997">
        <v>5046</v>
      </c>
      <c r="B4997" t="s">
        <v>6500</v>
      </c>
      <c r="C4997" t="s">
        <v>2945</v>
      </c>
      <c r="E4997">
        <v>0.01</v>
      </c>
      <c r="F4997" t="s">
        <v>546</v>
      </c>
      <c r="G4997" s="174">
        <v>45576.460914351854</v>
      </c>
    </row>
    <row r="4998" spans="1:7">
      <c r="A4998">
        <v>5047</v>
      </c>
      <c r="B4998" t="s">
        <v>6501</v>
      </c>
      <c r="C4998" t="s">
        <v>2986</v>
      </c>
      <c r="E4998">
        <v>0.01</v>
      </c>
      <c r="F4998" t="s">
        <v>546</v>
      </c>
      <c r="G4998" s="174">
        <v>45576.460914351854</v>
      </c>
    </row>
    <row r="4999" spans="1:7">
      <c r="A4999">
        <v>5048</v>
      </c>
      <c r="B4999" t="s">
        <v>6502</v>
      </c>
      <c r="C4999" t="s">
        <v>6503</v>
      </c>
      <c r="E4999">
        <v>0.1</v>
      </c>
      <c r="F4999" t="s">
        <v>546</v>
      </c>
      <c r="G4999" s="174">
        <v>45576.460914351854</v>
      </c>
    </row>
    <row r="5000" spans="1:7">
      <c r="A5000">
        <v>5049</v>
      </c>
      <c r="B5000" t="s">
        <v>6504</v>
      </c>
      <c r="C5000" t="s">
        <v>6505</v>
      </c>
      <c r="E5000">
        <v>0.01</v>
      </c>
      <c r="F5000" t="s">
        <v>546</v>
      </c>
      <c r="G5000" s="174">
        <v>45576.460914351854</v>
      </c>
    </row>
    <row r="5001" spans="1:7">
      <c r="A5001">
        <v>5050</v>
      </c>
      <c r="B5001" t="s">
        <v>6506</v>
      </c>
      <c r="C5001" t="s">
        <v>2879</v>
      </c>
      <c r="E5001">
        <v>0.01</v>
      </c>
      <c r="F5001" t="s">
        <v>546</v>
      </c>
      <c r="G5001" s="174">
        <v>45576.460914351854</v>
      </c>
    </row>
    <row r="5002" spans="1:7">
      <c r="A5002">
        <v>5051</v>
      </c>
      <c r="B5002" t="s">
        <v>2038</v>
      </c>
      <c r="C5002" t="s">
        <v>4672</v>
      </c>
      <c r="E5002">
        <v>0.1</v>
      </c>
      <c r="F5002" t="s">
        <v>546</v>
      </c>
      <c r="G5002" s="174">
        <v>45576.460914351854</v>
      </c>
    </row>
    <row r="5003" spans="1:7">
      <c r="A5003">
        <v>5052</v>
      </c>
      <c r="B5003" t="s">
        <v>6507</v>
      </c>
      <c r="C5003" t="s">
        <v>3454</v>
      </c>
      <c r="E5003">
        <v>0.1</v>
      </c>
      <c r="F5003" t="s">
        <v>546</v>
      </c>
      <c r="G5003" s="174">
        <v>45576.460914351854</v>
      </c>
    </row>
    <row r="5004" spans="1:7">
      <c r="A5004">
        <v>5053</v>
      </c>
      <c r="B5004" t="s">
        <v>2039</v>
      </c>
      <c r="C5004" t="s">
        <v>6508</v>
      </c>
      <c r="E5004">
        <v>0.01</v>
      </c>
      <c r="F5004" t="s">
        <v>546</v>
      </c>
      <c r="G5004" s="174">
        <v>45576.460914351854</v>
      </c>
    </row>
    <row r="5005" spans="1:7">
      <c r="A5005">
        <v>5054</v>
      </c>
      <c r="B5005" t="s">
        <v>6509</v>
      </c>
      <c r="C5005" t="s">
        <v>6279</v>
      </c>
      <c r="E5005">
        <v>0.01</v>
      </c>
      <c r="F5005" t="s">
        <v>546</v>
      </c>
      <c r="G5005" s="174">
        <v>45576.460914351854</v>
      </c>
    </row>
    <row r="5006" spans="1:7">
      <c r="A5006">
        <v>5055</v>
      </c>
      <c r="B5006" t="s">
        <v>6510</v>
      </c>
      <c r="C5006" t="s">
        <v>3376</v>
      </c>
      <c r="E5006">
        <v>0.01</v>
      </c>
      <c r="F5006" t="s">
        <v>546</v>
      </c>
      <c r="G5006" s="174">
        <v>45576.460914351854</v>
      </c>
    </row>
    <row r="5007" spans="1:7">
      <c r="A5007">
        <v>5056</v>
      </c>
      <c r="B5007" t="s">
        <v>6511</v>
      </c>
      <c r="C5007" t="s">
        <v>3018</v>
      </c>
      <c r="E5007">
        <v>0.01</v>
      </c>
      <c r="F5007" t="s">
        <v>546</v>
      </c>
      <c r="G5007" s="174">
        <v>45576.460914351854</v>
      </c>
    </row>
    <row r="5008" spans="1:7">
      <c r="A5008">
        <v>5057</v>
      </c>
      <c r="B5008" t="s">
        <v>6512</v>
      </c>
      <c r="C5008" t="s">
        <v>6513</v>
      </c>
      <c r="E5008">
        <v>0.01</v>
      </c>
      <c r="F5008" t="s">
        <v>546</v>
      </c>
      <c r="G5008" s="174">
        <v>45576.460914351854</v>
      </c>
    </row>
    <row r="5009" spans="1:7">
      <c r="A5009">
        <v>5058</v>
      </c>
      <c r="B5009" t="s">
        <v>6514</v>
      </c>
      <c r="C5009" t="s">
        <v>3122</v>
      </c>
      <c r="E5009">
        <v>0.01</v>
      </c>
      <c r="F5009" t="s">
        <v>546</v>
      </c>
      <c r="G5009" s="174">
        <v>45576.460914351854</v>
      </c>
    </row>
    <row r="5010" spans="1:7">
      <c r="A5010">
        <v>5059</v>
      </c>
      <c r="B5010" t="s">
        <v>6515</v>
      </c>
      <c r="C5010" t="s">
        <v>3265</v>
      </c>
      <c r="E5010">
        <v>0.01</v>
      </c>
      <c r="F5010" t="s">
        <v>546</v>
      </c>
      <c r="G5010" s="174">
        <v>45576.460914351854</v>
      </c>
    </row>
    <row r="5011" spans="1:7">
      <c r="A5011">
        <v>5060</v>
      </c>
      <c r="B5011" t="s">
        <v>6516</v>
      </c>
      <c r="C5011" t="s">
        <v>5132</v>
      </c>
      <c r="E5011">
        <v>0.01</v>
      </c>
      <c r="F5011" t="s">
        <v>546</v>
      </c>
      <c r="G5011" s="174">
        <v>45576.460914351854</v>
      </c>
    </row>
    <row r="5012" spans="1:7">
      <c r="A5012">
        <v>5061</v>
      </c>
      <c r="B5012" t="s">
        <v>6517</v>
      </c>
      <c r="C5012" t="s">
        <v>6518</v>
      </c>
      <c r="E5012">
        <v>0.01</v>
      </c>
      <c r="F5012" t="s">
        <v>546</v>
      </c>
      <c r="G5012" s="174">
        <v>45576.460914351854</v>
      </c>
    </row>
    <row r="5013" spans="1:7">
      <c r="A5013">
        <v>5062</v>
      </c>
      <c r="B5013" t="s">
        <v>6519</v>
      </c>
      <c r="C5013" t="s">
        <v>3557</v>
      </c>
      <c r="E5013">
        <v>0.01</v>
      </c>
      <c r="F5013" t="s">
        <v>546</v>
      </c>
      <c r="G5013" s="174">
        <v>45576.460914351854</v>
      </c>
    </row>
    <row r="5014" spans="1:7">
      <c r="A5014">
        <v>5063</v>
      </c>
      <c r="B5014" t="s">
        <v>6520</v>
      </c>
      <c r="C5014" t="s">
        <v>6521</v>
      </c>
      <c r="E5014">
        <v>0.01</v>
      </c>
      <c r="F5014" t="s">
        <v>546</v>
      </c>
      <c r="G5014" s="174">
        <v>45576.460914351854</v>
      </c>
    </row>
    <row r="5015" spans="1:7">
      <c r="A5015">
        <v>5064</v>
      </c>
      <c r="B5015" t="s">
        <v>6522</v>
      </c>
      <c r="C5015" t="s">
        <v>5247</v>
      </c>
      <c r="E5015">
        <v>0.01</v>
      </c>
      <c r="F5015" t="s">
        <v>546</v>
      </c>
      <c r="G5015" s="174">
        <v>45576.460914351854</v>
      </c>
    </row>
    <row r="5016" spans="1:7">
      <c r="A5016">
        <v>5065</v>
      </c>
      <c r="B5016" t="s">
        <v>2042</v>
      </c>
      <c r="C5016" t="s">
        <v>6523</v>
      </c>
      <c r="E5016">
        <v>0.05</v>
      </c>
      <c r="F5016" t="s">
        <v>546</v>
      </c>
      <c r="G5016" s="174">
        <v>45576.460914351854</v>
      </c>
    </row>
    <row r="5017" spans="1:7">
      <c r="A5017">
        <v>5066</v>
      </c>
      <c r="B5017" t="s">
        <v>6524</v>
      </c>
      <c r="C5017" t="s">
        <v>6525</v>
      </c>
      <c r="E5017">
        <v>0.1</v>
      </c>
      <c r="F5017" t="s">
        <v>546</v>
      </c>
      <c r="G5017" s="174">
        <v>45576.460914351854</v>
      </c>
    </row>
    <row r="5018" spans="1:7">
      <c r="A5018">
        <v>5067</v>
      </c>
      <c r="B5018" t="s">
        <v>6526</v>
      </c>
      <c r="C5018" t="s">
        <v>6527</v>
      </c>
      <c r="E5018">
        <v>0.01</v>
      </c>
      <c r="F5018" t="s">
        <v>546</v>
      </c>
      <c r="G5018" s="174">
        <v>45576.460914351854</v>
      </c>
    </row>
    <row r="5019" spans="1:7">
      <c r="A5019">
        <v>5068</v>
      </c>
      <c r="B5019" t="s">
        <v>6528</v>
      </c>
      <c r="C5019" t="s">
        <v>6529</v>
      </c>
      <c r="E5019">
        <v>0.01</v>
      </c>
      <c r="F5019" t="s">
        <v>546</v>
      </c>
      <c r="G5019" s="174">
        <v>45576.460914351854</v>
      </c>
    </row>
    <row r="5020" spans="1:7">
      <c r="A5020">
        <v>5069</v>
      </c>
      <c r="B5020" t="s">
        <v>6530</v>
      </c>
      <c r="C5020" t="s">
        <v>1499</v>
      </c>
      <c r="E5020">
        <v>0.01</v>
      </c>
      <c r="F5020" t="s">
        <v>546</v>
      </c>
      <c r="G5020" s="174">
        <v>45576.460914351854</v>
      </c>
    </row>
    <row r="5021" spans="1:7">
      <c r="A5021">
        <v>5070</v>
      </c>
      <c r="B5021" t="s">
        <v>6531</v>
      </c>
      <c r="C5021" t="s">
        <v>6532</v>
      </c>
      <c r="E5021">
        <v>0.01</v>
      </c>
      <c r="F5021" t="s">
        <v>546</v>
      </c>
      <c r="G5021" s="174">
        <v>45576.460914351854</v>
      </c>
    </row>
    <row r="5022" spans="1:7">
      <c r="A5022">
        <v>5071</v>
      </c>
      <c r="B5022" t="s">
        <v>6531</v>
      </c>
      <c r="C5022" t="s">
        <v>3879</v>
      </c>
      <c r="E5022">
        <v>0.1</v>
      </c>
      <c r="F5022" t="s">
        <v>546</v>
      </c>
      <c r="G5022" s="174">
        <v>45576.460914351854</v>
      </c>
    </row>
    <row r="5023" spans="1:7">
      <c r="A5023">
        <v>5072</v>
      </c>
      <c r="B5023" t="s">
        <v>6533</v>
      </c>
      <c r="C5023" t="s">
        <v>6534</v>
      </c>
      <c r="E5023">
        <v>0.01</v>
      </c>
      <c r="F5023" t="s">
        <v>546</v>
      </c>
      <c r="G5023" s="174">
        <v>45576.460914351854</v>
      </c>
    </row>
    <row r="5024" spans="1:7">
      <c r="A5024">
        <v>5073</v>
      </c>
      <c r="B5024" t="s">
        <v>6535</v>
      </c>
      <c r="C5024" t="s">
        <v>6536</v>
      </c>
      <c r="E5024">
        <v>0.8</v>
      </c>
      <c r="F5024" t="s">
        <v>546</v>
      </c>
      <c r="G5024" s="174">
        <v>45576.460914351854</v>
      </c>
    </row>
    <row r="5025" spans="1:7">
      <c r="A5025">
        <v>5074</v>
      </c>
      <c r="B5025" t="s">
        <v>6535</v>
      </c>
      <c r="C5025" t="s">
        <v>6537</v>
      </c>
      <c r="E5025">
        <v>0.01</v>
      </c>
      <c r="F5025" t="s">
        <v>546</v>
      </c>
      <c r="G5025" s="174">
        <v>45576.460914351854</v>
      </c>
    </row>
    <row r="5026" spans="1:7">
      <c r="A5026">
        <v>5075</v>
      </c>
      <c r="B5026" t="s">
        <v>6538</v>
      </c>
      <c r="C5026" t="s">
        <v>3265</v>
      </c>
      <c r="E5026">
        <v>0.01</v>
      </c>
      <c r="F5026" t="s">
        <v>546</v>
      </c>
      <c r="G5026" s="174">
        <v>45576.460914351854</v>
      </c>
    </row>
    <row r="5027" spans="1:7">
      <c r="A5027">
        <v>5076</v>
      </c>
      <c r="B5027" t="s">
        <v>6539</v>
      </c>
      <c r="C5027" t="s">
        <v>3339</v>
      </c>
      <c r="E5027">
        <v>0.01</v>
      </c>
      <c r="F5027" t="s">
        <v>546</v>
      </c>
      <c r="G5027" s="174">
        <v>45576.460914351854</v>
      </c>
    </row>
    <row r="5028" spans="1:7">
      <c r="A5028">
        <v>5077</v>
      </c>
      <c r="B5028" t="s">
        <v>6540</v>
      </c>
      <c r="C5028" t="s">
        <v>6541</v>
      </c>
      <c r="E5028">
        <v>0.01</v>
      </c>
      <c r="F5028" t="s">
        <v>546</v>
      </c>
      <c r="G5028" s="174">
        <v>45576.460914351854</v>
      </c>
    </row>
    <row r="5029" spans="1:7">
      <c r="A5029">
        <v>5078</v>
      </c>
      <c r="B5029" t="s">
        <v>6542</v>
      </c>
      <c r="C5029" t="s">
        <v>3392</v>
      </c>
      <c r="E5029">
        <v>0.01</v>
      </c>
      <c r="F5029" t="s">
        <v>546</v>
      </c>
      <c r="G5029" s="174">
        <v>45576.460914351854</v>
      </c>
    </row>
    <row r="5030" spans="1:7">
      <c r="A5030">
        <v>5079</v>
      </c>
      <c r="B5030" t="s">
        <v>6543</v>
      </c>
      <c r="C5030" t="s">
        <v>3542</v>
      </c>
      <c r="E5030">
        <v>0.01</v>
      </c>
      <c r="F5030" t="s">
        <v>546</v>
      </c>
      <c r="G5030" s="174">
        <v>45576.460914351854</v>
      </c>
    </row>
    <row r="5031" spans="1:7">
      <c r="A5031">
        <v>5080</v>
      </c>
      <c r="B5031" t="s">
        <v>6544</v>
      </c>
      <c r="C5031" t="s">
        <v>6545</v>
      </c>
      <c r="E5031">
        <v>0.01</v>
      </c>
      <c r="F5031" t="s">
        <v>546</v>
      </c>
      <c r="G5031" s="174">
        <v>45576.460914351854</v>
      </c>
    </row>
    <row r="5032" spans="1:7">
      <c r="A5032">
        <v>5081</v>
      </c>
      <c r="B5032" t="s">
        <v>6546</v>
      </c>
      <c r="C5032" t="s">
        <v>6547</v>
      </c>
      <c r="E5032">
        <v>0.01</v>
      </c>
      <c r="F5032" t="s">
        <v>546</v>
      </c>
      <c r="G5032" s="174">
        <v>45576.460914351854</v>
      </c>
    </row>
    <row r="5033" spans="1:7">
      <c r="A5033">
        <v>5082</v>
      </c>
      <c r="B5033" t="s">
        <v>6546</v>
      </c>
      <c r="C5033" t="s">
        <v>6548</v>
      </c>
      <c r="E5033">
        <v>0.1</v>
      </c>
      <c r="F5033" t="s">
        <v>546</v>
      </c>
      <c r="G5033" s="174">
        <v>45576.460914351854</v>
      </c>
    </row>
    <row r="5034" spans="1:7">
      <c r="A5034">
        <v>5083</v>
      </c>
      <c r="B5034" t="s">
        <v>6546</v>
      </c>
      <c r="C5034" t="s">
        <v>6549</v>
      </c>
      <c r="E5034">
        <v>0.01</v>
      </c>
      <c r="F5034" t="s">
        <v>546</v>
      </c>
      <c r="G5034" s="174">
        <v>45576.460914351854</v>
      </c>
    </row>
    <row r="5035" spans="1:7">
      <c r="A5035">
        <v>5084</v>
      </c>
      <c r="B5035" t="s">
        <v>6550</v>
      </c>
      <c r="C5035" t="s">
        <v>5346</v>
      </c>
      <c r="E5035">
        <v>0.01</v>
      </c>
      <c r="F5035" t="s">
        <v>546</v>
      </c>
      <c r="G5035" s="174">
        <v>45576.460914351854</v>
      </c>
    </row>
    <row r="5036" spans="1:7">
      <c r="A5036">
        <v>5085</v>
      </c>
      <c r="B5036" t="s">
        <v>6551</v>
      </c>
      <c r="C5036" t="s">
        <v>6552</v>
      </c>
      <c r="E5036">
        <v>0.01</v>
      </c>
      <c r="F5036" t="s">
        <v>546</v>
      </c>
      <c r="G5036" s="174">
        <v>45576.460914351854</v>
      </c>
    </row>
    <row r="5037" spans="1:7">
      <c r="A5037">
        <v>5086</v>
      </c>
      <c r="B5037" t="s">
        <v>2053</v>
      </c>
      <c r="C5037" t="s">
        <v>6553</v>
      </c>
      <c r="E5037">
        <v>0.01</v>
      </c>
      <c r="F5037" t="s">
        <v>546</v>
      </c>
      <c r="G5037" s="174">
        <v>45576.460914351854</v>
      </c>
    </row>
    <row r="5038" spans="1:7">
      <c r="A5038">
        <v>5087</v>
      </c>
      <c r="B5038" t="s">
        <v>6554</v>
      </c>
      <c r="C5038" t="s">
        <v>4452</v>
      </c>
      <c r="E5038">
        <v>0.01</v>
      </c>
      <c r="F5038" t="s">
        <v>546</v>
      </c>
      <c r="G5038" s="174">
        <v>45576.460914351854</v>
      </c>
    </row>
    <row r="5039" spans="1:7">
      <c r="A5039">
        <v>5088</v>
      </c>
      <c r="B5039" t="s">
        <v>6555</v>
      </c>
      <c r="C5039" t="s">
        <v>3621</v>
      </c>
      <c r="E5039">
        <v>0.1</v>
      </c>
      <c r="F5039" t="s">
        <v>546</v>
      </c>
      <c r="G5039" s="174">
        <v>45576.460914351854</v>
      </c>
    </row>
    <row r="5040" spans="1:7">
      <c r="A5040">
        <v>5089</v>
      </c>
      <c r="B5040" t="s">
        <v>6556</v>
      </c>
      <c r="C5040" t="s">
        <v>3790</v>
      </c>
      <c r="E5040">
        <v>0.01</v>
      </c>
      <c r="F5040" t="s">
        <v>546</v>
      </c>
      <c r="G5040" s="174">
        <v>45576.460914351854</v>
      </c>
    </row>
    <row r="5041" spans="1:7">
      <c r="A5041">
        <v>5090</v>
      </c>
      <c r="B5041" t="s">
        <v>6557</v>
      </c>
      <c r="C5041" t="s">
        <v>6558</v>
      </c>
      <c r="E5041">
        <v>0.6</v>
      </c>
      <c r="F5041" t="s">
        <v>546</v>
      </c>
      <c r="G5041" s="174">
        <v>45576.460914351854</v>
      </c>
    </row>
    <row r="5042" spans="1:7">
      <c r="A5042">
        <v>5091</v>
      </c>
      <c r="B5042" t="s">
        <v>6559</v>
      </c>
      <c r="C5042" t="s">
        <v>4458</v>
      </c>
      <c r="E5042">
        <v>0.01</v>
      </c>
      <c r="F5042" t="s">
        <v>546</v>
      </c>
      <c r="G5042" s="174">
        <v>45576.460914351854</v>
      </c>
    </row>
    <row r="5043" spans="1:7">
      <c r="A5043">
        <v>5092</v>
      </c>
      <c r="B5043" t="s">
        <v>6560</v>
      </c>
      <c r="C5043" t="s">
        <v>4312</v>
      </c>
      <c r="E5043">
        <v>0.01</v>
      </c>
      <c r="F5043" t="s">
        <v>546</v>
      </c>
      <c r="G5043" s="174">
        <v>45576.460914351854</v>
      </c>
    </row>
    <row r="5044" spans="1:7">
      <c r="A5044">
        <v>5093</v>
      </c>
      <c r="B5044" t="s">
        <v>6561</v>
      </c>
      <c r="C5044" t="s">
        <v>2930</v>
      </c>
      <c r="E5044">
        <v>0.01</v>
      </c>
      <c r="F5044" t="s">
        <v>546</v>
      </c>
      <c r="G5044" s="174">
        <v>45576.460914351854</v>
      </c>
    </row>
    <row r="5045" spans="1:7">
      <c r="A5045">
        <v>5094</v>
      </c>
      <c r="B5045" t="s">
        <v>6562</v>
      </c>
      <c r="C5045" t="s">
        <v>6563</v>
      </c>
      <c r="E5045">
        <v>0.01</v>
      </c>
      <c r="F5045" t="s">
        <v>546</v>
      </c>
      <c r="G5045" s="174">
        <v>45576.460914351854</v>
      </c>
    </row>
    <row r="5046" spans="1:7">
      <c r="A5046">
        <v>5095</v>
      </c>
      <c r="B5046" t="s">
        <v>6562</v>
      </c>
      <c r="C5046" t="s">
        <v>6564</v>
      </c>
      <c r="E5046">
        <v>0.01</v>
      </c>
      <c r="F5046" t="s">
        <v>546</v>
      </c>
      <c r="G5046" s="174">
        <v>45576.460914351854</v>
      </c>
    </row>
    <row r="5047" spans="1:7">
      <c r="A5047">
        <v>5096</v>
      </c>
      <c r="B5047" t="s">
        <v>2058</v>
      </c>
      <c r="C5047" t="s">
        <v>6565</v>
      </c>
      <c r="E5047">
        <v>0.01</v>
      </c>
      <c r="F5047" t="s">
        <v>546</v>
      </c>
      <c r="G5047" s="174">
        <v>45576.460914351854</v>
      </c>
    </row>
    <row r="5048" spans="1:7">
      <c r="A5048">
        <v>5097</v>
      </c>
      <c r="B5048" t="s">
        <v>6566</v>
      </c>
      <c r="C5048" t="s">
        <v>4420</v>
      </c>
      <c r="E5048">
        <v>0.1</v>
      </c>
      <c r="F5048" t="s">
        <v>546</v>
      </c>
      <c r="G5048" s="174">
        <v>45576.460914351854</v>
      </c>
    </row>
    <row r="5049" spans="1:7">
      <c r="A5049">
        <v>5098</v>
      </c>
      <c r="B5049" t="s">
        <v>6567</v>
      </c>
      <c r="C5049" t="s">
        <v>4554</v>
      </c>
      <c r="E5049">
        <v>0.1</v>
      </c>
      <c r="F5049" t="s">
        <v>546</v>
      </c>
      <c r="G5049" s="174">
        <v>45576.460914351854</v>
      </c>
    </row>
    <row r="5050" spans="1:7">
      <c r="A5050">
        <v>5099</v>
      </c>
      <c r="B5050" t="s">
        <v>6568</v>
      </c>
      <c r="C5050" t="s">
        <v>4514</v>
      </c>
      <c r="E5050">
        <v>0.01</v>
      </c>
      <c r="F5050" t="s">
        <v>546</v>
      </c>
      <c r="G5050" s="174">
        <v>45576.460914351854</v>
      </c>
    </row>
    <row r="5051" spans="1:7">
      <c r="A5051">
        <v>5100</v>
      </c>
      <c r="B5051" t="s">
        <v>6569</v>
      </c>
      <c r="C5051" t="s">
        <v>6570</v>
      </c>
      <c r="E5051">
        <v>0.8</v>
      </c>
      <c r="F5051" t="s">
        <v>6571</v>
      </c>
      <c r="G5051" s="174">
        <v>45576.460914351854</v>
      </c>
    </row>
    <row r="5052" spans="1:7">
      <c r="A5052">
        <v>5101</v>
      </c>
      <c r="B5052" t="s">
        <v>6572</v>
      </c>
      <c r="C5052" t="s">
        <v>3071</v>
      </c>
      <c r="E5052">
        <v>0.01</v>
      </c>
      <c r="F5052" t="s">
        <v>546</v>
      </c>
      <c r="G5052" s="174">
        <v>45576.460914351854</v>
      </c>
    </row>
    <row r="5053" spans="1:7">
      <c r="A5053">
        <v>5102</v>
      </c>
      <c r="B5053" t="s">
        <v>6573</v>
      </c>
      <c r="C5053" t="s">
        <v>6574</v>
      </c>
      <c r="E5053">
        <v>0.01</v>
      </c>
      <c r="F5053" t="s">
        <v>546</v>
      </c>
      <c r="G5053" s="174">
        <v>45576.460914351854</v>
      </c>
    </row>
    <row r="5054" spans="1:7">
      <c r="A5054">
        <v>5103</v>
      </c>
      <c r="B5054" t="s">
        <v>6575</v>
      </c>
      <c r="C5054" t="s">
        <v>6576</v>
      </c>
      <c r="E5054">
        <v>0.01</v>
      </c>
      <c r="F5054" t="s">
        <v>546</v>
      </c>
      <c r="G5054" s="174">
        <v>45576.460914351854</v>
      </c>
    </row>
    <row r="5055" spans="1:7">
      <c r="A5055">
        <v>5104</v>
      </c>
      <c r="B5055" t="s">
        <v>6577</v>
      </c>
      <c r="C5055" t="s">
        <v>4406</v>
      </c>
      <c r="E5055">
        <v>0.01</v>
      </c>
      <c r="F5055" t="s">
        <v>546</v>
      </c>
      <c r="G5055" s="174">
        <v>45576.460914351854</v>
      </c>
    </row>
    <row r="5056" spans="1:7">
      <c r="A5056">
        <v>5105</v>
      </c>
      <c r="B5056" t="s">
        <v>6578</v>
      </c>
      <c r="C5056" t="s">
        <v>6579</v>
      </c>
      <c r="E5056">
        <v>0.01</v>
      </c>
      <c r="F5056" t="s">
        <v>546</v>
      </c>
      <c r="G5056" s="174">
        <v>45576.460914351854</v>
      </c>
    </row>
    <row r="5057" spans="1:7">
      <c r="A5057">
        <v>5106</v>
      </c>
      <c r="B5057" t="s">
        <v>6580</v>
      </c>
      <c r="C5057" t="s">
        <v>3164</v>
      </c>
      <c r="E5057">
        <v>0.1</v>
      </c>
      <c r="F5057" t="s">
        <v>546</v>
      </c>
      <c r="G5057" s="174">
        <v>45576.460914351854</v>
      </c>
    </row>
    <row r="5058" spans="1:7">
      <c r="A5058">
        <v>5107</v>
      </c>
      <c r="B5058" t="s">
        <v>6580</v>
      </c>
      <c r="C5058" t="s">
        <v>2964</v>
      </c>
      <c r="E5058">
        <v>0.01</v>
      </c>
      <c r="F5058" t="s">
        <v>546</v>
      </c>
      <c r="G5058" s="174">
        <v>45576.460914351854</v>
      </c>
    </row>
    <row r="5059" spans="1:7">
      <c r="A5059">
        <v>5108</v>
      </c>
      <c r="B5059" t="s">
        <v>6581</v>
      </c>
      <c r="C5059" t="s">
        <v>2899</v>
      </c>
      <c r="E5059">
        <v>0.01</v>
      </c>
      <c r="F5059" t="s">
        <v>546</v>
      </c>
      <c r="G5059" s="174">
        <v>45576.460914351854</v>
      </c>
    </row>
    <row r="5060" spans="1:7">
      <c r="A5060">
        <v>5109</v>
      </c>
      <c r="B5060" t="s">
        <v>6582</v>
      </c>
      <c r="C5060" t="s">
        <v>1150</v>
      </c>
      <c r="E5060">
        <v>0.01</v>
      </c>
      <c r="F5060" t="s">
        <v>546</v>
      </c>
      <c r="G5060" s="174">
        <v>45576.460914351854</v>
      </c>
    </row>
    <row r="5061" spans="1:7">
      <c r="A5061">
        <v>5110</v>
      </c>
      <c r="B5061" t="s">
        <v>6583</v>
      </c>
      <c r="C5061" t="s">
        <v>3319</v>
      </c>
      <c r="E5061">
        <v>0.01</v>
      </c>
      <c r="F5061" t="s">
        <v>546</v>
      </c>
      <c r="G5061" s="174">
        <v>45576.460914351854</v>
      </c>
    </row>
    <row r="5062" spans="1:7">
      <c r="A5062">
        <v>5111</v>
      </c>
      <c r="B5062" t="s">
        <v>6584</v>
      </c>
      <c r="C5062" t="s">
        <v>2966</v>
      </c>
      <c r="E5062">
        <v>0.01</v>
      </c>
      <c r="F5062" t="s">
        <v>546</v>
      </c>
      <c r="G5062" s="174">
        <v>45576.460914351854</v>
      </c>
    </row>
    <row r="5063" spans="1:7">
      <c r="A5063">
        <v>5112</v>
      </c>
      <c r="B5063" t="s">
        <v>6585</v>
      </c>
      <c r="C5063" t="s">
        <v>3293</v>
      </c>
      <c r="E5063">
        <v>0.01</v>
      </c>
      <c r="F5063" t="s">
        <v>546</v>
      </c>
      <c r="G5063" s="174">
        <v>45576.460914351854</v>
      </c>
    </row>
    <row r="5064" spans="1:7">
      <c r="A5064">
        <v>5113</v>
      </c>
      <c r="B5064" t="s">
        <v>2062</v>
      </c>
      <c r="C5064" t="s">
        <v>6069</v>
      </c>
      <c r="E5064">
        <v>0.01</v>
      </c>
      <c r="F5064" t="s">
        <v>546</v>
      </c>
      <c r="G5064" s="174">
        <v>45576.460914351854</v>
      </c>
    </row>
    <row r="5065" spans="1:7">
      <c r="A5065">
        <v>5114</v>
      </c>
      <c r="B5065" t="s">
        <v>6586</v>
      </c>
      <c r="C5065" t="s">
        <v>6587</v>
      </c>
      <c r="E5065">
        <v>0.01</v>
      </c>
      <c r="F5065" t="s">
        <v>546</v>
      </c>
      <c r="G5065" s="174">
        <v>45576.460914351854</v>
      </c>
    </row>
    <row r="5066" spans="1:7">
      <c r="A5066">
        <v>5115</v>
      </c>
      <c r="B5066" t="s">
        <v>6586</v>
      </c>
      <c r="C5066" t="s">
        <v>3392</v>
      </c>
      <c r="E5066">
        <v>0.01</v>
      </c>
      <c r="F5066" t="s">
        <v>546</v>
      </c>
      <c r="G5066" s="174">
        <v>45576.460914351854</v>
      </c>
    </row>
    <row r="5067" spans="1:7">
      <c r="A5067">
        <v>5116</v>
      </c>
      <c r="B5067" t="s">
        <v>6588</v>
      </c>
      <c r="C5067" t="s">
        <v>5620</v>
      </c>
      <c r="E5067">
        <v>0.01</v>
      </c>
      <c r="F5067" t="s">
        <v>546</v>
      </c>
      <c r="G5067" s="174">
        <v>45576.460914351854</v>
      </c>
    </row>
    <row r="5068" spans="1:7">
      <c r="A5068">
        <v>5117</v>
      </c>
      <c r="B5068" t="s">
        <v>6589</v>
      </c>
      <c r="C5068" t="s">
        <v>3524</v>
      </c>
      <c r="E5068">
        <v>0.01</v>
      </c>
      <c r="F5068" t="s">
        <v>546</v>
      </c>
      <c r="G5068" s="174">
        <v>45576.460914351854</v>
      </c>
    </row>
    <row r="5069" spans="1:7">
      <c r="A5069">
        <v>5118</v>
      </c>
      <c r="B5069" t="s">
        <v>6590</v>
      </c>
      <c r="C5069" t="s">
        <v>5554</v>
      </c>
      <c r="E5069">
        <v>0.1</v>
      </c>
      <c r="F5069" t="s">
        <v>546</v>
      </c>
      <c r="G5069" s="174">
        <v>45576.460914351854</v>
      </c>
    </row>
    <row r="5070" spans="1:7">
      <c r="A5070">
        <v>5119</v>
      </c>
      <c r="B5070" t="s">
        <v>6591</v>
      </c>
      <c r="C5070" t="s">
        <v>6592</v>
      </c>
      <c r="E5070">
        <v>0.6</v>
      </c>
      <c r="F5070" t="s">
        <v>546</v>
      </c>
      <c r="G5070" s="174">
        <v>45576.460914351854</v>
      </c>
    </row>
    <row r="5071" spans="1:7">
      <c r="A5071">
        <v>5120</v>
      </c>
      <c r="B5071" t="s">
        <v>6591</v>
      </c>
      <c r="C5071" t="s">
        <v>5365</v>
      </c>
      <c r="E5071">
        <v>0.8</v>
      </c>
      <c r="F5071" t="s">
        <v>546</v>
      </c>
      <c r="G5071" s="174">
        <v>45576.460914351854</v>
      </c>
    </row>
    <row r="5072" spans="1:7">
      <c r="A5072">
        <v>5121</v>
      </c>
      <c r="B5072" t="s">
        <v>6593</v>
      </c>
      <c r="C5072" t="s">
        <v>5617</v>
      </c>
      <c r="E5072">
        <v>0.01</v>
      </c>
      <c r="F5072" t="s">
        <v>546</v>
      </c>
      <c r="G5072" s="174">
        <v>45576.460914351854</v>
      </c>
    </row>
    <row r="5073" spans="1:7">
      <c r="A5073">
        <v>5122</v>
      </c>
      <c r="B5073" t="s">
        <v>6593</v>
      </c>
      <c r="C5073" t="s">
        <v>5618</v>
      </c>
      <c r="E5073">
        <v>0.01</v>
      </c>
      <c r="F5073" t="s">
        <v>546</v>
      </c>
      <c r="G5073" s="174">
        <v>45576.460914351854</v>
      </c>
    </row>
    <row r="5074" spans="1:7">
      <c r="A5074">
        <v>5124</v>
      </c>
      <c r="B5074" t="s">
        <v>2064</v>
      </c>
      <c r="C5074" t="s">
        <v>5467</v>
      </c>
      <c r="E5074">
        <v>0.01</v>
      </c>
      <c r="F5074" t="s">
        <v>546</v>
      </c>
      <c r="G5074" s="174">
        <v>45576.460914351854</v>
      </c>
    </row>
    <row r="5075" spans="1:7">
      <c r="A5075">
        <v>5125</v>
      </c>
      <c r="B5075" t="s">
        <v>2066</v>
      </c>
      <c r="C5075" t="s">
        <v>2753</v>
      </c>
      <c r="E5075">
        <v>0.01</v>
      </c>
      <c r="F5075" t="s">
        <v>546</v>
      </c>
      <c r="G5075" s="174">
        <v>45576.460914351854</v>
      </c>
    </row>
    <row r="5076" spans="1:7">
      <c r="A5076">
        <v>5126</v>
      </c>
      <c r="B5076" t="s">
        <v>6594</v>
      </c>
      <c r="C5076" t="s">
        <v>6595</v>
      </c>
      <c r="E5076">
        <v>0.01</v>
      </c>
      <c r="F5076" t="s">
        <v>546</v>
      </c>
      <c r="G5076" s="174">
        <v>45576.460914351854</v>
      </c>
    </row>
    <row r="5077" spans="1:7">
      <c r="A5077">
        <v>5127</v>
      </c>
      <c r="B5077" t="s">
        <v>6596</v>
      </c>
      <c r="C5077" t="s">
        <v>6597</v>
      </c>
      <c r="E5077">
        <v>0.01</v>
      </c>
      <c r="F5077" t="s">
        <v>546</v>
      </c>
      <c r="G5077" s="174">
        <v>45576.460914351854</v>
      </c>
    </row>
    <row r="5078" spans="1:7">
      <c r="A5078">
        <v>5128</v>
      </c>
      <c r="B5078" t="s">
        <v>6596</v>
      </c>
      <c r="C5078" t="s">
        <v>4506</v>
      </c>
      <c r="E5078">
        <v>0.01</v>
      </c>
      <c r="F5078" t="s">
        <v>546</v>
      </c>
      <c r="G5078" s="174">
        <v>45576.460914351854</v>
      </c>
    </row>
    <row r="5079" spans="1:7">
      <c r="A5079">
        <v>5129</v>
      </c>
      <c r="B5079" t="s">
        <v>2067</v>
      </c>
      <c r="C5079" t="s">
        <v>4657</v>
      </c>
      <c r="E5079">
        <v>0.01</v>
      </c>
      <c r="F5079" t="s">
        <v>546</v>
      </c>
      <c r="G5079" s="174">
        <v>45576.460914351854</v>
      </c>
    </row>
    <row r="5080" spans="1:7">
      <c r="A5080">
        <v>5130</v>
      </c>
      <c r="B5080" t="s">
        <v>6598</v>
      </c>
      <c r="C5080" t="s">
        <v>3855</v>
      </c>
      <c r="E5080">
        <v>0.01</v>
      </c>
      <c r="F5080" t="s">
        <v>546</v>
      </c>
      <c r="G5080" s="174">
        <v>45576.460914351854</v>
      </c>
    </row>
    <row r="5081" spans="1:7">
      <c r="A5081">
        <v>5131</v>
      </c>
      <c r="B5081" t="s">
        <v>6599</v>
      </c>
      <c r="C5081" t="s">
        <v>2986</v>
      </c>
      <c r="E5081">
        <v>0.01</v>
      </c>
      <c r="F5081" t="s">
        <v>546</v>
      </c>
      <c r="G5081" s="174">
        <v>45576.460914351854</v>
      </c>
    </row>
    <row r="5082" spans="1:7">
      <c r="A5082">
        <v>5132</v>
      </c>
      <c r="B5082" t="s">
        <v>6600</v>
      </c>
      <c r="C5082" t="s">
        <v>3222</v>
      </c>
      <c r="E5082">
        <v>0.01</v>
      </c>
      <c r="F5082" t="s">
        <v>546</v>
      </c>
      <c r="G5082" s="174">
        <v>45576.460914351854</v>
      </c>
    </row>
    <row r="5083" spans="1:7">
      <c r="A5083">
        <v>5133</v>
      </c>
      <c r="B5083" t="s">
        <v>6601</v>
      </c>
      <c r="C5083" t="s">
        <v>4254</v>
      </c>
      <c r="E5083">
        <v>0.01</v>
      </c>
      <c r="F5083" t="s">
        <v>546</v>
      </c>
      <c r="G5083" s="174">
        <v>45576.460914351854</v>
      </c>
    </row>
    <row r="5084" spans="1:7">
      <c r="A5084">
        <v>5134</v>
      </c>
      <c r="B5084" t="s">
        <v>6601</v>
      </c>
      <c r="C5084" t="s">
        <v>5268</v>
      </c>
      <c r="E5084">
        <v>0.01</v>
      </c>
      <c r="F5084" t="s">
        <v>546</v>
      </c>
      <c r="G5084" s="174">
        <v>45576.460914351854</v>
      </c>
    </row>
    <row r="5085" spans="1:7">
      <c r="A5085">
        <v>5135</v>
      </c>
      <c r="B5085" t="s">
        <v>6601</v>
      </c>
      <c r="C5085" t="s">
        <v>6602</v>
      </c>
      <c r="E5085">
        <v>0.01</v>
      </c>
      <c r="F5085" t="s">
        <v>546</v>
      </c>
      <c r="G5085" s="174">
        <v>45576.460914351854</v>
      </c>
    </row>
    <row r="5086" spans="1:7">
      <c r="A5086">
        <v>5136</v>
      </c>
      <c r="B5086" t="s">
        <v>3134</v>
      </c>
      <c r="C5086" t="s">
        <v>5247</v>
      </c>
      <c r="E5086">
        <v>0.1</v>
      </c>
      <c r="F5086" t="s">
        <v>546</v>
      </c>
      <c r="G5086" s="174">
        <v>45576.460914351854</v>
      </c>
    </row>
    <row r="5087" spans="1:7">
      <c r="A5087">
        <v>5138</v>
      </c>
      <c r="B5087" t="s">
        <v>3134</v>
      </c>
      <c r="C5087" t="s">
        <v>6603</v>
      </c>
      <c r="E5087">
        <v>0.01</v>
      </c>
      <c r="F5087" t="s">
        <v>546</v>
      </c>
      <c r="G5087" s="174">
        <v>45576.460914351854</v>
      </c>
    </row>
    <row r="5088" spans="1:7">
      <c r="A5088">
        <v>5139</v>
      </c>
      <c r="B5088" t="s">
        <v>3134</v>
      </c>
      <c r="C5088" t="s">
        <v>5472</v>
      </c>
      <c r="E5088">
        <v>0.01</v>
      </c>
      <c r="F5088" t="s">
        <v>546</v>
      </c>
      <c r="G5088" s="174">
        <v>45576.460914351854</v>
      </c>
    </row>
    <row r="5089" spans="1:7">
      <c r="A5089">
        <v>5140</v>
      </c>
      <c r="B5089" t="s">
        <v>6604</v>
      </c>
      <c r="C5089" t="s">
        <v>4812</v>
      </c>
      <c r="E5089">
        <v>0.01</v>
      </c>
      <c r="F5089" t="s">
        <v>546</v>
      </c>
      <c r="G5089" s="174">
        <v>45576.460914351854</v>
      </c>
    </row>
    <row r="5090" spans="1:7">
      <c r="A5090">
        <v>5141</v>
      </c>
      <c r="B5090" t="s">
        <v>6605</v>
      </c>
      <c r="C5090" t="s">
        <v>4826</v>
      </c>
      <c r="E5090">
        <v>0.01</v>
      </c>
      <c r="F5090" t="s">
        <v>546</v>
      </c>
      <c r="G5090" s="174">
        <v>45576.460914351854</v>
      </c>
    </row>
    <row r="5091" spans="1:7">
      <c r="A5091">
        <v>5142</v>
      </c>
      <c r="B5091" t="s">
        <v>6606</v>
      </c>
      <c r="C5091" t="s">
        <v>3090</v>
      </c>
      <c r="E5091">
        <v>0.1</v>
      </c>
      <c r="F5091" t="s">
        <v>546</v>
      </c>
      <c r="G5091" s="174">
        <v>45576.460914351854</v>
      </c>
    </row>
    <row r="5092" spans="1:7">
      <c r="A5092">
        <v>5143</v>
      </c>
      <c r="B5092" t="s">
        <v>6606</v>
      </c>
      <c r="C5092" t="s">
        <v>3333</v>
      </c>
      <c r="E5092">
        <v>0.01</v>
      </c>
      <c r="F5092" t="s">
        <v>546</v>
      </c>
      <c r="G5092" s="174">
        <v>45576.460914351854</v>
      </c>
    </row>
    <row r="5093" spans="1:7">
      <c r="A5093">
        <v>5144</v>
      </c>
      <c r="B5093" t="s">
        <v>6607</v>
      </c>
      <c r="C5093" t="s">
        <v>6608</v>
      </c>
      <c r="E5093">
        <v>0.01</v>
      </c>
      <c r="F5093" t="s">
        <v>546</v>
      </c>
      <c r="G5093" s="174">
        <v>45576.460914351854</v>
      </c>
    </row>
    <row r="5094" spans="1:7">
      <c r="A5094">
        <v>5145</v>
      </c>
      <c r="B5094" t="s">
        <v>6609</v>
      </c>
      <c r="C5094" t="s">
        <v>2911</v>
      </c>
      <c r="E5094">
        <v>0.01</v>
      </c>
      <c r="F5094" t="s">
        <v>546</v>
      </c>
      <c r="G5094" s="174">
        <v>45576.460914351854</v>
      </c>
    </row>
    <row r="5095" spans="1:7">
      <c r="A5095">
        <v>5146</v>
      </c>
      <c r="B5095" t="s">
        <v>6610</v>
      </c>
      <c r="C5095" t="s">
        <v>4554</v>
      </c>
      <c r="E5095">
        <v>0.01</v>
      </c>
      <c r="F5095" t="s">
        <v>546</v>
      </c>
      <c r="G5095" s="174">
        <v>45576.460914351854</v>
      </c>
    </row>
    <row r="5096" spans="1:7">
      <c r="A5096">
        <v>5147</v>
      </c>
      <c r="B5096" t="s">
        <v>6611</v>
      </c>
      <c r="C5096" t="s">
        <v>3397</v>
      </c>
      <c r="E5096">
        <v>0.01</v>
      </c>
      <c r="F5096" t="s">
        <v>546</v>
      </c>
      <c r="G5096" s="174">
        <v>45576.460914351854</v>
      </c>
    </row>
    <row r="5097" spans="1:7">
      <c r="A5097">
        <v>5148</v>
      </c>
      <c r="B5097" t="s">
        <v>6612</v>
      </c>
      <c r="C5097" t="s">
        <v>4725</v>
      </c>
      <c r="E5097">
        <v>0.01</v>
      </c>
      <c r="F5097" t="s">
        <v>546</v>
      </c>
      <c r="G5097" s="174">
        <v>45576.460914351854</v>
      </c>
    </row>
    <row r="5098" spans="1:7">
      <c r="A5098">
        <v>5149</v>
      </c>
      <c r="B5098" t="s">
        <v>6613</v>
      </c>
      <c r="C5098" t="s">
        <v>3628</v>
      </c>
      <c r="E5098">
        <v>0.01</v>
      </c>
      <c r="F5098" t="s">
        <v>546</v>
      </c>
      <c r="G5098" s="174">
        <v>45576.460914351854</v>
      </c>
    </row>
    <row r="5099" spans="1:7">
      <c r="A5099">
        <v>5150</v>
      </c>
      <c r="B5099" t="s">
        <v>2081</v>
      </c>
      <c r="C5099" t="s">
        <v>3409</v>
      </c>
      <c r="E5099">
        <v>1</v>
      </c>
      <c r="F5099" t="s">
        <v>546</v>
      </c>
      <c r="G5099" s="174">
        <v>45576.460914351854</v>
      </c>
    </row>
    <row r="5100" spans="1:7">
      <c r="A5100">
        <v>5151</v>
      </c>
      <c r="B5100" t="s">
        <v>2081</v>
      </c>
      <c r="C5100" t="s">
        <v>6614</v>
      </c>
      <c r="E5100">
        <v>0.01</v>
      </c>
      <c r="F5100" t="s">
        <v>546</v>
      </c>
      <c r="G5100" s="174">
        <v>45576.460914351854</v>
      </c>
    </row>
    <row r="5101" spans="1:7">
      <c r="A5101">
        <v>5152</v>
      </c>
      <c r="B5101" t="s">
        <v>6615</v>
      </c>
      <c r="C5101" t="s">
        <v>6616</v>
      </c>
      <c r="E5101">
        <v>0.01</v>
      </c>
      <c r="F5101" t="s">
        <v>546</v>
      </c>
      <c r="G5101" s="174">
        <v>45576.460914351854</v>
      </c>
    </row>
    <row r="5102" spans="1:7">
      <c r="A5102">
        <v>5153</v>
      </c>
      <c r="B5102" t="s">
        <v>6617</v>
      </c>
      <c r="C5102" t="s">
        <v>6132</v>
      </c>
      <c r="E5102">
        <v>0.01</v>
      </c>
      <c r="F5102" t="s">
        <v>546</v>
      </c>
      <c r="G5102" s="174">
        <v>45576.460914351854</v>
      </c>
    </row>
    <row r="5103" spans="1:7">
      <c r="A5103">
        <v>5154</v>
      </c>
      <c r="B5103" t="s">
        <v>2086</v>
      </c>
      <c r="C5103" t="s">
        <v>5143</v>
      </c>
      <c r="E5103">
        <v>0.01</v>
      </c>
      <c r="F5103" t="s">
        <v>546</v>
      </c>
      <c r="G5103" s="174">
        <v>45576.460914351854</v>
      </c>
    </row>
    <row r="5104" spans="1:7">
      <c r="A5104">
        <v>5155</v>
      </c>
      <c r="B5104" t="s">
        <v>6618</v>
      </c>
      <c r="C5104" t="s">
        <v>3971</v>
      </c>
      <c r="E5104">
        <v>0.01</v>
      </c>
      <c r="F5104" t="s">
        <v>546</v>
      </c>
      <c r="G5104" s="174">
        <v>45576.460914351854</v>
      </c>
    </row>
    <row r="5105" spans="1:7">
      <c r="A5105">
        <v>5156</v>
      </c>
      <c r="B5105" t="s">
        <v>6619</v>
      </c>
      <c r="C5105" t="s">
        <v>2930</v>
      </c>
      <c r="E5105">
        <v>0.01</v>
      </c>
      <c r="F5105" t="s">
        <v>546</v>
      </c>
      <c r="G5105" s="174">
        <v>45576.460914351854</v>
      </c>
    </row>
    <row r="5106" spans="1:7">
      <c r="A5106">
        <v>5157</v>
      </c>
      <c r="B5106" t="s">
        <v>6620</v>
      </c>
      <c r="C5106" t="s">
        <v>3984</v>
      </c>
      <c r="E5106">
        <v>0.01</v>
      </c>
      <c r="F5106" t="s">
        <v>546</v>
      </c>
      <c r="G5106" s="174">
        <v>45576.460914351854</v>
      </c>
    </row>
    <row r="5107" spans="1:7">
      <c r="A5107">
        <v>5158</v>
      </c>
      <c r="B5107" t="s">
        <v>6621</v>
      </c>
      <c r="C5107" t="s">
        <v>2976</v>
      </c>
      <c r="E5107">
        <v>0.01</v>
      </c>
      <c r="F5107" t="s">
        <v>546</v>
      </c>
      <c r="G5107" s="174">
        <v>45576.460914351854</v>
      </c>
    </row>
    <row r="5108" spans="1:7">
      <c r="A5108">
        <v>5159</v>
      </c>
      <c r="B5108" t="s">
        <v>6622</v>
      </c>
      <c r="C5108" t="s">
        <v>3850</v>
      </c>
      <c r="E5108">
        <v>0.01</v>
      </c>
      <c r="F5108" t="s">
        <v>546</v>
      </c>
      <c r="G5108" s="174">
        <v>45576.460914351854</v>
      </c>
    </row>
    <row r="5109" spans="1:7">
      <c r="A5109">
        <v>5160</v>
      </c>
      <c r="B5109" t="s">
        <v>6622</v>
      </c>
      <c r="C5109" t="s">
        <v>6623</v>
      </c>
      <c r="E5109">
        <v>0.01</v>
      </c>
      <c r="F5109" t="s">
        <v>546</v>
      </c>
      <c r="G5109" s="174">
        <v>45576.460914351854</v>
      </c>
    </row>
    <row r="5110" spans="1:7">
      <c r="A5110">
        <v>5161</v>
      </c>
      <c r="B5110" t="s">
        <v>6624</v>
      </c>
      <c r="C5110" t="s">
        <v>6625</v>
      </c>
      <c r="E5110">
        <v>0.01</v>
      </c>
      <c r="F5110" t="s">
        <v>546</v>
      </c>
      <c r="G5110" s="174">
        <v>45576.460914351854</v>
      </c>
    </row>
    <row r="5111" spans="1:7">
      <c r="A5111">
        <v>5162</v>
      </c>
      <c r="B5111" t="s">
        <v>6626</v>
      </c>
      <c r="C5111" t="s">
        <v>6627</v>
      </c>
      <c r="E5111">
        <v>0.1</v>
      </c>
      <c r="F5111" t="s">
        <v>546</v>
      </c>
      <c r="G5111" s="174">
        <v>45576.460914351854</v>
      </c>
    </row>
    <row r="5112" spans="1:7">
      <c r="A5112">
        <v>5163</v>
      </c>
      <c r="B5112" t="s">
        <v>6626</v>
      </c>
      <c r="C5112" t="s">
        <v>6628</v>
      </c>
      <c r="E5112">
        <v>0.6</v>
      </c>
      <c r="F5112" t="s">
        <v>546</v>
      </c>
      <c r="G5112" s="174">
        <v>45576.460914351854</v>
      </c>
    </row>
    <row r="5113" spans="1:7">
      <c r="A5113">
        <v>5165</v>
      </c>
      <c r="B5113" t="s">
        <v>6629</v>
      </c>
      <c r="C5113" t="s">
        <v>6255</v>
      </c>
      <c r="E5113">
        <v>0.01</v>
      </c>
      <c r="F5113" t="s">
        <v>546</v>
      </c>
      <c r="G5113" s="174">
        <v>45576.460914351854</v>
      </c>
    </row>
    <row r="5114" spans="1:7">
      <c r="A5114">
        <v>5166</v>
      </c>
      <c r="B5114" t="s">
        <v>6629</v>
      </c>
      <c r="C5114" t="s">
        <v>6630</v>
      </c>
      <c r="E5114">
        <v>0.01</v>
      </c>
      <c r="F5114" t="s">
        <v>546</v>
      </c>
      <c r="G5114" s="174">
        <v>45576.460914351854</v>
      </c>
    </row>
    <row r="5115" spans="1:7">
      <c r="A5115">
        <v>5167</v>
      </c>
      <c r="B5115" t="s">
        <v>2090</v>
      </c>
      <c r="C5115" t="s">
        <v>6631</v>
      </c>
      <c r="E5115">
        <v>0.01</v>
      </c>
      <c r="F5115" t="s">
        <v>546</v>
      </c>
      <c r="G5115" s="174">
        <v>45576.460914351854</v>
      </c>
    </row>
    <row r="5116" spans="1:7">
      <c r="A5116">
        <v>5168</v>
      </c>
      <c r="B5116" t="s">
        <v>6632</v>
      </c>
      <c r="C5116" t="s">
        <v>6633</v>
      </c>
      <c r="E5116">
        <v>0.01</v>
      </c>
      <c r="F5116" t="s">
        <v>546</v>
      </c>
      <c r="G5116" s="174">
        <v>45576.460914351854</v>
      </c>
    </row>
    <row r="5117" spans="1:7">
      <c r="A5117">
        <v>5169</v>
      </c>
      <c r="B5117" t="s">
        <v>2092</v>
      </c>
      <c r="C5117" t="s">
        <v>4446</v>
      </c>
      <c r="E5117">
        <v>0.01</v>
      </c>
      <c r="F5117" t="s">
        <v>546</v>
      </c>
      <c r="G5117" s="174">
        <v>45576.460914351854</v>
      </c>
    </row>
    <row r="5118" spans="1:7">
      <c r="A5118">
        <v>5170</v>
      </c>
      <c r="B5118" t="s">
        <v>6634</v>
      </c>
      <c r="C5118" t="s">
        <v>3447</v>
      </c>
      <c r="E5118">
        <v>0.01</v>
      </c>
      <c r="F5118" t="s">
        <v>546</v>
      </c>
      <c r="G5118" s="174">
        <v>45576.460914351854</v>
      </c>
    </row>
    <row r="5119" spans="1:7">
      <c r="A5119">
        <v>5171</v>
      </c>
      <c r="B5119" t="s">
        <v>6635</v>
      </c>
      <c r="C5119" t="s">
        <v>2826</v>
      </c>
      <c r="E5119">
        <v>0.01</v>
      </c>
      <c r="F5119" t="s">
        <v>546</v>
      </c>
      <c r="G5119" s="174">
        <v>45576.460914351854</v>
      </c>
    </row>
    <row r="5120" spans="1:7">
      <c r="A5120">
        <v>5172</v>
      </c>
      <c r="B5120" t="s">
        <v>6636</v>
      </c>
      <c r="C5120" t="s">
        <v>3715</v>
      </c>
      <c r="E5120">
        <v>0.01</v>
      </c>
      <c r="F5120" t="s">
        <v>546</v>
      </c>
      <c r="G5120" s="174">
        <v>45576.460914351854</v>
      </c>
    </row>
    <row r="5121" spans="1:7">
      <c r="A5121">
        <v>5173</v>
      </c>
      <c r="B5121" t="s">
        <v>6637</v>
      </c>
      <c r="C5121" t="s">
        <v>6154</v>
      </c>
      <c r="E5121">
        <v>0.01</v>
      </c>
      <c r="F5121" t="s">
        <v>546</v>
      </c>
      <c r="G5121" s="174">
        <v>45576.460914351854</v>
      </c>
    </row>
    <row r="5122" spans="1:7">
      <c r="A5122">
        <v>5174</v>
      </c>
      <c r="B5122" t="s">
        <v>6638</v>
      </c>
      <c r="C5122" t="s">
        <v>6639</v>
      </c>
      <c r="E5122">
        <v>0.01</v>
      </c>
      <c r="F5122" t="s">
        <v>546</v>
      </c>
      <c r="G5122" s="174">
        <v>45576.460914351854</v>
      </c>
    </row>
    <row r="5123" spans="1:7">
      <c r="A5123">
        <v>5175</v>
      </c>
      <c r="B5123" t="s">
        <v>6638</v>
      </c>
      <c r="C5123" t="s">
        <v>4089</v>
      </c>
      <c r="E5123">
        <v>0.01</v>
      </c>
      <c r="F5123" t="s">
        <v>546</v>
      </c>
      <c r="G5123" s="174">
        <v>45576.460914351854</v>
      </c>
    </row>
    <row r="5124" spans="1:7">
      <c r="A5124">
        <v>5176</v>
      </c>
      <c r="B5124" t="s">
        <v>6640</v>
      </c>
      <c r="C5124" t="s">
        <v>5123</v>
      </c>
      <c r="E5124">
        <v>0.01</v>
      </c>
      <c r="F5124" t="s">
        <v>546</v>
      </c>
      <c r="G5124" s="174">
        <v>45576.460914351854</v>
      </c>
    </row>
    <row r="5125" spans="1:7">
      <c r="A5125">
        <v>5177</v>
      </c>
      <c r="B5125" t="s">
        <v>6641</v>
      </c>
      <c r="C5125" t="s">
        <v>2884</v>
      </c>
      <c r="E5125">
        <v>0.5</v>
      </c>
      <c r="F5125" t="s">
        <v>546</v>
      </c>
      <c r="G5125" s="174">
        <v>45576.460914351854</v>
      </c>
    </row>
    <row r="5126" spans="1:7">
      <c r="A5126">
        <v>5178</v>
      </c>
      <c r="B5126" t="s">
        <v>6641</v>
      </c>
      <c r="C5126" t="s">
        <v>3144</v>
      </c>
      <c r="E5126">
        <v>0.6</v>
      </c>
      <c r="F5126" t="s">
        <v>546</v>
      </c>
      <c r="G5126" s="174">
        <v>45576.460914351854</v>
      </c>
    </row>
    <row r="5127" spans="1:7">
      <c r="A5127">
        <v>5179</v>
      </c>
      <c r="B5127" t="s">
        <v>6642</v>
      </c>
      <c r="C5127" t="s">
        <v>4272</v>
      </c>
      <c r="E5127">
        <v>0.01</v>
      </c>
      <c r="F5127" t="s">
        <v>546</v>
      </c>
      <c r="G5127" s="174">
        <v>45576.460914351854</v>
      </c>
    </row>
    <row r="5128" spans="1:7">
      <c r="A5128">
        <v>5180</v>
      </c>
      <c r="B5128" t="s">
        <v>6642</v>
      </c>
      <c r="C5128" t="s">
        <v>4725</v>
      </c>
      <c r="E5128">
        <v>0.01</v>
      </c>
      <c r="F5128" t="s">
        <v>546</v>
      </c>
      <c r="G5128" s="174">
        <v>45576.460914351854</v>
      </c>
    </row>
    <row r="5129" spans="1:7">
      <c r="A5129">
        <v>5181</v>
      </c>
      <c r="B5129" t="s">
        <v>6643</v>
      </c>
      <c r="C5129" t="s">
        <v>6521</v>
      </c>
      <c r="E5129">
        <v>0.01</v>
      </c>
      <c r="F5129" t="s">
        <v>546</v>
      </c>
      <c r="G5129" s="174">
        <v>45576.460914351854</v>
      </c>
    </row>
    <row r="5130" spans="1:7">
      <c r="A5130">
        <v>5182</v>
      </c>
      <c r="B5130" t="s">
        <v>6644</v>
      </c>
      <c r="C5130" t="s">
        <v>3911</v>
      </c>
      <c r="E5130">
        <v>0.01</v>
      </c>
      <c r="F5130" t="s">
        <v>546</v>
      </c>
      <c r="G5130" s="174">
        <v>45576.460914351854</v>
      </c>
    </row>
    <row r="5131" spans="1:7">
      <c r="A5131">
        <v>5183</v>
      </c>
      <c r="B5131" t="s">
        <v>6645</v>
      </c>
      <c r="C5131" t="s">
        <v>4105</v>
      </c>
      <c r="E5131">
        <v>0.01</v>
      </c>
      <c r="F5131" t="s">
        <v>546</v>
      </c>
      <c r="G5131" s="174">
        <v>45576.460914351854</v>
      </c>
    </row>
    <row r="5132" spans="1:7">
      <c r="A5132">
        <v>5184</v>
      </c>
      <c r="B5132" t="s">
        <v>6646</v>
      </c>
      <c r="C5132" t="s">
        <v>5666</v>
      </c>
      <c r="E5132">
        <v>0.01</v>
      </c>
      <c r="F5132" t="s">
        <v>546</v>
      </c>
      <c r="G5132" s="174">
        <v>45576.460914351854</v>
      </c>
    </row>
    <row r="5133" spans="1:7">
      <c r="A5133">
        <v>5185</v>
      </c>
      <c r="B5133" t="s">
        <v>6646</v>
      </c>
      <c r="C5133" t="s">
        <v>6647</v>
      </c>
      <c r="E5133">
        <v>0.01</v>
      </c>
      <c r="F5133" t="s">
        <v>546</v>
      </c>
      <c r="G5133" s="174">
        <v>45576.460914351854</v>
      </c>
    </row>
    <row r="5134" spans="1:7">
      <c r="A5134">
        <v>5186</v>
      </c>
      <c r="B5134" t="s">
        <v>6648</v>
      </c>
      <c r="C5134" t="s">
        <v>6235</v>
      </c>
      <c r="E5134">
        <v>0.01</v>
      </c>
      <c r="F5134" t="s">
        <v>546</v>
      </c>
      <c r="G5134" s="174">
        <v>45576.460914351854</v>
      </c>
    </row>
    <row r="5135" spans="1:7">
      <c r="A5135">
        <v>5187</v>
      </c>
      <c r="B5135" t="s">
        <v>6649</v>
      </c>
      <c r="C5135" t="s">
        <v>3914</v>
      </c>
      <c r="E5135">
        <v>0.01</v>
      </c>
      <c r="F5135" t="s">
        <v>546</v>
      </c>
      <c r="G5135" s="174">
        <v>45576.460914351854</v>
      </c>
    </row>
    <row r="5136" spans="1:7">
      <c r="A5136">
        <v>5188</v>
      </c>
      <c r="B5136" t="s">
        <v>6650</v>
      </c>
      <c r="C5136" t="s">
        <v>3143</v>
      </c>
      <c r="E5136">
        <v>0.01</v>
      </c>
      <c r="F5136" t="s">
        <v>546</v>
      </c>
      <c r="G5136" s="174">
        <v>45576.460914351854</v>
      </c>
    </row>
    <row r="5137" spans="1:7">
      <c r="A5137">
        <v>5189</v>
      </c>
      <c r="B5137" t="s">
        <v>6651</v>
      </c>
      <c r="C5137" t="s">
        <v>6652</v>
      </c>
      <c r="E5137">
        <v>0.01</v>
      </c>
      <c r="F5137" t="s">
        <v>546</v>
      </c>
      <c r="G5137" s="174">
        <v>45576.460914351854</v>
      </c>
    </row>
    <row r="5138" spans="1:7">
      <c r="A5138">
        <v>5190</v>
      </c>
      <c r="B5138" t="s">
        <v>6653</v>
      </c>
      <c r="C5138" t="s">
        <v>2766</v>
      </c>
      <c r="E5138">
        <v>0.01</v>
      </c>
      <c r="F5138" t="s">
        <v>546</v>
      </c>
      <c r="G5138" s="174">
        <v>45576.460914351854</v>
      </c>
    </row>
    <row r="5139" spans="1:7">
      <c r="A5139">
        <v>5191</v>
      </c>
      <c r="B5139" t="s">
        <v>6654</v>
      </c>
      <c r="C5139" t="s">
        <v>6655</v>
      </c>
      <c r="E5139">
        <v>0.8</v>
      </c>
      <c r="F5139" t="s">
        <v>546</v>
      </c>
      <c r="G5139" s="174">
        <v>45576.460914351854</v>
      </c>
    </row>
    <row r="5140" spans="1:7">
      <c r="A5140">
        <v>5192</v>
      </c>
      <c r="B5140" t="s">
        <v>6654</v>
      </c>
      <c r="C5140" t="s">
        <v>6656</v>
      </c>
      <c r="E5140">
        <v>0.6</v>
      </c>
      <c r="F5140" t="s">
        <v>546</v>
      </c>
      <c r="G5140" s="174">
        <v>45576.460914351854</v>
      </c>
    </row>
    <row r="5141" spans="1:7">
      <c r="A5141">
        <v>5193</v>
      </c>
      <c r="B5141" t="s">
        <v>6657</v>
      </c>
      <c r="C5141" t="s">
        <v>3897</v>
      </c>
      <c r="E5141">
        <v>0.1</v>
      </c>
      <c r="F5141" t="s">
        <v>546</v>
      </c>
      <c r="G5141" s="174">
        <v>45576.460914351854</v>
      </c>
    </row>
    <row r="5142" spans="1:7">
      <c r="A5142">
        <v>5194</v>
      </c>
      <c r="B5142" t="s">
        <v>6657</v>
      </c>
      <c r="C5142" t="s">
        <v>3898</v>
      </c>
      <c r="E5142">
        <v>0.01</v>
      </c>
      <c r="F5142" t="s">
        <v>546</v>
      </c>
      <c r="G5142" s="174">
        <v>45576.460914351854</v>
      </c>
    </row>
    <row r="5143" spans="1:7">
      <c r="A5143">
        <v>5195</v>
      </c>
      <c r="B5143" t="s">
        <v>6657</v>
      </c>
      <c r="C5143" t="s">
        <v>4884</v>
      </c>
      <c r="E5143">
        <v>0.1</v>
      </c>
      <c r="F5143" t="s">
        <v>546</v>
      </c>
      <c r="G5143" s="174">
        <v>45576.460914351854</v>
      </c>
    </row>
    <row r="5144" spans="1:7">
      <c r="A5144">
        <v>5196</v>
      </c>
      <c r="B5144" t="s">
        <v>6658</v>
      </c>
      <c r="C5144" t="s">
        <v>6659</v>
      </c>
      <c r="E5144">
        <v>0.1</v>
      </c>
      <c r="F5144" t="s">
        <v>546</v>
      </c>
      <c r="G5144" s="174">
        <v>45576.460914351854</v>
      </c>
    </row>
    <row r="5145" spans="1:7">
      <c r="A5145">
        <v>5198</v>
      </c>
      <c r="B5145" t="s">
        <v>6660</v>
      </c>
      <c r="C5145" t="s">
        <v>5046</v>
      </c>
      <c r="E5145">
        <v>0.01</v>
      </c>
      <c r="F5145" t="s">
        <v>546</v>
      </c>
      <c r="G5145" s="174">
        <v>45576.460914351854</v>
      </c>
    </row>
    <row r="5146" spans="1:7">
      <c r="A5146">
        <v>5199</v>
      </c>
      <c r="B5146" t="s">
        <v>2094</v>
      </c>
      <c r="C5146" t="s">
        <v>3586</v>
      </c>
      <c r="E5146">
        <v>0.01</v>
      </c>
      <c r="F5146" t="s">
        <v>546</v>
      </c>
      <c r="G5146" s="174">
        <v>45576.460914351854</v>
      </c>
    </row>
    <row r="5147" spans="1:7">
      <c r="A5147">
        <v>5200</v>
      </c>
      <c r="B5147" t="s">
        <v>2096</v>
      </c>
      <c r="C5147" t="s">
        <v>4170</v>
      </c>
      <c r="E5147">
        <v>0.05</v>
      </c>
      <c r="F5147" t="s">
        <v>546</v>
      </c>
      <c r="G5147" s="174">
        <v>45576.460914351854</v>
      </c>
    </row>
    <row r="5148" spans="1:7">
      <c r="A5148">
        <v>5201</v>
      </c>
      <c r="B5148" t="s">
        <v>2096</v>
      </c>
      <c r="C5148" t="s">
        <v>3143</v>
      </c>
      <c r="E5148">
        <v>0.1</v>
      </c>
      <c r="F5148" t="s">
        <v>546</v>
      </c>
      <c r="G5148" s="174">
        <v>45576.460914351854</v>
      </c>
    </row>
    <row r="5149" spans="1:7">
      <c r="A5149">
        <v>5202</v>
      </c>
      <c r="B5149" t="s">
        <v>6661</v>
      </c>
      <c r="C5149" t="s">
        <v>4122</v>
      </c>
      <c r="E5149">
        <v>0.01</v>
      </c>
      <c r="F5149" t="s">
        <v>546</v>
      </c>
      <c r="G5149" s="174">
        <v>45576.460914351854</v>
      </c>
    </row>
    <row r="5150" spans="1:7">
      <c r="A5150">
        <v>5203</v>
      </c>
      <c r="B5150" t="s">
        <v>6662</v>
      </c>
      <c r="C5150" t="s">
        <v>3586</v>
      </c>
      <c r="E5150">
        <v>0.1</v>
      </c>
      <c r="F5150" t="s">
        <v>546</v>
      </c>
      <c r="G5150" s="174">
        <v>45576.460914351854</v>
      </c>
    </row>
    <row r="5151" spans="1:7">
      <c r="A5151">
        <v>5204</v>
      </c>
      <c r="B5151" t="s">
        <v>6663</v>
      </c>
      <c r="C5151" t="s">
        <v>2769</v>
      </c>
      <c r="E5151">
        <v>0.1</v>
      </c>
      <c r="F5151" t="s">
        <v>546</v>
      </c>
      <c r="G5151" s="174">
        <v>45576.460914351854</v>
      </c>
    </row>
    <row r="5152" spans="1:7">
      <c r="A5152">
        <v>5205</v>
      </c>
      <c r="B5152" t="s">
        <v>6664</v>
      </c>
      <c r="C5152" t="s">
        <v>3779</v>
      </c>
      <c r="E5152">
        <v>0.01</v>
      </c>
      <c r="F5152" t="s">
        <v>546</v>
      </c>
      <c r="G5152" s="174">
        <v>45576.460914351854</v>
      </c>
    </row>
    <row r="5153" spans="1:7">
      <c r="A5153">
        <v>5206</v>
      </c>
      <c r="B5153" t="s">
        <v>6665</v>
      </c>
      <c r="C5153" t="s">
        <v>5810</v>
      </c>
      <c r="E5153">
        <v>0.01</v>
      </c>
      <c r="F5153" t="s">
        <v>546</v>
      </c>
      <c r="G5153" s="174">
        <v>45576.460914351854</v>
      </c>
    </row>
    <row r="5154" spans="1:7">
      <c r="A5154">
        <v>5207</v>
      </c>
      <c r="B5154" t="s">
        <v>6666</v>
      </c>
      <c r="C5154" t="s">
        <v>3903</v>
      </c>
      <c r="E5154">
        <v>0.01</v>
      </c>
      <c r="F5154" t="s">
        <v>546</v>
      </c>
      <c r="G5154" s="174">
        <v>45576.460914351854</v>
      </c>
    </row>
    <row r="5155" spans="1:7">
      <c r="A5155">
        <v>5208</v>
      </c>
      <c r="B5155" t="s">
        <v>6667</v>
      </c>
      <c r="C5155" t="s">
        <v>3302</v>
      </c>
      <c r="E5155">
        <v>0.7</v>
      </c>
      <c r="F5155" t="s">
        <v>546</v>
      </c>
      <c r="G5155" s="174">
        <v>45576.460914351854</v>
      </c>
    </row>
    <row r="5156" spans="1:7">
      <c r="A5156">
        <v>5209</v>
      </c>
      <c r="B5156" t="s">
        <v>6667</v>
      </c>
      <c r="C5156" t="s">
        <v>4526</v>
      </c>
      <c r="E5156">
        <v>0.8</v>
      </c>
      <c r="F5156" t="s">
        <v>546</v>
      </c>
      <c r="G5156" s="174">
        <v>45576.460914351854</v>
      </c>
    </row>
    <row r="5157" spans="1:7">
      <c r="A5157">
        <v>5210</v>
      </c>
      <c r="B5157" t="s">
        <v>6668</v>
      </c>
      <c r="C5157" t="s">
        <v>3782</v>
      </c>
      <c r="E5157">
        <v>0.01</v>
      </c>
      <c r="F5157" t="s">
        <v>546</v>
      </c>
      <c r="G5157" s="174">
        <v>45576.460914351854</v>
      </c>
    </row>
    <row r="5158" spans="1:7">
      <c r="A5158">
        <v>5211</v>
      </c>
      <c r="B5158" t="s">
        <v>6669</v>
      </c>
      <c r="C5158" t="s">
        <v>2846</v>
      </c>
      <c r="E5158">
        <v>0.01</v>
      </c>
      <c r="F5158" t="s">
        <v>546</v>
      </c>
      <c r="G5158" s="174">
        <v>45576.460914351854</v>
      </c>
    </row>
    <row r="5159" spans="1:7">
      <c r="A5159">
        <v>5212</v>
      </c>
      <c r="B5159" t="s">
        <v>2097</v>
      </c>
      <c r="C5159" t="s">
        <v>4201</v>
      </c>
      <c r="E5159">
        <v>0.01</v>
      </c>
      <c r="F5159" t="s">
        <v>546</v>
      </c>
      <c r="G5159" s="174">
        <v>45576.460914351854</v>
      </c>
    </row>
    <row r="5160" spans="1:7">
      <c r="A5160">
        <v>5213</v>
      </c>
      <c r="B5160" t="s">
        <v>6670</v>
      </c>
      <c r="C5160" t="s">
        <v>5337</v>
      </c>
      <c r="E5160">
        <v>0.01</v>
      </c>
      <c r="F5160" t="s">
        <v>546</v>
      </c>
      <c r="G5160" s="174">
        <v>45576.460914351854</v>
      </c>
    </row>
    <row r="5161" spans="1:7">
      <c r="A5161">
        <v>5214</v>
      </c>
      <c r="B5161" t="s">
        <v>6670</v>
      </c>
      <c r="C5161" t="s">
        <v>6671</v>
      </c>
      <c r="E5161">
        <v>0.01</v>
      </c>
      <c r="F5161" t="s">
        <v>546</v>
      </c>
      <c r="G5161" s="174">
        <v>45576.460914351854</v>
      </c>
    </row>
    <row r="5162" spans="1:7">
      <c r="A5162">
        <v>5215</v>
      </c>
      <c r="B5162" t="s">
        <v>6670</v>
      </c>
      <c r="C5162" t="s">
        <v>3295</v>
      </c>
      <c r="E5162">
        <v>0.01</v>
      </c>
      <c r="F5162" t="s">
        <v>546</v>
      </c>
      <c r="G5162" s="174">
        <v>45576.460914351854</v>
      </c>
    </row>
    <row r="5163" spans="1:7">
      <c r="A5163">
        <v>5216</v>
      </c>
      <c r="B5163" t="s">
        <v>6672</v>
      </c>
      <c r="C5163" t="s">
        <v>3977</v>
      </c>
      <c r="E5163">
        <v>0.01</v>
      </c>
      <c r="F5163" t="s">
        <v>546</v>
      </c>
      <c r="G5163" s="174">
        <v>45576.460914351854</v>
      </c>
    </row>
    <row r="5164" spans="1:7">
      <c r="A5164">
        <v>5217</v>
      </c>
      <c r="B5164" t="s">
        <v>6672</v>
      </c>
      <c r="C5164" t="s">
        <v>3848</v>
      </c>
      <c r="E5164">
        <v>0.01</v>
      </c>
      <c r="F5164" t="s">
        <v>546</v>
      </c>
      <c r="G5164" s="174">
        <v>45576.460914351854</v>
      </c>
    </row>
    <row r="5165" spans="1:7">
      <c r="A5165">
        <v>5218</v>
      </c>
      <c r="B5165" t="s">
        <v>6673</v>
      </c>
      <c r="C5165" t="s">
        <v>3666</v>
      </c>
      <c r="E5165">
        <v>0.01</v>
      </c>
      <c r="F5165" t="s">
        <v>546</v>
      </c>
      <c r="G5165" s="174">
        <v>45576.460914351854</v>
      </c>
    </row>
    <row r="5166" spans="1:7">
      <c r="A5166">
        <v>5219</v>
      </c>
      <c r="B5166" t="s">
        <v>6674</v>
      </c>
      <c r="C5166" t="s">
        <v>5102</v>
      </c>
      <c r="E5166">
        <v>0.01</v>
      </c>
      <c r="F5166" t="s">
        <v>546</v>
      </c>
      <c r="G5166" s="174">
        <v>45576.460914351854</v>
      </c>
    </row>
    <row r="5167" spans="1:7">
      <c r="A5167">
        <v>5220</v>
      </c>
      <c r="B5167" t="s">
        <v>6675</v>
      </c>
      <c r="C5167" t="s">
        <v>5607</v>
      </c>
      <c r="E5167">
        <v>0.01</v>
      </c>
      <c r="F5167" t="s">
        <v>546</v>
      </c>
      <c r="G5167" s="174">
        <v>45576.460914351854</v>
      </c>
    </row>
    <row r="5168" spans="1:7">
      <c r="A5168">
        <v>5221</v>
      </c>
      <c r="B5168" t="s">
        <v>6676</v>
      </c>
      <c r="C5168" t="s">
        <v>3454</v>
      </c>
      <c r="E5168">
        <v>0.01</v>
      </c>
      <c r="F5168" t="s">
        <v>546</v>
      </c>
      <c r="G5168" s="174">
        <v>45576.460914351854</v>
      </c>
    </row>
    <row r="5169" spans="1:7">
      <c r="A5169">
        <v>5222</v>
      </c>
      <c r="B5169" t="s">
        <v>2101</v>
      </c>
      <c r="C5169" t="s">
        <v>5788</v>
      </c>
      <c r="E5169">
        <v>0.01</v>
      </c>
      <c r="F5169" t="s">
        <v>546</v>
      </c>
      <c r="G5169" s="174">
        <v>45576.460914351854</v>
      </c>
    </row>
    <row r="5170" spans="1:7">
      <c r="A5170">
        <v>5223</v>
      </c>
      <c r="B5170" t="s">
        <v>6677</v>
      </c>
      <c r="C5170" t="s">
        <v>5554</v>
      </c>
      <c r="E5170">
        <v>0.01</v>
      </c>
      <c r="F5170" t="s">
        <v>546</v>
      </c>
      <c r="G5170" s="174">
        <v>45576.460914351854</v>
      </c>
    </row>
    <row r="5171" spans="1:7">
      <c r="A5171">
        <v>5224</v>
      </c>
      <c r="B5171" t="s">
        <v>6678</v>
      </c>
      <c r="C5171" t="s">
        <v>3288</v>
      </c>
      <c r="E5171">
        <v>0.01</v>
      </c>
      <c r="F5171" t="s">
        <v>546</v>
      </c>
      <c r="G5171" s="174">
        <v>45576.460914351854</v>
      </c>
    </row>
    <row r="5172" spans="1:7">
      <c r="A5172">
        <v>5225</v>
      </c>
      <c r="B5172" t="s">
        <v>6679</v>
      </c>
      <c r="C5172" t="s">
        <v>3636</v>
      </c>
      <c r="E5172">
        <v>0.01</v>
      </c>
      <c r="F5172" t="s">
        <v>546</v>
      </c>
      <c r="G5172" s="174">
        <v>45576.460914351854</v>
      </c>
    </row>
    <row r="5173" spans="1:7">
      <c r="A5173">
        <v>5226</v>
      </c>
      <c r="B5173" t="s">
        <v>6680</v>
      </c>
      <c r="C5173" t="s">
        <v>3024</v>
      </c>
      <c r="E5173">
        <v>0.01</v>
      </c>
      <c r="F5173" t="s">
        <v>546</v>
      </c>
      <c r="G5173" s="174">
        <v>45576.460914351854</v>
      </c>
    </row>
    <row r="5174" spans="1:7">
      <c r="A5174">
        <v>5227</v>
      </c>
      <c r="B5174" t="s">
        <v>6681</v>
      </c>
      <c r="C5174" t="s">
        <v>3319</v>
      </c>
      <c r="E5174">
        <v>0.01</v>
      </c>
      <c r="F5174" t="s">
        <v>546</v>
      </c>
      <c r="G5174" s="174">
        <v>45576.460914351854</v>
      </c>
    </row>
    <row r="5175" spans="1:7">
      <c r="A5175">
        <v>5228</v>
      </c>
      <c r="B5175" t="s">
        <v>6682</v>
      </c>
      <c r="C5175" t="s">
        <v>5046</v>
      </c>
      <c r="E5175">
        <v>0.01</v>
      </c>
      <c r="F5175" t="s">
        <v>546</v>
      </c>
      <c r="G5175" s="174">
        <v>45576.460914351854</v>
      </c>
    </row>
    <row r="5176" spans="1:7">
      <c r="A5176">
        <v>5229</v>
      </c>
      <c r="B5176" t="s">
        <v>6683</v>
      </c>
      <c r="C5176" t="s">
        <v>4733</v>
      </c>
      <c r="E5176">
        <v>0.01</v>
      </c>
      <c r="F5176" t="s">
        <v>546</v>
      </c>
      <c r="G5176" s="174">
        <v>45576.460914351854</v>
      </c>
    </row>
    <row r="5177" spans="1:7">
      <c r="A5177">
        <v>5230</v>
      </c>
      <c r="B5177" t="s">
        <v>6684</v>
      </c>
      <c r="C5177" t="s">
        <v>6685</v>
      </c>
      <c r="E5177">
        <v>0.01</v>
      </c>
      <c r="F5177" t="s">
        <v>546</v>
      </c>
      <c r="G5177" s="174">
        <v>45576.460914351854</v>
      </c>
    </row>
    <row r="5178" spans="1:7">
      <c r="A5178">
        <v>5231</v>
      </c>
      <c r="B5178" t="s">
        <v>6686</v>
      </c>
      <c r="C5178" t="s">
        <v>2972</v>
      </c>
      <c r="E5178">
        <v>0.01</v>
      </c>
      <c r="F5178" t="s">
        <v>546</v>
      </c>
      <c r="G5178" s="174">
        <v>45576.460914351854</v>
      </c>
    </row>
    <row r="5179" spans="1:7">
      <c r="A5179">
        <v>5232</v>
      </c>
      <c r="B5179" t="s">
        <v>6687</v>
      </c>
      <c r="C5179" t="s">
        <v>3765</v>
      </c>
      <c r="E5179">
        <v>0.1</v>
      </c>
      <c r="F5179" t="s">
        <v>546</v>
      </c>
      <c r="G5179" s="174">
        <v>45576.460914351854</v>
      </c>
    </row>
    <row r="5180" spans="1:7">
      <c r="A5180">
        <v>5233</v>
      </c>
      <c r="B5180" t="s">
        <v>6687</v>
      </c>
      <c r="C5180" t="s">
        <v>3229</v>
      </c>
      <c r="E5180">
        <v>0.01</v>
      </c>
      <c r="F5180" t="s">
        <v>546</v>
      </c>
      <c r="G5180" s="174">
        <v>45576.460914351854</v>
      </c>
    </row>
    <row r="5181" spans="1:7">
      <c r="A5181">
        <v>5234</v>
      </c>
      <c r="B5181" t="s">
        <v>6688</v>
      </c>
      <c r="C5181" t="s">
        <v>6689</v>
      </c>
      <c r="E5181">
        <v>0.01</v>
      </c>
      <c r="F5181" t="s">
        <v>546</v>
      </c>
      <c r="G5181" s="174">
        <v>45576.460914351854</v>
      </c>
    </row>
    <row r="5182" spans="1:7">
      <c r="A5182">
        <v>5235</v>
      </c>
      <c r="B5182" t="s">
        <v>6690</v>
      </c>
      <c r="C5182" t="s">
        <v>4037</v>
      </c>
      <c r="E5182">
        <v>0.01</v>
      </c>
      <c r="F5182" t="s">
        <v>546</v>
      </c>
      <c r="G5182" s="174">
        <v>45576.460914351854</v>
      </c>
    </row>
    <row r="5183" spans="1:7">
      <c r="A5183">
        <v>5236</v>
      </c>
      <c r="B5183" t="s">
        <v>6691</v>
      </c>
      <c r="C5183" t="s">
        <v>4888</v>
      </c>
      <c r="E5183">
        <v>0.01</v>
      </c>
      <c r="F5183" t="s">
        <v>546</v>
      </c>
      <c r="G5183" s="174">
        <v>45576.460914351854</v>
      </c>
    </row>
    <row r="5184" spans="1:7">
      <c r="A5184">
        <v>5237</v>
      </c>
      <c r="B5184" t="s">
        <v>6692</v>
      </c>
      <c r="C5184" t="s">
        <v>6693</v>
      </c>
      <c r="E5184">
        <v>0.01</v>
      </c>
      <c r="F5184" t="s">
        <v>546</v>
      </c>
      <c r="G5184" s="174">
        <v>45576.460914351854</v>
      </c>
    </row>
    <row r="5185" spans="1:7">
      <c r="A5185">
        <v>5238</v>
      </c>
      <c r="B5185" t="s">
        <v>6694</v>
      </c>
      <c r="C5185" t="s">
        <v>2964</v>
      </c>
      <c r="E5185">
        <v>0.1</v>
      </c>
      <c r="F5185" t="s">
        <v>546</v>
      </c>
      <c r="G5185" s="174">
        <v>45576.460914351854</v>
      </c>
    </row>
    <row r="5186" spans="1:7">
      <c r="A5186">
        <v>5239</v>
      </c>
      <c r="B5186" t="s">
        <v>6695</v>
      </c>
      <c r="C5186" t="s">
        <v>3599</v>
      </c>
      <c r="E5186">
        <v>0.01</v>
      </c>
      <c r="F5186" t="s">
        <v>546</v>
      </c>
      <c r="G5186" s="174">
        <v>45576.460914351854</v>
      </c>
    </row>
    <row r="5187" spans="1:7">
      <c r="A5187">
        <v>5240</v>
      </c>
      <c r="B5187" t="s">
        <v>6696</v>
      </c>
      <c r="C5187" t="s">
        <v>2870</v>
      </c>
      <c r="E5187">
        <v>0.01</v>
      </c>
      <c r="F5187" t="s">
        <v>546</v>
      </c>
      <c r="G5187" s="174">
        <v>45576.460914351854</v>
      </c>
    </row>
    <row r="5188" spans="1:7">
      <c r="A5188">
        <v>5241</v>
      </c>
      <c r="B5188" t="s">
        <v>6697</v>
      </c>
      <c r="C5188" t="s">
        <v>3147</v>
      </c>
      <c r="E5188">
        <v>0.1</v>
      </c>
      <c r="F5188" t="s">
        <v>546</v>
      </c>
      <c r="G5188" s="174">
        <v>45576.460914351854</v>
      </c>
    </row>
    <row r="5189" spans="1:7">
      <c r="A5189">
        <v>5242</v>
      </c>
      <c r="B5189" t="s">
        <v>6698</v>
      </c>
      <c r="C5189" t="s">
        <v>2810</v>
      </c>
      <c r="E5189">
        <v>0.1</v>
      </c>
      <c r="F5189" t="s">
        <v>546</v>
      </c>
      <c r="G5189" s="174">
        <v>45576.460914351854</v>
      </c>
    </row>
    <row r="5190" spans="1:7">
      <c r="A5190">
        <v>5243</v>
      </c>
      <c r="B5190" t="s">
        <v>6699</v>
      </c>
      <c r="C5190" t="s">
        <v>6655</v>
      </c>
      <c r="E5190">
        <v>0.01</v>
      </c>
      <c r="F5190" t="s">
        <v>546</v>
      </c>
      <c r="G5190" s="174">
        <v>45576.460914351854</v>
      </c>
    </row>
    <row r="5191" spans="1:7">
      <c r="A5191">
        <v>5244</v>
      </c>
      <c r="B5191" t="s">
        <v>6700</v>
      </c>
      <c r="C5191" t="s">
        <v>3274</v>
      </c>
      <c r="E5191">
        <v>0.01</v>
      </c>
      <c r="F5191" t="s">
        <v>546</v>
      </c>
      <c r="G5191" s="174">
        <v>45576.460914351854</v>
      </c>
    </row>
    <row r="5192" spans="1:7">
      <c r="A5192">
        <v>5245</v>
      </c>
      <c r="B5192" t="s">
        <v>6701</v>
      </c>
      <c r="C5192" t="s">
        <v>4710</v>
      </c>
      <c r="E5192">
        <v>0.01</v>
      </c>
      <c r="F5192" t="s">
        <v>546</v>
      </c>
      <c r="G5192" s="174">
        <v>45576.460914351854</v>
      </c>
    </row>
    <row r="5193" spans="1:7">
      <c r="A5193">
        <v>5246</v>
      </c>
      <c r="B5193" t="s">
        <v>6702</v>
      </c>
      <c r="C5193" t="s">
        <v>4317</v>
      </c>
      <c r="E5193">
        <v>0.01</v>
      </c>
      <c r="F5193" t="s">
        <v>546</v>
      </c>
      <c r="G5193" s="174">
        <v>45576.460914351854</v>
      </c>
    </row>
    <row r="5194" spans="1:7">
      <c r="A5194">
        <v>5247</v>
      </c>
      <c r="B5194" t="s">
        <v>6703</v>
      </c>
      <c r="C5194" t="s">
        <v>3143</v>
      </c>
      <c r="E5194">
        <v>0.1</v>
      </c>
      <c r="F5194" t="s">
        <v>546</v>
      </c>
      <c r="G5194" s="174">
        <v>45576.460914351854</v>
      </c>
    </row>
    <row r="5195" spans="1:7">
      <c r="A5195">
        <v>5248</v>
      </c>
      <c r="B5195" t="s">
        <v>6704</v>
      </c>
      <c r="C5195" t="s">
        <v>3050</v>
      </c>
      <c r="E5195">
        <v>0.01</v>
      </c>
      <c r="F5195" t="s">
        <v>546</v>
      </c>
      <c r="G5195" s="174">
        <v>45576.460914351854</v>
      </c>
    </row>
    <row r="5196" spans="1:7">
      <c r="A5196">
        <v>5249</v>
      </c>
      <c r="B5196" t="s">
        <v>6705</v>
      </c>
      <c r="C5196" t="s">
        <v>3911</v>
      </c>
      <c r="E5196">
        <v>0.01</v>
      </c>
      <c r="F5196" t="s">
        <v>546</v>
      </c>
      <c r="G5196" s="174">
        <v>45576.460914351854</v>
      </c>
    </row>
    <row r="5197" spans="1:7">
      <c r="A5197">
        <v>5250</v>
      </c>
      <c r="B5197" t="s">
        <v>6705</v>
      </c>
      <c r="C5197" t="s">
        <v>4614</v>
      </c>
      <c r="E5197">
        <v>0.01</v>
      </c>
      <c r="F5197" t="s">
        <v>546</v>
      </c>
      <c r="G5197" s="174">
        <v>45576.460914351854</v>
      </c>
    </row>
    <row r="5198" spans="1:7">
      <c r="A5198">
        <v>5251</v>
      </c>
      <c r="B5198" t="s">
        <v>6706</v>
      </c>
      <c r="C5198" t="s">
        <v>4388</v>
      </c>
      <c r="E5198">
        <v>0.01</v>
      </c>
      <c r="F5198" t="s">
        <v>546</v>
      </c>
      <c r="G5198" s="174">
        <v>45576.460914351854</v>
      </c>
    </row>
    <row r="5199" spans="1:7">
      <c r="A5199">
        <v>5252</v>
      </c>
      <c r="B5199" t="s">
        <v>6707</v>
      </c>
      <c r="C5199" t="s">
        <v>2930</v>
      </c>
      <c r="E5199">
        <v>0.8</v>
      </c>
      <c r="F5199" t="s">
        <v>6708</v>
      </c>
      <c r="G5199" s="174">
        <v>45576.460914351854</v>
      </c>
    </row>
    <row r="5200" spans="1:7">
      <c r="A5200">
        <v>5253</v>
      </c>
      <c r="B5200" t="s">
        <v>6709</v>
      </c>
      <c r="C5200" t="s">
        <v>2826</v>
      </c>
      <c r="E5200">
        <v>0.01</v>
      </c>
      <c r="F5200" t="s">
        <v>546</v>
      </c>
      <c r="G5200" s="174">
        <v>45576.460914351854</v>
      </c>
    </row>
    <row r="5201" spans="1:7">
      <c r="A5201">
        <v>5254</v>
      </c>
      <c r="B5201" t="s">
        <v>6709</v>
      </c>
      <c r="C5201" t="s">
        <v>6710</v>
      </c>
      <c r="E5201">
        <v>0.01</v>
      </c>
      <c r="F5201" t="s">
        <v>546</v>
      </c>
      <c r="G5201" s="174">
        <v>45576.460914351854</v>
      </c>
    </row>
    <row r="5202" spans="1:7">
      <c r="A5202">
        <v>5255</v>
      </c>
      <c r="B5202" t="s">
        <v>2107</v>
      </c>
      <c r="C5202" t="s">
        <v>3895</v>
      </c>
      <c r="E5202">
        <v>0.6</v>
      </c>
      <c r="F5202" t="s">
        <v>546</v>
      </c>
      <c r="G5202" s="174">
        <v>45576.460914351854</v>
      </c>
    </row>
    <row r="5203" spans="1:7">
      <c r="A5203">
        <v>5256</v>
      </c>
      <c r="B5203" t="s">
        <v>6711</v>
      </c>
      <c r="C5203" t="s">
        <v>5525</v>
      </c>
      <c r="E5203">
        <v>0.01</v>
      </c>
      <c r="F5203" t="s">
        <v>546</v>
      </c>
      <c r="G5203" s="174">
        <v>45576.460914351854</v>
      </c>
    </row>
    <row r="5204" spans="1:7">
      <c r="A5204">
        <v>5257</v>
      </c>
      <c r="B5204" t="s">
        <v>6712</v>
      </c>
      <c r="C5204" t="s">
        <v>4689</v>
      </c>
      <c r="E5204">
        <v>0.01</v>
      </c>
      <c r="F5204" t="s">
        <v>546</v>
      </c>
      <c r="G5204" s="174">
        <v>45576.460914351854</v>
      </c>
    </row>
    <row r="5205" spans="1:7">
      <c r="A5205">
        <v>5258</v>
      </c>
      <c r="B5205" t="s">
        <v>6713</v>
      </c>
      <c r="C5205" t="s">
        <v>4195</v>
      </c>
      <c r="E5205">
        <v>0.01</v>
      </c>
      <c r="F5205" t="s">
        <v>546</v>
      </c>
      <c r="G5205" s="174">
        <v>45576.460914351854</v>
      </c>
    </row>
    <row r="5206" spans="1:7">
      <c r="A5206">
        <v>5259</v>
      </c>
      <c r="B5206" t="s">
        <v>6714</v>
      </c>
      <c r="C5206" t="s">
        <v>3974</v>
      </c>
      <c r="E5206">
        <v>0.01</v>
      </c>
      <c r="F5206" t="s">
        <v>546</v>
      </c>
      <c r="G5206" s="174">
        <v>45576.460914351854</v>
      </c>
    </row>
    <row r="5207" spans="1:7">
      <c r="A5207">
        <v>5260</v>
      </c>
      <c r="B5207" t="s">
        <v>6715</v>
      </c>
      <c r="C5207" t="s">
        <v>6716</v>
      </c>
      <c r="E5207">
        <v>0.01</v>
      </c>
      <c r="F5207" t="s">
        <v>546</v>
      </c>
      <c r="G5207" s="174">
        <v>45576.460914351854</v>
      </c>
    </row>
    <row r="5208" spans="1:7">
      <c r="A5208">
        <v>5261</v>
      </c>
      <c r="B5208" t="s">
        <v>6717</v>
      </c>
      <c r="C5208" t="s">
        <v>5436</v>
      </c>
      <c r="E5208">
        <v>0.01</v>
      </c>
      <c r="F5208" t="s">
        <v>546</v>
      </c>
      <c r="G5208" s="174">
        <v>45576.460914351854</v>
      </c>
    </row>
    <row r="5209" spans="1:7">
      <c r="A5209">
        <v>5262</v>
      </c>
      <c r="B5209" t="s">
        <v>6717</v>
      </c>
      <c r="C5209" t="s">
        <v>4333</v>
      </c>
      <c r="E5209">
        <v>0.01</v>
      </c>
      <c r="F5209" t="s">
        <v>546</v>
      </c>
      <c r="G5209" s="174">
        <v>45576.460914351854</v>
      </c>
    </row>
    <row r="5210" spans="1:7">
      <c r="A5210">
        <v>5263</v>
      </c>
      <c r="B5210" t="s">
        <v>6718</v>
      </c>
      <c r="C5210" t="s">
        <v>4237</v>
      </c>
      <c r="E5210">
        <v>0.01</v>
      </c>
      <c r="F5210" t="s">
        <v>546</v>
      </c>
      <c r="G5210" s="174">
        <v>45576.460914351854</v>
      </c>
    </row>
    <row r="5211" spans="1:7">
      <c r="A5211">
        <v>5264</v>
      </c>
      <c r="B5211" t="s">
        <v>6719</v>
      </c>
      <c r="C5211" t="s">
        <v>4272</v>
      </c>
      <c r="E5211">
        <v>0.01</v>
      </c>
      <c r="F5211" t="s">
        <v>546</v>
      </c>
      <c r="G5211" s="174">
        <v>45576.460914351854</v>
      </c>
    </row>
    <row r="5212" spans="1:7">
      <c r="A5212">
        <v>5265</v>
      </c>
      <c r="B5212" t="s">
        <v>6720</v>
      </c>
      <c r="C5212" t="s">
        <v>4719</v>
      </c>
      <c r="E5212">
        <v>0.01</v>
      </c>
      <c r="F5212" t="s">
        <v>546</v>
      </c>
      <c r="G5212" s="174">
        <v>45576.460914351854</v>
      </c>
    </row>
    <row r="5213" spans="1:7">
      <c r="A5213">
        <v>5266</v>
      </c>
      <c r="B5213" t="s">
        <v>6721</v>
      </c>
      <c r="C5213" t="s">
        <v>6722</v>
      </c>
      <c r="E5213">
        <v>0.01</v>
      </c>
      <c r="F5213" t="s">
        <v>546</v>
      </c>
      <c r="G5213" s="174">
        <v>45576.460914351854</v>
      </c>
    </row>
    <row r="5214" spans="1:7">
      <c r="A5214">
        <v>5267</v>
      </c>
      <c r="B5214" t="s">
        <v>6723</v>
      </c>
      <c r="C5214" t="s">
        <v>3850</v>
      </c>
      <c r="E5214">
        <v>0.01</v>
      </c>
      <c r="F5214" t="s">
        <v>546</v>
      </c>
      <c r="G5214" s="174">
        <v>45576.460914351854</v>
      </c>
    </row>
    <row r="5215" spans="1:7">
      <c r="A5215">
        <v>5268</v>
      </c>
      <c r="B5215" t="s">
        <v>6723</v>
      </c>
      <c r="C5215" t="s">
        <v>6724</v>
      </c>
      <c r="E5215">
        <v>0.01</v>
      </c>
      <c r="F5215" t="s">
        <v>546</v>
      </c>
      <c r="G5215" s="174">
        <v>45576.460914351854</v>
      </c>
    </row>
    <row r="5216" spans="1:7">
      <c r="A5216">
        <v>5269</v>
      </c>
      <c r="B5216" t="s">
        <v>6725</v>
      </c>
      <c r="C5216" t="s">
        <v>5215</v>
      </c>
      <c r="E5216">
        <v>0.01</v>
      </c>
      <c r="F5216" t="s">
        <v>546</v>
      </c>
      <c r="G5216" s="174">
        <v>45576.460914351854</v>
      </c>
    </row>
    <row r="5217" spans="1:7">
      <c r="A5217">
        <v>5270</v>
      </c>
      <c r="B5217" t="s">
        <v>6726</v>
      </c>
      <c r="C5217" t="s">
        <v>3400</v>
      </c>
      <c r="E5217">
        <v>0.01</v>
      </c>
      <c r="F5217" t="s">
        <v>546</v>
      </c>
      <c r="G5217" s="174">
        <v>45576.460914351854</v>
      </c>
    </row>
    <row r="5218" spans="1:7">
      <c r="A5218">
        <v>5271</v>
      </c>
      <c r="B5218" t="s">
        <v>6727</v>
      </c>
      <c r="C5218" t="s">
        <v>4123</v>
      </c>
      <c r="E5218">
        <v>0.01</v>
      </c>
      <c r="F5218" t="s">
        <v>546</v>
      </c>
      <c r="G5218" s="174">
        <v>45576.460914351854</v>
      </c>
    </row>
    <row r="5219" spans="1:7">
      <c r="A5219">
        <v>5272</v>
      </c>
      <c r="B5219" t="s">
        <v>6728</v>
      </c>
      <c r="C5219" t="s">
        <v>3875</v>
      </c>
      <c r="E5219">
        <v>0.01</v>
      </c>
      <c r="F5219" t="s">
        <v>546</v>
      </c>
      <c r="G5219" s="174">
        <v>45576.460914351854</v>
      </c>
    </row>
    <row r="5220" spans="1:7">
      <c r="A5220">
        <v>5273</v>
      </c>
      <c r="B5220" t="s">
        <v>6729</v>
      </c>
      <c r="C5220" t="s">
        <v>3807</v>
      </c>
      <c r="E5220">
        <v>0.01</v>
      </c>
      <c r="F5220" t="s">
        <v>546</v>
      </c>
      <c r="G5220" s="174">
        <v>45576.460914351854</v>
      </c>
    </row>
    <row r="5221" spans="1:7">
      <c r="A5221">
        <v>5274</v>
      </c>
      <c r="B5221" t="s">
        <v>6730</v>
      </c>
      <c r="C5221" t="s">
        <v>3895</v>
      </c>
      <c r="E5221">
        <v>0.01</v>
      </c>
      <c r="F5221" t="s">
        <v>546</v>
      </c>
      <c r="G5221" s="174">
        <v>45576.460914351854</v>
      </c>
    </row>
    <row r="5222" spans="1:7">
      <c r="A5222">
        <v>5275</v>
      </c>
      <c r="B5222" t="s">
        <v>6731</v>
      </c>
      <c r="C5222" t="s">
        <v>4107</v>
      </c>
      <c r="E5222">
        <v>0.01</v>
      </c>
      <c r="F5222" t="s">
        <v>546</v>
      </c>
      <c r="G5222" s="174">
        <v>45576.460914351854</v>
      </c>
    </row>
    <row r="5223" spans="1:7">
      <c r="A5223">
        <v>5276</v>
      </c>
      <c r="B5223" t="s">
        <v>6732</v>
      </c>
      <c r="C5223" t="s">
        <v>3419</v>
      </c>
      <c r="E5223">
        <v>0.01</v>
      </c>
      <c r="F5223" t="s">
        <v>546</v>
      </c>
      <c r="G5223" s="174">
        <v>45576.460914351854</v>
      </c>
    </row>
    <row r="5224" spans="1:7">
      <c r="A5224">
        <v>5277</v>
      </c>
      <c r="B5224" t="s">
        <v>6733</v>
      </c>
      <c r="C5224" t="s">
        <v>3033</v>
      </c>
      <c r="E5224">
        <v>0.01</v>
      </c>
      <c r="F5224" t="s">
        <v>546</v>
      </c>
      <c r="G5224" s="174">
        <v>45576.460914351854</v>
      </c>
    </row>
    <row r="5225" spans="1:7">
      <c r="A5225">
        <v>5278</v>
      </c>
      <c r="B5225" t="s">
        <v>6734</v>
      </c>
      <c r="C5225" t="s">
        <v>5587</v>
      </c>
      <c r="E5225">
        <v>0.01</v>
      </c>
      <c r="F5225" t="s">
        <v>546</v>
      </c>
      <c r="G5225" s="174">
        <v>45576.460914351854</v>
      </c>
    </row>
    <row r="5226" spans="1:7">
      <c r="A5226">
        <v>5279</v>
      </c>
      <c r="B5226" t="s">
        <v>6734</v>
      </c>
      <c r="C5226" t="s">
        <v>5588</v>
      </c>
      <c r="E5226">
        <v>0.1</v>
      </c>
      <c r="F5226" t="s">
        <v>546</v>
      </c>
      <c r="G5226" s="174">
        <v>45576.460914351854</v>
      </c>
    </row>
    <row r="5227" spans="1:7">
      <c r="A5227">
        <v>5280</v>
      </c>
      <c r="B5227" t="s">
        <v>6735</v>
      </c>
      <c r="C5227" t="s">
        <v>2939</v>
      </c>
      <c r="E5227">
        <v>0.01</v>
      </c>
      <c r="F5227" t="s">
        <v>546</v>
      </c>
      <c r="G5227" s="174">
        <v>45576.460914351854</v>
      </c>
    </row>
    <row r="5228" spans="1:7">
      <c r="A5228">
        <v>5281</v>
      </c>
      <c r="B5228" t="s">
        <v>6736</v>
      </c>
      <c r="C5228" t="s">
        <v>6737</v>
      </c>
      <c r="E5228">
        <v>0.01</v>
      </c>
      <c r="F5228" t="s">
        <v>546</v>
      </c>
      <c r="G5228" s="174">
        <v>45576.460914351854</v>
      </c>
    </row>
    <row r="5229" spans="1:7">
      <c r="A5229">
        <v>5282</v>
      </c>
      <c r="B5229" t="s">
        <v>6738</v>
      </c>
      <c r="C5229" t="s">
        <v>3626</v>
      </c>
      <c r="E5229">
        <v>0.01</v>
      </c>
      <c r="F5229" t="s">
        <v>546</v>
      </c>
      <c r="G5229" s="174">
        <v>45576.460914351854</v>
      </c>
    </row>
    <row r="5230" spans="1:7">
      <c r="A5230">
        <v>5283</v>
      </c>
      <c r="B5230" t="s">
        <v>6739</v>
      </c>
      <c r="C5230" t="s">
        <v>2879</v>
      </c>
      <c r="E5230">
        <v>0.1</v>
      </c>
      <c r="F5230" t="s">
        <v>546</v>
      </c>
      <c r="G5230" s="174">
        <v>45576.460914351854</v>
      </c>
    </row>
    <row r="5231" spans="1:7">
      <c r="A5231">
        <v>5284</v>
      </c>
      <c r="B5231" t="s">
        <v>6740</v>
      </c>
      <c r="C5231" t="s">
        <v>3248</v>
      </c>
      <c r="E5231">
        <v>0.01</v>
      </c>
      <c r="F5231" t="s">
        <v>546</v>
      </c>
      <c r="G5231" s="174">
        <v>45576.460914351854</v>
      </c>
    </row>
    <row r="5232" spans="1:7">
      <c r="A5232">
        <v>5285</v>
      </c>
      <c r="B5232" t="s">
        <v>6741</v>
      </c>
      <c r="C5232" t="s">
        <v>5370</v>
      </c>
      <c r="E5232">
        <v>0.01</v>
      </c>
      <c r="F5232" t="s">
        <v>546</v>
      </c>
      <c r="G5232" s="174">
        <v>45576.460914351854</v>
      </c>
    </row>
    <row r="5233" spans="1:7">
      <c r="A5233">
        <v>5286</v>
      </c>
      <c r="B5233" t="s">
        <v>6742</v>
      </c>
      <c r="C5233" t="s">
        <v>3877</v>
      </c>
      <c r="E5233">
        <v>0.05</v>
      </c>
      <c r="F5233" t="s">
        <v>546</v>
      </c>
      <c r="G5233" s="174">
        <v>45576.460914351854</v>
      </c>
    </row>
    <row r="5234" spans="1:7">
      <c r="A5234">
        <v>5287</v>
      </c>
      <c r="B5234" t="s">
        <v>6742</v>
      </c>
      <c r="C5234" t="s">
        <v>4393</v>
      </c>
      <c r="E5234">
        <v>0.01</v>
      </c>
      <c r="F5234" t="s">
        <v>546</v>
      </c>
      <c r="G5234" s="174">
        <v>45576.460914351854</v>
      </c>
    </row>
    <row r="5235" spans="1:7">
      <c r="A5235">
        <v>5288</v>
      </c>
      <c r="B5235" t="s">
        <v>6742</v>
      </c>
      <c r="C5235" t="s">
        <v>5610</v>
      </c>
      <c r="E5235">
        <v>0.01</v>
      </c>
      <c r="F5235" t="s">
        <v>546</v>
      </c>
      <c r="G5235" s="174">
        <v>45576.460914351854</v>
      </c>
    </row>
    <row r="5236" spans="1:7">
      <c r="A5236">
        <v>5289</v>
      </c>
      <c r="B5236" t="s">
        <v>6743</v>
      </c>
      <c r="C5236" t="s">
        <v>3192</v>
      </c>
      <c r="E5236">
        <v>0.01</v>
      </c>
      <c r="F5236" t="s">
        <v>546</v>
      </c>
      <c r="G5236" s="174">
        <v>45576.460914351854</v>
      </c>
    </row>
    <row r="5237" spans="1:7">
      <c r="A5237">
        <v>5290</v>
      </c>
      <c r="B5237" t="s">
        <v>6744</v>
      </c>
      <c r="C5237" t="s">
        <v>4435</v>
      </c>
      <c r="E5237">
        <v>0.01</v>
      </c>
      <c r="F5237" t="s">
        <v>546</v>
      </c>
      <c r="G5237" s="174">
        <v>45576.460914351854</v>
      </c>
    </row>
    <row r="5238" spans="1:7">
      <c r="A5238">
        <v>5291</v>
      </c>
      <c r="B5238" t="s">
        <v>6745</v>
      </c>
      <c r="C5238" t="s">
        <v>5289</v>
      </c>
      <c r="E5238">
        <v>0.01</v>
      </c>
      <c r="F5238" t="s">
        <v>546</v>
      </c>
      <c r="G5238" s="174">
        <v>45576.460914351854</v>
      </c>
    </row>
    <row r="5239" spans="1:7">
      <c r="A5239">
        <v>5292</v>
      </c>
      <c r="B5239" t="s">
        <v>6746</v>
      </c>
      <c r="C5239" t="s">
        <v>6063</v>
      </c>
      <c r="E5239">
        <v>0.01</v>
      </c>
      <c r="F5239" t="s">
        <v>546</v>
      </c>
      <c r="G5239" s="174">
        <v>45576.460914351854</v>
      </c>
    </row>
    <row r="5240" spans="1:7">
      <c r="A5240">
        <v>5293</v>
      </c>
      <c r="B5240" t="s">
        <v>2114</v>
      </c>
      <c r="C5240" t="s">
        <v>6747</v>
      </c>
      <c r="E5240">
        <v>0.1</v>
      </c>
      <c r="F5240" t="s">
        <v>546</v>
      </c>
      <c r="G5240" s="174">
        <v>45576.460914351854</v>
      </c>
    </row>
    <row r="5241" spans="1:7">
      <c r="A5241">
        <v>5294</v>
      </c>
      <c r="B5241" t="s">
        <v>6748</v>
      </c>
      <c r="C5241" t="s">
        <v>6749</v>
      </c>
      <c r="E5241">
        <v>0.1</v>
      </c>
      <c r="F5241" t="s">
        <v>546</v>
      </c>
      <c r="G5241" s="174">
        <v>45576.460914351854</v>
      </c>
    </row>
    <row r="5242" spans="1:7">
      <c r="A5242">
        <v>5295</v>
      </c>
      <c r="B5242" t="s">
        <v>2115</v>
      </c>
      <c r="C5242" t="s">
        <v>6750</v>
      </c>
      <c r="E5242">
        <v>0.01</v>
      </c>
      <c r="F5242" t="s">
        <v>546</v>
      </c>
      <c r="G5242" s="174">
        <v>45576.460914351854</v>
      </c>
    </row>
    <row r="5243" spans="1:7">
      <c r="A5243">
        <v>5296</v>
      </c>
      <c r="B5243" t="s">
        <v>6751</v>
      </c>
      <c r="C5243" t="s">
        <v>6752</v>
      </c>
      <c r="E5243">
        <v>0.01</v>
      </c>
      <c r="F5243" t="s">
        <v>546</v>
      </c>
      <c r="G5243" s="174">
        <v>45576.460914351854</v>
      </c>
    </row>
    <row r="5244" spans="1:7">
      <c r="A5244">
        <v>5297</v>
      </c>
      <c r="B5244" t="s">
        <v>6753</v>
      </c>
      <c r="C5244" t="s">
        <v>3765</v>
      </c>
      <c r="E5244">
        <v>0.01</v>
      </c>
      <c r="F5244" t="s">
        <v>546</v>
      </c>
      <c r="G5244" s="174">
        <v>45576.460914351854</v>
      </c>
    </row>
    <row r="5245" spans="1:7">
      <c r="A5245">
        <v>5298</v>
      </c>
      <c r="B5245" t="s">
        <v>6754</v>
      </c>
      <c r="C5245" t="s">
        <v>6755</v>
      </c>
      <c r="E5245">
        <v>0.6</v>
      </c>
      <c r="F5245" t="s">
        <v>546</v>
      </c>
      <c r="G5245" s="174">
        <v>45576.460914351854</v>
      </c>
    </row>
    <row r="5246" spans="1:7">
      <c r="A5246">
        <v>5299</v>
      </c>
      <c r="B5246" t="s">
        <v>6754</v>
      </c>
      <c r="C5246" t="s">
        <v>3584</v>
      </c>
      <c r="E5246">
        <v>0.8</v>
      </c>
      <c r="F5246" t="s">
        <v>546</v>
      </c>
      <c r="G5246" s="174">
        <v>45576.460914351854</v>
      </c>
    </row>
    <row r="5247" spans="1:7">
      <c r="A5247">
        <v>5300</v>
      </c>
      <c r="B5247" t="s">
        <v>2118</v>
      </c>
      <c r="C5247" t="s">
        <v>4855</v>
      </c>
      <c r="E5247">
        <v>0.01</v>
      </c>
      <c r="F5247" t="s">
        <v>546</v>
      </c>
      <c r="G5247" s="174">
        <v>45576.460914351854</v>
      </c>
    </row>
    <row r="5248" spans="1:7">
      <c r="A5248">
        <v>5301</v>
      </c>
      <c r="B5248" t="s">
        <v>6756</v>
      </c>
      <c r="C5248" t="s">
        <v>4514</v>
      </c>
      <c r="E5248">
        <v>0.01</v>
      </c>
      <c r="F5248" t="s">
        <v>546</v>
      </c>
      <c r="G5248" s="174">
        <v>45576.460914351854</v>
      </c>
    </row>
    <row r="5249" spans="1:7">
      <c r="A5249">
        <v>5302</v>
      </c>
      <c r="B5249" t="s">
        <v>6757</v>
      </c>
      <c r="C5249" t="s">
        <v>5704</v>
      </c>
      <c r="E5249">
        <v>0.01</v>
      </c>
      <c r="F5249" t="s">
        <v>546</v>
      </c>
      <c r="G5249" s="174">
        <v>45576.460914351854</v>
      </c>
    </row>
    <row r="5250" spans="1:7">
      <c r="A5250">
        <v>5303</v>
      </c>
      <c r="B5250" t="s">
        <v>6758</v>
      </c>
      <c r="C5250" t="s">
        <v>3293</v>
      </c>
      <c r="E5250">
        <v>0.01</v>
      </c>
      <c r="F5250" t="s">
        <v>546</v>
      </c>
      <c r="G5250" s="174">
        <v>45576.460914351854</v>
      </c>
    </row>
    <row r="5251" spans="1:7">
      <c r="A5251">
        <v>5304</v>
      </c>
      <c r="B5251" t="s">
        <v>6759</v>
      </c>
      <c r="C5251" t="s">
        <v>3982</v>
      </c>
      <c r="E5251">
        <v>0.8</v>
      </c>
      <c r="F5251" t="s">
        <v>546</v>
      </c>
      <c r="G5251" s="174">
        <v>45576.460914351854</v>
      </c>
    </row>
    <row r="5252" spans="1:7">
      <c r="A5252">
        <v>5305</v>
      </c>
      <c r="B5252" t="s">
        <v>6759</v>
      </c>
      <c r="C5252" t="s">
        <v>6760</v>
      </c>
      <c r="E5252">
        <v>0.01</v>
      </c>
      <c r="F5252" t="s">
        <v>546</v>
      </c>
      <c r="G5252" s="174">
        <v>45576.460914351854</v>
      </c>
    </row>
    <row r="5253" spans="1:7">
      <c r="A5253">
        <v>5306</v>
      </c>
      <c r="B5253" t="s">
        <v>6759</v>
      </c>
      <c r="C5253" t="s">
        <v>6761</v>
      </c>
      <c r="E5253">
        <v>0.6</v>
      </c>
      <c r="F5253" t="s">
        <v>546</v>
      </c>
      <c r="G5253" s="174">
        <v>45576.460914351854</v>
      </c>
    </row>
    <row r="5254" spans="1:7">
      <c r="A5254">
        <v>5308</v>
      </c>
      <c r="B5254" t="s">
        <v>6762</v>
      </c>
      <c r="C5254" t="s">
        <v>3010</v>
      </c>
      <c r="E5254">
        <v>0.01</v>
      </c>
      <c r="F5254" t="s">
        <v>546</v>
      </c>
      <c r="G5254" s="174">
        <v>45576.460914351854</v>
      </c>
    </row>
    <row r="5255" spans="1:7">
      <c r="A5255">
        <v>5309</v>
      </c>
      <c r="B5255" t="s">
        <v>6763</v>
      </c>
      <c r="C5255" t="s">
        <v>3523</v>
      </c>
      <c r="E5255">
        <v>0.01</v>
      </c>
      <c r="F5255" t="s">
        <v>546</v>
      </c>
      <c r="G5255" s="174">
        <v>45576.460914351854</v>
      </c>
    </row>
    <row r="5256" spans="1:7">
      <c r="A5256">
        <v>5310</v>
      </c>
      <c r="B5256" t="s">
        <v>6764</v>
      </c>
      <c r="C5256" t="s">
        <v>3742</v>
      </c>
      <c r="E5256">
        <v>0.01</v>
      </c>
      <c r="F5256" t="s">
        <v>546</v>
      </c>
      <c r="G5256" s="174">
        <v>45576.460914351854</v>
      </c>
    </row>
    <row r="5257" spans="1:7">
      <c r="A5257">
        <v>5311</v>
      </c>
      <c r="B5257" t="s">
        <v>6765</v>
      </c>
      <c r="C5257" t="s">
        <v>3557</v>
      </c>
      <c r="E5257">
        <v>0.01</v>
      </c>
      <c r="F5257" t="s">
        <v>546</v>
      </c>
      <c r="G5257" s="174">
        <v>45576.460914351854</v>
      </c>
    </row>
    <row r="5258" spans="1:7">
      <c r="A5258">
        <v>5312</v>
      </c>
      <c r="B5258" t="s">
        <v>6766</v>
      </c>
      <c r="C5258" t="s">
        <v>4380</v>
      </c>
      <c r="E5258">
        <v>0.01</v>
      </c>
      <c r="F5258" t="s">
        <v>546</v>
      </c>
      <c r="G5258" s="174">
        <v>45576.460914351854</v>
      </c>
    </row>
    <row r="5259" spans="1:7">
      <c r="A5259">
        <v>5313</v>
      </c>
      <c r="B5259" t="s">
        <v>6766</v>
      </c>
      <c r="C5259" t="s">
        <v>4784</v>
      </c>
      <c r="E5259">
        <v>0.1</v>
      </c>
      <c r="F5259" t="s">
        <v>546</v>
      </c>
      <c r="G5259" s="174">
        <v>45576.460914351854</v>
      </c>
    </row>
    <row r="5260" spans="1:7">
      <c r="A5260">
        <v>5314</v>
      </c>
      <c r="B5260" t="s">
        <v>6767</v>
      </c>
      <c r="C5260" t="s">
        <v>5406</v>
      </c>
      <c r="E5260">
        <v>0.01</v>
      </c>
      <c r="F5260" t="s">
        <v>546</v>
      </c>
      <c r="G5260" s="174">
        <v>45576.460914351854</v>
      </c>
    </row>
    <row r="5261" spans="1:7">
      <c r="A5261">
        <v>5315</v>
      </c>
      <c r="B5261" t="s">
        <v>6768</v>
      </c>
      <c r="C5261" t="s">
        <v>4317</v>
      </c>
      <c r="E5261">
        <v>0.01</v>
      </c>
      <c r="F5261" t="s">
        <v>546</v>
      </c>
      <c r="G5261" s="174">
        <v>45576.460914351854</v>
      </c>
    </row>
    <row r="5262" spans="1:7">
      <c r="A5262">
        <v>5316</v>
      </c>
      <c r="B5262" t="s">
        <v>6769</v>
      </c>
      <c r="C5262" t="s">
        <v>3742</v>
      </c>
      <c r="E5262">
        <v>0.01</v>
      </c>
      <c r="F5262" t="s">
        <v>546</v>
      </c>
      <c r="G5262" s="174">
        <v>45576.460914351854</v>
      </c>
    </row>
    <row r="5263" spans="1:7">
      <c r="A5263">
        <v>5317</v>
      </c>
      <c r="B5263" t="s">
        <v>2124</v>
      </c>
      <c r="C5263" t="s">
        <v>3269</v>
      </c>
      <c r="E5263">
        <v>0.01</v>
      </c>
      <c r="F5263" t="s">
        <v>546</v>
      </c>
      <c r="G5263" s="174">
        <v>45576.460914351854</v>
      </c>
    </row>
    <row r="5264" spans="1:7">
      <c r="A5264">
        <v>5318</v>
      </c>
      <c r="B5264" t="s">
        <v>6770</v>
      </c>
      <c r="C5264" t="s">
        <v>3584</v>
      </c>
      <c r="E5264">
        <v>0.01</v>
      </c>
      <c r="F5264" t="s">
        <v>546</v>
      </c>
      <c r="G5264" s="174">
        <v>45576.460914351854</v>
      </c>
    </row>
    <row r="5265" spans="1:7">
      <c r="A5265">
        <v>5319</v>
      </c>
      <c r="B5265" t="s">
        <v>6771</v>
      </c>
      <c r="C5265" t="s">
        <v>3270</v>
      </c>
      <c r="E5265">
        <v>0.01</v>
      </c>
      <c r="F5265" t="s">
        <v>546</v>
      </c>
      <c r="G5265" s="174">
        <v>45576.460914351854</v>
      </c>
    </row>
    <row r="5266" spans="1:7">
      <c r="A5266">
        <v>5320</v>
      </c>
      <c r="B5266" t="s">
        <v>6772</v>
      </c>
      <c r="C5266" t="s">
        <v>3797</v>
      </c>
      <c r="E5266">
        <v>0.01</v>
      </c>
      <c r="F5266" t="s">
        <v>546</v>
      </c>
      <c r="G5266" s="174">
        <v>45576.460914351854</v>
      </c>
    </row>
    <row r="5267" spans="1:7">
      <c r="A5267">
        <v>5321</v>
      </c>
      <c r="B5267" t="s">
        <v>6773</v>
      </c>
      <c r="C5267" t="s">
        <v>5039</v>
      </c>
      <c r="E5267">
        <v>0.01</v>
      </c>
      <c r="F5267" t="s">
        <v>546</v>
      </c>
      <c r="G5267" s="174">
        <v>45576.460914351854</v>
      </c>
    </row>
    <row r="5268" spans="1:7">
      <c r="A5268">
        <v>5322</v>
      </c>
      <c r="B5268" t="s">
        <v>6773</v>
      </c>
      <c r="C5268" t="s">
        <v>3265</v>
      </c>
      <c r="E5268">
        <v>0.01</v>
      </c>
      <c r="F5268" t="s">
        <v>546</v>
      </c>
      <c r="G5268" s="174">
        <v>45576.460914351854</v>
      </c>
    </row>
    <row r="5269" spans="1:7">
      <c r="A5269">
        <v>5323</v>
      </c>
      <c r="B5269" t="s">
        <v>6774</v>
      </c>
      <c r="C5269" t="s">
        <v>3024</v>
      </c>
      <c r="E5269">
        <v>0.01</v>
      </c>
      <c r="F5269" t="s">
        <v>546</v>
      </c>
      <c r="G5269" s="174">
        <v>45576.460914351854</v>
      </c>
    </row>
    <row r="5270" spans="1:7">
      <c r="A5270">
        <v>5324</v>
      </c>
      <c r="B5270" t="s">
        <v>6775</v>
      </c>
      <c r="C5270" t="s">
        <v>3291</v>
      </c>
      <c r="E5270">
        <v>0.01</v>
      </c>
      <c r="F5270" t="s">
        <v>546</v>
      </c>
      <c r="G5270" s="174">
        <v>45576.460914351854</v>
      </c>
    </row>
    <row r="5271" spans="1:7">
      <c r="A5271">
        <v>5325</v>
      </c>
      <c r="B5271" t="s">
        <v>2125</v>
      </c>
      <c r="C5271" t="s">
        <v>3153</v>
      </c>
      <c r="E5271">
        <v>0.01</v>
      </c>
      <c r="F5271" t="s">
        <v>546</v>
      </c>
      <c r="G5271" s="174">
        <v>45576.460914351854</v>
      </c>
    </row>
    <row r="5272" spans="1:7">
      <c r="A5272">
        <v>5326</v>
      </c>
      <c r="B5272" t="s">
        <v>6776</v>
      </c>
      <c r="C5272" t="s">
        <v>788</v>
      </c>
      <c r="E5272">
        <v>0.01</v>
      </c>
      <c r="F5272" t="s">
        <v>546</v>
      </c>
      <c r="G5272" s="174">
        <v>45576.460914351854</v>
      </c>
    </row>
    <row r="5273" spans="1:7">
      <c r="A5273">
        <v>5327</v>
      </c>
      <c r="B5273" t="s">
        <v>6777</v>
      </c>
      <c r="C5273" t="s">
        <v>3875</v>
      </c>
      <c r="E5273">
        <v>0.01</v>
      </c>
      <c r="F5273" t="s">
        <v>546</v>
      </c>
      <c r="G5273" s="174">
        <v>45576.460914351854</v>
      </c>
    </row>
    <row r="5274" spans="1:7">
      <c r="A5274">
        <v>5328</v>
      </c>
      <c r="B5274" t="s">
        <v>6778</v>
      </c>
      <c r="C5274" t="s">
        <v>5247</v>
      </c>
      <c r="E5274">
        <v>0.6</v>
      </c>
      <c r="F5274" t="s">
        <v>546</v>
      </c>
      <c r="G5274" s="174">
        <v>45576.460914351854</v>
      </c>
    </row>
    <row r="5275" spans="1:7">
      <c r="A5275">
        <v>5329</v>
      </c>
      <c r="B5275" t="s">
        <v>6778</v>
      </c>
      <c r="C5275" t="s">
        <v>5252</v>
      </c>
      <c r="E5275">
        <v>0.8</v>
      </c>
      <c r="F5275" t="s">
        <v>546</v>
      </c>
      <c r="G5275" s="174">
        <v>45576.460914351854</v>
      </c>
    </row>
    <row r="5276" spans="1:7">
      <c r="A5276">
        <v>5330</v>
      </c>
      <c r="B5276" t="s">
        <v>6779</v>
      </c>
      <c r="C5276" t="s">
        <v>4797</v>
      </c>
      <c r="E5276">
        <v>0.01</v>
      </c>
      <c r="F5276" t="s">
        <v>546</v>
      </c>
      <c r="G5276" s="174">
        <v>45576.460914351854</v>
      </c>
    </row>
    <row r="5277" spans="1:7">
      <c r="A5277">
        <v>5331</v>
      </c>
      <c r="B5277" t="s">
        <v>6780</v>
      </c>
      <c r="C5277" t="s">
        <v>4369</v>
      </c>
      <c r="E5277">
        <v>0.1</v>
      </c>
      <c r="F5277" t="s">
        <v>546</v>
      </c>
      <c r="G5277" s="174">
        <v>45576.460914351854</v>
      </c>
    </row>
    <row r="5278" spans="1:7">
      <c r="A5278">
        <v>5332</v>
      </c>
      <c r="B5278" t="s">
        <v>6781</v>
      </c>
      <c r="C5278" t="s">
        <v>3087</v>
      </c>
      <c r="E5278">
        <v>0.01</v>
      </c>
      <c r="F5278" t="s">
        <v>546</v>
      </c>
      <c r="G5278" s="174">
        <v>45576.460914351854</v>
      </c>
    </row>
    <row r="5279" spans="1:7">
      <c r="A5279">
        <v>5333</v>
      </c>
      <c r="B5279" t="s">
        <v>2130</v>
      </c>
      <c r="C5279" t="s">
        <v>3689</v>
      </c>
      <c r="E5279">
        <v>0.01</v>
      </c>
      <c r="F5279" t="s">
        <v>546</v>
      </c>
      <c r="G5279" s="174">
        <v>45576.460914351854</v>
      </c>
    </row>
    <row r="5280" spans="1:7">
      <c r="A5280">
        <v>5334</v>
      </c>
      <c r="B5280" t="s">
        <v>6782</v>
      </c>
      <c r="C5280" t="s">
        <v>6783</v>
      </c>
      <c r="E5280">
        <v>0.8</v>
      </c>
      <c r="F5280" t="s">
        <v>546</v>
      </c>
      <c r="G5280" s="174">
        <v>45576.460914351854</v>
      </c>
    </row>
    <row r="5281" spans="1:7">
      <c r="A5281">
        <v>5335</v>
      </c>
      <c r="B5281" t="s">
        <v>2132</v>
      </c>
      <c r="C5281" t="s">
        <v>3453</v>
      </c>
      <c r="E5281">
        <v>0.8</v>
      </c>
      <c r="F5281" t="s">
        <v>546</v>
      </c>
      <c r="G5281" s="174">
        <v>45576.460914351854</v>
      </c>
    </row>
    <row r="5282" spans="1:7">
      <c r="A5282">
        <v>5336</v>
      </c>
      <c r="B5282" t="s">
        <v>2137</v>
      </c>
      <c r="C5282" t="s">
        <v>3020</v>
      </c>
      <c r="E5282">
        <v>0.01</v>
      </c>
      <c r="F5282" t="s">
        <v>546</v>
      </c>
      <c r="G5282" s="174">
        <v>45576.460914351854</v>
      </c>
    </row>
    <row r="5283" spans="1:7">
      <c r="A5283">
        <v>5337</v>
      </c>
      <c r="B5283" t="s">
        <v>6784</v>
      </c>
      <c r="C5283" t="s">
        <v>3835</v>
      </c>
      <c r="E5283">
        <v>0.01</v>
      </c>
      <c r="F5283" t="s">
        <v>546</v>
      </c>
      <c r="G5283" s="174">
        <v>45576.460914351854</v>
      </c>
    </row>
    <row r="5284" spans="1:7">
      <c r="A5284">
        <v>5338</v>
      </c>
      <c r="B5284" t="s">
        <v>6785</v>
      </c>
      <c r="C5284" t="s">
        <v>2758</v>
      </c>
      <c r="E5284">
        <v>0.01</v>
      </c>
      <c r="F5284" t="s">
        <v>546</v>
      </c>
      <c r="G5284" s="174">
        <v>45576.460914351854</v>
      </c>
    </row>
    <row r="5285" spans="1:7">
      <c r="A5285">
        <v>5339</v>
      </c>
      <c r="B5285" t="s">
        <v>2138</v>
      </c>
      <c r="C5285" t="s">
        <v>2774</v>
      </c>
      <c r="E5285">
        <v>0.01</v>
      </c>
      <c r="F5285" t="s">
        <v>546</v>
      </c>
      <c r="G5285" s="174">
        <v>45576.460914351854</v>
      </c>
    </row>
    <row r="5286" spans="1:7">
      <c r="A5286">
        <v>5340</v>
      </c>
      <c r="B5286" t="s">
        <v>6786</v>
      </c>
      <c r="C5286" t="s">
        <v>2991</v>
      </c>
      <c r="E5286">
        <v>0.01</v>
      </c>
      <c r="F5286" t="s">
        <v>546</v>
      </c>
      <c r="G5286" s="174">
        <v>45576.460914351854</v>
      </c>
    </row>
    <row r="5287" spans="1:7">
      <c r="A5287">
        <v>5341</v>
      </c>
      <c r="B5287" t="s">
        <v>6787</v>
      </c>
      <c r="C5287" t="s">
        <v>3871</v>
      </c>
      <c r="E5287">
        <v>0.01</v>
      </c>
      <c r="F5287" t="s">
        <v>546</v>
      </c>
      <c r="G5287" s="174">
        <v>45576.460914351854</v>
      </c>
    </row>
    <row r="5288" spans="1:7">
      <c r="A5288">
        <v>5342</v>
      </c>
      <c r="B5288" t="s">
        <v>6788</v>
      </c>
      <c r="C5288" t="s">
        <v>3738</v>
      </c>
      <c r="E5288">
        <v>0.1</v>
      </c>
      <c r="F5288" t="s">
        <v>546</v>
      </c>
      <c r="G5288" s="174">
        <v>45576.460914351854</v>
      </c>
    </row>
    <row r="5289" spans="1:7">
      <c r="A5289">
        <v>5343</v>
      </c>
      <c r="B5289" t="s">
        <v>6789</v>
      </c>
      <c r="C5289" t="s">
        <v>3949</v>
      </c>
      <c r="E5289">
        <v>0.1</v>
      </c>
      <c r="F5289" t="s">
        <v>546</v>
      </c>
      <c r="G5289" s="174">
        <v>45576.460914351854</v>
      </c>
    </row>
    <row r="5290" spans="1:7">
      <c r="A5290">
        <v>5344</v>
      </c>
      <c r="B5290" t="s">
        <v>6790</v>
      </c>
      <c r="C5290" t="s">
        <v>3270</v>
      </c>
      <c r="E5290">
        <v>0.01</v>
      </c>
      <c r="F5290" t="s">
        <v>546</v>
      </c>
      <c r="G5290" s="174">
        <v>45576.460914351854</v>
      </c>
    </row>
    <row r="5291" spans="1:7">
      <c r="A5291">
        <v>5345</v>
      </c>
      <c r="B5291" t="s">
        <v>6791</v>
      </c>
      <c r="C5291" t="s">
        <v>6792</v>
      </c>
      <c r="E5291">
        <v>0.01</v>
      </c>
      <c r="F5291" t="s">
        <v>546</v>
      </c>
      <c r="G5291" s="174">
        <v>45576.460914351854</v>
      </c>
    </row>
    <row r="5292" spans="1:7">
      <c r="A5292">
        <v>5346</v>
      </c>
      <c r="B5292" t="s">
        <v>6793</v>
      </c>
      <c r="C5292" t="s">
        <v>6794</v>
      </c>
      <c r="E5292">
        <v>0.1</v>
      </c>
      <c r="F5292" t="s">
        <v>546</v>
      </c>
      <c r="G5292" s="174">
        <v>45576.460914351854</v>
      </c>
    </row>
    <row r="5293" spans="1:7">
      <c r="A5293">
        <v>5347</v>
      </c>
      <c r="B5293" t="s">
        <v>6793</v>
      </c>
      <c r="C5293" t="s">
        <v>6795</v>
      </c>
      <c r="E5293" t="s">
        <v>1380</v>
      </c>
      <c r="F5293" t="s">
        <v>546</v>
      </c>
      <c r="G5293" s="174">
        <v>45576.460914351854</v>
      </c>
    </row>
    <row r="5294" spans="1:7">
      <c r="A5294">
        <v>5348</v>
      </c>
      <c r="B5294" t="s">
        <v>6796</v>
      </c>
      <c r="C5294" t="s">
        <v>6797</v>
      </c>
      <c r="E5294">
        <v>0.01</v>
      </c>
      <c r="F5294" t="s">
        <v>546</v>
      </c>
      <c r="G5294" s="174">
        <v>45576.460914351854</v>
      </c>
    </row>
    <row r="5295" spans="1:7">
      <c r="A5295">
        <v>5349</v>
      </c>
      <c r="B5295" t="s">
        <v>6796</v>
      </c>
      <c r="C5295" t="s">
        <v>6798</v>
      </c>
      <c r="E5295">
        <v>0.01</v>
      </c>
      <c r="F5295" t="s">
        <v>546</v>
      </c>
      <c r="G5295" s="174">
        <v>45576.460914351854</v>
      </c>
    </row>
    <row r="5296" spans="1:7">
      <c r="A5296">
        <v>5350</v>
      </c>
      <c r="B5296" t="s">
        <v>6799</v>
      </c>
      <c r="C5296" t="s">
        <v>3506</v>
      </c>
      <c r="E5296">
        <v>0.01</v>
      </c>
      <c r="F5296" t="s">
        <v>546</v>
      </c>
      <c r="G5296" s="174">
        <v>45576.460914351854</v>
      </c>
    </row>
    <row r="5297" spans="1:7">
      <c r="A5297">
        <v>5351</v>
      </c>
      <c r="B5297" t="s">
        <v>6800</v>
      </c>
      <c r="C5297" t="s">
        <v>6801</v>
      </c>
      <c r="E5297">
        <v>0.01</v>
      </c>
      <c r="F5297" t="s">
        <v>546</v>
      </c>
      <c r="G5297" s="174">
        <v>45576.460914351854</v>
      </c>
    </row>
    <row r="5298" spans="1:7">
      <c r="A5298">
        <v>5352</v>
      </c>
      <c r="B5298" t="s">
        <v>6800</v>
      </c>
      <c r="C5298" t="s">
        <v>6802</v>
      </c>
      <c r="E5298">
        <v>0.01</v>
      </c>
      <c r="F5298" t="s">
        <v>546</v>
      </c>
      <c r="G5298" s="174">
        <v>45576.460914351854</v>
      </c>
    </row>
    <row r="5299" spans="1:7">
      <c r="A5299">
        <v>5353</v>
      </c>
      <c r="B5299" t="s">
        <v>6803</v>
      </c>
      <c r="C5299" t="s">
        <v>6804</v>
      </c>
      <c r="E5299">
        <v>0.01</v>
      </c>
      <c r="F5299" t="s">
        <v>546</v>
      </c>
      <c r="G5299" s="174">
        <v>45576.460914351854</v>
      </c>
    </row>
    <row r="5300" spans="1:7">
      <c r="A5300">
        <v>5354</v>
      </c>
      <c r="B5300" t="s">
        <v>2145</v>
      </c>
      <c r="C5300" t="s">
        <v>4470</v>
      </c>
      <c r="E5300">
        <v>0.01</v>
      </c>
      <c r="F5300" t="s">
        <v>546</v>
      </c>
      <c r="G5300" s="174">
        <v>45576.460914351854</v>
      </c>
    </row>
    <row r="5301" spans="1:7">
      <c r="A5301">
        <v>5355</v>
      </c>
      <c r="B5301" t="s">
        <v>6805</v>
      </c>
      <c r="C5301" t="s">
        <v>3984</v>
      </c>
      <c r="E5301">
        <v>0.01</v>
      </c>
      <c r="F5301" t="s">
        <v>546</v>
      </c>
      <c r="G5301" s="174">
        <v>45576.460914351854</v>
      </c>
    </row>
    <row r="5302" spans="1:7">
      <c r="A5302">
        <v>5356</v>
      </c>
      <c r="B5302" t="s">
        <v>2146</v>
      </c>
      <c r="C5302" t="s">
        <v>4650</v>
      </c>
      <c r="E5302">
        <v>0.05</v>
      </c>
      <c r="F5302" t="s">
        <v>546</v>
      </c>
      <c r="G5302" s="174">
        <v>45576.460914351854</v>
      </c>
    </row>
    <row r="5303" spans="1:7">
      <c r="A5303">
        <v>5357</v>
      </c>
      <c r="B5303" t="s">
        <v>6806</v>
      </c>
      <c r="C5303" t="s">
        <v>2935</v>
      </c>
      <c r="E5303">
        <v>0.8</v>
      </c>
      <c r="F5303" t="s">
        <v>546</v>
      </c>
      <c r="G5303" s="174">
        <v>45576.460914351854</v>
      </c>
    </row>
    <row r="5304" spans="1:7">
      <c r="A5304">
        <v>5358</v>
      </c>
      <c r="B5304" t="s">
        <v>6807</v>
      </c>
      <c r="C5304" t="s">
        <v>4522</v>
      </c>
      <c r="E5304">
        <v>0.01</v>
      </c>
      <c r="F5304" t="s">
        <v>546</v>
      </c>
      <c r="G5304" s="174">
        <v>45576.460914351854</v>
      </c>
    </row>
    <row r="5305" spans="1:7">
      <c r="A5305">
        <v>5359</v>
      </c>
      <c r="B5305" t="s">
        <v>6808</v>
      </c>
      <c r="C5305" t="s">
        <v>6809</v>
      </c>
      <c r="E5305">
        <v>0.01</v>
      </c>
      <c r="F5305" t="s">
        <v>546</v>
      </c>
      <c r="G5305" s="174">
        <v>45576.460914351854</v>
      </c>
    </row>
    <row r="5306" spans="1:7">
      <c r="A5306">
        <v>5360</v>
      </c>
      <c r="B5306" t="s">
        <v>6810</v>
      </c>
      <c r="C5306" t="s">
        <v>6811</v>
      </c>
      <c r="E5306">
        <v>0.01</v>
      </c>
      <c r="F5306" t="s">
        <v>546</v>
      </c>
      <c r="G5306" s="174">
        <v>45576.460914351854</v>
      </c>
    </row>
    <row r="5307" spans="1:7">
      <c r="A5307">
        <v>5361</v>
      </c>
      <c r="B5307" t="s">
        <v>6812</v>
      </c>
      <c r="C5307" t="s">
        <v>3447</v>
      </c>
      <c r="E5307">
        <v>0.01</v>
      </c>
      <c r="F5307" t="s">
        <v>546</v>
      </c>
      <c r="G5307" s="174">
        <v>45576.460914351854</v>
      </c>
    </row>
    <row r="5308" spans="1:7">
      <c r="A5308">
        <v>5362</v>
      </c>
      <c r="B5308" t="s">
        <v>6813</v>
      </c>
      <c r="C5308" t="s">
        <v>3502</v>
      </c>
      <c r="E5308">
        <v>0.01</v>
      </c>
      <c r="F5308" t="s">
        <v>546</v>
      </c>
      <c r="G5308" s="174">
        <v>45576.460914351854</v>
      </c>
    </row>
    <row r="5309" spans="1:7">
      <c r="A5309">
        <v>5363</v>
      </c>
      <c r="B5309" t="s">
        <v>6814</v>
      </c>
      <c r="C5309" t="s">
        <v>4232</v>
      </c>
      <c r="E5309">
        <v>0.01</v>
      </c>
      <c r="F5309" t="s">
        <v>546</v>
      </c>
      <c r="G5309" s="174">
        <v>45576.460914351854</v>
      </c>
    </row>
    <row r="5310" spans="1:7">
      <c r="A5310">
        <v>5364</v>
      </c>
      <c r="B5310" t="s">
        <v>6814</v>
      </c>
      <c r="C5310" t="s">
        <v>4233</v>
      </c>
      <c r="E5310">
        <v>0.01</v>
      </c>
      <c r="F5310" t="s">
        <v>546</v>
      </c>
      <c r="G5310" s="174">
        <v>45576.460914351854</v>
      </c>
    </row>
    <row r="5311" spans="1:7">
      <c r="A5311">
        <v>5365</v>
      </c>
      <c r="B5311" t="s">
        <v>6815</v>
      </c>
      <c r="C5311" t="s">
        <v>2996</v>
      </c>
      <c r="E5311">
        <v>0.01</v>
      </c>
      <c r="F5311" t="s">
        <v>546</v>
      </c>
      <c r="G5311" s="174">
        <v>45576.460914351854</v>
      </c>
    </row>
    <row r="5312" spans="1:7">
      <c r="A5312">
        <v>5366</v>
      </c>
      <c r="B5312" t="s">
        <v>6816</v>
      </c>
      <c r="C5312" t="s">
        <v>3628</v>
      </c>
      <c r="E5312">
        <v>0.01</v>
      </c>
      <c r="F5312" t="s">
        <v>546</v>
      </c>
      <c r="G5312" s="174">
        <v>45576.460914351854</v>
      </c>
    </row>
    <row r="5313" spans="1:7">
      <c r="A5313">
        <v>5367</v>
      </c>
      <c r="B5313" t="s">
        <v>6817</v>
      </c>
      <c r="C5313" t="s">
        <v>6818</v>
      </c>
      <c r="E5313">
        <v>0.01</v>
      </c>
      <c r="F5313" t="s">
        <v>546</v>
      </c>
      <c r="G5313" s="174">
        <v>45576.460914351854</v>
      </c>
    </row>
    <row r="5314" spans="1:7">
      <c r="A5314">
        <v>5368</v>
      </c>
      <c r="B5314" t="s">
        <v>6819</v>
      </c>
      <c r="C5314" t="s">
        <v>5724</v>
      </c>
      <c r="E5314">
        <v>0.01</v>
      </c>
      <c r="F5314" t="s">
        <v>546</v>
      </c>
      <c r="G5314" s="174">
        <v>45576.460914351854</v>
      </c>
    </row>
    <row r="5315" spans="1:7">
      <c r="A5315">
        <v>5369</v>
      </c>
      <c r="B5315" t="s">
        <v>2156</v>
      </c>
      <c r="C5315" t="s">
        <v>6820</v>
      </c>
      <c r="E5315">
        <v>0.01</v>
      </c>
      <c r="F5315" t="s">
        <v>546</v>
      </c>
      <c r="G5315" s="174">
        <v>45576.460914351854</v>
      </c>
    </row>
    <row r="5316" spans="1:7">
      <c r="A5316">
        <v>5370</v>
      </c>
      <c r="B5316" t="s">
        <v>6821</v>
      </c>
      <c r="C5316" t="s">
        <v>5970</v>
      </c>
      <c r="E5316">
        <v>0.01</v>
      </c>
      <c r="F5316" t="s">
        <v>546</v>
      </c>
      <c r="G5316" s="174">
        <v>45576.460914351854</v>
      </c>
    </row>
    <row r="5317" spans="1:7">
      <c r="A5317">
        <v>5371</v>
      </c>
      <c r="B5317" t="s">
        <v>6822</v>
      </c>
      <c r="C5317" t="s">
        <v>5485</v>
      </c>
      <c r="E5317">
        <v>0.01</v>
      </c>
      <c r="F5317" t="s">
        <v>546</v>
      </c>
      <c r="G5317" s="174">
        <v>45576.460914351854</v>
      </c>
    </row>
    <row r="5318" spans="1:7">
      <c r="A5318">
        <v>5372</v>
      </c>
      <c r="B5318" t="s">
        <v>6822</v>
      </c>
      <c r="C5318" t="s">
        <v>6823</v>
      </c>
      <c r="E5318">
        <v>0.01</v>
      </c>
      <c r="F5318" t="s">
        <v>546</v>
      </c>
      <c r="G5318" s="174">
        <v>45576.460914351854</v>
      </c>
    </row>
    <row r="5319" spans="1:7">
      <c r="A5319">
        <v>5373</v>
      </c>
      <c r="B5319" t="s">
        <v>6824</v>
      </c>
      <c r="C5319" t="s">
        <v>6825</v>
      </c>
      <c r="E5319">
        <v>0.01</v>
      </c>
      <c r="F5319" t="s">
        <v>546</v>
      </c>
      <c r="G5319" s="174">
        <v>45576.460914351854</v>
      </c>
    </row>
    <row r="5320" spans="1:7">
      <c r="A5320">
        <v>5374</v>
      </c>
      <c r="B5320" t="s">
        <v>6826</v>
      </c>
      <c r="C5320" t="s">
        <v>6038</v>
      </c>
      <c r="E5320">
        <v>0.01</v>
      </c>
      <c r="F5320" t="s">
        <v>546</v>
      </c>
      <c r="G5320" s="174">
        <v>45576.460914351854</v>
      </c>
    </row>
    <row r="5321" spans="1:7">
      <c r="A5321">
        <v>5375</v>
      </c>
      <c r="B5321" t="s">
        <v>6826</v>
      </c>
      <c r="C5321" t="s">
        <v>6827</v>
      </c>
      <c r="E5321">
        <v>0.01</v>
      </c>
      <c r="F5321" t="s">
        <v>546</v>
      </c>
      <c r="G5321" s="174">
        <v>45576.460914351854</v>
      </c>
    </row>
    <row r="5322" spans="1:7">
      <c r="A5322">
        <v>5376</v>
      </c>
      <c r="B5322" t="s">
        <v>6828</v>
      </c>
      <c r="C5322" t="s">
        <v>3143</v>
      </c>
      <c r="E5322">
        <v>0.1</v>
      </c>
      <c r="F5322" t="s">
        <v>546</v>
      </c>
      <c r="G5322" s="174">
        <v>45576.460914351854</v>
      </c>
    </row>
    <row r="5323" spans="1:7">
      <c r="A5323">
        <v>5377</v>
      </c>
      <c r="B5323" t="s">
        <v>6828</v>
      </c>
      <c r="C5323" t="s">
        <v>4172</v>
      </c>
      <c r="E5323">
        <v>0.01</v>
      </c>
      <c r="F5323" t="s">
        <v>546</v>
      </c>
      <c r="G5323" s="174">
        <v>45576.460914351854</v>
      </c>
    </row>
    <row r="5324" spans="1:7">
      <c r="A5324">
        <v>5378</v>
      </c>
      <c r="B5324" t="s">
        <v>6829</v>
      </c>
      <c r="C5324" t="s">
        <v>5970</v>
      </c>
      <c r="E5324">
        <v>0.01</v>
      </c>
      <c r="F5324" t="s">
        <v>546</v>
      </c>
      <c r="G5324" s="174">
        <v>45576.460914351854</v>
      </c>
    </row>
    <row r="5325" spans="1:7">
      <c r="A5325">
        <v>5379</v>
      </c>
      <c r="B5325" t="s">
        <v>2158</v>
      </c>
      <c r="C5325" t="s">
        <v>4659</v>
      </c>
      <c r="E5325">
        <v>0.01</v>
      </c>
      <c r="F5325" t="s">
        <v>546</v>
      </c>
      <c r="G5325" s="174">
        <v>45576.460914351854</v>
      </c>
    </row>
    <row r="5326" spans="1:7">
      <c r="A5326">
        <v>5380</v>
      </c>
      <c r="B5326" t="s">
        <v>6830</v>
      </c>
      <c r="C5326" t="s">
        <v>2955</v>
      </c>
      <c r="E5326">
        <v>0.01</v>
      </c>
      <c r="F5326" t="s">
        <v>546</v>
      </c>
      <c r="G5326" s="174">
        <v>45576.460914351854</v>
      </c>
    </row>
    <row r="5327" spans="1:7">
      <c r="A5327">
        <v>5381</v>
      </c>
      <c r="B5327" t="s">
        <v>6831</v>
      </c>
      <c r="C5327" t="s">
        <v>5517</v>
      </c>
      <c r="E5327">
        <v>0.01</v>
      </c>
      <c r="F5327" t="s">
        <v>546</v>
      </c>
      <c r="G5327" s="174">
        <v>45576.460914351854</v>
      </c>
    </row>
    <row r="5328" spans="1:7">
      <c r="A5328">
        <v>5382</v>
      </c>
      <c r="B5328" t="s">
        <v>6831</v>
      </c>
      <c r="C5328" t="s">
        <v>6038</v>
      </c>
      <c r="E5328">
        <v>0.1</v>
      </c>
      <c r="F5328" t="s">
        <v>546</v>
      </c>
      <c r="G5328" s="174">
        <v>45576.460914351854</v>
      </c>
    </row>
    <row r="5329" spans="1:7">
      <c r="A5329">
        <v>5383</v>
      </c>
      <c r="B5329" t="s">
        <v>6832</v>
      </c>
      <c r="C5329" t="s">
        <v>3738</v>
      </c>
      <c r="E5329">
        <v>0.01</v>
      </c>
      <c r="F5329" t="s">
        <v>546</v>
      </c>
      <c r="G5329" s="174">
        <v>45576.460914351854</v>
      </c>
    </row>
    <row r="5330" spans="1:7">
      <c r="A5330">
        <v>5384</v>
      </c>
      <c r="B5330" t="s">
        <v>6833</v>
      </c>
      <c r="C5330" t="s">
        <v>3628</v>
      </c>
      <c r="E5330">
        <v>0.01</v>
      </c>
      <c r="F5330" t="s">
        <v>546</v>
      </c>
      <c r="G5330" s="174">
        <v>45576.460914351854</v>
      </c>
    </row>
    <row r="5331" spans="1:7">
      <c r="A5331">
        <v>5385</v>
      </c>
      <c r="B5331" t="s">
        <v>6834</v>
      </c>
      <c r="C5331" t="s">
        <v>5398</v>
      </c>
      <c r="E5331">
        <v>0.01</v>
      </c>
      <c r="F5331" t="s">
        <v>546</v>
      </c>
      <c r="G5331" s="174">
        <v>45576.460914351854</v>
      </c>
    </row>
    <row r="5332" spans="1:7">
      <c r="A5332">
        <v>5386</v>
      </c>
      <c r="B5332" t="s">
        <v>6835</v>
      </c>
      <c r="C5332" t="s">
        <v>3745</v>
      </c>
      <c r="E5332">
        <v>0.01</v>
      </c>
      <c r="F5332" t="s">
        <v>546</v>
      </c>
      <c r="G5332" s="174">
        <v>45576.460914351854</v>
      </c>
    </row>
    <row r="5333" spans="1:7">
      <c r="A5333">
        <v>5387</v>
      </c>
      <c r="B5333" t="s">
        <v>6836</v>
      </c>
      <c r="C5333" t="s">
        <v>6837</v>
      </c>
      <c r="E5333">
        <v>0.01</v>
      </c>
      <c r="F5333" t="s">
        <v>546</v>
      </c>
      <c r="G5333" s="174">
        <v>45576.460914351854</v>
      </c>
    </row>
    <row r="5334" spans="1:7">
      <c r="A5334">
        <v>5388</v>
      </c>
      <c r="B5334" t="s">
        <v>6836</v>
      </c>
      <c r="C5334" t="s">
        <v>5207</v>
      </c>
      <c r="E5334">
        <v>0.01</v>
      </c>
      <c r="F5334" t="s">
        <v>546</v>
      </c>
      <c r="G5334" s="174">
        <v>45576.460914351854</v>
      </c>
    </row>
    <row r="5335" spans="1:7">
      <c r="A5335">
        <v>5389</v>
      </c>
      <c r="B5335" t="s">
        <v>2165</v>
      </c>
      <c r="C5335" t="s">
        <v>4312</v>
      </c>
      <c r="E5335">
        <v>0.01</v>
      </c>
      <c r="F5335" t="s">
        <v>546</v>
      </c>
      <c r="G5335" s="174">
        <v>45576.460914351854</v>
      </c>
    </row>
    <row r="5336" spans="1:7">
      <c r="A5336">
        <v>5390</v>
      </c>
      <c r="B5336" t="s">
        <v>6838</v>
      </c>
      <c r="C5336" t="s">
        <v>3375</v>
      </c>
      <c r="E5336">
        <v>0.01</v>
      </c>
      <c r="F5336" t="s">
        <v>546</v>
      </c>
      <c r="G5336" s="174">
        <v>45576.460914351854</v>
      </c>
    </row>
    <row r="5337" spans="1:7">
      <c r="A5337">
        <v>5391</v>
      </c>
      <c r="B5337" t="s">
        <v>6839</v>
      </c>
      <c r="C5337" t="s">
        <v>6840</v>
      </c>
      <c r="E5337">
        <v>0.01</v>
      </c>
      <c r="F5337" t="s">
        <v>546</v>
      </c>
      <c r="G5337" s="174">
        <v>45576.460914351854</v>
      </c>
    </row>
    <row r="5338" spans="1:7">
      <c r="A5338">
        <v>5392</v>
      </c>
      <c r="B5338" t="s">
        <v>6841</v>
      </c>
      <c r="C5338" t="s">
        <v>3419</v>
      </c>
      <c r="E5338">
        <v>0.01</v>
      </c>
      <c r="F5338" t="s">
        <v>546</v>
      </c>
      <c r="G5338" s="174">
        <v>45576.460914351854</v>
      </c>
    </row>
    <row r="5339" spans="1:7">
      <c r="A5339">
        <v>5393</v>
      </c>
      <c r="B5339" t="s">
        <v>6842</v>
      </c>
      <c r="C5339" t="s">
        <v>3269</v>
      </c>
      <c r="E5339">
        <v>0.01</v>
      </c>
      <c r="F5339" t="s">
        <v>546</v>
      </c>
      <c r="G5339" s="174">
        <v>45576.460914351854</v>
      </c>
    </row>
    <row r="5340" spans="1:7">
      <c r="A5340">
        <v>5394</v>
      </c>
      <c r="B5340" t="s">
        <v>6843</v>
      </c>
      <c r="C5340" t="s">
        <v>4267</v>
      </c>
      <c r="E5340">
        <v>0.01</v>
      </c>
      <c r="F5340" t="s">
        <v>546</v>
      </c>
      <c r="G5340" s="174">
        <v>45576.460914351854</v>
      </c>
    </row>
    <row r="5341" spans="1:7">
      <c r="A5341">
        <v>5395</v>
      </c>
      <c r="B5341" t="s">
        <v>6843</v>
      </c>
      <c r="C5341" t="s">
        <v>6844</v>
      </c>
      <c r="E5341">
        <v>0.01</v>
      </c>
      <c r="F5341" t="s">
        <v>546</v>
      </c>
      <c r="G5341" s="174">
        <v>45576.460914351854</v>
      </c>
    </row>
    <row r="5342" spans="1:7">
      <c r="A5342">
        <v>5396</v>
      </c>
      <c r="B5342" t="s">
        <v>2169</v>
      </c>
      <c r="C5342" t="s">
        <v>6000</v>
      </c>
      <c r="E5342">
        <v>0.6</v>
      </c>
      <c r="F5342" t="s">
        <v>546</v>
      </c>
      <c r="G5342" s="174">
        <v>45576.460914351854</v>
      </c>
    </row>
    <row r="5343" spans="1:7">
      <c r="A5343">
        <v>5397</v>
      </c>
      <c r="B5343" t="s">
        <v>6845</v>
      </c>
      <c r="C5343" t="s">
        <v>6175</v>
      </c>
      <c r="E5343">
        <v>0.01</v>
      </c>
      <c r="F5343" t="s">
        <v>546</v>
      </c>
      <c r="G5343" s="174">
        <v>45576.460914351854</v>
      </c>
    </row>
    <row r="5344" spans="1:7">
      <c r="A5344">
        <v>5398</v>
      </c>
      <c r="B5344" t="s">
        <v>6846</v>
      </c>
      <c r="C5344" t="s">
        <v>5370</v>
      </c>
      <c r="E5344">
        <v>0.1</v>
      </c>
      <c r="F5344" t="s">
        <v>546</v>
      </c>
      <c r="G5344" s="174">
        <v>45576.460914351854</v>
      </c>
    </row>
    <row r="5345" spans="1:7">
      <c r="A5345">
        <v>5399</v>
      </c>
      <c r="B5345" t="s">
        <v>6847</v>
      </c>
      <c r="C5345" t="s">
        <v>3898</v>
      </c>
      <c r="E5345">
        <v>0.01</v>
      </c>
      <c r="F5345" t="s">
        <v>546</v>
      </c>
      <c r="G5345" s="174">
        <v>45576.460914351854</v>
      </c>
    </row>
    <row r="5346" spans="1:7">
      <c r="A5346">
        <v>5400</v>
      </c>
      <c r="B5346" t="s">
        <v>6847</v>
      </c>
      <c r="C5346" t="s">
        <v>4884</v>
      </c>
      <c r="E5346">
        <v>0.8</v>
      </c>
      <c r="F5346" t="s">
        <v>546</v>
      </c>
      <c r="G5346" s="174">
        <v>45576.460914351854</v>
      </c>
    </row>
    <row r="5347" spans="1:7">
      <c r="A5347">
        <v>5401</v>
      </c>
      <c r="B5347" t="s">
        <v>6847</v>
      </c>
      <c r="C5347" t="s">
        <v>6848</v>
      </c>
      <c r="E5347">
        <v>0.6</v>
      </c>
      <c r="F5347" t="s">
        <v>546</v>
      </c>
      <c r="G5347" s="174">
        <v>45576.460914351854</v>
      </c>
    </row>
    <row r="5348" spans="1:7">
      <c r="A5348">
        <v>5402</v>
      </c>
      <c r="B5348" t="s">
        <v>2170</v>
      </c>
      <c r="C5348" t="s">
        <v>6849</v>
      </c>
      <c r="E5348">
        <v>0.1</v>
      </c>
      <c r="F5348" t="s">
        <v>546</v>
      </c>
      <c r="G5348" s="174">
        <v>45576.460914351854</v>
      </c>
    </row>
    <row r="5349" spans="1:7">
      <c r="A5349">
        <v>5403</v>
      </c>
      <c r="B5349" t="s">
        <v>2170</v>
      </c>
      <c r="C5349" t="s">
        <v>5726</v>
      </c>
      <c r="E5349">
        <v>0.01</v>
      </c>
      <c r="F5349" t="s">
        <v>546</v>
      </c>
      <c r="G5349" s="174">
        <v>45576.460914351854</v>
      </c>
    </row>
    <row r="5350" spans="1:7">
      <c r="A5350">
        <v>5404</v>
      </c>
      <c r="B5350" t="s">
        <v>2172</v>
      </c>
      <c r="C5350" t="s">
        <v>3155</v>
      </c>
      <c r="E5350">
        <v>0.8</v>
      </c>
      <c r="F5350" t="s">
        <v>546</v>
      </c>
      <c r="G5350" s="174">
        <v>45576.460914351854</v>
      </c>
    </row>
    <row r="5351" spans="1:7">
      <c r="A5351">
        <v>5405</v>
      </c>
      <c r="B5351" t="s">
        <v>2172</v>
      </c>
      <c r="C5351" t="s">
        <v>3822</v>
      </c>
      <c r="E5351">
        <v>0.5</v>
      </c>
      <c r="F5351" t="s">
        <v>6850</v>
      </c>
      <c r="G5351" s="174">
        <v>45576.460914351854</v>
      </c>
    </row>
    <row r="5352" spans="1:7">
      <c r="A5352">
        <v>5406</v>
      </c>
      <c r="B5352" t="s">
        <v>6851</v>
      </c>
      <c r="C5352" t="s">
        <v>2751</v>
      </c>
      <c r="E5352">
        <v>0.01</v>
      </c>
      <c r="F5352" t="s">
        <v>546</v>
      </c>
      <c r="G5352" s="174">
        <v>45576.460914351854</v>
      </c>
    </row>
    <row r="5353" spans="1:7">
      <c r="A5353">
        <v>5407</v>
      </c>
      <c r="B5353" t="s">
        <v>6852</v>
      </c>
      <c r="C5353" t="s">
        <v>3392</v>
      </c>
      <c r="E5353">
        <v>0.8</v>
      </c>
      <c r="F5353" t="s">
        <v>546</v>
      </c>
      <c r="G5353" s="174">
        <v>45576.460914351854</v>
      </c>
    </row>
    <row r="5354" spans="1:7">
      <c r="A5354">
        <v>5408</v>
      </c>
      <c r="B5354" t="s">
        <v>6852</v>
      </c>
      <c r="C5354" t="s">
        <v>5292</v>
      </c>
      <c r="E5354">
        <v>0.01</v>
      </c>
      <c r="F5354" t="s">
        <v>546</v>
      </c>
      <c r="G5354" s="174">
        <v>45576.460914351854</v>
      </c>
    </row>
    <row r="5355" spans="1:7">
      <c r="A5355">
        <v>5410</v>
      </c>
      <c r="B5355" t="s">
        <v>6853</v>
      </c>
      <c r="C5355" t="s">
        <v>3122</v>
      </c>
      <c r="E5355">
        <v>0.01</v>
      </c>
      <c r="F5355" t="s">
        <v>546</v>
      </c>
      <c r="G5355" s="174">
        <v>45576.460914351854</v>
      </c>
    </row>
    <row r="5356" spans="1:7">
      <c r="A5356">
        <v>5411</v>
      </c>
      <c r="B5356" t="s">
        <v>6854</v>
      </c>
      <c r="C5356" t="s">
        <v>3521</v>
      </c>
      <c r="E5356">
        <v>0.01</v>
      </c>
      <c r="F5356" t="s">
        <v>546</v>
      </c>
      <c r="G5356" s="174">
        <v>45576.460914351854</v>
      </c>
    </row>
    <row r="5357" spans="1:7">
      <c r="A5357">
        <v>5412</v>
      </c>
      <c r="B5357" t="s">
        <v>6855</v>
      </c>
      <c r="C5357" t="s">
        <v>6856</v>
      </c>
      <c r="E5357">
        <v>0.01</v>
      </c>
      <c r="F5357" t="s">
        <v>546</v>
      </c>
      <c r="G5357" s="174">
        <v>45576.460914351854</v>
      </c>
    </row>
    <row r="5358" spans="1:7">
      <c r="A5358">
        <v>5413</v>
      </c>
      <c r="B5358" t="s">
        <v>6857</v>
      </c>
      <c r="C5358" t="s">
        <v>4544</v>
      </c>
      <c r="E5358">
        <v>0.1</v>
      </c>
      <c r="F5358" t="s">
        <v>546</v>
      </c>
      <c r="G5358" s="174">
        <v>45576.460914351854</v>
      </c>
    </row>
    <row r="5359" spans="1:7">
      <c r="A5359">
        <v>5414</v>
      </c>
      <c r="B5359" t="s">
        <v>6858</v>
      </c>
      <c r="C5359" t="s">
        <v>6859</v>
      </c>
      <c r="E5359">
        <v>0.1</v>
      </c>
      <c r="F5359" t="s">
        <v>546</v>
      </c>
      <c r="G5359" s="174">
        <v>45576.460914351854</v>
      </c>
    </row>
    <row r="5360" spans="1:7">
      <c r="A5360">
        <v>5415</v>
      </c>
      <c r="B5360" t="s">
        <v>6860</v>
      </c>
      <c r="C5360" t="s">
        <v>2952</v>
      </c>
      <c r="E5360">
        <v>0.01</v>
      </c>
      <c r="F5360" t="s">
        <v>546</v>
      </c>
      <c r="G5360" s="174">
        <v>45576.460914351854</v>
      </c>
    </row>
    <row r="5361" spans="1:7">
      <c r="A5361">
        <v>5416</v>
      </c>
      <c r="B5361" t="s">
        <v>6860</v>
      </c>
      <c r="C5361" t="s">
        <v>6861</v>
      </c>
      <c r="E5361">
        <v>0.01</v>
      </c>
      <c r="F5361" t="s">
        <v>546</v>
      </c>
      <c r="G5361" s="174">
        <v>45576.460914351854</v>
      </c>
    </row>
    <row r="5362" spans="1:7">
      <c r="A5362">
        <v>5417</v>
      </c>
      <c r="B5362" t="s">
        <v>6862</v>
      </c>
      <c r="C5362" t="s">
        <v>4395</v>
      </c>
      <c r="E5362">
        <v>0.01</v>
      </c>
      <c r="F5362" t="s">
        <v>546</v>
      </c>
      <c r="G5362" s="174">
        <v>45576.460914351854</v>
      </c>
    </row>
    <row r="5363" spans="1:7">
      <c r="A5363">
        <v>5418</v>
      </c>
      <c r="B5363" t="s">
        <v>6863</v>
      </c>
      <c r="C5363" t="s">
        <v>3143</v>
      </c>
      <c r="E5363">
        <v>0.1</v>
      </c>
      <c r="F5363" t="s">
        <v>546</v>
      </c>
      <c r="G5363" s="174">
        <v>45576.460914351854</v>
      </c>
    </row>
    <row r="5364" spans="1:7">
      <c r="A5364">
        <v>5419</v>
      </c>
      <c r="B5364" t="s">
        <v>2176</v>
      </c>
      <c r="C5364" t="s">
        <v>6840</v>
      </c>
      <c r="E5364">
        <v>0.01</v>
      </c>
      <c r="F5364" t="s">
        <v>546</v>
      </c>
      <c r="G5364" s="174">
        <v>45576.460914351854</v>
      </c>
    </row>
    <row r="5365" spans="1:7">
      <c r="A5365">
        <v>5420</v>
      </c>
      <c r="B5365" t="s">
        <v>6864</v>
      </c>
      <c r="C5365" t="s">
        <v>5417</v>
      </c>
      <c r="E5365">
        <v>0.01</v>
      </c>
      <c r="F5365" t="s">
        <v>546</v>
      </c>
      <c r="G5365" s="174">
        <v>45576.460914351854</v>
      </c>
    </row>
    <row r="5366" spans="1:7">
      <c r="A5366">
        <v>5421</v>
      </c>
      <c r="B5366" t="s">
        <v>6865</v>
      </c>
      <c r="C5366" t="s">
        <v>4054</v>
      </c>
      <c r="E5366">
        <v>0.01</v>
      </c>
      <c r="F5366" t="s">
        <v>546</v>
      </c>
      <c r="G5366" s="174">
        <v>45576.460914351854</v>
      </c>
    </row>
    <row r="5367" spans="1:7">
      <c r="A5367">
        <v>5422</v>
      </c>
      <c r="B5367" t="s">
        <v>6866</v>
      </c>
      <c r="C5367" t="s">
        <v>4522</v>
      </c>
      <c r="E5367">
        <v>0.01</v>
      </c>
      <c r="F5367" t="s">
        <v>546</v>
      </c>
      <c r="G5367" s="174">
        <v>45576.460914351854</v>
      </c>
    </row>
    <row r="5368" spans="1:7">
      <c r="A5368">
        <v>5423</v>
      </c>
      <c r="B5368" t="s">
        <v>6867</v>
      </c>
      <c r="C5368" t="s">
        <v>2991</v>
      </c>
      <c r="E5368">
        <v>0.8</v>
      </c>
      <c r="F5368" t="s">
        <v>6868</v>
      </c>
      <c r="G5368" s="174">
        <v>45576.460914351854</v>
      </c>
    </row>
    <row r="5369" spans="1:7">
      <c r="A5369">
        <v>5424</v>
      </c>
      <c r="B5369" t="s">
        <v>6869</v>
      </c>
      <c r="C5369" t="s">
        <v>3419</v>
      </c>
      <c r="E5369">
        <v>0.01</v>
      </c>
      <c r="F5369" t="s">
        <v>546</v>
      </c>
      <c r="G5369" s="174">
        <v>45576.460914351854</v>
      </c>
    </row>
    <row r="5370" spans="1:7">
      <c r="A5370">
        <v>5425</v>
      </c>
      <c r="B5370" t="s">
        <v>6870</v>
      </c>
      <c r="C5370" t="s">
        <v>6548</v>
      </c>
      <c r="E5370">
        <v>0.01</v>
      </c>
      <c r="F5370" t="s">
        <v>546</v>
      </c>
      <c r="G5370" s="174">
        <v>45576.460914351854</v>
      </c>
    </row>
    <row r="5371" spans="1:7">
      <c r="A5371">
        <v>5426</v>
      </c>
      <c r="B5371" t="s">
        <v>6871</v>
      </c>
      <c r="C5371" t="s">
        <v>6872</v>
      </c>
      <c r="E5371">
        <v>0.01</v>
      </c>
      <c r="F5371" t="s">
        <v>546</v>
      </c>
      <c r="G5371" s="174">
        <v>45576.460914351854</v>
      </c>
    </row>
    <row r="5372" spans="1:7">
      <c r="A5372">
        <v>5427</v>
      </c>
      <c r="B5372" t="s">
        <v>6873</v>
      </c>
      <c r="C5372" t="s">
        <v>6874</v>
      </c>
      <c r="E5372">
        <v>0.01</v>
      </c>
      <c r="F5372" t="s">
        <v>546</v>
      </c>
      <c r="G5372" s="174">
        <v>45576.460914351854</v>
      </c>
    </row>
    <row r="5373" spans="1:7">
      <c r="A5373">
        <v>5428</v>
      </c>
      <c r="B5373" t="s">
        <v>6875</v>
      </c>
      <c r="C5373" t="s">
        <v>6876</v>
      </c>
      <c r="E5373">
        <v>0.01</v>
      </c>
      <c r="F5373" t="s">
        <v>546</v>
      </c>
      <c r="G5373" s="174">
        <v>45576.460914351854</v>
      </c>
    </row>
    <row r="5374" spans="1:7">
      <c r="A5374">
        <v>5429</v>
      </c>
      <c r="B5374" t="s">
        <v>6875</v>
      </c>
      <c r="C5374" t="s">
        <v>6877</v>
      </c>
      <c r="E5374">
        <v>0.01</v>
      </c>
      <c r="F5374" t="s">
        <v>546</v>
      </c>
      <c r="G5374" s="174">
        <v>45576.460914351854</v>
      </c>
    </row>
    <row r="5375" spans="1:7">
      <c r="A5375">
        <v>5430</v>
      </c>
      <c r="B5375" t="s">
        <v>2179</v>
      </c>
      <c r="C5375" t="s">
        <v>6239</v>
      </c>
      <c r="E5375">
        <v>0.01</v>
      </c>
      <c r="F5375" t="s">
        <v>546</v>
      </c>
      <c r="G5375" s="174">
        <v>45576.460914351854</v>
      </c>
    </row>
    <row r="5376" spans="1:7">
      <c r="A5376">
        <v>5431</v>
      </c>
      <c r="B5376" t="s">
        <v>6878</v>
      </c>
      <c r="C5376" t="s">
        <v>4722</v>
      </c>
      <c r="E5376">
        <v>0.01</v>
      </c>
      <c r="F5376" t="s">
        <v>546</v>
      </c>
      <c r="G5376" s="174">
        <v>45576.460914351854</v>
      </c>
    </row>
    <row r="5377" spans="1:7">
      <c r="A5377">
        <v>5432</v>
      </c>
      <c r="B5377" t="s">
        <v>6879</v>
      </c>
      <c r="C5377" t="s">
        <v>3839</v>
      </c>
      <c r="E5377">
        <v>0.01</v>
      </c>
      <c r="F5377" t="s">
        <v>546</v>
      </c>
      <c r="G5377" s="174">
        <v>45576.460914351854</v>
      </c>
    </row>
    <row r="5378" spans="1:7">
      <c r="A5378">
        <v>5433</v>
      </c>
      <c r="B5378" t="s">
        <v>6880</v>
      </c>
      <c r="C5378" t="s">
        <v>1499</v>
      </c>
      <c r="E5378">
        <v>0.01</v>
      </c>
      <c r="F5378" t="s">
        <v>546</v>
      </c>
      <c r="G5378" s="174">
        <v>45576.460914351854</v>
      </c>
    </row>
    <row r="5379" spans="1:7">
      <c r="A5379">
        <v>5434</v>
      </c>
      <c r="B5379" t="s">
        <v>6880</v>
      </c>
      <c r="C5379" t="s">
        <v>4259</v>
      </c>
      <c r="E5379">
        <v>0.01</v>
      </c>
      <c r="F5379" t="s">
        <v>546</v>
      </c>
      <c r="G5379" s="174">
        <v>45576.460914351854</v>
      </c>
    </row>
    <row r="5380" spans="1:7">
      <c r="A5380">
        <v>5435</v>
      </c>
      <c r="B5380" t="s">
        <v>6881</v>
      </c>
      <c r="C5380" t="s">
        <v>5502</v>
      </c>
      <c r="E5380">
        <v>0.01</v>
      </c>
      <c r="F5380" t="s">
        <v>546</v>
      </c>
      <c r="G5380" s="174">
        <v>45576.460914351854</v>
      </c>
    </row>
    <row r="5381" spans="1:7">
      <c r="A5381">
        <v>5436</v>
      </c>
      <c r="B5381" t="s">
        <v>6881</v>
      </c>
      <c r="C5381" t="s">
        <v>5063</v>
      </c>
      <c r="E5381">
        <v>0.05</v>
      </c>
      <c r="F5381" t="s">
        <v>546</v>
      </c>
      <c r="G5381" s="174">
        <v>45576.460914351854</v>
      </c>
    </row>
    <row r="5382" spans="1:7">
      <c r="A5382">
        <v>5437</v>
      </c>
      <c r="B5382" t="s">
        <v>2187</v>
      </c>
      <c r="C5382" t="s">
        <v>5227</v>
      </c>
      <c r="E5382">
        <v>0.01</v>
      </c>
      <c r="F5382" t="s">
        <v>546</v>
      </c>
      <c r="G5382" s="174">
        <v>45576.460914351854</v>
      </c>
    </row>
    <row r="5383" spans="1:7">
      <c r="A5383">
        <v>5438</v>
      </c>
      <c r="B5383" t="s">
        <v>6882</v>
      </c>
      <c r="C5383" t="s">
        <v>3147</v>
      </c>
      <c r="E5383">
        <v>0.7</v>
      </c>
      <c r="F5383" t="s">
        <v>6883</v>
      </c>
      <c r="G5383" s="174">
        <v>45576.460914351854</v>
      </c>
    </row>
    <row r="5384" spans="1:7">
      <c r="A5384">
        <v>5439</v>
      </c>
      <c r="B5384" t="s">
        <v>6882</v>
      </c>
      <c r="C5384" t="s">
        <v>3765</v>
      </c>
      <c r="E5384">
        <v>0.8</v>
      </c>
      <c r="F5384" t="s">
        <v>6884</v>
      </c>
      <c r="G5384" s="174">
        <v>45576.460914351854</v>
      </c>
    </row>
    <row r="5385" spans="1:7">
      <c r="A5385">
        <v>5440</v>
      </c>
      <c r="B5385" t="s">
        <v>6885</v>
      </c>
      <c r="C5385" t="s">
        <v>3109</v>
      </c>
      <c r="E5385">
        <v>0.01</v>
      </c>
      <c r="F5385" t="s">
        <v>546</v>
      </c>
      <c r="G5385" s="174">
        <v>45576.460914351854</v>
      </c>
    </row>
    <row r="5386" spans="1:7">
      <c r="A5386">
        <v>5441</v>
      </c>
      <c r="B5386" t="s">
        <v>6885</v>
      </c>
      <c r="C5386" t="s">
        <v>5675</v>
      </c>
      <c r="E5386">
        <v>0.01</v>
      </c>
      <c r="F5386" t="s">
        <v>546</v>
      </c>
      <c r="G5386" s="174">
        <v>45576.460914351854</v>
      </c>
    </row>
    <row r="5387" spans="1:7">
      <c r="A5387">
        <v>5442</v>
      </c>
      <c r="B5387" t="s">
        <v>6886</v>
      </c>
      <c r="C5387" t="s">
        <v>6887</v>
      </c>
      <c r="E5387">
        <v>0.01</v>
      </c>
      <c r="F5387" t="s">
        <v>546</v>
      </c>
      <c r="G5387" s="174">
        <v>45576.460914351854</v>
      </c>
    </row>
    <row r="5388" spans="1:7">
      <c r="A5388">
        <v>5443</v>
      </c>
      <c r="B5388" t="s">
        <v>6888</v>
      </c>
      <c r="C5388" t="s">
        <v>6434</v>
      </c>
      <c r="E5388">
        <v>0.01</v>
      </c>
      <c r="F5388" t="s">
        <v>546</v>
      </c>
      <c r="G5388" s="174">
        <v>45576.460914351854</v>
      </c>
    </row>
    <row r="5389" spans="1:7">
      <c r="A5389">
        <v>5444</v>
      </c>
      <c r="B5389" t="s">
        <v>6889</v>
      </c>
      <c r="C5389" t="s">
        <v>5485</v>
      </c>
      <c r="E5389">
        <v>0.01</v>
      </c>
      <c r="F5389" t="s">
        <v>546</v>
      </c>
      <c r="G5389" s="174">
        <v>45576.460914351854</v>
      </c>
    </row>
    <row r="5390" spans="1:7">
      <c r="A5390">
        <v>5445</v>
      </c>
      <c r="B5390" t="s">
        <v>6890</v>
      </c>
      <c r="C5390" t="s">
        <v>3319</v>
      </c>
      <c r="E5390">
        <v>0.8</v>
      </c>
      <c r="F5390" t="s">
        <v>546</v>
      </c>
      <c r="G5390" s="174">
        <v>45576.460914351854</v>
      </c>
    </row>
    <row r="5391" spans="1:7">
      <c r="A5391">
        <v>5446</v>
      </c>
      <c r="B5391" t="s">
        <v>6891</v>
      </c>
      <c r="C5391" t="s">
        <v>2945</v>
      </c>
      <c r="E5391">
        <v>0.01</v>
      </c>
      <c r="F5391" t="s">
        <v>546</v>
      </c>
      <c r="G5391" s="174">
        <v>45576.460914351854</v>
      </c>
    </row>
    <row r="5392" spans="1:7">
      <c r="A5392">
        <v>5447</v>
      </c>
      <c r="B5392" t="s">
        <v>2188</v>
      </c>
      <c r="C5392" t="s">
        <v>5019</v>
      </c>
      <c r="E5392">
        <v>0.8</v>
      </c>
      <c r="F5392" t="s">
        <v>546</v>
      </c>
      <c r="G5392" s="174">
        <v>45576.460914351854</v>
      </c>
    </row>
    <row r="5393" spans="1:7">
      <c r="A5393">
        <v>5448</v>
      </c>
      <c r="B5393" t="s">
        <v>6892</v>
      </c>
      <c r="C5393" t="s">
        <v>3122</v>
      </c>
      <c r="E5393">
        <v>0.01</v>
      </c>
      <c r="F5393" t="s">
        <v>546</v>
      </c>
      <c r="G5393" s="174">
        <v>45576.460914351854</v>
      </c>
    </row>
    <row r="5394" spans="1:7">
      <c r="A5394">
        <v>5449</v>
      </c>
      <c r="B5394" t="s">
        <v>6893</v>
      </c>
      <c r="C5394" t="s">
        <v>2769</v>
      </c>
      <c r="E5394">
        <v>0.01</v>
      </c>
      <c r="F5394" t="s">
        <v>546</v>
      </c>
      <c r="G5394" s="174">
        <v>45576.460914351854</v>
      </c>
    </row>
    <row r="5395" spans="1:7">
      <c r="A5395">
        <v>5450</v>
      </c>
      <c r="B5395" t="s">
        <v>6894</v>
      </c>
      <c r="C5395" t="s">
        <v>6895</v>
      </c>
      <c r="E5395">
        <v>0.6</v>
      </c>
      <c r="F5395" t="s">
        <v>546</v>
      </c>
      <c r="G5395" s="174">
        <v>45576.460914351854</v>
      </c>
    </row>
    <row r="5396" spans="1:7">
      <c r="A5396">
        <v>5451</v>
      </c>
      <c r="B5396" t="s">
        <v>6894</v>
      </c>
      <c r="C5396" t="s">
        <v>3722</v>
      </c>
      <c r="E5396">
        <v>0.01</v>
      </c>
      <c r="F5396" t="s">
        <v>546</v>
      </c>
      <c r="G5396" s="174">
        <v>45576.460914351854</v>
      </c>
    </row>
    <row r="5397" spans="1:7">
      <c r="A5397">
        <v>5452</v>
      </c>
      <c r="B5397" t="s">
        <v>6894</v>
      </c>
      <c r="C5397" t="s">
        <v>4149</v>
      </c>
      <c r="E5397">
        <v>0.8</v>
      </c>
      <c r="F5397" t="s">
        <v>546</v>
      </c>
      <c r="G5397" s="174">
        <v>45576.460914351854</v>
      </c>
    </row>
    <row r="5398" spans="1:7">
      <c r="A5398">
        <v>5453</v>
      </c>
      <c r="B5398" t="s">
        <v>6896</v>
      </c>
      <c r="C5398" t="s">
        <v>5740</v>
      </c>
      <c r="E5398">
        <v>0.01</v>
      </c>
      <c r="F5398" t="s">
        <v>546</v>
      </c>
      <c r="G5398" s="174">
        <v>45576.460914351854</v>
      </c>
    </row>
    <row r="5399" spans="1:7">
      <c r="A5399">
        <v>5454</v>
      </c>
      <c r="B5399" t="s">
        <v>6897</v>
      </c>
      <c r="C5399" t="s">
        <v>5373</v>
      </c>
      <c r="E5399">
        <v>0.01</v>
      </c>
      <c r="F5399" t="s">
        <v>546</v>
      </c>
      <c r="G5399" s="174">
        <v>45576.460914351854</v>
      </c>
    </row>
    <row r="5400" spans="1:7">
      <c r="A5400">
        <v>5455</v>
      </c>
      <c r="B5400" t="s">
        <v>6898</v>
      </c>
      <c r="C5400" t="s">
        <v>3599</v>
      </c>
      <c r="E5400">
        <v>0.01</v>
      </c>
      <c r="F5400" t="s">
        <v>546</v>
      </c>
      <c r="G5400" s="174">
        <v>45576.460914351854</v>
      </c>
    </row>
    <row r="5401" spans="1:7">
      <c r="A5401">
        <v>5456</v>
      </c>
      <c r="B5401" t="s">
        <v>2192</v>
      </c>
      <c r="C5401" t="s">
        <v>4506</v>
      </c>
      <c r="E5401">
        <v>0.7</v>
      </c>
      <c r="F5401" t="s">
        <v>546</v>
      </c>
      <c r="G5401" s="174">
        <v>45576.460914351854</v>
      </c>
    </row>
    <row r="5402" spans="1:7">
      <c r="A5402">
        <v>5457</v>
      </c>
      <c r="B5402" t="s">
        <v>2196</v>
      </c>
      <c r="C5402" t="s">
        <v>2814</v>
      </c>
      <c r="E5402">
        <v>0.01</v>
      </c>
      <c r="F5402" t="s">
        <v>546</v>
      </c>
      <c r="G5402" s="174">
        <v>45576.460914351854</v>
      </c>
    </row>
    <row r="5403" spans="1:7">
      <c r="A5403">
        <v>5458</v>
      </c>
      <c r="B5403" t="s">
        <v>6899</v>
      </c>
      <c r="C5403" t="s">
        <v>3785</v>
      </c>
      <c r="E5403">
        <v>0.01</v>
      </c>
      <c r="F5403" t="s">
        <v>546</v>
      </c>
      <c r="G5403" s="174">
        <v>45576.460914351854</v>
      </c>
    </row>
    <row r="5404" spans="1:7">
      <c r="A5404">
        <v>5459</v>
      </c>
      <c r="B5404" t="s">
        <v>6899</v>
      </c>
      <c r="C5404" t="s">
        <v>4776</v>
      </c>
      <c r="E5404">
        <v>0.01</v>
      </c>
      <c r="F5404" t="s">
        <v>546</v>
      </c>
      <c r="G5404" s="174">
        <v>45576.460914351854</v>
      </c>
    </row>
    <row r="5405" spans="1:7">
      <c r="A5405">
        <v>5460</v>
      </c>
      <c r="B5405" t="s">
        <v>2197</v>
      </c>
      <c r="C5405" t="s">
        <v>5227</v>
      </c>
      <c r="E5405">
        <v>0.01</v>
      </c>
      <c r="F5405" t="s">
        <v>546</v>
      </c>
      <c r="G5405" s="174">
        <v>45576.460914351854</v>
      </c>
    </row>
    <row r="5406" spans="1:7">
      <c r="A5406">
        <v>5461</v>
      </c>
      <c r="B5406" t="s">
        <v>2197</v>
      </c>
      <c r="C5406" t="s">
        <v>3092</v>
      </c>
      <c r="E5406">
        <v>0.1</v>
      </c>
      <c r="F5406" t="s">
        <v>546</v>
      </c>
      <c r="G5406" s="174">
        <v>45576.460914351854</v>
      </c>
    </row>
    <row r="5407" spans="1:7">
      <c r="A5407">
        <v>5462</v>
      </c>
      <c r="B5407" t="s">
        <v>2198</v>
      </c>
      <c r="C5407" t="s">
        <v>6552</v>
      </c>
      <c r="E5407">
        <v>0.01</v>
      </c>
      <c r="F5407" t="s">
        <v>546</v>
      </c>
      <c r="G5407" s="174">
        <v>45576.460914351854</v>
      </c>
    </row>
    <row r="5408" spans="1:7">
      <c r="A5408">
        <v>5463</v>
      </c>
      <c r="B5408" t="s">
        <v>6900</v>
      </c>
      <c r="C5408" t="s">
        <v>6901</v>
      </c>
      <c r="E5408">
        <v>0.01</v>
      </c>
      <c r="F5408" t="s">
        <v>546</v>
      </c>
      <c r="G5408" s="174">
        <v>45576.460914351854</v>
      </c>
    </row>
    <row r="5409" spans="1:7">
      <c r="A5409">
        <v>5464</v>
      </c>
      <c r="B5409" t="s">
        <v>6902</v>
      </c>
      <c r="C5409" t="s">
        <v>5247</v>
      </c>
      <c r="E5409">
        <v>0.01</v>
      </c>
      <c r="F5409" t="s">
        <v>546</v>
      </c>
      <c r="G5409" s="174">
        <v>45576.460914351854</v>
      </c>
    </row>
    <row r="5410" spans="1:7">
      <c r="A5410">
        <v>5465</v>
      </c>
      <c r="B5410" t="s">
        <v>6902</v>
      </c>
      <c r="C5410" t="s">
        <v>5472</v>
      </c>
      <c r="E5410">
        <v>0.01</v>
      </c>
      <c r="F5410" t="s">
        <v>546</v>
      </c>
      <c r="G5410" s="174">
        <v>45576.460914351854</v>
      </c>
    </row>
    <row r="5411" spans="1:7">
      <c r="A5411">
        <v>5466</v>
      </c>
      <c r="B5411" t="s">
        <v>6903</v>
      </c>
      <c r="C5411" t="s">
        <v>6548</v>
      </c>
      <c r="E5411">
        <v>0.01</v>
      </c>
      <c r="F5411" t="s">
        <v>546</v>
      </c>
      <c r="G5411" s="174">
        <v>45576.460914351854</v>
      </c>
    </row>
    <row r="5412" spans="1:7">
      <c r="A5412">
        <v>5467</v>
      </c>
      <c r="B5412" t="s">
        <v>6904</v>
      </c>
      <c r="C5412" t="s">
        <v>4812</v>
      </c>
      <c r="E5412">
        <v>0.05</v>
      </c>
      <c r="F5412" t="s">
        <v>546</v>
      </c>
      <c r="G5412" s="174">
        <v>45576.460914351854</v>
      </c>
    </row>
    <row r="5413" spans="1:7">
      <c r="A5413">
        <v>5468</v>
      </c>
      <c r="B5413" t="s">
        <v>6904</v>
      </c>
      <c r="C5413" t="s">
        <v>6905</v>
      </c>
      <c r="E5413">
        <v>0.1</v>
      </c>
      <c r="F5413" t="s">
        <v>546</v>
      </c>
      <c r="G5413" s="174">
        <v>45576.460914351854</v>
      </c>
    </row>
    <row r="5414" spans="1:7">
      <c r="A5414">
        <v>5469</v>
      </c>
      <c r="B5414" t="s">
        <v>2200</v>
      </c>
      <c r="C5414" t="s">
        <v>2801</v>
      </c>
      <c r="E5414">
        <v>0.01</v>
      </c>
      <c r="F5414" t="s">
        <v>546</v>
      </c>
      <c r="G5414" s="174">
        <v>45576.460914351854</v>
      </c>
    </row>
    <row r="5415" spans="1:7">
      <c r="A5415">
        <v>5470</v>
      </c>
      <c r="B5415" t="s">
        <v>6906</v>
      </c>
      <c r="C5415" t="s">
        <v>4555</v>
      </c>
      <c r="E5415">
        <v>0.01</v>
      </c>
      <c r="F5415" t="s">
        <v>546</v>
      </c>
      <c r="G5415" s="174">
        <v>45576.460914351854</v>
      </c>
    </row>
    <row r="5416" spans="1:7">
      <c r="A5416">
        <v>5471</v>
      </c>
      <c r="B5416" t="s">
        <v>6907</v>
      </c>
      <c r="C5416" t="s">
        <v>3430</v>
      </c>
      <c r="E5416">
        <v>0.01</v>
      </c>
      <c r="F5416" t="s">
        <v>546</v>
      </c>
      <c r="G5416" s="174">
        <v>45576.460914351854</v>
      </c>
    </row>
    <row r="5417" spans="1:7">
      <c r="A5417">
        <v>5472</v>
      </c>
      <c r="B5417" t="s">
        <v>6908</v>
      </c>
      <c r="C5417" t="s">
        <v>5054</v>
      </c>
      <c r="E5417">
        <v>0.01</v>
      </c>
      <c r="F5417" t="s">
        <v>546</v>
      </c>
      <c r="G5417" s="174">
        <v>45576.460914351854</v>
      </c>
    </row>
    <row r="5418" spans="1:7">
      <c r="A5418">
        <v>5473</v>
      </c>
      <c r="B5418" t="s">
        <v>6909</v>
      </c>
      <c r="C5418" t="s">
        <v>3638</v>
      </c>
      <c r="E5418">
        <v>0.01</v>
      </c>
      <c r="F5418" t="s">
        <v>546</v>
      </c>
      <c r="G5418" s="174">
        <v>45576.460914351854</v>
      </c>
    </row>
    <row r="5419" spans="1:7">
      <c r="A5419">
        <v>5474</v>
      </c>
      <c r="B5419" t="s">
        <v>6910</v>
      </c>
      <c r="C5419" t="s">
        <v>5247</v>
      </c>
      <c r="E5419">
        <v>0.01</v>
      </c>
      <c r="F5419" t="s">
        <v>546</v>
      </c>
      <c r="G5419" s="174">
        <v>45576.460914351854</v>
      </c>
    </row>
    <row r="5420" spans="1:7">
      <c r="A5420">
        <v>5475</v>
      </c>
      <c r="B5420" t="s">
        <v>6910</v>
      </c>
      <c r="C5420" t="s">
        <v>5472</v>
      </c>
      <c r="E5420">
        <v>0.01</v>
      </c>
      <c r="F5420" t="s">
        <v>546</v>
      </c>
      <c r="G5420" s="174">
        <v>45576.460914351854</v>
      </c>
    </row>
    <row r="5421" spans="1:7">
      <c r="A5421">
        <v>5476</v>
      </c>
      <c r="B5421" t="s">
        <v>6911</v>
      </c>
      <c r="C5421" t="s">
        <v>6912</v>
      </c>
      <c r="E5421">
        <v>0.01</v>
      </c>
      <c r="F5421" t="s">
        <v>546</v>
      </c>
      <c r="G5421" s="174">
        <v>45576.460914351854</v>
      </c>
    </row>
    <row r="5422" spans="1:7">
      <c r="A5422">
        <v>5477</v>
      </c>
      <c r="B5422" t="s">
        <v>6911</v>
      </c>
      <c r="C5422" t="s">
        <v>6553</v>
      </c>
      <c r="E5422">
        <v>0.01</v>
      </c>
      <c r="F5422" t="s">
        <v>546</v>
      </c>
      <c r="G5422" s="174">
        <v>45576.460914351854</v>
      </c>
    </row>
    <row r="5423" spans="1:7">
      <c r="A5423">
        <v>5478</v>
      </c>
      <c r="B5423" t="s">
        <v>6913</v>
      </c>
      <c r="C5423" t="s">
        <v>2835</v>
      </c>
      <c r="E5423">
        <v>0.01</v>
      </c>
      <c r="F5423" t="s">
        <v>546</v>
      </c>
      <c r="G5423" s="174">
        <v>45576.460914351854</v>
      </c>
    </row>
    <row r="5424" spans="1:7">
      <c r="A5424">
        <v>5479</v>
      </c>
      <c r="B5424" t="s">
        <v>6913</v>
      </c>
      <c r="C5424" t="s">
        <v>3571</v>
      </c>
      <c r="E5424">
        <v>0.01</v>
      </c>
      <c r="F5424" t="s">
        <v>546</v>
      </c>
      <c r="G5424" s="174">
        <v>45576.460914351854</v>
      </c>
    </row>
    <row r="5425" spans="1:7">
      <c r="A5425">
        <v>5480</v>
      </c>
      <c r="B5425" t="s">
        <v>6914</v>
      </c>
      <c r="C5425" t="s">
        <v>6915</v>
      </c>
      <c r="E5425">
        <v>0.01</v>
      </c>
      <c r="F5425" t="s">
        <v>546</v>
      </c>
      <c r="G5425" s="174">
        <v>45576.460914351854</v>
      </c>
    </row>
    <row r="5426" spans="1:7">
      <c r="A5426">
        <v>5481</v>
      </c>
      <c r="B5426" t="s">
        <v>6914</v>
      </c>
      <c r="C5426" t="s">
        <v>6916</v>
      </c>
      <c r="E5426">
        <v>0.01</v>
      </c>
      <c r="F5426" t="s">
        <v>546</v>
      </c>
      <c r="G5426" s="174">
        <v>45576.460914351854</v>
      </c>
    </row>
    <row r="5427" spans="1:7">
      <c r="A5427">
        <v>5482</v>
      </c>
      <c r="B5427" t="s">
        <v>6914</v>
      </c>
      <c r="C5427" t="s">
        <v>3951</v>
      </c>
      <c r="E5427">
        <v>0.01</v>
      </c>
      <c r="F5427" t="s">
        <v>546</v>
      </c>
      <c r="G5427" s="174">
        <v>45576.460914351854</v>
      </c>
    </row>
    <row r="5428" spans="1:7">
      <c r="A5428">
        <v>5483</v>
      </c>
      <c r="B5428" t="s">
        <v>6917</v>
      </c>
      <c r="C5428" s="176">
        <v>45815</v>
      </c>
      <c r="D5428" s="176"/>
      <c r="E5428">
        <v>0.01</v>
      </c>
      <c r="F5428" t="s">
        <v>546</v>
      </c>
      <c r="G5428" s="174">
        <v>45576.460914351854</v>
      </c>
    </row>
    <row r="5429" spans="1:7">
      <c r="A5429">
        <v>5484</v>
      </c>
      <c r="B5429" t="s">
        <v>2205</v>
      </c>
      <c r="C5429" t="s">
        <v>3695</v>
      </c>
      <c r="E5429">
        <v>0.01</v>
      </c>
      <c r="F5429" t="s">
        <v>546</v>
      </c>
      <c r="G5429" s="174">
        <v>45576.460914351854</v>
      </c>
    </row>
    <row r="5430" spans="1:7">
      <c r="A5430">
        <v>5485</v>
      </c>
      <c r="B5430" t="s">
        <v>6918</v>
      </c>
      <c r="C5430" t="s">
        <v>6099</v>
      </c>
      <c r="E5430">
        <v>0.01</v>
      </c>
      <c r="F5430" t="s">
        <v>546</v>
      </c>
      <c r="G5430" s="174">
        <v>45576.460914351854</v>
      </c>
    </row>
    <row r="5431" spans="1:7">
      <c r="A5431">
        <v>5486</v>
      </c>
      <c r="B5431" t="s">
        <v>6918</v>
      </c>
      <c r="C5431" t="s">
        <v>4914</v>
      </c>
      <c r="E5431">
        <v>0.01</v>
      </c>
      <c r="F5431" t="s">
        <v>546</v>
      </c>
      <c r="G5431" s="174">
        <v>45576.460914351854</v>
      </c>
    </row>
    <row r="5432" spans="1:7">
      <c r="A5432">
        <v>5487</v>
      </c>
      <c r="B5432" t="s">
        <v>6919</v>
      </c>
      <c r="C5432" t="s">
        <v>3638</v>
      </c>
      <c r="E5432">
        <v>0.01</v>
      </c>
      <c r="F5432" t="s">
        <v>546</v>
      </c>
      <c r="G5432" s="174">
        <v>45576.460914351854</v>
      </c>
    </row>
    <row r="5433" spans="1:7">
      <c r="A5433">
        <v>5488</v>
      </c>
      <c r="B5433" t="s">
        <v>6920</v>
      </c>
      <c r="C5433" t="s">
        <v>6011</v>
      </c>
      <c r="E5433">
        <v>0.01</v>
      </c>
      <c r="F5433" t="s">
        <v>546</v>
      </c>
      <c r="G5433" s="174">
        <v>45576.460914351854</v>
      </c>
    </row>
    <row r="5434" spans="1:7">
      <c r="A5434">
        <v>5489</v>
      </c>
      <c r="B5434" t="s">
        <v>6921</v>
      </c>
      <c r="C5434" t="s">
        <v>3111</v>
      </c>
      <c r="E5434">
        <v>0.01</v>
      </c>
      <c r="F5434" t="s">
        <v>546</v>
      </c>
      <c r="G5434" s="174">
        <v>45576.460914351854</v>
      </c>
    </row>
    <row r="5435" spans="1:7">
      <c r="A5435">
        <v>5490</v>
      </c>
      <c r="B5435" t="s">
        <v>6922</v>
      </c>
      <c r="C5435" t="s">
        <v>2826</v>
      </c>
      <c r="E5435">
        <v>0.1</v>
      </c>
      <c r="F5435" t="s">
        <v>546</v>
      </c>
      <c r="G5435" s="174">
        <v>45576.460914351854</v>
      </c>
    </row>
    <row r="5436" spans="1:7">
      <c r="A5436">
        <v>5491</v>
      </c>
      <c r="B5436" t="s">
        <v>2209</v>
      </c>
      <c r="C5436" t="s">
        <v>3715</v>
      </c>
      <c r="E5436">
        <v>0.01</v>
      </c>
      <c r="F5436" t="s">
        <v>546</v>
      </c>
      <c r="G5436" s="174">
        <v>45576.460914351854</v>
      </c>
    </row>
    <row r="5437" spans="1:7">
      <c r="A5437">
        <v>5492</v>
      </c>
      <c r="B5437" t="s">
        <v>6923</v>
      </c>
      <c r="C5437" t="s">
        <v>5257</v>
      </c>
      <c r="E5437">
        <v>0.01</v>
      </c>
      <c r="F5437" t="s">
        <v>546</v>
      </c>
      <c r="G5437" s="174">
        <v>45576.460914351854</v>
      </c>
    </row>
    <row r="5438" spans="1:7">
      <c r="A5438">
        <v>5493</v>
      </c>
      <c r="B5438" t="s">
        <v>6924</v>
      </c>
      <c r="C5438" t="s">
        <v>3530</v>
      </c>
      <c r="E5438">
        <v>0.1</v>
      </c>
      <c r="F5438" t="s">
        <v>546</v>
      </c>
      <c r="G5438" s="174">
        <v>45576.460914351854</v>
      </c>
    </row>
    <row r="5439" spans="1:7">
      <c r="A5439">
        <v>5494</v>
      </c>
      <c r="B5439" t="s">
        <v>6925</v>
      </c>
      <c r="C5439" t="s">
        <v>6926</v>
      </c>
      <c r="E5439">
        <v>0.8</v>
      </c>
      <c r="F5439" t="s">
        <v>546</v>
      </c>
      <c r="G5439" s="174">
        <v>45576.460914351854</v>
      </c>
    </row>
    <row r="5440" spans="1:7">
      <c r="A5440">
        <v>5495</v>
      </c>
      <c r="B5440" t="s">
        <v>6925</v>
      </c>
      <c r="C5440" t="s">
        <v>4855</v>
      </c>
      <c r="E5440">
        <v>0.6</v>
      </c>
      <c r="F5440" t="s">
        <v>546</v>
      </c>
      <c r="G5440" s="174">
        <v>45576.460914351854</v>
      </c>
    </row>
    <row r="5441" spans="1:7">
      <c r="A5441">
        <v>5496</v>
      </c>
      <c r="B5441" t="s">
        <v>6927</v>
      </c>
      <c r="C5441" t="s">
        <v>6928</v>
      </c>
      <c r="E5441">
        <v>0.01</v>
      </c>
      <c r="F5441" t="s">
        <v>546</v>
      </c>
      <c r="G5441" s="174">
        <v>45576.460914351854</v>
      </c>
    </row>
    <row r="5442" spans="1:7">
      <c r="A5442">
        <v>5497</v>
      </c>
      <c r="B5442" t="s">
        <v>6929</v>
      </c>
      <c r="C5442" t="s">
        <v>4260</v>
      </c>
      <c r="E5442">
        <v>0.01</v>
      </c>
      <c r="F5442" t="s">
        <v>546</v>
      </c>
      <c r="G5442" s="174">
        <v>45576.460914351854</v>
      </c>
    </row>
    <row r="5443" spans="1:7">
      <c r="A5443">
        <v>5498</v>
      </c>
      <c r="B5443" t="s">
        <v>6930</v>
      </c>
      <c r="C5443" t="s">
        <v>3288</v>
      </c>
      <c r="E5443">
        <v>0.01</v>
      </c>
      <c r="F5443" t="s">
        <v>546</v>
      </c>
      <c r="G5443" s="174">
        <v>45576.460914351854</v>
      </c>
    </row>
    <row r="5444" spans="1:7">
      <c r="A5444">
        <v>5499</v>
      </c>
      <c r="B5444" t="s">
        <v>6931</v>
      </c>
      <c r="C5444" t="s">
        <v>5383</v>
      </c>
      <c r="E5444">
        <v>0.01</v>
      </c>
      <c r="F5444" t="s">
        <v>546</v>
      </c>
      <c r="G5444" s="174">
        <v>45576.460914351854</v>
      </c>
    </row>
    <row r="5445" spans="1:7">
      <c r="A5445">
        <v>5500</v>
      </c>
      <c r="B5445" t="s">
        <v>6931</v>
      </c>
      <c r="C5445" t="s">
        <v>3855</v>
      </c>
      <c r="E5445">
        <v>0.01</v>
      </c>
      <c r="F5445" t="s">
        <v>546</v>
      </c>
      <c r="G5445" s="174">
        <v>45576.460914351854</v>
      </c>
    </row>
    <row r="5446" spans="1:7">
      <c r="A5446">
        <v>5501</v>
      </c>
      <c r="B5446" t="s">
        <v>6932</v>
      </c>
      <c r="C5446" t="s">
        <v>5360</v>
      </c>
      <c r="E5446">
        <v>0.01</v>
      </c>
      <c r="F5446" t="s">
        <v>546</v>
      </c>
      <c r="G5446" s="174">
        <v>45576.460914351854</v>
      </c>
    </row>
    <row r="5447" spans="1:7">
      <c r="A5447">
        <v>5502</v>
      </c>
      <c r="B5447" t="s">
        <v>6933</v>
      </c>
      <c r="C5447" t="s">
        <v>2766</v>
      </c>
      <c r="E5447">
        <v>0.01</v>
      </c>
      <c r="F5447" t="s">
        <v>546</v>
      </c>
      <c r="G5447" s="174">
        <v>45576.460914351854</v>
      </c>
    </row>
    <row r="5448" spans="1:7">
      <c r="A5448">
        <v>5503</v>
      </c>
      <c r="B5448" t="s">
        <v>6934</v>
      </c>
      <c r="C5448" t="s">
        <v>4818</v>
      </c>
      <c r="E5448">
        <v>0.01</v>
      </c>
      <c r="F5448" t="s">
        <v>546</v>
      </c>
      <c r="G5448" s="174">
        <v>45576.460914351854</v>
      </c>
    </row>
    <row r="5449" spans="1:7">
      <c r="A5449">
        <v>5504</v>
      </c>
      <c r="B5449" t="s">
        <v>6935</v>
      </c>
      <c r="C5449" t="s">
        <v>3050</v>
      </c>
      <c r="E5449">
        <v>0.01</v>
      </c>
      <c r="F5449" t="s">
        <v>546</v>
      </c>
      <c r="G5449" s="174">
        <v>45576.460914351854</v>
      </c>
    </row>
    <row r="5450" spans="1:7">
      <c r="A5450">
        <v>5505</v>
      </c>
      <c r="B5450" t="s">
        <v>6935</v>
      </c>
      <c r="C5450" t="s">
        <v>3457</v>
      </c>
      <c r="E5450">
        <v>0.01</v>
      </c>
      <c r="F5450" t="s">
        <v>546</v>
      </c>
      <c r="G5450" s="174">
        <v>45576.460914351854</v>
      </c>
    </row>
    <row r="5451" spans="1:7">
      <c r="A5451">
        <v>5506</v>
      </c>
      <c r="B5451" t="s">
        <v>6936</v>
      </c>
      <c r="C5451" t="s">
        <v>4514</v>
      </c>
      <c r="E5451">
        <v>0.01</v>
      </c>
      <c r="F5451" t="s">
        <v>546</v>
      </c>
      <c r="G5451" s="174">
        <v>45576.460914351854</v>
      </c>
    </row>
    <row r="5452" spans="1:7">
      <c r="A5452">
        <v>5507</v>
      </c>
      <c r="B5452" t="s">
        <v>6937</v>
      </c>
      <c r="C5452" t="s">
        <v>6938</v>
      </c>
      <c r="E5452">
        <v>0.01</v>
      </c>
      <c r="F5452" t="s">
        <v>546</v>
      </c>
      <c r="G5452" s="174">
        <v>45576.460914351854</v>
      </c>
    </row>
    <row r="5453" spans="1:7">
      <c r="A5453">
        <v>5508</v>
      </c>
      <c r="B5453" t="s">
        <v>2212</v>
      </c>
      <c r="C5453" t="s">
        <v>4354</v>
      </c>
      <c r="E5453">
        <v>0.01</v>
      </c>
      <c r="F5453" t="s">
        <v>546</v>
      </c>
      <c r="G5453" s="174">
        <v>45576.460914351854</v>
      </c>
    </row>
    <row r="5454" spans="1:7">
      <c r="A5454">
        <v>5509</v>
      </c>
      <c r="B5454" t="s">
        <v>6939</v>
      </c>
      <c r="C5454" t="s">
        <v>6940</v>
      </c>
      <c r="E5454">
        <v>0.1</v>
      </c>
      <c r="F5454" t="s">
        <v>546</v>
      </c>
      <c r="G5454" s="174">
        <v>45576.460914351854</v>
      </c>
    </row>
    <row r="5455" spans="1:7">
      <c r="A5455">
        <v>5510</v>
      </c>
      <c r="B5455" t="s">
        <v>6939</v>
      </c>
      <c r="C5455" t="s">
        <v>6941</v>
      </c>
      <c r="E5455">
        <v>0.05</v>
      </c>
      <c r="F5455" t="s">
        <v>546</v>
      </c>
      <c r="G5455" s="174">
        <v>45576.460914351854</v>
      </c>
    </row>
    <row r="5456" spans="1:7">
      <c r="A5456">
        <v>5511</v>
      </c>
      <c r="B5456" t="s">
        <v>6939</v>
      </c>
      <c r="C5456" t="s">
        <v>6942</v>
      </c>
      <c r="E5456">
        <v>0.01</v>
      </c>
      <c r="F5456" t="s">
        <v>546</v>
      </c>
      <c r="G5456" s="174">
        <v>45576.460914351854</v>
      </c>
    </row>
    <row r="5457" spans="1:7">
      <c r="A5457">
        <v>5512</v>
      </c>
      <c r="B5457" t="s">
        <v>6943</v>
      </c>
      <c r="C5457" t="s">
        <v>2930</v>
      </c>
      <c r="E5457">
        <v>0.8</v>
      </c>
      <c r="F5457" t="s">
        <v>6944</v>
      </c>
      <c r="G5457" s="174">
        <v>45576.460914351854</v>
      </c>
    </row>
    <row r="5458" spans="1:7">
      <c r="A5458">
        <v>5513</v>
      </c>
      <c r="B5458" t="s">
        <v>6945</v>
      </c>
      <c r="C5458" t="s">
        <v>4319</v>
      </c>
      <c r="E5458">
        <v>0.01</v>
      </c>
      <c r="F5458" t="s">
        <v>546</v>
      </c>
      <c r="G5458" s="174">
        <v>45576.460914351854</v>
      </c>
    </row>
    <row r="5459" spans="1:7">
      <c r="A5459">
        <v>5514</v>
      </c>
      <c r="B5459" t="s">
        <v>2214</v>
      </c>
      <c r="C5459" t="s">
        <v>5143</v>
      </c>
      <c r="E5459">
        <v>0.01</v>
      </c>
      <c r="F5459" t="s">
        <v>546</v>
      </c>
      <c r="G5459" s="174">
        <v>45576.460914351854</v>
      </c>
    </row>
    <row r="5460" spans="1:7">
      <c r="A5460">
        <v>5515</v>
      </c>
      <c r="B5460" t="s">
        <v>6946</v>
      </c>
      <c r="C5460" t="s">
        <v>5627</v>
      </c>
      <c r="E5460">
        <v>0.8</v>
      </c>
      <c r="F5460" t="s">
        <v>546</v>
      </c>
      <c r="G5460" s="174">
        <v>45576.460914351854</v>
      </c>
    </row>
    <row r="5461" spans="1:7">
      <c r="A5461">
        <v>5516</v>
      </c>
      <c r="B5461" t="s">
        <v>6947</v>
      </c>
      <c r="C5461" t="s">
        <v>5490</v>
      </c>
      <c r="E5461">
        <v>0.01</v>
      </c>
      <c r="F5461" t="s">
        <v>546</v>
      </c>
      <c r="G5461" s="174">
        <v>45576.460914351854</v>
      </c>
    </row>
    <row r="5462" spans="1:7">
      <c r="A5462">
        <v>5517</v>
      </c>
      <c r="B5462" t="s">
        <v>6948</v>
      </c>
      <c r="C5462" t="s">
        <v>6942</v>
      </c>
      <c r="E5462">
        <v>0.01</v>
      </c>
      <c r="F5462" t="s">
        <v>546</v>
      </c>
      <c r="G5462" s="174">
        <v>45576.460914351854</v>
      </c>
    </row>
    <row r="5463" spans="1:7">
      <c r="A5463">
        <v>5518</v>
      </c>
      <c r="B5463" t="s">
        <v>6949</v>
      </c>
      <c r="C5463" t="s">
        <v>3508</v>
      </c>
      <c r="E5463">
        <v>0.01</v>
      </c>
      <c r="F5463" t="s">
        <v>546</v>
      </c>
      <c r="G5463" s="174">
        <v>45576.460914351854</v>
      </c>
    </row>
    <row r="5464" spans="1:7">
      <c r="A5464">
        <v>5519</v>
      </c>
      <c r="B5464" t="s">
        <v>6950</v>
      </c>
      <c r="C5464" t="s">
        <v>5306</v>
      </c>
      <c r="E5464">
        <v>0.01</v>
      </c>
      <c r="F5464" t="s">
        <v>546</v>
      </c>
      <c r="G5464" s="174">
        <v>45576.460914351854</v>
      </c>
    </row>
    <row r="5465" spans="1:7">
      <c r="A5465">
        <v>5520</v>
      </c>
      <c r="B5465" t="s">
        <v>6951</v>
      </c>
      <c r="C5465" t="s">
        <v>6223</v>
      </c>
      <c r="E5465">
        <v>0.01</v>
      </c>
      <c r="F5465" t="s">
        <v>546</v>
      </c>
      <c r="G5465" s="174">
        <v>45576.460914351854</v>
      </c>
    </row>
    <row r="5466" spans="1:7">
      <c r="A5466">
        <v>5521</v>
      </c>
      <c r="B5466" t="s">
        <v>6951</v>
      </c>
      <c r="C5466" t="s">
        <v>5199</v>
      </c>
      <c r="E5466">
        <v>0.01</v>
      </c>
      <c r="F5466" t="s">
        <v>546</v>
      </c>
      <c r="G5466" s="174">
        <v>45576.460914351854</v>
      </c>
    </row>
    <row r="5467" spans="1:7">
      <c r="A5467">
        <v>5522</v>
      </c>
      <c r="B5467" t="s">
        <v>6952</v>
      </c>
      <c r="C5467" t="s">
        <v>4123</v>
      </c>
      <c r="E5467">
        <v>0.01</v>
      </c>
      <c r="F5467" t="s">
        <v>546</v>
      </c>
      <c r="G5467" s="174">
        <v>45576.460914351854</v>
      </c>
    </row>
    <row r="5468" spans="1:7">
      <c r="A5468">
        <v>5523</v>
      </c>
      <c r="B5468" t="s">
        <v>6953</v>
      </c>
      <c r="C5468" t="s">
        <v>3265</v>
      </c>
      <c r="E5468">
        <v>0.01</v>
      </c>
      <c r="F5468" t="s">
        <v>546</v>
      </c>
      <c r="G5468" s="174">
        <v>45576.460914351854</v>
      </c>
    </row>
    <row r="5469" spans="1:7">
      <c r="A5469">
        <v>5524</v>
      </c>
      <c r="B5469" t="s">
        <v>6954</v>
      </c>
      <c r="C5469" t="s">
        <v>6955</v>
      </c>
      <c r="E5469">
        <v>0.6</v>
      </c>
      <c r="F5469" t="s">
        <v>6956</v>
      </c>
      <c r="G5469" s="174">
        <v>45576.460914351854</v>
      </c>
    </row>
    <row r="5470" spans="1:7">
      <c r="A5470">
        <v>5525</v>
      </c>
      <c r="B5470" t="s">
        <v>6954</v>
      </c>
      <c r="C5470" t="s">
        <v>6957</v>
      </c>
      <c r="E5470">
        <v>0.5</v>
      </c>
      <c r="F5470" t="s">
        <v>6958</v>
      </c>
      <c r="G5470" s="174">
        <v>45576.460914351854</v>
      </c>
    </row>
    <row r="5471" spans="1:7">
      <c r="A5471">
        <v>5526</v>
      </c>
      <c r="B5471" t="s">
        <v>6959</v>
      </c>
      <c r="C5471" t="s">
        <v>4365</v>
      </c>
      <c r="E5471">
        <v>0.01</v>
      </c>
      <c r="F5471" t="s">
        <v>546</v>
      </c>
      <c r="G5471" s="174">
        <v>45576.460914351854</v>
      </c>
    </row>
    <row r="5472" spans="1:7">
      <c r="A5472">
        <v>5527</v>
      </c>
      <c r="B5472" t="s">
        <v>6959</v>
      </c>
      <c r="C5472" t="s">
        <v>1172</v>
      </c>
      <c r="E5472">
        <v>0.1</v>
      </c>
      <c r="F5472" t="s">
        <v>546</v>
      </c>
      <c r="G5472" s="174">
        <v>45576.460914351854</v>
      </c>
    </row>
    <row r="5473" spans="1:7">
      <c r="A5473">
        <v>5528</v>
      </c>
      <c r="B5473" t="s">
        <v>6960</v>
      </c>
      <c r="C5473" t="s">
        <v>4348</v>
      </c>
      <c r="E5473">
        <v>0.01</v>
      </c>
      <c r="F5473" t="s">
        <v>546</v>
      </c>
      <c r="G5473" s="174">
        <v>45576.460914351854</v>
      </c>
    </row>
    <row r="5474" spans="1:7">
      <c r="A5474">
        <v>5529</v>
      </c>
      <c r="B5474" t="s">
        <v>6960</v>
      </c>
      <c r="C5474" t="s">
        <v>6961</v>
      </c>
      <c r="E5474">
        <v>0.01</v>
      </c>
      <c r="F5474" t="s">
        <v>546</v>
      </c>
      <c r="G5474" s="174">
        <v>45576.460914351854</v>
      </c>
    </row>
    <row r="5475" spans="1:7">
      <c r="A5475">
        <v>5530</v>
      </c>
      <c r="B5475" t="s">
        <v>2219</v>
      </c>
      <c r="C5475" t="s">
        <v>4616</v>
      </c>
      <c r="E5475">
        <v>0.01</v>
      </c>
      <c r="F5475" t="s">
        <v>546</v>
      </c>
      <c r="G5475" s="174">
        <v>45576.460914351854</v>
      </c>
    </row>
    <row r="5476" spans="1:7">
      <c r="A5476">
        <v>5531</v>
      </c>
      <c r="B5476" t="s">
        <v>6962</v>
      </c>
      <c r="C5476" t="s">
        <v>6963</v>
      </c>
      <c r="E5476">
        <v>0.05</v>
      </c>
      <c r="F5476" t="s">
        <v>546</v>
      </c>
      <c r="G5476" s="174">
        <v>45576.460914351854</v>
      </c>
    </row>
    <row r="5477" spans="1:7">
      <c r="A5477">
        <v>5532</v>
      </c>
      <c r="B5477" t="s">
        <v>6962</v>
      </c>
      <c r="C5477" t="s">
        <v>6964</v>
      </c>
      <c r="E5477">
        <v>0.01</v>
      </c>
      <c r="F5477" t="s">
        <v>546</v>
      </c>
      <c r="G5477" s="174">
        <v>45576.460914351854</v>
      </c>
    </row>
    <row r="5478" spans="1:7">
      <c r="A5478">
        <v>5533</v>
      </c>
      <c r="B5478" t="s">
        <v>6965</v>
      </c>
      <c r="C5478" t="s">
        <v>4555</v>
      </c>
      <c r="E5478">
        <v>0.01</v>
      </c>
      <c r="F5478" t="s">
        <v>546</v>
      </c>
      <c r="G5478" s="174">
        <v>45576.460914351854</v>
      </c>
    </row>
    <row r="5479" spans="1:7">
      <c r="A5479">
        <v>5534</v>
      </c>
      <c r="B5479" t="s">
        <v>6965</v>
      </c>
      <c r="C5479" t="s">
        <v>4558</v>
      </c>
      <c r="E5479">
        <v>0.01</v>
      </c>
      <c r="F5479" t="s">
        <v>546</v>
      </c>
      <c r="G5479" s="174">
        <v>45576.460914351854</v>
      </c>
    </row>
    <row r="5480" spans="1:7">
      <c r="A5480">
        <v>5535</v>
      </c>
      <c r="B5480" t="s">
        <v>6966</v>
      </c>
      <c r="C5480" t="s">
        <v>4762</v>
      </c>
      <c r="E5480">
        <v>0.01</v>
      </c>
      <c r="F5480" t="s">
        <v>546</v>
      </c>
      <c r="G5480" s="174">
        <v>45576.460914351854</v>
      </c>
    </row>
    <row r="5481" spans="1:7">
      <c r="A5481">
        <v>5536</v>
      </c>
      <c r="B5481" t="s">
        <v>2220</v>
      </c>
      <c r="C5481" t="s">
        <v>4626</v>
      </c>
      <c r="E5481">
        <v>0.01</v>
      </c>
      <c r="F5481" t="s">
        <v>546</v>
      </c>
      <c r="G5481" s="174">
        <v>45576.460914351854</v>
      </c>
    </row>
    <row r="5482" spans="1:7">
      <c r="A5482">
        <v>5537</v>
      </c>
      <c r="B5482" t="s">
        <v>6967</v>
      </c>
      <c r="C5482" t="s">
        <v>6968</v>
      </c>
      <c r="E5482">
        <v>0.01</v>
      </c>
      <c r="F5482" t="s">
        <v>546</v>
      </c>
      <c r="G5482" s="174">
        <v>45576.460914351854</v>
      </c>
    </row>
    <row r="5483" spans="1:7">
      <c r="A5483">
        <v>5538</v>
      </c>
      <c r="B5483" t="s">
        <v>6967</v>
      </c>
      <c r="C5483" t="s">
        <v>6969</v>
      </c>
      <c r="E5483">
        <v>0.01</v>
      </c>
      <c r="F5483" t="s">
        <v>546</v>
      </c>
      <c r="G5483" s="174">
        <v>45576.460914351854</v>
      </c>
    </row>
    <row r="5484" spans="1:7">
      <c r="A5484">
        <v>5539</v>
      </c>
      <c r="B5484" t="s">
        <v>2221</v>
      </c>
      <c r="C5484" t="s">
        <v>5157</v>
      </c>
      <c r="E5484">
        <v>0.01</v>
      </c>
      <c r="F5484" t="s">
        <v>546</v>
      </c>
      <c r="G5484" s="174">
        <v>45576.460914351854</v>
      </c>
    </row>
    <row r="5485" spans="1:7">
      <c r="A5485">
        <v>5540</v>
      </c>
      <c r="B5485" t="s">
        <v>6970</v>
      </c>
      <c r="C5485" t="s">
        <v>4319</v>
      </c>
      <c r="E5485">
        <v>0.01</v>
      </c>
      <c r="F5485" t="s">
        <v>546</v>
      </c>
      <c r="G5485" s="174">
        <v>45576.460914351854</v>
      </c>
    </row>
    <row r="5486" spans="1:7">
      <c r="A5486">
        <v>5541</v>
      </c>
      <c r="B5486" t="s">
        <v>6971</v>
      </c>
      <c r="C5486" t="s">
        <v>6972</v>
      </c>
      <c r="E5486">
        <v>0.1</v>
      </c>
      <c r="F5486" t="s">
        <v>546</v>
      </c>
      <c r="G5486" s="174">
        <v>45576.460914351854</v>
      </c>
    </row>
    <row r="5487" spans="1:7">
      <c r="A5487">
        <v>5542</v>
      </c>
      <c r="B5487" t="s">
        <v>6971</v>
      </c>
      <c r="C5487" t="s">
        <v>6973</v>
      </c>
      <c r="E5487">
        <v>0.01</v>
      </c>
      <c r="F5487" t="s">
        <v>546</v>
      </c>
      <c r="G5487" s="174">
        <v>45576.460914351854</v>
      </c>
    </row>
    <row r="5488" spans="1:7">
      <c r="A5488">
        <v>5543</v>
      </c>
      <c r="B5488" t="s">
        <v>6971</v>
      </c>
      <c r="C5488" t="s">
        <v>3023</v>
      </c>
      <c r="E5488">
        <v>0.01</v>
      </c>
      <c r="F5488" t="s">
        <v>546</v>
      </c>
      <c r="G5488" s="174">
        <v>45576.460914351854</v>
      </c>
    </row>
    <row r="5489" spans="1:7">
      <c r="A5489">
        <v>5544</v>
      </c>
      <c r="B5489" t="s">
        <v>6974</v>
      </c>
      <c r="C5489" t="s">
        <v>6964</v>
      </c>
      <c r="E5489">
        <v>0.01</v>
      </c>
      <c r="F5489" t="s">
        <v>546</v>
      </c>
      <c r="G5489" s="174">
        <v>45576.460914351854</v>
      </c>
    </row>
    <row r="5490" spans="1:7">
      <c r="A5490">
        <v>5545</v>
      </c>
      <c r="B5490" t="s">
        <v>6975</v>
      </c>
      <c r="C5490" t="s">
        <v>6976</v>
      </c>
      <c r="E5490">
        <v>0.01</v>
      </c>
      <c r="F5490" t="s">
        <v>546</v>
      </c>
      <c r="G5490" s="174">
        <v>45576.460914351854</v>
      </c>
    </row>
    <row r="5491" spans="1:7">
      <c r="A5491">
        <v>5546</v>
      </c>
      <c r="B5491" t="s">
        <v>6977</v>
      </c>
      <c r="C5491" t="s">
        <v>3370</v>
      </c>
      <c r="E5491">
        <v>0.01</v>
      </c>
      <c r="F5491" t="s">
        <v>546</v>
      </c>
      <c r="G5491" s="174">
        <v>45576.460914351854</v>
      </c>
    </row>
    <row r="5492" spans="1:7">
      <c r="A5492">
        <v>5547</v>
      </c>
      <c r="B5492" t="s">
        <v>6978</v>
      </c>
      <c r="C5492" t="s">
        <v>5190</v>
      </c>
      <c r="E5492">
        <v>0.05</v>
      </c>
      <c r="F5492" t="s">
        <v>546</v>
      </c>
      <c r="G5492" s="174">
        <v>45576.460914351854</v>
      </c>
    </row>
    <row r="5493" spans="1:7">
      <c r="A5493">
        <v>5548</v>
      </c>
      <c r="B5493" t="s">
        <v>6978</v>
      </c>
      <c r="C5493" t="s">
        <v>4326</v>
      </c>
      <c r="E5493">
        <v>0.01</v>
      </c>
      <c r="F5493" t="s">
        <v>546</v>
      </c>
      <c r="G5493" s="174">
        <v>45576.460914351854</v>
      </c>
    </row>
    <row r="5494" spans="1:7">
      <c r="A5494">
        <v>5549</v>
      </c>
      <c r="B5494" t="s">
        <v>6978</v>
      </c>
      <c r="C5494" t="s">
        <v>6979</v>
      </c>
      <c r="E5494">
        <v>0.05</v>
      </c>
      <c r="F5494" t="s">
        <v>546</v>
      </c>
      <c r="G5494" s="174">
        <v>45576.460914351854</v>
      </c>
    </row>
    <row r="5495" spans="1:7">
      <c r="A5495">
        <v>5550</v>
      </c>
      <c r="B5495" t="s">
        <v>6980</v>
      </c>
      <c r="C5495" t="s">
        <v>4492</v>
      </c>
      <c r="E5495">
        <v>0.01</v>
      </c>
      <c r="F5495" t="s">
        <v>546</v>
      </c>
      <c r="G5495" s="174">
        <v>45576.460914351854</v>
      </c>
    </row>
    <row r="5496" spans="1:7">
      <c r="A5496">
        <v>5551</v>
      </c>
      <c r="B5496" t="s">
        <v>6981</v>
      </c>
      <c r="C5496" t="s">
        <v>4391</v>
      </c>
      <c r="E5496">
        <v>0.01</v>
      </c>
      <c r="F5496" t="s">
        <v>546</v>
      </c>
      <c r="G5496" s="174">
        <v>45576.460914351854</v>
      </c>
    </row>
    <row r="5497" spans="1:7">
      <c r="A5497">
        <v>5552</v>
      </c>
      <c r="B5497" t="s">
        <v>6982</v>
      </c>
      <c r="C5497" t="s">
        <v>4924</v>
      </c>
      <c r="E5497">
        <v>0.01</v>
      </c>
      <c r="F5497" t="s">
        <v>546</v>
      </c>
      <c r="G5497" s="174">
        <v>45576.460914351854</v>
      </c>
    </row>
    <row r="5498" spans="1:7">
      <c r="A5498">
        <v>5553</v>
      </c>
      <c r="B5498" t="s">
        <v>6983</v>
      </c>
      <c r="C5498" t="s">
        <v>3466</v>
      </c>
      <c r="E5498">
        <v>0.01</v>
      </c>
      <c r="F5498" t="s">
        <v>546</v>
      </c>
      <c r="G5498" s="174">
        <v>45576.460914351854</v>
      </c>
    </row>
    <row r="5499" spans="1:7">
      <c r="A5499">
        <v>5554</v>
      </c>
      <c r="B5499" t="s">
        <v>6984</v>
      </c>
      <c r="C5499" t="s">
        <v>5643</v>
      </c>
      <c r="E5499">
        <v>0.01</v>
      </c>
      <c r="F5499" t="s">
        <v>546</v>
      </c>
      <c r="G5499" s="174">
        <v>45576.460914351854</v>
      </c>
    </row>
    <row r="5500" spans="1:7">
      <c r="A5500">
        <v>5555</v>
      </c>
      <c r="B5500" t="s">
        <v>6985</v>
      </c>
      <c r="C5500" t="s">
        <v>4610</v>
      </c>
      <c r="E5500">
        <v>0.01</v>
      </c>
      <c r="F5500" t="s">
        <v>546</v>
      </c>
      <c r="G5500" s="174">
        <v>45576.460914351854</v>
      </c>
    </row>
    <row r="5501" spans="1:7">
      <c r="A5501">
        <v>5556</v>
      </c>
      <c r="B5501" t="s">
        <v>2229</v>
      </c>
      <c r="C5501" t="s">
        <v>6986</v>
      </c>
      <c r="E5501">
        <v>0.01</v>
      </c>
      <c r="F5501" t="s">
        <v>546</v>
      </c>
      <c r="G5501" s="174">
        <v>45576.460914351854</v>
      </c>
    </row>
    <row r="5502" spans="1:7">
      <c r="A5502">
        <v>5557</v>
      </c>
      <c r="B5502" t="s">
        <v>6987</v>
      </c>
      <c r="C5502" t="s">
        <v>2835</v>
      </c>
      <c r="E5502">
        <v>0.01</v>
      </c>
      <c r="F5502" t="s">
        <v>546</v>
      </c>
      <c r="G5502" s="174">
        <v>45576.460914351854</v>
      </c>
    </row>
    <row r="5503" spans="1:7">
      <c r="A5503">
        <v>5558</v>
      </c>
      <c r="B5503" t="s">
        <v>6988</v>
      </c>
      <c r="C5503" t="s">
        <v>2945</v>
      </c>
      <c r="E5503">
        <v>0.01</v>
      </c>
      <c r="F5503" t="s">
        <v>546</v>
      </c>
      <c r="G5503" s="174">
        <v>45576.460914351854</v>
      </c>
    </row>
    <row r="5504" spans="1:7">
      <c r="A5504">
        <v>5559</v>
      </c>
      <c r="B5504" t="s">
        <v>6989</v>
      </c>
      <c r="C5504" t="s">
        <v>6990</v>
      </c>
      <c r="E5504">
        <v>0.01</v>
      </c>
      <c r="F5504" t="s">
        <v>546</v>
      </c>
      <c r="G5504" s="174">
        <v>45576.460914351854</v>
      </c>
    </row>
    <row r="5505" spans="1:7">
      <c r="A5505">
        <v>5560</v>
      </c>
      <c r="B5505" t="s">
        <v>6989</v>
      </c>
      <c r="C5505" t="s">
        <v>5534</v>
      </c>
      <c r="E5505">
        <v>0.01</v>
      </c>
      <c r="F5505" t="s">
        <v>546</v>
      </c>
      <c r="G5505" s="174">
        <v>45576.460914351854</v>
      </c>
    </row>
    <row r="5506" spans="1:7">
      <c r="A5506">
        <v>5561</v>
      </c>
      <c r="B5506" t="s">
        <v>6989</v>
      </c>
      <c r="C5506" t="s">
        <v>2986</v>
      </c>
      <c r="E5506">
        <v>0.01</v>
      </c>
      <c r="F5506" t="s">
        <v>546</v>
      </c>
      <c r="G5506" s="174">
        <v>45576.460914351854</v>
      </c>
    </row>
    <row r="5507" spans="1:7">
      <c r="A5507">
        <v>5562</v>
      </c>
      <c r="B5507" t="s">
        <v>6991</v>
      </c>
      <c r="C5507" t="s">
        <v>3333</v>
      </c>
      <c r="E5507">
        <v>0.6</v>
      </c>
      <c r="F5507" t="s">
        <v>546</v>
      </c>
      <c r="G5507" s="174">
        <v>45576.460914351854</v>
      </c>
    </row>
    <row r="5508" spans="1:7">
      <c r="A5508">
        <v>5563</v>
      </c>
      <c r="B5508" t="s">
        <v>6991</v>
      </c>
      <c r="C5508" t="s">
        <v>2952</v>
      </c>
      <c r="E5508">
        <v>0.8</v>
      </c>
      <c r="F5508" t="s">
        <v>546</v>
      </c>
      <c r="G5508" s="174">
        <v>45576.460914351854</v>
      </c>
    </row>
    <row r="5509" spans="1:7">
      <c r="A5509">
        <v>5565</v>
      </c>
      <c r="B5509" t="s">
        <v>6992</v>
      </c>
      <c r="C5509" t="s">
        <v>2868</v>
      </c>
      <c r="E5509">
        <v>0.01</v>
      </c>
      <c r="F5509" t="s">
        <v>546</v>
      </c>
      <c r="G5509" s="174">
        <v>45576.460914351854</v>
      </c>
    </row>
    <row r="5510" spans="1:7">
      <c r="A5510">
        <v>5566</v>
      </c>
      <c r="B5510" t="s">
        <v>6993</v>
      </c>
      <c r="C5510" t="s">
        <v>4985</v>
      </c>
      <c r="E5510">
        <v>0.01</v>
      </c>
      <c r="F5510" t="s">
        <v>546</v>
      </c>
      <c r="G5510" s="174">
        <v>45576.460914351854</v>
      </c>
    </row>
    <row r="5511" spans="1:7">
      <c r="A5511">
        <v>5567</v>
      </c>
      <c r="B5511" t="s">
        <v>6994</v>
      </c>
      <c r="C5511" t="s">
        <v>6995</v>
      </c>
      <c r="E5511">
        <v>0.01</v>
      </c>
      <c r="F5511" t="s">
        <v>546</v>
      </c>
      <c r="G5511" s="174">
        <v>45576.460914351854</v>
      </c>
    </row>
    <row r="5512" spans="1:7">
      <c r="A5512">
        <v>5568</v>
      </c>
      <c r="B5512" t="s">
        <v>6996</v>
      </c>
      <c r="C5512" t="s">
        <v>3120</v>
      </c>
      <c r="E5512">
        <v>0.01</v>
      </c>
      <c r="F5512" t="s">
        <v>546</v>
      </c>
      <c r="G5512" s="174">
        <v>45576.460914351854</v>
      </c>
    </row>
    <row r="5513" spans="1:7">
      <c r="A5513">
        <v>5569</v>
      </c>
      <c r="B5513" t="s">
        <v>6997</v>
      </c>
      <c r="C5513" t="s">
        <v>4544</v>
      </c>
      <c r="E5513">
        <v>0.01</v>
      </c>
      <c r="F5513" t="s">
        <v>546</v>
      </c>
      <c r="G5513" s="174">
        <v>45576.460914351854</v>
      </c>
    </row>
    <row r="5514" spans="1:7">
      <c r="A5514">
        <v>5570</v>
      </c>
      <c r="B5514" t="s">
        <v>2243</v>
      </c>
      <c r="C5514" t="s">
        <v>6595</v>
      </c>
      <c r="E5514">
        <v>0.01</v>
      </c>
      <c r="F5514" t="s">
        <v>546</v>
      </c>
      <c r="G5514" s="174">
        <v>45576.460914351854</v>
      </c>
    </row>
    <row r="5515" spans="1:7">
      <c r="A5515">
        <v>5571</v>
      </c>
      <c r="B5515" t="s">
        <v>6998</v>
      </c>
      <c r="C5515" t="s">
        <v>5740</v>
      </c>
      <c r="E5515">
        <v>0.01</v>
      </c>
      <c r="F5515" t="s">
        <v>546</v>
      </c>
      <c r="G5515" s="174">
        <v>45576.460914351854</v>
      </c>
    </row>
    <row r="5516" spans="1:7">
      <c r="A5516">
        <v>5572</v>
      </c>
      <c r="B5516" t="s">
        <v>6999</v>
      </c>
      <c r="C5516" t="s">
        <v>4904</v>
      </c>
      <c r="E5516">
        <v>0.01</v>
      </c>
      <c r="F5516" t="s">
        <v>546</v>
      </c>
      <c r="G5516" s="174">
        <v>45576.460914351854</v>
      </c>
    </row>
    <row r="5517" spans="1:7">
      <c r="A5517">
        <v>5573</v>
      </c>
      <c r="B5517" t="s">
        <v>6999</v>
      </c>
      <c r="C5517" t="s">
        <v>4905</v>
      </c>
      <c r="E5517">
        <v>0.01</v>
      </c>
      <c r="F5517" t="s">
        <v>546</v>
      </c>
      <c r="G5517" s="174">
        <v>45576.460914351854</v>
      </c>
    </row>
    <row r="5518" spans="1:7">
      <c r="A5518">
        <v>5574</v>
      </c>
      <c r="B5518" t="s">
        <v>7000</v>
      </c>
      <c r="C5518" t="s">
        <v>6521</v>
      </c>
      <c r="E5518">
        <v>0.01</v>
      </c>
      <c r="F5518" t="s">
        <v>546</v>
      </c>
      <c r="G5518" s="174">
        <v>45576.460914351854</v>
      </c>
    </row>
    <row r="5519" spans="1:7">
      <c r="A5519">
        <v>5575</v>
      </c>
      <c r="B5519" t="s">
        <v>7001</v>
      </c>
      <c r="C5519" t="s">
        <v>3069</v>
      </c>
      <c r="E5519">
        <v>0.01</v>
      </c>
      <c r="F5519" t="s">
        <v>546</v>
      </c>
      <c r="G5519" s="174">
        <v>45576.460914351854</v>
      </c>
    </row>
    <row r="5520" spans="1:7">
      <c r="A5520">
        <v>5576</v>
      </c>
      <c r="B5520" t="s">
        <v>7002</v>
      </c>
      <c r="C5520" t="s">
        <v>5601</v>
      </c>
      <c r="E5520">
        <v>0.01</v>
      </c>
      <c r="F5520" t="s">
        <v>546</v>
      </c>
      <c r="G5520" s="174">
        <v>45576.460914351854</v>
      </c>
    </row>
    <row r="5521" spans="1:7">
      <c r="A5521">
        <v>5577</v>
      </c>
      <c r="B5521" t="s">
        <v>7003</v>
      </c>
      <c r="C5521" t="s">
        <v>6139</v>
      </c>
      <c r="E5521">
        <v>0.01</v>
      </c>
      <c r="F5521" t="s">
        <v>546</v>
      </c>
      <c r="G5521" s="174">
        <v>45576.460914351854</v>
      </c>
    </row>
    <row r="5522" spans="1:7">
      <c r="A5522">
        <v>5578</v>
      </c>
      <c r="B5522" t="s">
        <v>7004</v>
      </c>
      <c r="C5522" t="s">
        <v>5123</v>
      </c>
      <c r="E5522">
        <v>0.01</v>
      </c>
      <c r="F5522" t="s">
        <v>546</v>
      </c>
      <c r="G5522" s="174">
        <v>45576.460914351854</v>
      </c>
    </row>
    <row r="5523" spans="1:7">
      <c r="A5523">
        <v>5579</v>
      </c>
      <c r="B5523" t="s">
        <v>7005</v>
      </c>
      <c r="C5523" t="s">
        <v>2948</v>
      </c>
      <c r="E5523">
        <v>0.01</v>
      </c>
      <c r="F5523" t="s">
        <v>546</v>
      </c>
      <c r="G5523" s="174">
        <v>45576.460914351854</v>
      </c>
    </row>
    <row r="5524" spans="1:7">
      <c r="A5524">
        <v>5580</v>
      </c>
      <c r="B5524" t="s">
        <v>2247</v>
      </c>
      <c r="C5524" t="s">
        <v>7006</v>
      </c>
      <c r="E5524">
        <v>0.01</v>
      </c>
      <c r="F5524" t="s">
        <v>546</v>
      </c>
      <c r="G5524" s="174">
        <v>45576.460914351854</v>
      </c>
    </row>
    <row r="5525" spans="1:7">
      <c r="A5525">
        <v>5581</v>
      </c>
      <c r="B5525" t="s">
        <v>7007</v>
      </c>
      <c r="C5525" t="s">
        <v>4005</v>
      </c>
      <c r="E5525">
        <v>0.01</v>
      </c>
      <c r="F5525" t="s">
        <v>546</v>
      </c>
      <c r="G5525" s="174">
        <v>45576.460914351854</v>
      </c>
    </row>
    <row r="5526" spans="1:7">
      <c r="A5526">
        <v>5582</v>
      </c>
      <c r="B5526" t="s">
        <v>7007</v>
      </c>
      <c r="C5526" t="s">
        <v>3023</v>
      </c>
      <c r="E5526">
        <v>0.01</v>
      </c>
      <c r="F5526" t="s">
        <v>546</v>
      </c>
      <c r="G5526" s="174">
        <v>45576.460914351854</v>
      </c>
    </row>
    <row r="5527" spans="1:7">
      <c r="A5527">
        <v>5583</v>
      </c>
      <c r="B5527" t="s">
        <v>7008</v>
      </c>
      <c r="C5527" t="s">
        <v>4650</v>
      </c>
      <c r="E5527">
        <v>0.01</v>
      </c>
      <c r="F5527" t="s">
        <v>546</v>
      </c>
      <c r="G5527" s="174">
        <v>45576.460914351854</v>
      </c>
    </row>
    <row r="5528" spans="1:7">
      <c r="A5528">
        <v>5584</v>
      </c>
      <c r="B5528" t="s">
        <v>7009</v>
      </c>
      <c r="C5528" t="s">
        <v>7010</v>
      </c>
      <c r="E5528">
        <v>0.01</v>
      </c>
      <c r="F5528" t="s">
        <v>546</v>
      </c>
      <c r="G5528" s="174">
        <v>45576.460914351854</v>
      </c>
    </row>
    <row r="5529" spans="1:7">
      <c r="A5529">
        <v>5585</v>
      </c>
      <c r="B5529" t="s">
        <v>7011</v>
      </c>
      <c r="C5529" t="s">
        <v>4725</v>
      </c>
      <c r="E5529">
        <v>0.01</v>
      </c>
      <c r="F5529" t="s">
        <v>546</v>
      </c>
      <c r="G5529" s="174">
        <v>45576.460914351854</v>
      </c>
    </row>
    <row r="5530" spans="1:7">
      <c r="A5530">
        <v>5586</v>
      </c>
      <c r="B5530" t="s">
        <v>7012</v>
      </c>
      <c r="C5530" t="s">
        <v>5123</v>
      </c>
      <c r="E5530">
        <v>0.01</v>
      </c>
      <c r="F5530" t="s">
        <v>546</v>
      </c>
      <c r="G5530" s="174">
        <v>45576.460914351854</v>
      </c>
    </row>
    <row r="5531" spans="1:7">
      <c r="A5531">
        <v>5587</v>
      </c>
      <c r="B5531" t="s">
        <v>7013</v>
      </c>
      <c r="C5531" t="s">
        <v>4534</v>
      </c>
      <c r="E5531">
        <v>0.01</v>
      </c>
      <c r="F5531" t="s">
        <v>546</v>
      </c>
      <c r="G5531" s="174">
        <v>45576.460914351854</v>
      </c>
    </row>
    <row r="5532" spans="1:7">
      <c r="A5532">
        <v>5588</v>
      </c>
      <c r="B5532" t="s">
        <v>7014</v>
      </c>
      <c r="C5532" t="s">
        <v>4295</v>
      </c>
      <c r="E5532">
        <v>0.01</v>
      </c>
      <c r="F5532" t="s">
        <v>546</v>
      </c>
      <c r="G5532" s="174">
        <v>45576.460914351854</v>
      </c>
    </row>
    <row r="5533" spans="1:7">
      <c r="A5533">
        <v>5589</v>
      </c>
      <c r="B5533" t="s">
        <v>7015</v>
      </c>
      <c r="C5533" t="s">
        <v>7016</v>
      </c>
      <c r="E5533">
        <v>0.01</v>
      </c>
      <c r="F5533" t="s">
        <v>546</v>
      </c>
      <c r="G5533" s="174">
        <v>45576.460914351854</v>
      </c>
    </row>
    <row r="5534" spans="1:7">
      <c r="A5534">
        <v>5590</v>
      </c>
      <c r="B5534" t="s">
        <v>7017</v>
      </c>
      <c r="C5534" t="s">
        <v>3850</v>
      </c>
      <c r="E5534">
        <v>0.1</v>
      </c>
      <c r="F5534" t="s">
        <v>546</v>
      </c>
      <c r="G5534" s="174">
        <v>45576.460914351854</v>
      </c>
    </row>
    <row r="5535" spans="1:7">
      <c r="A5535">
        <v>5591</v>
      </c>
      <c r="B5535" t="s">
        <v>7017</v>
      </c>
      <c r="C5535" t="s">
        <v>6481</v>
      </c>
      <c r="E5535">
        <v>0.01</v>
      </c>
      <c r="F5535" t="s">
        <v>546</v>
      </c>
      <c r="G5535" s="174">
        <v>45576.460914351854</v>
      </c>
    </row>
    <row r="5536" spans="1:7">
      <c r="A5536">
        <v>5592</v>
      </c>
      <c r="B5536" t="s">
        <v>7017</v>
      </c>
      <c r="C5536" t="s">
        <v>2784</v>
      </c>
      <c r="E5536">
        <v>0.01</v>
      </c>
      <c r="F5536">
        <v>10</v>
      </c>
      <c r="G5536" s="174">
        <v>45576.460914351854</v>
      </c>
    </row>
    <row r="5537" spans="1:7">
      <c r="A5537">
        <v>5593</v>
      </c>
      <c r="B5537" t="s">
        <v>7017</v>
      </c>
      <c r="C5537" t="s">
        <v>5547</v>
      </c>
      <c r="E5537">
        <v>0.05</v>
      </c>
      <c r="F5537" t="s">
        <v>546</v>
      </c>
      <c r="G5537" s="174">
        <v>45576.460914351854</v>
      </c>
    </row>
    <row r="5538" spans="1:7">
      <c r="A5538">
        <v>5594</v>
      </c>
      <c r="B5538" t="s">
        <v>7017</v>
      </c>
      <c r="C5538" t="s">
        <v>5303</v>
      </c>
      <c r="E5538">
        <v>0.01</v>
      </c>
      <c r="F5538" t="s">
        <v>546</v>
      </c>
      <c r="G5538" s="174">
        <v>45576.460914351854</v>
      </c>
    </row>
    <row r="5539" spans="1:7">
      <c r="A5539">
        <v>5595</v>
      </c>
      <c r="B5539" t="s">
        <v>7017</v>
      </c>
      <c r="C5539" t="s">
        <v>4348</v>
      </c>
      <c r="E5539">
        <v>0.01</v>
      </c>
      <c r="F5539" t="s">
        <v>546</v>
      </c>
      <c r="G5539" s="174">
        <v>45576.460914351854</v>
      </c>
    </row>
    <row r="5540" spans="1:7">
      <c r="A5540">
        <v>5596</v>
      </c>
      <c r="B5540" t="s">
        <v>7018</v>
      </c>
      <c r="C5540" t="s">
        <v>7019</v>
      </c>
      <c r="E5540">
        <v>0.01</v>
      </c>
      <c r="F5540" t="s">
        <v>546</v>
      </c>
      <c r="G5540" s="174">
        <v>45576.460914351854</v>
      </c>
    </row>
    <row r="5541" spans="1:7">
      <c r="A5541">
        <v>5597</v>
      </c>
      <c r="B5541" t="s">
        <v>7018</v>
      </c>
      <c r="C5541" t="s">
        <v>6616</v>
      </c>
      <c r="E5541">
        <v>0.1</v>
      </c>
      <c r="F5541" t="s">
        <v>546</v>
      </c>
      <c r="G5541" s="174">
        <v>45576.460914351854</v>
      </c>
    </row>
    <row r="5542" spans="1:7">
      <c r="A5542">
        <v>5598</v>
      </c>
      <c r="B5542" t="s">
        <v>7020</v>
      </c>
      <c r="C5542" t="s">
        <v>4733</v>
      </c>
      <c r="E5542">
        <v>0.01</v>
      </c>
      <c r="F5542" t="s">
        <v>546</v>
      </c>
      <c r="G5542" s="174">
        <v>45576.460914351854</v>
      </c>
    </row>
    <row r="5543" spans="1:7">
      <c r="A5543">
        <v>5599</v>
      </c>
      <c r="B5543" t="s">
        <v>7021</v>
      </c>
      <c r="C5543" t="s">
        <v>6315</v>
      </c>
      <c r="E5543">
        <v>0.01</v>
      </c>
      <c r="F5543" t="s">
        <v>546</v>
      </c>
      <c r="G5543" s="174">
        <v>45576.460914351854</v>
      </c>
    </row>
    <row r="5544" spans="1:7">
      <c r="A5544">
        <v>5600</v>
      </c>
      <c r="B5544" t="s">
        <v>7022</v>
      </c>
      <c r="C5544" t="s">
        <v>5693</v>
      </c>
      <c r="E5544">
        <v>0.01</v>
      </c>
      <c r="F5544" t="s">
        <v>546</v>
      </c>
      <c r="G5544" s="174">
        <v>45576.460914351854</v>
      </c>
    </row>
    <row r="5545" spans="1:7">
      <c r="A5545">
        <v>5601</v>
      </c>
      <c r="B5545" t="s">
        <v>2255</v>
      </c>
      <c r="C5545" t="s">
        <v>7023</v>
      </c>
      <c r="E5545">
        <v>0.8</v>
      </c>
      <c r="F5545" t="s">
        <v>546</v>
      </c>
      <c r="G5545" s="174">
        <v>45576.460914351854</v>
      </c>
    </row>
    <row r="5546" spans="1:7">
      <c r="A5546">
        <v>5602</v>
      </c>
      <c r="B5546" t="s">
        <v>7024</v>
      </c>
      <c r="C5546" t="s">
        <v>7025</v>
      </c>
      <c r="E5546">
        <v>0.01</v>
      </c>
      <c r="F5546" t="s">
        <v>546</v>
      </c>
      <c r="G5546" s="174">
        <v>45576.460914351854</v>
      </c>
    </row>
    <row r="5547" spans="1:7">
      <c r="A5547">
        <v>5603</v>
      </c>
      <c r="B5547" t="s">
        <v>7024</v>
      </c>
      <c r="C5547" t="s">
        <v>3144</v>
      </c>
      <c r="E5547">
        <v>0.7</v>
      </c>
      <c r="F5547" t="s">
        <v>7026</v>
      </c>
      <c r="G5547" s="174">
        <v>45576.460914351854</v>
      </c>
    </row>
    <row r="5548" spans="1:7">
      <c r="A5548">
        <v>5604</v>
      </c>
      <c r="B5548" t="s">
        <v>7024</v>
      </c>
      <c r="C5548" t="s">
        <v>7027</v>
      </c>
      <c r="E5548">
        <v>0.01</v>
      </c>
      <c r="G5548" s="174">
        <v>45576.460914351854</v>
      </c>
    </row>
    <row r="5549" spans="1:7">
      <c r="A5549">
        <v>5605</v>
      </c>
      <c r="B5549" t="s">
        <v>7028</v>
      </c>
      <c r="C5549" t="s">
        <v>4280</v>
      </c>
      <c r="E5549">
        <v>0.1</v>
      </c>
      <c r="F5549" t="s">
        <v>546</v>
      </c>
      <c r="G5549" s="174">
        <v>45576.460914351854</v>
      </c>
    </row>
    <row r="5550" spans="1:7">
      <c r="A5550">
        <v>5606</v>
      </c>
      <c r="B5550" t="s">
        <v>7029</v>
      </c>
      <c r="C5550" t="s">
        <v>6499</v>
      </c>
      <c r="E5550">
        <v>0.1</v>
      </c>
      <c r="F5550" t="s">
        <v>546</v>
      </c>
      <c r="G5550" s="174">
        <v>45576.460914351854</v>
      </c>
    </row>
    <row r="5551" spans="1:7">
      <c r="A5551">
        <v>5607</v>
      </c>
      <c r="B5551" t="s">
        <v>7030</v>
      </c>
      <c r="C5551" t="s">
        <v>1065</v>
      </c>
      <c r="E5551">
        <v>0.01</v>
      </c>
      <c r="F5551" t="s">
        <v>546</v>
      </c>
      <c r="G5551" s="174">
        <v>45576.460914351854</v>
      </c>
    </row>
    <row r="5552" spans="1:7">
      <c r="A5552">
        <v>5608</v>
      </c>
      <c r="B5552" t="s">
        <v>2256</v>
      </c>
      <c r="C5552" t="s">
        <v>4873</v>
      </c>
      <c r="E5552">
        <v>0.01</v>
      </c>
      <c r="F5552" t="s">
        <v>546</v>
      </c>
      <c r="G5552" s="174">
        <v>45576.460914351854</v>
      </c>
    </row>
    <row r="5553" spans="1:7">
      <c r="A5553">
        <v>5609</v>
      </c>
      <c r="B5553" t="s">
        <v>7031</v>
      </c>
      <c r="C5553" t="s">
        <v>2824</v>
      </c>
      <c r="E5553">
        <v>0.1</v>
      </c>
      <c r="F5553" t="s">
        <v>546</v>
      </c>
      <c r="G5553" s="174">
        <v>45576.460914351854</v>
      </c>
    </row>
    <row r="5554" spans="1:7">
      <c r="A5554">
        <v>5610</v>
      </c>
      <c r="B5554" t="s">
        <v>7032</v>
      </c>
      <c r="C5554" t="s">
        <v>7033</v>
      </c>
      <c r="E5554">
        <v>0.01</v>
      </c>
      <c r="F5554" t="s">
        <v>546</v>
      </c>
      <c r="G5554" s="174">
        <v>45576.460914351854</v>
      </c>
    </row>
    <row r="5555" spans="1:7">
      <c r="A5555">
        <v>5612</v>
      </c>
      <c r="B5555" t="s">
        <v>7034</v>
      </c>
      <c r="C5555" t="s">
        <v>3083</v>
      </c>
      <c r="E5555">
        <v>0.01</v>
      </c>
      <c r="F5555" t="s">
        <v>546</v>
      </c>
      <c r="G5555" s="174">
        <v>45576.460914351854</v>
      </c>
    </row>
    <row r="5556" spans="1:7">
      <c r="A5556">
        <v>5613</v>
      </c>
      <c r="B5556" t="s">
        <v>7035</v>
      </c>
      <c r="C5556" t="s">
        <v>6142</v>
      </c>
      <c r="E5556">
        <v>0.01</v>
      </c>
      <c r="F5556" t="s">
        <v>546</v>
      </c>
      <c r="G5556" s="174">
        <v>45576.460914351854</v>
      </c>
    </row>
    <row r="5557" spans="1:7">
      <c r="A5557">
        <v>5614</v>
      </c>
      <c r="B5557" t="s">
        <v>7035</v>
      </c>
      <c r="C5557" t="s">
        <v>7036</v>
      </c>
      <c r="E5557">
        <v>0.01</v>
      </c>
      <c r="F5557" t="s">
        <v>546</v>
      </c>
      <c r="G5557" s="174">
        <v>45576.460914351854</v>
      </c>
    </row>
    <row r="5558" spans="1:7">
      <c r="A5558">
        <v>5615</v>
      </c>
      <c r="B5558" t="s">
        <v>7037</v>
      </c>
      <c r="C5558" t="s">
        <v>5215</v>
      </c>
      <c r="E5558">
        <v>0.01</v>
      </c>
      <c r="F5558" t="s">
        <v>546</v>
      </c>
      <c r="G5558" s="174">
        <v>45576.460914351854</v>
      </c>
    </row>
    <row r="5559" spans="1:7">
      <c r="A5559">
        <v>5616</v>
      </c>
      <c r="B5559" t="s">
        <v>7037</v>
      </c>
      <c r="C5559" t="s">
        <v>7038</v>
      </c>
      <c r="E5559">
        <v>0.1</v>
      </c>
      <c r="F5559" t="s">
        <v>546</v>
      </c>
      <c r="G5559" s="174">
        <v>45576.460914351854</v>
      </c>
    </row>
    <row r="5560" spans="1:7">
      <c r="A5560">
        <v>5617</v>
      </c>
      <c r="B5560" t="s">
        <v>7039</v>
      </c>
      <c r="C5560" t="s">
        <v>3159</v>
      </c>
      <c r="E5560">
        <v>0.01</v>
      </c>
      <c r="F5560" t="s">
        <v>546</v>
      </c>
      <c r="G5560" s="174">
        <v>45576.460914351854</v>
      </c>
    </row>
    <row r="5561" spans="1:7">
      <c r="A5561">
        <v>5618</v>
      </c>
      <c r="B5561" t="s">
        <v>7040</v>
      </c>
      <c r="C5561" t="s">
        <v>7041</v>
      </c>
      <c r="E5561">
        <v>0.01</v>
      </c>
      <c r="F5561" t="s">
        <v>546</v>
      </c>
      <c r="G5561" s="174">
        <v>45576.460914351854</v>
      </c>
    </row>
    <row r="5562" spans="1:7">
      <c r="A5562">
        <v>5619</v>
      </c>
      <c r="B5562" t="s">
        <v>7042</v>
      </c>
      <c r="C5562" t="s">
        <v>5081</v>
      </c>
      <c r="E5562">
        <v>0.01</v>
      </c>
      <c r="F5562" t="s">
        <v>546</v>
      </c>
      <c r="G5562" s="174">
        <v>45576.460914351854</v>
      </c>
    </row>
    <row r="5563" spans="1:7">
      <c r="A5563">
        <v>5620</v>
      </c>
      <c r="B5563" t="s">
        <v>7043</v>
      </c>
      <c r="C5563" t="s">
        <v>3029</v>
      </c>
      <c r="E5563">
        <v>0.01</v>
      </c>
      <c r="F5563" t="s">
        <v>546</v>
      </c>
      <c r="G5563" s="174">
        <v>45576.460914351854</v>
      </c>
    </row>
    <row r="5564" spans="1:7">
      <c r="A5564">
        <v>5621</v>
      </c>
      <c r="B5564" t="s">
        <v>7044</v>
      </c>
      <c r="C5564" t="s">
        <v>3507</v>
      </c>
      <c r="E5564">
        <v>0.01</v>
      </c>
      <c r="F5564" t="s">
        <v>546</v>
      </c>
      <c r="G5564" s="174">
        <v>45576.460914351854</v>
      </c>
    </row>
    <row r="5565" spans="1:7">
      <c r="A5565">
        <v>5622</v>
      </c>
      <c r="B5565" t="s">
        <v>7045</v>
      </c>
      <c r="C5565" t="s">
        <v>3781</v>
      </c>
      <c r="E5565">
        <v>0.01</v>
      </c>
      <c r="F5565" t="s">
        <v>546</v>
      </c>
      <c r="G5565" s="174">
        <v>45576.460914351854</v>
      </c>
    </row>
    <row r="5566" spans="1:7">
      <c r="A5566">
        <v>5623</v>
      </c>
      <c r="B5566" t="s">
        <v>7046</v>
      </c>
      <c r="C5566" t="s">
        <v>4736</v>
      </c>
      <c r="E5566">
        <v>0.01</v>
      </c>
      <c r="F5566" t="s">
        <v>546</v>
      </c>
      <c r="G5566" s="174">
        <v>45576.460914351854</v>
      </c>
    </row>
    <row r="5567" spans="1:7">
      <c r="A5567">
        <v>5624</v>
      </c>
      <c r="B5567" t="s">
        <v>7047</v>
      </c>
      <c r="C5567" t="s">
        <v>5081</v>
      </c>
      <c r="E5567">
        <v>0.01</v>
      </c>
      <c r="F5567" t="s">
        <v>546</v>
      </c>
      <c r="G5567" s="174">
        <v>45576.460914351854</v>
      </c>
    </row>
    <row r="5568" spans="1:7">
      <c r="A5568">
        <v>5625</v>
      </c>
      <c r="B5568" t="s">
        <v>7048</v>
      </c>
      <c r="C5568" t="s">
        <v>7049</v>
      </c>
      <c r="E5568">
        <v>0.01</v>
      </c>
      <c r="F5568" t="s">
        <v>546</v>
      </c>
      <c r="G5568" s="174">
        <v>45576.460914351854</v>
      </c>
    </row>
    <row r="5569" spans="1:7">
      <c r="A5569">
        <v>5626</v>
      </c>
      <c r="B5569" t="s">
        <v>7050</v>
      </c>
      <c r="C5569" t="s">
        <v>4465</v>
      </c>
      <c r="E5569">
        <v>0.01</v>
      </c>
      <c r="F5569" t="s">
        <v>546</v>
      </c>
      <c r="G5569" s="174">
        <v>45576.460914351854</v>
      </c>
    </row>
    <row r="5570" spans="1:7">
      <c r="A5570">
        <v>5627</v>
      </c>
      <c r="B5570" t="s">
        <v>7051</v>
      </c>
      <c r="C5570" t="s">
        <v>4709</v>
      </c>
      <c r="E5570">
        <v>0.01</v>
      </c>
      <c r="F5570" t="s">
        <v>546</v>
      </c>
      <c r="G5570" s="174">
        <v>45576.460914351854</v>
      </c>
    </row>
    <row r="5571" spans="1:7">
      <c r="A5571">
        <v>5628</v>
      </c>
      <c r="B5571" t="s">
        <v>2259</v>
      </c>
      <c r="C5571" t="s">
        <v>3129</v>
      </c>
      <c r="E5571">
        <v>0.01</v>
      </c>
      <c r="F5571" t="s">
        <v>546</v>
      </c>
      <c r="G5571" s="174">
        <v>45576.460914351854</v>
      </c>
    </row>
    <row r="5572" spans="1:7">
      <c r="A5572">
        <v>5629</v>
      </c>
      <c r="B5572" t="s">
        <v>7052</v>
      </c>
      <c r="C5572" t="s">
        <v>7053</v>
      </c>
      <c r="E5572">
        <v>0.01</v>
      </c>
      <c r="F5572" t="s">
        <v>546</v>
      </c>
      <c r="G5572" s="174">
        <v>45576.460914351854</v>
      </c>
    </row>
    <row r="5573" spans="1:7">
      <c r="A5573">
        <v>5630</v>
      </c>
      <c r="B5573" t="s">
        <v>7054</v>
      </c>
      <c r="C5573" t="s">
        <v>7055</v>
      </c>
      <c r="E5573">
        <v>0.1</v>
      </c>
      <c r="F5573" t="s">
        <v>546</v>
      </c>
      <c r="G5573" s="174">
        <v>45576.460914351854</v>
      </c>
    </row>
    <row r="5574" spans="1:7">
      <c r="A5574">
        <v>5631</v>
      </c>
      <c r="B5574" t="s">
        <v>7054</v>
      </c>
      <c r="C5574" t="s">
        <v>7056</v>
      </c>
      <c r="E5574">
        <v>10</v>
      </c>
      <c r="F5574" t="s">
        <v>546</v>
      </c>
      <c r="G5574" s="174">
        <v>45576.460914351854</v>
      </c>
    </row>
    <row r="5575" spans="1:7">
      <c r="A5575">
        <v>5632</v>
      </c>
      <c r="B5575" t="s">
        <v>7057</v>
      </c>
      <c r="C5575" t="s">
        <v>3858</v>
      </c>
      <c r="E5575">
        <v>0.01</v>
      </c>
      <c r="F5575" t="s">
        <v>546</v>
      </c>
      <c r="G5575" s="174">
        <v>45576.460914351854</v>
      </c>
    </row>
    <row r="5576" spans="1:7">
      <c r="A5576">
        <v>5633</v>
      </c>
      <c r="B5576" t="s">
        <v>7058</v>
      </c>
      <c r="C5576" t="s">
        <v>3310</v>
      </c>
      <c r="E5576">
        <v>0.01</v>
      </c>
      <c r="F5576" t="s">
        <v>546</v>
      </c>
      <c r="G5576" s="174">
        <v>45576.460914351854</v>
      </c>
    </row>
    <row r="5577" spans="1:7">
      <c r="A5577">
        <v>5634</v>
      </c>
      <c r="B5577" t="s">
        <v>7059</v>
      </c>
      <c r="C5577" t="s">
        <v>5337</v>
      </c>
      <c r="E5577">
        <v>0.01</v>
      </c>
      <c r="F5577" t="s">
        <v>546</v>
      </c>
      <c r="G5577" s="174">
        <v>45576.460914351854</v>
      </c>
    </row>
    <row r="5578" spans="1:7">
      <c r="A5578">
        <v>5635</v>
      </c>
      <c r="B5578" t="s">
        <v>7060</v>
      </c>
      <c r="C5578" t="s">
        <v>3802</v>
      </c>
      <c r="E5578">
        <v>0.1</v>
      </c>
      <c r="F5578" t="s">
        <v>546</v>
      </c>
      <c r="G5578" s="174">
        <v>45576.460914351854</v>
      </c>
    </row>
    <row r="5579" spans="1:7">
      <c r="A5579">
        <v>5636</v>
      </c>
      <c r="B5579" t="s">
        <v>2263</v>
      </c>
      <c r="C5579" t="s">
        <v>3095</v>
      </c>
      <c r="E5579">
        <v>0.01</v>
      </c>
      <c r="F5579" t="s">
        <v>2264</v>
      </c>
      <c r="G5579" s="174">
        <v>45576.460914351854</v>
      </c>
    </row>
    <row r="5580" spans="1:7">
      <c r="A5580">
        <v>5637</v>
      </c>
      <c r="B5580" t="s">
        <v>2263</v>
      </c>
      <c r="C5580" t="s">
        <v>2875</v>
      </c>
      <c r="E5580">
        <v>0.01</v>
      </c>
      <c r="F5580" t="s">
        <v>7061</v>
      </c>
      <c r="G5580" s="174">
        <v>45576.460914351854</v>
      </c>
    </row>
    <row r="5581" spans="1:7">
      <c r="A5581">
        <v>5638</v>
      </c>
      <c r="B5581" t="s">
        <v>2263</v>
      </c>
      <c r="C5581" t="s">
        <v>3848</v>
      </c>
      <c r="E5581">
        <v>0.8</v>
      </c>
      <c r="F5581" t="s">
        <v>7062</v>
      </c>
      <c r="G5581" s="174">
        <v>45576.460914351854</v>
      </c>
    </row>
    <row r="5582" spans="1:7">
      <c r="A5582">
        <v>5639</v>
      </c>
      <c r="B5582" t="s">
        <v>7063</v>
      </c>
      <c r="C5582" t="s">
        <v>3530</v>
      </c>
      <c r="E5582">
        <v>0.01</v>
      </c>
      <c r="F5582" t="s">
        <v>546</v>
      </c>
      <c r="G5582" s="174">
        <v>45576.460914351854</v>
      </c>
    </row>
    <row r="5583" spans="1:7">
      <c r="A5583">
        <v>5640</v>
      </c>
      <c r="B5583" t="s">
        <v>7064</v>
      </c>
      <c r="C5583" t="s">
        <v>3333</v>
      </c>
      <c r="E5583">
        <v>0.01</v>
      </c>
      <c r="F5583" t="s">
        <v>546</v>
      </c>
      <c r="G5583" s="174">
        <v>45576.460914351854</v>
      </c>
    </row>
    <row r="5584" spans="1:7">
      <c r="A5584">
        <v>5641</v>
      </c>
      <c r="B5584" t="s">
        <v>7065</v>
      </c>
      <c r="C5584" t="s">
        <v>6529</v>
      </c>
      <c r="E5584">
        <v>0.01</v>
      </c>
      <c r="F5584" t="s">
        <v>546</v>
      </c>
      <c r="G5584" s="174">
        <v>45576.460914351854</v>
      </c>
    </row>
    <row r="5585" spans="1:7">
      <c r="A5585">
        <v>5642</v>
      </c>
      <c r="B5585" t="s">
        <v>7066</v>
      </c>
      <c r="C5585" t="s">
        <v>7067</v>
      </c>
      <c r="E5585">
        <v>0.1</v>
      </c>
      <c r="F5585" t="s">
        <v>546</v>
      </c>
      <c r="G5585" s="174">
        <v>45576.460914351854</v>
      </c>
    </row>
    <row r="5586" spans="1:7">
      <c r="A5586">
        <v>5643</v>
      </c>
      <c r="B5586" t="s">
        <v>7066</v>
      </c>
      <c r="C5586" t="s">
        <v>7068</v>
      </c>
      <c r="E5586">
        <v>0.1</v>
      </c>
      <c r="F5586" t="s">
        <v>546</v>
      </c>
      <c r="G5586" s="174">
        <v>45576.460914351854</v>
      </c>
    </row>
    <row r="5587" spans="1:7">
      <c r="A5587">
        <v>5644</v>
      </c>
      <c r="B5587" t="s">
        <v>7066</v>
      </c>
      <c r="C5587" t="s">
        <v>7069</v>
      </c>
      <c r="E5587">
        <v>0.1</v>
      </c>
      <c r="F5587" t="s">
        <v>546</v>
      </c>
      <c r="G5587" s="174">
        <v>45576.460914351854</v>
      </c>
    </row>
    <row r="5588" spans="1:7">
      <c r="A5588">
        <v>5645</v>
      </c>
      <c r="B5588" t="s">
        <v>7070</v>
      </c>
      <c r="C5588" t="s">
        <v>2817</v>
      </c>
      <c r="E5588">
        <v>0.01</v>
      </c>
      <c r="F5588" t="s">
        <v>546</v>
      </c>
      <c r="G5588" s="174">
        <v>45576.460914351854</v>
      </c>
    </row>
    <row r="5589" spans="1:7">
      <c r="A5589">
        <v>5646</v>
      </c>
      <c r="B5589" t="s">
        <v>7071</v>
      </c>
      <c r="C5589" t="s">
        <v>3980</v>
      </c>
      <c r="E5589">
        <v>0.01</v>
      </c>
      <c r="F5589" t="s">
        <v>546</v>
      </c>
      <c r="G5589" s="174">
        <v>45576.460914351854</v>
      </c>
    </row>
    <row r="5590" spans="1:7">
      <c r="A5590">
        <v>5647</v>
      </c>
      <c r="B5590" t="s">
        <v>7072</v>
      </c>
      <c r="C5590" t="s">
        <v>4856</v>
      </c>
      <c r="E5590">
        <v>0.01</v>
      </c>
      <c r="F5590" t="s">
        <v>546</v>
      </c>
      <c r="G5590" s="174">
        <v>45576.460914351854</v>
      </c>
    </row>
    <row r="5591" spans="1:7">
      <c r="A5591">
        <v>5648</v>
      </c>
      <c r="B5591" t="s">
        <v>7072</v>
      </c>
      <c r="C5591" t="s">
        <v>3980</v>
      </c>
      <c r="E5591">
        <v>0.01</v>
      </c>
      <c r="F5591" t="s">
        <v>546</v>
      </c>
      <c r="G5591" s="174">
        <v>45576.460914351854</v>
      </c>
    </row>
    <row r="5592" spans="1:7">
      <c r="A5592">
        <v>5649</v>
      </c>
      <c r="B5592" t="s">
        <v>7073</v>
      </c>
      <c r="C5592" t="s">
        <v>6840</v>
      </c>
      <c r="E5592">
        <v>0.01</v>
      </c>
      <c r="F5592" t="s">
        <v>546</v>
      </c>
      <c r="G5592" s="174">
        <v>45576.460914351854</v>
      </c>
    </row>
    <row r="5593" spans="1:7">
      <c r="A5593">
        <v>5650</v>
      </c>
      <c r="B5593" t="s">
        <v>7074</v>
      </c>
      <c r="C5593" t="s">
        <v>3353</v>
      </c>
      <c r="E5593">
        <v>0.01</v>
      </c>
      <c r="F5593" t="s">
        <v>546</v>
      </c>
      <c r="G5593" s="174">
        <v>45576.460914351854</v>
      </c>
    </row>
    <row r="5594" spans="1:7">
      <c r="A5594">
        <v>5651</v>
      </c>
      <c r="B5594" t="s">
        <v>7075</v>
      </c>
      <c r="C5594" t="s">
        <v>7076</v>
      </c>
      <c r="E5594">
        <v>0.1</v>
      </c>
      <c r="F5594" t="s">
        <v>546</v>
      </c>
      <c r="G5594" s="174">
        <v>45576.460914351854</v>
      </c>
    </row>
    <row r="5595" spans="1:7">
      <c r="A5595">
        <v>5652</v>
      </c>
      <c r="B5595" t="s">
        <v>7077</v>
      </c>
      <c r="C5595" t="s">
        <v>5351</v>
      </c>
      <c r="E5595">
        <v>0.01</v>
      </c>
      <c r="F5595" t="s">
        <v>546</v>
      </c>
      <c r="G5595" s="174">
        <v>45576.460914351854</v>
      </c>
    </row>
    <row r="5596" spans="1:7">
      <c r="A5596">
        <v>5653</v>
      </c>
      <c r="B5596" t="s">
        <v>7078</v>
      </c>
      <c r="C5596" t="s">
        <v>6633</v>
      </c>
      <c r="E5596">
        <v>0.01</v>
      </c>
      <c r="F5596" t="s">
        <v>546</v>
      </c>
      <c r="G5596" s="174">
        <v>45576.460914351854</v>
      </c>
    </row>
    <row r="5597" spans="1:7">
      <c r="A5597">
        <v>5654</v>
      </c>
      <c r="B5597" t="s">
        <v>7079</v>
      </c>
      <c r="C5597" t="s">
        <v>4309</v>
      </c>
      <c r="E5597">
        <v>0.01</v>
      </c>
      <c r="F5597" t="s">
        <v>546</v>
      </c>
      <c r="G5597" s="174">
        <v>45576.460914351854</v>
      </c>
    </row>
    <row r="5598" spans="1:7">
      <c r="A5598">
        <v>5655</v>
      </c>
      <c r="B5598" t="s">
        <v>7080</v>
      </c>
      <c r="C5598" t="s">
        <v>3548</v>
      </c>
      <c r="E5598">
        <v>0.01</v>
      </c>
      <c r="F5598" t="s">
        <v>546</v>
      </c>
      <c r="G5598" s="174">
        <v>45576.460914351854</v>
      </c>
    </row>
    <row r="5599" spans="1:7">
      <c r="A5599">
        <v>5656</v>
      </c>
      <c r="B5599" t="s">
        <v>7081</v>
      </c>
      <c r="C5599" t="s">
        <v>2976</v>
      </c>
      <c r="E5599">
        <v>0.01</v>
      </c>
      <c r="F5599" t="s">
        <v>546</v>
      </c>
      <c r="G5599" s="174">
        <v>45576.460914351854</v>
      </c>
    </row>
    <row r="5600" spans="1:7">
      <c r="A5600">
        <v>5657</v>
      </c>
      <c r="B5600" t="s">
        <v>7082</v>
      </c>
      <c r="C5600" t="s">
        <v>5140</v>
      </c>
      <c r="E5600">
        <v>0.01</v>
      </c>
      <c r="F5600" t="s">
        <v>546</v>
      </c>
      <c r="G5600" s="174">
        <v>45576.460914351854</v>
      </c>
    </row>
    <row r="5601" spans="1:7">
      <c r="A5601">
        <v>5659</v>
      </c>
      <c r="B5601" t="s">
        <v>7082</v>
      </c>
      <c r="C5601" t="s">
        <v>7083</v>
      </c>
      <c r="E5601">
        <v>0.01</v>
      </c>
      <c r="F5601" t="s">
        <v>546</v>
      </c>
      <c r="G5601" s="174">
        <v>45576.460914351854</v>
      </c>
    </row>
    <row r="5602" spans="1:7">
      <c r="A5602">
        <v>5661</v>
      </c>
      <c r="B5602" t="s">
        <v>7084</v>
      </c>
      <c r="C5602" t="s">
        <v>7085</v>
      </c>
      <c r="E5602">
        <v>0.01</v>
      </c>
      <c r="F5602" t="s">
        <v>546</v>
      </c>
      <c r="G5602" s="174">
        <v>45576.460914351854</v>
      </c>
    </row>
    <row r="5603" spans="1:7">
      <c r="A5603">
        <v>5662</v>
      </c>
      <c r="B5603" t="s">
        <v>7086</v>
      </c>
      <c r="C5603" t="s">
        <v>7087</v>
      </c>
      <c r="E5603">
        <v>0.01</v>
      </c>
      <c r="F5603" t="s">
        <v>546</v>
      </c>
      <c r="G5603" s="174">
        <v>45576.460914351854</v>
      </c>
    </row>
    <row r="5604" spans="1:7">
      <c r="A5604">
        <v>5663</v>
      </c>
      <c r="B5604" t="s">
        <v>2270</v>
      </c>
      <c r="C5604" t="s">
        <v>2981</v>
      </c>
      <c r="E5604">
        <v>0.01</v>
      </c>
      <c r="F5604" t="s">
        <v>546</v>
      </c>
      <c r="G5604" s="174">
        <v>45576.460914351854</v>
      </c>
    </row>
    <row r="5605" spans="1:7">
      <c r="A5605">
        <v>5664</v>
      </c>
      <c r="B5605" t="s">
        <v>2271</v>
      </c>
      <c r="C5605" t="s">
        <v>4557</v>
      </c>
      <c r="E5605">
        <v>0.01</v>
      </c>
      <c r="F5605" t="s">
        <v>546</v>
      </c>
      <c r="G5605" s="174">
        <v>45576.460914351854</v>
      </c>
    </row>
    <row r="5606" spans="1:7">
      <c r="A5606">
        <v>5665</v>
      </c>
      <c r="B5606" t="s">
        <v>2272</v>
      </c>
      <c r="C5606" t="s">
        <v>3638</v>
      </c>
      <c r="E5606">
        <v>0.01</v>
      </c>
      <c r="F5606" t="s">
        <v>546</v>
      </c>
      <c r="G5606" s="174">
        <v>45576.460914351854</v>
      </c>
    </row>
    <row r="5607" spans="1:7">
      <c r="A5607">
        <v>5666</v>
      </c>
      <c r="B5607" t="s">
        <v>7088</v>
      </c>
      <c r="C5607" t="s">
        <v>4870</v>
      </c>
      <c r="E5607">
        <v>0.1</v>
      </c>
      <c r="F5607" t="s">
        <v>546</v>
      </c>
      <c r="G5607" s="174">
        <v>45576.460914351854</v>
      </c>
    </row>
    <row r="5608" spans="1:7">
      <c r="A5608">
        <v>5667</v>
      </c>
      <c r="B5608" t="s">
        <v>7089</v>
      </c>
      <c r="C5608" t="s">
        <v>5408</v>
      </c>
      <c r="E5608">
        <v>0.01</v>
      </c>
      <c r="F5608" t="s">
        <v>546</v>
      </c>
      <c r="G5608" s="174">
        <v>45576.460914351854</v>
      </c>
    </row>
    <row r="5609" spans="1:7">
      <c r="A5609">
        <v>5668</v>
      </c>
      <c r="B5609" t="s">
        <v>7090</v>
      </c>
      <c r="C5609" t="s">
        <v>5035</v>
      </c>
      <c r="E5609">
        <v>0.05</v>
      </c>
      <c r="F5609" t="s">
        <v>546</v>
      </c>
      <c r="G5609" s="174">
        <v>45576.460914351854</v>
      </c>
    </row>
    <row r="5610" spans="1:7">
      <c r="A5610">
        <v>5669</v>
      </c>
      <c r="B5610" t="s">
        <v>7090</v>
      </c>
      <c r="C5610" t="s">
        <v>6616</v>
      </c>
      <c r="E5610">
        <v>0.1</v>
      </c>
      <c r="F5610" t="s">
        <v>546</v>
      </c>
      <c r="G5610" s="174">
        <v>45576.460914351854</v>
      </c>
    </row>
    <row r="5611" spans="1:7">
      <c r="A5611">
        <v>5670</v>
      </c>
      <c r="B5611" t="s">
        <v>7090</v>
      </c>
      <c r="C5611" t="s">
        <v>4017</v>
      </c>
      <c r="E5611">
        <v>0.1</v>
      </c>
      <c r="F5611" t="s">
        <v>546</v>
      </c>
      <c r="G5611" s="174">
        <v>45576.460914351854</v>
      </c>
    </row>
    <row r="5612" spans="1:7">
      <c r="A5612">
        <v>5671</v>
      </c>
      <c r="B5612" t="s">
        <v>2274</v>
      </c>
      <c r="C5612" t="s">
        <v>7091</v>
      </c>
      <c r="E5612">
        <v>0.01</v>
      </c>
      <c r="F5612" t="s">
        <v>546</v>
      </c>
      <c r="G5612" s="174">
        <v>45576.460914351854</v>
      </c>
    </row>
    <row r="5613" spans="1:7">
      <c r="A5613">
        <v>5672</v>
      </c>
      <c r="B5613" t="s">
        <v>2275</v>
      </c>
      <c r="C5613" t="s">
        <v>3323</v>
      </c>
      <c r="E5613">
        <v>0.01</v>
      </c>
      <c r="F5613" t="s">
        <v>546</v>
      </c>
      <c r="G5613" s="174">
        <v>45576.460914351854</v>
      </c>
    </row>
    <row r="5614" spans="1:7">
      <c r="A5614">
        <v>5673</v>
      </c>
      <c r="B5614" t="s">
        <v>7092</v>
      </c>
      <c r="C5614" t="s">
        <v>4916</v>
      </c>
      <c r="E5614">
        <v>0.1</v>
      </c>
      <c r="F5614" t="s">
        <v>546</v>
      </c>
      <c r="G5614" s="174">
        <v>45576.460914351854</v>
      </c>
    </row>
    <row r="5615" spans="1:7">
      <c r="A5615">
        <v>5674</v>
      </c>
      <c r="B5615" t="s">
        <v>7092</v>
      </c>
      <c r="C5615" t="s">
        <v>5055</v>
      </c>
      <c r="E5615">
        <v>0.01</v>
      </c>
      <c r="F5615" t="s">
        <v>546</v>
      </c>
      <c r="G5615" s="174">
        <v>45576.460914351854</v>
      </c>
    </row>
    <row r="5616" spans="1:7">
      <c r="A5616">
        <v>5675</v>
      </c>
      <c r="B5616" t="s">
        <v>7092</v>
      </c>
      <c r="C5616" t="s">
        <v>3212</v>
      </c>
      <c r="E5616">
        <v>0.6</v>
      </c>
      <c r="F5616" t="s">
        <v>546</v>
      </c>
      <c r="G5616" s="174">
        <v>45576.460914351854</v>
      </c>
    </row>
    <row r="5617" spans="1:7">
      <c r="A5617">
        <v>5677</v>
      </c>
      <c r="B5617" t="s">
        <v>7093</v>
      </c>
      <c r="C5617" t="s">
        <v>7094</v>
      </c>
      <c r="E5617">
        <v>0.01</v>
      </c>
      <c r="F5617" t="s">
        <v>546</v>
      </c>
      <c r="G5617" s="174">
        <v>45576.460914351854</v>
      </c>
    </row>
    <row r="5618" spans="1:7">
      <c r="A5618">
        <v>5678</v>
      </c>
      <c r="B5618" t="s">
        <v>7095</v>
      </c>
      <c r="C5618" t="s">
        <v>4222</v>
      </c>
      <c r="E5618">
        <v>0.1</v>
      </c>
      <c r="F5618" t="s">
        <v>546</v>
      </c>
      <c r="G5618" s="174">
        <v>45576.460914351854</v>
      </c>
    </row>
    <row r="5619" spans="1:7">
      <c r="A5619">
        <v>5679</v>
      </c>
      <c r="B5619" t="s">
        <v>7096</v>
      </c>
      <c r="C5619" t="s">
        <v>3481</v>
      </c>
      <c r="E5619">
        <v>0.01</v>
      </c>
      <c r="F5619" t="s">
        <v>546</v>
      </c>
      <c r="G5619" s="174">
        <v>45576.460914351854</v>
      </c>
    </row>
    <row r="5620" spans="1:7">
      <c r="A5620">
        <v>5680</v>
      </c>
      <c r="B5620" t="s">
        <v>7096</v>
      </c>
      <c r="C5620" t="s">
        <v>1065</v>
      </c>
      <c r="E5620">
        <v>1</v>
      </c>
      <c r="F5620" t="s">
        <v>7097</v>
      </c>
      <c r="G5620" s="174">
        <v>45576.460914351854</v>
      </c>
    </row>
    <row r="5621" spans="1:7">
      <c r="A5621">
        <v>5681</v>
      </c>
      <c r="B5621" t="s">
        <v>7096</v>
      </c>
      <c r="C5621" t="s">
        <v>2948</v>
      </c>
      <c r="E5621">
        <v>0.6</v>
      </c>
      <c r="F5621" t="s">
        <v>7098</v>
      </c>
      <c r="G5621" s="174">
        <v>45576.460914351854</v>
      </c>
    </row>
    <row r="5622" spans="1:7">
      <c r="A5622">
        <v>5682</v>
      </c>
      <c r="B5622" t="s">
        <v>7099</v>
      </c>
      <c r="C5622" t="s">
        <v>7100</v>
      </c>
      <c r="E5622">
        <v>0.01</v>
      </c>
      <c r="F5622" t="s">
        <v>546</v>
      </c>
      <c r="G5622" s="174">
        <v>45576.460914351854</v>
      </c>
    </row>
    <row r="5623" spans="1:7">
      <c r="A5623">
        <v>5683</v>
      </c>
      <c r="B5623" t="s">
        <v>7099</v>
      </c>
      <c r="C5623" t="s">
        <v>4160</v>
      </c>
      <c r="E5623">
        <v>0.01</v>
      </c>
      <c r="F5623" t="s">
        <v>546</v>
      </c>
      <c r="G5623" s="174">
        <v>45576.460914351854</v>
      </c>
    </row>
    <row r="5624" spans="1:7">
      <c r="A5624">
        <v>5684</v>
      </c>
      <c r="B5624" t="s">
        <v>7101</v>
      </c>
      <c r="C5624" t="s">
        <v>4684</v>
      </c>
      <c r="E5624">
        <v>0.01</v>
      </c>
      <c r="F5624" t="s">
        <v>546</v>
      </c>
      <c r="G5624" s="174">
        <v>45576.460914351854</v>
      </c>
    </row>
    <row r="5625" spans="1:7">
      <c r="A5625">
        <v>5685</v>
      </c>
      <c r="B5625" t="s">
        <v>7101</v>
      </c>
      <c r="C5625" t="s">
        <v>5765</v>
      </c>
      <c r="E5625">
        <v>0.01</v>
      </c>
      <c r="F5625" t="s">
        <v>546</v>
      </c>
      <c r="G5625" s="174">
        <v>45576.460914351854</v>
      </c>
    </row>
    <row r="5626" spans="1:7">
      <c r="A5626">
        <v>5686</v>
      </c>
      <c r="B5626" t="s">
        <v>2278</v>
      </c>
      <c r="C5626" t="s">
        <v>3078</v>
      </c>
      <c r="E5626">
        <v>0.01</v>
      </c>
      <c r="F5626" t="s">
        <v>546</v>
      </c>
      <c r="G5626" s="174">
        <v>45576.460914351854</v>
      </c>
    </row>
    <row r="5627" spans="1:7">
      <c r="A5627">
        <v>5687</v>
      </c>
      <c r="B5627" t="s">
        <v>7102</v>
      </c>
      <c r="C5627" t="s">
        <v>4135</v>
      </c>
      <c r="E5627">
        <v>0.01</v>
      </c>
      <c r="F5627" t="s">
        <v>546</v>
      </c>
      <c r="G5627" s="174">
        <v>45576.460914351854</v>
      </c>
    </row>
    <row r="5628" spans="1:7">
      <c r="A5628">
        <v>5688</v>
      </c>
      <c r="B5628" t="s">
        <v>7103</v>
      </c>
      <c r="C5628" t="s">
        <v>3083</v>
      </c>
      <c r="E5628">
        <v>0.01</v>
      </c>
      <c r="F5628" t="s">
        <v>546</v>
      </c>
      <c r="G5628" s="174">
        <v>45576.460914351854</v>
      </c>
    </row>
    <row r="5629" spans="1:7">
      <c r="A5629">
        <v>5689</v>
      </c>
      <c r="B5629" t="s">
        <v>7104</v>
      </c>
      <c r="C5629" t="s">
        <v>4153</v>
      </c>
      <c r="E5629">
        <v>0.01</v>
      </c>
      <c r="F5629" t="s">
        <v>546</v>
      </c>
      <c r="G5629" s="174">
        <v>45576.460914351854</v>
      </c>
    </row>
    <row r="5630" spans="1:7">
      <c r="A5630">
        <v>5690</v>
      </c>
      <c r="B5630" t="s">
        <v>7105</v>
      </c>
      <c r="C5630" t="s">
        <v>3447</v>
      </c>
      <c r="E5630">
        <v>0.01</v>
      </c>
      <c r="F5630" t="s">
        <v>546</v>
      </c>
      <c r="G5630" s="174">
        <v>45576.460914351854</v>
      </c>
    </row>
    <row r="5631" spans="1:7">
      <c r="A5631">
        <v>5691</v>
      </c>
      <c r="B5631" t="s">
        <v>7106</v>
      </c>
      <c r="C5631" t="s">
        <v>3132</v>
      </c>
      <c r="E5631">
        <v>0.01</v>
      </c>
      <c r="F5631" t="s">
        <v>546</v>
      </c>
      <c r="G5631" s="174">
        <v>45576.460914351854</v>
      </c>
    </row>
    <row r="5632" spans="1:7">
      <c r="A5632">
        <v>5692</v>
      </c>
      <c r="B5632" t="s">
        <v>7107</v>
      </c>
      <c r="C5632" t="s">
        <v>5620</v>
      </c>
      <c r="E5632">
        <v>0.01</v>
      </c>
      <c r="F5632" t="s">
        <v>546</v>
      </c>
      <c r="G5632" s="174">
        <v>45576.460914351854</v>
      </c>
    </row>
    <row r="5633" spans="1:7">
      <c r="A5633">
        <v>5693</v>
      </c>
      <c r="B5633" t="s">
        <v>7108</v>
      </c>
      <c r="C5633" t="s">
        <v>7109</v>
      </c>
      <c r="E5633">
        <v>0.01</v>
      </c>
      <c r="F5633" t="s">
        <v>546</v>
      </c>
      <c r="G5633" s="174">
        <v>45576.460914351854</v>
      </c>
    </row>
    <row r="5634" spans="1:7">
      <c r="A5634">
        <v>5694</v>
      </c>
      <c r="B5634" t="s">
        <v>7108</v>
      </c>
      <c r="C5634" t="s">
        <v>5856</v>
      </c>
      <c r="E5634">
        <v>0.01</v>
      </c>
      <c r="F5634" t="s">
        <v>546</v>
      </c>
      <c r="G5634" s="174">
        <v>45576.460914351854</v>
      </c>
    </row>
    <row r="5635" spans="1:7">
      <c r="A5635">
        <v>5695</v>
      </c>
      <c r="B5635" t="s">
        <v>7110</v>
      </c>
      <c r="C5635" t="s">
        <v>4295</v>
      </c>
      <c r="E5635">
        <v>0.01</v>
      </c>
      <c r="F5635" t="s">
        <v>546</v>
      </c>
      <c r="G5635" s="174">
        <v>45576.460914351854</v>
      </c>
    </row>
    <row r="5636" spans="1:7">
      <c r="A5636">
        <v>5696</v>
      </c>
      <c r="B5636" t="s">
        <v>7111</v>
      </c>
      <c r="C5636" t="s">
        <v>7085</v>
      </c>
      <c r="E5636">
        <v>0.01</v>
      </c>
      <c r="F5636" t="s">
        <v>546</v>
      </c>
      <c r="G5636" s="174">
        <v>45576.460914351854</v>
      </c>
    </row>
    <row r="5637" spans="1:7">
      <c r="A5637">
        <v>5697</v>
      </c>
      <c r="B5637" t="s">
        <v>7111</v>
      </c>
      <c r="C5637" t="s">
        <v>2945</v>
      </c>
      <c r="E5637">
        <v>0.01</v>
      </c>
      <c r="F5637" t="s">
        <v>546</v>
      </c>
      <c r="G5637" s="174">
        <v>45576.460914351854</v>
      </c>
    </row>
    <row r="5638" spans="1:7">
      <c r="A5638">
        <v>5698</v>
      </c>
      <c r="B5638" t="s">
        <v>7112</v>
      </c>
      <c r="C5638" t="s">
        <v>3310</v>
      </c>
      <c r="E5638">
        <v>0.01</v>
      </c>
      <c r="F5638" t="s">
        <v>546</v>
      </c>
      <c r="G5638" s="174">
        <v>45576.460914351854</v>
      </c>
    </row>
    <row r="5639" spans="1:7">
      <c r="A5639">
        <v>5699</v>
      </c>
      <c r="B5639" t="s">
        <v>7113</v>
      </c>
      <c r="C5639" t="s">
        <v>5383</v>
      </c>
      <c r="E5639">
        <v>0.01</v>
      </c>
      <c r="F5639" t="s">
        <v>546</v>
      </c>
      <c r="G5639" s="174">
        <v>45576.460914351854</v>
      </c>
    </row>
    <row r="5640" spans="1:7">
      <c r="A5640">
        <v>5700</v>
      </c>
      <c r="B5640" t="s">
        <v>7114</v>
      </c>
      <c r="C5640" t="s">
        <v>5102</v>
      </c>
      <c r="E5640">
        <v>0.01</v>
      </c>
      <c r="F5640" t="s">
        <v>546</v>
      </c>
      <c r="G5640" s="174">
        <v>45576.460914351854</v>
      </c>
    </row>
    <row r="5641" spans="1:7">
      <c r="A5641">
        <v>5701</v>
      </c>
      <c r="B5641" t="s">
        <v>7114</v>
      </c>
      <c r="C5641" t="s">
        <v>3844</v>
      </c>
      <c r="E5641">
        <v>0.01</v>
      </c>
      <c r="F5641" t="s">
        <v>546</v>
      </c>
      <c r="G5641" s="174">
        <v>45576.460914351854</v>
      </c>
    </row>
    <row r="5642" spans="1:7">
      <c r="A5642">
        <v>5702</v>
      </c>
      <c r="B5642" t="s">
        <v>7115</v>
      </c>
      <c r="C5642" t="s">
        <v>4339</v>
      </c>
      <c r="E5642">
        <v>0.01</v>
      </c>
      <c r="F5642" t="s">
        <v>546</v>
      </c>
      <c r="G5642" s="174">
        <v>45576.460914351854</v>
      </c>
    </row>
    <row r="5643" spans="1:7">
      <c r="A5643">
        <v>5703</v>
      </c>
      <c r="B5643" t="s">
        <v>7116</v>
      </c>
      <c r="C5643" t="s">
        <v>3594</v>
      </c>
      <c r="E5643">
        <v>0.01</v>
      </c>
      <c r="F5643" t="s">
        <v>546</v>
      </c>
      <c r="G5643" s="174">
        <v>45576.460914351854</v>
      </c>
    </row>
    <row r="5644" spans="1:7">
      <c r="A5644">
        <v>5704</v>
      </c>
      <c r="B5644" t="s">
        <v>7117</v>
      </c>
      <c r="C5644" t="s">
        <v>3308</v>
      </c>
      <c r="E5644">
        <v>0.01</v>
      </c>
      <c r="F5644" t="s">
        <v>546</v>
      </c>
      <c r="G5644" s="174">
        <v>45576.460914351854</v>
      </c>
    </row>
    <row r="5645" spans="1:7">
      <c r="A5645">
        <v>5705</v>
      </c>
      <c r="B5645" t="s">
        <v>7118</v>
      </c>
      <c r="C5645" t="s">
        <v>3779</v>
      </c>
      <c r="E5645">
        <v>0.01</v>
      </c>
      <c r="F5645" t="s">
        <v>546</v>
      </c>
      <c r="G5645" s="174">
        <v>45576.460914351854</v>
      </c>
    </row>
    <row r="5646" spans="1:7">
      <c r="A5646">
        <v>5706</v>
      </c>
      <c r="B5646" t="s">
        <v>7119</v>
      </c>
      <c r="C5646" t="s">
        <v>6627</v>
      </c>
      <c r="E5646">
        <v>0.01</v>
      </c>
      <c r="F5646" t="s">
        <v>546</v>
      </c>
      <c r="G5646" s="174">
        <v>45576.460914351854</v>
      </c>
    </row>
    <row r="5647" spans="1:7">
      <c r="A5647">
        <v>5707</v>
      </c>
      <c r="B5647" t="s">
        <v>7120</v>
      </c>
      <c r="C5647" t="s">
        <v>4458</v>
      </c>
      <c r="E5647">
        <v>0.01</v>
      </c>
      <c r="F5647" t="s">
        <v>546</v>
      </c>
      <c r="G5647" s="174">
        <v>45576.460914351854</v>
      </c>
    </row>
    <row r="5648" spans="1:7">
      <c r="A5648">
        <v>5708</v>
      </c>
      <c r="B5648" t="s">
        <v>2294</v>
      </c>
      <c r="C5648" t="s">
        <v>4244</v>
      </c>
      <c r="E5648">
        <v>0.01</v>
      </c>
      <c r="F5648" t="s">
        <v>546</v>
      </c>
      <c r="G5648" s="174">
        <v>45576.460914351854</v>
      </c>
    </row>
    <row r="5649" spans="1:7">
      <c r="A5649">
        <v>5709</v>
      </c>
      <c r="B5649" t="s">
        <v>7121</v>
      </c>
      <c r="C5649" t="s">
        <v>5584</v>
      </c>
      <c r="E5649">
        <v>0.01</v>
      </c>
      <c r="F5649" t="s">
        <v>546</v>
      </c>
      <c r="G5649" s="174">
        <v>45576.460914351854</v>
      </c>
    </row>
    <row r="5650" spans="1:7">
      <c r="A5650">
        <v>5710</v>
      </c>
      <c r="B5650" t="s">
        <v>7122</v>
      </c>
      <c r="C5650" t="s">
        <v>2911</v>
      </c>
      <c r="E5650">
        <v>0.01</v>
      </c>
      <c r="F5650" t="s">
        <v>546</v>
      </c>
      <c r="G5650" s="174">
        <v>45576.460914351854</v>
      </c>
    </row>
    <row r="5651" spans="1:7">
      <c r="A5651">
        <v>5711</v>
      </c>
      <c r="B5651" t="s">
        <v>7123</v>
      </c>
      <c r="C5651" t="s">
        <v>6633</v>
      </c>
      <c r="E5651">
        <v>0.01</v>
      </c>
      <c r="F5651" t="s">
        <v>546</v>
      </c>
      <c r="G5651" s="174">
        <v>45576.460914351854</v>
      </c>
    </row>
    <row r="5652" spans="1:7">
      <c r="A5652">
        <v>5712</v>
      </c>
      <c r="B5652" t="s">
        <v>7124</v>
      </c>
      <c r="C5652" t="s">
        <v>7125</v>
      </c>
      <c r="E5652">
        <v>0.01</v>
      </c>
      <c r="F5652" t="s">
        <v>546</v>
      </c>
      <c r="G5652" s="174">
        <v>45576.460914351854</v>
      </c>
    </row>
    <row r="5653" spans="1:7">
      <c r="A5653">
        <v>5713</v>
      </c>
      <c r="B5653" t="s">
        <v>7124</v>
      </c>
      <c r="C5653" t="s">
        <v>7126</v>
      </c>
      <c r="E5653">
        <v>0.01</v>
      </c>
      <c r="F5653" t="s">
        <v>546</v>
      </c>
      <c r="G5653" s="174">
        <v>45576.460914351854</v>
      </c>
    </row>
    <row r="5654" spans="1:7">
      <c r="A5654">
        <v>5714</v>
      </c>
      <c r="B5654" t="s">
        <v>7127</v>
      </c>
      <c r="C5654" t="s">
        <v>3058</v>
      </c>
      <c r="E5654">
        <v>0.1</v>
      </c>
      <c r="F5654" t="s">
        <v>546</v>
      </c>
      <c r="G5654" s="174">
        <v>45576.460914351854</v>
      </c>
    </row>
    <row r="5655" spans="1:7">
      <c r="A5655">
        <v>5715</v>
      </c>
      <c r="B5655" t="s">
        <v>7128</v>
      </c>
      <c r="C5655" t="s">
        <v>5733</v>
      </c>
      <c r="E5655">
        <v>0.01</v>
      </c>
      <c r="F5655" t="s">
        <v>546</v>
      </c>
      <c r="G5655" s="174">
        <v>45576.460914351854</v>
      </c>
    </row>
    <row r="5656" spans="1:7">
      <c r="A5656">
        <v>5716</v>
      </c>
      <c r="B5656" t="s">
        <v>7129</v>
      </c>
      <c r="C5656" t="s">
        <v>4309</v>
      </c>
      <c r="E5656">
        <v>0.01</v>
      </c>
      <c r="F5656" t="s">
        <v>546</v>
      </c>
      <c r="G5656" s="174">
        <v>45576.460914351854</v>
      </c>
    </row>
    <row r="5657" spans="1:7">
      <c r="A5657">
        <v>5717</v>
      </c>
      <c r="B5657" t="s">
        <v>7130</v>
      </c>
      <c r="C5657" t="s">
        <v>5588</v>
      </c>
      <c r="E5657">
        <v>0.01</v>
      </c>
      <c r="F5657" t="s">
        <v>546</v>
      </c>
      <c r="G5657" s="174">
        <v>45576.460914351854</v>
      </c>
    </row>
    <row r="5658" spans="1:7">
      <c r="A5658">
        <v>5718</v>
      </c>
      <c r="B5658" t="s">
        <v>7131</v>
      </c>
      <c r="C5658" t="s">
        <v>2955</v>
      </c>
      <c r="E5658">
        <v>0.01</v>
      </c>
      <c r="F5658" t="s">
        <v>546</v>
      </c>
      <c r="G5658" s="174">
        <v>45576.460914351854</v>
      </c>
    </row>
    <row r="5659" spans="1:7">
      <c r="A5659">
        <v>5719</v>
      </c>
      <c r="B5659" t="s">
        <v>7132</v>
      </c>
      <c r="C5659" t="s">
        <v>2814</v>
      </c>
      <c r="E5659">
        <v>0.01</v>
      </c>
      <c r="F5659" t="s">
        <v>546</v>
      </c>
      <c r="G5659" s="174">
        <v>45576.460914351854</v>
      </c>
    </row>
    <row r="5660" spans="1:7">
      <c r="A5660">
        <v>5720</v>
      </c>
      <c r="B5660" t="s">
        <v>7133</v>
      </c>
      <c r="C5660" t="s">
        <v>4853</v>
      </c>
      <c r="E5660">
        <v>0.01</v>
      </c>
      <c r="F5660" t="s">
        <v>546</v>
      </c>
      <c r="G5660" s="174">
        <v>45576.460914351854</v>
      </c>
    </row>
    <row r="5661" spans="1:7">
      <c r="A5661">
        <v>5721</v>
      </c>
      <c r="B5661" t="s">
        <v>7134</v>
      </c>
      <c r="C5661" t="s">
        <v>3390</v>
      </c>
      <c r="E5661">
        <v>0.01</v>
      </c>
      <c r="F5661" t="s">
        <v>546</v>
      </c>
      <c r="G5661" s="174">
        <v>45576.460914351854</v>
      </c>
    </row>
    <row r="5662" spans="1:7">
      <c r="A5662">
        <v>5722</v>
      </c>
      <c r="B5662" t="s">
        <v>7135</v>
      </c>
      <c r="C5662" t="s">
        <v>7136</v>
      </c>
      <c r="E5662">
        <v>0.01</v>
      </c>
      <c r="F5662" t="s">
        <v>546</v>
      </c>
      <c r="G5662" s="174">
        <v>45576.460914351854</v>
      </c>
    </row>
    <row r="5663" spans="1:7">
      <c r="A5663">
        <v>5723</v>
      </c>
      <c r="B5663" t="s">
        <v>2300</v>
      </c>
      <c r="C5663" t="s">
        <v>6849</v>
      </c>
      <c r="E5663">
        <v>0.01</v>
      </c>
      <c r="F5663" t="s">
        <v>546</v>
      </c>
      <c r="G5663" s="174">
        <v>45576.460914351854</v>
      </c>
    </row>
    <row r="5664" spans="1:7">
      <c r="A5664">
        <v>5724</v>
      </c>
      <c r="B5664" t="s">
        <v>7137</v>
      </c>
      <c r="C5664" t="s">
        <v>4015</v>
      </c>
      <c r="E5664">
        <v>0.01</v>
      </c>
      <c r="F5664" t="s">
        <v>546</v>
      </c>
      <c r="G5664" s="174">
        <v>45576.460914351854</v>
      </c>
    </row>
    <row r="5665" spans="1:7">
      <c r="A5665">
        <v>5725</v>
      </c>
      <c r="B5665" t="s">
        <v>7138</v>
      </c>
      <c r="C5665" t="s">
        <v>2325</v>
      </c>
      <c r="E5665">
        <v>0.01</v>
      </c>
      <c r="F5665" t="s">
        <v>546</v>
      </c>
      <c r="G5665" s="174">
        <v>45576.460914351854</v>
      </c>
    </row>
    <row r="5666" spans="1:7">
      <c r="A5666">
        <v>5726</v>
      </c>
      <c r="B5666" t="s">
        <v>2302</v>
      </c>
      <c r="C5666" t="s">
        <v>7139</v>
      </c>
      <c r="E5666">
        <v>0.01</v>
      </c>
      <c r="F5666" t="s">
        <v>546</v>
      </c>
      <c r="G5666" s="174">
        <v>45576.460914351854</v>
      </c>
    </row>
    <row r="5667" spans="1:7">
      <c r="A5667">
        <v>5727</v>
      </c>
      <c r="B5667" t="s">
        <v>7140</v>
      </c>
      <c r="C5667" t="s">
        <v>2814</v>
      </c>
      <c r="E5667">
        <v>0.01</v>
      </c>
      <c r="F5667" t="s">
        <v>546</v>
      </c>
      <c r="G5667" s="174">
        <v>45576.460914351854</v>
      </c>
    </row>
    <row r="5668" spans="1:7">
      <c r="A5668">
        <v>5728</v>
      </c>
      <c r="B5668" t="s">
        <v>7141</v>
      </c>
      <c r="C5668" t="s">
        <v>5306</v>
      </c>
      <c r="E5668">
        <v>0.1</v>
      </c>
      <c r="F5668" t="s">
        <v>546</v>
      </c>
      <c r="G5668" s="174">
        <v>45576.460914351854</v>
      </c>
    </row>
    <row r="5669" spans="1:7">
      <c r="A5669">
        <v>5729</v>
      </c>
      <c r="B5669" t="s">
        <v>7141</v>
      </c>
      <c r="C5669" t="s">
        <v>4397</v>
      </c>
      <c r="E5669">
        <v>0.1</v>
      </c>
      <c r="F5669" t="s">
        <v>546</v>
      </c>
      <c r="G5669" s="174">
        <v>45576.460914351854</v>
      </c>
    </row>
    <row r="5670" spans="1:7">
      <c r="A5670">
        <v>5730</v>
      </c>
      <c r="B5670" t="s">
        <v>7142</v>
      </c>
      <c r="C5670" t="s">
        <v>4386</v>
      </c>
      <c r="E5670">
        <v>0.1</v>
      </c>
      <c r="F5670" t="s">
        <v>546</v>
      </c>
      <c r="G5670" s="174">
        <v>45576.460914351854</v>
      </c>
    </row>
    <row r="5671" spans="1:7">
      <c r="A5671">
        <v>5731</v>
      </c>
      <c r="B5671" t="s">
        <v>7142</v>
      </c>
      <c r="C5671" t="s">
        <v>3116</v>
      </c>
      <c r="E5671">
        <v>0.01</v>
      </c>
      <c r="F5671" t="s">
        <v>546</v>
      </c>
      <c r="G5671" s="174">
        <v>45576.460914351854</v>
      </c>
    </row>
    <row r="5672" spans="1:7">
      <c r="A5672">
        <v>5732</v>
      </c>
      <c r="B5672" t="s">
        <v>7143</v>
      </c>
      <c r="C5672" t="s">
        <v>4357</v>
      </c>
      <c r="E5672">
        <v>0.01</v>
      </c>
      <c r="F5672" t="s">
        <v>546</v>
      </c>
      <c r="G5672" s="174">
        <v>45576.460914351854</v>
      </c>
    </row>
    <row r="5673" spans="1:7">
      <c r="A5673">
        <v>5733</v>
      </c>
      <c r="B5673" t="s">
        <v>7144</v>
      </c>
      <c r="C5673" t="s">
        <v>7145</v>
      </c>
      <c r="E5673">
        <v>0.01</v>
      </c>
      <c r="F5673" t="s">
        <v>546</v>
      </c>
      <c r="G5673" s="174">
        <v>45576.460914351854</v>
      </c>
    </row>
    <row r="5674" spans="1:7">
      <c r="A5674">
        <v>5734</v>
      </c>
      <c r="B5674" t="s">
        <v>7146</v>
      </c>
      <c r="C5674" t="s">
        <v>2747</v>
      </c>
      <c r="E5674">
        <v>0.01</v>
      </c>
      <c r="F5674" t="s">
        <v>546</v>
      </c>
      <c r="G5674" s="174">
        <v>45576.460914351854</v>
      </c>
    </row>
    <row r="5675" spans="1:7">
      <c r="A5675">
        <v>5735</v>
      </c>
      <c r="B5675" t="s">
        <v>7146</v>
      </c>
      <c r="C5675" t="s">
        <v>2935</v>
      </c>
      <c r="E5675">
        <v>0.1</v>
      </c>
      <c r="F5675" t="s">
        <v>546</v>
      </c>
      <c r="G5675" s="174">
        <v>45576.460914351854</v>
      </c>
    </row>
    <row r="5676" spans="1:7">
      <c r="A5676">
        <v>5736</v>
      </c>
      <c r="B5676" t="s">
        <v>2308</v>
      </c>
      <c r="C5676" t="s">
        <v>6125</v>
      </c>
      <c r="E5676">
        <v>0.01</v>
      </c>
      <c r="F5676" t="s">
        <v>546</v>
      </c>
      <c r="G5676" s="174">
        <v>45576.460914351854</v>
      </c>
    </row>
    <row r="5677" spans="1:7">
      <c r="A5677">
        <v>5737</v>
      </c>
      <c r="B5677" t="s">
        <v>7147</v>
      </c>
      <c r="C5677" t="s">
        <v>6809</v>
      </c>
      <c r="E5677">
        <v>0.01</v>
      </c>
      <c r="F5677" t="s">
        <v>546</v>
      </c>
      <c r="G5677" s="174">
        <v>45576.460914351854</v>
      </c>
    </row>
    <row r="5678" spans="1:7">
      <c r="A5678">
        <v>5738</v>
      </c>
      <c r="B5678" t="s">
        <v>7147</v>
      </c>
      <c r="C5678" t="s">
        <v>3649</v>
      </c>
      <c r="E5678">
        <v>0.01</v>
      </c>
      <c r="F5678" t="s">
        <v>546</v>
      </c>
      <c r="G5678" s="174">
        <v>45576.460914351854</v>
      </c>
    </row>
    <row r="5679" spans="1:7">
      <c r="A5679">
        <v>5739</v>
      </c>
      <c r="B5679" t="s">
        <v>7148</v>
      </c>
      <c r="C5679" t="s">
        <v>6963</v>
      </c>
      <c r="E5679">
        <v>0.1</v>
      </c>
      <c r="F5679" t="s">
        <v>546</v>
      </c>
      <c r="G5679" s="174">
        <v>45576.460914351854</v>
      </c>
    </row>
    <row r="5680" spans="1:7">
      <c r="A5680">
        <v>5740</v>
      </c>
      <c r="B5680" t="s">
        <v>7149</v>
      </c>
      <c r="C5680" t="s">
        <v>3911</v>
      </c>
      <c r="E5680">
        <v>0.01</v>
      </c>
      <c r="F5680" t="s">
        <v>546</v>
      </c>
      <c r="G5680" s="174">
        <v>45576.460914351854</v>
      </c>
    </row>
    <row r="5681" spans="1:7">
      <c r="A5681">
        <v>5741</v>
      </c>
      <c r="B5681" t="s">
        <v>7150</v>
      </c>
      <c r="C5681" t="s">
        <v>3212</v>
      </c>
      <c r="E5681">
        <v>0.1</v>
      </c>
      <c r="F5681" t="s">
        <v>546</v>
      </c>
      <c r="G5681" s="174">
        <v>45576.460914351854</v>
      </c>
    </row>
    <row r="5682" spans="1:7">
      <c r="A5682">
        <v>5742</v>
      </c>
      <c r="B5682" t="s">
        <v>7151</v>
      </c>
      <c r="C5682" t="s">
        <v>5648</v>
      </c>
      <c r="E5682">
        <v>0.01</v>
      </c>
      <c r="F5682" t="s">
        <v>546</v>
      </c>
      <c r="G5682" s="174">
        <v>45576.460914351854</v>
      </c>
    </row>
    <row r="5683" spans="1:7">
      <c r="A5683">
        <v>5743</v>
      </c>
      <c r="B5683" t="s">
        <v>7152</v>
      </c>
      <c r="C5683" t="s">
        <v>3319</v>
      </c>
      <c r="E5683">
        <v>0.1</v>
      </c>
      <c r="F5683" t="s">
        <v>546</v>
      </c>
      <c r="G5683" s="174">
        <v>45576.460914351854</v>
      </c>
    </row>
    <row r="5684" spans="1:7">
      <c r="A5684">
        <v>5744</v>
      </c>
      <c r="B5684" t="s">
        <v>7153</v>
      </c>
      <c r="C5684" t="s">
        <v>4727</v>
      </c>
      <c r="E5684">
        <v>0.1</v>
      </c>
      <c r="F5684" t="s">
        <v>546</v>
      </c>
      <c r="G5684" s="174">
        <v>45576.460914351854</v>
      </c>
    </row>
    <row r="5685" spans="1:7">
      <c r="A5685">
        <v>5745</v>
      </c>
      <c r="B5685" t="s">
        <v>2310</v>
      </c>
      <c r="C5685" t="s">
        <v>2460</v>
      </c>
      <c r="E5685">
        <v>0.01</v>
      </c>
      <c r="F5685" t="s">
        <v>546</v>
      </c>
      <c r="G5685" s="174">
        <v>45576.460914351854</v>
      </c>
    </row>
    <row r="5686" spans="1:7">
      <c r="A5686">
        <v>5746</v>
      </c>
      <c r="B5686" t="s">
        <v>2310</v>
      </c>
      <c r="C5686" t="s">
        <v>4309</v>
      </c>
      <c r="E5686">
        <v>0.01</v>
      </c>
      <c r="F5686" t="s">
        <v>546</v>
      </c>
      <c r="G5686" s="174">
        <v>45576.460914351854</v>
      </c>
    </row>
    <row r="5687" spans="1:7">
      <c r="A5687">
        <v>5747</v>
      </c>
      <c r="B5687" t="s">
        <v>7154</v>
      </c>
      <c r="C5687" t="s">
        <v>5867</v>
      </c>
      <c r="E5687">
        <v>0.01</v>
      </c>
      <c r="F5687" t="s">
        <v>546</v>
      </c>
      <c r="G5687" s="174">
        <v>45576.460914351854</v>
      </c>
    </row>
    <row r="5688" spans="1:7">
      <c r="A5688">
        <v>5748</v>
      </c>
      <c r="B5688" t="s">
        <v>7155</v>
      </c>
      <c r="C5688" t="s">
        <v>7156</v>
      </c>
      <c r="E5688">
        <v>0.01</v>
      </c>
      <c r="F5688" t="s">
        <v>546</v>
      </c>
      <c r="G5688" s="174">
        <v>45576.460914351854</v>
      </c>
    </row>
    <row r="5689" spans="1:7">
      <c r="A5689">
        <v>5749</v>
      </c>
      <c r="B5689" t="s">
        <v>7157</v>
      </c>
      <c r="C5689" t="s">
        <v>4709</v>
      </c>
      <c r="E5689">
        <v>0.01</v>
      </c>
      <c r="F5689" t="s">
        <v>546</v>
      </c>
      <c r="G5689" s="174">
        <v>45576.460914351854</v>
      </c>
    </row>
    <row r="5690" spans="1:7">
      <c r="A5690">
        <v>5750</v>
      </c>
      <c r="B5690" t="s">
        <v>7158</v>
      </c>
      <c r="C5690" t="s">
        <v>2884</v>
      </c>
      <c r="E5690">
        <v>0.1</v>
      </c>
      <c r="F5690" t="s">
        <v>546</v>
      </c>
      <c r="G5690" s="174">
        <v>45576.460914351854</v>
      </c>
    </row>
    <row r="5691" spans="1:7">
      <c r="A5691">
        <v>5751</v>
      </c>
      <c r="B5691" t="s">
        <v>2314</v>
      </c>
      <c r="C5691" t="s">
        <v>2769</v>
      </c>
      <c r="E5691">
        <v>0.01</v>
      </c>
      <c r="F5691" t="s">
        <v>546</v>
      </c>
      <c r="G5691" s="174">
        <v>45576.460914351854</v>
      </c>
    </row>
    <row r="5692" spans="1:7">
      <c r="A5692">
        <v>5752</v>
      </c>
      <c r="B5692" t="s">
        <v>7159</v>
      </c>
      <c r="C5692" t="s">
        <v>5484</v>
      </c>
      <c r="E5692">
        <v>0.01</v>
      </c>
      <c r="F5692" t="s">
        <v>546</v>
      </c>
      <c r="G5692" s="174">
        <v>45576.460914351854</v>
      </c>
    </row>
    <row r="5693" spans="1:7">
      <c r="A5693">
        <v>5753</v>
      </c>
      <c r="B5693" t="s">
        <v>7159</v>
      </c>
      <c r="C5693" t="s">
        <v>5485</v>
      </c>
      <c r="E5693">
        <v>0.01</v>
      </c>
      <c r="F5693" t="s">
        <v>546</v>
      </c>
      <c r="G5693" s="174">
        <v>45576.460914351854</v>
      </c>
    </row>
    <row r="5694" spans="1:7">
      <c r="A5694">
        <v>5754</v>
      </c>
      <c r="B5694" t="s">
        <v>7160</v>
      </c>
      <c r="C5694" t="s">
        <v>2824</v>
      </c>
      <c r="E5694">
        <v>0.8</v>
      </c>
      <c r="F5694" t="s">
        <v>546</v>
      </c>
      <c r="G5694" s="174">
        <v>45576.460914351854</v>
      </c>
    </row>
    <row r="5695" spans="1:7">
      <c r="A5695">
        <v>5755</v>
      </c>
      <c r="B5695" t="s">
        <v>7160</v>
      </c>
      <c r="C5695" t="s">
        <v>7161</v>
      </c>
      <c r="E5695">
        <v>0.6</v>
      </c>
      <c r="F5695" t="s">
        <v>546</v>
      </c>
      <c r="G5695" s="174">
        <v>45576.460914351854</v>
      </c>
    </row>
    <row r="5696" spans="1:7">
      <c r="A5696">
        <v>5756</v>
      </c>
      <c r="B5696" t="s">
        <v>7162</v>
      </c>
      <c r="C5696" t="s">
        <v>5957</v>
      </c>
      <c r="E5696">
        <v>0.01</v>
      </c>
      <c r="F5696" t="s">
        <v>546</v>
      </c>
      <c r="G5696" s="174">
        <v>45576.460914351854</v>
      </c>
    </row>
    <row r="5697" spans="1:7">
      <c r="A5697">
        <v>5757</v>
      </c>
      <c r="B5697" t="s">
        <v>7163</v>
      </c>
      <c r="C5697" t="s">
        <v>5693</v>
      </c>
      <c r="E5697">
        <v>0.01</v>
      </c>
      <c r="F5697" t="s">
        <v>546</v>
      </c>
      <c r="G5697" s="174">
        <v>45576.460914351854</v>
      </c>
    </row>
    <row r="5698" spans="1:7">
      <c r="A5698">
        <v>5758</v>
      </c>
      <c r="B5698" t="s">
        <v>2323</v>
      </c>
      <c r="C5698" t="s">
        <v>4627</v>
      </c>
      <c r="E5698">
        <v>0.01</v>
      </c>
      <c r="F5698" t="s">
        <v>546</v>
      </c>
      <c r="G5698" s="174">
        <v>45576.460914351854</v>
      </c>
    </row>
    <row r="5699" spans="1:7">
      <c r="A5699">
        <v>5759</v>
      </c>
      <c r="B5699" t="s">
        <v>7164</v>
      </c>
      <c r="C5699" t="s">
        <v>7165</v>
      </c>
      <c r="E5699">
        <v>0.01</v>
      </c>
      <c r="F5699" t="s">
        <v>546</v>
      </c>
      <c r="G5699" s="174">
        <v>45576.460914351854</v>
      </c>
    </row>
    <row r="5700" spans="1:7">
      <c r="A5700">
        <v>5760</v>
      </c>
      <c r="B5700" t="s">
        <v>2324</v>
      </c>
      <c r="C5700" t="s">
        <v>3638</v>
      </c>
      <c r="E5700">
        <v>0.05</v>
      </c>
      <c r="F5700" t="s">
        <v>546</v>
      </c>
      <c r="G5700" s="174">
        <v>45576.460914351854</v>
      </c>
    </row>
    <row r="5701" spans="1:7">
      <c r="A5701">
        <v>5761</v>
      </c>
      <c r="B5701" t="s">
        <v>7166</v>
      </c>
      <c r="C5701" t="s">
        <v>2766</v>
      </c>
      <c r="E5701">
        <v>0.1</v>
      </c>
      <c r="F5701" t="s">
        <v>546</v>
      </c>
      <c r="G5701" s="174">
        <v>45576.460914351854</v>
      </c>
    </row>
    <row r="5702" spans="1:7">
      <c r="A5702">
        <v>5762</v>
      </c>
      <c r="B5702" t="s">
        <v>7166</v>
      </c>
      <c r="C5702" t="s">
        <v>3291</v>
      </c>
      <c r="E5702">
        <v>0.01</v>
      </c>
      <c r="F5702" t="s">
        <v>546</v>
      </c>
      <c r="G5702" s="174">
        <v>45576.460914351854</v>
      </c>
    </row>
    <row r="5703" spans="1:7">
      <c r="A5703">
        <v>5763</v>
      </c>
      <c r="B5703" t="s">
        <v>7167</v>
      </c>
      <c r="C5703" t="s">
        <v>2783</v>
      </c>
      <c r="E5703">
        <v>0.01</v>
      </c>
      <c r="F5703" t="s">
        <v>546</v>
      </c>
      <c r="G5703" s="174">
        <v>45576.460914351854</v>
      </c>
    </row>
    <row r="5704" spans="1:7">
      <c r="A5704">
        <v>5764</v>
      </c>
      <c r="B5704" t="s">
        <v>7168</v>
      </c>
      <c r="C5704" t="s">
        <v>7169</v>
      </c>
      <c r="E5704">
        <v>0.01</v>
      </c>
      <c r="F5704" t="s">
        <v>546</v>
      </c>
      <c r="G5704" s="174">
        <v>45576.460914351854</v>
      </c>
    </row>
    <row r="5705" spans="1:7">
      <c r="A5705">
        <v>5765</v>
      </c>
      <c r="B5705" t="s">
        <v>7168</v>
      </c>
      <c r="C5705" t="s">
        <v>3246</v>
      </c>
      <c r="E5705">
        <v>0.1</v>
      </c>
      <c r="F5705" t="s">
        <v>546</v>
      </c>
      <c r="G5705" s="174">
        <v>45576.460914351854</v>
      </c>
    </row>
    <row r="5706" spans="1:7">
      <c r="A5706">
        <v>5766</v>
      </c>
      <c r="B5706" t="s">
        <v>7170</v>
      </c>
      <c r="C5706" t="s">
        <v>7171</v>
      </c>
      <c r="E5706">
        <v>0.01</v>
      </c>
      <c r="F5706" t="s">
        <v>546</v>
      </c>
      <c r="G5706" s="174">
        <v>45576.460914351854</v>
      </c>
    </row>
    <row r="5707" spans="1:7">
      <c r="A5707">
        <v>5767</v>
      </c>
      <c r="B5707" t="s">
        <v>7172</v>
      </c>
      <c r="C5707" t="s">
        <v>2769</v>
      </c>
      <c r="E5707">
        <v>0.8</v>
      </c>
      <c r="F5707" t="s">
        <v>546</v>
      </c>
      <c r="G5707" s="174">
        <v>45576.460914351854</v>
      </c>
    </row>
    <row r="5708" spans="1:7">
      <c r="A5708">
        <v>5768</v>
      </c>
      <c r="B5708" t="s">
        <v>7173</v>
      </c>
      <c r="C5708" t="s">
        <v>3102</v>
      </c>
      <c r="E5708">
        <v>0.01</v>
      </c>
      <c r="F5708" t="s">
        <v>546</v>
      </c>
      <c r="G5708" s="174">
        <v>45576.460914351854</v>
      </c>
    </row>
    <row r="5709" spans="1:7">
      <c r="A5709">
        <v>5769</v>
      </c>
      <c r="B5709" t="s">
        <v>7174</v>
      </c>
      <c r="C5709" t="s">
        <v>3319</v>
      </c>
      <c r="E5709">
        <v>0.01</v>
      </c>
      <c r="F5709" t="s">
        <v>546</v>
      </c>
      <c r="G5709" s="174">
        <v>45576.460914351854</v>
      </c>
    </row>
    <row r="5710" spans="1:7">
      <c r="A5710">
        <v>5770</v>
      </c>
      <c r="B5710" t="s">
        <v>7175</v>
      </c>
      <c r="C5710" t="s">
        <v>7176</v>
      </c>
      <c r="E5710">
        <v>0.01</v>
      </c>
      <c r="F5710" t="s">
        <v>546</v>
      </c>
      <c r="G5710" s="174">
        <v>45576.460914351854</v>
      </c>
    </row>
    <row r="5711" spans="1:7">
      <c r="A5711">
        <v>5771</v>
      </c>
      <c r="B5711" t="s">
        <v>7177</v>
      </c>
      <c r="C5711" t="s">
        <v>6125</v>
      </c>
      <c r="E5711">
        <v>0.01</v>
      </c>
      <c r="F5711" t="s">
        <v>546</v>
      </c>
      <c r="G5711" s="174">
        <v>45576.460914351854</v>
      </c>
    </row>
    <row r="5712" spans="1:7">
      <c r="A5712">
        <v>5772</v>
      </c>
      <c r="B5712" t="s">
        <v>7178</v>
      </c>
      <c r="C5712" t="s">
        <v>1802</v>
      </c>
      <c r="E5712">
        <v>0.8</v>
      </c>
      <c r="F5712" t="s">
        <v>546</v>
      </c>
      <c r="G5712" s="174">
        <v>45576.460914351854</v>
      </c>
    </row>
    <row r="5713" spans="1:7">
      <c r="A5713">
        <v>5773</v>
      </c>
      <c r="B5713" t="s">
        <v>2332</v>
      </c>
      <c r="C5713" t="s">
        <v>4398</v>
      </c>
      <c r="E5713">
        <v>0.01</v>
      </c>
      <c r="F5713" t="s">
        <v>546</v>
      </c>
      <c r="G5713" s="174">
        <v>45576.460914351854</v>
      </c>
    </row>
    <row r="5714" spans="1:7">
      <c r="A5714">
        <v>5774</v>
      </c>
      <c r="B5714" t="s">
        <v>7179</v>
      </c>
      <c r="C5714" t="s">
        <v>4650</v>
      </c>
      <c r="E5714">
        <v>0.01</v>
      </c>
      <c r="F5714" t="s">
        <v>546</v>
      </c>
      <c r="G5714" s="174">
        <v>45576.460914351854</v>
      </c>
    </row>
    <row r="5715" spans="1:7">
      <c r="A5715">
        <v>5775</v>
      </c>
      <c r="B5715" t="s">
        <v>7180</v>
      </c>
      <c r="C5715" t="s">
        <v>3628</v>
      </c>
      <c r="E5715">
        <v>0.01</v>
      </c>
      <c r="F5715" t="s">
        <v>546</v>
      </c>
      <c r="G5715" s="174">
        <v>45576.460914351854</v>
      </c>
    </row>
    <row r="5716" spans="1:7">
      <c r="A5716">
        <v>5776</v>
      </c>
      <c r="B5716" t="s">
        <v>7181</v>
      </c>
      <c r="C5716" t="s">
        <v>5933</v>
      </c>
      <c r="E5716">
        <v>0.01</v>
      </c>
      <c r="F5716" t="s">
        <v>546</v>
      </c>
      <c r="G5716" s="174">
        <v>45576.460914351854</v>
      </c>
    </row>
    <row r="5717" spans="1:7">
      <c r="A5717">
        <v>5777</v>
      </c>
      <c r="B5717" t="s">
        <v>7182</v>
      </c>
      <c r="C5717" t="s">
        <v>3882</v>
      </c>
      <c r="E5717">
        <v>0.01</v>
      </c>
      <c r="F5717" t="s">
        <v>546</v>
      </c>
      <c r="G5717" s="174">
        <v>45576.460914351854</v>
      </c>
    </row>
    <row r="5718" spans="1:7">
      <c r="A5718">
        <v>5778</v>
      </c>
      <c r="B5718" t="s">
        <v>2335</v>
      </c>
      <c r="C5718" t="s">
        <v>5847</v>
      </c>
      <c r="E5718">
        <v>0.01</v>
      </c>
      <c r="F5718" t="s">
        <v>546</v>
      </c>
      <c r="G5718" s="174">
        <v>45576.460914351854</v>
      </c>
    </row>
    <row r="5719" spans="1:7">
      <c r="A5719">
        <v>5779</v>
      </c>
      <c r="B5719" t="s">
        <v>7183</v>
      </c>
      <c r="C5719" t="s">
        <v>2751</v>
      </c>
      <c r="E5719">
        <v>0.01</v>
      </c>
      <c r="F5719" t="s">
        <v>546</v>
      </c>
      <c r="G5719" s="174">
        <v>45576.460914351854</v>
      </c>
    </row>
    <row r="5720" spans="1:7">
      <c r="A5720">
        <v>5780</v>
      </c>
      <c r="B5720" t="s">
        <v>7184</v>
      </c>
      <c r="C5720" t="s">
        <v>6029</v>
      </c>
      <c r="E5720">
        <v>0.01</v>
      </c>
      <c r="F5720" t="s">
        <v>546</v>
      </c>
      <c r="G5720" s="174">
        <v>45576.460914351854</v>
      </c>
    </row>
    <row r="5721" spans="1:7">
      <c r="A5721">
        <v>5781</v>
      </c>
      <c r="B5721" t="s">
        <v>7185</v>
      </c>
      <c r="C5721" t="s">
        <v>6840</v>
      </c>
      <c r="E5721">
        <v>0.01</v>
      </c>
      <c r="F5721" t="s">
        <v>546</v>
      </c>
      <c r="G5721" s="174">
        <v>45576.460914351854</v>
      </c>
    </row>
    <row r="5722" spans="1:7">
      <c r="A5722">
        <v>5782</v>
      </c>
      <c r="B5722" t="s">
        <v>2337</v>
      </c>
      <c r="C5722" t="s">
        <v>4557</v>
      </c>
      <c r="E5722">
        <v>0.01</v>
      </c>
      <c r="F5722" t="s">
        <v>546</v>
      </c>
      <c r="G5722" s="174">
        <v>45576.460914351854</v>
      </c>
    </row>
    <row r="5723" spans="1:7">
      <c r="A5723">
        <v>5783</v>
      </c>
      <c r="B5723" t="s">
        <v>2338</v>
      </c>
      <c r="C5723" t="s">
        <v>7186</v>
      </c>
      <c r="E5723">
        <v>0.01</v>
      </c>
      <c r="F5723" t="s">
        <v>546</v>
      </c>
      <c r="G5723" s="174">
        <v>45576.460914351854</v>
      </c>
    </row>
    <row r="5724" spans="1:7">
      <c r="A5724">
        <v>5784</v>
      </c>
      <c r="B5724" t="s">
        <v>7187</v>
      </c>
      <c r="C5724" t="s">
        <v>7109</v>
      </c>
      <c r="E5724">
        <v>0.01</v>
      </c>
      <c r="F5724" t="s">
        <v>546</v>
      </c>
      <c r="G5724" s="174">
        <v>45576.460914351854</v>
      </c>
    </row>
    <row r="5725" spans="1:7">
      <c r="A5725">
        <v>5785</v>
      </c>
      <c r="B5725" t="s">
        <v>7188</v>
      </c>
      <c r="C5725" t="s">
        <v>7189</v>
      </c>
      <c r="E5725">
        <v>0.01</v>
      </c>
      <c r="F5725" t="s">
        <v>546</v>
      </c>
      <c r="G5725" s="174">
        <v>45576.460914351854</v>
      </c>
    </row>
    <row r="5726" spans="1:7">
      <c r="A5726">
        <v>5786</v>
      </c>
      <c r="B5726" t="s">
        <v>7190</v>
      </c>
      <c r="C5726" t="s">
        <v>3734</v>
      </c>
      <c r="E5726">
        <v>0.01</v>
      </c>
      <c r="F5726" t="s">
        <v>546</v>
      </c>
      <c r="G5726" s="174">
        <v>45576.460914351854</v>
      </c>
    </row>
    <row r="5727" spans="1:7">
      <c r="A5727">
        <v>5787</v>
      </c>
      <c r="B5727" t="s">
        <v>2339</v>
      </c>
      <c r="C5727" t="s">
        <v>4398</v>
      </c>
      <c r="E5727">
        <v>0.8</v>
      </c>
      <c r="F5727" t="s">
        <v>546</v>
      </c>
      <c r="G5727" s="174">
        <v>45576.460914351854</v>
      </c>
    </row>
    <row r="5728" spans="1:7">
      <c r="A5728">
        <v>5788</v>
      </c>
      <c r="B5728" t="s">
        <v>7191</v>
      </c>
      <c r="C5728" t="s">
        <v>5485</v>
      </c>
      <c r="E5728">
        <v>0.01</v>
      </c>
      <c r="F5728" t="s">
        <v>546</v>
      </c>
      <c r="G5728" s="174">
        <v>45576.460914351854</v>
      </c>
    </row>
    <row r="5729" spans="1:7">
      <c r="A5729">
        <v>5789</v>
      </c>
      <c r="B5729" t="s">
        <v>7192</v>
      </c>
      <c r="C5729" t="s">
        <v>2766</v>
      </c>
      <c r="E5729">
        <v>0.01</v>
      </c>
      <c r="F5729" t="s">
        <v>546</v>
      </c>
      <c r="G5729" s="174">
        <v>45576.460914351854</v>
      </c>
    </row>
    <row r="5730" spans="1:7">
      <c r="A5730">
        <v>5790</v>
      </c>
      <c r="B5730" t="s">
        <v>7193</v>
      </c>
      <c r="C5730" t="s">
        <v>7194</v>
      </c>
      <c r="E5730">
        <v>0.01</v>
      </c>
      <c r="F5730" t="s">
        <v>546</v>
      </c>
      <c r="G5730" s="174">
        <v>45576.460914351854</v>
      </c>
    </row>
    <row r="5731" spans="1:7">
      <c r="A5731">
        <v>5791</v>
      </c>
      <c r="B5731" t="s">
        <v>7195</v>
      </c>
      <c r="C5731" t="s">
        <v>7196</v>
      </c>
      <c r="E5731">
        <v>0.01</v>
      </c>
      <c r="F5731" t="s">
        <v>546</v>
      </c>
      <c r="G5731" s="174">
        <v>45576.460914351854</v>
      </c>
    </row>
    <row r="5732" spans="1:7">
      <c r="A5732">
        <v>5792</v>
      </c>
      <c r="B5732" t="s">
        <v>7197</v>
      </c>
      <c r="C5732" t="s">
        <v>7198</v>
      </c>
      <c r="E5732">
        <v>0.01</v>
      </c>
      <c r="F5732" t="s">
        <v>546</v>
      </c>
      <c r="G5732" s="174">
        <v>45576.460914351854</v>
      </c>
    </row>
    <row r="5733" spans="1:7">
      <c r="A5733">
        <v>5793</v>
      </c>
      <c r="B5733" t="s">
        <v>7199</v>
      </c>
      <c r="C5733" t="s">
        <v>6345</v>
      </c>
      <c r="E5733">
        <v>0.01</v>
      </c>
      <c r="F5733" t="s">
        <v>546</v>
      </c>
      <c r="G5733" s="174">
        <v>45576.460914351854</v>
      </c>
    </row>
    <row r="5734" spans="1:7">
      <c r="A5734">
        <v>5794</v>
      </c>
      <c r="B5734" t="s">
        <v>7200</v>
      </c>
      <c r="C5734" t="s">
        <v>6990</v>
      </c>
      <c r="E5734">
        <v>0.01</v>
      </c>
      <c r="F5734" t="s">
        <v>546</v>
      </c>
      <c r="G5734" s="174">
        <v>45576.460914351854</v>
      </c>
    </row>
    <row r="5735" spans="1:7">
      <c r="A5735">
        <v>5795</v>
      </c>
      <c r="B5735" t="s">
        <v>7200</v>
      </c>
      <c r="C5735" t="s">
        <v>5534</v>
      </c>
      <c r="E5735">
        <v>0.01</v>
      </c>
      <c r="F5735" t="s">
        <v>546</v>
      </c>
      <c r="G5735" s="174">
        <v>45576.460914351854</v>
      </c>
    </row>
    <row r="5736" spans="1:7">
      <c r="A5736">
        <v>5796</v>
      </c>
      <c r="B5736" t="s">
        <v>7201</v>
      </c>
      <c r="C5736" t="s">
        <v>3879</v>
      </c>
      <c r="E5736">
        <v>0.01</v>
      </c>
      <c r="F5736" t="s">
        <v>546</v>
      </c>
      <c r="G5736" s="174">
        <v>45576.460914351854</v>
      </c>
    </row>
    <row r="5737" spans="1:7">
      <c r="A5737">
        <v>5797</v>
      </c>
      <c r="B5737" t="s">
        <v>7202</v>
      </c>
      <c r="C5737" t="s">
        <v>3092</v>
      </c>
      <c r="E5737">
        <v>0.01</v>
      </c>
      <c r="F5737" t="s">
        <v>546</v>
      </c>
      <c r="G5737" s="174">
        <v>45576.460914351854</v>
      </c>
    </row>
    <row r="5738" spans="1:7">
      <c r="A5738">
        <v>5798</v>
      </c>
      <c r="B5738" t="s">
        <v>7203</v>
      </c>
      <c r="C5738" t="s">
        <v>4092</v>
      </c>
      <c r="E5738">
        <v>0.01</v>
      </c>
      <c r="F5738" t="s">
        <v>546</v>
      </c>
      <c r="G5738" s="174">
        <v>45576.460914351854</v>
      </c>
    </row>
    <row r="5739" spans="1:7">
      <c r="A5739">
        <v>5799</v>
      </c>
      <c r="B5739" t="s">
        <v>7203</v>
      </c>
      <c r="C5739" t="s">
        <v>7204</v>
      </c>
      <c r="E5739">
        <v>0.01</v>
      </c>
      <c r="F5739" t="s">
        <v>546</v>
      </c>
      <c r="G5739" s="174">
        <v>45576.460914351854</v>
      </c>
    </row>
    <row r="5740" spans="1:7">
      <c r="A5740">
        <v>5800</v>
      </c>
      <c r="B5740" t="s">
        <v>7205</v>
      </c>
      <c r="C5740" t="s">
        <v>6876</v>
      </c>
      <c r="E5740">
        <v>0.01</v>
      </c>
      <c r="F5740" t="s">
        <v>546</v>
      </c>
      <c r="G5740" s="174">
        <v>45576.460914351854</v>
      </c>
    </row>
    <row r="5741" spans="1:7">
      <c r="A5741">
        <v>5801</v>
      </c>
      <c r="B5741" t="s">
        <v>7205</v>
      </c>
      <c r="C5741" t="s">
        <v>6877</v>
      </c>
      <c r="E5741">
        <v>0.01</v>
      </c>
      <c r="F5741" t="s">
        <v>546</v>
      </c>
      <c r="G5741" s="174">
        <v>45576.460914351854</v>
      </c>
    </row>
    <row r="5742" spans="1:7">
      <c r="A5742">
        <v>5802</v>
      </c>
      <c r="B5742" t="s">
        <v>7206</v>
      </c>
      <c r="C5742" t="s">
        <v>5255</v>
      </c>
      <c r="E5742">
        <v>0.01</v>
      </c>
      <c r="F5742" t="s">
        <v>546</v>
      </c>
      <c r="G5742" s="174">
        <v>45576.460914351854</v>
      </c>
    </row>
    <row r="5743" spans="1:7">
      <c r="A5743">
        <v>5803</v>
      </c>
      <c r="B5743" t="s">
        <v>7206</v>
      </c>
      <c r="C5743" t="s">
        <v>7207</v>
      </c>
      <c r="E5743">
        <v>0.01</v>
      </c>
      <c r="F5743" t="s">
        <v>546</v>
      </c>
      <c r="G5743" s="174">
        <v>45576.460914351854</v>
      </c>
    </row>
    <row r="5744" spans="1:7">
      <c r="A5744">
        <v>5804</v>
      </c>
      <c r="B5744" t="s">
        <v>7208</v>
      </c>
      <c r="C5744" t="s">
        <v>7209</v>
      </c>
      <c r="E5744">
        <v>0.01</v>
      </c>
      <c r="F5744" t="s">
        <v>546</v>
      </c>
      <c r="G5744" s="174">
        <v>45576.460914351854</v>
      </c>
    </row>
    <row r="5745" spans="1:7">
      <c r="A5745">
        <v>5805</v>
      </c>
      <c r="B5745" t="s">
        <v>7208</v>
      </c>
      <c r="C5745" t="s">
        <v>2991</v>
      </c>
      <c r="E5745">
        <v>0.01</v>
      </c>
      <c r="F5745" t="s">
        <v>546</v>
      </c>
      <c r="G5745" s="174">
        <v>45576.460914351854</v>
      </c>
    </row>
    <row r="5746" spans="1:7">
      <c r="A5746">
        <v>5806</v>
      </c>
      <c r="B5746" t="s">
        <v>7208</v>
      </c>
      <c r="C5746" t="s">
        <v>5706</v>
      </c>
      <c r="E5746">
        <v>0.01</v>
      </c>
      <c r="F5746" t="s">
        <v>546</v>
      </c>
      <c r="G5746" s="174">
        <v>45576.460914351854</v>
      </c>
    </row>
    <row r="5747" spans="1:7">
      <c r="A5747">
        <v>5807</v>
      </c>
      <c r="B5747" t="s">
        <v>7210</v>
      </c>
      <c r="C5747" t="s">
        <v>5298</v>
      </c>
      <c r="E5747">
        <v>0.01</v>
      </c>
      <c r="F5747" t="s">
        <v>546</v>
      </c>
      <c r="G5747" s="174">
        <v>45576.460914351854</v>
      </c>
    </row>
    <row r="5748" spans="1:7">
      <c r="A5748">
        <v>5808</v>
      </c>
      <c r="B5748" t="s">
        <v>7211</v>
      </c>
      <c r="C5748" t="s">
        <v>2986</v>
      </c>
      <c r="E5748">
        <v>0.01</v>
      </c>
      <c r="F5748" t="s">
        <v>546</v>
      </c>
      <c r="G5748" s="174">
        <v>45576.460914351854</v>
      </c>
    </row>
    <row r="5749" spans="1:7">
      <c r="A5749">
        <v>5809</v>
      </c>
      <c r="B5749" t="s">
        <v>7212</v>
      </c>
      <c r="C5749" t="s">
        <v>4905</v>
      </c>
      <c r="E5749">
        <v>0.01</v>
      </c>
      <c r="F5749" t="s">
        <v>546</v>
      </c>
      <c r="G5749" s="174">
        <v>45576.460914351854</v>
      </c>
    </row>
    <row r="5750" spans="1:7">
      <c r="A5750">
        <v>5810</v>
      </c>
      <c r="B5750" t="s">
        <v>7213</v>
      </c>
      <c r="C5750" t="s">
        <v>3507</v>
      </c>
      <c r="E5750">
        <v>0.01</v>
      </c>
      <c r="F5750" t="s">
        <v>546</v>
      </c>
      <c r="G5750" s="174">
        <v>45576.460914351854</v>
      </c>
    </row>
    <row r="5751" spans="1:7">
      <c r="A5751">
        <v>5811</v>
      </c>
      <c r="B5751" t="s">
        <v>7213</v>
      </c>
      <c r="C5751" t="s">
        <v>3508</v>
      </c>
      <c r="E5751">
        <v>0.01</v>
      </c>
      <c r="F5751" t="s">
        <v>546</v>
      </c>
      <c r="G5751" s="174">
        <v>45576.460914351854</v>
      </c>
    </row>
    <row r="5752" spans="1:7">
      <c r="A5752">
        <v>5812</v>
      </c>
      <c r="B5752" t="s">
        <v>7214</v>
      </c>
      <c r="C5752" t="s">
        <v>7215</v>
      </c>
      <c r="E5752">
        <v>0.01</v>
      </c>
      <c r="F5752" t="s">
        <v>546</v>
      </c>
      <c r="G5752" s="174">
        <v>45576.460914351854</v>
      </c>
    </row>
    <row r="5753" spans="1:7">
      <c r="A5753">
        <v>5813</v>
      </c>
      <c r="B5753" t="s">
        <v>7214</v>
      </c>
      <c r="C5753" t="s">
        <v>3155</v>
      </c>
      <c r="E5753">
        <v>0.01</v>
      </c>
      <c r="F5753" t="s">
        <v>546</v>
      </c>
      <c r="G5753" s="174">
        <v>45576.460914351854</v>
      </c>
    </row>
    <row r="5754" spans="1:7">
      <c r="A5754">
        <v>5814</v>
      </c>
      <c r="B5754" t="s">
        <v>7216</v>
      </c>
      <c r="C5754" t="s">
        <v>6032</v>
      </c>
      <c r="E5754">
        <v>0.01</v>
      </c>
      <c r="F5754" t="s">
        <v>546</v>
      </c>
      <c r="G5754" s="174">
        <v>45576.460914351854</v>
      </c>
    </row>
    <row r="5755" spans="1:7">
      <c r="A5755">
        <v>5815</v>
      </c>
      <c r="B5755" t="s">
        <v>7217</v>
      </c>
      <c r="C5755" t="s">
        <v>2964</v>
      </c>
      <c r="E5755">
        <v>0.01</v>
      </c>
      <c r="F5755" t="s">
        <v>546</v>
      </c>
      <c r="G5755" s="174">
        <v>45576.460914351854</v>
      </c>
    </row>
    <row r="5756" spans="1:7">
      <c r="A5756">
        <v>5816</v>
      </c>
      <c r="B5756" t="s">
        <v>7218</v>
      </c>
      <c r="C5756" t="s">
        <v>3443</v>
      </c>
      <c r="E5756">
        <v>0.01</v>
      </c>
      <c r="F5756" t="s">
        <v>546</v>
      </c>
      <c r="G5756" s="174">
        <v>45576.460914351854</v>
      </c>
    </row>
    <row r="5757" spans="1:7">
      <c r="A5757">
        <v>5817</v>
      </c>
      <c r="B5757" t="s">
        <v>2344</v>
      </c>
      <c r="C5757" t="s">
        <v>3885</v>
      </c>
      <c r="E5757">
        <v>0.01</v>
      </c>
      <c r="F5757" t="s">
        <v>546</v>
      </c>
      <c r="G5757" s="174">
        <v>45576.460914351854</v>
      </c>
    </row>
    <row r="5758" spans="1:7">
      <c r="A5758">
        <v>5818</v>
      </c>
      <c r="B5758" t="s">
        <v>7219</v>
      </c>
      <c r="C5758" t="s">
        <v>2964</v>
      </c>
      <c r="E5758">
        <v>0.01</v>
      </c>
      <c r="F5758" t="s">
        <v>546</v>
      </c>
      <c r="G5758" s="174">
        <v>45576.460914351854</v>
      </c>
    </row>
    <row r="5759" spans="1:7">
      <c r="A5759">
        <v>5819</v>
      </c>
      <c r="B5759" t="s">
        <v>7220</v>
      </c>
      <c r="C5759" t="s">
        <v>7221</v>
      </c>
      <c r="E5759">
        <v>0.05</v>
      </c>
      <c r="F5759" t="s">
        <v>546</v>
      </c>
      <c r="G5759" s="174">
        <v>45576.460914351854</v>
      </c>
    </row>
    <row r="5760" spans="1:7">
      <c r="A5760">
        <v>5820</v>
      </c>
      <c r="B5760" t="s">
        <v>7220</v>
      </c>
      <c r="C5760" t="s">
        <v>7222</v>
      </c>
      <c r="E5760">
        <v>0.01</v>
      </c>
      <c r="F5760" t="s">
        <v>546</v>
      </c>
      <c r="G5760" s="174">
        <v>45576.460914351854</v>
      </c>
    </row>
    <row r="5761" spans="1:7">
      <c r="A5761">
        <v>5821</v>
      </c>
      <c r="B5761" t="s">
        <v>7223</v>
      </c>
      <c r="C5761" t="s">
        <v>7224</v>
      </c>
      <c r="E5761">
        <v>0.01</v>
      </c>
      <c r="F5761" t="s">
        <v>546</v>
      </c>
      <c r="G5761" s="174">
        <v>45576.460914351854</v>
      </c>
    </row>
    <row r="5762" spans="1:7">
      <c r="A5762">
        <v>5822</v>
      </c>
      <c r="B5762" t="s">
        <v>7223</v>
      </c>
      <c r="C5762" t="s">
        <v>3943</v>
      </c>
      <c r="E5762">
        <v>0.01</v>
      </c>
      <c r="F5762" t="s">
        <v>546</v>
      </c>
      <c r="G5762" s="174">
        <v>45576.460914351854</v>
      </c>
    </row>
    <row r="5763" spans="1:7">
      <c r="A5763">
        <v>5823</v>
      </c>
      <c r="B5763" t="s">
        <v>7225</v>
      </c>
      <c r="C5763" t="s">
        <v>7226</v>
      </c>
      <c r="E5763">
        <v>0.01</v>
      </c>
      <c r="F5763" t="s">
        <v>546</v>
      </c>
      <c r="G5763" s="174">
        <v>45576.460914351854</v>
      </c>
    </row>
    <row r="5764" spans="1:7">
      <c r="A5764">
        <v>5824</v>
      </c>
      <c r="B5764" t="s">
        <v>7227</v>
      </c>
      <c r="C5764" t="s">
        <v>4354</v>
      </c>
      <c r="E5764">
        <v>0.01</v>
      </c>
      <c r="F5764" t="s">
        <v>546</v>
      </c>
      <c r="G5764" s="174">
        <v>45576.460914351854</v>
      </c>
    </row>
    <row r="5765" spans="1:7">
      <c r="A5765">
        <v>5825</v>
      </c>
      <c r="B5765" t="s">
        <v>7228</v>
      </c>
      <c r="C5765" t="s">
        <v>5542</v>
      </c>
      <c r="E5765">
        <v>0.01</v>
      </c>
      <c r="F5765" t="s">
        <v>546</v>
      </c>
      <c r="G5765" s="174">
        <v>45576.460914351854</v>
      </c>
    </row>
    <row r="5766" spans="1:7">
      <c r="A5766">
        <v>5826</v>
      </c>
      <c r="B5766" t="s">
        <v>7229</v>
      </c>
      <c r="C5766" t="s">
        <v>4435</v>
      </c>
      <c r="E5766">
        <v>0.01</v>
      </c>
      <c r="F5766" t="s">
        <v>546</v>
      </c>
      <c r="G5766" s="174">
        <v>45576.460914351854</v>
      </c>
    </row>
    <row r="5767" spans="1:7">
      <c r="A5767">
        <v>5827</v>
      </c>
      <c r="B5767" t="s">
        <v>7230</v>
      </c>
      <c r="C5767" t="s">
        <v>4517</v>
      </c>
      <c r="E5767">
        <v>0.05</v>
      </c>
      <c r="F5767" t="s">
        <v>546</v>
      </c>
      <c r="G5767" s="174">
        <v>45576.460914351854</v>
      </c>
    </row>
    <row r="5768" spans="1:7">
      <c r="A5768">
        <v>5828</v>
      </c>
      <c r="B5768" t="s">
        <v>7230</v>
      </c>
      <c r="C5768" t="s">
        <v>7231</v>
      </c>
      <c r="E5768">
        <v>0.01</v>
      </c>
      <c r="F5768" t="s">
        <v>546</v>
      </c>
      <c r="G5768" s="174">
        <v>45576.460914351854</v>
      </c>
    </row>
    <row r="5769" spans="1:7">
      <c r="A5769">
        <v>5829</v>
      </c>
      <c r="B5769" t="s">
        <v>7230</v>
      </c>
      <c r="C5769" t="s">
        <v>4707</v>
      </c>
      <c r="E5769">
        <v>0.1</v>
      </c>
      <c r="F5769" t="s">
        <v>546</v>
      </c>
      <c r="G5769" s="174">
        <v>45576.460914351854</v>
      </c>
    </row>
    <row r="5770" spans="1:7">
      <c r="A5770">
        <v>5830</v>
      </c>
      <c r="B5770" t="s">
        <v>7232</v>
      </c>
      <c r="C5770" t="s">
        <v>3855</v>
      </c>
      <c r="E5770">
        <v>0.01</v>
      </c>
      <c r="F5770" t="s">
        <v>546</v>
      </c>
      <c r="G5770" s="174">
        <v>45576.460914351854</v>
      </c>
    </row>
    <row r="5771" spans="1:7">
      <c r="A5771">
        <v>5831</v>
      </c>
      <c r="B5771" t="s">
        <v>7233</v>
      </c>
      <c r="C5771" t="s">
        <v>3628</v>
      </c>
      <c r="E5771">
        <v>0.01</v>
      </c>
      <c r="F5771" t="s">
        <v>546</v>
      </c>
      <c r="G5771" s="174">
        <v>45576.460914351854</v>
      </c>
    </row>
    <row r="5772" spans="1:7">
      <c r="A5772">
        <v>5832</v>
      </c>
      <c r="B5772" t="s">
        <v>7234</v>
      </c>
      <c r="C5772" t="s">
        <v>3529</v>
      </c>
      <c r="E5772">
        <v>0.01</v>
      </c>
      <c r="F5772" t="s">
        <v>546</v>
      </c>
      <c r="G5772" s="174">
        <v>45576.460914351854</v>
      </c>
    </row>
    <row r="5773" spans="1:7">
      <c r="A5773">
        <v>5833</v>
      </c>
      <c r="B5773" t="s">
        <v>7234</v>
      </c>
      <c r="C5773" t="s">
        <v>7235</v>
      </c>
      <c r="E5773">
        <v>0.01</v>
      </c>
      <c r="F5773" t="s">
        <v>546</v>
      </c>
      <c r="G5773" s="174">
        <v>45576.460914351854</v>
      </c>
    </row>
    <row r="5774" spans="1:7">
      <c r="A5774">
        <v>5834</v>
      </c>
      <c r="B5774" t="s">
        <v>7234</v>
      </c>
      <c r="C5774" t="s">
        <v>3530</v>
      </c>
      <c r="E5774">
        <v>0.01</v>
      </c>
      <c r="F5774" t="s">
        <v>546</v>
      </c>
      <c r="G5774" s="174">
        <v>45576.460914351854</v>
      </c>
    </row>
    <row r="5775" spans="1:7">
      <c r="A5775">
        <v>5835</v>
      </c>
      <c r="B5775" t="s">
        <v>7236</v>
      </c>
      <c r="C5775" t="s">
        <v>6392</v>
      </c>
      <c r="E5775">
        <v>0.5</v>
      </c>
      <c r="F5775" t="s">
        <v>546</v>
      </c>
      <c r="G5775" s="174">
        <v>45576.460914351854</v>
      </c>
    </row>
    <row r="5776" spans="1:7">
      <c r="A5776">
        <v>5836</v>
      </c>
      <c r="B5776" t="s">
        <v>7237</v>
      </c>
      <c r="C5776" t="s">
        <v>6283</v>
      </c>
      <c r="E5776">
        <v>0.01</v>
      </c>
      <c r="F5776" t="s">
        <v>546</v>
      </c>
      <c r="G5776" s="174">
        <v>45576.460914351854</v>
      </c>
    </row>
    <row r="5777" spans="1:7">
      <c r="A5777">
        <v>5837</v>
      </c>
      <c r="B5777" t="s">
        <v>7238</v>
      </c>
      <c r="C5777" t="s">
        <v>2758</v>
      </c>
      <c r="E5777">
        <v>0.01</v>
      </c>
      <c r="F5777" t="s">
        <v>546</v>
      </c>
      <c r="G5777" s="174">
        <v>45576.460914351854</v>
      </c>
    </row>
    <row r="5778" spans="1:7">
      <c r="A5778">
        <v>5838</v>
      </c>
      <c r="B5778" t="s">
        <v>7239</v>
      </c>
      <c r="C5778" t="s">
        <v>5665</v>
      </c>
      <c r="E5778">
        <v>0.01</v>
      </c>
      <c r="F5778" t="s">
        <v>546</v>
      </c>
      <c r="G5778" s="174">
        <v>45576.460914351854</v>
      </c>
    </row>
    <row r="5779" spans="1:7">
      <c r="A5779">
        <v>5839</v>
      </c>
      <c r="B5779" t="s">
        <v>7240</v>
      </c>
      <c r="C5779" t="s">
        <v>2930</v>
      </c>
      <c r="E5779">
        <v>0.01</v>
      </c>
      <c r="F5779" t="s">
        <v>546</v>
      </c>
      <c r="G5779" s="174">
        <v>45576.460914351854</v>
      </c>
    </row>
    <row r="5780" spans="1:7">
      <c r="A5780">
        <v>5840</v>
      </c>
      <c r="B5780" t="s">
        <v>7241</v>
      </c>
      <c r="C5780" t="s">
        <v>3038</v>
      </c>
      <c r="E5780">
        <v>0.01</v>
      </c>
      <c r="F5780" t="s">
        <v>546</v>
      </c>
      <c r="G5780" s="174">
        <v>45576.460914351854</v>
      </c>
    </row>
    <row r="5781" spans="1:7">
      <c r="A5781">
        <v>5841</v>
      </c>
      <c r="B5781" t="s">
        <v>7241</v>
      </c>
      <c r="C5781" t="s">
        <v>7242</v>
      </c>
      <c r="E5781">
        <v>0.01</v>
      </c>
      <c r="F5781" t="s">
        <v>546</v>
      </c>
      <c r="G5781" s="174">
        <v>45576.460914351854</v>
      </c>
    </row>
    <row r="5782" spans="1:7">
      <c r="A5782">
        <v>5842</v>
      </c>
      <c r="B5782" t="s">
        <v>7243</v>
      </c>
      <c r="C5782" t="s">
        <v>3050</v>
      </c>
      <c r="E5782">
        <v>0.01</v>
      </c>
      <c r="F5782" t="s">
        <v>546</v>
      </c>
      <c r="G5782" s="174">
        <v>45576.460914351854</v>
      </c>
    </row>
    <row r="5783" spans="1:7">
      <c r="A5783">
        <v>5843</v>
      </c>
      <c r="B5783" t="s">
        <v>7243</v>
      </c>
      <c r="C5783" t="s">
        <v>3457</v>
      </c>
      <c r="E5783">
        <v>0.01</v>
      </c>
      <c r="F5783" t="s">
        <v>546</v>
      </c>
      <c r="G5783" s="174">
        <v>45576.460914351854</v>
      </c>
    </row>
    <row r="5784" spans="1:7">
      <c r="A5784">
        <v>5844</v>
      </c>
      <c r="B5784" t="s">
        <v>7244</v>
      </c>
      <c r="C5784" t="s">
        <v>3527</v>
      </c>
      <c r="E5784">
        <v>0.01</v>
      </c>
      <c r="F5784" t="s">
        <v>546</v>
      </c>
      <c r="G5784" s="174">
        <v>45576.460914351854</v>
      </c>
    </row>
    <row r="5785" spans="1:7">
      <c r="A5785">
        <v>5845</v>
      </c>
      <c r="B5785" t="s">
        <v>2350</v>
      </c>
      <c r="C5785" t="s">
        <v>4077</v>
      </c>
      <c r="E5785">
        <v>0.01</v>
      </c>
      <c r="F5785" t="s">
        <v>546</v>
      </c>
      <c r="G5785" s="174">
        <v>45576.460914351854</v>
      </c>
    </row>
    <row r="5786" spans="1:7">
      <c r="A5786">
        <v>5846</v>
      </c>
      <c r="B5786" t="s">
        <v>7245</v>
      </c>
      <c r="C5786" t="s">
        <v>5490</v>
      </c>
      <c r="E5786">
        <v>0.1</v>
      </c>
      <c r="F5786" t="s">
        <v>546</v>
      </c>
      <c r="G5786" s="174">
        <v>45576.460914351854</v>
      </c>
    </row>
    <row r="5787" spans="1:7">
      <c r="A5787">
        <v>5847</v>
      </c>
      <c r="B5787" t="s">
        <v>7246</v>
      </c>
      <c r="C5787" t="s">
        <v>2875</v>
      </c>
      <c r="E5787">
        <v>0.01</v>
      </c>
      <c r="F5787" t="s">
        <v>546</v>
      </c>
      <c r="G5787" s="174">
        <v>45576.460914351854</v>
      </c>
    </row>
    <row r="5788" spans="1:7">
      <c r="A5788">
        <v>5848</v>
      </c>
      <c r="B5788" t="s">
        <v>7247</v>
      </c>
      <c r="C5788" t="s">
        <v>3521</v>
      </c>
      <c r="E5788">
        <v>0.01</v>
      </c>
      <c r="F5788" t="s">
        <v>546</v>
      </c>
      <c r="G5788" s="174">
        <v>45576.460914351854</v>
      </c>
    </row>
    <row r="5789" spans="1:7">
      <c r="A5789">
        <v>5849</v>
      </c>
      <c r="B5789" t="s">
        <v>7248</v>
      </c>
      <c r="C5789" t="s">
        <v>5597</v>
      </c>
      <c r="E5789">
        <v>0.01</v>
      </c>
      <c r="F5789" t="s">
        <v>546</v>
      </c>
      <c r="G5789" s="174">
        <v>45576.460914351854</v>
      </c>
    </row>
    <row r="5790" spans="1:7">
      <c r="A5790">
        <v>5850</v>
      </c>
      <c r="B5790" t="s">
        <v>7249</v>
      </c>
      <c r="C5790" t="s">
        <v>7250</v>
      </c>
      <c r="E5790">
        <v>0.01</v>
      </c>
      <c r="F5790" t="s">
        <v>546</v>
      </c>
      <c r="G5790" s="174">
        <v>45576.460914351854</v>
      </c>
    </row>
    <row r="5791" spans="1:7">
      <c r="A5791">
        <v>5851</v>
      </c>
      <c r="B5791" t="s">
        <v>7249</v>
      </c>
      <c r="C5791" t="s">
        <v>2781</v>
      </c>
      <c r="E5791">
        <v>0.01</v>
      </c>
      <c r="F5791" t="s">
        <v>546</v>
      </c>
      <c r="G5791" s="174">
        <v>45576.460914351854</v>
      </c>
    </row>
    <row r="5792" spans="1:7">
      <c r="A5792">
        <v>5852</v>
      </c>
      <c r="B5792" t="s">
        <v>2351</v>
      </c>
      <c r="C5792" t="s">
        <v>4557</v>
      </c>
      <c r="E5792">
        <v>0.01</v>
      </c>
      <c r="F5792" t="s">
        <v>546</v>
      </c>
      <c r="G5792" s="174">
        <v>45576.460914351854</v>
      </c>
    </row>
    <row r="5793" spans="1:7">
      <c r="A5793">
        <v>5853</v>
      </c>
      <c r="B5793" t="s">
        <v>7251</v>
      </c>
      <c r="C5793" t="s">
        <v>4676</v>
      </c>
      <c r="E5793">
        <v>0.01</v>
      </c>
      <c r="F5793" t="s">
        <v>546</v>
      </c>
      <c r="G5793" s="174">
        <v>45576.460914351854</v>
      </c>
    </row>
    <row r="5794" spans="1:7">
      <c r="A5794">
        <v>5854</v>
      </c>
      <c r="B5794" t="s">
        <v>7252</v>
      </c>
      <c r="C5794" t="s">
        <v>4818</v>
      </c>
      <c r="E5794">
        <v>0.01</v>
      </c>
      <c r="F5794" t="s">
        <v>546</v>
      </c>
      <c r="G5794" s="174">
        <v>45576.460914351854</v>
      </c>
    </row>
    <row r="5795" spans="1:7">
      <c r="A5795">
        <v>5855</v>
      </c>
      <c r="B5795" t="s">
        <v>7253</v>
      </c>
      <c r="C5795" t="s">
        <v>3270</v>
      </c>
      <c r="E5795">
        <v>0.01</v>
      </c>
      <c r="F5795" t="s">
        <v>546</v>
      </c>
      <c r="G5795" s="174">
        <v>45576.460914351854</v>
      </c>
    </row>
    <row r="5796" spans="1:7">
      <c r="A5796">
        <v>5856</v>
      </c>
      <c r="B5796" t="s">
        <v>7254</v>
      </c>
      <c r="C5796" t="s">
        <v>3246</v>
      </c>
      <c r="E5796">
        <v>0.01</v>
      </c>
      <c r="F5796" t="s">
        <v>546</v>
      </c>
      <c r="G5796" s="174">
        <v>45576.460914351854</v>
      </c>
    </row>
    <row r="5797" spans="1:7">
      <c r="A5797">
        <v>5857</v>
      </c>
      <c r="B5797" t="s">
        <v>7255</v>
      </c>
      <c r="C5797" t="s">
        <v>7256</v>
      </c>
      <c r="E5797">
        <v>0.01</v>
      </c>
      <c r="F5797" t="s">
        <v>546</v>
      </c>
      <c r="G5797" s="174">
        <v>45576.460914351854</v>
      </c>
    </row>
    <row r="5798" spans="1:7">
      <c r="A5798">
        <v>5858</v>
      </c>
      <c r="B5798" t="s">
        <v>7257</v>
      </c>
      <c r="C5798" t="s">
        <v>4816</v>
      </c>
      <c r="E5798">
        <v>0.01</v>
      </c>
      <c r="F5798" t="s">
        <v>546</v>
      </c>
      <c r="G5798" s="174">
        <v>45576.460914351854</v>
      </c>
    </row>
    <row r="5799" spans="1:7">
      <c r="A5799">
        <v>5859</v>
      </c>
      <c r="B5799" t="s">
        <v>7258</v>
      </c>
      <c r="C5799" t="s">
        <v>4017</v>
      </c>
      <c r="E5799">
        <v>0.1</v>
      </c>
      <c r="F5799" t="s">
        <v>546</v>
      </c>
      <c r="G5799" s="174">
        <v>45576.460914351854</v>
      </c>
    </row>
    <row r="5800" spans="1:7">
      <c r="A5800">
        <v>5860</v>
      </c>
      <c r="B5800" t="s">
        <v>7259</v>
      </c>
      <c r="C5800" t="s">
        <v>1065</v>
      </c>
      <c r="E5800">
        <v>0.01</v>
      </c>
      <c r="F5800" t="s">
        <v>546</v>
      </c>
      <c r="G5800" s="174">
        <v>45576.460914351854</v>
      </c>
    </row>
    <row r="5801" spans="1:7">
      <c r="A5801">
        <v>5861</v>
      </c>
      <c r="B5801" t="s">
        <v>7260</v>
      </c>
      <c r="C5801" t="s">
        <v>5422</v>
      </c>
      <c r="E5801">
        <v>0.01</v>
      </c>
      <c r="F5801" t="s">
        <v>546</v>
      </c>
      <c r="G5801" s="174">
        <v>45576.460914351854</v>
      </c>
    </row>
    <row r="5802" spans="1:7">
      <c r="A5802">
        <v>5862</v>
      </c>
      <c r="B5802" t="s">
        <v>7260</v>
      </c>
      <c r="C5802" t="s">
        <v>6103</v>
      </c>
      <c r="E5802">
        <v>0.1</v>
      </c>
      <c r="F5802" t="s">
        <v>546</v>
      </c>
      <c r="G5802" s="174">
        <v>45576.460914351854</v>
      </c>
    </row>
    <row r="5803" spans="1:7">
      <c r="A5803">
        <v>5863</v>
      </c>
      <c r="B5803" t="s">
        <v>7261</v>
      </c>
      <c r="C5803" t="s">
        <v>3889</v>
      </c>
      <c r="E5803">
        <v>0.01</v>
      </c>
      <c r="F5803" t="s">
        <v>546</v>
      </c>
      <c r="G5803" s="174">
        <v>45576.460914351854</v>
      </c>
    </row>
    <row r="5804" spans="1:7">
      <c r="A5804">
        <v>5864</v>
      </c>
      <c r="B5804" t="s">
        <v>7262</v>
      </c>
      <c r="C5804" t="s">
        <v>3190</v>
      </c>
      <c r="E5804">
        <v>0.01</v>
      </c>
      <c r="F5804" t="s">
        <v>546</v>
      </c>
      <c r="G5804" s="174">
        <v>45576.460914351854</v>
      </c>
    </row>
    <row r="5805" spans="1:7">
      <c r="A5805">
        <v>5865</v>
      </c>
      <c r="B5805" t="s">
        <v>7263</v>
      </c>
      <c r="C5805" t="s">
        <v>4391</v>
      </c>
      <c r="E5805">
        <v>0.01</v>
      </c>
      <c r="F5805" t="s">
        <v>546</v>
      </c>
      <c r="G5805" s="174">
        <v>45576.460914351854</v>
      </c>
    </row>
    <row r="5806" spans="1:7">
      <c r="A5806">
        <v>5866</v>
      </c>
      <c r="B5806" t="s">
        <v>7264</v>
      </c>
      <c r="C5806" t="s">
        <v>5669</v>
      </c>
      <c r="E5806">
        <v>0.01</v>
      </c>
      <c r="F5806" t="s">
        <v>546</v>
      </c>
      <c r="G5806" s="174">
        <v>45576.460914351854</v>
      </c>
    </row>
    <row r="5807" spans="1:7">
      <c r="A5807">
        <v>5867</v>
      </c>
      <c r="B5807" t="s">
        <v>7265</v>
      </c>
      <c r="C5807" t="s">
        <v>3606</v>
      </c>
      <c r="E5807">
        <v>0.01</v>
      </c>
      <c r="F5807" t="s">
        <v>546</v>
      </c>
      <c r="G5807" s="174">
        <v>45576.460914351854</v>
      </c>
    </row>
    <row r="5808" spans="1:7">
      <c r="A5808">
        <v>5868</v>
      </c>
      <c r="B5808" t="s">
        <v>7266</v>
      </c>
      <c r="C5808" t="s">
        <v>3052</v>
      </c>
      <c r="E5808">
        <v>0.01</v>
      </c>
      <c r="F5808" t="s">
        <v>546</v>
      </c>
      <c r="G5808" s="174">
        <v>45576.460914351854</v>
      </c>
    </row>
    <row r="5809" spans="1:7">
      <c r="A5809">
        <v>5869</v>
      </c>
      <c r="B5809" t="s">
        <v>7267</v>
      </c>
      <c r="C5809" t="s">
        <v>3218</v>
      </c>
      <c r="E5809">
        <v>0.01</v>
      </c>
      <c r="F5809" t="s">
        <v>546</v>
      </c>
      <c r="G5809" s="174">
        <v>45576.460914351854</v>
      </c>
    </row>
    <row r="5810" spans="1:7">
      <c r="A5810">
        <v>5870</v>
      </c>
      <c r="B5810" t="s">
        <v>2359</v>
      </c>
      <c r="C5810" t="s">
        <v>4506</v>
      </c>
      <c r="E5810">
        <v>0.01</v>
      </c>
      <c r="F5810" t="s">
        <v>546</v>
      </c>
      <c r="G5810" s="174">
        <v>45576.460914351854</v>
      </c>
    </row>
    <row r="5811" spans="1:7">
      <c r="A5811">
        <v>5871</v>
      </c>
      <c r="B5811" t="s">
        <v>7268</v>
      </c>
      <c r="C5811" t="s">
        <v>3386</v>
      </c>
      <c r="E5811">
        <v>0.3</v>
      </c>
      <c r="F5811" t="s">
        <v>4494</v>
      </c>
      <c r="G5811" s="174">
        <v>45576.460914351854</v>
      </c>
    </row>
    <row r="5812" spans="1:7">
      <c r="A5812">
        <v>5872</v>
      </c>
      <c r="B5812" t="s">
        <v>7269</v>
      </c>
      <c r="C5812" t="s">
        <v>3466</v>
      </c>
      <c r="E5812">
        <v>0.8</v>
      </c>
      <c r="F5812" t="s">
        <v>546</v>
      </c>
      <c r="G5812" s="174">
        <v>45576.460914351854</v>
      </c>
    </row>
    <row r="5813" spans="1:7">
      <c r="A5813">
        <v>5873</v>
      </c>
      <c r="B5813" t="s">
        <v>7270</v>
      </c>
      <c r="C5813" t="s">
        <v>6443</v>
      </c>
      <c r="E5813">
        <v>0.01</v>
      </c>
      <c r="F5813" t="s">
        <v>546</v>
      </c>
      <c r="G5813" s="174">
        <v>45576.460914351854</v>
      </c>
    </row>
    <row r="5814" spans="1:7">
      <c r="A5814">
        <v>5874</v>
      </c>
      <c r="B5814" t="s">
        <v>7271</v>
      </c>
      <c r="C5814" t="s">
        <v>7272</v>
      </c>
      <c r="E5814">
        <v>0.1</v>
      </c>
      <c r="F5814" t="s">
        <v>546</v>
      </c>
      <c r="G5814" s="174">
        <v>45576.460914351854</v>
      </c>
    </row>
    <row r="5815" spans="1:7">
      <c r="A5815">
        <v>5875</v>
      </c>
      <c r="B5815" t="s">
        <v>2364</v>
      </c>
      <c r="C5815" t="s">
        <v>7273</v>
      </c>
      <c r="E5815">
        <v>0.01</v>
      </c>
      <c r="F5815" t="s">
        <v>546</v>
      </c>
      <c r="G5815" s="174">
        <v>45576.460914351854</v>
      </c>
    </row>
    <row r="5816" spans="1:7">
      <c r="A5816">
        <v>5876</v>
      </c>
      <c r="B5816" t="s">
        <v>7274</v>
      </c>
      <c r="C5816" t="s">
        <v>7275</v>
      </c>
      <c r="E5816">
        <v>0.01</v>
      </c>
      <c r="F5816" t="s">
        <v>546</v>
      </c>
      <c r="G5816" s="174">
        <v>45576.460914351854</v>
      </c>
    </row>
    <row r="5817" spans="1:7">
      <c r="A5817">
        <v>5877</v>
      </c>
      <c r="B5817" t="s">
        <v>7274</v>
      </c>
      <c r="C5817" t="s">
        <v>4398</v>
      </c>
      <c r="E5817">
        <v>0.01</v>
      </c>
      <c r="F5817" t="s">
        <v>546</v>
      </c>
      <c r="G5817" s="174">
        <v>45576.460914351854</v>
      </c>
    </row>
    <row r="5818" spans="1:7">
      <c r="A5818">
        <v>5878</v>
      </c>
      <c r="B5818" t="s">
        <v>7276</v>
      </c>
      <c r="C5818" t="s">
        <v>4479</v>
      </c>
      <c r="E5818">
        <v>0.01</v>
      </c>
      <c r="F5818" t="s">
        <v>546</v>
      </c>
      <c r="G5818" s="174">
        <v>45576.460914351854</v>
      </c>
    </row>
    <row r="5819" spans="1:7">
      <c r="A5819">
        <v>5879</v>
      </c>
      <c r="B5819" t="s">
        <v>7277</v>
      </c>
      <c r="C5819" t="s">
        <v>7278</v>
      </c>
      <c r="E5819">
        <v>0.01</v>
      </c>
      <c r="F5819" t="s">
        <v>546</v>
      </c>
      <c r="G5819" s="174">
        <v>45576.460914351854</v>
      </c>
    </row>
    <row r="5820" spans="1:7">
      <c r="A5820">
        <v>5880</v>
      </c>
      <c r="B5820" t="s">
        <v>7277</v>
      </c>
      <c r="C5820" t="s">
        <v>7279</v>
      </c>
      <c r="E5820">
        <v>0.01</v>
      </c>
      <c r="F5820" t="s">
        <v>546</v>
      </c>
      <c r="G5820" s="174">
        <v>45576.460914351854</v>
      </c>
    </row>
    <row r="5821" spans="1:7">
      <c r="A5821">
        <v>5881</v>
      </c>
      <c r="B5821" t="s">
        <v>7280</v>
      </c>
      <c r="C5821" t="s">
        <v>6044</v>
      </c>
      <c r="E5821">
        <v>0.01</v>
      </c>
      <c r="F5821" t="s">
        <v>546</v>
      </c>
      <c r="G5821" s="174">
        <v>45576.460914351854</v>
      </c>
    </row>
    <row r="5822" spans="1:7">
      <c r="A5822">
        <v>5882</v>
      </c>
      <c r="B5822" t="s">
        <v>7280</v>
      </c>
      <c r="C5822" t="s">
        <v>4326</v>
      </c>
      <c r="E5822">
        <v>0.01</v>
      </c>
      <c r="F5822" t="s">
        <v>546</v>
      </c>
      <c r="G5822" s="174">
        <v>45576.460914351854</v>
      </c>
    </row>
    <row r="5823" spans="1:7">
      <c r="A5823">
        <v>5883</v>
      </c>
      <c r="B5823" t="s">
        <v>7281</v>
      </c>
      <c r="C5823" t="s">
        <v>4369</v>
      </c>
      <c r="E5823">
        <v>0.1</v>
      </c>
      <c r="F5823" t="s">
        <v>546</v>
      </c>
      <c r="G5823" s="174">
        <v>45576.460914351854</v>
      </c>
    </row>
    <row r="5824" spans="1:7">
      <c r="A5824">
        <v>5885</v>
      </c>
      <c r="B5824" t="s">
        <v>7282</v>
      </c>
      <c r="C5824" t="s">
        <v>3378</v>
      </c>
      <c r="E5824">
        <v>0.1</v>
      </c>
      <c r="F5824" t="s">
        <v>546</v>
      </c>
      <c r="G5824" s="174">
        <v>45576.460914351854</v>
      </c>
    </row>
    <row r="5825" spans="1:7">
      <c r="A5825">
        <v>5886</v>
      </c>
      <c r="B5825" t="s">
        <v>7283</v>
      </c>
      <c r="C5825" t="s">
        <v>5693</v>
      </c>
      <c r="E5825">
        <v>0.1</v>
      </c>
      <c r="F5825" t="s">
        <v>546</v>
      </c>
      <c r="G5825" s="174">
        <v>45576.460914351854</v>
      </c>
    </row>
    <row r="5826" spans="1:7">
      <c r="A5826">
        <v>5887</v>
      </c>
      <c r="B5826" t="s">
        <v>7284</v>
      </c>
      <c r="C5826" t="s">
        <v>7285</v>
      </c>
      <c r="E5826">
        <v>0.1</v>
      </c>
      <c r="F5826" t="s">
        <v>546</v>
      </c>
      <c r="G5826" s="174">
        <v>45576.460914351854</v>
      </c>
    </row>
    <row r="5827" spans="1:7">
      <c r="A5827">
        <v>5888</v>
      </c>
      <c r="B5827" t="s">
        <v>7286</v>
      </c>
      <c r="C5827" t="s">
        <v>3411</v>
      </c>
      <c r="E5827">
        <v>0.01</v>
      </c>
      <c r="F5827" t="s">
        <v>546</v>
      </c>
      <c r="G5827" s="174">
        <v>45576.460914351854</v>
      </c>
    </row>
    <row r="5828" spans="1:7">
      <c r="A5828">
        <v>5889</v>
      </c>
      <c r="B5828" t="s">
        <v>7287</v>
      </c>
      <c r="C5828" t="s">
        <v>4526</v>
      </c>
      <c r="E5828">
        <v>0.8</v>
      </c>
      <c r="F5828" t="s">
        <v>546</v>
      </c>
      <c r="G5828" s="174">
        <v>45576.460914351854</v>
      </c>
    </row>
    <row r="5829" spans="1:7">
      <c r="A5829">
        <v>5890</v>
      </c>
      <c r="B5829" t="s">
        <v>7288</v>
      </c>
      <c r="C5829" t="s">
        <v>3023</v>
      </c>
      <c r="E5829">
        <v>0.01</v>
      </c>
      <c r="F5829" t="s">
        <v>546</v>
      </c>
      <c r="G5829" s="174">
        <v>45576.460914351854</v>
      </c>
    </row>
    <row r="5830" spans="1:7">
      <c r="A5830">
        <v>5891</v>
      </c>
      <c r="B5830" t="s">
        <v>7289</v>
      </c>
      <c r="C5830" t="s">
        <v>7290</v>
      </c>
      <c r="E5830">
        <v>0.01</v>
      </c>
      <c r="F5830" t="s">
        <v>546</v>
      </c>
      <c r="G5830" s="174">
        <v>45576.460914351854</v>
      </c>
    </row>
    <row r="5831" spans="1:7">
      <c r="A5831">
        <v>5892</v>
      </c>
      <c r="B5831" t="s">
        <v>7289</v>
      </c>
      <c r="C5831" t="s">
        <v>4569</v>
      </c>
      <c r="E5831">
        <v>0.01</v>
      </c>
      <c r="F5831" t="s">
        <v>546</v>
      </c>
      <c r="G5831" s="174">
        <v>45576.460914351854</v>
      </c>
    </row>
    <row r="5832" spans="1:7">
      <c r="A5832">
        <v>5893</v>
      </c>
      <c r="B5832" t="s">
        <v>7289</v>
      </c>
      <c r="C5832" t="s">
        <v>7291</v>
      </c>
      <c r="E5832">
        <v>0.06</v>
      </c>
      <c r="F5832" t="s">
        <v>546</v>
      </c>
      <c r="G5832" s="174">
        <v>45576.460914351854</v>
      </c>
    </row>
    <row r="5833" spans="1:7">
      <c r="A5833">
        <v>5894</v>
      </c>
      <c r="B5833" t="s">
        <v>7292</v>
      </c>
      <c r="C5833" t="s">
        <v>4709</v>
      </c>
      <c r="E5833">
        <v>0.01</v>
      </c>
      <c r="F5833" t="s">
        <v>546</v>
      </c>
      <c r="G5833" s="174">
        <v>45576.460914351854</v>
      </c>
    </row>
    <row r="5834" spans="1:7">
      <c r="A5834">
        <v>5895</v>
      </c>
      <c r="B5834" t="s">
        <v>7293</v>
      </c>
      <c r="C5834" t="s">
        <v>5104</v>
      </c>
      <c r="E5834">
        <v>0.01</v>
      </c>
      <c r="F5834" t="s">
        <v>546</v>
      </c>
      <c r="G5834" s="174">
        <v>45576.460914351854</v>
      </c>
    </row>
    <row r="5835" spans="1:7">
      <c r="A5835">
        <v>5896</v>
      </c>
      <c r="B5835" t="s">
        <v>7293</v>
      </c>
      <c r="C5835" t="s">
        <v>6579</v>
      </c>
      <c r="E5835">
        <v>0.01</v>
      </c>
      <c r="F5835" t="s">
        <v>546</v>
      </c>
      <c r="G5835" s="174">
        <v>45576.460914351854</v>
      </c>
    </row>
    <row r="5836" spans="1:7">
      <c r="A5836">
        <v>5897</v>
      </c>
      <c r="B5836" t="s">
        <v>7294</v>
      </c>
      <c r="C5836" t="s">
        <v>4506</v>
      </c>
      <c r="E5836">
        <v>0.01</v>
      </c>
      <c r="F5836" t="s">
        <v>546</v>
      </c>
      <c r="G5836" s="174">
        <v>45576.460914351854</v>
      </c>
    </row>
    <row r="5837" spans="1:7">
      <c r="A5837">
        <v>5898</v>
      </c>
      <c r="B5837" t="s">
        <v>7295</v>
      </c>
      <c r="C5837" t="s">
        <v>5804</v>
      </c>
      <c r="E5837">
        <v>0.01</v>
      </c>
      <c r="F5837" t="s">
        <v>546</v>
      </c>
      <c r="G5837" s="174">
        <v>45576.460914351854</v>
      </c>
    </row>
    <row r="5838" spans="1:7">
      <c r="A5838">
        <v>5899</v>
      </c>
      <c r="B5838" t="s">
        <v>7296</v>
      </c>
      <c r="C5838" t="s">
        <v>3606</v>
      </c>
      <c r="E5838">
        <v>0.01</v>
      </c>
      <c r="F5838" t="s">
        <v>546</v>
      </c>
      <c r="G5838" s="174">
        <v>45576.460914351854</v>
      </c>
    </row>
    <row r="5839" spans="1:7">
      <c r="A5839">
        <v>5900</v>
      </c>
      <c r="B5839" t="s">
        <v>2374</v>
      </c>
      <c r="C5839" t="s">
        <v>7297</v>
      </c>
      <c r="E5839">
        <v>0.01</v>
      </c>
      <c r="F5839" t="s">
        <v>546</v>
      </c>
      <c r="G5839" s="174">
        <v>45576.460914351854</v>
      </c>
    </row>
    <row r="5840" spans="1:7">
      <c r="A5840">
        <v>5901</v>
      </c>
      <c r="B5840" t="s">
        <v>7298</v>
      </c>
      <c r="C5840" t="s">
        <v>4311</v>
      </c>
      <c r="E5840">
        <v>0.05</v>
      </c>
      <c r="F5840" t="s">
        <v>546</v>
      </c>
      <c r="G5840" s="174">
        <v>45576.460914351854</v>
      </c>
    </row>
    <row r="5841" spans="1:7">
      <c r="A5841">
        <v>5902</v>
      </c>
      <c r="B5841" t="s">
        <v>7298</v>
      </c>
      <c r="C5841" t="s">
        <v>7299</v>
      </c>
      <c r="E5841">
        <v>0.01</v>
      </c>
      <c r="F5841" t="s">
        <v>546</v>
      </c>
      <c r="G5841" s="174">
        <v>45576.460914351854</v>
      </c>
    </row>
    <row r="5842" spans="1:7">
      <c r="A5842">
        <v>5903</v>
      </c>
      <c r="B5842" t="s">
        <v>7300</v>
      </c>
      <c r="C5842" t="s">
        <v>7301</v>
      </c>
      <c r="E5842">
        <v>0.01</v>
      </c>
      <c r="F5842" t="s">
        <v>546</v>
      </c>
      <c r="G5842" s="174">
        <v>45576.460914351854</v>
      </c>
    </row>
    <row r="5843" spans="1:7">
      <c r="A5843">
        <v>5904</v>
      </c>
      <c r="B5843" t="s">
        <v>7300</v>
      </c>
      <c r="C5843" t="s">
        <v>7302</v>
      </c>
      <c r="E5843">
        <v>0.01</v>
      </c>
      <c r="F5843" t="s">
        <v>546</v>
      </c>
      <c r="G5843" s="174">
        <v>45576.460914351854</v>
      </c>
    </row>
    <row r="5844" spans="1:7">
      <c r="A5844">
        <v>5905</v>
      </c>
      <c r="B5844" t="s">
        <v>7303</v>
      </c>
      <c r="C5844" t="s">
        <v>3333</v>
      </c>
      <c r="E5844">
        <v>0.01</v>
      </c>
      <c r="F5844" t="s">
        <v>546</v>
      </c>
      <c r="G5844" s="174">
        <v>45576.460914351854</v>
      </c>
    </row>
    <row r="5845" spans="1:7">
      <c r="A5845">
        <v>5906</v>
      </c>
      <c r="B5845" t="s">
        <v>7304</v>
      </c>
      <c r="C5845" t="s">
        <v>3933</v>
      </c>
      <c r="E5845">
        <v>0.01</v>
      </c>
      <c r="F5845" t="s">
        <v>546</v>
      </c>
      <c r="G5845" s="174">
        <v>45576.460914351854</v>
      </c>
    </row>
    <row r="5846" spans="1:7">
      <c r="A5846">
        <v>5907</v>
      </c>
      <c r="B5846" t="s">
        <v>7305</v>
      </c>
      <c r="C5846" t="s">
        <v>4309</v>
      </c>
      <c r="E5846">
        <v>0.1</v>
      </c>
      <c r="F5846" t="s">
        <v>546</v>
      </c>
      <c r="G5846" s="174">
        <v>45576.460914351854</v>
      </c>
    </row>
    <row r="5847" spans="1:7">
      <c r="A5847">
        <v>5908</v>
      </c>
      <c r="B5847" t="s">
        <v>7305</v>
      </c>
      <c r="C5847" t="s">
        <v>7306</v>
      </c>
      <c r="E5847">
        <v>0.01</v>
      </c>
      <c r="F5847" t="s">
        <v>546</v>
      </c>
      <c r="G5847" s="174">
        <v>45576.460914351854</v>
      </c>
    </row>
    <row r="5848" spans="1:7">
      <c r="A5848">
        <v>5909</v>
      </c>
      <c r="B5848" t="s">
        <v>2376</v>
      </c>
      <c r="C5848" t="s">
        <v>4241</v>
      </c>
      <c r="E5848">
        <v>0.1</v>
      </c>
      <c r="F5848" t="s">
        <v>546</v>
      </c>
      <c r="G5848" s="174">
        <v>45576.460914351854</v>
      </c>
    </row>
    <row r="5849" spans="1:7">
      <c r="A5849">
        <v>5910</v>
      </c>
      <c r="B5849" t="s">
        <v>7307</v>
      </c>
      <c r="C5849" t="s">
        <v>6255</v>
      </c>
      <c r="E5849">
        <v>0.01</v>
      </c>
      <c r="F5849" t="s">
        <v>546</v>
      </c>
      <c r="G5849" s="174">
        <v>45576.460914351854</v>
      </c>
    </row>
    <row r="5850" spans="1:7">
      <c r="A5850">
        <v>5911</v>
      </c>
      <c r="B5850" t="s">
        <v>7308</v>
      </c>
      <c r="C5850" t="s">
        <v>4348</v>
      </c>
      <c r="E5850">
        <v>0.1</v>
      </c>
      <c r="F5850" t="s">
        <v>546</v>
      </c>
      <c r="G5850" s="174">
        <v>45576.460914351854</v>
      </c>
    </row>
    <row r="5851" spans="1:7">
      <c r="A5851">
        <v>5912</v>
      </c>
      <c r="B5851" t="s">
        <v>7309</v>
      </c>
      <c r="C5851" t="s">
        <v>5123</v>
      </c>
      <c r="E5851">
        <v>0.01</v>
      </c>
      <c r="F5851" t="s">
        <v>546</v>
      </c>
      <c r="G5851" s="174">
        <v>45576.460914351854</v>
      </c>
    </row>
    <row r="5852" spans="1:7">
      <c r="A5852">
        <v>5913</v>
      </c>
      <c r="B5852" t="s">
        <v>7310</v>
      </c>
      <c r="C5852" t="s">
        <v>3310</v>
      </c>
      <c r="E5852">
        <v>0.01</v>
      </c>
      <c r="F5852" t="s">
        <v>546</v>
      </c>
      <c r="G5852" s="174">
        <v>45576.460914351854</v>
      </c>
    </row>
    <row r="5853" spans="1:7">
      <c r="A5853">
        <v>5914</v>
      </c>
      <c r="B5853" t="s">
        <v>7311</v>
      </c>
      <c r="C5853" t="s">
        <v>4712</v>
      </c>
      <c r="E5853">
        <v>0.01</v>
      </c>
      <c r="F5853" t="s">
        <v>546</v>
      </c>
      <c r="G5853" s="174">
        <v>45576.460914351854</v>
      </c>
    </row>
    <row r="5854" spans="1:7">
      <c r="A5854">
        <v>5915</v>
      </c>
      <c r="B5854" t="s">
        <v>7312</v>
      </c>
      <c r="C5854" t="s">
        <v>4120</v>
      </c>
      <c r="E5854">
        <v>0.01</v>
      </c>
      <c r="F5854" t="s">
        <v>546</v>
      </c>
      <c r="G5854" s="174">
        <v>45576.460914351854</v>
      </c>
    </row>
    <row r="5855" spans="1:7">
      <c r="A5855">
        <v>5916</v>
      </c>
      <c r="B5855" t="s">
        <v>7313</v>
      </c>
      <c r="C5855" t="s">
        <v>7314</v>
      </c>
      <c r="E5855">
        <v>0.6</v>
      </c>
      <c r="F5855" t="s">
        <v>546</v>
      </c>
      <c r="G5855" s="174">
        <v>45576.460914351854</v>
      </c>
    </row>
    <row r="5856" spans="1:7">
      <c r="A5856">
        <v>5917</v>
      </c>
      <c r="B5856" t="s">
        <v>7313</v>
      </c>
      <c r="C5856" t="s">
        <v>5408</v>
      </c>
      <c r="E5856">
        <v>1</v>
      </c>
      <c r="F5856" t="s">
        <v>546</v>
      </c>
      <c r="G5856" s="174">
        <v>45576.460914351854</v>
      </c>
    </row>
    <row r="5857" spans="1:7">
      <c r="A5857">
        <v>5918</v>
      </c>
      <c r="B5857" t="s">
        <v>2382</v>
      </c>
      <c r="C5857" t="s">
        <v>3773</v>
      </c>
      <c r="E5857">
        <v>0.01</v>
      </c>
      <c r="F5857" t="s">
        <v>546</v>
      </c>
      <c r="G5857" s="174">
        <v>45576.460914351854</v>
      </c>
    </row>
    <row r="5858" spans="1:7">
      <c r="A5858">
        <v>5919</v>
      </c>
      <c r="B5858" t="s">
        <v>7315</v>
      </c>
      <c r="C5858" t="s">
        <v>3302</v>
      </c>
      <c r="E5858">
        <v>0.01</v>
      </c>
      <c r="F5858" t="s">
        <v>546</v>
      </c>
      <c r="G5858" s="174">
        <v>45576.460914351854</v>
      </c>
    </row>
    <row r="5859" spans="1:7">
      <c r="A5859">
        <v>5920</v>
      </c>
      <c r="B5859" t="s">
        <v>2383</v>
      </c>
      <c r="C5859" t="s">
        <v>7316</v>
      </c>
      <c r="E5859">
        <v>0.01</v>
      </c>
      <c r="F5859" t="s">
        <v>546</v>
      </c>
      <c r="G5859" s="174">
        <v>45576.460914351854</v>
      </c>
    </row>
    <row r="5860" spans="1:7">
      <c r="A5860">
        <v>5921</v>
      </c>
      <c r="B5860" t="s">
        <v>7317</v>
      </c>
      <c r="C5860" t="s">
        <v>4522</v>
      </c>
      <c r="E5860">
        <v>0.01</v>
      </c>
      <c r="F5860" t="s">
        <v>546</v>
      </c>
      <c r="G5860" s="174">
        <v>45576.460914351854</v>
      </c>
    </row>
    <row r="5861" spans="1:7">
      <c r="A5861">
        <v>5922</v>
      </c>
      <c r="B5861" t="s">
        <v>7317</v>
      </c>
      <c r="C5861" t="s">
        <v>5554</v>
      </c>
      <c r="E5861">
        <v>0.05</v>
      </c>
      <c r="F5861" t="s">
        <v>546</v>
      </c>
      <c r="G5861" s="174">
        <v>45576.460914351854</v>
      </c>
    </row>
    <row r="5862" spans="1:7">
      <c r="A5862">
        <v>5923</v>
      </c>
      <c r="B5862" t="s">
        <v>7318</v>
      </c>
      <c r="C5862" t="s">
        <v>7319</v>
      </c>
      <c r="E5862">
        <v>0.01</v>
      </c>
      <c r="F5862" t="s">
        <v>546</v>
      </c>
      <c r="G5862" s="174">
        <v>45576.460914351854</v>
      </c>
    </row>
    <row r="5863" spans="1:7">
      <c r="A5863">
        <v>5924</v>
      </c>
      <c r="B5863" t="s">
        <v>7320</v>
      </c>
      <c r="C5863" t="s">
        <v>4386</v>
      </c>
      <c r="E5863">
        <v>0.1</v>
      </c>
      <c r="F5863" t="s">
        <v>546</v>
      </c>
      <c r="G5863" s="174">
        <v>45576.460914351854</v>
      </c>
    </row>
    <row r="5864" spans="1:7">
      <c r="A5864">
        <v>5925</v>
      </c>
      <c r="B5864" t="s">
        <v>7321</v>
      </c>
      <c r="C5864" t="s">
        <v>3738</v>
      </c>
      <c r="E5864">
        <v>0.01</v>
      </c>
      <c r="F5864" t="s">
        <v>546</v>
      </c>
      <c r="G5864" s="174">
        <v>45576.460914351854</v>
      </c>
    </row>
    <row r="5865" spans="1:7">
      <c r="A5865">
        <v>5926</v>
      </c>
      <c r="B5865" t="s">
        <v>7322</v>
      </c>
      <c r="C5865" t="s">
        <v>5081</v>
      </c>
      <c r="E5865">
        <v>0.01</v>
      </c>
      <c r="F5865" t="s">
        <v>546</v>
      </c>
      <c r="G5865" s="174">
        <v>45576.460914351854</v>
      </c>
    </row>
    <row r="5866" spans="1:7">
      <c r="A5866">
        <v>5927</v>
      </c>
      <c r="B5866" t="s">
        <v>7323</v>
      </c>
      <c r="C5866" t="s">
        <v>3897</v>
      </c>
      <c r="E5866">
        <v>0.1</v>
      </c>
      <c r="F5866" t="s">
        <v>546</v>
      </c>
      <c r="G5866" s="174">
        <v>45576.460914351854</v>
      </c>
    </row>
    <row r="5867" spans="1:7">
      <c r="A5867">
        <v>5928</v>
      </c>
      <c r="B5867" t="s">
        <v>7324</v>
      </c>
      <c r="C5867" t="s">
        <v>4505</v>
      </c>
      <c r="E5867">
        <v>0.01</v>
      </c>
      <c r="F5867" t="s">
        <v>546</v>
      </c>
      <c r="G5867" s="174">
        <v>45576.460914351854</v>
      </c>
    </row>
    <row r="5868" spans="1:7">
      <c r="A5868">
        <v>5929</v>
      </c>
      <c r="B5868" t="s">
        <v>7324</v>
      </c>
      <c r="C5868" t="s">
        <v>4506</v>
      </c>
      <c r="E5868">
        <v>0.01</v>
      </c>
      <c r="F5868" t="s">
        <v>546</v>
      </c>
      <c r="G5868" s="174">
        <v>45576.460914351854</v>
      </c>
    </row>
    <row r="5869" spans="1:7">
      <c r="A5869">
        <v>5930</v>
      </c>
      <c r="B5869" t="s">
        <v>7325</v>
      </c>
      <c r="C5869" t="s">
        <v>4888</v>
      </c>
      <c r="E5869">
        <v>0.01</v>
      </c>
      <c r="F5869" t="s">
        <v>546</v>
      </c>
      <c r="G5869" s="174">
        <v>45576.460914351854</v>
      </c>
    </row>
    <row r="5870" spans="1:7">
      <c r="A5870">
        <v>5931</v>
      </c>
      <c r="B5870" t="s">
        <v>7326</v>
      </c>
      <c r="C5870" t="s">
        <v>6417</v>
      </c>
      <c r="E5870">
        <v>0.01</v>
      </c>
      <c r="F5870" t="s">
        <v>546</v>
      </c>
      <c r="G5870" s="174">
        <v>45576.460914351854</v>
      </c>
    </row>
    <row r="5871" spans="1:7">
      <c r="A5871">
        <v>5932</v>
      </c>
      <c r="B5871" t="s">
        <v>7327</v>
      </c>
      <c r="C5871" t="s">
        <v>3930</v>
      </c>
      <c r="E5871">
        <v>0.01</v>
      </c>
      <c r="F5871" t="s">
        <v>546</v>
      </c>
      <c r="G5871" s="174">
        <v>45576.460914351854</v>
      </c>
    </row>
    <row r="5872" spans="1:7">
      <c r="A5872">
        <v>5933</v>
      </c>
      <c r="B5872" t="s">
        <v>7328</v>
      </c>
      <c r="C5872" t="s">
        <v>2906</v>
      </c>
      <c r="E5872">
        <v>0.01</v>
      </c>
      <c r="F5872" t="s">
        <v>546</v>
      </c>
      <c r="G5872" s="174">
        <v>45576.460914351854</v>
      </c>
    </row>
    <row r="5873" spans="1:7">
      <c r="A5873">
        <v>5934</v>
      </c>
      <c r="B5873" t="s">
        <v>7329</v>
      </c>
      <c r="C5873" t="s">
        <v>4719</v>
      </c>
      <c r="E5873">
        <v>0.01</v>
      </c>
      <c r="F5873" t="s">
        <v>546</v>
      </c>
      <c r="G5873" s="174">
        <v>45576.460914351854</v>
      </c>
    </row>
    <row r="5874" spans="1:7">
      <c r="A5874">
        <v>5935</v>
      </c>
      <c r="B5874" t="s">
        <v>7330</v>
      </c>
      <c r="C5874" t="s">
        <v>6336</v>
      </c>
      <c r="E5874">
        <v>0.01</v>
      </c>
      <c r="F5874" t="s">
        <v>546</v>
      </c>
      <c r="G5874" s="174">
        <v>45576.460914351854</v>
      </c>
    </row>
    <row r="5875" spans="1:7">
      <c r="A5875">
        <v>5936</v>
      </c>
      <c r="B5875" t="s">
        <v>7331</v>
      </c>
      <c r="C5875" t="s">
        <v>2841</v>
      </c>
      <c r="E5875">
        <v>0.01</v>
      </c>
      <c r="F5875" t="s">
        <v>546</v>
      </c>
      <c r="G5875" s="174">
        <v>45576.460914351854</v>
      </c>
    </row>
    <row r="5876" spans="1:7">
      <c r="A5876">
        <v>5937</v>
      </c>
      <c r="B5876" t="s">
        <v>7332</v>
      </c>
      <c r="C5876" t="s">
        <v>3087</v>
      </c>
      <c r="E5876">
        <v>0.01</v>
      </c>
      <c r="F5876" t="s">
        <v>546</v>
      </c>
      <c r="G5876" s="174">
        <v>45576.460914351854</v>
      </c>
    </row>
    <row r="5877" spans="1:7">
      <c r="A5877">
        <v>5938</v>
      </c>
      <c r="B5877" t="s">
        <v>7332</v>
      </c>
      <c r="C5877" t="s">
        <v>7333</v>
      </c>
      <c r="E5877">
        <v>0.01</v>
      </c>
      <c r="F5877" t="s">
        <v>546</v>
      </c>
      <c r="G5877" s="174">
        <v>45576.460914351854</v>
      </c>
    </row>
    <row r="5878" spans="1:7">
      <c r="A5878">
        <v>5939</v>
      </c>
      <c r="B5878" t="s">
        <v>7334</v>
      </c>
      <c r="C5878" t="s">
        <v>4659</v>
      </c>
      <c r="E5878">
        <v>0.01</v>
      </c>
      <c r="F5878" t="s">
        <v>546</v>
      </c>
      <c r="G5878" s="174">
        <v>45576.460914351854</v>
      </c>
    </row>
    <row r="5879" spans="1:7">
      <c r="A5879">
        <v>5940</v>
      </c>
      <c r="B5879" t="s">
        <v>7334</v>
      </c>
      <c r="C5879" t="s">
        <v>7335</v>
      </c>
      <c r="E5879">
        <v>0.01</v>
      </c>
      <c r="F5879" t="s">
        <v>546</v>
      </c>
      <c r="G5879" s="174">
        <v>45576.460914351854</v>
      </c>
    </row>
    <row r="5880" spans="1:7">
      <c r="A5880">
        <v>5941</v>
      </c>
      <c r="B5880" t="s">
        <v>7336</v>
      </c>
      <c r="C5880" t="s">
        <v>3454</v>
      </c>
      <c r="E5880">
        <v>0.1</v>
      </c>
      <c r="F5880" t="s">
        <v>546</v>
      </c>
      <c r="G5880" s="174">
        <v>45576.460914351854</v>
      </c>
    </row>
    <row r="5881" spans="1:7">
      <c r="A5881">
        <v>5942</v>
      </c>
      <c r="B5881" t="s">
        <v>7336</v>
      </c>
      <c r="C5881" t="s">
        <v>3786</v>
      </c>
      <c r="E5881">
        <v>0.1</v>
      </c>
      <c r="F5881" t="s">
        <v>546</v>
      </c>
      <c r="G5881" s="174">
        <v>45576.460914351854</v>
      </c>
    </row>
    <row r="5882" spans="1:7">
      <c r="A5882">
        <v>5943</v>
      </c>
      <c r="B5882" t="s">
        <v>7337</v>
      </c>
      <c r="C5882" t="s">
        <v>3291</v>
      </c>
      <c r="E5882">
        <v>0.01</v>
      </c>
      <c r="F5882" t="s">
        <v>546</v>
      </c>
      <c r="G5882" s="174">
        <v>45576.460914351854</v>
      </c>
    </row>
    <row r="5883" spans="1:7">
      <c r="A5883">
        <v>5944</v>
      </c>
      <c r="B5883" t="s">
        <v>7337</v>
      </c>
      <c r="C5883" t="s">
        <v>4684</v>
      </c>
      <c r="E5883">
        <v>0.01</v>
      </c>
      <c r="F5883" t="s">
        <v>546</v>
      </c>
      <c r="G5883" s="174">
        <v>45576.460914351854</v>
      </c>
    </row>
    <row r="5884" spans="1:7">
      <c r="A5884">
        <v>5945</v>
      </c>
      <c r="B5884" t="s">
        <v>7338</v>
      </c>
      <c r="C5884" t="s">
        <v>7339</v>
      </c>
      <c r="E5884">
        <v>0.01</v>
      </c>
      <c r="F5884" t="s">
        <v>546</v>
      </c>
      <c r="G5884" s="174">
        <v>45576.460914351854</v>
      </c>
    </row>
    <row r="5885" spans="1:7">
      <c r="A5885">
        <v>5946</v>
      </c>
      <c r="B5885" t="s">
        <v>7340</v>
      </c>
      <c r="C5885" t="s">
        <v>6142</v>
      </c>
      <c r="E5885">
        <v>0.01</v>
      </c>
      <c r="F5885" t="s">
        <v>546</v>
      </c>
      <c r="G5885" s="174">
        <v>45576.460914351854</v>
      </c>
    </row>
    <row r="5886" spans="1:7">
      <c r="A5886">
        <v>5947</v>
      </c>
      <c r="B5886" t="s">
        <v>7341</v>
      </c>
      <c r="C5886" t="s">
        <v>7342</v>
      </c>
      <c r="E5886">
        <v>0.01</v>
      </c>
      <c r="F5886" t="s">
        <v>546</v>
      </c>
      <c r="G5886" s="174">
        <v>45576.460914351854</v>
      </c>
    </row>
    <row r="5887" spans="1:7">
      <c r="A5887">
        <v>5948</v>
      </c>
      <c r="B5887" t="s">
        <v>7343</v>
      </c>
      <c r="C5887" t="s">
        <v>4395</v>
      </c>
      <c r="E5887">
        <v>0.1</v>
      </c>
      <c r="F5887" t="s">
        <v>546</v>
      </c>
      <c r="G5887" s="174">
        <v>45576.460914351854</v>
      </c>
    </row>
    <row r="5888" spans="1:7">
      <c r="A5888">
        <v>5949</v>
      </c>
      <c r="B5888" t="s">
        <v>7344</v>
      </c>
      <c r="C5888" t="s">
        <v>4107</v>
      </c>
      <c r="E5888">
        <v>0.01</v>
      </c>
      <c r="F5888" t="s">
        <v>546</v>
      </c>
      <c r="G5888" s="174">
        <v>45576.460914351854</v>
      </c>
    </row>
    <row r="5889" spans="1:7">
      <c r="A5889">
        <v>5950</v>
      </c>
      <c r="B5889" t="s">
        <v>7344</v>
      </c>
      <c r="C5889" t="s">
        <v>7083</v>
      </c>
      <c r="E5889">
        <v>0.01</v>
      </c>
      <c r="F5889" t="s">
        <v>546</v>
      </c>
      <c r="G5889" s="174">
        <v>45576.460914351854</v>
      </c>
    </row>
    <row r="5890" spans="1:7">
      <c r="A5890">
        <v>5951</v>
      </c>
      <c r="B5890" t="s">
        <v>7345</v>
      </c>
      <c r="C5890" t="s">
        <v>3502</v>
      </c>
      <c r="E5890">
        <v>0.01</v>
      </c>
      <c r="F5890" t="s">
        <v>546</v>
      </c>
      <c r="G5890" s="174">
        <v>45576.460914351854</v>
      </c>
    </row>
    <row r="5891" spans="1:7">
      <c r="A5891">
        <v>5952</v>
      </c>
      <c r="B5891" t="s">
        <v>2404</v>
      </c>
      <c r="C5891" t="s">
        <v>6818</v>
      </c>
      <c r="E5891">
        <v>0.01</v>
      </c>
      <c r="F5891" t="s">
        <v>546</v>
      </c>
      <c r="G5891" s="174">
        <v>45576.460914351854</v>
      </c>
    </row>
    <row r="5892" spans="1:7">
      <c r="A5892">
        <v>5953</v>
      </c>
      <c r="B5892" t="s">
        <v>2404</v>
      </c>
      <c r="C5892" t="s">
        <v>6063</v>
      </c>
      <c r="E5892">
        <v>0.01</v>
      </c>
      <c r="F5892" t="s">
        <v>546</v>
      </c>
      <c r="G5892" s="174">
        <v>45576.460914351854</v>
      </c>
    </row>
    <row r="5893" spans="1:7">
      <c r="A5893">
        <v>5954</v>
      </c>
      <c r="B5893" t="s">
        <v>7346</v>
      </c>
      <c r="C5893" t="s">
        <v>2911</v>
      </c>
      <c r="E5893">
        <v>0.01</v>
      </c>
      <c r="F5893" t="s">
        <v>546</v>
      </c>
      <c r="G5893" s="174">
        <v>45576.460914351854</v>
      </c>
    </row>
    <row r="5894" spans="1:7">
      <c r="A5894">
        <v>5955</v>
      </c>
      <c r="B5894" t="s">
        <v>7347</v>
      </c>
      <c r="C5894" t="s">
        <v>5123</v>
      </c>
      <c r="E5894">
        <v>0.01</v>
      </c>
      <c r="F5894" t="s">
        <v>546</v>
      </c>
      <c r="G5894" s="174">
        <v>45576.460914351854</v>
      </c>
    </row>
    <row r="5895" spans="1:7">
      <c r="A5895">
        <v>5956</v>
      </c>
      <c r="B5895" t="s">
        <v>7348</v>
      </c>
      <c r="C5895" t="s">
        <v>3192</v>
      </c>
      <c r="E5895">
        <v>0.01</v>
      </c>
      <c r="F5895" t="s">
        <v>546</v>
      </c>
      <c r="G5895" s="174">
        <v>45576.460914351854</v>
      </c>
    </row>
    <row r="5896" spans="1:7">
      <c r="A5896">
        <v>5957</v>
      </c>
      <c r="B5896" t="s">
        <v>7349</v>
      </c>
      <c r="C5896" t="s">
        <v>4386</v>
      </c>
      <c r="E5896">
        <v>0.01</v>
      </c>
      <c r="F5896" t="s">
        <v>546</v>
      </c>
      <c r="G5896" s="174">
        <v>45576.460914351854</v>
      </c>
    </row>
    <row r="5897" spans="1:7">
      <c r="A5897">
        <v>5958</v>
      </c>
      <c r="B5897" t="s">
        <v>7350</v>
      </c>
      <c r="C5897" t="s">
        <v>7351</v>
      </c>
      <c r="E5897">
        <v>0.1</v>
      </c>
      <c r="F5897" t="s">
        <v>546</v>
      </c>
      <c r="G5897" s="174">
        <v>45576.460914351854</v>
      </c>
    </row>
    <row r="5898" spans="1:7">
      <c r="A5898">
        <v>5959</v>
      </c>
      <c r="B5898" t="s">
        <v>7350</v>
      </c>
      <c r="C5898" t="s">
        <v>3943</v>
      </c>
      <c r="E5898">
        <v>0.01</v>
      </c>
      <c r="F5898" t="s">
        <v>546</v>
      </c>
      <c r="G5898" s="174">
        <v>45576.460914351854</v>
      </c>
    </row>
    <row r="5899" spans="1:7">
      <c r="A5899">
        <v>5960</v>
      </c>
      <c r="B5899" t="s">
        <v>7352</v>
      </c>
      <c r="C5899" t="s">
        <v>3308</v>
      </c>
      <c r="E5899">
        <v>0.01</v>
      </c>
      <c r="F5899" t="s">
        <v>546</v>
      </c>
      <c r="G5899" s="174">
        <v>45576.460914351854</v>
      </c>
    </row>
    <row r="5900" spans="1:7">
      <c r="A5900">
        <v>5961</v>
      </c>
      <c r="B5900" t="s">
        <v>7353</v>
      </c>
      <c r="C5900" t="s">
        <v>3246</v>
      </c>
      <c r="E5900">
        <v>0.01</v>
      </c>
      <c r="F5900" t="s">
        <v>546</v>
      </c>
      <c r="G5900" s="174">
        <v>45576.460914351854</v>
      </c>
    </row>
    <row r="5901" spans="1:7">
      <c r="A5901">
        <v>5962</v>
      </c>
      <c r="B5901" t="s">
        <v>2409</v>
      </c>
      <c r="C5901" t="s">
        <v>3453</v>
      </c>
      <c r="E5901">
        <v>0.01</v>
      </c>
      <c r="F5901" t="s">
        <v>546</v>
      </c>
      <c r="G5901" s="174">
        <v>45576.460914351854</v>
      </c>
    </row>
    <row r="5902" spans="1:7">
      <c r="A5902">
        <v>5963</v>
      </c>
      <c r="B5902" t="s">
        <v>7354</v>
      </c>
      <c r="C5902" t="s">
        <v>3636</v>
      </c>
      <c r="E5902">
        <v>0.01</v>
      </c>
      <c r="F5902" t="s">
        <v>546</v>
      </c>
      <c r="G5902" s="174">
        <v>45576.460914351854</v>
      </c>
    </row>
    <row r="5903" spans="1:7">
      <c r="A5903">
        <v>5964</v>
      </c>
      <c r="B5903" t="s">
        <v>2411</v>
      </c>
      <c r="C5903" t="s">
        <v>6198</v>
      </c>
      <c r="E5903">
        <v>0.01</v>
      </c>
      <c r="F5903" t="s">
        <v>546</v>
      </c>
      <c r="G5903" s="174">
        <v>45576.460914351854</v>
      </c>
    </row>
    <row r="5904" spans="1:7">
      <c r="A5904">
        <v>5965</v>
      </c>
      <c r="B5904" t="s">
        <v>7355</v>
      </c>
      <c r="C5904" t="s">
        <v>4570</v>
      </c>
      <c r="E5904">
        <v>0.8</v>
      </c>
      <c r="F5904" t="s">
        <v>546</v>
      </c>
      <c r="G5904" s="174">
        <v>45576.460914351854</v>
      </c>
    </row>
    <row r="5905" spans="1:7">
      <c r="A5905">
        <v>5966</v>
      </c>
      <c r="B5905" t="s">
        <v>7356</v>
      </c>
      <c r="C5905" t="s">
        <v>3310</v>
      </c>
      <c r="E5905">
        <v>0.01</v>
      </c>
      <c r="F5905" t="s">
        <v>546</v>
      </c>
      <c r="G5905" s="174">
        <v>45576.460914351854</v>
      </c>
    </row>
    <row r="5906" spans="1:7">
      <c r="A5906">
        <v>5967</v>
      </c>
      <c r="B5906" t="s">
        <v>2412</v>
      </c>
      <c r="C5906" t="s">
        <v>6340</v>
      </c>
      <c r="E5906">
        <v>0.01</v>
      </c>
      <c r="F5906" t="s">
        <v>546</v>
      </c>
      <c r="G5906" s="174">
        <v>45576.460914351854</v>
      </c>
    </row>
    <row r="5907" spans="1:7">
      <c r="A5907">
        <v>5968</v>
      </c>
      <c r="B5907" t="s">
        <v>7357</v>
      </c>
      <c r="C5907" t="s">
        <v>4853</v>
      </c>
      <c r="E5907">
        <v>0.01</v>
      </c>
      <c r="F5907" t="s">
        <v>546</v>
      </c>
      <c r="G5907" s="174">
        <v>45576.460914351854</v>
      </c>
    </row>
    <row r="5908" spans="1:7">
      <c r="A5908">
        <v>5969</v>
      </c>
      <c r="B5908" t="s">
        <v>7358</v>
      </c>
      <c r="C5908" t="s">
        <v>3256</v>
      </c>
      <c r="E5908">
        <v>0.6</v>
      </c>
      <c r="F5908" t="s">
        <v>546</v>
      </c>
      <c r="G5908" s="174">
        <v>45576.460914351854</v>
      </c>
    </row>
    <row r="5909" spans="1:7">
      <c r="A5909">
        <v>5970</v>
      </c>
      <c r="B5909" t="s">
        <v>7358</v>
      </c>
      <c r="C5909" t="s">
        <v>3943</v>
      </c>
      <c r="E5909">
        <v>0.8</v>
      </c>
      <c r="F5909" t="s">
        <v>546</v>
      </c>
      <c r="G5909" s="174">
        <v>45576.460914351854</v>
      </c>
    </row>
    <row r="5910" spans="1:7">
      <c r="A5910">
        <v>5971</v>
      </c>
      <c r="B5910" t="s">
        <v>7358</v>
      </c>
      <c r="C5910" t="s">
        <v>7136</v>
      </c>
      <c r="E5910">
        <v>0.7</v>
      </c>
      <c r="F5910" t="s">
        <v>546</v>
      </c>
      <c r="G5910" s="174">
        <v>45576.460914351854</v>
      </c>
    </row>
    <row r="5911" spans="1:7">
      <c r="A5911">
        <v>5972</v>
      </c>
      <c r="B5911" t="s">
        <v>7359</v>
      </c>
      <c r="C5911" t="s">
        <v>6000</v>
      </c>
      <c r="E5911">
        <v>0.01</v>
      </c>
      <c r="F5911" t="s">
        <v>546</v>
      </c>
      <c r="G5911" s="174">
        <v>45576.460914351854</v>
      </c>
    </row>
    <row r="5912" spans="1:7">
      <c r="A5912">
        <v>5973</v>
      </c>
      <c r="B5912" t="s">
        <v>7360</v>
      </c>
      <c r="C5912" t="s">
        <v>4413</v>
      </c>
      <c r="E5912">
        <v>0.01</v>
      </c>
      <c r="F5912" t="s">
        <v>546</v>
      </c>
      <c r="G5912" s="174">
        <v>45576.460914351854</v>
      </c>
    </row>
    <row r="5913" spans="1:7">
      <c r="A5913">
        <v>5974</v>
      </c>
      <c r="B5913" t="s">
        <v>7361</v>
      </c>
      <c r="C5913" t="s">
        <v>7362</v>
      </c>
      <c r="E5913">
        <v>0.1</v>
      </c>
      <c r="F5913" t="s">
        <v>546</v>
      </c>
      <c r="G5913" s="174">
        <v>45576.460914351854</v>
      </c>
    </row>
    <row r="5914" spans="1:7">
      <c r="A5914">
        <v>5975</v>
      </c>
      <c r="B5914" t="s">
        <v>2413</v>
      </c>
      <c r="C5914" t="s">
        <v>4610</v>
      </c>
      <c r="E5914">
        <v>0.1</v>
      </c>
      <c r="F5914" t="s">
        <v>546</v>
      </c>
      <c r="G5914" s="174">
        <v>45576.460914351854</v>
      </c>
    </row>
    <row r="5915" spans="1:7">
      <c r="A5915">
        <v>5976</v>
      </c>
      <c r="B5915" t="s">
        <v>2413</v>
      </c>
      <c r="C5915" t="s">
        <v>3295</v>
      </c>
      <c r="E5915">
        <v>0.01</v>
      </c>
      <c r="F5915" t="s">
        <v>546</v>
      </c>
      <c r="G5915" s="174">
        <v>45576.460914351854</v>
      </c>
    </row>
    <row r="5916" spans="1:7">
      <c r="A5916">
        <v>5977</v>
      </c>
      <c r="B5916" t="s">
        <v>7363</v>
      </c>
      <c r="C5916" t="s">
        <v>1802</v>
      </c>
      <c r="E5916">
        <v>0.01</v>
      </c>
      <c r="F5916" t="s">
        <v>546</v>
      </c>
      <c r="G5916" s="174">
        <v>45576.460914351854</v>
      </c>
    </row>
    <row r="5917" spans="1:7">
      <c r="A5917">
        <v>5978</v>
      </c>
      <c r="B5917" t="s">
        <v>7364</v>
      </c>
      <c r="C5917" t="s">
        <v>6957</v>
      </c>
      <c r="E5917">
        <v>0.01</v>
      </c>
      <c r="F5917" t="s">
        <v>546</v>
      </c>
      <c r="G5917" s="174">
        <v>45576.460914351854</v>
      </c>
    </row>
    <row r="5918" spans="1:7">
      <c r="A5918">
        <v>5979</v>
      </c>
      <c r="B5918" t="s">
        <v>7365</v>
      </c>
      <c r="C5918" t="s">
        <v>3389</v>
      </c>
      <c r="E5918">
        <v>0.01</v>
      </c>
      <c r="F5918" t="s">
        <v>546</v>
      </c>
      <c r="G5918" s="174">
        <v>45576.460914351854</v>
      </c>
    </row>
    <row r="5919" spans="1:7">
      <c r="A5919">
        <v>5980</v>
      </c>
      <c r="B5919" t="s">
        <v>7366</v>
      </c>
      <c r="C5919" t="s">
        <v>3508</v>
      </c>
      <c r="E5919">
        <v>0.01</v>
      </c>
      <c r="F5919" t="s">
        <v>546</v>
      </c>
      <c r="G5919" s="174">
        <v>45576.460914351854</v>
      </c>
    </row>
    <row r="5920" spans="1:7">
      <c r="A5920">
        <v>5981</v>
      </c>
      <c r="B5920" t="s">
        <v>7367</v>
      </c>
      <c r="C5920" t="s">
        <v>7368</v>
      </c>
      <c r="E5920">
        <v>0.01</v>
      </c>
      <c r="F5920" t="s">
        <v>546</v>
      </c>
      <c r="G5920" s="174">
        <v>45576.460914351854</v>
      </c>
    </row>
    <row r="5921" spans="1:7">
      <c r="A5921">
        <v>5982</v>
      </c>
      <c r="B5921" t="s">
        <v>7369</v>
      </c>
      <c r="C5921" t="s">
        <v>7370</v>
      </c>
      <c r="E5921">
        <v>0.01</v>
      </c>
      <c r="F5921" t="s">
        <v>546</v>
      </c>
      <c r="G5921" s="174">
        <v>45576.460914351854</v>
      </c>
    </row>
    <row r="5922" spans="1:7">
      <c r="A5922">
        <v>5983</v>
      </c>
      <c r="B5922" t="s">
        <v>7371</v>
      </c>
      <c r="C5922" t="s">
        <v>7372</v>
      </c>
      <c r="E5922">
        <v>0.01</v>
      </c>
      <c r="F5922" t="s">
        <v>546</v>
      </c>
      <c r="G5922" s="174">
        <v>45576.460914351854</v>
      </c>
    </row>
    <row r="5923" spans="1:7">
      <c r="A5923">
        <v>5984</v>
      </c>
      <c r="B5923" t="s">
        <v>7373</v>
      </c>
      <c r="C5923" t="s">
        <v>5132</v>
      </c>
      <c r="E5923">
        <v>0.01</v>
      </c>
      <c r="F5923" t="s">
        <v>546</v>
      </c>
      <c r="G5923" s="174">
        <v>45576.460914351854</v>
      </c>
    </row>
    <row r="5924" spans="1:7">
      <c r="A5924">
        <v>5985</v>
      </c>
      <c r="B5924" t="s">
        <v>7374</v>
      </c>
      <c r="C5924" t="s">
        <v>7375</v>
      </c>
      <c r="E5924">
        <v>0.01</v>
      </c>
      <c r="F5924" t="s">
        <v>546</v>
      </c>
      <c r="G5924" s="174">
        <v>45576.460914351854</v>
      </c>
    </row>
    <row r="5925" spans="1:7">
      <c r="A5925">
        <v>5986</v>
      </c>
      <c r="B5925" t="s">
        <v>2418</v>
      </c>
      <c r="C5925" t="s">
        <v>6849</v>
      </c>
      <c r="E5925">
        <v>0.01</v>
      </c>
      <c r="F5925" t="s">
        <v>546</v>
      </c>
      <c r="G5925" s="174">
        <v>45576.460914351854</v>
      </c>
    </row>
    <row r="5926" spans="1:7">
      <c r="A5926">
        <v>5987</v>
      </c>
      <c r="B5926" t="s">
        <v>7376</v>
      </c>
      <c r="C5926" t="s">
        <v>4727</v>
      </c>
      <c r="E5926">
        <v>0.01</v>
      </c>
      <c r="F5926" t="s">
        <v>546</v>
      </c>
      <c r="G5926" s="174">
        <v>45576.460914351854</v>
      </c>
    </row>
    <row r="5927" spans="1:7">
      <c r="A5927">
        <v>5988</v>
      </c>
      <c r="B5927" t="s">
        <v>7377</v>
      </c>
      <c r="C5927" t="s">
        <v>6189</v>
      </c>
      <c r="E5927">
        <v>0.01</v>
      </c>
      <c r="F5927" t="s">
        <v>546</v>
      </c>
      <c r="G5927" s="174">
        <v>45576.460914351854</v>
      </c>
    </row>
    <row r="5928" spans="1:7">
      <c r="A5928">
        <v>5989</v>
      </c>
      <c r="B5928" t="s">
        <v>7378</v>
      </c>
      <c r="C5928" t="s">
        <v>7379</v>
      </c>
      <c r="E5928">
        <v>0.01</v>
      </c>
      <c r="F5928" t="s">
        <v>546</v>
      </c>
      <c r="G5928" s="174">
        <v>45576.460914351854</v>
      </c>
    </row>
    <row r="5929" spans="1:7">
      <c r="A5929">
        <v>5990</v>
      </c>
      <c r="B5929" t="s">
        <v>7378</v>
      </c>
      <c r="C5929" t="s">
        <v>7380</v>
      </c>
      <c r="E5929">
        <v>0.01</v>
      </c>
      <c r="F5929" t="s">
        <v>546</v>
      </c>
      <c r="G5929" s="174">
        <v>45576.460914351854</v>
      </c>
    </row>
    <row r="5930" spans="1:7">
      <c r="A5930">
        <v>5991</v>
      </c>
      <c r="B5930" t="s">
        <v>7381</v>
      </c>
      <c r="C5930" t="s">
        <v>4203</v>
      </c>
      <c r="E5930">
        <v>0.01</v>
      </c>
      <c r="F5930" t="s">
        <v>546</v>
      </c>
      <c r="G5930" s="174">
        <v>45576.460914351854</v>
      </c>
    </row>
    <row r="5931" spans="1:7">
      <c r="A5931">
        <v>5992</v>
      </c>
      <c r="B5931" t="s">
        <v>7382</v>
      </c>
      <c r="C5931" t="s">
        <v>6235</v>
      </c>
      <c r="E5931">
        <v>0.01</v>
      </c>
      <c r="F5931" t="s">
        <v>546</v>
      </c>
      <c r="G5931" s="174">
        <v>45576.460914351854</v>
      </c>
    </row>
    <row r="5932" spans="1:7">
      <c r="A5932">
        <v>5993</v>
      </c>
      <c r="B5932" t="s">
        <v>7383</v>
      </c>
      <c r="C5932" t="s">
        <v>7384</v>
      </c>
      <c r="E5932">
        <v>0.8</v>
      </c>
      <c r="F5932" t="s">
        <v>546</v>
      </c>
      <c r="G5932" s="174">
        <v>45576.460914351854</v>
      </c>
    </row>
    <row r="5933" spans="1:7">
      <c r="A5933">
        <v>5994</v>
      </c>
      <c r="B5933" t="s">
        <v>7385</v>
      </c>
      <c r="C5933" t="s">
        <v>2906</v>
      </c>
      <c r="E5933">
        <v>0.01</v>
      </c>
      <c r="F5933" t="s">
        <v>546</v>
      </c>
      <c r="G5933" s="174">
        <v>45576.460914351854</v>
      </c>
    </row>
    <row r="5934" spans="1:7">
      <c r="A5934">
        <v>5995</v>
      </c>
      <c r="B5934" t="s">
        <v>7386</v>
      </c>
      <c r="C5934" t="s">
        <v>2810</v>
      </c>
      <c r="E5934">
        <v>0.01</v>
      </c>
      <c r="F5934" t="s">
        <v>546</v>
      </c>
      <c r="G5934" s="174">
        <v>45576.460914351854</v>
      </c>
    </row>
    <row r="5935" spans="1:7">
      <c r="A5935">
        <v>5996</v>
      </c>
      <c r="B5935" t="s">
        <v>7387</v>
      </c>
      <c r="C5935" t="s">
        <v>3875</v>
      </c>
      <c r="E5935">
        <v>0.01</v>
      </c>
      <c r="F5935" t="s">
        <v>546</v>
      </c>
      <c r="G5935" s="174">
        <v>45576.460914351854</v>
      </c>
    </row>
    <row r="5936" spans="1:7">
      <c r="A5936">
        <v>5997</v>
      </c>
      <c r="B5936" t="s">
        <v>7387</v>
      </c>
      <c r="C5936" t="s">
        <v>7388</v>
      </c>
      <c r="E5936">
        <v>0.01</v>
      </c>
      <c r="F5936" t="s">
        <v>546</v>
      </c>
      <c r="G5936" s="174">
        <v>45576.460914351854</v>
      </c>
    </row>
    <row r="5937" spans="1:7">
      <c r="A5937">
        <v>5998</v>
      </c>
      <c r="B5937" t="s">
        <v>7389</v>
      </c>
      <c r="C5937" t="s">
        <v>3192</v>
      </c>
      <c r="E5937">
        <v>0.01</v>
      </c>
      <c r="F5937" t="s">
        <v>546</v>
      </c>
      <c r="G5937" s="174">
        <v>45576.460914351854</v>
      </c>
    </row>
    <row r="5938" spans="1:7">
      <c r="A5938">
        <v>5999</v>
      </c>
      <c r="B5938" t="s">
        <v>7390</v>
      </c>
      <c r="C5938" t="s">
        <v>3308</v>
      </c>
      <c r="E5938">
        <v>0.01</v>
      </c>
      <c r="F5938" t="s">
        <v>546</v>
      </c>
      <c r="G5938" s="174">
        <v>45576.460914351854</v>
      </c>
    </row>
    <row r="5939" spans="1:7">
      <c r="A5939">
        <v>6000</v>
      </c>
      <c r="B5939" t="s">
        <v>7391</v>
      </c>
      <c r="C5939" t="s">
        <v>4135</v>
      </c>
      <c r="E5939">
        <v>0.01</v>
      </c>
      <c r="F5939" t="s">
        <v>546</v>
      </c>
      <c r="G5939" s="174">
        <v>45576.460914351854</v>
      </c>
    </row>
    <row r="5940" spans="1:7">
      <c r="A5940">
        <v>6001</v>
      </c>
      <c r="B5940" t="s">
        <v>7392</v>
      </c>
      <c r="C5940" t="s">
        <v>3298</v>
      </c>
      <c r="E5940">
        <v>0.01</v>
      </c>
      <c r="F5940" t="s">
        <v>546</v>
      </c>
      <c r="G5940" s="174">
        <v>45576.460914351854</v>
      </c>
    </row>
    <row r="5941" spans="1:7">
      <c r="A5941">
        <v>6002</v>
      </c>
      <c r="B5941" t="s">
        <v>7393</v>
      </c>
      <c r="C5941" t="s">
        <v>4466</v>
      </c>
      <c r="E5941">
        <v>0.1</v>
      </c>
      <c r="F5941" t="s">
        <v>546</v>
      </c>
      <c r="G5941" s="174">
        <v>45576.460914351854</v>
      </c>
    </row>
    <row r="5942" spans="1:7">
      <c r="A5942">
        <v>6003</v>
      </c>
      <c r="B5942" t="s">
        <v>7394</v>
      </c>
      <c r="C5942" t="s">
        <v>4406</v>
      </c>
      <c r="E5942">
        <v>0.01</v>
      </c>
      <c r="F5942" t="s">
        <v>546</v>
      </c>
      <c r="G5942" s="174">
        <v>45576.460914351854</v>
      </c>
    </row>
    <row r="5943" spans="1:7">
      <c r="A5943">
        <v>6004</v>
      </c>
      <c r="B5943" t="s">
        <v>7395</v>
      </c>
      <c r="C5943" t="s">
        <v>5289</v>
      </c>
      <c r="E5943">
        <v>0.01</v>
      </c>
      <c r="F5943" t="s">
        <v>546</v>
      </c>
      <c r="G5943" s="174">
        <v>45576.460914351854</v>
      </c>
    </row>
    <row r="5944" spans="1:7">
      <c r="A5944">
        <v>6005</v>
      </c>
      <c r="B5944" t="s">
        <v>2425</v>
      </c>
      <c r="C5944" t="s">
        <v>4554</v>
      </c>
      <c r="E5944">
        <v>0.01</v>
      </c>
      <c r="F5944" t="s">
        <v>546</v>
      </c>
      <c r="G5944" s="174">
        <v>45576.460914351854</v>
      </c>
    </row>
    <row r="5945" spans="1:7">
      <c r="A5945">
        <v>6006</v>
      </c>
      <c r="B5945" t="s">
        <v>7396</v>
      </c>
      <c r="C5945" t="s">
        <v>5218</v>
      </c>
      <c r="E5945">
        <v>0.01</v>
      </c>
      <c r="F5945" t="s">
        <v>546</v>
      </c>
      <c r="G5945" s="174">
        <v>45576.460914351854</v>
      </c>
    </row>
    <row r="5946" spans="1:7">
      <c r="A5946">
        <v>6007</v>
      </c>
      <c r="B5946" t="s">
        <v>7397</v>
      </c>
      <c r="C5946" t="s">
        <v>6255</v>
      </c>
      <c r="E5946">
        <v>0.01</v>
      </c>
      <c r="F5946" t="s">
        <v>546</v>
      </c>
      <c r="G5946" s="174">
        <v>45576.460914351854</v>
      </c>
    </row>
    <row r="5947" spans="1:7">
      <c r="A5947">
        <v>6008</v>
      </c>
      <c r="B5947" t="s">
        <v>7398</v>
      </c>
      <c r="C5947" t="s">
        <v>3508</v>
      </c>
      <c r="E5947">
        <v>0.01</v>
      </c>
      <c r="F5947" t="s">
        <v>546</v>
      </c>
      <c r="G5947" s="174">
        <v>45576.460914351854</v>
      </c>
    </row>
    <row r="5948" spans="1:7">
      <c r="A5948">
        <v>6009</v>
      </c>
      <c r="B5948" t="s">
        <v>7399</v>
      </c>
      <c r="C5948" t="s">
        <v>7400</v>
      </c>
      <c r="E5948">
        <v>0.01</v>
      </c>
      <c r="F5948" t="s">
        <v>546</v>
      </c>
      <c r="G5948" s="174">
        <v>45576.460914351854</v>
      </c>
    </row>
    <row r="5949" spans="1:7">
      <c r="A5949">
        <v>6010</v>
      </c>
      <c r="B5949" t="s">
        <v>7401</v>
      </c>
      <c r="C5949" t="s">
        <v>2325</v>
      </c>
      <c r="E5949">
        <v>0.01</v>
      </c>
      <c r="F5949" t="s">
        <v>546</v>
      </c>
      <c r="G5949" s="174">
        <v>45576.460914351854</v>
      </c>
    </row>
    <row r="5950" spans="1:7">
      <c r="A5950">
        <v>6011</v>
      </c>
      <c r="B5950" t="s">
        <v>7401</v>
      </c>
      <c r="C5950" t="s">
        <v>6196</v>
      </c>
      <c r="E5950">
        <v>0.01</v>
      </c>
      <c r="F5950" t="s">
        <v>546</v>
      </c>
      <c r="G5950" s="174">
        <v>45576.460914351854</v>
      </c>
    </row>
    <row r="5951" spans="1:7">
      <c r="A5951">
        <v>6012</v>
      </c>
      <c r="B5951" t="s">
        <v>7402</v>
      </c>
      <c r="C5951" t="s">
        <v>3887</v>
      </c>
      <c r="E5951">
        <v>0.01</v>
      </c>
      <c r="F5951" t="s">
        <v>546</v>
      </c>
      <c r="G5951" s="174">
        <v>45576.460914351854</v>
      </c>
    </row>
    <row r="5952" spans="1:7">
      <c r="A5952">
        <v>6013</v>
      </c>
      <c r="B5952" t="s">
        <v>7403</v>
      </c>
      <c r="C5952" t="s">
        <v>6392</v>
      </c>
      <c r="E5952">
        <v>0.01</v>
      </c>
      <c r="F5952" t="s">
        <v>546</v>
      </c>
      <c r="G5952" s="174">
        <v>45576.460914351854</v>
      </c>
    </row>
    <row r="5953" spans="1:7">
      <c r="A5953">
        <v>6014</v>
      </c>
      <c r="B5953" t="s">
        <v>7404</v>
      </c>
      <c r="C5953" t="s">
        <v>5816</v>
      </c>
      <c r="E5953">
        <v>0.01</v>
      </c>
      <c r="F5953" t="s">
        <v>546</v>
      </c>
      <c r="G5953" s="174">
        <v>45576.460914351854</v>
      </c>
    </row>
    <row r="5954" spans="1:7">
      <c r="A5954">
        <v>6015</v>
      </c>
      <c r="B5954" t="s">
        <v>7405</v>
      </c>
      <c r="C5954" t="s">
        <v>7406</v>
      </c>
      <c r="E5954">
        <v>0.01</v>
      </c>
      <c r="F5954" t="s">
        <v>546</v>
      </c>
      <c r="G5954" s="174">
        <v>45576.460914351854</v>
      </c>
    </row>
    <row r="5955" spans="1:7">
      <c r="A5955">
        <v>6016</v>
      </c>
      <c r="B5955" t="s">
        <v>7405</v>
      </c>
      <c r="C5955" t="s">
        <v>2814</v>
      </c>
      <c r="E5955">
        <v>0.01</v>
      </c>
      <c r="F5955" t="s">
        <v>546</v>
      </c>
      <c r="G5955" s="174">
        <v>45576.460914351854</v>
      </c>
    </row>
    <row r="5956" spans="1:7">
      <c r="A5956">
        <v>6017</v>
      </c>
      <c r="B5956" t="s">
        <v>7407</v>
      </c>
      <c r="C5956" t="s">
        <v>1299</v>
      </c>
      <c r="E5956">
        <v>0.01</v>
      </c>
      <c r="F5956" t="s">
        <v>546</v>
      </c>
      <c r="G5956" s="174">
        <v>45576.460914351854</v>
      </c>
    </row>
    <row r="5957" spans="1:7">
      <c r="A5957">
        <v>6018</v>
      </c>
      <c r="B5957" t="s">
        <v>7408</v>
      </c>
      <c r="C5957" t="s">
        <v>3759</v>
      </c>
      <c r="E5957">
        <v>0.01</v>
      </c>
      <c r="F5957" t="s">
        <v>546</v>
      </c>
      <c r="G5957" s="174">
        <v>45576.460914351854</v>
      </c>
    </row>
    <row r="5958" spans="1:7">
      <c r="A5958">
        <v>6019</v>
      </c>
      <c r="B5958" t="s">
        <v>7409</v>
      </c>
      <c r="C5958" t="s">
        <v>7250</v>
      </c>
      <c r="E5958">
        <v>0.01</v>
      </c>
      <c r="F5958" t="s">
        <v>546</v>
      </c>
      <c r="G5958" s="174">
        <v>45576.460914351854</v>
      </c>
    </row>
    <row r="5959" spans="1:7">
      <c r="A5959">
        <v>6020</v>
      </c>
      <c r="B5959" t="s">
        <v>7409</v>
      </c>
      <c r="C5959" t="s">
        <v>2781</v>
      </c>
      <c r="E5959">
        <v>0.1</v>
      </c>
      <c r="F5959" t="s">
        <v>546</v>
      </c>
      <c r="G5959" s="174">
        <v>45576.460914351854</v>
      </c>
    </row>
    <row r="5960" spans="1:7">
      <c r="A5960">
        <v>6021</v>
      </c>
      <c r="B5960" t="s">
        <v>7410</v>
      </c>
      <c r="C5960" t="s">
        <v>7411</v>
      </c>
      <c r="E5960">
        <v>0.01</v>
      </c>
      <c r="F5960" t="s">
        <v>546</v>
      </c>
      <c r="G5960" s="174">
        <v>45576.460914351854</v>
      </c>
    </row>
    <row r="5961" spans="1:7">
      <c r="A5961">
        <v>6022</v>
      </c>
      <c r="B5961" t="s">
        <v>7412</v>
      </c>
      <c r="C5961" t="s">
        <v>5704</v>
      </c>
      <c r="E5961">
        <v>0.01</v>
      </c>
      <c r="F5961" t="s">
        <v>546</v>
      </c>
      <c r="G5961" s="174">
        <v>45576.460914351854</v>
      </c>
    </row>
    <row r="5962" spans="1:7">
      <c r="A5962">
        <v>6023</v>
      </c>
      <c r="B5962" t="s">
        <v>2435</v>
      </c>
      <c r="C5962" t="s">
        <v>7413</v>
      </c>
      <c r="E5962">
        <v>0.01</v>
      </c>
      <c r="F5962" t="s">
        <v>546</v>
      </c>
      <c r="G5962" s="174">
        <v>45576.460914351854</v>
      </c>
    </row>
    <row r="5963" spans="1:7">
      <c r="A5963">
        <v>6024</v>
      </c>
      <c r="B5963" t="s">
        <v>7414</v>
      </c>
      <c r="C5963" t="s">
        <v>3269</v>
      </c>
      <c r="E5963">
        <v>0.01</v>
      </c>
      <c r="F5963" t="s">
        <v>546</v>
      </c>
      <c r="G5963" s="174">
        <v>45576.460914351854</v>
      </c>
    </row>
    <row r="5964" spans="1:7">
      <c r="A5964">
        <v>6025</v>
      </c>
      <c r="B5964" t="s">
        <v>7415</v>
      </c>
      <c r="C5964" t="s">
        <v>6840</v>
      </c>
      <c r="E5964">
        <v>0.01</v>
      </c>
      <c r="F5964" t="s">
        <v>546</v>
      </c>
      <c r="G5964" s="174">
        <v>45576.460914351854</v>
      </c>
    </row>
    <row r="5965" spans="1:7">
      <c r="A5965">
        <v>6026</v>
      </c>
      <c r="B5965" t="s">
        <v>7416</v>
      </c>
      <c r="C5965" t="s">
        <v>7417</v>
      </c>
      <c r="E5965">
        <v>0.01</v>
      </c>
      <c r="F5965" t="s">
        <v>546</v>
      </c>
      <c r="G5965" s="174">
        <v>45576.460914351854</v>
      </c>
    </row>
    <row r="5966" spans="1:7">
      <c r="A5966">
        <v>6027</v>
      </c>
      <c r="B5966" t="s">
        <v>7418</v>
      </c>
      <c r="C5966" t="s">
        <v>5398</v>
      </c>
      <c r="E5966">
        <v>0.01</v>
      </c>
      <c r="F5966" t="s">
        <v>546</v>
      </c>
      <c r="G5966" s="174">
        <v>45576.460914351854</v>
      </c>
    </row>
    <row r="5967" spans="1:7">
      <c r="A5967">
        <v>6028</v>
      </c>
      <c r="B5967" t="s">
        <v>7418</v>
      </c>
      <c r="C5967" t="s">
        <v>5648</v>
      </c>
      <c r="E5967">
        <v>0.01</v>
      </c>
      <c r="F5967" t="s">
        <v>546</v>
      </c>
      <c r="G5967" s="174">
        <v>45576.460914351854</v>
      </c>
    </row>
    <row r="5968" spans="1:7">
      <c r="A5968">
        <v>6029</v>
      </c>
      <c r="B5968" t="s">
        <v>7419</v>
      </c>
      <c r="C5968" t="s">
        <v>6255</v>
      </c>
      <c r="E5968">
        <v>0.01</v>
      </c>
      <c r="F5968" t="s">
        <v>546</v>
      </c>
      <c r="G5968" s="174">
        <v>45576.460914351854</v>
      </c>
    </row>
    <row r="5969" spans="1:7">
      <c r="A5969">
        <v>6030</v>
      </c>
      <c r="B5969" t="s">
        <v>7420</v>
      </c>
      <c r="C5969" t="s">
        <v>3855</v>
      </c>
      <c r="E5969">
        <v>0.01</v>
      </c>
      <c r="F5969" t="s">
        <v>546</v>
      </c>
      <c r="G5969" s="174">
        <v>45576.460914351854</v>
      </c>
    </row>
    <row r="5970" spans="1:7">
      <c r="A5970">
        <v>6031</v>
      </c>
      <c r="B5970" t="s">
        <v>7420</v>
      </c>
      <c r="C5970" t="s">
        <v>5432</v>
      </c>
      <c r="E5970">
        <v>0.01</v>
      </c>
      <c r="F5970" t="s">
        <v>546</v>
      </c>
      <c r="G5970" s="174">
        <v>45576.460914351854</v>
      </c>
    </row>
    <row r="5971" spans="1:7">
      <c r="A5971">
        <v>6032</v>
      </c>
      <c r="B5971" t="s">
        <v>2440</v>
      </c>
      <c r="C5971" t="s">
        <v>6995</v>
      </c>
      <c r="E5971">
        <v>0.01</v>
      </c>
      <c r="F5971" t="s">
        <v>546</v>
      </c>
      <c r="G5971" s="174">
        <v>45576.460914351854</v>
      </c>
    </row>
    <row r="5972" spans="1:7">
      <c r="A5972">
        <v>6033</v>
      </c>
      <c r="B5972" t="s">
        <v>2441</v>
      </c>
      <c r="C5972" t="s">
        <v>7421</v>
      </c>
      <c r="E5972">
        <v>0.01</v>
      </c>
      <c r="F5972" t="s">
        <v>546</v>
      </c>
      <c r="G5972" s="174">
        <v>45576.460914351854</v>
      </c>
    </row>
    <row r="5973" spans="1:7">
      <c r="A5973">
        <v>6034</v>
      </c>
      <c r="B5973" t="s">
        <v>7422</v>
      </c>
      <c r="C5973" t="s">
        <v>7306</v>
      </c>
      <c r="E5973">
        <v>0.01</v>
      </c>
      <c r="F5973" t="s">
        <v>546</v>
      </c>
      <c r="G5973" s="174">
        <v>45576.460914351854</v>
      </c>
    </row>
    <row r="5974" spans="1:7">
      <c r="A5974">
        <v>6035</v>
      </c>
      <c r="B5974" t="s">
        <v>7423</v>
      </c>
      <c r="C5974" t="s">
        <v>7413</v>
      </c>
      <c r="E5974">
        <v>0.01</v>
      </c>
      <c r="F5974" t="s">
        <v>546</v>
      </c>
      <c r="G5974" s="174">
        <v>45576.460914351854</v>
      </c>
    </row>
    <row r="5975" spans="1:7">
      <c r="A5975">
        <v>6036</v>
      </c>
      <c r="B5975" t="s">
        <v>7424</v>
      </c>
      <c r="C5975" t="s">
        <v>4309</v>
      </c>
      <c r="E5975">
        <v>0.01</v>
      </c>
      <c r="F5975" t="s">
        <v>546</v>
      </c>
      <c r="G5975" s="174">
        <v>45576.460914351854</v>
      </c>
    </row>
    <row r="5976" spans="1:7">
      <c r="A5976">
        <v>6037</v>
      </c>
      <c r="B5976" t="s">
        <v>7425</v>
      </c>
      <c r="C5976" t="s">
        <v>7426</v>
      </c>
      <c r="E5976">
        <v>0.01</v>
      </c>
      <c r="F5976" t="s">
        <v>546</v>
      </c>
      <c r="G5976" s="174">
        <v>45576.460914351854</v>
      </c>
    </row>
    <row r="5977" spans="1:7">
      <c r="A5977">
        <v>6038</v>
      </c>
      <c r="B5977" t="s">
        <v>7425</v>
      </c>
      <c r="C5977" t="s">
        <v>4570</v>
      </c>
      <c r="E5977">
        <v>0.01</v>
      </c>
      <c r="F5977" t="s">
        <v>546</v>
      </c>
      <c r="G5977" s="174">
        <v>45576.460914351854</v>
      </c>
    </row>
    <row r="5978" spans="1:7">
      <c r="A5978">
        <v>6039</v>
      </c>
      <c r="B5978" t="s">
        <v>7425</v>
      </c>
      <c r="C5978" t="s">
        <v>6140</v>
      </c>
      <c r="E5978">
        <v>0.01</v>
      </c>
      <c r="F5978" t="s">
        <v>546</v>
      </c>
      <c r="G5978" s="174">
        <v>45576.460914351854</v>
      </c>
    </row>
    <row r="5979" spans="1:7">
      <c r="A5979">
        <v>6040</v>
      </c>
      <c r="B5979" t="s">
        <v>7427</v>
      </c>
      <c r="C5979" t="s">
        <v>4959</v>
      </c>
      <c r="E5979">
        <v>0.01</v>
      </c>
      <c r="F5979" t="s">
        <v>546</v>
      </c>
      <c r="G5979" s="174">
        <v>45576.460914351854</v>
      </c>
    </row>
    <row r="5980" spans="1:7">
      <c r="A5980">
        <v>6041</v>
      </c>
      <c r="B5980" t="s">
        <v>7427</v>
      </c>
      <c r="C5980" t="s">
        <v>4015</v>
      </c>
      <c r="E5980">
        <v>0.01</v>
      </c>
      <c r="F5980" t="s">
        <v>546</v>
      </c>
      <c r="G5980" s="174">
        <v>45576.460914351854</v>
      </c>
    </row>
    <row r="5981" spans="1:7">
      <c r="A5981">
        <v>6042</v>
      </c>
      <c r="B5981" t="s">
        <v>7428</v>
      </c>
      <c r="C5981" t="s">
        <v>3254</v>
      </c>
      <c r="E5981">
        <v>0.01</v>
      </c>
      <c r="F5981" t="s">
        <v>546</v>
      </c>
      <c r="G5981" s="174">
        <v>45576.460914351854</v>
      </c>
    </row>
    <row r="5982" spans="1:7">
      <c r="A5982">
        <v>6043</v>
      </c>
      <c r="B5982" t="s">
        <v>7428</v>
      </c>
      <c r="C5982" t="s">
        <v>5273</v>
      </c>
      <c r="E5982">
        <v>0.01</v>
      </c>
      <c r="F5982" t="s">
        <v>546</v>
      </c>
      <c r="G5982" s="174">
        <v>45576.460914351854</v>
      </c>
    </row>
    <row r="5983" spans="1:7">
      <c r="A5983">
        <v>6044</v>
      </c>
      <c r="B5983" t="s">
        <v>2446</v>
      </c>
      <c r="C5983" t="s">
        <v>1299</v>
      </c>
      <c r="E5983">
        <v>0.01</v>
      </c>
      <c r="F5983" t="s">
        <v>546</v>
      </c>
      <c r="G5983" s="174">
        <v>45576.460914351854</v>
      </c>
    </row>
    <row r="5984" spans="1:7">
      <c r="A5984">
        <v>6045</v>
      </c>
      <c r="B5984" t="s">
        <v>2446</v>
      </c>
      <c r="C5984" t="s">
        <v>3949</v>
      </c>
      <c r="E5984">
        <v>0.01</v>
      </c>
      <c r="F5984" t="s">
        <v>546</v>
      </c>
      <c r="G5984" s="174">
        <v>45576.460914351854</v>
      </c>
    </row>
    <row r="5985" spans="1:7">
      <c r="A5985">
        <v>6046</v>
      </c>
      <c r="B5985" t="s">
        <v>7429</v>
      </c>
      <c r="C5985" t="s">
        <v>3855</v>
      </c>
      <c r="E5985">
        <v>0.01</v>
      </c>
      <c r="F5985" t="s">
        <v>546</v>
      </c>
      <c r="G5985" s="174">
        <v>45576.460914351854</v>
      </c>
    </row>
    <row r="5986" spans="1:7">
      <c r="A5986">
        <v>6047</v>
      </c>
      <c r="B5986" t="s">
        <v>7430</v>
      </c>
      <c r="C5986" t="s">
        <v>3720</v>
      </c>
      <c r="E5986">
        <v>0.01</v>
      </c>
      <c r="F5986" t="s">
        <v>546</v>
      </c>
      <c r="G5986" s="174">
        <v>45576.460914351854</v>
      </c>
    </row>
    <row r="5987" spans="1:7">
      <c r="A5987">
        <v>6048</v>
      </c>
      <c r="B5987" t="s">
        <v>7431</v>
      </c>
      <c r="C5987" t="s">
        <v>3376</v>
      </c>
      <c r="E5987">
        <v>0.01</v>
      </c>
      <c r="F5987" t="s">
        <v>546</v>
      </c>
      <c r="G5987" s="174">
        <v>45576.460914351854</v>
      </c>
    </row>
    <row r="5988" spans="1:7">
      <c r="A5988">
        <v>6049</v>
      </c>
      <c r="B5988" t="s">
        <v>7432</v>
      </c>
      <c r="C5988" t="s">
        <v>7433</v>
      </c>
      <c r="E5988">
        <v>0.01</v>
      </c>
      <c r="F5988" t="s">
        <v>546</v>
      </c>
      <c r="G5988" s="174">
        <v>45576.460914351854</v>
      </c>
    </row>
    <row r="5989" spans="1:7">
      <c r="A5989">
        <v>6050</v>
      </c>
      <c r="B5989" t="s">
        <v>7434</v>
      </c>
      <c r="C5989" t="s">
        <v>3507</v>
      </c>
      <c r="E5989">
        <v>0.01</v>
      </c>
      <c r="F5989" t="s">
        <v>546</v>
      </c>
      <c r="G5989" s="174">
        <v>45576.460914351854</v>
      </c>
    </row>
    <row r="5990" spans="1:7">
      <c r="A5990">
        <v>6051</v>
      </c>
      <c r="B5990" t="s">
        <v>7434</v>
      </c>
      <c r="C5990" t="s">
        <v>3508</v>
      </c>
      <c r="E5990">
        <v>0.01</v>
      </c>
      <c r="F5990" t="s">
        <v>546</v>
      </c>
      <c r="G5990" s="174">
        <v>45576.460914351854</v>
      </c>
    </row>
    <row r="5991" spans="1:7">
      <c r="A5991">
        <v>6052</v>
      </c>
      <c r="B5991" t="s">
        <v>7435</v>
      </c>
      <c r="C5991" t="s">
        <v>2814</v>
      </c>
      <c r="E5991">
        <v>0.1</v>
      </c>
      <c r="F5991" t="s">
        <v>546</v>
      </c>
      <c r="G5991" s="174">
        <v>45576.460914351854</v>
      </c>
    </row>
    <row r="5992" spans="1:7">
      <c r="A5992">
        <v>6053</v>
      </c>
      <c r="B5992" t="s">
        <v>7436</v>
      </c>
      <c r="C5992" t="s">
        <v>7437</v>
      </c>
      <c r="E5992">
        <v>0.01</v>
      </c>
      <c r="F5992" t="s">
        <v>546</v>
      </c>
      <c r="G5992" s="174">
        <v>45576.460914351854</v>
      </c>
    </row>
    <row r="5993" spans="1:7">
      <c r="A5993">
        <v>6054</v>
      </c>
      <c r="B5993" t="s">
        <v>7438</v>
      </c>
      <c r="C5993" t="s">
        <v>6625</v>
      </c>
      <c r="E5993">
        <v>0.01</v>
      </c>
      <c r="F5993" t="s">
        <v>546</v>
      </c>
      <c r="G5993" s="174">
        <v>45576.460914351854</v>
      </c>
    </row>
    <row r="5994" spans="1:7">
      <c r="A5994">
        <v>6055</v>
      </c>
      <c r="B5994" t="s">
        <v>7439</v>
      </c>
      <c r="C5994" t="s">
        <v>7226</v>
      </c>
      <c r="E5994">
        <v>0.01</v>
      </c>
      <c r="F5994" t="s">
        <v>546</v>
      </c>
      <c r="G5994" s="174">
        <v>45576.460914351854</v>
      </c>
    </row>
    <row r="5995" spans="1:7">
      <c r="A5995">
        <v>6056</v>
      </c>
      <c r="B5995" t="s">
        <v>7440</v>
      </c>
      <c r="C5995" t="s">
        <v>4672</v>
      </c>
      <c r="E5995">
        <v>0.1</v>
      </c>
      <c r="F5995" t="s">
        <v>546</v>
      </c>
      <c r="G5995" s="174">
        <v>45576.460914351854</v>
      </c>
    </row>
    <row r="5996" spans="1:7">
      <c r="A5996">
        <v>6057</v>
      </c>
      <c r="B5996" t="s">
        <v>7440</v>
      </c>
      <c r="C5996" t="s">
        <v>3207</v>
      </c>
      <c r="E5996">
        <v>0.05</v>
      </c>
      <c r="F5996" t="s">
        <v>546</v>
      </c>
      <c r="G5996" s="174">
        <v>45576.460914351854</v>
      </c>
    </row>
    <row r="5997" spans="1:7">
      <c r="A5997">
        <v>6058</v>
      </c>
      <c r="B5997" t="s">
        <v>7441</v>
      </c>
      <c r="C5997" t="s">
        <v>3050</v>
      </c>
      <c r="E5997">
        <v>0.01</v>
      </c>
      <c r="F5997" t="s">
        <v>546</v>
      </c>
      <c r="G5997" s="174">
        <v>45576.460914351854</v>
      </c>
    </row>
    <row r="5998" spans="1:7">
      <c r="A5998">
        <v>6059</v>
      </c>
      <c r="B5998" t="s">
        <v>2451</v>
      </c>
      <c r="C5998" t="s">
        <v>741</v>
      </c>
      <c r="E5998">
        <v>0.8</v>
      </c>
      <c r="F5998" t="s">
        <v>546</v>
      </c>
      <c r="G5998" s="174">
        <v>45576.460914351854</v>
      </c>
    </row>
    <row r="5999" spans="1:7">
      <c r="A5999">
        <v>6060</v>
      </c>
      <c r="B5999" t="s">
        <v>7442</v>
      </c>
      <c r="C5999" t="s">
        <v>3943</v>
      </c>
      <c r="E5999">
        <v>0.01</v>
      </c>
      <c r="F5999" t="s">
        <v>546</v>
      </c>
      <c r="G5999" s="174">
        <v>45576.460914351854</v>
      </c>
    </row>
    <row r="6000" spans="1:7">
      <c r="A6000">
        <v>6061</v>
      </c>
      <c r="B6000" t="s">
        <v>7443</v>
      </c>
      <c r="C6000" t="s">
        <v>6189</v>
      </c>
      <c r="E6000">
        <v>0.01</v>
      </c>
      <c r="F6000" t="s">
        <v>546</v>
      </c>
      <c r="G6000" s="174">
        <v>45576.460914351854</v>
      </c>
    </row>
    <row r="6001" spans="1:7">
      <c r="A6001">
        <v>6062</v>
      </c>
      <c r="B6001" t="s">
        <v>2457</v>
      </c>
      <c r="C6001" t="s">
        <v>4650</v>
      </c>
      <c r="E6001">
        <v>0.05</v>
      </c>
      <c r="F6001" t="s">
        <v>546</v>
      </c>
      <c r="G6001" s="174">
        <v>45576.460914351854</v>
      </c>
    </row>
    <row r="6002" spans="1:7">
      <c r="A6002">
        <v>6063</v>
      </c>
      <c r="B6002" t="s">
        <v>7444</v>
      </c>
      <c r="C6002" t="s">
        <v>5568</v>
      </c>
      <c r="E6002">
        <v>0.01</v>
      </c>
      <c r="F6002" t="s">
        <v>546</v>
      </c>
      <c r="G6002" s="174">
        <v>45576.460914351854</v>
      </c>
    </row>
    <row r="6003" spans="1:7">
      <c r="A6003">
        <v>6064</v>
      </c>
      <c r="B6003" t="s">
        <v>7445</v>
      </c>
      <c r="C6003" t="s">
        <v>3630</v>
      </c>
      <c r="E6003">
        <v>0.01</v>
      </c>
      <c r="F6003" t="s">
        <v>546</v>
      </c>
      <c r="G6003" s="174">
        <v>45576.460914351854</v>
      </c>
    </row>
    <row r="6004" spans="1:7">
      <c r="A6004">
        <v>6065</v>
      </c>
      <c r="B6004" t="s">
        <v>7446</v>
      </c>
      <c r="C6004" t="s">
        <v>2935</v>
      </c>
      <c r="E6004">
        <v>0.01</v>
      </c>
      <c r="F6004" t="s">
        <v>546</v>
      </c>
      <c r="G6004" s="174">
        <v>45576.460914351854</v>
      </c>
    </row>
    <row r="6005" spans="1:7">
      <c r="A6005">
        <v>6066</v>
      </c>
      <c r="B6005" t="s">
        <v>7446</v>
      </c>
      <c r="C6005" t="s">
        <v>7447</v>
      </c>
      <c r="E6005">
        <v>0.01</v>
      </c>
      <c r="F6005" t="s">
        <v>546</v>
      </c>
      <c r="G6005" s="174">
        <v>45576.460914351854</v>
      </c>
    </row>
    <row r="6006" spans="1:7">
      <c r="A6006">
        <v>6068</v>
      </c>
      <c r="B6006" t="s">
        <v>2461</v>
      </c>
      <c r="C6006" t="s">
        <v>6809</v>
      </c>
      <c r="E6006">
        <v>0.01</v>
      </c>
      <c r="F6006" t="s">
        <v>546</v>
      </c>
      <c r="G6006" s="174">
        <v>45576.460914351854</v>
      </c>
    </row>
    <row r="6007" spans="1:7">
      <c r="A6007">
        <v>6069</v>
      </c>
      <c r="B6007" t="s">
        <v>2461</v>
      </c>
      <c r="C6007" t="s">
        <v>4120</v>
      </c>
      <c r="E6007">
        <v>0.1</v>
      </c>
      <c r="F6007" t="s">
        <v>546</v>
      </c>
      <c r="G6007" s="174">
        <v>45576.460914351854</v>
      </c>
    </row>
    <row r="6008" spans="1:7">
      <c r="A6008">
        <v>6070</v>
      </c>
      <c r="B6008" t="s">
        <v>7448</v>
      </c>
      <c r="C6008" t="s">
        <v>4979</v>
      </c>
      <c r="E6008">
        <v>0.01</v>
      </c>
      <c r="F6008" t="s">
        <v>546</v>
      </c>
      <c r="G6008" s="174">
        <v>45576.460914351854</v>
      </c>
    </row>
    <row r="6009" spans="1:7">
      <c r="A6009">
        <v>6071</v>
      </c>
      <c r="B6009" t="s">
        <v>7449</v>
      </c>
      <c r="C6009" t="s">
        <v>5373</v>
      </c>
      <c r="E6009">
        <v>0.01</v>
      </c>
      <c r="F6009" t="s">
        <v>546</v>
      </c>
      <c r="G6009" s="174">
        <v>45576.460914351854</v>
      </c>
    </row>
    <row r="6010" spans="1:7">
      <c r="A6010">
        <v>6072</v>
      </c>
      <c r="B6010" t="s">
        <v>7450</v>
      </c>
      <c r="C6010" t="s">
        <v>6392</v>
      </c>
      <c r="E6010">
        <v>0.01</v>
      </c>
      <c r="F6010" t="s">
        <v>546</v>
      </c>
      <c r="G6010" s="174">
        <v>45576.460914351854</v>
      </c>
    </row>
    <row r="6011" spans="1:7">
      <c r="A6011">
        <v>6073</v>
      </c>
      <c r="B6011" t="s">
        <v>7451</v>
      </c>
      <c r="C6011" t="s">
        <v>7136</v>
      </c>
      <c r="E6011">
        <v>0.01</v>
      </c>
      <c r="F6011" t="s">
        <v>546</v>
      </c>
      <c r="G6011" s="174">
        <v>45576.460914351854</v>
      </c>
    </row>
    <row r="6012" spans="1:7">
      <c r="A6012">
        <v>6074</v>
      </c>
      <c r="B6012" t="s">
        <v>7452</v>
      </c>
      <c r="C6012" t="s">
        <v>5490</v>
      </c>
      <c r="E6012">
        <v>0.01</v>
      </c>
      <c r="F6012" t="s">
        <v>546</v>
      </c>
      <c r="G6012" s="174">
        <v>45576.460914351854</v>
      </c>
    </row>
    <row r="6013" spans="1:7">
      <c r="A6013">
        <v>6075</v>
      </c>
      <c r="B6013" t="s">
        <v>7453</v>
      </c>
      <c r="C6013" t="s">
        <v>6652</v>
      </c>
      <c r="E6013">
        <v>0.6</v>
      </c>
      <c r="F6013" t="s">
        <v>546</v>
      </c>
      <c r="G6013" s="174">
        <v>45576.460914351854</v>
      </c>
    </row>
    <row r="6014" spans="1:7">
      <c r="A6014">
        <v>6076</v>
      </c>
      <c r="B6014" t="s">
        <v>7453</v>
      </c>
      <c r="C6014" t="s">
        <v>4149</v>
      </c>
      <c r="E6014">
        <v>0.8</v>
      </c>
      <c r="F6014" t="s">
        <v>546</v>
      </c>
      <c r="G6014" s="174">
        <v>45576.460914351854</v>
      </c>
    </row>
    <row r="6015" spans="1:7">
      <c r="A6015">
        <v>6077</v>
      </c>
      <c r="B6015" t="s">
        <v>7454</v>
      </c>
      <c r="C6015" t="s">
        <v>4570</v>
      </c>
      <c r="E6015">
        <v>0.8</v>
      </c>
      <c r="F6015" t="s">
        <v>546</v>
      </c>
      <c r="G6015" s="174">
        <v>45576.460914351854</v>
      </c>
    </row>
    <row r="6016" spans="1:7">
      <c r="A6016">
        <v>6078</v>
      </c>
      <c r="B6016" t="s">
        <v>7455</v>
      </c>
      <c r="C6016" t="s">
        <v>6149</v>
      </c>
      <c r="E6016">
        <v>0.01</v>
      </c>
      <c r="F6016" t="s">
        <v>546</v>
      </c>
      <c r="G6016" s="174">
        <v>45576.460914351854</v>
      </c>
    </row>
    <row r="6017" spans="1:7">
      <c r="A6017">
        <v>6079</v>
      </c>
      <c r="B6017" t="s">
        <v>7456</v>
      </c>
      <c r="C6017" t="s">
        <v>3848</v>
      </c>
      <c r="E6017">
        <v>0.01</v>
      </c>
      <c r="F6017" t="s">
        <v>546</v>
      </c>
      <c r="G6017" s="174">
        <v>45576.460914351854</v>
      </c>
    </row>
    <row r="6018" spans="1:7">
      <c r="A6018">
        <v>6080</v>
      </c>
      <c r="B6018" t="s">
        <v>7457</v>
      </c>
      <c r="C6018" t="s">
        <v>6804</v>
      </c>
      <c r="E6018">
        <v>0.05</v>
      </c>
      <c r="F6018" t="s">
        <v>546</v>
      </c>
      <c r="G6018" s="174">
        <v>45576.460914351854</v>
      </c>
    </row>
    <row r="6019" spans="1:7">
      <c r="A6019">
        <v>6081</v>
      </c>
      <c r="B6019" t="s">
        <v>7457</v>
      </c>
      <c r="C6019" t="s">
        <v>4204</v>
      </c>
      <c r="E6019">
        <v>0.01</v>
      </c>
      <c r="F6019" t="s">
        <v>546</v>
      </c>
      <c r="G6019" s="174">
        <v>45576.460914351854</v>
      </c>
    </row>
    <row r="6020" spans="1:7">
      <c r="A6020">
        <v>6082</v>
      </c>
      <c r="B6020" t="s">
        <v>7458</v>
      </c>
      <c r="C6020" t="s">
        <v>6196</v>
      </c>
      <c r="E6020">
        <v>0.01</v>
      </c>
      <c r="F6020" t="s">
        <v>546</v>
      </c>
      <c r="G6020" s="174">
        <v>45576.460914351854</v>
      </c>
    </row>
    <row r="6021" spans="1:7">
      <c r="A6021">
        <v>6083</v>
      </c>
      <c r="B6021" t="s">
        <v>7459</v>
      </c>
      <c r="C6021" t="s">
        <v>7460</v>
      </c>
      <c r="E6021">
        <v>0.01</v>
      </c>
      <c r="F6021" t="s">
        <v>546</v>
      </c>
      <c r="G6021" s="174">
        <v>45576.460914351854</v>
      </c>
    </row>
    <row r="6022" spans="1:7">
      <c r="A6022">
        <v>6084</v>
      </c>
      <c r="B6022" t="s">
        <v>7461</v>
      </c>
      <c r="C6022" t="s">
        <v>6963</v>
      </c>
      <c r="E6022">
        <v>0.01</v>
      </c>
      <c r="F6022" t="s">
        <v>546</v>
      </c>
      <c r="G6022" s="174">
        <v>45576.460914351854</v>
      </c>
    </row>
    <row r="6023" spans="1:7">
      <c r="A6023">
        <v>6085</v>
      </c>
      <c r="B6023" t="s">
        <v>7462</v>
      </c>
      <c r="C6023" t="s">
        <v>3175</v>
      </c>
      <c r="E6023">
        <v>0.01</v>
      </c>
      <c r="F6023" t="s">
        <v>546</v>
      </c>
      <c r="G6023" s="174">
        <v>45576.460914351854</v>
      </c>
    </row>
    <row r="6024" spans="1:7">
      <c r="A6024">
        <v>6086</v>
      </c>
      <c r="B6024" t="s">
        <v>7463</v>
      </c>
      <c r="C6024" t="s">
        <v>6363</v>
      </c>
      <c r="E6024">
        <v>0.01</v>
      </c>
      <c r="F6024" t="s">
        <v>546</v>
      </c>
      <c r="G6024" s="174">
        <v>45576.460914351854</v>
      </c>
    </row>
    <row r="6025" spans="1:7">
      <c r="A6025">
        <v>6087</v>
      </c>
      <c r="B6025" t="s">
        <v>7464</v>
      </c>
      <c r="C6025" t="s">
        <v>6032</v>
      </c>
      <c r="E6025">
        <v>0.01</v>
      </c>
      <c r="F6025" t="s">
        <v>546</v>
      </c>
      <c r="G6025" s="174">
        <v>45576.460914351854</v>
      </c>
    </row>
    <row r="6026" spans="1:7">
      <c r="A6026">
        <v>6088</v>
      </c>
      <c r="B6026" t="s">
        <v>7465</v>
      </c>
      <c r="C6026" t="s">
        <v>2953</v>
      </c>
      <c r="E6026">
        <v>0.01</v>
      </c>
      <c r="F6026" t="s">
        <v>546</v>
      </c>
      <c r="G6026" s="174">
        <v>45576.460914351854</v>
      </c>
    </row>
    <row r="6027" spans="1:7">
      <c r="A6027">
        <v>6089</v>
      </c>
      <c r="B6027" t="s">
        <v>7466</v>
      </c>
      <c r="C6027" t="s">
        <v>3269</v>
      </c>
      <c r="E6027">
        <v>0.01</v>
      </c>
      <c r="F6027" t="s">
        <v>546</v>
      </c>
      <c r="G6027" s="174">
        <v>45576.460914351854</v>
      </c>
    </row>
    <row r="6028" spans="1:7">
      <c r="A6028">
        <v>6090</v>
      </c>
      <c r="B6028" t="s">
        <v>7467</v>
      </c>
      <c r="C6028" t="s">
        <v>6320</v>
      </c>
      <c r="E6028">
        <v>0.01</v>
      </c>
      <c r="F6028" t="s">
        <v>546</v>
      </c>
      <c r="G6028" s="174">
        <v>45576.460914351854</v>
      </c>
    </row>
    <row r="6029" spans="1:7">
      <c r="A6029">
        <v>6091</v>
      </c>
      <c r="B6029" t="s">
        <v>7468</v>
      </c>
      <c r="C6029" t="s">
        <v>5472</v>
      </c>
      <c r="E6029">
        <v>0.01</v>
      </c>
      <c r="F6029" t="s">
        <v>546</v>
      </c>
      <c r="G6029" s="174">
        <v>45576.460914351854</v>
      </c>
    </row>
    <row r="6030" spans="1:7">
      <c r="A6030">
        <v>6092</v>
      </c>
      <c r="B6030" t="s">
        <v>7469</v>
      </c>
      <c r="C6030" t="s">
        <v>3339</v>
      </c>
      <c r="E6030">
        <v>0.01</v>
      </c>
      <c r="F6030" t="s">
        <v>546</v>
      </c>
      <c r="G6030" s="174">
        <v>45576.460914351854</v>
      </c>
    </row>
    <row r="6031" spans="1:7">
      <c r="A6031">
        <v>6093</v>
      </c>
      <c r="B6031" t="s">
        <v>7470</v>
      </c>
      <c r="C6031" t="s">
        <v>7471</v>
      </c>
      <c r="E6031">
        <v>0.01</v>
      </c>
      <c r="F6031" t="s">
        <v>546</v>
      </c>
      <c r="G6031" s="174">
        <v>45576.460914351854</v>
      </c>
    </row>
    <row r="6032" spans="1:7">
      <c r="A6032">
        <v>6094</v>
      </c>
      <c r="B6032" t="s">
        <v>7472</v>
      </c>
      <c r="C6032" t="s">
        <v>3333</v>
      </c>
      <c r="E6032">
        <v>0.01</v>
      </c>
      <c r="F6032" t="s">
        <v>546</v>
      </c>
      <c r="G6032" s="174">
        <v>45576.460914351854</v>
      </c>
    </row>
    <row r="6033" spans="1:7">
      <c r="A6033">
        <v>6095</v>
      </c>
      <c r="B6033" t="s">
        <v>7473</v>
      </c>
      <c r="C6033" t="s">
        <v>4201</v>
      </c>
      <c r="E6033">
        <v>0.01</v>
      </c>
      <c r="F6033" t="s">
        <v>546</v>
      </c>
      <c r="G6033" s="174">
        <v>45576.460914351854</v>
      </c>
    </row>
    <row r="6034" spans="1:7">
      <c r="A6034">
        <v>6096</v>
      </c>
      <c r="B6034" t="s">
        <v>7474</v>
      </c>
      <c r="C6034" t="s">
        <v>3376</v>
      </c>
      <c r="E6034">
        <v>0.01</v>
      </c>
      <c r="F6034" t="s">
        <v>546</v>
      </c>
      <c r="G6034" s="174">
        <v>45576.460914351854</v>
      </c>
    </row>
    <row r="6035" spans="1:7">
      <c r="A6035">
        <v>6097</v>
      </c>
      <c r="B6035" t="s">
        <v>7475</v>
      </c>
      <c r="C6035" t="s">
        <v>4145</v>
      </c>
      <c r="E6035">
        <v>0.01</v>
      </c>
      <c r="F6035" t="s">
        <v>546</v>
      </c>
      <c r="G6035" s="174">
        <v>45576.460914351854</v>
      </c>
    </row>
    <row r="6036" spans="1:7">
      <c r="A6036">
        <v>6098</v>
      </c>
      <c r="B6036" t="s">
        <v>7476</v>
      </c>
      <c r="C6036" t="s">
        <v>4701</v>
      </c>
      <c r="E6036">
        <v>0.01</v>
      </c>
      <c r="F6036" t="s">
        <v>546</v>
      </c>
      <c r="G6036" s="174">
        <v>45576.460914351854</v>
      </c>
    </row>
    <row r="6037" spans="1:7">
      <c r="A6037">
        <v>6099</v>
      </c>
      <c r="B6037" t="s">
        <v>7477</v>
      </c>
      <c r="C6037" t="s">
        <v>4555</v>
      </c>
      <c r="E6037">
        <v>0.01</v>
      </c>
      <c r="F6037" t="s">
        <v>546</v>
      </c>
      <c r="G6037" s="174">
        <v>45576.460914351854</v>
      </c>
    </row>
    <row r="6038" spans="1:7">
      <c r="A6038">
        <v>6100</v>
      </c>
      <c r="B6038" t="s">
        <v>7478</v>
      </c>
      <c r="C6038" t="s">
        <v>4458</v>
      </c>
      <c r="E6038">
        <v>0.01</v>
      </c>
      <c r="F6038" t="s">
        <v>546</v>
      </c>
      <c r="G6038" s="174">
        <v>45576.460914351854</v>
      </c>
    </row>
    <row r="6039" spans="1:7">
      <c r="A6039">
        <v>6101</v>
      </c>
      <c r="B6039" t="s">
        <v>7479</v>
      </c>
      <c r="C6039" t="s">
        <v>3557</v>
      </c>
      <c r="E6039">
        <v>0.01</v>
      </c>
      <c r="F6039" t="s">
        <v>546</v>
      </c>
      <c r="G6039" s="174">
        <v>45576.460914351854</v>
      </c>
    </row>
    <row r="6040" spans="1:7">
      <c r="A6040">
        <v>6102</v>
      </c>
      <c r="B6040" t="s">
        <v>7480</v>
      </c>
      <c r="C6040" t="s">
        <v>3554</v>
      </c>
      <c r="E6040">
        <v>0.01</v>
      </c>
      <c r="F6040" t="s">
        <v>546</v>
      </c>
      <c r="G6040" s="174">
        <v>45576.460914351854</v>
      </c>
    </row>
    <row r="6041" spans="1:7">
      <c r="A6041">
        <v>6103</v>
      </c>
      <c r="B6041" t="s">
        <v>7481</v>
      </c>
      <c r="C6041" t="s">
        <v>3218</v>
      </c>
      <c r="E6041">
        <v>0.01</v>
      </c>
      <c r="F6041" t="s">
        <v>546</v>
      </c>
      <c r="G6041" s="174">
        <v>45576.460914351854</v>
      </c>
    </row>
    <row r="6042" spans="1:7">
      <c r="A6042">
        <v>6104</v>
      </c>
      <c r="B6042" t="s">
        <v>7482</v>
      </c>
      <c r="C6042" t="s">
        <v>5111</v>
      </c>
      <c r="E6042">
        <v>0.01</v>
      </c>
      <c r="F6042" t="s">
        <v>546</v>
      </c>
      <c r="G6042" s="174">
        <v>45576.460914351854</v>
      </c>
    </row>
    <row r="6043" spans="1:7">
      <c r="A6043">
        <v>6105</v>
      </c>
      <c r="B6043" t="s">
        <v>7482</v>
      </c>
      <c r="C6043" t="s">
        <v>3132</v>
      </c>
      <c r="E6043">
        <v>0.01</v>
      </c>
      <c r="F6043" t="s">
        <v>546</v>
      </c>
      <c r="G6043" s="174">
        <v>45576.460914351854</v>
      </c>
    </row>
    <row r="6044" spans="1:7">
      <c r="A6044">
        <v>6106</v>
      </c>
      <c r="B6044" t="s">
        <v>7483</v>
      </c>
      <c r="C6044" t="s">
        <v>3974</v>
      </c>
      <c r="E6044">
        <v>0.01</v>
      </c>
      <c r="F6044" t="s">
        <v>546</v>
      </c>
      <c r="G6044" s="174">
        <v>45576.460914351854</v>
      </c>
    </row>
    <row r="6045" spans="1:7">
      <c r="A6045">
        <v>6107</v>
      </c>
      <c r="B6045" t="s">
        <v>7484</v>
      </c>
      <c r="C6045" t="s">
        <v>4497</v>
      </c>
      <c r="E6045">
        <v>0.01</v>
      </c>
      <c r="F6045" t="s">
        <v>546</v>
      </c>
      <c r="G6045" s="174">
        <v>45576.460914351854</v>
      </c>
    </row>
    <row r="6046" spans="1:7">
      <c r="A6046">
        <v>6108</v>
      </c>
      <c r="B6046" t="s">
        <v>2469</v>
      </c>
      <c r="C6046" t="s">
        <v>7485</v>
      </c>
      <c r="E6046">
        <v>0.01</v>
      </c>
      <c r="F6046" t="s">
        <v>546</v>
      </c>
      <c r="G6046" s="174">
        <v>45576.460914351854</v>
      </c>
    </row>
    <row r="6047" spans="1:7">
      <c r="A6047">
        <v>6109</v>
      </c>
      <c r="B6047" t="s">
        <v>2469</v>
      </c>
      <c r="C6047" t="s">
        <v>4884</v>
      </c>
      <c r="E6047">
        <v>0.1</v>
      </c>
      <c r="F6047" t="s">
        <v>546</v>
      </c>
      <c r="G6047" s="174">
        <v>45576.460914351854</v>
      </c>
    </row>
    <row r="6048" spans="1:7">
      <c r="A6048">
        <v>6110</v>
      </c>
      <c r="B6048" t="s">
        <v>7486</v>
      </c>
      <c r="C6048" t="s">
        <v>7487</v>
      </c>
      <c r="E6048">
        <v>0.8</v>
      </c>
      <c r="F6048" t="s">
        <v>546</v>
      </c>
      <c r="G6048" s="174">
        <v>45576.460914351854</v>
      </c>
    </row>
    <row r="6049" spans="1:7">
      <c r="A6049">
        <v>6111</v>
      </c>
      <c r="B6049" t="s">
        <v>2471</v>
      </c>
      <c r="C6049" t="s">
        <v>7488</v>
      </c>
      <c r="E6049">
        <v>0.01</v>
      </c>
      <c r="F6049" t="s">
        <v>546</v>
      </c>
      <c r="G6049" s="174">
        <v>45576.460914351854</v>
      </c>
    </row>
    <row r="6050" spans="1:7">
      <c r="A6050">
        <v>6112</v>
      </c>
      <c r="B6050" t="s">
        <v>7489</v>
      </c>
      <c r="C6050" t="s">
        <v>3071</v>
      </c>
      <c r="E6050">
        <v>0.01</v>
      </c>
      <c r="F6050" t="s">
        <v>546</v>
      </c>
      <c r="G6050" s="174">
        <v>45576.460914351854</v>
      </c>
    </row>
    <row r="6051" spans="1:7">
      <c r="A6051">
        <v>6113</v>
      </c>
      <c r="B6051" t="s">
        <v>7490</v>
      </c>
      <c r="C6051" t="s">
        <v>6901</v>
      </c>
      <c r="E6051">
        <v>0.01</v>
      </c>
      <c r="F6051" t="s">
        <v>546</v>
      </c>
      <c r="G6051" s="174">
        <v>45576.460914351854</v>
      </c>
    </row>
    <row r="6052" spans="1:7">
      <c r="A6052">
        <v>6115</v>
      </c>
      <c r="B6052" t="s">
        <v>7491</v>
      </c>
      <c r="C6052" t="s">
        <v>6298</v>
      </c>
      <c r="E6052">
        <v>0.01</v>
      </c>
      <c r="F6052" t="s">
        <v>546</v>
      </c>
      <c r="G6052" s="174">
        <v>45576.460914351854</v>
      </c>
    </row>
    <row r="6053" spans="1:7">
      <c r="A6053">
        <v>6116</v>
      </c>
      <c r="B6053" t="s">
        <v>7492</v>
      </c>
      <c r="C6053" t="s">
        <v>5306</v>
      </c>
      <c r="E6053">
        <v>0.01</v>
      </c>
      <c r="F6053" t="s">
        <v>546</v>
      </c>
      <c r="G6053" s="174">
        <v>45576.460914351854</v>
      </c>
    </row>
    <row r="6054" spans="1:7">
      <c r="A6054">
        <v>6117</v>
      </c>
      <c r="B6054" t="s">
        <v>7492</v>
      </c>
      <c r="C6054" t="s">
        <v>4397</v>
      </c>
      <c r="E6054">
        <v>0.01</v>
      </c>
      <c r="F6054" t="s">
        <v>546</v>
      </c>
      <c r="G6054" s="174">
        <v>45576.460914351854</v>
      </c>
    </row>
    <row r="6055" spans="1:7">
      <c r="A6055">
        <v>6118</v>
      </c>
      <c r="B6055" t="s">
        <v>7493</v>
      </c>
      <c r="C6055" t="s">
        <v>2460</v>
      </c>
      <c r="E6055">
        <v>0.01</v>
      </c>
      <c r="F6055" t="s">
        <v>546</v>
      </c>
      <c r="G6055" s="174">
        <v>45576.460914351854</v>
      </c>
    </row>
    <row r="6056" spans="1:7">
      <c r="A6056">
        <v>6119</v>
      </c>
      <c r="B6056" t="s">
        <v>7494</v>
      </c>
      <c r="C6056" t="s">
        <v>5765</v>
      </c>
      <c r="E6056">
        <v>0.01</v>
      </c>
      <c r="F6056" t="s">
        <v>546</v>
      </c>
      <c r="G6056" s="174">
        <v>45576.460914351854</v>
      </c>
    </row>
    <row r="6057" spans="1:7">
      <c r="A6057">
        <v>6120</v>
      </c>
      <c r="B6057" t="s">
        <v>7495</v>
      </c>
      <c r="C6057" t="s">
        <v>4834</v>
      </c>
      <c r="E6057">
        <v>0.01</v>
      </c>
      <c r="F6057" t="s">
        <v>546</v>
      </c>
      <c r="G6057" s="174">
        <v>45576.460914351854</v>
      </c>
    </row>
    <row r="6058" spans="1:7">
      <c r="A6058">
        <v>6121</v>
      </c>
      <c r="B6058" t="s">
        <v>7496</v>
      </c>
      <c r="C6058" t="s">
        <v>5318</v>
      </c>
      <c r="E6058">
        <v>0.01</v>
      </c>
      <c r="F6058" t="s">
        <v>546</v>
      </c>
      <c r="G6058" s="174">
        <v>45576.460914351854</v>
      </c>
    </row>
    <row r="6059" spans="1:7">
      <c r="A6059">
        <v>6122</v>
      </c>
      <c r="B6059" t="s">
        <v>2475</v>
      </c>
      <c r="C6059" t="s">
        <v>7497</v>
      </c>
      <c r="E6059">
        <v>0.01</v>
      </c>
      <c r="F6059" t="s">
        <v>546</v>
      </c>
      <c r="G6059" s="174">
        <v>45576.460914351854</v>
      </c>
    </row>
    <row r="6060" spans="1:7">
      <c r="A6060">
        <v>6123</v>
      </c>
      <c r="B6060" t="s">
        <v>7498</v>
      </c>
      <c r="C6060" t="s">
        <v>2796</v>
      </c>
      <c r="E6060">
        <v>0.01</v>
      </c>
      <c r="F6060" t="s">
        <v>546</v>
      </c>
      <c r="G6060" s="174">
        <v>45576.460914351854</v>
      </c>
    </row>
    <row r="6061" spans="1:7">
      <c r="A6061">
        <v>6124</v>
      </c>
      <c r="B6061" t="s">
        <v>7499</v>
      </c>
      <c r="C6061" t="s">
        <v>7500</v>
      </c>
      <c r="E6061">
        <v>0.01</v>
      </c>
      <c r="F6061" t="s">
        <v>546</v>
      </c>
      <c r="G6061" s="174">
        <v>45576.460914351854</v>
      </c>
    </row>
    <row r="6062" spans="1:7">
      <c r="A6062">
        <v>6125</v>
      </c>
      <c r="B6062" t="s">
        <v>7501</v>
      </c>
      <c r="C6062" t="s">
        <v>5631</v>
      </c>
      <c r="E6062">
        <v>0.8</v>
      </c>
      <c r="F6062" t="s">
        <v>546</v>
      </c>
      <c r="G6062" s="174">
        <v>45576.460914351854</v>
      </c>
    </row>
    <row r="6063" spans="1:7">
      <c r="A6063">
        <v>6126</v>
      </c>
      <c r="B6063" t="s">
        <v>2478</v>
      </c>
      <c r="C6063" t="s">
        <v>2801</v>
      </c>
      <c r="E6063">
        <v>0.01</v>
      </c>
      <c r="F6063" t="s">
        <v>546</v>
      </c>
      <c r="G6063" s="174">
        <v>45576.460914351854</v>
      </c>
    </row>
    <row r="6064" spans="1:7">
      <c r="A6064">
        <v>6127</v>
      </c>
      <c r="B6064" t="s">
        <v>2480</v>
      </c>
      <c r="C6064" t="s">
        <v>2814</v>
      </c>
      <c r="E6064">
        <v>0.8</v>
      </c>
      <c r="F6064" t="s">
        <v>546</v>
      </c>
      <c r="G6064" s="174">
        <v>45576.460914351854</v>
      </c>
    </row>
    <row r="6065" spans="1:7">
      <c r="A6065">
        <v>6128</v>
      </c>
      <c r="B6065" t="s">
        <v>7502</v>
      </c>
      <c r="C6065" t="s">
        <v>2968</v>
      </c>
      <c r="E6065">
        <v>0.01</v>
      </c>
      <c r="F6065" t="s">
        <v>546</v>
      </c>
      <c r="G6065" s="174">
        <v>45576.460914351854</v>
      </c>
    </row>
    <row r="6066" spans="1:7">
      <c r="A6066">
        <v>6129</v>
      </c>
      <c r="B6066" t="s">
        <v>7503</v>
      </c>
      <c r="C6066" t="s">
        <v>6123</v>
      </c>
      <c r="E6066">
        <v>0.01</v>
      </c>
      <c r="F6066" t="s">
        <v>546</v>
      </c>
      <c r="G6066" s="174">
        <v>45576.460914351854</v>
      </c>
    </row>
    <row r="6067" spans="1:7">
      <c r="A6067">
        <v>6130</v>
      </c>
      <c r="B6067" t="s">
        <v>7504</v>
      </c>
      <c r="C6067" t="s">
        <v>5738</v>
      </c>
      <c r="E6067">
        <v>0.01</v>
      </c>
      <c r="F6067" t="s">
        <v>546</v>
      </c>
      <c r="G6067" s="174">
        <v>45576.460914351854</v>
      </c>
    </row>
    <row r="6068" spans="1:7">
      <c r="A6068">
        <v>6131</v>
      </c>
      <c r="B6068" t="s">
        <v>7504</v>
      </c>
      <c r="C6068" t="s">
        <v>6574</v>
      </c>
      <c r="E6068">
        <v>0.01</v>
      </c>
      <c r="F6068" t="s">
        <v>546</v>
      </c>
      <c r="G6068" s="174">
        <v>45576.460914351854</v>
      </c>
    </row>
    <row r="6069" spans="1:7">
      <c r="A6069">
        <v>6132</v>
      </c>
      <c r="B6069" t="s">
        <v>7505</v>
      </c>
      <c r="C6069" t="s">
        <v>4716</v>
      </c>
      <c r="E6069">
        <v>0.01</v>
      </c>
      <c r="F6069" t="s">
        <v>546</v>
      </c>
      <c r="G6069" s="174">
        <v>45576.460914351854</v>
      </c>
    </row>
    <row r="6070" spans="1:7">
      <c r="A6070">
        <v>6133</v>
      </c>
      <c r="B6070" t="s">
        <v>7505</v>
      </c>
      <c r="C6070" t="s">
        <v>2964</v>
      </c>
      <c r="E6070">
        <v>0.01</v>
      </c>
      <c r="F6070" t="s">
        <v>546</v>
      </c>
      <c r="G6070" s="174">
        <v>45576.460914351854</v>
      </c>
    </row>
    <row r="6071" spans="1:7">
      <c r="A6071">
        <v>6134</v>
      </c>
      <c r="B6071" t="s">
        <v>7506</v>
      </c>
      <c r="C6071" t="s">
        <v>4397</v>
      </c>
      <c r="E6071">
        <v>0.01</v>
      </c>
      <c r="F6071" t="s">
        <v>546</v>
      </c>
      <c r="G6071" s="174">
        <v>45576.460914351854</v>
      </c>
    </row>
    <row r="6072" spans="1:7">
      <c r="A6072">
        <v>6135</v>
      </c>
      <c r="B6072" t="s">
        <v>7507</v>
      </c>
      <c r="C6072" t="s">
        <v>7508</v>
      </c>
      <c r="E6072">
        <v>0.01</v>
      </c>
      <c r="F6072" t="s">
        <v>546</v>
      </c>
      <c r="G6072" s="174">
        <v>45576.460914351854</v>
      </c>
    </row>
    <row r="6073" spans="1:7">
      <c r="A6073">
        <v>6136</v>
      </c>
      <c r="B6073" t="s">
        <v>7509</v>
      </c>
      <c r="C6073" t="s">
        <v>4358</v>
      </c>
      <c r="E6073">
        <v>0.01</v>
      </c>
      <c r="F6073" t="s">
        <v>546</v>
      </c>
      <c r="G6073" s="174">
        <v>45576.460914351854</v>
      </c>
    </row>
    <row r="6074" spans="1:7">
      <c r="A6074">
        <v>6137</v>
      </c>
      <c r="B6074" t="s">
        <v>7509</v>
      </c>
      <c r="C6074" t="s">
        <v>3571</v>
      </c>
      <c r="E6074">
        <v>0.01</v>
      </c>
      <c r="F6074" t="s">
        <v>546</v>
      </c>
      <c r="G6074" s="174">
        <v>45576.460914351854</v>
      </c>
    </row>
    <row r="6075" spans="1:7">
      <c r="A6075">
        <v>6138</v>
      </c>
      <c r="B6075" t="s">
        <v>7510</v>
      </c>
      <c r="C6075" t="s">
        <v>5164</v>
      </c>
      <c r="E6075">
        <v>0.01</v>
      </c>
      <c r="F6075" t="s">
        <v>546</v>
      </c>
      <c r="G6075" s="174">
        <v>45576.460914351854</v>
      </c>
    </row>
    <row r="6076" spans="1:7">
      <c r="A6076">
        <v>6139</v>
      </c>
      <c r="B6076" t="s">
        <v>7511</v>
      </c>
      <c r="C6076" t="s">
        <v>5824</v>
      </c>
      <c r="E6076">
        <v>0.01</v>
      </c>
      <c r="F6076" t="s">
        <v>546</v>
      </c>
      <c r="G6076" s="174">
        <v>45576.460914351854</v>
      </c>
    </row>
    <row r="6077" spans="1:7">
      <c r="A6077">
        <v>6140</v>
      </c>
      <c r="B6077" t="s">
        <v>7511</v>
      </c>
      <c r="C6077" t="s">
        <v>5023</v>
      </c>
      <c r="E6077">
        <v>0.01</v>
      </c>
      <c r="F6077" t="s">
        <v>546</v>
      </c>
      <c r="G6077" s="174">
        <v>45576.460914351854</v>
      </c>
    </row>
    <row r="6078" spans="1:7">
      <c r="A6078">
        <v>6141</v>
      </c>
      <c r="B6078" t="s">
        <v>7512</v>
      </c>
      <c r="C6078" t="s">
        <v>2899</v>
      </c>
      <c r="E6078">
        <v>0.01</v>
      </c>
      <c r="F6078" t="s">
        <v>546</v>
      </c>
      <c r="G6078" s="174">
        <v>45576.460914351854</v>
      </c>
    </row>
    <row r="6079" spans="1:7">
      <c r="A6079">
        <v>6142</v>
      </c>
      <c r="B6079" t="s">
        <v>7513</v>
      </c>
      <c r="C6079" t="s">
        <v>3502</v>
      </c>
      <c r="E6079">
        <v>0.01</v>
      </c>
      <c r="F6079" t="s">
        <v>546</v>
      </c>
      <c r="G6079" s="174">
        <v>45576.460914351854</v>
      </c>
    </row>
    <row r="6080" spans="1:7">
      <c r="A6080">
        <v>6143</v>
      </c>
      <c r="B6080" t="s">
        <v>7514</v>
      </c>
      <c r="C6080" t="s">
        <v>5525</v>
      </c>
      <c r="E6080">
        <v>0.1</v>
      </c>
      <c r="F6080" t="s">
        <v>546</v>
      </c>
      <c r="G6080" s="174">
        <v>45576.460914351854</v>
      </c>
    </row>
    <row r="6081" spans="1:7">
      <c r="A6081">
        <v>6144</v>
      </c>
      <c r="B6081" t="s">
        <v>7515</v>
      </c>
      <c r="C6081" t="s">
        <v>4898</v>
      </c>
      <c r="E6081">
        <v>0.01</v>
      </c>
      <c r="F6081" t="s">
        <v>546</v>
      </c>
      <c r="G6081" s="174">
        <v>45576.460914351854</v>
      </c>
    </row>
    <row r="6082" spans="1:7">
      <c r="A6082">
        <v>6145</v>
      </c>
      <c r="B6082" t="s">
        <v>7515</v>
      </c>
      <c r="C6082" t="s">
        <v>4899</v>
      </c>
      <c r="E6082">
        <v>0.01</v>
      </c>
      <c r="F6082" t="s">
        <v>546</v>
      </c>
      <c r="G6082" s="174">
        <v>45576.460914351854</v>
      </c>
    </row>
    <row r="6083" spans="1:7">
      <c r="A6083">
        <v>6146</v>
      </c>
      <c r="B6083" t="s">
        <v>2488</v>
      </c>
      <c r="C6083" t="s">
        <v>7006</v>
      </c>
      <c r="E6083">
        <v>0.01</v>
      </c>
      <c r="F6083" t="s">
        <v>546</v>
      </c>
      <c r="G6083" s="174">
        <v>45576.460914351854</v>
      </c>
    </row>
    <row r="6084" spans="1:7">
      <c r="A6084">
        <v>6147</v>
      </c>
      <c r="B6084" t="s">
        <v>7516</v>
      </c>
      <c r="C6084" t="s">
        <v>3298</v>
      </c>
      <c r="E6084">
        <v>0.01</v>
      </c>
      <c r="F6084" t="s">
        <v>546</v>
      </c>
      <c r="G6084" s="174">
        <v>45576.460914351854</v>
      </c>
    </row>
    <row r="6085" spans="1:7">
      <c r="A6085">
        <v>6148</v>
      </c>
      <c r="B6085" t="s">
        <v>7517</v>
      </c>
      <c r="C6085" t="s">
        <v>4364</v>
      </c>
      <c r="E6085">
        <v>0.8</v>
      </c>
      <c r="F6085" t="s">
        <v>546</v>
      </c>
      <c r="G6085" s="174">
        <v>45576.460914351854</v>
      </c>
    </row>
    <row r="6086" spans="1:7">
      <c r="A6086">
        <v>6149</v>
      </c>
      <c r="B6086" t="s">
        <v>7518</v>
      </c>
      <c r="C6086" t="s">
        <v>3858</v>
      </c>
      <c r="E6086">
        <v>0.01</v>
      </c>
      <c r="F6086" t="s">
        <v>546</v>
      </c>
      <c r="G6086" s="174">
        <v>45576.460914351854</v>
      </c>
    </row>
    <row r="6087" spans="1:7">
      <c r="A6087">
        <v>6150</v>
      </c>
      <c r="B6087" t="s">
        <v>7519</v>
      </c>
      <c r="C6087" t="s">
        <v>3968</v>
      </c>
      <c r="E6087">
        <v>0.01</v>
      </c>
      <c r="F6087" t="s">
        <v>546</v>
      </c>
      <c r="G6087" s="174">
        <v>45576.460914351854</v>
      </c>
    </row>
    <row r="6088" spans="1:7">
      <c r="A6088">
        <v>6151</v>
      </c>
      <c r="B6088" t="s">
        <v>7520</v>
      </c>
      <c r="C6088" t="s">
        <v>3031</v>
      </c>
      <c r="E6088">
        <v>0.8</v>
      </c>
      <c r="F6088" t="s">
        <v>546</v>
      </c>
      <c r="G6088" s="174">
        <v>45576.460914351854</v>
      </c>
    </row>
    <row r="6089" spans="1:7">
      <c r="A6089">
        <v>6152</v>
      </c>
      <c r="B6089" t="s">
        <v>7520</v>
      </c>
      <c r="C6089" t="s">
        <v>7521</v>
      </c>
      <c r="E6089">
        <v>0.01</v>
      </c>
      <c r="F6089" t="s">
        <v>546</v>
      </c>
      <c r="G6089" s="174">
        <v>45576.460914351854</v>
      </c>
    </row>
    <row r="6090" spans="1:7">
      <c r="A6090">
        <v>6153</v>
      </c>
      <c r="B6090" t="s">
        <v>7520</v>
      </c>
      <c r="C6090" t="s">
        <v>5422</v>
      </c>
      <c r="E6090">
        <v>0.6</v>
      </c>
      <c r="F6090" t="s">
        <v>546</v>
      </c>
      <c r="G6090" s="174">
        <v>45576.460914351854</v>
      </c>
    </row>
    <row r="6091" spans="1:7">
      <c r="A6091">
        <v>6154</v>
      </c>
      <c r="B6091" t="s">
        <v>7522</v>
      </c>
      <c r="C6091" t="s">
        <v>1299</v>
      </c>
      <c r="E6091">
        <v>0.01</v>
      </c>
      <c r="F6091" t="s">
        <v>546</v>
      </c>
      <c r="G6091" s="174">
        <v>45576.460914351854</v>
      </c>
    </row>
    <row r="6092" spans="1:7">
      <c r="A6092">
        <v>6155</v>
      </c>
      <c r="B6092" t="s">
        <v>7523</v>
      </c>
      <c r="C6092" t="s">
        <v>3344</v>
      </c>
      <c r="E6092">
        <v>0.01</v>
      </c>
      <c r="F6092" t="s">
        <v>546</v>
      </c>
      <c r="G6092" s="174">
        <v>45576.460914351854</v>
      </c>
    </row>
    <row r="6093" spans="1:7">
      <c r="A6093">
        <v>6156</v>
      </c>
      <c r="B6093" t="s">
        <v>7523</v>
      </c>
      <c r="C6093" t="s">
        <v>3771</v>
      </c>
      <c r="E6093">
        <v>0.01</v>
      </c>
      <c r="F6093" t="s">
        <v>546</v>
      </c>
      <c r="G6093" s="174">
        <v>45576.460914351854</v>
      </c>
    </row>
    <row r="6094" spans="1:7">
      <c r="A6094">
        <v>6157</v>
      </c>
      <c r="B6094" t="s">
        <v>7524</v>
      </c>
      <c r="C6094" t="s">
        <v>2939</v>
      </c>
      <c r="E6094">
        <v>0.01</v>
      </c>
      <c r="F6094" t="s">
        <v>546</v>
      </c>
      <c r="G6094" s="174">
        <v>45576.460914351854</v>
      </c>
    </row>
    <row r="6095" spans="1:7">
      <c r="A6095">
        <v>6158</v>
      </c>
      <c r="B6095" t="s">
        <v>2496</v>
      </c>
      <c r="C6095" t="s">
        <v>7525</v>
      </c>
      <c r="E6095">
        <v>0.01</v>
      </c>
      <c r="F6095" t="s">
        <v>546</v>
      </c>
      <c r="G6095" s="174">
        <v>45576.460914351854</v>
      </c>
    </row>
    <row r="6096" spans="1:7">
      <c r="A6096">
        <v>6159</v>
      </c>
      <c r="B6096" t="s">
        <v>2497</v>
      </c>
      <c r="C6096" t="s">
        <v>5584</v>
      </c>
      <c r="E6096">
        <v>0.01</v>
      </c>
      <c r="F6096" t="s">
        <v>546</v>
      </c>
      <c r="G6096" s="174">
        <v>45576.460914351854</v>
      </c>
    </row>
    <row r="6097" spans="1:7">
      <c r="A6097">
        <v>6160</v>
      </c>
      <c r="B6097" t="s">
        <v>7526</v>
      </c>
      <c r="C6097" t="s">
        <v>5525</v>
      </c>
      <c r="E6097">
        <v>0.01</v>
      </c>
      <c r="F6097" t="s">
        <v>546</v>
      </c>
      <c r="G6097" s="174">
        <v>45576.460914351854</v>
      </c>
    </row>
    <row r="6098" spans="1:7">
      <c r="A6098">
        <v>6161</v>
      </c>
      <c r="B6098" t="s">
        <v>7527</v>
      </c>
      <c r="C6098" t="s">
        <v>7528</v>
      </c>
      <c r="E6098">
        <v>0.01</v>
      </c>
      <c r="F6098" t="s">
        <v>546</v>
      </c>
      <c r="G6098" s="174">
        <v>45576.460914351854</v>
      </c>
    </row>
    <row r="6099" spans="1:7">
      <c r="A6099">
        <v>6162</v>
      </c>
      <c r="B6099" t="s">
        <v>7529</v>
      </c>
      <c r="C6099" t="s">
        <v>5386</v>
      </c>
      <c r="E6099">
        <v>0.01</v>
      </c>
      <c r="F6099" t="s">
        <v>546</v>
      </c>
      <c r="G6099" s="174">
        <v>45576.460914351854</v>
      </c>
    </row>
    <row r="6100" spans="1:7">
      <c r="A6100">
        <v>6163</v>
      </c>
      <c r="B6100" t="s">
        <v>7530</v>
      </c>
      <c r="C6100" t="s">
        <v>7531</v>
      </c>
      <c r="E6100">
        <v>0.01</v>
      </c>
      <c r="F6100" t="s">
        <v>546</v>
      </c>
      <c r="G6100" s="174">
        <v>45576.460914351854</v>
      </c>
    </row>
    <row r="6101" spans="1:7">
      <c r="A6101">
        <v>6164</v>
      </c>
      <c r="B6101" t="s">
        <v>7532</v>
      </c>
      <c r="C6101" t="s">
        <v>7533</v>
      </c>
      <c r="E6101">
        <v>0.01</v>
      </c>
      <c r="F6101" t="s">
        <v>546</v>
      </c>
      <c r="G6101" s="174">
        <v>45576.460914351854</v>
      </c>
    </row>
    <row r="6102" spans="1:7">
      <c r="A6102">
        <v>6165</v>
      </c>
      <c r="B6102" t="s">
        <v>7534</v>
      </c>
      <c r="C6102" t="s">
        <v>5261</v>
      </c>
      <c r="E6102">
        <v>0.01</v>
      </c>
      <c r="F6102" t="s">
        <v>546</v>
      </c>
      <c r="G6102" s="174">
        <v>45576.460914351854</v>
      </c>
    </row>
    <row r="6103" spans="1:7">
      <c r="A6103">
        <v>6166</v>
      </c>
      <c r="B6103" t="s">
        <v>7535</v>
      </c>
      <c r="C6103" t="s">
        <v>7536</v>
      </c>
      <c r="E6103">
        <v>0.01</v>
      </c>
      <c r="F6103" t="s">
        <v>546</v>
      </c>
      <c r="G6103" s="174">
        <v>45576.460914351854</v>
      </c>
    </row>
    <row r="6104" spans="1:7">
      <c r="A6104">
        <v>6167</v>
      </c>
      <c r="B6104" t="s">
        <v>7537</v>
      </c>
      <c r="C6104" t="s">
        <v>5490</v>
      </c>
      <c r="E6104">
        <v>0.01</v>
      </c>
      <c r="F6104" t="s">
        <v>546</v>
      </c>
      <c r="G6104" s="174">
        <v>45576.460914351854</v>
      </c>
    </row>
    <row r="6105" spans="1:7">
      <c r="A6105">
        <v>6168</v>
      </c>
      <c r="B6105" t="s">
        <v>7538</v>
      </c>
      <c r="C6105" t="s">
        <v>2886</v>
      </c>
      <c r="E6105">
        <v>0.01</v>
      </c>
      <c r="F6105" t="s">
        <v>546</v>
      </c>
      <c r="G6105" s="174">
        <v>45576.460914351854</v>
      </c>
    </row>
    <row r="6106" spans="1:7">
      <c r="A6106">
        <v>6169</v>
      </c>
      <c r="B6106" t="s">
        <v>7539</v>
      </c>
      <c r="C6106" t="s">
        <v>4119</v>
      </c>
      <c r="E6106">
        <v>0.1</v>
      </c>
      <c r="F6106" t="s">
        <v>546</v>
      </c>
      <c r="G6106" s="174">
        <v>45576.460914351854</v>
      </c>
    </row>
    <row r="6107" spans="1:7">
      <c r="A6107">
        <v>6170</v>
      </c>
      <c r="B6107" t="s">
        <v>7539</v>
      </c>
      <c r="C6107" t="s">
        <v>3745</v>
      </c>
      <c r="E6107">
        <v>0.01</v>
      </c>
      <c r="F6107" t="s">
        <v>546</v>
      </c>
      <c r="G6107" s="174">
        <v>45576.460914351854</v>
      </c>
    </row>
    <row r="6108" spans="1:7">
      <c r="A6108">
        <v>6171</v>
      </c>
      <c r="B6108" t="s">
        <v>7540</v>
      </c>
      <c r="C6108" t="s">
        <v>3302</v>
      </c>
      <c r="E6108">
        <v>0.01</v>
      </c>
      <c r="F6108" t="s">
        <v>546</v>
      </c>
      <c r="G6108" s="174">
        <v>45576.460914351854</v>
      </c>
    </row>
    <row r="6109" spans="1:7">
      <c r="A6109">
        <v>6172</v>
      </c>
      <c r="B6109" t="s">
        <v>7541</v>
      </c>
      <c r="C6109" t="s">
        <v>6038</v>
      </c>
      <c r="E6109">
        <v>0.01</v>
      </c>
      <c r="F6109" t="s">
        <v>546</v>
      </c>
      <c r="G6109" s="174">
        <v>45576.460914351854</v>
      </c>
    </row>
    <row r="6110" spans="1:7">
      <c r="A6110">
        <v>6173</v>
      </c>
      <c r="B6110" t="s">
        <v>7542</v>
      </c>
      <c r="C6110" t="s">
        <v>3343</v>
      </c>
      <c r="E6110">
        <v>0.01</v>
      </c>
      <c r="F6110" t="s">
        <v>546</v>
      </c>
      <c r="G6110" s="174">
        <v>45576.460914351854</v>
      </c>
    </row>
    <row r="6111" spans="1:7">
      <c r="A6111">
        <v>6174</v>
      </c>
      <c r="B6111" t="s">
        <v>7543</v>
      </c>
      <c r="C6111" t="s">
        <v>3557</v>
      </c>
      <c r="E6111">
        <v>0.01</v>
      </c>
      <c r="F6111" t="s">
        <v>546</v>
      </c>
      <c r="G6111" s="174">
        <v>45576.460914351854</v>
      </c>
    </row>
    <row r="6112" spans="1:7">
      <c r="A6112">
        <v>6175</v>
      </c>
      <c r="B6112" t="s">
        <v>7544</v>
      </c>
      <c r="C6112" t="s">
        <v>7545</v>
      </c>
      <c r="E6112">
        <v>0.05</v>
      </c>
      <c r="F6112" t="s">
        <v>546</v>
      </c>
      <c r="G6112" s="174">
        <v>45576.460914351854</v>
      </c>
    </row>
    <row r="6113" spans="1:7">
      <c r="A6113">
        <v>6176</v>
      </c>
      <c r="B6113" t="s">
        <v>7544</v>
      </c>
      <c r="C6113" t="s">
        <v>7546</v>
      </c>
      <c r="E6113">
        <v>0.01</v>
      </c>
      <c r="F6113" t="s">
        <v>546</v>
      </c>
      <c r="G6113" s="174">
        <v>45576.460914351854</v>
      </c>
    </row>
    <row r="6114" spans="1:7">
      <c r="A6114">
        <v>6177</v>
      </c>
      <c r="B6114" t="s">
        <v>7547</v>
      </c>
      <c r="C6114" t="s">
        <v>7508</v>
      </c>
      <c r="E6114">
        <v>0.01</v>
      </c>
      <c r="F6114" t="s">
        <v>546</v>
      </c>
      <c r="G6114" s="174">
        <v>45576.460914351854</v>
      </c>
    </row>
    <row r="6115" spans="1:7">
      <c r="A6115">
        <v>6178</v>
      </c>
      <c r="B6115" t="s">
        <v>7547</v>
      </c>
      <c r="C6115" t="s">
        <v>6968</v>
      </c>
      <c r="E6115">
        <v>0.01</v>
      </c>
      <c r="F6115" t="s">
        <v>546</v>
      </c>
      <c r="G6115" s="174">
        <v>45576.460914351854</v>
      </c>
    </row>
    <row r="6116" spans="1:7">
      <c r="A6116">
        <v>6179</v>
      </c>
      <c r="B6116" t="s">
        <v>7547</v>
      </c>
      <c r="C6116" t="s">
        <v>7548</v>
      </c>
      <c r="E6116">
        <v>0.01</v>
      </c>
      <c r="F6116" t="s">
        <v>546</v>
      </c>
      <c r="G6116" s="174">
        <v>45576.460914351854</v>
      </c>
    </row>
    <row r="6117" spans="1:7">
      <c r="A6117">
        <v>6180</v>
      </c>
      <c r="B6117" t="s">
        <v>7549</v>
      </c>
      <c r="C6117" t="s">
        <v>2810</v>
      </c>
      <c r="E6117">
        <v>0.01</v>
      </c>
      <c r="F6117" t="s">
        <v>546</v>
      </c>
      <c r="G6117" s="174">
        <v>45576.460914351854</v>
      </c>
    </row>
    <row r="6118" spans="1:7">
      <c r="A6118">
        <v>6181</v>
      </c>
      <c r="B6118" t="s">
        <v>7550</v>
      </c>
      <c r="C6118" t="s">
        <v>4201</v>
      </c>
      <c r="E6118">
        <v>0.01</v>
      </c>
      <c r="F6118" t="s">
        <v>546</v>
      </c>
      <c r="G6118" s="174">
        <v>45576.460914351854</v>
      </c>
    </row>
    <row r="6119" spans="1:7">
      <c r="A6119">
        <v>6182</v>
      </c>
      <c r="B6119" t="s">
        <v>7551</v>
      </c>
      <c r="C6119" t="s">
        <v>5289</v>
      </c>
      <c r="E6119">
        <v>0.01</v>
      </c>
      <c r="F6119" t="s">
        <v>546</v>
      </c>
      <c r="G6119" s="174">
        <v>45576.460914351854</v>
      </c>
    </row>
    <row r="6120" spans="1:7">
      <c r="A6120">
        <v>6183</v>
      </c>
      <c r="B6120" t="s">
        <v>7552</v>
      </c>
      <c r="C6120" t="s">
        <v>6477</v>
      </c>
      <c r="E6120">
        <v>0.1</v>
      </c>
      <c r="F6120" t="s">
        <v>546</v>
      </c>
      <c r="G6120" s="174">
        <v>45576.460914351854</v>
      </c>
    </row>
    <row r="6121" spans="1:7">
      <c r="A6121">
        <v>6184</v>
      </c>
      <c r="B6121" t="s">
        <v>7553</v>
      </c>
      <c r="C6121" t="s">
        <v>3481</v>
      </c>
      <c r="E6121">
        <v>0.01</v>
      </c>
      <c r="F6121" t="s">
        <v>546</v>
      </c>
      <c r="G6121" s="174">
        <v>45576.460914351854</v>
      </c>
    </row>
    <row r="6122" spans="1:7">
      <c r="A6122">
        <v>6185</v>
      </c>
      <c r="B6122" t="s">
        <v>7554</v>
      </c>
      <c r="C6122" t="s">
        <v>3291</v>
      </c>
      <c r="E6122">
        <v>0.01</v>
      </c>
      <c r="F6122" t="s">
        <v>546</v>
      </c>
      <c r="G6122" s="174">
        <v>45576.460914351854</v>
      </c>
    </row>
    <row r="6123" spans="1:7">
      <c r="A6123">
        <v>6186</v>
      </c>
      <c r="B6123" t="s">
        <v>7555</v>
      </c>
      <c r="C6123" t="s">
        <v>7556</v>
      </c>
      <c r="E6123">
        <v>0.01</v>
      </c>
      <c r="F6123" t="s">
        <v>546</v>
      </c>
      <c r="G6123" s="174">
        <v>45576.460914351854</v>
      </c>
    </row>
    <row r="6124" spans="1:7">
      <c r="A6124">
        <v>6187</v>
      </c>
      <c r="B6124" t="s">
        <v>7557</v>
      </c>
      <c r="C6124" t="s">
        <v>7558</v>
      </c>
      <c r="E6124">
        <v>0.01</v>
      </c>
      <c r="F6124" t="s">
        <v>546</v>
      </c>
      <c r="G6124" s="174">
        <v>45576.460914351854</v>
      </c>
    </row>
    <row r="6125" spans="1:7">
      <c r="A6125">
        <v>6188</v>
      </c>
      <c r="B6125" t="s">
        <v>7559</v>
      </c>
      <c r="C6125" t="s">
        <v>6856</v>
      </c>
      <c r="E6125">
        <v>0.01</v>
      </c>
      <c r="F6125" t="s">
        <v>546</v>
      </c>
      <c r="G6125" s="174">
        <v>45576.460914351854</v>
      </c>
    </row>
    <row r="6126" spans="1:7">
      <c r="A6126">
        <v>6189</v>
      </c>
      <c r="B6126" t="s">
        <v>7560</v>
      </c>
      <c r="C6126" t="s">
        <v>4398</v>
      </c>
      <c r="E6126">
        <v>0.01</v>
      </c>
      <c r="F6126" t="s">
        <v>546</v>
      </c>
      <c r="G6126" s="174">
        <v>45576.460914351854</v>
      </c>
    </row>
    <row r="6127" spans="1:7">
      <c r="A6127">
        <v>6190</v>
      </c>
      <c r="B6127" t="s">
        <v>7561</v>
      </c>
      <c r="C6127" t="s">
        <v>3745</v>
      </c>
      <c r="E6127">
        <v>0.01</v>
      </c>
      <c r="F6127" t="s">
        <v>546</v>
      </c>
      <c r="G6127" s="174">
        <v>45576.460914351854</v>
      </c>
    </row>
    <row r="6128" spans="1:7">
      <c r="A6128">
        <v>6191</v>
      </c>
      <c r="B6128" t="s">
        <v>7562</v>
      </c>
      <c r="C6128" t="s">
        <v>4514</v>
      </c>
      <c r="E6128">
        <v>0.01</v>
      </c>
      <c r="F6128" t="s">
        <v>546</v>
      </c>
      <c r="G6128" s="174">
        <v>45576.460914351854</v>
      </c>
    </row>
    <row r="6129" spans="1:7">
      <c r="A6129">
        <v>6192</v>
      </c>
      <c r="B6129" t="s">
        <v>7563</v>
      </c>
      <c r="C6129" t="s">
        <v>4149</v>
      </c>
      <c r="E6129">
        <v>0.01</v>
      </c>
      <c r="F6129" t="s">
        <v>546</v>
      </c>
      <c r="G6129" s="174">
        <v>45576.460914351854</v>
      </c>
    </row>
    <row r="6130" spans="1:7">
      <c r="A6130">
        <v>6193</v>
      </c>
      <c r="B6130" t="s">
        <v>7564</v>
      </c>
      <c r="C6130" t="s">
        <v>2911</v>
      </c>
      <c r="E6130">
        <v>0.01</v>
      </c>
      <c r="F6130" t="s">
        <v>546</v>
      </c>
      <c r="G6130" s="174">
        <v>45576.460914351854</v>
      </c>
    </row>
    <row r="6131" spans="1:7">
      <c r="A6131">
        <v>6194</v>
      </c>
      <c r="B6131" t="s">
        <v>7565</v>
      </c>
      <c r="C6131" t="s">
        <v>3390</v>
      </c>
      <c r="E6131">
        <v>0.01</v>
      </c>
      <c r="F6131" t="s">
        <v>546</v>
      </c>
      <c r="G6131" s="174">
        <v>45576.460914351854</v>
      </c>
    </row>
    <row r="6132" spans="1:7">
      <c r="A6132">
        <v>6195</v>
      </c>
      <c r="B6132" t="s">
        <v>7565</v>
      </c>
      <c r="C6132" t="s">
        <v>3447</v>
      </c>
      <c r="E6132">
        <v>0.01</v>
      </c>
      <c r="F6132" t="s">
        <v>546</v>
      </c>
      <c r="G6132" s="174">
        <v>45576.460914351854</v>
      </c>
    </row>
    <row r="6133" spans="1:7">
      <c r="A6133">
        <v>6196</v>
      </c>
      <c r="B6133" t="s">
        <v>7566</v>
      </c>
      <c r="C6133" t="s">
        <v>3062</v>
      </c>
      <c r="E6133">
        <v>0.1</v>
      </c>
      <c r="F6133" t="s">
        <v>546</v>
      </c>
      <c r="G6133" s="174">
        <v>45576.460914351854</v>
      </c>
    </row>
    <row r="6134" spans="1:7">
      <c r="A6134">
        <v>6197</v>
      </c>
      <c r="B6134" t="s">
        <v>7567</v>
      </c>
      <c r="C6134" t="s">
        <v>6007</v>
      </c>
      <c r="E6134">
        <v>0.01</v>
      </c>
      <c r="F6134" t="s">
        <v>546</v>
      </c>
      <c r="G6134" s="174">
        <v>45576.460914351854</v>
      </c>
    </row>
    <row r="6135" spans="1:7">
      <c r="A6135">
        <v>6198</v>
      </c>
      <c r="B6135" t="s">
        <v>7568</v>
      </c>
      <c r="C6135" t="s">
        <v>7176</v>
      </c>
      <c r="E6135">
        <v>0.1</v>
      </c>
      <c r="F6135" t="s">
        <v>546</v>
      </c>
      <c r="G6135" s="174">
        <v>45576.460914351854</v>
      </c>
    </row>
    <row r="6136" spans="1:7">
      <c r="A6136">
        <v>6199</v>
      </c>
      <c r="B6136" t="s">
        <v>7569</v>
      </c>
      <c r="C6136" t="s">
        <v>3090</v>
      </c>
      <c r="E6136">
        <v>0.01</v>
      </c>
      <c r="F6136" t="s">
        <v>546</v>
      </c>
      <c r="G6136" s="174">
        <v>45576.460914351854</v>
      </c>
    </row>
    <row r="6137" spans="1:7">
      <c r="A6137">
        <v>6200</v>
      </c>
      <c r="B6137" t="s">
        <v>7570</v>
      </c>
      <c r="C6137" t="s">
        <v>7571</v>
      </c>
      <c r="E6137">
        <v>0.01</v>
      </c>
      <c r="F6137" t="s">
        <v>546</v>
      </c>
      <c r="G6137" s="174">
        <v>45576.460914351854</v>
      </c>
    </row>
    <row r="6138" spans="1:7">
      <c r="A6138">
        <v>6201</v>
      </c>
      <c r="B6138" t="s">
        <v>7570</v>
      </c>
      <c r="C6138" t="s">
        <v>7572</v>
      </c>
      <c r="E6138">
        <v>0.01</v>
      </c>
      <c r="F6138" t="s">
        <v>546</v>
      </c>
      <c r="G6138" s="174">
        <v>45576.460914351854</v>
      </c>
    </row>
    <row r="6139" spans="1:7">
      <c r="A6139">
        <v>6202</v>
      </c>
      <c r="B6139" t="s">
        <v>7573</v>
      </c>
      <c r="C6139" t="s">
        <v>3443</v>
      </c>
      <c r="E6139">
        <v>0.01</v>
      </c>
      <c r="F6139" t="s">
        <v>546</v>
      </c>
      <c r="G6139" s="174">
        <v>45576.460914351854</v>
      </c>
    </row>
    <row r="6140" spans="1:7">
      <c r="A6140">
        <v>6203</v>
      </c>
      <c r="B6140" t="s">
        <v>7573</v>
      </c>
      <c r="C6140" t="s">
        <v>3444</v>
      </c>
      <c r="E6140">
        <v>0.01</v>
      </c>
      <c r="F6140" t="s">
        <v>546</v>
      </c>
      <c r="G6140" s="174">
        <v>45576.460914351854</v>
      </c>
    </row>
    <row r="6141" spans="1:7">
      <c r="A6141">
        <v>6204</v>
      </c>
      <c r="B6141" t="s">
        <v>2515</v>
      </c>
      <c r="C6141" t="s">
        <v>3069</v>
      </c>
      <c r="E6141">
        <v>0.01</v>
      </c>
      <c r="F6141" t="s">
        <v>546</v>
      </c>
      <c r="G6141" s="174">
        <v>45576.460914351854</v>
      </c>
    </row>
    <row r="6142" spans="1:7">
      <c r="A6142">
        <v>6205</v>
      </c>
      <c r="B6142" t="s">
        <v>7574</v>
      </c>
      <c r="C6142" t="s">
        <v>1299</v>
      </c>
      <c r="E6142">
        <v>0.01</v>
      </c>
      <c r="F6142" t="s">
        <v>546</v>
      </c>
      <c r="G6142" s="174">
        <v>45576.460914351854</v>
      </c>
    </row>
    <row r="6143" spans="1:7">
      <c r="A6143">
        <v>6206</v>
      </c>
      <c r="B6143" t="s">
        <v>7575</v>
      </c>
      <c r="C6143" t="s">
        <v>3785</v>
      </c>
      <c r="E6143">
        <v>0.01</v>
      </c>
      <c r="F6143" t="s">
        <v>546</v>
      </c>
      <c r="G6143" s="174">
        <v>45576.460914351854</v>
      </c>
    </row>
    <row r="6144" spans="1:7">
      <c r="A6144">
        <v>6207</v>
      </c>
      <c r="B6144" t="s">
        <v>7575</v>
      </c>
      <c r="C6144" t="s">
        <v>4776</v>
      </c>
      <c r="E6144">
        <v>0.01</v>
      </c>
      <c r="F6144" t="s">
        <v>546</v>
      </c>
      <c r="G6144" s="174">
        <v>45576.460914351854</v>
      </c>
    </row>
    <row r="6145" spans="1:7">
      <c r="A6145">
        <v>6208</v>
      </c>
      <c r="B6145" t="s">
        <v>7576</v>
      </c>
      <c r="C6145" t="s">
        <v>7577</v>
      </c>
      <c r="E6145">
        <v>0.01</v>
      </c>
      <c r="F6145" t="s">
        <v>546</v>
      </c>
      <c r="G6145" s="174">
        <v>45576.460914351854</v>
      </c>
    </row>
    <row r="6146" spans="1:7">
      <c r="A6146">
        <v>6209</v>
      </c>
      <c r="B6146" t="s">
        <v>7576</v>
      </c>
      <c r="C6146" t="s">
        <v>7578</v>
      </c>
      <c r="E6146">
        <v>0.01</v>
      </c>
      <c r="F6146" t="s">
        <v>546</v>
      </c>
      <c r="G6146" s="174">
        <v>45576.460914351854</v>
      </c>
    </row>
    <row r="6147" spans="1:7">
      <c r="A6147">
        <v>6210</v>
      </c>
      <c r="B6147" t="s">
        <v>7579</v>
      </c>
      <c r="C6147" t="s">
        <v>3507</v>
      </c>
      <c r="E6147">
        <v>0.01</v>
      </c>
      <c r="F6147" t="s">
        <v>546</v>
      </c>
      <c r="G6147" s="174">
        <v>45576.460914351854</v>
      </c>
    </row>
    <row r="6148" spans="1:7">
      <c r="A6148">
        <v>6211</v>
      </c>
      <c r="B6148" t="s">
        <v>7580</v>
      </c>
      <c r="C6148" t="s">
        <v>5648</v>
      </c>
      <c r="E6148">
        <v>0.01</v>
      </c>
      <c r="F6148" t="s">
        <v>546</v>
      </c>
      <c r="G6148" s="174">
        <v>45576.460914351854</v>
      </c>
    </row>
    <row r="6149" spans="1:7">
      <c r="A6149">
        <v>6212</v>
      </c>
      <c r="B6149" t="s">
        <v>7581</v>
      </c>
      <c r="C6149" t="s">
        <v>3773</v>
      </c>
      <c r="E6149">
        <v>0.01</v>
      </c>
      <c r="F6149" t="s">
        <v>546</v>
      </c>
      <c r="G6149" s="174">
        <v>45576.460914351854</v>
      </c>
    </row>
    <row r="6150" spans="1:7">
      <c r="A6150">
        <v>6213</v>
      </c>
      <c r="B6150" t="s">
        <v>7582</v>
      </c>
      <c r="C6150" t="s">
        <v>3527</v>
      </c>
      <c r="E6150">
        <v>0.1</v>
      </c>
      <c r="F6150" t="s">
        <v>546</v>
      </c>
      <c r="G6150" s="174">
        <v>45576.460914351854</v>
      </c>
    </row>
    <row r="6151" spans="1:7">
      <c r="A6151">
        <v>6214</v>
      </c>
      <c r="B6151" t="s">
        <v>7583</v>
      </c>
      <c r="C6151" t="s">
        <v>3507</v>
      </c>
      <c r="E6151">
        <v>0.01</v>
      </c>
      <c r="F6151" t="s">
        <v>546</v>
      </c>
      <c r="G6151" s="174">
        <v>45576.460914351854</v>
      </c>
    </row>
    <row r="6152" spans="1:7">
      <c r="A6152">
        <v>6215</v>
      </c>
      <c r="B6152" t="s">
        <v>2525</v>
      </c>
      <c r="C6152" t="s">
        <v>6797</v>
      </c>
      <c r="E6152">
        <v>0.01</v>
      </c>
      <c r="F6152" t="s">
        <v>546</v>
      </c>
      <c r="G6152" s="174">
        <v>45576.460914351854</v>
      </c>
    </row>
    <row r="6153" spans="1:7">
      <c r="A6153">
        <v>6216</v>
      </c>
      <c r="B6153" t="s">
        <v>7584</v>
      </c>
      <c r="C6153" t="s">
        <v>3866</v>
      </c>
      <c r="E6153">
        <v>0.1</v>
      </c>
      <c r="F6153" t="s">
        <v>546</v>
      </c>
      <c r="G6153" s="174">
        <v>45576.460914351854</v>
      </c>
    </row>
    <row r="6154" spans="1:7">
      <c r="A6154">
        <v>6217</v>
      </c>
      <c r="B6154" t="s">
        <v>7584</v>
      </c>
      <c r="C6154" t="s">
        <v>3925</v>
      </c>
      <c r="E6154">
        <v>0.05</v>
      </c>
      <c r="F6154" t="s">
        <v>546</v>
      </c>
      <c r="G6154" s="174">
        <v>45576.460914351854</v>
      </c>
    </row>
    <row r="6155" spans="1:7">
      <c r="A6155">
        <v>6218</v>
      </c>
      <c r="B6155" t="s">
        <v>7585</v>
      </c>
      <c r="C6155" t="s">
        <v>2911</v>
      </c>
      <c r="E6155">
        <v>0.1</v>
      </c>
      <c r="F6155" t="s">
        <v>546</v>
      </c>
      <c r="G6155" s="174">
        <v>45576.460914351854</v>
      </c>
    </row>
    <row r="6156" spans="1:7">
      <c r="A6156">
        <v>6219</v>
      </c>
      <c r="B6156" t="s">
        <v>7586</v>
      </c>
      <c r="C6156" t="s">
        <v>7194</v>
      </c>
      <c r="E6156">
        <v>0.01</v>
      </c>
      <c r="F6156" t="s">
        <v>546</v>
      </c>
      <c r="G6156" s="174">
        <v>45576.460914351854</v>
      </c>
    </row>
    <row r="6157" spans="1:7">
      <c r="A6157">
        <v>6220</v>
      </c>
      <c r="B6157" t="s">
        <v>7587</v>
      </c>
      <c r="C6157" t="s">
        <v>5240</v>
      </c>
      <c r="E6157">
        <v>0.01</v>
      </c>
      <c r="F6157" t="s">
        <v>546</v>
      </c>
      <c r="G6157" s="174">
        <v>45576.460914351854</v>
      </c>
    </row>
    <row r="6158" spans="1:7">
      <c r="A6158">
        <v>6221</v>
      </c>
      <c r="B6158" t="s">
        <v>2530</v>
      </c>
      <c r="C6158" t="s">
        <v>5261</v>
      </c>
      <c r="E6158">
        <v>0.01</v>
      </c>
      <c r="F6158" t="s">
        <v>546</v>
      </c>
      <c r="G6158" s="174">
        <v>45576.460914351854</v>
      </c>
    </row>
    <row r="6159" spans="1:7">
      <c r="A6159">
        <v>6222</v>
      </c>
      <c r="B6159" t="s">
        <v>2530</v>
      </c>
      <c r="C6159" t="s">
        <v>4179</v>
      </c>
      <c r="E6159">
        <v>0.05</v>
      </c>
      <c r="F6159" t="s">
        <v>546</v>
      </c>
      <c r="G6159" s="174">
        <v>45576.460914351854</v>
      </c>
    </row>
    <row r="6160" spans="1:7">
      <c r="A6160">
        <v>6223</v>
      </c>
      <c r="B6160" t="s">
        <v>7588</v>
      </c>
      <c r="C6160" t="s">
        <v>6942</v>
      </c>
      <c r="E6160">
        <v>0.01</v>
      </c>
      <c r="F6160" t="s">
        <v>546</v>
      </c>
      <c r="G6160" s="174">
        <v>45576.460914351854</v>
      </c>
    </row>
    <row r="6161" spans="1:7">
      <c r="A6161">
        <v>6224</v>
      </c>
      <c r="B6161" t="s">
        <v>7589</v>
      </c>
      <c r="C6161" t="s">
        <v>5398</v>
      </c>
      <c r="E6161">
        <v>0.01</v>
      </c>
      <c r="F6161" t="s">
        <v>546</v>
      </c>
      <c r="G6161" s="174">
        <v>45576.460914351854</v>
      </c>
    </row>
    <row r="6162" spans="1:7">
      <c r="A6162">
        <v>6225</v>
      </c>
      <c r="B6162" t="s">
        <v>7590</v>
      </c>
      <c r="C6162" t="s">
        <v>5665</v>
      </c>
      <c r="E6162">
        <v>0.01</v>
      </c>
      <c r="F6162" t="s">
        <v>546</v>
      </c>
      <c r="G6162" s="174">
        <v>45576.460914351854</v>
      </c>
    </row>
    <row r="6163" spans="1:7">
      <c r="A6163">
        <v>6226</v>
      </c>
      <c r="B6163" t="s">
        <v>7591</v>
      </c>
      <c r="C6163" t="s">
        <v>7592</v>
      </c>
      <c r="E6163">
        <v>0.1</v>
      </c>
      <c r="F6163" t="s">
        <v>546</v>
      </c>
      <c r="G6163" s="174">
        <v>45576.460914351854</v>
      </c>
    </row>
    <row r="6164" spans="1:7">
      <c r="A6164">
        <v>6227</v>
      </c>
      <c r="B6164" t="s">
        <v>2538</v>
      </c>
      <c r="C6164" t="s">
        <v>5123</v>
      </c>
      <c r="E6164">
        <v>0.8</v>
      </c>
      <c r="F6164" t="s">
        <v>546</v>
      </c>
      <c r="G6164" s="174">
        <v>45576.460914351854</v>
      </c>
    </row>
    <row r="6165" spans="1:7">
      <c r="A6165">
        <v>6228</v>
      </c>
      <c r="B6165" t="s">
        <v>7593</v>
      </c>
      <c r="C6165" t="s">
        <v>6084</v>
      </c>
      <c r="E6165">
        <v>0.01</v>
      </c>
      <c r="F6165" t="s">
        <v>546</v>
      </c>
      <c r="G6165" s="174">
        <v>45576.460914351854</v>
      </c>
    </row>
    <row r="6166" spans="1:7">
      <c r="A6166">
        <v>6229</v>
      </c>
      <c r="B6166" t="s">
        <v>7594</v>
      </c>
      <c r="C6166" t="s">
        <v>6548</v>
      </c>
      <c r="E6166">
        <v>0.01</v>
      </c>
      <c r="F6166" t="s">
        <v>546</v>
      </c>
      <c r="G6166" s="174">
        <v>45576.460914351854</v>
      </c>
    </row>
    <row r="6167" spans="1:7">
      <c r="A6167">
        <v>6230</v>
      </c>
      <c r="B6167" t="s">
        <v>7595</v>
      </c>
      <c r="C6167" t="s">
        <v>3392</v>
      </c>
      <c r="E6167">
        <v>0.01</v>
      </c>
      <c r="F6167" t="s">
        <v>546</v>
      </c>
      <c r="G6167" s="174">
        <v>45576.460914351854</v>
      </c>
    </row>
    <row r="6168" spans="1:7">
      <c r="A6168">
        <v>6231</v>
      </c>
      <c r="B6168" t="s">
        <v>7596</v>
      </c>
      <c r="C6168" t="s">
        <v>7437</v>
      </c>
      <c r="E6168">
        <v>0.01</v>
      </c>
      <c r="F6168" t="s">
        <v>546</v>
      </c>
      <c r="G6168" s="174">
        <v>45576.460914351854</v>
      </c>
    </row>
    <row r="6169" spans="1:7">
      <c r="A6169">
        <v>6232</v>
      </c>
      <c r="B6169" t="s">
        <v>7597</v>
      </c>
      <c r="C6169" t="s">
        <v>2801</v>
      </c>
      <c r="E6169">
        <v>0.01</v>
      </c>
      <c r="F6169" t="s">
        <v>546</v>
      </c>
      <c r="G6169" s="174">
        <v>45576.460914351854</v>
      </c>
    </row>
    <row r="6170" spans="1:7">
      <c r="A6170">
        <v>6233</v>
      </c>
      <c r="B6170" t="s">
        <v>7598</v>
      </c>
      <c r="C6170" t="s">
        <v>3288</v>
      </c>
      <c r="E6170">
        <v>0.01</v>
      </c>
      <c r="F6170" t="s">
        <v>546</v>
      </c>
      <c r="G6170" s="174">
        <v>45576.460914351854</v>
      </c>
    </row>
    <row r="6171" spans="1:7">
      <c r="A6171">
        <v>6234</v>
      </c>
      <c r="B6171" t="s">
        <v>7599</v>
      </c>
      <c r="C6171" t="s">
        <v>3204</v>
      </c>
      <c r="E6171">
        <v>0.01</v>
      </c>
      <c r="F6171" t="s">
        <v>546</v>
      </c>
      <c r="G6171" s="174">
        <v>45576.460914351854</v>
      </c>
    </row>
    <row r="6172" spans="1:7">
      <c r="A6172">
        <v>6235</v>
      </c>
      <c r="B6172" t="s">
        <v>7599</v>
      </c>
      <c r="C6172" t="s">
        <v>2976</v>
      </c>
      <c r="E6172">
        <v>0.01</v>
      </c>
      <c r="F6172" t="s">
        <v>546</v>
      </c>
      <c r="G6172" s="174">
        <v>45576.460914351854</v>
      </c>
    </row>
    <row r="6173" spans="1:7">
      <c r="A6173">
        <v>6236</v>
      </c>
      <c r="B6173" t="s">
        <v>7600</v>
      </c>
      <c r="C6173" t="s">
        <v>5159</v>
      </c>
      <c r="E6173">
        <v>0.01</v>
      </c>
      <c r="F6173" t="s">
        <v>546</v>
      </c>
      <c r="G6173" s="174">
        <v>45576.460914351854</v>
      </c>
    </row>
    <row r="6174" spans="1:7">
      <c r="A6174">
        <v>6237</v>
      </c>
      <c r="B6174" t="s">
        <v>7601</v>
      </c>
      <c r="C6174" t="s">
        <v>3472</v>
      </c>
      <c r="E6174">
        <v>0.01</v>
      </c>
      <c r="F6174" t="s">
        <v>546</v>
      </c>
      <c r="G6174" s="174">
        <v>45576.460914351854</v>
      </c>
    </row>
    <row r="6175" spans="1:7">
      <c r="A6175">
        <v>6238</v>
      </c>
      <c r="B6175" t="s">
        <v>7602</v>
      </c>
      <c r="C6175" t="s">
        <v>3508</v>
      </c>
      <c r="E6175">
        <v>0.01</v>
      </c>
      <c r="F6175" t="s">
        <v>546</v>
      </c>
      <c r="G6175" s="174">
        <v>45576.460914351854</v>
      </c>
    </row>
    <row r="6176" spans="1:7">
      <c r="A6176">
        <v>6239</v>
      </c>
      <c r="B6176" t="s">
        <v>7603</v>
      </c>
      <c r="C6176" t="s">
        <v>2953</v>
      </c>
      <c r="E6176">
        <v>0.01</v>
      </c>
      <c r="F6176" t="s">
        <v>546</v>
      </c>
      <c r="G6176" s="174">
        <v>45576.460914351854</v>
      </c>
    </row>
    <row r="6177" spans="1:7">
      <c r="A6177">
        <v>6240</v>
      </c>
      <c r="B6177" t="s">
        <v>7604</v>
      </c>
      <c r="C6177" t="s">
        <v>3599</v>
      </c>
      <c r="E6177">
        <v>0.01</v>
      </c>
      <c r="F6177" t="s">
        <v>546</v>
      </c>
      <c r="G6177" s="174">
        <v>45576.460914351854</v>
      </c>
    </row>
    <row r="6178" spans="1:7">
      <c r="A6178">
        <v>6241</v>
      </c>
      <c r="B6178" t="s">
        <v>7605</v>
      </c>
      <c r="C6178" t="s">
        <v>3018</v>
      </c>
      <c r="E6178">
        <v>0.01</v>
      </c>
      <c r="F6178" t="s">
        <v>546</v>
      </c>
      <c r="G6178" s="174">
        <v>45576.460914351854</v>
      </c>
    </row>
    <row r="6179" spans="1:7">
      <c r="A6179">
        <v>6242</v>
      </c>
      <c r="B6179" t="s">
        <v>7605</v>
      </c>
      <c r="C6179" t="s">
        <v>4369</v>
      </c>
      <c r="E6179">
        <v>0.01</v>
      </c>
      <c r="F6179" t="s">
        <v>546</v>
      </c>
      <c r="G6179" s="174">
        <v>45576.460914351854</v>
      </c>
    </row>
    <row r="6180" spans="1:7">
      <c r="A6180">
        <v>6244</v>
      </c>
      <c r="B6180" t="s">
        <v>7606</v>
      </c>
      <c r="C6180" t="s">
        <v>7607</v>
      </c>
      <c r="E6180">
        <v>0.01</v>
      </c>
      <c r="F6180" t="s">
        <v>546</v>
      </c>
      <c r="G6180" s="174">
        <v>45576.460914351854</v>
      </c>
    </row>
    <row r="6181" spans="1:7">
      <c r="A6181">
        <v>6245</v>
      </c>
      <c r="B6181" t="s">
        <v>7608</v>
      </c>
      <c r="C6181" t="s">
        <v>4506</v>
      </c>
      <c r="E6181">
        <v>0.01</v>
      </c>
      <c r="F6181" t="s">
        <v>546</v>
      </c>
      <c r="G6181" s="174">
        <v>45576.460914351854</v>
      </c>
    </row>
    <row r="6182" spans="1:7">
      <c r="A6182">
        <v>6246</v>
      </c>
      <c r="B6182" t="s">
        <v>7609</v>
      </c>
      <c r="C6182" t="s">
        <v>7488</v>
      </c>
      <c r="E6182">
        <v>0.1</v>
      </c>
      <c r="F6182" t="s">
        <v>546</v>
      </c>
      <c r="G6182" s="174">
        <v>45576.460914351854</v>
      </c>
    </row>
    <row r="6183" spans="1:7">
      <c r="A6183">
        <v>6247</v>
      </c>
      <c r="B6183" t="s">
        <v>7609</v>
      </c>
      <c r="C6183" t="s">
        <v>7610</v>
      </c>
      <c r="E6183">
        <v>0.01</v>
      </c>
      <c r="F6183" t="s">
        <v>546</v>
      </c>
      <c r="G6183" s="174">
        <v>45576.460914351854</v>
      </c>
    </row>
    <row r="6184" spans="1:7">
      <c r="A6184">
        <v>6248</v>
      </c>
      <c r="B6184" t="s">
        <v>7611</v>
      </c>
      <c r="C6184" t="s">
        <v>6255</v>
      </c>
      <c r="E6184">
        <v>0.01</v>
      </c>
      <c r="F6184" t="s">
        <v>546</v>
      </c>
      <c r="G6184" s="174">
        <v>45576.460914351854</v>
      </c>
    </row>
    <row r="6185" spans="1:7">
      <c r="A6185">
        <v>6249</v>
      </c>
      <c r="B6185" t="s">
        <v>7612</v>
      </c>
      <c r="C6185" t="s">
        <v>3409</v>
      </c>
      <c r="E6185">
        <v>0.01</v>
      </c>
      <c r="F6185" t="s">
        <v>546</v>
      </c>
      <c r="G6185" s="174">
        <v>45576.460914351854</v>
      </c>
    </row>
    <row r="6186" spans="1:7">
      <c r="A6186">
        <v>6250</v>
      </c>
      <c r="B6186" t="s">
        <v>7613</v>
      </c>
      <c r="C6186" t="s">
        <v>2986</v>
      </c>
      <c r="E6186">
        <v>0.01</v>
      </c>
      <c r="F6186" t="s">
        <v>546</v>
      </c>
      <c r="G6186" s="174">
        <v>45576.460914351854</v>
      </c>
    </row>
    <row r="6187" spans="1:7">
      <c r="A6187">
        <v>6251</v>
      </c>
      <c r="B6187" t="s">
        <v>7614</v>
      </c>
      <c r="C6187" t="s">
        <v>3759</v>
      </c>
      <c r="E6187">
        <v>0.1</v>
      </c>
      <c r="F6187" t="s">
        <v>546</v>
      </c>
      <c r="G6187" s="174">
        <v>45576.460914351854</v>
      </c>
    </row>
    <row r="6188" spans="1:7">
      <c r="A6188">
        <v>6252</v>
      </c>
      <c r="B6188" t="s">
        <v>7615</v>
      </c>
      <c r="C6188" t="s">
        <v>3222</v>
      </c>
      <c r="E6188">
        <v>0.1</v>
      </c>
      <c r="F6188" t="s">
        <v>546</v>
      </c>
      <c r="G6188" s="174">
        <v>45576.460914351854</v>
      </c>
    </row>
    <row r="6189" spans="1:7">
      <c r="A6189">
        <v>6253</v>
      </c>
      <c r="B6189" t="s">
        <v>7616</v>
      </c>
      <c r="C6189" t="s">
        <v>7617</v>
      </c>
      <c r="E6189">
        <v>0.01</v>
      </c>
      <c r="F6189" t="s">
        <v>546</v>
      </c>
      <c r="G6189" s="174">
        <v>45576.460914351854</v>
      </c>
    </row>
    <row r="6190" spans="1:7">
      <c r="A6190">
        <v>6254</v>
      </c>
      <c r="B6190" t="s">
        <v>7618</v>
      </c>
      <c r="C6190" t="s">
        <v>3855</v>
      </c>
      <c r="E6190">
        <v>0.01</v>
      </c>
      <c r="F6190" t="s">
        <v>546</v>
      </c>
      <c r="G6190" s="174">
        <v>45576.460914351854</v>
      </c>
    </row>
    <row r="6191" spans="1:7">
      <c r="A6191">
        <v>6255</v>
      </c>
      <c r="B6191" t="s">
        <v>7619</v>
      </c>
      <c r="C6191" t="s">
        <v>7620</v>
      </c>
      <c r="E6191">
        <v>0.01</v>
      </c>
      <c r="F6191" t="s">
        <v>546</v>
      </c>
      <c r="G6191" s="174">
        <v>45576.460914351854</v>
      </c>
    </row>
    <row r="6192" spans="1:7">
      <c r="A6192">
        <v>6256</v>
      </c>
      <c r="B6192" t="s">
        <v>7621</v>
      </c>
      <c r="C6192" t="s">
        <v>6132</v>
      </c>
      <c r="E6192">
        <v>0.1</v>
      </c>
      <c r="F6192" t="s">
        <v>546</v>
      </c>
      <c r="G6192" s="174">
        <v>45576.460914351854</v>
      </c>
    </row>
    <row r="6193" spans="1:7">
      <c r="A6193">
        <v>6257</v>
      </c>
      <c r="B6193" t="s">
        <v>7622</v>
      </c>
      <c r="C6193" t="s">
        <v>4942</v>
      </c>
      <c r="E6193">
        <v>0.01</v>
      </c>
      <c r="F6193" t="s">
        <v>546</v>
      </c>
      <c r="G6193" s="174">
        <v>45576.460914351854</v>
      </c>
    </row>
    <row r="6194" spans="1:7">
      <c r="A6194">
        <v>6258</v>
      </c>
      <c r="B6194" t="s">
        <v>7623</v>
      </c>
      <c r="C6194" t="s">
        <v>4089</v>
      </c>
      <c r="E6194">
        <v>0.01</v>
      </c>
      <c r="F6194" t="s">
        <v>546</v>
      </c>
      <c r="G6194" s="174">
        <v>45576.460914351854</v>
      </c>
    </row>
    <row r="6195" spans="1:7">
      <c r="A6195">
        <v>6259</v>
      </c>
      <c r="B6195" t="s">
        <v>7624</v>
      </c>
      <c r="C6195" t="s">
        <v>7625</v>
      </c>
      <c r="E6195">
        <v>0.01</v>
      </c>
      <c r="F6195" t="s">
        <v>546</v>
      </c>
      <c r="G6195" s="174">
        <v>45576.460914351854</v>
      </c>
    </row>
    <row r="6196" spans="1:7">
      <c r="A6196">
        <v>6260</v>
      </c>
      <c r="B6196" t="s">
        <v>7626</v>
      </c>
      <c r="C6196" t="s">
        <v>5023</v>
      </c>
      <c r="E6196">
        <v>0.01</v>
      </c>
      <c r="F6196" t="s">
        <v>546</v>
      </c>
      <c r="G6196" s="174">
        <v>45576.460914351854</v>
      </c>
    </row>
    <row r="6197" spans="1:7">
      <c r="A6197">
        <v>6261</v>
      </c>
      <c r="B6197" t="s">
        <v>7627</v>
      </c>
      <c r="C6197" t="s">
        <v>3443</v>
      </c>
      <c r="E6197">
        <v>0.01</v>
      </c>
      <c r="F6197" t="s">
        <v>546</v>
      </c>
      <c r="G6197" s="174">
        <v>45576.460914351854</v>
      </c>
    </row>
    <row r="6198" spans="1:7">
      <c r="A6198">
        <v>6262</v>
      </c>
      <c r="B6198" t="s">
        <v>7628</v>
      </c>
      <c r="C6198" t="s">
        <v>4555</v>
      </c>
      <c r="E6198">
        <v>0.01</v>
      </c>
      <c r="F6198" t="s">
        <v>546</v>
      </c>
      <c r="G6198" s="174">
        <v>45576.460914351854</v>
      </c>
    </row>
    <row r="6199" spans="1:7">
      <c r="A6199">
        <v>6263</v>
      </c>
      <c r="B6199" t="s">
        <v>7628</v>
      </c>
      <c r="C6199" t="s">
        <v>2558</v>
      </c>
      <c r="E6199">
        <v>0.01</v>
      </c>
      <c r="F6199" t="s">
        <v>546</v>
      </c>
      <c r="G6199" s="174">
        <v>45576.460914351854</v>
      </c>
    </row>
    <row r="6200" spans="1:7">
      <c r="A6200">
        <v>6264</v>
      </c>
      <c r="B6200" t="s">
        <v>7628</v>
      </c>
      <c r="C6200" t="s">
        <v>4898</v>
      </c>
      <c r="E6200">
        <v>0.01</v>
      </c>
      <c r="F6200" t="s">
        <v>546</v>
      </c>
      <c r="G6200" s="174">
        <v>45576.460914351854</v>
      </c>
    </row>
    <row r="6201" spans="1:7">
      <c r="A6201">
        <v>6265</v>
      </c>
      <c r="B6201" t="s">
        <v>7629</v>
      </c>
      <c r="C6201" t="s">
        <v>7630</v>
      </c>
      <c r="E6201">
        <v>0.01</v>
      </c>
      <c r="F6201" t="s">
        <v>546</v>
      </c>
      <c r="G6201" s="174">
        <v>45576.460914351854</v>
      </c>
    </row>
    <row r="6202" spans="1:7">
      <c r="A6202">
        <v>6266</v>
      </c>
      <c r="B6202" t="s">
        <v>7631</v>
      </c>
      <c r="C6202" t="s">
        <v>4353</v>
      </c>
      <c r="E6202">
        <v>0.8</v>
      </c>
      <c r="F6202" t="s">
        <v>546</v>
      </c>
      <c r="G6202" s="174">
        <v>45576.460914351854</v>
      </c>
    </row>
    <row r="6203" spans="1:7">
      <c r="A6203">
        <v>6267</v>
      </c>
      <c r="B6203" t="s">
        <v>7631</v>
      </c>
      <c r="C6203" t="s">
        <v>5974</v>
      </c>
      <c r="E6203">
        <v>0.1</v>
      </c>
      <c r="F6203" t="s">
        <v>546</v>
      </c>
      <c r="G6203" s="174">
        <v>45576.460914351854</v>
      </c>
    </row>
    <row r="6204" spans="1:7">
      <c r="A6204">
        <v>6268</v>
      </c>
      <c r="B6204" t="s">
        <v>7632</v>
      </c>
      <c r="C6204" t="s">
        <v>3855</v>
      </c>
      <c r="E6204">
        <v>0.01</v>
      </c>
      <c r="F6204" t="s">
        <v>546</v>
      </c>
      <c r="G6204" s="174">
        <v>45576.460914351854</v>
      </c>
    </row>
    <row r="6205" spans="1:7">
      <c r="A6205">
        <v>6269</v>
      </c>
      <c r="B6205" t="s">
        <v>7632</v>
      </c>
      <c r="C6205" t="s">
        <v>3274</v>
      </c>
      <c r="E6205">
        <v>0.1</v>
      </c>
      <c r="F6205" t="s">
        <v>546</v>
      </c>
      <c r="G6205" s="174">
        <v>45576.460914351854</v>
      </c>
    </row>
    <row r="6206" spans="1:7">
      <c r="A6206">
        <v>6270</v>
      </c>
      <c r="B6206" t="s">
        <v>7633</v>
      </c>
      <c r="C6206" t="s">
        <v>4583</v>
      </c>
      <c r="E6206">
        <v>0.01</v>
      </c>
      <c r="F6206" t="s">
        <v>546</v>
      </c>
      <c r="G6206" s="174">
        <v>45576.460914351854</v>
      </c>
    </row>
    <row r="6207" spans="1:7">
      <c r="A6207">
        <v>6271</v>
      </c>
      <c r="B6207" t="s">
        <v>2549</v>
      </c>
      <c r="C6207" t="s">
        <v>7634</v>
      </c>
      <c r="E6207">
        <v>0.01</v>
      </c>
      <c r="F6207" t="s">
        <v>546</v>
      </c>
      <c r="G6207" s="174">
        <v>45576.460914351854</v>
      </c>
    </row>
    <row r="6208" spans="1:7">
      <c r="A6208">
        <v>6272</v>
      </c>
      <c r="B6208" t="s">
        <v>7635</v>
      </c>
      <c r="C6208" t="s">
        <v>7278</v>
      </c>
      <c r="E6208">
        <v>0.01</v>
      </c>
      <c r="F6208" t="s">
        <v>546</v>
      </c>
      <c r="G6208" s="174">
        <v>45576.460914351854</v>
      </c>
    </row>
    <row r="6209" spans="1:7">
      <c r="A6209">
        <v>6273</v>
      </c>
      <c r="B6209" t="s">
        <v>7635</v>
      </c>
      <c r="C6209" t="s">
        <v>7279</v>
      </c>
      <c r="E6209">
        <v>0.01</v>
      </c>
      <c r="F6209" t="s">
        <v>546</v>
      </c>
      <c r="G6209" s="174">
        <v>45576.460914351854</v>
      </c>
    </row>
    <row r="6210" spans="1:7">
      <c r="A6210">
        <v>6274</v>
      </c>
      <c r="B6210" t="s">
        <v>7636</v>
      </c>
      <c r="C6210" t="s">
        <v>3161</v>
      </c>
      <c r="E6210">
        <v>0.01</v>
      </c>
      <c r="F6210" t="s">
        <v>546</v>
      </c>
      <c r="G6210" s="174">
        <v>45576.460914351854</v>
      </c>
    </row>
    <row r="6211" spans="1:7">
      <c r="A6211">
        <v>6275</v>
      </c>
      <c r="B6211" t="s">
        <v>7637</v>
      </c>
      <c r="C6211" t="s">
        <v>5733</v>
      </c>
      <c r="E6211">
        <v>0.01</v>
      </c>
      <c r="F6211" t="s">
        <v>546</v>
      </c>
      <c r="G6211" s="174">
        <v>45576.460914351854</v>
      </c>
    </row>
    <row r="6212" spans="1:7">
      <c r="A6212">
        <v>6276</v>
      </c>
      <c r="B6212" t="s">
        <v>7638</v>
      </c>
      <c r="C6212" t="s">
        <v>5255</v>
      </c>
      <c r="E6212">
        <v>0.01</v>
      </c>
      <c r="F6212" t="s">
        <v>546</v>
      </c>
      <c r="G6212" s="174">
        <v>45576.460914351854</v>
      </c>
    </row>
    <row r="6213" spans="1:7">
      <c r="A6213">
        <v>6277</v>
      </c>
      <c r="B6213" t="s">
        <v>7639</v>
      </c>
      <c r="C6213" t="s">
        <v>7640</v>
      </c>
      <c r="E6213">
        <v>0.01</v>
      </c>
      <c r="F6213" t="s">
        <v>546</v>
      </c>
      <c r="G6213" s="174">
        <v>45576.460914351854</v>
      </c>
    </row>
    <row r="6214" spans="1:7">
      <c r="A6214">
        <v>6278</v>
      </c>
      <c r="B6214" t="s">
        <v>7641</v>
      </c>
      <c r="C6214" t="s">
        <v>3227</v>
      </c>
      <c r="E6214">
        <v>0.01</v>
      </c>
      <c r="F6214" t="s">
        <v>546</v>
      </c>
      <c r="G6214" s="174">
        <v>45576.460914351854</v>
      </c>
    </row>
    <row r="6215" spans="1:7">
      <c r="A6215">
        <v>6279</v>
      </c>
      <c r="B6215" t="s">
        <v>7642</v>
      </c>
      <c r="C6215" t="s">
        <v>3621</v>
      </c>
      <c r="E6215">
        <v>0.05</v>
      </c>
      <c r="F6215" t="s">
        <v>546</v>
      </c>
      <c r="G6215" s="174">
        <v>45576.460914351854</v>
      </c>
    </row>
    <row r="6216" spans="1:7">
      <c r="A6216">
        <v>6280</v>
      </c>
      <c r="B6216" t="s">
        <v>7642</v>
      </c>
      <c r="C6216" t="s">
        <v>2850</v>
      </c>
      <c r="E6216">
        <v>0.05</v>
      </c>
      <c r="F6216" t="s">
        <v>546</v>
      </c>
      <c r="G6216" s="174">
        <v>45576.460914351854</v>
      </c>
    </row>
    <row r="6217" spans="1:7">
      <c r="A6217">
        <v>6281</v>
      </c>
      <c r="B6217" t="s">
        <v>2557</v>
      </c>
      <c r="C6217" t="s">
        <v>4898</v>
      </c>
      <c r="E6217">
        <v>0.01</v>
      </c>
      <c r="F6217" t="s">
        <v>546</v>
      </c>
      <c r="G6217" s="174">
        <v>45576.460914351854</v>
      </c>
    </row>
    <row r="6218" spans="1:7">
      <c r="A6218">
        <v>6282</v>
      </c>
      <c r="B6218" t="s">
        <v>7643</v>
      </c>
      <c r="C6218" t="s">
        <v>6063</v>
      </c>
      <c r="E6218">
        <v>0.01</v>
      </c>
      <c r="F6218" t="s">
        <v>546</v>
      </c>
      <c r="G6218" s="174">
        <v>45576.460914351854</v>
      </c>
    </row>
    <row r="6219" spans="1:7">
      <c r="A6219">
        <v>6283</v>
      </c>
      <c r="B6219" t="s">
        <v>7644</v>
      </c>
      <c r="C6219" t="s">
        <v>4201</v>
      </c>
      <c r="E6219">
        <v>0.01</v>
      </c>
      <c r="F6219" t="s">
        <v>546</v>
      </c>
      <c r="G6219" s="174">
        <v>45576.460914351854</v>
      </c>
    </row>
    <row r="6220" spans="1:7">
      <c r="A6220">
        <v>6284</v>
      </c>
      <c r="B6220" t="s">
        <v>7645</v>
      </c>
      <c r="C6220" t="s">
        <v>5170</v>
      </c>
      <c r="E6220">
        <v>0.01</v>
      </c>
      <c r="F6220" t="s">
        <v>546</v>
      </c>
      <c r="G6220" s="174">
        <v>45576.460914351854</v>
      </c>
    </row>
    <row r="6221" spans="1:7">
      <c r="A6221">
        <v>6285</v>
      </c>
      <c r="B6221" t="s">
        <v>7646</v>
      </c>
      <c r="C6221" t="s">
        <v>3375</v>
      </c>
      <c r="E6221">
        <v>0.01</v>
      </c>
      <c r="F6221" t="s">
        <v>546</v>
      </c>
      <c r="G6221" s="174">
        <v>45576.460914351854</v>
      </c>
    </row>
    <row r="6222" spans="1:7">
      <c r="A6222">
        <v>6286</v>
      </c>
      <c r="B6222" t="s">
        <v>7647</v>
      </c>
      <c r="C6222" t="s">
        <v>3751</v>
      </c>
      <c r="E6222">
        <v>0.01</v>
      </c>
      <c r="F6222" t="s">
        <v>546</v>
      </c>
      <c r="G6222" s="174">
        <v>45576.460914351854</v>
      </c>
    </row>
    <row r="6223" spans="1:7">
      <c r="A6223">
        <v>6287</v>
      </c>
      <c r="B6223" t="s">
        <v>7648</v>
      </c>
      <c r="C6223" t="s">
        <v>3507</v>
      </c>
      <c r="E6223">
        <v>0.01</v>
      </c>
      <c r="F6223" t="s">
        <v>546</v>
      </c>
      <c r="G6223" s="174">
        <v>45576.460914351854</v>
      </c>
    </row>
    <row r="6224" spans="1:7">
      <c r="A6224">
        <v>6288</v>
      </c>
      <c r="B6224" t="s">
        <v>7649</v>
      </c>
      <c r="C6224" t="s">
        <v>3977</v>
      </c>
      <c r="E6224">
        <v>0.01</v>
      </c>
      <c r="F6224" t="s">
        <v>546</v>
      </c>
      <c r="G6224" s="174">
        <v>45576.460914351854</v>
      </c>
    </row>
    <row r="6225" spans="1:7">
      <c r="A6225">
        <v>6289</v>
      </c>
      <c r="B6225" t="s">
        <v>7650</v>
      </c>
      <c r="C6225" t="s">
        <v>3529</v>
      </c>
      <c r="E6225">
        <v>0.01</v>
      </c>
      <c r="F6225" t="s">
        <v>546</v>
      </c>
      <c r="G6225" s="174">
        <v>45576.460914351854</v>
      </c>
    </row>
    <row r="6226" spans="1:7">
      <c r="A6226">
        <v>6290</v>
      </c>
      <c r="B6226" t="s">
        <v>7650</v>
      </c>
      <c r="C6226" t="s">
        <v>3530</v>
      </c>
      <c r="E6226">
        <v>0.1</v>
      </c>
      <c r="F6226" t="s">
        <v>546</v>
      </c>
      <c r="G6226" s="174">
        <v>45576.460914351854</v>
      </c>
    </row>
    <row r="6227" spans="1:7">
      <c r="A6227">
        <v>6291</v>
      </c>
      <c r="B6227" t="s">
        <v>7651</v>
      </c>
      <c r="C6227" t="s">
        <v>2777</v>
      </c>
      <c r="E6227">
        <v>0.01</v>
      </c>
      <c r="F6227" t="s">
        <v>546</v>
      </c>
      <c r="G6227" s="174">
        <v>45576.460914351854</v>
      </c>
    </row>
    <row r="6228" spans="1:7">
      <c r="A6228">
        <v>6292</v>
      </c>
      <c r="B6228" t="s">
        <v>7652</v>
      </c>
      <c r="C6228" t="s">
        <v>7653</v>
      </c>
      <c r="E6228">
        <v>0.01</v>
      </c>
      <c r="F6228" t="s">
        <v>546</v>
      </c>
      <c r="G6228" s="174">
        <v>45576.460914351854</v>
      </c>
    </row>
    <row r="6229" spans="1:7">
      <c r="A6229">
        <v>6293</v>
      </c>
      <c r="B6229" t="s">
        <v>7654</v>
      </c>
      <c r="C6229" t="s">
        <v>2769</v>
      </c>
      <c r="E6229">
        <v>0.01</v>
      </c>
      <c r="F6229" t="s">
        <v>546</v>
      </c>
      <c r="G6229" s="174">
        <v>45576.460914351854</v>
      </c>
    </row>
    <row r="6230" spans="1:7">
      <c r="A6230">
        <v>6294</v>
      </c>
      <c r="B6230" t="s">
        <v>7655</v>
      </c>
      <c r="C6230" t="s">
        <v>4843</v>
      </c>
      <c r="E6230">
        <v>0.01</v>
      </c>
      <c r="F6230" t="s">
        <v>546</v>
      </c>
      <c r="G6230" s="174">
        <v>45576.460914351854</v>
      </c>
    </row>
    <row r="6231" spans="1:7">
      <c r="A6231">
        <v>6295</v>
      </c>
      <c r="B6231" t="s">
        <v>7655</v>
      </c>
      <c r="C6231" t="s">
        <v>7656</v>
      </c>
      <c r="E6231">
        <v>0.1</v>
      </c>
      <c r="F6231" t="s">
        <v>546</v>
      </c>
      <c r="G6231" s="174">
        <v>45576.460914351854</v>
      </c>
    </row>
    <row r="6232" spans="1:7">
      <c r="A6232">
        <v>6296</v>
      </c>
      <c r="B6232" t="s">
        <v>7657</v>
      </c>
      <c r="C6232" t="s">
        <v>3092</v>
      </c>
      <c r="E6232">
        <v>0.01</v>
      </c>
      <c r="F6232" t="s">
        <v>546</v>
      </c>
      <c r="G6232" s="174">
        <v>45576.460914351854</v>
      </c>
    </row>
    <row r="6233" spans="1:7">
      <c r="A6233">
        <v>6297</v>
      </c>
      <c r="B6233" t="s">
        <v>7658</v>
      </c>
      <c r="C6233" t="s">
        <v>4201</v>
      </c>
      <c r="E6233">
        <v>0.01</v>
      </c>
      <c r="F6233" t="s">
        <v>546</v>
      </c>
      <c r="G6233" s="174">
        <v>45576.460914351854</v>
      </c>
    </row>
    <row r="6234" spans="1:7">
      <c r="A6234">
        <v>6298</v>
      </c>
      <c r="B6234" t="s">
        <v>7659</v>
      </c>
      <c r="C6234" t="s">
        <v>4406</v>
      </c>
      <c r="E6234">
        <v>0.01</v>
      </c>
      <c r="F6234" t="s">
        <v>546</v>
      </c>
      <c r="G6234" s="174">
        <v>45576.460914351854</v>
      </c>
    </row>
    <row r="6235" spans="1:7">
      <c r="A6235">
        <v>6299</v>
      </c>
      <c r="B6235" t="s">
        <v>7659</v>
      </c>
      <c r="C6235" t="s">
        <v>5615</v>
      </c>
      <c r="E6235">
        <v>0.01</v>
      </c>
      <c r="F6235" t="s">
        <v>546</v>
      </c>
      <c r="G6235" s="174">
        <v>45576.460914351854</v>
      </c>
    </row>
    <row r="6236" spans="1:7">
      <c r="A6236">
        <v>6300</v>
      </c>
      <c r="B6236" t="s">
        <v>2567</v>
      </c>
      <c r="C6236" t="s">
        <v>4878</v>
      </c>
      <c r="E6236">
        <v>0.1</v>
      </c>
      <c r="F6236" t="s">
        <v>546</v>
      </c>
      <c r="G6236" s="174">
        <v>45576.460914351854</v>
      </c>
    </row>
    <row r="6237" spans="1:7">
      <c r="A6237">
        <v>6301</v>
      </c>
      <c r="B6237" t="s">
        <v>2569</v>
      </c>
      <c r="C6237" t="s">
        <v>6823</v>
      </c>
      <c r="E6237">
        <v>0.01</v>
      </c>
      <c r="F6237" t="s">
        <v>546</v>
      </c>
      <c r="G6237" s="174">
        <v>45576.460914351854</v>
      </c>
    </row>
    <row r="6238" spans="1:7">
      <c r="A6238">
        <v>6302</v>
      </c>
      <c r="B6238" t="s">
        <v>7660</v>
      </c>
      <c r="C6238" t="s">
        <v>2886</v>
      </c>
      <c r="E6238">
        <v>0.01</v>
      </c>
      <c r="F6238" t="s">
        <v>546</v>
      </c>
      <c r="G6238" s="174">
        <v>45576.460914351854</v>
      </c>
    </row>
    <row r="6239" spans="1:7">
      <c r="A6239">
        <v>6303</v>
      </c>
      <c r="B6239" t="s">
        <v>7661</v>
      </c>
      <c r="C6239" t="s">
        <v>5620</v>
      </c>
      <c r="E6239">
        <v>0.01</v>
      </c>
      <c r="F6239" t="s">
        <v>546</v>
      </c>
      <c r="G6239" s="174">
        <v>45576.460914351854</v>
      </c>
    </row>
    <row r="6240" spans="1:7">
      <c r="A6240">
        <v>6304</v>
      </c>
      <c r="B6240" t="s">
        <v>7662</v>
      </c>
      <c r="C6240" t="s">
        <v>4398</v>
      </c>
      <c r="E6240">
        <v>0.01</v>
      </c>
      <c r="F6240" t="s">
        <v>546</v>
      </c>
      <c r="G6240" s="174">
        <v>45576.460914351854</v>
      </c>
    </row>
    <row r="6241" spans="1:7">
      <c r="A6241">
        <v>6305</v>
      </c>
      <c r="B6241" t="s">
        <v>7663</v>
      </c>
      <c r="C6241" t="s">
        <v>6844</v>
      </c>
      <c r="E6241">
        <v>0.01</v>
      </c>
      <c r="F6241" t="s">
        <v>546</v>
      </c>
      <c r="G6241" s="174">
        <v>45576.460914351854</v>
      </c>
    </row>
    <row r="6242" spans="1:7">
      <c r="A6242">
        <v>6306</v>
      </c>
      <c r="B6242" t="s">
        <v>7664</v>
      </c>
      <c r="C6242" t="s">
        <v>4554</v>
      </c>
      <c r="E6242">
        <v>0.01</v>
      </c>
      <c r="F6242" t="s">
        <v>546</v>
      </c>
      <c r="G6242" s="174">
        <v>45576.460914351854</v>
      </c>
    </row>
    <row r="6243" spans="1:7">
      <c r="A6243">
        <v>6307</v>
      </c>
      <c r="B6243" t="s">
        <v>7665</v>
      </c>
      <c r="C6243" t="s">
        <v>2769</v>
      </c>
      <c r="E6243">
        <v>0.01</v>
      </c>
      <c r="F6243" t="s">
        <v>546</v>
      </c>
      <c r="G6243" s="174">
        <v>45576.460914351854</v>
      </c>
    </row>
    <row r="6244" spans="1:7">
      <c r="A6244">
        <v>6308</v>
      </c>
      <c r="B6244" t="s">
        <v>7666</v>
      </c>
      <c r="C6244" t="s">
        <v>4650</v>
      </c>
      <c r="E6244">
        <v>0.01</v>
      </c>
      <c r="F6244" t="s">
        <v>546</v>
      </c>
      <c r="G6244" s="174">
        <v>45576.460914351854</v>
      </c>
    </row>
    <row r="6245" spans="1:7">
      <c r="A6245">
        <v>6309</v>
      </c>
      <c r="B6245" t="s">
        <v>7667</v>
      </c>
      <c r="C6245" t="s">
        <v>7273</v>
      </c>
      <c r="E6245">
        <v>0.01</v>
      </c>
      <c r="F6245" t="s">
        <v>546</v>
      </c>
      <c r="G6245" s="174">
        <v>45576.460914351854</v>
      </c>
    </row>
    <row r="6246" spans="1:7">
      <c r="A6246">
        <v>6310</v>
      </c>
      <c r="B6246" t="s">
        <v>7668</v>
      </c>
      <c r="C6246" t="s">
        <v>4149</v>
      </c>
      <c r="E6246">
        <v>0.01</v>
      </c>
      <c r="F6246" t="s">
        <v>546</v>
      </c>
      <c r="G6246" s="174">
        <v>45576.460914351854</v>
      </c>
    </row>
    <row r="6247" spans="1:7">
      <c r="A6247">
        <v>6311</v>
      </c>
      <c r="B6247" t="s">
        <v>7669</v>
      </c>
      <c r="C6247" t="s">
        <v>6801</v>
      </c>
      <c r="E6247">
        <v>0.01</v>
      </c>
      <c r="F6247" t="s">
        <v>546</v>
      </c>
      <c r="G6247" s="174">
        <v>45576.460914351854</v>
      </c>
    </row>
    <row r="6248" spans="1:7">
      <c r="A6248">
        <v>6312</v>
      </c>
      <c r="B6248" t="s">
        <v>7669</v>
      </c>
      <c r="C6248" t="s">
        <v>7460</v>
      </c>
      <c r="E6248">
        <v>0.01</v>
      </c>
      <c r="F6248" t="s">
        <v>546</v>
      </c>
      <c r="G6248" s="174">
        <v>45576.460914351854</v>
      </c>
    </row>
    <row r="6249" spans="1:7">
      <c r="A6249">
        <v>6313</v>
      </c>
      <c r="B6249" t="s">
        <v>7670</v>
      </c>
      <c r="C6249" t="s">
        <v>4398</v>
      </c>
      <c r="E6249">
        <v>0.01</v>
      </c>
      <c r="F6249" t="s">
        <v>546</v>
      </c>
      <c r="G6249" s="174">
        <v>45576.460914351854</v>
      </c>
    </row>
    <row r="6250" spans="1:7">
      <c r="A6250">
        <v>6314</v>
      </c>
      <c r="B6250" t="s">
        <v>7671</v>
      </c>
      <c r="C6250" t="s">
        <v>4398</v>
      </c>
      <c r="E6250">
        <v>0.01</v>
      </c>
      <c r="F6250" t="s">
        <v>546</v>
      </c>
      <c r="G6250" s="174">
        <v>45576.460914351854</v>
      </c>
    </row>
    <row r="6251" spans="1:7">
      <c r="A6251">
        <v>6315</v>
      </c>
      <c r="B6251" t="s">
        <v>7672</v>
      </c>
      <c r="C6251" t="s">
        <v>3773</v>
      </c>
      <c r="E6251">
        <v>0.01</v>
      </c>
      <c r="F6251" t="s">
        <v>546</v>
      </c>
      <c r="G6251" s="174">
        <v>45576.460914351854</v>
      </c>
    </row>
    <row r="6252" spans="1:7">
      <c r="A6252">
        <v>6316</v>
      </c>
      <c r="B6252" t="s">
        <v>7673</v>
      </c>
      <c r="C6252" t="s">
        <v>4834</v>
      </c>
      <c r="E6252">
        <v>0.01</v>
      </c>
      <c r="F6252" t="s">
        <v>546</v>
      </c>
      <c r="G6252" s="174">
        <v>45576.460914351854</v>
      </c>
    </row>
    <row r="6253" spans="1:7">
      <c r="A6253">
        <v>6317</v>
      </c>
      <c r="B6253" t="s">
        <v>7674</v>
      </c>
      <c r="C6253" t="s">
        <v>3366</v>
      </c>
      <c r="E6253">
        <v>0.01</v>
      </c>
      <c r="F6253" t="s">
        <v>546</v>
      </c>
      <c r="G6253" s="174">
        <v>45576.460914351854</v>
      </c>
    </row>
    <row r="6254" spans="1:7">
      <c r="A6254">
        <v>6318</v>
      </c>
      <c r="B6254" t="s">
        <v>7675</v>
      </c>
      <c r="C6254" t="s">
        <v>6957</v>
      </c>
      <c r="E6254">
        <v>0.01</v>
      </c>
      <c r="F6254" t="s">
        <v>546</v>
      </c>
      <c r="G6254" s="174">
        <v>45576.460914351854</v>
      </c>
    </row>
    <row r="6255" spans="1:7">
      <c r="A6255">
        <v>6319</v>
      </c>
      <c r="B6255" t="s">
        <v>7676</v>
      </c>
      <c r="C6255" t="s">
        <v>6804</v>
      </c>
      <c r="E6255">
        <v>0.01</v>
      </c>
      <c r="F6255" t="s">
        <v>546</v>
      </c>
      <c r="G6255" s="174">
        <v>45576.460914351854</v>
      </c>
    </row>
    <row r="6256" spans="1:7">
      <c r="A6256">
        <v>6320</v>
      </c>
      <c r="B6256" t="s">
        <v>7677</v>
      </c>
      <c r="C6256" t="s">
        <v>3779</v>
      </c>
      <c r="E6256">
        <v>0.01</v>
      </c>
      <c r="F6256" t="s">
        <v>546</v>
      </c>
      <c r="G6256" s="174">
        <v>45576.460914351854</v>
      </c>
    </row>
    <row r="6257" spans="1:7">
      <c r="A6257">
        <v>6321</v>
      </c>
      <c r="B6257" t="s">
        <v>7678</v>
      </c>
      <c r="C6257" t="s">
        <v>2841</v>
      </c>
      <c r="E6257">
        <v>0.01</v>
      </c>
      <c r="F6257" t="s">
        <v>546</v>
      </c>
      <c r="G6257" s="174">
        <v>45576.460914351854</v>
      </c>
    </row>
    <row r="6258" spans="1:7">
      <c r="A6258">
        <v>6322</v>
      </c>
      <c r="B6258" t="s">
        <v>7679</v>
      </c>
      <c r="C6258" t="s">
        <v>2810</v>
      </c>
      <c r="E6258">
        <v>0.01</v>
      </c>
      <c r="F6258" t="s">
        <v>546</v>
      </c>
      <c r="G6258" s="174">
        <v>45576.460914351854</v>
      </c>
    </row>
    <row r="6259" spans="1:7">
      <c r="A6259">
        <v>6323</v>
      </c>
      <c r="B6259" t="s">
        <v>7680</v>
      </c>
      <c r="C6259" t="s">
        <v>3479</v>
      </c>
      <c r="E6259">
        <v>0.01</v>
      </c>
      <c r="F6259" t="s">
        <v>546</v>
      </c>
      <c r="G6259" s="174">
        <v>45576.460914351854</v>
      </c>
    </row>
    <row r="6260" spans="1:7">
      <c r="A6260">
        <v>6324</v>
      </c>
      <c r="B6260" t="s">
        <v>7681</v>
      </c>
      <c r="C6260" t="s">
        <v>2899</v>
      </c>
      <c r="E6260">
        <v>0.1</v>
      </c>
      <c r="F6260" t="s">
        <v>546</v>
      </c>
      <c r="G6260" s="174">
        <v>45576.460914351854</v>
      </c>
    </row>
    <row r="6261" spans="1:7">
      <c r="A6261">
        <v>6325</v>
      </c>
      <c r="B6261" t="s">
        <v>7682</v>
      </c>
      <c r="C6261" t="s">
        <v>3227</v>
      </c>
      <c r="E6261">
        <v>0.01</v>
      </c>
      <c r="F6261" t="s">
        <v>546</v>
      </c>
      <c r="G6261" s="174">
        <v>45576.460914351854</v>
      </c>
    </row>
    <row r="6262" spans="1:7">
      <c r="A6262">
        <v>6326</v>
      </c>
      <c r="B6262" t="s">
        <v>7683</v>
      </c>
      <c r="C6262" t="s">
        <v>7299</v>
      </c>
      <c r="E6262">
        <v>0.01</v>
      </c>
      <c r="F6262" t="s">
        <v>546</v>
      </c>
      <c r="G6262" s="174">
        <v>45576.460914351854</v>
      </c>
    </row>
    <row r="6263" spans="1:7">
      <c r="A6263">
        <v>6327</v>
      </c>
      <c r="B6263" t="s">
        <v>7684</v>
      </c>
      <c r="C6263" t="s">
        <v>7685</v>
      </c>
      <c r="E6263">
        <v>0.01</v>
      </c>
      <c r="F6263" t="s">
        <v>546</v>
      </c>
      <c r="G6263" s="174">
        <v>45576.460914351854</v>
      </c>
    </row>
    <row r="6264" spans="1:7">
      <c r="A6264">
        <v>6328</v>
      </c>
      <c r="B6264" t="s">
        <v>2577</v>
      </c>
      <c r="C6264" t="s">
        <v>3100</v>
      </c>
      <c r="E6264">
        <v>0.01</v>
      </c>
      <c r="F6264" t="s">
        <v>546</v>
      </c>
      <c r="G6264" s="174">
        <v>45576.460914351854</v>
      </c>
    </row>
    <row r="6265" spans="1:7">
      <c r="A6265">
        <v>6329</v>
      </c>
      <c r="B6265" t="s">
        <v>7686</v>
      </c>
      <c r="C6265" t="s">
        <v>5595</v>
      </c>
      <c r="E6265">
        <v>0.01</v>
      </c>
      <c r="F6265" t="s">
        <v>546</v>
      </c>
      <c r="G6265" s="174">
        <v>45576.460914351854</v>
      </c>
    </row>
    <row r="6266" spans="1:7">
      <c r="A6266">
        <v>6330</v>
      </c>
      <c r="B6266" t="s">
        <v>7687</v>
      </c>
      <c r="C6266" t="s">
        <v>4999</v>
      </c>
      <c r="E6266">
        <v>0.1</v>
      </c>
      <c r="F6266" t="s">
        <v>546</v>
      </c>
      <c r="G6266" s="174">
        <v>45576.460914351854</v>
      </c>
    </row>
    <row r="6267" spans="1:7">
      <c r="A6267">
        <v>6331</v>
      </c>
      <c r="B6267" t="s">
        <v>7687</v>
      </c>
      <c r="C6267" t="s">
        <v>3198</v>
      </c>
      <c r="E6267">
        <v>0.01</v>
      </c>
      <c r="F6267" t="s">
        <v>546</v>
      </c>
      <c r="G6267" s="174">
        <v>45576.460914351854</v>
      </c>
    </row>
    <row r="6268" spans="1:7">
      <c r="A6268">
        <v>6332</v>
      </c>
      <c r="B6268" t="s">
        <v>7688</v>
      </c>
      <c r="C6268" t="s">
        <v>6099</v>
      </c>
      <c r="E6268">
        <v>0.01</v>
      </c>
      <c r="F6268" t="s">
        <v>546</v>
      </c>
      <c r="G6268" s="174">
        <v>45576.460914351854</v>
      </c>
    </row>
    <row r="6269" spans="1:7">
      <c r="A6269">
        <v>6333</v>
      </c>
      <c r="B6269" t="s">
        <v>7689</v>
      </c>
      <c r="C6269" t="s">
        <v>3777</v>
      </c>
      <c r="E6269">
        <v>0.01</v>
      </c>
      <c r="F6269" t="s">
        <v>546</v>
      </c>
      <c r="G6269" s="174">
        <v>45576.460914351854</v>
      </c>
    </row>
    <row r="6270" spans="1:7">
      <c r="A6270">
        <v>6334</v>
      </c>
      <c r="B6270" t="s">
        <v>7690</v>
      </c>
      <c r="C6270" t="s">
        <v>6298</v>
      </c>
      <c r="E6270">
        <v>0.01</v>
      </c>
      <c r="F6270" t="s">
        <v>546</v>
      </c>
      <c r="G6270" s="174">
        <v>45576.460914351854</v>
      </c>
    </row>
    <row r="6271" spans="1:7">
      <c r="A6271">
        <v>6335</v>
      </c>
      <c r="B6271" t="s">
        <v>7691</v>
      </c>
      <c r="C6271" t="s">
        <v>3759</v>
      </c>
      <c r="E6271">
        <v>0.8</v>
      </c>
      <c r="F6271" t="s">
        <v>546</v>
      </c>
      <c r="G6271" s="174">
        <v>45576.460914351854</v>
      </c>
    </row>
    <row r="6272" spans="1:7">
      <c r="A6272">
        <v>6337</v>
      </c>
      <c r="B6272" t="s">
        <v>7692</v>
      </c>
      <c r="C6272" t="s">
        <v>7145</v>
      </c>
      <c r="E6272">
        <v>0.01</v>
      </c>
      <c r="F6272" t="s">
        <v>546</v>
      </c>
      <c r="G6272" s="174">
        <v>45576.460914351854</v>
      </c>
    </row>
    <row r="6273" spans="1:7">
      <c r="A6273">
        <v>6338</v>
      </c>
      <c r="B6273" t="s">
        <v>7693</v>
      </c>
      <c r="C6273" t="s">
        <v>3704</v>
      </c>
      <c r="E6273">
        <v>0.01</v>
      </c>
      <c r="F6273" t="s">
        <v>546</v>
      </c>
      <c r="G6273" s="174">
        <v>45576.460914351854</v>
      </c>
    </row>
    <row r="6274" spans="1:7">
      <c r="A6274">
        <v>6339</v>
      </c>
      <c r="B6274" t="s">
        <v>7693</v>
      </c>
      <c r="C6274" t="s">
        <v>1848</v>
      </c>
      <c r="E6274">
        <v>0.01</v>
      </c>
      <c r="F6274" t="s">
        <v>546</v>
      </c>
      <c r="G6274" s="174">
        <v>45576.460914351854</v>
      </c>
    </row>
    <row r="6275" spans="1:7">
      <c r="A6275">
        <v>6340</v>
      </c>
      <c r="B6275" t="s">
        <v>7693</v>
      </c>
      <c r="C6275" t="s">
        <v>3706</v>
      </c>
      <c r="E6275">
        <v>0.01</v>
      </c>
      <c r="F6275" t="s">
        <v>546</v>
      </c>
      <c r="G6275" s="174">
        <v>45576.460914351854</v>
      </c>
    </row>
    <row r="6276" spans="1:7">
      <c r="A6276">
        <v>6341</v>
      </c>
      <c r="B6276" t="s">
        <v>2581</v>
      </c>
      <c r="C6276" t="s">
        <v>5168</v>
      </c>
      <c r="E6276">
        <v>0.01</v>
      </c>
      <c r="F6276" t="s">
        <v>546</v>
      </c>
      <c r="G6276" s="174">
        <v>45576.460914351854</v>
      </c>
    </row>
    <row r="6277" spans="1:7">
      <c r="A6277">
        <v>6342</v>
      </c>
      <c r="B6277" t="s">
        <v>7694</v>
      </c>
      <c r="C6277" t="s">
        <v>3430</v>
      </c>
      <c r="E6277">
        <v>0.01</v>
      </c>
      <c r="F6277" t="s">
        <v>546</v>
      </c>
      <c r="G6277" s="174">
        <v>45576.460914351854</v>
      </c>
    </row>
    <row r="6278" spans="1:7">
      <c r="A6278">
        <v>6343</v>
      </c>
      <c r="B6278" t="s">
        <v>7694</v>
      </c>
      <c r="C6278" t="s">
        <v>7695</v>
      </c>
      <c r="E6278">
        <v>0.01</v>
      </c>
      <c r="F6278" t="s">
        <v>546</v>
      </c>
      <c r="G6278" s="174">
        <v>45576.460914351854</v>
      </c>
    </row>
    <row r="6279" spans="1:7">
      <c r="A6279">
        <v>6344</v>
      </c>
      <c r="B6279" t="s">
        <v>7696</v>
      </c>
      <c r="C6279" t="s">
        <v>7697</v>
      </c>
      <c r="E6279">
        <v>0.01</v>
      </c>
      <c r="F6279" t="s">
        <v>546</v>
      </c>
      <c r="G6279" s="174">
        <v>45576.460914351854</v>
      </c>
    </row>
    <row r="6280" spans="1:7">
      <c r="A6280">
        <v>6345</v>
      </c>
      <c r="B6280" t="s">
        <v>7698</v>
      </c>
      <c r="C6280" t="s">
        <v>5603</v>
      </c>
      <c r="E6280">
        <v>0.01</v>
      </c>
      <c r="F6280" t="s">
        <v>546</v>
      </c>
      <c r="G6280" s="174">
        <v>45576.460914351854</v>
      </c>
    </row>
    <row r="6281" spans="1:7">
      <c r="A6281">
        <v>6346</v>
      </c>
      <c r="B6281" t="s">
        <v>7698</v>
      </c>
      <c r="C6281" t="s">
        <v>3638</v>
      </c>
      <c r="E6281">
        <v>0.05</v>
      </c>
      <c r="F6281" t="s">
        <v>546</v>
      </c>
      <c r="G6281" s="174">
        <v>45576.460914351854</v>
      </c>
    </row>
    <row r="6282" spans="1:7">
      <c r="A6282">
        <v>6347</v>
      </c>
      <c r="B6282" t="s">
        <v>7699</v>
      </c>
      <c r="C6282" t="s">
        <v>7700</v>
      </c>
      <c r="E6282">
        <v>0.05</v>
      </c>
      <c r="F6282" t="s">
        <v>546</v>
      </c>
      <c r="G6282" s="174">
        <v>45576.460914351854</v>
      </c>
    </row>
    <row r="6283" spans="1:7">
      <c r="A6283">
        <v>6348</v>
      </c>
      <c r="B6283" t="s">
        <v>7699</v>
      </c>
      <c r="C6283" t="s">
        <v>7701</v>
      </c>
      <c r="E6283">
        <v>0.01</v>
      </c>
      <c r="F6283" t="s">
        <v>546</v>
      </c>
      <c r="G6283" s="174">
        <v>45576.460914351854</v>
      </c>
    </row>
    <row r="6284" spans="1:7">
      <c r="A6284">
        <v>6349</v>
      </c>
      <c r="B6284" t="s">
        <v>2585</v>
      </c>
      <c r="C6284" t="s">
        <v>7702</v>
      </c>
      <c r="E6284">
        <v>0.01</v>
      </c>
      <c r="F6284" t="s">
        <v>546</v>
      </c>
      <c r="G6284" s="174">
        <v>45576.460914351854</v>
      </c>
    </row>
    <row r="6285" spans="1:7">
      <c r="A6285">
        <v>6350</v>
      </c>
      <c r="B6285" t="s">
        <v>7703</v>
      </c>
      <c r="C6285" t="s">
        <v>7372</v>
      </c>
      <c r="E6285">
        <v>0.01</v>
      </c>
      <c r="F6285" t="s">
        <v>546</v>
      </c>
      <c r="G6285" s="174">
        <v>45576.460914351854</v>
      </c>
    </row>
    <row r="6286" spans="1:7">
      <c r="A6286">
        <v>6351</v>
      </c>
      <c r="B6286" t="s">
        <v>7704</v>
      </c>
      <c r="C6286" t="s">
        <v>3416</v>
      </c>
      <c r="E6286">
        <v>0.01</v>
      </c>
      <c r="F6286" t="s">
        <v>546</v>
      </c>
      <c r="G6286" s="174">
        <v>45576.460914351854</v>
      </c>
    </row>
    <row r="6287" spans="1:7">
      <c r="A6287">
        <v>6352</v>
      </c>
      <c r="B6287" t="s">
        <v>7705</v>
      </c>
      <c r="C6287" t="s">
        <v>3432</v>
      </c>
      <c r="E6287">
        <v>0.01</v>
      </c>
      <c r="F6287" t="s">
        <v>546</v>
      </c>
      <c r="G6287" s="174">
        <v>45576.460914351854</v>
      </c>
    </row>
    <row r="6288" spans="1:7">
      <c r="A6288">
        <v>6353</v>
      </c>
      <c r="B6288" t="s">
        <v>7706</v>
      </c>
      <c r="C6288" t="s">
        <v>7707</v>
      </c>
      <c r="E6288">
        <v>0.01</v>
      </c>
      <c r="F6288" t="s">
        <v>546</v>
      </c>
      <c r="G6288" s="174">
        <v>45576.460914351854</v>
      </c>
    </row>
    <row r="6289" spans="1:7">
      <c r="A6289">
        <v>6354</v>
      </c>
      <c r="B6289" t="s">
        <v>7708</v>
      </c>
      <c r="C6289" t="s">
        <v>7339</v>
      </c>
      <c r="E6289">
        <v>0.01</v>
      </c>
      <c r="F6289" t="s">
        <v>546</v>
      </c>
      <c r="G6289" s="174">
        <v>45576.460914351854</v>
      </c>
    </row>
    <row r="6290" spans="1:7">
      <c r="A6290">
        <v>6355</v>
      </c>
      <c r="B6290" t="s">
        <v>7709</v>
      </c>
      <c r="C6290" t="s">
        <v>5807</v>
      </c>
      <c r="E6290">
        <v>0.01</v>
      </c>
      <c r="F6290" t="s">
        <v>546</v>
      </c>
      <c r="G6290" s="174">
        <v>45576.460914351854</v>
      </c>
    </row>
    <row r="6291" spans="1:7">
      <c r="A6291">
        <v>6356</v>
      </c>
      <c r="B6291" t="s">
        <v>7710</v>
      </c>
      <c r="C6291" t="s">
        <v>3144</v>
      </c>
      <c r="E6291">
        <v>0.01</v>
      </c>
      <c r="F6291" t="s">
        <v>546</v>
      </c>
      <c r="G6291" s="174">
        <v>45576.460914351854</v>
      </c>
    </row>
    <row r="6292" spans="1:7">
      <c r="A6292">
        <v>6357</v>
      </c>
      <c r="B6292" t="s">
        <v>7711</v>
      </c>
      <c r="C6292" t="s">
        <v>3686</v>
      </c>
      <c r="E6292">
        <v>0.01</v>
      </c>
      <c r="F6292" t="s">
        <v>546</v>
      </c>
      <c r="G6292" s="174">
        <v>45576.460914351854</v>
      </c>
    </row>
    <row r="6293" spans="1:7">
      <c r="A6293">
        <v>6358</v>
      </c>
      <c r="B6293" t="s">
        <v>7712</v>
      </c>
      <c r="C6293" t="s">
        <v>2766</v>
      </c>
      <c r="E6293">
        <v>0.01</v>
      </c>
      <c r="F6293" t="s">
        <v>546</v>
      </c>
      <c r="G6293" s="174">
        <v>45576.460914351854</v>
      </c>
    </row>
    <row r="6294" spans="1:7">
      <c r="A6294">
        <v>6359</v>
      </c>
      <c r="B6294" t="s">
        <v>7713</v>
      </c>
      <c r="C6294" t="s">
        <v>3333</v>
      </c>
      <c r="E6294">
        <v>0.01</v>
      </c>
      <c r="F6294" t="s">
        <v>546</v>
      </c>
      <c r="G6294" s="174">
        <v>45576.460914351854</v>
      </c>
    </row>
    <row r="6295" spans="1:7">
      <c r="A6295">
        <v>6360</v>
      </c>
      <c r="B6295" t="s">
        <v>7714</v>
      </c>
      <c r="C6295" t="s">
        <v>4764</v>
      </c>
      <c r="E6295">
        <v>0.01</v>
      </c>
      <c r="F6295" t="s">
        <v>546</v>
      </c>
      <c r="G6295" s="174">
        <v>45576.460914351854</v>
      </c>
    </row>
    <row r="6296" spans="1:7">
      <c r="A6296">
        <v>6361</v>
      </c>
      <c r="B6296" t="s">
        <v>7715</v>
      </c>
      <c r="C6296" t="s">
        <v>5408</v>
      </c>
      <c r="E6296">
        <v>0.01</v>
      </c>
      <c r="F6296" t="s">
        <v>546</v>
      </c>
      <c r="G6296" s="174">
        <v>45576.460914351854</v>
      </c>
    </row>
    <row r="6297" spans="1:7">
      <c r="A6297">
        <v>6362</v>
      </c>
      <c r="B6297" t="s">
        <v>7716</v>
      </c>
      <c r="C6297" t="s">
        <v>7717</v>
      </c>
      <c r="E6297">
        <v>0.01</v>
      </c>
      <c r="F6297" t="s">
        <v>546</v>
      </c>
      <c r="G6297" s="174">
        <v>45576.460914351854</v>
      </c>
    </row>
    <row r="6298" spans="1:7">
      <c r="A6298">
        <v>6363</v>
      </c>
      <c r="B6298" t="s">
        <v>7718</v>
      </c>
      <c r="C6298" t="s">
        <v>7719</v>
      </c>
      <c r="E6298">
        <v>0.01</v>
      </c>
      <c r="F6298" t="s">
        <v>546</v>
      </c>
      <c r="G6298" s="174">
        <v>45576.460914351854</v>
      </c>
    </row>
    <row r="6299" spans="1:7">
      <c r="A6299">
        <v>6364</v>
      </c>
      <c r="B6299" t="s">
        <v>7720</v>
      </c>
      <c r="C6299" t="s">
        <v>1136</v>
      </c>
      <c r="E6299">
        <v>0.01</v>
      </c>
      <c r="F6299" t="s">
        <v>546</v>
      </c>
      <c r="G6299" s="174">
        <v>45576.460914351854</v>
      </c>
    </row>
    <row r="6300" spans="1:7">
      <c r="A6300">
        <v>6365</v>
      </c>
      <c r="B6300" t="s">
        <v>7721</v>
      </c>
      <c r="C6300" t="s">
        <v>3686</v>
      </c>
      <c r="E6300">
        <v>0.01</v>
      </c>
      <c r="F6300" t="s">
        <v>546</v>
      </c>
      <c r="G6300" s="174">
        <v>45576.460914351854</v>
      </c>
    </row>
    <row r="6301" spans="1:7">
      <c r="A6301">
        <v>6366</v>
      </c>
      <c r="B6301" t="s">
        <v>7722</v>
      </c>
      <c r="C6301" t="s">
        <v>7723</v>
      </c>
      <c r="E6301">
        <v>0.01</v>
      </c>
      <c r="F6301" t="s">
        <v>546</v>
      </c>
      <c r="G6301" s="174">
        <v>45576.460914351854</v>
      </c>
    </row>
    <row r="6302" spans="1:7">
      <c r="A6302">
        <v>6367</v>
      </c>
      <c r="B6302" t="s">
        <v>7724</v>
      </c>
      <c r="C6302" t="s">
        <v>5140</v>
      </c>
      <c r="E6302">
        <v>0.01</v>
      </c>
      <c r="F6302" t="s">
        <v>546</v>
      </c>
      <c r="G6302" s="174">
        <v>45576.460914351854</v>
      </c>
    </row>
    <row r="6303" spans="1:7">
      <c r="A6303">
        <v>6368</v>
      </c>
      <c r="B6303" t="s">
        <v>7725</v>
      </c>
      <c r="C6303" t="s">
        <v>7726</v>
      </c>
      <c r="E6303">
        <v>0.01</v>
      </c>
      <c r="F6303" t="s">
        <v>546</v>
      </c>
      <c r="G6303" s="174">
        <v>45576.460914351854</v>
      </c>
    </row>
    <row r="6304" spans="1:7">
      <c r="A6304">
        <v>6369</v>
      </c>
      <c r="B6304" t="s">
        <v>7727</v>
      </c>
      <c r="C6304" t="s">
        <v>3335</v>
      </c>
      <c r="E6304">
        <v>0.01</v>
      </c>
      <c r="F6304" t="s">
        <v>546</v>
      </c>
      <c r="G6304" s="174">
        <v>45576.460914351854</v>
      </c>
    </row>
    <row r="6305" spans="1:7">
      <c r="A6305">
        <v>6370</v>
      </c>
      <c r="B6305" t="s">
        <v>7727</v>
      </c>
      <c r="C6305" t="s">
        <v>4993</v>
      </c>
      <c r="E6305">
        <v>0.01</v>
      </c>
      <c r="F6305" t="s">
        <v>546</v>
      </c>
      <c r="G6305" s="174">
        <v>45576.460914351854</v>
      </c>
    </row>
    <row r="6306" spans="1:7">
      <c r="A6306">
        <v>6371</v>
      </c>
      <c r="B6306" t="s">
        <v>2591</v>
      </c>
      <c r="C6306" t="s">
        <v>7634</v>
      </c>
      <c r="E6306">
        <v>0.01</v>
      </c>
      <c r="F6306" t="s">
        <v>546</v>
      </c>
      <c r="G6306" s="174">
        <v>45576.460914351854</v>
      </c>
    </row>
    <row r="6307" spans="1:7">
      <c r="A6307">
        <v>6372</v>
      </c>
      <c r="B6307" t="s">
        <v>2592</v>
      </c>
      <c r="C6307" t="s">
        <v>4354</v>
      </c>
      <c r="E6307">
        <v>0.01</v>
      </c>
      <c r="F6307" t="s">
        <v>546</v>
      </c>
      <c r="G6307" s="174">
        <v>45576.460914351854</v>
      </c>
    </row>
    <row r="6308" spans="1:7">
      <c r="A6308">
        <v>6373</v>
      </c>
      <c r="B6308" t="s">
        <v>2595</v>
      </c>
      <c r="C6308" t="s">
        <v>3705</v>
      </c>
      <c r="E6308">
        <v>0.01</v>
      </c>
      <c r="F6308" t="s">
        <v>546</v>
      </c>
      <c r="G6308" s="174">
        <v>45576.460914351854</v>
      </c>
    </row>
    <row r="6309" spans="1:7">
      <c r="A6309">
        <v>6374</v>
      </c>
      <c r="B6309" t="s">
        <v>7728</v>
      </c>
      <c r="C6309" t="s">
        <v>6552</v>
      </c>
      <c r="E6309">
        <v>0.01</v>
      </c>
      <c r="F6309" t="s">
        <v>546</v>
      </c>
      <c r="G6309" s="174">
        <v>45576.460914351854</v>
      </c>
    </row>
    <row r="6310" spans="1:7">
      <c r="A6310">
        <v>6375</v>
      </c>
      <c r="B6310" t="s">
        <v>7729</v>
      </c>
      <c r="C6310" t="s">
        <v>7730</v>
      </c>
      <c r="E6310">
        <v>0.01</v>
      </c>
      <c r="F6310" t="s">
        <v>546</v>
      </c>
      <c r="G6310" s="174">
        <v>45576.460914351854</v>
      </c>
    </row>
    <row r="6311" spans="1:7">
      <c r="A6311">
        <v>6376</v>
      </c>
      <c r="B6311" t="s">
        <v>7731</v>
      </c>
      <c r="C6311" t="s">
        <v>3708</v>
      </c>
      <c r="E6311">
        <v>0.01</v>
      </c>
      <c r="F6311" t="s">
        <v>546</v>
      </c>
      <c r="G6311" s="174">
        <v>45576.460914351854</v>
      </c>
    </row>
    <row r="6312" spans="1:7">
      <c r="A6312">
        <v>6377</v>
      </c>
      <c r="B6312" t="s">
        <v>7731</v>
      </c>
      <c r="C6312" t="s">
        <v>3977</v>
      </c>
      <c r="E6312">
        <v>0.1</v>
      </c>
      <c r="F6312" t="s">
        <v>546</v>
      </c>
      <c r="G6312" s="174">
        <v>45576.460914351854</v>
      </c>
    </row>
    <row r="6313" spans="1:7">
      <c r="A6313">
        <v>6378</v>
      </c>
      <c r="B6313" t="s">
        <v>7732</v>
      </c>
      <c r="C6313" t="s">
        <v>5179</v>
      </c>
      <c r="E6313">
        <v>0.1</v>
      </c>
      <c r="F6313" t="s">
        <v>546</v>
      </c>
      <c r="G6313" s="174">
        <v>45576.460914351854</v>
      </c>
    </row>
    <row r="6314" spans="1:7">
      <c r="A6314">
        <v>6379</v>
      </c>
      <c r="B6314" t="s">
        <v>7733</v>
      </c>
      <c r="C6314" t="s">
        <v>3067</v>
      </c>
      <c r="E6314">
        <v>0.01</v>
      </c>
      <c r="F6314" t="s">
        <v>546</v>
      </c>
      <c r="G6314" s="174">
        <v>45576.460914351854</v>
      </c>
    </row>
    <row r="6315" spans="1:7">
      <c r="A6315">
        <v>6380</v>
      </c>
      <c r="B6315" t="s">
        <v>7734</v>
      </c>
      <c r="C6315" t="s">
        <v>6186</v>
      </c>
      <c r="E6315">
        <v>0.1</v>
      </c>
      <c r="F6315" t="s">
        <v>546</v>
      </c>
      <c r="G6315" s="174">
        <v>45576.460914351854</v>
      </c>
    </row>
    <row r="6316" spans="1:7">
      <c r="A6316">
        <v>6381</v>
      </c>
      <c r="B6316" t="s">
        <v>7735</v>
      </c>
      <c r="C6316" t="s">
        <v>6525</v>
      </c>
      <c r="E6316">
        <v>0.1</v>
      </c>
      <c r="F6316" t="s">
        <v>546</v>
      </c>
      <c r="G6316" s="174">
        <v>45576.460914351854</v>
      </c>
    </row>
    <row r="6317" spans="1:7">
      <c r="A6317">
        <v>6382</v>
      </c>
      <c r="B6317" t="s">
        <v>7736</v>
      </c>
      <c r="C6317" t="s">
        <v>6464</v>
      </c>
      <c r="E6317">
        <v>0.01</v>
      </c>
      <c r="F6317" t="s">
        <v>546</v>
      </c>
      <c r="G6317" s="174">
        <v>45576.460914351854</v>
      </c>
    </row>
    <row r="6318" spans="1:7">
      <c r="A6318">
        <v>6383</v>
      </c>
      <c r="B6318" t="s">
        <v>7737</v>
      </c>
      <c r="C6318" t="s">
        <v>5406</v>
      </c>
      <c r="E6318">
        <v>0.7</v>
      </c>
      <c r="F6318" t="s">
        <v>546</v>
      </c>
      <c r="G6318" s="174">
        <v>45576.460914351854</v>
      </c>
    </row>
    <row r="6319" spans="1:7">
      <c r="A6319">
        <v>6384</v>
      </c>
      <c r="B6319" t="s">
        <v>7738</v>
      </c>
      <c r="C6319" t="s">
        <v>3350</v>
      </c>
      <c r="E6319">
        <v>0.01</v>
      </c>
      <c r="F6319" t="s">
        <v>546</v>
      </c>
      <c r="G6319" s="174">
        <v>45576.460914351854</v>
      </c>
    </row>
    <row r="6320" spans="1:7">
      <c r="A6320">
        <v>6385</v>
      </c>
      <c r="B6320" t="s">
        <v>7739</v>
      </c>
      <c r="C6320" t="s">
        <v>7036</v>
      </c>
      <c r="E6320">
        <v>0.01</v>
      </c>
      <c r="F6320" t="s">
        <v>546</v>
      </c>
      <c r="G6320" s="174">
        <v>45576.460914351854</v>
      </c>
    </row>
    <row r="6321" spans="1:7">
      <c r="A6321">
        <v>6386</v>
      </c>
      <c r="B6321" t="s">
        <v>7740</v>
      </c>
      <c r="C6321" t="s">
        <v>3937</v>
      </c>
      <c r="E6321">
        <v>0.01</v>
      </c>
      <c r="F6321" t="s">
        <v>546</v>
      </c>
      <c r="G6321" s="174">
        <v>45576.460914351854</v>
      </c>
    </row>
    <row r="6322" spans="1:7">
      <c r="A6322">
        <v>6387</v>
      </c>
      <c r="B6322" t="s">
        <v>7741</v>
      </c>
      <c r="C6322" t="s">
        <v>6576</v>
      </c>
      <c r="E6322">
        <v>0.01</v>
      </c>
      <c r="F6322" t="s">
        <v>546</v>
      </c>
      <c r="G6322" s="174">
        <v>45576.460914351854</v>
      </c>
    </row>
    <row r="6323" spans="1:7">
      <c r="A6323">
        <v>6388</v>
      </c>
      <c r="B6323" t="s">
        <v>7742</v>
      </c>
      <c r="C6323" t="s">
        <v>3584</v>
      </c>
      <c r="E6323">
        <v>0.01</v>
      </c>
      <c r="F6323" t="s">
        <v>546</v>
      </c>
      <c r="G6323" s="174">
        <v>45576.460914351854</v>
      </c>
    </row>
    <row r="6324" spans="1:7">
      <c r="A6324">
        <v>6389</v>
      </c>
      <c r="B6324" t="s">
        <v>7743</v>
      </c>
      <c r="C6324" t="s">
        <v>3147</v>
      </c>
      <c r="E6324">
        <v>0.01</v>
      </c>
      <c r="F6324" t="s">
        <v>546</v>
      </c>
      <c r="G6324" s="174">
        <v>45576.460914351854</v>
      </c>
    </row>
    <row r="6325" spans="1:7">
      <c r="A6325">
        <v>6390</v>
      </c>
      <c r="B6325" t="s">
        <v>7744</v>
      </c>
      <c r="C6325" t="s">
        <v>3938</v>
      </c>
      <c r="E6325">
        <v>0.01</v>
      </c>
      <c r="F6325" t="s">
        <v>546</v>
      </c>
      <c r="G6325" s="174">
        <v>45576.460914351854</v>
      </c>
    </row>
    <row r="6326" spans="1:7">
      <c r="A6326">
        <v>6391</v>
      </c>
      <c r="B6326" t="s">
        <v>7745</v>
      </c>
      <c r="C6326" t="s">
        <v>7746</v>
      </c>
      <c r="E6326">
        <v>0.6</v>
      </c>
      <c r="F6326" t="s">
        <v>546</v>
      </c>
      <c r="G6326" s="174">
        <v>45576.460914351854</v>
      </c>
    </row>
    <row r="6327" spans="1:7">
      <c r="A6327">
        <v>6392</v>
      </c>
      <c r="B6327" t="s">
        <v>7747</v>
      </c>
      <c r="C6327" t="s">
        <v>7748</v>
      </c>
      <c r="E6327">
        <v>0.8</v>
      </c>
      <c r="F6327" t="s">
        <v>546</v>
      </c>
      <c r="G6327" s="174">
        <v>45576.460914351854</v>
      </c>
    </row>
    <row r="6328" spans="1:7">
      <c r="A6328">
        <v>6393</v>
      </c>
      <c r="B6328" t="s">
        <v>7749</v>
      </c>
      <c r="C6328" t="s">
        <v>3621</v>
      </c>
      <c r="E6328">
        <v>0.01</v>
      </c>
      <c r="F6328" t="s">
        <v>546</v>
      </c>
      <c r="G6328" s="174">
        <v>45576.460914351854</v>
      </c>
    </row>
    <row r="6329" spans="1:7">
      <c r="A6329">
        <v>6394</v>
      </c>
      <c r="B6329" t="s">
        <v>7750</v>
      </c>
      <c r="C6329" t="s">
        <v>3502</v>
      </c>
      <c r="E6329">
        <v>0.01</v>
      </c>
      <c r="F6329" t="s">
        <v>546</v>
      </c>
      <c r="G6329" s="174">
        <v>45576.460914351854</v>
      </c>
    </row>
    <row r="6330" spans="1:7">
      <c r="A6330">
        <v>6395</v>
      </c>
      <c r="B6330" t="s">
        <v>7751</v>
      </c>
      <c r="C6330" t="s">
        <v>7752</v>
      </c>
      <c r="E6330">
        <v>0.05</v>
      </c>
      <c r="F6330" t="s">
        <v>546</v>
      </c>
      <c r="G6330" s="174">
        <v>45576.460914351854</v>
      </c>
    </row>
    <row r="6331" spans="1:7">
      <c r="A6331">
        <v>6396</v>
      </c>
      <c r="B6331" t="s">
        <v>7751</v>
      </c>
      <c r="C6331" t="s">
        <v>7753</v>
      </c>
      <c r="E6331">
        <v>0.01</v>
      </c>
      <c r="F6331" t="s">
        <v>546</v>
      </c>
      <c r="G6331" s="174">
        <v>45576.460914351854</v>
      </c>
    </row>
    <row r="6332" spans="1:7">
      <c r="A6332">
        <v>6397</v>
      </c>
      <c r="B6332" t="s">
        <v>7754</v>
      </c>
      <c r="C6332" t="s">
        <v>7351</v>
      </c>
      <c r="E6332">
        <v>0.01</v>
      </c>
      <c r="F6332" t="s">
        <v>546</v>
      </c>
      <c r="G6332" s="174">
        <v>45576.460914351854</v>
      </c>
    </row>
    <row r="6333" spans="1:7">
      <c r="A6333">
        <v>6398</v>
      </c>
      <c r="B6333" t="s">
        <v>7755</v>
      </c>
      <c r="C6333" t="s">
        <v>7756</v>
      </c>
      <c r="E6333">
        <v>0.01</v>
      </c>
      <c r="F6333" t="s">
        <v>546</v>
      </c>
      <c r="G6333" s="174">
        <v>45576.460914351854</v>
      </c>
    </row>
    <row r="6334" spans="1:7">
      <c r="A6334">
        <v>6399</v>
      </c>
      <c r="B6334" t="s">
        <v>7757</v>
      </c>
      <c r="C6334" t="s">
        <v>7758</v>
      </c>
      <c r="E6334">
        <v>0.01</v>
      </c>
      <c r="F6334" t="s">
        <v>546</v>
      </c>
      <c r="G6334" s="174">
        <v>45576.460914351854</v>
      </c>
    </row>
    <row r="6335" spans="1:7">
      <c r="A6335">
        <v>6400</v>
      </c>
      <c r="B6335" t="s">
        <v>7759</v>
      </c>
      <c r="C6335" t="s">
        <v>7756</v>
      </c>
      <c r="E6335">
        <v>0.01</v>
      </c>
      <c r="F6335" t="s">
        <v>546</v>
      </c>
      <c r="G6335" s="174">
        <v>45576.460914351854</v>
      </c>
    </row>
    <row r="6336" spans="1:7">
      <c r="A6336">
        <v>6401</v>
      </c>
      <c r="B6336" t="s">
        <v>7760</v>
      </c>
      <c r="C6336" t="s">
        <v>4898</v>
      </c>
      <c r="E6336">
        <v>0.01</v>
      </c>
      <c r="F6336" t="s">
        <v>546</v>
      </c>
      <c r="G6336" s="174">
        <v>45576.460914351854</v>
      </c>
    </row>
    <row r="6337" spans="1:7">
      <c r="A6337">
        <v>6402</v>
      </c>
      <c r="B6337" t="s">
        <v>7760</v>
      </c>
      <c r="C6337" t="s">
        <v>4899</v>
      </c>
      <c r="E6337">
        <v>0.01</v>
      </c>
      <c r="F6337" t="s">
        <v>546</v>
      </c>
      <c r="G6337" s="174">
        <v>45576.460914351854</v>
      </c>
    </row>
    <row r="6338" spans="1:7">
      <c r="A6338">
        <v>6403</v>
      </c>
      <c r="B6338" t="s">
        <v>7761</v>
      </c>
      <c r="C6338" t="s">
        <v>7762</v>
      </c>
      <c r="E6338">
        <v>0.01</v>
      </c>
      <c r="F6338" t="s">
        <v>546</v>
      </c>
      <c r="G6338" s="174">
        <v>45576.460914351854</v>
      </c>
    </row>
    <row r="6339" spans="1:7">
      <c r="A6339">
        <v>6404</v>
      </c>
      <c r="B6339" t="s">
        <v>7763</v>
      </c>
      <c r="C6339" t="s">
        <v>4295</v>
      </c>
      <c r="E6339">
        <v>0.1</v>
      </c>
      <c r="F6339" t="s">
        <v>546</v>
      </c>
      <c r="G6339" s="174">
        <v>45576.460914351854</v>
      </c>
    </row>
    <row r="6340" spans="1:7">
      <c r="A6340">
        <v>6405</v>
      </c>
      <c r="B6340" t="s">
        <v>7764</v>
      </c>
      <c r="C6340" t="s">
        <v>3159</v>
      </c>
      <c r="E6340">
        <v>0.01</v>
      </c>
      <c r="F6340" t="s">
        <v>546</v>
      </c>
      <c r="G6340" s="174">
        <v>45576.460914351854</v>
      </c>
    </row>
    <row r="6341" spans="1:7">
      <c r="A6341">
        <v>6406</v>
      </c>
      <c r="B6341" t="s">
        <v>7764</v>
      </c>
      <c r="C6341" t="s">
        <v>7765</v>
      </c>
      <c r="E6341">
        <v>0.01</v>
      </c>
      <c r="F6341" t="s">
        <v>546</v>
      </c>
      <c r="G6341" s="174">
        <v>45576.460914351854</v>
      </c>
    </row>
    <row r="6342" spans="1:7">
      <c r="A6342">
        <v>6407</v>
      </c>
      <c r="B6342" t="s">
        <v>2613</v>
      </c>
      <c r="C6342" t="s">
        <v>7766</v>
      </c>
      <c r="E6342">
        <v>0.01</v>
      </c>
      <c r="F6342" t="s">
        <v>546</v>
      </c>
      <c r="G6342" s="174">
        <v>45576.460914351854</v>
      </c>
    </row>
    <row r="6343" spans="1:7">
      <c r="A6343">
        <v>6408</v>
      </c>
      <c r="B6343" t="s">
        <v>7767</v>
      </c>
      <c r="C6343" t="s">
        <v>3628</v>
      </c>
      <c r="E6343">
        <v>0.01</v>
      </c>
      <c r="F6343" t="s">
        <v>546</v>
      </c>
      <c r="G6343" s="174">
        <v>45576.460914351854</v>
      </c>
    </row>
    <row r="6344" spans="1:7">
      <c r="A6344">
        <v>6409</v>
      </c>
      <c r="B6344" t="s">
        <v>7768</v>
      </c>
      <c r="C6344" t="s">
        <v>7769</v>
      </c>
      <c r="E6344">
        <v>0.01</v>
      </c>
      <c r="F6344" t="s">
        <v>546</v>
      </c>
      <c r="G6344" s="174">
        <v>45576.460914351854</v>
      </c>
    </row>
    <row r="6345" spans="1:7">
      <c r="A6345">
        <v>6410</v>
      </c>
      <c r="B6345" t="s">
        <v>2619</v>
      </c>
      <c r="C6345" t="s">
        <v>6086</v>
      </c>
      <c r="E6345">
        <v>0.6</v>
      </c>
      <c r="F6345" t="s">
        <v>546</v>
      </c>
      <c r="G6345" s="174">
        <v>45576.460914351854</v>
      </c>
    </row>
    <row r="6346" spans="1:7">
      <c r="A6346">
        <v>6411</v>
      </c>
      <c r="B6346" t="s">
        <v>7770</v>
      </c>
      <c r="C6346" t="s">
        <v>3092</v>
      </c>
      <c r="E6346">
        <v>0.01</v>
      </c>
      <c r="F6346" t="s">
        <v>546</v>
      </c>
      <c r="G6346" s="174">
        <v>45576.460914351854</v>
      </c>
    </row>
    <row r="6347" spans="1:7">
      <c r="A6347">
        <v>6412</v>
      </c>
      <c r="B6347" t="s">
        <v>7771</v>
      </c>
      <c r="C6347" t="s">
        <v>7145</v>
      </c>
      <c r="E6347">
        <v>0.01</v>
      </c>
      <c r="F6347" t="s">
        <v>546</v>
      </c>
      <c r="G6347" s="174">
        <v>45576.460914351854</v>
      </c>
    </row>
    <row r="6348" spans="1:7">
      <c r="A6348">
        <v>6413</v>
      </c>
      <c r="B6348" t="s">
        <v>7772</v>
      </c>
      <c r="C6348" t="s">
        <v>4650</v>
      </c>
      <c r="E6348">
        <v>0.01</v>
      </c>
      <c r="F6348" t="s">
        <v>546</v>
      </c>
      <c r="G6348" s="174">
        <v>45576.460914351854</v>
      </c>
    </row>
    <row r="6349" spans="1:7">
      <c r="A6349">
        <v>6414</v>
      </c>
      <c r="B6349" t="s">
        <v>7773</v>
      </c>
      <c r="C6349" t="s">
        <v>4916</v>
      </c>
      <c r="E6349">
        <v>0.05</v>
      </c>
      <c r="F6349" t="s">
        <v>546</v>
      </c>
      <c r="G6349" s="174">
        <v>45576.460914351854</v>
      </c>
    </row>
    <row r="6350" spans="1:7">
      <c r="A6350">
        <v>6415</v>
      </c>
      <c r="B6350" t="s">
        <v>7773</v>
      </c>
      <c r="C6350" t="s">
        <v>2785</v>
      </c>
      <c r="E6350">
        <v>0.1</v>
      </c>
      <c r="F6350" t="s">
        <v>546</v>
      </c>
      <c r="G6350" s="174">
        <v>45576.460914351854</v>
      </c>
    </row>
    <row r="6351" spans="1:7">
      <c r="A6351">
        <v>6416</v>
      </c>
      <c r="B6351" t="s">
        <v>7774</v>
      </c>
      <c r="C6351" t="s">
        <v>2886</v>
      </c>
      <c r="E6351">
        <v>0.01</v>
      </c>
      <c r="F6351" t="s">
        <v>546</v>
      </c>
      <c r="G6351" s="174">
        <v>45576.460914351854</v>
      </c>
    </row>
    <row r="6352" spans="1:7">
      <c r="A6352">
        <v>6417</v>
      </c>
      <c r="B6352" t="s">
        <v>7775</v>
      </c>
      <c r="C6352" t="s">
        <v>7776</v>
      </c>
      <c r="E6352">
        <v>0.01</v>
      </c>
      <c r="F6352" t="s">
        <v>546</v>
      </c>
      <c r="G6352" s="174">
        <v>45576.460914351854</v>
      </c>
    </row>
    <row r="6353" spans="1:7">
      <c r="A6353">
        <v>6418</v>
      </c>
      <c r="B6353" t="s">
        <v>7777</v>
      </c>
      <c r="C6353" t="s">
        <v>2769</v>
      </c>
      <c r="E6353">
        <v>0.01</v>
      </c>
      <c r="F6353" t="s">
        <v>546</v>
      </c>
      <c r="G6353" s="174">
        <v>45576.460914351854</v>
      </c>
    </row>
    <row r="6354" spans="1:7">
      <c r="A6354">
        <v>6419</v>
      </c>
      <c r="B6354" t="s">
        <v>7778</v>
      </c>
      <c r="C6354" t="s">
        <v>3797</v>
      </c>
      <c r="E6354">
        <v>0.01</v>
      </c>
      <c r="F6354" t="s">
        <v>546</v>
      </c>
      <c r="G6354" s="174">
        <v>45576.460914351854</v>
      </c>
    </row>
    <row r="6355" spans="1:7">
      <c r="A6355">
        <v>6420</v>
      </c>
      <c r="B6355" t="s">
        <v>7779</v>
      </c>
      <c r="C6355" t="s">
        <v>7780</v>
      </c>
      <c r="E6355">
        <v>0.01</v>
      </c>
      <c r="F6355" t="s">
        <v>546</v>
      </c>
      <c r="G6355" s="174">
        <v>45576.460914351854</v>
      </c>
    </row>
    <row r="6356" spans="1:7">
      <c r="A6356">
        <v>6421</v>
      </c>
      <c r="B6356" t="s">
        <v>7781</v>
      </c>
      <c r="C6356" t="s">
        <v>3779</v>
      </c>
      <c r="E6356">
        <v>0.01</v>
      </c>
      <c r="F6356" t="s">
        <v>546</v>
      </c>
      <c r="G6356" s="174">
        <v>45576.460914351854</v>
      </c>
    </row>
    <row r="6357" spans="1:7">
      <c r="A6357">
        <v>6422</v>
      </c>
      <c r="B6357" t="s">
        <v>7782</v>
      </c>
      <c r="C6357" t="s">
        <v>5240</v>
      </c>
      <c r="E6357">
        <v>0.01</v>
      </c>
      <c r="F6357" t="s">
        <v>546</v>
      </c>
      <c r="G6357" s="174">
        <v>45576.460914351854</v>
      </c>
    </row>
    <row r="6358" spans="1:7">
      <c r="A6358">
        <v>6423</v>
      </c>
      <c r="B6358" t="s">
        <v>7783</v>
      </c>
      <c r="C6358" t="s">
        <v>4637</v>
      </c>
      <c r="E6358">
        <v>0.01</v>
      </c>
      <c r="F6358" t="s">
        <v>546</v>
      </c>
      <c r="G6358" s="174">
        <v>45576.460914351854</v>
      </c>
    </row>
    <row r="6359" spans="1:7">
      <c r="A6359">
        <v>6424</v>
      </c>
      <c r="B6359" t="s">
        <v>7784</v>
      </c>
      <c r="C6359" t="s">
        <v>5289</v>
      </c>
      <c r="E6359">
        <v>0.01</v>
      </c>
      <c r="F6359" t="s">
        <v>546</v>
      </c>
      <c r="G6359" s="174">
        <v>45576.460914351854</v>
      </c>
    </row>
    <row r="6360" spans="1:7">
      <c r="A6360">
        <v>6425</v>
      </c>
      <c r="B6360" t="s">
        <v>7785</v>
      </c>
      <c r="C6360" t="s">
        <v>3010</v>
      </c>
      <c r="E6360">
        <v>0.01</v>
      </c>
      <c r="F6360" t="s">
        <v>546</v>
      </c>
      <c r="G6360" s="174">
        <v>45576.460914351854</v>
      </c>
    </row>
    <row r="6361" spans="1:7">
      <c r="A6361">
        <v>6426</v>
      </c>
      <c r="B6361" t="s">
        <v>7786</v>
      </c>
      <c r="C6361" t="s">
        <v>7488</v>
      </c>
      <c r="E6361">
        <v>0.01</v>
      </c>
      <c r="F6361" t="s">
        <v>546</v>
      </c>
      <c r="G6361" s="174">
        <v>45576.460914351854</v>
      </c>
    </row>
    <row r="6362" spans="1:7">
      <c r="A6362">
        <v>6427</v>
      </c>
      <c r="B6362" t="s">
        <v>2621</v>
      </c>
      <c r="C6362" t="s">
        <v>7787</v>
      </c>
      <c r="E6362">
        <v>0.01</v>
      </c>
      <c r="F6362" t="s">
        <v>546</v>
      </c>
      <c r="G6362" s="174">
        <v>45576.460914351854</v>
      </c>
    </row>
    <row r="6363" spans="1:7">
      <c r="A6363">
        <v>6428</v>
      </c>
      <c r="B6363" t="s">
        <v>7788</v>
      </c>
      <c r="C6363" t="s">
        <v>3514</v>
      </c>
      <c r="E6363">
        <v>0.01</v>
      </c>
      <c r="F6363" t="s">
        <v>546</v>
      </c>
      <c r="G6363" s="174">
        <v>45576.460914351854</v>
      </c>
    </row>
    <row r="6364" spans="1:7">
      <c r="A6364">
        <v>6429</v>
      </c>
      <c r="B6364" t="s">
        <v>7789</v>
      </c>
      <c r="C6364" t="s">
        <v>3102</v>
      </c>
      <c r="E6364">
        <v>0.01</v>
      </c>
      <c r="F6364" t="s">
        <v>546</v>
      </c>
      <c r="G6364" s="174">
        <v>45576.460914351854</v>
      </c>
    </row>
    <row r="6365" spans="1:7">
      <c r="A6365">
        <v>6430</v>
      </c>
      <c r="B6365" t="s">
        <v>7790</v>
      </c>
      <c r="C6365" t="s">
        <v>3092</v>
      </c>
      <c r="E6365">
        <v>0.01</v>
      </c>
      <c r="F6365" t="s">
        <v>546</v>
      </c>
      <c r="G6365" s="174">
        <v>45576.460914351854</v>
      </c>
    </row>
    <row r="6366" spans="1:7">
      <c r="A6366">
        <v>6431</v>
      </c>
      <c r="B6366" t="s">
        <v>7791</v>
      </c>
      <c r="C6366" t="s">
        <v>4905</v>
      </c>
      <c r="E6366">
        <v>0.01</v>
      </c>
      <c r="F6366" t="s">
        <v>546</v>
      </c>
      <c r="G6366" s="174">
        <v>45576.460914351854</v>
      </c>
    </row>
    <row r="6367" spans="1:7">
      <c r="A6367">
        <v>6432</v>
      </c>
      <c r="B6367" t="s">
        <v>7792</v>
      </c>
      <c r="C6367" t="s">
        <v>6123</v>
      </c>
      <c r="E6367">
        <v>0.01</v>
      </c>
      <c r="F6367" t="s">
        <v>546</v>
      </c>
      <c r="G6367" s="174">
        <v>45576.460914351854</v>
      </c>
    </row>
    <row r="6368" spans="1:7">
      <c r="A6368">
        <v>6433</v>
      </c>
      <c r="B6368" t="s">
        <v>7793</v>
      </c>
      <c r="C6368" t="s">
        <v>3938</v>
      </c>
      <c r="E6368">
        <v>0.01</v>
      </c>
      <c r="F6368" t="s">
        <v>546</v>
      </c>
      <c r="G6368" s="174">
        <v>45576.460914351854</v>
      </c>
    </row>
    <row r="6369" spans="1:7">
      <c r="A6369">
        <v>6434</v>
      </c>
      <c r="B6369" t="s">
        <v>7794</v>
      </c>
      <c r="C6369" t="s">
        <v>2991</v>
      </c>
      <c r="E6369">
        <v>0.01</v>
      </c>
      <c r="F6369" t="s">
        <v>546</v>
      </c>
      <c r="G6369" s="174">
        <v>45576.460914351854</v>
      </c>
    </row>
    <row r="6370" spans="1:7">
      <c r="A6370">
        <v>6435</v>
      </c>
      <c r="B6370" t="s">
        <v>7795</v>
      </c>
      <c r="C6370" t="s">
        <v>6797</v>
      </c>
      <c r="E6370">
        <v>0.01</v>
      </c>
      <c r="F6370" t="s">
        <v>546</v>
      </c>
      <c r="G6370" s="174">
        <v>45576.460914351854</v>
      </c>
    </row>
    <row r="6371" spans="1:7">
      <c r="A6371">
        <v>6436</v>
      </c>
      <c r="B6371" t="s">
        <v>7796</v>
      </c>
      <c r="C6371" t="s">
        <v>3308</v>
      </c>
      <c r="E6371">
        <v>0.01</v>
      </c>
      <c r="F6371" t="s">
        <v>546</v>
      </c>
      <c r="G6371" s="174">
        <v>45576.460914351854</v>
      </c>
    </row>
    <row r="6372" spans="1:7">
      <c r="A6372">
        <v>6437</v>
      </c>
      <c r="B6372" t="s">
        <v>7797</v>
      </c>
      <c r="C6372" t="s">
        <v>4863</v>
      </c>
      <c r="E6372">
        <v>0.01</v>
      </c>
      <c r="F6372" t="s">
        <v>546</v>
      </c>
      <c r="G6372" s="174">
        <v>45576.460914351854</v>
      </c>
    </row>
    <row r="6373" spans="1:7">
      <c r="A6373">
        <v>6438</v>
      </c>
      <c r="B6373" t="s">
        <v>7798</v>
      </c>
      <c r="C6373" t="s">
        <v>3705</v>
      </c>
      <c r="E6373">
        <v>0.1</v>
      </c>
      <c r="F6373" t="s">
        <v>546</v>
      </c>
      <c r="G6373" s="174">
        <v>45576.460914351854</v>
      </c>
    </row>
    <row r="6374" spans="1:7">
      <c r="A6374">
        <v>6439</v>
      </c>
      <c r="B6374" t="s">
        <v>7799</v>
      </c>
      <c r="C6374" t="s">
        <v>3618</v>
      </c>
      <c r="E6374">
        <v>0.8</v>
      </c>
      <c r="F6374" t="s">
        <v>546</v>
      </c>
      <c r="G6374" s="174">
        <v>45576.460914351854</v>
      </c>
    </row>
    <row r="6375" spans="1:7">
      <c r="A6375">
        <v>6440</v>
      </c>
      <c r="B6375" t="s">
        <v>7800</v>
      </c>
      <c r="C6375" t="s">
        <v>3207</v>
      </c>
      <c r="E6375">
        <v>0.1</v>
      </c>
      <c r="F6375" t="s">
        <v>546</v>
      </c>
      <c r="G6375" s="174">
        <v>45576.460914351854</v>
      </c>
    </row>
    <row r="6376" spans="1:7">
      <c r="A6376">
        <v>6441</v>
      </c>
      <c r="B6376" t="s">
        <v>7801</v>
      </c>
      <c r="C6376" t="s">
        <v>6315</v>
      </c>
      <c r="E6376">
        <v>0.01</v>
      </c>
      <c r="F6376" t="s">
        <v>546</v>
      </c>
      <c r="G6376" s="174">
        <v>45576.460914351854</v>
      </c>
    </row>
    <row r="6377" spans="1:7">
      <c r="A6377">
        <v>6442</v>
      </c>
      <c r="B6377" t="s">
        <v>2631</v>
      </c>
      <c r="C6377" t="s">
        <v>4554</v>
      </c>
      <c r="E6377">
        <v>0.01</v>
      </c>
      <c r="F6377" t="s">
        <v>546</v>
      </c>
      <c r="G6377" s="174">
        <v>45576.460914351854</v>
      </c>
    </row>
    <row r="6378" spans="1:7">
      <c r="A6378">
        <v>6443</v>
      </c>
      <c r="B6378" t="s">
        <v>7802</v>
      </c>
      <c r="C6378" t="s">
        <v>5218</v>
      </c>
      <c r="E6378">
        <v>0.8</v>
      </c>
      <c r="F6378" t="s">
        <v>546</v>
      </c>
      <c r="G6378" s="174">
        <v>45576.460914351854</v>
      </c>
    </row>
    <row r="6379" spans="1:7">
      <c r="A6379">
        <v>6444</v>
      </c>
      <c r="B6379" t="s">
        <v>2633</v>
      </c>
      <c r="C6379" t="s">
        <v>7803</v>
      </c>
      <c r="E6379">
        <v>0.01</v>
      </c>
      <c r="F6379" t="s">
        <v>546</v>
      </c>
      <c r="G6379" s="174">
        <v>45576.460914351854</v>
      </c>
    </row>
    <row r="6380" spans="1:7">
      <c r="A6380">
        <v>6445</v>
      </c>
      <c r="B6380" t="s">
        <v>7804</v>
      </c>
      <c r="C6380" t="s">
        <v>7176</v>
      </c>
      <c r="E6380">
        <v>0.01</v>
      </c>
      <c r="F6380" t="s">
        <v>546</v>
      </c>
      <c r="G6380" s="174">
        <v>45576.460914351854</v>
      </c>
    </row>
    <row r="6381" spans="1:7">
      <c r="A6381">
        <v>6446</v>
      </c>
      <c r="B6381" t="s">
        <v>7805</v>
      </c>
      <c r="C6381" t="s">
        <v>3333</v>
      </c>
      <c r="E6381">
        <v>0.01</v>
      </c>
      <c r="F6381" t="s">
        <v>546</v>
      </c>
      <c r="G6381" s="174">
        <v>45576.460914351854</v>
      </c>
    </row>
    <row r="6382" spans="1:7">
      <c r="A6382">
        <v>6447</v>
      </c>
      <c r="B6382" t="s">
        <v>7806</v>
      </c>
      <c r="C6382" t="s">
        <v>3773</v>
      </c>
      <c r="E6382">
        <v>0.01</v>
      </c>
      <c r="F6382" t="s">
        <v>546</v>
      </c>
      <c r="G6382" s="174">
        <v>45576.460914351854</v>
      </c>
    </row>
    <row r="6383" spans="1:7">
      <c r="A6383">
        <v>6448</v>
      </c>
      <c r="B6383" t="s">
        <v>7807</v>
      </c>
      <c r="C6383" t="s">
        <v>3143</v>
      </c>
      <c r="E6383">
        <v>0.1</v>
      </c>
      <c r="F6383" t="s">
        <v>546</v>
      </c>
      <c r="G6383" s="174">
        <v>45576.460914351854</v>
      </c>
    </row>
    <row r="6384" spans="1:7">
      <c r="A6384">
        <v>6449</v>
      </c>
      <c r="B6384" t="s">
        <v>7808</v>
      </c>
      <c r="C6384" t="s">
        <v>2865</v>
      </c>
      <c r="E6384">
        <v>0.01</v>
      </c>
      <c r="F6384" t="s">
        <v>546</v>
      </c>
      <c r="G6384" s="174">
        <v>45576.460914351854</v>
      </c>
    </row>
    <row r="6385" spans="1:7">
      <c r="A6385">
        <v>6450</v>
      </c>
      <c r="B6385" t="s">
        <v>7809</v>
      </c>
      <c r="C6385" t="s">
        <v>5420</v>
      </c>
      <c r="E6385">
        <v>0.01</v>
      </c>
      <c r="F6385" t="s">
        <v>546</v>
      </c>
      <c r="G6385" s="174">
        <v>45576.460914351854</v>
      </c>
    </row>
    <row r="6386" spans="1:7">
      <c r="A6386">
        <v>6451</v>
      </c>
      <c r="B6386" t="s">
        <v>7810</v>
      </c>
      <c r="C6386" t="s">
        <v>6477</v>
      </c>
      <c r="E6386">
        <v>0.01</v>
      </c>
      <c r="F6386" t="s">
        <v>546</v>
      </c>
      <c r="G6386" s="174">
        <v>45576.460914351854</v>
      </c>
    </row>
    <row r="6387" spans="1:7">
      <c r="A6387">
        <v>6452</v>
      </c>
      <c r="B6387" t="s">
        <v>7811</v>
      </c>
      <c r="C6387" t="s">
        <v>6434</v>
      </c>
      <c r="E6387">
        <v>0.01</v>
      </c>
      <c r="F6387" t="s">
        <v>546</v>
      </c>
      <c r="G6387" s="174">
        <v>45576.460914351854</v>
      </c>
    </row>
    <row r="6388" spans="1:7">
      <c r="A6388">
        <v>6453</v>
      </c>
      <c r="B6388" t="s">
        <v>7812</v>
      </c>
      <c r="C6388" t="s">
        <v>3038</v>
      </c>
      <c r="E6388">
        <v>0.01</v>
      </c>
      <c r="F6388" t="s">
        <v>546</v>
      </c>
      <c r="G6388" s="174">
        <v>45576.460914351854</v>
      </c>
    </row>
    <row r="6389" spans="1:7">
      <c r="A6389">
        <v>6454</v>
      </c>
      <c r="B6389" t="s">
        <v>7813</v>
      </c>
      <c r="C6389" t="s">
        <v>5430</v>
      </c>
      <c r="E6389">
        <v>0.01</v>
      </c>
      <c r="F6389" t="s">
        <v>546</v>
      </c>
      <c r="G6389" s="174">
        <v>45576.460914351854</v>
      </c>
    </row>
    <row r="6390" spans="1:7">
      <c r="A6390">
        <v>6455</v>
      </c>
      <c r="B6390" t="s">
        <v>7814</v>
      </c>
      <c r="C6390" t="s">
        <v>3554</v>
      </c>
      <c r="E6390">
        <v>0.01</v>
      </c>
      <c r="F6390" t="s">
        <v>546</v>
      </c>
      <c r="G6390" s="174">
        <v>45576.460914351854</v>
      </c>
    </row>
    <row r="6391" spans="1:7">
      <c r="A6391">
        <v>6456</v>
      </c>
      <c r="B6391" t="s">
        <v>7815</v>
      </c>
      <c r="C6391" t="s">
        <v>4755</v>
      </c>
      <c r="E6391">
        <v>0.01</v>
      </c>
      <c r="F6391" t="s">
        <v>546</v>
      </c>
      <c r="G6391" s="174">
        <v>45576.460914351854</v>
      </c>
    </row>
    <row r="6392" spans="1:7">
      <c r="A6392">
        <v>6457</v>
      </c>
      <c r="B6392" t="s">
        <v>7816</v>
      </c>
      <c r="C6392" t="s">
        <v>4479</v>
      </c>
      <c r="E6392">
        <v>0.01</v>
      </c>
      <c r="F6392" t="s">
        <v>546</v>
      </c>
      <c r="G6392" s="174">
        <v>45576.460914351854</v>
      </c>
    </row>
    <row r="6393" spans="1:7">
      <c r="A6393">
        <v>6458</v>
      </c>
      <c r="B6393" t="s">
        <v>7817</v>
      </c>
      <c r="C6393" t="s">
        <v>2841</v>
      </c>
      <c r="E6393">
        <v>0.01</v>
      </c>
      <c r="F6393" t="s">
        <v>546</v>
      </c>
      <c r="G6393" s="174">
        <v>45576.460914351854</v>
      </c>
    </row>
    <row r="6394" spans="1:7">
      <c r="A6394">
        <v>6459</v>
      </c>
      <c r="B6394" t="s">
        <v>7818</v>
      </c>
      <c r="C6394" t="s">
        <v>4583</v>
      </c>
      <c r="E6394">
        <v>0.01</v>
      </c>
      <c r="F6394" t="s">
        <v>546</v>
      </c>
      <c r="G6394" s="174">
        <v>45576.460914351854</v>
      </c>
    </row>
    <row r="6395" spans="1:7">
      <c r="A6395">
        <v>6460</v>
      </c>
      <c r="B6395" t="s">
        <v>7819</v>
      </c>
      <c r="C6395" t="s">
        <v>6154</v>
      </c>
      <c r="E6395">
        <v>0.01</v>
      </c>
      <c r="F6395" t="s">
        <v>546</v>
      </c>
      <c r="G6395" s="174">
        <v>45576.460914351854</v>
      </c>
    </row>
    <row r="6396" spans="1:7">
      <c r="A6396">
        <v>6461</v>
      </c>
      <c r="B6396" t="s">
        <v>2639</v>
      </c>
      <c r="C6396" t="s">
        <v>7820</v>
      </c>
      <c r="E6396">
        <v>0.01</v>
      </c>
      <c r="F6396" t="s">
        <v>546</v>
      </c>
      <c r="G6396" s="174">
        <v>45576.460914351854</v>
      </c>
    </row>
    <row r="6397" spans="1:7">
      <c r="A6397">
        <v>6462</v>
      </c>
      <c r="B6397" t="s">
        <v>7821</v>
      </c>
      <c r="C6397" t="s">
        <v>6340</v>
      </c>
      <c r="E6397">
        <v>0.01</v>
      </c>
      <c r="F6397" t="s">
        <v>546</v>
      </c>
      <c r="G6397" s="174">
        <v>45576.460914351854</v>
      </c>
    </row>
    <row r="6398" spans="1:7">
      <c r="A6398">
        <v>6463</v>
      </c>
      <c r="B6398" t="s">
        <v>7822</v>
      </c>
      <c r="C6398" t="s">
        <v>3454</v>
      </c>
      <c r="E6398">
        <v>0.01</v>
      </c>
      <c r="F6398" t="s">
        <v>546</v>
      </c>
      <c r="G6398" s="174">
        <v>45576.460914351854</v>
      </c>
    </row>
    <row r="6399" spans="1:7">
      <c r="A6399">
        <v>6464</v>
      </c>
      <c r="B6399" t="s">
        <v>7823</v>
      </c>
      <c r="C6399" t="s">
        <v>3047</v>
      </c>
      <c r="E6399">
        <v>0.01</v>
      </c>
      <c r="F6399" t="s">
        <v>546</v>
      </c>
      <c r="G6399" s="174">
        <v>45576.460914351854</v>
      </c>
    </row>
    <row r="6400" spans="1:7">
      <c r="A6400">
        <v>6465</v>
      </c>
      <c r="B6400" t="s">
        <v>7824</v>
      </c>
      <c r="C6400" t="s">
        <v>3502</v>
      </c>
      <c r="E6400">
        <v>0.01</v>
      </c>
      <c r="F6400" t="s">
        <v>546</v>
      </c>
      <c r="G6400" s="174">
        <v>45576.460914351854</v>
      </c>
    </row>
    <row r="6401" spans="1:7">
      <c r="A6401">
        <v>6466</v>
      </c>
      <c r="B6401" t="s">
        <v>7825</v>
      </c>
      <c r="C6401" t="s">
        <v>7826</v>
      </c>
      <c r="E6401">
        <v>0.01</v>
      </c>
      <c r="F6401" t="s">
        <v>546</v>
      </c>
      <c r="G6401" s="174">
        <v>45576.460914351854</v>
      </c>
    </row>
    <row r="6402" spans="1:7">
      <c r="A6402">
        <v>6467</v>
      </c>
      <c r="B6402" t="s">
        <v>7827</v>
      </c>
      <c r="C6402" t="s">
        <v>3258</v>
      </c>
      <c r="E6402">
        <v>0.01</v>
      </c>
      <c r="F6402" t="s">
        <v>546</v>
      </c>
      <c r="G6402" s="174">
        <v>45576.460914351854</v>
      </c>
    </row>
    <row r="6403" spans="1:7">
      <c r="A6403">
        <v>6468</v>
      </c>
      <c r="B6403" t="s">
        <v>7828</v>
      </c>
      <c r="C6403" t="s">
        <v>3865</v>
      </c>
      <c r="E6403">
        <v>0.01</v>
      </c>
      <c r="F6403" t="s">
        <v>546</v>
      </c>
      <c r="G6403" s="174">
        <v>45576.460914351854</v>
      </c>
    </row>
    <row r="6404" spans="1:7">
      <c r="A6404">
        <v>6469</v>
      </c>
      <c r="B6404" t="s">
        <v>7828</v>
      </c>
      <c r="C6404" t="s">
        <v>3866</v>
      </c>
      <c r="E6404">
        <v>0.01</v>
      </c>
      <c r="F6404" t="s">
        <v>546</v>
      </c>
      <c r="G6404" s="174">
        <v>45576.460914351854</v>
      </c>
    </row>
    <row r="6405" spans="1:7">
      <c r="A6405">
        <v>6470</v>
      </c>
      <c r="B6405" t="s">
        <v>7829</v>
      </c>
      <c r="C6405" t="s">
        <v>2904</v>
      </c>
      <c r="E6405">
        <v>0.01</v>
      </c>
      <c r="F6405" t="s">
        <v>546</v>
      </c>
      <c r="G6405" s="174">
        <v>45576.460914351854</v>
      </c>
    </row>
    <row r="6406" spans="1:7">
      <c r="A6406">
        <v>6471</v>
      </c>
      <c r="B6406" t="s">
        <v>7830</v>
      </c>
      <c r="C6406" t="s">
        <v>3943</v>
      </c>
      <c r="E6406">
        <v>0.01</v>
      </c>
      <c r="F6406" t="s">
        <v>546</v>
      </c>
      <c r="G6406" s="174">
        <v>45576.460914351854</v>
      </c>
    </row>
    <row r="6407" spans="1:7">
      <c r="A6407">
        <v>6472</v>
      </c>
      <c r="B6407" t="s">
        <v>7831</v>
      </c>
      <c r="C6407" t="s">
        <v>4171</v>
      </c>
      <c r="E6407">
        <v>0.01</v>
      </c>
      <c r="F6407" t="s">
        <v>546</v>
      </c>
      <c r="G6407" s="174">
        <v>45576.460914351854</v>
      </c>
    </row>
    <row r="6408" spans="1:7">
      <c r="A6408">
        <v>6473</v>
      </c>
      <c r="B6408" t="s">
        <v>2643</v>
      </c>
      <c r="C6408" t="s">
        <v>7766</v>
      </c>
      <c r="E6408">
        <v>0.01</v>
      </c>
      <c r="F6408" t="s">
        <v>546</v>
      </c>
      <c r="G6408" s="174">
        <v>45576.460914351854</v>
      </c>
    </row>
    <row r="6409" spans="1:7">
      <c r="A6409">
        <v>6474</v>
      </c>
      <c r="B6409" t="s">
        <v>7832</v>
      </c>
      <c r="C6409" t="s">
        <v>3879</v>
      </c>
      <c r="E6409">
        <v>0.1</v>
      </c>
      <c r="F6409" t="s">
        <v>546</v>
      </c>
      <c r="G6409" s="174">
        <v>45576.460914351854</v>
      </c>
    </row>
    <row r="6410" spans="1:7">
      <c r="A6410">
        <v>6475</v>
      </c>
      <c r="B6410" t="s">
        <v>2647</v>
      </c>
      <c r="C6410" t="s">
        <v>6086</v>
      </c>
      <c r="E6410">
        <v>0.01</v>
      </c>
      <c r="F6410" t="s">
        <v>546</v>
      </c>
      <c r="G6410" s="174">
        <v>45576.460914351854</v>
      </c>
    </row>
    <row r="6411" spans="1:7">
      <c r="A6411">
        <v>6476</v>
      </c>
      <c r="B6411" t="s">
        <v>7833</v>
      </c>
      <c r="C6411" t="s">
        <v>3628</v>
      </c>
      <c r="E6411">
        <v>0.01</v>
      </c>
      <c r="F6411" t="s">
        <v>546</v>
      </c>
      <c r="G6411" s="174">
        <v>45576.460914351854</v>
      </c>
    </row>
    <row r="6412" spans="1:7">
      <c r="A6412">
        <v>6477</v>
      </c>
      <c r="B6412" t="s">
        <v>7834</v>
      </c>
      <c r="C6412" t="s">
        <v>3943</v>
      </c>
      <c r="E6412">
        <v>0.01</v>
      </c>
      <c r="F6412" t="s">
        <v>546</v>
      </c>
      <c r="G6412" s="174">
        <v>45576.460914351854</v>
      </c>
    </row>
    <row r="6413" spans="1:7">
      <c r="A6413">
        <v>6478</v>
      </c>
      <c r="B6413" t="s">
        <v>7835</v>
      </c>
      <c r="C6413" t="s">
        <v>4149</v>
      </c>
      <c r="E6413">
        <v>0.8</v>
      </c>
      <c r="F6413" t="s">
        <v>546</v>
      </c>
      <c r="G6413" s="174">
        <v>45576.460914351854</v>
      </c>
    </row>
    <row r="6414" spans="1:7">
      <c r="A6414">
        <v>6480</v>
      </c>
      <c r="B6414" t="s">
        <v>2651</v>
      </c>
      <c r="C6414" t="s">
        <v>7836</v>
      </c>
      <c r="E6414">
        <v>0.01</v>
      </c>
      <c r="F6414" t="s">
        <v>546</v>
      </c>
      <c r="G6414" s="174">
        <v>45576.460914351854</v>
      </c>
    </row>
    <row r="6415" spans="1:7">
      <c r="A6415">
        <v>6481</v>
      </c>
      <c r="B6415" t="s">
        <v>7837</v>
      </c>
      <c r="C6415" t="s">
        <v>3337</v>
      </c>
      <c r="E6415">
        <v>0.01</v>
      </c>
      <c r="F6415" t="s">
        <v>546</v>
      </c>
      <c r="G6415" s="174">
        <v>45576.460914351854</v>
      </c>
    </row>
    <row r="6416" spans="1:7">
      <c r="A6416">
        <v>6482</v>
      </c>
      <c r="B6416" t="s">
        <v>7838</v>
      </c>
      <c r="C6416" t="s">
        <v>3137</v>
      </c>
      <c r="E6416">
        <v>0.01</v>
      </c>
      <c r="F6416" t="s">
        <v>546</v>
      </c>
      <c r="G6416" s="174">
        <v>45576.460914351854</v>
      </c>
    </row>
    <row r="6417" spans="1:7">
      <c r="A6417">
        <v>6483</v>
      </c>
      <c r="B6417" t="s">
        <v>7838</v>
      </c>
      <c r="C6417" t="s">
        <v>7839</v>
      </c>
      <c r="E6417">
        <v>0.01</v>
      </c>
      <c r="F6417" t="s">
        <v>546</v>
      </c>
      <c r="G6417" s="174">
        <v>45576.460914351854</v>
      </c>
    </row>
    <row r="6418" spans="1:7">
      <c r="A6418">
        <v>6484</v>
      </c>
      <c r="B6418" t="s">
        <v>7840</v>
      </c>
      <c r="C6418" t="s">
        <v>5845</v>
      </c>
      <c r="E6418">
        <v>0.01</v>
      </c>
      <c r="F6418" t="s">
        <v>546</v>
      </c>
      <c r="G6418" s="174">
        <v>45576.460914351854</v>
      </c>
    </row>
    <row r="6419" spans="1:7">
      <c r="A6419">
        <v>6485</v>
      </c>
      <c r="B6419" t="s">
        <v>7841</v>
      </c>
      <c r="C6419" t="s">
        <v>2877</v>
      </c>
      <c r="E6419">
        <v>0.1</v>
      </c>
      <c r="F6419" t="s">
        <v>546</v>
      </c>
      <c r="G6419" s="174">
        <v>45576.460914351854</v>
      </c>
    </row>
    <row r="6420" spans="1:7">
      <c r="A6420">
        <v>6486</v>
      </c>
      <c r="B6420" t="s">
        <v>7842</v>
      </c>
      <c r="C6420" t="s">
        <v>6443</v>
      </c>
      <c r="E6420">
        <v>0.01</v>
      </c>
      <c r="F6420" t="s">
        <v>546</v>
      </c>
      <c r="G6420" s="174">
        <v>45576.460914351854</v>
      </c>
    </row>
    <row r="6421" spans="1:7">
      <c r="A6421">
        <v>6487</v>
      </c>
      <c r="B6421" t="s">
        <v>7843</v>
      </c>
      <c r="C6421" t="s">
        <v>6627</v>
      </c>
      <c r="E6421">
        <v>0.01</v>
      </c>
      <c r="F6421" t="s">
        <v>546</v>
      </c>
      <c r="G6421" s="174">
        <v>45576.460914351854</v>
      </c>
    </row>
    <row r="6422" spans="1:7">
      <c r="A6422">
        <v>6488</v>
      </c>
      <c r="B6422" t="s">
        <v>7844</v>
      </c>
      <c r="C6422" t="s">
        <v>3599</v>
      </c>
      <c r="E6422">
        <v>0.01</v>
      </c>
      <c r="F6422" t="s">
        <v>546</v>
      </c>
      <c r="G6422" s="174">
        <v>45576.460914351854</v>
      </c>
    </row>
    <row r="6423" spans="1:7">
      <c r="A6423">
        <v>6489</v>
      </c>
      <c r="B6423" t="s">
        <v>7844</v>
      </c>
      <c r="C6423" t="s">
        <v>3331</v>
      </c>
      <c r="E6423">
        <v>0.01</v>
      </c>
      <c r="F6423" t="s">
        <v>546</v>
      </c>
      <c r="G6423" s="174">
        <v>45576.460914351854</v>
      </c>
    </row>
    <row r="6424" spans="1:7">
      <c r="A6424">
        <v>6490</v>
      </c>
      <c r="B6424" t="s">
        <v>7845</v>
      </c>
      <c r="C6424" t="s">
        <v>3779</v>
      </c>
      <c r="E6424">
        <v>0.01</v>
      </c>
      <c r="F6424" t="s">
        <v>546</v>
      </c>
      <c r="G6424" s="174">
        <v>45576.460914351854</v>
      </c>
    </row>
    <row r="6425" spans="1:7">
      <c r="A6425">
        <v>6491</v>
      </c>
      <c r="B6425" t="s">
        <v>7846</v>
      </c>
      <c r="C6425" t="s">
        <v>7700</v>
      </c>
      <c r="E6425">
        <v>0.01</v>
      </c>
      <c r="F6425" t="s">
        <v>546</v>
      </c>
      <c r="G6425" s="174">
        <v>45576.460914351854</v>
      </c>
    </row>
    <row r="6426" spans="1:7">
      <c r="A6426">
        <v>6492</v>
      </c>
      <c r="B6426" t="s">
        <v>7847</v>
      </c>
      <c r="C6426" t="s">
        <v>2976</v>
      </c>
      <c r="E6426">
        <v>0.01</v>
      </c>
      <c r="F6426" t="s">
        <v>546</v>
      </c>
      <c r="G6426" s="174">
        <v>45576.460914351854</v>
      </c>
    </row>
    <row r="6427" spans="1:7">
      <c r="A6427">
        <v>6493</v>
      </c>
      <c r="B6427" t="s">
        <v>7848</v>
      </c>
      <c r="C6427" t="s">
        <v>2976</v>
      </c>
      <c r="E6427">
        <v>0.01</v>
      </c>
      <c r="F6427" t="s">
        <v>546</v>
      </c>
      <c r="G6427" s="174">
        <v>45576.460914351854</v>
      </c>
    </row>
    <row r="6428" spans="1:7">
      <c r="A6428">
        <v>6494</v>
      </c>
      <c r="B6428" t="s">
        <v>2656</v>
      </c>
      <c r="C6428" t="s">
        <v>3100</v>
      </c>
      <c r="E6428">
        <v>0.01</v>
      </c>
      <c r="F6428" t="s">
        <v>546</v>
      </c>
      <c r="G6428" s="174">
        <v>45576.460914351854</v>
      </c>
    </row>
    <row r="6429" spans="1:7">
      <c r="A6429">
        <v>6495</v>
      </c>
      <c r="B6429" t="s">
        <v>7849</v>
      </c>
      <c r="C6429" t="s">
        <v>7850</v>
      </c>
      <c r="E6429">
        <v>0.01</v>
      </c>
      <c r="F6429" t="s">
        <v>546</v>
      </c>
      <c r="G6429" s="174">
        <v>45576.460914351854</v>
      </c>
    </row>
    <row r="6430" spans="1:7">
      <c r="A6430">
        <v>6496</v>
      </c>
      <c r="B6430" t="s">
        <v>2657</v>
      </c>
      <c r="C6430" t="s">
        <v>4305</v>
      </c>
      <c r="E6430">
        <v>0.01</v>
      </c>
      <c r="F6430" t="s">
        <v>546</v>
      </c>
      <c r="G6430" s="174">
        <v>45576.460914351854</v>
      </c>
    </row>
    <row r="6431" spans="1:7">
      <c r="A6431">
        <v>6497</v>
      </c>
      <c r="B6431" t="s">
        <v>7851</v>
      </c>
      <c r="C6431" t="s">
        <v>4398</v>
      </c>
      <c r="E6431">
        <v>0.01</v>
      </c>
      <c r="F6431" t="s">
        <v>546</v>
      </c>
      <c r="G6431" s="174">
        <v>45576.460914351854</v>
      </c>
    </row>
    <row r="6432" spans="1:7">
      <c r="A6432">
        <v>6498</v>
      </c>
      <c r="B6432" t="s">
        <v>7852</v>
      </c>
      <c r="C6432" t="s">
        <v>3043</v>
      </c>
      <c r="E6432">
        <v>0.01</v>
      </c>
      <c r="F6432" t="s">
        <v>546</v>
      </c>
      <c r="G6432" s="174">
        <v>45576.460914351854</v>
      </c>
    </row>
    <row r="6433" spans="1:7">
      <c r="A6433">
        <v>6499</v>
      </c>
      <c r="B6433" t="s">
        <v>7853</v>
      </c>
      <c r="C6433" t="s">
        <v>6392</v>
      </c>
      <c r="E6433">
        <v>0.8</v>
      </c>
      <c r="F6433" t="s">
        <v>546</v>
      </c>
      <c r="G6433" s="174">
        <v>45576.460914351854</v>
      </c>
    </row>
    <row r="6434" spans="1:7">
      <c r="A6434">
        <v>6500</v>
      </c>
      <c r="B6434" t="s">
        <v>7854</v>
      </c>
      <c r="C6434" t="s">
        <v>3447</v>
      </c>
      <c r="E6434">
        <v>0.01</v>
      </c>
      <c r="F6434" t="s">
        <v>546</v>
      </c>
      <c r="G6434" s="174">
        <v>45576.460914351854</v>
      </c>
    </row>
    <row r="6435" spans="1:7">
      <c r="A6435">
        <v>6501</v>
      </c>
      <c r="B6435" t="s">
        <v>7855</v>
      </c>
      <c r="C6435" t="s">
        <v>3835</v>
      </c>
      <c r="E6435">
        <v>0.01</v>
      </c>
      <c r="F6435" t="s">
        <v>546</v>
      </c>
      <c r="G6435" s="174">
        <v>45576.460914351854</v>
      </c>
    </row>
    <row r="6436" spans="1:7">
      <c r="A6436">
        <v>6502</v>
      </c>
      <c r="B6436" t="s">
        <v>7856</v>
      </c>
      <c r="C6436" t="s">
        <v>4089</v>
      </c>
      <c r="E6436">
        <v>0.01</v>
      </c>
      <c r="F6436" t="s">
        <v>546</v>
      </c>
      <c r="G6436" s="174">
        <v>45576.460914351854</v>
      </c>
    </row>
    <row r="6437" spans="1:7">
      <c r="A6437">
        <v>6503</v>
      </c>
      <c r="B6437" t="s">
        <v>7857</v>
      </c>
      <c r="C6437" t="s">
        <v>3933</v>
      </c>
      <c r="E6437">
        <v>0.1</v>
      </c>
      <c r="F6437" t="s">
        <v>546</v>
      </c>
      <c r="G6437" s="174">
        <v>45576.460914351854</v>
      </c>
    </row>
    <row r="6438" spans="1:7">
      <c r="A6438">
        <v>6504</v>
      </c>
      <c r="B6438" t="s">
        <v>7858</v>
      </c>
      <c r="C6438" t="s">
        <v>3835</v>
      </c>
      <c r="E6438">
        <v>0.01</v>
      </c>
      <c r="F6438" t="s">
        <v>546</v>
      </c>
      <c r="G6438" s="174">
        <v>45576.460914351854</v>
      </c>
    </row>
    <row r="6439" spans="1:7">
      <c r="A6439">
        <v>6505</v>
      </c>
      <c r="B6439" t="s">
        <v>7859</v>
      </c>
      <c r="C6439" t="s">
        <v>3759</v>
      </c>
      <c r="E6439">
        <v>0.01</v>
      </c>
      <c r="F6439" t="s">
        <v>546</v>
      </c>
      <c r="G6439" s="174">
        <v>45576.460914351854</v>
      </c>
    </row>
    <row r="6440" spans="1:7">
      <c r="A6440">
        <v>6506</v>
      </c>
      <c r="B6440" t="s">
        <v>7860</v>
      </c>
      <c r="C6440" t="s">
        <v>3018</v>
      </c>
      <c r="E6440">
        <v>0.01</v>
      </c>
      <c r="F6440" t="s">
        <v>546</v>
      </c>
      <c r="G6440" s="174">
        <v>45576.460914351854</v>
      </c>
    </row>
    <row r="6441" spans="1:7">
      <c r="A6441">
        <v>6507</v>
      </c>
      <c r="B6441" t="s">
        <v>7861</v>
      </c>
      <c r="C6441" t="s">
        <v>7862</v>
      </c>
      <c r="E6441">
        <v>0.01</v>
      </c>
      <c r="F6441" t="s">
        <v>546</v>
      </c>
      <c r="G6441" s="174">
        <v>45576.460914351854</v>
      </c>
    </row>
    <row r="6442" spans="1:7">
      <c r="A6442">
        <v>6508</v>
      </c>
      <c r="B6442" t="s">
        <v>7863</v>
      </c>
      <c r="C6442" t="s">
        <v>2991</v>
      </c>
      <c r="E6442">
        <v>0.01</v>
      </c>
      <c r="F6442" t="s">
        <v>546</v>
      </c>
      <c r="G6442" s="174">
        <v>45576.460914351854</v>
      </c>
    </row>
    <row r="6443" spans="1:7">
      <c r="A6443">
        <v>6509</v>
      </c>
      <c r="B6443" t="s">
        <v>7864</v>
      </c>
      <c r="C6443" t="s">
        <v>6218</v>
      </c>
      <c r="E6443">
        <v>0.01</v>
      </c>
      <c r="F6443" t="s">
        <v>546</v>
      </c>
      <c r="G6443" s="174">
        <v>45576.460914351854</v>
      </c>
    </row>
    <row r="6444" spans="1:7">
      <c r="A6444">
        <v>6510</v>
      </c>
      <c r="B6444" t="s">
        <v>7865</v>
      </c>
      <c r="C6444" t="s">
        <v>3977</v>
      </c>
      <c r="E6444">
        <v>0.01</v>
      </c>
      <c r="F6444" t="s">
        <v>546</v>
      </c>
      <c r="G6444" s="174">
        <v>45576.460914351854</v>
      </c>
    </row>
    <row r="6445" spans="1:7">
      <c r="A6445">
        <v>6511</v>
      </c>
      <c r="B6445" t="s">
        <v>7866</v>
      </c>
      <c r="C6445" t="s">
        <v>3621</v>
      </c>
      <c r="E6445">
        <v>0.01</v>
      </c>
      <c r="F6445" t="s">
        <v>546</v>
      </c>
      <c r="G6445" s="174">
        <v>45576.460914351854</v>
      </c>
    </row>
    <row r="6446" spans="1:7">
      <c r="A6446">
        <v>6512</v>
      </c>
      <c r="B6446" t="s">
        <v>7867</v>
      </c>
      <c r="C6446" t="s">
        <v>7868</v>
      </c>
      <c r="E6446">
        <v>0.01</v>
      </c>
      <c r="F6446" t="s">
        <v>546</v>
      </c>
      <c r="G6446" s="174">
        <v>45576.460914351854</v>
      </c>
    </row>
    <row r="6447" spans="1:7">
      <c r="A6447">
        <v>6513</v>
      </c>
      <c r="B6447" t="s">
        <v>7867</v>
      </c>
      <c r="C6447" t="s">
        <v>3227</v>
      </c>
      <c r="E6447">
        <v>0.01</v>
      </c>
      <c r="F6447" t="s">
        <v>546</v>
      </c>
      <c r="G6447" s="174">
        <v>45576.460914351854</v>
      </c>
    </row>
    <row r="6448" spans="1:7">
      <c r="A6448">
        <v>6514</v>
      </c>
      <c r="B6448" t="s">
        <v>7869</v>
      </c>
      <c r="C6448" t="s">
        <v>3742</v>
      </c>
      <c r="E6448">
        <v>0.01</v>
      </c>
      <c r="F6448" t="s">
        <v>546</v>
      </c>
      <c r="G6448" s="174">
        <v>45576.460914351854</v>
      </c>
    </row>
    <row r="6449" spans="1:7">
      <c r="A6449">
        <v>6515</v>
      </c>
      <c r="B6449" t="s">
        <v>7870</v>
      </c>
      <c r="C6449" t="s">
        <v>7762</v>
      </c>
      <c r="E6449">
        <v>0.01</v>
      </c>
      <c r="F6449" t="s">
        <v>546</v>
      </c>
      <c r="G6449" s="174">
        <v>45576.460914351854</v>
      </c>
    </row>
    <row r="6450" spans="1:7">
      <c r="A6450">
        <v>6516</v>
      </c>
      <c r="B6450" t="s">
        <v>7870</v>
      </c>
      <c r="C6450" t="s">
        <v>7871</v>
      </c>
      <c r="E6450">
        <v>0.01</v>
      </c>
      <c r="F6450" t="s">
        <v>546</v>
      </c>
      <c r="G6450" s="174">
        <v>45576.460914351854</v>
      </c>
    </row>
    <row r="6451" spans="1:7">
      <c r="A6451">
        <v>6517</v>
      </c>
      <c r="B6451" t="s">
        <v>7872</v>
      </c>
      <c r="C6451" t="s">
        <v>7873</v>
      </c>
      <c r="E6451">
        <v>0.01</v>
      </c>
      <c r="F6451" t="s">
        <v>546</v>
      </c>
      <c r="G6451" s="174">
        <v>45576.460914351854</v>
      </c>
    </row>
    <row r="6452" spans="1:7">
      <c r="A6452">
        <v>6518</v>
      </c>
      <c r="B6452" t="s">
        <v>7872</v>
      </c>
      <c r="C6452" t="s">
        <v>7874</v>
      </c>
      <c r="E6452">
        <v>0.01</v>
      </c>
      <c r="F6452" t="s">
        <v>546</v>
      </c>
      <c r="G6452" s="174">
        <v>45576.460914351854</v>
      </c>
    </row>
    <row r="6453" spans="1:7">
      <c r="A6453">
        <v>6519</v>
      </c>
      <c r="B6453" t="s">
        <v>7872</v>
      </c>
      <c r="C6453" t="s">
        <v>7875</v>
      </c>
      <c r="E6453">
        <v>0.01</v>
      </c>
      <c r="F6453" t="s">
        <v>546</v>
      </c>
      <c r="G6453" s="174">
        <v>45576.460914351854</v>
      </c>
    </row>
    <row r="6454" spans="1:7">
      <c r="A6454">
        <v>6520</v>
      </c>
      <c r="B6454" t="s">
        <v>7876</v>
      </c>
      <c r="C6454" t="s">
        <v>4650</v>
      </c>
      <c r="E6454">
        <v>0.1</v>
      </c>
      <c r="F6454" t="s">
        <v>546</v>
      </c>
      <c r="G6454" s="174">
        <v>45576.460914351854</v>
      </c>
    </row>
    <row r="6455" spans="1:7">
      <c r="A6455">
        <v>6521</v>
      </c>
      <c r="B6455" t="s">
        <v>7877</v>
      </c>
      <c r="C6455" t="s">
        <v>7878</v>
      </c>
      <c r="E6455">
        <v>0.01</v>
      </c>
      <c r="F6455" t="s">
        <v>546</v>
      </c>
      <c r="G6455" s="174">
        <v>45576.460914351854</v>
      </c>
    </row>
    <row r="6456" spans="1:7">
      <c r="A6456">
        <v>6522</v>
      </c>
      <c r="B6456" t="s">
        <v>7879</v>
      </c>
      <c r="C6456" t="s">
        <v>4719</v>
      </c>
      <c r="E6456">
        <v>0.1</v>
      </c>
      <c r="F6456" t="s">
        <v>546</v>
      </c>
      <c r="G6456" s="174">
        <v>45576.460914351854</v>
      </c>
    </row>
    <row r="6457" spans="1:7">
      <c r="A6457">
        <v>6523</v>
      </c>
      <c r="B6457" t="s">
        <v>7880</v>
      </c>
      <c r="C6457" t="s">
        <v>6149</v>
      </c>
      <c r="E6457">
        <v>0.01</v>
      </c>
      <c r="F6457" t="s">
        <v>546</v>
      </c>
      <c r="G6457" s="174">
        <v>45576.460914351854</v>
      </c>
    </row>
    <row r="6458" spans="1:7">
      <c r="A6458">
        <v>6524</v>
      </c>
      <c r="B6458" t="s">
        <v>7881</v>
      </c>
      <c r="C6458" t="s">
        <v>7882</v>
      </c>
      <c r="E6458">
        <v>0.01</v>
      </c>
      <c r="F6458" t="s">
        <v>546</v>
      </c>
      <c r="G6458" s="174">
        <v>45576.460914351854</v>
      </c>
    </row>
    <row r="6459" spans="1:7">
      <c r="A6459">
        <v>6525</v>
      </c>
      <c r="B6459" t="s">
        <v>2664</v>
      </c>
      <c r="C6459" t="s">
        <v>7883</v>
      </c>
      <c r="E6459">
        <v>0.01</v>
      </c>
      <c r="F6459" t="s">
        <v>546</v>
      </c>
      <c r="G6459" s="174">
        <v>45576.460914351854</v>
      </c>
    </row>
    <row r="6460" spans="1:7">
      <c r="A6460">
        <v>6526</v>
      </c>
      <c r="B6460" t="s">
        <v>7884</v>
      </c>
      <c r="C6460" t="s">
        <v>4829</v>
      </c>
      <c r="E6460">
        <v>0.1</v>
      </c>
      <c r="F6460" t="s">
        <v>546</v>
      </c>
      <c r="G6460" s="174">
        <v>45576.460914351854</v>
      </c>
    </row>
    <row r="6461" spans="1:7">
      <c r="A6461">
        <v>6527</v>
      </c>
      <c r="B6461" t="s">
        <v>7884</v>
      </c>
      <c r="C6461" t="s">
        <v>7406</v>
      </c>
      <c r="E6461">
        <v>0.1</v>
      </c>
      <c r="F6461" t="s">
        <v>546</v>
      </c>
      <c r="G6461" s="174">
        <v>45576.460914351854</v>
      </c>
    </row>
    <row r="6462" spans="1:7">
      <c r="A6462">
        <v>6528</v>
      </c>
      <c r="B6462" t="s">
        <v>7885</v>
      </c>
      <c r="C6462" t="s">
        <v>7886</v>
      </c>
      <c r="E6462">
        <v>0.01</v>
      </c>
      <c r="F6462" t="s">
        <v>546</v>
      </c>
      <c r="G6462" s="174">
        <v>45576.460914351854</v>
      </c>
    </row>
    <row r="6463" spans="1:7">
      <c r="A6463">
        <v>6529</v>
      </c>
      <c r="B6463" t="s">
        <v>7885</v>
      </c>
      <c r="C6463" t="s">
        <v>3527</v>
      </c>
      <c r="E6463">
        <v>0.01</v>
      </c>
      <c r="F6463" t="s">
        <v>546</v>
      </c>
      <c r="G6463" s="174">
        <v>45576.460914351854</v>
      </c>
    </row>
    <row r="6464" spans="1:7">
      <c r="A6464">
        <v>6530</v>
      </c>
      <c r="B6464" t="s">
        <v>2667</v>
      </c>
      <c r="C6464" t="s">
        <v>7883</v>
      </c>
      <c r="E6464">
        <v>0.01</v>
      </c>
      <c r="F6464" t="s">
        <v>546</v>
      </c>
      <c r="G6464" s="174">
        <v>45576.460914351854</v>
      </c>
    </row>
    <row r="6465" spans="1:7">
      <c r="A6465">
        <v>6531</v>
      </c>
      <c r="B6465" t="s">
        <v>7887</v>
      </c>
      <c r="C6465" t="s">
        <v>7888</v>
      </c>
      <c r="E6465">
        <v>0.01</v>
      </c>
      <c r="F6465" t="s">
        <v>546</v>
      </c>
      <c r="G6465" s="174">
        <v>45576.460914351854</v>
      </c>
    </row>
    <row r="6466" spans="1:7">
      <c r="A6466">
        <v>6532</v>
      </c>
      <c r="B6466" t="s">
        <v>7887</v>
      </c>
      <c r="C6466" t="s">
        <v>4651</v>
      </c>
      <c r="E6466">
        <v>0.01</v>
      </c>
      <c r="F6466" t="s">
        <v>546</v>
      </c>
      <c r="G6466" s="174">
        <v>45576.460914351854</v>
      </c>
    </row>
    <row r="6467" spans="1:7">
      <c r="A6467">
        <v>6533</v>
      </c>
      <c r="B6467" t="s">
        <v>2668</v>
      </c>
      <c r="C6467" t="s">
        <v>7889</v>
      </c>
      <c r="E6467">
        <v>0.6</v>
      </c>
      <c r="F6467" t="s">
        <v>7890</v>
      </c>
      <c r="G6467" s="174">
        <v>45576.460914351854</v>
      </c>
    </row>
    <row r="6468" spans="1:7">
      <c r="A6468">
        <v>6534</v>
      </c>
      <c r="B6468" t="s">
        <v>7891</v>
      </c>
      <c r="C6468" t="s">
        <v>7521</v>
      </c>
      <c r="E6468">
        <v>0.01</v>
      </c>
      <c r="F6468" t="s">
        <v>546</v>
      </c>
      <c r="G6468" s="174">
        <v>45576.460914351854</v>
      </c>
    </row>
    <row r="6469" spans="1:7">
      <c r="A6469">
        <v>6535</v>
      </c>
      <c r="B6469" t="s">
        <v>7892</v>
      </c>
      <c r="C6469" t="s">
        <v>7893</v>
      </c>
      <c r="E6469">
        <v>0.01</v>
      </c>
      <c r="F6469" t="s">
        <v>546</v>
      </c>
      <c r="G6469" s="174">
        <v>45576.460914351854</v>
      </c>
    </row>
    <row r="6470" spans="1:7">
      <c r="A6470">
        <v>6536</v>
      </c>
      <c r="B6470" t="s">
        <v>7892</v>
      </c>
      <c r="C6470" t="s">
        <v>2899</v>
      </c>
      <c r="E6470">
        <v>0.01</v>
      </c>
      <c r="F6470" t="s">
        <v>546</v>
      </c>
      <c r="G6470" s="174">
        <v>45576.460914351854</v>
      </c>
    </row>
    <row r="6471" spans="1:7">
      <c r="A6471">
        <v>6538</v>
      </c>
      <c r="B6471" t="s">
        <v>2673</v>
      </c>
      <c r="C6471" t="s">
        <v>4878</v>
      </c>
      <c r="E6471">
        <v>0.01</v>
      </c>
      <c r="F6471" t="s">
        <v>546</v>
      </c>
      <c r="G6471" s="174">
        <v>45576.460914351854</v>
      </c>
    </row>
    <row r="6472" spans="1:7">
      <c r="A6472">
        <v>6539</v>
      </c>
      <c r="B6472" t="s">
        <v>2673</v>
      </c>
      <c r="C6472" t="s">
        <v>4650</v>
      </c>
      <c r="E6472">
        <v>0.05</v>
      </c>
      <c r="F6472" t="s">
        <v>546</v>
      </c>
      <c r="G6472" s="174">
        <v>45576.460914351854</v>
      </c>
    </row>
    <row r="6473" spans="1:7">
      <c r="A6473">
        <v>6540</v>
      </c>
      <c r="B6473" t="s">
        <v>7894</v>
      </c>
      <c r="C6473" t="s">
        <v>3319</v>
      </c>
      <c r="E6473">
        <v>0.01</v>
      </c>
      <c r="F6473" t="s">
        <v>546</v>
      </c>
      <c r="G6473" s="174">
        <v>45576.460914351854</v>
      </c>
    </row>
    <row r="6474" spans="1:7">
      <c r="A6474">
        <v>6541</v>
      </c>
      <c r="B6474" t="s">
        <v>2675</v>
      </c>
      <c r="C6474" t="s">
        <v>6876</v>
      </c>
      <c r="E6474">
        <v>0.7</v>
      </c>
      <c r="F6474" t="s">
        <v>546</v>
      </c>
      <c r="G6474" s="174">
        <v>45576.460914351854</v>
      </c>
    </row>
    <row r="6475" spans="1:7">
      <c r="A6475">
        <v>6542</v>
      </c>
      <c r="B6475" t="s">
        <v>2675</v>
      </c>
      <c r="C6475" t="s">
        <v>7895</v>
      </c>
      <c r="E6475">
        <v>0.8</v>
      </c>
      <c r="F6475" t="s">
        <v>546</v>
      </c>
      <c r="G6475" s="174">
        <v>45576.460914351854</v>
      </c>
    </row>
    <row r="6476" spans="1:7">
      <c r="A6476">
        <v>6543</v>
      </c>
      <c r="B6476" t="s">
        <v>2677</v>
      </c>
      <c r="C6476" t="s">
        <v>4650</v>
      </c>
      <c r="E6476">
        <v>0.05</v>
      </c>
      <c r="F6476" t="s">
        <v>546</v>
      </c>
      <c r="G6476" s="174">
        <v>45576.460914351854</v>
      </c>
    </row>
    <row r="6477" spans="1:7">
      <c r="A6477">
        <v>6544</v>
      </c>
      <c r="B6477" t="s">
        <v>7896</v>
      </c>
      <c r="C6477" t="s">
        <v>4179</v>
      </c>
      <c r="E6477">
        <v>0.01</v>
      </c>
      <c r="F6477" t="s">
        <v>546</v>
      </c>
      <c r="G6477" s="174">
        <v>45576.460914351854</v>
      </c>
    </row>
    <row r="6478" spans="1:7">
      <c r="A6478">
        <v>6545</v>
      </c>
      <c r="B6478" t="s">
        <v>7896</v>
      </c>
      <c r="C6478" t="s">
        <v>4180</v>
      </c>
      <c r="E6478">
        <v>0.01</v>
      </c>
      <c r="F6478" t="s">
        <v>546</v>
      </c>
      <c r="G6478" s="174">
        <v>45576.460914351854</v>
      </c>
    </row>
    <row r="6479" spans="1:7">
      <c r="A6479">
        <v>6546</v>
      </c>
      <c r="B6479" t="s">
        <v>2678</v>
      </c>
      <c r="C6479" t="s">
        <v>4724</v>
      </c>
      <c r="E6479">
        <v>0.01</v>
      </c>
      <c r="F6479" t="s">
        <v>546</v>
      </c>
      <c r="G6479" s="174">
        <v>45576.460914351854</v>
      </c>
    </row>
    <row r="6480" spans="1:7">
      <c r="A6480">
        <v>6547</v>
      </c>
      <c r="B6480" t="s">
        <v>7897</v>
      </c>
      <c r="C6480" t="s">
        <v>2772</v>
      </c>
      <c r="E6480">
        <v>0.01</v>
      </c>
      <c r="F6480" t="s">
        <v>546</v>
      </c>
      <c r="G6480" s="174">
        <v>45576.460914351854</v>
      </c>
    </row>
    <row r="6481" spans="1:7">
      <c r="A6481">
        <v>6548</v>
      </c>
      <c r="B6481" t="s">
        <v>2679</v>
      </c>
      <c r="C6481" t="s">
        <v>7898</v>
      </c>
      <c r="E6481">
        <v>0.8</v>
      </c>
      <c r="F6481" t="s">
        <v>7899</v>
      </c>
      <c r="G6481" s="174">
        <v>45576.460914351854</v>
      </c>
    </row>
    <row r="6482" spans="1:7">
      <c r="A6482">
        <v>6549</v>
      </c>
      <c r="B6482" t="s">
        <v>2679</v>
      </c>
      <c r="C6482" t="s">
        <v>3797</v>
      </c>
      <c r="E6482">
        <v>0.01</v>
      </c>
      <c r="F6482" t="s">
        <v>546</v>
      </c>
      <c r="G6482" s="174">
        <v>45576.460914351854</v>
      </c>
    </row>
    <row r="6483" spans="1:7">
      <c r="A6483">
        <v>6550</v>
      </c>
      <c r="B6483" t="s">
        <v>7900</v>
      </c>
      <c r="C6483" t="s">
        <v>4160</v>
      </c>
      <c r="E6483">
        <v>0.01</v>
      </c>
      <c r="F6483" t="s">
        <v>546</v>
      </c>
      <c r="G6483" s="174">
        <v>45576.460914351854</v>
      </c>
    </row>
    <row r="6484" spans="1:7">
      <c r="A6484">
        <v>6551</v>
      </c>
      <c r="B6484" t="s">
        <v>7901</v>
      </c>
      <c r="C6484" t="s">
        <v>3298</v>
      </c>
      <c r="E6484">
        <v>0.01</v>
      </c>
      <c r="F6484" t="s">
        <v>546</v>
      </c>
      <c r="G6484" s="174">
        <v>45576.460914351854</v>
      </c>
    </row>
    <row r="6485" spans="1:7">
      <c r="A6485">
        <v>6552</v>
      </c>
      <c r="B6485" t="s">
        <v>7902</v>
      </c>
      <c r="C6485" t="s">
        <v>3067</v>
      </c>
      <c r="E6485">
        <v>0.01</v>
      </c>
      <c r="F6485" t="s">
        <v>546</v>
      </c>
      <c r="G6485" s="174">
        <v>45576.460914351854</v>
      </c>
    </row>
    <row r="6486" spans="1:7">
      <c r="A6486">
        <v>6553</v>
      </c>
      <c r="B6486" t="s">
        <v>7903</v>
      </c>
      <c r="C6486" t="s">
        <v>4369</v>
      </c>
      <c r="E6486">
        <v>0.01</v>
      </c>
      <c r="F6486" t="s">
        <v>546</v>
      </c>
      <c r="G6486" s="174">
        <v>45576.460914351854</v>
      </c>
    </row>
    <row r="6487" spans="1:7">
      <c r="A6487">
        <v>6554</v>
      </c>
      <c r="B6487" t="s">
        <v>7903</v>
      </c>
      <c r="C6487" t="s">
        <v>4583</v>
      </c>
      <c r="E6487">
        <v>0.01</v>
      </c>
      <c r="F6487" t="s">
        <v>546</v>
      </c>
      <c r="G6487" s="174">
        <v>45576.460914351854</v>
      </c>
    </row>
    <row r="6488" spans="1:7">
      <c r="A6488">
        <v>6555</v>
      </c>
      <c r="B6488" t="s">
        <v>7904</v>
      </c>
      <c r="C6488" t="s">
        <v>4092</v>
      </c>
      <c r="E6488">
        <v>0.01</v>
      </c>
      <c r="F6488" t="s">
        <v>546</v>
      </c>
      <c r="G6488" s="174">
        <v>45576.460914351854</v>
      </c>
    </row>
    <row r="6489" spans="1:7">
      <c r="A6489">
        <v>6556</v>
      </c>
      <c r="B6489" t="s">
        <v>7905</v>
      </c>
      <c r="C6489" t="s">
        <v>7906</v>
      </c>
      <c r="E6489">
        <v>0.01</v>
      </c>
      <c r="F6489" t="s">
        <v>546</v>
      </c>
      <c r="G6489" s="174">
        <v>45576.460914351854</v>
      </c>
    </row>
    <row r="6490" spans="1:7">
      <c r="A6490">
        <v>6557</v>
      </c>
      <c r="B6490" t="s">
        <v>2688</v>
      </c>
      <c r="C6490" t="s">
        <v>6872</v>
      </c>
      <c r="E6490">
        <v>0.01</v>
      </c>
      <c r="F6490" t="s">
        <v>546</v>
      </c>
      <c r="G6490" s="174">
        <v>45576.460914351854</v>
      </c>
    </row>
    <row r="6491" spans="1:7">
      <c r="A6491">
        <v>6558</v>
      </c>
      <c r="B6491" t="s">
        <v>7907</v>
      </c>
      <c r="C6491" t="s">
        <v>2801</v>
      </c>
      <c r="E6491">
        <v>0.01</v>
      </c>
      <c r="F6491" t="s">
        <v>546</v>
      </c>
      <c r="G6491" s="174">
        <v>45576.460914351854</v>
      </c>
    </row>
    <row r="6492" spans="1:7">
      <c r="A6492">
        <v>6559</v>
      </c>
      <c r="B6492" t="s">
        <v>7908</v>
      </c>
      <c r="C6492" t="s">
        <v>4522</v>
      </c>
      <c r="E6492">
        <v>0.01</v>
      </c>
      <c r="F6492" t="s">
        <v>546</v>
      </c>
      <c r="G6492" s="174">
        <v>45576.460914351854</v>
      </c>
    </row>
    <row r="6493" spans="1:7">
      <c r="A6493">
        <v>6560</v>
      </c>
      <c r="B6493" t="s">
        <v>7909</v>
      </c>
      <c r="C6493" t="s">
        <v>7878</v>
      </c>
      <c r="E6493">
        <v>0.01</v>
      </c>
      <c r="F6493" t="s">
        <v>546</v>
      </c>
      <c r="G6493" s="174">
        <v>45576.460914351854</v>
      </c>
    </row>
    <row r="6494" spans="1:7">
      <c r="A6494">
        <v>6561</v>
      </c>
      <c r="B6494" t="s">
        <v>2695</v>
      </c>
      <c r="C6494" t="s">
        <v>3943</v>
      </c>
      <c r="E6494">
        <v>0.8</v>
      </c>
      <c r="F6494" t="s">
        <v>546</v>
      </c>
      <c r="G6494" s="174">
        <v>45576.460914351854</v>
      </c>
    </row>
    <row r="6495" spans="1:7">
      <c r="A6495">
        <v>6562</v>
      </c>
      <c r="B6495" t="s">
        <v>7910</v>
      </c>
      <c r="C6495" t="s">
        <v>3062</v>
      </c>
      <c r="E6495">
        <v>0.01</v>
      </c>
      <c r="F6495" t="s">
        <v>546</v>
      </c>
      <c r="G6495" s="174">
        <v>45576.460914351854</v>
      </c>
    </row>
    <row r="6496" spans="1:7">
      <c r="A6496">
        <v>6563</v>
      </c>
      <c r="B6496" t="s">
        <v>2700</v>
      </c>
      <c r="C6496" t="s">
        <v>7911</v>
      </c>
      <c r="E6496">
        <v>0.01</v>
      </c>
      <c r="F6496" t="s">
        <v>546</v>
      </c>
      <c r="G6496" s="174">
        <v>45576.460914351854</v>
      </c>
    </row>
    <row r="6497" spans="1:7">
      <c r="A6497">
        <v>6564</v>
      </c>
      <c r="B6497" t="s">
        <v>7912</v>
      </c>
      <c r="C6497" t="s">
        <v>7913</v>
      </c>
      <c r="E6497">
        <v>0.01</v>
      </c>
      <c r="F6497" t="s">
        <v>546</v>
      </c>
      <c r="G6497" s="174">
        <v>45576.460914351854</v>
      </c>
    </row>
    <row r="6498" spans="1:7">
      <c r="A6498">
        <v>6565</v>
      </c>
      <c r="B6498" t="s">
        <v>7914</v>
      </c>
      <c r="C6498" t="s">
        <v>3759</v>
      </c>
      <c r="E6498">
        <v>0.01</v>
      </c>
      <c r="F6498" t="s">
        <v>546</v>
      </c>
      <c r="G6498" s="174">
        <v>45576.460914351854</v>
      </c>
    </row>
    <row r="6499" spans="1:7">
      <c r="A6499">
        <v>6566</v>
      </c>
      <c r="B6499" t="s">
        <v>7915</v>
      </c>
      <c r="C6499" t="s">
        <v>7916</v>
      </c>
      <c r="E6499">
        <v>0.01</v>
      </c>
      <c r="F6499" t="s">
        <v>546</v>
      </c>
      <c r="G6499" s="174">
        <v>45576.460914351854</v>
      </c>
    </row>
    <row r="6500" spans="1:7">
      <c r="A6500">
        <v>6567</v>
      </c>
      <c r="B6500" t="s">
        <v>7915</v>
      </c>
      <c r="C6500" t="s">
        <v>7917</v>
      </c>
      <c r="E6500">
        <v>0.01</v>
      </c>
      <c r="F6500" t="s">
        <v>546</v>
      </c>
      <c r="G6500" s="174">
        <v>45576.460914351854</v>
      </c>
    </row>
    <row r="6501" spans="1:7">
      <c r="A6501">
        <v>6568</v>
      </c>
      <c r="B6501" t="s">
        <v>2703</v>
      </c>
      <c r="C6501" t="s">
        <v>7918</v>
      </c>
      <c r="E6501">
        <v>0.01</v>
      </c>
      <c r="F6501" t="s">
        <v>546</v>
      </c>
      <c r="G6501" s="174">
        <v>45576.460914351854</v>
      </c>
    </row>
    <row r="6502" spans="1:7">
      <c r="A6502">
        <v>6569</v>
      </c>
      <c r="B6502" t="s">
        <v>2707</v>
      </c>
      <c r="C6502" t="s">
        <v>1848</v>
      </c>
      <c r="E6502">
        <v>0.8</v>
      </c>
      <c r="F6502" t="s">
        <v>546</v>
      </c>
      <c r="G6502" s="174">
        <v>45576.460914351854</v>
      </c>
    </row>
    <row r="6503" spans="1:7">
      <c r="A6503">
        <v>6570</v>
      </c>
      <c r="B6503" t="s">
        <v>7919</v>
      </c>
      <c r="C6503" t="s">
        <v>3207</v>
      </c>
      <c r="E6503">
        <v>0.01</v>
      </c>
      <c r="F6503" t="s">
        <v>546</v>
      </c>
      <c r="G6503" s="174">
        <v>45576.460914351854</v>
      </c>
    </row>
    <row r="6504" spans="1:7">
      <c r="A6504">
        <v>6571</v>
      </c>
      <c r="B6504" t="s">
        <v>7920</v>
      </c>
      <c r="C6504" t="s">
        <v>2997</v>
      </c>
      <c r="E6504">
        <v>0.01</v>
      </c>
      <c r="F6504" t="s">
        <v>546</v>
      </c>
      <c r="G6504" s="174">
        <v>45576.460914351854</v>
      </c>
    </row>
    <row r="6505" spans="1:7">
      <c r="A6505">
        <v>6572</v>
      </c>
      <c r="B6505" t="s">
        <v>7920</v>
      </c>
      <c r="C6505" t="s">
        <v>7921</v>
      </c>
      <c r="E6505">
        <v>0.01</v>
      </c>
      <c r="F6505" t="s">
        <v>546</v>
      </c>
      <c r="G6505" s="174">
        <v>45576.460914351854</v>
      </c>
    </row>
    <row r="6506" spans="1:7">
      <c r="A6506">
        <v>6573</v>
      </c>
      <c r="B6506" t="s">
        <v>2708</v>
      </c>
      <c r="C6506" t="s">
        <v>7922</v>
      </c>
      <c r="E6506">
        <v>1</v>
      </c>
      <c r="F6506" t="s">
        <v>546</v>
      </c>
      <c r="G6506" s="174">
        <v>45576.460914351854</v>
      </c>
    </row>
    <row r="6507" spans="1:7">
      <c r="A6507">
        <v>6574</v>
      </c>
      <c r="B6507" t="s">
        <v>2708</v>
      </c>
      <c r="C6507" t="s">
        <v>7923</v>
      </c>
      <c r="E6507">
        <v>0.01</v>
      </c>
      <c r="F6507" t="s">
        <v>546</v>
      </c>
      <c r="G6507" s="174">
        <v>45576.460914351854</v>
      </c>
    </row>
    <row r="6508" spans="1:7">
      <c r="A6508">
        <v>6575</v>
      </c>
      <c r="B6508" t="s">
        <v>7924</v>
      </c>
      <c r="C6508" t="s">
        <v>2814</v>
      </c>
      <c r="E6508">
        <v>0.01</v>
      </c>
      <c r="F6508" t="s">
        <v>546</v>
      </c>
      <c r="G6508" s="174">
        <v>45576.460914351854</v>
      </c>
    </row>
    <row r="6509" spans="1:7">
      <c r="A6509">
        <v>6576</v>
      </c>
      <c r="B6509" t="s">
        <v>7925</v>
      </c>
      <c r="C6509" t="s">
        <v>5665</v>
      </c>
      <c r="E6509">
        <v>0.01</v>
      </c>
      <c r="F6509" t="s">
        <v>546</v>
      </c>
      <c r="G6509" s="174">
        <v>45576.460914351854</v>
      </c>
    </row>
    <row r="6510" spans="1:7">
      <c r="A6510">
        <v>6577</v>
      </c>
      <c r="B6510" t="s">
        <v>7926</v>
      </c>
      <c r="C6510" t="s">
        <v>6189</v>
      </c>
      <c r="E6510">
        <v>0.01</v>
      </c>
      <c r="F6510" t="s">
        <v>546</v>
      </c>
      <c r="G6510" s="174">
        <v>45576.460914351854</v>
      </c>
    </row>
    <row r="6511" spans="1:7">
      <c r="A6511">
        <v>6578</v>
      </c>
      <c r="B6511" t="s">
        <v>7926</v>
      </c>
      <c r="C6511" t="s">
        <v>6417</v>
      </c>
      <c r="E6511">
        <v>0.01</v>
      </c>
      <c r="F6511" t="s">
        <v>546</v>
      </c>
      <c r="G6511" s="174">
        <v>45576.460914351854</v>
      </c>
    </row>
    <row r="6512" spans="1:7">
      <c r="A6512">
        <v>6579</v>
      </c>
      <c r="B6512" t="s">
        <v>2711</v>
      </c>
      <c r="C6512" t="s">
        <v>6840</v>
      </c>
      <c r="E6512">
        <v>0.01</v>
      </c>
      <c r="F6512" t="s">
        <v>546</v>
      </c>
      <c r="G6512" s="174">
        <v>45576.460914351854</v>
      </c>
    </row>
    <row r="6513" spans="1:7">
      <c r="A6513">
        <v>6580</v>
      </c>
      <c r="B6513" t="s">
        <v>7927</v>
      </c>
      <c r="C6513" t="s">
        <v>2840</v>
      </c>
      <c r="E6513">
        <v>0.01</v>
      </c>
      <c r="F6513" t="s">
        <v>546</v>
      </c>
      <c r="G6513" s="174">
        <v>45576.460914351854</v>
      </c>
    </row>
    <row r="6514" spans="1:7">
      <c r="A6514">
        <v>6581</v>
      </c>
      <c r="B6514" t="s">
        <v>7928</v>
      </c>
      <c r="C6514" t="s">
        <v>5697</v>
      </c>
      <c r="E6514">
        <v>0.01</v>
      </c>
      <c r="F6514" t="s">
        <v>546</v>
      </c>
      <c r="G6514" s="174">
        <v>45576.460914351854</v>
      </c>
    </row>
    <row r="6515" spans="1:7">
      <c r="A6515">
        <v>6582</v>
      </c>
      <c r="B6515" t="s">
        <v>7929</v>
      </c>
      <c r="C6515" t="s">
        <v>3411</v>
      </c>
      <c r="E6515">
        <v>0.01</v>
      </c>
      <c r="F6515" t="s">
        <v>546</v>
      </c>
      <c r="G6515" s="174">
        <v>45576.460914351854</v>
      </c>
    </row>
    <row r="6516" spans="1:7">
      <c r="A6516">
        <v>6583</v>
      </c>
      <c r="B6516" t="s">
        <v>7930</v>
      </c>
      <c r="C6516" t="s">
        <v>6840</v>
      </c>
      <c r="E6516">
        <v>0.01</v>
      </c>
      <c r="F6516" t="s">
        <v>546</v>
      </c>
      <c r="G6516" s="174">
        <v>45576.460914351854</v>
      </c>
    </row>
    <row r="6517" spans="1:7">
      <c r="A6517">
        <v>6584</v>
      </c>
      <c r="B6517" t="s">
        <v>7931</v>
      </c>
      <c r="C6517" t="s">
        <v>7862</v>
      </c>
      <c r="E6517">
        <v>0.01</v>
      </c>
      <c r="F6517" t="s">
        <v>546</v>
      </c>
      <c r="G6517" s="174">
        <v>45576.460914351854</v>
      </c>
    </row>
    <row r="6518" spans="1:7">
      <c r="A6518">
        <v>6585</v>
      </c>
      <c r="B6518" t="s">
        <v>7932</v>
      </c>
      <c r="C6518" t="s">
        <v>5658</v>
      </c>
      <c r="E6518">
        <v>0.01</v>
      </c>
      <c r="F6518" t="s">
        <v>546</v>
      </c>
      <c r="G6518" s="174">
        <v>45576.460914351854</v>
      </c>
    </row>
    <row r="6519" spans="1:7">
      <c r="A6519">
        <v>6586</v>
      </c>
      <c r="B6519" t="s">
        <v>7933</v>
      </c>
      <c r="C6519" t="s">
        <v>7934</v>
      </c>
      <c r="E6519">
        <v>0.01</v>
      </c>
      <c r="F6519" t="s">
        <v>546</v>
      </c>
      <c r="G6519" s="174">
        <v>45576.460914351854</v>
      </c>
    </row>
    <row r="6520" spans="1:7">
      <c r="A6520">
        <v>6587</v>
      </c>
      <c r="B6520" t="s">
        <v>2713</v>
      </c>
      <c r="C6520" t="s">
        <v>7016</v>
      </c>
      <c r="E6520">
        <v>0.01</v>
      </c>
      <c r="F6520" t="s">
        <v>546</v>
      </c>
      <c r="G6520" s="174">
        <v>45576.460914351854</v>
      </c>
    </row>
    <row r="6521" spans="1:7">
      <c r="A6521">
        <v>6588</v>
      </c>
      <c r="B6521" t="s">
        <v>7935</v>
      </c>
      <c r="C6521" t="s">
        <v>3879</v>
      </c>
      <c r="E6521">
        <v>0.1</v>
      </c>
      <c r="F6521" t="s">
        <v>546</v>
      </c>
      <c r="G6521" s="174">
        <v>45576.460914351854</v>
      </c>
    </row>
    <row r="6522" spans="1:7">
      <c r="A6522">
        <v>6589</v>
      </c>
      <c r="B6522" t="s">
        <v>7936</v>
      </c>
      <c r="C6522" t="s">
        <v>3594</v>
      </c>
      <c r="E6522">
        <v>0.01</v>
      </c>
      <c r="F6522" t="s">
        <v>546</v>
      </c>
      <c r="G6522" s="174">
        <v>45576.460914351854</v>
      </c>
    </row>
    <row r="6523" spans="1:7">
      <c r="A6523">
        <v>6590</v>
      </c>
      <c r="B6523" t="s">
        <v>7937</v>
      </c>
      <c r="C6523" t="s">
        <v>7938</v>
      </c>
      <c r="E6523">
        <v>0.01</v>
      </c>
      <c r="F6523" t="s">
        <v>546</v>
      </c>
      <c r="G6523" s="174">
        <v>45576.460914351854</v>
      </c>
    </row>
    <row r="6524" spans="1:7">
      <c r="A6524">
        <v>6591</v>
      </c>
      <c r="B6524" t="s">
        <v>7939</v>
      </c>
      <c r="C6524" t="s">
        <v>7940</v>
      </c>
      <c r="E6524">
        <v>0.01</v>
      </c>
      <c r="F6524" t="s">
        <v>546</v>
      </c>
      <c r="G6524" s="174">
        <v>45576.460914351854</v>
      </c>
    </row>
    <row r="6525" spans="1:7">
      <c r="A6525">
        <v>6592</v>
      </c>
      <c r="B6525" t="s">
        <v>7939</v>
      </c>
      <c r="C6525" t="s">
        <v>6025</v>
      </c>
      <c r="E6525">
        <v>0.1</v>
      </c>
      <c r="F6525" t="s">
        <v>546</v>
      </c>
      <c r="G6525" s="174">
        <v>45576.460914351854</v>
      </c>
    </row>
    <row r="6526" spans="1:7">
      <c r="A6526">
        <v>6593</v>
      </c>
      <c r="B6526" t="s">
        <v>7941</v>
      </c>
      <c r="C6526" t="s">
        <v>4280</v>
      </c>
      <c r="E6526">
        <v>0.01</v>
      </c>
      <c r="F6526" t="s">
        <v>546</v>
      </c>
      <c r="G6526" s="174">
        <v>45576.460914351854</v>
      </c>
    </row>
    <row r="6527" spans="1:7">
      <c r="A6527">
        <v>6594</v>
      </c>
      <c r="B6527" t="s">
        <v>7942</v>
      </c>
      <c r="C6527" t="s">
        <v>2769</v>
      </c>
      <c r="E6527">
        <v>0.01</v>
      </c>
      <c r="F6527" t="s">
        <v>546</v>
      </c>
      <c r="G6527" s="174">
        <v>45576.460914351854</v>
      </c>
    </row>
    <row r="6528" spans="1:7">
      <c r="A6528">
        <v>6595</v>
      </c>
      <c r="B6528" t="s">
        <v>7943</v>
      </c>
      <c r="C6528" t="s">
        <v>3454</v>
      </c>
      <c r="E6528">
        <v>0.1</v>
      </c>
      <c r="F6528" t="s">
        <v>546</v>
      </c>
      <c r="G6528" s="174">
        <v>45576.460914351854</v>
      </c>
    </row>
    <row r="6529" spans="1:7">
      <c r="A6529">
        <v>6596</v>
      </c>
      <c r="B6529" t="s">
        <v>7944</v>
      </c>
      <c r="C6529" t="s">
        <v>2817</v>
      </c>
      <c r="E6529">
        <v>0.01</v>
      </c>
      <c r="F6529" t="s">
        <v>546</v>
      </c>
      <c r="G6529" s="174">
        <v>45576.460914351854</v>
      </c>
    </row>
    <row r="6530" spans="1:7">
      <c r="A6530">
        <v>6597</v>
      </c>
      <c r="B6530" t="s">
        <v>7945</v>
      </c>
      <c r="C6530" t="s">
        <v>4386</v>
      </c>
      <c r="E6530">
        <v>0.01</v>
      </c>
      <c r="F6530" t="s">
        <v>546</v>
      </c>
      <c r="G6530" s="174">
        <v>45576.460914351854</v>
      </c>
    </row>
    <row r="6531" spans="1:7">
      <c r="A6531">
        <v>6598</v>
      </c>
      <c r="B6531" t="s">
        <v>7946</v>
      </c>
      <c r="C6531" t="s">
        <v>7947</v>
      </c>
      <c r="E6531">
        <v>0.01</v>
      </c>
      <c r="F6531" t="s">
        <v>546</v>
      </c>
      <c r="G6531" s="174">
        <v>45576.460914351854</v>
      </c>
    </row>
    <row r="6532" spans="1:7">
      <c r="A6532">
        <v>6599</v>
      </c>
      <c r="B6532" t="s">
        <v>7948</v>
      </c>
      <c r="C6532" t="s">
        <v>7556</v>
      </c>
      <c r="E6532">
        <v>0.01</v>
      </c>
      <c r="F6532" t="s">
        <v>546</v>
      </c>
      <c r="G6532" s="174">
        <v>45576.460914351854</v>
      </c>
    </row>
    <row r="6533" spans="1:7">
      <c r="A6533">
        <v>6600</v>
      </c>
      <c r="B6533" t="s">
        <v>7949</v>
      </c>
      <c r="C6533" t="s">
        <v>3943</v>
      </c>
      <c r="E6533">
        <v>0.01</v>
      </c>
      <c r="F6533" t="s">
        <v>546</v>
      </c>
      <c r="G6533" s="174">
        <v>45576.460914351854</v>
      </c>
    </row>
    <row r="6534" spans="1:7">
      <c r="A6534">
        <v>6601</v>
      </c>
      <c r="B6534" t="s">
        <v>7950</v>
      </c>
      <c r="C6534" t="s">
        <v>6392</v>
      </c>
      <c r="E6534">
        <v>0.01</v>
      </c>
      <c r="F6534" t="s">
        <v>546</v>
      </c>
      <c r="G6534" s="174">
        <v>45576.460914351854</v>
      </c>
    </row>
    <row r="6535" spans="1:7">
      <c r="A6535">
        <v>6602</v>
      </c>
      <c r="B6535" t="s">
        <v>2722</v>
      </c>
      <c r="C6535" t="s">
        <v>7951</v>
      </c>
      <c r="E6535">
        <v>0.01</v>
      </c>
      <c r="F6535" t="s">
        <v>546</v>
      </c>
      <c r="G6535" s="174">
        <v>45576.460914351854</v>
      </c>
    </row>
    <row r="6536" spans="1:7">
      <c r="A6536">
        <v>6603</v>
      </c>
      <c r="B6536" t="s">
        <v>2722</v>
      </c>
      <c r="C6536" t="s">
        <v>5566</v>
      </c>
      <c r="E6536">
        <v>0.05</v>
      </c>
      <c r="F6536" t="s">
        <v>546</v>
      </c>
      <c r="G6536" s="174">
        <v>45576.460914351854</v>
      </c>
    </row>
    <row r="6537" spans="1:7">
      <c r="A6537">
        <v>6604</v>
      </c>
      <c r="B6537" t="s">
        <v>7952</v>
      </c>
      <c r="C6537" t="s">
        <v>3530</v>
      </c>
      <c r="E6537">
        <v>0.01</v>
      </c>
      <c r="F6537" t="s">
        <v>546</v>
      </c>
      <c r="G6537" s="174">
        <v>45576.460914351854</v>
      </c>
    </row>
    <row r="6538" spans="1:7">
      <c r="A6538">
        <v>6605</v>
      </c>
      <c r="B6538" t="s">
        <v>7953</v>
      </c>
      <c r="C6538" t="s">
        <v>7954</v>
      </c>
      <c r="E6538">
        <v>0.01</v>
      </c>
      <c r="F6538" t="s">
        <v>546</v>
      </c>
      <c r="G6538" s="174">
        <v>45576.460914351854</v>
      </c>
    </row>
    <row r="6539" spans="1:7">
      <c r="A6539">
        <v>6606</v>
      </c>
      <c r="B6539" t="s">
        <v>7955</v>
      </c>
      <c r="C6539" t="s">
        <v>5733</v>
      </c>
      <c r="E6539">
        <v>0.01</v>
      </c>
      <c r="F6539" t="s">
        <v>546</v>
      </c>
      <c r="G6539" s="174">
        <v>45576.460914351854</v>
      </c>
    </row>
    <row r="6540" spans="1:7">
      <c r="A6540">
        <v>6607</v>
      </c>
      <c r="B6540" t="s">
        <v>2725</v>
      </c>
      <c r="C6540" t="s">
        <v>6876</v>
      </c>
      <c r="E6540">
        <v>0.01</v>
      </c>
      <c r="F6540" t="s">
        <v>546</v>
      </c>
      <c r="G6540" s="174">
        <v>45576.460914351854</v>
      </c>
    </row>
    <row r="6541" spans="1:7">
      <c r="A6541">
        <v>6608</v>
      </c>
      <c r="B6541" t="s">
        <v>7956</v>
      </c>
      <c r="C6541" t="s">
        <v>7957</v>
      </c>
      <c r="E6541">
        <v>0.01</v>
      </c>
      <c r="F6541" t="s">
        <v>546</v>
      </c>
      <c r="G6541" s="174">
        <v>45576.460914351854</v>
      </c>
    </row>
    <row r="6542" spans="1:7">
      <c r="A6542">
        <v>6609</v>
      </c>
      <c r="B6542" t="s">
        <v>7956</v>
      </c>
      <c r="C6542" t="s">
        <v>4719</v>
      </c>
      <c r="E6542">
        <v>0.1</v>
      </c>
      <c r="F6542" t="s">
        <v>546</v>
      </c>
      <c r="G6542" s="174">
        <v>45576.460914351854</v>
      </c>
    </row>
    <row r="6543" spans="1:7">
      <c r="A6543">
        <v>6610</v>
      </c>
      <c r="B6543" t="s">
        <v>7958</v>
      </c>
      <c r="C6543" t="s">
        <v>3855</v>
      </c>
      <c r="E6543">
        <v>0.01</v>
      </c>
      <c r="F6543" t="s">
        <v>546</v>
      </c>
      <c r="G6543" s="174">
        <v>45576.460914351854</v>
      </c>
    </row>
    <row r="6544" spans="1:7">
      <c r="A6544">
        <v>6611</v>
      </c>
      <c r="B6544" t="s">
        <v>2727</v>
      </c>
      <c r="C6544" t="s">
        <v>7959</v>
      </c>
      <c r="E6544">
        <v>0.01</v>
      </c>
      <c r="F6544" t="s">
        <v>546</v>
      </c>
      <c r="G6544" s="174">
        <v>45576.460914351854</v>
      </c>
    </row>
    <row r="6545" spans="1:7">
      <c r="A6545">
        <v>6612</v>
      </c>
      <c r="B6545" t="s">
        <v>2727</v>
      </c>
      <c r="C6545" t="s">
        <v>3759</v>
      </c>
      <c r="E6545">
        <v>0.01</v>
      </c>
      <c r="F6545" t="s">
        <v>546</v>
      </c>
      <c r="G6545" s="174">
        <v>45576.460914351854</v>
      </c>
    </row>
    <row r="6546" spans="1:7">
      <c r="A6546">
        <v>6613</v>
      </c>
      <c r="B6546" t="s">
        <v>2728</v>
      </c>
      <c r="C6546" t="s">
        <v>5579</v>
      </c>
      <c r="E6546">
        <v>0.01</v>
      </c>
      <c r="F6546" t="s">
        <v>546</v>
      </c>
      <c r="G6546" s="174">
        <v>45576.460914351854</v>
      </c>
    </row>
    <row r="6547" spans="1:7">
      <c r="A6547">
        <v>6614</v>
      </c>
      <c r="B6547" t="s">
        <v>7960</v>
      </c>
      <c r="C6547" t="s">
        <v>3977</v>
      </c>
      <c r="E6547">
        <v>0.1</v>
      </c>
      <c r="F6547" t="s">
        <v>546</v>
      </c>
      <c r="G6547" s="174">
        <v>45576.460914351854</v>
      </c>
    </row>
    <row r="6548" spans="1:7">
      <c r="A6548">
        <v>6615</v>
      </c>
      <c r="B6548" t="s">
        <v>7960</v>
      </c>
      <c r="C6548" t="s">
        <v>3879</v>
      </c>
      <c r="E6548">
        <v>0.01</v>
      </c>
      <c r="F6548" t="s">
        <v>546</v>
      </c>
      <c r="G6548" s="174">
        <v>45576.460914351854</v>
      </c>
    </row>
    <row r="6549" spans="1:7">
      <c r="A6549">
        <v>6616</v>
      </c>
      <c r="B6549" t="s">
        <v>7961</v>
      </c>
      <c r="C6549" t="s">
        <v>7962</v>
      </c>
      <c r="E6549">
        <v>0.01</v>
      </c>
      <c r="F6549" t="s">
        <v>546</v>
      </c>
      <c r="G6549" s="174">
        <v>45576.460914351854</v>
      </c>
    </row>
    <row r="6550" spans="1:7">
      <c r="A6550">
        <v>6617</v>
      </c>
      <c r="B6550" t="s">
        <v>7961</v>
      </c>
      <c r="C6550" t="s">
        <v>6631</v>
      </c>
      <c r="E6550">
        <v>0.01</v>
      </c>
      <c r="F6550" t="s">
        <v>546</v>
      </c>
      <c r="G6550" s="174">
        <v>45576.460914351854</v>
      </c>
    </row>
    <row r="6551" spans="1:7">
      <c r="A6551">
        <v>6618</v>
      </c>
      <c r="B6551" t="s">
        <v>7963</v>
      </c>
      <c r="C6551" t="s">
        <v>4015</v>
      </c>
      <c r="E6551">
        <v>0.01</v>
      </c>
      <c r="F6551" t="s">
        <v>546</v>
      </c>
      <c r="G6551" s="174">
        <v>45576.460914351854</v>
      </c>
    </row>
    <row r="6552" spans="1:7">
      <c r="A6552">
        <v>6619</v>
      </c>
      <c r="B6552" t="s">
        <v>7964</v>
      </c>
      <c r="C6552" t="s">
        <v>7700</v>
      </c>
      <c r="E6552">
        <v>0.01</v>
      </c>
      <c r="F6552" t="s">
        <v>546</v>
      </c>
      <c r="G6552" s="174">
        <v>45576.460914351854</v>
      </c>
    </row>
    <row r="6553" spans="1:7">
      <c r="A6553">
        <v>6620</v>
      </c>
      <c r="B6553" t="s">
        <v>7964</v>
      </c>
      <c r="C6553" t="s">
        <v>7701</v>
      </c>
      <c r="E6553">
        <v>0.01</v>
      </c>
      <c r="F6553" t="s">
        <v>546</v>
      </c>
      <c r="G6553" s="174">
        <v>45576.460914351854</v>
      </c>
    </row>
    <row r="6554" spans="1:7">
      <c r="A6554">
        <v>6621</v>
      </c>
      <c r="B6554" t="s">
        <v>7965</v>
      </c>
      <c r="C6554" t="s">
        <v>4555</v>
      </c>
      <c r="E6554">
        <v>0.01</v>
      </c>
      <c r="F6554" t="s">
        <v>546</v>
      </c>
      <c r="G6554" s="174">
        <v>45576.460914351854</v>
      </c>
    </row>
    <row r="6555" spans="1:7">
      <c r="A6555">
        <v>6622</v>
      </c>
      <c r="B6555" t="s">
        <v>2734</v>
      </c>
      <c r="C6555" t="s">
        <v>6631</v>
      </c>
      <c r="E6555">
        <v>0.01</v>
      </c>
      <c r="F6555" t="s">
        <v>546</v>
      </c>
      <c r="G6555" s="174">
        <v>45576.460914351854</v>
      </c>
    </row>
    <row r="6556" spans="1:7">
      <c r="A6556">
        <v>6623</v>
      </c>
      <c r="B6556" t="s">
        <v>7966</v>
      </c>
      <c r="C6556" t="s">
        <v>7087</v>
      </c>
      <c r="E6556">
        <v>0.01</v>
      </c>
      <c r="F6556" t="s">
        <v>546</v>
      </c>
      <c r="G6556" s="174">
        <v>45576.460914351854</v>
      </c>
    </row>
    <row r="6557" spans="1:7">
      <c r="A6557">
        <v>6624</v>
      </c>
      <c r="B6557" t="s">
        <v>7967</v>
      </c>
      <c r="C6557" t="s">
        <v>4458</v>
      </c>
      <c r="E6557">
        <v>0.01</v>
      </c>
      <c r="F6557" t="s">
        <v>546</v>
      </c>
      <c r="G6557" s="174">
        <v>45576.460914351854</v>
      </c>
    </row>
    <row r="6558" spans="1:7">
      <c r="A6558">
        <v>6625</v>
      </c>
      <c r="B6558" t="s">
        <v>7968</v>
      </c>
      <c r="C6558" t="s">
        <v>3514</v>
      </c>
      <c r="E6558">
        <v>0.01</v>
      </c>
      <c r="F6558" t="s">
        <v>546</v>
      </c>
      <c r="G6558" s="174">
        <v>45576.460914351854</v>
      </c>
    </row>
    <row r="6559" spans="1:7">
      <c r="A6559">
        <v>6626</v>
      </c>
      <c r="B6559" t="s">
        <v>7969</v>
      </c>
      <c r="C6559" t="s">
        <v>7970</v>
      </c>
      <c r="E6559">
        <v>0.01</v>
      </c>
      <c r="F6559" t="s">
        <v>546</v>
      </c>
      <c r="G6559" s="174">
        <v>45576.460914351854</v>
      </c>
    </row>
    <row r="6560" spans="1:7">
      <c r="A6560">
        <v>6627</v>
      </c>
      <c r="B6560" t="s">
        <v>7971</v>
      </c>
      <c r="C6560" t="s">
        <v>4829</v>
      </c>
      <c r="E6560">
        <v>0.01</v>
      </c>
      <c r="F6560" t="s">
        <v>546</v>
      </c>
      <c r="G6560" s="174">
        <v>45576.460914351854</v>
      </c>
    </row>
    <row r="6561" spans="1:7">
      <c r="A6561">
        <v>6628</v>
      </c>
      <c r="B6561" t="s">
        <v>7972</v>
      </c>
      <c r="C6561" t="s">
        <v>5897</v>
      </c>
      <c r="E6561">
        <v>0.01</v>
      </c>
      <c r="F6561" t="s">
        <v>546</v>
      </c>
      <c r="G6561" s="174">
        <v>45576.460914351854</v>
      </c>
    </row>
    <row r="6562" spans="1:7">
      <c r="A6562">
        <v>6629</v>
      </c>
      <c r="B6562" t="s">
        <v>7972</v>
      </c>
      <c r="C6562" t="s">
        <v>5733</v>
      </c>
      <c r="E6562">
        <v>0.01</v>
      </c>
      <c r="F6562" t="s">
        <v>546</v>
      </c>
      <c r="G6562" s="174">
        <v>45576.460914351854</v>
      </c>
    </row>
    <row r="6563" spans="1:7">
      <c r="A6563">
        <v>6630</v>
      </c>
      <c r="B6563" t="s">
        <v>7973</v>
      </c>
      <c r="C6563" t="s">
        <v>3092</v>
      </c>
      <c r="E6563">
        <v>0.01</v>
      </c>
      <c r="F6563" t="s">
        <v>546</v>
      </c>
      <c r="G6563" s="174">
        <v>45576.460914351854</v>
      </c>
    </row>
    <row r="6564" spans="1:7">
      <c r="A6564">
        <v>6631</v>
      </c>
      <c r="B6564" t="s">
        <v>7974</v>
      </c>
      <c r="C6564" t="s">
        <v>3092</v>
      </c>
      <c r="E6564">
        <v>0.01</v>
      </c>
      <c r="F6564" t="s">
        <v>546</v>
      </c>
      <c r="G6564" s="174">
        <v>45576.460914351854</v>
      </c>
    </row>
    <row r="6565" spans="1:7">
      <c r="A6565">
        <v>6632</v>
      </c>
      <c r="B6565" t="s">
        <v>7975</v>
      </c>
      <c r="C6565" t="s">
        <v>7976</v>
      </c>
      <c r="E6565">
        <v>0.01</v>
      </c>
      <c r="F6565" t="s">
        <v>546</v>
      </c>
      <c r="G6565" s="174">
        <v>45576.460914351854</v>
      </c>
    </row>
    <row r="6566" spans="1:7">
      <c r="A6566">
        <v>6633</v>
      </c>
      <c r="B6566" t="s">
        <v>7977</v>
      </c>
      <c r="C6566" t="s">
        <v>7978</v>
      </c>
      <c r="E6566">
        <v>0.1</v>
      </c>
      <c r="F6566" t="s">
        <v>546</v>
      </c>
      <c r="G6566" s="174">
        <v>45576.460914351854</v>
      </c>
    </row>
    <row r="6567" spans="1:7">
      <c r="A6567">
        <v>6634</v>
      </c>
      <c r="B6567" t="s">
        <v>2737</v>
      </c>
      <c r="C6567" t="s">
        <v>7979</v>
      </c>
      <c r="E6567">
        <v>0.01</v>
      </c>
      <c r="F6567" t="s">
        <v>546</v>
      </c>
      <c r="G6567" s="174">
        <v>45576.460914351854</v>
      </c>
    </row>
    <row r="6568" spans="1:7">
      <c r="A6568">
        <v>6635</v>
      </c>
      <c r="B6568" t="s">
        <v>7980</v>
      </c>
      <c r="C6568" t="s">
        <v>3943</v>
      </c>
      <c r="E6568">
        <v>0.01</v>
      </c>
      <c r="F6568" t="s">
        <v>546</v>
      </c>
      <c r="G6568" s="174">
        <v>45576.460914351854</v>
      </c>
    </row>
    <row r="6569" spans="1:7">
      <c r="A6569">
        <v>6636</v>
      </c>
      <c r="B6569" t="s">
        <v>7981</v>
      </c>
      <c r="C6569" t="s">
        <v>5257</v>
      </c>
      <c r="E6569">
        <v>0.01</v>
      </c>
      <c r="F6569" t="s">
        <v>546</v>
      </c>
      <c r="G6569" s="174">
        <v>45576.460914351854</v>
      </c>
    </row>
    <row r="6570" spans="1:7">
      <c r="A6570">
        <v>6637</v>
      </c>
      <c r="B6570" t="s">
        <v>7982</v>
      </c>
      <c r="C6570" t="s">
        <v>3502</v>
      </c>
      <c r="E6570">
        <v>0.01</v>
      </c>
      <c r="F6570" t="s">
        <v>546</v>
      </c>
      <c r="G6570" s="174">
        <v>45576.460914351854</v>
      </c>
    </row>
    <row r="6571" spans="1:7">
      <c r="A6571">
        <v>6638</v>
      </c>
      <c r="B6571" t="s">
        <v>7983</v>
      </c>
      <c r="C6571" t="s">
        <v>7878</v>
      </c>
      <c r="E6571">
        <v>0.01</v>
      </c>
      <c r="F6571" t="s">
        <v>546</v>
      </c>
      <c r="G6571" s="174">
        <v>45576.460914351854</v>
      </c>
    </row>
    <row r="6572" spans="1:7">
      <c r="A6572">
        <v>6639</v>
      </c>
      <c r="B6572" t="s">
        <v>7984</v>
      </c>
      <c r="C6572" t="s">
        <v>5005</v>
      </c>
      <c r="E6572">
        <v>0.01</v>
      </c>
      <c r="F6572" t="s">
        <v>546</v>
      </c>
      <c r="G6572" s="174">
        <v>45576.460914351854</v>
      </c>
    </row>
    <row r="6573" spans="1:7">
      <c r="A6573">
        <v>6640</v>
      </c>
      <c r="B6573" t="s">
        <v>7984</v>
      </c>
      <c r="C6573" t="s">
        <v>2923</v>
      </c>
      <c r="E6573">
        <v>0.01</v>
      </c>
      <c r="F6573" t="s">
        <v>546</v>
      </c>
      <c r="G6573" s="174">
        <v>45576.460914351854</v>
      </c>
    </row>
    <row r="6574" spans="1:7">
      <c r="A6574">
        <v>6641</v>
      </c>
      <c r="B6574" t="s">
        <v>7985</v>
      </c>
      <c r="C6574" t="s">
        <v>5665</v>
      </c>
      <c r="E6574">
        <v>0.01</v>
      </c>
      <c r="F6574" t="s">
        <v>546</v>
      </c>
      <c r="G6574" s="174">
        <v>45576.460914351854</v>
      </c>
    </row>
    <row r="6575" spans="1:7">
      <c r="A6575">
        <v>6642</v>
      </c>
      <c r="B6575" t="s">
        <v>5153</v>
      </c>
      <c r="C6575" t="s">
        <v>3058</v>
      </c>
      <c r="E6575">
        <v>0.6</v>
      </c>
      <c r="F6575" t="s">
        <v>546</v>
      </c>
      <c r="G6575" s="174">
        <v>45576.460914351854</v>
      </c>
    </row>
    <row r="6576" spans="1:7">
      <c r="A6576">
        <v>6644</v>
      </c>
      <c r="B6576" t="s">
        <v>7986</v>
      </c>
      <c r="C6576" t="s">
        <v>7987</v>
      </c>
      <c r="E6576">
        <v>0.8</v>
      </c>
      <c r="F6576" t="s">
        <v>546</v>
      </c>
      <c r="G6576" s="174">
        <v>45576.460914351854</v>
      </c>
    </row>
    <row r="6577" spans="1:7">
      <c r="A6577">
        <v>6645</v>
      </c>
      <c r="B6577" t="s">
        <v>6696</v>
      </c>
      <c r="C6577" t="s">
        <v>2871</v>
      </c>
      <c r="E6577">
        <v>0.8</v>
      </c>
      <c r="F6577" t="s">
        <v>546</v>
      </c>
      <c r="G6577" s="174">
        <v>45576.460914351854</v>
      </c>
    </row>
    <row r="6578" spans="1:7">
      <c r="A6578">
        <v>6647</v>
      </c>
      <c r="B6578" t="s">
        <v>5463</v>
      </c>
      <c r="C6578" t="s">
        <v>5252</v>
      </c>
      <c r="E6578">
        <v>0.8</v>
      </c>
      <c r="F6578" t="s">
        <v>546</v>
      </c>
      <c r="G6578" s="174">
        <v>45576.460914351854</v>
      </c>
    </row>
    <row r="6579" spans="1:7">
      <c r="A6579">
        <v>6648</v>
      </c>
      <c r="B6579" t="s">
        <v>3361</v>
      </c>
      <c r="C6579" t="s">
        <v>4736</v>
      </c>
      <c r="E6579">
        <v>0.8</v>
      </c>
      <c r="F6579" t="s">
        <v>546</v>
      </c>
      <c r="G6579" s="174">
        <v>45576.460914351854</v>
      </c>
    </row>
    <row r="6580" spans="1:7">
      <c r="A6580">
        <v>6649</v>
      </c>
      <c r="B6580" t="s">
        <v>3361</v>
      </c>
      <c r="C6580" t="s">
        <v>1835</v>
      </c>
      <c r="E6580">
        <v>0.5</v>
      </c>
      <c r="F6580" t="s">
        <v>7988</v>
      </c>
      <c r="G6580" s="174">
        <v>45576.460914351854</v>
      </c>
    </row>
    <row r="6581" spans="1:7">
      <c r="A6581">
        <v>6650</v>
      </c>
      <c r="B6581" t="s">
        <v>3361</v>
      </c>
      <c r="C6581" t="s">
        <v>3341</v>
      </c>
      <c r="E6581">
        <v>0.6</v>
      </c>
      <c r="F6581" t="s">
        <v>7989</v>
      </c>
      <c r="G6581" s="174">
        <v>45576.460914351854</v>
      </c>
    </row>
    <row r="6582" spans="1:7">
      <c r="A6582">
        <v>6651</v>
      </c>
      <c r="B6582" t="s">
        <v>5536</v>
      </c>
      <c r="C6582" t="s">
        <v>3901</v>
      </c>
      <c r="E6582">
        <v>0.8</v>
      </c>
      <c r="F6582" t="s">
        <v>7990</v>
      </c>
      <c r="G6582" s="174">
        <v>45576.460914351854</v>
      </c>
    </row>
    <row r="6583" spans="1:7">
      <c r="A6583">
        <v>6652</v>
      </c>
      <c r="B6583" t="s">
        <v>5536</v>
      </c>
      <c r="C6583" t="s">
        <v>4736</v>
      </c>
      <c r="E6583">
        <v>0.7</v>
      </c>
      <c r="F6583" t="s">
        <v>7991</v>
      </c>
      <c r="G6583" s="174">
        <v>45576.460914351854</v>
      </c>
    </row>
    <row r="6584" spans="1:7">
      <c r="A6584">
        <v>6653</v>
      </c>
      <c r="B6584" t="s">
        <v>3579</v>
      </c>
      <c r="C6584" t="s">
        <v>7992</v>
      </c>
      <c r="E6584">
        <v>0.6</v>
      </c>
      <c r="F6584" t="s">
        <v>546</v>
      </c>
      <c r="G6584" s="174">
        <v>45576.460914351854</v>
      </c>
    </row>
    <row r="6585" spans="1:7">
      <c r="A6585">
        <v>6654</v>
      </c>
      <c r="B6585" t="s">
        <v>3579</v>
      </c>
      <c r="C6585" t="s">
        <v>7993</v>
      </c>
      <c r="E6585">
        <v>0.5</v>
      </c>
      <c r="F6585" t="s">
        <v>546</v>
      </c>
      <c r="G6585" s="174">
        <v>45576.460914351854</v>
      </c>
    </row>
    <row r="6586" spans="1:7">
      <c r="A6586">
        <v>6655</v>
      </c>
      <c r="B6586" t="s">
        <v>5647</v>
      </c>
      <c r="C6586" t="s">
        <v>3305</v>
      </c>
      <c r="E6586">
        <v>0.6</v>
      </c>
      <c r="F6586" t="s">
        <v>7994</v>
      </c>
      <c r="G6586" s="174">
        <v>45576.460914351854</v>
      </c>
    </row>
    <row r="6587" spans="1:7">
      <c r="A6587">
        <v>6656</v>
      </c>
      <c r="B6587" t="s">
        <v>2828</v>
      </c>
      <c r="C6587" t="s">
        <v>3376</v>
      </c>
      <c r="E6587">
        <v>0.8</v>
      </c>
      <c r="F6587" t="s">
        <v>546</v>
      </c>
      <c r="G6587" s="174">
        <v>45576.460914351854</v>
      </c>
    </row>
    <row r="6588" spans="1:7">
      <c r="A6588">
        <v>6657</v>
      </c>
      <c r="B6588" t="s">
        <v>2828</v>
      </c>
      <c r="C6588" t="s">
        <v>3374</v>
      </c>
      <c r="E6588">
        <v>0.6</v>
      </c>
      <c r="F6588" t="s">
        <v>546</v>
      </c>
      <c r="G6588" s="174">
        <v>45576.460914351854</v>
      </c>
    </row>
    <row r="6589" spans="1:7">
      <c r="A6589">
        <v>6658</v>
      </c>
      <c r="B6589" t="s">
        <v>1297</v>
      </c>
      <c r="C6589" t="s">
        <v>1794</v>
      </c>
      <c r="E6589">
        <v>0.6</v>
      </c>
      <c r="F6589" t="s">
        <v>546</v>
      </c>
      <c r="G6589" s="174">
        <v>45576.460914351854</v>
      </c>
    </row>
    <row r="6590" spans="1:7">
      <c r="A6590">
        <v>6659</v>
      </c>
      <c r="B6590" t="s">
        <v>5389</v>
      </c>
      <c r="C6590" t="s">
        <v>1894</v>
      </c>
      <c r="E6590">
        <v>0.5</v>
      </c>
      <c r="F6590" t="s">
        <v>7994</v>
      </c>
      <c r="G6590" s="174">
        <v>45576.460914351854</v>
      </c>
    </row>
    <row r="6591" spans="1:7">
      <c r="A6591">
        <v>6660</v>
      </c>
      <c r="B6591" t="s">
        <v>5389</v>
      </c>
      <c r="C6591" t="s">
        <v>5920</v>
      </c>
      <c r="E6591">
        <v>0.8</v>
      </c>
      <c r="F6591" t="s">
        <v>7995</v>
      </c>
      <c r="G6591" s="174">
        <v>45576.460914351854</v>
      </c>
    </row>
    <row r="6592" spans="1:7">
      <c r="A6592">
        <v>6661</v>
      </c>
      <c r="B6592" t="s">
        <v>3082</v>
      </c>
      <c r="C6592" t="s">
        <v>3341</v>
      </c>
      <c r="E6592">
        <v>0.8</v>
      </c>
      <c r="F6592" t="s">
        <v>546</v>
      </c>
      <c r="G6592" s="174">
        <v>45576.460914351854</v>
      </c>
    </row>
    <row r="6593" spans="1:7">
      <c r="A6593">
        <v>6662</v>
      </c>
      <c r="B6593" t="s">
        <v>4675</v>
      </c>
      <c r="C6593" t="s">
        <v>2908</v>
      </c>
      <c r="E6593">
        <v>0.8</v>
      </c>
      <c r="F6593" t="s">
        <v>546</v>
      </c>
      <c r="G6593" s="174">
        <v>45576.460914351854</v>
      </c>
    </row>
    <row r="6594" spans="1:7">
      <c r="A6594">
        <v>6663</v>
      </c>
      <c r="B6594" t="s">
        <v>2627</v>
      </c>
      <c r="C6594" t="s">
        <v>7748</v>
      </c>
      <c r="E6594">
        <v>0.8</v>
      </c>
      <c r="F6594" t="s">
        <v>546</v>
      </c>
      <c r="G6594" s="174">
        <v>45576.460914351854</v>
      </c>
    </row>
    <row r="6595" spans="1:7">
      <c r="A6595">
        <v>6664</v>
      </c>
      <c r="B6595" t="s">
        <v>2627</v>
      </c>
      <c r="C6595" t="s">
        <v>7306</v>
      </c>
      <c r="E6595">
        <v>0.1</v>
      </c>
      <c r="F6595" t="s">
        <v>7996</v>
      </c>
      <c r="G6595" s="174">
        <v>45576.460914351854</v>
      </c>
    </row>
    <row r="6596" spans="1:7">
      <c r="A6596">
        <v>6665</v>
      </c>
      <c r="B6596" t="s">
        <v>4414</v>
      </c>
      <c r="C6596" t="s">
        <v>4369</v>
      </c>
      <c r="E6596">
        <v>1</v>
      </c>
      <c r="F6596" t="s">
        <v>546</v>
      </c>
      <c r="G6596" s="174">
        <v>45576.460914351854</v>
      </c>
    </row>
    <row r="6597" spans="1:7">
      <c r="A6597">
        <v>6666</v>
      </c>
      <c r="B6597" t="s">
        <v>6024</v>
      </c>
      <c r="C6597" t="s">
        <v>7997</v>
      </c>
      <c r="E6597">
        <v>0.8</v>
      </c>
      <c r="F6597" t="s">
        <v>546</v>
      </c>
      <c r="G6597" s="174">
        <v>45576.460914351854</v>
      </c>
    </row>
    <row r="6598" spans="1:7">
      <c r="A6598">
        <v>6667</v>
      </c>
      <c r="B6598" t="s">
        <v>1279</v>
      </c>
      <c r="C6598" t="s">
        <v>3412</v>
      </c>
      <c r="E6598">
        <v>0.8</v>
      </c>
      <c r="F6598" t="s">
        <v>546</v>
      </c>
      <c r="G6598" s="174">
        <v>45576.460914351854</v>
      </c>
    </row>
    <row r="6599" spans="1:7">
      <c r="A6599">
        <v>6668</v>
      </c>
      <c r="B6599" t="s">
        <v>2858</v>
      </c>
      <c r="C6599" t="s">
        <v>3360</v>
      </c>
      <c r="E6599">
        <v>0.7</v>
      </c>
      <c r="F6599" t="s">
        <v>7998</v>
      </c>
      <c r="G6599" s="174">
        <v>45576.460914351854</v>
      </c>
    </row>
    <row r="6600" spans="1:7">
      <c r="A6600">
        <v>6669</v>
      </c>
      <c r="B6600" t="s">
        <v>812</v>
      </c>
      <c r="C6600" t="s">
        <v>2840</v>
      </c>
      <c r="E6600">
        <v>0.5</v>
      </c>
      <c r="F6600" t="s">
        <v>7999</v>
      </c>
      <c r="G6600" s="174">
        <v>45576.460914351854</v>
      </c>
    </row>
    <row r="6601" spans="1:7">
      <c r="A6601">
        <v>6670</v>
      </c>
      <c r="B6601" t="s">
        <v>594</v>
      </c>
      <c r="C6601" t="s">
        <v>5449</v>
      </c>
      <c r="E6601">
        <v>0.8</v>
      </c>
      <c r="F6601" t="s">
        <v>546</v>
      </c>
      <c r="G6601" s="174">
        <v>45576.460914351854</v>
      </c>
    </row>
    <row r="6602" spans="1:7">
      <c r="A6602">
        <v>6671</v>
      </c>
      <c r="B6602" t="s">
        <v>6782</v>
      </c>
      <c r="C6602" t="s">
        <v>4764</v>
      </c>
      <c r="E6602">
        <v>0.6</v>
      </c>
      <c r="F6602" t="s">
        <v>546</v>
      </c>
      <c r="G6602" s="174">
        <v>45576.460914351854</v>
      </c>
    </row>
    <row r="6603" spans="1:7">
      <c r="A6603">
        <v>6672</v>
      </c>
      <c r="B6603" t="s">
        <v>3363</v>
      </c>
      <c r="C6603" t="s">
        <v>3901</v>
      </c>
      <c r="E6603">
        <v>1</v>
      </c>
      <c r="F6603" t="s">
        <v>546</v>
      </c>
      <c r="G6603" s="174">
        <v>45576.460914351854</v>
      </c>
    </row>
    <row r="6604" spans="1:7">
      <c r="A6604">
        <v>6673</v>
      </c>
      <c r="B6604" t="s">
        <v>8000</v>
      </c>
      <c r="C6604" t="s">
        <v>8001</v>
      </c>
      <c r="E6604">
        <v>0.8</v>
      </c>
      <c r="F6604" t="s">
        <v>546</v>
      </c>
      <c r="G6604" s="174">
        <v>45576.460914351854</v>
      </c>
    </row>
    <row r="6605" spans="1:7">
      <c r="A6605">
        <v>6674</v>
      </c>
      <c r="B6605" t="s">
        <v>1972</v>
      </c>
      <c r="C6605" t="s">
        <v>1724</v>
      </c>
      <c r="E6605">
        <v>0.6</v>
      </c>
      <c r="F6605" t="s">
        <v>8002</v>
      </c>
      <c r="G6605" s="174">
        <v>45576.460914351854</v>
      </c>
    </row>
    <row r="6606" spans="1:7">
      <c r="A6606">
        <v>6675</v>
      </c>
      <c r="B6606" t="s">
        <v>3206</v>
      </c>
      <c r="C6606" t="s">
        <v>2805</v>
      </c>
      <c r="E6606">
        <v>0.6</v>
      </c>
      <c r="F6606" t="s">
        <v>8003</v>
      </c>
      <c r="G6606" s="174">
        <v>45576.460914351854</v>
      </c>
    </row>
    <row r="6607" spans="1:7">
      <c r="A6607">
        <v>6676</v>
      </c>
      <c r="B6607" t="s">
        <v>3171</v>
      </c>
      <c r="C6607" t="s">
        <v>8004</v>
      </c>
      <c r="E6607">
        <v>0.8</v>
      </c>
      <c r="F6607" t="s">
        <v>546</v>
      </c>
      <c r="G6607" s="174">
        <v>45576.460914351854</v>
      </c>
    </row>
    <row r="6608" spans="1:7">
      <c r="A6608">
        <v>6677</v>
      </c>
      <c r="B6608" t="s">
        <v>4538</v>
      </c>
      <c r="C6608" t="s">
        <v>3745</v>
      </c>
      <c r="E6608">
        <v>0.5</v>
      </c>
      <c r="F6608" t="s">
        <v>8005</v>
      </c>
      <c r="G6608" s="174">
        <v>45576.460914351854</v>
      </c>
    </row>
    <row r="6609" spans="1:7">
      <c r="A6609">
        <v>6678</v>
      </c>
      <c r="B6609" t="s">
        <v>3902</v>
      </c>
      <c r="C6609" t="s">
        <v>3350</v>
      </c>
      <c r="E6609">
        <v>0.5</v>
      </c>
      <c r="F6609" t="s">
        <v>8006</v>
      </c>
      <c r="G6609" s="174">
        <v>45576.460914351854</v>
      </c>
    </row>
    <row r="6610" spans="1:7">
      <c r="A6610">
        <v>6679</v>
      </c>
      <c r="B6610" t="s">
        <v>658</v>
      </c>
      <c r="C6610" t="s">
        <v>8007</v>
      </c>
      <c r="E6610">
        <v>0.7</v>
      </c>
      <c r="F6610" t="s">
        <v>546</v>
      </c>
      <c r="G6610" s="174">
        <v>45576.460914351854</v>
      </c>
    </row>
    <row r="6611" spans="1:7">
      <c r="A6611">
        <v>6680</v>
      </c>
      <c r="B6611" t="s">
        <v>658</v>
      </c>
      <c r="C6611" t="s">
        <v>4135</v>
      </c>
      <c r="E6611">
        <v>0.65</v>
      </c>
      <c r="F6611" t="s">
        <v>546</v>
      </c>
      <c r="G6611" s="174">
        <v>45576.460914351854</v>
      </c>
    </row>
    <row r="6612" spans="1:7">
      <c r="A6612">
        <v>6681</v>
      </c>
      <c r="B6612" t="s">
        <v>8008</v>
      </c>
      <c r="C6612" t="s">
        <v>2814</v>
      </c>
      <c r="E6612">
        <v>0.8</v>
      </c>
      <c r="F6612" t="s">
        <v>546</v>
      </c>
      <c r="G6612" s="174">
        <v>45576.460914351854</v>
      </c>
    </row>
    <row r="6613" spans="1:7">
      <c r="A6613">
        <v>6682</v>
      </c>
      <c r="B6613" t="s">
        <v>1241</v>
      </c>
      <c r="C6613" t="s">
        <v>8009</v>
      </c>
      <c r="E6613">
        <v>0.65</v>
      </c>
      <c r="F6613" t="s">
        <v>546</v>
      </c>
      <c r="G6613" s="174">
        <v>45576.460914351854</v>
      </c>
    </row>
    <row r="6614" spans="1:7">
      <c r="A6614">
        <v>6683</v>
      </c>
      <c r="B6614" t="s">
        <v>5768</v>
      </c>
      <c r="C6614" t="s">
        <v>2840</v>
      </c>
      <c r="E6614">
        <v>0.8</v>
      </c>
      <c r="F6614" t="s">
        <v>8010</v>
      </c>
      <c r="G6614" s="174">
        <v>45576.460914351854</v>
      </c>
    </row>
    <row r="6615" spans="1:7">
      <c r="A6615">
        <v>6684</v>
      </c>
      <c r="B6615" t="s">
        <v>6418</v>
      </c>
      <c r="C6615" t="s">
        <v>2384</v>
      </c>
      <c r="E6615">
        <v>0.5</v>
      </c>
      <c r="F6615" t="s">
        <v>8011</v>
      </c>
      <c r="G6615" s="174">
        <v>45576.460914351854</v>
      </c>
    </row>
    <row r="6616" spans="1:7">
      <c r="A6616">
        <v>6685</v>
      </c>
      <c r="B6616" t="s">
        <v>7024</v>
      </c>
      <c r="C6616" t="s">
        <v>3143</v>
      </c>
      <c r="E6616">
        <v>0.8</v>
      </c>
      <c r="F6616" t="s">
        <v>8012</v>
      </c>
      <c r="G6616" s="174">
        <v>45576.460914351854</v>
      </c>
    </row>
    <row r="6617" spans="1:7">
      <c r="A6617">
        <v>6686</v>
      </c>
      <c r="B6617" t="s">
        <v>2820</v>
      </c>
      <c r="C6617" t="s">
        <v>4935</v>
      </c>
      <c r="E6617">
        <v>0.6</v>
      </c>
      <c r="F6617" t="s">
        <v>546</v>
      </c>
      <c r="G6617" s="174">
        <v>45576.460914351854</v>
      </c>
    </row>
    <row r="6618" spans="1:7">
      <c r="A6618">
        <v>6687</v>
      </c>
      <c r="B6618" t="s">
        <v>7355</v>
      </c>
      <c r="C6618" t="s">
        <v>5788</v>
      </c>
      <c r="E6618">
        <v>0.6</v>
      </c>
      <c r="F6618" t="s">
        <v>8013</v>
      </c>
      <c r="G6618" s="174">
        <v>45576.460914351854</v>
      </c>
    </row>
    <row r="6619" spans="1:7">
      <c r="A6619">
        <v>6688</v>
      </c>
      <c r="B6619" t="s">
        <v>2679</v>
      </c>
      <c r="C6619" t="s">
        <v>4397</v>
      </c>
      <c r="E6619">
        <v>0.7</v>
      </c>
      <c r="F6619" t="s">
        <v>8014</v>
      </c>
      <c r="G6619" s="174">
        <v>45576.460914351854</v>
      </c>
    </row>
    <row r="6620" spans="1:7">
      <c r="A6620">
        <v>6689</v>
      </c>
      <c r="B6620" t="s">
        <v>1295</v>
      </c>
      <c r="C6620" t="s">
        <v>4256</v>
      </c>
      <c r="E6620">
        <v>0.7</v>
      </c>
      <c r="F6620" t="s">
        <v>8015</v>
      </c>
      <c r="G6620" s="174">
        <v>45576.460914351854</v>
      </c>
    </row>
    <row r="6621" spans="1:7">
      <c r="A6621">
        <v>6690</v>
      </c>
      <c r="B6621" t="s">
        <v>1295</v>
      </c>
      <c r="C6621" t="s">
        <v>3714</v>
      </c>
      <c r="E6621">
        <v>0.8</v>
      </c>
      <c r="F6621" t="s">
        <v>8016</v>
      </c>
      <c r="G6621" s="174">
        <v>45576.460914351854</v>
      </c>
    </row>
    <row r="6622" spans="1:7">
      <c r="A6622">
        <v>6691</v>
      </c>
      <c r="B6622" t="s">
        <v>8017</v>
      </c>
      <c r="C6622" t="s">
        <v>3412</v>
      </c>
      <c r="E6622">
        <v>0.8</v>
      </c>
      <c r="F6622" t="s">
        <v>546</v>
      </c>
      <c r="G6622" s="174">
        <v>45576.460914351854</v>
      </c>
    </row>
    <row r="6623" spans="1:7">
      <c r="A6623">
        <v>6692</v>
      </c>
      <c r="B6623" t="s">
        <v>8017</v>
      </c>
      <c r="C6623" t="s">
        <v>5449</v>
      </c>
      <c r="E6623">
        <v>0.6</v>
      </c>
      <c r="F6623" t="s">
        <v>546</v>
      </c>
      <c r="G6623" s="174">
        <v>45576.460914351854</v>
      </c>
    </row>
    <row r="6624" spans="1:7">
      <c r="A6624">
        <v>6693</v>
      </c>
      <c r="B6624" t="s">
        <v>6535</v>
      </c>
      <c r="C6624" t="s">
        <v>1995</v>
      </c>
      <c r="E6624">
        <v>0.6</v>
      </c>
      <c r="F6624" t="s">
        <v>546</v>
      </c>
      <c r="G6624" s="174">
        <v>45576.460914351854</v>
      </c>
    </row>
    <row r="6625" spans="1:7">
      <c r="A6625">
        <v>6694</v>
      </c>
      <c r="B6625" t="s">
        <v>6943</v>
      </c>
      <c r="C6625" t="s">
        <v>8018</v>
      </c>
      <c r="E6625">
        <v>0.7</v>
      </c>
      <c r="F6625" t="s">
        <v>8019</v>
      </c>
      <c r="G6625" s="174">
        <v>45576.460914351854</v>
      </c>
    </row>
    <row r="6626" spans="1:7">
      <c r="A6626">
        <v>6695</v>
      </c>
      <c r="B6626" t="s">
        <v>8020</v>
      </c>
      <c r="C6626" t="s">
        <v>2787</v>
      </c>
      <c r="E6626">
        <v>0.8</v>
      </c>
      <c r="F6626" t="s">
        <v>546</v>
      </c>
      <c r="G6626" s="174">
        <v>45576.460914351854</v>
      </c>
    </row>
    <row r="6627" spans="1:7">
      <c r="A6627">
        <v>6696</v>
      </c>
      <c r="B6627" t="s">
        <v>8021</v>
      </c>
      <c r="C6627" t="s">
        <v>5104</v>
      </c>
      <c r="E6627">
        <v>0.8</v>
      </c>
      <c r="F6627" t="s">
        <v>546</v>
      </c>
      <c r="G6627" s="174">
        <v>45576.460914351854</v>
      </c>
    </row>
    <row r="6628" spans="1:7">
      <c r="A6628">
        <v>6697</v>
      </c>
      <c r="B6628" t="s">
        <v>6736</v>
      </c>
      <c r="C6628" t="s">
        <v>8022</v>
      </c>
      <c r="E6628">
        <v>0.8</v>
      </c>
      <c r="F6628" t="s">
        <v>546</v>
      </c>
      <c r="G6628" s="174">
        <v>45576.460914351854</v>
      </c>
    </row>
    <row r="6629" spans="1:7">
      <c r="A6629">
        <v>6698</v>
      </c>
      <c r="B6629" t="s">
        <v>4872</v>
      </c>
      <c r="C6629" t="s">
        <v>4369</v>
      </c>
      <c r="E6629">
        <v>0.8</v>
      </c>
      <c r="F6629" t="s">
        <v>546</v>
      </c>
      <c r="G6629" s="174">
        <v>45576.460914351854</v>
      </c>
    </row>
    <row r="6630" spans="1:7">
      <c r="A6630">
        <v>6699</v>
      </c>
      <c r="B6630" t="s">
        <v>4872</v>
      </c>
      <c r="C6630" t="s">
        <v>2257</v>
      </c>
      <c r="E6630">
        <v>0.6</v>
      </c>
      <c r="F6630" t="s">
        <v>546</v>
      </c>
      <c r="G6630" s="174">
        <v>45576.460914351854</v>
      </c>
    </row>
    <row r="6631" spans="1:7">
      <c r="A6631">
        <v>6700</v>
      </c>
      <c r="B6631" t="s">
        <v>8023</v>
      </c>
      <c r="C6631" t="s">
        <v>7987</v>
      </c>
      <c r="E6631">
        <v>0.8</v>
      </c>
      <c r="F6631" t="s">
        <v>546</v>
      </c>
      <c r="G6631" s="174">
        <v>45576.460914351854</v>
      </c>
    </row>
    <row r="6632" spans="1:7">
      <c r="A6632">
        <v>6702</v>
      </c>
      <c r="B6632" t="s">
        <v>1287</v>
      </c>
      <c r="C6632" t="s">
        <v>5391</v>
      </c>
      <c r="E6632">
        <v>0.6</v>
      </c>
      <c r="F6632" t="s">
        <v>546</v>
      </c>
      <c r="G6632" s="174">
        <v>45576.460914351854</v>
      </c>
    </row>
    <row r="6633" spans="1:7">
      <c r="A6633">
        <v>6703</v>
      </c>
      <c r="B6633" t="s">
        <v>1847</v>
      </c>
      <c r="C6633" t="s">
        <v>793</v>
      </c>
      <c r="E6633">
        <v>0.01</v>
      </c>
      <c r="F6633" t="s">
        <v>8024</v>
      </c>
      <c r="G6633" s="174">
        <v>45576.460914351854</v>
      </c>
    </row>
    <row r="6634" spans="1:7">
      <c r="A6634">
        <v>6704</v>
      </c>
      <c r="B6634" t="s">
        <v>8025</v>
      </c>
      <c r="C6634" t="s">
        <v>8026</v>
      </c>
      <c r="E6634">
        <v>0.8</v>
      </c>
      <c r="F6634" t="s">
        <v>546</v>
      </c>
      <c r="G6634" s="174">
        <v>45576.460914351854</v>
      </c>
    </row>
    <row r="6635" spans="1:7">
      <c r="A6635">
        <v>6705</v>
      </c>
      <c r="B6635" t="s">
        <v>8027</v>
      </c>
      <c r="C6635" t="s">
        <v>638</v>
      </c>
      <c r="E6635">
        <v>0.8</v>
      </c>
      <c r="F6635" t="s">
        <v>546</v>
      </c>
      <c r="G6635" s="174">
        <v>45576.460914351854</v>
      </c>
    </row>
    <row r="6636" spans="1:7">
      <c r="A6636">
        <v>6706</v>
      </c>
      <c r="B6636" t="s">
        <v>8027</v>
      </c>
      <c r="C6636" t="s">
        <v>2162</v>
      </c>
      <c r="E6636">
        <v>0.7</v>
      </c>
      <c r="F6636" t="s">
        <v>546</v>
      </c>
      <c r="G6636" s="174">
        <v>45576.460914351854</v>
      </c>
    </row>
    <row r="6637" spans="1:7">
      <c r="A6637">
        <v>6707</v>
      </c>
      <c r="B6637" t="s">
        <v>5723</v>
      </c>
      <c r="C6637" t="s">
        <v>1862</v>
      </c>
      <c r="E6637">
        <v>0.5</v>
      </c>
      <c r="F6637" t="s">
        <v>546</v>
      </c>
      <c r="G6637" s="174">
        <v>45576.460914351854</v>
      </c>
    </row>
    <row r="6638" spans="1:7">
      <c r="A6638">
        <v>6708</v>
      </c>
      <c r="B6638" t="s">
        <v>1315</v>
      </c>
      <c r="C6638" t="s">
        <v>1613</v>
      </c>
      <c r="E6638">
        <v>0.6</v>
      </c>
      <c r="F6638" t="s">
        <v>546</v>
      </c>
      <c r="G6638" s="174">
        <v>45576.460914351854</v>
      </c>
    </row>
    <row r="6639" spans="1:7">
      <c r="A6639">
        <v>6709</v>
      </c>
      <c r="B6639" t="s">
        <v>3832</v>
      </c>
      <c r="C6639" t="s">
        <v>814</v>
      </c>
      <c r="E6639">
        <v>0.5</v>
      </c>
      <c r="F6639" t="s">
        <v>8028</v>
      </c>
      <c r="G6639" s="174">
        <v>45576.460914351854</v>
      </c>
    </row>
    <row r="6640" spans="1:7">
      <c r="A6640">
        <v>6710</v>
      </c>
      <c r="B6640" t="s">
        <v>3832</v>
      </c>
      <c r="C6640" t="s">
        <v>571</v>
      </c>
      <c r="E6640">
        <v>0.6</v>
      </c>
      <c r="F6640" t="s">
        <v>8029</v>
      </c>
      <c r="G6640" s="174">
        <v>45576.460914351854</v>
      </c>
    </row>
    <row r="6641" spans="1:7">
      <c r="A6641">
        <v>6711</v>
      </c>
      <c r="B6641" t="s">
        <v>6654</v>
      </c>
      <c r="C6641" t="s">
        <v>615</v>
      </c>
      <c r="E6641">
        <v>0.5</v>
      </c>
      <c r="F6641" t="s">
        <v>8030</v>
      </c>
      <c r="G6641" s="174">
        <v>45576.460914351854</v>
      </c>
    </row>
    <row r="6642" spans="1:7">
      <c r="A6642">
        <v>6712</v>
      </c>
      <c r="B6642" t="s">
        <v>6641</v>
      </c>
      <c r="C6642" t="s">
        <v>5252</v>
      </c>
      <c r="E6642">
        <v>0.8</v>
      </c>
      <c r="F6642" t="s">
        <v>8031</v>
      </c>
      <c r="G6642" s="174">
        <v>45576.460914351854</v>
      </c>
    </row>
    <row r="6643" spans="1:7">
      <c r="A6643">
        <v>6713</v>
      </c>
      <c r="B6643" t="s">
        <v>6641</v>
      </c>
      <c r="C6643" t="s">
        <v>8032</v>
      </c>
      <c r="E6643">
        <v>0.7</v>
      </c>
      <c r="F6643" t="s">
        <v>8033</v>
      </c>
      <c r="G6643" s="174">
        <v>45576.460914351854</v>
      </c>
    </row>
    <row r="6644" spans="1:7">
      <c r="A6644">
        <v>6714</v>
      </c>
      <c r="B6644" t="s">
        <v>2223</v>
      </c>
      <c r="C6644" t="s">
        <v>8034</v>
      </c>
      <c r="E6644">
        <v>0.7</v>
      </c>
      <c r="F6644" t="s">
        <v>8035</v>
      </c>
      <c r="G6644" s="174">
        <v>45576.460914351854</v>
      </c>
    </row>
    <row r="6645" spans="1:7">
      <c r="A6645">
        <v>6715</v>
      </c>
      <c r="B6645" t="s">
        <v>8036</v>
      </c>
      <c r="C6645" t="s">
        <v>8037</v>
      </c>
      <c r="E6645">
        <v>0.8</v>
      </c>
      <c r="F6645" t="s">
        <v>8038</v>
      </c>
      <c r="G6645" s="174">
        <v>45576.460914351854</v>
      </c>
    </row>
    <row r="6646" spans="1:7">
      <c r="A6646">
        <v>6716</v>
      </c>
      <c r="B6646" t="s">
        <v>8036</v>
      </c>
      <c r="C6646" t="s">
        <v>8001</v>
      </c>
      <c r="E6646">
        <v>0.7</v>
      </c>
      <c r="F6646" t="s">
        <v>8039</v>
      </c>
      <c r="G6646" s="174">
        <v>45576.460914351854</v>
      </c>
    </row>
    <row r="6647" spans="1:7">
      <c r="A6647">
        <v>6717</v>
      </c>
      <c r="B6647" t="s">
        <v>6276</v>
      </c>
      <c r="C6647" t="s">
        <v>4991</v>
      </c>
      <c r="E6647">
        <v>0.8</v>
      </c>
      <c r="F6647" t="s">
        <v>546</v>
      </c>
      <c r="G6647" s="174">
        <v>45576.460914351854</v>
      </c>
    </row>
    <row r="6648" spans="1:7">
      <c r="A6648">
        <v>6720</v>
      </c>
      <c r="B6648" t="s">
        <v>5616</v>
      </c>
      <c r="C6648" t="s">
        <v>8040</v>
      </c>
      <c r="E6648">
        <v>0.6</v>
      </c>
      <c r="F6648" t="s">
        <v>546</v>
      </c>
      <c r="G6648" s="174">
        <v>45576.460914351854</v>
      </c>
    </row>
    <row r="6649" spans="1:7">
      <c r="A6649">
        <v>6721</v>
      </c>
      <c r="B6649" t="s">
        <v>4245</v>
      </c>
      <c r="C6649" t="s">
        <v>6084</v>
      </c>
      <c r="E6649">
        <v>0.8</v>
      </c>
      <c r="F6649" t="s">
        <v>546</v>
      </c>
      <c r="G6649" s="174">
        <v>45576.460914351854</v>
      </c>
    </row>
    <row r="6650" spans="1:7">
      <c r="A6650">
        <v>6722</v>
      </c>
      <c r="B6650" t="s">
        <v>6593</v>
      </c>
      <c r="C6650" t="s">
        <v>8040</v>
      </c>
      <c r="E6650">
        <v>0.6</v>
      </c>
      <c r="F6650" t="s">
        <v>546</v>
      </c>
      <c r="G6650" s="174">
        <v>45576.460914351854</v>
      </c>
    </row>
    <row r="6651" spans="1:7">
      <c r="A6651">
        <v>6723</v>
      </c>
      <c r="B6651" t="s">
        <v>5604</v>
      </c>
      <c r="C6651" t="s">
        <v>2082</v>
      </c>
      <c r="E6651">
        <v>0.6</v>
      </c>
      <c r="F6651" t="s">
        <v>546</v>
      </c>
      <c r="G6651" s="174">
        <v>45576.491354166668</v>
      </c>
    </row>
    <row r="6652" spans="1:7">
      <c r="A6652">
        <v>6725</v>
      </c>
      <c r="B6652" t="s">
        <v>4596</v>
      </c>
      <c r="C6652" t="s">
        <v>2997</v>
      </c>
      <c r="E6652">
        <v>0.6</v>
      </c>
      <c r="F6652" t="s">
        <v>546</v>
      </c>
      <c r="G6652" s="174">
        <v>45576.610578703701</v>
      </c>
    </row>
    <row r="6653" spans="1:7">
      <c r="A6653">
        <v>6726</v>
      </c>
      <c r="B6653" t="s">
        <v>6954</v>
      </c>
      <c r="C6653" t="s">
        <v>5284</v>
      </c>
      <c r="E6653">
        <v>0.8</v>
      </c>
      <c r="F6653" t="s">
        <v>546</v>
      </c>
      <c r="G6653" s="174">
        <v>45576.619791666664</v>
      </c>
    </row>
    <row r="6654" spans="1:7">
      <c r="A6654">
        <v>6727</v>
      </c>
      <c r="B6654" t="s">
        <v>3391</v>
      </c>
      <c r="C6654" t="s">
        <v>8041</v>
      </c>
      <c r="E6654">
        <v>0.8</v>
      </c>
      <c r="F6654" t="s">
        <v>546</v>
      </c>
      <c r="G6654" s="174">
        <v>45577.4609837963</v>
      </c>
    </row>
    <row r="6655" spans="1:7">
      <c r="A6655">
        <v>6728</v>
      </c>
      <c r="B6655" t="s">
        <v>8042</v>
      </c>
      <c r="C6655" t="s">
        <v>8043</v>
      </c>
      <c r="E6655">
        <v>0.7</v>
      </c>
      <c r="F6655" t="s">
        <v>8044</v>
      </c>
      <c r="G6655" s="174">
        <v>45577.462268518517</v>
      </c>
    </row>
    <row r="6656" spans="1:7">
      <c r="A6656">
        <v>6729</v>
      </c>
      <c r="B6656" t="s">
        <v>8042</v>
      </c>
      <c r="C6656" t="s">
        <v>6355</v>
      </c>
      <c r="E6656">
        <v>0.8</v>
      </c>
      <c r="F6656" t="s">
        <v>8045</v>
      </c>
      <c r="G6656" s="174">
        <v>45577.462268518517</v>
      </c>
    </row>
    <row r="6657" spans="1:7">
      <c r="A6657">
        <v>6730</v>
      </c>
      <c r="B6657" t="s">
        <v>4346</v>
      </c>
      <c r="C6657" t="s">
        <v>8046</v>
      </c>
      <c r="E6657">
        <v>0.6</v>
      </c>
      <c r="F6657" t="s">
        <v>546</v>
      </c>
      <c r="G6657" s="174">
        <v>45577.470995370371</v>
      </c>
    </row>
    <row r="6658" spans="1:7">
      <c r="A6658">
        <v>6731</v>
      </c>
      <c r="B6658" t="s">
        <v>2279</v>
      </c>
      <c r="C6658" t="s">
        <v>920</v>
      </c>
      <c r="E6658">
        <v>0.8</v>
      </c>
      <c r="F6658" t="s">
        <v>546</v>
      </c>
      <c r="G6658" s="174">
        <v>45577.472500000003</v>
      </c>
    </row>
    <row r="6659" spans="1:7">
      <c r="A6659">
        <v>6732</v>
      </c>
      <c r="B6659" t="s">
        <v>3827</v>
      </c>
      <c r="C6659" t="s">
        <v>1058</v>
      </c>
      <c r="E6659">
        <v>0.5</v>
      </c>
      <c r="F6659" t="s">
        <v>546</v>
      </c>
      <c r="G6659" s="174">
        <v>45577.474247685182</v>
      </c>
    </row>
    <row r="6660" spans="1:7">
      <c r="A6660">
        <v>6733</v>
      </c>
      <c r="B6660" t="s">
        <v>8047</v>
      </c>
      <c r="C6660" t="s">
        <v>2853</v>
      </c>
      <c r="E6660">
        <v>0.8</v>
      </c>
      <c r="F6660" t="s">
        <v>546</v>
      </c>
      <c r="G6660" s="174">
        <v>45577.475532407407</v>
      </c>
    </row>
    <row r="6661" spans="1:7">
      <c r="A6661">
        <v>6734</v>
      </c>
      <c r="B6661" t="s">
        <v>3417</v>
      </c>
      <c r="C6661" t="s">
        <v>3470</v>
      </c>
      <c r="E6661">
        <v>0.8</v>
      </c>
      <c r="F6661" t="s">
        <v>546</v>
      </c>
      <c r="G6661" s="174">
        <v>45577.476736111108</v>
      </c>
    </row>
    <row r="6662" spans="1:7">
      <c r="A6662">
        <v>6735</v>
      </c>
      <c r="B6662" t="s">
        <v>6593</v>
      </c>
      <c r="C6662" t="s">
        <v>3007</v>
      </c>
      <c r="E6662">
        <v>0.8</v>
      </c>
      <c r="F6662" t="s">
        <v>546</v>
      </c>
      <c r="G6662" s="174">
        <v>45577.478472222225</v>
      </c>
    </row>
    <row r="6663" spans="1:7">
      <c r="A6663">
        <v>6736</v>
      </c>
      <c r="B6663" t="s">
        <v>1578</v>
      </c>
      <c r="C6663" t="s">
        <v>830</v>
      </c>
      <c r="E6663">
        <v>0.6</v>
      </c>
      <c r="F6663" t="s">
        <v>546</v>
      </c>
      <c r="G6663" s="174">
        <v>45577.482592592591</v>
      </c>
    </row>
    <row r="6664" spans="1:7">
      <c r="A6664">
        <v>6737</v>
      </c>
      <c r="B6664" t="s">
        <v>4671</v>
      </c>
      <c r="C6664" t="s">
        <v>8048</v>
      </c>
      <c r="E6664">
        <v>0.6</v>
      </c>
      <c r="F6664" t="s">
        <v>546</v>
      </c>
      <c r="G6664" s="174">
        <v>45577.4846412037</v>
      </c>
    </row>
    <row r="6665" spans="1:7">
      <c r="A6665">
        <v>6738</v>
      </c>
      <c r="B6665" t="s">
        <v>7501</v>
      </c>
      <c r="C6665" t="s">
        <v>8049</v>
      </c>
      <c r="E6665">
        <v>0.5</v>
      </c>
      <c r="F6665" t="s">
        <v>546</v>
      </c>
      <c r="G6665" s="174">
        <v>45577.488877314812</v>
      </c>
    </row>
    <row r="6666" spans="1:7">
      <c r="A6666">
        <v>6739</v>
      </c>
      <c r="B6666" t="s">
        <v>8050</v>
      </c>
      <c r="C6666" t="s">
        <v>1827</v>
      </c>
      <c r="E6666">
        <v>0.8</v>
      </c>
      <c r="F6666" t="s">
        <v>546</v>
      </c>
      <c r="G6666" s="174">
        <v>45577.494456018518</v>
      </c>
    </row>
    <row r="6667" spans="1:7">
      <c r="A6667">
        <v>6740</v>
      </c>
      <c r="B6667" t="s">
        <v>3263</v>
      </c>
      <c r="C6667" t="s">
        <v>5039</v>
      </c>
      <c r="E6667">
        <v>0.6</v>
      </c>
      <c r="F6667" t="s">
        <v>546</v>
      </c>
      <c r="G6667" s="174">
        <v>45577.49790509259</v>
      </c>
    </row>
    <row r="6668" spans="1:7">
      <c r="A6668">
        <v>6741</v>
      </c>
      <c r="B6668" t="s">
        <v>5694</v>
      </c>
      <c r="C6668" t="s">
        <v>7993</v>
      </c>
      <c r="E6668">
        <v>0.5</v>
      </c>
      <c r="F6668" t="s">
        <v>546</v>
      </c>
      <c r="G6668" s="174">
        <v>45577.687268518515</v>
      </c>
    </row>
    <row r="6669" spans="1:7">
      <c r="A6669">
        <v>6742</v>
      </c>
      <c r="B6669" t="s">
        <v>1130</v>
      </c>
      <c r="C6669" t="s">
        <v>883</v>
      </c>
      <c r="E6669">
        <v>0.6</v>
      </c>
      <c r="F6669" t="s">
        <v>8051</v>
      </c>
      <c r="G6669" s="174">
        <v>45577.689363425925</v>
      </c>
    </row>
    <row r="6670" spans="1:7">
      <c r="A6670">
        <v>6743</v>
      </c>
      <c r="B6670" t="s">
        <v>5616</v>
      </c>
      <c r="C6670" t="s">
        <v>3007</v>
      </c>
      <c r="E6670">
        <v>0.8</v>
      </c>
      <c r="F6670" t="s">
        <v>546</v>
      </c>
      <c r="G6670" s="174">
        <v>45577.853009259263</v>
      </c>
    </row>
    <row r="6671" spans="1:7">
      <c r="A6671">
        <v>6744</v>
      </c>
      <c r="B6671" t="s">
        <v>8052</v>
      </c>
      <c r="C6671" t="s">
        <v>8053</v>
      </c>
      <c r="E6671">
        <v>0.8</v>
      </c>
      <c r="F6671" t="s">
        <v>546</v>
      </c>
      <c r="G6671" s="174">
        <v>45577.877199074072</v>
      </c>
    </row>
    <row r="6672" spans="1:7">
      <c r="A6672">
        <v>6745</v>
      </c>
      <c r="B6672" t="s">
        <v>6212</v>
      </c>
      <c r="C6672" t="s">
        <v>5370</v>
      </c>
      <c r="E6672">
        <v>0.6</v>
      </c>
      <c r="F6672" t="s">
        <v>546</v>
      </c>
      <c r="G6672" s="174">
        <v>45579.413217592592</v>
      </c>
    </row>
    <row r="6673" spans="1:7">
      <c r="A6673">
        <v>6746</v>
      </c>
      <c r="B6673" t="s">
        <v>8054</v>
      </c>
      <c r="C6673" t="s">
        <v>8055</v>
      </c>
      <c r="E6673">
        <v>0.7</v>
      </c>
      <c r="F6673" t="s">
        <v>8056</v>
      </c>
      <c r="G6673" s="174">
        <v>45579.444224537037</v>
      </c>
    </row>
    <row r="6674" spans="1:7">
      <c r="A6674">
        <v>6747</v>
      </c>
      <c r="B6674" t="s">
        <v>8057</v>
      </c>
      <c r="C6674" t="s">
        <v>4358</v>
      </c>
      <c r="E6674">
        <v>0.8</v>
      </c>
      <c r="F6674" t="s">
        <v>8058</v>
      </c>
      <c r="G6674" s="174">
        <v>45579.44636574074</v>
      </c>
    </row>
    <row r="6675" spans="1:7">
      <c r="A6675">
        <v>6748</v>
      </c>
      <c r="B6675" t="s">
        <v>8059</v>
      </c>
      <c r="C6675" t="s">
        <v>4830</v>
      </c>
      <c r="E6675">
        <v>0.8</v>
      </c>
      <c r="F6675" t="s">
        <v>8060</v>
      </c>
      <c r="G6675" s="174">
        <v>45579.447476851848</v>
      </c>
    </row>
    <row r="6676" spans="1:7">
      <c r="A6676">
        <v>6749</v>
      </c>
      <c r="B6676" t="s">
        <v>3363</v>
      </c>
      <c r="C6676" t="s">
        <v>7068</v>
      </c>
      <c r="E6676">
        <v>0.6</v>
      </c>
      <c r="F6676" t="s">
        <v>546</v>
      </c>
      <c r="G6676" s="174">
        <v>45579.45</v>
      </c>
    </row>
    <row r="6677" spans="1:7">
      <c r="A6677">
        <v>6750</v>
      </c>
      <c r="B6677" t="s">
        <v>4459</v>
      </c>
      <c r="C6677" t="s">
        <v>8061</v>
      </c>
      <c r="E6677">
        <v>0.8</v>
      </c>
      <c r="F6677" t="s">
        <v>546</v>
      </c>
      <c r="G6677" s="174">
        <v>45579.455150462964</v>
      </c>
    </row>
    <row r="6678" spans="1:7">
      <c r="A6678">
        <v>6751</v>
      </c>
      <c r="B6678" t="s">
        <v>8062</v>
      </c>
      <c r="C6678" t="s">
        <v>4564</v>
      </c>
      <c r="E6678">
        <v>0.8</v>
      </c>
      <c r="F6678" t="s">
        <v>546</v>
      </c>
      <c r="G6678" s="174">
        <v>45579.456655092596</v>
      </c>
    </row>
    <row r="6679" spans="1:7">
      <c r="A6679">
        <v>6752</v>
      </c>
      <c r="B6679" t="s">
        <v>5355</v>
      </c>
      <c r="C6679" t="s">
        <v>2824</v>
      </c>
      <c r="E6679">
        <v>0.8</v>
      </c>
      <c r="F6679" t="s">
        <v>546</v>
      </c>
      <c r="G6679" s="174">
        <v>45579.460092592592</v>
      </c>
    </row>
    <row r="6680" spans="1:7">
      <c r="A6680">
        <v>6753</v>
      </c>
      <c r="B6680" t="s">
        <v>3923</v>
      </c>
      <c r="C6680" t="s">
        <v>2904</v>
      </c>
      <c r="E6680">
        <v>0.6</v>
      </c>
      <c r="F6680" t="s">
        <v>546</v>
      </c>
      <c r="G6680" s="174">
        <v>45579.461296296293</v>
      </c>
    </row>
    <row r="6681" spans="1:7">
      <c r="A6681">
        <v>6754</v>
      </c>
      <c r="B6681" t="s">
        <v>6696</v>
      </c>
      <c r="C6681" t="s">
        <v>8063</v>
      </c>
      <c r="E6681">
        <v>0.6</v>
      </c>
      <c r="F6681" t="s">
        <v>546</v>
      </c>
      <c r="G6681" s="174">
        <v>45579.463634259257</v>
      </c>
    </row>
    <row r="6682" spans="1:7">
      <c r="A6682">
        <v>6755</v>
      </c>
      <c r="B6682" t="s">
        <v>4033</v>
      </c>
      <c r="C6682" t="s">
        <v>3208</v>
      </c>
      <c r="E6682">
        <v>0.6</v>
      </c>
      <c r="F6682" t="s">
        <v>546</v>
      </c>
      <c r="G6682" s="174">
        <v>45579.46502314815</v>
      </c>
    </row>
    <row r="6683" spans="1:7">
      <c r="A6683">
        <v>6756</v>
      </c>
      <c r="B6683" t="s">
        <v>4042</v>
      </c>
      <c r="C6683" t="s">
        <v>8064</v>
      </c>
      <c r="E6683">
        <v>0.8</v>
      </c>
      <c r="F6683" t="s">
        <v>546</v>
      </c>
      <c r="G6683" s="174">
        <v>45579.465879629628</v>
      </c>
    </row>
    <row r="6684" spans="1:7">
      <c r="A6684">
        <v>6757</v>
      </c>
      <c r="B6684" t="s">
        <v>5242</v>
      </c>
      <c r="C6684" t="s">
        <v>8065</v>
      </c>
      <c r="E6684">
        <v>0.6</v>
      </c>
      <c r="F6684" t="s">
        <v>546</v>
      </c>
      <c r="G6684" s="174">
        <v>45579.468622685185</v>
      </c>
    </row>
    <row r="6685" spans="1:7">
      <c r="A6685">
        <v>6758</v>
      </c>
      <c r="B6685" t="s">
        <v>2395</v>
      </c>
      <c r="C6685" t="s">
        <v>953</v>
      </c>
      <c r="E6685">
        <v>0.7</v>
      </c>
      <c r="F6685" t="s">
        <v>8066</v>
      </c>
      <c r="G6685" s="174">
        <v>45579.470671296294</v>
      </c>
    </row>
    <row r="6686" spans="1:7">
      <c r="A6686">
        <v>6759</v>
      </c>
      <c r="B6686" t="s">
        <v>4910</v>
      </c>
      <c r="C6686" t="s">
        <v>2824</v>
      </c>
      <c r="E6686">
        <v>0.6</v>
      </c>
      <c r="F6686" t="s">
        <v>546</v>
      </c>
      <c r="G6686" s="174">
        <v>45579.471689814818</v>
      </c>
    </row>
    <row r="6687" spans="1:7">
      <c r="A6687">
        <v>6760</v>
      </c>
      <c r="B6687" t="s">
        <v>753</v>
      </c>
      <c r="C6687" t="s">
        <v>3850</v>
      </c>
      <c r="E6687">
        <v>0.5</v>
      </c>
      <c r="F6687" t="s">
        <v>8067</v>
      </c>
      <c r="G6687" s="174">
        <v>45579.473310185182</v>
      </c>
    </row>
    <row r="6688" spans="1:7">
      <c r="A6688">
        <v>6761</v>
      </c>
      <c r="B6688" t="s">
        <v>2847</v>
      </c>
      <c r="C6688" t="s">
        <v>3294</v>
      </c>
      <c r="E6688">
        <v>0.5</v>
      </c>
      <c r="F6688" t="s">
        <v>546</v>
      </c>
      <c r="G6688" s="174">
        <v>45579.475405092591</v>
      </c>
    </row>
    <row r="6689" spans="1:7">
      <c r="A6689">
        <v>6762</v>
      </c>
      <c r="B6689" t="s">
        <v>8068</v>
      </c>
      <c r="C6689" t="s">
        <v>8061</v>
      </c>
      <c r="E6689">
        <v>0.8</v>
      </c>
      <c r="F6689" t="s">
        <v>8069</v>
      </c>
      <c r="G6689" s="174">
        <v>45579.476423611108</v>
      </c>
    </row>
    <row r="6690" spans="1:7">
      <c r="A6690">
        <v>6763</v>
      </c>
      <c r="B6690" t="s">
        <v>6480</v>
      </c>
      <c r="C6690" t="s">
        <v>1082</v>
      </c>
      <c r="E6690">
        <v>0.6</v>
      </c>
      <c r="F6690" t="s">
        <v>8070</v>
      </c>
      <c r="G6690" s="174">
        <v>45579.497233796297</v>
      </c>
    </row>
    <row r="6691" spans="1:7">
      <c r="A6691">
        <v>6764</v>
      </c>
      <c r="B6691" t="s">
        <v>8071</v>
      </c>
      <c r="C6691" t="s">
        <v>7068</v>
      </c>
      <c r="E6691">
        <v>0.8</v>
      </c>
      <c r="F6691" t="s">
        <v>8072</v>
      </c>
      <c r="G6691" s="174">
        <v>45579.497974537036</v>
      </c>
    </row>
    <row r="6692" spans="1:7">
      <c r="A6692">
        <v>6765</v>
      </c>
      <c r="B6692" t="s">
        <v>5715</v>
      </c>
      <c r="C6692" t="s">
        <v>3114</v>
      </c>
      <c r="E6692">
        <v>0.6</v>
      </c>
      <c r="F6692" t="s">
        <v>546</v>
      </c>
      <c r="G6692" s="174">
        <v>45579.499583333331</v>
      </c>
    </row>
    <row r="6693" spans="1:7">
      <c r="A6693">
        <v>6766</v>
      </c>
      <c r="B6693" t="s">
        <v>5715</v>
      </c>
      <c r="C6693" t="s">
        <v>3111</v>
      </c>
      <c r="E6693">
        <v>0.5</v>
      </c>
      <c r="F6693" t="s">
        <v>546</v>
      </c>
      <c r="G6693" s="174">
        <v>45579.5000462963</v>
      </c>
    </row>
    <row r="6694" spans="1:7">
      <c r="A6694">
        <v>6767</v>
      </c>
      <c r="B6694" t="s">
        <v>613</v>
      </c>
      <c r="C6694" t="s">
        <v>8073</v>
      </c>
      <c r="E6694">
        <v>0.6</v>
      </c>
      <c r="F6694" t="s">
        <v>546</v>
      </c>
      <c r="G6694" s="174">
        <v>45579.523414351854</v>
      </c>
    </row>
    <row r="6695" spans="1:7">
      <c r="A6695">
        <v>6768</v>
      </c>
      <c r="B6695" t="s">
        <v>6112</v>
      </c>
      <c r="C6695" t="s">
        <v>8074</v>
      </c>
      <c r="E6695">
        <v>0.6</v>
      </c>
      <c r="F6695" t="s">
        <v>546</v>
      </c>
      <c r="G6695" s="174">
        <v>45579.811180555553</v>
      </c>
    </row>
    <row r="6696" spans="1:7">
      <c r="A6696">
        <v>6769</v>
      </c>
      <c r="B6696" t="s">
        <v>8075</v>
      </c>
      <c r="C6696" t="s">
        <v>3755</v>
      </c>
      <c r="E6696">
        <v>0.8</v>
      </c>
      <c r="F6696" t="s">
        <v>546</v>
      </c>
      <c r="G6696" s="174">
        <v>45579.867083333331</v>
      </c>
    </row>
    <row r="6697" spans="1:7">
      <c r="A6697">
        <v>6770</v>
      </c>
      <c r="B6697" t="s">
        <v>6141</v>
      </c>
      <c r="C6697" t="s">
        <v>8076</v>
      </c>
      <c r="E6697">
        <v>0.8</v>
      </c>
      <c r="F6697" t="s">
        <v>546</v>
      </c>
      <c r="G6697" s="174">
        <v>45580.399444444447</v>
      </c>
    </row>
    <row r="6698" spans="1:7">
      <c r="A6698">
        <v>6771</v>
      </c>
      <c r="B6698" t="s">
        <v>3509</v>
      </c>
      <c r="C6698" t="s">
        <v>8077</v>
      </c>
      <c r="E6698">
        <v>0.6</v>
      </c>
      <c r="F6698" t="s">
        <v>546</v>
      </c>
      <c r="G6698" s="174">
        <v>45580.402407407404</v>
      </c>
    </row>
    <row r="6699" spans="1:7">
      <c r="A6699">
        <v>6772</v>
      </c>
      <c r="B6699" t="s">
        <v>4396</v>
      </c>
      <c r="C6699" t="s">
        <v>4135</v>
      </c>
      <c r="E6699">
        <v>0.6</v>
      </c>
      <c r="F6699" t="s">
        <v>8078</v>
      </c>
      <c r="G6699" s="174">
        <v>45580.403171296297</v>
      </c>
    </row>
    <row r="6700" spans="1:7">
      <c r="A6700">
        <v>6773</v>
      </c>
      <c r="B6700" t="s">
        <v>2924</v>
      </c>
      <c r="C6700" t="s">
        <v>5370</v>
      </c>
      <c r="E6700">
        <v>0.6</v>
      </c>
      <c r="F6700" t="s">
        <v>546</v>
      </c>
      <c r="G6700" s="174">
        <v>45580.404641203706</v>
      </c>
    </row>
    <row r="6701" spans="1:7">
      <c r="A6701">
        <v>6774</v>
      </c>
      <c r="B6701" t="s">
        <v>5954</v>
      </c>
      <c r="C6701" t="s">
        <v>7085</v>
      </c>
      <c r="E6701">
        <v>0.8</v>
      </c>
      <c r="F6701" t="s">
        <v>546</v>
      </c>
      <c r="G6701" s="174">
        <v>45580.411203703705</v>
      </c>
    </row>
    <row r="6702" spans="1:7">
      <c r="A6702">
        <v>6775</v>
      </c>
      <c r="B6702" t="s">
        <v>5749</v>
      </c>
      <c r="C6702" t="s">
        <v>8079</v>
      </c>
      <c r="E6702">
        <v>0.6</v>
      </c>
      <c r="F6702" t="s">
        <v>8080</v>
      </c>
      <c r="G6702" s="174">
        <v>45580.412164351852</v>
      </c>
    </row>
    <row r="6703" spans="1:7">
      <c r="A6703">
        <v>6776</v>
      </c>
      <c r="B6703" t="s">
        <v>3664</v>
      </c>
      <c r="C6703" t="s">
        <v>3823</v>
      </c>
      <c r="E6703">
        <v>0.5</v>
      </c>
      <c r="F6703" t="s">
        <v>546</v>
      </c>
      <c r="G6703" s="174">
        <v>45580.413807870369</v>
      </c>
    </row>
    <row r="6704" spans="1:7">
      <c r="A6704">
        <v>6777</v>
      </c>
      <c r="B6704" t="s">
        <v>3664</v>
      </c>
      <c r="C6704" t="s">
        <v>3821</v>
      </c>
      <c r="E6704">
        <v>0.5</v>
      </c>
      <c r="F6704" t="s">
        <v>546</v>
      </c>
      <c r="G6704" s="174">
        <v>45580.413807870369</v>
      </c>
    </row>
    <row r="6705" spans="1:7">
      <c r="A6705">
        <v>6778</v>
      </c>
      <c r="B6705" t="s">
        <v>6867</v>
      </c>
      <c r="C6705" t="s">
        <v>4301</v>
      </c>
      <c r="E6705">
        <v>0.6</v>
      </c>
      <c r="F6705" t="s">
        <v>8081</v>
      </c>
      <c r="G6705" s="174">
        <v>45580.4218287037</v>
      </c>
    </row>
    <row r="6706" spans="1:7">
      <c r="A6706">
        <v>6779</v>
      </c>
      <c r="B6706" t="s">
        <v>4467</v>
      </c>
      <c r="C6706" t="s">
        <v>3294</v>
      </c>
      <c r="E6706">
        <v>0.3</v>
      </c>
      <c r="F6706" t="s">
        <v>8082</v>
      </c>
      <c r="G6706" s="174">
        <v>45580.425069444442</v>
      </c>
    </row>
    <row r="6707" spans="1:7">
      <c r="A6707">
        <v>6780</v>
      </c>
      <c r="B6707" t="s">
        <v>3862</v>
      </c>
      <c r="C6707" t="s">
        <v>2794</v>
      </c>
      <c r="E6707">
        <v>0.3</v>
      </c>
      <c r="F6707" t="s">
        <v>8083</v>
      </c>
      <c r="G6707" s="174">
        <v>45580.427187499998</v>
      </c>
    </row>
    <row r="6708" spans="1:7">
      <c r="A6708">
        <v>6781</v>
      </c>
      <c r="B6708" t="s">
        <v>1270</v>
      </c>
      <c r="C6708" t="s">
        <v>5386</v>
      </c>
      <c r="E6708">
        <v>0.6</v>
      </c>
      <c r="F6708" t="s">
        <v>8084</v>
      </c>
      <c r="G6708" s="174">
        <v>45580.429722222223</v>
      </c>
    </row>
    <row r="6709" spans="1:7">
      <c r="A6709">
        <v>6782</v>
      </c>
      <c r="B6709" t="s">
        <v>6569</v>
      </c>
      <c r="C6709" t="s">
        <v>6942</v>
      </c>
      <c r="E6709">
        <v>0.7</v>
      </c>
      <c r="F6709" t="s">
        <v>8085</v>
      </c>
      <c r="G6709" s="174">
        <v>45580.433946759258</v>
      </c>
    </row>
    <row r="6710" spans="1:7">
      <c r="A6710">
        <v>6783</v>
      </c>
      <c r="B6710" t="s">
        <v>5716</v>
      </c>
      <c r="C6710" t="s">
        <v>3124</v>
      </c>
      <c r="E6710">
        <v>0.7</v>
      </c>
      <c r="F6710" t="s">
        <v>8086</v>
      </c>
      <c r="G6710" s="174">
        <v>45580.439791666664</v>
      </c>
    </row>
    <row r="6711" spans="1:7">
      <c r="A6711">
        <v>6784</v>
      </c>
      <c r="B6711" t="s">
        <v>5716</v>
      </c>
      <c r="C6711" t="s">
        <v>5039</v>
      </c>
      <c r="E6711">
        <v>0.6</v>
      </c>
      <c r="F6711" t="s">
        <v>8087</v>
      </c>
      <c r="G6711" s="174">
        <v>45580.439791666664</v>
      </c>
    </row>
    <row r="6712" spans="1:7">
      <c r="A6712">
        <v>6785</v>
      </c>
      <c r="B6712" t="s">
        <v>608</v>
      </c>
      <c r="C6712" t="s">
        <v>866</v>
      </c>
      <c r="E6712">
        <v>0.8</v>
      </c>
      <c r="F6712" t="s">
        <v>8088</v>
      </c>
      <c r="G6712" s="174">
        <v>45580.856747685182</v>
      </c>
    </row>
    <row r="6713" spans="1:7">
      <c r="A6713">
        <v>6786</v>
      </c>
      <c r="B6713" t="s">
        <v>3754</v>
      </c>
      <c r="C6713" t="s">
        <v>3508</v>
      </c>
      <c r="E6713">
        <v>0.5</v>
      </c>
      <c r="F6713" t="s">
        <v>546</v>
      </c>
      <c r="G6713" s="174">
        <v>45580.857719907406</v>
      </c>
    </row>
    <row r="6714" spans="1:7">
      <c r="A6714">
        <v>6787</v>
      </c>
      <c r="B6714" t="s">
        <v>3754</v>
      </c>
      <c r="C6714" t="s">
        <v>7787</v>
      </c>
      <c r="E6714">
        <v>0.6</v>
      </c>
      <c r="F6714" t="s">
        <v>546</v>
      </c>
      <c r="G6714" s="174">
        <v>45580.858541666668</v>
      </c>
    </row>
    <row r="6715" spans="1:7">
      <c r="A6715">
        <v>6788</v>
      </c>
      <c r="B6715" t="s">
        <v>5955</v>
      </c>
      <c r="C6715" t="s">
        <v>4232</v>
      </c>
      <c r="E6715">
        <v>0.5</v>
      </c>
      <c r="F6715" t="s">
        <v>8089</v>
      </c>
      <c r="G6715" s="174">
        <v>45580.860891203702</v>
      </c>
    </row>
    <row r="6716" spans="1:7">
      <c r="A6716">
        <v>6789</v>
      </c>
      <c r="B6716" t="s">
        <v>2807</v>
      </c>
      <c r="C6716" t="s">
        <v>1065</v>
      </c>
      <c r="E6716">
        <v>0.8</v>
      </c>
      <c r="F6716" t="s">
        <v>8090</v>
      </c>
      <c r="G6716" s="174">
        <v>45580.86273148148</v>
      </c>
    </row>
    <row r="6717" spans="1:7">
      <c r="A6717">
        <v>6790</v>
      </c>
      <c r="B6717" t="s">
        <v>2807</v>
      </c>
      <c r="C6717" t="s">
        <v>1064</v>
      </c>
      <c r="E6717">
        <v>0.7</v>
      </c>
      <c r="F6717" t="s">
        <v>546</v>
      </c>
      <c r="G6717" s="174">
        <v>45580.86273148148</v>
      </c>
    </row>
    <row r="6718" spans="1:7">
      <c r="A6718">
        <v>6792</v>
      </c>
      <c r="B6718" t="s">
        <v>8091</v>
      </c>
      <c r="C6718" t="s">
        <v>3738</v>
      </c>
      <c r="E6718">
        <v>0.8</v>
      </c>
      <c r="F6718" t="s">
        <v>8092</v>
      </c>
      <c r="G6718" s="174">
        <v>45580.865844907406</v>
      </c>
    </row>
    <row r="6719" spans="1:7">
      <c r="A6719">
        <v>6793</v>
      </c>
      <c r="B6719" t="s">
        <v>2759</v>
      </c>
      <c r="C6719" t="s">
        <v>6840</v>
      </c>
      <c r="E6719">
        <v>0.5</v>
      </c>
      <c r="F6719" t="s">
        <v>546</v>
      </c>
      <c r="G6719" s="174">
        <v>45580.867615740739</v>
      </c>
    </row>
    <row r="6720" spans="1:7">
      <c r="A6720">
        <v>6794</v>
      </c>
      <c r="B6720" t="s">
        <v>8093</v>
      </c>
      <c r="C6720" t="s">
        <v>3394</v>
      </c>
      <c r="E6720">
        <v>0.8</v>
      </c>
      <c r="F6720" t="s">
        <v>8094</v>
      </c>
      <c r="G6720" s="174">
        <v>45581.440775462965</v>
      </c>
    </row>
    <row r="6721" spans="1:7">
      <c r="A6721">
        <v>6795</v>
      </c>
      <c r="B6721" t="s">
        <v>8095</v>
      </c>
      <c r="C6721" t="s">
        <v>2379</v>
      </c>
      <c r="E6721">
        <v>0.8</v>
      </c>
      <c r="F6721" t="s">
        <v>8096</v>
      </c>
      <c r="G6721" s="174">
        <v>45581.44127314815</v>
      </c>
    </row>
    <row r="6722" spans="1:7">
      <c r="A6722">
        <v>6796</v>
      </c>
      <c r="B6722" t="s">
        <v>8097</v>
      </c>
      <c r="C6722" t="s">
        <v>2899</v>
      </c>
      <c r="E6722">
        <v>0.8</v>
      </c>
      <c r="F6722" t="s">
        <v>8098</v>
      </c>
      <c r="G6722" s="174">
        <v>45581.442060185182</v>
      </c>
    </row>
    <row r="6723" spans="1:7">
      <c r="A6723">
        <v>6797</v>
      </c>
      <c r="B6723" t="s">
        <v>8099</v>
      </c>
      <c r="C6723" t="s">
        <v>1299</v>
      </c>
      <c r="E6723">
        <v>0.8</v>
      </c>
      <c r="F6723" t="s">
        <v>8100</v>
      </c>
      <c r="G6723" s="174">
        <v>45581.44263888889</v>
      </c>
    </row>
    <row r="6724" spans="1:7">
      <c r="A6724">
        <v>6798</v>
      </c>
      <c r="B6724" t="s">
        <v>957</v>
      </c>
      <c r="C6724" t="s">
        <v>3366</v>
      </c>
      <c r="E6724">
        <v>0.8</v>
      </c>
      <c r="F6724" t="s">
        <v>546</v>
      </c>
      <c r="G6724" s="174">
        <v>45581.448506944442</v>
      </c>
    </row>
    <row r="6725" spans="1:7">
      <c r="A6725">
        <v>6799</v>
      </c>
      <c r="B6725" t="s">
        <v>957</v>
      </c>
      <c r="C6725" t="s">
        <v>3341</v>
      </c>
      <c r="E6725">
        <v>0.7</v>
      </c>
      <c r="F6725" t="s">
        <v>546</v>
      </c>
      <c r="G6725" s="174">
        <v>45581.448506944442</v>
      </c>
    </row>
    <row r="6726" spans="1:7">
      <c r="A6726">
        <v>6800</v>
      </c>
      <c r="B6726" t="s">
        <v>8101</v>
      </c>
      <c r="C6726" t="s">
        <v>3062</v>
      </c>
      <c r="E6726">
        <v>0.8</v>
      </c>
      <c r="F6726" t="s">
        <v>8102</v>
      </c>
      <c r="G6726" s="174">
        <v>45581.450127314813</v>
      </c>
    </row>
    <row r="6727" spans="1:7">
      <c r="A6727">
        <v>6801</v>
      </c>
      <c r="B6727" t="s">
        <v>611</v>
      </c>
      <c r="C6727" t="s">
        <v>6534</v>
      </c>
      <c r="E6727">
        <v>0.8</v>
      </c>
      <c r="F6727" t="s">
        <v>546</v>
      </c>
      <c r="G6727" s="174">
        <v>45581.451122685183</v>
      </c>
    </row>
    <row r="6728" spans="1:7">
      <c r="A6728">
        <v>6802</v>
      </c>
      <c r="B6728" t="s">
        <v>4189</v>
      </c>
      <c r="C6728" t="s">
        <v>3925</v>
      </c>
      <c r="E6728">
        <v>0.6</v>
      </c>
      <c r="F6728" t="s">
        <v>546</v>
      </c>
      <c r="G6728" s="174">
        <v>45581.451886574076</v>
      </c>
    </row>
    <row r="6729" spans="1:7">
      <c r="A6729">
        <v>6803</v>
      </c>
      <c r="B6729" t="s">
        <v>3806</v>
      </c>
      <c r="C6729" t="s">
        <v>4684</v>
      </c>
      <c r="E6729">
        <v>0.8</v>
      </c>
      <c r="F6729" t="s">
        <v>546</v>
      </c>
      <c r="G6729" s="174">
        <v>45581.460277777776</v>
      </c>
    </row>
    <row r="6730" spans="1:7">
      <c r="A6730">
        <v>6804</v>
      </c>
      <c r="B6730" t="s">
        <v>3806</v>
      </c>
      <c r="C6730" t="s">
        <v>2766</v>
      </c>
      <c r="E6730">
        <v>0.5</v>
      </c>
      <c r="F6730" t="s">
        <v>546</v>
      </c>
      <c r="G6730" s="174">
        <v>45581.460277777776</v>
      </c>
    </row>
    <row r="6731" spans="1:7">
      <c r="A6731">
        <v>6805</v>
      </c>
      <c r="B6731" t="s">
        <v>3806</v>
      </c>
      <c r="C6731" t="s">
        <v>8103</v>
      </c>
      <c r="E6731">
        <v>0.6</v>
      </c>
      <c r="F6731" t="s">
        <v>546</v>
      </c>
      <c r="G6731" s="174">
        <v>45581.460277777776</v>
      </c>
    </row>
    <row r="6732" spans="1:7">
      <c r="A6732">
        <v>6806</v>
      </c>
      <c r="B6732" t="s">
        <v>8104</v>
      </c>
      <c r="C6732" t="s">
        <v>8105</v>
      </c>
      <c r="E6732">
        <v>1</v>
      </c>
      <c r="F6732" t="s">
        <v>546</v>
      </c>
      <c r="G6732" s="174">
        <v>45581.461041666669</v>
      </c>
    </row>
    <row r="6733" spans="1:7">
      <c r="A6733">
        <v>6807</v>
      </c>
      <c r="B6733" t="s">
        <v>3757</v>
      </c>
      <c r="C6733" t="s">
        <v>3147</v>
      </c>
      <c r="E6733">
        <v>0.6</v>
      </c>
      <c r="F6733" t="s">
        <v>546</v>
      </c>
      <c r="G6733" s="174">
        <v>45581.465694444443</v>
      </c>
    </row>
    <row r="6734" spans="1:7">
      <c r="A6734">
        <v>6808</v>
      </c>
      <c r="B6734" t="s">
        <v>8106</v>
      </c>
      <c r="C6734" t="s">
        <v>4211</v>
      </c>
      <c r="E6734">
        <v>0.8</v>
      </c>
      <c r="F6734" t="s">
        <v>8107</v>
      </c>
      <c r="G6734" s="174">
        <v>45581.466481481482</v>
      </c>
    </row>
    <row r="6735" spans="1:7">
      <c r="A6735">
        <v>6809</v>
      </c>
      <c r="B6735" t="s">
        <v>6195</v>
      </c>
      <c r="C6735" t="s">
        <v>4788</v>
      </c>
      <c r="E6735">
        <v>1</v>
      </c>
      <c r="F6735" t="s">
        <v>546</v>
      </c>
      <c r="G6735" s="174">
        <v>45581.471956018519</v>
      </c>
    </row>
    <row r="6736" spans="1:7">
      <c r="A6736">
        <v>6810</v>
      </c>
      <c r="B6736" t="s">
        <v>5609</v>
      </c>
      <c r="C6736" t="s">
        <v>8108</v>
      </c>
      <c r="E6736">
        <v>0.6</v>
      </c>
      <c r="F6736" t="s">
        <v>546</v>
      </c>
      <c r="G6736" s="174">
        <v>45581.474907407406</v>
      </c>
    </row>
    <row r="6737" spans="1:7">
      <c r="A6737">
        <v>6811</v>
      </c>
      <c r="B6737" t="s">
        <v>6081</v>
      </c>
      <c r="C6737" t="s">
        <v>4564</v>
      </c>
      <c r="E6737">
        <v>0.8</v>
      </c>
      <c r="F6737" t="s">
        <v>546</v>
      </c>
      <c r="G6737" s="174">
        <v>45581.479189814818</v>
      </c>
    </row>
    <row r="6738" spans="1:7">
      <c r="A6738">
        <v>6812</v>
      </c>
      <c r="B6738" t="s">
        <v>6081</v>
      </c>
      <c r="C6738" t="s">
        <v>4899</v>
      </c>
      <c r="E6738">
        <v>0.5</v>
      </c>
      <c r="F6738" t="s">
        <v>546</v>
      </c>
      <c r="G6738" s="174">
        <v>45581.479189814818</v>
      </c>
    </row>
    <row r="6739" spans="1:7">
      <c r="A6739">
        <v>6814</v>
      </c>
      <c r="B6739" t="s">
        <v>8109</v>
      </c>
      <c r="C6739" t="s">
        <v>5615</v>
      </c>
      <c r="E6739">
        <v>0.8</v>
      </c>
      <c r="F6739" t="s">
        <v>8110</v>
      </c>
      <c r="G6739" s="174">
        <v>45581.482835648145</v>
      </c>
    </row>
    <row r="6740" spans="1:7">
      <c r="A6740">
        <v>6816</v>
      </c>
      <c r="B6740" t="s">
        <v>8111</v>
      </c>
      <c r="C6740" t="s">
        <v>3024</v>
      </c>
      <c r="E6740">
        <v>0.8</v>
      </c>
      <c r="F6740" t="s">
        <v>546</v>
      </c>
      <c r="G6740" s="174">
        <v>45581.674895833334</v>
      </c>
    </row>
    <row r="6741" spans="1:7">
      <c r="A6741">
        <v>6817</v>
      </c>
      <c r="B6741" t="s">
        <v>8111</v>
      </c>
      <c r="C6741" t="s">
        <v>1310</v>
      </c>
      <c r="E6741">
        <v>0.6</v>
      </c>
      <c r="F6741" t="s">
        <v>546</v>
      </c>
      <c r="G6741" s="174">
        <v>45581.674895833334</v>
      </c>
    </row>
    <row r="6742" spans="1:7">
      <c r="A6742">
        <v>6818</v>
      </c>
      <c r="B6742" t="s">
        <v>8112</v>
      </c>
      <c r="C6742" t="s">
        <v>7987</v>
      </c>
      <c r="E6742">
        <v>0.8</v>
      </c>
      <c r="F6742" t="s">
        <v>8113</v>
      </c>
      <c r="G6742" s="174">
        <v>45581.675868055558</v>
      </c>
    </row>
    <row r="6743" spans="1:7">
      <c r="A6743">
        <v>6819</v>
      </c>
      <c r="B6743" t="s">
        <v>658</v>
      </c>
      <c r="C6743" t="s">
        <v>3222</v>
      </c>
      <c r="E6743">
        <v>0.5</v>
      </c>
      <c r="F6743" t="s">
        <v>546</v>
      </c>
      <c r="G6743" s="174">
        <v>45581.683553240742</v>
      </c>
    </row>
    <row r="6744" spans="1:7">
      <c r="A6744">
        <v>6820</v>
      </c>
      <c r="B6744" t="s">
        <v>3480</v>
      </c>
      <c r="C6744" t="s">
        <v>1065</v>
      </c>
      <c r="E6744">
        <v>0.6</v>
      </c>
      <c r="F6744" t="s">
        <v>546</v>
      </c>
      <c r="G6744" s="174">
        <v>45599.743842592594</v>
      </c>
    </row>
    <row r="6745" spans="1:7">
      <c r="A6745">
        <v>6821</v>
      </c>
      <c r="B6745" t="s">
        <v>5694</v>
      </c>
      <c r="C6745" t="s">
        <v>8114</v>
      </c>
      <c r="E6745">
        <v>0.6</v>
      </c>
      <c r="F6745" t="s">
        <v>546</v>
      </c>
      <c r="G6745" s="174">
        <v>45599.866342592592</v>
      </c>
    </row>
    <row r="6746" spans="1:7">
      <c r="A6746">
        <v>6822</v>
      </c>
      <c r="B6746" t="s">
        <v>5002</v>
      </c>
      <c r="C6746" t="s">
        <v>4391</v>
      </c>
      <c r="E6746">
        <v>0.8</v>
      </c>
      <c r="F6746" t="s">
        <v>546</v>
      </c>
      <c r="G6746" s="174">
        <v>45599.868402777778</v>
      </c>
    </row>
    <row r="6747" spans="1:7">
      <c r="A6747">
        <v>6823</v>
      </c>
      <c r="B6747" t="s">
        <v>2978</v>
      </c>
      <c r="C6747" t="s">
        <v>4880</v>
      </c>
      <c r="E6747">
        <v>0.6</v>
      </c>
      <c r="F6747" t="s">
        <v>546</v>
      </c>
      <c r="G6747" s="174">
        <v>45599.86991898148</v>
      </c>
    </row>
    <row r="6748" spans="1:7">
      <c r="A6748">
        <v>6824</v>
      </c>
      <c r="B6748" t="s">
        <v>5846</v>
      </c>
      <c r="C6748" t="s">
        <v>773</v>
      </c>
      <c r="E6748">
        <v>0.6</v>
      </c>
      <c r="F6748" t="s">
        <v>546</v>
      </c>
      <c r="G6748" s="174">
        <v>45599.870787037034</v>
      </c>
    </row>
    <row r="6749" spans="1:7">
      <c r="A6749">
        <v>6825</v>
      </c>
      <c r="B6749" t="s">
        <v>4934</v>
      </c>
      <c r="C6749" t="s">
        <v>4267</v>
      </c>
      <c r="E6749">
        <v>0.8</v>
      </c>
      <c r="F6749" t="s">
        <v>546</v>
      </c>
      <c r="G6749" s="174">
        <v>45599.875787037039</v>
      </c>
    </row>
    <row r="6750" spans="1:7">
      <c r="A6750">
        <v>6828</v>
      </c>
      <c r="B6750" t="s">
        <v>2419</v>
      </c>
      <c r="C6750" t="s">
        <v>1031</v>
      </c>
      <c r="E6750">
        <v>0.6</v>
      </c>
      <c r="F6750" t="s">
        <v>546</v>
      </c>
      <c r="G6750" s="174">
        <v>45599.884351851855</v>
      </c>
    </row>
    <row r="6751" spans="1:7">
      <c r="A6751">
        <v>6829</v>
      </c>
      <c r="B6751" t="s">
        <v>4630</v>
      </c>
      <c r="C6751" t="s">
        <v>5449</v>
      </c>
      <c r="E6751">
        <v>0.45</v>
      </c>
      <c r="F6751" t="s">
        <v>546</v>
      </c>
      <c r="G6751" s="174">
        <v>45599.886782407404</v>
      </c>
    </row>
    <row r="6752" spans="1:7">
      <c r="A6752">
        <v>6830</v>
      </c>
      <c r="B6752" t="s">
        <v>4630</v>
      </c>
      <c r="C6752" t="s">
        <v>3161</v>
      </c>
      <c r="E6752">
        <v>0.6</v>
      </c>
      <c r="F6752" t="s">
        <v>546</v>
      </c>
      <c r="G6752" s="174">
        <v>45599.887800925928</v>
      </c>
    </row>
    <row r="6753" spans="1:7">
      <c r="A6753">
        <v>6831</v>
      </c>
      <c r="B6753" t="s">
        <v>2998</v>
      </c>
      <c r="C6753" t="s">
        <v>4822</v>
      </c>
      <c r="E6753">
        <v>0.6</v>
      </c>
      <c r="F6753" t="s">
        <v>546</v>
      </c>
      <c r="G6753" s="174">
        <v>45599.889201388891</v>
      </c>
    </row>
    <row r="6754" spans="1:7">
      <c r="A6754">
        <v>6832</v>
      </c>
      <c r="B6754" t="s">
        <v>2998</v>
      </c>
      <c r="C6754" t="s">
        <v>8115</v>
      </c>
      <c r="E6754">
        <v>0.5</v>
      </c>
      <c r="F6754" t="s">
        <v>546</v>
      </c>
      <c r="G6754" s="174">
        <v>45599.889201388891</v>
      </c>
    </row>
    <row r="6755" spans="1:7">
      <c r="A6755">
        <v>6833</v>
      </c>
      <c r="B6755" t="s">
        <v>2998</v>
      </c>
      <c r="C6755" t="s">
        <v>3524</v>
      </c>
      <c r="E6755">
        <v>0.5</v>
      </c>
      <c r="F6755" t="s">
        <v>546</v>
      </c>
      <c r="G6755" s="174">
        <v>45599.889201388891</v>
      </c>
    </row>
    <row r="6756" spans="1:7">
      <c r="A6756">
        <v>6834</v>
      </c>
      <c r="B6756" t="s">
        <v>1653</v>
      </c>
      <c r="C6756" t="s">
        <v>5137</v>
      </c>
      <c r="E6756">
        <v>0.8</v>
      </c>
      <c r="F6756" t="s">
        <v>546</v>
      </c>
      <c r="G6756" s="174">
        <v>45599.891886574071</v>
      </c>
    </row>
    <row r="6757" spans="1:7">
      <c r="A6757">
        <v>6837</v>
      </c>
      <c r="B6757" t="s">
        <v>6321</v>
      </c>
      <c r="C6757" t="s">
        <v>741</v>
      </c>
      <c r="E6757">
        <v>0.8</v>
      </c>
      <c r="F6757" t="s">
        <v>546</v>
      </c>
      <c r="G6757" s="174">
        <v>45599.894618055558</v>
      </c>
    </row>
    <row r="6758" spans="1:7">
      <c r="A6758">
        <v>6838</v>
      </c>
      <c r="B6758" t="s">
        <v>2459</v>
      </c>
      <c r="C6758" t="s">
        <v>4755</v>
      </c>
      <c r="E6758">
        <v>0.7</v>
      </c>
      <c r="F6758" t="s">
        <v>546</v>
      </c>
      <c r="G6758" s="174">
        <v>45599.895555555559</v>
      </c>
    </row>
    <row r="6759" spans="1:7">
      <c r="A6759">
        <v>6839</v>
      </c>
      <c r="B6759" t="s">
        <v>1167</v>
      </c>
      <c r="C6759" t="s">
        <v>3062</v>
      </c>
      <c r="E6759">
        <v>0.8</v>
      </c>
      <c r="F6759" t="s">
        <v>546</v>
      </c>
      <c r="G6759" s="174">
        <v>45599.896238425928</v>
      </c>
    </row>
    <row r="6760" spans="1:7">
      <c r="A6760">
        <v>6840</v>
      </c>
      <c r="B6760" t="s">
        <v>6456</v>
      </c>
      <c r="C6760" t="s">
        <v>3901</v>
      </c>
      <c r="E6760">
        <v>0.8</v>
      </c>
      <c r="F6760" t="s">
        <v>546</v>
      </c>
      <c r="G6760" s="174">
        <v>45599.898078703707</v>
      </c>
    </row>
    <row r="6761" spans="1:7">
      <c r="A6761">
        <v>6841</v>
      </c>
      <c r="B6761" t="s">
        <v>6456</v>
      </c>
      <c r="C6761" t="s">
        <v>3844</v>
      </c>
      <c r="E6761">
        <v>0.6</v>
      </c>
      <c r="F6761" t="s">
        <v>546</v>
      </c>
      <c r="G6761" s="174">
        <v>45599.898078703707</v>
      </c>
    </row>
    <row r="6762" spans="1:7">
      <c r="A6762">
        <v>6842</v>
      </c>
      <c r="B6762" t="s">
        <v>5069</v>
      </c>
      <c r="C6762" t="s">
        <v>2257</v>
      </c>
      <c r="E6762">
        <v>0.8</v>
      </c>
      <c r="F6762" t="s">
        <v>546</v>
      </c>
      <c r="G6762" s="174">
        <v>45599.911956018521</v>
      </c>
    </row>
    <row r="6763" spans="1:7">
      <c r="A6763">
        <v>6843</v>
      </c>
      <c r="B6763" t="s">
        <v>3403</v>
      </c>
      <c r="C6763" t="s">
        <v>3855</v>
      </c>
      <c r="E6763">
        <v>0.6</v>
      </c>
      <c r="F6763" t="s">
        <v>546</v>
      </c>
      <c r="G6763" s="174">
        <v>45599.913356481484</v>
      </c>
    </row>
    <row r="6764" spans="1:7">
      <c r="A6764">
        <v>6844</v>
      </c>
      <c r="B6764" t="s">
        <v>4811</v>
      </c>
      <c r="C6764" t="s">
        <v>8004</v>
      </c>
      <c r="E6764">
        <v>0.8</v>
      </c>
      <c r="F6764" t="s">
        <v>546</v>
      </c>
      <c r="G6764" s="174">
        <v>45599.914305555554</v>
      </c>
    </row>
    <row r="6765" spans="1:7">
      <c r="A6765">
        <v>6846</v>
      </c>
      <c r="B6765" t="s">
        <v>913</v>
      </c>
      <c r="C6765" t="s">
        <v>5128</v>
      </c>
      <c r="E6765">
        <v>0.6</v>
      </c>
      <c r="F6765" t="s">
        <v>546</v>
      </c>
      <c r="G6765" s="174">
        <v>45600.392083333332</v>
      </c>
    </row>
    <row r="6766" spans="1:7">
      <c r="A6766">
        <v>6847</v>
      </c>
      <c r="B6766" t="s">
        <v>3022</v>
      </c>
      <c r="C6766" t="s">
        <v>8116</v>
      </c>
      <c r="E6766">
        <v>0.6</v>
      </c>
      <c r="F6766" t="s">
        <v>546</v>
      </c>
      <c r="G6766" s="174">
        <v>45600.393055555556</v>
      </c>
    </row>
    <row r="6767" spans="1:7">
      <c r="A6767">
        <v>6848</v>
      </c>
      <c r="B6767" t="s">
        <v>764</v>
      </c>
      <c r="C6767" t="s">
        <v>3294</v>
      </c>
      <c r="E6767">
        <v>0.6</v>
      </c>
      <c r="F6767" t="s">
        <v>546</v>
      </c>
      <c r="G6767" s="174">
        <v>45600.399236111109</v>
      </c>
    </row>
    <row r="6768" spans="1:7">
      <c r="A6768">
        <v>6849</v>
      </c>
      <c r="B6768" t="s">
        <v>764</v>
      </c>
      <c r="C6768" t="s">
        <v>1101</v>
      </c>
      <c r="E6768">
        <v>0.5</v>
      </c>
      <c r="F6768" t="s">
        <v>8117</v>
      </c>
      <c r="G6768" s="174">
        <v>45600.399236111109</v>
      </c>
    </row>
    <row r="6769" spans="1:7">
      <c r="A6769">
        <v>6850</v>
      </c>
      <c r="B6769" t="s">
        <v>8118</v>
      </c>
      <c r="C6769" t="s">
        <v>4353</v>
      </c>
      <c r="E6769">
        <v>0.8</v>
      </c>
      <c r="F6769" t="s">
        <v>8119</v>
      </c>
      <c r="G6769" s="174">
        <v>45600.403101851851</v>
      </c>
    </row>
    <row r="6770" spans="1:7">
      <c r="A6770">
        <v>6851</v>
      </c>
      <c r="B6770" t="s">
        <v>8118</v>
      </c>
      <c r="C6770" t="s">
        <v>2904</v>
      </c>
      <c r="E6770">
        <v>0.7</v>
      </c>
      <c r="F6770" t="s">
        <v>8120</v>
      </c>
      <c r="G6770" s="174">
        <v>45600.403101851851</v>
      </c>
    </row>
    <row r="6771" spans="1:7">
      <c r="A6771">
        <v>6852</v>
      </c>
      <c r="B6771" t="s">
        <v>965</v>
      </c>
      <c r="C6771" t="s">
        <v>2824</v>
      </c>
      <c r="E6771">
        <v>0.8</v>
      </c>
      <c r="F6771" t="s">
        <v>546</v>
      </c>
      <c r="G6771" s="174">
        <v>45600.404143518521</v>
      </c>
    </row>
    <row r="6772" spans="1:7">
      <c r="A6772">
        <v>6853</v>
      </c>
      <c r="B6772" t="s">
        <v>3431</v>
      </c>
      <c r="C6772" t="s">
        <v>8121</v>
      </c>
      <c r="E6772">
        <v>0.6</v>
      </c>
      <c r="F6772" t="s">
        <v>546</v>
      </c>
      <c r="G6772" s="174">
        <v>45600.405752314815</v>
      </c>
    </row>
    <row r="6773" spans="1:7">
      <c r="A6773">
        <v>6854</v>
      </c>
      <c r="B6773" t="s">
        <v>8122</v>
      </c>
      <c r="C6773" t="s">
        <v>5804</v>
      </c>
      <c r="E6773">
        <v>0.6</v>
      </c>
      <c r="F6773" t="s">
        <v>8123</v>
      </c>
      <c r="G6773" s="174">
        <v>45600.410057870373</v>
      </c>
    </row>
    <row r="6774" spans="1:7">
      <c r="A6774">
        <v>6855</v>
      </c>
      <c r="B6774" t="s">
        <v>8122</v>
      </c>
      <c r="C6774" t="s">
        <v>5525</v>
      </c>
      <c r="E6774">
        <v>0.8</v>
      </c>
      <c r="F6774" t="s">
        <v>8123</v>
      </c>
      <c r="G6774" s="174">
        <v>45600.410057870373</v>
      </c>
    </row>
    <row r="6775" spans="1:7">
      <c r="A6775">
        <v>6856</v>
      </c>
      <c r="B6775" t="s">
        <v>1812</v>
      </c>
      <c r="C6775" t="s">
        <v>8124</v>
      </c>
      <c r="E6775">
        <v>0.5</v>
      </c>
      <c r="F6775" t="s">
        <v>546</v>
      </c>
      <c r="G6775" s="174">
        <v>45600.413622685184</v>
      </c>
    </row>
    <row r="6776" spans="1:7">
      <c r="A6776">
        <v>6857</v>
      </c>
      <c r="B6776" t="s">
        <v>3168</v>
      </c>
      <c r="C6776" t="s">
        <v>8125</v>
      </c>
      <c r="E6776">
        <v>0.5</v>
      </c>
      <c r="F6776" t="s">
        <v>546</v>
      </c>
      <c r="G6776" s="174">
        <v>45600.416516203702</v>
      </c>
    </row>
    <row r="6777" spans="1:7">
      <c r="A6777">
        <v>6858</v>
      </c>
      <c r="B6777" t="s">
        <v>1228</v>
      </c>
      <c r="C6777" t="s">
        <v>4057</v>
      </c>
      <c r="E6777">
        <v>0.7</v>
      </c>
      <c r="F6777" t="s">
        <v>546</v>
      </c>
      <c r="G6777" s="174">
        <v>45600.417662037034</v>
      </c>
    </row>
    <row r="6778" spans="1:7">
      <c r="A6778">
        <v>6859</v>
      </c>
      <c r="B6778" t="s">
        <v>4886</v>
      </c>
      <c r="C6778" t="s">
        <v>2895</v>
      </c>
      <c r="E6778">
        <v>0.6</v>
      </c>
      <c r="F6778" t="s">
        <v>546</v>
      </c>
      <c r="G6778" s="174">
        <v>45600.418668981481</v>
      </c>
    </row>
    <row r="6779" spans="1:7">
      <c r="A6779">
        <v>6860</v>
      </c>
      <c r="B6779" t="s">
        <v>6203</v>
      </c>
      <c r="C6779" t="s">
        <v>5076</v>
      </c>
      <c r="E6779">
        <v>0.6</v>
      </c>
      <c r="F6779" t="s">
        <v>546</v>
      </c>
      <c r="G6779" s="174">
        <v>45600.420416666668</v>
      </c>
    </row>
    <row r="6780" spans="1:7">
      <c r="A6780">
        <v>6861</v>
      </c>
      <c r="B6780" t="s">
        <v>4302</v>
      </c>
      <c r="C6780" t="s">
        <v>3782</v>
      </c>
      <c r="E6780">
        <v>0.6</v>
      </c>
      <c r="F6780" t="s">
        <v>546</v>
      </c>
      <c r="G6780" s="174">
        <v>45600.422395833331</v>
      </c>
    </row>
    <row r="6781" spans="1:7">
      <c r="A6781">
        <v>6862</v>
      </c>
      <c r="B6781" t="s">
        <v>8126</v>
      </c>
      <c r="C6781" t="s">
        <v>2877</v>
      </c>
      <c r="E6781">
        <v>0.8</v>
      </c>
      <c r="F6781" t="s">
        <v>546</v>
      </c>
      <c r="G6781" s="174">
        <v>45600.425868055558</v>
      </c>
    </row>
    <row r="6782" spans="1:7">
      <c r="A6782">
        <v>6863</v>
      </c>
      <c r="B6782" t="s">
        <v>8127</v>
      </c>
      <c r="C6782" t="s">
        <v>8018</v>
      </c>
      <c r="E6782">
        <v>0.8</v>
      </c>
      <c r="F6782" t="s">
        <v>546</v>
      </c>
      <c r="G6782" s="174">
        <v>45600.426932870374</v>
      </c>
    </row>
    <row r="6783" spans="1:7">
      <c r="A6783">
        <v>6864</v>
      </c>
      <c r="B6783" t="s">
        <v>6062</v>
      </c>
      <c r="C6783" t="s">
        <v>4942</v>
      </c>
      <c r="E6783">
        <v>0.6</v>
      </c>
      <c r="F6783" t="s">
        <v>546</v>
      </c>
      <c r="G6783" s="174">
        <v>45600.427777777775</v>
      </c>
    </row>
    <row r="6784" spans="1:7">
      <c r="A6784">
        <v>6865</v>
      </c>
      <c r="B6784" t="s">
        <v>8128</v>
      </c>
      <c r="C6784" t="s">
        <v>3581</v>
      </c>
      <c r="E6784">
        <v>0.8</v>
      </c>
      <c r="F6784" t="s">
        <v>546</v>
      </c>
      <c r="G6784" s="174">
        <v>45600.429155092592</v>
      </c>
    </row>
    <row r="6785" spans="1:7">
      <c r="A6785">
        <v>6866</v>
      </c>
      <c r="B6785" t="s">
        <v>8128</v>
      </c>
      <c r="C6785" t="s">
        <v>5373</v>
      </c>
      <c r="E6785">
        <v>0.6</v>
      </c>
      <c r="F6785" t="s">
        <v>546</v>
      </c>
      <c r="G6785" s="174">
        <v>45600.429155092592</v>
      </c>
    </row>
    <row r="6786" spans="1:7">
      <c r="A6786">
        <v>6867</v>
      </c>
      <c r="B6786" t="s">
        <v>5781</v>
      </c>
      <c r="C6786" t="s">
        <v>3366</v>
      </c>
      <c r="E6786">
        <v>0.8</v>
      </c>
      <c r="F6786" t="s">
        <v>546</v>
      </c>
      <c r="G6786" s="174">
        <v>45600.430231481485</v>
      </c>
    </row>
    <row r="6787" spans="1:7">
      <c r="A6787">
        <v>6868</v>
      </c>
      <c r="B6787" t="s">
        <v>6408</v>
      </c>
      <c r="C6787" t="s">
        <v>5631</v>
      </c>
      <c r="E6787">
        <v>0.7</v>
      </c>
      <c r="F6787" t="s">
        <v>546</v>
      </c>
      <c r="G6787" s="174">
        <v>45600.431608796294</v>
      </c>
    </row>
    <row r="6788" spans="1:7">
      <c r="A6788">
        <v>6869</v>
      </c>
      <c r="B6788" t="s">
        <v>6408</v>
      </c>
      <c r="C6788" t="s">
        <v>8129</v>
      </c>
      <c r="E6788">
        <v>0.6</v>
      </c>
      <c r="F6788" t="s">
        <v>546</v>
      </c>
      <c r="G6788" s="174">
        <v>45600.431608796294</v>
      </c>
    </row>
    <row r="6789" spans="1:7">
      <c r="A6789">
        <v>6870</v>
      </c>
      <c r="B6789" t="s">
        <v>4132</v>
      </c>
      <c r="C6789" t="s">
        <v>2257</v>
      </c>
      <c r="E6789">
        <v>0.8</v>
      </c>
      <c r="F6789" t="s">
        <v>8130</v>
      </c>
      <c r="G6789" s="174">
        <v>45600.433865740742</v>
      </c>
    </row>
    <row r="6790" spans="1:7">
      <c r="A6790">
        <v>6871</v>
      </c>
      <c r="B6790" t="s">
        <v>4132</v>
      </c>
      <c r="C6790" t="s">
        <v>3103</v>
      </c>
      <c r="E6790">
        <v>0.7</v>
      </c>
      <c r="F6790" t="s">
        <v>8131</v>
      </c>
      <c r="G6790" s="174">
        <v>45600.433865740742</v>
      </c>
    </row>
    <row r="6791" spans="1:7">
      <c r="A6791">
        <v>6872</v>
      </c>
      <c r="B6791" t="s">
        <v>8132</v>
      </c>
      <c r="C6791" t="s">
        <v>3308</v>
      </c>
      <c r="E6791">
        <v>0.8</v>
      </c>
      <c r="F6791" t="s">
        <v>8133</v>
      </c>
      <c r="G6791" s="174">
        <v>45600.434432870374</v>
      </c>
    </row>
    <row r="6792" spans="1:7">
      <c r="A6792">
        <v>6873</v>
      </c>
      <c r="B6792" t="s">
        <v>2192</v>
      </c>
      <c r="C6792" t="s">
        <v>4505</v>
      </c>
      <c r="E6792">
        <v>0.6</v>
      </c>
      <c r="F6792" t="s">
        <v>8134</v>
      </c>
      <c r="G6792" s="174">
        <v>45600.435601851852</v>
      </c>
    </row>
    <row r="6793" spans="1:7">
      <c r="A6793">
        <v>6875</v>
      </c>
      <c r="B6793" t="s">
        <v>1214</v>
      </c>
      <c r="C6793" t="s">
        <v>7487</v>
      </c>
      <c r="E6793">
        <v>0.8</v>
      </c>
      <c r="F6793" t="s">
        <v>8135</v>
      </c>
      <c r="G6793" s="174">
        <v>45600.441342592596</v>
      </c>
    </row>
    <row r="6794" spans="1:7">
      <c r="A6794">
        <v>6876</v>
      </c>
      <c r="B6794" t="s">
        <v>1214</v>
      </c>
      <c r="C6794" t="s">
        <v>1118</v>
      </c>
      <c r="E6794">
        <v>0.7</v>
      </c>
      <c r="F6794" t="s">
        <v>8136</v>
      </c>
      <c r="G6794" s="174">
        <v>45600.441342592596</v>
      </c>
    </row>
    <row r="6795" spans="1:7">
      <c r="A6795">
        <v>6877</v>
      </c>
      <c r="B6795" t="s">
        <v>1415</v>
      </c>
      <c r="C6795" t="s">
        <v>8137</v>
      </c>
      <c r="E6795">
        <v>0.6</v>
      </c>
      <c r="F6795" t="s">
        <v>546</v>
      </c>
      <c r="G6795" s="174">
        <v>45601.47314814815</v>
      </c>
    </row>
    <row r="6796" spans="1:7">
      <c r="A6796">
        <v>6878</v>
      </c>
      <c r="B6796" t="s">
        <v>7501</v>
      </c>
      <c r="C6796" t="s">
        <v>8138</v>
      </c>
      <c r="E6796">
        <v>0.6</v>
      </c>
      <c r="F6796" t="s">
        <v>546</v>
      </c>
      <c r="G6796" s="174">
        <v>45601.475856481484</v>
      </c>
    </row>
    <row r="6797" spans="1:7">
      <c r="A6797">
        <v>6879</v>
      </c>
      <c r="B6797" t="s">
        <v>5955</v>
      </c>
      <c r="C6797" t="s">
        <v>3381</v>
      </c>
      <c r="E6797">
        <v>0.6</v>
      </c>
      <c r="F6797" t="s">
        <v>546</v>
      </c>
      <c r="G6797" s="174">
        <v>45601.602881944447</v>
      </c>
    </row>
    <row r="6798" spans="1:7">
      <c r="A6798">
        <v>6880</v>
      </c>
      <c r="B6798" t="s">
        <v>3280</v>
      </c>
      <c r="C6798" t="s">
        <v>1835</v>
      </c>
      <c r="E6798">
        <v>0.6</v>
      </c>
      <c r="F6798" t="s">
        <v>8139</v>
      </c>
      <c r="G6798" s="174">
        <v>45601.659421296295</v>
      </c>
    </row>
    <row r="6799" spans="1:7">
      <c r="A6799">
        <v>6881</v>
      </c>
      <c r="B6799" t="s">
        <v>6557</v>
      </c>
      <c r="C6799" t="s">
        <v>8140</v>
      </c>
      <c r="E6799">
        <v>1</v>
      </c>
      <c r="F6799" t="s">
        <v>546</v>
      </c>
      <c r="G6799" s="174">
        <v>45601.660428240742</v>
      </c>
    </row>
    <row r="6800" spans="1:7">
      <c r="A6800">
        <v>6882</v>
      </c>
      <c r="B6800" t="s">
        <v>6400</v>
      </c>
      <c r="C6800" t="s">
        <v>8141</v>
      </c>
      <c r="E6800">
        <v>0.6</v>
      </c>
      <c r="F6800" t="s">
        <v>546</v>
      </c>
      <c r="G6800" s="174">
        <v>45601.666851851849</v>
      </c>
    </row>
    <row r="6801" spans="1:7">
      <c r="A6801">
        <v>6883</v>
      </c>
      <c r="B6801" t="s">
        <v>8142</v>
      </c>
      <c r="C6801" t="s">
        <v>727</v>
      </c>
      <c r="E6801">
        <v>0.6</v>
      </c>
      <c r="F6801" t="s">
        <v>546</v>
      </c>
      <c r="G6801" s="174">
        <v>45601.685219907406</v>
      </c>
    </row>
    <row r="6802" spans="1:7">
      <c r="A6802">
        <v>6884</v>
      </c>
      <c r="B6802" t="s">
        <v>4190</v>
      </c>
      <c r="C6802" t="s">
        <v>2794</v>
      </c>
      <c r="E6802">
        <v>0.6</v>
      </c>
      <c r="F6802" t="s">
        <v>546</v>
      </c>
      <c r="G6802" s="174">
        <v>45601.686145833337</v>
      </c>
    </row>
    <row r="6803" spans="1:7">
      <c r="A6803">
        <v>6885</v>
      </c>
      <c r="B6803" t="s">
        <v>3221</v>
      </c>
      <c r="C6803" t="s">
        <v>3286</v>
      </c>
      <c r="E6803">
        <v>0.6</v>
      </c>
      <c r="F6803" t="s">
        <v>546</v>
      </c>
      <c r="G6803" s="174">
        <v>45601.687037037038</v>
      </c>
    </row>
    <row r="6804" spans="1:7">
      <c r="A6804">
        <v>6886</v>
      </c>
      <c r="B6804" t="s">
        <v>8143</v>
      </c>
      <c r="C6804" t="s">
        <v>4790</v>
      </c>
      <c r="E6804">
        <v>1</v>
      </c>
      <c r="F6804" t="s">
        <v>546</v>
      </c>
      <c r="G6804" s="174">
        <v>45601.688356481478</v>
      </c>
    </row>
    <row r="6805" spans="1:7">
      <c r="A6805">
        <v>6887</v>
      </c>
      <c r="B6805" t="s">
        <v>8143</v>
      </c>
      <c r="C6805" t="s">
        <v>8144</v>
      </c>
      <c r="E6805">
        <v>0.6</v>
      </c>
      <c r="F6805" t="s">
        <v>546</v>
      </c>
      <c r="G6805" s="174">
        <v>45601.688356481478</v>
      </c>
    </row>
    <row r="6806" spans="1:7">
      <c r="A6806">
        <v>6888</v>
      </c>
      <c r="B6806" t="s">
        <v>7034</v>
      </c>
      <c r="C6806" t="s">
        <v>3341</v>
      </c>
      <c r="E6806">
        <v>1</v>
      </c>
      <c r="F6806" t="s">
        <v>546</v>
      </c>
      <c r="G6806" s="174">
        <v>45601.695717592593</v>
      </c>
    </row>
    <row r="6807" spans="1:7">
      <c r="A6807">
        <v>6889</v>
      </c>
      <c r="B6807" t="s">
        <v>2830</v>
      </c>
      <c r="C6807" t="s">
        <v>762</v>
      </c>
      <c r="E6807">
        <v>0.6</v>
      </c>
      <c r="F6807" t="s">
        <v>546</v>
      </c>
      <c r="G6807" s="174">
        <v>45601.697187500002</v>
      </c>
    </row>
    <row r="6808" spans="1:7">
      <c r="A6808">
        <v>6890</v>
      </c>
      <c r="B6808" t="s">
        <v>1362</v>
      </c>
      <c r="C6808" t="s">
        <v>4369</v>
      </c>
      <c r="E6808">
        <v>1</v>
      </c>
      <c r="F6808" t="s">
        <v>546</v>
      </c>
      <c r="G6808" s="174">
        <v>45601.698101851849</v>
      </c>
    </row>
    <row r="6809" spans="1:7">
      <c r="A6809">
        <v>6891</v>
      </c>
      <c r="B6809" t="s">
        <v>8145</v>
      </c>
      <c r="C6809" t="s">
        <v>6355</v>
      </c>
      <c r="E6809">
        <v>1</v>
      </c>
      <c r="F6809" t="s">
        <v>546</v>
      </c>
      <c r="G6809" s="174">
        <v>45601.699791666666</v>
      </c>
    </row>
    <row r="6810" spans="1:7">
      <c r="A6810">
        <v>6892</v>
      </c>
      <c r="B6810" t="s">
        <v>8146</v>
      </c>
      <c r="C6810" t="s">
        <v>2894</v>
      </c>
      <c r="E6810">
        <v>0.8</v>
      </c>
      <c r="F6810" t="s">
        <v>546</v>
      </c>
      <c r="G6810" s="174">
        <v>45601.85833333333</v>
      </c>
    </row>
    <row r="6811" spans="1:7">
      <c r="A6811">
        <v>6893</v>
      </c>
      <c r="B6811" t="s">
        <v>8147</v>
      </c>
      <c r="C6811" t="s">
        <v>4395</v>
      </c>
      <c r="E6811">
        <v>0.8</v>
      </c>
      <c r="F6811" t="s">
        <v>546</v>
      </c>
      <c r="G6811" s="174">
        <v>45601.859525462962</v>
      </c>
    </row>
    <row r="6812" spans="1:7">
      <c r="A6812">
        <v>6894</v>
      </c>
      <c r="B6812" t="s">
        <v>8148</v>
      </c>
      <c r="C6812" t="s">
        <v>8149</v>
      </c>
      <c r="E6812">
        <v>1</v>
      </c>
      <c r="F6812" t="s">
        <v>546</v>
      </c>
      <c r="G6812" s="174">
        <v>45601.86010416667</v>
      </c>
    </row>
    <row r="6813" spans="1:7">
      <c r="A6813">
        <v>6895</v>
      </c>
      <c r="B6813" t="s">
        <v>5295</v>
      </c>
      <c r="C6813" t="s">
        <v>8150</v>
      </c>
      <c r="E6813">
        <v>1</v>
      </c>
      <c r="F6813" t="s">
        <v>546</v>
      </c>
      <c r="G6813" s="174">
        <v>45601.862511574072</v>
      </c>
    </row>
    <row r="6814" spans="1:7">
      <c r="A6814">
        <v>6896</v>
      </c>
      <c r="B6814" t="s">
        <v>5295</v>
      </c>
      <c r="C6814" t="s">
        <v>4391</v>
      </c>
      <c r="E6814">
        <v>0.5</v>
      </c>
      <c r="F6814" t="s">
        <v>546</v>
      </c>
      <c r="G6814" s="174">
        <v>45601.862511574072</v>
      </c>
    </row>
    <row r="6815" spans="1:7">
      <c r="A6815">
        <v>6897</v>
      </c>
      <c r="B6815" t="s">
        <v>8151</v>
      </c>
      <c r="C6815" t="s">
        <v>1351</v>
      </c>
      <c r="E6815">
        <v>0.8</v>
      </c>
      <c r="F6815" t="s">
        <v>8152</v>
      </c>
      <c r="G6815" s="174">
        <v>45601.864930555559</v>
      </c>
    </row>
    <row r="6816" spans="1:7">
      <c r="A6816">
        <v>6898</v>
      </c>
      <c r="B6816" t="s">
        <v>4817</v>
      </c>
      <c r="C6816" t="s">
        <v>3286</v>
      </c>
      <c r="E6816">
        <v>0.5</v>
      </c>
      <c r="F6816" t="s">
        <v>3134</v>
      </c>
      <c r="G6816" s="174">
        <v>45601.86577546296</v>
      </c>
    </row>
    <row r="6817" spans="1:7">
      <c r="A6817">
        <v>6899</v>
      </c>
      <c r="B6817" t="s">
        <v>8153</v>
      </c>
      <c r="C6817" t="s">
        <v>625</v>
      </c>
      <c r="E6817">
        <v>0.8</v>
      </c>
      <c r="F6817" t="s">
        <v>8154</v>
      </c>
      <c r="G6817" s="174">
        <v>45601.867974537039</v>
      </c>
    </row>
    <row r="6818" spans="1:7">
      <c r="A6818">
        <v>6900</v>
      </c>
      <c r="B6818" t="s">
        <v>8155</v>
      </c>
      <c r="C6818" t="s">
        <v>4996</v>
      </c>
      <c r="E6818">
        <v>0.8</v>
      </c>
      <c r="F6818" t="s">
        <v>546</v>
      </c>
      <c r="G6818" s="174">
        <v>45602.431608796294</v>
      </c>
    </row>
    <row r="6819" spans="1:7">
      <c r="A6819">
        <v>6901</v>
      </c>
      <c r="B6819" t="s">
        <v>8156</v>
      </c>
      <c r="C6819" t="s">
        <v>5132</v>
      </c>
      <c r="E6819">
        <v>0.8</v>
      </c>
      <c r="F6819" t="s">
        <v>546</v>
      </c>
      <c r="G6819" s="174">
        <v>45602.438020833331</v>
      </c>
    </row>
    <row r="6820" spans="1:7">
      <c r="A6820">
        <v>6902</v>
      </c>
      <c r="B6820" t="s">
        <v>8157</v>
      </c>
      <c r="C6820" t="s">
        <v>2866</v>
      </c>
      <c r="E6820">
        <v>0.8</v>
      </c>
      <c r="F6820" t="s">
        <v>546</v>
      </c>
      <c r="G6820" s="174">
        <v>45602.440370370372</v>
      </c>
    </row>
    <row r="6821" spans="1:7">
      <c r="A6821">
        <v>6903</v>
      </c>
      <c r="B6821" t="s">
        <v>2107</v>
      </c>
      <c r="C6821" t="s">
        <v>1359</v>
      </c>
      <c r="E6821">
        <v>0.5</v>
      </c>
      <c r="F6821" t="s">
        <v>546</v>
      </c>
      <c r="G6821" s="174">
        <v>45602.441655092596</v>
      </c>
    </row>
    <row r="6822" spans="1:7">
      <c r="A6822">
        <v>6904</v>
      </c>
      <c r="B6822" t="s">
        <v>2107</v>
      </c>
      <c r="C6822" t="s">
        <v>974</v>
      </c>
      <c r="E6822">
        <v>0.7</v>
      </c>
      <c r="F6822" t="s">
        <v>8158</v>
      </c>
      <c r="G6822" s="174">
        <v>45602.441655092596</v>
      </c>
    </row>
    <row r="6823" spans="1:7">
      <c r="A6823">
        <v>6905</v>
      </c>
      <c r="B6823" t="s">
        <v>8159</v>
      </c>
      <c r="C6823" t="s">
        <v>1299</v>
      </c>
      <c r="E6823">
        <v>0.8</v>
      </c>
      <c r="F6823" t="s">
        <v>546</v>
      </c>
      <c r="G6823" s="174">
        <v>45602.444444444445</v>
      </c>
    </row>
    <row r="6824" spans="1:7">
      <c r="A6824">
        <v>6906</v>
      </c>
      <c r="B6824" t="s">
        <v>4785</v>
      </c>
      <c r="C6824" t="s">
        <v>8026</v>
      </c>
      <c r="E6824">
        <v>1</v>
      </c>
      <c r="F6824" t="s">
        <v>546</v>
      </c>
      <c r="G6824" s="174">
        <v>45602.446145833332</v>
      </c>
    </row>
    <row r="6825" spans="1:7">
      <c r="A6825">
        <v>6907</v>
      </c>
      <c r="B6825" t="s">
        <v>4683</v>
      </c>
      <c r="C6825" t="s">
        <v>3866</v>
      </c>
      <c r="E6825">
        <v>0.6</v>
      </c>
      <c r="F6825" t="s">
        <v>546</v>
      </c>
      <c r="G6825" s="174">
        <v>45602.447557870371</v>
      </c>
    </row>
    <row r="6826" spans="1:7">
      <c r="A6826">
        <v>6908</v>
      </c>
      <c r="B6826" t="s">
        <v>8160</v>
      </c>
      <c r="C6826" t="s">
        <v>3129</v>
      </c>
      <c r="E6826">
        <v>0.8</v>
      </c>
      <c r="F6826" t="s">
        <v>546</v>
      </c>
      <c r="G6826" s="174">
        <v>45602.448703703703</v>
      </c>
    </row>
    <row r="6827" spans="1:7">
      <c r="A6827">
        <v>6909</v>
      </c>
      <c r="B6827" t="s">
        <v>697</v>
      </c>
      <c r="C6827" t="s">
        <v>4369</v>
      </c>
      <c r="E6827">
        <v>0.8</v>
      </c>
      <c r="F6827" t="s">
        <v>8161</v>
      </c>
      <c r="G6827" s="174">
        <v>45602.458518518521</v>
      </c>
    </row>
    <row r="6828" spans="1:7">
      <c r="A6828">
        <v>6910</v>
      </c>
      <c r="B6828" t="s">
        <v>926</v>
      </c>
      <c r="C6828" t="s">
        <v>4369</v>
      </c>
      <c r="E6828">
        <v>0.8</v>
      </c>
      <c r="F6828" t="s">
        <v>546</v>
      </c>
      <c r="G6828" s="174">
        <v>45602.45957175926</v>
      </c>
    </row>
    <row r="6829" spans="1:7">
      <c r="A6829">
        <v>6911</v>
      </c>
      <c r="B6829" t="s">
        <v>5596</v>
      </c>
      <c r="C6829" t="s">
        <v>6429</v>
      </c>
      <c r="E6829">
        <v>0.5</v>
      </c>
      <c r="F6829" t="s">
        <v>546</v>
      </c>
      <c r="G6829" s="174">
        <v>45602.470208333332</v>
      </c>
    </row>
    <row r="6830" spans="1:7">
      <c r="A6830">
        <v>6912</v>
      </c>
      <c r="B6830" t="s">
        <v>5596</v>
      </c>
      <c r="C6830" t="s">
        <v>8162</v>
      </c>
      <c r="E6830">
        <v>0.6</v>
      </c>
      <c r="F6830" t="s">
        <v>546</v>
      </c>
      <c r="G6830" s="174">
        <v>45602.470717592594</v>
      </c>
    </row>
    <row r="6831" spans="1:7">
      <c r="A6831">
        <v>6913</v>
      </c>
      <c r="B6831" t="s">
        <v>3699</v>
      </c>
      <c r="C6831" t="s">
        <v>4395</v>
      </c>
      <c r="E6831">
        <v>0.8</v>
      </c>
      <c r="F6831" t="s">
        <v>546</v>
      </c>
      <c r="G6831" s="174">
        <v>45602.471574074072</v>
      </c>
    </row>
    <row r="6832" spans="1:7">
      <c r="A6832">
        <v>6914</v>
      </c>
      <c r="B6832" t="s">
        <v>8163</v>
      </c>
      <c r="C6832" t="s">
        <v>4526</v>
      </c>
      <c r="E6832">
        <v>0.8</v>
      </c>
      <c r="F6832" t="s">
        <v>546</v>
      </c>
      <c r="G6832" s="174">
        <v>45602.472083333334</v>
      </c>
    </row>
    <row r="6833" spans="1:7">
      <c r="A6833">
        <v>6915</v>
      </c>
      <c r="B6833" t="s">
        <v>6855</v>
      </c>
      <c r="C6833" t="s">
        <v>8164</v>
      </c>
      <c r="E6833">
        <v>0.8</v>
      </c>
      <c r="F6833" t="s">
        <v>546</v>
      </c>
      <c r="G6833" s="174">
        <v>45602.472893518519</v>
      </c>
    </row>
    <row r="6834" spans="1:7">
      <c r="A6834">
        <v>6916</v>
      </c>
      <c r="B6834" t="s">
        <v>6855</v>
      </c>
      <c r="C6834" t="s">
        <v>3274</v>
      </c>
      <c r="E6834">
        <v>0.6</v>
      </c>
      <c r="F6834" t="s">
        <v>546</v>
      </c>
      <c r="G6834" s="174">
        <v>45602.473124999997</v>
      </c>
    </row>
    <row r="6835" spans="1:7">
      <c r="A6835">
        <v>6917</v>
      </c>
      <c r="B6835" t="s">
        <v>4331</v>
      </c>
      <c r="C6835" t="s">
        <v>2257</v>
      </c>
      <c r="E6835">
        <v>0.8</v>
      </c>
      <c r="F6835" t="s">
        <v>546</v>
      </c>
      <c r="G6835" s="174">
        <v>45602.474027777775</v>
      </c>
    </row>
    <row r="6836" spans="1:7">
      <c r="A6836">
        <v>6918</v>
      </c>
      <c r="B6836" t="s">
        <v>8165</v>
      </c>
      <c r="C6836" t="s">
        <v>3889</v>
      </c>
      <c r="E6836">
        <v>0.8</v>
      </c>
      <c r="F6836" t="s">
        <v>546</v>
      </c>
      <c r="G6836" s="174">
        <v>45602.476712962962</v>
      </c>
    </row>
    <row r="6837" spans="1:7">
      <c r="A6837">
        <v>6919</v>
      </c>
      <c r="B6837" t="s">
        <v>8166</v>
      </c>
      <c r="C6837" t="s">
        <v>5237</v>
      </c>
      <c r="E6837">
        <v>0.8</v>
      </c>
      <c r="F6837" t="s">
        <v>546</v>
      </c>
      <c r="G6837" s="174">
        <v>45602.47755787037</v>
      </c>
    </row>
    <row r="6838" spans="1:7">
      <c r="A6838">
        <v>6920</v>
      </c>
      <c r="B6838" t="s">
        <v>7448</v>
      </c>
      <c r="C6838" t="s">
        <v>2799</v>
      </c>
      <c r="E6838">
        <v>0.8</v>
      </c>
      <c r="F6838" t="s">
        <v>546</v>
      </c>
      <c r="G6838" s="174">
        <v>45602.479131944441</v>
      </c>
    </row>
    <row r="6839" spans="1:7">
      <c r="A6839">
        <v>6921</v>
      </c>
      <c r="B6839" t="s">
        <v>7448</v>
      </c>
      <c r="C6839" t="s">
        <v>8167</v>
      </c>
      <c r="E6839">
        <v>0.5</v>
      </c>
      <c r="F6839" t="s">
        <v>546</v>
      </c>
      <c r="G6839" s="174">
        <v>45602.479131944441</v>
      </c>
    </row>
    <row r="6840" spans="1:7">
      <c r="A6840">
        <v>6922</v>
      </c>
      <c r="B6840" t="s">
        <v>7448</v>
      </c>
      <c r="C6840" t="s">
        <v>2848</v>
      </c>
      <c r="E6840">
        <v>0.6</v>
      </c>
      <c r="F6840" t="s">
        <v>546</v>
      </c>
      <c r="G6840" s="174">
        <v>45602.479131944441</v>
      </c>
    </row>
    <row r="6841" spans="1:7">
      <c r="A6841">
        <v>6923</v>
      </c>
      <c r="B6841" t="s">
        <v>8168</v>
      </c>
      <c r="C6841" t="s">
        <v>3786</v>
      </c>
      <c r="E6841">
        <v>1</v>
      </c>
      <c r="F6841" t="s">
        <v>546</v>
      </c>
      <c r="G6841" s="174">
        <v>45602.481921296298</v>
      </c>
    </row>
    <row r="6842" spans="1:7">
      <c r="A6842">
        <v>6924</v>
      </c>
      <c r="B6842" t="s">
        <v>694</v>
      </c>
      <c r="C6842" t="s">
        <v>3341</v>
      </c>
      <c r="E6842">
        <v>1</v>
      </c>
      <c r="F6842" t="s">
        <v>546</v>
      </c>
      <c r="G6842" s="174">
        <v>45602.484907407408</v>
      </c>
    </row>
    <row r="6843" spans="1:7">
      <c r="A6843">
        <v>6925</v>
      </c>
      <c r="B6843" t="s">
        <v>8169</v>
      </c>
      <c r="C6843" t="s">
        <v>8026</v>
      </c>
      <c r="E6843">
        <v>0.8</v>
      </c>
      <c r="F6843" t="s">
        <v>546</v>
      </c>
      <c r="G6843" s="174">
        <v>45602.48542824074</v>
      </c>
    </row>
    <row r="6844" spans="1:7">
      <c r="A6844">
        <v>6926</v>
      </c>
      <c r="B6844" t="s">
        <v>5562</v>
      </c>
      <c r="C6844" t="s">
        <v>3524</v>
      </c>
      <c r="E6844">
        <v>0.7</v>
      </c>
      <c r="F6844" t="s">
        <v>8170</v>
      </c>
      <c r="G6844" s="174">
        <v>45602.48741898148</v>
      </c>
    </row>
    <row r="6845" spans="1:7">
      <c r="A6845">
        <v>6927</v>
      </c>
      <c r="B6845" t="s">
        <v>5562</v>
      </c>
      <c r="C6845" t="s">
        <v>3765</v>
      </c>
      <c r="E6845">
        <v>0.8</v>
      </c>
      <c r="F6845" t="s">
        <v>8171</v>
      </c>
      <c r="G6845" s="174">
        <v>45602.48741898148</v>
      </c>
    </row>
    <row r="6846" spans="1:7">
      <c r="A6846">
        <v>6928</v>
      </c>
      <c r="B6846" t="s">
        <v>5562</v>
      </c>
      <c r="C6846" t="s">
        <v>2899</v>
      </c>
      <c r="E6846">
        <v>0.6</v>
      </c>
      <c r="F6846" t="s">
        <v>8172</v>
      </c>
      <c r="G6846" s="174">
        <v>45602.48741898148</v>
      </c>
    </row>
    <row r="6847" spans="1:7">
      <c r="A6847">
        <v>6929</v>
      </c>
      <c r="B6847" t="s">
        <v>2538</v>
      </c>
      <c r="C6847" t="s">
        <v>3029</v>
      </c>
      <c r="E6847">
        <v>0.7</v>
      </c>
      <c r="F6847" t="s">
        <v>8173</v>
      </c>
      <c r="G6847" s="174">
        <v>45602.489166666666</v>
      </c>
    </row>
    <row r="6848" spans="1:7">
      <c r="A6848">
        <v>6930</v>
      </c>
      <c r="B6848" t="s">
        <v>764</v>
      </c>
      <c r="C6848" t="s">
        <v>8174</v>
      </c>
      <c r="E6848">
        <v>0.3</v>
      </c>
      <c r="F6848" t="s">
        <v>8175</v>
      </c>
      <c r="G6848" s="174">
        <v>45602.490266203706</v>
      </c>
    </row>
    <row r="6849" spans="1:7">
      <c r="A6849">
        <v>6931</v>
      </c>
      <c r="B6849" t="s">
        <v>3257</v>
      </c>
      <c r="C6849" t="s">
        <v>4526</v>
      </c>
      <c r="E6849">
        <v>0.6</v>
      </c>
      <c r="F6849" t="s">
        <v>546</v>
      </c>
      <c r="G6849" s="174">
        <v>45602.491828703707</v>
      </c>
    </row>
    <row r="6850" spans="1:7">
      <c r="A6850">
        <v>6932</v>
      </c>
      <c r="B6850" t="s">
        <v>8176</v>
      </c>
      <c r="C6850" t="s">
        <v>5237</v>
      </c>
      <c r="E6850">
        <v>0.8</v>
      </c>
      <c r="F6850" t="s">
        <v>546</v>
      </c>
      <c r="G6850" s="174">
        <v>45602.492962962962</v>
      </c>
    </row>
    <row r="6851" spans="1:7">
      <c r="A6851">
        <v>6933</v>
      </c>
      <c r="B6851" t="s">
        <v>8177</v>
      </c>
      <c r="C6851" t="s">
        <v>8178</v>
      </c>
      <c r="E6851">
        <v>1</v>
      </c>
      <c r="F6851" t="s">
        <v>546</v>
      </c>
      <c r="G6851" s="174">
        <v>45602.493657407409</v>
      </c>
    </row>
    <row r="6852" spans="1:7">
      <c r="A6852">
        <v>6934</v>
      </c>
      <c r="B6852" t="s">
        <v>8177</v>
      </c>
      <c r="C6852" t="s">
        <v>8179</v>
      </c>
      <c r="E6852">
        <v>0.5</v>
      </c>
      <c r="F6852" t="s">
        <v>546</v>
      </c>
      <c r="G6852" s="174">
        <v>45602.493657407409</v>
      </c>
    </row>
    <row r="6853" spans="1:7">
      <c r="A6853">
        <v>6935</v>
      </c>
      <c r="B6853" t="s">
        <v>8180</v>
      </c>
      <c r="C6853" t="s">
        <v>3092</v>
      </c>
      <c r="E6853">
        <v>0.8</v>
      </c>
      <c r="F6853" t="s">
        <v>546</v>
      </c>
      <c r="G6853" s="174">
        <v>45602.494756944441</v>
      </c>
    </row>
    <row r="6854" spans="1:7">
      <c r="A6854">
        <v>6936</v>
      </c>
      <c r="B6854" t="s">
        <v>8180</v>
      </c>
      <c r="C6854" t="s">
        <v>8164</v>
      </c>
      <c r="E6854">
        <v>0.7</v>
      </c>
      <c r="F6854" t="s">
        <v>546</v>
      </c>
      <c r="G6854" s="174">
        <v>45602.494756944441</v>
      </c>
    </row>
    <row r="6855" spans="1:7">
      <c r="A6855">
        <v>6937</v>
      </c>
      <c r="B6855" t="s">
        <v>5438</v>
      </c>
      <c r="C6855" t="s">
        <v>4146</v>
      </c>
      <c r="E6855">
        <v>0.6</v>
      </c>
      <c r="F6855" t="s">
        <v>546</v>
      </c>
      <c r="G6855" s="174">
        <v>45602.496828703705</v>
      </c>
    </row>
    <row r="6856" spans="1:7">
      <c r="A6856">
        <v>6938</v>
      </c>
      <c r="B6856" t="s">
        <v>5271</v>
      </c>
      <c r="C6856" t="s">
        <v>3341</v>
      </c>
      <c r="E6856">
        <v>0.8</v>
      </c>
      <c r="F6856" t="s">
        <v>546</v>
      </c>
      <c r="G6856" s="174">
        <v>45602.497395833336</v>
      </c>
    </row>
    <row r="6857" spans="1:7">
      <c r="A6857">
        <v>6939</v>
      </c>
      <c r="B6857" t="s">
        <v>8181</v>
      </c>
      <c r="C6857" t="s">
        <v>3092</v>
      </c>
      <c r="E6857">
        <v>0.8</v>
      </c>
      <c r="F6857" t="s">
        <v>546</v>
      </c>
      <c r="G6857" s="174">
        <v>45602.498136574075</v>
      </c>
    </row>
    <row r="6858" spans="1:7">
      <c r="A6858">
        <v>6940</v>
      </c>
      <c r="B6858" t="s">
        <v>8182</v>
      </c>
      <c r="C6858" t="s">
        <v>8183</v>
      </c>
      <c r="E6858">
        <v>0.7</v>
      </c>
      <c r="F6858" t="s">
        <v>8184</v>
      </c>
      <c r="G6858" s="174">
        <v>45602.499930555554</v>
      </c>
    </row>
    <row r="6859" spans="1:7">
      <c r="A6859">
        <v>6941</v>
      </c>
      <c r="B6859" t="s">
        <v>8182</v>
      </c>
      <c r="C6859" t="s">
        <v>8105</v>
      </c>
      <c r="E6859">
        <v>0.8</v>
      </c>
      <c r="F6859" t="s">
        <v>8185</v>
      </c>
      <c r="G6859" s="174">
        <v>45602.499930555554</v>
      </c>
    </row>
    <row r="6860" spans="1:7">
      <c r="A6860">
        <v>6942</v>
      </c>
      <c r="B6860" t="s">
        <v>5139</v>
      </c>
      <c r="C6860" t="s">
        <v>6844</v>
      </c>
      <c r="E6860">
        <v>0.8</v>
      </c>
      <c r="F6860" t="s">
        <v>546</v>
      </c>
      <c r="G6860" s="174">
        <v>45602.500879629632</v>
      </c>
    </row>
    <row r="6861" spans="1:7">
      <c r="A6861">
        <v>6943</v>
      </c>
      <c r="B6861" t="s">
        <v>8186</v>
      </c>
      <c r="C6861" t="s">
        <v>3755</v>
      </c>
      <c r="E6861">
        <v>0.8</v>
      </c>
      <c r="F6861" t="s">
        <v>546</v>
      </c>
      <c r="G6861" s="174">
        <v>45602.501967592594</v>
      </c>
    </row>
    <row r="6862" spans="1:7">
      <c r="A6862">
        <v>6944</v>
      </c>
      <c r="B6862" t="s">
        <v>4140</v>
      </c>
      <c r="C6862" t="s">
        <v>3378</v>
      </c>
      <c r="E6862">
        <v>0.7</v>
      </c>
      <c r="F6862" t="s">
        <v>8187</v>
      </c>
      <c r="G6862" s="174">
        <v>45602.503900462965</v>
      </c>
    </row>
    <row r="6863" spans="1:7">
      <c r="A6863">
        <v>6945</v>
      </c>
      <c r="B6863" t="s">
        <v>6308</v>
      </c>
      <c r="C6863" t="s">
        <v>7992</v>
      </c>
      <c r="E6863">
        <v>0.5</v>
      </c>
      <c r="F6863" t="s">
        <v>8188</v>
      </c>
      <c r="G6863" s="174">
        <v>45602.505069444444</v>
      </c>
    </row>
    <row r="6864" spans="1:7">
      <c r="A6864">
        <v>6946</v>
      </c>
      <c r="B6864" t="s">
        <v>7268</v>
      </c>
      <c r="C6864" t="s">
        <v>6548</v>
      </c>
      <c r="E6864">
        <v>1</v>
      </c>
      <c r="F6864" t="s">
        <v>546</v>
      </c>
      <c r="G6864" s="174">
        <v>45602.506493055553</v>
      </c>
    </row>
    <row r="6865" spans="1:7">
      <c r="A6865">
        <v>6947</v>
      </c>
      <c r="B6865" t="s">
        <v>8189</v>
      </c>
      <c r="C6865" t="s">
        <v>4996</v>
      </c>
      <c r="E6865">
        <v>0.8</v>
      </c>
      <c r="F6865" t="s">
        <v>546</v>
      </c>
      <c r="G6865" s="174">
        <v>45602.507071759261</v>
      </c>
    </row>
    <row r="6866" spans="1:7">
      <c r="A6866">
        <v>6948</v>
      </c>
      <c r="B6866" t="s">
        <v>8190</v>
      </c>
      <c r="C6866" t="s">
        <v>3222</v>
      </c>
      <c r="E6866">
        <v>0.8</v>
      </c>
      <c r="F6866" t="s">
        <v>546</v>
      </c>
      <c r="G6866" s="174">
        <v>45602.535937499997</v>
      </c>
    </row>
    <row r="6867" spans="1:7">
      <c r="A6867">
        <v>6949</v>
      </c>
      <c r="B6867" t="s">
        <v>1852</v>
      </c>
      <c r="C6867" t="s">
        <v>8191</v>
      </c>
      <c r="E6867">
        <v>0.6</v>
      </c>
      <c r="F6867" t="s">
        <v>546</v>
      </c>
      <c r="G6867" s="174">
        <v>45602.538055555553</v>
      </c>
    </row>
    <row r="6868" spans="1:7">
      <c r="A6868">
        <v>6950</v>
      </c>
      <c r="B6868" t="s">
        <v>5131</v>
      </c>
      <c r="C6868" t="s">
        <v>5601</v>
      </c>
      <c r="E6868">
        <v>0.6</v>
      </c>
      <c r="F6868" t="s">
        <v>546</v>
      </c>
      <c r="G6868" s="174">
        <v>45602.538912037038</v>
      </c>
    </row>
    <row r="6869" spans="1:7">
      <c r="A6869">
        <v>6951</v>
      </c>
      <c r="B6869" t="s">
        <v>8192</v>
      </c>
      <c r="C6869" t="s">
        <v>3626</v>
      </c>
      <c r="E6869">
        <v>0.8</v>
      </c>
      <c r="F6869" t="s">
        <v>546</v>
      </c>
      <c r="G6869" s="174">
        <v>45603.436655092592</v>
      </c>
    </row>
    <row r="6870" spans="1:7">
      <c r="A6870">
        <v>6952</v>
      </c>
      <c r="B6870" t="s">
        <v>3644</v>
      </c>
      <c r="C6870" t="s">
        <v>8001</v>
      </c>
      <c r="E6870">
        <v>0.5</v>
      </c>
      <c r="F6870" t="s">
        <v>8193</v>
      </c>
      <c r="G6870" s="174">
        <v>45603.4378125</v>
      </c>
    </row>
    <row r="6871" spans="1:7">
      <c r="A6871">
        <v>6953</v>
      </c>
      <c r="B6871" t="s">
        <v>3644</v>
      </c>
      <c r="C6871" t="s">
        <v>3208</v>
      </c>
      <c r="E6871">
        <v>0.6</v>
      </c>
      <c r="F6871" t="s">
        <v>8194</v>
      </c>
      <c r="G6871" s="174">
        <v>45603.4378125</v>
      </c>
    </row>
    <row r="6872" spans="1:7">
      <c r="A6872">
        <v>6954</v>
      </c>
      <c r="B6872" t="s">
        <v>8195</v>
      </c>
      <c r="C6872" t="s">
        <v>8196</v>
      </c>
      <c r="E6872">
        <v>0.8</v>
      </c>
      <c r="F6872" t="s">
        <v>546</v>
      </c>
      <c r="G6872" s="174">
        <v>45603.438726851855</v>
      </c>
    </row>
    <row r="6873" spans="1:7">
      <c r="A6873">
        <v>6955</v>
      </c>
      <c r="B6873" t="s">
        <v>5751</v>
      </c>
      <c r="C6873" t="s">
        <v>4788</v>
      </c>
      <c r="E6873">
        <v>1</v>
      </c>
      <c r="F6873" t="s">
        <v>546</v>
      </c>
      <c r="G6873" s="174">
        <v>45603.439872685187</v>
      </c>
    </row>
    <row r="6874" spans="1:7">
      <c r="A6874">
        <v>6956</v>
      </c>
      <c r="B6874" t="s">
        <v>8197</v>
      </c>
      <c r="C6874" t="s">
        <v>3269</v>
      </c>
      <c r="E6874">
        <v>0.8</v>
      </c>
      <c r="F6874" t="s">
        <v>546</v>
      </c>
      <c r="G6874" s="174">
        <v>45603.440381944441</v>
      </c>
    </row>
    <row r="6875" spans="1:7">
      <c r="A6875">
        <v>6957</v>
      </c>
      <c r="B6875" t="s">
        <v>1119</v>
      </c>
      <c r="C6875" t="s">
        <v>6360</v>
      </c>
      <c r="E6875">
        <v>0.5</v>
      </c>
      <c r="F6875" t="s">
        <v>8198</v>
      </c>
      <c r="G6875" s="174">
        <v>45603.441886574074</v>
      </c>
    </row>
    <row r="6876" spans="1:7">
      <c r="A6876">
        <v>6958</v>
      </c>
      <c r="B6876" t="s">
        <v>1119</v>
      </c>
      <c r="C6876" t="s">
        <v>8199</v>
      </c>
      <c r="E6876">
        <v>0.7</v>
      </c>
      <c r="F6876" t="s">
        <v>8200</v>
      </c>
      <c r="G6876" s="174">
        <v>45603.441886574074</v>
      </c>
    </row>
    <row r="6877" spans="1:7">
      <c r="A6877">
        <v>6959</v>
      </c>
      <c r="B6877" t="s">
        <v>4109</v>
      </c>
      <c r="C6877" t="s">
        <v>6481</v>
      </c>
      <c r="E6877">
        <v>0.8</v>
      </c>
      <c r="F6877" t="s">
        <v>546</v>
      </c>
      <c r="G6877" s="174">
        <v>45603.443854166668</v>
      </c>
    </row>
    <row r="6878" spans="1:7">
      <c r="A6878">
        <v>6960</v>
      </c>
      <c r="B6878" t="s">
        <v>1801</v>
      </c>
      <c r="C6878" t="s">
        <v>8201</v>
      </c>
      <c r="E6878">
        <v>0.8</v>
      </c>
      <c r="F6878" t="s">
        <v>546</v>
      </c>
      <c r="G6878" s="174">
        <v>45603.444525462961</v>
      </c>
    </row>
    <row r="6879" spans="1:7">
      <c r="A6879">
        <v>6961</v>
      </c>
      <c r="B6879" t="s">
        <v>8202</v>
      </c>
      <c r="C6879" t="s">
        <v>826</v>
      </c>
      <c r="E6879">
        <v>0.8</v>
      </c>
      <c r="F6879" t="s">
        <v>546</v>
      </c>
      <c r="G6879" s="174">
        <v>45603.446134259262</v>
      </c>
    </row>
    <row r="6880" spans="1:7">
      <c r="A6880">
        <v>6962</v>
      </c>
      <c r="B6880" t="s">
        <v>8203</v>
      </c>
      <c r="C6880" t="s">
        <v>1932</v>
      </c>
      <c r="E6880">
        <v>0.8</v>
      </c>
      <c r="F6880" t="s">
        <v>8204</v>
      </c>
      <c r="G6880" s="174">
        <v>45603.448680555557</v>
      </c>
    </row>
    <row r="6881" spans="1:7">
      <c r="A6881">
        <v>6963</v>
      </c>
      <c r="B6881" t="s">
        <v>7287</v>
      </c>
      <c r="C6881" t="s">
        <v>3302</v>
      </c>
      <c r="E6881">
        <v>0.6</v>
      </c>
      <c r="F6881" t="s">
        <v>546</v>
      </c>
      <c r="G6881" s="174">
        <v>45603.453518518516</v>
      </c>
    </row>
    <row r="6882" spans="1:7">
      <c r="A6882">
        <v>6964</v>
      </c>
      <c r="B6882" t="s">
        <v>3794</v>
      </c>
      <c r="C6882" t="s">
        <v>4884</v>
      </c>
      <c r="E6882">
        <v>0.5</v>
      </c>
      <c r="F6882" t="s">
        <v>546</v>
      </c>
      <c r="G6882" s="174">
        <v>45603.454247685186</v>
      </c>
    </row>
    <row r="6883" spans="1:7">
      <c r="A6883">
        <v>6965</v>
      </c>
      <c r="B6883" t="s">
        <v>8205</v>
      </c>
      <c r="C6883" t="s">
        <v>3621</v>
      </c>
      <c r="E6883">
        <v>0.7</v>
      </c>
      <c r="F6883" t="s">
        <v>8206</v>
      </c>
      <c r="G6883" s="174">
        <v>45603.456446759257</v>
      </c>
    </row>
    <row r="6884" spans="1:7">
      <c r="A6884">
        <v>6966</v>
      </c>
      <c r="B6884" t="s">
        <v>8205</v>
      </c>
      <c r="C6884" t="s">
        <v>5765</v>
      </c>
      <c r="E6884">
        <v>0.8</v>
      </c>
      <c r="F6884" t="s">
        <v>8207</v>
      </c>
      <c r="G6884" s="174">
        <v>45603.456446759257</v>
      </c>
    </row>
    <row r="6885" spans="1:7">
      <c r="A6885">
        <v>6967</v>
      </c>
      <c r="B6885" t="s">
        <v>8205</v>
      </c>
      <c r="C6885" t="s">
        <v>8208</v>
      </c>
      <c r="E6885">
        <v>0.6</v>
      </c>
      <c r="F6885" t="s">
        <v>546</v>
      </c>
      <c r="G6885" s="174">
        <v>45603.456446759257</v>
      </c>
    </row>
    <row r="6886" spans="1:7">
      <c r="A6886">
        <v>6968</v>
      </c>
      <c r="B6886" t="s">
        <v>3713</v>
      </c>
      <c r="C6886" t="s">
        <v>3471</v>
      </c>
      <c r="E6886">
        <v>0.5</v>
      </c>
      <c r="F6886" t="s">
        <v>546</v>
      </c>
      <c r="G6886" s="174">
        <v>45603.459861111114</v>
      </c>
    </row>
    <row r="6887" spans="1:7">
      <c r="A6887">
        <v>6969</v>
      </c>
      <c r="B6887" t="s">
        <v>8209</v>
      </c>
      <c r="C6887" t="s">
        <v>2833</v>
      </c>
      <c r="E6887">
        <v>0.8</v>
      </c>
      <c r="F6887" t="s">
        <v>546</v>
      </c>
      <c r="G6887" s="174">
        <v>45603.460902777777</v>
      </c>
    </row>
    <row r="6888" spans="1:7">
      <c r="A6888">
        <v>6970</v>
      </c>
      <c r="B6888" t="s">
        <v>8210</v>
      </c>
      <c r="C6888" t="s">
        <v>2964</v>
      </c>
      <c r="E6888">
        <v>0.8</v>
      </c>
      <c r="F6888" t="s">
        <v>8211</v>
      </c>
      <c r="G6888" s="174">
        <v>45603.464479166665</v>
      </c>
    </row>
    <row r="6889" spans="1:7">
      <c r="A6889">
        <v>6972</v>
      </c>
      <c r="B6889" t="s">
        <v>4972</v>
      </c>
      <c r="C6889" t="s">
        <v>3192</v>
      </c>
      <c r="E6889">
        <v>0.7</v>
      </c>
      <c r="F6889" t="s">
        <v>8212</v>
      </c>
      <c r="G6889" s="174">
        <v>45603.469421296293</v>
      </c>
    </row>
    <row r="6890" spans="1:7">
      <c r="A6890">
        <v>6973</v>
      </c>
      <c r="B6890" t="s">
        <v>4972</v>
      </c>
      <c r="C6890" t="s">
        <v>4928</v>
      </c>
      <c r="E6890">
        <v>0.8</v>
      </c>
      <c r="F6890" t="s">
        <v>8213</v>
      </c>
      <c r="G6890" s="174">
        <v>45603.469421296293</v>
      </c>
    </row>
    <row r="6891" spans="1:7">
      <c r="A6891">
        <v>6974</v>
      </c>
      <c r="B6891" t="s">
        <v>5944</v>
      </c>
      <c r="C6891" t="s">
        <v>4369</v>
      </c>
      <c r="E6891">
        <v>0.8</v>
      </c>
      <c r="F6891" t="s">
        <v>546</v>
      </c>
      <c r="G6891" s="174">
        <v>45603.470127314817</v>
      </c>
    </row>
    <row r="6892" spans="1:7">
      <c r="A6892">
        <v>6975</v>
      </c>
      <c r="B6892" t="s">
        <v>5944</v>
      </c>
      <c r="C6892" t="s">
        <v>4905</v>
      </c>
      <c r="E6892">
        <v>0.6</v>
      </c>
      <c r="F6892" t="s">
        <v>546</v>
      </c>
      <c r="G6892" s="174">
        <v>45603.470127314817</v>
      </c>
    </row>
    <row r="6893" spans="1:7">
      <c r="A6893">
        <v>6976</v>
      </c>
      <c r="B6893" t="s">
        <v>2869</v>
      </c>
      <c r="C6893" t="s">
        <v>2877</v>
      </c>
      <c r="E6893">
        <v>0.6</v>
      </c>
      <c r="F6893" t="s">
        <v>546</v>
      </c>
      <c r="G6893" s="174">
        <v>45606.495949074073</v>
      </c>
    </row>
    <row r="6894" spans="1:7">
      <c r="A6894">
        <v>6977</v>
      </c>
      <c r="B6894" t="s">
        <v>8214</v>
      </c>
      <c r="C6894" t="s">
        <v>1601</v>
      </c>
      <c r="E6894">
        <v>0.6</v>
      </c>
      <c r="F6894" t="s">
        <v>546</v>
      </c>
      <c r="G6894" s="174">
        <v>45606.499641203707</v>
      </c>
    </row>
    <row r="6895" spans="1:7">
      <c r="A6895">
        <v>6978</v>
      </c>
      <c r="B6895" t="s">
        <v>8214</v>
      </c>
      <c r="C6895" t="s">
        <v>751</v>
      </c>
      <c r="E6895">
        <v>0.8</v>
      </c>
      <c r="F6895" t="s">
        <v>546</v>
      </c>
      <c r="G6895" s="174">
        <v>45606.499641203707</v>
      </c>
    </row>
  </sheetData>
  <autoFilter ref="A1:G6895" xr:uid="{D0A7D4AF-7786-40CC-B881-FC1B7F52E36B}"/>
  <phoneticPr fontId="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64AD8-A487-4558-A467-9475A22FFA19}">
  <sheetPr>
    <tabColor rgb="FFFFFF00"/>
  </sheetPr>
  <dimension ref="B1:H9"/>
  <sheetViews>
    <sheetView workbookViewId="0"/>
  </sheetViews>
  <sheetFormatPr defaultRowHeight="27.75"/>
  <cols>
    <col min="1" max="1" width="8.796875" style="91"/>
    <col min="2" max="8" width="18.296875" style="91" customWidth="1"/>
    <col min="9" max="16384" width="8.796875" style="91"/>
  </cols>
  <sheetData>
    <row r="1" spans="2:8">
      <c r="B1" s="91" t="s">
        <v>345</v>
      </c>
    </row>
    <row r="3" spans="2:8">
      <c r="B3" s="95" t="s">
        <v>379</v>
      </c>
      <c r="C3" s="96" t="s">
        <v>346</v>
      </c>
      <c r="D3" s="96" t="s">
        <v>347</v>
      </c>
      <c r="E3" s="96" t="s">
        <v>348</v>
      </c>
      <c r="F3" s="96" t="s">
        <v>349</v>
      </c>
      <c r="G3" s="96" t="s">
        <v>350</v>
      </c>
      <c r="H3" s="97" t="s">
        <v>351</v>
      </c>
    </row>
    <row r="4" spans="2:8">
      <c r="B4" s="92" t="s">
        <v>352</v>
      </c>
      <c r="C4" s="102" t="s">
        <v>353</v>
      </c>
      <c r="D4" s="102" t="s">
        <v>354</v>
      </c>
      <c r="E4" s="102" t="s">
        <v>355</v>
      </c>
      <c r="F4" s="102" t="s">
        <v>356</v>
      </c>
      <c r="G4" s="102"/>
      <c r="H4" s="103"/>
    </row>
    <row r="5" spans="2:8">
      <c r="B5" s="92" t="s">
        <v>357</v>
      </c>
      <c r="C5" s="102" t="s">
        <v>358</v>
      </c>
      <c r="D5" s="102" t="s">
        <v>359</v>
      </c>
      <c r="E5" s="102"/>
      <c r="F5" s="102" t="s">
        <v>360</v>
      </c>
      <c r="G5" s="102"/>
      <c r="H5" s="103" t="s">
        <v>361</v>
      </c>
    </row>
    <row r="6" spans="2:8">
      <c r="B6" s="92" t="s">
        <v>362</v>
      </c>
      <c r="C6" s="102" t="s">
        <v>363</v>
      </c>
      <c r="D6" s="102" t="s">
        <v>364</v>
      </c>
      <c r="E6" s="102" t="s">
        <v>365</v>
      </c>
      <c r="F6" s="102"/>
      <c r="G6" s="102" t="s">
        <v>366</v>
      </c>
      <c r="H6" s="103"/>
    </row>
    <row r="7" spans="2:8">
      <c r="B7" s="92" t="s">
        <v>367</v>
      </c>
      <c r="C7" s="102" t="s">
        <v>368</v>
      </c>
      <c r="D7" s="102" t="s">
        <v>369</v>
      </c>
      <c r="E7" s="102" t="s">
        <v>370</v>
      </c>
      <c r="F7" s="102"/>
      <c r="G7" s="102" t="s">
        <v>371</v>
      </c>
      <c r="H7" s="103"/>
    </row>
    <row r="8" spans="2:8">
      <c r="B8" s="92" t="s">
        <v>372</v>
      </c>
      <c r="C8" s="102" t="s">
        <v>373</v>
      </c>
      <c r="D8" s="102" t="s">
        <v>374</v>
      </c>
      <c r="E8" s="102" t="s">
        <v>375</v>
      </c>
      <c r="F8" s="102" t="s">
        <v>376</v>
      </c>
      <c r="G8" s="102"/>
      <c r="H8" s="103"/>
    </row>
    <row r="9" spans="2:8">
      <c r="B9" s="94" t="s">
        <v>377</v>
      </c>
      <c r="C9" s="104"/>
      <c r="D9" s="104"/>
      <c r="E9" s="104"/>
      <c r="F9" s="104"/>
      <c r="G9" s="104" t="s">
        <v>378</v>
      </c>
      <c r="H9" s="105"/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7C941-707B-43B5-A2ED-6EBC07AA803C}">
  <sheetPr>
    <tabColor rgb="FFFFFF00"/>
  </sheetPr>
  <dimension ref="B1:U8"/>
  <sheetViews>
    <sheetView workbookViewId="0"/>
  </sheetViews>
  <sheetFormatPr defaultRowHeight="27.75"/>
  <cols>
    <col min="1" max="1" width="2.19921875" style="91" customWidth="1"/>
    <col min="2" max="2" width="9.09765625" style="91" customWidth="1"/>
    <col min="3" max="21" width="9.19921875" style="91" customWidth="1"/>
    <col min="22" max="16384" width="8.796875" style="91"/>
  </cols>
  <sheetData>
    <row r="1" spans="2:21">
      <c r="B1" s="91" t="s">
        <v>380</v>
      </c>
    </row>
    <row r="3" spans="2:21" ht="30">
      <c r="B3" s="93" t="s">
        <v>381</v>
      </c>
      <c r="C3" s="109" t="s">
        <v>208</v>
      </c>
      <c r="D3" s="109" t="s">
        <v>409</v>
      </c>
      <c r="E3" s="109" t="s">
        <v>410</v>
      </c>
      <c r="F3" s="109" t="s">
        <v>195</v>
      </c>
      <c r="G3" s="109" t="s">
        <v>164</v>
      </c>
      <c r="H3" s="109" t="s">
        <v>411</v>
      </c>
      <c r="I3" s="110" t="s">
        <v>413</v>
      </c>
      <c r="J3" s="109" t="s">
        <v>412</v>
      </c>
      <c r="K3" s="109" t="s">
        <v>390</v>
      </c>
      <c r="L3" s="109" t="s">
        <v>188</v>
      </c>
      <c r="M3" s="109" t="s">
        <v>382</v>
      </c>
      <c r="N3" s="109" t="s">
        <v>391</v>
      </c>
      <c r="O3" s="109" t="s">
        <v>126</v>
      </c>
      <c r="P3" s="109" t="s">
        <v>174</v>
      </c>
      <c r="Q3" s="109" t="s">
        <v>392</v>
      </c>
      <c r="R3" s="109" t="s">
        <v>173</v>
      </c>
      <c r="S3" s="109" t="s">
        <v>176</v>
      </c>
      <c r="T3" s="109" t="s">
        <v>55</v>
      </c>
      <c r="U3" s="291" t="s">
        <v>8345</v>
      </c>
    </row>
    <row r="4" spans="2:21">
      <c r="B4" s="92" t="s">
        <v>383</v>
      </c>
      <c r="C4" s="98" t="s">
        <v>37</v>
      </c>
      <c r="D4" s="98" t="s">
        <v>145</v>
      </c>
      <c r="E4" s="98" t="s">
        <v>47</v>
      </c>
      <c r="F4" s="98" t="s">
        <v>39</v>
      </c>
      <c r="G4" s="98" t="s">
        <v>33</v>
      </c>
      <c r="H4" s="98" t="s">
        <v>186</v>
      </c>
      <c r="I4" s="98" t="s">
        <v>179</v>
      </c>
      <c r="J4" s="98" t="s">
        <v>183</v>
      </c>
      <c r="K4" s="98" t="s">
        <v>384</v>
      </c>
      <c r="L4" s="98" t="s">
        <v>189</v>
      </c>
      <c r="M4" s="98" t="s">
        <v>266</v>
      </c>
      <c r="N4" s="98" t="s">
        <v>43</v>
      </c>
      <c r="O4" s="98" t="s">
        <v>35</v>
      </c>
      <c r="P4" s="98" t="s">
        <v>175</v>
      </c>
      <c r="Q4" s="98" t="s">
        <v>172</v>
      </c>
      <c r="R4" s="98" t="s">
        <v>385</v>
      </c>
      <c r="S4" s="98" t="s">
        <v>177</v>
      </c>
      <c r="T4" s="98" t="s">
        <v>98</v>
      </c>
      <c r="U4" s="99" t="s">
        <v>48</v>
      </c>
    </row>
    <row r="5" spans="2:21">
      <c r="B5" s="92" t="s">
        <v>386</v>
      </c>
      <c r="C5" s="98" t="s">
        <v>81</v>
      </c>
      <c r="D5" s="98" t="s">
        <v>82</v>
      </c>
      <c r="E5" s="98"/>
      <c r="F5" s="98" t="s">
        <v>83</v>
      </c>
      <c r="G5" s="98" t="s">
        <v>79</v>
      </c>
      <c r="H5" s="98" t="s">
        <v>152</v>
      </c>
      <c r="I5" s="98" t="s">
        <v>146</v>
      </c>
      <c r="J5" s="98"/>
      <c r="K5" s="98" t="s">
        <v>149</v>
      </c>
      <c r="L5" s="98" t="s">
        <v>155</v>
      </c>
      <c r="M5" s="98"/>
      <c r="N5" s="98" t="s">
        <v>85</v>
      </c>
      <c r="O5" s="98"/>
      <c r="P5" s="98" t="s">
        <v>142</v>
      </c>
      <c r="Q5" s="98" t="s">
        <v>138</v>
      </c>
      <c r="R5" s="98"/>
      <c r="S5" s="98"/>
      <c r="T5" s="98"/>
      <c r="U5" s="99"/>
    </row>
    <row r="6" spans="2:21">
      <c r="B6" s="106" t="s">
        <v>52</v>
      </c>
      <c r="C6" s="98" t="s">
        <v>68</v>
      </c>
      <c r="D6" s="98"/>
      <c r="E6" s="98"/>
      <c r="F6" s="98"/>
      <c r="G6" s="98" t="s">
        <v>387</v>
      </c>
      <c r="H6" s="98" t="s">
        <v>388</v>
      </c>
      <c r="I6" s="98"/>
      <c r="J6" s="98"/>
      <c r="K6" s="98"/>
      <c r="L6" s="98"/>
      <c r="M6" s="98"/>
      <c r="N6" s="98" t="s">
        <v>87</v>
      </c>
      <c r="O6" s="98"/>
      <c r="P6" s="98"/>
      <c r="Q6" s="98"/>
      <c r="R6" s="98"/>
      <c r="S6" s="98"/>
      <c r="T6" s="98"/>
      <c r="U6" s="99"/>
    </row>
    <row r="7" spans="2:21">
      <c r="B7" s="106" t="s">
        <v>51</v>
      </c>
      <c r="C7" s="98" t="s">
        <v>66</v>
      </c>
      <c r="D7" s="98"/>
      <c r="E7" s="98"/>
      <c r="F7" s="98"/>
      <c r="G7" s="98" t="s">
        <v>121</v>
      </c>
      <c r="H7" s="98" t="s">
        <v>113</v>
      </c>
      <c r="I7" s="98"/>
      <c r="J7" s="98"/>
      <c r="K7" s="98"/>
      <c r="L7" s="98"/>
      <c r="M7" s="98"/>
      <c r="N7" s="98"/>
      <c r="O7" s="98" t="s">
        <v>118</v>
      </c>
      <c r="P7" s="98" t="s">
        <v>110</v>
      </c>
      <c r="Q7" s="98"/>
      <c r="R7" s="98"/>
      <c r="S7" s="98"/>
      <c r="T7" s="98"/>
      <c r="U7" s="99"/>
    </row>
    <row r="8" spans="2:21">
      <c r="B8" s="107" t="s">
        <v>389</v>
      </c>
      <c r="C8" s="100" t="s">
        <v>64</v>
      </c>
      <c r="D8" s="100"/>
      <c r="E8" s="100"/>
      <c r="F8" s="100"/>
      <c r="G8" s="100" t="s">
        <v>103</v>
      </c>
      <c r="H8" s="100" t="s">
        <v>105</v>
      </c>
      <c r="I8" s="100"/>
      <c r="J8" s="100"/>
      <c r="K8" s="100" t="s">
        <v>101</v>
      </c>
      <c r="L8" s="100"/>
      <c r="M8" s="100"/>
      <c r="N8" s="100" t="s">
        <v>70</v>
      </c>
      <c r="O8" s="100"/>
      <c r="P8" s="100"/>
      <c r="Q8" s="100"/>
      <c r="R8" s="100"/>
      <c r="S8" s="100"/>
      <c r="T8" s="100"/>
      <c r="U8" s="101"/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D2E94-4130-4A3D-B1E3-92D62D716D1A}">
  <sheetPr>
    <tabColor rgb="FFFFFF00"/>
  </sheetPr>
  <dimension ref="B4:L31"/>
  <sheetViews>
    <sheetView workbookViewId="0"/>
  </sheetViews>
  <sheetFormatPr defaultRowHeight="21"/>
  <sheetData>
    <row r="4" spans="2:12">
      <c r="B4" s="490" t="s">
        <v>381</v>
      </c>
      <c r="C4" s="490" t="s">
        <v>383</v>
      </c>
      <c r="D4" s="490"/>
      <c r="E4" s="114" t="s">
        <v>426</v>
      </c>
      <c r="F4" s="115"/>
      <c r="G4" s="116"/>
      <c r="H4" s="491" t="s">
        <v>427</v>
      </c>
      <c r="I4" s="493"/>
      <c r="J4" s="493"/>
      <c r="K4" s="493"/>
      <c r="L4" s="492"/>
    </row>
    <row r="5" spans="2:12">
      <c r="B5" s="490"/>
      <c r="C5" s="490"/>
      <c r="D5" s="490"/>
      <c r="E5" s="117" t="s">
        <v>230</v>
      </c>
      <c r="F5" s="117" t="s">
        <v>236</v>
      </c>
      <c r="G5" s="117" t="s">
        <v>250</v>
      </c>
      <c r="H5" s="118" t="s">
        <v>428</v>
      </c>
      <c r="I5" s="118" t="s">
        <v>429</v>
      </c>
      <c r="J5" s="118" t="s">
        <v>430</v>
      </c>
      <c r="K5" s="491" t="s">
        <v>431</v>
      </c>
      <c r="L5" s="492"/>
    </row>
    <row r="6" spans="2:12">
      <c r="B6" s="113" t="s">
        <v>265</v>
      </c>
      <c r="C6" s="113" t="s">
        <v>208</v>
      </c>
      <c r="D6" s="113" t="s">
        <v>163</v>
      </c>
      <c r="E6" s="113" t="s">
        <v>131</v>
      </c>
      <c r="F6" s="113" t="s">
        <v>115</v>
      </c>
      <c r="G6" s="113" t="s">
        <v>107</v>
      </c>
      <c r="H6" s="119" t="s">
        <v>198</v>
      </c>
      <c r="I6" s="119" t="s">
        <v>192</v>
      </c>
      <c r="J6" s="119" t="s">
        <v>432</v>
      </c>
      <c r="K6" s="119" t="s">
        <v>211</v>
      </c>
      <c r="L6" s="119" t="s">
        <v>433</v>
      </c>
    </row>
    <row r="7" spans="2:12">
      <c r="B7" s="113" t="s">
        <v>434</v>
      </c>
      <c r="C7" s="113" t="s">
        <v>196</v>
      </c>
      <c r="D7" s="113" t="s">
        <v>159</v>
      </c>
      <c r="E7" s="113"/>
      <c r="F7" s="113"/>
      <c r="G7" s="113"/>
      <c r="H7" s="119"/>
      <c r="I7" s="119"/>
      <c r="J7" s="119"/>
      <c r="K7" s="119" t="s">
        <v>435</v>
      </c>
      <c r="L7" s="119" t="s">
        <v>436</v>
      </c>
    </row>
    <row r="8" spans="2:12">
      <c r="B8" s="113" t="s">
        <v>437</v>
      </c>
      <c r="C8" s="113" t="s">
        <v>193</v>
      </c>
      <c r="D8" s="113"/>
      <c r="E8" s="113"/>
      <c r="F8" s="113"/>
      <c r="G8" s="113"/>
      <c r="H8" s="119"/>
      <c r="I8" s="119"/>
      <c r="J8" s="119"/>
      <c r="K8" s="119" t="s">
        <v>438</v>
      </c>
      <c r="L8" s="119" t="s">
        <v>439</v>
      </c>
    </row>
    <row r="9" spans="2:12">
      <c r="B9" s="113" t="s">
        <v>440</v>
      </c>
      <c r="C9" s="113" t="s">
        <v>441</v>
      </c>
      <c r="D9" s="113"/>
      <c r="E9" s="113"/>
      <c r="F9" s="113"/>
      <c r="G9" s="113" t="s">
        <v>442</v>
      </c>
      <c r="H9" s="119"/>
      <c r="I9" s="119"/>
      <c r="J9" s="119" t="s">
        <v>443</v>
      </c>
      <c r="K9" s="119" t="s">
        <v>444</v>
      </c>
      <c r="L9" s="119"/>
    </row>
    <row r="10" spans="2:12">
      <c r="B10" s="113" t="s">
        <v>269</v>
      </c>
      <c r="C10" s="113" t="s">
        <v>195</v>
      </c>
      <c r="D10" s="113" t="s">
        <v>160</v>
      </c>
      <c r="E10" s="113"/>
      <c r="F10" s="113"/>
      <c r="G10" s="113"/>
      <c r="H10" s="119"/>
      <c r="I10" s="119"/>
      <c r="J10" s="119"/>
      <c r="K10" s="119" t="s">
        <v>445</v>
      </c>
      <c r="L10" s="119" t="s">
        <v>446</v>
      </c>
    </row>
    <row r="11" spans="2:12">
      <c r="B11" s="113" t="s">
        <v>262</v>
      </c>
      <c r="C11" s="113" t="s">
        <v>164</v>
      </c>
      <c r="D11" s="113" t="s">
        <v>279</v>
      </c>
      <c r="E11" s="113" t="s">
        <v>133</v>
      </c>
      <c r="F11" s="113" t="s">
        <v>120</v>
      </c>
      <c r="G11" s="113" t="s">
        <v>102</v>
      </c>
      <c r="H11" s="119" t="s">
        <v>447</v>
      </c>
      <c r="I11" s="119" t="s">
        <v>448</v>
      </c>
      <c r="J11" s="119" t="s">
        <v>449</v>
      </c>
      <c r="K11" s="119" t="s">
        <v>450</v>
      </c>
      <c r="L11" s="119" t="s">
        <v>451</v>
      </c>
    </row>
    <row r="12" spans="2:12">
      <c r="B12" s="113" t="s">
        <v>452</v>
      </c>
      <c r="C12" s="113" t="s">
        <v>185</v>
      </c>
      <c r="D12" s="113" t="s">
        <v>151</v>
      </c>
      <c r="E12" s="113" t="s">
        <v>128</v>
      </c>
      <c r="F12" s="113" t="s">
        <v>112</v>
      </c>
      <c r="G12" s="113" t="s">
        <v>104</v>
      </c>
      <c r="H12" s="119" t="s">
        <v>453</v>
      </c>
      <c r="I12" s="119" t="s">
        <v>454</v>
      </c>
      <c r="J12" s="119" t="s">
        <v>455</v>
      </c>
      <c r="K12" s="119" t="s">
        <v>456</v>
      </c>
      <c r="L12" s="119" t="s">
        <v>457</v>
      </c>
    </row>
    <row r="13" spans="2:12">
      <c r="B13" s="113" t="s">
        <v>458</v>
      </c>
      <c r="C13" s="113" t="s">
        <v>178</v>
      </c>
      <c r="D13" s="113" t="s">
        <v>459</v>
      </c>
      <c r="E13" s="113"/>
      <c r="F13" s="113"/>
      <c r="G13" s="113"/>
      <c r="H13" s="119"/>
      <c r="I13" s="119"/>
      <c r="J13" s="119"/>
      <c r="K13" s="119" t="s">
        <v>460</v>
      </c>
      <c r="L13" s="119"/>
    </row>
    <row r="14" spans="2:12">
      <c r="B14" s="113" t="s">
        <v>461</v>
      </c>
      <c r="C14" s="113" t="s">
        <v>181</v>
      </c>
      <c r="D14" s="113"/>
      <c r="E14" s="113"/>
      <c r="F14" s="113"/>
      <c r="G14" s="113"/>
      <c r="H14" s="119"/>
      <c r="I14" s="119"/>
      <c r="J14" s="119"/>
      <c r="K14" s="119" t="s">
        <v>462</v>
      </c>
      <c r="L14" s="119"/>
    </row>
    <row r="15" spans="2:12">
      <c r="B15" s="113" t="s">
        <v>463</v>
      </c>
      <c r="C15" s="113" t="s">
        <v>464</v>
      </c>
      <c r="D15" s="113" t="s">
        <v>148</v>
      </c>
      <c r="E15" s="113"/>
      <c r="F15" s="113"/>
      <c r="G15" s="113" t="s">
        <v>100</v>
      </c>
      <c r="H15" s="119"/>
      <c r="I15" s="119"/>
      <c r="J15" s="119" t="s">
        <v>465</v>
      </c>
      <c r="K15" s="119" t="s">
        <v>466</v>
      </c>
      <c r="L15" s="119"/>
    </row>
    <row r="16" spans="2:12">
      <c r="B16" s="113" t="s">
        <v>467</v>
      </c>
      <c r="C16" s="113" t="s">
        <v>188</v>
      </c>
      <c r="D16" s="113" t="s">
        <v>154</v>
      </c>
      <c r="E16" s="113"/>
      <c r="F16" s="113"/>
      <c r="G16" s="113"/>
      <c r="H16" s="119"/>
      <c r="I16" s="119"/>
      <c r="J16" s="119"/>
      <c r="K16" s="119" t="s">
        <v>468</v>
      </c>
      <c r="L16" s="119" t="s">
        <v>469</v>
      </c>
    </row>
    <row r="17" spans="2:12">
      <c r="B17" s="113" t="s">
        <v>268</v>
      </c>
      <c r="C17" s="113" t="s">
        <v>470</v>
      </c>
      <c r="D17" s="113"/>
      <c r="E17" s="113"/>
      <c r="F17" s="113"/>
      <c r="G17" s="113"/>
      <c r="H17" s="119"/>
      <c r="I17" s="119"/>
      <c r="J17" s="119"/>
      <c r="K17" s="119" t="s">
        <v>471</v>
      </c>
      <c r="L17" s="119"/>
    </row>
    <row r="18" spans="2:12">
      <c r="B18" s="113" t="s">
        <v>472</v>
      </c>
      <c r="C18" s="113" t="s">
        <v>41</v>
      </c>
      <c r="D18" s="113"/>
      <c r="E18" s="113"/>
      <c r="F18" s="113"/>
      <c r="G18" s="113"/>
      <c r="H18" s="119"/>
      <c r="I18" s="119"/>
      <c r="J18" s="119"/>
      <c r="K18" s="119" t="s">
        <v>473</v>
      </c>
      <c r="L18" s="119"/>
    </row>
    <row r="19" spans="2:12">
      <c r="B19" s="113"/>
      <c r="C19" s="113"/>
      <c r="D19" s="113"/>
      <c r="E19" s="113" t="s">
        <v>230</v>
      </c>
      <c r="F19" s="113" t="s">
        <v>236</v>
      </c>
      <c r="G19" s="113" t="s">
        <v>250</v>
      </c>
      <c r="H19" s="119" t="s">
        <v>428</v>
      </c>
      <c r="I19" s="119" t="s">
        <v>429</v>
      </c>
      <c r="J19" s="119" t="s">
        <v>430</v>
      </c>
      <c r="K19" s="119" t="s">
        <v>431</v>
      </c>
      <c r="L19" s="119"/>
    </row>
    <row r="20" spans="2:12">
      <c r="B20" s="113" t="s">
        <v>267</v>
      </c>
      <c r="C20" s="113" t="s">
        <v>205</v>
      </c>
      <c r="D20" s="113" t="s">
        <v>161</v>
      </c>
      <c r="E20" s="113" t="s">
        <v>130</v>
      </c>
      <c r="F20" s="113"/>
      <c r="G20" s="113" t="s">
        <v>106</v>
      </c>
      <c r="H20" s="119" t="s">
        <v>474</v>
      </c>
      <c r="I20" s="119"/>
      <c r="J20" s="119" t="s">
        <v>475</v>
      </c>
      <c r="K20" s="119" t="s">
        <v>476</v>
      </c>
      <c r="L20" s="119" t="s">
        <v>477</v>
      </c>
    </row>
    <row r="21" spans="2:12">
      <c r="B21" s="113" t="s">
        <v>478</v>
      </c>
      <c r="C21" s="113" t="s">
        <v>282</v>
      </c>
      <c r="D21" s="113"/>
      <c r="E21" s="113" t="s">
        <v>479</v>
      </c>
      <c r="F21" s="113" t="s">
        <v>480</v>
      </c>
      <c r="G21" s="113" t="s">
        <v>481</v>
      </c>
      <c r="H21" s="119" t="s">
        <v>482</v>
      </c>
      <c r="I21" s="119" t="s">
        <v>483</v>
      </c>
      <c r="J21" s="119" t="s">
        <v>484</v>
      </c>
      <c r="K21" s="119" t="s">
        <v>485</v>
      </c>
      <c r="L21" s="119"/>
    </row>
    <row r="22" spans="2:12">
      <c r="B22" s="113" t="s">
        <v>263</v>
      </c>
      <c r="C22" s="113" t="s">
        <v>126</v>
      </c>
      <c r="D22" s="113"/>
      <c r="E22" s="113"/>
      <c r="F22" s="113" t="s">
        <v>117</v>
      </c>
      <c r="G22" s="113"/>
      <c r="H22" s="119"/>
      <c r="I22" s="119" t="s">
        <v>486</v>
      </c>
      <c r="J22" s="119"/>
      <c r="K22" s="119" t="s">
        <v>487</v>
      </c>
      <c r="L22" s="119"/>
    </row>
    <row r="23" spans="2:12">
      <c r="B23" s="113" t="s">
        <v>488</v>
      </c>
      <c r="C23" s="113" t="s">
        <v>174</v>
      </c>
      <c r="D23" s="113" t="s">
        <v>141</v>
      </c>
      <c r="E23" s="113"/>
      <c r="F23" s="113" t="s">
        <v>109</v>
      </c>
      <c r="G23" s="113" t="s">
        <v>99</v>
      </c>
      <c r="H23" s="119"/>
      <c r="I23" s="119" t="s">
        <v>489</v>
      </c>
      <c r="J23" s="119"/>
      <c r="K23" s="119" t="s">
        <v>490</v>
      </c>
      <c r="L23" s="119"/>
    </row>
    <row r="24" spans="2:12">
      <c r="B24" s="113" t="s">
        <v>491</v>
      </c>
      <c r="C24" s="113" t="s">
        <v>171</v>
      </c>
      <c r="D24" s="113" t="s">
        <v>492</v>
      </c>
      <c r="E24" s="113"/>
      <c r="F24" s="113"/>
      <c r="G24" s="113"/>
      <c r="H24" s="119"/>
      <c r="I24" s="119"/>
      <c r="J24" s="119"/>
      <c r="K24" s="119"/>
      <c r="L24" s="119"/>
    </row>
    <row r="25" spans="2:12">
      <c r="B25" s="113" t="s">
        <v>493</v>
      </c>
      <c r="C25" s="113" t="s">
        <v>494</v>
      </c>
      <c r="D25" s="113"/>
      <c r="E25" s="113"/>
      <c r="F25" s="113"/>
      <c r="G25" s="113"/>
      <c r="H25" s="119"/>
      <c r="I25" s="119"/>
      <c r="J25" s="119"/>
      <c r="K25" s="119" t="s">
        <v>495</v>
      </c>
      <c r="L25" s="119"/>
    </row>
    <row r="26" spans="2:12">
      <c r="B26" s="113" t="s">
        <v>496</v>
      </c>
      <c r="C26" s="113" t="s">
        <v>173</v>
      </c>
      <c r="D26" s="113"/>
      <c r="E26" s="113"/>
      <c r="F26" s="113"/>
      <c r="G26" s="113"/>
      <c r="H26" s="119"/>
      <c r="I26" s="119"/>
      <c r="J26" s="119"/>
      <c r="K26" s="119" t="s">
        <v>497</v>
      </c>
      <c r="L26" s="119"/>
    </row>
    <row r="27" spans="2:12">
      <c r="B27" s="113" t="s">
        <v>498</v>
      </c>
      <c r="C27" s="113" t="s">
        <v>176</v>
      </c>
      <c r="D27" s="113"/>
      <c r="E27" s="113"/>
      <c r="F27" s="113"/>
      <c r="G27" s="113"/>
      <c r="H27" s="119"/>
      <c r="I27" s="119"/>
      <c r="J27" s="119"/>
      <c r="K27" s="119"/>
      <c r="L27" s="119"/>
    </row>
    <row r="28" spans="2:12">
      <c r="B28" s="113" t="s">
        <v>499</v>
      </c>
      <c r="C28" s="113"/>
      <c r="D28" s="113" t="s">
        <v>500</v>
      </c>
      <c r="E28" s="113"/>
      <c r="F28" s="113"/>
      <c r="G28" s="113"/>
      <c r="H28" s="119"/>
      <c r="I28" s="119"/>
      <c r="J28" s="119"/>
      <c r="K28" s="119"/>
      <c r="L28" s="119"/>
    </row>
    <row r="29" spans="2:12">
      <c r="B29" s="113" t="s">
        <v>501</v>
      </c>
      <c r="C29" s="113" t="s">
        <v>502</v>
      </c>
      <c r="D29" s="113"/>
      <c r="E29" s="113"/>
      <c r="F29" s="113"/>
      <c r="G29" s="113"/>
      <c r="H29" s="119"/>
      <c r="I29" s="119"/>
      <c r="J29" s="119"/>
      <c r="K29" s="119" t="s">
        <v>503</v>
      </c>
      <c r="L29" s="119"/>
    </row>
    <row r="30" spans="2:12">
      <c r="B30" s="113" t="s">
        <v>264</v>
      </c>
      <c r="C30" s="113" t="s">
        <v>96</v>
      </c>
      <c r="D30" s="113"/>
      <c r="E30" s="113" t="s">
        <v>504</v>
      </c>
      <c r="F30" s="113"/>
      <c r="G30" s="113"/>
      <c r="H30" s="119"/>
      <c r="I30" s="119"/>
      <c r="J30" s="119"/>
      <c r="K30" s="119" t="s">
        <v>505</v>
      </c>
      <c r="L30" s="119"/>
    </row>
    <row r="31" spans="2:12">
      <c r="B31" s="113" t="s">
        <v>275</v>
      </c>
      <c r="C31" s="113" t="s">
        <v>94</v>
      </c>
      <c r="D31" s="113"/>
      <c r="E31" s="113" t="s">
        <v>504</v>
      </c>
      <c r="F31" s="113"/>
      <c r="G31" s="113"/>
      <c r="H31" s="119"/>
      <c r="I31" s="119"/>
      <c r="J31" s="119"/>
      <c r="K31" s="119" t="s">
        <v>506</v>
      </c>
      <c r="L31" s="119"/>
    </row>
  </sheetData>
  <mergeCells count="4">
    <mergeCell ref="C4:D5"/>
    <mergeCell ref="B4:B5"/>
    <mergeCell ref="K5:L5"/>
    <mergeCell ref="H4:L4"/>
  </mergeCells>
  <phoneticPr fontId="7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8FA7B-CEA0-4B71-9E38-EC4E568E3BFE}">
  <sheetPr>
    <tabColor rgb="FFFF0000"/>
  </sheetPr>
  <dimension ref="A1:BJ72"/>
  <sheetViews>
    <sheetView workbookViewId="0"/>
  </sheetViews>
  <sheetFormatPr defaultColWidth="7.19921875" defaultRowHeight="14.25"/>
  <cols>
    <col min="1" max="1" width="2" style="13" customWidth="1"/>
    <col min="2" max="58" width="6.59765625" style="13" customWidth="1"/>
    <col min="59" max="62" width="5.796875" style="13" customWidth="1"/>
    <col min="63" max="16384" width="7.19921875" style="13"/>
  </cols>
  <sheetData>
    <row r="1" spans="1:62" ht="45" customHeight="1" thickBo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9"/>
      <c r="AS1" s="19"/>
      <c r="AT1" s="18"/>
      <c r="AU1" s="18"/>
      <c r="AV1" s="18"/>
    </row>
    <row r="2" spans="1:62" s="14" customFormat="1" ht="45" customHeight="1">
      <c r="A2" s="22"/>
      <c r="B2" s="272" t="s">
        <v>286</v>
      </c>
      <c r="C2" s="273"/>
      <c r="D2" s="274"/>
      <c r="E2" s="272" t="s">
        <v>287</v>
      </c>
      <c r="F2" s="273"/>
      <c r="G2" s="274"/>
      <c r="H2" s="275" t="s">
        <v>288</v>
      </c>
      <c r="I2" s="276"/>
      <c r="J2" s="277"/>
      <c r="K2" s="275" t="s">
        <v>289</v>
      </c>
      <c r="L2" s="276"/>
      <c r="M2" s="277"/>
      <c r="N2" s="278">
        <v>0.05</v>
      </c>
      <c r="O2" s="279"/>
      <c r="P2" s="280"/>
      <c r="Q2" s="275" t="s">
        <v>290</v>
      </c>
      <c r="R2" s="276"/>
      <c r="S2" s="277"/>
      <c r="T2" s="275" t="s">
        <v>291</v>
      </c>
      <c r="U2" s="276"/>
      <c r="V2" s="277"/>
      <c r="W2" s="281" t="s">
        <v>292</v>
      </c>
      <c r="X2" s="282"/>
      <c r="Y2" s="283"/>
      <c r="Z2" s="281" t="s">
        <v>293</v>
      </c>
      <c r="AA2" s="282"/>
      <c r="AB2" s="283"/>
      <c r="AC2" s="281" t="s">
        <v>294</v>
      </c>
      <c r="AD2" s="282"/>
      <c r="AE2" s="283"/>
      <c r="AF2" s="284" t="s">
        <v>295</v>
      </c>
      <c r="AG2" s="285"/>
      <c r="AH2" s="286"/>
      <c r="AI2" s="284" t="s">
        <v>296</v>
      </c>
      <c r="AJ2" s="285"/>
      <c r="AK2" s="286"/>
      <c r="AL2" s="22"/>
      <c r="AM2" s="22"/>
      <c r="AN2" s="22"/>
      <c r="AO2" s="22"/>
      <c r="AP2" s="22"/>
      <c r="AQ2" s="22"/>
      <c r="AR2" s="23"/>
      <c r="AS2" s="23"/>
      <c r="AT2" s="22"/>
      <c r="AU2" s="22"/>
      <c r="AV2" s="22"/>
    </row>
    <row r="3" spans="1:62" s="14" customFormat="1" ht="45" customHeight="1">
      <c r="A3" s="22"/>
      <c r="B3" s="26"/>
      <c r="C3" s="123"/>
      <c r="D3" s="124"/>
      <c r="E3" s="125"/>
      <c r="F3" s="123"/>
      <c r="G3" s="122"/>
      <c r="H3" s="126"/>
      <c r="I3" s="127"/>
      <c r="J3" s="128"/>
      <c r="K3" s="126"/>
      <c r="L3" s="127"/>
      <c r="M3" s="128"/>
      <c r="N3" s="129"/>
      <c r="O3" s="130"/>
      <c r="P3" s="131"/>
      <c r="Q3" s="126"/>
      <c r="R3" s="127"/>
      <c r="S3" s="128"/>
      <c r="T3" s="126"/>
      <c r="U3" s="127"/>
      <c r="V3" s="128"/>
      <c r="W3" s="27"/>
      <c r="X3" s="132"/>
      <c r="Y3" s="133"/>
      <c r="Z3" s="27"/>
      <c r="AA3" s="134"/>
      <c r="AB3" s="133"/>
      <c r="AC3" s="135"/>
      <c r="AD3" s="132"/>
      <c r="AE3" s="136"/>
      <c r="AF3" s="371" t="s">
        <v>8429</v>
      </c>
      <c r="AG3" s="372"/>
      <c r="AH3" s="369" t="s">
        <v>8428</v>
      </c>
      <c r="AI3" s="137"/>
      <c r="AJ3" s="138"/>
      <c r="AK3" s="139"/>
      <c r="AL3" s="22"/>
      <c r="AM3" s="22"/>
      <c r="AN3" s="22"/>
      <c r="AO3" s="22"/>
      <c r="AP3" s="22"/>
      <c r="AQ3" s="22"/>
      <c r="AR3" s="23"/>
      <c r="AS3" s="23"/>
      <c r="AT3" s="22"/>
      <c r="AU3" s="22"/>
      <c r="AV3" s="22"/>
    </row>
    <row r="4" spans="1:62" ht="45" customHeight="1" thickBot="1">
      <c r="A4" s="28"/>
      <c r="B4" s="29"/>
      <c r="C4" s="30"/>
      <c r="D4" s="31"/>
      <c r="E4" s="29"/>
      <c r="F4" s="30"/>
      <c r="G4" s="32"/>
      <c r="H4" s="268"/>
      <c r="I4" s="269"/>
      <c r="J4" s="33"/>
      <c r="K4" s="270"/>
      <c r="L4" s="271"/>
      <c r="M4" s="33"/>
      <c r="N4" s="268"/>
      <c r="O4" s="269"/>
      <c r="P4" s="33"/>
      <c r="Q4" s="270"/>
      <c r="R4" s="271"/>
      <c r="S4" s="33"/>
      <c r="T4" s="270"/>
      <c r="U4" s="269"/>
      <c r="V4" s="33"/>
      <c r="W4" s="312"/>
      <c r="X4" s="35"/>
      <c r="Y4" s="36"/>
      <c r="Z4" s="34"/>
      <c r="AA4" s="37"/>
      <c r="AB4" s="38"/>
      <c r="AC4" s="34"/>
      <c r="AD4" s="35"/>
      <c r="AE4" s="36"/>
      <c r="AF4" s="371" t="s">
        <v>8430</v>
      </c>
      <c r="AG4" s="373"/>
      <c r="AH4" s="370" t="s">
        <v>8431</v>
      </c>
      <c r="AI4" s="360"/>
      <c r="AJ4" s="35"/>
      <c r="AK4" s="38"/>
      <c r="AL4" s="28"/>
      <c r="AM4" s="28"/>
      <c r="AN4" s="28"/>
      <c r="AO4" s="28"/>
      <c r="AP4" s="28"/>
      <c r="AQ4" s="28"/>
      <c r="AR4" s="19"/>
      <c r="AS4" s="19"/>
      <c r="AT4" s="28"/>
      <c r="AU4" s="28"/>
      <c r="AV4" s="28"/>
    </row>
    <row r="5" spans="1:62" s="14" customFormat="1" ht="45" customHeight="1">
      <c r="A5" s="22"/>
      <c r="B5" s="22"/>
      <c r="C5" s="272" t="s">
        <v>304</v>
      </c>
      <c r="D5" s="273"/>
      <c r="E5" s="274"/>
      <c r="F5" s="272" t="s">
        <v>305</v>
      </c>
      <c r="G5" s="273"/>
      <c r="H5" s="274"/>
      <c r="I5" s="272" t="s">
        <v>191</v>
      </c>
      <c r="J5" s="273"/>
      <c r="K5" s="274"/>
      <c r="L5" s="272" t="s">
        <v>306</v>
      </c>
      <c r="M5" s="273"/>
      <c r="N5" s="274"/>
      <c r="O5" s="272" t="s">
        <v>234</v>
      </c>
      <c r="P5" s="273"/>
      <c r="Q5" s="274"/>
      <c r="R5" s="272" t="s">
        <v>255</v>
      </c>
      <c r="S5" s="273"/>
      <c r="T5" s="274"/>
      <c r="U5" s="281" t="s">
        <v>153</v>
      </c>
      <c r="V5" s="282"/>
      <c r="W5" s="283"/>
      <c r="X5" s="281" t="s">
        <v>162</v>
      </c>
      <c r="Y5" s="282"/>
      <c r="Z5" s="283"/>
      <c r="AA5" s="281" t="s">
        <v>158</v>
      </c>
      <c r="AB5" s="282"/>
      <c r="AC5" s="283"/>
      <c r="AD5" s="281" t="s">
        <v>231</v>
      </c>
      <c r="AE5" s="282"/>
      <c r="AF5" s="283"/>
      <c r="AG5" s="281" t="s">
        <v>307</v>
      </c>
      <c r="AH5" s="282"/>
      <c r="AI5" s="283"/>
      <c r="AJ5" s="281" t="s">
        <v>308</v>
      </c>
      <c r="AK5" s="282"/>
      <c r="AL5" s="283"/>
      <c r="AM5" s="284" t="s">
        <v>309</v>
      </c>
      <c r="AN5" s="285"/>
      <c r="AO5" s="286"/>
      <c r="AP5" s="22"/>
      <c r="AQ5" s="22"/>
      <c r="AR5" s="23"/>
      <c r="AS5" s="23"/>
      <c r="AT5" s="22"/>
      <c r="AU5" s="22"/>
      <c r="AV5" s="22"/>
    </row>
    <row r="6" spans="1:62" s="14" customFormat="1" ht="45" customHeight="1">
      <c r="A6" s="22"/>
      <c r="B6" s="22"/>
      <c r="C6" s="125"/>
      <c r="D6" s="123"/>
      <c r="E6" s="122"/>
      <c r="F6" s="125"/>
      <c r="G6" s="123"/>
      <c r="H6" s="122"/>
      <c r="I6" s="26"/>
      <c r="J6" s="123"/>
      <c r="K6" s="122"/>
      <c r="L6" s="140"/>
      <c r="M6" s="123"/>
      <c r="N6" s="141"/>
      <c r="O6" s="140"/>
      <c r="P6" s="142"/>
      <c r="Q6" s="141"/>
      <c r="R6" s="140"/>
      <c r="S6" s="123"/>
      <c r="T6" s="141"/>
      <c r="U6" s="27"/>
      <c r="V6" s="132"/>
      <c r="W6" s="133"/>
      <c r="X6" s="27"/>
      <c r="Y6" s="488"/>
      <c r="Z6" s="489"/>
      <c r="AA6" s="27"/>
      <c r="AB6" s="132"/>
      <c r="AC6" s="133"/>
      <c r="AD6" s="135"/>
      <c r="AE6" s="132"/>
      <c r="AF6" s="136"/>
      <c r="AG6" s="371"/>
      <c r="AH6" s="372"/>
      <c r="AI6" s="136"/>
      <c r="AJ6" s="371"/>
      <c r="AK6" s="372"/>
      <c r="AL6" s="136"/>
      <c r="AM6" s="371"/>
      <c r="AN6" s="372"/>
      <c r="AO6" s="144"/>
      <c r="AP6" s="22"/>
      <c r="AQ6" s="22"/>
      <c r="AR6" s="23"/>
      <c r="AS6" s="23"/>
      <c r="AT6" s="22"/>
      <c r="AU6" s="22"/>
      <c r="AV6" s="22"/>
    </row>
    <row r="7" spans="1:62" ht="45" customHeight="1" thickBot="1">
      <c r="A7" s="28"/>
      <c r="B7" s="28"/>
      <c r="C7" s="29"/>
      <c r="D7" s="30"/>
      <c r="E7" s="32"/>
      <c r="F7" s="29"/>
      <c r="G7" s="30"/>
      <c r="H7" s="32"/>
      <c r="I7" s="29"/>
      <c r="J7" s="30"/>
      <c r="K7" s="121"/>
      <c r="L7" s="41"/>
      <c r="M7" s="30"/>
      <c r="N7" s="335"/>
      <c r="O7" s="29"/>
      <c r="P7" s="30"/>
      <c r="Q7" s="121"/>
      <c r="R7" s="41"/>
      <c r="S7" s="30"/>
      <c r="T7" s="42"/>
      <c r="U7" s="34"/>
      <c r="V7" s="35"/>
      <c r="W7" s="38"/>
      <c r="X7" s="34"/>
      <c r="Y7" s="35"/>
      <c r="Z7" s="38"/>
      <c r="AA7" s="34"/>
      <c r="AB7" s="35"/>
      <c r="AC7" s="38"/>
      <c r="AD7" s="34"/>
      <c r="AE7" s="37"/>
      <c r="AF7" s="302"/>
      <c r="AG7" s="371" t="s">
        <v>8485</v>
      </c>
      <c r="AH7" s="373"/>
      <c r="AI7" s="370"/>
      <c r="AJ7" s="371" t="s">
        <v>8484</v>
      </c>
      <c r="AK7" s="373"/>
      <c r="AL7" s="370" t="s">
        <v>8432</v>
      </c>
      <c r="AM7" s="374" t="s">
        <v>8433</v>
      </c>
      <c r="AN7" s="373"/>
      <c r="AO7" s="370" t="s">
        <v>72</v>
      </c>
      <c r="AP7" s="28"/>
      <c r="AQ7" s="28"/>
      <c r="AR7" s="19"/>
      <c r="AS7" s="19"/>
      <c r="AT7" s="28"/>
      <c r="AU7" s="28"/>
      <c r="AV7" s="28"/>
    </row>
    <row r="8" spans="1:62" s="14" customFormat="1" ht="45" customHeight="1">
      <c r="A8" s="22"/>
      <c r="B8" s="22"/>
      <c r="C8" s="43"/>
      <c r="D8" s="272" t="s">
        <v>333</v>
      </c>
      <c r="E8" s="273"/>
      <c r="F8" s="274"/>
      <c r="G8" s="272" t="s">
        <v>259</v>
      </c>
      <c r="H8" s="273"/>
      <c r="I8" s="274"/>
      <c r="J8" s="272" t="s">
        <v>122</v>
      </c>
      <c r="K8" s="273"/>
      <c r="L8" s="274"/>
      <c r="M8" s="272" t="s">
        <v>310</v>
      </c>
      <c r="N8" s="273"/>
      <c r="O8" s="274"/>
      <c r="P8" s="272" t="s">
        <v>95</v>
      </c>
      <c r="Q8" s="273"/>
      <c r="R8" s="274"/>
      <c r="S8" s="272" t="s">
        <v>257</v>
      </c>
      <c r="T8" s="273"/>
      <c r="U8" s="274"/>
      <c r="V8" s="281" t="s">
        <v>147</v>
      </c>
      <c r="W8" s="282"/>
      <c r="X8" s="283"/>
      <c r="Y8" s="281" t="s">
        <v>242</v>
      </c>
      <c r="Z8" s="282"/>
      <c r="AA8" s="283"/>
      <c r="AB8" s="281" t="s">
        <v>140</v>
      </c>
      <c r="AC8" s="282"/>
      <c r="AD8" s="283"/>
      <c r="AE8" s="281" t="s">
        <v>311</v>
      </c>
      <c r="AF8" s="282"/>
      <c r="AG8" s="283"/>
      <c r="AH8" s="284" t="s">
        <v>312</v>
      </c>
      <c r="AI8" s="285"/>
      <c r="AJ8" s="286"/>
      <c r="AK8" s="22"/>
      <c r="AL8" s="22"/>
      <c r="AM8" s="22"/>
      <c r="AN8" s="22"/>
      <c r="AO8" s="22"/>
      <c r="AP8" s="22"/>
      <c r="AQ8" s="22"/>
      <c r="AR8" s="23"/>
      <c r="AS8" s="23"/>
      <c r="AT8" s="22"/>
      <c r="AU8" s="22"/>
      <c r="AV8" s="22"/>
    </row>
    <row r="9" spans="1:62" s="14" customFormat="1" ht="45" customHeight="1">
      <c r="A9" s="22"/>
      <c r="B9" s="22"/>
      <c r="C9" s="43"/>
      <c r="D9" s="26"/>
      <c r="E9" s="123"/>
      <c r="F9" s="301"/>
      <c r="G9" s="125"/>
      <c r="H9" s="123"/>
      <c r="I9" s="122"/>
      <c r="J9" s="125"/>
      <c r="K9" s="123"/>
      <c r="L9" s="122"/>
      <c r="M9" s="125"/>
      <c r="N9" s="123"/>
      <c r="O9" s="122"/>
      <c r="P9" s="125"/>
      <c r="Q9" s="123"/>
      <c r="R9" s="122"/>
      <c r="S9" s="140"/>
      <c r="T9" s="123"/>
      <c r="U9" s="141"/>
      <c r="V9" s="27"/>
      <c r="W9" s="134"/>
      <c r="X9" s="133"/>
      <c r="Y9" s="135"/>
      <c r="Z9" s="132"/>
      <c r="AA9" s="136"/>
      <c r="AB9" s="27"/>
      <c r="AC9" s="486"/>
      <c r="AD9" s="487"/>
      <c r="AE9" s="371"/>
      <c r="AF9" s="372"/>
      <c r="AG9" s="133"/>
      <c r="AH9" s="137"/>
      <c r="AI9" s="138"/>
      <c r="AJ9" s="139"/>
      <c r="AK9" s="22"/>
      <c r="AL9" s="22"/>
      <c r="AM9" s="22"/>
      <c r="AN9" s="22"/>
      <c r="AO9" s="22"/>
      <c r="AP9" s="22"/>
      <c r="AQ9" s="22"/>
      <c r="AR9" s="23"/>
      <c r="AS9" s="23"/>
      <c r="AT9" s="22"/>
      <c r="AU9" s="22"/>
      <c r="AV9" s="22"/>
    </row>
    <row r="10" spans="1:62" ht="45" customHeight="1" thickBot="1">
      <c r="A10" s="28"/>
      <c r="B10" s="28"/>
      <c r="C10" s="28"/>
      <c r="D10" s="29"/>
      <c r="E10" s="30"/>
      <c r="F10" s="32"/>
      <c r="G10" s="29"/>
      <c r="H10" s="30"/>
      <c r="I10" s="32"/>
      <c r="J10" s="29"/>
      <c r="K10" s="30"/>
      <c r="L10" s="42"/>
      <c r="M10" s="29"/>
      <c r="N10" s="30"/>
      <c r="O10" s="42"/>
      <c r="P10" s="41"/>
      <c r="Q10" s="30"/>
      <c r="R10" s="42"/>
      <c r="S10" s="41"/>
      <c r="T10" s="30"/>
      <c r="U10" s="42"/>
      <c r="V10" s="34"/>
      <c r="W10" s="35"/>
      <c r="X10" s="38"/>
      <c r="Y10" s="34"/>
      <c r="Z10" s="35"/>
      <c r="AA10" s="38"/>
      <c r="AB10" s="34"/>
      <c r="AC10" s="35"/>
      <c r="AD10" s="38"/>
      <c r="AE10" s="371" t="s">
        <v>8434</v>
      </c>
      <c r="AF10" s="373"/>
      <c r="AG10" s="370"/>
      <c r="AH10" s="34"/>
      <c r="AI10" s="37"/>
      <c r="AJ10" s="38"/>
      <c r="AK10" s="28"/>
      <c r="AL10" s="28"/>
      <c r="AM10" s="28"/>
      <c r="AN10" s="28"/>
      <c r="AO10" s="28"/>
      <c r="AP10" s="28"/>
      <c r="AQ10" s="28"/>
      <c r="AR10" s="19"/>
      <c r="AS10" s="19"/>
      <c r="AT10" s="28"/>
      <c r="AU10" s="28"/>
      <c r="AV10" s="28"/>
    </row>
    <row r="11" spans="1:62" s="14" customFormat="1" ht="45" customHeight="1">
      <c r="A11" s="22"/>
      <c r="B11" s="22"/>
      <c r="C11" s="22"/>
      <c r="D11" s="22"/>
      <c r="E11" s="272" t="s">
        <v>256</v>
      </c>
      <c r="F11" s="273"/>
      <c r="G11" s="274"/>
      <c r="H11" s="272" t="s">
        <v>313</v>
      </c>
      <c r="I11" s="273"/>
      <c r="J11" s="274"/>
      <c r="K11" s="272" t="s">
        <v>258</v>
      </c>
      <c r="L11" s="273"/>
      <c r="M11" s="274"/>
      <c r="N11" s="272" t="s">
        <v>314</v>
      </c>
      <c r="O11" s="273"/>
      <c r="P11" s="274"/>
      <c r="Q11" s="272" t="s">
        <v>97</v>
      </c>
      <c r="R11" s="273"/>
      <c r="S11" s="274"/>
      <c r="T11" s="272" t="s">
        <v>315</v>
      </c>
      <c r="U11" s="273"/>
      <c r="V11" s="274"/>
      <c r="W11" s="281" t="s">
        <v>283</v>
      </c>
      <c r="X11" s="282"/>
      <c r="Y11" s="283"/>
      <c r="Z11" s="281" t="s">
        <v>316</v>
      </c>
      <c r="AA11" s="282"/>
      <c r="AB11" s="283"/>
      <c r="AC11" s="281" t="s">
        <v>317</v>
      </c>
      <c r="AD11" s="282"/>
      <c r="AE11" s="283"/>
      <c r="AF11" s="284" t="s">
        <v>318</v>
      </c>
      <c r="AG11" s="285"/>
      <c r="AH11" s="286"/>
      <c r="AI11" s="22"/>
      <c r="AJ11" s="22"/>
      <c r="AK11" s="22"/>
      <c r="AL11" s="22"/>
      <c r="AM11" s="22"/>
      <c r="AN11" s="22"/>
      <c r="AO11" s="22"/>
      <c r="AP11" s="22"/>
      <c r="AQ11" s="22"/>
      <c r="AR11" s="23"/>
      <c r="AS11" s="23"/>
      <c r="AT11" s="22"/>
      <c r="AU11" s="22"/>
      <c r="AV11" s="22"/>
    </row>
    <row r="12" spans="1:62" s="14" customFormat="1" ht="45" customHeight="1">
      <c r="A12" s="22"/>
      <c r="B12" s="22"/>
      <c r="C12" s="22"/>
      <c r="D12" s="22"/>
      <c r="E12" s="125"/>
      <c r="F12" s="123"/>
      <c r="G12" s="122"/>
      <c r="H12" s="125"/>
      <c r="I12" s="123"/>
      <c r="J12" s="122"/>
      <c r="K12" s="125"/>
      <c r="L12" s="123"/>
      <c r="M12" s="122"/>
      <c r="N12" s="125"/>
      <c r="O12" s="123"/>
      <c r="P12" s="122"/>
      <c r="Q12" s="140"/>
      <c r="R12" s="123"/>
      <c r="S12" s="141"/>
      <c r="T12" s="26"/>
      <c r="U12" s="123"/>
      <c r="V12" s="122"/>
      <c r="W12" s="27"/>
      <c r="X12" s="132"/>
      <c r="Y12" s="133"/>
      <c r="Z12" s="27"/>
      <c r="AA12" s="134"/>
      <c r="AB12" s="133"/>
      <c r="AC12" s="313"/>
      <c r="AD12" s="314"/>
      <c r="AE12" s="315"/>
      <c r="AF12" s="371"/>
      <c r="AG12" s="372"/>
      <c r="AH12" s="133"/>
      <c r="AI12" s="22"/>
      <c r="AJ12" s="22"/>
      <c r="AK12" s="22"/>
      <c r="AL12" s="22"/>
      <c r="AM12" s="22"/>
      <c r="AN12" s="22"/>
      <c r="AO12" s="22"/>
      <c r="AP12" s="22"/>
      <c r="AQ12" s="22" t="s">
        <v>215</v>
      </c>
      <c r="AR12" s="23"/>
      <c r="AS12" s="23"/>
      <c r="AT12" s="22"/>
      <c r="AU12" s="22"/>
      <c r="AV12" s="22"/>
    </row>
    <row r="13" spans="1:62" ht="45" customHeight="1" thickBot="1">
      <c r="A13" s="28"/>
      <c r="B13" s="28"/>
      <c r="C13" s="28"/>
      <c r="D13" s="28"/>
      <c r="E13" s="41"/>
      <c r="F13" s="30"/>
      <c r="G13" s="42"/>
      <c r="H13" s="29"/>
      <c r="I13" s="30"/>
      <c r="J13" s="32"/>
      <c r="K13" s="29"/>
      <c r="L13" s="30"/>
      <c r="M13" s="42"/>
      <c r="N13" s="29"/>
      <c r="O13" s="30"/>
      <c r="P13" s="42"/>
      <c r="Q13" s="41"/>
      <c r="R13" s="30"/>
      <c r="S13" s="42"/>
      <c r="T13" s="29"/>
      <c r="U13" s="30"/>
      <c r="V13" s="42"/>
      <c r="W13" s="34"/>
      <c r="X13" s="35"/>
      <c r="Y13" s="38"/>
      <c r="Z13" s="34"/>
      <c r="AA13" s="35"/>
      <c r="AB13" s="38"/>
      <c r="AC13" s="374" t="s">
        <v>8436</v>
      </c>
      <c r="AD13" s="373"/>
      <c r="AE13" s="370"/>
      <c r="AF13" s="374" t="s">
        <v>8435</v>
      </c>
      <c r="AG13" s="373"/>
      <c r="AH13" s="370" t="s">
        <v>74</v>
      </c>
      <c r="AI13" s="28"/>
      <c r="AJ13" s="28"/>
      <c r="AK13" s="28"/>
      <c r="AL13" s="28"/>
      <c r="AM13" s="28"/>
      <c r="AN13" s="28"/>
      <c r="AO13" s="28"/>
      <c r="AP13" s="28"/>
      <c r="AQ13" s="28"/>
      <c r="AR13" s="19"/>
      <c r="AS13" s="19"/>
      <c r="AT13" s="28"/>
      <c r="AU13" s="28"/>
      <c r="AV13" s="28"/>
      <c r="BJ13" s="14"/>
    </row>
    <row r="14" spans="1:62" ht="45" customHeight="1">
      <c r="BJ14" s="14"/>
    </row>
    <row r="15" spans="1:62" s="15" customFormat="1" ht="4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19"/>
      <c r="AS15" s="19"/>
      <c r="AT15" s="28"/>
      <c r="AU15" s="28"/>
      <c r="AV15" s="28"/>
      <c r="AW15" s="13"/>
      <c r="AX15" s="13"/>
      <c r="AY15" s="13"/>
      <c r="AZ15" s="13"/>
      <c r="BA15" s="13"/>
      <c r="BB15" s="13"/>
      <c r="BC15" s="14"/>
      <c r="BD15" s="14"/>
      <c r="BE15" s="14"/>
      <c r="BF15" s="14"/>
      <c r="BG15" s="14"/>
      <c r="BH15" s="14"/>
      <c r="BI15" s="14"/>
      <c r="BJ15" s="14"/>
    </row>
    <row r="16" spans="1:62" s="16" customFormat="1" ht="45" customHeight="1">
      <c r="A16" s="45"/>
      <c r="B16" s="46" t="s">
        <v>2</v>
      </c>
      <c r="C16" s="47"/>
      <c r="D16" s="48" cm="1">
        <f t="array" ref="D16" xml:space="preserve"> COLUMN() - COLUMN($C:$C)</f>
        <v>1</v>
      </c>
      <c r="E16" s="48" cm="1">
        <f t="array" ref="E16" xml:space="preserve"> COLUMN() - COLUMN($C:$C)</f>
        <v>2</v>
      </c>
      <c r="F16" s="48" cm="1">
        <f t="array" ref="F16" xml:space="preserve"> COLUMN() - COLUMN($C:$C)</f>
        <v>3</v>
      </c>
      <c r="G16" s="48" cm="1">
        <f t="array" ref="G16" xml:space="preserve"> COLUMN() - COLUMN($C:$C)</f>
        <v>4</v>
      </c>
      <c r="H16" s="48" cm="1">
        <f t="array" ref="H16" xml:space="preserve"> COLUMN() - COLUMN($C:$C)</f>
        <v>5</v>
      </c>
      <c r="I16" s="48" cm="1">
        <f t="array" ref="I16" xml:space="preserve"> COLUMN() - COLUMN($C:$C)</f>
        <v>6</v>
      </c>
      <c r="J16" s="48" cm="1">
        <f t="array" ref="J16" xml:space="preserve"> COLUMN() - COLUMN($C:$C)</f>
        <v>7</v>
      </c>
      <c r="K16" s="48" cm="1">
        <f t="array" ref="K16" xml:space="preserve"> COLUMN() - COLUMN($C:$C)</f>
        <v>8</v>
      </c>
      <c r="L16" s="48" cm="1">
        <f t="array" ref="L16" xml:space="preserve"> COLUMN() - COLUMN($C:$C)</f>
        <v>9</v>
      </c>
      <c r="M16" s="48" cm="1">
        <f t="array" ref="M16" xml:space="preserve"> COLUMN() - COLUMN($C:$C)</f>
        <v>10</v>
      </c>
      <c r="N16" s="48" cm="1">
        <f t="array" ref="N16" xml:space="preserve"> COLUMN() - COLUMN($C:$C)</f>
        <v>11</v>
      </c>
      <c r="O16" s="48" cm="1">
        <f t="array" ref="O16" xml:space="preserve"> COLUMN() - COLUMN($C:$C)</f>
        <v>12</v>
      </c>
      <c r="P16" s="48" cm="1">
        <f t="array" ref="P16" xml:space="preserve"> COLUMN() - COLUMN($C:$C)</f>
        <v>13</v>
      </c>
      <c r="Q16" s="48" cm="1">
        <f t="array" ref="Q16" xml:space="preserve"> COLUMN() - COLUMN($C:$C)</f>
        <v>14</v>
      </c>
      <c r="R16" s="48" cm="1">
        <f t="array" ref="R16" xml:space="preserve"> COLUMN() - COLUMN($C:$C)</f>
        <v>15</v>
      </c>
      <c r="S16" s="48" cm="1">
        <f t="array" ref="S16" xml:space="preserve"> COLUMN() - COLUMN($C:$C)</f>
        <v>16</v>
      </c>
      <c r="T16" s="48" cm="1">
        <f t="array" ref="T16" xml:space="preserve"> COLUMN() - COLUMN($C:$C)</f>
        <v>17</v>
      </c>
      <c r="U16" s="48" cm="1">
        <f t="array" ref="U16" xml:space="preserve"> COLUMN() - COLUMN($C:$C)</f>
        <v>18</v>
      </c>
      <c r="V16" s="48" cm="1">
        <f t="array" ref="V16" xml:space="preserve"> COLUMN() - COLUMN($C:$C)</f>
        <v>19</v>
      </c>
      <c r="W16" s="48" cm="1">
        <f t="array" ref="W16" xml:space="preserve"> COLUMN() - COLUMN($C:$C)</f>
        <v>20</v>
      </c>
      <c r="X16" s="48" cm="1">
        <f t="array" ref="X16" xml:space="preserve"> COLUMN() - COLUMN($C:$C)</f>
        <v>21</v>
      </c>
      <c r="Y16" s="49" cm="1">
        <f t="array" ref="Y16" xml:space="preserve"> COLUMN() - COLUMN($C:$C)</f>
        <v>22</v>
      </c>
      <c r="Z16" s="49" cm="1">
        <f t="array" ref="Z16" xml:space="preserve"> COLUMN() - COLUMN($C:$C)</f>
        <v>23</v>
      </c>
      <c r="AA16" s="49" cm="1">
        <f t="array" ref="AA16" xml:space="preserve"> COLUMN() - COLUMN($C:$C)</f>
        <v>24</v>
      </c>
      <c r="AB16" s="49" cm="1">
        <f t="array" ref="AB16" xml:space="preserve"> COLUMN() - COLUMN($C:$C)</f>
        <v>25</v>
      </c>
      <c r="AC16" s="49" cm="1">
        <f t="array" ref="AC16" xml:space="preserve"> COLUMN() - COLUMN($C:$C)</f>
        <v>26</v>
      </c>
      <c r="AD16" s="49" cm="1">
        <f t="array" ref="AD16" xml:space="preserve"> COLUMN() - COLUMN($C:$C)</f>
        <v>27</v>
      </c>
      <c r="AE16" s="49" cm="1">
        <f t="array" ref="AE16" xml:space="preserve"> COLUMN() - COLUMN($C:$C)</f>
        <v>28</v>
      </c>
      <c r="AF16" s="49" cm="1">
        <f t="array" ref="AF16" xml:space="preserve"> COLUMN() - COLUMN($C:$C)</f>
        <v>29</v>
      </c>
      <c r="AG16" s="49" cm="1">
        <f t="array" ref="AG16" xml:space="preserve"> COLUMN() - COLUMN($C:$C)</f>
        <v>30</v>
      </c>
      <c r="AH16" s="49" cm="1">
        <f t="array" ref="AH16" xml:space="preserve"> COLUMN() - COLUMN($C:$C)</f>
        <v>31</v>
      </c>
      <c r="AI16" s="49" cm="1">
        <f t="array" ref="AI16" xml:space="preserve"> COLUMN() - COLUMN($C:$C)</f>
        <v>32</v>
      </c>
      <c r="AJ16" s="49" cm="1">
        <f t="array" ref="AJ16" xml:space="preserve"> COLUMN() - COLUMN($C:$C)</f>
        <v>33</v>
      </c>
      <c r="AK16" s="49" cm="1">
        <f t="array" ref="AK16" xml:space="preserve"> COLUMN() - COLUMN($C:$C)</f>
        <v>34</v>
      </c>
      <c r="AL16" s="49" cm="1">
        <f t="array" ref="AL16" xml:space="preserve"> COLUMN() - COLUMN($C:$C)</f>
        <v>35</v>
      </c>
      <c r="AM16" s="49" cm="1">
        <f t="array" ref="AM16" xml:space="preserve"> COLUMN() - COLUMN($C:$C)</f>
        <v>36</v>
      </c>
      <c r="AN16" s="49" cm="1">
        <f t="array" ref="AN16" xml:space="preserve"> COLUMN() - COLUMN($C:$C)</f>
        <v>37</v>
      </c>
      <c r="AO16" s="49" cm="1">
        <f t="array" ref="AO16" xml:space="preserve"> COLUMN() - COLUMN($C:$C)</f>
        <v>38</v>
      </c>
      <c r="AP16" s="49" cm="1">
        <f t="array" ref="AP16" xml:space="preserve"> COLUMN() - COLUMN($C:$C)</f>
        <v>39</v>
      </c>
      <c r="AQ16" s="49" cm="1">
        <f t="array" ref="AQ16" xml:space="preserve"> COLUMN() - COLUMN($C:$C)</f>
        <v>40</v>
      </c>
      <c r="AR16" s="49" cm="1">
        <f t="array" ref="AR16" xml:space="preserve"> COLUMN() - COLUMN($C:$C)</f>
        <v>41</v>
      </c>
      <c r="AS16" s="49" cm="1">
        <f t="array" ref="AS16" xml:space="preserve"> COLUMN() - COLUMN($C:$C)</f>
        <v>42</v>
      </c>
      <c r="AT16" s="49" cm="1">
        <f t="array" ref="AT16" xml:space="preserve"> COLUMN() - COLUMN($C:$C)</f>
        <v>43</v>
      </c>
      <c r="AU16" s="49" cm="1">
        <f t="array" ref="AU16" xml:space="preserve"> COLUMN() - COLUMN($C:$C)</f>
        <v>44</v>
      </c>
      <c r="AV16" s="49" cm="1">
        <f t="array" ref="AV16" xml:space="preserve"> COLUMN() - COLUMN($C:$C)</f>
        <v>45</v>
      </c>
      <c r="AW16" s="49" cm="1">
        <f t="array" ref="AW16" xml:space="preserve"> COLUMN() - COLUMN($C:$C)</f>
        <v>46</v>
      </c>
      <c r="AX16" s="50" cm="1">
        <f t="array" ref="AX16" xml:space="preserve"> COLUMN() - COLUMN($C:$C)</f>
        <v>47</v>
      </c>
      <c r="AY16" s="50" cm="1">
        <f t="array" ref="AY16" xml:space="preserve"> COLUMN() - COLUMN($C:$C)</f>
        <v>48</v>
      </c>
      <c r="AZ16" s="50" cm="1">
        <f t="array" ref="AZ16" xml:space="preserve"> COLUMN() - COLUMN($C:$C)</f>
        <v>49</v>
      </c>
      <c r="BA16" s="50" cm="1">
        <f t="array" ref="BA16" xml:space="preserve"> COLUMN() - COLUMN($C:$C)</f>
        <v>50</v>
      </c>
      <c r="BB16" s="50" cm="1">
        <f t="array" ref="BB16" xml:space="preserve"> COLUMN() - COLUMN($C:$C)</f>
        <v>51</v>
      </c>
      <c r="BC16" s="50" cm="1">
        <f t="array" ref="BC16" xml:space="preserve"> COLUMN() - COLUMN($C:$C)</f>
        <v>52</v>
      </c>
      <c r="BD16" s="50" cm="1">
        <f t="array" ref="BD16" xml:space="preserve"> COLUMN() - COLUMN($C:$C)</f>
        <v>53</v>
      </c>
      <c r="BE16" s="50" cm="1">
        <f t="array" ref="BE16" xml:space="preserve"> COLUMN() - COLUMN($C:$C)</f>
        <v>54</v>
      </c>
      <c r="BF16" s="50" cm="1">
        <f t="array" ref="BF16" xml:space="preserve"> COLUMN() - COLUMN($C:$C)</f>
        <v>55</v>
      </c>
      <c r="BG16" s="50" cm="1">
        <f t="array" ref="BG16" xml:space="preserve"> COLUMN() - COLUMN($C:$C)</f>
        <v>56</v>
      </c>
      <c r="BH16" s="50" cm="1">
        <f t="array" ref="BH16" xml:space="preserve"> COLUMN() - COLUMN($C:$C)</f>
        <v>57</v>
      </c>
      <c r="BI16" s="14"/>
      <c r="BJ16" s="14"/>
    </row>
    <row r="17" spans="1:62" s="16" customFormat="1" ht="45" customHeight="1">
      <c r="A17" s="51"/>
      <c r="B17" s="84" t="s">
        <v>3</v>
      </c>
      <c r="C17" s="85"/>
      <c r="D17" s="86" t="s">
        <v>9</v>
      </c>
      <c r="E17" s="86" t="s">
        <v>5</v>
      </c>
      <c r="F17" s="86" t="s">
        <v>7</v>
      </c>
      <c r="G17" s="86" t="s">
        <v>54</v>
      </c>
      <c r="H17" s="86" t="s">
        <v>11</v>
      </c>
      <c r="I17" s="86" t="s">
        <v>13</v>
      </c>
      <c r="J17" s="86" t="s">
        <v>15</v>
      </c>
      <c r="K17" s="86" t="s">
        <v>56</v>
      </c>
      <c r="L17" s="86" t="s">
        <v>21</v>
      </c>
      <c r="M17" s="86" t="s">
        <v>17</v>
      </c>
      <c r="N17" s="86" t="s">
        <v>19</v>
      </c>
      <c r="O17" s="86" t="s">
        <v>58</v>
      </c>
      <c r="P17" s="86" t="s">
        <v>31</v>
      </c>
      <c r="Q17" s="86" t="s">
        <v>77</v>
      </c>
      <c r="R17" s="86" t="s">
        <v>60</v>
      </c>
      <c r="S17" s="86" t="s">
        <v>62</v>
      </c>
      <c r="T17" s="86" t="s">
        <v>167</v>
      </c>
      <c r="U17" s="86" t="s">
        <v>27</v>
      </c>
      <c r="V17" s="86" t="s">
        <v>23</v>
      </c>
      <c r="W17" s="86" t="s">
        <v>25</v>
      </c>
      <c r="X17" s="86" t="s">
        <v>29</v>
      </c>
      <c r="Y17" s="86" t="s">
        <v>33</v>
      </c>
      <c r="Z17" s="86" t="s">
        <v>79</v>
      </c>
      <c r="AA17" s="86" t="s">
        <v>35</v>
      </c>
      <c r="AB17" s="86" t="s">
        <v>80</v>
      </c>
      <c r="AC17" s="86" t="s">
        <v>37</v>
      </c>
      <c r="AD17" s="86" t="s">
        <v>81</v>
      </c>
      <c r="AE17" s="86" t="s">
        <v>43</v>
      </c>
      <c r="AF17" s="86" t="s">
        <v>85</v>
      </c>
      <c r="AG17" s="86" t="s">
        <v>266</v>
      </c>
      <c r="AH17" s="86" t="s">
        <v>39</v>
      </c>
      <c r="AI17" s="86" t="s">
        <v>83</v>
      </c>
      <c r="AJ17" s="86" t="s">
        <v>145</v>
      </c>
      <c r="AK17" s="86" t="s">
        <v>82</v>
      </c>
      <c r="AL17" s="86" t="s">
        <v>47</v>
      </c>
      <c r="AM17" s="86" t="s">
        <v>86</v>
      </c>
      <c r="AN17" s="86" t="s">
        <v>64</v>
      </c>
      <c r="AO17" s="86" t="s">
        <v>70</v>
      </c>
      <c r="AP17" s="86" t="s">
        <v>68</v>
      </c>
      <c r="AQ17" s="86" t="s">
        <v>87</v>
      </c>
      <c r="AR17" s="86" t="s">
        <v>66</v>
      </c>
      <c r="AS17" s="86" t="s">
        <v>98</v>
      </c>
      <c r="AT17" s="86" t="s">
        <v>50</v>
      </c>
      <c r="AU17" s="86" t="s">
        <v>48</v>
      </c>
      <c r="AV17" s="86" t="s">
        <v>325</v>
      </c>
      <c r="AW17" s="86" t="s">
        <v>90</v>
      </c>
      <c r="AX17" s="86" t="s">
        <v>91</v>
      </c>
      <c r="AY17" s="86" t="s">
        <v>92</v>
      </c>
      <c r="AZ17" s="86" t="s">
        <v>93</v>
      </c>
      <c r="BA17" s="86" t="s">
        <v>72</v>
      </c>
      <c r="BB17" s="86" t="s">
        <v>73</v>
      </c>
      <c r="BC17" s="86" t="s">
        <v>74</v>
      </c>
      <c r="BD17" s="86" t="s">
        <v>8428</v>
      </c>
      <c r="BE17" s="86" t="s">
        <v>8432</v>
      </c>
      <c r="BF17" s="86" t="s">
        <v>8381</v>
      </c>
      <c r="BG17" s="86" t="s">
        <v>343</v>
      </c>
      <c r="BH17" s="86" t="s">
        <v>8379</v>
      </c>
      <c r="BI17" s="14"/>
      <c r="BJ17" s="14"/>
    </row>
    <row r="18" spans="1:62" s="16" customFormat="1" ht="45" customHeight="1">
      <c r="A18" s="51"/>
      <c r="B18" s="300" t="e">
        <f>#REF!</f>
        <v>#REF!</v>
      </c>
      <c r="C18" s="58"/>
      <c r="D18" s="59" t="e" cm="1">
        <f t="array" ref="D18" xml:space="preserve"> INDEX(注音編碼對照表[十五音], MATCH(TRUE, EXACT(D$17, 注音編碼對照表[聲韻調]),0))</f>
        <v>#N/A</v>
      </c>
      <c r="E18" s="59" t="e" cm="1">
        <f t="array" ref="E18" xml:space="preserve"> INDEX(注音編碼對照表[十五音], MATCH(TRUE, EXACT(E$17, 注音編碼對照表[聲韻調]),0))</f>
        <v>#N/A</v>
      </c>
      <c r="F18" s="59" t="e" cm="1">
        <f t="array" ref="F18" xml:space="preserve"> INDEX(注音編碼對照表[十五音], MATCH(TRUE, EXACT(F$17, 注音編碼對照表[聲韻調]),0))</f>
        <v>#N/A</v>
      </c>
      <c r="G18" s="59" t="e" cm="1">
        <f t="array" ref="G18" xml:space="preserve"> INDEX(注音編碼對照表[十五音], MATCH(TRUE, EXACT(G$17, 注音編碼對照表[聲韻調]),0))</f>
        <v>#N/A</v>
      </c>
      <c r="H18" s="59" t="e" cm="1">
        <f t="array" ref="H18" xml:space="preserve"> INDEX(注音編碼對照表[十五音], MATCH(TRUE, EXACT(H$17, 注音編碼對照表[聲韻調]),0))</f>
        <v>#N/A</v>
      </c>
      <c r="I18" s="59" t="e" cm="1">
        <f t="array" ref="I18" xml:space="preserve"> INDEX(注音編碼對照表[十五音], MATCH(TRUE, EXACT(I$17, 注音編碼對照表[聲韻調]),0))</f>
        <v>#N/A</v>
      </c>
      <c r="J18" s="59" t="e" cm="1">
        <f t="array" ref="J18" xml:space="preserve"> INDEX(注音編碼對照表[十五音], MATCH(TRUE, EXACT(J$17, 注音編碼對照表[聲韻調]),0))</f>
        <v>#N/A</v>
      </c>
      <c r="K18" s="59" t="e" cm="1">
        <f t="array" ref="K18" xml:space="preserve"> INDEX(注音編碼對照表[十五音], MATCH(TRUE, EXACT(K$17, 注音編碼對照表[聲韻調]),0))</f>
        <v>#N/A</v>
      </c>
      <c r="L18" s="59" t="e" cm="1">
        <f t="array" ref="L18" xml:space="preserve"> INDEX(注音編碼對照表[十五音], MATCH(TRUE, EXACT(L$17, 注音編碼對照表[聲韻調]),0))</f>
        <v>#N/A</v>
      </c>
      <c r="M18" s="59" t="e" cm="1">
        <f t="array" ref="M18" xml:space="preserve"> INDEX(注音編碼對照表[十五音], MATCH(TRUE, EXACT(M$17, 注音編碼對照表[聲韻調]),0))</f>
        <v>#N/A</v>
      </c>
      <c r="N18" s="59" t="e" cm="1">
        <f t="array" ref="N18" xml:space="preserve"> INDEX(注音編碼對照表[十五音], MATCH(TRUE, EXACT(N$17, 注音編碼對照表[聲韻調]),0))</f>
        <v>#N/A</v>
      </c>
      <c r="O18" s="59" t="e" cm="1">
        <f t="array" ref="O18" xml:space="preserve"> INDEX(注音編碼對照表[十五音], MATCH(TRUE, EXACT(O$17, 注音編碼對照表[聲韻調]),0))</f>
        <v>#N/A</v>
      </c>
      <c r="P18" s="59" t="e" cm="1">
        <f t="array" ref="P18" xml:space="preserve"> INDEX(注音編碼對照表[十五音], MATCH(TRUE, EXACT(P$17, 注音編碼對照表[聲韻調]),0))</f>
        <v>#N/A</v>
      </c>
      <c r="Q18" s="59" t="e" cm="1">
        <f t="array" ref="Q18" xml:space="preserve"> INDEX(注音編碼對照表[十五音], MATCH(TRUE, EXACT(Q$17, 注音編碼對照表[聲韻調]),0))</f>
        <v>#N/A</v>
      </c>
      <c r="R18" s="59" t="e" cm="1">
        <f t="array" ref="R18" xml:space="preserve"> INDEX(注音編碼對照表[十五音], MATCH(TRUE, EXACT(R$17, 注音編碼對照表[聲韻調]),0))</f>
        <v>#N/A</v>
      </c>
      <c r="S18" s="59" t="e" cm="1">
        <f t="array" ref="S18" xml:space="preserve"> INDEX(注音編碼對照表[十五音], MATCH(TRUE, EXACT(S$17, 注音編碼對照表[聲韻調]),0))</f>
        <v>#N/A</v>
      </c>
      <c r="T18" s="59" t="e" cm="1">
        <f t="array" ref="T18" xml:space="preserve"> INDEX(注音編碼對照表[十五音], MATCH(TRUE, EXACT(T$17, 注音編碼對照表[聲韻調]),0))</f>
        <v>#N/A</v>
      </c>
      <c r="U18" s="59" t="e" cm="1">
        <f t="array" ref="U18" xml:space="preserve"> INDEX(注音編碼對照表[十五音], MATCH(TRUE, EXACT(U$17, 注音編碼對照表[聲韻調]),0))</f>
        <v>#N/A</v>
      </c>
      <c r="V18" s="59" t="e" cm="1">
        <f t="array" ref="V18" xml:space="preserve"> INDEX(注音編碼對照表[十五音], MATCH(TRUE, EXACT(V$17, 注音編碼對照表[聲韻調]),0))</f>
        <v>#N/A</v>
      </c>
      <c r="W18" s="59" t="e" cm="1">
        <f t="array" ref="W18" xml:space="preserve"> INDEX(注音編碼對照表[十五音], MATCH(TRUE, EXACT(W$17, 注音編碼對照表[聲韻調]),0))</f>
        <v>#N/A</v>
      </c>
      <c r="X18" s="59" t="e" cm="1">
        <f t="array" ref="X18" xml:space="preserve"> INDEX(注音編碼對照表[十五音], MATCH(TRUE, EXACT(X$17, 注音編碼對照表[聲韻調]),0))</f>
        <v>#N/A</v>
      </c>
      <c r="Y18" s="59" t="e" cm="1">
        <f t="array" ref="Y18" xml:space="preserve"> INDEX(注音編碼對照表[十五音], MATCH(TRUE, EXACT(Y$17, 注音編碼對照表[聲韻調]),0))</f>
        <v>#N/A</v>
      </c>
      <c r="Z18" s="59" t="e" cm="1">
        <f t="array" ref="Z18" xml:space="preserve"> INDEX(注音編碼對照表[十五音], MATCH(TRUE, EXACT(Z$17, 注音編碼對照表[聲韻調]),0))</f>
        <v>#N/A</v>
      </c>
      <c r="AA18" s="59" t="e" cm="1">
        <f t="array" ref="AA18" xml:space="preserve"> INDEX(注音編碼對照表[十五音], MATCH(TRUE, EXACT(AA$17, 注音編碼對照表[聲韻調]),0))</f>
        <v>#N/A</v>
      </c>
      <c r="AB18" s="59" t="e" cm="1">
        <f t="array" ref="AB18" xml:space="preserve"> INDEX(注音編碼對照表[十五音], MATCH(TRUE, EXACT(AB$17, 注音編碼對照表[聲韻調]),0))</f>
        <v>#N/A</v>
      </c>
      <c r="AC18" s="59" t="e" cm="1">
        <f t="array" ref="AC18" xml:space="preserve"> INDEX(注音編碼對照表[十五音], MATCH(TRUE, EXACT(AC$17, 注音編碼對照表[聲韻調]),0))</f>
        <v>#N/A</v>
      </c>
      <c r="AD18" s="59" t="e" cm="1">
        <f t="array" ref="AD18" xml:space="preserve"> INDEX(注音編碼對照表[十五音], MATCH(TRUE, EXACT(AD$17, 注音編碼對照表[聲韻調]),0))</f>
        <v>#N/A</v>
      </c>
      <c r="AE18" s="59" t="e" cm="1">
        <f t="array" ref="AE18" xml:space="preserve"> INDEX(注音編碼對照表[十五音], MATCH(TRUE, EXACT(AE$17, 注音編碼對照表[聲韻調]),0))</f>
        <v>#N/A</v>
      </c>
      <c r="AF18" s="59" t="e" cm="1">
        <f t="array" ref="AF18" xml:space="preserve"> INDEX(注音編碼對照表[十五音], MATCH(TRUE, EXACT(AF$17, 注音編碼對照表[聲韻調]),0))</f>
        <v>#N/A</v>
      </c>
      <c r="AG18" s="59" t="e" cm="1">
        <f t="array" ref="AG18" xml:space="preserve"> INDEX(注音編碼對照表[十五音], MATCH(TRUE, EXACT(AG$17, 注音編碼對照表[聲韻調]),0))</f>
        <v>#N/A</v>
      </c>
      <c r="AH18" s="59" t="e" cm="1">
        <f t="array" ref="AH18" xml:space="preserve"> INDEX(注音編碼對照表[十五音], MATCH(TRUE, EXACT(AH$17, 注音編碼對照表[聲韻調]),0))</f>
        <v>#N/A</v>
      </c>
      <c r="AI18" s="59" t="e" cm="1">
        <f t="array" ref="AI18" xml:space="preserve"> INDEX(注音編碼對照表[十五音], MATCH(TRUE, EXACT(AI$17, 注音編碼對照表[聲韻調]),0))</f>
        <v>#N/A</v>
      </c>
      <c r="AJ18" s="59" t="e" cm="1">
        <f t="array" ref="AJ18" xml:space="preserve"> INDEX(注音編碼對照表[十五音], MATCH(TRUE, EXACT(AJ$17, 注音編碼對照表[聲韻調]),0))</f>
        <v>#N/A</v>
      </c>
      <c r="AK18" s="59" t="e" cm="1">
        <f t="array" ref="AK18" xml:space="preserve"> INDEX(注音編碼對照表[十五音], MATCH(TRUE, EXACT(AK$17, 注音編碼對照表[聲韻調]),0))</f>
        <v>#N/A</v>
      </c>
      <c r="AL18" s="59" t="e" cm="1">
        <f t="array" ref="AL18" xml:space="preserve"> INDEX(注音編碼對照表[十五音], MATCH(TRUE, EXACT(AL$17, 注音編碼對照表[聲韻調]),0))</f>
        <v>#N/A</v>
      </c>
      <c r="AM18" s="59" t="e" cm="1">
        <f t="array" ref="AM18" xml:space="preserve"> INDEX(注音編碼對照表[十五音], MATCH(TRUE, EXACT(AM$17, 注音編碼對照表[聲韻調]),0))</f>
        <v>#N/A</v>
      </c>
      <c r="AN18" s="59" t="e" cm="1">
        <f t="array" ref="AN18" xml:space="preserve"> INDEX(注音編碼對照表[十五音], MATCH(TRUE, EXACT(AN$17, 注音編碼對照表[聲韻調]),0))</f>
        <v>#N/A</v>
      </c>
      <c r="AO18" s="59" t="e" cm="1">
        <f t="array" ref="AO18" xml:space="preserve"> INDEX(注音編碼對照表[十五音], MATCH(TRUE, EXACT(AO$17, 注音編碼對照表[聲韻調]),0))</f>
        <v>#N/A</v>
      </c>
      <c r="AP18" s="59" t="e" cm="1">
        <f t="array" ref="AP18" xml:space="preserve"> INDEX(注音編碼對照表[十五音], MATCH(TRUE, EXACT(AP$17, 注音編碼對照表[聲韻調]),0))</f>
        <v>#N/A</v>
      </c>
      <c r="AQ18" s="59" t="e" cm="1">
        <f t="array" ref="AQ18" xml:space="preserve"> INDEX(注音編碼對照表[十五音], MATCH(TRUE, EXACT(AQ$17, 注音編碼對照表[聲韻調]),0))</f>
        <v>#N/A</v>
      </c>
      <c r="AR18" s="59" t="e" cm="1">
        <f t="array" ref="AR18" xml:space="preserve"> INDEX(注音編碼對照表[十五音], MATCH(TRUE, EXACT(AR$17, 注音編碼對照表[聲韻調]),0))</f>
        <v>#N/A</v>
      </c>
      <c r="AS18" s="59" t="e" cm="1">
        <f t="array" ref="AS18" xml:space="preserve"> INDEX(注音編碼對照表[十五音], MATCH(TRUE, EXACT(AS$17, 注音編碼對照表[聲韻調]),0))</f>
        <v>#N/A</v>
      </c>
      <c r="AT18" s="59" t="e" cm="1">
        <f t="array" ref="AT18" xml:space="preserve"> INDEX(注音編碼對照表[十五音], MATCH(TRUE, EXACT(AT$17, 注音編碼對照表[聲韻調]),0))</f>
        <v>#N/A</v>
      </c>
      <c r="AU18" s="59" t="e" cm="1">
        <f t="array" ref="AU18" xml:space="preserve"> INDEX(注音編碼對照表[十五音], MATCH(TRUE, EXACT(AU$17, 注音編碼對照表[聲韻調]),0))</f>
        <v>#N/A</v>
      </c>
      <c r="AV18" s="59" t="e" cm="1">
        <f t="array" ref="AV18" xml:space="preserve"> INDEX(注音編碼對照表[十五音], MATCH(TRUE, EXACT(AV$17, 注音編碼對照表[聲韻調]),0))</f>
        <v>#N/A</v>
      </c>
      <c r="AW18" s="59" t="e" cm="1">
        <f t="array" ref="AW18" xml:space="preserve"> INDEX(注音編碼對照表[十五音], MATCH(TRUE, EXACT(AW$17, 注音編碼對照表[聲韻調]),0))</f>
        <v>#N/A</v>
      </c>
      <c r="AX18" s="59" t="e" cm="1">
        <f t="array" ref="AX18" xml:space="preserve"> INDEX(注音編碼對照表[十五音], MATCH(TRUE, EXACT(AX$17, 注音編碼對照表[聲韻調]),0))</f>
        <v>#N/A</v>
      </c>
      <c r="AY18" s="59" t="e" cm="1">
        <f t="array" ref="AY18" xml:space="preserve"> INDEX(注音編碼對照表[十五音], MATCH(TRUE, EXACT(AY$17, 注音編碼對照表[聲韻調]),0))</f>
        <v>#N/A</v>
      </c>
      <c r="AZ18" s="59" t="e" cm="1">
        <f t="array" ref="AZ18" xml:space="preserve"> INDEX(注音編碼對照表[十五音], MATCH(TRUE, EXACT(AZ$17, 注音編碼對照表[聲韻調]),0))</f>
        <v>#N/A</v>
      </c>
      <c r="BA18" s="59" t="e" cm="1">
        <f t="array" ref="BA18" xml:space="preserve"> INDEX(注音編碼對照表[十五音], MATCH(TRUE, EXACT(BA$17, 注音編碼對照表[聲韻調]),0))</f>
        <v>#N/A</v>
      </c>
      <c r="BB18" s="59" t="e" cm="1">
        <f t="array" ref="BB18" xml:space="preserve"> INDEX(注音編碼對照表[十五音], MATCH(TRUE, EXACT(BB$17, 注音編碼對照表[聲韻調]),0))</f>
        <v>#N/A</v>
      </c>
      <c r="BC18" s="59" t="e" cm="1">
        <f t="array" ref="BC18" xml:space="preserve"> INDEX(注音編碼對照表[十五音], MATCH(TRUE, EXACT(BC$17, 注音編碼對照表[聲韻調]),0))</f>
        <v>#N/A</v>
      </c>
      <c r="BD18" s="59" t="e" cm="1">
        <f t="array" ref="BD18" xml:space="preserve"> INDEX(注音編碼對照表[十五音], MATCH(TRUE, EXACT(BD$17, 注音編碼對照表[聲韻調]),0))</f>
        <v>#N/A</v>
      </c>
      <c r="BE18" s="59" t="e" cm="1">
        <f t="array" ref="BE18" xml:space="preserve"> INDEX(注音編碼對照表[十五音], MATCH(TRUE, EXACT(BE$17, 注音編碼對照表[聲韻調]),0))</f>
        <v>#N/A</v>
      </c>
      <c r="BF18" s="59" t="e" cm="1">
        <f t="array" ref="BF18" xml:space="preserve"> INDEX(注音編碼對照表[十五音], MATCH(TRUE, EXACT(BF$17, 注音編碼對照表[聲韻調]),0))</f>
        <v>#N/A</v>
      </c>
      <c r="BG18" s="59" t="e" cm="1">
        <f t="array" ref="BG18" xml:space="preserve"> INDEX(注音編碼對照表[十五音], MATCH(TRUE, EXACT(BG$17, 注音編碼對照表[聲韻調]),0))</f>
        <v>#N/A</v>
      </c>
      <c r="BH18" s="59" t="e" cm="1">
        <f t="array" ref="BH18" xml:space="preserve"> INDEX(注音編碼對照表[十五音], MATCH(TRUE, EXACT(BH$17, 注音編碼對照表[聲韻調]),0))</f>
        <v>#N/A</v>
      </c>
      <c r="BI18" s="14"/>
      <c r="BJ18" s="14"/>
    </row>
    <row r="19" spans="1:62" s="16" customFormat="1" ht="45" customHeight="1">
      <c r="A19" s="51"/>
      <c r="B19" s="120" t="s">
        <v>8217</v>
      </c>
      <c r="C19" s="55"/>
      <c r="D19" s="56" t="e" cm="1">
        <f t="array" ref="D19" xml:space="preserve"> INDEX(#REF!, MATCH(TRUE, EXACT(D$17, 注音編碼對照表[聲韻調]),0))</f>
        <v>#REF!</v>
      </c>
      <c r="E19" s="56" t="e" cm="1">
        <f t="array" ref="E19" xml:space="preserve"> INDEX(#REF!, MATCH(TRUE, EXACT(E$17, 注音編碼對照表[聲韻調]),0))</f>
        <v>#REF!</v>
      </c>
      <c r="F19" s="56" t="e" cm="1">
        <f t="array" ref="F19" xml:space="preserve"> INDEX(#REF!, MATCH(TRUE, EXACT(F$17, 注音編碼對照表[聲韻調]),0))</f>
        <v>#REF!</v>
      </c>
      <c r="G19" s="56" t="e" cm="1">
        <f t="array" ref="G19" xml:space="preserve"> INDEX(#REF!, MATCH(TRUE, EXACT(G$17, 注音編碼對照表[聲韻調]),0))</f>
        <v>#REF!</v>
      </c>
      <c r="H19" s="56" t="e" cm="1">
        <f t="array" ref="H19" xml:space="preserve"> INDEX(#REF!, MATCH(TRUE, EXACT(H$17, 注音編碼對照表[聲韻調]),0))</f>
        <v>#REF!</v>
      </c>
      <c r="I19" s="56" t="e" cm="1">
        <f t="array" ref="I19" xml:space="preserve"> INDEX(#REF!, MATCH(TRUE, EXACT(I$17, 注音編碼對照表[聲韻調]),0))</f>
        <v>#REF!</v>
      </c>
      <c r="J19" s="56" t="e" cm="1">
        <f t="array" ref="J19" xml:space="preserve"> INDEX(#REF!, MATCH(TRUE, EXACT(J$17, 注音編碼對照表[聲韻調]),0))</f>
        <v>#REF!</v>
      </c>
      <c r="K19" s="56" t="e" cm="1">
        <f t="array" ref="K19" xml:space="preserve"> INDEX(#REF!, MATCH(TRUE, EXACT(K$17, 注音編碼對照表[聲韻調]),0))</f>
        <v>#REF!</v>
      </c>
      <c r="L19" s="56" t="e" cm="1">
        <f t="array" ref="L19" xml:space="preserve"> INDEX(#REF!, MATCH(TRUE, EXACT(L$17, 注音編碼對照表[聲韻調]),0))</f>
        <v>#REF!</v>
      </c>
      <c r="M19" s="56" t="e" cm="1">
        <f t="array" ref="M19" xml:space="preserve"> INDEX(#REF!, MATCH(TRUE, EXACT(M$17, 注音編碼對照表[聲韻調]),0))</f>
        <v>#REF!</v>
      </c>
      <c r="N19" s="56" t="e" cm="1">
        <f t="array" ref="N19" xml:space="preserve"> INDEX(#REF!, MATCH(TRUE, EXACT(N$17, 注音編碼對照表[聲韻調]),0))</f>
        <v>#REF!</v>
      </c>
      <c r="O19" s="56" t="e" cm="1">
        <f t="array" ref="O19" xml:space="preserve"> INDEX(#REF!, MATCH(TRUE, EXACT(O$17, 注音編碼對照表[聲韻調]),0))</f>
        <v>#REF!</v>
      </c>
      <c r="P19" s="56" t="e" cm="1">
        <f t="array" ref="P19" xml:space="preserve"> INDEX(#REF!, MATCH(TRUE, EXACT(P$17, 注音編碼對照表[聲韻調]),0))</f>
        <v>#REF!</v>
      </c>
      <c r="Q19" s="56" t="e" cm="1">
        <f t="array" ref="Q19" xml:space="preserve"> INDEX(#REF!, MATCH(TRUE, EXACT(Q$17, 注音編碼對照表[聲韻調]),0))</f>
        <v>#REF!</v>
      </c>
      <c r="R19" s="56" t="e" cm="1">
        <f t="array" ref="R19" xml:space="preserve"> INDEX(#REF!, MATCH(TRUE, EXACT(R$17, 注音編碼對照表[聲韻調]),0))</f>
        <v>#REF!</v>
      </c>
      <c r="S19" s="56" t="e" cm="1">
        <f t="array" ref="S19" xml:space="preserve"> INDEX(#REF!, MATCH(TRUE, EXACT(S$17, 注音編碼對照表[聲韻調]),0))</f>
        <v>#REF!</v>
      </c>
      <c r="T19" s="56" t="e" cm="1">
        <f t="array" ref="T19" xml:space="preserve"> INDEX(#REF!, MATCH(TRUE, EXACT(T$17, 注音編碼對照表[聲韻調]),0))</f>
        <v>#REF!</v>
      </c>
      <c r="U19" s="56" t="e" cm="1">
        <f t="array" ref="U19" xml:space="preserve"> INDEX(#REF!, MATCH(TRUE, EXACT(U$17, 注音編碼對照表[聲韻調]),0))</f>
        <v>#REF!</v>
      </c>
      <c r="V19" s="56" t="e" cm="1">
        <f t="array" ref="V19" xml:space="preserve"> INDEX(#REF!, MATCH(TRUE, EXACT(V$17, 注音編碼對照表[聲韻調]),0))</f>
        <v>#REF!</v>
      </c>
      <c r="W19" s="56" t="e" cm="1">
        <f t="array" ref="W19" xml:space="preserve"> INDEX(#REF!, MATCH(TRUE, EXACT(W$17, 注音編碼對照表[聲韻調]),0))</f>
        <v>#REF!</v>
      </c>
      <c r="X19" s="56" t="e" cm="1">
        <f t="array" ref="X19" xml:space="preserve"> INDEX(#REF!, MATCH(TRUE, EXACT(X$17, 注音編碼對照表[聲韻調]),0))</f>
        <v>#REF!</v>
      </c>
      <c r="Y19" s="56" t="e" cm="1">
        <f t="array" ref="Y19" xml:space="preserve"> INDEX(#REF!, MATCH(TRUE, EXACT(Y$17, 注音編碼對照表[聲韻調]),0))</f>
        <v>#REF!</v>
      </c>
      <c r="Z19" s="56" t="e" cm="1">
        <f t="array" ref="Z19" xml:space="preserve"> INDEX(#REF!, MATCH(TRUE, EXACT(Z$17, 注音編碼對照表[聲韻調]),0))</f>
        <v>#REF!</v>
      </c>
      <c r="AA19" s="56" t="e" cm="1">
        <f t="array" ref="AA19" xml:space="preserve"> INDEX(#REF!, MATCH(TRUE, EXACT(AA$17, 注音編碼對照表[聲韻調]),0))</f>
        <v>#REF!</v>
      </c>
      <c r="AB19" s="56" t="e" cm="1">
        <f t="array" ref="AB19" xml:space="preserve"> INDEX(#REF!, MATCH(TRUE, EXACT(AB$17, 注音編碼對照表[聲韻調]),0))</f>
        <v>#REF!</v>
      </c>
      <c r="AC19" s="56" t="e" cm="1">
        <f t="array" ref="AC19" xml:space="preserve"> INDEX(#REF!, MATCH(TRUE, EXACT(AC$17, 注音編碼對照表[聲韻調]),0))</f>
        <v>#REF!</v>
      </c>
      <c r="AD19" s="56" t="e" cm="1">
        <f t="array" ref="AD19" xml:space="preserve"> INDEX(#REF!, MATCH(TRUE, EXACT(AD$17, 注音編碼對照表[聲韻調]),0))</f>
        <v>#REF!</v>
      </c>
      <c r="AE19" s="56" t="e" cm="1">
        <f t="array" ref="AE19" xml:space="preserve"> INDEX(#REF!, MATCH(TRUE, EXACT(AE$17, 注音編碼對照表[聲韻調]),0))</f>
        <v>#REF!</v>
      </c>
      <c r="AF19" s="56" t="e" cm="1">
        <f t="array" ref="AF19" xml:space="preserve"> INDEX(#REF!, MATCH(TRUE, EXACT(AF$17, 注音編碼對照表[聲韻調]),0))</f>
        <v>#REF!</v>
      </c>
      <c r="AG19" s="56" t="e" cm="1">
        <f t="array" ref="AG19" xml:space="preserve"> INDEX(#REF!, MATCH(TRUE, EXACT(AG$17, 注音編碼對照表[聲韻調]),0))</f>
        <v>#REF!</v>
      </c>
      <c r="AH19" s="56" t="e" cm="1">
        <f t="array" ref="AH19" xml:space="preserve"> INDEX(#REF!, MATCH(TRUE, EXACT(AH$17, 注音編碼對照表[聲韻調]),0))</f>
        <v>#REF!</v>
      </c>
      <c r="AI19" s="56" t="e" cm="1">
        <f t="array" ref="AI19" xml:space="preserve"> INDEX(#REF!, MATCH(TRUE, EXACT(AI$17, 注音編碼對照表[聲韻調]),0))</f>
        <v>#REF!</v>
      </c>
      <c r="AJ19" s="56" t="e" cm="1">
        <f t="array" ref="AJ19" xml:space="preserve"> INDEX(#REF!, MATCH(TRUE, EXACT(AJ$17, 注音編碼對照表[聲韻調]),0))</f>
        <v>#REF!</v>
      </c>
      <c r="AK19" s="56" t="e" cm="1">
        <f t="array" ref="AK19" xml:space="preserve"> INDEX(#REF!, MATCH(TRUE, EXACT(AK$17, 注音編碼對照表[聲韻調]),0))</f>
        <v>#REF!</v>
      </c>
      <c r="AL19" s="56" t="e" cm="1">
        <f t="array" ref="AL19" xml:space="preserve"> INDEX(#REF!, MATCH(TRUE, EXACT(AL$17, 注音編碼對照表[聲韻調]),0))</f>
        <v>#REF!</v>
      </c>
      <c r="AM19" s="56" t="e" cm="1">
        <f t="array" ref="AM19" xml:space="preserve"> INDEX(#REF!, MATCH(TRUE, EXACT(AM$17, 注音編碼對照表[聲韻調]),0))</f>
        <v>#REF!</v>
      </c>
      <c r="AN19" s="56" t="e" cm="1">
        <f t="array" ref="AN19" xml:space="preserve"> INDEX(#REF!, MATCH(TRUE, EXACT(AN$17, 注音編碼對照表[聲韻調]),0))</f>
        <v>#REF!</v>
      </c>
      <c r="AO19" s="56" t="e" cm="1">
        <f t="array" ref="AO19" xml:space="preserve"> INDEX(#REF!, MATCH(TRUE, EXACT(AO$17, 注音編碼對照表[聲韻調]),0))</f>
        <v>#REF!</v>
      </c>
      <c r="AP19" s="56" t="e" cm="1">
        <f t="array" ref="AP19" xml:space="preserve"> INDEX(#REF!, MATCH(TRUE, EXACT(AP$17, 注音編碼對照表[聲韻調]),0))</f>
        <v>#REF!</v>
      </c>
      <c r="AQ19" s="56" t="e" cm="1">
        <f t="array" ref="AQ19" xml:space="preserve"> INDEX(#REF!, MATCH(TRUE, EXACT(AQ$17, 注音編碼對照表[聲韻調]),0))</f>
        <v>#REF!</v>
      </c>
      <c r="AR19" s="56" t="e" cm="1">
        <f t="array" ref="AR19" xml:space="preserve"> INDEX(#REF!, MATCH(TRUE, EXACT(AR$17, 注音編碼對照表[聲韻調]),0))</f>
        <v>#REF!</v>
      </c>
      <c r="AS19" s="56" t="e" cm="1">
        <f t="array" ref="AS19" xml:space="preserve"> INDEX(#REF!, MATCH(TRUE, EXACT(AS$17, 注音編碼對照表[聲韻調]),0))</f>
        <v>#REF!</v>
      </c>
      <c r="AT19" s="56" t="e" cm="1">
        <f t="array" ref="AT19" xml:space="preserve"> INDEX(#REF!, MATCH(TRUE, EXACT(AT$17, 注音編碼對照表[聲韻調]),0))</f>
        <v>#REF!</v>
      </c>
      <c r="AU19" s="56" t="e" cm="1">
        <f t="array" ref="AU19" xml:space="preserve"> INDEX(#REF!, MATCH(TRUE, EXACT(AU$17, 注音編碼對照表[聲韻調]),0))</f>
        <v>#REF!</v>
      </c>
      <c r="AV19" s="56" t="e" cm="1">
        <f t="array" ref="AV19" xml:space="preserve"> INDEX(#REF!, MATCH(TRUE, EXACT(AV$17, 注音編碼對照表[聲韻調]),0))</f>
        <v>#REF!</v>
      </c>
      <c r="AW19" s="56" t="e" cm="1">
        <f t="array" ref="AW19" xml:space="preserve"> INDEX(#REF!, MATCH(TRUE, EXACT(AW$17, 注音編碼對照表[聲韻調]),0))</f>
        <v>#REF!</v>
      </c>
      <c r="AX19" s="56" t="e" cm="1">
        <f t="array" ref="AX19" xml:space="preserve"> INDEX(#REF!, MATCH(TRUE, EXACT(AX$17, 注音編碼對照表[聲韻調]),0))</f>
        <v>#REF!</v>
      </c>
      <c r="AY19" s="56" t="e" cm="1">
        <f t="array" ref="AY19" xml:space="preserve"> INDEX(#REF!, MATCH(TRUE, EXACT(AY$17, 注音編碼對照表[聲韻調]),0))</f>
        <v>#REF!</v>
      </c>
      <c r="AZ19" s="56" t="e" cm="1">
        <f t="array" ref="AZ19" xml:space="preserve"> INDEX(#REF!, MATCH(TRUE, EXACT(AZ$17, 注音編碼對照表[聲韻調]),0))</f>
        <v>#REF!</v>
      </c>
      <c r="BA19" s="56" t="e" cm="1">
        <f t="array" ref="BA19" xml:space="preserve"> INDEX(#REF!, MATCH(TRUE, EXACT(BA$17, 注音編碼對照表[聲韻調]),0))</f>
        <v>#REF!</v>
      </c>
      <c r="BB19" s="56" t="e" cm="1">
        <f t="array" ref="BB19" xml:space="preserve"> INDEX(#REF!, MATCH(TRUE, EXACT(BB$17, 注音編碼對照表[聲韻調]),0))</f>
        <v>#REF!</v>
      </c>
      <c r="BC19" s="56" t="e" cm="1">
        <f t="array" ref="BC19" xml:space="preserve"> INDEX(#REF!, MATCH(TRUE, EXACT(BC$17, 注音編碼對照表[聲韻調]),0))</f>
        <v>#REF!</v>
      </c>
      <c r="BD19" s="56" t="e" cm="1">
        <f t="array" ref="BD19" xml:space="preserve"> INDEX(#REF!, MATCH(TRUE, EXACT(BD$17, 注音編碼對照表[聲韻調]),0))</f>
        <v>#REF!</v>
      </c>
      <c r="BE19" s="56" t="e" cm="1">
        <f t="array" ref="BE19" xml:space="preserve"> INDEX(#REF!, MATCH(TRUE, EXACT(BE$17, 注音編碼對照表[聲韻調]),0))</f>
        <v>#REF!</v>
      </c>
      <c r="BF19" s="56" t="e" cm="1">
        <f t="array" ref="BF19" xml:space="preserve"> INDEX(#REF!, MATCH(TRUE, EXACT(BF$17, 注音編碼對照表[聲韻調]),0))</f>
        <v>#REF!</v>
      </c>
      <c r="BG19" s="56" t="e" cm="1">
        <f t="array" ref="BG19" xml:space="preserve"> INDEX(#REF!, MATCH(TRUE, EXACT(BG$17, 注音編碼對照表[聲韻調]),0))</f>
        <v>#REF!</v>
      </c>
      <c r="BH19" s="56" t="e" cm="1">
        <f t="array" ref="BH19" xml:space="preserve"> INDEX(#REF!, MATCH(TRUE, EXACT(BH$17, 注音編碼對照表[聲韻調]),0))</f>
        <v>#REF!</v>
      </c>
      <c r="BI19" s="13"/>
      <c r="BJ19" s="13"/>
    </row>
    <row r="20" spans="1:62" ht="45" customHeight="1">
      <c r="A20" s="51"/>
      <c r="B20" s="52" t="s">
        <v>4</v>
      </c>
      <c r="C20" s="53"/>
      <c r="D20" s="299" t="e" cm="1">
        <f t="array" ref="D20" xml:space="preserve"> INDEX(注音編碼對照表[國際音標], MATCH(TRUE, EXACT(D$17, 注音編碼對照表[聲韻調]),0))</f>
        <v>#N/A</v>
      </c>
      <c r="E20" s="299" t="e" cm="1">
        <f t="array" ref="E20" xml:space="preserve"> INDEX(注音編碼對照表[國際音標], MATCH(TRUE, EXACT(E$17, 注音編碼對照表[聲韻調]),0))</f>
        <v>#N/A</v>
      </c>
      <c r="F20" s="299" t="e" cm="1">
        <f t="array" ref="F20" xml:space="preserve"> INDEX(注音編碼對照表[國際音標], MATCH(TRUE, EXACT(F$17, 注音編碼對照表[聲韻調]),0))</f>
        <v>#N/A</v>
      </c>
      <c r="G20" s="299" t="e" cm="1">
        <f t="array" ref="G20" xml:space="preserve"> INDEX(注音編碼對照表[國際音標], MATCH(TRUE, EXACT(G$17, 注音編碼對照表[聲韻調]),0))</f>
        <v>#N/A</v>
      </c>
      <c r="H20" s="299" t="e" cm="1">
        <f t="array" ref="H20" xml:space="preserve"> INDEX(注音編碼對照表[國際音標], MATCH(TRUE, EXACT(H$17, 注音編碼對照表[聲韻調]),0))</f>
        <v>#N/A</v>
      </c>
      <c r="I20" s="299" t="e" cm="1">
        <f t="array" ref="I20" xml:space="preserve"> INDEX(注音編碼對照表[國際音標], MATCH(TRUE, EXACT(I$17, 注音編碼對照表[聲韻調]),0))</f>
        <v>#N/A</v>
      </c>
      <c r="J20" s="299" t="e" cm="1">
        <f t="array" ref="J20" xml:space="preserve"> INDEX(注音編碼對照表[國際音標], MATCH(TRUE, EXACT(J$17, 注音編碼對照表[聲韻調]),0))</f>
        <v>#N/A</v>
      </c>
      <c r="K20" s="299" t="e" cm="1">
        <f t="array" ref="K20" xml:space="preserve"> INDEX(注音編碼對照表[國際音標], MATCH(TRUE, EXACT(K$17, 注音編碼對照表[聲韻調]),0))</f>
        <v>#N/A</v>
      </c>
      <c r="L20" s="299" t="e" cm="1">
        <f t="array" ref="L20" xml:space="preserve"> INDEX(注音編碼對照表[國際音標], MATCH(TRUE, EXACT(L$17, 注音編碼對照表[聲韻調]),0))</f>
        <v>#N/A</v>
      </c>
      <c r="M20" s="299" t="e" cm="1">
        <f t="array" ref="M20" xml:space="preserve"> INDEX(注音編碼對照表[國際音標], MATCH(TRUE, EXACT(M$17, 注音編碼對照表[聲韻調]),0))</f>
        <v>#N/A</v>
      </c>
      <c r="N20" s="299" t="e" cm="1">
        <f t="array" ref="N20" xml:space="preserve"> INDEX(注音編碼對照表[國際音標], MATCH(TRUE, EXACT(N$17, 注音編碼對照表[聲韻調]),0))</f>
        <v>#N/A</v>
      </c>
      <c r="O20" s="299" t="e" cm="1">
        <f t="array" ref="O20" xml:space="preserve"> INDEX(注音編碼對照表[國際音標], MATCH(TRUE, EXACT(O$17, 注音編碼對照表[聲韻調]),0))</f>
        <v>#N/A</v>
      </c>
      <c r="P20" s="299" t="e" cm="1">
        <f t="array" ref="P20" xml:space="preserve"> INDEX(注音編碼對照表[國際音標], MATCH(TRUE, EXACT(P$17, 注音編碼對照表[聲韻調]),0))</f>
        <v>#N/A</v>
      </c>
      <c r="Q20" s="299" t="e" cm="1">
        <f t="array" ref="Q20" xml:space="preserve"> INDEX(注音編碼對照表[國際音標], MATCH(TRUE, EXACT(Q$17, 注音編碼對照表[聲韻調]),0))</f>
        <v>#N/A</v>
      </c>
      <c r="R20" s="299" t="e" cm="1">
        <f t="array" ref="R20" xml:space="preserve"> INDEX(注音編碼對照表[國際音標], MATCH(TRUE, EXACT(R$17, 注音編碼對照表[聲韻調]),0))</f>
        <v>#N/A</v>
      </c>
      <c r="S20" s="299" t="e" cm="1">
        <f t="array" ref="S20" xml:space="preserve"> INDEX(注音編碼對照表[國際音標], MATCH(TRUE, EXACT(S$17, 注音編碼對照表[聲韻調]),0))</f>
        <v>#N/A</v>
      </c>
      <c r="T20" s="299" t="e" cm="1">
        <f t="array" ref="T20" xml:space="preserve"> INDEX(注音編碼對照表[國際音標], MATCH(TRUE, EXACT(T$17, 注音編碼對照表[聲韻調]),0))</f>
        <v>#N/A</v>
      </c>
      <c r="U20" s="299" t="e" cm="1">
        <f t="array" ref="U20" xml:space="preserve"> INDEX(注音編碼對照表[國際音標], MATCH(TRUE, EXACT(U$17, 注音編碼對照表[聲韻調]),0))</f>
        <v>#N/A</v>
      </c>
      <c r="V20" s="299" t="e" cm="1">
        <f t="array" ref="V20" xml:space="preserve"> INDEX(注音編碼對照表[國際音標], MATCH(TRUE, EXACT(V$17, 注音編碼對照表[聲韻調]),0))</f>
        <v>#N/A</v>
      </c>
      <c r="W20" s="299" t="e" cm="1">
        <f t="array" ref="W20" xml:space="preserve"> INDEX(注音編碼對照表[國際音標], MATCH(TRUE, EXACT(W$17, 注音編碼對照表[聲韻調]),0))</f>
        <v>#N/A</v>
      </c>
      <c r="X20" s="299" t="e" cm="1">
        <f t="array" ref="X20" xml:space="preserve"> INDEX(注音編碼對照表[國際音標], MATCH(TRUE, EXACT(X$17, 注音編碼對照表[聲韻調]),0))</f>
        <v>#N/A</v>
      </c>
      <c r="Y20" s="299" t="e" cm="1">
        <f t="array" ref="Y20" xml:space="preserve"> INDEX(注音編碼對照表[國際音標], MATCH(TRUE, EXACT(Y$17, 注音編碼對照表[聲韻調]),0))</f>
        <v>#N/A</v>
      </c>
      <c r="Z20" s="299" t="e" cm="1">
        <f t="array" ref="Z20" xml:space="preserve"> INDEX(注音編碼對照表[國際音標], MATCH(TRUE, EXACT(Z$17, 注音編碼對照表[聲韻調]),0))</f>
        <v>#N/A</v>
      </c>
      <c r="AA20" s="299" t="e" cm="1">
        <f t="array" ref="AA20" xml:space="preserve"> INDEX(注音編碼對照表[國際音標], MATCH(TRUE, EXACT(AA$17, 注音編碼對照表[聲韻調]),0))</f>
        <v>#N/A</v>
      </c>
      <c r="AB20" s="299" t="e" cm="1">
        <f t="array" ref="AB20" xml:space="preserve"> INDEX(注音編碼對照表[國際音標], MATCH(TRUE, EXACT(AB$17, 注音編碼對照表[聲韻調]),0))</f>
        <v>#N/A</v>
      </c>
      <c r="AC20" s="299" t="e" cm="1">
        <f t="array" ref="AC20" xml:space="preserve"> INDEX(注音編碼對照表[國際音標], MATCH(TRUE, EXACT(AC$17, 注音編碼對照表[聲韻調]),0))</f>
        <v>#N/A</v>
      </c>
      <c r="AD20" s="299" t="e" cm="1">
        <f t="array" ref="AD20" xml:space="preserve"> INDEX(注音編碼對照表[國際音標], MATCH(TRUE, EXACT(AD$17, 注音編碼對照表[聲韻調]),0))</f>
        <v>#N/A</v>
      </c>
      <c r="AE20" s="299" t="e" cm="1">
        <f t="array" ref="AE20" xml:space="preserve"> INDEX(注音編碼對照表[國際音標], MATCH(TRUE, EXACT(AE$17, 注音編碼對照表[聲韻調]),0))</f>
        <v>#N/A</v>
      </c>
      <c r="AF20" s="299" t="e" cm="1">
        <f t="array" ref="AF20" xml:space="preserve"> INDEX(注音編碼對照表[國際音標], MATCH(TRUE, EXACT(AF$17, 注音編碼對照表[聲韻調]),0))</f>
        <v>#N/A</v>
      </c>
      <c r="AG20" s="299" t="e" cm="1">
        <f t="array" ref="AG20" xml:space="preserve"> INDEX(注音編碼對照表[國際音標], MATCH(TRUE, EXACT(AG$17, 注音編碼對照表[聲韻調]),0))</f>
        <v>#N/A</v>
      </c>
      <c r="AH20" s="299" t="e" cm="1">
        <f t="array" ref="AH20" xml:space="preserve"> INDEX(注音編碼對照表[國際音標], MATCH(TRUE, EXACT(AH$17, 注音編碼對照表[聲韻調]),0))</f>
        <v>#N/A</v>
      </c>
      <c r="AI20" s="299" t="e" cm="1">
        <f t="array" ref="AI20" xml:space="preserve"> INDEX(注音編碼對照表[國際音標], MATCH(TRUE, EXACT(AI$17, 注音編碼對照表[聲韻調]),0))</f>
        <v>#N/A</v>
      </c>
      <c r="AJ20" s="299" t="e" cm="1">
        <f t="array" ref="AJ20" xml:space="preserve"> INDEX(注音編碼對照表[國際音標], MATCH(TRUE, EXACT(AJ$17, 注音編碼對照表[聲韻調]),0))</f>
        <v>#N/A</v>
      </c>
      <c r="AK20" s="299" t="e" cm="1">
        <f t="array" ref="AK20" xml:space="preserve"> INDEX(注音編碼對照表[國際音標], MATCH(TRUE, EXACT(AK$17, 注音編碼對照表[聲韻調]),0))</f>
        <v>#N/A</v>
      </c>
      <c r="AL20" s="299" t="e" cm="1">
        <f t="array" ref="AL20" xml:space="preserve"> INDEX(注音編碼對照表[國際音標], MATCH(TRUE, EXACT(AL$17, 注音編碼對照表[聲韻調]),0))</f>
        <v>#N/A</v>
      </c>
      <c r="AM20" s="299" t="e" cm="1">
        <f t="array" ref="AM20" xml:space="preserve"> INDEX(注音編碼對照表[國際音標], MATCH(TRUE, EXACT(AM$17, 注音編碼對照表[聲韻調]),0))</f>
        <v>#N/A</v>
      </c>
      <c r="AN20" s="299" t="e" cm="1">
        <f t="array" ref="AN20" xml:space="preserve"> INDEX(注音編碼對照表[國際音標], MATCH(TRUE, EXACT(AN$17, 注音編碼對照表[聲韻調]),0))</f>
        <v>#N/A</v>
      </c>
      <c r="AO20" s="299" t="e" cm="1">
        <f t="array" ref="AO20" xml:space="preserve"> INDEX(注音編碼對照表[國際音標], MATCH(TRUE, EXACT(AO$17, 注音編碼對照表[聲韻調]),0))</f>
        <v>#N/A</v>
      </c>
      <c r="AP20" s="299" t="e" cm="1">
        <f t="array" ref="AP20" xml:space="preserve"> INDEX(注音編碼對照表[國際音標], MATCH(TRUE, EXACT(AP$17, 注音編碼對照表[聲韻調]),0))</f>
        <v>#N/A</v>
      </c>
      <c r="AQ20" s="299" t="e" cm="1">
        <f t="array" ref="AQ20" xml:space="preserve"> INDEX(注音編碼對照表[國際音標], MATCH(TRUE, EXACT(AQ$17, 注音編碼對照表[聲韻調]),0))</f>
        <v>#N/A</v>
      </c>
      <c r="AR20" s="299" t="e" cm="1">
        <f t="array" ref="AR20" xml:space="preserve"> INDEX(注音編碼對照表[國際音標], MATCH(TRUE, EXACT(AR$17, 注音編碼對照表[聲韻調]),0))</f>
        <v>#N/A</v>
      </c>
      <c r="AS20" s="299" t="e" cm="1">
        <f t="array" ref="AS20" xml:space="preserve"> INDEX(注音編碼對照表[國際音標], MATCH(TRUE, EXACT(AS$17, 注音編碼對照表[聲韻調]),0))</f>
        <v>#N/A</v>
      </c>
      <c r="AT20" s="299" t="e" cm="1">
        <f t="array" ref="AT20" xml:space="preserve"> INDEX(注音編碼對照表[國際音標], MATCH(TRUE, EXACT(AT$17, 注音編碼對照表[聲韻調]),0))</f>
        <v>#N/A</v>
      </c>
      <c r="AU20" s="299" t="e" cm="1">
        <f t="array" ref="AU20" xml:space="preserve"> INDEX(注音編碼對照表[國際音標], MATCH(TRUE, EXACT(AU$17, 注音編碼對照表[聲韻調]),0))</f>
        <v>#N/A</v>
      </c>
      <c r="AV20" s="299" t="e" cm="1">
        <f t="array" ref="AV20" xml:space="preserve"> INDEX(注音編碼對照表[國際音標], MATCH(TRUE, EXACT(AV$17, 注音編碼對照表[聲韻調]),0))</f>
        <v>#N/A</v>
      </c>
      <c r="AW20" s="299" t="e" cm="1">
        <f t="array" ref="AW20" xml:space="preserve"> INDEX(注音編碼對照表[國際音標], MATCH(TRUE, EXACT(AW$17, 注音編碼對照表[聲韻調]),0))</f>
        <v>#N/A</v>
      </c>
      <c r="AX20" s="299" t="e" cm="1">
        <f t="array" ref="AX20" xml:space="preserve"> INDEX(注音編碼對照表[國際音標], MATCH(TRUE, EXACT(AX$17, 注音編碼對照表[聲韻調]),0))</f>
        <v>#N/A</v>
      </c>
      <c r="AY20" s="299" t="e" cm="1">
        <f t="array" ref="AY20" xml:space="preserve"> INDEX(注音編碼對照表[國際音標], MATCH(TRUE, EXACT(AY$17, 注音編碼對照表[聲韻調]),0))</f>
        <v>#N/A</v>
      </c>
      <c r="AZ20" s="299" t="e" cm="1">
        <f t="array" ref="AZ20" xml:space="preserve"> INDEX(注音編碼對照表[國際音標], MATCH(TRUE, EXACT(AZ$17, 注音編碼對照表[聲韻調]),0))</f>
        <v>#N/A</v>
      </c>
      <c r="BA20" s="299" t="e" cm="1">
        <f t="array" ref="BA20" xml:space="preserve"> INDEX(注音編碼對照表[國際音標], MATCH(TRUE, EXACT(BA$17, 注音編碼對照表[聲韻調]),0))</f>
        <v>#N/A</v>
      </c>
      <c r="BB20" s="299" t="e" cm="1">
        <f t="array" ref="BB20" xml:space="preserve"> INDEX(注音編碼對照表[國際音標], MATCH(TRUE, EXACT(BB$17, 注音編碼對照表[聲韻調]),0))</f>
        <v>#N/A</v>
      </c>
      <c r="BC20" s="299" t="e" cm="1">
        <f t="array" ref="BC20" xml:space="preserve"> INDEX(注音編碼對照表[國際音標], MATCH(TRUE, EXACT(BC$17, 注音編碼對照表[聲韻調]),0))</f>
        <v>#N/A</v>
      </c>
      <c r="BD20" s="299" t="e" cm="1">
        <f t="array" ref="BD20" xml:space="preserve"> INDEX(注音編碼對照表[國際音標], MATCH(TRUE, EXACT(BD$17, 注音編碼對照表[聲韻調]),0))</f>
        <v>#N/A</v>
      </c>
      <c r="BE20" s="299" t="e" cm="1">
        <f t="array" ref="BE20" xml:space="preserve"> INDEX(注音編碼對照表[國際音標], MATCH(TRUE, EXACT(BE$17, 注音編碼對照表[聲韻調]),0))</f>
        <v>#N/A</v>
      </c>
      <c r="BF20" s="299" t="e" cm="1">
        <f t="array" ref="BF20" xml:space="preserve"> INDEX(注音編碼對照表[國際音標], MATCH(TRUE, EXACT(BF$17, 注音編碼對照表[聲韻調]),0))</f>
        <v>#N/A</v>
      </c>
      <c r="BG20" s="299" t="e" cm="1">
        <f t="array" ref="BG20" xml:space="preserve"> INDEX(注音編碼對照表[國際音標], MATCH(TRUE, EXACT(BG$17, 注音編碼對照表[聲韻調]),0))</f>
        <v>#N/A</v>
      </c>
      <c r="BH20" s="299" t="e" cm="1">
        <f t="array" ref="BH20" xml:space="preserve"> INDEX(注音編碼對照表[國際音標], MATCH(TRUE, EXACT(BH$17, 注音編碼對照表[聲韻調]),0))</f>
        <v>#N/A</v>
      </c>
      <c r="BJ20" s="17"/>
    </row>
    <row r="21" spans="1:62" s="17" customFormat="1" ht="4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19"/>
      <c r="AS21" s="19"/>
      <c r="AT21" s="28"/>
      <c r="AU21" s="28"/>
      <c r="AV21" s="28"/>
      <c r="AW21" s="13"/>
      <c r="AX21" s="13"/>
      <c r="AY21" s="13"/>
      <c r="AZ21" s="13"/>
      <c r="BA21" s="13"/>
      <c r="BB21" s="13"/>
      <c r="BJ21" s="60"/>
    </row>
    <row r="22" spans="1:62" s="17" customFormat="1" ht="45" customHeight="1">
      <c r="B22" s="63" t="s">
        <v>337</v>
      </c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4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0"/>
      <c r="AJ22" s="60"/>
      <c r="AK22" s="60"/>
      <c r="AL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</row>
    <row r="23" spans="1:62" s="296" customFormat="1" ht="45" customHeight="1">
      <c r="A23" s="294"/>
      <c r="B23" s="295" t="e">
        <f>"  alphabet: " &amp; _xlfn.CONCAT("""", D20:BH20, """")</f>
        <v>#N/A</v>
      </c>
      <c r="C23" s="295"/>
      <c r="D23" s="295"/>
      <c r="E23" s="295"/>
      <c r="F23" s="295"/>
      <c r="G23" s="295"/>
      <c r="H23" s="295"/>
      <c r="I23" s="295"/>
      <c r="J23" s="295"/>
      <c r="K23" s="295"/>
      <c r="L23" s="295"/>
      <c r="M23" s="295"/>
      <c r="N23" s="295"/>
      <c r="O23" s="295"/>
      <c r="P23" s="295"/>
      <c r="Q23" s="295"/>
      <c r="R23" s="295"/>
      <c r="S23" s="295"/>
      <c r="T23" s="295"/>
      <c r="U23" s="295"/>
      <c r="V23" s="295"/>
      <c r="W23" s="295"/>
      <c r="X23" s="295"/>
      <c r="Y23" s="295"/>
      <c r="Z23" s="295"/>
      <c r="AA23" s="295"/>
      <c r="AB23" s="295"/>
      <c r="AC23" s="295"/>
      <c r="AD23" s="295"/>
      <c r="AE23" s="295"/>
      <c r="AF23" s="295"/>
      <c r="AG23" s="295"/>
      <c r="AH23" s="295"/>
      <c r="AI23" s="295"/>
      <c r="AJ23" s="295"/>
      <c r="AK23" s="294"/>
      <c r="AL23" s="294"/>
      <c r="AM23" s="363"/>
      <c r="AN23" s="294"/>
      <c r="AO23" s="364" t="e">
        <f xml:space="preserve"> "    - abbrev/^([" &amp; _xlfn.CONCAT(D19:X19) &amp; "]).+$/$1/"</f>
        <v>#REF!</v>
      </c>
      <c r="AP23" s="365"/>
      <c r="AQ23" s="365"/>
      <c r="AR23" s="366"/>
      <c r="AS23" s="366"/>
      <c r="AT23" s="365"/>
      <c r="AU23" s="365"/>
      <c r="AV23" s="365"/>
      <c r="AW23" s="367"/>
      <c r="AX23" s="367"/>
      <c r="AY23" s="367"/>
      <c r="AZ23" s="367"/>
      <c r="BA23" s="367"/>
      <c r="BB23" s="367"/>
      <c r="BC23" s="368"/>
      <c r="BD23" s="368"/>
      <c r="BE23" s="368"/>
      <c r="BF23" s="368"/>
      <c r="BG23" s="368"/>
      <c r="BH23" s="368"/>
      <c r="BI23" s="368"/>
      <c r="BJ23" s="297"/>
    </row>
    <row r="24" spans="1:62" s="17" customFormat="1" ht="45" customHeight="1">
      <c r="A24" s="28"/>
      <c r="B24" s="295" t="e">
        <f>"  initials: " &amp; _xlfn.CONCAT("""", D20:AZ20, BF20:BH20, """")</f>
        <v>#N/A</v>
      </c>
      <c r="C24" s="295"/>
      <c r="D24" s="295"/>
      <c r="E24" s="295"/>
      <c r="F24" s="295"/>
      <c r="G24" s="295"/>
      <c r="H24" s="295"/>
      <c r="I24" s="295"/>
      <c r="J24" s="295"/>
      <c r="K24" s="295"/>
      <c r="L24" s="295"/>
      <c r="M24" s="295"/>
      <c r="N24" s="295"/>
      <c r="O24" s="295"/>
      <c r="P24" s="295"/>
      <c r="Q24" s="295"/>
      <c r="R24" s="295"/>
      <c r="S24" s="295"/>
      <c r="T24" s="295"/>
      <c r="U24" s="295"/>
      <c r="V24" s="295"/>
      <c r="W24" s="295"/>
      <c r="X24" s="295"/>
      <c r="Y24" s="295"/>
      <c r="Z24" s="295"/>
      <c r="AA24" s="295"/>
      <c r="AB24" s="295"/>
      <c r="AC24" s="295"/>
      <c r="AD24" s="295"/>
      <c r="AE24" s="295"/>
      <c r="AF24" s="295"/>
      <c r="AG24" s="295"/>
      <c r="AH24" s="295"/>
      <c r="AI24" s="295"/>
      <c r="AJ24" s="295"/>
      <c r="AK24" s="28"/>
      <c r="AL24" s="28"/>
      <c r="AM24" s="28"/>
      <c r="AN24" s="28"/>
      <c r="AO24" s="28"/>
      <c r="AP24" s="28"/>
      <c r="AQ24" s="28"/>
      <c r="AR24" s="19"/>
      <c r="AS24" s="19"/>
      <c r="AT24" s="28"/>
      <c r="AU24" s="28"/>
      <c r="AV24" s="28"/>
      <c r="AW24" s="13"/>
      <c r="AX24" s="13"/>
      <c r="AY24" s="13"/>
      <c r="AZ24" s="13"/>
      <c r="BA24" s="13"/>
      <c r="BB24" s="13"/>
      <c r="BJ24" s="60"/>
    </row>
    <row r="25" spans="1:62" s="17" customFormat="1" ht="4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19"/>
      <c r="AS25" s="19"/>
      <c r="AT25" s="28"/>
      <c r="AU25" s="28"/>
      <c r="AV25" s="28"/>
      <c r="AW25" s="13"/>
      <c r="AX25" s="13"/>
      <c r="AY25" s="13"/>
      <c r="AZ25" s="13"/>
      <c r="BA25" s="13"/>
      <c r="BB25" s="13"/>
      <c r="BJ25" s="60"/>
    </row>
    <row r="26" spans="1:62" s="17" customFormat="1" ht="45" customHeight="1">
      <c r="B26" s="61" t="s">
        <v>319</v>
      </c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BC26" s="60"/>
      <c r="BD26" s="60"/>
      <c r="BE26" s="60"/>
      <c r="BF26" s="60"/>
      <c r="BG26" s="60"/>
      <c r="BH26" s="60"/>
      <c r="BI26" s="60"/>
      <c r="BJ26" s="60"/>
    </row>
    <row r="27" spans="1:62" s="17" customFormat="1" ht="45" customHeight="1">
      <c r="B27" s="63" t="s">
        <v>320</v>
      </c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4"/>
      <c r="U27" s="63"/>
      <c r="V27" s="63"/>
      <c r="W27" s="63"/>
      <c r="X27" s="63"/>
      <c r="Y27" s="63"/>
      <c r="Z27" s="63"/>
      <c r="AA27" s="63" t="s">
        <v>277</v>
      </c>
      <c r="AB27" s="63"/>
      <c r="AC27" s="63"/>
      <c r="AD27" s="63"/>
      <c r="AE27" s="63"/>
      <c r="AF27" s="63"/>
      <c r="AG27" s="63"/>
      <c r="AH27" s="63"/>
      <c r="AI27" s="60"/>
      <c r="AJ27" s="60"/>
      <c r="AK27" s="60"/>
      <c r="AL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</row>
    <row r="28" spans="1:62" s="17" customFormat="1" ht="45" customHeight="1">
      <c r="B28" s="65" t="s">
        <v>8217</v>
      </c>
      <c r="C28" s="66"/>
      <c r="D28" s="67" t="e">
        <f xml:space="preserve"> LEN(E28)</f>
        <v>#REF!</v>
      </c>
      <c r="E28" s="324" t="e">
        <f xml:space="preserve"> _xlfn.CONCAT(D19:BH19)</f>
        <v>#REF!</v>
      </c>
      <c r="F28" s="325"/>
      <c r="G28" s="325"/>
      <c r="H28" s="325"/>
      <c r="I28" s="325"/>
      <c r="J28" s="325"/>
      <c r="K28" s="325"/>
      <c r="L28" s="325"/>
      <c r="M28" s="325"/>
      <c r="N28" s="325"/>
      <c r="O28" s="325"/>
      <c r="P28" s="325"/>
      <c r="Q28" s="325"/>
      <c r="R28" s="325"/>
      <c r="S28" s="325"/>
      <c r="T28" s="325"/>
      <c r="U28" s="325"/>
      <c r="V28" s="325"/>
      <c r="W28" s="325"/>
      <c r="X28" s="325"/>
      <c r="Y28" s="325"/>
      <c r="Z28" s="325"/>
      <c r="AA28" s="325"/>
      <c r="AB28" s="325"/>
      <c r="AC28" s="325"/>
      <c r="AD28" s="325"/>
      <c r="AE28" s="325"/>
      <c r="AF28" s="325"/>
      <c r="AG28" s="325"/>
      <c r="AH28" s="325"/>
      <c r="AI28" s="325"/>
      <c r="AJ28" s="325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</row>
    <row r="29" spans="1:62" s="17" customFormat="1" ht="45" customHeight="1">
      <c r="B29" s="303" t="s">
        <v>4</v>
      </c>
      <c r="C29" s="68"/>
      <c r="D29" s="69" t="e">
        <f xml:space="preserve"> LEN(E29)</f>
        <v>#N/A</v>
      </c>
      <c r="E29" s="326" t="e">
        <f xml:space="preserve"> _xlfn.CONCAT(D20:BH20)</f>
        <v>#N/A</v>
      </c>
      <c r="F29" s="327"/>
      <c r="G29" s="327"/>
      <c r="H29" s="327"/>
      <c r="I29" s="327"/>
      <c r="J29" s="327"/>
      <c r="K29" s="327"/>
      <c r="L29" s="327"/>
      <c r="M29" s="327"/>
      <c r="N29" s="327"/>
      <c r="O29" s="327"/>
      <c r="P29" s="327"/>
      <c r="Q29" s="327"/>
      <c r="R29" s="327"/>
      <c r="S29" s="327"/>
      <c r="T29" s="327"/>
      <c r="U29" s="327"/>
      <c r="V29" s="327"/>
      <c r="W29" s="327"/>
      <c r="X29" s="327"/>
      <c r="Y29" s="327"/>
      <c r="Z29" s="327"/>
      <c r="AA29" s="327"/>
      <c r="AB29" s="327"/>
      <c r="AC29" s="327"/>
      <c r="AD29" s="327"/>
      <c r="AE29" s="327"/>
      <c r="AF29" s="327"/>
      <c r="AG29" s="327"/>
      <c r="AH29" s="327"/>
      <c r="AI29" s="327"/>
      <c r="AJ29" s="327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70"/>
    </row>
    <row r="30" spans="1:62" s="71" customFormat="1" ht="45" customHeight="1">
      <c r="A30" s="17"/>
      <c r="B30" s="72" t="e">
        <f xml:space="preserve"> "    - xlit|" &amp; E28 &amp; "|" &amp; E29 &amp; "|"</f>
        <v>#REF!</v>
      </c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60"/>
      <c r="AL30" s="60"/>
      <c r="AM30" s="17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70"/>
      <c r="BD30" s="70"/>
      <c r="BE30" s="70"/>
      <c r="BF30" s="70"/>
      <c r="BG30" s="70"/>
      <c r="BH30" s="70"/>
      <c r="BI30" s="60"/>
      <c r="BJ30" s="70"/>
    </row>
    <row r="31" spans="1:62" s="17" customFormat="1" ht="45" customHeight="1">
      <c r="B31" s="74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0"/>
      <c r="AL31" s="70"/>
      <c r="AN31" s="60"/>
      <c r="AO31" s="60"/>
      <c r="AP31" s="60"/>
      <c r="AQ31" s="60"/>
      <c r="AR31" s="60"/>
      <c r="AS31" s="60"/>
      <c r="AT31" s="70"/>
      <c r="AU31" s="70"/>
      <c r="AV31" s="70"/>
      <c r="AW31" s="70"/>
      <c r="AX31" s="70"/>
      <c r="AY31" s="70"/>
      <c r="AZ31" s="70"/>
      <c r="BA31" s="70"/>
      <c r="BB31" s="70"/>
      <c r="BC31" s="60"/>
      <c r="BD31" s="60"/>
      <c r="BE31" s="60"/>
      <c r="BF31" s="60"/>
      <c r="BG31" s="60"/>
      <c r="BH31" s="60"/>
      <c r="BI31" s="70"/>
      <c r="BJ31" s="60"/>
    </row>
    <row r="32" spans="1:62" s="17" customFormat="1" ht="45" customHeight="1">
      <c r="A32" s="71"/>
      <c r="B32" s="328">
        <v>1</v>
      </c>
      <c r="C32" s="328">
        <v>2</v>
      </c>
      <c r="D32" s="328">
        <v>3</v>
      </c>
      <c r="E32" s="328">
        <v>4</v>
      </c>
      <c r="F32" s="328">
        <v>5</v>
      </c>
      <c r="G32" s="328">
        <v>6</v>
      </c>
      <c r="H32" s="328">
        <v>7</v>
      </c>
      <c r="I32" s="328">
        <v>8</v>
      </c>
      <c r="J32" s="328">
        <v>9</v>
      </c>
      <c r="K32" s="328">
        <v>10</v>
      </c>
      <c r="L32" s="328">
        <v>11</v>
      </c>
      <c r="M32" s="328">
        <v>12</v>
      </c>
      <c r="N32" s="328">
        <v>13</v>
      </c>
      <c r="O32" s="328">
        <v>14</v>
      </c>
      <c r="P32" s="328">
        <v>15</v>
      </c>
      <c r="Q32" s="328">
        <v>16</v>
      </c>
      <c r="R32" s="328">
        <v>17</v>
      </c>
      <c r="S32" s="329">
        <v>18</v>
      </c>
      <c r="T32" s="328">
        <v>19</v>
      </c>
      <c r="U32" s="328">
        <v>20</v>
      </c>
      <c r="V32" s="328">
        <v>21</v>
      </c>
      <c r="W32" s="328">
        <v>22</v>
      </c>
      <c r="X32" s="328">
        <v>23</v>
      </c>
      <c r="Y32" s="328">
        <v>24</v>
      </c>
      <c r="Z32" s="328">
        <v>25</v>
      </c>
      <c r="AA32" s="328">
        <v>26</v>
      </c>
      <c r="AB32" s="328">
        <v>27</v>
      </c>
      <c r="AC32" s="328">
        <v>28</v>
      </c>
      <c r="AD32" s="328">
        <v>29</v>
      </c>
      <c r="AE32" s="328">
        <v>30</v>
      </c>
      <c r="AF32" s="328">
        <v>31</v>
      </c>
      <c r="AG32" s="328">
        <v>32</v>
      </c>
      <c r="AH32" s="330">
        <v>33</v>
      </c>
      <c r="AI32" s="330">
        <v>34</v>
      </c>
      <c r="AJ32" s="330">
        <v>35</v>
      </c>
      <c r="AK32" s="330">
        <v>36</v>
      </c>
      <c r="AL32" s="331">
        <v>37</v>
      </c>
      <c r="AM32" s="330">
        <v>38</v>
      </c>
      <c r="AN32" s="330">
        <v>39</v>
      </c>
      <c r="AO32" s="330">
        <v>40</v>
      </c>
      <c r="AP32" s="330">
        <v>41</v>
      </c>
      <c r="AQ32" s="330">
        <v>42</v>
      </c>
      <c r="AR32" s="330">
        <v>43</v>
      </c>
      <c r="AS32" s="330">
        <v>44</v>
      </c>
      <c r="AT32" s="330">
        <v>45</v>
      </c>
      <c r="AU32" s="330">
        <v>46</v>
      </c>
      <c r="AV32" s="330">
        <v>47</v>
      </c>
      <c r="AW32" s="330">
        <v>48</v>
      </c>
      <c r="AX32" s="330">
        <v>49</v>
      </c>
      <c r="AY32" s="330">
        <v>50</v>
      </c>
      <c r="AZ32" s="330">
        <v>51</v>
      </c>
      <c r="BA32" s="330">
        <v>52</v>
      </c>
      <c r="BB32" s="330">
        <v>53</v>
      </c>
      <c r="BC32" s="330">
        <v>54</v>
      </c>
      <c r="BD32" s="330">
        <v>55</v>
      </c>
      <c r="BE32" s="330">
        <v>56</v>
      </c>
      <c r="BF32" s="330">
        <v>57</v>
      </c>
      <c r="BG32" s="63"/>
      <c r="BI32" s="60"/>
      <c r="BJ32" s="60"/>
    </row>
    <row r="33" spans="1:62" s="17" customFormat="1" ht="45" customHeight="1">
      <c r="B33" s="334" t="e">
        <f t="shared" ref="B33:BF33" si="0" xml:space="preserve"> MID($E$28,B$32,1)</f>
        <v>#REF!</v>
      </c>
      <c r="C33" s="334" t="e">
        <f t="shared" si="0"/>
        <v>#REF!</v>
      </c>
      <c r="D33" s="334" t="e">
        <f t="shared" si="0"/>
        <v>#REF!</v>
      </c>
      <c r="E33" s="334" t="e">
        <f t="shared" si="0"/>
        <v>#REF!</v>
      </c>
      <c r="F33" s="334" t="e">
        <f t="shared" si="0"/>
        <v>#REF!</v>
      </c>
      <c r="G33" s="334" t="e">
        <f t="shared" si="0"/>
        <v>#REF!</v>
      </c>
      <c r="H33" s="334" t="e">
        <f t="shared" si="0"/>
        <v>#REF!</v>
      </c>
      <c r="I33" s="334" t="e">
        <f t="shared" si="0"/>
        <v>#REF!</v>
      </c>
      <c r="J33" s="334" t="e">
        <f t="shared" si="0"/>
        <v>#REF!</v>
      </c>
      <c r="K33" s="334" t="e">
        <f t="shared" si="0"/>
        <v>#REF!</v>
      </c>
      <c r="L33" s="334" t="e">
        <f t="shared" si="0"/>
        <v>#REF!</v>
      </c>
      <c r="M33" s="334" t="e">
        <f t="shared" si="0"/>
        <v>#REF!</v>
      </c>
      <c r="N33" s="334" t="e">
        <f t="shared" si="0"/>
        <v>#REF!</v>
      </c>
      <c r="O33" s="334" t="e">
        <f t="shared" si="0"/>
        <v>#REF!</v>
      </c>
      <c r="P33" s="334" t="e">
        <f t="shared" si="0"/>
        <v>#REF!</v>
      </c>
      <c r="Q33" s="334" t="e">
        <f t="shared" si="0"/>
        <v>#REF!</v>
      </c>
      <c r="R33" s="334" t="e">
        <f t="shared" si="0"/>
        <v>#REF!</v>
      </c>
      <c r="S33" s="334" t="e">
        <f t="shared" si="0"/>
        <v>#REF!</v>
      </c>
      <c r="T33" s="334" t="e">
        <f t="shared" si="0"/>
        <v>#REF!</v>
      </c>
      <c r="U33" s="334" t="e">
        <f t="shared" si="0"/>
        <v>#REF!</v>
      </c>
      <c r="V33" s="334" t="e">
        <f t="shared" si="0"/>
        <v>#REF!</v>
      </c>
      <c r="W33" s="334" t="e">
        <f t="shared" si="0"/>
        <v>#REF!</v>
      </c>
      <c r="X33" s="334" t="e">
        <f t="shared" si="0"/>
        <v>#REF!</v>
      </c>
      <c r="Y33" s="334" t="e">
        <f t="shared" si="0"/>
        <v>#REF!</v>
      </c>
      <c r="Z33" s="334" t="e">
        <f t="shared" si="0"/>
        <v>#REF!</v>
      </c>
      <c r="AA33" s="334" t="e">
        <f t="shared" si="0"/>
        <v>#REF!</v>
      </c>
      <c r="AB33" s="334" t="e">
        <f t="shared" si="0"/>
        <v>#REF!</v>
      </c>
      <c r="AC33" s="334" t="e">
        <f t="shared" si="0"/>
        <v>#REF!</v>
      </c>
      <c r="AD33" s="334" t="e">
        <f t="shared" si="0"/>
        <v>#REF!</v>
      </c>
      <c r="AE33" s="334" t="e">
        <f t="shared" si="0"/>
        <v>#REF!</v>
      </c>
      <c r="AF33" s="334" t="e">
        <f t="shared" si="0"/>
        <v>#REF!</v>
      </c>
      <c r="AG33" s="334" t="e">
        <f t="shared" si="0"/>
        <v>#REF!</v>
      </c>
      <c r="AH33" s="334" t="e">
        <f t="shared" si="0"/>
        <v>#REF!</v>
      </c>
      <c r="AI33" s="334" t="e">
        <f t="shared" si="0"/>
        <v>#REF!</v>
      </c>
      <c r="AJ33" s="334" t="e">
        <f t="shared" si="0"/>
        <v>#REF!</v>
      </c>
      <c r="AK33" s="334" t="e">
        <f t="shared" si="0"/>
        <v>#REF!</v>
      </c>
      <c r="AL33" s="334" t="e">
        <f t="shared" si="0"/>
        <v>#REF!</v>
      </c>
      <c r="AM33" s="334" t="e">
        <f t="shared" si="0"/>
        <v>#REF!</v>
      </c>
      <c r="AN33" s="334" t="e">
        <f t="shared" si="0"/>
        <v>#REF!</v>
      </c>
      <c r="AO33" s="334" t="e">
        <f t="shared" si="0"/>
        <v>#REF!</v>
      </c>
      <c r="AP33" s="334" t="e">
        <f t="shared" si="0"/>
        <v>#REF!</v>
      </c>
      <c r="AQ33" s="334" t="e">
        <f t="shared" si="0"/>
        <v>#REF!</v>
      </c>
      <c r="AR33" s="334" t="e">
        <f t="shared" si="0"/>
        <v>#REF!</v>
      </c>
      <c r="AS33" s="334" t="e">
        <f t="shared" si="0"/>
        <v>#REF!</v>
      </c>
      <c r="AT33" s="334" t="e">
        <f t="shared" si="0"/>
        <v>#REF!</v>
      </c>
      <c r="AU33" s="334" t="e">
        <f t="shared" si="0"/>
        <v>#REF!</v>
      </c>
      <c r="AV33" s="334" t="e">
        <f t="shared" si="0"/>
        <v>#REF!</v>
      </c>
      <c r="AW33" s="334" t="e">
        <f t="shared" si="0"/>
        <v>#REF!</v>
      </c>
      <c r="AX33" s="334" t="e">
        <f t="shared" si="0"/>
        <v>#REF!</v>
      </c>
      <c r="AY33" s="334" t="e">
        <f t="shared" si="0"/>
        <v>#REF!</v>
      </c>
      <c r="AZ33" s="334" t="e">
        <f t="shared" si="0"/>
        <v>#REF!</v>
      </c>
      <c r="BA33" s="334" t="e">
        <f t="shared" si="0"/>
        <v>#REF!</v>
      </c>
      <c r="BB33" s="334" t="e">
        <f t="shared" si="0"/>
        <v>#REF!</v>
      </c>
      <c r="BC33" s="334" t="e">
        <f t="shared" si="0"/>
        <v>#REF!</v>
      </c>
      <c r="BD33" s="334" t="e">
        <f t="shared" si="0"/>
        <v>#REF!</v>
      </c>
      <c r="BE33" s="334" t="e">
        <f t="shared" si="0"/>
        <v>#REF!</v>
      </c>
      <c r="BF33" s="334" t="e">
        <f t="shared" si="0"/>
        <v>#REF!</v>
      </c>
      <c r="BG33" s="63"/>
      <c r="BI33" s="60"/>
      <c r="BJ33" s="60"/>
    </row>
    <row r="34" spans="1:62" s="17" customFormat="1" ht="45" customHeight="1">
      <c r="B34" s="332" t="e">
        <f t="shared" ref="B34:BF34" si="1" xml:space="preserve"> MID($E$29,B$32,1)</f>
        <v>#N/A</v>
      </c>
      <c r="C34" s="332" t="e">
        <f t="shared" si="1"/>
        <v>#N/A</v>
      </c>
      <c r="D34" s="332" t="e">
        <f t="shared" si="1"/>
        <v>#N/A</v>
      </c>
      <c r="E34" s="332" t="e">
        <f t="shared" si="1"/>
        <v>#N/A</v>
      </c>
      <c r="F34" s="332" t="e">
        <f t="shared" si="1"/>
        <v>#N/A</v>
      </c>
      <c r="G34" s="332" t="e">
        <f t="shared" si="1"/>
        <v>#N/A</v>
      </c>
      <c r="H34" s="332" t="e">
        <f t="shared" si="1"/>
        <v>#N/A</v>
      </c>
      <c r="I34" s="332" t="e">
        <f t="shared" si="1"/>
        <v>#N/A</v>
      </c>
      <c r="J34" s="332" t="e">
        <f t="shared" si="1"/>
        <v>#N/A</v>
      </c>
      <c r="K34" s="332" t="e">
        <f t="shared" si="1"/>
        <v>#N/A</v>
      </c>
      <c r="L34" s="332" t="e">
        <f t="shared" si="1"/>
        <v>#N/A</v>
      </c>
      <c r="M34" s="332" t="e">
        <f t="shared" si="1"/>
        <v>#N/A</v>
      </c>
      <c r="N34" s="332" t="e">
        <f t="shared" si="1"/>
        <v>#N/A</v>
      </c>
      <c r="O34" s="332" t="e">
        <f t="shared" si="1"/>
        <v>#N/A</v>
      </c>
      <c r="P34" s="332" t="e">
        <f t="shared" si="1"/>
        <v>#N/A</v>
      </c>
      <c r="Q34" s="332" t="e">
        <f t="shared" si="1"/>
        <v>#N/A</v>
      </c>
      <c r="R34" s="332" t="e">
        <f t="shared" si="1"/>
        <v>#N/A</v>
      </c>
      <c r="S34" s="332" t="e">
        <f t="shared" si="1"/>
        <v>#N/A</v>
      </c>
      <c r="T34" s="332" t="e">
        <f t="shared" si="1"/>
        <v>#N/A</v>
      </c>
      <c r="U34" s="332" t="e">
        <f t="shared" si="1"/>
        <v>#N/A</v>
      </c>
      <c r="V34" s="332" t="e">
        <f t="shared" si="1"/>
        <v>#N/A</v>
      </c>
      <c r="W34" s="332" t="e">
        <f t="shared" si="1"/>
        <v>#N/A</v>
      </c>
      <c r="X34" s="332" t="e">
        <f t="shared" si="1"/>
        <v>#N/A</v>
      </c>
      <c r="Y34" s="332" t="e">
        <f t="shared" si="1"/>
        <v>#N/A</v>
      </c>
      <c r="Z34" s="332" t="e">
        <f t="shared" si="1"/>
        <v>#N/A</v>
      </c>
      <c r="AA34" s="332" t="e">
        <f t="shared" si="1"/>
        <v>#N/A</v>
      </c>
      <c r="AB34" s="332" t="e">
        <f t="shared" si="1"/>
        <v>#N/A</v>
      </c>
      <c r="AC34" s="332" t="e">
        <f t="shared" si="1"/>
        <v>#N/A</v>
      </c>
      <c r="AD34" s="332" t="e">
        <f t="shared" si="1"/>
        <v>#N/A</v>
      </c>
      <c r="AE34" s="332" t="e">
        <f t="shared" si="1"/>
        <v>#N/A</v>
      </c>
      <c r="AF34" s="332" t="e">
        <f t="shared" si="1"/>
        <v>#N/A</v>
      </c>
      <c r="AG34" s="332" t="e">
        <f t="shared" si="1"/>
        <v>#N/A</v>
      </c>
      <c r="AH34" s="332" t="e">
        <f t="shared" si="1"/>
        <v>#N/A</v>
      </c>
      <c r="AI34" s="332" t="e">
        <f t="shared" si="1"/>
        <v>#N/A</v>
      </c>
      <c r="AJ34" s="332" t="e">
        <f t="shared" si="1"/>
        <v>#N/A</v>
      </c>
      <c r="AK34" s="332" t="e">
        <f t="shared" si="1"/>
        <v>#N/A</v>
      </c>
      <c r="AL34" s="332" t="e">
        <f t="shared" si="1"/>
        <v>#N/A</v>
      </c>
      <c r="AM34" s="332" t="e">
        <f t="shared" si="1"/>
        <v>#N/A</v>
      </c>
      <c r="AN34" s="332" t="e">
        <f t="shared" si="1"/>
        <v>#N/A</v>
      </c>
      <c r="AO34" s="332" t="e">
        <f t="shared" si="1"/>
        <v>#N/A</v>
      </c>
      <c r="AP34" s="332" t="e">
        <f t="shared" si="1"/>
        <v>#N/A</v>
      </c>
      <c r="AQ34" s="332" t="e">
        <f t="shared" si="1"/>
        <v>#N/A</v>
      </c>
      <c r="AR34" s="332" t="e">
        <f t="shared" si="1"/>
        <v>#N/A</v>
      </c>
      <c r="AS34" s="332" t="e">
        <f t="shared" si="1"/>
        <v>#N/A</v>
      </c>
      <c r="AT34" s="332" t="e">
        <f t="shared" si="1"/>
        <v>#N/A</v>
      </c>
      <c r="AU34" s="332" t="e">
        <f t="shared" si="1"/>
        <v>#N/A</v>
      </c>
      <c r="AV34" s="332" t="e">
        <f t="shared" si="1"/>
        <v>#N/A</v>
      </c>
      <c r="AW34" s="332" t="e">
        <f t="shared" si="1"/>
        <v>#N/A</v>
      </c>
      <c r="AX34" s="332" t="e">
        <f t="shared" si="1"/>
        <v>#N/A</v>
      </c>
      <c r="AY34" s="332" t="e">
        <f t="shared" si="1"/>
        <v>#N/A</v>
      </c>
      <c r="AZ34" s="332" t="e">
        <f t="shared" si="1"/>
        <v>#N/A</v>
      </c>
      <c r="BA34" s="332" t="e">
        <f t="shared" si="1"/>
        <v>#N/A</v>
      </c>
      <c r="BB34" s="332" t="e">
        <f t="shared" si="1"/>
        <v>#N/A</v>
      </c>
      <c r="BC34" s="332" t="e">
        <f t="shared" si="1"/>
        <v>#N/A</v>
      </c>
      <c r="BD34" s="332" t="e">
        <f t="shared" si="1"/>
        <v>#N/A</v>
      </c>
      <c r="BE34" s="332" t="e">
        <f t="shared" si="1"/>
        <v>#N/A</v>
      </c>
      <c r="BF34" s="332" t="e">
        <f t="shared" si="1"/>
        <v>#N/A</v>
      </c>
      <c r="BG34" s="63"/>
      <c r="BH34" s="71"/>
      <c r="BI34" s="60"/>
      <c r="BJ34" s="60"/>
    </row>
    <row r="35" spans="1:62" s="17" customFormat="1" ht="45" customHeight="1"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4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0"/>
      <c r="AJ35" s="60"/>
      <c r="AK35" s="60"/>
      <c r="AL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</row>
    <row r="36" spans="1:62" s="17" customFormat="1" ht="45" customHeight="1">
      <c r="B36" s="76" t="s">
        <v>8410</v>
      </c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0"/>
      <c r="AI36" s="60"/>
      <c r="AJ36" s="60"/>
      <c r="AK36" s="60"/>
      <c r="AL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</row>
    <row r="37" spans="1:62" s="17" customFormat="1" ht="45" customHeight="1">
      <c r="B37" s="63" t="s">
        <v>321</v>
      </c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4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</row>
    <row r="38" spans="1:62" s="17" customFormat="1" ht="45" customHeight="1">
      <c r="B38" s="77" t="s">
        <v>4</v>
      </c>
      <c r="C38" s="78"/>
      <c r="D38" s="78" t="e">
        <f xml:space="preserve"> LEN(E38)</f>
        <v>#N/A</v>
      </c>
      <c r="E38" s="79" t="e">
        <f xml:space="preserve"> _xlfn.CONCAT(D20:BH20)</f>
        <v>#N/A</v>
      </c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</row>
    <row r="39" spans="1:62" ht="45" customHeight="1">
      <c r="A39" s="17"/>
      <c r="B39" s="304" t="s">
        <v>3</v>
      </c>
      <c r="C39" s="81"/>
      <c r="D39" s="81">
        <f>LEN(E39)</f>
        <v>57</v>
      </c>
      <c r="E39" s="80" t="str">
        <f xml:space="preserve"> _xlfn.CONCAT(D17:BH17)</f>
        <v>ㆠㄅㄆㄇㄉㄊㄋㄌㆣㄍㄎㄫㄏㆢㄐㄑㄒㆡㄗㄘㄙㄧㆪㄨㆫㄚㆩㆦㆧㄜㆤㆥㄞㆮㄠㆯㄤㆲㆰㆱㄢㆬㄣㆭㆨㆴㆵㆻㆷˋ˪ˊ˫˙入ㄥñ</v>
      </c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83"/>
    </row>
    <row r="40" spans="1:62" ht="45" customHeight="1">
      <c r="A40" s="17"/>
      <c r="B40" s="72" t="e">
        <f xml:space="preserve"> "    - xlit|" &amp; E38 &amp; "|" &amp; E39 &amp; "|"</f>
        <v>#N/A</v>
      </c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73"/>
      <c r="AH40" s="73"/>
      <c r="AI40" s="73"/>
      <c r="AJ40" s="73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83"/>
      <c r="BJ40" s="83"/>
    </row>
    <row r="41" spans="1:62" ht="45" customHeight="1">
      <c r="B41" s="74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J41" s="83"/>
    </row>
    <row r="42" spans="1:62" ht="45" customHeight="1">
      <c r="B42" s="328">
        <v>1</v>
      </c>
      <c r="C42" s="328">
        <v>2</v>
      </c>
      <c r="D42" s="328">
        <v>3</v>
      </c>
      <c r="E42" s="328">
        <v>4</v>
      </c>
      <c r="F42" s="328">
        <v>5</v>
      </c>
      <c r="G42" s="328">
        <v>6</v>
      </c>
      <c r="H42" s="328">
        <v>7</v>
      </c>
      <c r="I42" s="328">
        <v>8</v>
      </c>
      <c r="J42" s="328">
        <v>9</v>
      </c>
      <c r="K42" s="328">
        <v>10</v>
      </c>
      <c r="L42" s="328">
        <v>11</v>
      </c>
      <c r="M42" s="328">
        <v>12</v>
      </c>
      <c r="N42" s="328">
        <v>13</v>
      </c>
      <c r="O42" s="328">
        <v>14</v>
      </c>
      <c r="P42" s="328">
        <v>15</v>
      </c>
      <c r="Q42" s="328">
        <v>16</v>
      </c>
      <c r="R42" s="328">
        <v>17</v>
      </c>
      <c r="S42" s="329">
        <v>18</v>
      </c>
      <c r="T42" s="328">
        <v>19</v>
      </c>
      <c r="U42" s="328">
        <v>20</v>
      </c>
      <c r="V42" s="328">
        <v>21</v>
      </c>
      <c r="W42" s="328">
        <v>22</v>
      </c>
      <c r="X42" s="328">
        <v>23</v>
      </c>
      <c r="Y42" s="328">
        <v>24</v>
      </c>
      <c r="Z42" s="328">
        <v>25</v>
      </c>
      <c r="AA42" s="328">
        <v>26</v>
      </c>
      <c r="AB42" s="328">
        <v>27</v>
      </c>
      <c r="AC42" s="328">
        <v>28</v>
      </c>
      <c r="AD42" s="328">
        <v>29</v>
      </c>
      <c r="AE42" s="328">
        <v>30</v>
      </c>
      <c r="AF42" s="328">
        <v>31</v>
      </c>
      <c r="AG42" s="328">
        <v>32</v>
      </c>
      <c r="AH42" s="330">
        <v>33</v>
      </c>
      <c r="AI42" s="330">
        <v>34</v>
      </c>
      <c r="AJ42" s="330">
        <v>35</v>
      </c>
      <c r="AK42" s="330">
        <v>36</v>
      </c>
      <c r="AL42" s="331">
        <v>37</v>
      </c>
      <c r="AM42" s="330">
        <v>38</v>
      </c>
      <c r="AN42" s="330">
        <v>39</v>
      </c>
      <c r="AO42" s="330">
        <v>40</v>
      </c>
      <c r="AP42" s="330">
        <v>41</v>
      </c>
      <c r="AQ42" s="330">
        <v>42</v>
      </c>
      <c r="AR42" s="330">
        <v>43</v>
      </c>
      <c r="AS42" s="330">
        <v>44</v>
      </c>
      <c r="AT42" s="330">
        <v>45</v>
      </c>
      <c r="AU42" s="330">
        <v>46</v>
      </c>
      <c r="AV42" s="330">
        <v>47</v>
      </c>
      <c r="AW42" s="330">
        <v>48</v>
      </c>
      <c r="AX42" s="330">
        <v>49</v>
      </c>
      <c r="AY42" s="330">
        <v>50</v>
      </c>
      <c r="AZ42" s="330">
        <v>51</v>
      </c>
      <c r="BA42" s="330">
        <v>52</v>
      </c>
      <c r="BB42" s="330">
        <v>53</v>
      </c>
      <c r="BC42" s="330">
        <v>54</v>
      </c>
      <c r="BD42" s="330">
        <v>55</v>
      </c>
      <c r="BE42" s="330">
        <v>56</v>
      </c>
      <c r="BF42" s="330">
        <v>57</v>
      </c>
      <c r="BG42" s="63"/>
      <c r="BH42" s="17"/>
      <c r="BJ42" s="83"/>
    </row>
    <row r="43" spans="1:62" ht="45" customHeight="1">
      <c r="B43" s="332" t="e">
        <f t="shared" ref="B43:BF43" si="2" xml:space="preserve"> MID($E$38,B$42,1)</f>
        <v>#N/A</v>
      </c>
      <c r="C43" s="332" t="e">
        <f t="shared" si="2"/>
        <v>#N/A</v>
      </c>
      <c r="D43" s="332" t="e">
        <f t="shared" si="2"/>
        <v>#N/A</v>
      </c>
      <c r="E43" s="332" t="e">
        <f t="shared" si="2"/>
        <v>#N/A</v>
      </c>
      <c r="F43" s="332" t="e">
        <f t="shared" si="2"/>
        <v>#N/A</v>
      </c>
      <c r="G43" s="332" t="e">
        <f t="shared" si="2"/>
        <v>#N/A</v>
      </c>
      <c r="H43" s="332" t="e">
        <f t="shared" si="2"/>
        <v>#N/A</v>
      </c>
      <c r="I43" s="332" t="e">
        <f t="shared" si="2"/>
        <v>#N/A</v>
      </c>
      <c r="J43" s="332" t="e">
        <f t="shared" si="2"/>
        <v>#N/A</v>
      </c>
      <c r="K43" s="332" t="e">
        <f t="shared" si="2"/>
        <v>#N/A</v>
      </c>
      <c r="L43" s="332" t="e">
        <f t="shared" si="2"/>
        <v>#N/A</v>
      </c>
      <c r="M43" s="332" t="e">
        <f t="shared" si="2"/>
        <v>#N/A</v>
      </c>
      <c r="N43" s="332" t="e">
        <f t="shared" si="2"/>
        <v>#N/A</v>
      </c>
      <c r="O43" s="332" t="e">
        <f t="shared" si="2"/>
        <v>#N/A</v>
      </c>
      <c r="P43" s="332" t="e">
        <f t="shared" si="2"/>
        <v>#N/A</v>
      </c>
      <c r="Q43" s="332" t="e">
        <f t="shared" si="2"/>
        <v>#N/A</v>
      </c>
      <c r="R43" s="332" t="e">
        <f t="shared" si="2"/>
        <v>#N/A</v>
      </c>
      <c r="S43" s="332" t="e">
        <f t="shared" si="2"/>
        <v>#N/A</v>
      </c>
      <c r="T43" s="332" t="e">
        <f t="shared" si="2"/>
        <v>#N/A</v>
      </c>
      <c r="U43" s="332" t="e">
        <f t="shared" si="2"/>
        <v>#N/A</v>
      </c>
      <c r="V43" s="332" t="e">
        <f t="shared" si="2"/>
        <v>#N/A</v>
      </c>
      <c r="W43" s="332" t="e">
        <f t="shared" si="2"/>
        <v>#N/A</v>
      </c>
      <c r="X43" s="332" t="e">
        <f t="shared" si="2"/>
        <v>#N/A</v>
      </c>
      <c r="Y43" s="332" t="e">
        <f t="shared" si="2"/>
        <v>#N/A</v>
      </c>
      <c r="Z43" s="332" t="e">
        <f t="shared" si="2"/>
        <v>#N/A</v>
      </c>
      <c r="AA43" s="332" t="e">
        <f t="shared" si="2"/>
        <v>#N/A</v>
      </c>
      <c r="AB43" s="332" t="e">
        <f t="shared" si="2"/>
        <v>#N/A</v>
      </c>
      <c r="AC43" s="332" t="e">
        <f t="shared" si="2"/>
        <v>#N/A</v>
      </c>
      <c r="AD43" s="332" t="e">
        <f t="shared" si="2"/>
        <v>#N/A</v>
      </c>
      <c r="AE43" s="332" t="e">
        <f t="shared" si="2"/>
        <v>#N/A</v>
      </c>
      <c r="AF43" s="332" t="e">
        <f t="shared" si="2"/>
        <v>#N/A</v>
      </c>
      <c r="AG43" s="332" t="e">
        <f t="shared" si="2"/>
        <v>#N/A</v>
      </c>
      <c r="AH43" s="332" t="e">
        <f t="shared" si="2"/>
        <v>#N/A</v>
      </c>
      <c r="AI43" s="332" t="e">
        <f t="shared" si="2"/>
        <v>#N/A</v>
      </c>
      <c r="AJ43" s="332" t="e">
        <f t="shared" si="2"/>
        <v>#N/A</v>
      </c>
      <c r="AK43" s="332" t="e">
        <f t="shared" si="2"/>
        <v>#N/A</v>
      </c>
      <c r="AL43" s="332" t="e">
        <f t="shared" si="2"/>
        <v>#N/A</v>
      </c>
      <c r="AM43" s="332" t="e">
        <f t="shared" si="2"/>
        <v>#N/A</v>
      </c>
      <c r="AN43" s="332" t="e">
        <f t="shared" si="2"/>
        <v>#N/A</v>
      </c>
      <c r="AO43" s="332" t="e">
        <f t="shared" si="2"/>
        <v>#N/A</v>
      </c>
      <c r="AP43" s="332" t="e">
        <f t="shared" si="2"/>
        <v>#N/A</v>
      </c>
      <c r="AQ43" s="332" t="e">
        <f t="shared" si="2"/>
        <v>#N/A</v>
      </c>
      <c r="AR43" s="332" t="e">
        <f t="shared" si="2"/>
        <v>#N/A</v>
      </c>
      <c r="AS43" s="332" t="e">
        <f t="shared" si="2"/>
        <v>#N/A</v>
      </c>
      <c r="AT43" s="332" t="e">
        <f t="shared" si="2"/>
        <v>#N/A</v>
      </c>
      <c r="AU43" s="332" t="e">
        <f t="shared" si="2"/>
        <v>#N/A</v>
      </c>
      <c r="AV43" s="332" t="e">
        <f t="shared" si="2"/>
        <v>#N/A</v>
      </c>
      <c r="AW43" s="332" t="e">
        <f t="shared" si="2"/>
        <v>#N/A</v>
      </c>
      <c r="AX43" s="332" t="e">
        <f t="shared" si="2"/>
        <v>#N/A</v>
      </c>
      <c r="AY43" s="332" t="e">
        <f t="shared" si="2"/>
        <v>#N/A</v>
      </c>
      <c r="AZ43" s="332" t="e">
        <f t="shared" si="2"/>
        <v>#N/A</v>
      </c>
      <c r="BA43" s="332" t="e">
        <f t="shared" si="2"/>
        <v>#N/A</v>
      </c>
      <c r="BB43" s="332" t="e">
        <f t="shared" si="2"/>
        <v>#N/A</v>
      </c>
      <c r="BC43" s="332" t="e">
        <f t="shared" si="2"/>
        <v>#N/A</v>
      </c>
      <c r="BD43" s="332" t="e">
        <f t="shared" si="2"/>
        <v>#N/A</v>
      </c>
      <c r="BE43" s="332" t="e">
        <f t="shared" si="2"/>
        <v>#N/A</v>
      </c>
      <c r="BF43" s="332" t="e">
        <f t="shared" si="2"/>
        <v>#N/A</v>
      </c>
      <c r="BG43" s="63"/>
      <c r="BJ43" s="83"/>
    </row>
    <row r="44" spans="1:62" ht="45" customHeight="1">
      <c r="B44" s="333" t="str">
        <f t="shared" ref="B44:BF44" si="3" xml:space="preserve"> MID($E$39,B$42,1)</f>
        <v>ㆠ</v>
      </c>
      <c r="C44" s="333" t="str">
        <f t="shared" si="3"/>
        <v>ㄅ</v>
      </c>
      <c r="D44" s="333" t="str">
        <f t="shared" si="3"/>
        <v>ㄆ</v>
      </c>
      <c r="E44" s="333" t="str">
        <f t="shared" si="3"/>
        <v>ㄇ</v>
      </c>
      <c r="F44" s="333" t="str">
        <f t="shared" si="3"/>
        <v>ㄉ</v>
      </c>
      <c r="G44" s="333" t="str">
        <f t="shared" si="3"/>
        <v>ㄊ</v>
      </c>
      <c r="H44" s="333" t="str">
        <f t="shared" si="3"/>
        <v>ㄋ</v>
      </c>
      <c r="I44" s="333" t="str">
        <f t="shared" si="3"/>
        <v>ㄌ</v>
      </c>
      <c r="J44" s="333" t="str">
        <f t="shared" si="3"/>
        <v>ㆣ</v>
      </c>
      <c r="K44" s="333" t="str">
        <f t="shared" si="3"/>
        <v>ㄍ</v>
      </c>
      <c r="L44" s="333" t="str">
        <f t="shared" si="3"/>
        <v>ㄎ</v>
      </c>
      <c r="M44" s="333" t="str">
        <f t="shared" si="3"/>
        <v>ㄫ</v>
      </c>
      <c r="N44" s="333" t="str">
        <f t="shared" si="3"/>
        <v>ㄏ</v>
      </c>
      <c r="O44" s="333" t="str">
        <f t="shared" si="3"/>
        <v>ㆢ</v>
      </c>
      <c r="P44" s="333" t="str">
        <f t="shared" si="3"/>
        <v>ㄐ</v>
      </c>
      <c r="Q44" s="333" t="str">
        <f t="shared" si="3"/>
        <v>ㄑ</v>
      </c>
      <c r="R44" s="333" t="str">
        <f t="shared" si="3"/>
        <v>ㄒ</v>
      </c>
      <c r="S44" s="333" t="str">
        <f t="shared" si="3"/>
        <v>ㆡ</v>
      </c>
      <c r="T44" s="333" t="str">
        <f t="shared" si="3"/>
        <v>ㄗ</v>
      </c>
      <c r="U44" s="333" t="str">
        <f t="shared" si="3"/>
        <v>ㄘ</v>
      </c>
      <c r="V44" s="333" t="str">
        <f t="shared" si="3"/>
        <v>ㄙ</v>
      </c>
      <c r="W44" s="333" t="str">
        <f t="shared" si="3"/>
        <v>ㄧ</v>
      </c>
      <c r="X44" s="333" t="str">
        <f t="shared" si="3"/>
        <v>ㆪ</v>
      </c>
      <c r="Y44" s="333" t="str">
        <f t="shared" si="3"/>
        <v>ㄨ</v>
      </c>
      <c r="Z44" s="333" t="str">
        <f t="shared" si="3"/>
        <v>ㆫ</v>
      </c>
      <c r="AA44" s="333" t="str">
        <f t="shared" si="3"/>
        <v>ㄚ</v>
      </c>
      <c r="AB44" s="333" t="str">
        <f t="shared" si="3"/>
        <v>ㆩ</v>
      </c>
      <c r="AC44" s="333" t="str">
        <f t="shared" si="3"/>
        <v>ㆦ</v>
      </c>
      <c r="AD44" s="333" t="str">
        <f t="shared" si="3"/>
        <v>ㆧ</v>
      </c>
      <c r="AE44" s="333" t="str">
        <f t="shared" si="3"/>
        <v>ㄜ</v>
      </c>
      <c r="AF44" s="333" t="str">
        <f t="shared" si="3"/>
        <v>ㆤ</v>
      </c>
      <c r="AG44" s="333" t="str">
        <f t="shared" si="3"/>
        <v>ㆥ</v>
      </c>
      <c r="AH44" s="333" t="str">
        <f t="shared" si="3"/>
        <v>ㄞ</v>
      </c>
      <c r="AI44" s="333" t="str">
        <f t="shared" si="3"/>
        <v>ㆮ</v>
      </c>
      <c r="AJ44" s="333" t="str">
        <f t="shared" si="3"/>
        <v>ㄠ</v>
      </c>
      <c r="AK44" s="333" t="str">
        <f t="shared" si="3"/>
        <v>ㆯ</v>
      </c>
      <c r="AL44" s="333" t="str">
        <f t="shared" si="3"/>
        <v>ㄤ</v>
      </c>
      <c r="AM44" s="333" t="str">
        <f t="shared" si="3"/>
        <v>ㆲ</v>
      </c>
      <c r="AN44" s="333" t="str">
        <f t="shared" si="3"/>
        <v>ㆰ</v>
      </c>
      <c r="AO44" s="333" t="str">
        <f t="shared" si="3"/>
        <v>ㆱ</v>
      </c>
      <c r="AP44" s="333" t="str">
        <f t="shared" si="3"/>
        <v>ㄢ</v>
      </c>
      <c r="AQ44" s="333" t="str">
        <f t="shared" si="3"/>
        <v>ㆬ</v>
      </c>
      <c r="AR44" s="333" t="str">
        <f t="shared" si="3"/>
        <v>ㄣ</v>
      </c>
      <c r="AS44" s="333" t="str">
        <f t="shared" si="3"/>
        <v>ㆭ</v>
      </c>
      <c r="AT44" s="333" t="str">
        <f t="shared" si="3"/>
        <v>ㆨ</v>
      </c>
      <c r="AU44" s="333" t="str">
        <f t="shared" si="3"/>
        <v>ㆴ</v>
      </c>
      <c r="AV44" s="333" t="str">
        <f t="shared" si="3"/>
        <v>ㆵ</v>
      </c>
      <c r="AW44" s="333" t="str">
        <f t="shared" si="3"/>
        <v>ㆻ</v>
      </c>
      <c r="AX44" s="333" t="str">
        <f t="shared" si="3"/>
        <v>ㆷ</v>
      </c>
      <c r="AY44" s="333" t="str">
        <f t="shared" si="3"/>
        <v>ˋ</v>
      </c>
      <c r="AZ44" s="333" t="str">
        <f t="shared" si="3"/>
        <v>˪</v>
      </c>
      <c r="BA44" s="333" t="str">
        <f t="shared" si="3"/>
        <v>ˊ</v>
      </c>
      <c r="BB44" s="333" t="str">
        <f t="shared" si="3"/>
        <v>˫</v>
      </c>
      <c r="BC44" s="333" t="str">
        <f t="shared" si="3"/>
        <v>˙</v>
      </c>
      <c r="BD44" s="333" t="str">
        <f t="shared" si="3"/>
        <v>入</v>
      </c>
      <c r="BE44" s="333" t="str">
        <f t="shared" si="3"/>
        <v>ㄥ</v>
      </c>
      <c r="BF44" s="333" t="str">
        <f t="shared" si="3"/>
        <v>ñ</v>
      </c>
      <c r="BG44" s="63"/>
      <c r="BJ44" s="83"/>
    </row>
    <row r="45" spans="1:62" ht="45" customHeight="1"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4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J45" s="83"/>
    </row>
    <row r="46" spans="1:62" ht="45" customHeight="1">
      <c r="B46" s="76" t="s">
        <v>322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0"/>
      <c r="AI46" s="60"/>
      <c r="AJ46" s="60"/>
      <c r="AK46" s="83"/>
      <c r="AL46" s="83"/>
      <c r="AM46" s="60"/>
      <c r="AN46" s="83"/>
      <c r="AO46" s="83"/>
      <c r="AP46" s="83"/>
      <c r="AQ46" s="83"/>
      <c r="AR46" s="83"/>
      <c r="AS46" s="83"/>
      <c r="AT46" s="83"/>
      <c r="AU46" s="83"/>
      <c r="AV46" s="83"/>
      <c r="AW46" s="83"/>
      <c r="AX46" s="83"/>
      <c r="AY46" s="83"/>
      <c r="AZ46" s="83"/>
      <c r="BA46" s="83"/>
      <c r="BB46" s="83"/>
      <c r="BC46" s="83"/>
      <c r="BD46" s="83"/>
      <c r="BE46" s="83"/>
      <c r="BF46" s="83"/>
      <c r="BG46" s="60"/>
      <c r="BH46" s="60"/>
      <c r="BI46" s="83"/>
      <c r="BJ46" s="83"/>
    </row>
    <row r="47" spans="1:62" ht="45" customHeight="1">
      <c r="B47" s="63" t="s">
        <v>8411</v>
      </c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4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0"/>
      <c r="AI47" s="60"/>
      <c r="AJ47" s="60"/>
      <c r="AK47" s="83"/>
      <c r="AL47" s="83"/>
      <c r="AM47" s="83"/>
      <c r="AN47" s="83"/>
      <c r="AO47" s="83"/>
      <c r="AP47" s="83"/>
      <c r="AQ47" s="83"/>
      <c r="AR47" s="83"/>
      <c r="AS47" s="83"/>
      <c r="AT47" s="83"/>
      <c r="AU47" s="83"/>
      <c r="AV47" s="83"/>
      <c r="AW47" s="83"/>
      <c r="AX47" s="83"/>
      <c r="AY47" s="83"/>
      <c r="AZ47" s="83"/>
      <c r="BA47" s="83"/>
      <c r="BB47" s="83"/>
      <c r="BC47" s="83"/>
      <c r="BD47" s="83"/>
      <c r="BE47" s="83"/>
      <c r="BF47" s="83"/>
      <c r="BG47" s="83"/>
      <c r="BH47" s="83"/>
      <c r="BI47" s="83"/>
      <c r="BJ47" s="83"/>
    </row>
    <row r="48" spans="1:62" ht="45" customHeight="1">
      <c r="B48" s="77" t="s">
        <v>8339</v>
      </c>
      <c r="C48" s="78"/>
      <c r="D48" s="78" t="e">
        <f xml:space="preserve"> LEN(E48)</f>
        <v>#REF!</v>
      </c>
      <c r="E48" s="79" t="e">
        <f xml:space="preserve"> _xlfn.CONCAT(E19:BE19)</f>
        <v>#REF!</v>
      </c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83"/>
      <c r="AL48" s="83"/>
      <c r="AM48" s="83"/>
      <c r="AN48" s="83"/>
      <c r="AO48" s="83"/>
      <c r="AP48" s="83"/>
      <c r="AQ48" s="83"/>
      <c r="AR48" s="83"/>
      <c r="AS48" s="83"/>
      <c r="AT48" s="83"/>
      <c r="AU48" s="83"/>
      <c r="AV48" s="83"/>
      <c r="AW48" s="83"/>
      <c r="AX48" s="83"/>
      <c r="AY48" s="83"/>
      <c r="AZ48" s="83"/>
      <c r="BA48" s="83"/>
      <c r="BB48" s="83"/>
      <c r="BI48" s="83"/>
      <c r="BJ48" s="83"/>
    </row>
    <row r="49" spans="2:62" ht="45" customHeight="1">
      <c r="B49" s="80" t="s">
        <v>3</v>
      </c>
      <c r="C49" s="81"/>
      <c r="D49" s="81">
        <f>LEN(E49)</f>
        <v>53</v>
      </c>
      <c r="E49" s="80" t="str">
        <f xml:space="preserve"> _xlfn.CONCAT(E17:BE17)</f>
        <v>ㄅㄆㄇㄉㄊㄋㄌㆣㄍㄎㄫㄏㆢㄐㄑㄒㆡㄗㄘㄙㄧㆪㄨㆫㄚㆩㆦㆧㄜㆤㆥㄞㆮㄠㆯㄤㆲㆰㆱㄢㆬㄣㆭㆨㆴㆵㆻㆷˋ˪ˊ˫˙</v>
      </c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BI49" s="83"/>
      <c r="BJ49" s="83"/>
    </row>
    <row r="50" spans="2:62" ht="45" customHeight="1">
      <c r="B50" s="72" t="e">
        <f xml:space="preserve"> "- xlit|" &amp; E48 &amp; "|" &amp; E49 &amp; "|"</f>
        <v>#REF!</v>
      </c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73"/>
      <c r="AH50" s="73"/>
      <c r="AI50" s="73"/>
      <c r="AJ50" s="73"/>
      <c r="BI50" s="83"/>
      <c r="BJ50" s="83"/>
    </row>
    <row r="51" spans="2:62" ht="45" customHeight="1"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BI51" s="83"/>
      <c r="BJ51" s="83"/>
    </row>
    <row r="52" spans="2:62" ht="45" customHeight="1"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BI52" s="83"/>
      <c r="BJ52" s="83"/>
    </row>
    <row r="53" spans="2:62" ht="45" customHeight="1">
      <c r="B53" s="83"/>
      <c r="C53" s="83"/>
      <c r="D53" s="83"/>
      <c r="BC53" s="83"/>
      <c r="BD53" s="83"/>
      <c r="BE53" s="83"/>
      <c r="BF53" s="83"/>
      <c r="BG53" s="83"/>
      <c r="BH53" s="83"/>
      <c r="BI53" s="83"/>
      <c r="BJ53" s="83"/>
    </row>
    <row r="54" spans="2:62" ht="45" customHeight="1">
      <c r="AK54" s="83"/>
      <c r="AL54" s="83"/>
      <c r="AM54" s="83"/>
      <c r="AN54" s="83"/>
      <c r="AO54" s="83"/>
      <c r="AP54" s="83"/>
      <c r="AQ54" s="83"/>
      <c r="AR54" s="83"/>
      <c r="AS54" s="83"/>
      <c r="AT54" s="83"/>
      <c r="AU54" s="83"/>
      <c r="AV54" s="83"/>
      <c r="AW54" s="83"/>
      <c r="AX54" s="83"/>
      <c r="AY54" s="83"/>
      <c r="AZ54" s="83"/>
      <c r="BA54" s="83"/>
      <c r="BB54" s="83"/>
      <c r="BC54" s="83"/>
      <c r="BD54" s="83"/>
      <c r="BE54" s="83"/>
      <c r="BF54" s="83"/>
      <c r="BG54" s="83"/>
      <c r="BH54" s="83"/>
      <c r="BI54" s="83"/>
      <c r="BJ54" s="83"/>
    </row>
    <row r="55" spans="2:62" ht="45" customHeight="1">
      <c r="AK55" s="83"/>
      <c r="AL55" s="83"/>
      <c r="AM55" s="83"/>
      <c r="AN55" s="83"/>
      <c r="AO55" s="83"/>
      <c r="AP55" s="83"/>
      <c r="AQ55" s="83"/>
      <c r="AR55" s="83"/>
      <c r="AS55" s="83"/>
      <c r="AT55" s="83"/>
      <c r="AU55" s="83"/>
      <c r="AV55" s="83"/>
      <c r="AW55" s="83"/>
      <c r="AX55" s="83"/>
      <c r="AY55" s="83"/>
      <c r="AZ55" s="83"/>
      <c r="BA55" s="83"/>
      <c r="BB55" s="83"/>
      <c r="BC55" s="83"/>
      <c r="BD55" s="83"/>
      <c r="BE55" s="83"/>
      <c r="BF55" s="83"/>
      <c r="BG55" s="83"/>
      <c r="BH55" s="83"/>
      <c r="BI55" s="83"/>
      <c r="BJ55" s="83"/>
    </row>
    <row r="56" spans="2:62" ht="45" customHeight="1">
      <c r="AK56" s="83"/>
      <c r="AL56" s="83"/>
      <c r="AM56" s="83"/>
      <c r="AN56" s="83"/>
      <c r="AO56" s="83"/>
      <c r="AP56" s="83"/>
      <c r="AQ56" s="83"/>
      <c r="AR56" s="83"/>
      <c r="AS56" s="83"/>
      <c r="AT56" s="83"/>
      <c r="AU56" s="83"/>
      <c r="AV56" s="83"/>
      <c r="AW56" s="83"/>
      <c r="AX56" s="83"/>
      <c r="AY56" s="83"/>
      <c r="AZ56" s="83"/>
      <c r="BA56" s="83"/>
      <c r="BB56" s="83"/>
      <c r="BC56" s="83"/>
      <c r="BD56" s="83"/>
      <c r="BE56" s="83"/>
      <c r="BF56" s="83"/>
      <c r="BG56" s="83"/>
      <c r="BH56" s="83"/>
      <c r="BI56" s="83"/>
      <c r="BJ56" s="83"/>
    </row>
    <row r="57" spans="2:62" ht="45" customHeight="1"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3"/>
      <c r="AV57" s="83"/>
      <c r="AW57" s="83"/>
      <c r="AX57" s="83"/>
      <c r="AY57" s="83"/>
      <c r="AZ57" s="83"/>
      <c r="BA57" s="83"/>
      <c r="BB57" s="83"/>
      <c r="BC57" s="83"/>
      <c r="BD57" s="83"/>
      <c r="BE57" s="83"/>
      <c r="BF57" s="83"/>
      <c r="BG57" s="83"/>
      <c r="BH57" s="83"/>
      <c r="BI57" s="83"/>
      <c r="BJ57" s="83"/>
    </row>
    <row r="58" spans="2:62" ht="45" customHeight="1"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3"/>
      <c r="AW58" s="83"/>
      <c r="AX58" s="83"/>
      <c r="AY58" s="83"/>
      <c r="AZ58" s="83"/>
      <c r="BA58" s="83"/>
      <c r="BB58" s="83"/>
      <c r="BC58" s="83"/>
      <c r="BD58" s="83"/>
      <c r="BE58" s="83"/>
      <c r="BF58" s="83"/>
      <c r="BG58" s="83"/>
      <c r="BH58" s="83"/>
      <c r="BI58" s="83"/>
      <c r="BJ58" s="83"/>
    </row>
    <row r="59" spans="2:62" ht="38.1" customHeight="1"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  <c r="AM59" s="83"/>
      <c r="AN59" s="83"/>
      <c r="AO59" s="83"/>
      <c r="AP59" s="83"/>
      <c r="AQ59" s="83"/>
      <c r="AR59" s="83"/>
      <c r="AS59" s="83"/>
      <c r="AT59" s="83"/>
      <c r="AU59" s="83"/>
      <c r="AV59" s="83"/>
      <c r="AW59" s="83"/>
      <c r="AX59" s="83"/>
      <c r="AY59" s="83"/>
      <c r="AZ59" s="83"/>
      <c r="BA59" s="83"/>
      <c r="BB59" s="83"/>
      <c r="BC59" s="83"/>
      <c r="BD59" s="83"/>
      <c r="BE59" s="83"/>
      <c r="BF59" s="83"/>
      <c r="BG59" s="83"/>
      <c r="BH59" s="83"/>
      <c r="BI59" s="83"/>
      <c r="BJ59" s="83"/>
    </row>
    <row r="60" spans="2:62" ht="38.1" customHeight="1"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3"/>
      <c r="AV60" s="83"/>
      <c r="AW60" s="83"/>
      <c r="AX60" s="83"/>
      <c r="AY60" s="83"/>
      <c r="AZ60" s="83"/>
      <c r="BA60" s="83"/>
      <c r="BB60" s="83"/>
      <c r="BC60" s="83"/>
      <c r="BD60" s="83"/>
      <c r="BE60" s="83"/>
      <c r="BF60" s="83"/>
      <c r="BG60" s="83"/>
      <c r="BH60" s="83"/>
      <c r="BI60" s="83"/>
      <c r="BJ60" s="83"/>
    </row>
    <row r="61" spans="2:62"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83"/>
      <c r="AW61" s="83"/>
      <c r="AX61" s="83"/>
      <c r="AY61" s="83"/>
      <c r="AZ61" s="83"/>
      <c r="BA61" s="83"/>
      <c r="BB61" s="83"/>
      <c r="BC61" s="83"/>
      <c r="BD61" s="83"/>
      <c r="BE61" s="83"/>
      <c r="BF61" s="83"/>
      <c r="BG61" s="83"/>
      <c r="BH61" s="83"/>
      <c r="BI61" s="83"/>
      <c r="BJ61" s="83"/>
    </row>
    <row r="62" spans="2:62"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3"/>
      <c r="AV62" s="83"/>
      <c r="AW62" s="83"/>
      <c r="AX62" s="83"/>
      <c r="AY62" s="83"/>
      <c r="AZ62" s="83"/>
      <c r="BA62" s="83"/>
      <c r="BB62" s="83"/>
      <c r="BC62" s="83"/>
      <c r="BD62" s="83"/>
      <c r="BE62" s="83"/>
      <c r="BF62" s="83"/>
      <c r="BG62" s="83"/>
      <c r="BH62" s="83"/>
      <c r="BI62" s="83"/>
      <c r="BJ62" s="83"/>
    </row>
    <row r="63" spans="2:62"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83"/>
      <c r="AW63" s="83"/>
      <c r="AX63" s="83"/>
      <c r="AY63" s="83"/>
      <c r="AZ63" s="83"/>
      <c r="BA63" s="83"/>
      <c r="BB63" s="83"/>
      <c r="BC63" s="83"/>
      <c r="BD63" s="83"/>
      <c r="BE63" s="83"/>
      <c r="BF63" s="83"/>
      <c r="BG63" s="83"/>
      <c r="BH63" s="83"/>
      <c r="BI63" s="83"/>
      <c r="BJ63" s="83"/>
    </row>
    <row r="64" spans="2:62"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83"/>
      <c r="AX64" s="83"/>
      <c r="AY64" s="83"/>
      <c r="AZ64" s="83"/>
      <c r="BA64" s="83"/>
      <c r="BB64" s="83"/>
      <c r="BC64" s="83"/>
      <c r="BD64" s="83"/>
      <c r="BE64" s="83"/>
      <c r="BF64" s="83"/>
      <c r="BG64" s="83"/>
      <c r="BH64" s="83"/>
      <c r="BI64" s="83"/>
    </row>
    <row r="65" spans="2:60"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83"/>
      <c r="BG65" s="83"/>
      <c r="BH65" s="83"/>
    </row>
    <row r="66" spans="2:60"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3"/>
      <c r="AV66" s="83"/>
      <c r="AW66" s="83"/>
      <c r="AX66" s="83"/>
      <c r="AY66" s="83"/>
      <c r="AZ66" s="83"/>
      <c r="BA66" s="83"/>
      <c r="BB66" s="83"/>
      <c r="BC66" s="83"/>
      <c r="BD66" s="83"/>
      <c r="BE66" s="83"/>
      <c r="BF66" s="83"/>
      <c r="BG66" s="83"/>
      <c r="BH66" s="83"/>
    </row>
    <row r="67" spans="2:60"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83"/>
      <c r="AO67" s="83"/>
      <c r="AP67" s="83"/>
      <c r="AQ67" s="83"/>
      <c r="AR67" s="83"/>
      <c r="AS67" s="83"/>
      <c r="AT67" s="83"/>
      <c r="AU67" s="83"/>
      <c r="AV67" s="83"/>
      <c r="AW67" s="83"/>
      <c r="AX67" s="83"/>
      <c r="AY67" s="83"/>
      <c r="AZ67" s="83"/>
      <c r="BA67" s="83"/>
      <c r="BB67" s="83"/>
      <c r="BC67" s="83"/>
      <c r="BD67" s="83"/>
      <c r="BE67" s="83"/>
      <c r="BF67" s="83"/>
      <c r="BG67" s="83"/>
      <c r="BH67" s="83"/>
    </row>
    <row r="68" spans="2:60"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G68" s="83"/>
      <c r="BH68" s="83"/>
    </row>
    <row r="69" spans="2:60">
      <c r="AH69" s="83"/>
      <c r="AI69" s="83"/>
      <c r="AJ69" s="83"/>
      <c r="BG69" s="83"/>
      <c r="BH69" s="83"/>
    </row>
    <row r="70" spans="2:60">
      <c r="AH70" s="83"/>
      <c r="AI70" s="83"/>
      <c r="AJ70" s="83"/>
      <c r="BG70" s="83"/>
      <c r="BH70" s="83"/>
    </row>
    <row r="71" spans="2:60">
      <c r="AH71" s="83"/>
      <c r="AI71" s="83"/>
      <c r="AJ71" s="83"/>
      <c r="BG71" s="83"/>
      <c r="BH71" s="83"/>
    </row>
    <row r="72" spans="2:60">
      <c r="AH72" s="83"/>
      <c r="AI72" s="83"/>
      <c r="AJ72" s="83"/>
    </row>
  </sheetData>
  <mergeCells count="2">
    <mergeCell ref="Y6:Z6"/>
    <mergeCell ref="AC9:AD9"/>
  </mergeCells>
  <phoneticPr fontId="7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C9610-92FA-4062-A611-3FF96F7A8B0E}">
  <dimension ref="A1:J39"/>
  <sheetViews>
    <sheetView workbookViewId="0"/>
  </sheetViews>
  <sheetFormatPr defaultRowHeight="21"/>
  <cols>
    <col min="1" max="1" width="8.796875" style="375"/>
    <col min="2" max="2" width="12.09765625" style="87" customWidth="1"/>
    <col min="3" max="10" width="12.09765625" style="375" customWidth="1"/>
    <col min="11" max="16384" width="8.796875" style="375"/>
  </cols>
  <sheetData>
    <row r="1" spans="1:10" ht="42" customHeight="1">
      <c r="A1" s="377"/>
      <c r="B1" s="376" t="s">
        <v>224</v>
      </c>
      <c r="C1" s="376" t="s">
        <v>8472</v>
      </c>
      <c r="D1" s="376" t="s">
        <v>8473</v>
      </c>
      <c r="E1" s="376" t="s">
        <v>8474</v>
      </c>
      <c r="F1" s="376" t="s">
        <v>8479</v>
      </c>
      <c r="G1" s="376" t="s">
        <v>8475</v>
      </c>
      <c r="H1" s="376" t="s">
        <v>8476</v>
      </c>
      <c r="I1" s="376" t="s">
        <v>8477</v>
      </c>
      <c r="J1" s="376" t="s">
        <v>8478</v>
      </c>
    </row>
    <row r="2" spans="1:10">
      <c r="A2" s="494" t="s">
        <v>8480</v>
      </c>
      <c r="B2" s="117" t="s">
        <v>5</v>
      </c>
      <c r="C2" s="377" t="s">
        <v>123</v>
      </c>
      <c r="D2" s="377" t="s">
        <v>123</v>
      </c>
      <c r="E2" s="377" t="s">
        <v>123</v>
      </c>
      <c r="F2" s="377" t="s">
        <v>123</v>
      </c>
      <c r="G2" s="377" t="s">
        <v>134</v>
      </c>
      <c r="H2" s="377" t="s">
        <v>134</v>
      </c>
      <c r="I2" s="377" t="s">
        <v>134</v>
      </c>
      <c r="J2" s="377" t="s">
        <v>134</v>
      </c>
    </row>
    <row r="3" spans="1:10">
      <c r="A3" s="494"/>
      <c r="B3" s="117" t="s">
        <v>7</v>
      </c>
      <c r="C3" s="377" t="s">
        <v>134</v>
      </c>
      <c r="D3" s="377" t="s">
        <v>134</v>
      </c>
      <c r="E3" s="377" t="s">
        <v>134</v>
      </c>
      <c r="F3" s="377" t="s">
        <v>134</v>
      </c>
      <c r="G3" s="377" t="s">
        <v>227</v>
      </c>
      <c r="H3" s="377" t="s">
        <v>227</v>
      </c>
      <c r="I3" s="377" t="s">
        <v>227</v>
      </c>
      <c r="J3" s="377" t="s">
        <v>227</v>
      </c>
    </row>
    <row r="4" spans="1:10">
      <c r="A4" s="494"/>
      <c r="B4" s="117" t="s">
        <v>54</v>
      </c>
      <c r="C4" s="377" t="s">
        <v>96</v>
      </c>
      <c r="D4" s="377" t="s">
        <v>96</v>
      </c>
      <c r="E4" s="377" t="s">
        <v>96</v>
      </c>
      <c r="F4" s="377" t="s">
        <v>8437</v>
      </c>
      <c r="G4" s="377" t="s">
        <v>96</v>
      </c>
      <c r="H4" s="377" t="s">
        <v>96</v>
      </c>
      <c r="I4" s="377" t="s">
        <v>96</v>
      </c>
      <c r="J4" s="377" t="s">
        <v>96</v>
      </c>
    </row>
    <row r="5" spans="1:10">
      <c r="A5" s="494"/>
      <c r="B5" s="117" t="s">
        <v>8438</v>
      </c>
      <c r="C5" s="377" t="s">
        <v>327</v>
      </c>
      <c r="D5" s="377" t="s">
        <v>327</v>
      </c>
      <c r="E5" s="377"/>
      <c r="F5" s="377"/>
      <c r="G5" s="377"/>
      <c r="H5" s="377"/>
      <c r="I5" s="377"/>
      <c r="J5" s="377"/>
    </row>
    <row r="6" spans="1:10">
      <c r="A6" s="494"/>
      <c r="B6" s="117" t="s">
        <v>11</v>
      </c>
      <c r="C6" s="377" t="s">
        <v>184</v>
      </c>
      <c r="D6" s="377" t="s">
        <v>184</v>
      </c>
      <c r="E6" s="377" t="s">
        <v>184</v>
      </c>
      <c r="F6" s="377" t="s">
        <v>184</v>
      </c>
      <c r="G6" s="377" t="s">
        <v>12</v>
      </c>
      <c r="H6" s="377" t="s">
        <v>12</v>
      </c>
      <c r="I6" s="377" t="s">
        <v>12</v>
      </c>
      <c r="J6" s="377" t="s">
        <v>12</v>
      </c>
    </row>
    <row r="7" spans="1:10">
      <c r="A7" s="494"/>
      <c r="B7" s="117" t="s">
        <v>13</v>
      </c>
      <c r="C7" s="377" t="s">
        <v>12</v>
      </c>
      <c r="D7" s="377" t="s">
        <v>12</v>
      </c>
      <c r="E7" s="377" t="s">
        <v>12</v>
      </c>
      <c r="F7" s="377" t="s">
        <v>12</v>
      </c>
      <c r="G7" s="377" t="s">
        <v>14</v>
      </c>
      <c r="H7" s="377" t="s">
        <v>14</v>
      </c>
      <c r="I7" s="377" t="s">
        <v>14</v>
      </c>
      <c r="J7" s="377" t="s">
        <v>14</v>
      </c>
    </row>
    <row r="8" spans="1:10">
      <c r="A8" s="494"/>
      <c r="B8" s="117" t="s">
        <v>15</v>
      </c>
      <c r="C8" s="377" t="s">
        <v>16</v>
      </c>
      <c r="D8" s="377" t="s">
        <v>16</v>
      </c>
      <c r="E8" s="377" t="s">
        <v>16</v>
      </c>
      <c r="F8" s="377" t="s">
        <v>8439</v>
      </c>
      <c r="G8" s="377" t="s">
        <v>16</v>
      </c>
      <c r="H8" s="377" t="s">
        <v>16</v>
      </c>
      <c r="I8" s="377" t="s">
        <v>16</v>
      </c>
      <c r="J8" s="377" t="s">
        <v>16</v>
      </c>
    </row>
    <row r="9" spans="1:10">
      <c r="A9" s="494"/>
      <c r="B9" s="117" t="s">
        <v>56</v>
      </c>
      <c r="C9" s="377" t="s">
        <v>57</v>
      </c>
      <c r="D9" s="377" t="s">
        <v>57</v>
      </c>
      <c r="E9" s="377" t="s">
        <v>57</v>
      </c>
      <c r="F9" s="377" t="s">
        <v>57</v>
      </c>
      <c r="G9" s="377" t="s">
        <v>57</v>
      </c>
      <c r="H9" s="377" t="s">
        <v>57</v>
      </c>
      <c r="I9" s="377" t="s">
        <v>57</v>
      </c>
      <c r="J9" s="377" t="s">
        <v>57</v>
      </c>
    </row>
    <row r="10" spans="1:10">
      <c r="A10" s="494"/>
      <c r="B10" s="117" t="s">
        <v>17</v>
      </c>
      <c r="C10" s="377" t="s">
        <v>119</v>
      </c>
      <c r="D10" s="377" t="s">
        <v>119</v>
      </c>
      <c r="E10" s="377" t="s">
        <v>119</v>
      </c>
      <c r="F10" s="377" t="s">
        <v>119</v>
      </c>
      <c r="G10" s="377" t="s">
        <v>18</v>
      </c>
      <c r="H10" s="377" t="s">
        <v>18</v>
      </c>
      <c r="I10" s="377" t="s">
        <v>18</v>
      </c>
      <c r="J10" s="377" t="s">
        <v>18</v>
      </c>
    </row>
    <row r="11" spans="1:10">
      <c r="A11" s="494"/>
      <c r="B11" s="117" t="s">
        <v>19</v>
      </c>
      <c r="C11" s="377" t="s">
        <v>18</v>
      </c>
      <c r="D11" s="377" t="s">
        <v>18</v>
      </c>
      <c r="E11" s="377" t="s">
        <v>18</v>
      </c>
      <c r="F11" s="377" t="s">
        <v>18</v>
      </c>
      <c r="G11" s="377" t="s">
        <v>239</v>
      </c>
      <c r="H11" s="377" t="s">
        <v>239</v>
      </c>
      <c r="I11" s="377" t="s">
        <v>239</v>
      </c>
      <c r="J11" s="377" t="s">
        <v>239</v>
      </c>
    </row>
    <row r="12" spans="1:10">
      <c r="A12" s="494"/>
      <c r="B12" s="117" t="s">
        <v>31</v>
      </c>
      <c r="C12" s="377" t="s">
        <v>241</v>
      </c>
      <c r="D12" s="377" t="s">
        <v>241</v>
      </c>
      <c r="E12" s="377" t="s">
        <v>241</v>
      </c>
      <c r="F12" s="377" t="s">
        <v>241</v>
      </c>
      <c r="G12" s="377" t="s">
        <v>241</v>
      </c>
      <c r="H12" s="377" t="s">
        <v>241</v>
      </c>
      <c r="I12" s="377" t="s">
        <v>241</v>
      </c>
      <c r="J12" s="377" t="s">
        <v>241</v>
      </c>
    </row>
    <row r="13" spans="1:10">
      <c r="A13" s="494"/>
      <c r="B13" s="117" t="s">
        <v>23</v>
      </c>
      <c r="C13" s="377" t="s">
        <v>116</v>
      </c>
      <c r="D13" s="377" t="s">
        <v>116</v>
      </c>
      <c r="E13" s="377" t="s">
        <v>116</v>
      </c>
      <c r="F13" s="377" t="s">
        <v>116</v>
      </c>
      <c r="G13" s="377" t="s">
        <v>260</v>
      </c>
      <c r="H13" s="377" t="s">
        <v>180</v>
      </c>
      <c r="I13" s="377" t="s">
        <v>116</v>
      </c>
      <c r="J13" s="377" t="s">
        <v>24</v>
      </c>
    </row>
    <row r="14" spans="1:10">
      <c r="A14" s="494"/>
      <c r="B14" s="117" t="s">
        <v>25</v>
      </c>
      <c r="C14" s="377" t="s">
        <v>180</v>
      </c>
      <c r="D14" s="377" t="s">
        <v>180</v>
      </c>
      <c r="E14" s="377" t="s">
        <v>180</v>
      </c>
      <c r="F14" s="377" t="s">
        <v>180</v>
      </c>
      <c r="G14" s="377" t="s">
        <v>8440</v>
      </c>
      <c r="H14" s="377" t="s">
        <v>260</v>
      </c>
      <c r="I14" s="377" t="s">
        <v>180</v>
      </c>
      <c r="J14" s="377" t="s">
        <v>8239</v>
      </c>
    </row>
    <row r="15" spans="1:10">
      <c r="A15" s="494"/>
      <c r="B15" s="117" t="s">
        <v>29</v>
      </c>
      <c r="C15" s="377" t="s">
        <v>201</v>
      </c>
      <c r="D15" s="377" t="s">
        <v>201</v>
      </c>
      <c r="E15" s="377" t="s">
        <v>201</v>
      </c>
      <c r="F15" s="377" t="s">
        <v>201</v>
      </c>
      <c r="G15" s="377" t="s">
        <v>201</v>
      </c>
      <c r="H15" s="377" t="s">
        <v>201</v>
      </c>
      <c r="I15" s="377" t="s">
        <v>201</v>
      </c>
      <c r="J15" s="377" t="s">
        <v>201</v>
      </c>
    </row>
    <row r="16" spans="1:10">
      <c r="A16" s="494"/>
      <c r="B16" s="117" t="s">
        <v>60</v>
      </c>
      <c r="C16" s="377" t="s">
        <v>254</v>
      </c>
      <c r="D16" s="377" t="s">
        <v>8330</v>
      </c>
      <c r="E16" s="377" t="s">
        <v>8330</v>
      </c>
      <c r="F16" s="377" t="s">
        <v>8330</v>
      </c>
      <c r="G16" s="377" t="s">
        <v>244</v>
      </c>
      <c r="H16" s="377" t="s">
        <v>243</v>
      </c>
      <c r="I16" s="377" t="s">
        <v>8330</v>
      </c>
      <c r="J16" s="377" t="s">
        <v>8230</v>
      </c>
    </row>
    <row r="17" spans="1:10">
      <c r="A17" s="494"/>
      <c r="B17" s="117" t="s">
        <v>62</v>
      </c>
      <c r="C17" s="377" t="s">
        <v>243</v>
      </c>
      <c r="D17" s="377" t="s">
        <v>243</v>
      </c>
      <c r="E17" s="377" t="s">
        <v>243</v>
      </c>
      <c r="F17" s="377" t="s">
        <v>243</v>
      </c>
      <c r="G17" s="377" t="s">
        <v>8441</v>
      </c>
      <c r="H17" s="377" t="s">
        <v>244</v>
      </c>
      <c r="I17" s="377" t="s">
        <v>243</v>
      </c>
      <c r="J17" s="377" t="s">
        <v>8234</v>
      </c>
    </row>
    <row r="18" spans="1:10">
      <c r="A18" s="494"/>
      <c r="B18" s="117" t="s">
        <v>167</v>
      </c>
      <c r="C18" s="377" t="s">
        <v>245</v>
      </c>
      <c r="D18" s="377" t="s">
        <v>245</v>
      </c>
      <c r="E18" s="377" t="s">
        <v>245</v>
      </c>
      <c r="F18" s="377" t="s">
        <v>245</v>
      </c>
      <c r="G18" s="377" t="s">
        <v>245</v>
      </c>
      <c r="H18" s="377" t="s">
        <v>245</v>
      </c>
      <c r="I18" s="377" t="s">
        <v>245</v>
      </c>
      <c r="J18" s="377" t="s">
        <v>245</v>
      </c>
    </row>
    <row r="19" spans="1:10">
      <c r="A19" s="494"/>
      <c r="B19" s="117" t="s">
        <v>8442</v>
      </c>
      <c r="C19" s="377" t="s">
        <v>8443</v>
      </c>
      <c r="D19" s="377" t="s">
        <v>8467</v>
      </c>
      <c r="E19" s="377"/>
      <c r="F19" s="377"/>
      <c r="G19" s="377"/>
      <c r="H19" s="377"/>
      <c r="I19" s="377"/>
      <c r="J19" s="377"/>
    </row>
    <row r="20" spans="1:10">
      <c r="A20" s="494"/>
      <c r="B20" s="117" t="s">
        <v>8444</v>
      </c>
      <c r="C20" s="377" t="s">
        <v>260</v>
      </c>
      <c r="D20" s="377" t="s">
        <v>8468</v>
      </c>
      <c r="E20" s="377"/>
      <c r="F20" s="377"/>
      <c r="G20" s="377"/>
      <c r="H20" s="377"/>
      <c r="I20" s="377"/>
      <c r="J20" s="377"/>
    </row>
    <row r="21" spans="1:10">
      <c r="A21" s="494"/>
      <c r="B21" s="117" t="s">
        <v>8445</v>
      </c>
      <c r="C21" s="377" t="s">
        <v>8360</v>
      </c>
      <c r="D21" s="377" t="s">
        <v>8469</v>
      </c>
      <c r="E21" s="377"/>
      <c r="F21" s="377"/>
      <c r="G21" s="377"/>
      <c r="H21" s="377"/>
      <c r="I21" s="377"/>
      <c r="J21" s="377"/>
    </row>
    <row r="22" spans="1:10">
      <c r="A22" s="494"/>
      <c r="B22" s="117" t="s">
        <v>8446</v>
      </c>
      <c r="C22" s="377" t="s">
        <v>166</v>
      </c>
      <c r="D22" s="377" t="s">
        <v>8470</v>
      </c>
      <c r="E22" s="377" t="s">
        <v>166</v>
      </c>
      <c r="F22" s="377"/>
      <c r="G22" s="377" t="s">
        <v>150</v>
      </c>
      <c r="H22" s="377" t="s">
        <v>150</v>
      </c>
      <c r="I22" s="377" t="s">
        <v>150</v>
      </c>
      <c r="J22" s="377" t="s">
        <v>150</v>
      </c>
    </row>
    <row r="23" spans="1:10" ht="43.5" customHeight="1">
      <c r="A23" s="494"/>
      <c r="B23" s="495" t="s">
        <v>348</v>
      </c>
      <c r="C23" s="377"/>
      <c r="D23" s="377" t="s">
        <v>328</v>
      </c>
      <c r="E23" s="377"/>
      <c r="F23" s="377"/>
      <c r="G23" s="377"/>
      <c r="H23" s="377"/>
      <c r="I23" s="377"/>
      <c r="J23" s="377"/>
    </row>
    <row r="24" spans="1:10">
      <c r="A24" s="494"/>
      <c r="B24" s="496"/>
      <c r="C24" s="377"/>
      <c r="D24" s="377"/>
      <c r="E24" s="377" t="s">
        <v>8447</v>
      </c>
      <c r="F24" s="377" t="s">
        <v>509</v>
      </c>
      <c r="G24" s="377" t="s">
        <v>123</v>
      </c>
      <c r="H24" s="377" t="s">
        <v>123</v>
      </c>
      <c r="I24" s="377" t="s">
        <v>123</v>
      </c>
      <c r="J24" s="377" t="s">
        <v>123</v>
      </c>
    </row>
    <row r="25" spans="1:10">
      <c r="A25" s="494"/>
      <c r="B25" s="496"/>
      <c r="C25" s="377"/>
      <c r="D25" s="377"/>
      <c r="E25" s="377" t="s">
        <v>8448</v>
      </c>
      <c r="F25" s="377" t="s">
        <v>511</v>
      </c>
      <c r="G25" s="377" t="s">
        <v>119</v>
      </c>
      <c r="H25" s="377" t="s">
        <v>119</v>
      </c>
      <c r="I25" s="377" t="s">
        <v>119</v>
      </c>
      <c r="J25" s="377" t="s">
        <v>119</v>
      </c>
    </row>
    <row r="26" spans="1:10">
      <c r="A26" s="494"/>
      <c r="B26" s="497"/>
      <c r="C26" s="377"/>
      <c r="D26" s="377" t="s">
        <v>94</v>
      </c>
      <c r="E26" s="377" t="s">
        <v>94</v>
      </c>
      <c r="F26" s="377" t="s">
        <v>8449</v>
      </c>
      <c r="G26" s="377" t="s">
        <v>94</v>
      </c>
      <c r="H26" s="377" t="s">
        <v>94</v>
      </c>
      <c r="I26" s="377" t="s">
        <v>94</v>
      </c>
      <c r="J26" s="377" t="s">
        <v>94</v>
      </c>
    </row>
    <row r="27" spans="1:10">
      <c r="A27" s="494" t="s">
        <v>168</v>
      </c>
      <c r="B27" s="117" t="s">
        <v>37</v>
      </c>
      <c r="C27" s="377" t="s">
        <v>208</v>
      </c>
      <c r="D27" s="377" t="s">
        <v>208</v>
      </c>
      <c r="E27" s="377" t="s">
        <v>208</v>
      </c>
      <c r="F27" s="377" t="s">
        <v>208</v>
      </c>
      <c r="G27" s="377" t="s">
        <v>208</v>
      </c>
      <c r="H27" s="377" t="s">
        <v>208</v>
      </c>
      <c r="I27" s="377" t="s">
        <v>208</v>
      </c>
      <c r="J27" s="377" t="s">
        <v>208</v>
      </c>
    </row>
    <row r="28" spans="1:10">
      <c r="A28" s="494"/>
      <c r="B28" s="117" t="s">
        <v>8450</v>
      </c>
      <c r="C28" s="377" t="s">
        <v>41</v>
      </c>
      <c r="D28" s="377" t="s">
        <v>41</v>
      </c>
      <c r="E28" s="377" t="s">
        <v>41</v>
      </c>
      <c r="F28" s="377" t="s">
        <v>205</v>
      </c>
      <c r="G28" s="377" t="s">
        <v>8471</v>
      </c>
      <c r="H28" s="377" t="s">
        <v>205</v>
      </c>
      <c r="I28" s="377" t="s">
        <v>205</v>
      </c>
      <c r="J28" s="377" t="s">
        <v>205</v>
      </c>
    </row>
    <row r="29" spans="1:10">
      <c r="A29" s="494"/>
      <c r="B29" s="117" t="s">
        <v>266</v>
      </c>
      <c r="C29" s="377" t="s">
        <v>195</v>
      </c>
      <c r="D29" s="377"/>
      <c r="E29" s="377" t="s">
        <v>517</v>
      </c>
      <c r="F29" s="377" t="s">
        <v>41</v>
      </c>
      <c r="G29" s="377" t="s">
        <v>41</v>
      </c>
      <c r="H29" s="377" t="s">
        <v>41</v>
      </c>
      <c r="I29" s="377" t="s">
        <v>41</v>
      </c>
      <c r="J29" s="377" t="s">
        <v>41</v>
      </c>
    </row>
    <row r="30" spans="1:10">
      <c r="A30" s="494"/>
      <c r="B30" s="117" t="s">
        <v>8451</v>
      </c>
      <c r="C30" s="377" t="s">
        <v>8452</v>
      </c>
      <c r="D30" s="377" t="s">
        <v>195</v>
      </c>
      <c r="E30" s="377" t="s">
        <v>195</v>
      </c>
      <c r="F30" s="377" t="s">
        <v>195</v>
      </c>
      <c r="G30" s="377" t="s">
        <v>195</v>
      </c>
      <c r="H30" s="377" t="s">
        <v>195</v>
      </c>
      <c r="I30" s="377" t="s">
        <v>195</v>
      </c>
      <c r="J30" s="377" t="s">
        <v>195</v>
      </c>
    </row>
    <row r="31" spans="1:10">
      <c r="A31" s="494"/>
      <c r="B31" s="117" t="s">
        <v>8453</v>
      </c>
      <c r="C31" s="377" t="s">
        <v>470</v>
      </c>
      <c r="D31" s="377"/>
      <c r="E31" s="377"/>
      <c r="F31" s="377"/>
      <c r="G31" s="377"/>
      <c r="H31" s="377"/>
      <c r="I31" s="377"/>
      <c r="J31" s="377"/>
    </row>
    <row r="32" spans="1:10">
      <c r="A32" s="494"/>
      <c r="B32" s="117" t="s">
        <v>33</v>
      </c>
      <c r="C32" s="377" t="s">
        <v>8454</v>
      </c>
      <c r="D32" s="377" t="s">
        <v>164</v>
      </c>
      <c r="E32" s="377" t="s">
        <v>164</v>
      </c>
      <c r="F32" s="377" t="s">
        <v>164</v>
      </c>
      <c r="G32" s="377" t="s">
        <v>164</v>
      </c>
      <c r="H32" s="377" t="s">
        <v>164</v>
      </c>
      <c r="I32" s="377" t="s">
        <v>164</v>
      </c>
      <c r="J32" s="377" t="s">
        <v>164</v>
      </c>
    </row>
    <row r="33" spans="1:10">
      <c r="A33" s="494"/>
      <c r="B33" s="117" t="s">
        <v>35</v>
      </c>
      <c r="C33" s="377" t="s">
        <v>8455</v>
      </c>
      <c r="D33" s="377" t="s">
        <v>126</v>
      </c>
      <c r="E33" s="377" t="s">
        <v>126</v>
      </c>
      <c r="F33" s="377" t="s">
        <v>126</v>
      </c>
      <c r="G33" s="377" t="s">
        <v>126</v>
      </c>
      <c r="H33" s="377" t="s">
        <v>126</v>
      </c>
      <c r="I33" s="377" t="s">
        <v>126</v>
      </c>
      <c r="J33" s="377" t="s">
        <v>126</v>
      </c>
    </row>
    <row r="34" spans="1:10">
      <c r="A34" s="494"/>
      <c r="B34" s="117" t="s">
        <v>8456</v>
      </c>
      <c r="C34" s="377" t="s">
        <v>8457</v>
      </c>
      <c r="D34" s="377"/>
      <c r="E34" s="377"/>
      <c r="F34" s="377"/>
      <c r="G34" s="377"/>
      <c r="H34" s="377"/>
      <c r="I34" s="377"/>
      <c r="J34" s="377"/>
    </row>
    <row r="35" spans="1:10">
      <c r="A35" s="494"/>
      <c r="B35" s="117" t="s">
        <v>8458</v>
      </c>
      <c r="C35" s="377" t="s">
        <v>450</v>
      </c>
      <c r="D35" s="377" t="s">
        <v>8459</v>
      </c>
      <c r="E35" s="377"/>
      <c r="F35" s="377"/>
      <c r="G35" s="377"/>
      <c r="H35" s="377"/>
      <c r="I35" s="377"/>
      <c r="J35" s="377"/>
    </row>
    <row r="36" spans="1:10" ht="24">
      <c r="A36" s="494"/>
      <c r="B36" s="117" t="s">
        <v>8460</v>
      </c>
      <c r="C36" s="117"/>
      <c r="D36" s="117"/>
      <c r="E36" s="378" t="s">
        <v>8483</v>
      </c>
      <c r="F36" s="117" t="s">
        <v>8461</v>
      </c>
      <c r="G36" s="378" t="s">
        <v>8481</v>
      </c>
      <c r="H36" s="117" t="s">
        <v>8462</v>
      </c>
      <c r="I36" s="378" t="s">
        <v>8482</v>
      </c>
      <c r="J36" s="378" t="s">
        <v>8482</v>
      </c>
    </row>
    <row r="37" spans="1:10">
      <c r="A37" s="494"/>
      <c r="B37" s="117" t="s">
        <v>8463</v>
      </c>
      <c r="C37" s="377"/>
      <c r="D37" s="377" t="s">
        <v>8464</v>
      </c>
      <c r="E37" s="377" t="s">
        <v>8465</v>
      </c>
      <c r="F37" s="377" t="s">
        <v>8465</v>
      </c>
      <c r="G37" s="377" t="s">
        <v>8465</v>
      </c>
      <c r="H37" s="377" t="s">
        <v>8465</v>
      </c>
      <c r="I37" s="377" t="s">
        <v>8465</v>
      </c>
      <c r="J37" s="377" t="s">
        <v>8465</v>
      </c>
    </row>
    <row r="39" spans="1:10">
      <c r="A39" s="375" t="s">
        <v>8466</v>
      </c>
    </row>
  </sheetData>
  <mergeCells count="3">
    <mergeCell ref="A2:A26"/>
    <mergeCell ref="B23:B26"/>
    <mergeCell ref="A27:A37"/>
  </mergeCells>
  <phoneticPr fontId="7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B4770-EDD3-48C6-8D52-251F7D676A0A}">
  <dimension ref="A1"/>
  <sheetViews>
    <sheetView workbookViewId="0"/>
  </sheetViews>
  <sheetFormatPr defaultRowHeight="21"/>
  <sheetData/>
  <phoneticPr fontId="7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C5C73-B89C-4939-8958-CA283A1AD30D}">
  <sheetPr>
    <tabColor rgb="FFFF0000"/>
  </sheetPr>
  <dimension ref="A1"/>
  <sheetViews>
    <sheetView workbookViewId="0"/>
  </sheetViews>
  <sheetFormatPr defaultRowHeight="21"/>
  <sheetData/>
  <phoneticPr fontId="7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B37EC3-90F4-41B8-90DA-69018E02EF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具名範圍</vt:lpstr>
      </vt:variant>
      <vt:variant>
        <vt:i4>8</vt:i4>
      </vt:variant>
    </vt:vector>
  </HeadingPairs>
  <TitlesOfParts>
    <vt:vector size="25" baseType="lpstr">
      <vt:lpstr>注音編碼對照表</vt:lpstr>
      <vt:lpstr>按鍵設計</vt:lpstr>
      <vt:lpstr>輸入方案設計規格</vt:lpstr>
      <vt:lpstr>按鍵設計 (2)</vt:lpstr>
      <vt:lpstr>輸入方案設計規格 (2)</vt:lpstr>
      <vt:lpstr>工作表1</vt:lpstr>
      <vt:lpstr>台羅轉換注音二式規則</vt:lpstr>
      <vt:lpstr>ㆦㄜ對映</vt:lpstr>
      <vt:lpstr>台羅轉換注音二式音標字母</vt:lpstr>
      <vt:lpstr>漢字庫</vt:lpstr>
      <vt:lpstr>方音聲母</vt:lpstr>
      <vt:lpstr>方音韻母</vt:lpstr>
      <vt:lpstr> 所有入聲韻</vt:lpstr>
      <vt:lpstr>拼音鍵盤</vt:lpstr>
      <vt:lpstr>各種台灣語言拼音對照簡表</vt:lpstr>
      <vt:lpstr>參考鍵盤</vt:lpstr>
      <vt:lpstr>參考鍵盤（2）</vt:lpstr>
      <vt:lpstr>按鍵設計!Criteria</vt:lpstr>
      <vt:lpstr>'按鍵設計 (2)'!Criteria</vt:lpstr>
      <vt:lpstr>輸入方案設計規格!Criteria</vt:lpstr>
      <vt:lpstr>'輸入方案設計規格 (2)'!Criteria</vt:lpstr>
      <vt:lpstr>按鍵設計!Extract</vt:lpstr>
      <vt:lpstr>'按鍵設計 (2)'!Extract</vt:lpstr>
      <vt:lpstr>輸入方案設計規格!Extract</vt:lpstr>
      <vt:lpstr>'輸入方案設計規格 (2)'!Extract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2024-06-12T09:41:21Z</dcterms:created>
  <dcterms:modified xsi:type="dcterms:W3CDTF">2026-05-02T13:10:57Z</dcterms:modified>
</cp:coreProperties>
</file>