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BE27C526-6F03-43B3-9EEB-CA88673084EE}" xr6:coauthVersionLast="47" xr6:coauthVersionMax="47" xr10:uidLastSave="{00000000-0000-0000-0000-000000000000}"/>
  <bookViews>
    <workbookView xWindow="-120" yWindow="-120" windowWidth="29040" windowHeight="15720" activeTab="1" xr2:uid="{6D6F034E-466E-416C-B3CC-1F7937B8DE3D}"/>
  </bookViews>
  <sheets>
    <sheet name="xlit對映工具" sheetId="1" r:id="rId1"/>
    <sheet name="聲調符號" sheetId="3" r:id="rId2"/>
    <sheet name="RIME設定【台語音標】" sheetId="2" r:id="rId3"/>
  </sheets>
  <externalReferences>
    <externalReference r:id="rId4"/>
    <externalReference r:id="rId5"/>
  </externalReferences>
  <definedNames>
    <definedName name="_xlnm._FilterDatabase" localSheetId="2" hidden="1">RIME設定【台語音標】!$BR$4:$BT$59</definedName>
    <definedName name="_xlnm.Criteria" localSheetId="2">RIME設定【台語音標】!$CQ$1:$CQ$2</definedName>
    <definedName name="_xlnm.Extract" localSheetId="2">RIME設定【台語音標】!$CR$4:$CV$4</definedName>
    <definedName name="十五音韻母">#REF!</definedName>
    <definedName name="十五音韻母對照表">#REF!</definedName>
    <definedName name="方音符號" localSheetId="2">#REF!</definedName>
    <definedName name="方音符號">[2]RIME編碼!$AA$3:$AA$45</definedName>
    <definedName name="台羅韻母八音反切">#REF!</definedName>
    <definedName name="白話字韻母八音反切">#REF!</definedName>
    <definedName name="字典編碼" localSheetId="2">#REF!</definedName>
    <definedName name="字典編碼">[2]RIME編碼!$AB$3:$AB$45</definedName>
    <definedName name="注音符號">#REF!</definedName>
    <definedName name="注音編碼">#REF!</definedName>
    <definedName name="拼音字母" localSheetId="2">#REF!</definedName>
    <definedName name="拼音字母">[2]RIME編碼!$AC$3:$AC$45</definedName>
    <definedName name="閩拼韻母八音反切">#REF!</definedName>
    <definedName name="聲母碼">#REF!</definedName>
    <definedName name="聲母碼表">#REF!</definedName>
    <definedName name="鍵盤位置" localSheetId="2">#REF!</definedName>
    <definedName name="鍵盤位置">[2]RIME編碼!$W$3:$W$40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3" l="1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L2" i="1" a="1"/>
  <c r="BL2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3" i="1"/>
  <c r="B24" i="1"/>
  <c r="B9" i="1"/>
  <c r="B11" i="1" s="1"/>
  <c r="AY3" i="1"/>
  <c r="AX3" i="1"/>
  <c r="AW3" i="1"/>
  <c r="AV3" i="1"/>
  <c r="AU3" i="1"/>
  <c r="AT3" i="1"/>
  <c r="AS3" i="1"/>
  <c r="AV7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76" i="2" a="1"/>
  <c r="B76" i="2" s="1"/>
  <c r="B89" i="2" s="1"/>
  <c r="A70" i="2" s="1"/>
  <c r="B75" i="2" a="1"/>
  <c r="B74" i="2" a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26" i="1"/>
  <c r="B27" i="1" s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E105" i="2" a="1"/>
  <c r="AY105" i="2" a="1"/>
  <c r="AS105" i="2" a="1"/>
  <c r="AM105" i="2" a="1"/>
  <c r="AG105" i="2" a="1"/>
  <c r="AA105" i="2" a="1"/>
  <c r="U105" i="2" a="1"/>
  <c r="O105" i="2" a="1"/>
  <c r="I105" i="2" a="1"/>
  <c r="C105" i="2" a="1"/>
  <c r="BE104" i="2" a="1"/>
  <c r="AY104" i="2" a="1"/>
  <c r="AO104" i="2" a="1"/>
  <c r="AI104" i="2" a="1"/>
  <c r="AC104" i="2" a="1"/>
  <c r="W104" i="2" a="1"/>
  <c r="Q104" i="2" a="1"/>
  <c r="J104" i="2" a="1"/>
  <c r="D104" i="2" a="1"/>
  <c r="AX108" i="2" a="1"/>
  <c r="BD105" i="2" a="1"/>
  <c r="AX105" i="2" a="1"/>
  <c r="AR105" i="2" a="1"/>
  <c r="AL105" i="2" a="1"/>
  <c r="AF105" i="2" a="1"/>
  <c r="Z105" i="2" a="1"/>
  <c r="T105" i="2" a="1"/>
  <c r="N105" i="2" a="1"/>
  <c r="H105" i="2" a="1"/>
  <c r="B105" i="2" a="1"/>
  <c r="BD104" i="2" a="1"/>
  <c r="AT104" i="2" a="1"/>
  <c r="AN104" i="2" a="1"/>
  <c r="AH104" i="2" a="1"/>
  <c r="AB104" i="2" a="1"/>
  <c r="V104" i="2" a="1"/>
  <c r="P104" i="2" a="1"/>
  <c r="I104" i="2" a="1"/>
  <c r="C104" i="2" a="1"/>
  <c r="AW108" i="2" a="1"/>
  <c r="M108" i="2" a="1"/>
  <c r="BI105" i="2" a="1"/>
  <c r="BC105" i="2" a="1"/>
  <c r="AW105" i="2" a="1"/>
  <c r="AQ105" i="2" a="1"/>
  <c r="AK105" i="2" a="1"/>
  <c r="AE105" i="2" a="1"/>
  <c r="Y105" i="2" a="1"/>
  <c r="S105" i="2" a="1"/>
  <c r="M105" i="2" a="1"/>
  <c r="G105" i="2" a="1"/>
  <c r="BI104" i="2" a="1"/>
  <c r="BC104" i="2" a="1"/>
  <c r="AS104" i="2" a="1"/>
  <c r="AM104" i="2" a="1"/>
  <c r="AG104" i="2" a="1"/>
  <c r="AA104" i="2" a="1"/>
  <c r="U104" i="2" a="1"/>
  <c r="O104" i="2" a="1"/>
  <c r="H104" i="2" a="1"/>
  <c r="B104" i="2" a="1"/>
  <c r="AV108" i="2" a="1"/>
  <c r="BH105" i="2" a="1"/>
  <c r="BB105" i="2" a="1"/>
  <c r="AV105" i="2" a="1"/>
  <c r="AP105" i="2" a="1"/>
  <c r="AJ105" i="2" a="1"/>
  <c r="AD105" i="2" a="1"/>
  <c r="X105" i="2" a="1"/>
  <c r="R105" i="2" a="1"/>
  <c r="L105" i="2" a="1"/>
  <c r="F105" i="2" a="1"/>
  <c r="BH104" i="2" a="1"/>
  <c r="BB104" i="2" a="1"/>
  <c r="AR104" i="2" a="1"/>
  <c r="AL104" i="2" a="1"/>
  <c r="AF104" i="2" a="1"/>
  <c r="Z104" i="2" a="1"/>
  <c r="T104" i="2" a="1"/>
  <c r="N104" i="2" a="1"/>
  <c r="G104" i="2" a="1"/>
  <c r="Y69" i="2" a="1"/>
  <c r="AU108" i="2" a="1"/>
  <c r="BG105" i="2" a="1"/>
  <c r="BA105" i="2" a="1"/>
  <c r="AU105" i="2" a="1"/>
  <c r="AO105" i="2" a="1"/>
  <c r="AI105" i="2" a="1"/>
  <c r="AC105" i="2" a="1"/>
  <c r="AH105" i="2" a="1"/>
  <c r="BA104" i="2" a="1"/>
  <c r="L104" i="2" a="1"/>
  <c r="AB105" i="2" a="1"/>
  <c r="AZ104" i="2" a="1"/>
  <c r="K104" i="2" a="1"/>
  <c r="W105" i="2" a="1"/>
  <c r="AQ104" i="2" a="1"/>
  <c r="F104" i="2" a="1"/>
  <c r="V105" i="2" a="1"/>
  <c r="AP104" i="2" a="1"/>
  <c r="E104" i="2" a="1"/>
  <c r="Q105" i="2" a="1"/>
  <c r="AK104" i="2" a="1"/>
  <c r="P105" i="2" a="1"/>
  <c r="AJ104" i="2" a="1"/>
  <c r="K105" i="2" a="1"/>
  <c r="AE104" i="2" a="1"/>
  <c r="J105" i="2" a="1"/>
  <c r="AD104" i="2" a="1"/>
  <c r="BF105" i="2" a="1"/>
  <c r="E105" i="2" a="1"/>
  <c r="Y104" i="2" a="1"/>
  <c r="AZ105" i="2" a="1"/>
  <c r="D105" i="2" a="1"/>
  <c r="X104" i="2" a="1"/>
  <c r="AT105" i="2" a="1"/>
  <c r="BG104" i="2" a="1"/>
  <c r="S104" i="2" a="1"/>
  <c r="AN105" i="2" a="1"/>
  <c r="BF104" i="2" a="1"/>
  <c r="R104" i="2" a="1"/>
  <c r="BO5" i="2" l="1" a="1"/>
  <c r="BT30" i="2" s="1"/>
  <c r="X23" i="2"/>
  <c r="E42" i="2"/>
  <c r="AX48" i="2" s="1"/>
  <c r="L24" i="2"/>
  <c r="B74" i="2"/>
  <c r="B83" i="2" s="1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AU106" i="2" s="1" a="1"/>
  <c r="AU106" i="2" s="1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AV106" i="2" s="1" a="1"/>
  <c r="AV106" i="2" s="1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M106" i="2" s="1" a="1"/>
  <c r="M106" i="2" s="1"/>
  <c r="AW108" i="2"/>
  <c r="AW106" i="2" s="1" a="1"/>
  <c r="AW106" i="2" s="1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AX106" i="2" s="1" a="1"/>
  <c r="AX106" i="2" s="1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V48" i="2"/>
  <c r="AC48" i="2"/>
  <c r="D42" i="2"/>
  <c r="I48" i="2"/>
  <c r="AO48" i="2"/>
  <c r="W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75" i="2"/>
  <c r="B93" i="2" s="1"/>
  <c r="B80" i="2"/>
  <c r="B28" i="1"/>
  <c r="C31" i="1" s="1"/>
  <c r="C30" i="1"/>
  <c r="B12" i="1"/>
  <c r="R108" i="2" a="1"/>
  <c r="AD108" i="2" a="1"/>
  <c r="AQ108" i="2" a="1"/>
  <c r="BH108" i="2" a="1"/>
  <c r="B108" i="2" a="1"/>
  <c r="P108" i="2" a="1"/>
  <c r="AO108" i="2" a="1"/>
  <c r="BF108" i="2" a="1"/>
  <c r="H108" i="2" a="1"/>
  <c r="V108" i="2" a="1"/>
  <c r="AY108" i="2" a="1"/>
  <c r="AE108" i="2" a="1"/>
  <c r="K108" i="2" a="1"/>
  <c r="O108" i="2" a="1"/>
  <c r="AB108" i="2" a="1"/>
  <c r="BE108" i="2" a="1"/>
  <c r="S108" i="2" a="1"/>
  <c r="AZ108" i="2" a="1"/>
  <c r="U108" i="2" a="1"/>
  <c r="AH108" i="2" a="1"/>
  <c r="BG108" i="2" a="1"/>
  <c r="AJ108" i="2" a="1"/>
  <c r="G108" i="2" a="1"/>
  <c r="AA108" i="2" a="1"/>
  <c r="AN108" i="2" a="1"/>
  <c r="L108" i="2" a="1"/>
  <c r="N108" i="2" a="1"/>
  <c r="AG108" i="2" a="1"/>
  <c r="AT108" i="2" a="1"/>
  <c r="X108" i="2" a="1"/>
  <c r="AK108" i="2" a="1"/>
  <c r="BA108" i="2" a="1"/>
  <c r="T108" i="2" a="1"/>
  <c r="AM108" i="2" a="1"/>
  <c r="BD108" i="2" a="1"/>
  <c r="D108" i="2" a="1"/>
  <c r="Z108" i="2" a="1"/>
  <c r="AS108" i="2" a="1"/>
  <c r="J108" i="2" a="1"/>
  <c r="E108" i="2" a="1"/>
  <c r="AF108" i="2" a="1"/>
  <c r="BC108" i="2" a="1"/>
  <c r="Q108" i="2" a="1"/>
  <c r="Y108" i="2" a="1"/>
  <c r="AP108" i="2" a="1"/>
  <c r="AL108" i="2" a="1"/>
  <c r="BI108" i="2" a="1"/>
  <c r="W108" i="2" a="1"/>
  <c r="AR108" i="2" a="1"/>
  <c r="C108" i="2" a="1"/>
  <c r="AC108" i="2" a="1"/>
  <c r="F108" i="2" a="1"/>
  <c r="BB108" i="2" a="1"/>
  <c r="I108" i="2" a="1"/>
  <c r="AI108" i="2" a="1"/>
  <c r="E48" i="2" l="1"/>
  <c r="BC35" i="1"/>
  <c r="BD35" i="1"/>
  <c r="BE35" i="1"/>
  <c r="BF35" i="1"/>
  <c r="BG35" i="1"/>
  <c r="AZ35" i="1"/>
  <c r="BA35" i="1"/>
  <c r="BB35" i="1"/>
  <c r="BJ35" i="1"/>
  <c r="BG36" i="1"/>
  <c r="BJ36" i="1"/>
  <c r="AZ36" i="1"/>
  <c r="BA36" i="1"/>
  <c r="BB36" i="1"/>
  <c r="BD36" i="1"/>
  <c r="BE36" i="1"/>
  <c r="BC36" i="1"/>
  <c r="BF36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AI106" i="2" s="1" a="1"/>
  <c r="AI106" i="2" s="1"/>
  <c r="I108" i="2"/>
  <c r="I106" i="2" s="1" a="1"/>
  <c r="I106" i="2" s="1"/>
  <c r="BB108" i="2"/>
  <c r="BB106" i="2" s="1" a="1"/>
  <c r="BB106" i="2" s="1"/>
  <c r="F108" i="2"/>
  <c r="F106" i="2" s="1" a="1"/>
  <c r="F106" i="2" s="1"/>
  <c r="AC108" i="2"/>
  <c r="AC106" i="2" s="1" a="1"/>
  <c r="AC106" i="2" s="1"/>
  <c r="C108" i="2"/>
  <c r="C106" i="2" s="1" a="1"/>
  <c r="C106" i="2" s="1"/>
  <c r="AR108" i="2"/>
  <c r="AR106" i="2" s="1" a="1"/>
  <c r="AR106" i="2" s="1"/>
  <c r="W108" i="2"/>
  <c r="W106" i="2" s="1" a="1"/>
  <c r="W106" i="2" s="1"/>
  <c r="BI108" i="2"/>
  <c r="BI106" i="2" s="1" a="1"/>
  <c r="BI106" i="2" s="1"/>
  <c r="AL108" i="2"/>
  <c r="AL106" i="2" s="1" a="1"/>
  <c r="AL106" i="2" s="1"/>
  <c r="AP108" i="2"/>
  <c r="AP106" i="2" s="1" a="1"/>
  <c r="AP106" i="2" s="1"/>
  <c r="Y108" i="2"/>
  <c r="Y106" i="2" s="1" a="1"/>
  <c r="Y106" i="2" s="1"/>
  <c r="Q108" i="2"/>
  <c r="Q106" i="2" s="1" a="1"/>
  <c r="Q106" i="2" s="1"/>
  <c r="BC108" i="2"/>
  <c r="BC106" i="2" s="1" a="1"/>
  <c r="BC106" i="2" s="1"/>
  <c r="AF108" i="2"/>
  <c r="AF106" i="2" s="1" a="1"/>
  <c r="AF106" i="2" s="1"/>
  <c r="E108" i="2"/>
  <c r="E106" i="2" s="1" a="1"/>
  <c r="E106" i="2" s="1"/>
  <c r="J108" i="2"/>
  <c r="J106" i="2" s="1" a="1"/>
  <c r="J106" i="2" s="1"/>
  <c r="AS108" i="2"/>
  <c r="AS106" i="2" s="1" a="1"/>
  <c r="AS106" i="2" s="1"/>
  <c r="Z108" i="2"/>
  <c r="Z106" i="2" s="1" a="1"/>
  <c r="Z106" i="2" s="1"/>
  <c r="D108" i="2"/>
  <c r="D106" i="2" s="1" a="1"/>
  <c r="D106" i="2" s="1"/>
  <c r="BD108" i="2"/>
  <c r="BD106" i="2" s="1" a="1"/>
  <c r="BD106" i="2" s="1"/>
  <c r="AM108" i="2"/>
  <c r="AM106" i="2" s="1" a="1"/>
  <c r="AM106" i="2" s="1"/>
  <c r="T108" i="2"/>
  <c r="T106" i="2" s="1" a="1"/>
  <c r="T106" i="2" s="1"/>
  <c r="BA108" i="2"/>
  <c r="BA106" i="2" s="1" a="1"/>
  <c r="BA106" i="2" s="1"/>
  <c r="AK108" i="2"/>
  <c r="AK106" i="2" s="1" a="1"/>
  <c r="AK106" i="2" s="1"/>
  <c r="X108" i="2"/>
  <c r="X106" i="2" s="1" a="1"/>
  <c r="X106" i="2" s="1"/>
  <c r="AT108" i="2"/>
  <c r="AT106" i="2" s="1" a="1"/>
  <c r="AT106" i="2" s="1"/>
  <c r="AG108" i="2"/>
  <c r="AG106" i="2" s="1" a="1"/>
  <c r="AG106" i="2" s="1"/>
  <c r="N108" i="2"/>
  <c r="N106" i="2" s="1" a="1"/>
  <c r="N106" i="2" s="1"/>
  <c r="L108" i="2"/>
  <c r="L106" i="2" s="1" a="1"/>
  <c r="L106" i="2" s="1"/>
  <c r="AN108" i="2"/>
  <c r="AN106" i="2" s="1" a="1"/>
  <c r="AN106" i="2" s="1"/>
  <c r="AA108" i="2"/>
  <c r="AA106" i="2" s="1" a="1"/>
  <c r="AA106" i="2" s="1"/>
  <c r="G108" i="2"/>
  <c r="G106" i="2" s="1" a="1"/>
  <c r="G106" i="2" s="1"/>
  <c r="AJ108" i="2"/>
  <c r="AJ106" i="2" s="1" a="1"/>
  <c r="AJ106" i="2" s="1"/>
  <c r="BG108" i="2"/>
  <c r="BG106" i="2" s="1" a="1"/>
  <c r="BG106" i="2" s="1"/>
  <c r="AH108" i="2"/>
  <c r="AH106" i="2" s="1" a="1"/>
  <c r="AH106" i="2" s="1"/>
  <c r="U108" i="2"/>
  <c r="U106" i="2" s="1" a="1"/>
  <c r="U106" i="2" s="1"/>
  <c r="AZ108" i="2"/>
  <c r="AZ106" i="2" s="1" a="1"/>
  <c r="AZ106" i="2" s="1"/>
  <c r="S108" i="2"/>
  <c r="S106" i="2" s="1" a="1"/>
  <c r="S106" i="2" s="1"/>
  <c r="BE108" i="2"/>
  <c r="BE106" i="2" s="1" a="1"/>
  <c r="BE106" i="2" s="1"/>
  <c r="AB108" i="2"/>
  <c r="AB106" i="2" s="1" a="1"/>
  <c r="AB106" i="2" s="1"/>
  <c r="O108" i="2"/>
  <c r="O106" i="2" s="1" a="1"/>
  <c r="O106" i="2" s="1"/>
  <c r="K108" i="2"/>
  <c r="K106" i="2" s="1" a="1"/>
  <c r="K106" i="2" s="1"/>
  <c r="AE108" i="2"/>
  <c r="AE106" i="2" s="1" a="1"/>
  <c r="AE106" i="2" s="1"/>
  <c r="AY108" i="2"/>
  <c r="AY106" i="2" s="1" a="1"/>
  <c r="AY106" i="2" s="1"/>
  <c r="V108" i="2"/>
  <c r="V106" i="2" s="1" a="1"/>
  <c r="V106" i="2" s="1"/>
  <c r="H108" i="2"/>
  <c r="H106" i="2" s="1" a="1"/>
  <c r="H106" i="2" s="1"/>
  <c r="BF108" i="2"/>
  <c r="BF106" i="2" s="1" a="1"/>
  <c r="BF106" i="2" s="1"/>
  <c r="AO108" i="2"/>
  <c r="AO106" i="2" s="1" a="1"/>
  <c r="AO106" i="2" s="1"/>
  <c r="P108" i="2"/>
  <c r="P106" i="2" s="1" a="1"/>
  <c r="P106" i="2" s="1"/>
  <c r="B108" i="2"/>
  <c r="BH108" i="2"/>
  <c r="BH106" i="2" s="1" a="1"/>
  <c r="BH106" i="2" s="1"/>
  <c r="AQ108" i="2"/>
  <c r="AQ106" i="2" s="1" a="1"/>
  <c r="AQ106" i="2" s="1"/>
  <c r="AD108" i="2"/>
  <c r="AD106" i="2" s="1" a="1"/>
  <c r="AD106" i="2" s="1"/>
  <c r="R108" i="2"/>
  <c r="R106" i="2" s="1" a="1"/>
  <c r="R106" i="2" s="1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6" i="1"/>
  <c r="AW36" i="1"/>
  <c r="AK36" i="1"/>
  <c r="Y36" i="1"/>
  <c r="M36" i="1"/>
  <c r="AE36" i="1"/>
  <c r="BH36" i="1"/>
  <c r="AV36" i="1"/>
  <c r="AJ36" i="1"/>
  <c r="X36" i="1"/>
  <c r="L36" i="1"/>
  <c r="AU36" i="1"/>
  <c r="AI36" i="1"/>
  <c r="W36" i="1"/>
  <c r="K36" i="1"/>
  <c r="G36" i="1"/>
  <c r="AT36" i="1"/>
  <c r="AH36" i="1"/>
  <c r="V36" i="1"/>
  <c r="J36" i="1"/>
  <c r="AQ36" i="1"/>
  <c r="AS36" i="1"/>
  <c r="AG36" i="1"/>
  <c r="U36" i="1"/>
  <c r="I36" i="1"/>
  <c r="S36" i="1"/>
  <c r="AR36" i="1"/>
  <c r="AF36" i="1"/>
  <c r="T36" i="1"/>
  <c r="H36" i="1"/>
  <c r="AP36" i="1"/>
  <c r="AD36" i="1"/>
  <c r="R36" i="1"/>
  <c r="F36" i="1"/>
  <c r="Z36" i="1"/>
  <c r="AO36" i="1"/>
  <c r="AC36" i="1"/>
  <c r="Q36" i="1"/>
  <c r="E36" i="1"/>
  <c r="AL36" i="1"/>
  <c r="AN36" i="1"/>
  <c r="AB36" i="1"/>
  <c r="P36" i="1"/>
  <c r="D36" i="1"/>
  <c r="B31" i="1"/>
  <c r="AY36" i="1"/>
  <c r="AM36" i="1"/>
  <c r="AA36" i="1"/>
  <c r="O36" i="1"/>
  <c r="C36" i="1"/>
  <c r="AX36" i="1"/>
  <c r="N36" i="1"/>
  <c r="BH35" i="1"/>
  <c r="AV35" i="1"/>
  <c r="AJ35" i="1"/>
  <c r="X35" i="1"/>
  <c r="L35" i="1"/>
  <c r="AU35" i="1"/>
  <c r="AI35" i="1"/>
  <c r="W35" i="1"/>
  <c r="K35" i="1"/>
  <c r="AD35" i="1"/>
  <c r="F35" i="1"/>
  <c r="AT35" i="1"/>
  <c r="AH35" i="1"/>
  <c r="V35" i="1"/>
  <c r="J35" i="1"/>
  <c r="AS35" i="1"/>
  <c r="AG35" i="1"/>
  <c r="U35" i="1"/>
  <c r="I35" i="1"/>
  <c r="AR35" i="1"/>
  <c r="AF35" i="1"/>
  <c r="T35" i="1"/>
  <c r="H35" i="1"/>
  <c r="AQ35" i="1"/>
  <c r="AE35" i="1"/>
  <c r="S35" i="1"/>
  <c r="G35" i="1"/>
  <c r="AP35" i="1"/>
  <c r="R35" i="1"/>
  <c r="AO35" i="1"/>
  <c r="AC35" i="1"/>
  <c r="Q35" i="1"/>
  <c r="E35" i="1"/>
  <c r="B30" i="1"/>
  <c r="AN35" i="1"/>
  <c r="AB35" i="1"/>
  <c r="P35" i="1"/>
  <c r="D35" i="1"/>
  <c r="AY35" i="1"/>
  <c r="AM35" i="1"/>
  <c r="AA35" i="1"/>
  <c r="O35" i="1"/>
  <c r="C35" i="1"/>
  <c r="AX35" i="1"/>
  <c r="AL35" i="1"/>
  <c r="Z35" i="1"/>
  <c r="N35" i="1"/>
  <c r="BI35" i="1"/>
  <c r="AW35" i="1"/>
  <c r="AK35" i="1"/>
  <c r="Y35" i="1"/>
  <c r="M35" i="1"/>
  <c r="B13" i="1"/>
  <c r="C16" i="1" s="1"/>
  <c r="C15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106" i="2" a="1"/>
  <c r="B106" i="2" s="1"/>
  <c r="B55" i="2"/>
  <c r="BA20" i="1"/>
  <c r="AO20" i="1"/>
  <c r="AC20" i="1"/>
  <c r="Q20" i="1"/>
  <c r="E20" i="1"/>
  <c r="AU20" i="1"/>
  <c r="K20" i="1"/>
  <c r="AZ20" i="1"/>
  <c r="AN20" i="1"/>
  <c r="AB20" i="1"/>
  <c r="P20" i="1"/>
  <c r="D20" i="1"/>
  <c r="W20" i="1"/>
  <c r="AY20" i="1"/>
  <c r="AM20" i="1"/>
  <c r="AA20" i="1"/>
  <c r="O20" i="1"/>
  <c r="C20" i="1"/>
  <c r="BJ20" i="1"/>
  <c r="AX20" i="1"/>
  <c r="AL20" i="1"/>
  <c r="Z20" i="1"/>
  <c r="N20" i="1"/>
  <c r="BI20" i="1"/>
  <c r="AW20" i="1"/>
  <c r="AK20" i="1"/>
  <c r="Y20" i="1"/>
  <c r="M20" i="1"/>
  <c r="B16" i="1"/>
  <c r="BG20" i="1"/>
  <c r="BH20" i="1"/>
  <c r="AV20" i="1"/>
  <c r="AJ20" i="1"/>
  <c r="X20" i="1"/>
  <c r="L20" i="1"/>
  <c r="AI20" i="1"/>
  <c r="BF20" i="1"/>
  <c r="AT20" i="1"/>
  <c r="AH20" i="1"/>
  <c r="V20" i="1"/>
  <c r="J20" i="1"/>
  <c r="AP20" i="1"/>
  <c r="F20" i="1"/>
  <c r="BE20" i="1"/>
  <c r="AS20" i="1"/>
  <c r="AG20" i="1"/>
  <c r="U20" i="1"/>
  <c r="I20" i="1"/>
  <c r="AD20" i="1"/>
  <c r="BD20" i="1"/>
  <c r="AR20" i="1"/>
  <c r="AF20" i="1"/>
  <c r="T20" i="1"/>
  <c r="H20" i="1"/>
  <c r="BC20" i="1"/>
  <c r="AQ20" i="1"/>
  <c r="AE20" i="1"/>
  <c r="S20" i="1"/>
  <c r="G20" i="1"/>
  <c r="BB20" i="1"/>
  <c r="R20" i="1"/>
  <c r="BA19" i="1"/>
  <c r="BA34" i="1" s="1"/>
  <c r="AO19" i="1"/>
  <c r="AO34" i="1" s="1"/>
  <c r="AC19" i="1"/>
  <c r="AC34" i="1" s="1"/>
  <c r="Q19" i="1"/>
  <c r="Q34" i="1" s="1"/>
  <c r="E19" i="1"/>
  <c r="E34" i="1" s="1"/>
  <c r="AU19" i="1"/>
  <c r="AU34" i="1" s="1"/>
  <c r="K19" i="1"/>
  <c r="K34" i="1" s="1"/>
  <c r="R19" i="1"/>
  <c r="R34" i="1" s="1"/>
  <c r="AZ19" i="1"/>
  <c r="AZ34" i="1" s="1"/>
  <c r="AN19" i="1"/>
  <c r="AN34" i="1" s="1"/>
  <c r="AB19" i="1"/>
  <c r="AB34" i="1" s="1"/>
  <c r="P19" i="1"/>
  <c r="P34" i="1" s="1"/>
  <c r="D19" i="1"/>
  <c r="D34" i="1" s="1"/>
  <c r="B15" i="1"/>
  <c r="AY19" i="1"/>
  <c r="AY34" i="1" s="1"/>
  <c r="AM19" i="1"/>
  <c r="AM34" i="1" s="1"/>
  <c r="AA19" i="1"/>
  <c r="AA34" i="1" s="1"/>
  <c r="O19" i="1"/>
  <c r="O34" i="1" s="1"/>
  <c r="C19" i="1"/>
  <c r="C34" i="1" s="1"/>
  <c r="W19" i="1"/>
  <c r="W34" i="1" s="1"/>
  <c r="BJ19" i="1"/>
  <c r="AX19" i="1"/>
  <c r="AX34" i="1" s="1"/>
  <c r="AL19" i="1"/>
  <c r="AL34" i="1" s="1"/>
  <c r="Z19" i="1"/>
  <c r="Z34" i="1" s="1"/>
  <c r="N19" i="1"/>
  <c r="N34" i="1" s="1"/>
  <c r="BG19" i="1"/>
  <c r="BG34" i="1" s="1"/>
  <c r="BI19" i="1"/>
  <c r="AW19" i="1"/>
  <c r="AW34" i="1" s="1"/>
  <c r="AK19" i="1"/>
  <c r="AK34" i="1" s="1"/>
  <c r="Y19" i="1"/>
  <c r="Y34" i="1" s="1"/>
  <c r="M19" i="1"/>
  <c r="M34" i="1" s="1"/>
  <c r="AI19" i="1"/>
  <c r="AI34" i="1" s="1"/>
  <c r="BH19" i="1"/>
  <c r="BH34" i="1" s="1"/>
  <c r="AV19" i="1"/>
  <c r="AV34" i="1" s="1"/>
  <c r="AJ19" i="1"/>
  <c r="AJ34" i="1" s="1"/>
  <c r="X19" i="1"/>
  <c r="X34" i="1" s="1"/>
  <c r="L19" i="1"/>
  <c r="L34" i="1" s="1"/>
  <c r="BF19" i="1"/>
  <c r="BF34" i="1" s="1"/>
  <c r="AT19" i="1"/>
  <c r="AT34" i="1" s="1"/>
  <c r="AH19" i="1"/>
  <c r="AH34" i="1" s="1"/>
  <c r="V19" i="1"/>
  <c r="V34" i="1" s="1"/>
  <c r="J19" i="1"/>
  <c r="J34" i="1" s="1"/>
  <c r="AD19" i="1"/>
  <c r="AD34" i="1" s="1"/>
  <c r="BE19" i="1"/>
  <c r="BE34" i="1" s="1"/>
  <c r="AS19" i="1"/>
  <c r="AS34" i="1" s="1"/>
  <c r="AG19" i="1"/>
  <c r="AG34" i="1" s="1"/>
  <c r="U19" i="1"/>
  <c r="U34" i="1" s="1"/>
  <c r="I19" i="1"/>
  <c r="I34" i="1" s="1"/>
  <c r="AP19" i="1"/>
  <c r="AP34" i="1" s="1"/>
  <c r="BD19" i="1"/>
  <c r="BD34" i="1" s="1"/>
  <c r="AR19" i="1"/>
  <c r="AR34" i="1" s="1"/>
  <c r="AF19" i="1"/>
  <c r="AF34" i="1" s="1"/>
  <c r="T19" i="1"/>
  <c r="T34" i="1" s="1"/>
  <c r="H19" i="1"/>
  <c r="H34" i="1" s="1"/>
  <c r="BC19" i="1"/>
  <c r="BC34" i="1" s="1"/>
  <c r="AQ19" i="1"/>
  <c r="AQ34" i="1" s="1"/>
  <c r="AE19" i="1"/>
  <c r="AE34" i="1" s="1"/>
  <c r="S19" i="1"/>
  <c r="S34" i="1" s="1"/>
  <c r="G19" i="1"/>
  <c r="G34" i="1" s="1"/>
  <c r="BB19" i="1"/>
  <c r="BB34" i="1" s="1"/>
  <c r="F19" i="1"/>
  <c r="F34" i="1" s="1"/>
  <c r="BJ34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<sst xmlns="http://schemas.openxmlformats.org/spreadsheetml/2006/main" count="673" uniqueCount="333">
  <si>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</si>
  <si>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</si>
  <si>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</si>
  <si>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</si>
  <si>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</si>
  <si>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</si>
  <si>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</si>
  <si>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</si>
  <si>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</si>
  <si>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</si>
  <si>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</si>
  <si>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</si>
  <si>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</si>
  <si>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</si>
  <si>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</si>
  <si>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</si>
  <si>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</si>
  <si>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</si>
  <si>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</si>
  <si>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</si>
  <si>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</si>
  <si>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</si>
  <si>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</si>
  <si>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</si>
  <si>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</si>
  <si>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</si>
  <si>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</si>
  <si>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</si>
  <si>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</si>
  <si>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</si>
  <si>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</si>
  <si>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</si>
  <si>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</si>
  <si>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</si>
  <si>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</si>
  <si>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</si>
  <si>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</si>
  <si>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</si>
  <si>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</si>
  <si>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</si>
  <si>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</si>
  <si>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</si>
  <si>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</si>
  <si>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</si>
  <si>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</si>
  <si>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</si>
  <si>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</si>
  <si>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</si>
  <si>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</si>
  <si>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</si>
  <si>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</si>
  <si>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</si>
  <si>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</si>
  <si>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</si>
  <si>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</si>
  <si>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</si>
  <si>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</si>
  <si>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</si>
  <si>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</si>
  <si>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</si>
  <si>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</si>
  <si>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</si>
  <si>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</si>
  <si>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</si>
  <si>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</si>
  <si>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</si>
  <si>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</si>
  <si>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</si>
  <si>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</si>
  <si>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</si>
  <si>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</si>
  <si>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</si>
  <si>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</si>
  <si>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</si>
  <si>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</si>
  <si>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</si>
  <si>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</si>
  <si>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</si>
  <si>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</si>
  <si>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</si>
  <si>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</si>
  <si>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</si>
  <si>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</si>
  <si>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</si>
  <si>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</si>
  <si>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</si>
  <si>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</si>
  <si>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</si>
  <si>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</si>
  <si>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</si>
  <si>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</si>
  <si>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</si>
  <si>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</si>
  <si>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</si>
  <si>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</si>
  <si>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</si>
  <si>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</si>
  <si>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</si>
  <si>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</si>
  <si>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</si>
  <si>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</si>
  <si>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</si>
  <si>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</si>
  <si>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</si>
  <si>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</si>
  <si>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</si>
  <si>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</si>
  <si>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</si>
  <si>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</si>
  <si>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</si>
  <si>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</si>
  <si>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</si>
  <si>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</si>
  <si>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</si>
  <si>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</si>
  <si>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</si>
  <si>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</si>
  <si>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</si>
  <si>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</si>
  <si>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</si>
  <si>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</si>
  <si>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</si>
  <si>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</si>
  <si>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</si>
  <si>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</si>
  <si>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</si>
  <si>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</si>
  <si>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</si>
  <si>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</si>
  <si>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</si>
  <si>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</si>
  <si>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</si>
  <si>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</si>
  <si>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</si>
  <si>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</si>
  <si>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</si>
  <si>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</si>
  <si>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</si>
  <si>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</si>
  <si>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</si>
  <si>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</si>
  <si>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</si>
  <si>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</si>
  <si>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</si>
  <si>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</si>
  <si>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</si>
  <si>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</si>
  <si>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</si>
  <si>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</si>
  <si>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</si>
  <si>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</si>
  <si>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</si>
  <si>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</si>
  <si>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</si>
  <si>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</si>
  <si>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</si>
  <si>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</si>
  <si>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</si>
  <si>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</si>
  <si>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</si>
  <si>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</si>
  <si>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</si>
  <si>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</si>
  <si>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</si>
  <si>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</si>
  <si>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</si>
  <si>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</si>
  <si>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</si>
  <si>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</si>
  <si>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</si>
  <si>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</si>
  <si>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</si>
  <si>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</si>
  <si>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</si>
  <si>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</si>
  <si>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</si>
  <si>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</si>
  <si>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</si>
  <si>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</si>
  <si>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</si>
  <si>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</si>
  <si>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</si>
  <si>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</si>
  <si>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</si>
  <si>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</si>
  <si>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</si>
  <si>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</si>
  <si>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</si>
  <si>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</si>
  <si>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</si>
  <si>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</si>
  <si>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</si>
  <si>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</si>
  <si>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</si>
  <si>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</si>
  <si>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</si>
  <si>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</si>
  <si>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</si>
  <si>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</si>
  <si>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</si>
  <si>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</si>
  <si>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</si>
  <si>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</si>
  <si>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</si>
  <si>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</si>
  <si>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</si>
  <si>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</si>
  <si>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</si>
  <si>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</si>
  <si>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</si>
  <si>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</si>
  <si>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</si>
  <si>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</si>
  <si>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</si>
  <si>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</si>
  <si>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</si>
  <si>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</si>
  <si>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</si>
  <si>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</si>
  <si>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</si>
  <si>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</si>
  <si>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</si>
  <si>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</si>
  <si>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</si>
  <si>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</si>
  <si>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</si>
  <si>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</si>
  <si>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</si>
  <si>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</si>
  <si>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</si>
  <si>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</si>
  <si>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</si>
  <si>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</si>
  <si>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</si>
  <si>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</si>
  <si>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</si>
  <si>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</si>
  <si>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</si>
  <si>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</si>
  <si>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</si>
  <si>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</si>
  <si>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</si>
  <si>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</si>
  <si>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</si>
  <si>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</si>
  <si>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</si>
  <si>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拼音字母</t>
    <phoneticPr fontId="4" type="noConversion"/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</si>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</sst>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07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</fonts>
  <fills count="2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38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" fillId="0" borderId="1" xfId="0" applyFont="1" applyBorder="1"/>
    <xf numFmtId="0" fontId="103" fillId="25" borderId="1" xfId="0" applyFont="1" applyFill="1" applyBorder="1"/>
    <xf numFmtId="0" fontId="3" fillId="18" borderId="1" xfId="0" applyFont="1" applyFill="1" applyBorder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4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rime-tlpa\docs\&#37749;&#30436;&#35373;&#35336;&#35215;&#26684;_&#21488;&#35486;&#27880;&#38899;&#21450;&#27880;&#38899;&#20108;&#24335;.xlsx" TargetMode="External"/><Relationship Id="rId1" Type="http://schemas.openxmlformats.org/officeDocument/2006/relationships/externalLinkPath" Target="&#37749;&#30436;&#35373;&#35336;&#35215;&#26684;_&#21488;&#35486;&#27880;&#38899;&#21450;&#27880;&#38899;&#20108;&#2433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原鍵盤設計"/>
      <sheetName val="鍵盤設計"/>
      <sheetName val="xlit對映工具"/>
      <sheetName val="鍵盤設計【未用按鍵】"/>
      <sheetName val="注音編碼對照表"/>
      <sheetName val="RIME設定【閩拼】"/>
      <sheetName val="英文字母配置查檢工具"/>
      <sheetName val="Unicode"/>
      <sheetName val="RIME聲母轉換"/>
      <sheetName val="鍵盤設計 (2)"/>
      <sheetName val="台羅轉換注音二式規則"/>
      <sheetName val="ㆦㄜ對映"/>
      <sheetName val="注音編碼對照表（old）"/>
      <sheetName val="台羅轉換注音二式音標字母"/>
      <sheetName val="漢字庫"/>
      <sheetName val="注音符號、電腦鍵盤與音標編碼"/>
      <sheetName val="RIME設定解析"/>
      <sheetName val="台語方音字典編碼"/>
      <sheetName val="RIME對映編碼 (台語方音)"/>
      <sheetName val="方音符號"/>
      <sheetName val="方音聲母"/>
      <sheetName val="方音韻母"/>
      <sheetName val=" 所有入聲韻"/>
      <sheetName val="參考鍵盤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BP61"/>
  <sheetViews>
    <sheetView topLeftCell="W13" workbookViewId="0">
      <selection activeCell="BC12" sqref="BC12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4" width="8.796875" style="1"/>
    <col min="65" max="68" width="10.3984375" style="1" customWidth="1"/>
    <col min="69" max="16384" width="8.796875" style="1"/>
  </cols>
  <sheetData>
    <row r="1" spans="1:68">
      <c r="BL1" s="222" t="s">
        <v>291</v>
      </c>
      <c r="BM1" s="222" t="str" cm="1">
        <f t="array" ref="BM1:BP1">TRANSPOSE(A3:A6)</f>
        <v>拼音字母</v>
      </c>
      <c r="BN1" s="222" t="str">
        <v>字典編碼</v>
      </c>
      <c r="BO1" s="222" t="str">
        <v>按鍵</v>
      </c>
      <c r="BP1" s="222" t="str">
        <v>注音符號</v>
      </c>
    </row>
    <row r="2" spans="1:68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21" cm="1">
        <f t="array" ref="BL2:BP61" xml:space="preserve"> TRANSPOSE(C2:BJ6)</f>
        <v>1</v>
      </c>
      <c r="BM2" s="221" t="str">
        <v>b</v>
      </c>
      <c r="BN2" s="221" t="str">
        <v>b</v>
      </c>
      <c r="BO2" s="221" t="str">
        <v>!</v>
      </c>
      <c r="BP2" s="221" t="str">
        <v>ㆠ</v>
      </c>
    </row>
    <row r="3" spans="1:68">
      <c r="A3" s="1" t="s">
        <v>246</v>
      </c>
      <c r="C3" s="217" t="s">
        <v>248</v>
      </c>
      <c r="D3" s="217" t="s">
        <v>247</v>
      </c>
      <c r="E3" s="217" t="s">
        <v>249</v>
      </c>
      <c r="F3" s="217" t="s">
        <v>250</v>
      </c>
      <c r="G3" s="217" t="s">
        <v>251</v>
      </c>
      <c r="H3" s="217" t="s">
        <v>96</v>
      </c>
      <c r="I3" s="217" t="s">
        <v>252</v>
      </c>
      <c r="J3" s="217" t="s">
        <v>253</v>
      </c>
      <c r="K3" s="217" t="s">
        <v>81</v>
      </c>
      <c r="L3" s="217" t="s">
        <v>284</v>
      </c>
      <c r="M3" s="217" t="s">
        <v>285</v>
      </c>
      <c r="N3" s="217" t="s">
        <v>254</v>
      </c>
      <c r="O3" s="217" t="s">
        <v>255</v>
      </c>
      <c r="P3" s="217" t="s">
        <v>292</v>
      </c>
      <c r="Q3" s="217" t="s">
        <v>293</v>
      </c>
      <c r="R3" s="217" t="s">
        <v>256</v>
      </c>
      <c r="S3" s="217" t="s">
        <v>257</v>
      </c>
      <c r="T3" s="217" t="s">
        <v>258</v>
      </c>
      <c r="U3" s="217" t="s">
        <v>259</v>
      </c>
      <c r="V3" s="217" t="s">
        <v>260</v>
      </c>
      <c r="W3" s="217" t="s">
        <v>261</v>
      </c>
      <c r="X3" s="217" t="s">
        <v>262</v>
      </c>
      <c r="Y3" s="217" t="s">
        <v>263</v>
      </c>
      <c r="Z3" s="217" t="s">
        <v>264</v>
      </c>
      <c r="AA3" s="217" t="s">
        <v>265</v>
      </c>
      <c r="AB3" s="217" t="s">
        <v>266</v>
      </c>
      <c r="AC3" s="217" t="s">
        <v>267</v>
      </c>
      <c r="AD3" s="217" t="s">
        <v>268</v>
      </c>
      <c r="AE3" s="218" t="s">
        <v>269</v>
      </c>
      <c r="AF3" s="218" t="s">
        <v>111</v>
      </c>
      <c r="AG3" s="218" t="s">
        <v>270</v>
      </c>
      <c r="AH3" s="219" t="s">
        <v>271</v>
      </c>
      <c r="AI3" s="219" t="s">
        <v>272</v>
      </c>
      <c r="AJ3" s="219" t="s">
        <v>273</v>
      </c>
      <c r="AK3" s="219" t="s">
        <v>274</v>
      </c>
      <c r="AL3" s="217" t="s">
        <v>275</v>
      </c>
      <c r="AM3" s="217" t="s">
        <v>276</v>
      </c>
      <c r="AN3" s="217" t="s">
        <v>277</v>
      </c>
      <c r="AO3" s="217" t="s">
        <v>278</v>
      </c>
      <c r="AP3" s="217" t="s">
        <v>279</v>
      </c>
      <c r="AQ3" s="217" t="s">
        <v>280</v>
      </c>
      <c r="AR3" s="217" t="s">
        <v>281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21">
        <v>2</v>
      </c>
      <c r="BM3" s="221" t="str">
        <v>p</v>
      </c>
      <c r="BN3" s="221" t="str">
        <v>p</v>
      </c>
      <c r="BO3" s="221" t="str">
        <v>1</v>
      </c>
      <c r="BP3" s="221" t="str">
        <v>ㄅ</v>
      </c>
    </row>
    <row r="4" spans="1:68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284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>
        <v>0</v>
      </c>
      <c r="BH4" s="5" t="s">
        <v>120</v>
      </c>
      <c r="BI4" s="5" t="s">
        <v>226</v>
      </c>
      <c r="BJ4" s="5"/>
      <c r="BL4" s="221">
        <v>3</v>
      </c>
      <c r="BM4" s="221" t="str">
        <v>ph</v>
      </c>
      <c r="BN4" s="223" t="str">
        <v>P</v>
      </c>
      <c r="BO4" s="221" t="str">
        <v>q</v>
      </c>
      <c r="BP4" s="221" t="str">
        <v>ㄆ</v>
      </c>
    </row>
    <row r="5" spans="1:68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294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21">
        <v>4</v>
      </c>
      <c r="BM5" s="221" t="str">
        <v>m</v>
      </c>
      <c r="BN5" s="221" t="str">
        <v>m</v>
      </c>
      <c r="BO5" s="221" t="str">
        <v>a</v>
      </c>
      <c r="BP5" s="221" t="str">
        <v>ㄇ</v>
      </c>
    </row>
    <row r="6" spans="1:68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21">
        <v>5</v>
      </c>
      <c r="BM6" s="221" t="str">
        <v>n</v>
      </c>
      <c r="BN6" s="221" t="str">
        <v>n</v>
      </c>
      <c r="BO6" s="221" t="str">
        <v>s</v>
      </c>
      <c r="BP6" s="221" t="str">
        <v>ㄋ</v>
      </c>
    </row>
    <row r="7" spans="1:68">
      <c r="AR7" s="220" t="s">
        <v>283</v>
      </c>
      <c r="AS7" s="1" t="s">
        <v>282</v>
      </c>
      <c r="AV7" s="1" t="str">
        <f xml:space="preserve"> _xlfn.UNICHAR(HEX2DEC(RIGHT("U+207F",4)))</f>
        <v>ⁿ</v>
      </c>
      <c r="BL7" s="221">
        <v>6</v>
      </c>
      <c r="BM7" s="221" t="str">
        <v>t</v>
      </c>
      <c r="BN7" s="221" t="str">
        <v>t</v>
      </c>
      <c r="BO7" s="221" t="str">
        <v>2</v>
      </c>
      <c r="BP7" s="221" t="str">
        <v>ㄉ</v>
      </c>
    </row>
    <row r="8" spans="1:68">
      <c r="A8" s="1" t="s">
        <v>0</v>
      </c>
      <c r="BL8" s="221">
        <v>7</v>
      </c>
      <c r="BM8" s="221" t="str">
        <v>th</v>
      </c>
      <c r="BN8" s="223" t="str">
        <v>T</v>
      </c>
      <c r="BO8" s="221" t="str">
        <v>w</v>
      </c>
      <c r="BP8" s="221" t="str">
        <v>ㄊ</v>
      </c>
    </row>
    <row r="9" spans="1:68" outlineLevel="1">
      <c r="B9" s="1" t="str">
        <f xml:space="preserve"> _xlfn.CONCAT("    - xlit|", C4:BH4, "|", C5:BH5, "|")</f>
        <v xml:space="preserve">    - xlit|bpPmntTlgkKŋjzcshJZCSaiwueOəMNGRFQVIUY@AWHdfqrvxy17325840L|!1qas2wxEedGYyhncRrfv8uKj,ikmp/btgz9lM0;Oo*UJ&lt;I(L:5346][7N|</v>
      </c>
      <c r="BL9" s="221">
        <v>8</v>
      </c>
      <c r="BM9" s="221" t="str">
        <v>l</v>
      </c>
      <c r="BN9" s="221" t="str">
        <v>l</v>
      </c>
      <c r="BO9" s="221" t="str">
        <v>x</v>
      </c>
      <c r="BP9" s="221" t="str">
        <v>ㄌ</v>
      </c>
    </row>
    <row r="10" spans="1:68" outlineLevel="1">
      <c r="B10" s="2" t="s">
        <v>286</v>
      </c>
      <c r="BL10" s="221">
        <v>9</v>
      </c>
      <c r="BM10" s="221" t="str">
        <v>ㆣ</v>
      </c>
      <c r="BN10" s="221" t="str">
        <v>g</v>
      </c>
      <c r="BO10" s="221" t="str">
        <v>E</v>
      </c>
      <c r="BP10" s="221" t="str">
        <v>ㆣ</v>
      </c>
    </row>
    <row r="11" spans="1:68" outlineLevel="1">
      <c r="A11" s="1" t="s">
        <v>1</v>
      </c>
      <c r="B11" s="1">
        <f xml:space="preserve"> SEARCH("|", $B$9)</f>
        <v>11</v>
      </c>
      <c r="BL11" s="221">
        <v>10</v>
      </c>
      <c r="BM11" s="221" t="str">
        <v>k</v>
      </c>
      <c r="BN11" s="221" t="str">
        <v>k</v>
      </c>
      <c r="BO11" s="221" t="str">
        <v>e</v>
      </c>
      <c r="BP11" s="221" t="str">
        <v>ㄍ</v>
      </c>
    </row>
    <row r="12" spans="1:68" outlineLevel="1">
      <c r="A12" s="1" t="s">
        <v>2</v>
      </c>
      <c r="B12" s="1">
        <f xml:space="preserve"> SEARCH("|", $B$9, B11+1)</f>
        <v>70</v>
      </c>
      <c r="BL12" s="221">
        <v>11</v>
      </c>
      <c r="BM12" s="221" t="str">
        <v>kh</v>
      </c>
      <c r="BN12" s="223" t="str">
        <v>K</v>
      </c>
      <c r="BO12" s="221" t="str">
        <v>d</v>
      </c>
      <c r="BP12" s="221" t="str">
        <v>ㄎ</v>
      </c>
    </row>
    <row r="13" spans="1:68" outlineLevel="1">
      <c r="A13" s="1" t="s">
        <v>3</v>
      </c>
      <c r="B13" s="1">
        <f xml:space="preserve"> SEARCH("|", $B$9, B12+1)</f>
        <v>129</v>
      </c>
      <c r="BL13" s="221">
        <v>12</v>
      </c>
      <c r="BM13" s="221" t="str">
        <v>ng</v>
      </c>
      <c r="BN13" s="223" t="str">
        <v>ŋ</v>
      </c>
      <c r="BO13" s="221" t="str">
        <v>G</v>
      </c>
      <c r="BP13" s="221" t="str">
        <v>ㄫ</v>
      </c>
    </row>
    <row r="14" spans="1:68" outlineLevel="1">
      <c r="BL14" s="221">
        <v>13</v>
      </c>
      <c r="BM14" s="221" t="str">
        <v>j</v>
      </c>
      <c r="BN14" s="223" t="str">
        <v>j</v>
      </c>
      <c r="BO14" s="221" t="str">
        <v>Y</v>
      </c>
      <c r="BP14" s="221" t="str">
        <v>ㆡ</v>
      </c>
    </row>
    <row r="15" spans="1:68" outlineLevel="1">
      <c r="A15" s="1" t="s">
        <v>4</v>
      </c>
      <c r="B15" s="1">
        <f xml:space="preserve"> LEN(C15)</f>
        <v>58</v>
      </c>
      <c r="C15" s="1" t="str">
        <f xml:space="preserve"> MID($B$9,B11+1, (B12-B11-1))</f>
        <v>bpPmntTlgkKŋjzcshJZCSaiwueOəMNGRFQVIUY@AWHdfqrvxy17325840L</v>
      </c>
      <c r="BL15" s="221">
        <v>14</v>
      </c>
      <c r="BM15" s="221" t="str">
        <v>z(ts)</v>
      </c>
      <c r="BN15" s="223" t="str">
        <v>z</v>
      </c>
      <c r="BO15" s="221" t="str">
        <v>y</v>
      </c>
      <c r="BP15" s="221" t="str">
        <v>ㄗ</v>
      </c>
    </row>
    <row r="16" spans="1:68" outlineLevel="1">
      <c r="A16" s="1" t="s">
        <v>5</v>
      </c>
      <c r="B16" s="1">
        <f xml:space="preserve"> LEN(C16)</f>
        <v>58</v>
      </c>
      <c r="C16" s="1" t="str">
        <f xml:space="preserve"> MID($B$9,B12+1, (B13-B12-1))</f>
        <v>!1qas2wxEedGYyhncRrfv8uKj,ikmp/btgz9lM0;Oo*UJ&lt;I(L:5346][7N</v>
      </c>
      <c r="BL16" s="221">
        <v>15</v>
      </c>
      <c r="BM16" s="221" t="str">
        <v>c(tsh)</v>
      </c>
      <c r="BN16" s="223" t="str">
        <v>c</v>
      </c>
      <c r="BO16" s="221" t="str">
        <v>h</v>
      </c>
      <c r="BP16" s="221" t="str">
        <v>ㄘ</v>
      </c>
    </row>
    <row r="17" spans="1:68">
      <c r="BL17" s="221">
        <v>16</v>
      </c>
      <c r="BM17" s="221" t="str">
        <v>s</v>
      </c>
      <c r="BN17" s="223" t="str">
        <v>s</v>
      </c>
      <c r="BO17" s="221" t="str">
        <v>n</v>
      </c>
      <c r="BP17" s="221" t="str">
        <v>ㄙ</v>
      </c>
    </row>
    <row r="18" spans="1:68">
      <c r="C18" s="3">
        <f xml:space="preserve"> COLUMN() -2</f>
        <v>1</v>
      </c>
      <c r="D18" s="3">
        <f t="shared" ref="D18:BJ18" si="1" xml:space="preserve"> COLUMN() -2</f>
        <v>2</v>
      </c>
      <c r="E18" s="3">
        <f t="shared" si="1"/>
        <v>3</v>
      </c>
      <c r="F18" s="3">
        <f t="shared" si="1"/>
        <v>4</v>
      </c>
      <c r="G18" s="3">
        <f t="shared" si="1"/>
        <v>5</v>
      </c>
      <c r="H18" s="3">
        <f t="shared" si="1"/>
        <v>6</v>
      </c>
      <c r="I18" s="3">
        <f t="shared" si="1"/>
        <v>7</v>
      </c>
      <c r="J18" s="3">
        <f t="shared" si="1"/>
        <v>8</v>
      </c>
      <c r="K18" s="3">
        <f t="shared" si="1"/>
        <v>9</v>
      </c>
      <c r="L18" s="3">
        <f t="shared" si="1"/>
        <v>10</v>
      </c>
      <c r="M18" s="3">
        <f t="shared" si="1"/>
        <v>11</v>
      </c>
      <c r="N18" s="3">
        <f t="shared" si="1"/>
        <v>12</v>
      </c>
      <c r="O18" s="3">
        <f t="shared" si="1"/>
        <v>13</v>
      </c>
      <c r="P18" s="3">
        <f t="shared" si="1"/>
        <v>14</v>
      </c>
      <c r="Q18" s="3">
        <f t="shared" si="1"/>
        <v>15</v>
      </c>
      <c r="R18" s="3">
        <f t="shared" si="1"/>
        <v>16</v>
      </c>
      <c r="S18" s="3">
        <f t="shared" si="1"/>
        <v>17</v>
      </c>
      <c r="T18" s="3">
        <f t="shared" si="1"/>
        <v>18</v>
      </c>
      <c r="U18" s="3">
        <f t="shared" si="1"/>
        <v>19</v>
      </c>
      <c r="V18" s="3">
        <f t="shared" si="1"/>
        <v>20</v>
      </c>
      <c r="W18" s="3">
        <f t="shared" si="1"/>
        <v>21</v>
      </c>
      <c r="X18" s="3">
        <f t="shared" si="1"/>
        <v>22</v>
      </c>
      <c r="Y18" s="3">
        <f t="shared" si="1"/>
        <v>23</v>
      </c>
      <c r="Z18" s="3">
        <f t="shared" si="1"/>
        <v>24</v>
      </c>
      <c r="AA18" s="3">
        <f t="shared" si="1"/>
        <v>25</v>
      </c>
      <c r="AB18" s="3">
        <f t="shared" si="1"/>
        <v>26</v>
      </c>
      <c r="AC18" s="3">
        <f t="shared" si="1"/>
        <v>27</v>
      </c>
      <c r="AD18" s="3">
        <f t="shared" si="1"/>
        <v>28</v>
      </c>
      <c r="AE18" s="3">
        <f t="shared" si="1"/>
        <v>29</v>
      </c>
      <c r="AF18" s="3">
        <f t="shared" si="1"/>
        <v>30</v>
      </c>
      <c r="AG18" s="3">
        <f t="shared" si="1"/>
        <v>31</v>
      </c>
      <c r="AH18" s="3">
        <f t="shared" si="1"/>
        <v>32</v>
      </c>
      <c r="AI18" s="3">
        <f t="shared" si="1"/>
        <v>33</v>
      </c>
      <c r="AJ18" s="3">
        <f t="shared" si="1"/>
        <v>34</v>
      </c>
      <c r="AK18" s="3">
        <f t="shared" si="1"/>
        <v>35</v>
      </c>
      <c r="AL18" s="3">
        <f t="shared" si="1"/>
        <v>36</v>
      </c>
      <c r="AM18" s="3">
        <f t="shared" si="1"/>
        <v>37</v>
      </c>
      <c r="AN18" s="3">
        <f t="shared" si="1"/>
        <v>38</v>
      </c>
      <c r="AO18" s="3">
        <f t="shared" si="1"/>
        <v>39</v>
      </c>
      <c r="AP18" s="3">
        <f t="shared" si="1"/>
        <v>40</v>
      </c>
      <c r="AQ18" s="3">
        <f t="shared" si="1"/>
        <v>41</v>
      </c>
      <c r="AR18" s="3">
        <f t="shared" si="1"/>
        <v>42</v>
      </c>
      <c r="AS18" s="3">
        <f t="shared" si="1"/>
        <v>43</v>
      </c>
      <c r="AT18" s="3">
        <f t="shared" si="1"/>
        <v>44</v>
      </c>
      <c r="AU18" s="3">
        <f t="shared" si="1"/>
        <v>45</v>
      </c>
      <c r="AV18" s="3">
        <f t="shared" si="1"/>
        <v>46</v>
      </c>
      <c r="AW18" s="3">
        <f t="shared" si="1"/>
        <v>47</v>
      </c>
      <c r="AX18" s="3">
        <f t="shared" si="1"/>
        <v>48</v>
      </c>
      <c r="AY18" s="3">
        <f t="shared" si="1"/>
        <v>49</v>
      </c>
      <c r="AZ18" s="3">
        <f t="shared" si="1"/>
        <v>50</v>
      </c>
      <c r="BA18" s="3">
        <f t="shared" si="1"/>
        <v>51</v>
      </c>
      <c r="BB18" s="3">
        <f t="shared" si="1"/>
        <v>52</v>
      </c>
      <c r="BC18" s="3">
        <f t="shared" si="1"/>
        <v>53</v>
      </c>
      <c r="BD18" s="3">
        <f t="shared" si="1"/>
        <v>54</v>
      </c>
      <c r="BE18" s="3">
        <f t="shared" si="1"/>
        <v>55</v>
      </c>
      <c r="BF18" s="3">
        <f t="shared" si="1"/>
        <v>56</v>
      </c>
      <c r="BG18" s="3">
        <f t="shared" si="1"/>
        <v>57</v>
      </c>
      <c r="BH18" s="3">
        <f t="shared" si="1"/>
        <v>58</v>
      </c>
      <c r="BI18" s="3">
        <f t="shared" si="1"/>
        <v>59</v>
      </c>
      <c r="BJ18" s="3">
        <f t="shared" si="1"/>
        <v>60</v>
      </c>
      <c r="BL18" s="221">
        <v>17</v>
      </c>
      <c r="BM18" s="221" t="str">
        <v>h</v>
      </c>
      <c r="BN18" s="223" t="str">
        <v>h</v>
      </c>
      <c r="BO18" s="221" t="str">
        <v>c</v>
      </c>
      <c r="BP18" s="221" t="str">
        <v>ㄏ</v>
      </c>
    </row>
    <row r="19" spans="1:68">
      <c r="A19" s="4" t="s">
        <v>4</v>
      </c>
      <c r="C19" s="5" t="str">
        <f xml:space="preserve"> MID($C$15,C$18,1)</f>
        <v>b</v>
      </c>
      <c r="D19" s="5" t="str">
        <f t="shared" ref="D19:BJ19" si="2" xml:space="preserve"> MID($C$15,D$18,1)</f>
        <v>p</v>
      </c>
      <c r="E19" s="5" t="str">
        <f t="shared" si="2"/>
        <v>P</v>
      </c>
      <c r="F19" s="5" t="str">
        <f t="shared" si="2"/>
        <v>m</v>
      </c>
      <c r="G19" s="5" t="str">
        <f t="shared" si="2"/>
        <v>n</v>
      </c>
      <c r="H19" s="5" t="str">
        <f t="shared" si="2"/>
        <v>t</v>
      </c>
      <c r="I19" s="5" t="str">
        <f t="shared" si="2"/>
        <v>T</v>
      </c>
      <c r="J19" s="5" t="str">
        <f t="shared" si="2"/>
        <v>l</v>
      </c>
      <c r="K19" s="5" t="str">
        <f t="shared" si="2"/>
        <v>g</v>
      </c>
      <c r="L19" s="5" t="str">
        <f t="shared" si="2"/>
        <v>k</v>
      </c>
      <c r="M19" s="5" t="str">
        <f t="shared" si="2"/>
        <v>K</v>
      </c>
      <c r="N19" s="5" t="str">
        <f t="shared" si="2"/>
        <v>ŋ</v>
      </c>
      <c r="O19" s="5" t="str">
        <f t="shared" si="2"/>
        <v>j</v>
      </c>
      <c r="P19" s="5" t="str">
        <f t="shared" si="2"/>
        <v>z</v>
      </c>
      <c r="Q19" s="5" t="str">
        <f t="shared" si="2"/>
        <v>c</v>
      </c>
      <c r="R19" s="5" t="str">
        <f t="shared" si="2"/>
        <v>s</v>
      </c>
      <c r="S19" s="5" t="str">
        <f t="shared" si="2"/>
        <v>h</v>
      </c>
      <c r="T19" s="5" t="str">
        <f t="shared" si="2"/>
        <v>J</v>
      </c>
      <c r="U19" s="5" t="str">
        <f t="shared" si="2"/>
        <v>Z</v>
      </c>
      <c r="V19" s="5" t="str">
        <f t="shared" si="2"/>
        <v>C</v>
      </c>
      <c r="W19" s="5" t="str">
        <f t="shared" si="2"/>
        <v>S</v>
      </c>
      <c r="X19" s="5" t="str">
        <f t="shared" si="2"/>
        <v>a</v>
      </c>
      <c r="Y19" s="5" t="str">
        <f t="shared" si="2"/>
        <v>i</v>
      </c>
      <c r="Z19" s="5" t="str">
        <f t="shared" si="2"/>
        <v>w</v>
      </c>
      <c r="AA19" s="5" t="str">
        <f t="shared" si="2"/>
        <v>u</v>
      </c>
      <c r="AB19" s="5" t="str">
        <f t="shared" si="2"/>
        <v>e</v>
      </c>
      <c r="AC19" s="5" t="str">
        <f t="shared" si="2"/>
        <v>O</v>
      </c>
      <c r="AD19" s="5" t="str">
        <f t="shared" si="2"/>
        <v>ə</v>
      </c>
      <c r="AE19" s="5" t="str">
        <f t="shared" si="2"/>
        <v>M</v>
      </c>
      <c r="AF19" s="5" t="str">
        <f t="shared" si="2"/>
        <v>N</v>
      </c>
      <c r="AG19" s="5" t="str">
        <f t="shared" si="2"/>
        <v>G</v>
      </c>
      <c r="AH19" s="5" t="str">
        <f t="shared" si="2"/>
        <v>R</v>
      </c>
      <c r="AI19" s="5" t="str">
        <f t="shared" si="2"/>
        <v>F</v>
      </c>
      <c r="AJ19" s="5" t="str">
        <f t="shared" si="2"/>
        <v>Q</v>
      </c>
      <c r="AK19" s="5" t="str">
        <f t="shared" si="2"/>
        <v>V</v>
      </c>
      <c r="AL19" s="5" t="str">
        <f t="shared" si="2"/>
        <v>I</v>
      </c>
      <c r="AM19" s="5" t="str">
        <f t="shared" si="2"/>
        <v>U</v>
      </c>
      <c r="AN19" s="5" t="str">
        <f t="shared" si="2"/>
        <v>Y</v>
      </c>
      <c r="AO19" s="5" t="str">
        <f t="shared" si="2"/>
        <v>@</v>
      </c>
      <c r="AP19" s="5" t="str">
        <f t="shared" si="2"/>
        <v>A</v>
      </c>
      <c r="AQ19" s="5" t="str">
        <f t="shared" si="2"/>
        <v>W</v>
      </c>
      <c r="AR19" s="5" t="str">
        <f t="shared" si="2"/>
        <v>H</v>
      </c>
      <c r="AS19" s="5" t="str">
        <f t="shared" si="2"/>
        <v>d</v>
      </c>
      <c r="AT19" s="5" t="str">
        <f t="shared" si="2"/>
        <v>f</v>
      </c>
      <c r="AU19" s="5" t="str">
        <f t="shared" si="2"/>
        <v>q</v>
      </c>
      <c r="AV19" s="5" t="str">
        <f t="shared" si="2"/>
        <v>r</v>
      </c>
      <c r="AW19" s="5" t="str">
        <f t="shared" si="2"/>
        <v>v</v>
      </c>
      <c r="AX19" s="5" t="str">
        <f t="shared" si="2"/>
        <v>x</v>
      </c>
      <c r="AY19" s="5" t="str">
        <f t="shared" si="2"/>
        <v>y</v>
      </c>
      <c r="AZ19" s="5" t="str">
        <f t="shared" si="2"/>
        <v>1</v>
      </c>
      <c r="BA19" s="5" t="str">
        <f t="shared" si="2"/>
        <v>7</v>
      </c>
      <c r="BB19" s="5" t="str">
        <f t="shared" si="2"/>
        <v>3</v>
      </c>
      <c r="BC19" s="5" t="str">
        <f t="shared" si="2"/>
        <v>2</v>
      </c>
      <c r="BD19" s="5" t="str">
        <f t="shared" si="2"/>
        <v>5</v>
      </c>
      <c r="BE19" s="5" t="str">
        <f t="shared" si="2"/>
        <v>8</v>
      </c>
      <c r="BF19" s="5" t="str">
        <f t="shared" si="2"/>
        <v>4</v>
      </c>
      <c r="BG19" s="5" t="str">
        <f t="shared" si="2"/>
        <v>0</v>
      </c>
      <c r="BH19" s="5" t="str">
        <f t="shared" si="2"/>
        <v>L</v>
      </c>
      <c r="BI19" s="5" t="str">
        <f t="shared" si="2"/>
        <v/>
      </c>
      <c r="BJ19" s="5" t="str">
        <f t="shared" si="2"/>
        <v/>
      </c>
      <c r="BL19" s="221">
        <v>18</v>
      </c>
      <c r="BM19" s="221" t="str">
        <v>j(i)</v>
      </c>
      <c r="BN19" s="223" t="str">
        <v>J</v>
      </c>
      <c r="BO19" s="221" t="str">
        <v>R</v>
      </c>
      <c r="BP19" s="221" t="str">
        <v>ㆢ</v>
      </c>
    </row>
    <row r="20" spans="1:68">
      <c r="A20" s="1" t="s">
        <v>5</v>
      </c>
      <c r="C20" s="6" t="str">
        <f xml:space="preserve"> MID($C$16,C$18,1)</f>
        <v>!</v>
      </c>
      <c r="D20" s="6" t="str">
        <f t="shared" ref="D20:BJ20" si="3" xml:space="preserve"> MID($C$16,D$18,1)</f>
        <v>1</v>
      </c>
      <c r="E20" s="6" t="str">
        <f t="shared" si="3"/>
        <v>q</v>
      </c>
      <c r="F20" s="6" t="str">
        <f t="shared" si="3"/>
        <v>a</v>
      </c>
      <c r="G20" s="6" t="str">
        <f t="shared" si="3"/>
        <v>s</v>
      </c>
      <c r="H20" s="6" t="str">
        <f t="shared" si="3"/>
        <v>2</v>
      </c>
      <c r="I20" s="6" t="str">
        <f t="shared" si="3"/>
        <v>w</v>
      </c>
      <c r="J20" s="6" t="str">
        <f t="shared" si="3"/>
        <v>x</v>
      </c>
      <c r="K20" s="6" t="str">
        <f t="shared" si="3"/>
        <v>E</v>
      </c>
      <c r="L20" s="6" t="str">
        <f t="shared" si="3"/>
        <v>e</v>
      </c>
      <c r="M20" s="6" t="str">
        <f t="shared" si="3"/>
        <v>d</v>
      </c>
      <c r="N20" s="6" t="str">
        <f t="shared" si="3"/>
        <v>G</v>
      </c>
      <c r="O20" s="6" t="str">
        <f t="shared" si="3"/>
        <v>Y</v>
      </c>
      <c r="P20" s="6" t="str">
        <f t="shared" si="3"/>
        <v>y</v>
      </c>
      <c r="Q20" s="6" t="str">
        <f t="shared" si="3"/>
        <v>h</v>
      </c>
      <c r="R20" s="6" t="str">
        <f t="shared" si="3"/>
        <v>n</v>
      </c>
      <c r="S20" s="6" t="str">
        <f t="shared" si="3"/>
        <v>c</v>
      </c>
      <c r="T20" s="6" t="str">
        <f t="shared" si="3"/>
        <v>R</v>
      </c>
      <c r="U20" s="6" t="str">
        <f t="shared" si="3"/>
        <v>r</v>
      </c>
      <c r="V20" s="6" t="str">
        <f t="shared" si="3"/>
        <v>f</v>
      </c>
      <c r="W20" s="6" t="str">
        <f t="shared" si="3"/>
        <v>v</v>
      </c>
      <c r="X20" s="6" t="str">
        <f t="shared" si="3"/>
        <v>8</v>
      </c>
      <c r="Y20" s="6" t="str">
        <f t="shared" si="3"/>
        <v>u</v>
      </c>
      <c r="Z20" s="6" t="str">
        <f t="shared" si="3"/>
        <v>K</v>
      </c>
      <c r="AA20" s="6" t="str">
        <f t="shared" si="3"/>
        <v>j</v>
      </c>
      <c r="AB20" s="6" t="str">
        <f t="shared" si="3"/>
        <v>,</v>
      </c>
      <c r="AC20" s="6" t="str">
        <f t="shared" si="3"/>
        <v>i</v>
      </c>
      <c r="AD20" s="6" t="str">
        <f t="shared" si="3"/>
        <v>k</v>
      </c>
      <c r="AE20" s="6" t="str">
        <f t="shared" si="3"/>
        <v>m</v>
      </c>
      <c r="AF20" s="6" t="str">
        <f t="shared" si="3"/>
        <v>p</v>
      </c>
      <c r="AG20" s="6" t="str">
        <f t="shared" si="3"/>
        <v>/</v>
      </c>
      <c r="AH20" s="6" t="str">
        <f t="shared" si="3"/>
        <v>b</v>
      </c>
      <c r="AI20" s="6" t="str">
        <f t="shared" si="3"/>
        <v>t</v>
      </c>
      <c r="AJ20" s="6" t="str">
        <f t="shared" si="3"/>
        <v>g</v>
      </c>
      <c r="AK20" s="6" t="str">
        <f t="shared" si="3"/>
        <v>z</v>
      </c>
      <c r="AL20" s="6" t="str">
        <f t="shared" si="3"/>
        <v>9</v>
      </c>
      <c r="AM20" s="6" t="str">
        <f t="shared" si="3"/>
        <v>l</v>
      </c>
      <c r="AN20" s="6" t="str">
        <f t="shared" si="3"/>
        <v>M</v>
      </c>
      <c r="AO20" s="6" t="str">
        <f t="shared" si="3"/>
        <v>0</v>
      </c>
      <c r="AP20" s="6" t="str">
        <f t="shared" si="3"/>
        <v>;</v>
      </c>
      <c r="AQ20" s="6" t="str">
        <f t="shared" si="3"/>
        <v>O</v>
      </c>
      <c r="AR20" s="6" t="str">
        <f t="shared" si="3"/>
        <v>o</v>
      </c>
      <c r="AS20" s="6" t="str">
        <f t="shared" si="3"/>
        <v>*</v>
      </c>
      <c r="AT20" s="6" t="str">
        <f t="shared" si="3"/>
        <v>U</v>
      </c>
      <c r="AU20" s="6" t="str">
        <f t="shared" si="3"/>
        <v>J</v>
      </c>
      <c r="AV20" s="6" t="str">
        <f t="shared" si="3"/>
        <v>&lt;</v>
      </c>
      <c r="AW20" s="6" t="str">
        <f t="shared" si="3"/>
        <v>I</v>
      </c>
      <c r="AX20" s="6" t="str">
        <f t="shared" si="3"/>
        <v>(</v>
      </c>
      <c r="AY20" s="6" t="str">
        <f t="shared" si="3"/>
        <v>L</v>
      </c>
      <c r="AZ20" s="6" t="str">
        <f t="shared" si="3"/>
        <v>:</v>
      </c>
      <c r="BA20" s="6" t="str">
        <f t="shared" si="3"/>
        <v>5</v>
      </c>
      <c r="BB20" s="6" t="str">
        <f t="shared" si="3"/>
        <v>3</v>
      </c>
      <c r="BC20" s="6" t="str">
        <f t="shared" si="3"/>
        <v>4</v>
      </c>
      <c r="BD20" s="6" t="str">
        <f t="shared" si="3"/>
        <v>6</v>
      </c>
      <c r="BE20" s="6" t="str">
        <f t="shared" si="3"/>
        <v>]</v>
      </c>
      <c r="BF20" s="6" t="str">
        <f t="shared" si="3"/>
        <v>[</v>
      </c>
      <c r="BG20" s="6" t="str">
        <f t="shared" si="3"/>
        <v>7</v>
      </c>
      <c r="BH20" s="6" t="str">
        <f t="shared" si="3"/>
        <v>N</v>
      </c>
      <c r="BI20" s="6" t="str">
        <f t="shared" si="3"/>
        <v/>
      </c>
      <c r="BJ20" s="6" t="str">
        <f t="shared" si="3"/>
        <v/>
      </c>
      <c r="BL20" s="221">
        <v>19</v>
      </c>
      <c r="BM20" s="221" t="str">
        <v>z(i)</v>
      </c>
      <c r="BN20" s="223" t="str">
        <v>Z</v>
      </c>
      <c r="BO20" s="221" t="str">
        <v>r</v>
      </c>
      <c r="BP20" s="221" t="str">
        <v>ㄐ</v>
      </c>
    </row>
    <row r="21" spans="1:68">
      <c r="BL21" s="221">
        <v>20</v>
      </c>
      <c r="BM21" s="221" t="str">
        <v>c(i)</v>
      </c>
      <c r="BN21" s="223" t="str">
        <v>C</v>
      </c>
      <c r="BO21" s="221" t="str">
        <v>f</v>
      </c>
      <c r="BP21" s="221" t="str">
        <v>ㄑ</v>
      </c>
    </row>
    <row r="22" spans="1:68">
      <c r="BL22" s="221">
        <v>21</v>
      </c>
      <c r="BM22" s="221" t="str">
        <v>s(i)</v>
      </c>
      <c r="BN22" s="223" t="str">
        <v>S</v>
      </c>
      <c r="BO22" s="221" t="str">
        <v>v</v>
      </c>
      <c r="BP22" s="221" t="str">
        <v>ㄒ</v>
      </c>
    </row>
    <row r="23" spans="1:68">
      <c r="A23" s="1" t="s">
        <v>6</v>
      </c>
      <c r="BL23" s="221">
        <v>22</v>
      </c>
      <c r="BM23" s="221" t="str">
        <v>a</v>
      </c>
      <c r="BN23" s="221" t="str">
        <v>a</v>
      </c>
      <c r="BO23" s="221" t="str">
        <v>8</v>
      </c>
      <c r="BP23" s="221" t="str">
        <v>ㄚ</v>
      </c>
    </row>
    <row r="24" spans="1:68" outlineLevel="1">
      <c r="B24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4" s="221">
        <v>23</v>
      </c>
      <c r="BM24" s="221" t="str">
        <v>i</v>
      </c>
      <c r="BN24" s="221" t="str">
        <v>i</v>
      </c>
      <c r="BO24" s="221" t="str">
        <v>u</v>
      </c>
      <c r="BP24" s="221" t="str">
        <v>ㄧ</v>
      </c>
    </row>
    <row r="25" spans="1:68" outlineLevel="1">
      <c r="BL25" s="221">
        <v>24</v>
      </c>
      <c r="BM25" s="221" t="str">
        <v>ir</v>
      </c>
      <c r="BN25" s="221" t="str">
        <v>w</v>
      </c>
      <c r="BO25" s="221" t="str">
        <v>K</v>
      </c>
      <c r="BP25" s="221" t="str">
        <v>ㆨ</v>
      </c>
    </row>
    <row r="26" spans="1:68" outlineLevel="1">
      <c r="A26" s="1" t="s">
        <v>1</v>
      </c>
      <c r="B26" s="1">
        <f xml:space="preserve"> SEARCH("|", $B$24)</f>
        <v>11</v>
      </c>
      <c r="BL26" s="221">
        <v>25</v>
      </c>
      <c r="BM26" s="221" t="str">
        <v>u</v>
      </c>
      <c r="BN26" s="221" t="str">
        <v>u</v>
      </c>
      <c r="BO26" s="221" t="str">
        <v>j</v>
      </c>
      <c r="BP26" s="221" t="str">
        <v>ㄨ</v>
      </c>
    </row>
    <row r="27" spans="1:68" outlineLevel="1">
      <c r="A27" s="1" t="s">
        <v>2</v>
      </c>
      <c r="B27" s="1">
        <f xml:space="preserve"> SEARCH("|", $B$24, B26+1)</f>
        <v>70</v>
      </c>
      <c r="BL27" s="221">
        <v>26</v>
      </c>
      <c r="BM27" s="221" t="str">
        <v>e</v>
      </c>
      <c r="BN27" s="221" t="str">
        <v>e</v>
      </c>
      <c r="BO27" s="221" t="str">
        <v>,</v>
      </c>
      <c r="BP27" s="221" t="str">
        <v>ㆤ</v>
      </c>
    </row>
    <row r="28" spans="1:68" outlineLevel="1">
      <c r="A28" s="1" t="s">
        <v>3</v>
      </c>
      <c r="B28" s="1">
        <f xml:space="preserve"> SEARCH("|", $B$24, B27+1)</f>
        <v>129</v>
      </c>
      <c r="BL28" s="221">
        <v>27</v>
      </c>
      <c r="BM28" s="221" t="str">
        <v>oo</v>
      </c>
      <c r="BN28" s="221" t="str">
        <v>O</v>
      </c>
      <c r="BO28" s="221" t="str">
        <v>i</v>
      </c>
      <c r="BP28" s="221" t="str">
        <v>ㆦ</v>
      </c>
    </row>
    <row r="29" spans="1:68" outlineLevel="1">
      <c r="BL29" s="221">
        <v>28</v>
      </c>
      <c r="BM29" s="221" t="str">
        <v>o</v>
      </c>
      <c r="BN29" s="221" t="str">
        <v>ə</v>
      </c>
      <c r="BO29" s="221" t="str">
        <v>k</v>
      </c>
      <c r="BP29" s="221" t="str">
        <v>ㄜ</v>
      </c>
    </row>
    <row r="30" spans="1:68" outlineLevel="1">
      <c r="A30" s="1" t="s">
        <v>5</v>
      </c>
      <c r="B30" s="1">
        <f xml:space="preserve"> LEN(C30)</f>
        <v>58</v>
      </c>
      <c r="C30" s="1" t="str">
        <f xml:space="preserve"> MID($B$24,B26+1, (B27-B26-1))</f>
        <v>!1qas2wxEedGYyhncRrfv8uKj,ikmp/btgz9lM0;Oo*UJ&lt;I(L:5346][7N</v>
      </c>
      <c r="BL30" s="221">
        <v>29</v>
      </c>
      <c r="BM30" s="221" t="str">
        <v>-m</v>
      </c>
      <c r="BN30" s="221" t="str">
        <v>M</v>
      </c>
      <c r="BO30" s="221" t="str">
        <v>m</v>
      </c>
      <c r="BP30" s="221" t="str">
        <v>ㆬ</v>
      </c>
    </row>
    <row r="31" spans="1:68" outlineLevel="1">
      <c r="A31" s="1" t="s">
        <v>7</v>
      </c>
      <c r="B31" s="1">
        <f xml:space="preserve"> LEN(C31)</f>
        <v>58</v>
      </c>
      <c r="C31" s="1" t="str">
        <f xml:space="preserve"> MID($B$24,B27+1, (B28-B27-1))</f>
        <v>ㆠㄅㄆㄇㄋㄉㄊㄌㆣㄍㄎㄫㆡㄗㄘㄙㄏㆢㄐㄑㄒㄚㄧㆨㄨㆤㆦㄜㆬㄣㆭㆴㆵㆻㆷㄞㄠㆰㄢㄤㆱㆲㆩㆪㆫㆥㆧㆮㆯ一七三二五八四入ㄥ</v>
      </c>
      <c r="BL31" s="221">
        <v>30</v>
      </c>
      <c r="BM31" s="221" t="str">
        <v>-n</v>
      </c>
      <c r="BN31" s="221" t="str">
        <v>N</v>
      </c>
      <c r="BO31" s="221" t="str">
        <v>p</v>
      </c>
      <c r="BP31" s="221" t="str">
        <v>ㄣ</v>
      </c>
    </row>
    <row r="32" spans="1:68">
      <c r="BL32" s="221">
        <v>31</v>
      </c>
      <c r="BM32" s="221" t="str">
        <v>-ng</v>
      </c>
      <c r="BN32" s="221" t="str">
        <v>G</v>
      </c>
      <c r="BO32" s="221" t="str">
        <v>/</v>
      </c>
      <c r="BP32" s="221" t="str">
        <v>ㆭ</v>
      </c>
    </row>
    <row r="33" spans="1:68">
      <c r="C33" s="3">
        <f xml:space="preserve"> COLUMN() -2</f>
        <v>1</v>
      </c>
      <c r="D33" s="3">
        <f t="shared" ref="D33:BJ33" si="4" xml:space="preserve"> COLUMN() -2</f>
        <v>2</v>
      </c>
      <c r="E33" s="3">
        <f t="shared" si="4"/>
        <v>3</v>
      </c>
      <c r="F33" s="3">
        <f t="shared" si="4"/>
        <v>4</v>
      </c>
      <c r="G33" s="3">
        <f t="shared" si="4"/>
        <v>5</v>
      </c>
      <c r="H33" s="3">
        <f t="shared" si="4"/>
        <v>6</v>
      </c>
      <c r="I33" s="3">
        <f t="shared" si="4"/>
        <v>7</v>
      </c>
      <c r="J33" s="3">
        <f t="shared" si="4"/>
        <v>8</v>
      </c>
      <c r="K33" s="3">
        <f t="shared" si="4"/>
        <v>9</v>
      </c>
      <c r="L33" s="3">
        <f t="shared" si="4"/>
        <v>10</v>
      </c>
      <c r="M33" s="3">
        <f t="shared" si="4"/>
        <v>11</v>
      </c>
      <c r="N33" s="3">
        <f t="shared" si="4"/>
        <v>12</v>
      </c>
      <c r="O33" s="3">
        <f t="shared" si="4"/>
        <v>13</v>
      </c>
      <c r="P33" s="3">
        <f t="shared" si="4"/>
        <v>14</v>
      </c>
      <c r="Q33" s="3">
        <f t="shared" si="4"/>
        <v>15</v>
      </c>
      <c r="R33" s="3">
        <f t="shared" si="4"/>
        <v>16</v>
      </c>
      <c r="S33" s="3">
        <f t="shared" si="4"/>
        <v>17</v>
      </c>
      <c r="T33" s="3">
        <f t="shared" si="4"/>
        <v>18</v>
      </c>
      <c r="U33" s="3">
        <f t="shared" si="4"/>
        <v>19</v>
      </c>
      <c r="V33" s="3">
        <f t="shared" si="4"/>
        <v>20</v>
      </c>
      <c r="W33" s="3">
        <f t="shared" si="4"/>
        <v>21</v>
      </c>
      <c r="X33" s="3">
        <f t="shared" si="4"/>
        <v>22</v>
      </c>
      <c r="Y33" s="3">
        <f t="shared" si="4"/>
        <v>23</v>
      </c>
      <c r="Z33" s="3">
        <f t="shared" si="4"/>
        <v>24</v>
      </c>
      <c r="AA33" s="3">
        <f t="shared" si="4"/>
        <v>25</v>
      </c>
      <c r="AB33" s="3">
        <f t="shared" si="4"/>
        <v>26</v>
      </c>
      <c r="AC33" s="3">
        <f t="shared" si="4"/>
        <v>27</v>
      </c>
      <c r="AD33" s="3">
        <f t="shared" si="4"/>
        <v>28</v>
      </c>
      <c r="AE33" s="3">
        <f t="shared" si="4"/>
        <v>29</v>
      </c>
      <c r="AF33" s="3">
        <f t="shared" si="4"/>
        <v>30</v>
      </c>
      <c r="AG33" s="3">
        <f t="shared" si="4"/>
        <v>31</v>
      </c>
      <c r="AH33" s="3">
        <f t="shared" si="4"/>
        <v>32</v>
      </c>
      <c r="AI33" s="3">
        <f t="shared" si="4"/>
        <v>33</v>
      </c>
      <c r="AJ33" s="3">
        <f t="shared" si="4"/>
        <v>34</v>
      </c>
      <c r="AK33" s="3">
        <f t="shared" si="4"/>
        <v>35</v>
      </c>
      <c r="AL33" s="3">
        <f t="shared" si="4"/>
        <v>36</v>
      </c>
      <c r="AM33" s="3">
        <f t="shared" si="4"/>
        <v>37</v>
      </c>
      <c r="AN33" s="3">
        <f t="shared" si="4"/>
        <v>38</v>
      </c>
      <c r="AO33" s="3">
        <f t="shared" si="4"/>
        <v>39</v>
      </c>
      <c r="AP33" s="3">
        <f t="shared" si="4"/>
        <v>40</v>
      </c>
      <c r="AQ33" s="3">
        <f t="shared" si="4"/>
        <v>41</v>
      </c>
      <c r="AR33" s="3">
        <f t="shared" si="4"/>
        <v>42</v>
      </c>
      <c r="AS33" s="3">
        <f t="shared" si="4"/>
        <v>43</v>
      </c>
      <c r="AT33" s="3">
        <f t="shared" si="4"/>
        <v>44</v>
      </c>
      <c r="AU33" s="3">
        <f t="shared" si="4"/>
        <v>45</v>
      </c>
      <c r="AV33" s="3">
        <f t="shared" si="4"/>
        <v>46</v>
      </c>
      <c r="AW33" s="3">
        <f t="shared" si="4"/>
        <v>47</v>
      </c>
      <c r="AX33" s="3">
        <f t="shared" si="4"/>
        <v>48</v>
      </c>
      <c r="AY33" s="3">
        <f t="shared" si="4"/>
        <v>49</v>
      </c>
      <c r="AZ33" s="3">
        <f t="shared" si="4"/>
        <v>50</v>
      </c>
      <c r="BA33" s="3">
        <f t="shared" si="4"/>
        <v>51</v>
      </c>
      <c r="BB33" s="3">
        <f t="shared" si="4"/>
        <v>52</v>
      </c>
      <c r="BC33" s="3">
        <f t="shared" si="4"/>
        <v>53</v>
      </c>
      <c r="BD33" s="3">
        <f t="shared" si="4"/>
        <v>54</v>
      </c>
      <c r="BE33" s="3">
        <f t="shared" si="4"/>
        <v>55</v>
      </c>
      <c r="BF33" s="3">
        <f t="shared" si="4"/>
        <v>56</v>
      </c>
      <c r="BG33" s="3">
        <f t="shared" si="4"/>
        <v>57</v>
      </c>
      <c r="BH33" s="3">
        <f t="shared" si="4"/>
        <v>58</v>
      </c>
      <c r="BI33" s="3">
        <f t="shared" si="4"/>
        <v>59</v>
      </c>
      <c r="BJ33" s="3">
        <f t="shared" si="4"/>
        <v>60</v>
      </c>
      <c r="BL33" s="221">
        <v>32</v>
      </c>
      <c r="BM33" s="221" t="str">
        <v>-p</v>
      </c>
      <c r="BN33" s="221" t="str">
        <v>R</v>
      </c>
      <c r="BO33" s="221" t="str">
        <v>b</v>
      </c>
      <c r="BP33" s="221" t="str">
        <v>ㆴ</v>
      </c>
    </row>
    <row r="34" spans="1:68">
      <c r="A34" s="4" t="s">
        <v>4</v>
      </c>
      <c r="C34" s="5" t="str">
        <f>C19</f>
        <v>b</v>
      </c>
      <c r="D34" s="5" t="str">
        <f t="shared" ref="D34:BH34" si="5">D19</f>
        <v>p</v>
      </c>
      <c r="E34" s="5" t="str">
        <f t="shared" si="5"/>
        <v>P</v>
      </c>
      <c r="F34" s="5" t="str">
        <f t="shared" si="5"/>
        <v>m</v>
      </c>
      <c r="G34" s="5" t="str">
        <f t="shared" si="5"/>
        <v>n</v>
      </c>
      <c r="H34" s="5" t="str">
        <f t="shared" si="5"/>
        <v>t</v>
      </c>
      <c r="I34" s="5" t="str">
        <f t="shared" si="5"/>
        <v>T</v>
      </c>
      <c r="J34" s="5" t="str">
        <f t="shared" si="5"/>
        <v>l</v>
      </c>
      <c r="K34" s="5" t="str">
        <f t="shared" si="5"/>
        <v>g</v>
      </c>
      <c r="L34" s="5" t="str">
        <f t="shared" si="5"/>
        <v>k</v>
      </c>
      <c r="M34" s="5" t="str">
        <f t="shared" si="5"/>
        <v>K</v>
      </c>
      <c r="N34" s="5" t="str">
        <f t="shared" si="5"/>
        <v>ŋ</v>
      </c>
      <c r="O34" s="5" t="str">
        <f t="shared" si="5"/>
        <v>j</v>
      </c>
      <c r="P34" s="5" t="str">
        <f t="shared" si="5"/>
        <v>z</v>
      </c>
      <c r="Q34" s="5" t="str">
        <f t="shared" si="5"/>
        <v>c</v>
      </c>
      <c r="R34" s="5" t="str">
        <f t="shared" si="5"/>
        <v>s</v>
      </c>
      <c r="S34" s="5" t="str">
        <f t="shared" si="5"/>
        <v>h</v>
      </c>
      <c r="T34" s="5" t="str">
        <f t="shared" si="5"/>
        <v>J</v>
      </c>
      <c r="U34" s="5" t="str">
        <f t="shared" si="5"/>
        <v>Z</v>
      </c>
      <c r="V34" s="5" t="str">
        <f t="shared" si="5"/>
        <v>C</v>
      </c>
      <c r="W34" s="5" t="str">
        <f t="shared" si="5"/>
        <v>S</v>
      </c>
      <c r="X34" s="5" t="str">
        <f t="shared" si="5"/>
        <v>a</v>
      </c>
      <c r="Y34" s="5" t="str">
        <f t="shared" si="5"/>
        <v>i</v>
      </c>
      <c r="Z34" s="5" t="str">
        <f t="shared" si="5"/>
        <v>w</v>
      </c>
      <c r="AA34" s="5" t="str">
        <f t="shared" si="5"/>
        <v>u</v>
      </c>
      <c r="AB34" s="5" t="str">
        <f t="shared" si="5"/>
        <v>e</v>
      </c>
      <c r="AC34" s="5" t="str">
        <f t="shared" si="5"/>
        <v>O</v>
      </c>
      <c r="AD34" s="5" t="str">
        <f t="shared" si="5"/>
        <v>ə</v>
      </c>
      <c r="AE34" s="5" t="str">
        <f t="shared" si="5"/>
        <v>M</v>
      </c>
      <c r="AF34" s="5" t="str">
        <f t="shared" si="5"/>
        <v>N</v>
      </c>
      <c r="AG34" s="5" t="str">
        <f t="shared" si="5"/>
        <v>G</v>
      </c>
      <c r="AH34" s="5" t="str">
        <f t="shared" si="5"/>
        <v>R</v>
      </c>
      <c r="AI34" s="5" t="str">
        <f t="shared" si="5"/>
        <v>F</v>
      </c>
      <c r="AJ34" s="5" t="str">
        <f t="shared" si="5"/>
        <v>Q</v>
      </c>
      <c r="AK34" s="5" t="str">
        <f t="shared" si="5"/>
        <v>V</v>
      </c>
      <c r="AL34" s="5" t="str">
        <f t="shared" si="5"/>
        <v>I</v>
      </c>
      <c r="AM34" s="5" t="str">
        <f t="shared" si="5"/>
        <v>U</v>
      </c>
      <c r="AN34" s="5" t="str">
        <f t="shared" si="5"/>
        <v>Y</v>
      </c>
      <c r="AO34" s="5" t="str">
        <f t="shared" si="5"/>
        <v>@</v>
      </c>
      <c r="AP34" s="5" t="str">
        <f t="shared" si="5"/>
        <v>A</v>
      </c>
      <c r="AQ34" s="5" t="str">
        <f t="shared" si="5"/>
        <v>W</v>
      </c>
      <c r="AR34" s="5" t="str">
        <f t="shared" si="5"/>
        <v>H</v>
      </c>
      <c r="AS34" s="5" t="str">
        <f t="shared" si="5"/>
        <v>d</v>
      </c>
      <c r="AT34" s="5" t="str">
        <f t="shared" si="5"/>
        <v>f</v>
      </c>
      <c r="AU34" s="5" t="str">
        <f t="shared" si="5"/>
        <v>q</v>
      </c>
      <c r="AV34" s="5" t="str">
        <f t="shared" si="5"/>
        <v>r</v>
      </c>
      <c r="AW34" s="5" t="str">
        <f t="shared" si="5"/>
        <v>v</v>
      </c>
      <c r="AX34" s="5" t="str">
        <f t="shared" si="5"/>
        <v>x</v>
      </c>
      <c r="AY34" s="5" t="str">
        <f t="shared" si="5"/>
        <v>y</v>
      </c>
      <c r="AZ34" s="5" t="str">
        <f t="shared" si="5"/>
        <v>1</v>
      </c>
      <c r="BA34" s="5" t="str">
        <f t="shared" si="5"/>
        <v>7</v>
      </c>
      <c r="BB34" s="5" t="str">
        <f t="shared" si="5"/>
        <v>3</v>
      </c>
      <c r="BC34" s="5" t="str">
        <f t="shared" si="5"/>
        <v>2</v>
      </c>
      <c r="BD34" s="5" t="str">
        <f t="shared" si="5"/>
        <v>5</v>
      </c>
      <c r="BE34" s="5" t="str">
        <f t="shared" si="5"/>
        <v>8</v>
      </c>
      <c r="BF34" s="5" t="str">
        <f t="shared" si="5"/>
        <v>4</v>
      </c>
      <c r="BG34" s="5" t="str">
        <f t="shared" si="5"/>
        <v>0</v>
      </c>
      <c r="BH34" s="5" t="str">
        <f t="shared" si="5"/>
        <v>L</v>
      </c>
      <c r="BI34" s="5" t="str">
        <f xml:space="preserve"> _xlfn.XLOOKUP(BI35, $C$20:$BJ$20,$C$19:$BJ$19, "")</f>
        <v/>
      </c>
      <c r="BJ34" s="5" t="str">
        <f xml:space="preserve"> _xlfn.XLOOKUP(BJ35, $C$20:$BJ$20,$C$19:$BJ$19, "")</f>
        <v/>
      </c>
      <c r="BL34" s="221">
        <v>33</v>
      </c>
      <c r="BM34" s="221" t="str">
        <v>-t</v>
      </c>
      <c r="BN34" s="221" t="str">
        <v>F</v>
      </c>
      <c r="BO34" s="221" t="str">
        <v>t</v>
      </c>
      <c r="BP34" s="221" t="str">
        <v>ㆵ</v>
      </c>
    </row>
    <row r="35" spans="1:68">
      <c r="A35" s="1" t="s">
        <v>5</v>
      </c>
      <c r="C35" s="6" t="str">
        <f t="shared" ref="C35:BJ35" si="6" xml:space="preserve"> MID($C$30,C$33,1)</f>
        <v>!</v>
      </c>
      <c r="D35" s="6" t="str">
        <f t="shared" si="6"/>
        <v>1</v>
      </c>
      <c r="E35" s="6" t="str">
        <f t="shared" si="6"/>
        <v>q</v>
      </c>
      <c r="F35" s="6" t="str">
        <f t="shared" si="6"/>
        <v>a</v>
      </c>
      <c r="G35" s="6" t="str">
        <f t="shared" si="6"/>
        <v>s</v>
      </c>
      <c r="H35" s="6" t="str">
        <f t="shared" si="6"/>
        <v>2</v>
      </c>
      <c r="I35" s="6" t="str">
        <f t="shared" si="6"/>
        <v>w</v>
      </c>
      <c r="J35" s="6" t="str">
        <f t="shared" si="6"/>
        <v>x</v>
      </c>
      <c r="K35" s="6" t="str">
        <f t="shared" si="6"/>
        <v>E</v>
      </c>
      <c r="L35" s="6" t="str">
        <f t="shared" si="6"/>
        <v>e</v>
      </c>
      <c r="M35" s="6" t="str">
        <f t="shared" si="6"/>
        <v>d</v>
      </c>
      <c r="N35" s="6" t="str">
        <f t="shared" si="6"/>
        <v>G</v>
      </c>
      <c r="O35" s="6" t="str">
        <f t="shared" si="6"/>
        <v>Y</v>
      </c>
      <c r="P35" s="6" t="str">
        <f t="shared" si="6"/>
        <v>y</v>
      </c>
      <c r="Q35" s="6" t="str">
        <f t="shared" si="6"/>
        <v>h</v>
      </c>
      <c r="R35" s="6" t="str">
        <f t="shared" si="6"/>
        <v>n</v>
      </c>
      <c r="S35" s="6" t="str">
        <f t="shared" si="6"/>
        <v>c</v>
      </c>
      <c r="T35" s="6" t="str">
        <f t="shared" si="6"/>
        <v>R</v>
      </c>
      <c r="U35" s="6" t="str">
        <f t="shared" si="6"/>
        <v>r</v>
      </c>
      <c r="V35" s="6" t="str">
        <f t="shared" si="6"/>
        <v>f</v>
      </c>
      <c r="W35" s="6" t="str">
        <f t="shared" si="6"/>
        <v>v</v>
      </c>
      <c r="X35" s="6" t="str">
        <f t="shared" si="6"/>
        <v>8</v>
      </c>
      <c r="Y35" s="6" t="str">
        <f t="shared" si="6"/>
        <v>u</v>
      </c>
      <c r="Z35" s="6" t="str">
        <f t="shared" si="6"/>
        <v>K</v>
      </c>
      <c r="AA35" s="6" t="str">
        <f t="shared" si="6"/>
        <v>j</v>
      </c>
      <c r="AB35" s="6" t="str">
        <f t="shared" si="6"/>
        <v>,</v>
      </c>
      <c r="AC35" s="6" t="str">
        <f t="shared" si="6"/>
        <v>i</v>
      </c>
      <c r="AD35" s="6" t="str">
        <f t="shared" si="6"/>
        <v>k</v>
      </c>
      <c r="AE35" s="6" t="str">
        <f t="shared" si="6"/>
        <v>m</v>
      </c>
      <c r="AF35" s="6" t="str">
        <f t="shared" si="6"/>
        <v>p</v>
      </c>
      <c r="AG35" s="6" t="str">
        <f t="shared" si="6"/>
        <v>/</v>
      </c>
      <c r="AH35" s="6" t="str">
        <f t="shared" si="6"/>
        <v>b</v>
      </c>
      <c r="AI35" s="6" t="str">
        <f t="shared" si="6"/>
        <v>t</v>
      </c>
      <c r="AJ35" s="6" t="str">
        <f t="shared" si="6"/>
        <v>g</v>
      </c>
      <c r="AK35" s="6" t="str">
        <f t="shared" si="6"/>
        <v>z</v>
      </c>
      <c r="AL35" s="6" t="str">
        <f t="shared" si="6"/>
        <v>9</v>
      </c>
      <c r="AM35" s="6" t="str">
        <f t="shared" si="6"/>
        <v>l</v>
      </c>
      <c r="AN35" s="6" t="str">
        <f t="shared" si="6"/>
        <v>M</v>
      </c>
      <c r="AO35" s="6" t="str">
        <f t="shared" si="6"/>
        <v>0</v>
      </c>
      <c r="AP35" s="6" t="str">
        <f t="shared" si="6"/>
        <v>;</v>
      </c>
      <c r="AQ35" s="6" t="str">
        <f t="shared" si="6"/>
        <v>O</v>
      </c>
      <c r="AR35" s="6" t="str">
        <f t="shared" si="6"/>
        <v>o</v>
      </c>
      <c r="AS35" s="6" t="str">
        <f t="shared" si="6"/>
        <v>*</v>
      </c>
      <c r="AT35" s="6" t="str">
        <f t="shared" si="6"/>
        <v>U</v>
      </c>
      <c r="AU35" s="6" t="str">
        <f t="shared" si="6"/>
        <v>J</v>
      </c>
      <c r="AV35" s="6" t="str">
        <f t="shared" si="6"/>
        <v>&lt;</v>
      </c>
      <c r="AW35" s="6" t="str">
        <f t="shared" si="6"/>
        <v>I</v>
      </c>
      <c r="AX35" s="6" t="str">
        <f t="shared" si="6"/>
        <v>(</v>
      </c>
      <c r="AY35" s="6" t="str">
        <f t="shared" si="6"/>
        <v>L</v>
      </c>
      <c r="AZ35" s="6" t="str">
        <f t="shared" si="6"/>
        <v>:</v>
      </c>
      <c r="BA35" s="6" t="str">
        <f t="shared" si="6"/>
        <v>5</v>
      </c>
      <c r="BB35" s="6" t="str">
        <f t="shared" si="6"/>
        <v>3</v>
      </c>
      <c r="BC35" s="6" t="str">
        <f t="shared" si="6"/>
        <v>4</v>
      </c>
      <c r="BD35" s="6" t="str">
        <f t="shared" si="6"/>
        <v>6</v>
      </c>
      <c r="BE35" s="6" t="str">
        <f t="shared" si="6"/>
        <v>]</v>
      </c>
      <c r="BF35" s="6" t="str">
        <f t="shared" si="6"/>
        <v>[</v>
      </c>
      <c r="BG35" s="6" t="str">
        <f t="shared" si="6"/>
        <v>7</v>
      </c>
      <c r="BH35" s="6" t="str">
        <f t="shared" si="6"/>
        <v>N</v>
      </c>
      <c r="BI35" s="6" t="str">
        <f t="shared" si="6"/>
        <v/>
      </c>
      <c r="BJ35" s="6" t="str">
        <f t="shared" si="6"/>
        <v/>
      </c>
      <c r="BL35" s="221">
        <v>34</v>
      </c>
      <c r="BM35" s="221" t="str">
        <v>-k</v>
      </c>
      <c r="BN35" s="221" t="str">
        <v>Q</v>
      </c>
      <c r="BO35" s="221" t="str">
        <v>g</v>
      </c>
      <c r="BP35" s="221" t="str">
        <v>ㆻ</v>
      </c>
    </row>
    <row r="36" spans="1:68">
      <c r="A36" s="1" t="s">
        <v>7</v>
      </c>
      <c r="C36" s="8" t="str">
        <f t="shared" ref="C36:BJ36" si="7" xml:space="preserve"> MID($C$31,C$33,1)</f>
        <v>ㆠ</v>
      </c>
      <c r="D36" s="8" t="str">
        <f t="shared" si="7"/>
        <v>ㄅ</v>
      </c>
      <c r="E36" s="8" t="str">
        <f t="shared" si="7"/>
        <v>ㄆ</v>
      </c>
      <c r="F36" s="8" t="str">
        <f t="shared" si="7"/>
        <v>ㄇ</v>
      </c>
      <c r="G36" s="8" t="str">
        <f t="shared" si="7"/>
        <v>ㄋ</v>
      </c>
      <c r="H36" s="8" t="str">
        <f t="shared" si="7"/>
        <v>ㄉ</v>
      </c>
      <c r="I36" s="8" t="str">
        <f t="shared" si="7"/>
        <v>ㄊ</v>
      </c>
      <c r="J36" s="8" t="str">
        <f t="shared" si="7"/>
        <v>ㄌ</v>
      </c>
      <c r="K36" s="8" t="str">
        <f t="shared" si="7"/>
        <v>ㆣ</v>
      </c>
      <c r="L36" s="8" t="str">
        <f t="shared" si="7"/>
        <v>ㄍ</v>
      </c>
      <c r="M36" s="8" t="str">
        <f t="shared" si="7"/>
        <v>ㄎ</v>
      </c>
      <c r="N36" s="8" t="str">
        <f t="shared" si="7"/>
        <v>ㄫ</v>
      </c>
      <c r="O36" s="8" t="str">
        <f t="shared" si="7"/>
        <v>ㆡ</v>
      </c>
      <c r="P36" s="8" t="str">
        <f t="shared" si="7"/>
        <v>ㄗ</v>
      </c>
      <c r="Q36" s="8" t="str">
        <f t="shared" si="7"/>
        <v>ㄘ</v>
      </c>
      <c r="R36" s="8" t="str">
        <f t="shared" si="7"/>
        <v>ㄙ</v>
      </c>
      <c r="S36" s="8" t="str">
        <f t="shared" si="7"/>
        <v>ㄏ</v>
      </c>
      <c r="T36" s="8" t="str">
        <f t="shared" si="7"/>
        <v>ㆢ</v>
      </c>
      <c r="U36" s="8" t="str">
        <f t="shared" si="7"/>
        <v>ㄐ</v>
      </c>
      <c r="V36" s="8" t="str">
        <f t="shared" si="7"/>
        <v>ㄑ</v>
      </c>
      <c r="W36" s="8" t="str">
        <f t="shared" si="7"/>
        <v>ㄒ</v>
      </c>
      <c r="X36" s="8" t="str">
        <f t="shared" si="7"/>
        <v>ㄚ</v>
      </c>
      <c r="Y36" s="8" t="str">
        <f t="shared" si="7"/>
        <v>ㄧ</v>
      </c>
      <c r="Z36" s="8" t="str">
        <f t="shared" si="7"/>
        <v>ㆨ</v>
      </c>
      <c r="AA36" s="8" t="str">
        <f t="shared" si="7"/>
        <v>ㄨ</v>
      </c>
      <c r="AB36" s="8" t="str">
        <f t="shared" si="7"/>
        <v>ㆤ</v>
      </c>
      <c r="AC36" s="8" t="str">
        <f t="shared" si="7"/>
        <v>ㆦ</v>
      </c>
      <c r="AD36" s="8" t="str">
        <f t="shared" si="7"/>
        <v>ㄜ</v>
      </c>
      <c r="AE36" s="8" t="str">
        <f t="shared" si="7"/>
        <v>ㆬ</v>
      </c>
      <c r="AF36" s="8" t="str">
        <f t="shared" si="7"/>
        <v>ㄣ</v>
      </c>
      <c r="AG36" s="8" t="str">
        <f t="shared" si="7"/>
        <v>ㆭ</v>
      </c>
      <c r="AH36" s="8" t="str">
        <f t="shared" si="7"/>
        <v>ㆴ</v>
      </c>
      <c r="AI36" s="8" t="str">
        <f t="shared" si="7"/>
        <v>ㆵ</v>
      </c>
      <c r="AJ36" s="8" t="str">
        <f t="shared" si="7"/>
        <v>ㆻ</v>
      </c>
      <c r="AK36" s="8" t="str">
        <f t="shared" si="7"/>
        <v>ㆷ</v>
      </c>
      <c r="AL36" s="8" t="str">
        <f t="shared" si="7"/>
        <v>ㄞ</v>
      </c>
      <c r="AM36" s="8" t="str">
        <f t="shared" si="7"/>
        <v>ㄠ</v>
      </c>
      <c r="AN36" s="8" t="str">
        <f t="shared" si="7"/>
        <v>ㆰ</v>
      </c>
      <c r="AO36" s="8" t="str">
        <f t="shared" si="7"/>
        <v>ㄢ</v>
      </c>
      <c r="AP36" s="8" t="str">
        <f t="shared" si="7"/>
        <v>ㄤ</v>
      </c>
      <c r="AQ36" s="8" t="str">
        <f t="shared" si="7"/>
        <v>ㆱ</v>
      </c>
      <c r="AR36" s="8" t="str">
        <f t="shared" si="7"/>
        <v>ㆲ</v>
      </c>
      <c r="AS36" s="8" t="str">
        <f t="shared" si="7"/>
        <v>ㆩ</v>
      </c>
      <c r="AT36" s="8" t="str">
        <f t="shared" si="7"/>
        <v>ㆪ</v>
      </c>
      <c r="AU36" s="8" t="str">
        <f t="shared" si="7"/>
        <v>ㆫ</v>
      </c>
      <c r="AV36" s="8" t="str">
        <f t="shared" si="7"/>
        <v>ㆥ</v>
      </c>
      <c r="AW36" s="8" t="str">
        <f t="shared" si="7"/>
        <v>ㆧ</v>
      </c>
      <c r="AX36" s="8" t="str">
        <f t="shared" si="7"/>
        <v>ㆮ</v>
      </c>
      <c r="AY36" s="8" t="str">
        <f t="shared" si="7"/>
        <v>ㆯ</v>
      </c>
      <c r="AZ36" s="8" t="str">
        <f t="shared" si="7"/>
        <v>一</v>
      </c>
      <c r="BA36" s="8" t="str">
        <f t="shared" si="7"/>
        <v>七</v>
      </c>
      <c r="BB36" s="8" t="str">
        <f t="shared" si="7"/>
        <v>三</v>
      </c>
      <c r="BC36" s="8" t="str">
        <f t="shared" si="7"/>
        <v>二</v>
      </c>
      <c r="BD36" s="8" t="str">
        <f t="shared" si="7"/>
        <v>五</v>
      </c>
      <c r="BE36" s="8" t="str">
        <f t="shared" si="7"/>
        <v>八</v>
      </c>
      <c r="BF36" s="8" t="str">
        <f t="shared" si="7"/>
        <v>四</v>
      </c>
      <c r="BG36" s="8" t="str">
        <f t="shared" si="7"/>
        <v>入</v>
      </c>
      <c r="BH36" s="8" t="str">
        <f t="shared" si="7"/>
        <v>ㄥ</v>
      </c>
      <c r="BI36" s="8" t="str">
        <f t="shared" si="7"/>
        <v/>
      </c>
      <c r="BJ36" s="8" t="str">
        <f t="shared" si="7"/>
        <v/>
      </c>
      <c r="BL36" s="221">
        <v>35</v>
      </c>
      <c r="BM36" s="221" t="str">
        <v>-h</v>
      </c>
      <c r="BN36" s="221" t="str">
        <v>V</v>
      </c>
      <c r="BO36" s="221" t="str">
        <v>z</v>
      </c>
      <c r="BP36" s="221" t="str">
        <v>ㆷ</v>
      </c>
    </row>
    <row r="37" spans="1:68">
      <c r="BL37" s="221">
        <v>36</v>
      </c>
      <c r="BM37" s="221" t="str">
        <v>ai</v>
      </c>
      <c r="BN37" s="223" t="str">
        <v>I</v>
      </c>
      <c r="BO37" s="221" t="str">
        <v>9</v>
      </c>
      <c r="BP37" s="221" t="str">
        <v>ㄞ</v>
      </c>
    </row>
    <row r="38" spans="1:68">
      <c r="BL38" s="221">
        <v>37</v>
      </c>
      <c r="BM38" s="221" t="str">
        <v>au</v>
      </c>
      <c r="BN38" s="223" t="str">
        <v>U</v>
      </c>
      <c r="BO38" s="221" t="str">
        <v>l</v>
      </c>
      <c r="BP38" s="221" t="str">
        <v>ㄠ</v>
      </c>
    </row>
    <row r="39" spans="1:68">
      <c r="BL39" s="221">
        <v>38</v>
      </c>
      <c r="BM39" s="221" t="str">
        <v>am</v>
      </c>
      <c r="BN39" s="223" t="str">
        <v>Y</v>
      </c>
      <c r="BO39" s="221" t="str">
        <v>M</v>
      </c>
      <c r="BP39" s="221" t="str">
        <v>ㆰ</v>
      </c>
    </row>
    <row r="40" spans="1:68">
      <c r="BL40" s="221">
        <v>39</v>
      </c>
      <c r="BM40" s="221" t="str">
        <v>an</v>
      </c>
      <c r="BN40" s="223" t="str">
        <v>@</v>
      </c>
      <c r="BO40" s="221" t="str">
        <v>0</v>
      </c>
      <c r="BP40" s="221" t="str">
        <v>ㄢ</v>
      </c>
    </row>
    <row r="41" spans="1:68">
      <c r="BL41" s="221">
        <v>40</v>
      </c>
      <c r="BM41" s="221" t="str">
        <v>ang</v>
      </c>
      <c r="BN41" s="223" t="str">
        <v>A</v>
      </c>
      <c r="BO41" s="221" t="str">
        <v>;</v>
      </c>
      <c r="BP41" s="221" t="str">
        <v>ㄤ</v>
      </c>
    </row>
    <row r="42" spans="1:68">
      <c r="BL42" s="221">
        <v>41</v>
      </c>
      <c r="BM42" s="221" t="str">
        <v>om</v>
      </c>
      <c r="BN42" s="223" t="str">
        <v>W</v>
      </c>
      <c r="BO42" s="221" t="str">
        <v>O</v>
      </c>
      <c r="BP42" s="221" t="str">
        <v>ㆱ</v>
      </c>
    </row>
    <row r="43" spans="1:68">
      <c r="BL43" s="221">
        <v>42</v>
      </c>
      <c r="BM43" s="221" t="str">
        <v>ong</v>
      </c>
      <c r="BN43" s="223" t="str">
        <v>H</v>
      </c>
      <c r="BO43" s="221" t="str">
        <v>o</v>
      </c>
      <c r="BP43" s="221" t="str">
        <v>ㆲ</v>
      </c>
    </row>
    <row r="44" spans="1:68">
      <c r="BL44" s="221">
        <v>43</v>
      </c>
      <c r="BM44" s="221" t="str">
        <v>aⁿ</v>
      </c>
      <c r="BN44" s="223" t="str">
        <v>d</v>
      </c>
      <c r="BO44" s="221" t="str">
        <v>*</v>
      </c>
      <c r="BP44" s="221" t="str">
        <v>ㆩ</v>
      </c>
    </row>
    <row r="45" spans="1:68">
      <c r="BL45" s="221">
        <v>44</v>
      </c>
      <c r="BM45" s="221" t="str">
        <v>iⁿ</v>
      </c>
      <c r="BN45" s="223" t="str">
        <v>f</v>
      </c>
      <c r="BO45" s="221" t="str">
        <v>U</v>
      </c>
      <c r="BP45" s="221" t="str">
        <v>ㆪ</v>
      </c>
    </row>
    <row r="46" spans="1:68">
      <c r="BL46" s="221">
        <v>45</v>
      </c>
      <c r="BM46" s="221" t="str">
        <v>uⁿ</v>
      </c>
      <c r="BN46" s="223" t="str">
        <v>q</v>
      </c>
      <c r="BO46" s="221" t="str">
        <v>J</v>
      </c>
      <c r="BP46" s="221" t="str">
        <v>ㆫ</v>
      </c>
    </row>
    <row r="47" spans="1:68">
      <c r="BL47" s="221">
        <v>46</v>
      </c>
      <c r="BM47" s="221" t="str">
        <v>eⁿ</v>
      </c>
      <c r="BN47" s="223" t="str">
        <v>r</v>
      </c>
      <c r="BO47" s="221" t="str">
        <v>&lt;</v>
      </c>
      <c r="BP47" s="221" t="str">
        <v>ㆥ</v>
      </c>
    </row>
    <row r="48" spans="1:68">
      <c r="BL48" s="221">
        <v>47</v>
      </c>
      <c r="BM48" s="221" t="str">
        <v>oⁿ</v>
      </c>
      <c r="BN48" s="223" t="str">
        <v>v</v>
      </c>
      <c r="BO48" s="221" t="str">
        <v>I</v>
      </c>
      <c r="BP48" s="221" t="str">
        <v>ㆧ</v>
      </c>
    </row>
    <row r="49" spans="64:68">
      <c r="BL49" s="221">
        <v>48</v>
      </c>
      <c r="BM49" s="221" t="str">
        <v>aiⁿ</v>
      </c>
      <c r="BN49" s="223" t="str">
        <v>x</v>
      </c>
      <c r="BO49" s="221" t="str">
        <v>(</v>
      </c>
      <c r="BP49" s="221" t="str">
        <v>ㆮ</v>
      </c>
    </row>
    <row r="50" spans="64:68">
      <c r="BL50" s="221">
        <v>49</v>
      </c>
      <c r="BM50" s="221" t="str">
        <v>auⁿ</v>
      </c>
      <c r="BN50" s="223" t="str">
        <v>y</v>
      </c>
      <c r="BO50" s="221" t="str">
        <v>L</v>
      </c>
      <c r="BP50" s="221" t="str">
        <v>ㆯ</v>
      </c>
    </row>
    <row r="51" spans="64:68">
      <c r="BL51" s="221">
        <v>50</v>
      </c>
      <c r="BM51" s="221">
        <v>1</v>
      </c>
      <c r="BN51" s="221">
        <v>1</v>
      </c>
      <c r="BO51" s="221" t="str">
        <v>:</v>
      </c>
      <c r="BP51" s="221" t="str">
        <v>一</v>
      </c>
    </row>
    <row r="52" spans="64:68">
      <c r="BL52" s="221">
        <v>51</v>
      </c>
      <c r="BM52" s="221">
        <v>7</v>
      </c>
      <c r="BN52" s="221">
        <v>7</v>
      </c>
      <c r="BO52" s="221">
        <v>5</v>
      </c>
      <c r="BP52" s="221" t="str">
        <v>七</v>
      </c>
    </row>
    <row r="53" spans="64:68">
      <c r="BL53" s="221">
        <v>52</v>
      </c>
      <c r="BM53" s="221">
        <v>3</v>
      </c>
      <c r="BN53" s="221">
        <v>3</v>
      </c>
      <c r="BO53" s="221">
        <v>3</v>
      </c>
      <c r="BP53" s="221" t="str">
        <v>三</v>
      </c>
    </row>
    <row r="54" spans="64:68">
      <c r="BL54" s="221">
        <v>53</v>
      </c>
      <c r="BM54" s="221">
        <v>2</v>
      </c>
      <c r="BN54" s="221">
        <v>2</v>
      </c>
      <c r="BO54" s="221">
        <v>4</v>
      </c>
      <c r="BP54" s="221" t="str">
        <v>二</v>
      </c>
    </row>
    <row r="55" spans="64:68">
      <c r="BL55" s="221">
        <v>54</v>
      </c>
      <c r="BM55" s="221">
        <v>5</v>
      </c>
      <c r="BN55" s="221">
        <v>5</v>
      </c>
      <c r="BO55" s="221">
        <v>6</v>
      </c>
      <c r="BP55" s="221" t="str">
        <v>五</v>
      </c>
    </row>
    <row r="56" spans="64:68">
      <c r="BL56" s="221">
        <v>55</v>
      </c>
      <c r="BM56" s="221">
        <v>8</v>
      </c>
      <c r="BN56" s="221">
        <v>8</v>
      </c>
      <c r="BO56" s="221" t="str">
        <v>]</v>
      </c>
      <c r="BP56" s="221" t="str">
        <v>八</v>
      </c>
    </row>
    <row r="57" spans="64:68">
      <c r="BL57" s="221">
        <v>56</v>
      </c>
      <c r="BM57" s="221">
        <v>4</v>
      </c>
      <c r="BN57" s="221">
        <v>4</v>
      </c>
      <c r="BO57" s="221" t="str">
        <v>[</v>
      </c>
      <c r="BP57" s="221" t="str">
        <v>四</v>
      </c>
    </row>
    <row r="58" spans="64:68">
      <c r="BL58" s="221">
        <v>57</v>
      </c>
      <c r="BM58" s="221">
        <v>0</v>
      </c>
      <c r="BN58" s="221">
        <v>0</v>
      </c>
      <c r="BO58" s="221">
        <v>7</v>
      </c>
      <c r="BP58" s="221" t="str">
        <v>入</v>
      </c>
    </row>
    <row r="59" spans="64:68">
      <c r="BL59" s="221">
        <v>58</v>
      </c>
      <c r="BM59" s="221" t="str">
        <v>L</v>
      </c>
      <c r="BN59" s="221" t="str">
        <v>L</v>
      </c>
      <c r="BO59" s="221" t="str">
        <v>N</v>
      </c>
      <c r="BP59" s="221" t="str">
        <v>ㄥ</v>
      </c>
    </row>
    <row r="60" spans="64:68">
      <c r="BL60" s="1">
        <v>59</v>
      </c>
      <c r="BM60" s="1" t="str">
        <v/>
      </c>
      <c r="BN60" s="1" t="str">
        <v/>
      </c>
      <c r="BO60" s="1" t="str">
        <v/>
      </c>
      <c r="BP60" s="1" t="str">
        <v/>
      </c>
    </row>
    <row r="61" spans="64:68">
      <c r="BL61" s="1">
        <v>60</v>
      </c>
      <c r="BM61" s="1">
        <v>0</v>
      </c>
      <c r="BN61" s="1">
        <v>0</v>
      </c>
      <c r="BO61" s="1">
        <v>0</v>
      </c>
      <c r="BP61" s="1"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tabSelected="1" topLeftCell="E1"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4" t="s">
        <v>313</v>
      </c>
      <c r="C2" s="234" t="s">
        <v>321</v>
      </c>
      <c r="D2" s="234" t="s">
        <v>300</v>
      </c>
      <c r="E2" s="234" t="s">
        <v>314</v>
      </c>
      <c r="F2" s="234" t="s">
        <v>66</v>
      </c>
      <c r="G2" s="234" t="s">
        <v>5</v>
      </c>
      <c r="I2" s="234" t="s">
        <v>313</v>
      </c>
      <c r="J2" s="234" t="s">
        <v>321</v>
      </c>
      <c r="K2" s="234" t="s">
        <v>300</v>
      </c>
      <c r="L2" s="234" t="s">
        <v>314</v>
      </c>
      <c r="M2" s="234" t="s">
        <v>66</v>
      </c>
      <c r="N2" s="234" t="s">
        <v>5</v>
      </c>
    </row>
    <row r="3" spans="2:26" ht="32.25">
      <c r="B3" s="224" t="s">
        <v>305</v>
      </c>
      <c r="C3" s="224" t="s">
        <v>322</v>
      </c>
      <c r="D3" s="225">
        <v>1</v>
      </c>
      <c r="E3" s="226" t="s">
        <v>302</v>
      </c>
      <c r="F3" s="227" t="s">
        <v>295</v>
      </c>
      <c r="G3" s="224" t="s">
        <v>297</v>
      </c>
      <c r="I3" s="224" t="s">
        <v>305</v>
      </c>
      <c r="J3" s="224" t="s">
        <v>322</v>
      </c>
      <c r="K3" s="225">
        <v>1</v>
      </c>
      <c r="L3" s="226" t="s">
        <v>302</v>
      </c>
      <c r="M3" s="227" t="s">
        <v>295</v>
      </c>
      <c r="N3" s="224" t="s">
        <v>297</v>
      </c>
      <c r="P3" s="235" cm="1">
        <f t="array" ref="P3:W3" xml:space="preserve"> TRANSPOSE(K3:K10)</f>
        <v>1</v>
      </c>
      <c r="Q3" s="235">
        <v>7</v>
      </c>
      <c r="R3" s="235">
        <v>3</v>
      </c>
      <c r="S3" s="235">
        <v>2</v>
      </c>
      <c r="T3" s="235">
        <v>5</v>
      </c>
      <c r="U3" s="235">
        <v>8</v>
      </c>
      <c r="V3" s="235">
        <v>4</v>
      </c>
      <c r="W3" s="235">
        <v>0</v>
      </c>
      <c r="X3" s="235" t="s">
        <v>331</v>
      </c>
      <c r="Z3" t="str">
        <f xml:space="preserve"> _xlfn.CONCAT("    - xform/", L3, "/", M3, "/")</f>
        <v xml:space="preserve">    - xform/一/ˉ/</v>
      </c>
    </row>
    <row r="4" spans="2:26" ht="32.25">
      <c r="B4" s="224" t="s">
        <v>306</v>
      </c>
      <c r="C4" s="224" t="s">
        <v>323</v>
      </c>
      <c r="D4" s="225">
        <v>2</v>
      </c>
      <c r="E4" s="226" t="s">
        <v>315</v>
      </c>
      <c r="F4" s="227" t="s">
        <v>49</v>
      </c>
      <c r="G4" s="224">
        <v>4</v>
      </c>
      <c r="I4" s="229" t="s">
        <v>311</v>
      </c>
      <c r="J4" s="229" t="s">
        <v>330</v>
      </c>
      <c r="K4" s="230">
        <v>7</v>
      </c>
      <c r="L4" s="233" t="s">
        <v>318</v>
      </c>
      <c r="M4" s="232" t="s">
        <v>51</v>
      </c>
      <c r="N4" s="229">
        <v>5</v>
      </c>
      <c r="P4" s="235" t="str" cm="1">
        <f t="array" ref="P4:W4" xml:space="preserve"> TRANSPOSE(N3:N10)</f>
        <v>:</v>
      </c>
      <c r="Q4" s="235">
        <v>5</v>
      </c>
      <c r="R4" s="235">
        <v>3</v>
      </c>
      <c r="S4" s="235">
        <v>4</v>
      </c>
      <c r="T4" s="235">
        <v>6</v>
      </c>
      <c r="U4" s="235" t="str">
        <v>]</v>
      </c>
      <c r="V4" s="235" t="str">
        <v>[</v>
      </c>
      <c r="W4" s="235">
        <v>7</v>
      </c>
      <c r="X4" s="235" t="s">
        <v>5</v>
      </c>
      <c r="Z4" t="str">
        <f t="shared" ref="Z4:Z10" si="0" xml:space="preserve"> _xlfn.CONCAT("    - xform/", L4, "/", M4, "/")</f>
        <v xml:space="preserve">    - xform/七/˫/</v>
      </c>
    </row>
    <row r="5" spans="2:26" ht="32.25">
      <c r="B5" s="224" t="s">
        <v>307</v>
      </c>
      <c r="C5" s="224" t="s">
        <v>324</v>
      </c>
      <c r="D5" s="225">
        <v>3</v>
      </c>
      <c r="E5" s="228" t="s">
        <v>316</v>
      </c>
      <c r="F5" s="227" t="s">
        <v>47</v>
      </c>
      <c r="G5" s="224">
        <v>3</v>
      </c>
      <c r="I5" s="224" t="s">
        <v>307</v>
      </c>
      <c r="J5" s="224" t="s">
        <v>324</v>
      </c>
      <c r="K5" s="225">
        <v>3</v>
      </c>
      <c r="L5" s="228" t="s">
        <v>316</v>
      </c>
      <c r="M5" s="227" t="s">
        <v>47</v>
      </c>
      <c r="N5" s="224">
        <v>3</v>
      </c>
      <c r="P5" s="236" t="str" cm="1">
        <f t="array" ref="P5:W5" xml:space="preserve"> TRANSPOSE(L3:L10)</f>
        <v>一</v>
      </c>
      <c r="Q5" s="236" t="str">
        <v>七</v>
      </c>
      <c r="R5" s="236" t="str">
        <v>三</v>
      </c>
      <c r="S5" s="236" t="str">
        <v>二</v>
      </c>
      <c r="T5" s="236" t="str">
        <v>五</v>
      </c>
      <c r="U5" s="237" t="str">
        <v>八</v>
      </c>
      <c r="V5" s="236" t="str">
        <v>四</v>
      </c>
      <c r="W5" s="236" t="str">
        <v>入</v>
      </c>
      <c r="X5" s="235" t="s">
        <v>332</v>
      </c>
      <c r="Z5" t="str">
        <f t="shared" si="0"/>
        <v xml:space="preserve">    - xform/三/˪/</v>
      </c>
    </row>
    <row r="6" spans="2:26" ht="32.25">
      <c r="B6" s="224" t="s">
        <v>308</v>
      </c>
      <c r="C6" s="224" t="s">
        <v>325</v>
      </c>
      <c r="D6" s="225">
        <v>4</v>
      </c>
      <c r="E6" s="228" t="s">
        <v>303</v>
      </c>
      <c r="F6" s="227" t="s">
        <v>295</v>
      </c>
      <c r="G6" s="224" t="s">
        <v>319</v>
      </c>
      <c r="I6" s="224" t="s">
        <v>306</v>
      </c>
      <c r="J6" s="224" t="s">
        <v>323</v>
      </c>
      <c r="K6" s="225">
        <v>2</v>
      </c>
      <c r="L6" s="226" t="s">
        <v>315</v>
      </c>
      <c r="M6" s="227" t="s">
        <v>49</v>
      </c>
      <c r="N6" s="224">
        <v>4</v>
      </c>
      <c r="P6" s="236" t="s">
        <v>295</v>
      </c>
      <c r="Q6" s="236" t="s">
        <v>51</v>
      </c>
      <c r="R6" s="236" t="s">
        <v>47</v>
      </c>
      <c r="S6" s="236" t="s">
        <v>49</v>
      </c>
      <c r="T6" s="236" t="s">
        <v>53</v>
      </c>
      <c r="U6" s="237" t="s">
        <v>296</v>
      </c>
      <c r="V6" s="236" t="s">
        <v>295</v>
      </c>
      <c r="W6" s="236" t="s">
        <v>63</v>
      </c>
      <c r="Z6" t="str">
        <f t="shared" si="0"/>
        <v xml:space="preserve">    - xform/二/ˋ/</v>
      </c>
    </row>
    <row r="7" spans="2:26" ht="32.25">
      <c r="B7" s="229" t="s">
        <v>309</v>
      </c>
      <c r="C7" s="229" t="s">
        <v>328</v>
      </c>
      <c r="D7" s="230">
        <v>5</v>
      </c>
      <c r="E7" s="231" t="s">
        <v>304</v>
      </c>
      <c r="F7" s="232" t="s">
        <v>53</v>
      </c>
      <c r="G7" s="229">
        <v>6</v>
      </c>
      <c r="I7" s="229" t="s">
        <v>309</v>
      </c>
      <c r="J7" s="229" t="s">
        <v>328</v>
      </c>
      <c r="K7" s="230">
        <v>5</v>
      </c>
      <c r="L7" s="231" t="s">
        <v>304</v>
      </c>
      <c r="M7" s="232" t="s">
        <v>53</v>
      </c>
      <c r="N7" s="229">
        <v>6</v>
      </c>
      <c r="Z7" t="str">
        <f t="shared" si="0"/>
        <v xml:space="preserve">    - xform/五/ˊ/</v>
      </c>
    </row>
    <row r="8" spans="2:26" ht="32.25">
      <c r="B8" s="229" t="s">
        <v>310</v>
      </c>
      <c r="C8" s="229" t="s">
        <v>329</v>
      </c>
      <c r="D8" s="230">
        <v>6</v>
      </c>
      <c r="E8" s="231" t="s">
        <v>317</v>
      </c>
      <c r="F8" s="232" t="s">
        <v>49</v>
      </c>
      <c r="G8" s="229"/>
      <c r="I8" s="229" t="s">
        <v>312</v>
      </c>
      <c r="J8" s="229" t="s">
        <v>326</v>
      </c>
      <c r="K8" s="230">
        <v>8</v>
      </c>
      <c r="L8" s="231" t="s">
        <v>301</v>
      </c>
      <c r="M8" s="232" t="s">
        <v>296</v>
      </c>
      <c r="N8" s="229" t="s">
        <v>298</v>
      </c>
      <c r="Z8" t="str">
        <f t="shared" si="0"/>
        <v xml:space="preserve">    - xform/八/˙/</v>
      </c>
    </row>
    <row r="9" spans="2:26" ht="32.25">
      <c r="B9" s="229" t="s">
        <v>311</v>
      </c>
      <c r="C9" s="229" t="s">
        <v>330</v>
      </c>
      <c r="D9" s="230">
        <v>7</v>
      </c>
      <c r="E9" s="233" t="s">
        <v>318</v>
      </c>
      <c r="F9" s="232" t="s">
        <v>51</v>
      </c>
      <c r="G9" s="229">
        <v>5</v>
      </c>
      <c r="I9" s="224" t="s">
        <v>308</v>
      </c>
      <c r="J9" s="224" t="s">
        <v>325</v>
      </c>
      <c r="K9" s="225">
        <v>4</v>
      </c>
      <c r="L9" s="228" t="s">
        <v>303</v>
      </c>
      <c r="M9" s="227" t="s">
        <v>295</v>
      </c>
      <c r="N9" s="224" t="s">
        <v>319</v>
      </c>
      <c r="Z9" t="str">
        <f t="shared" si="0"/>
        <v xml:space="preserve">    - xform/四/ˉ/</v>
      </c>
    </row>
    <row r="10" spans="2:26" ht="32.25">
      <c r="B10" s="229" t="s">
        <v>312</v>
      </c>
      <c r="C10" s="229" t="s">
        <v>326</v>
      </c>
      <c r="D10" s="230">
        <v>8</v>
      </c>
      <c r="E10" s="231" t="s">
        <v>301</v>
      </c>
      <c r="F10" s="232" t="s">
        <v>296</v>
      </c>
      <c r="G10" s="229" t="s">
        <v>298</v>
      </c>
      <c r="I10" s="229" t="s">
        <v>320</v>
      </c>
      <c r="J10" s="229" t="s">
        <v>327</v>
      </c>
      <c r="K10" s="230">
        <v>0</v>
      </c>
      <c r="L10" s="232" t="s">
        <v>299</v>
      </c>
      <c r="M10" s="232" t="s">
        <v>299</v>
      </c>
      <c r="N10" s="229">
        <v>7</v>
      </c>
    </row>
    <row r="11" spans="2:26" ht="32.25">
      <c r="B11" s="229" t="s">
        <v>320</v>
      </c>
      <c r="C11" s="229" t="s">
        <v>327</v>
      </c>
      <c r="D11" s="230">
        <v>0</v>
      </c>
      <c r="E11" s="231" t="s">
        <v>301</v>
      </c>
      <c r="F11" s="232" t="s">
        <v>299</v>
      </c>
      <c r="G11" s="229">
        <v>7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zoomScale="40" zoomScaleNormal="40" workbookViewId="0">
      <selection activeCell="CX15" sqref="CX15:CX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290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290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290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290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290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290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290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287</v>
      </c>
      <c r="BT5" s="95">
        <f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c(tsh)</v>
      </c>
      <c r="CR5" s="98" t="str">
        <v>c</v>
      </c>
      <c r="CS5" s="99" t="str">
        <v>h</v>
      </c>
      <c r="CT5" s="83" t="str">
        <v>ㄘ</v>
      </c>
      <c r="CU5" s="101" t="str">
        <v>聲</v>
      </c>
      <c r="CV5" s="102">
        <v>6</v>
      </c>
      <c r="CX5" s="103" t="str">
        <f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>
        <v>0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0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287</v>
      </c>
      <c r="BT6" s="95">
        <f xml:space="preserve"> LEN(BO6)</f>
        <v>1</v>
      </c>
      <c r="BV6" s="96" t="str">
        <f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1" xml:space="preserve"> ROW() - 4</f>
        <v>2</v>
      </c>
      <c r="BY6" s="100"/>
      <c r="BZ6" s="98"/>
      <c r="CA6" s="99"/>
      <c r="CB6" s="83"/>
      <c r="CC6" s="101"/>
      <c r="CD6" s="102"/>
      <c r="CF6" s="18" t="str">
        <f xml:space="preserve"> IFERROR( IF(LEN(BZ6)=0, "", IF(BZ6=BY6, "", "    - xform/" &amp; BY6 &amp; "/" &amp; BZ6 &amp; "/  # " &amp; "【" &amp; CA6 &amp; "】 ==&gt; " &amp; CC6 &amp; "： " &amp; CB6 &amp; " [" &amp; BY6 &amp; "]")), "")</f>
        <v/>
      </c>
      <c r="CG6" s="91">
        <f t="shared" ref="CG6:CG64" si="2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xml:space="preserve"> IFERROR( IF(LEN(CI6)=0, "", IF(EXACT(CI6,CH6), "", "    - xform/" &amp; CH6 &amp; "/" &amp; CI6 &amp; "/  # " &amp; "【" &amp; CJ6 &amp; "】 ==&gt; " &amp; CL6 &amp; "： " &amp; CK6 &amp; " [" &amp; CH6 &amp; "]")), "")</f>
        <v xml:space="preserve">    - xform/ong/H/  # 【o】 ==&gt; 韻： ㆲ [ong]</v>
      </c>
      <c r="CP6" s="91">
        <f t="shared" ref="CP6:CP64" si="3" xml:space="preserve"> ROW() - 4</f>
        <v>2</v>
      </c>
      <c r="CQ6" s="100" t="str">
        <v>z(ts)</v>
      </c>
      <c r="CR6" s="98" t="str">
        <v>z</v>
      </c>
      <c r="CS6" s="99" t="str">
        <v>y</v>
      </c>
      <c r="CT6" s="83" t="str">
        <v>ㄗ</v>
      </c>
      <c r="CU6" s="101" t="str">
        <v>聲</v>
      </c>
      <c r="CV6" s="102">
        <v>5</v>
      </c>
      <c r="CX6" s="103" t="str">
        <f xml:space="preserve"> IFERROR( IF(LEN(CR6)=0, "", IF(EXACT(CR6,CQ6), "", "    - xform/^" &amp; CQ6 &amp; "/" &amp; CR6 &amp; "/  # " &amp; "【" &amp; CS6 &amp; "】 ==&gt; " &amp; CU6 &amp; "： " &amp; CT6 &amp; " [" &amp; CQ6 &amp; "]")), "")</f>
        <v xml:space="preserve">    - xform/^z(ts)/z/  # 【y】 ==&gt; 聲： ㄗ [z(ts)]</v>
      </c>
      <c r="CY6" s="91">
        <f t="shared" ref="CY6:CY64" si="4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0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287</v>
      </c>
      <c r="BT7" s="95">
        <f xml:space="preserve"> LEN(BO7)</f>
        <v>2</v>
      </c>
      <c r="BU7" s="19"/>
      <c r="BV7" s="96" t="str">
        <f xml:space="preserve"> "    """ &amp; BQ7 &amp; """: { commit: """ &amp; BR7 &amp; """ }" &amp; "  # " &amp; "/" &amp; BO8 &amp; "/ ==&gt; " &amp; BP7</f>
        <v xml:space="preserve">    "q": { commit: "ㄆ" }  # /m/ ==&gt; P</v>
      </c>
      <c r="BW7" s="97"/>
      <c r="BX7" s="91">
        <f t="shared" si="1"/>
        <v>3</v>
      </c>
      <c r="BY7" s="100"/>
      <c r="BZ7" s="98"/>
      <c r="CA7" s="99"/>
      <c r="CB7" s="83"/>
      <c r="CC7" s="101"/>
      <c r="CD7" s="102"/>
      <c r="CF7" s="18" t="str">
        <f xml:space="preserve"> IFERROR( IF(LEN(BZ7)=0, "", IF(BZ7=BY7, "", "    - xform/" &amp; BY7 &amp; "/" &amp; BZ7 &amp; "/  # " &amp; "【" &amp; CA7 &amp; "】 ==&gt; " &amp; CC7 &amp; "： " &amp; CB7 &amp; " [" &amp; BY7 &amp; "]")), "")</f>
        <v/>
      </c>
      <c r="CG7" s="91">
        <f t="shared" si="2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xml:space="preserve"> IFERROR( IF(LEN(CI7)=0, "", IF(EXACT(CI7,CH7), "", "    - xform/" &amp; CH7 &amp; "/" &amp; CI7 &amp; "/  # " &amp; "【" &amp; CJ7 &amp; "】 ==&gt; " &amp; CL7 &amp; "： " &amp; CK7 &amp; " [" &amp; CH7 &amp; "]")), "")</f>
        <v xml:space="preserve">    - xform/aiⁿ/x/  # 【(】 ==&gt; 韻： ㆮ [aiⁿ]</v>
      </c>
      <c r="CP7" s="91">
        <f t="shared" si="3"/>
        <v>3</v>
      </c>
      <c r="CQ7" s="100" t="str">
        <v>j(i)</v>
      </c>
      <c r="CR7" s="98" t="str">
        <v>J</v>
      </c>
      <c r="CS7" s="99" t="str">
        <v>R</v>
      </c>
      <c r="CT7" s="83" t="str">
        <v>ㆢ</v>
      </c>
      <c r="CU7" s="101" t="str">
        <v>聲</v>
      </c>
      <c r="CV7" s="102">
        <v>4</v>
      </c>
      <c r="CX7" s="103" t="str">
        <f xml:space="preserve"> IFERROR( IF(LEN(CR7)=0, "", IF(EXACT(CR7,CQ7), "", "    - xform/^" &amp; CQ7 &amp; "/" &amp; CR7 &amp; "/  # " &amp; "【" &amp; CS7 &amp; "】 ==&gt; " &amp; CU7 &amp; "： " &amp; CT7 &amp; " [" &amp; CQ7 &amp; "]")), "")</f>
        <v xml:space="preserve">    - xform/^j(i)/J/  # 【R】 ==&gt; 聲： ㆢ [j(i)]</v>
      </c>
      <c r="CY7" s="91">
        <f t="shared" si="4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0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287</v>
      </c>
      <c r="BT8" s="95">
        <f xml:space="preserve"> LEN(BO8)</f>
        <v>1</v>
      </c>
      <c r="BU8" s="11"/>
      <c r="BV8" s="96" t="str">
        <f xml:space="preserve"> "    """ &amp; BQ8 &amp; """: { commit: """ &amp; BR8 &amp; """ }" &amp; "  # " &amp; "/" &amp; BO9 &amp; "/ ==&gt; " &amp; BP8</f>
        <v xml:space="preserve">    "a": { commit: "ㄇ" }  # /n/ ==&gt; m</v>
      </c>
      <c r="BW8" s="97"/>
      <c r="BX8" s="91">
        <f t="shared" si="1"/>
        <v>4</v>
      </c>
      <c r="BY8" s="100"/>
      <c r="BZ8" s="98"/>
      <c r="CA8" s="99"/>
      <c r="CB8" s="83"/>
      <c r="CC8" s="101"/>
      <c r="CD8" s="102"/>
      <c r="CF8" s="18" t="str">
        <f xml:space="preserve"> IFERROR( IF(LEN(BZ8)=0, "", IF(BZ8=BY8, "", "    - xform/" &amp; BY8 &amp; "/" &amp; BZ8 &amp; "/  # " &amp; "【" &amp; CA8 &amp; "】 ==&gt; " &amp; CC8 &amp; "： " &amp; CB8 &amp; " [" &amp; BY8 &amp; "]")), "")</f>
        <v/>
      </c>
      <c r="CG8" s="91">
        <f t="shared" si="2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xml:space="preserve"> IFERROR( IF(LEN(CI8)=0, "", IF(EXACT(CI8,CH8), "", "    - xform/" &amp; CH8 &amp; "/" &amp; CI8 &amp; "/  # " &amp; "【" &amp; CJ8 &amp; "】 ==&gt; " &amp; CL8 &amp; "： " &amp; CK8 &amp; " [" &amp; CH8 &amp; "]")), "")</f>
        <v xml:space="preserve">    - xform/auⁿ/y/  # 【L】 ==&gt; 韻： ㆯ [auⁿ]</v>
      </c>
      <c r="CP8" s="91">
        <f t="shared" si="3"/>
        <v>4</v>
      </c>
      <c r="CQ8" s="100" t="str">
        <v>z(i)</v>
      </c>
      <c r="CR8" s="98" t="str">
        <v>Z</v>
      </c>
      <c r="CS8" s="99" t="str">
        <v>r</v>
      </c>
      <c r="CT8" s="83" t="str">
        <v>ㄐ</v>
      </c>
      <c r="CU8" s="101" t="str">
        <v>聲</v>
      </c>
      <c r="CV8" s="102">
        <v>4</v>
      </c>
      <c r="CX8" s="103" t="str">
        <f xml:space="preserve"> IFERROR( IF(LEN(CR8)=0, "", IF(EXACT(CR8,CQ8), "", "    - xform/^" &amp; CQ8 &amp; "/" &amp; CR8 &amp; "/  # " &amp; "【" &amp; CS8 &amp; "】 ==&gt; " &amp; CU8 &amp; "： " &amp; CT8 &amp; " [" &amp; CQ8 &amp; "]")), "")</f>
        <v xml:space="preserve">    - xform/^z(i)/Z/  # 【r】 ==&gt; 聲： ㄐ [z(i)]</v>
      </c>
      <c r="CY8" s="91">
        <f t="shared" si="4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0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287</v>
      </c>
      <c r="BT9" s="95">
        <f xml:space="preserve"> LEN(BO9)</f>
        <v>1</v>
      </c>
      <c r="BV9" s="96" t="str">
        <f xml:space="preserve"> "    """ &amp; BQ9 &amp; """: { commit: """ &amp; BR9 &amp; """ }" &amp; "  # " &amp; "/" &amp; BO10 &amp; "/ ==&gt; " &amp; BP9</f>
        <v xml:space="preserve">    "s": { commit: "ㄋ" }  # /t/ ==&gt; n</v>
      </c>
      <c r="BW9" s="97"/>
      <c r="BX9" s="91">
        <f t="shared" si="1"/>
        <v>5</v>
      </c>
      <c r="BY9" s="100"/>
      <c r="BZ9" s="98"/>
      <c r="CA9" s="99"/>
      <c r="CB9" s="83"/>
      <c r="CC9" s="101"/>
      <c r="CD9" s="102"/>
      <c r="CF9" s="18" t="str">
        <f xml:space="preserve"> IFERROR( IF(LEN(BZ9)=0, "", IF(BZ9=BY9, "", "    - xform/" &amp; BY9 &amp; "/" &amp; BZ9 &amp; "/  # " &amp; "【" &amp; CA9 &amp; "】 ==&gt; " &amp; CC9 &amp; "： " &amp; CB9 &amp; " [" &amp; BY9 &amp; "]")), "")</f>
        <v/>
      </c>
      <c r="CG9" s="91">
        <f t="shared" si="2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xml:space="preserve"> IFERROR( IF(LEN(CI9)=0, "", IF(EXACT(CI9,CH9), "", "    - xform/" &amp; CH9 &amp; "/" &amp; CI9 &amp; "/  # " &amp; "【" &amp; CJ9 &amp; "】 ==&gt; " &amp; CL9 &amp; "： " &amp; CK9 &amp; " [" &amp; CH9 &amp; "]")), "")</f>
        <v xml:space="preserve">    - xform/ai/I/  # 【9】 ==&gt; 韻： ㄞ [ai]</v>
      </c>
      <c r="CP9" s="91">
        <f t="shared" si="3"/>
        <v>5</v>
      </c>
      <c r="CQ9" s="100" t="str">
        <v>c(i)</v>
      </c>
      <c r="CR9" s="98" t="str">
        <v>C</v>
      </c>
      <c r="CS9" s="99" t="str">
        <v>f</v>
      </c>
      <c r="CT9" s="83" t="str">
        <v>ㄑ</v>
      </c>
      <c r="CU9" s="101" t="str">
        <v>聲</v>
      </c>
      <c r="CV9" s="102">
        <v>4</v>
      </c>
      <c r="CX9" s="103" t="str">
        <f xml:space="preserve"> IFERROR( IF(LEN(CR9)=0, "", IF(EXACT(CR9,CQ9), "", "    - xform/^" &amp; CQ9 &amp; "/" &amp; CR9 &amp; "/  # " &amp; "【" &amp; CS9 &amp; "】 ==&gt; " &amp; CU9 &amp; "： " &amp; CT9 &amp; " [" &amp; CQ9 &amp; "]")), "")</f>
        <v xml:space="preserve">    - xform/^c(i)/C/  # 【f】 ==&gt; 聲： ㄑ [c(i)]</v>
      </c>
      <c r="CY9" s="91">
        <f t="shared" si="4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0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287</v>
      </c>
      <c r="BT10" s="95">
        <f xml:space="preserve"> LEN(BO10)</f>
        <v>1</v>
      </c>
      <c r="BU10" s="19"/>
      <c r="BV10" s="96" t="str">
        <f xml:space="preserve"> "    """ &amp; BQ10 &amp; """: { commit: """ &amp; BR10 &amp; """ }" &amp; "  # " &amp; "/" &amp; BO11 &amp; "/ ==&gt; " &amp; BP10</f>
        <v xml:space="preserve">    "2": { commit: "ㄉ" }  # /th/ ==&gt; t</v>
      </c>
      <c r="BW10" s="97"/>
      <c r="BX10" s="91">
        <f t="shared" si="1"/>
        <v>6</v>
      </c>
      <c r="BY10" s="100"/>
      <c r="BZ10" s="98"/>
      <c r="CA10" s="99"/>
      <c r="CB10" s="83"/>
      <c r="CC10" s="101"/>
      <c r="CD10" s="102"/>
      <c r="CF10" s="18" t="str">
        <f xml:space="preserve"> IFERROR( IF(LEN(BZ10)=0, "", IF(BZ10=BY10, "", "    - xform/" &amp; BY10 &amp; "/" &amp; BZ10 &amp; "/  # " &amp; "【" &amp; CA10 &amp; "】 ==&gt; " &amp; CC10 &amp; "： " &amp; CB10 &amp; " [" &amp; BY10 &amp; "]")), "")</f>
        <v/>
      </c>
      <c r="CG10" s="91">
        <f t="shared" si="2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xml:space="preserve"> IFERROR( IF(LEN(CI10)=0, "", IF(EXACT(CI10,CH10), "", "    - xform/" &amp; CH10 &amp; "/" &amp; CI10 &amp; "/  # " &amp; "【" &amp; CJ10 &amp; "】 ==&gt; " &amp; CL10 &amp; "： " &amp; CK10 &amp; " [" &amp; CH10 &amp; "]")), "")</f>
        <v xml:space="preserve">    - xform/au/U/  # 【l】 ==&gt; 韻： ㄠ [au]</v>
      </c>
      <c r="CP10" s="91">
        <f t="shared" si="3"/>
        <v>6</v>
      </c>
      <c r="CQ10" s="100" t="str">
        <v>s(i)</v>
      </c>
      <c r="CR10" s="98" t="str">
        <v>S</v>
      </c>
      <c r="CS10" s="99" t="str">
        <v>v</v>
      </c>
      <c r="CT10" s="83" t="str">
        <v>ㄒ</v>
      </c>
      <c r="CU10" s="101" t="str">
        <v>聲</v>
      </c>
      <c r="CV10" s="102">
        <v>4</v>
      </c>
      <c r="CX10" s="103" t="str">
        <f xml:space="preserve"> IFERROR( IF(LEN(CR10)=0, "", IF(EXACT(CR10,CQ10), "", "    - xform/^" &amp; CQ10 &amp; "/" &amp; CR10 &amp; "/  # " &amp; "【" &amp; CS10 &amp; "】 ==&gt; " &amp; CU10 &amp; "： " &amp; CT10 &amp; " [" &amp; CQ10 &amp; "]")), "")</f>
        <v xml:space="preserve">    - xform/^s(i)/S/  # 【v】 ==&gt; 聲： ㄒ [s(i)]</v>
      </c>
      <c r="CY10" s="91">
        <f t="shared" si="4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0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287</v>
      </c>
      <c r="BT11" s="95">
        <f xml:space="preserve"> LEN(BO11)</f>
        <v>2</v>
      </c>
      <c r="BU11" s="11"/>
      <c r="BV11" s="96" t="str">
        <f xml:space="preserve"> "    """ &amp; BQ11 &amp; """: { commit: """ &amp; BR11 &amp; """ }" &amp; "  # " &amp; "/" &amp; BO12 &amp; "/ ==&gt; " &amp; BP11</f>
        <v xml:space="preserve">    "w": { commit: "ㄊ" }  # /l/ ==&gt; T</v>
      </c>
      <c r="BW11" s="97"/>
      <c r="BX11" s="91">
        <f t="shared" si="1"/>
        <v>7</v>
      </c>
      <c r="BY11" s="100"/>
      <c r="BZ11" s="98"/>
      <c r="CA11" s="99"/>
      <c r="CB11" s="83"/>
      <c r="CC11" s="101"/>
      <c r="CD11" s="102"/>
      <c r="CF11" s="18" t="str">
        <f xml:space="preserve"> IFERROR( IF(LEN(BZ11)=0, "", IF(BZ11=BY11, "", "    - xform/" &amp; BY11 &amp; "/" &amp; BZ11 &amp; "/  # " &amp; "【" &amp; CA11 &amp; "】 ==&gt; " &amp; CC11 &amp; "： " &amp; CB11 &amp; " [" &amp; BY11 &amp; "]")), "")</f>
        <v/>
      </c>
      <c r="CG11" s="91">
        <f t="shared" si="2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xml:space="preserve"> IFERROR( IF(LEN(CI11)=0, "", IF(EXACT(CI11,CH11), "", "    - xform/" &amp; CH11 &amp; "/" &amp; CI11 &amp; "/  # " &amp; "【" &amp; CJ11 &amp; "】 ==&gt; " &amp; CL11 &amp; "： " &amp; CK11 &amp; " [" &amp; CH11 &amp; "]")), "")</f>
        <v xml:space="preserve">    - xform/am/Y/  # 【M】 ==&gt; 韻： ㆰ [am]</v>
      </c>
      <c r="CP11" s="91">
        <f t="shared" si="3"/>
        <v>7</v>
      </c>
      <c r="CQ11" s="100" t="str">
        <v>ph</v>
      </c>
      <c r="CR11" s="98" t="str">
        <v>P</v>
      </c>
      <c r="CS11" s="99" t="str">
        <v>q</v>
      </c>
      <c r="CT11" s="83" t="str">
        <v>ㄆ</v>
      </c>
      <c r="CU11" s="101" t="str">
        <v>聲</v>
      </c>
      <c r="CV11" s="102">
        <v>2</v>
      </c>
      <c r="CX11" s="103" t="str">
        <f xml:space="preserve"> IFERROR( IF(LEN(CR11)=0, "", IF(EXACT(CR11,CQ11), "", "    - xform/^" &amp; CQ11 &amp; "/" &amp; CR11 &amp; "/  # " &amp; "【" &amp; CS11 &amp; "】 ==&gt; " &amp; CU11 &amp; "： " &amp; CT11 &amp; " [" &amp; CQ11 &amp; "]")), "")</f>
        <v xml:space="preserve">    - xform/^ph/P/  # 【q】 ==&gt; 聲： ㄆ [ph]</v>
      </c>
      <c r="CY11" s="91">
        <f t="shared" si="4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0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287</v>
      </c>
      <c r="BT12" s="95">
        <f xml:space="preserve"> LEN(BO12)</f>
        <v>1</v>
      </c>
      <c r="BV12" s="96" t="str">
        <f xml:space="preserve"> "    """ &amp; BQ12 &amp; """: { commit: """ &amp; BR12 &amp; """ }" &amp; "  # " &amp; "/" &amp; BO13 &amp; "/ ==&gt; " &amp; BP12</f>
        <v xml:space="preserve">    "x": { commit: "ㄌ" }  # /ㆣ/ ==&gt; l</v>
      </c>
      <c r="BW12" s="97"/>
      <c r="BX12" s="91">
        <f t="shared" si="1"/>
        <v>8</v>
      </c>
      <c r="BY12" s="100"/>
      <c r="BZ12" s="98"/>
      <c r="CA12" s="99"/>
      <c r="CB12" s="83"/>
      <c r="CC12" s="101"/>
      <c r="CD12" s="102"/>
      <c r="CF12" s="18" t="str">
        <f xml:space="preserve"> IFERROR( IF(LEN(BZ12)=0, "", IF(BZ12=BY12, "", "    - xform/" &amp; BY12 &amp; "/" &amp; BZ12 &amp; "/  # " &amp; "【" &amp; CA12 &amp; "】 ==&gt; " &amp; CC12 &amp; "： " &amp; CB12 &amp; " [" &amp; BY12 &amp; "]")), "")</f>
        <v/>
      </c>
      <c r="CG12" s="91">
        <f t="shared" si="2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xml:space="preserve"> IFERROR( IF(LEN(CI12)=0, "", IF(EXACT(CI12,CH12), "", "    - xform/" &amp; CH12 &amp; "/" &amp; CI12 &amp; "/  # " &amp; "【" &amp; CJ12 &amp; "】 ==&gt; " &amp; CL12 &amp; "： " &amp; CK12 &amp; " [" &amp; CH12 &amp; "]")), "")</f>
        <v xml:space="preserve">    - xform/an/@/  # 【0】 ==&gt; 韻： ㄢ [an]</v>
      </c>
      <c r="CP12" s="91">
        <f t="shared" si="3"/>
        <v>8</v>
      </c>
      <c r="CQ12" s="100" t="str">
        <v>th</v>
      </c>
      <c r="CR12" s="98" t="str">
        <v>T</v>
      </c>
      <c r="CS12" s="99" t="str">
        <v>w</v>
      </c>
      <c r="CT12" s="83" t="str">
        <v>ㄊ</v>
      </c>
      <c r="CU12" s="101" t="str">
        <v>聲</v>
      </c>
      <c r="CV12" s="102">
        <v>2</v>
      </c>
      <c r="CX12" s="103" t="str">
        <f xml:space="preserve"> IFERROR( IF(LEN(CR12)=0, "", IF(EXACT(CR12,CQ12), "", "    - xform/^" &amp; CQ12 &amp; "/" &amp; CR12 &amp; "/  # " &amp; "【" &amp; CS12 &amp; "】 ==&gt; " &amp; CU12 &amp; "： " &amp; CT12 &amp; " [" &amp; CQ12 &amp; "]")), "")</f>
        <v xml:space="preserve">    - xform/^th/T/  # 【w】 ==&gt; 聲： ㄊ [th]</v>
      </c>
      <c r="CY12" s="91">
        <f t="shared" si="4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0"/>
        <v>9</v>
      </c>
      <c r="BO13" s="93" t="str">
        <v>ㆣ</v>
      </c>
      <c r="BP13" s="92" t="str">
        <v>g</v>
      </c>
      <c r="BQ13" s="82" t="str">
        <v>E</v>
      </c>
      <c r="BR13" s="83" t="str">
        <v>ㆣ</v>
      </c>
      <c r="BS13" s="94" t="s">
        <v>287</v>
      </c>
      <c r="BT13" s="95">
        <f xml:space="preserve"> LEN(BO13)</f>
        <v>1</v>
      </c>
      <c r="BU13" s="19"/>
      <c r="BV13" s="96" t="str">
        <f xml:space="preserve"> "    """ &amp; BQ13 &amp; """: { commit: """ &amp; BR13 &amp; """ }" &amp; "  # " &amp; "/" &amp; BO14 &amp; "/ ==&gt; " &amp; BP13</f>
        <v xml:space="preserve">    "E": { commit: "ㆣ" }  # /k/ ==&gt; g</v>
      </c>
      <c r="BW13" s="97"/>
      <c r="BX13" s="91">
        <f t="shared" si="1"/>
        <v>9</v>
      </c>
      <c r="BY13" s="100"/>
      <c r="BZ13" s="98"/>
      <c r="CA13" s="99"/>
      <c r="CB13" s="83"/>
      <c r="CC13" s="101"/>
      <c r="CD13" s="102"/>
      <c r="CF13" s="18" t="str">
        <f xml:space="preserve"> IFERROR( IF(LEN(BZ13)=0, "", IF(BZ13=BY13, "", "    - xform/" &amp; BY13 &amp; "/" &amp; BZ13 &amp; "/  # " &amp; "【" &amp; CA13 &amp; "】 ==&gt; " &amp; CC13 &amp; "： " &amp; CB13 &amp; " [" &amp; BY13 &amp; "]")), "")</f>
        <v/>
      </c>
      <c r="CG13" s="91">
        <f t="shared" si="2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xml:space="preserve"> IFERROR( IF(LEN(CI13)=0, "", IF(EXACT(CI13,CH13), "", "    - xform/" &amp; CH13 &amp; "/" &amp; CI13 &amp; "/  # " &amp; "【" &amp; CJ13 &amp; "】 ==&gt; " &amp; CL13 &amp; "： " &amp; CK13 &amp; " [" &amp; CH13 &amp; "]")), "")</f>
        <v xml:space="preserve">    - xform/om/W/  # 【O】 ==&gt; 韻： ㆱ [om]</v>
      </c>
      <c r="CP13" s="91">
        <f t="shared" si="3"/>
        <v>9</v>
      </c>
      <c r="CQ13" s="100" t="str">
        <v>kh</v>
      </c>
      <c r="CR13" s="98" t="str">
        <v>K</v>
      </c>
      <c r="CS13" s="99" t="str">
        <v>d</v>
      </c>
      <c r="CT13" s="83" t="str">
        <v>ㄎ</v>
      </c>
      <c r="CU13" s="101" t="str">
        <v>聲</v>
      </c>
      <c r="CV13" s="102">
        <v>2</v>
      </c>
      <c r="CX13" s="103" t="str">
        <f xml:space="preserve"> IFERROR( IF(LEN(CR13)=0, "", IF(EXACT(CR13,CQ13), "", "    - xform/^" &amp; CQ13 &amp; "/" &amp; CR13 &amp; "/  # " &amp; "【" &amp; CS13 &amp; "】 ==&gt; " &amp; CU13 &amp; "： " &amp; CT13 &amp; " [" &amp; CQ13 &amp; "]")), "")</f>
        <v xml:space="preserve">    - xform/^kh/K/  # 【d】 ==&gt; 聲： ㄎ [kh]</v>
      </c>
      <c r="CY13" s="91">
        <f t="shared" si="4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0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287</v>
      </c>
      <c r="BT14" s="95">
        <f xml:space="preserve"> LEN(BO14)</f>
        <v>1</v>
      </c>
      <c r="BV14" s="96" t="str">
        <f xml:space="preserve"> "    """ &amp; BQ14 &amp; """: { commit: """ &amp; BR14 &amp; """ }" &amp; "  # " &amp; "/" &amp; BO15 &amp; "/ ==&gt; " &amp; BP14</f>
        <v xml:space="preserve">    "e": { commit: "ㄍ" }  # /kh/ ==&gt; k</v>
      </c>
      <c r="BW14" s="97"/>
      <c r="BX14" s="91">
        <f t="shared" si="1"/>
        <v>10</v>
      </c>
      <c r="BY14" s="100"/>
      <c r="BZ14" s="98"/>
      <c r="CA14" s="99"/>
      <c r="CB14" s="83"/>
      <c r="CC14" s="101"/>
      <c r="CD14" s="102"/>
      <c r="CF14" s="18" t="str">
        <f xml:space="preserve"> IFERROR( IF(LEN(BZ14)=0, "", IF(BZ14=BY14, "", "    - xform/" &amp; BY14 &amp; "/" &amp; BZ14 &amp; "/  # " &amp; "【" &amp; CA14 &amp; "】 ==&gt; " &amp; CC14 &amp; "： " &amp; CB14 &amp; " [" &amp; BY14 &amp; "]")), "")</f>
        <v/>
      </c>
      <c r="CG14" s="91">
        <f t="shared" si="2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xml:space="preserve"> IFERROR( IF(LEN(CI14)=0, "", IF(EXACT(CI14,CH14), "", "    - xform/" &amp; CH14 &amp; "/" &amp; CI14 &amp; "/  # " &amp; "【" &amp; CJ14 &amp; "】 ==&gt; " &amp; CL14 &amp; "： " &amp; CK14 &amp; " [" &amp; CH14 &amp; "]")), "")</f>
        <v xml:space="preserve">    - xform/aⁿ/d/  # 【*】 ==&gt; 韻： ㆩ [aⁿ]</v>
      </c>
      <c r="CP14" s="91">
        <f t="shared" si="3"/>
        <v>10</v>
      </c>
      <c r="CQ14" s="100" t="str">
        <v>ng</v>
      </c>
      <c r="CR14" s="98" t="str">
        <v>ŋ</v>
      </c>
      <c r="CS14" s="99" t="str">
        <v>G</v>
      </c>
      <c r="CT14" s="83" t="str">
        <v>ㄫ</v>
      </c>
      <c r="CU14" s="101" t="str">
        <v>聲</v>
      </c>
      <c r="CV14" s="102">
        <v>2</v>
      </c>
      <c r="CX14" s="103" t="str">
        <f xml:space="preserve"> IFERROR( IF(LEN(CR14)=0, "", IF(EXACT(CR14,CQ14), "", "    - xform/^" &amp; CQ14 &amp; "/" &amp; CR14 &amp; "/  # " &amp; "【" &amp; CS14 &amp; "】 ==&gt; " &amp; CU14 &amp; "： " &amp; CT14 &amp; " [" &amp; CQ14 &amp; "]")), "")</f>
        <v xml:space="preserve">    - xform/^ng/ŋ/  # 【G】 ==&gt; 聲： ㄫ [ng]</v>
      </c>
      <c r="CY14" s="91">
        <f t="shared" si="4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0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287</v>
      </c>
      <c r="BT15" s="95">
        <f xml:space="preserve"> LEN(BO15)</f>
        <v>2</v>
      </c>
      <c r="BU15" s="11"/>
      <c r="BV15" s="96" t="str">
        <f xml:space="preserve"> "    """ &amp; BQ15 &amp; """: { commit: """ &amp; BR15 &amp; """ }" &amp; "  # " &amp; "/" &amp; BO16 &amp; "/ ==&gt; " &amp; BP15</f>
        <v xml:space="preserve">    "d": { commit: "ㄎ" }  # /ng/ ==&gt; K</v>
      </c>
      <c r="BW15" s="97"/>
      <c r="BX15" s="91">
        <f t="shared" si="1"/>
        <v>11</v>
      </c>
      <c r="BY15" s="100"/>
      <c r="BZ15" s="98"/>
      <c r="CA15" s="99"/>
      <c r="CB15" s="83"/>
      <c r="CC15" s="101"/>
      <c r="CD15" s="102"/>
      <c r="CF15" s="18" t="str">
        <f xml:space="preserve"> IFERROR( IF(LEN(BZ15)=0, "", IF(BZ15=BY15, "", "    - xform/" &amp; BY15 &amp; "/" &amp; BZ15 &amp; "/  # " &amp; "【" &amp; CA15 &amp; "】 ==&gt; " &amp; CC15 &amp; "： " &amp; CB15 &amp; " [" &amp; BY15 &amp; "]")), "")</f>
        <v/>
      </c>
      <c r="CG15" s="91">
        <f t="shared" si="2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xml:space="preserve"> IFERROR( IF(LEN(CI15)=0, "", IF(EXACT(CI15,CH15), "", "    - xform/" &amp; CH15 &amp; "/" &amp; CI15 &amp; "/  # " &amp; "【" &amp; CJ15 &amp; "】 ==&gt; " &amp; CL15 &amp; "： " &amp; CK15 &amp; " [" &amp; CH15 &amp; "]")), "")</f>
        <v xml:space="preserve">    - xform/iⁿ/f/  # 【U】 ==&gt; 韻： ㆪ [iⁿ]</v>
      </c>
      <c r="CP15" s="91">
        <f t="shared" si="3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4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0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287</v>
      </c>
      <c r="BT16" s="95">
        <f xml:space="preserve"> LEN(BO16)</f>
        <v>2</v>
      </c>
      <c r="BU16" s="121"/>
      <c r="BV16" s="96" t="str">
        <f xml:space="preserve"> "    """ &amp; BQ16 &amp; """: { commit: """ &amp; BR16 &amp; """ }" &amp; "  # " &amp; "/" &amp; BO17 &amp; "/ ==&gt; " &amp; BP16</f>
        <v xml:space="preserve">    "G": { commit: "ㄫ" }  # /j/ ==&gt; ŋ</v>
      </c>
      <c r="BW16" s="97"/>
      <c r="BX16" s="91">
        <f t="shared" si="1"/>
        <v>12</v>
      </c>
      <c r="BY16" s="100"/>
      <c r="BZ16" s="98"/>
      <c r="CA16" s="99"/>
      <c r="CB16" s="83"/>
      <c r="CC16" s="101"/>
      <c r="CD16" s="102"/>
      <c r="CF16" s="18" t="str">
        <f xml:space="preserve"> IFERROR( IF(LEN(BZ16)=0, "", IF(BZ16=BY16, "", "    - xform/" &amp; BY16 &amp; "/" &amp; BZ16 &amp; "/  # " &amp; "【" &amp; CA16 &amp; "】 ==&gt; " &amp; CC16 &amp; "： " &amp; CB16 &amp; " [" &amp; BY16 &amp; "]")), "")</f>
        <v/>
      </c>
      <c r="CG16" s="91">
        <f t="shared" si="2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xml:space="preserve"> IFERROR( IF(LEN(CI16)=0, "", IF(EXACT(CI16,CH16), "", "    - xform/" &amp; CH16 &amp; "/" &amp; CI16 &amp; "/  # " &amp; "【" &amp; CJ16 &amp; "】 ==&gt; " &amp; CL16 &amp; "： " &amp; CK16 &amp; " [" &amp; CH16 &amp; "]")), "")</f>
        <v xml:space="preserve">    - xform/uⁿ/q/  # 【J】 ==&gt; 韻： ㆫ [uⁿ]</v>
      </c>
      <c r="CP16" s="91">
        <f t="shared" si="3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5" xml:space="preserve"> _xlfn.CONCAT("    - xform/^", CR16, "/", CR16, "/", "      # ", CT16, " [", CQ16, "]" )</f>
        <v xml:space="preserve">    - xform/^p/p/      # ㄅ [p]</v>
      </c>
      <c r="CY16" s="91">
        <f t="shared" si="4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290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ㆣ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z(ts)</v>
      </c>
      <c r="R17" s="142" t="str">
        <f>xlit對映工具!Q3</f>
        <v>c(tsh)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0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287</v>
      </c>
      <c r="BT17" s="95">
        <f xml:space="preserve"> LEN(BO17)</f>
        <v>1</v>
      </c>
      <c r="BV17" s="96" t="str">
        <f xml:space="preserve"> "    """ &amp; BQ17 &amp; """: { commit: """ &amp; BR17 &amp; """ }" &amp; "  # " &amp; "/" &amp; BO18 &amp; "/ ==&gt; " &amp; BP17</f>
        <v xml:space="preserve">    "Y": { commit: "ㆡ" }  # /z(ts)/ ==&gt; j</v>
      </c>
      <c r="BW17" s="97"/>
      <c r="BX17" s="91">
        <f t="shared" si="1"/>
        <v>13</v>
      </c>
      <c r="BY17" s="100"/>
      <c r="BZ17" s="98"/>
      <c r="CA17" s="99"/>
      <c r="CB17" s="83"/>
      <c r="CC17" s="101"/>
      <c r="CD17" s="102"/>
      <c r="CF17" s="18" t="str">
        <f xml:space="preserve"> IFERROR( IF(LEN(BZ17)=0, "", IF(BZ17=BY17, "", "    - xform/" &amp; BY17 &amp; "/" &amp; BZ17 &amp; "/  # " &amp; "【" &amp; CA17 &amp; "】 ==&gt; " &amp; CC17 &amp; "： " &amp; CB17 &amp; " [" &amp; BY17 &amp; "]")), "")</f>
        <v/>
      </c>
      <c r="CG17" s="91">
        <f t="shared" si="2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xml:space="preserve"> IFERROR( IF(LEN(CI17)=0, "", IF(EXACT(CI17,CH17), "", "    - xform/" &amp; CH17 &amp; "/" &amp; CI17 &amp; "/  # " &amp; "【" &amp; CJ17 &amp; "】 ==&gt; " &amp; CL17 &amp; "： " &amp; CK17 &amp; " [" &amp; CH17 &amp; "]")), "")</f>
        <v xml:space="preserve">    - xform/eⁿ/r/  # 【&lt;】 ==&gt; 韻： ㆥ [eⁿ]</v>
      </c>
      <c r="CP17" s="91">
        <f t="shared" si="3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5"/>
        <v xml:space="preserve">    - xform/^m/m/      # ㄇ [m]</v>
      </c>
      <c r="CY17" s="91">
        <f t="shared" si="4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>
        <f>xlit對映工具!BG4</f>
        <v>0</v>
      </c>
      <c r="BI18" s="132" t="str">
        <f>xlit對映工具!BH4</f>
        <v>L</v>
      </c>
      <c r="BJ18" s="132"/>
      <c r="BK18" s="132"/>
      <c r="BN18" s="91">
        <f t="shared" si="0"/>
        <v>14</v>
      </c>
      <c r="BO18" s="93" t="str">
        <v>z(ts)</v>
      </c>
      <c r="BP18" s="92" t="str">
        <v>z</v>
      </c>
      <c r="BQ18" s="82" t="str">
        <v>y</v>
      </c>
      <c r="BR18" s="83" t="str">
        <v>ㄗ</v>
      </c>
      <c r="BS18" s="94" t="s">
        <v>287</v>
      </c>
      <c r="BT18" s="95">
        <f xml:space="preserve"> LEN(BO18)</f>
        <v>5</v>
      </c>
      <c r="BV18" s="96" t="str">
        <f xml:space="preserve"> "    """ &amp; BQ18 &amp; """: { commit: """ &amp; BR18 &amp; """ }" &amp; "  # " &amp; "/" &amp; BO19 &amp; "/ ==&gt; " &amp; BP18</f>
        <v xml:space="preserve">    "y": { commit: "ㄗ" }  # /c(tsh)/ ==&gt; z</v>
      </c>
      <c r="BW18" s="97"/>
      <c r="BX18" s="91">
        <f t="shared" si="1"/>
        <v>14</v>
      </c>
      <c r="BY18" s="100"/>
      <c r="BZ18" s="98"/>
      <c r="CA18" s="99"/>
      <c r="CB18" s="83"/>
      <c r="CC18" s="101"/>
      <c r="CD18" s="102"/>
      <c r="CF18" s="18" t="str">
        <f xml:space="preserve"> IFERROR( IF(LEN(BZ18)=0, "", IF(BZ18=BY18, "", "    - xform/" &amp; BY18 &amp; "/" &amp; BZ18 &amp; "/  # " &amp; "【" &amp; CA18 &amp; "】 ==&gt; " &amp; CC18 &amp; "： " &amp; CB18 &amp; " [" &amp; BY18 &amp; "]")), "")</f>
        <v/>
      </c>
      <c r="CG18" s="91">
        <f t="shared" si="2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xml:space="preserve"> IFERROR( IF(LEN(CI18)=0, "", IF(EXACT(CI18,CH18), "", "    - xform/" &amp; CH18 &amp; "/" &amp; CI18 &amp; "/  # " &amp; "【" &amp; CJ18 &amp; "】 ==&gt; " &amp; CL18 &amp; "： " &amp; CK18 &amp; " [" &amp; CH18 &amp; "]")), "")</f>
        <v xml:space="preserve">    - xform/oⁿ/v/  # 【I】 ==&gt; 韻： ㆧ [oⁿ]</v>
      </c>
      <c r="CP18" s="91">
        <f t="shared" si="3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5"/>
        <v xml:space="preserve">    - xform/^n/n/      # ㄋ [n]</v>
      </c>
      <c r="CY18" s="91">
        <f t="shared" si="4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0"/>
        <v>15</v>
      </c>
      <c r="BO19" s="93" t="str">
        <v>c(tsh)</v>
      </c>
      <c r="BP19" s="92" t="str">
        <v>c</v>
      </c>
      <c r="BQ19" s="82" t="str">
        <v>h</v>
      </c>
      <c r="BR19" s="83" t="str">
        <v>ㄘ</v>
      </c>
      <c r="BS19" s="94" t="s">
        <v>287</v>
      </c>
      <c r="BT19" s="95">
        <f xml:space="preserve"> LEN(BO19)</f>
        <v>6</v>
      </c>
      <c r="BV19" s="96" t="str">
        <f xml:space="preserve"> "    """ &amp; BQ19 &amp; """: { commit: """ &amp; BR19 &amp; """ }" &amp; "  # " &amp; "/" &amp; BO20 &amp; "/ ==&gt; " &amp; BP19</f>
        <v xml:space="preserve">    "h": { commit: "ㄘ" }  # /s/ ==&gt; c</v>
      </c>
      <c r="BW19" s="97"/>
      <c r="BX19" s="91">
        <f t="shared" si="1"/>
        <v>15</v>
      </c>
      <c r="BY19" s="100"/>
      <c r="BZ19" s="98"/>
      <c r="CA19" s="99"/>
      <c r="CB19" s="83"/>
      <c r="CC19" s="101"/>
      <c r="CD19" s="102"/>
      <c r="CF19" s="18" t="str">
        <f xml:space="preserve"> IFERROR( IF(LEN(BZ19)=0, "", IF(BZ19=BY19, "", "    - xform/" &amp; BY19 &amp; "/" &amp; BZ19 &amp; "/  # " &amp; "【" &amp; CA19 &amp; "】 ==&gt; " &amp; CC19 &amp; "： " &amp; CB19 &amp; " [" &amp; BY19 &amp; "]")), "")</f>
        <v/>
      </c>
      <c r="CG19" s="91">
        <f t="shared" si="2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xml:space="preserve"> IFERROR( IF(LEN(CI19)=0, "", IF(EXACT(CI19,CH19), "", "    - xform/" &amp; CH19 &amp; "/" &amp; CI19 &amp; "/  # " &amp; "【" &amp; CJ19 &amp; "】 ==&gt; " &amp; CL19 &amp; "： " &amp; CK19 &amp; " [" &amp; CH19 &amp; "]")), "")</f>
        <v xml:space="preserve">    - xform/o/ə/  # 【k】 ==&gt; 韻： ㄜ [o]</v>
      </c>
      <c r="CP19" s="91">
        <f t="shared" si="3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5"/>
        <v xml:space="preserve">    - xform/^t/t/      # ㄉ [t]</v>
      </c>
      <c r="CY19" s="91">
        <f t="shared" si="4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0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287</v>
      </c>
      <c r="BT20" s="95">
        <f xml:space="preserve"> LEN(BO20)</f>
        <v>1</v>
      </c>
      <c r="BU20" s="128"/>
      <c r="BV20" s="96" t="str">
        <f xml:space="preserve"> "    """ &amp; BQ20 &amp; """: { commit: """ &amp; BR20 &amp; """ }" &amp; "  # " &amp; "/" &amp; BO21 &amp; "/ ==&gt; " &amp; BP20</f>
        <v xml:space="preserve">    "n": { commit: "ㄙ" }  # /h/ ==&gt; s</v>
      </c>
      <c r="BW20" s="97"/>
      <c r="BX20" s="91">
        <f t="shared" si="1"/>
        <v>16</v>
      </c>
      <c r="BY20" s="100"/>
      <c r="BZ20" s="98"/>
      <c r="CA20" s="99"/>
      <c r="CB20" s="83"/>
      <c r="CC20" s="101"/>
      <c r="CD20" s="102"/>
      <c r="CF20" s="18" t="str">
        <f xml:space="preserve"> IFERROR( IF(LEN(BZ20)=0, "", IF(BZ20=BY20, "", "    - xform/" &amp; BY20 &amp; "/" &amp; BZ20 &amp; "/  # " &amp; "【" &amp; CA20 &amp; "】 ==&gt; " &amp; CC20 &amp; "： " &amp; CB20 &amp; " [" &amp; BY20 &amp; "]")), "")</f>
        <v/>
      </c>
      <c r="CG20" s="91">
        <f t="shared" si="2"/>
        <v>16</v>
      </c>
      <c r="CH20" s="100"/>
      <c r="CI20" s="98"/>
      <c r="CJ20" s="99"/>
      <c r="CK20" s="83"/>
      <c r="CL20" s="101"/>
      <c r="CM20" s="102"/>
      <c r="CO20" s="18" t="str">
        <f xml:space="preserve"> IFERROR( IF(LEN(CI20)=0, "", IF(EXACT(CI20,CH20), "", "    - xform/" &amp; CH20 &amp; "/" &amp; CI20 &amp; "/  # " &amp; "【" &amp; CJ20 &amp; "】 ==&gt; " &amp; CL20 &amp; "： " &amp; CK20 &amp; " [" &amp; CH20 &amp; "]")), "")</f>
        <v/>
      </c>
      <c r="CP20" s="91">
        <f t="shared" si="3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5"/>
        <v xml:space="preserve">    - xform/^l/l/      # ㄌ [l]</v>
      </c>
      <c r="CY20" s="91">
        <f t="shared" si="4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0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287</v>
      </c>
      <c r="BT21" s="95">
        <f xml:space="preserve"> LEN(BO21)</f>
        <v>1</v>
      </c>
      <c r="BU21" s="11"/>
      <c r="BV21" s="96" t="str">
        <f xml:space="preserve"> "    """ &amp; BQ21 &amp; """: { commit: """ &amp; BR21 &amp; """ }" &amp; "  # " &amp; "/" &amp; BO22 &amp; "/ ==&gt; " &amp; BP21</f>
        <v xml:space="preserve">    "c": { commit: "ㄏ" }  # /j(i)/ ==&gt; h</v>
      </c>
      <c r="BW21" s="97"/>
      <c r="BX21" s="91">
        <f t="shared" si="1"/>
        <v>17</v>
      </c>
      <c r="BY21" s="100"/>
      <c r="BZ21" s="98"/>
      <c r="CA21" s="99"/>
      <c r="CB21" s="83"/>
      <c r="CC21" s="101"/>
      <c r="CD21" s="102"/>
      <c r="CF21" s="18" t="str">
        <f xml:space="preserve"> IFERROR( IF(LEN(BZ21)=0, "", IF(BZ21=BY21, "", "    - xform/" &amp; BY21 &amp; "/" &amp; BZ21 &amp; "/  # " &amp; "【" &amp; CA21 &amp; "】 ==&gt; " &amp; CC21 &amp; "： " &amp; CB21 &amp; " [" &amp; BY21 &amp; "]")), "")</f>
        <v/>
      </c>
      <c r="CG21" s="91">
        <f t="shared" si="2"/>
        <v>17</v>
      </c>
      <c r="CH21" s="100"/>
      <c r="CI21" s="98"/>
      <c r="CJ21" s="99"/>
      <c r="CK21" s="83"/>
      <c r="CL21" s="101"/>
      <c r="CM21" s="102"/>
      <c r="CO21" s="18" t="str">
        <f xml:space="preserve"> IFERROR( IF(LEN(CI21)=0, "", IF(EXACT(CI21,CH21), "", "    - xform/" &amp; CH21 &amp; "/" &amp; CI21 &amp; "/  # " &amp; "【" &amp; CJ21 &amp; "】 ==&gt; " &amp; CL21 &amp; "： " &amp; CK21 &amp; " [" &amp; CH21 &amp; "]")), "")</f>
        <v/>
      </c>
      <c r="CP21" s="91">
        <f t="shared" si="3"/>
        <v>17</v>
      </c>
      <c r="CQ21" s="100" t="str">
        <v>ㆣ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[ㆣ]</v>
      </c>
      <c r="CY21" s="91">
        <f t="shared" si="4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0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287</v>
      </c>
      <c r="BT22" s="95">
        <f xml:space="preserve"> LEN(BO22)</f>
        <v>4</v>
      </c>
      <c r="BV22" s="96" t="str">
        <f xml:space="preserve"> "    """ &amp; BQ22 &amp; """: { commit: """ &amp; BR22 &amp; """ }" &amp; "  # " &amp; "/" &amp; BO23 &amp; "/ ==&gt; " &amp; BP22</f>
        <v xml:space="preserve">    "R": { commit: "ㆢ" }  # /z(i)/ ==&gt; J</v>
      </c>
      <c r="BW22" s="97"/>
      <c r="BX22" s="91">
        <f t="shared" si="1"/>
        <v>18</v>
      </c>
      <c r="BY22" s="100"/>
      <c r="BZ22" s="98"/>
      <c r="CA22" s="99"/>
      <c r="CB22" s="83"/>
      <c r="CC22" s="101"/>
      <c r="CD22" s="102"/>
      <c r="CF22" s="18" t="str">
        <f xml:space="preserve"> IFERROR( IF(LEN(BZ22)=0, "", IF(BZ22=BY22, "", "    - xform/" &amp; BY22 &amp; "/" &amp; BZ22 &amp; "/  # " &amp; "【" &amp; CA22 &amp; "】 ==&gt; " &amp; CC22 &amp; "： " &amp; CB22 &amp; " [" &amp; BY22 &amp; "]")), "")</f>
        <v/>
      </c>
      <c r="CG22" s="91">
        <f t="shared" si="2"/>
        <v>18</v>
      </c>
      <c r="CH22" s="100"/>
      <c r="CI22" s="98"/>
      <c r="CJ22" s="99"/>
      <c r="CK22" s="83"/>
      <c r="CL22" s="101"/>
      <c r="CM22" s="102"/>
      <c r="CO22" s="18" t="str">
        <f xml:space="preserve"> IFERROR( IF(LEN(CI22)=0, "", IF(EXACT(CI22,CH22), "", "    - xform/" &amp; CH22 &amp; "/" &amp; CI22 &amp; "/  # " &amp; "【" &amp; CJ22 &amp; "】 ==&gt; " &amp; CL22 &amp; "： " &amp; CK22 &amp; " [" &amp; CH22 &amp; "]")), "")</f>
        <v/>
      </c>
      <c r="CP22" s="91">
        <f t="shared" si="3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5"/>
        <v xml:space="preserve">    - xform/^k/k/      # ㄍ [k]</v>
      </c>
      <c r="CY22" s="91">
        <f t="shared" si="4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xml:space="preserve"> IF( ISNUMBER( FIND(B22, _xlfn.CONCAT($D$18:$BK$18)) ),  FIND(B22, _xlfn.CONCAT($D$18:$BK$18)), "V")</f>
        <v>22</v>
      </c>
      <c r="C23" s="145">
        <f xml:space="preserve"> IF( ISNUMBER( FIND(C22, _xlfn.CONCAT($D$18:$BK$18)) ),  FIND(C22, _xlfn.CONCAT($D$18:$BK$18)), "V")</f>
        <v>1</v>
      </c>
      <c r="D23" s="145">
        <f xml:space="preserve"> IF( ISNUMBER( FIND(D22, _xlfn.CONCAT($D$18:$BK$18)) ),  FIND(D22, _xlfn.CONCAT($D$18:$BK$18)), "V")</f>
        <v>15</v>
      </c>
      <c r="E23" s="145">
        <f xml:space="preserve"> IF( ISNUMBER( FIND(E22, _xlfn.CONCAT($D$18:$BK$18)) ),  FIND(E22, _xlfn.CONCAT($D$18:$BK$18)), "V")</f>
        <v>43</v>
      </c>
      <c r="F23" s="145">
        <f xml:space="preserve"> IF( ISNUMBER( FIND(F22, _xlfn.CONCAT($D$18:$BK$18)) ),  FIND(F22, _xlfn.CONCAT($D$18:$BK$18)), "V")</f>
        <v>26</v>
      </c>
      <c r="G23" s="145">
        <f xml:space="preserve"> IF( ISNUMBER( FIND(G22, _xlfn.CONCAT($D$18:$BK$18)) ),  FIND(G22, _xlfn.CONCAT($D$18:$BK$18)), "V")</f>
        <v>44</v>
      </c>
      <c r="H23" s="145">
        <f xml:space="preserve"> IF( ISNUMBER( FIND(H22, _xlfn.CONCAT($D$18:$BK$18)) ),  FIND(H22, _xlfn.CONCAT($D$18:$BK$18)), "V")</f>
        <v>9</v>
      </c>
      <c r="I23" s="145">
        <f xml:space="preserve"> IF( ISNUMBER( FIND(I22, _xlfn.CONCAT($D$18:$BK$18)) ),  FIND(I22, _xlfn.CONCAT($D$18:$BK$18)), "V")</f>
        <v>17</v>
      </c>
      <c r="J23" s="145">
        <f xml:space="preserve"> IF( ISNUMBER( FIND(J22, _xlfn.CONCAT($D$18:$BK$18)) ),  FIND(J22, _xlfn.CONCAT($D$18:$BK$18)), "V")</f>
        <v>23</v>
      </c>
      <c r="K23" s="145">
        <f xml:space="preserve"> IF( ISNUMBER( FIND(K22, _xlfn.CONCAT($D$18:$BK$18)) ),  FIND(K22, _xlfn.CONCAT($D$18:$BK$18)), "V")</f>
        <v>13</v>
      </c>
      <c r="L23" s="145">
        <f xml:space="preserve"> IF( ISNUMBER( FIND(L22, _xlfn.CONCAT($D$18:$BK$18)) ),  FIND(L22, _xlfn.CONCAT($D$18:$BK$18)), "V")</f>
        <v>10</v>
      </c>
      <c r="M23" s="145">
        <f xml:space="preserve"> IF( ISNUMBER( FIND(M22, _xlfn.CONCAT($D$18:$BK$18)) ),  FIND(M22, _xlfn.CONCAT($D$18:$BK$18)), "V")</f>
        <v>8</v>
      </c>
      <c r="N23" s="145">
        <f xml:space="preserve"> IF( ISNUMBER( FIND(N22, _xlfn.CONCAT($D$18:$BK$18)) ),  FIND(N22, _xlfn.CONCAT($D$18:$BK$18)), "V")</f>
        <v>4</v>
      </c>
      <c r="O23" s="145">
        <f xml:space="preserve"> IF( ISNUMBER( FIND(O22, _xlfn.CONCAT($D$18:$BK$18)) ),  FIND(O22, _xlfn.CONCAT($D$18:$BK$18)), "V")</f>
        <v>5</v>
      </c>
      <c r="P23" s="145" t="str">
        <f xml:space="preserve"> IF( ISNUMBER( FIND(P22, _xlfn.CONCAT($D$18:$BK$18)) ),  FIND(P22, _xlfn.CONCAT($D$18:$BK$18)), "V")</f>
        <v>V</v>
      </c>
      <c r="Q23" s="145">
        <f xml:space="preserve"> IF( ISNUMBER( FIND(Q22, _xlfn.CONCAT($D$18:$BK$18)) ),  FIND(Q22, _xlfn.CONCAT($D$18:$BK$18)), "V")</f>
        <v>2</v>
      </c>
      <c r="R23" s="145">
        <f xml:space="preserve"> IF( ISNUMBER( FIND(R22, _xlfn.CONCAT($D$18:$BK$18)) ),  FIND(R22, _xlfn.CONCAT($D$18:$BK$18)), "V")</f>
        <v>45</v>
      </c>
      <c r="S23" s="145">
        <f xml:space="preserve"> IF( ISNUMBER( FIND(S22, _xlfn.CONCAT($D$18:$BK$18)) ),  FIND(S22, _xlfn.CONCAT($D$18:$BK$18)), "V")</f>
        <v>46</v>
      </c>
      <c r="T23" s="145">
        <f xml:space="preserve"> IF( ISNUMBER( FIND(T22, _xlfn.CONCAT($D$18:$BK$18)) ),  FIND(T22, _xlfn.CONCAT($D$18:$BK$18)), "V")</f>
        <v>16</v>
      </c>
      <c r="U23" s="145">
        <f xml:space="preserve"> IF( ISNUMBER( FIND(U22, _xlfn.CONCAT($D$18:$BK$18)) ),  FIND(U22, _xlfn.CONCAT($D$18:$BK$18)), "V")</f>
        <v>6</v>
      </c>
      <c r="V23" s="145">
        <f xml:space="preserve"> IF( ISNUMBER( FIND(V22, _xlfn.CONCAT($D$18:$BK$18)) ),  FIND(V22, _xlfn.CONCAT($D$18:$BK$18)), "V")</f>
        <v>25</v>
      </c>
      <c r="W23" s="145">
        <f xml:space="preserve"> IF( ISNUMBER( FIND(W22, _xlfn.CONCAT($D$18:$BK$18)) ),  FIND(W22, _xlfn.CONCAT($D$18:$BK$18)), "V")</f>
        <v>47</v>
      </c>
      <c r="X23" s="145">
        <f xml:space="preserve"> IF( ISNUMBER( FIND(X22, _xlfn.CONCAT($D$18:$BK$18)) ),  FIND(X22, _xlfn.CONCAT($D$18:$BK$18)), "V")</f>
        <v>24</v>
      </c>
      <c r="Y23" s="145">
        <f xml:space="preserve"> IF( ISNUMBER( FIND(Y22, _xlfn.CONCAT($D$18:$BK$18)) ),  FIND(Y22, _xlfn.CONCAT($D$18:$BK$18)), "V")</f>
        <v>48</v>
      </c>
      <c r="Z23" s="145">
        <f xml:space="preserve"> IF( ISNUMBER( FIND(Z22, _xlfn.CONCAT($D$18:$BK$18)) ),  FIND(Z22, _xlfn.CONCAT($D$18:$BK$18)), "V")</f>
        <v>49</v>
      </c>
      <c r="AA23" s="145">
        <f xml:space="preserve"> IF( ISNUMBER( FIND(AA22, _xlfn.CONCAT($D$18:$BK$18)) ),  FIND(AA22, _xlfn.CONCAT($D$18:$BK$18)), "V")</f>
        <v>14</v>
      </c>
      <c r="AB23" s="143"/>
      <c r="AC23" s="143"/>
      <c r="AE23" s="143"/>
      <c r="AL23" s="145">
        <f xml:space="preserve"> IF( ISNUMBER( FIND(AL22, _xlfn.CONCAT($D$18:$BK$18)) ),  FIND(AL22, _xlfn.CONCAT($D$18:$BK$18)), "V")</f>
        <v>22</v>
      </c>
      <c r="AM23" s="145">
        <f xml:space="preserve"> IF( ISNUMBER( FIND(AM22, _xlfn.CONCAT($D$18:$BK$18)) ),  FIND(AM22, _xlfn.CONCAT($D$18:$BK$18)), "V")</f>
        <v>1</v>
      </c>
      <c r="AN23" s="145">
        <f xml:space="preserve"> IF( ISNUMBER( FIND(AN22, _xlfn.CONCAT($D$18:$BK$18)) ),  FIND(AN22, _xlfn.CONCAT($D$18:$BK$18)), "V")</f>
        <v>15</v>
      </c>
      <c r="AO23" s="145">
        <f xml:space="preserve"> IF( ISNUMBER( FIND(AO22, _xlfn.CONCAT($D$18:$BK$18)) ),  FIND(AO22, _xlfn.CONCAT($D$18:$BK$18)), "V")</f>
        <v>43</v>
      </c>
      <c r="AP23" s="145">
        <f xml:space="preserve"> IF( ISNUMBER( FIND(AP22, _xlfn.CONCAT($D$18:$BK$18)) ),  FIND(AP22, _xlfn.CONCAT($D$18:$BK$18)), "V")</f>
        <v>26</v>
      </c>
      <c r="AQ23" s="145">
        <f xml:space="preserve"> IF( ISNUMBER( FIND(AQ22, _xlfn.CONCAT($D$18:$BK$18)) ),  FIND(AQ22, _xlfn.CONCAT($D$18:$BK$18)), "V")</f>
        <v>44</v>
      </c>
      <c r="AR23" s="145">
        <f xml:space="preserve"> IF( ISNUMBER( FIND(AR22, _xlfn.CONCAT($D$18:$BK$18)) ),  FIND(AR22, _xlfn.CONCAT($D$18:$BK$18)), "V")</f>
        <v>9</v>
      </c>
      <c r="AS23" s="145">
        <f xml:space="preserve"> IF( ISNUMBER( FIND(AS22, _xlfn.CONCAT($D$18:$BK$18)) ),  FIND(AS22, _xlfn.CONCAT($D$18:$BK$18)), "V")</f>
        <v>17</v>
      </c>
      <c r="AT23" s="145">
        <f xml:space="preserve"> IF( ISNUMBER( FIND(AT22, _xlfn.CONCAT($D$18:$BK$18)) ),  FIND(AT22, _xlfn.CONCAT($D$18:$BK$18)), "V")</f>
        <v>23</v>
      </c>
      <c r="AU23" s="145">
        <f xml:space="preserve"> IF( ISNUMBER( FIND(AU22, _xlfn.CONCAT($D$18:$BK$18)) ),  FIND(AU22, _xlfn.CONCAT($D$18:$BK$18)), "V")</f>
        <v>13</v>
      </c>
      <c r="AV23" s="145">
        <f xml:space="preserve"> IF( ISNUMBER( FIND(AV22, _xlfn.CONCAT($D$18:$BK$18)) ),  FIND(AV22, _xlfn.CONCAT($D$18:$BK$18)), "V")</f>
        <v>10</v>
      </c>
      <c r="AW23" s="145">
        <f xml:space="preserve"> IF( ISNUMBER( FIND(AW22, _xlfn.CONCAT($D$18:$BK$18)) ),  FIND(AW22, _xlfn.CONCAT($D$18:$BK$18)), "V")</f>
        <v>8</v>
      </c>
      <c r="AX23" s="145">
        <f xml:space="preserve"> IF( ISNUMBER( FIND(AX22, _xlfn.CONCAT($D$18:$BK$18)) ),  FIND(AX22, _xlfn.CONCAT($D$18:$BK$18)), "V")</f>
        <v>4</v>
      </c>
      <c r="AY23" s="145">
        <f xml:space="preserve"> IF( ISNUMBER( FIND(AY22, _xlfn.CONCAT($D$18:$BK$18)) ),  FIND(AY22, _xlfn.CONCAT($D$18:$BK$18)), "V")</f>
        <v>5</v>
      </c>
      <c r="AZ23" s="145" t="str">
        <f xml:space="preserve"> IF( ISNUMBER( FIND(AZ22, _xlfn.CONCAT($D$18:$BK$18)) ),  FIND(AZ22, _xlfn.CONCAT($D$18:$BK$18)), "V")</f>
        <v>V</v>
      </c>
      <c r="BA23" s="145">
        <f xml:space="preserve"> IF( ISNUMBER( FIND(BA22, _xlfn.CONCAT($D$18:$BK$18)) ),  FIND(BA22, _xlfn.CONCAT($D$18:$BK$18)), "V")</f>
        <v>2</v>
      </c>
      <c r="BB23" s="145">
        <f xml:space="preserve"> IF( ISNUMBER( FIND(BB22, _xlfn.CONCAT($D$18:$BK$18)) ),  FIND(BB22, _xlfn.CONCAT($D$18:$BK$18)), "V")</f>
        <v>45</v>
      </c>
      <c r="BC23" s="145">
        <f xml:space="preserve"> IF( ISNUMBER( FIND(BC22, _xlfn.CONCAT($D$18:$BK$18)) ),  FIND(BC22, _xlfn.CONCAT($D$18:$BK$18)), "V")</f>
        <v>46</v>
      </c>
      <c r="BD23" s="145">
        <f xml:space="preserve"> IF( ISNUMBER( FIND(BD22, _xlfn.CONCAT($D$18:$BK$18)) ),  FIND(BD22, _xlfn.CONCAT($D$18:$BK$18)), "V")</f>
        <v>16</v>
      </c>
      <c r="BE23" s="145">
        <f xml:space="preserve"> IF( ISNUMBER( FIND(BE22, _xlfn.CONCAT($D$18:$BK$18)) ),  FIND(BE22, _xlfn.CONCAT($D$18:$BK$18)), "V")</f>
        <v>6</v>
      </c>
      <c r="BF23" s="145">
        <f xml:space="preserve"> IF( ISNUMBER( FIND(BF22, _xlfn.CONCAT($D$18:$BK$18)) ),  FIND(BF22, _xlfn.CONCAT($D$18:$BK$18)), "V")</f>
        <v>25</v>
      </c>
      <c r="BG23" s="145">
        <f xml:space="preserve"> IF( ISNUMBER( FIND(BG22, _xlfn.CONCAT($D$18:$BK$18)) ),  FIND(BG22, _xlfn.CONCAT($D$18:$BK$18)), "V")</f>
        <v>47</v>
      </c>
      <c r="BH23" s="145">
        <f xml:space="preserve"> IF( ISNUMBER( FIND(BH22, _xlfn.CONCAT($D$18:$BK$18)) ),  FIND(BH22, _xlfn.CONCAT($D$18:$BK$18)), "V")</f>
        <v>24</v>
      </c>
      <c r="BI23" s="145">
        <f xml:space="preserve"> IF( ISNUMBER( FIND(BI22, _xlfn.CONCAT($D$18:$BK$18)) ),  FIND(BI22, _xlfn.CONCAT($D$18:$BK$18)), "V")</f>
        <v>48</v>
      </c>
      <c r="BJ23" s="145">
        <f xml:space="preserve"> IF( ISNUMBER( FIND(BJ22, _xlfn.CONCAT($D$18:$BK$18)) ),  FIND(BJ22, _xlfn.CONCAT($D$18:$BK$18)), "V")</f>
        <v>49</v>
      </c>
      <c r="BK23" s="145">
        <f xml:space="preserve"> IF( ISNUMBER( FIND(BK22, _xlfn.CONCAT($D$18:$BK$18)) ),  FIND(BK22, _xlfn.CONCAT($D$18:$BK$18)), "V")</f>
        <v>14</v>
      </c>
      <c r="BL23" s="143"/>
      <c r="BM23" s="11"/>
      <c r="BN23" s="91">
        <f t="shared" si="0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287</v>
      </c>
      <c r="BT23" s="95">
        <f xml:space="preserve"> LEN(BO23)</f>
        <v>4</v>
      </c>
      <c r="BU23" s="143"/>
      <c r="BV23" s="96" t="str">
        <f xml:space="preserve"> "    """ &amp; BQ23 &amp; """: { commit: """ &amp; BR23 &amp; """ }" &amp; "  # " &amp; "/" &amp; BO24 &amp; "/ ==&gt; " &amp; BP23</f>
        <v xml:space="preserve">    "r": { commit: "ㄐ" }  # /c(i)/ ==&gt; Z</v>
      </c>
      <c r="BW23" s="97"/>
      <c r="BX23" s="91">
        <f t="shared" si="1"/>
        <v>19</v>
      </c>
      <c r="BY23" s="100"/>
      <c r="BZ23" s="98"/>
      <c r="CA23" s="99"/>
      <c r="CB23" s="83"/>
      <c r="CC23" s="101"/>
      <c r="CD23" s="102"/>
      <c r="CF23" s="18" t="str">
        <f xml:space="preserve"> IFERROR( IF(LEN(BZ23)=0, "", IF(BZ23=BY23, "", "    - xform/" &amp; BY23 &amp; "/" &amp; BZ23 &amp; "/  # " &amp; "【" &amp; CA23 &amp; "】 ==&gt; " &amp; CC23 &amp; "： " &amp; CB23 &amp; " [" &amp; BY23 &amp; "]")), "")</f>
        <v/>
      </c>
      <c r="CG23" s="91">
        <f t="shared" si="2"/>
        <v>19</v>
      </c>
      <c r="CH23" s="100"/>
      <c r="CI23" s="98"/>
      <c r="CJ23" s="99"/>
      <c r="CK23" s="83"/>
      <c r="CL23" s="101"/>
      <c r="CM23" s="102"/>
      <c r="CO23" s="18" t="str">
        <f xml:space="preserve"> IFERROR( IF(LEN(CI23)=0, "", IF(EXACT(CI23,CH23), "", "    - xform/" &amp; CH23 &amp; "/" &amp; CI23 &amp; "/  # " &amp; "【" &amp; CJ23 &amp; "】 ==&gt; " &amp; CL23 &amp; "： " &amp; CK23 &amp; " [" &amp; CH23 &amp; "]")), "")</f>
        <v/>
      </c>
      <c r="CP23" s="91">
        <f t="shared" si="3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5"/>
        <v xml:space="preserve">    - xform/^j/j/      # ㆡ [j]</v>
      </c>
      <c r="CY23" s="91">
        <f t="shared" si="4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xml:space="preserve"> IF( ISNUMBER( FIND(B22, _xlfn.CONCAT($D$18:$BK$18)) ), "X", B22)</f>
        <v>X</v>
      </c>
      <c r="C24" s="147" t="str">
        <f xml:space="preserve"> IF( ISNUMBER( FIND(C22, _xlfn.CONCAT($D$18:$BK$18)) ), "X", C22)</f>
        <v>X</v>
      </c>
      <c r="D24" s="147" t="str">
        <f xml:space="preserve"> IF( ISNUMBER( FIND(D22, _xlfn.CONCAT($D$18:$BK$18)) ), "X", D22)</f>
        <v>X</v>
      </c>
      <c r="E24" s="147" t="str">
        <f xml:space="preserve"> IF( ISNUMBER( FIND(E22, _xlfn.CONCAT($D$18:$BK$18)) ), "X", E22)</f>
        <v>X</v>
      </c>
      <c r="F24" s="147" t="str">
        <f xml:space="preserve"> IF( ISNUMBER( FIND(F22, _xlfn.CONCAT($D$18:$BK$18)) ), "X", F22)</f>
        <v>X</v>
      </c>
      <c r="G24" s="148" t="str">
        <f xml:space="preserve"> IF( ISNUMBER( FIND(G22, _xlfn.CONCAT($D$18:$BK$18)) ), "X", G22)</f>
        <v>X</v>
      </c>
      <c r="H24" s="147" t="str">
        <f xml:space="preserve"> IF( ISNUMBER( FIND(H22, _xlfn.CONCAT($D$18:$BK$18)) ), "X", H22)</f>
        <v>X</v>
      </c>
      <c r="I24" s="147" t="str">
        <f xml:space="preserve"> IF( ISNUMBER( FIND(I22, _xlfn.CONCAT($D$18:$BK$18)) ), "X", I22)</f>
        <v>X</v>
      </c>
      <c r="J24" s="147" t="str">
        <f xml:space="preserve"> IF( ISNUMBER( FIND(J22, _xlfn.CONCAT($D$18:$BK$18)) ), "X", J22)</f>
        <v>X</v>
      </c>
      <c r="K24" s="147" t="str">
        <f xml:space="preserve"> IF( ISNUMBER( FIND(K22, _xlfn.CONCAT($D$18:$BK$18)) ), "X", K22)</f>
        <v>X</v>
      </c>
      <c r="L24" s="147" t="str">
        <f xml:space="preserve"> IF( ISNUMBER( FIND(L22, _xlfn.CONCAT($D$18:$BK$18)) ), "X", L22)</f>
        <v>X</v>
      </c>
      <c r="M24" s="147" t="str">
        <f xml:space="preserve"> IF( ISNUMBER( FIND(M22, _xlfn.CONCAT($D$18:$BK$18)) ), "X", M22)</f>
        <v>X</v>
      </c>
      <c r="N24" s="147" t="str">
        <f xml:space="preserve"> IF( ISNUMBER( FIND(N22, _xlfn.CONCAT($D$18:$BK$18)) ), "X", N22)</f>
        <v>X</v>
      </c>
      <c r="O24" s="147" t="str">
        <f xml:space="preserve"> IF( ISNUMBER( FIND(O22, _xlfn.CONCAT($D$18:$BK$18)) ), "X", O22)</f>
        <v>X</v>
      </c>
      <c r="P24" s="147" t="str">
        <f xml:space="preserve"> IF( ISNUMBER( FIND(P22, _xlfn.CONCAT($D$18:$BK$18)) ), "X", P22)</f>
        <v>o</v>
      </c>
      <c r="Q24" s="147" t="str">
        <f xml:space="preserve"> IF( ISNUMBER( FIND(Q22, _xlfn.CONCAT($D$18:$BK$18)) ), "X", Q22)</f>
        <v>X</v>
      </c>
      <c r="R24" s="148" t="str">
        <f xml:space="preserve"> IF( ISNUMBER( FIND(R22, _xlfn.CONCAT($D$18:$BK$18)) ), "X", R22)</f>
        <v>X</v>
      </c>
      <c r="S24" s="148" t="str">
        <f xml:space="preserve"> IF( ISNUMBER( FIND(S22, _xlfn.CONCAT($D$18:$BK$18)) ), "X", S22)</f>
        <v>X</v>
      </c>
      <c r="T24" s="147" t="str">
        <f xml:space="preserve"> IF( ISNUMBER( FIND(T22, _xlfn.CONCAT($D$18:$BK$18)) ), "X", T22)</f>
        <v>X</v>
      </c>
      <c r="U24" s="147" t="str">
        <f xml:space="preserve"> IF( ISNUMBER( FIND(U22, _xlfn.CONCAT($D$18:$BK$18)) ), "X", U22)</f>
        <v>X</v>
      </c>
      <c r="V24" s="147" t="str">
        <f xml:space="preserve"> IF( ISNUMBER( FIND(V22, _xlfn.CONCAT($D$18:$BK$18)) ), "X", V22)</f>
        <v>X</v>
      </c>
      <c r="W24" s="147" t="str">
        <f xml:space="preserve"> IF( ISNUMBER( FIND(W22, _xlfn.CONCAT($D$18:$BK$18)) ), "X", W22)</f>
        <v>X</v>
      </c>
      <c r="X24" s="147" t="str">
        <f xml:space="preserve"> IF( ISNUMBER( FIND(X22, _xlfn.CONCAT($D$18:$BK$18)) ), "X", X22)</f>
        <v>X</v>
      </c>
      <c r="Y24" s="147" t="str">
        <f xml:space="preserve"> IF( ISNUMBER( FIND(Y22, _xlfn.CONCAT($D$18:$BK$18)) ), "X", Y22)</f>
        <v>X</v>
      </c>
      <c r="Z24" s="147" t="str">
        <f xml:space="preserve"> IF( ISNUMBER( FIND(Z22, _xlfn.CONCAT($D$18:$BK$18)) ), "X", Z22)</f>
        <v>X</v>
      </c>
      <c r="AA24" s="147" t="str">
        <f xml:space="preserve"> IF( ISNUMBER( FIND(AA22, _xlfn.CONCAT($D$18:$BK$18)) ), "X", AA22)</f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xml:space="preserve"> IF( ISNUMBER( FIND(AL22, _xlfn.CONCAT($D$18:$BK$18)) ), "X", AL22)</f>
        <v>X</v>
      </c>
      <c r="AM24" s="147" t="str">
        <f xml:space="preserve"> IF( ISNUMBER( FIND(AM22, _xlfn.CONCAT($D$18:$BK$18)) ), "X", AM22)</f>
        <v>X</v>
      </c>
      <c r="AN24" s="147" t="str">
        <f xml:space="preserve"> IF( ISNUMBER( FIND(AN22, _xlfn.CONCAT($D$18:$BK$18)) ), "X", AN22)</f>
        <v>X</v>
      </c>
      <c r="AO24" s="147" t="str">
        <f xml:space="preserve"> IF( ISNUMBER( FIND(AO22, _xlfn.CONCAT($D$18:$BK$18)) ), "X", AO22)</f>
        <v>X</v>
      </c>
      <c r="AP24" s="147" t="str">
        <f xml:space="preserve"> IF( ISNUMBER( FIND(AP22, _xlfn.CONCAT($D$18:$BK$18)) ), "X", AP22)</f>
        <v>X</v>
      </c>
      <c r="AQ24" s="148" t="str">
        <f xml:space="preserve"> IF( ISNUMBER( FIND(AQ22, _xlfn.CONCAT($D$18:$BK$18)) ), "X", AQ22)</f>
        <v>X</v>
      </c>
      <c r="AR24" s="147" t="str">
        <f xml:space="preserve"> IF( ISNUMBER( FIND(AR22, _xlfn.CONCAT($D$18:$BK$18)) ), "X", AR22)</f>
        <v>X</v>
      </c>
      <c r="AS24" s="147" t="str">
        <f xml:space="preserve"> IF( ISNUMBER( FIND(AS22, _xlfn.CONCAT($D$18:$BK$18)) ), "X", AS22)</f>
        <v>X</v>
      </c>
      <c r="AT24" s="147" t="str">
        <f xml:space="preserve"> IF( ISNUMBER( FIND(AT22, _xlfn.CONCAT($D$18:$BK$18)) ), "X", AT22)</f>
        <v>X</v>
      </c>
      <c r="AU24" s="147" t="str">
        <f xml:space="preserve"> IF( ISNUMBER( FIND(AU22, _xlfn.CONCAT($D$18:$BK$18)) ), "X", AU22)</f>
        <v>X</v>
      </c>
      <c r="AV24" s="147" t="str">
        <f xml:space="preserve"> IF( ISNUMBER( FIND(AV22, _xlfn.CONCAT($D$18:$BK$18)) ), "X", AV22)</f>
        <v>X</v>
      </c>
      <c r="AW24" s="147" t="str">
        <f xml:space="preserve"> IF( ISNUMBER( FIND(AW22, _xlfn.CONCAT($D$18:$BK$18)) ), "X", AW22)</f>
        <v>X</v>
      </c>
      <c r="AX24" s="147" t="str">
        <f xml:space="preserve"> IF( ISNUMBER( FIND(AX22, _xlfn.CONCAT($D$18:$BK$18)) ), "X", AX22)</f>
        <v>X</v>
      </c>
      <c r="AY24" s="147" t="str">
        <f xml:space="preserve"> IF( ISNUMBER( FIND(AY22, _xlfn.CONCAT($D$18:$BK$18)) ), "X", AY22)</f>
        <v>X</v>
      </c>
      <c r="AZ24" s="147" t="str">
        <f xml:space="preserve"> IF( ISNUMBER( FIND(AZ22, _xlfn.CONCAT($D$18:$BK$18)) ), "X", AZ22)</f>
        <v>o</v>
      </c>
      <c r="BA24" s="147" t="str">
        <f xml:space="preserve"> IF( ISNUMBER( FIND(BA22, _xlfn.CONCAT($D$18:$BK$18)) ), "X", BA22)</f>
        <v>X</v>
      </c>
      <c r="BB24" s="147" t="str">
        <f xml:space="preserve"> IF( ISNUMBER( FIND(BB22, _xlfn.CONCAT($D$18:$BK$18)) ), "X", BB22)</f>
        <v>X</v>
      </c>
      <c r="BC24" s="147" t="str">
        <f xml:space="preserve"> IF( ISNUMBER( FIND(BC22, _xlfn.CONCAT($D$18:$BK$18)) ), "X", BC22)</f>
        <v>X</v>
      </c>
      <c r="BD24" s="147" t="str">
        <f xml:space="preserve"> IF( ISNUMBER( FIND(BD22, _xlfn.CONCAT($D$18:$BK$18)) ), "X", BD22)</f>
        <v>X</v>
      </c>
      <c r="BE24" s="147" t="str">
        <f xml:space="preserve"> IF( ISNUMBER( FIND(BE22, _xlfn.CONCAT($D$18:$BK$18)) ), "X", BE22)</f>
        <v>X</v>
      </c>
      <c r="BF24" s="147" t="str">
        <f xml:space="preserve"> IF( ISNUMBER( FIND(BF22, _xlfn.CONCAT($D$18:$BK$18)) ), "X", BF22)</f>
        <v>X</v>
      </c>
      <c r="BG24" s="147" t="str">
        <f xml:space="preserve"> IF( ISNUMBER( FIND(BG22, _xlfn.CONCAT($D$18:$BK$18)) ), "X", BG22)</f>
        <v>X</v>
      </c>
      <c r="BH24" s="147" t="str">
        <f xml:space="preserve"> IF( ISNUMBER( FIND(BH22, _xlfn.CONCAT($D$18:$BK$18)) ), "X", BH22)</f>
        <v>X</v>
      </c>
      <c r="BI24" s="147" t="str">
        <f xml:space="preserve"> IF( ISNUMBER( FIND(BI22, _xlfn.CONCAT($D$18:$BK$18)) ), "X", BI22)</f>
        <v>X</v>
      </c>
      <c r="BJ24" s="147" t="str">
        <f xml:space="preserve"> IF( ISNUMBER( FIND(BJ22, _xlfn.CONCAT($D$18:$BK$18)) ), "X", BJ22)</f>
        <v>X</v>
      </c>
      <c r="BK24" s="147" t="str">
        <f xml:space="preserve"> IF( ISNUMBER( FIND(BK22, _xlfn.CONCAT($D$18:$BK$18)) ), "X", BK22)</f>
        <v>X</v>
      </c>
      <c r="BM24" s="11"/>
      <c r="BN24" s="91">
        <f t="shared" si="0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287</v>
      </c>
      <c r="BT24" s="95">
        <f xml:space="preserve"> LEN(BO24)</f>
        <v>4</v>
      </c>
      <c r="BU24" s="146"/>
      <c r="BV24" s="96" t="str">
        <f xml:space="preserve"> "    """ &amp; BQ24 &amp; """: { commit: """ &amp; BR24 &amp; """ }" &amp; "  # " &amp; "/" &amp; BO25 &amp; "/ ==&gt; " &amp; BP24</f>
        <v xml:space="preserve">    "f": { commit: "ㄑ" }  # /s(i)/ ==&gt; C</v>
      </c>
      <c r="BW24" s="151"/>
      <c r="BX24" s="91">
        <f t="shared" si="1"/>
        <v>20</v>
      </c>
      <c r="BY24" s="100"/>
      <c r="BZ24" s="98"/>
      <c r="CA24" s="99"/>
      <c r="CB24" s="83"/>
      <c r="CC24" s="101"/>
      <c r="CD24" s="102"/>
      <c r="CF24" s="18" t="str">
        <f xml:space="preserve"> IFERROR( IF(LEN(BZ24)=0, "", IF(BZ24=BY24, "", "    - xform/" &amp; BY24 &amp; "/" &amp; BZ24 &amp; "/  # " &amp; "【" &amp; CA24 &amp; "】 ==&gt; " &amp; CC24 &amp; "： " &amp; CB24 &amp; " [" &amp; BY24 &amp; "]")), "")</f>
        <v/>
      </c>
      <c r="CG24" s="91">
        <f t="shared" si="2"/>
        <v>20</v>
      </c>
      <c r="CH24" s="100"/>
      <c r="CI24" s="98"/>
      <c r="CJ24" s="99"/>
      <c r="CK24" s="83"/>
      <c r="CL24" s="101"/>
      <c r="CM24" s="102"/>
      <c r="CO24" s="18" t="str">
        <f xml:space="preserve"> IFERROR( IF(LEN(CI24)=0, "", IF(EXACT(CI24,CH24), "", "    - xform/" &amp; CH24 &amp; "/" &amp; CI24 &amp; "/  # " &amp; "【" &amp; CJ24 &amp; "】 ==&gt; " &amp; CL24 &amp; "： " &amp; CK24 &amp; " [" &amp; CH24 &amp; "]")), "")</f>
        <v/>
      </c>
      <c r="CP24" s="91">
        <f t="shared" si="3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5"/>
        <v xml:space="preserve">    - xform/^s/s/      # ㄙ [s]</v>
      </c>
      <c r="CY24" s="91">
        <f t="shared" si="4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0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287</v>
      </c>
      <c r="BT25" s="95">
        <f xml:space="preserve"> LEN(BO25)</f>
        <v>4</v>
      </c>
      <c r="BV25" s="96" t="str">
        <f xml:space="preserve"> "    """ &amp; BQ25 &amp; """: { commit: """ &amp; BR25 &amp; """ }" &amp; "  # " &amp; "/" &amp; BO26 &amp; "/ ==&gt; " &amp; BP25</f>
        <v xml:space="preserve">    "v": { commit: "ㄒ" }  # /a/ ==&gt; S</v>
      </c>
      <c r="BW25" s="97"/>
      <c r="BX25" s="91">
        <f t="shared" si="1"/>
        <v>21</v>
      </c>
      <c r="BY25" s="100"/>
      <c r="BZ25" s="98"/>
      <c r="CA25" s="99"/>
      <c r="CB25" s="83"/>
      <c r="CC25" s="101"/>
      <c r="CD25" s="102"/>
      <c r="CF25" s="18" t="str">
        <f xml:space="preserve"> IFERROR( IF(LEN(BZ25)=0, "", IF(BZ25=BY25, "", "    - xform/" &amp; BY25 &amp; "/" &amp; BZ25 &amp; "/  # " &amp; "【" &amp; CA25 &amp; "】 ==&gt; " &amp; CC25 &amp; "： " &amp; CB25 &amp; " [" &amp; BY25 &amp; "]")), "")</f>
        <v/>
      </c>
      <c r="CG25" s="91">
        <f t="shared" si="2"/>
        <v>21</v>
      </c>
      <c r="CH25" s="100"/>
      <c r="CI25" s="98"/>
      <c r="CJ25" s="99"/>
      <c r="CK25" s="83"/>
      <c r="CL25" s="101"/>
      <c r="CM25" s="102"/>
      <c r="CO25" s="18" t="str">
        <f xml:space="preserve"> IFERROR( IF(LEN(CI25)=0, "", IF(EXACT(CI25,CH25), "", "    - xform/" &amp; CH25 &amp; "/" &amp; CI25 &amp; "/  # " &amp; "【" &amp; CJ25 &amp; "】 ==&gt; " &amp; CL25 &amp; "： " &amp; CK25 &amp; " [" &amp; CH25 &amp; "]")), "")</f>
        <v/>
      </c>
      <c r="CP25" s="91">
        <f t="shared" si="3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5"/>
        <v xml:space="preserve">    - xform/^h/h/      # ㄏ [h]</v>
      </c>
      <c r="CY25" s="91">
        <f t="shared" si="4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0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xml:space="preserve"> LEN(BO26)</f>
        <v>1</v>
      </c>
      <c r="BV26" s="96" t="str">
        <f xml:space="preserve"> "    """ &amp; BQ26 &amp; """: { commit: """ &amp; BR26 &amp; """ }" &amp; "  # " &amp; "/" &amp; BO27 &amp; "/ ==&gt; " &amp; BP26</f>
        <v xml:space="preserve">    "8": { commit: "ㄚ" }  # /i/ ==&gt; a</v>
      </c>
      <c r="BW26" s="97"/>
      <c r="BX26" s="91">
        <f t="shared" si="1"/>
        <v>22</v>
      </c>
      <c r="BY26" s="100"/>
      <c r="BZ26" s="98"/>
      <c r="CA26" s="99"/>
      <c r="CB26" s="83"/>
      <c r="CC26" s="101"/>
      <c r="CD26" s="102"/>
      <c r="CF26" s="18" t="str">
        <f xml:space="preserve"> IFERROR( IF(LEN(BZ26)=0, "", IF(BZ26=BY26, "", "    - xform/" &amp; BY26 &amp; "/" &amp; BZ26 &amp; "/  # " &amp; "【" &amp; CA26 &amp; "】 ==&gt; " &amp; CC26 &amp; "： " &amp; CB26 &amp; " [" &amp; BY26 &amp; "]")), "")</f>
        <v/>
      </c>
      <c r="CG26" s="91">
        <f t="shared" si="2"/>
        <v>22</v>
      </c>
      <c r="CH26" s="100"/>
      <c r="CI26" s="98"/>
      <c r="CJ26" s="99"/>
      <c r="CK26" s="83"/>
      <c r="CL26" s="101"/>
      <c r="CM26" s="102"/>
      <c r="CO26" s="18" t="str">
        <f xml:space="preserve"> IFERROR( IF(LEN(CI26)=0, "", IF(EXACT(CI26,CH26), "", "    - xform/" &amp; CH26 &amp; "/" &amp; CI26 &amp; "/  # " &amp; "【" &amp; CJ26 &amp; "】 ==&gt; " &amp; CL26 &amp; "： " &amp; CK26 &amp; " [" &amp; CH26 &amp; "]")), "")</f>
        <v/>
      </c>
      <c r="CP26" s="91">
        <f t="shared" si="3"/>
        <v>22</v>
      </c>
      <c r="CQ26" s="100"/>
      <c r="CR26" s="98"/>
      <c r="CS26" s="99"/>
      <c r="CT26" s="83"/>
      <c r="CU26" s="101"/>
      <c r="CV26" s="102"/>
      <c r="CX26" s="103" t="str">
        <f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4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0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xml:space="preserve"> LEN(BO27)</f>
        <v>1</v>
      </c>
      <c r="BV27" s="96" t="str">
        <f xml:space="preserve"> "    """ &amp; BQ27 &amp; """: { commit: """ &amp; BR27 &amp; """ }" &amp; "  # " &amp; "/" &amp; BO28 &amp; "/ ==&gt; " &amp; BP27</f>
        <v xml:space="preserve">    "u": { commit: "ㄧ" }  # /ir/ ==&gt; i</v>
      </c>
      <c r="BW27" s="97"/>
      <c r="BX27" s="91">
        <f t="shared" si="1"/>
        <v>23</v>
      </c>
      <c r="BY27" s="100"/>
      <c r="BZ27" s="98"/>
      <c r="CA27" s="99"/>
      <c r="CB27" s="83"/>
      <c r="CC27" s="101"/>
      <c r="CD27" s="102"/>
      <c r="CF27" s="18" t="str">
        <f xml:space="preserve"> IFERROR( IF(LEN(BZ27)=0, "", IF(BZ27=BY27, "", "    - xform/" &amp; BY27 &amp; "/" &amp; BZ27 &amp; "/  # " &amp; "【" &amp; CA27 &amp; "】 ==&gt; " &amp; CC27 &amp; "： " &amp; CB27 &amp; " [" &amp; BY27 &amp; "]")), "")</f>
        <v/>
      </c>
      <c r="CG27" s="91">
        <f t="shared" si="2"/>
        <v>23</v>
      </c>
      <c r="CH27" s="100"/>
      <c r="CI27" s="98"/>
      <c r="CJ27" s="99"/>
      <c r="CK27" s="83"/>
      <c r="CL27" s="101"/>
      <c r="CM27" s="102"/>
      <c r="CO27" s="18" t="str">
        <f xml:space="preserve"> IFERROR( IF(LEN(CI27)=0, "", IF(EXACT(CI27,CH27), "", "    - xform/" &amp; CH27 &amp; "/" &amp; CI27 &amp; "/  # " &amp; "【" &amp; CJ27 &amp; "】 ==&gt; " &amp; CL27 &amp; "： " &amp; CK27 &amp; " [" &amp; CH27 &amp; "]")), "")</f>
        <v/>
      </c>
      <c r="CP27" s="91">
        <f t="shared" si="3"/>
        <v>23</v>
      </c>
      <c r="CQ27" s="100"/>
      <c r="CR27" s="98"/>
      <c r="CS27" s="99"/>
      <c r="CT27" s="83"/>
      <c r="CU27" s="101"/>
      <c r="CV27" s="102"/>
      <c r="CX27" s="103" t="str">
        <f xml:space="preserve"> IFERROR( IF(LEN(CR27)=0, "", IF(EXACT(CR27,CQ27), "", "    - xform/^" &amp; CQ27 &amp; "/" &amp; CR27 &amp; "/  # " &amp; "【" &amp; CS27 &amp; "】 ==&gt; " &amp; CU27 &amp; "： " &amp; CT27 &amp; " [" &amp; CQ27 &amp; "]")), "")</f>
        <v/>
      </c>
      <c r="CY27" s="91">
        <f t="shared" si="4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0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xml:space="preserve"> LEN(BO28)</f>
        <v>2</v>
      </c>
      <c r="BV28" s="96" t="str">
        <f xml:space="preserve"> "    """ &amp; BQ28 &amp; """: { commit: """ &amp; BR28 &amp; """ }" &amp; "  # " &amp; "/" &amp; BO29 &amp; "/ ==&gt; " &amp; BP28</f>
        <v xml:space="preserve">    "K": { commit: "ㆨ" }  # /u/ ==&gt; w</v>
      </c>
      <c r="BW28" s="97"/>
      <c r="BX28" s="91">
        <f t="shared" si="1"/>
        <v>24</v>
      </c>
      <c r="BY28" s="100"/>
      <c r="BZ28" s="98"/>
      <c r="CA28" s="99"/>
      <c r="CB28" s="83"/>
      <c r="CC28" s="101"/>
      <c r="CD28" s="102"/>
      <c r="CF28" s="18"/>
      <c r="CG28" s="91">
        <f t="shared" si="2"/>
        <v>24</v>
      </c>
      <c r="CH28" s="100"/>
      <c r="CI28" s="98"/>
      <c r="CJ28" s="99"/>
      <c r="CK28" s="83"/>
      <c r="CL28" s="101"/>
      <c r="CM28" s="102"/>
      <c r="CO28" s="18"/>
      <c r="CP28" s="91">
        <f t="shared" si="3"/>
        <v>24</v>
      </c>
      <c r="CQ28" s="100"/>
      <c r="CR28" s="98"/>
      <c r="CS28" s="99"/>
      <c r="CT28" s="83"/>
      <c r="CU28" s="101"/>
      <c r="CV28" s="102"/>
      <c r="CX28" s="103" t="str">
        <f xml:space="preserve"> IFERROR( IF(LEN(CR28)=0, "", IF(EXACT(CR28,CQ28), "", "    - xform/^" &amp; CQ28 &amp; "/" &amp; CR28 &amp; "/  # " &amp; "【" &amp; CS28 &amp; "】 ==&gt; " &amp; CU28 &amp; "： " &amp; CT28 &amp; " [" &amp; CQ28 &amp; "]")), "")</f>
        <v/>
      </c>
      <c r="CY28" s="91">
        <f t="shared" si="4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0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xml:space="preserve"> LEN(BO29)</f>
        <v>1</v>
      </c>
      <c r="BV29" s="96" t="str">
        <f xml:space="preserve"> "    """ &amp; BQ29 &amp; """: { commit: """ &amp; BR29 &amp; """ }" &amp; "  # " &amp; "/" &amp; BO30 &amp; "/ ==&gt; " &amp; BP29</f>
        <v xml:space="preserve">    "j": { commit: "ㄨ" }  # /e/ ==&gt; u</v>
      </c>
      <c r="BW29" s="97"/>
      <c r="BX29" s="91">
        <f t="shared" si="1"/>
        <v>25</v>
      </c>
      <c r="BY29" s="100"/>
      <c r="BZ29" s="98"/>
      <c r="CA29" s="99"/>
      <c r="CB29" s="83"/>
      <c r="CC29" s="101"/>
      <c r="CD29" s="102"/>
      <c r="CF29" s="18"/>
      <c r="CG29" s="91">
        <f t="shared" si="2"/>
        <v>25</v>
      </c>
      <c r="CH29" s="100"/>
      <c r="CI29" s="98"/>
      <c r="CJ29" s="99"/>
      <c r="CK29" s="83"/>
      <c r="CL29" s="101"/>
      <c r="CM29" s="102"/>
      <c r="CO29" s="18"/>
      <c r="CP29" s="91">
        <f t="shared" si="3"/>
        <v>25</v>
      </c>
      <c r="CQ29" s="100"/>
      <c r="CR29" s="98"/>
      <c r="CS29" s="99"/>
      <c r="CT29" s="83"/>
      <c r="CU29" s="101"/>
      <c r="CV29" s="102"/>
      <c r="CX29" s="103" t="str">
        <f xml:space="preserve"> IFERROR( IF(LEN(CR29)=0, "", IF(EXACT(CR29,CQ29), "", "    - xform/^" &amp; CQ29 &amp; "/" &amp; CR29 &amp; "/  # " &amp; "【" &amp; CS29 &amp; "】 ==&gt; " &amp; CU29 &amp; "： " &amp; CT29 &amp; " [" &amp; CQ29 &amp; "]")), "")</f>
        <v/>
      </c>
      <c r="CY29" s="91">
        <f t="shared" si="4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0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xml:space="preserve"> LEN(BO30)</f>
        <v>1</v>
      </c>
      <c r="BU30" s="143"/>
      <c r="BV30" s="96" t="str">
        <f xml:space="preserve"> "    """ &amp; BQ30 &amp; """: { commit: """ &amp; BR30 &amp; """ }" &amp; "  # " &amp; "/" &amp; BO31 &amp; "/ ==&gt; " &amp; BP30</f>
        <v xml:space="preserve">    ",": { commit: "ㆤ" }  # /oo/ ==&gt; e</v>
      </c>
      <c r="BW30" s="97"/>
      <c r="BX30" s="91">
        <f t="shared" si="1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2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3"/>
        <v>26</v>
      </c>
      <c r="CQ30" s="100"/>
      <c r="CR30" s="98"/>
      <c r="CS30" s="99"/>
      <c r="CT30" s="83"/>
      <c r="CU30" s="101"/>
      <c r="CV30" s="102"/>
      <c r="CW30" s="143"/>
      <c r="CX30" s="103" t="str">
        <f xml:space="preserve"> IFERROR( IF(LEN(CR30)=0, "", IF(EXACT(CR30,CQ30), "", "    - xform/^" &amp; CQ30 &amp; "/" &amp; CR30 &amp; "/  # " &amp; "【" &amp; CS30 &amp; "】 ==&gt; " &amp; CU30 &amp; "： " &amp; CT30 &amp; " [" &amp; CQ30 &amp; "]")), "")</f>
        <v/>
      </c>
      <c r="CY30" s="91">
        <f t="shared" si="4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0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xml:space="preserve"> LEN(BO31)</f>
        <v>2</v>
      </c>
      <c r="BV31" s="96" t="str">
        <f xml:space="preserve"> "    """ &amp; BQ31 &amp; """: { commit: """ &amp; BR31 &amp; """ }" &amp; "  # " &amp; "/" &amp; BO32 &amp; "/ ==&gt; " &amp; BP31</f>
        <v xml:space="preserve">    "i": { commit: "ㆦ" }  # /o/ ==&gt; O</v>
      </c>
      <c r="BW31" s="97"/>
      <c r="BX31" s="91">
        <f t="shared" si="1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2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3"/>
        <v>27</v>
      </c>
      <c r="CQ31" s="100"/>
      <c r="CR31" s="98"/>
      <c r="CS31" s="99"/>
      <c r="CT31" s="83"/>
      <c r="CU31" s="101"/>
      <c r="CV31" s="102"/>
      <c r="CW31" s="155"/>
      <c r="CX31" s="103" t="str">
        <f xml:space="preserve"> IFERROR( IF(LEN(CR31)=0, "", IF(EXACT(CR31,CQ31), "", "    - xform/^" &amp; CQ31 &amp; "/" &amp; CR31 &amp; "/  # " &amp; "【" &amp; CS31 &amp; "】 ==&gt; " &amp; CU31 &amp; "： " &amp; CT31 &amp; " [" &amp; CQ31 &amp; "]")), "")</f>
        <v/>
      </c>
      <c r="CY31" s="91">
        <f t="shared" si="4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0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288</v>
      </c>
      <c r="BT32" s="95">
        <f xml:space="preserve"> LEN(BO32)</f>
        <v>1</v>
      </c>
      <c r="BV32" s="96"/>
      <c r="BW32" s="97"/>
      <c r="BX32" s="91">
        <f t="shared" si="1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2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3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4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0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xml:space="preserve"> LEN(BO33)</f>
        <v>2</v>
      </c>
      <c r="BV33" s="96" t="str">
        <f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1"/>
        <v>29</v>
      </c>
      <c r="BY33" s="100"/>
      <c r="BZ33" s="98"/>
      <c r="CA33" s="99"/>
      <c r="CB33" s="83"/>
      <c r="CC33" s="101"/>
      <c r="CD33" s="102"/>
      <c r="CF33" s="18"/>
      <c r="CG33" s="91">
        <f t="shared" si="2"/>
        <v>29</v>
      </c>
      <c r="CH33" s="100"/>
      <c r="CI33" s="98"/>
      <c r="CJ33" s="99"/>
      <c r="CK33" s="83"/>
      <c r="CL33" s="101"/>
      <c r="CM33" s="102"/>
      <c r="CO33" s="18"/>
      <c r="CP33" s="91">
        <f t="shared" si="3"/>
        <v>29</v>
      </c>
      <c r="CQ33" s="100"/>
      <c r="CR33" s="98"/>
      <c r="CS33" s="99"/>
      <c r="CT33" s="83"/>
      <c r="CU33" s="101"/>
      <c r="CV33" s="102"/>
      <c r="CX33" s="18" t="str">
        <f xml:space="preserve"> IF(CU33=0, "", "    - xform/^" &amp; CU33 &amp; "(?!\d)/" &amp; CQ33 &amp; "/  # " &amp; CR33 &amp; " [ " &amp; CU33 &amp; "]")</f>
        <v/>
      </c>
      <c r="CY33" s="91">
        <f t="shared" si="4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0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xml:space="preserve"> LEN(BO34)</f>
        <v>2</v>
      </c>
      <c r="BV34" s="96" t="str">
        <f xml:space="preserve"> "    """ &amp; BQ34 &amp; """: { commit: """ &amp; BR34 &amp; """ }" &amp; "  # " &amp; "/" &amp; BO34 &amp; "/ ==&gt; " &amp; BP34</f>
        <v xml:space="preserve">    "p": { commit: "ㄣ" }  # /-n/ ==&gt; N</v>
      </c>
      <c r="BW34" s="97"/>
      <c r="BX34" s="91">
        <f t="shared" si="1"/>
        <v>30</v>
      </c>
      <c r="BY34" s="100"/>
      <c r="BZ34" s="98"/>
      <c r="CA34" s="99"/>
      <c r="CB34" s="83"/>
      <c r="CC34" s="101"/>
      <c r="CD34" s="102"/>
      <c r="CF34" s="18"/>
      <c r="CG34" s="91">
        <f t="shared" si="2"/>
        <v>30</v>
      </c>
      <c r="CH34" s="100"/>
      <c r="CI34" s="98"/>
      <c r="CJ34" s="99"/>
      <c r="CK34" s="83"/>
      <c r="CL34" s="101"/>
      <c r="CM34" s="102"/>
      <c r="CO34" s="18"/>
      <c r="CP34" s="91">
        <f t="shared" si="3"/>
        <v>30</v>
      </c>
      <c r="CQ34" s="100"/>
      <c r="CR34" s="98"/>
      <c r="CS34" s="99"/>
      <c r="CT34" s="83"/>
      <c r="CU34" s="101"/>
      <c r="CV34" s="102"/>
      <c r="CX34" s="18" t="str">
        <f xml:space="preserve"> IF(CU34=0, "", "    - xform/^" &amp; CU34 &amp; "(?!\d)/" &amp; CQ34 &amp; "/  # " &amp; CR34 &amp; " [ " &amp; CU34 &amp; "]")</f>
        <v/>
      </c>
      <c r="CY34" s="91">
        <f t="shared" si="4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0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xml:space="preserve"> LEN(BO35)</f>
        <v>3</v>
      </c>
      <c r="BV35" s="96" t="str">
        <f xml:space="preserve"> "    """ &amp; BQ35 &amp; """: { commit: """ &amp; BR35 &amp; """ }" &amp; "  # " &amp; "/" &amp; BO35 &amp; "/ ==&gt; " &amp; BP35</f>
        <v xml:space="preserve">    "/": { commit: "ㆭ" }  # /-ng/ ==&gt; G</v>
      </c>
      <c r="BW35" s="97"/>
      <c r="BX35" s="91">
        <f t="shared" si="1"/>
        <v>31</v>
      </c>
      <c r="BY35" s="100"/>
      <c r="BZ35" s="98"/>
      <c r="CA35" s="99"/>
      <c r="CB35" s="83"/>
      <c r="CC35" s="101"/>
      <c r="CD35" s="102"/>
      <c r="CF35" s="18"/>
      <c r="CG35" s="91">
        <f t="shared" si="2"/>
        <v>31</v>
      </c>
      <c r="CH35" s="100"/>
      <c r="CI35" s="98"/>
      <c r="CJ35" s="99"/>
      <c r="CK35" s="83"/>
      <c r="CL35" s="101"/>
      <c r="CM35" s="102"/>
      <c r="CO35" s="18"/>
      <c r="CP35" s="91">
        <f t="shared" si="3"/>
        <v>31</v>
      </c>
      <c r="CQ35" s="100"/>
      <c r="CR35" s="98"/>
      <c r="CS35" s="99"/>
      <c r="CT35" s="83"/>
      <c r="CU35" s="101"/>
      <c r="CV35" s="102"/>
      <c r="CX35" s="18" t="str">
        <f xml:space="preserve"> IF(CU35=0, "", "    - xform/^" &amp; CU35 &amp; "(?!\d)/" &amp; CQ35 &amp; "/  # " &amp; CR35 &amp; " [ " &amp; CU35 &amp; "]")</f>
        <v/>
      </c>
      <c r="CY35" s="91">
        <f t="shared" si="4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0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xml:space="preserve"> LEN(BO36)</f>
        <v>2</v>
      </c>
      <c r="BV36" s="96" t="str">
        <f xml:space="preserve"> "    """ &amp; BQ36 &amp; """: { commit: """ &amp; BR36 &amp; """ }" &amp; "  # " &amp; "/" &amp; BO36 &amp; "/ ==&gt; " &amp; BP36</f>
        <v xml:space="preserve">    "b": { commit: "ㆴ" }  # /-p/ ==&gt; R</v>
      </c>
      <c r="BW36" s="97"/>
      <c r="BX36" s="91">
        <f t="shared" si="1"/>
        <v>32</v>
      </c>
      <c r="BY36" s="100"/>
      <c r="BZ36" s="98"/>
      <c r="CA36" s="99"/>
      <c r="CB36" s="83"/>
      <c r="CC36" s="101"/>
      <c r="CD36" s="102"/>
      <c r="CF36" s="18"/>
      <c r="CG36" s="91">
        <f t="shared" si="2"/>
        <v>32</v>
      </c>
      <c r="CH36" s="100"/>
      <c r="CI36" s="98"/>
      <c r="CJ36" s="99"/>
      <c r="CK36" s="83"/>
      <c r="CL36" s="101"/>
      <c r="CM36" s="102"/>
      <c r="CO36" s="18"/>
      <c r="CP36" s="91">
        <f t="shared" si="3"/>
        <v>32</v>
      </c>
      <c r="CQ36" s="100"/>
      <c r="CR36" s="98"/>
      <c r="CS36" s="99"/>
      <c r="CT36" s="83"/>
      <c r="CU36" s="101"/>
      <c r="CV36" s="102"/>
      <c r="CX36" s="18" t="str">
        <f xml:space="preserve"> IF(CU36=0, "", "    - xform/^" &amp; CU36 &amp; "(?!\d)/" &amp; CQ36 &amp; "/  # " &amp; CR36 &amp; " [ " &amp; CU36 &amp; "]")</f>
        <v/>
      </c>
      <c r="CY36" s="91">
        <f t="shared" si="4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0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xml:space="preserve"> LEN(BO37)</f>
        <v>2</v>
      </c>
      <c r="BV37" s="96" t="str">
        <f xml:space="preserve"> "    """ &amp; BQ37 &amp; """: { commit: """ &amp; BR37 &amp; """ }" &amp; "  # " &amp; "/" &amp; BO37 &amp; "/ ==&gt; " &amp; BP37</f>
        <v xml:space="preserve">    "t": { commit: "ㆵ" }  # /-t/ ==&gt; F</v>
      </c>
      <c r="BW37" s="97"/>
      <c r="BX37" s="91">
        <f t="shared" si="1"/>
        <v>33</v>
      </c>
      <c r="BY37" s="100"/>
      <c r="BZ37" s="98"/>
      <c r="CA37" s="99"/>
      <c r="CB37" s="83"/>
      <c r="CC37" s="101"/>
      <c r="CD37" s="102"/>
      <c r="CF37" s="18"/>
      <c r="CG37" s="91">
        <f t="shared" si="2"/>
        <v>33</v>
      </c>
      <c r="CH37" s="100"/>
      <c r="CI37" s="98"/>
      <c r="CJ37" s="99"/>
      <c r="CK37" s="83"/>
      <c r="CL37" s="101"/>
      <c r="CM37" s="102"/>
      <c r="CO37" s="18"/>
      <c r="CP37" s="91">
        <f t="shared" si="3"/>
        <v>33</v>
      </c>
      <c r="CQ37" s="100"/>
      <c r="CR37" s="98"/>
      <c r="CS37" s="99"/>
      <c r="CT37" s="83"/>
      <c r="CU37" s="101"/>
      <c r="CV37" s="102"/>
      <c r="CX37" s="18" t="str">
        <f xml:space="preserve"> IF(CU37=0, "", "    - xform/^" &amp; CU37 &amp; "(?!\d)/" &amp; CQ37 &amp; "/  # " &amp; CR37 &amp; " [ " &amp; CU37 &amp; "]")</f>
        <v/>
      </c>
      <c r="CY37" s="91">
        <f t="shared" si="4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0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xml:space="preserve"> LEN(BO38)</f>
        <v>2</v>
      </c>
      <c r="BV38" s="96" t="str">
        <f xml:space="preserve"> "    """ &amp; BQ38 &amp; """: { commit: """ &amp; BR38 &amp; """ }" &amp; "  # " &amp; "/" &amp; BO38 &amp; "/ ==&gt; " &amp; BP38</f>
        <v xml:space="preserve">    "g": { commit: "ㆻ" }  # /-k/ ==&gt; Q</v>
      </c>
      <c r="BW38" s="97"/>
      <c r="BX38" s="91">
        <f t="shared" si="1"/>
        <v>34</v>
      </c>
      <c r="BY38" s="100"/>
      <c r="BZ38" s="98"/>
      <c r="CA38" s="99"/>
      <c r="CB38" s="83"/>
      <c r="CC38" s="101"/>
      <c r="CD38" s="102"/>
      <c r="CF38" s="18"/>
      <c r="CG38" s="91">
        <f t="shared" si="2"/>
        <v>34</v>
      </c>
      <c r="CH38" s="100"/>
      <c r="CI38" s="98"/>
      <c r="CJ38" s="99"/>
      <c r="CK38" s="83"/>
      <c r="CL38" s="101"/>
      <c r="CM38" s="102"/>
      <c r="CO38" s="18"/>
      <c r="CP38" s="91">
        <f t="shared" si="3"/>
        <v>34</v>
      </c>
      <c r="CQ38" s="100"/>
      <c r="CR38" s="98"/>
      <c r="CS38" s="99"/>
      <c r="CT38" s="83"/>
      <c r="CU38" s="101"/>
      <c r="CV38" s="102"/>
      <c r="CX38" s="18" t="str">
        <f xml:space="preserve"> IF(CU38=0, "", "    - xform/^" &amp; CU38 &amp; "(?!\d)/" &amp; CQ38 &amp; "/  # " &amp; CR38 &amp; " [ " &amp; CU38 &amp; "]")</f>
        <v/>
      </c>
      <c r="CY38" s="91">
        <f t="shared" si="4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0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xml:space="preserve"> LEN(BO39)</f>
        <v>2</v>
      </c>
      <c r="BV39" s="96" t="str">
        <f xml:space="preserve"> "    """ &amp; BQ39 &amp; """: { commit: """ &amp; BR39 &amp; """ }" &amp; "  # " &amp; "/" &amp; BO39 &amp; "/ ==&gt; " &amp; BP39</f>
        <v xml:space="preserve">    "z": { commit: "ㆷ" }  # /-h/ ==&gt; V</v>
      </c>
      <c r="BW39" s="97"/>
      <c r="BX39" s="91">
        <f t="shared" si="1"/>
        <v>35</v>
      </c>
      <c r="BY39" s="100"/>
      <c r="BZ39" s="98"/>
      <c r="CA39" s="99"/>
      <c r="CB39" s="83"/>
      <c r="CC39" s="101"/>
      <c r="CD39" s="102"/>
      <c r="CF39" s="18"/>
      <c r="CG39" s="91">
        <f t="shared" si="2"/>
        <v>35</v>
      </c>
      <c r="CH39" s="100"/>
      <c r="CI39" s="98"/>
      <c r="CJ39" s="99"/>
      <c r="CK39" s="83"/>
      <c r="CL39" s="101"/>
      <c r="CM39" s="102"/>
      <c r="CO39" s="18"/>
      <c r="CP39" s="91">
        <f t="shared" si="3"/>
        <v>35</v>
      </c>
      <c r="CQ39" s="100"/>
      <c r="CR39" s="98"/>
      <c r="CS39" s="99"/>
      <c r="CT39" s="83"/>
      <c r="CU39" s="101"/>
      <c r="CV39" s="102"/>
      <c r="CX39" s="18" t="str">
        <f xml:space="preserve"> IF(CU39=0, "", "    - xform/^" &amp; CU39 &amp; "(?!\d)/" &amp; CQ39 &amp; "/  # " &amp; CR39 &amp; " [ " &amp; CU39 &amp; "]")</f>
        <v/>
      </c>
      <c r="CY39" s="91">
        <f t="shared" si="4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0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288</v>
      </c>
      <c r="BT40" s="95">
        <f xml:space="preserve"> LEN(BO40)</f>
        <v>2</v>
      </c>
      <c r="BU40" s="143"/>
      <c r="BV40" s="96" t="str">
        <f xml:space="preserve"> "    """ &amp; BQ40 &amp; """: { commit: """ &amp; BR40 &amp; """ }" &amp; "  # " &amp; "/" &amp; BO40 &amp; "/ ==&gt; " &amp; BP40</f>
        <v xml:space="preserve">    "9": { commit: "ㄞ" }  # /ai/ ==&gt; I</v>
      </c>
      <c r="BW40" s="97"/>
      <c r="BX40" s="91">
        <f t="shared" si="1"/>
        <v>36</v>
      </c>
      <c r="BY40" s="100"/>
      <c r="BZ40" s="98"/>
      <c r="CA40" s="99"/>
      <c r="CB40" s="83"/>
      <c r="CC40" s="101"/>
      <c r="CD40" s="102"/>
      <c r="CE40" s="143"/>
      <c r="CG40" s="91">
        <f t="shared" si="2"/>
        <v>36</v>
      </c>
      <c r="CH40" s="100"/>
      <c r="CI40" s="98"/>
      <c r="CJ40" s="99"/>
      <c r="CK40" s="83"/>
      <c r="CL40" s="101"/>
      <c r="CM40" s="102"/>
      <c r="CN40" s="143"/>
      <c r="CP40" s="91">
        <f t="shared" si="3"/>
        <v>36</v>
      </c>
      <c r="CQ40" s="100"/>
      <c r="CR40" s="98"/>
      <c r="CS40" s="99"/>
      <c r="CT40" s="83"/>
      <c r="CU40" s="101"/>
      <c r="CV40" s="102"/>
      <c r="CW40" s="143"/>
      <c r="CX40" s="18" t="str">
        <f xml:space="preserve"> IF(CU40=0, "", "    - xform/^" &amp; CU40 &amp; "(?!\d)/" &amp; CQ40 &amp; "/  # " &amp; CR40 &amp; " [ " &amp; CU40 &amp; "]")</f>
        <v/>
      </c>
      <c r="CY40" s="91">
        <f t="shared" si="4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bpPmntTlgkKŋjzcshJZCSaiwueOəMNGRFQVIUY@AWHdfqrvxy17325840L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17325840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0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288</v>
      </c>
      <c r="BT41" s="95">
        <f xml:space="preserve"> LEN(BO41)</f>
        <v>2</v>
      </c>
      <c r="BU41" s="143"/>
      <c r="BV41" s="96" t="str">
        <f xml:space="preserve"> "    """ &amp; BQ41 &amp; """: { commit: """ &amp; BR41 &amp; """ }" &amp; "  # " &amp; "/" &amp; BO41 &amp; "/ ==&gt; " &amp; BP41</f>
        <v xml:space="preserve">    "l": { commit: "ㄠ" }  # /au/ ==&gt; U</v>
      </c>
      <c r="BW41" s="97"/>
      <c r="BX41" s="91">
        <f t="shared" si="1"/>
        <v>37</v>
      </c>
      <c r="BY41" s="100"/>
      <c r="BZ41" s="98"/>
      <c r="CA41" s="99"/>
      <c r="CB41" s="83"/>
      <c r="CC41" s="101"/>
      <c r="CD41" s="102"/>
      <c r="CG41" s="91">
        <f t="shared" si="2"/>
        <v>37</v>
      </c>
      <c r="CH41" s="100"/>
      <c r="CI41" s="98"/>
      <c r="CJ41" s="99"/>
      <c r="CK41" s="83"/>
      <c r="CL41" s="101"/>
      <c r="CM41" s="102"/>
      <c r="CP41" s="91">
        <f t="shared" si="3"/>
        <v>37</v>
      </c>
      <c r="CQ41" s="100"/>
      <c r="CR41" s="98"/>
      <c r="CS41" s="99"/>
      <c r="CT41" s="83"/>
      <c r="CU41" s="101"/>
      <c r="CV41" s="102"/>
      <c r="CX41" s="18" t="str">
        <f xml:space="preserve"> IF(CU41=0, "", "    - xform/^" &amp; CU41 &amp; "(?!\d)/" &amp; CQ41 &amp; "/  # " &amp; CR41 &amp; " [ " &amp; CU41 &amp; "]")</f>
        <v/>
      </c>
      <c r="CY41" s="91">
        <f t="shared" si="4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0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288</v>
      </c>
      <c r="BT42" s="95">
        <f xml:space="preserve"> LEN(BO42)</f>
        <v>2</v>
      </c>
      <c r="BV42" s="96" t="str">
        <f xml:space="preserve"> "    """ &amp; BQ42 &amp; """: { commit: """ &amp; BR42 &amp; """ }" &amp; "  # " &amp; "/" &amp; BO42 &amp; "/ ==&gt; " &amp; BP42</f>
        <v xml:space="preserve">    "M": { commit: "ㆰ" }  # /am/ ==&gt; Y</v>
      </c>
      <c r="BW42" s="97"/>
      <c r="BX42" s="91">
        <f t="shared" si="1"/>
        <v>38</v>
      </c>
      <c r="BY42" s="100"/>
      <c r="BZ42" s="98"/>
      <c r="CA42" s="99"/>
      <c r="CB42" s="83"/>
      <c r="CC42" s="101"/>
      <c r="CD42" s="102"/>
      <c r="CG42" s="91">
        <f t="shared" si="2"/>
        <v>38</v>
      </c>
      <c r="CH42" s="100"/>
      <c r="CI42" s="98"/>
      <c r="CJ42" s="99"/>
      <c r="CK42" s="83"/>
      <c r="CL42" s="101"/>
      <c r="CM42" s="102"/>
      <c r="CP42" s="91">
        <f t="shared" si="3"/>
        <v>38</v>
      </c>
      <c r="CQ42" s="100"/>
      <c r="CR42" s="98"/>
      <c r="CS42" s="99"/>
      <c r="CT42" s="83"/>
      <c r="CU42" s="101"/>
      <c r="CV42" s="102"/>
      <c r="CX42" s="18" t="str">
        <f xml:space="preserve"> IF(CU42=0, "", "    - xform/^" &amp; CU42 &amp; "(?!\d)/" &amp; CQ42 &amp; "/  # " &amp; CR42 &amp; " [ " &amp; CU42 &amp; "]")</f>
        <v/>
      </c>
      <c r="CY42" s="91">
        <f t="shared" si="4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xlit|bpPmntTlgkKŋjzcshJZCSaiwueOəMNGRFQVIUY@AWHdfqrvxy17325840L|!1qas2wxEedGYyhncRrfv8uKj,ikmp/btgz9lM0;Oo*UJ&lt;I(L:5346][7N|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xlit|17325840|:5346][7|</v>
      </c>
      <c r="BF43" s="185"/>
      <c r="BG43" s="185"/>
      <c r="BH43" s="185"/>
      <c r="BI43" s="185"/>
      <c r="BJ43" s="185"/>
      <c r="BK43" s="185"/>
      <c r="BL43" s="171"/>
      <c r="BN43" s="91">
        <f t="shared" si="0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288</v>
      </c>
      <c r="BT43" s="95">
        <f xml:space="preserve"> LEN(BO43)</f>
        <v>2</v>
      </c>
      <c r="BV43" s="96" t="str">
        <f xml:space="preserve"> "    """ &amp; BQ43 &amp; """: { commit: """ &amp; BR43 &amp; """ }" &amp; "  # " &amp; "/" &amp; BO43 &amp; "/ ==&gt; " &amp; BP43</f>
        <v xml:space="preserve">    "0": { commit: "ㄢ" }  # /an/ ==&gt; @</v>
      </c>
      <c r="BW43" s="97"/>
      <c r="BX43" s="91">
        <f t="shared" si="1"/>
        <v>39</v>
      </c>
      <c r="BY43" s="100"/>
      <c r="BZ43" s="98"/>
      <c r="CA43" s="99"/>
      <c r="CB43" s="83"/>
      <c r="CC43" s="101"/>
      <c r="CD43" s="102"/>
      <c r="CG43" s="91">
        <f t="shared" si="2"/>
        <v>39</v>
      </c>
      <c r="CH43" s="100"/>
      <c r="CI43" s="98"/>
      <c r="CJ43" s="99"/>
      <c r="CK43" s="83"/>
      <c r="CL43" s="101"/>
      <c r="CM43" s="102"/>
      <c r="CP43" s="91">
        <f t="shared" si="3"/>
        <v>39</v>
      </c>
      <c r="CQ43" s="100"/>
      <c r="CR43" s="98"/>
      <c r="CS43" s="99"/>
      <c r="CT43" s="83"/>
      <c r="CU43" s="101"/>
      <c r="CV43" s="102"/>
      <c r="CX43" s="18" t="str">
        <f xml:space="preserve"> IF(CU43=0, "", "    - xform/^" &amp; CU43 &amp; "(?!\d)/" &amp; CQ43 &amp; "/  # " &amp; CR43 &amp; " [ " &amp; CU43 &amp; "]")</f>
        <v/>
      </c>
      <c r="CY43" s="91">
        <f t="shared" si="4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0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288</v>
      </c>
      <c r="BT44" s="95">
        <f xml:space="preserve"> LEN(BO44)</f>
        <v>3</v>
      </c>
      <c r="BV44" s="96" t="str">
        <f xml:space="preserve"> "    """ &amp; BQ44 &amp; """: { commit: """ &amp; BR44 &amp; """ }" &amp; "  # " &amp; "/" &amp; BO44 &amp; "/ ==&gt; " &amp; BP44</f>
        <v xml:space="preserve">    ";": { commit: "ㄤ" }  # /ang/ ==&gt; A</v>
      </c>
      <c r="BW44" s="97"/>
      <c r="BX44" s="91">
        <f t="shared" si="1"/>
        <v>40</v>
      </c>
      <c r="BY44" s="100"/>
      <c r="BZ44" s="98"/>
      <c r="CA44" s="99"/>
      <c r="CB44" s="83"/>
      <c r="CC44" s="101"/>
      <c r="CD44" s="102"/>
      <c r="CG44" s="91">
        <f t="shared" si="2"/>
        <v>40</v>
      </c>
      <c r="CH44" s="100"/>
      <c r="CI44" s="98"/>
      <c r="CJ44" s="99"/>
      <c r="CK44" s="83"/>
      <c r="CL44" s="101"/>
      <c r="CM44" s="102"/>
      <c r="CP44" s="91">
        <f t="shared" si="3"/>
        <v>40</v>
      </c>
      <c r="CQ44" s="100"/>
      <c r="CR44" s="98"/>
      <c r="CS44" s="99"/>
      <c r="CT44" s="83"/>
      <c r="CU44" s="101"/>
      <c r="CV44" s="102"/>
      <c r="CX44" s="18" t="str">
        <f xml:space="preserve"> IF(CU44=0, "", "    - xform/^" &amp; CU44 &amp; "(?!\d)/" &amp; CQ44 &amp; "/  # " &amp; CR44 &amp; " [ " &amp; CU44 &amp; "]")</f>
        <v/>
      </c>
      <c r="CY44" s="91">
        <f t="shared" si="4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0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288</v>
      </c>
      <c r="BT45" s="95">
        <f xml:space="preserve"> LEN(BO45)</f>
        <v>2</v>
      </c>
      <c r="BV45" s="96" t="str">
        <f xml:space="preserve"> "    """ &amp; BQ45 &amp; """: { commit: """ &amp; BR45 &amp; """ }" &amp; "  # " &amp; "/" &amp; BO45 &amp; "/ ==&gt; " &amp; BP45</f>
        <v xml:space="preserve">    "O": { commit: "ㆱ" }  # /om/ ==&gt; W</v>
      </c>
      <c r="BW45" s="97"/>
      <c r="BX45" s="91">
        <f t="shared" si="1"/>
        <v>41</v>
      </c>
      <c r="BY45" s="100"/>
      <c r="BZ45" s="98"/>
      <c r="CA45" s="99"/>
      <c r="CB45" s="83"/>
      <c r="CC45" s="101"/>
      <c r="CD45" s="102"/>
      <c r="CG45" s="91">
        <f t="shared" si="2"/>
        <v>41</v>
      </c>
      <c r="CH45" s="100"/>
      <c r="CI45" s="98"/>
      <c r="CJ45" s="99"/>
      <c r="CK45" s="83"/>
      <c r="CL45" s="101"/>
      <c r="CM45" s="102"/>
      <c r="CP45" s="91">
        <f t="shared" si="3"/>
        <v>41</v>
      </c>
      <c r="CQ45" s="100"/>
      <c r="CR45" s="98"/>
      <c r="CS45" s="99"/>
      <c r="CT45" s="83"/>
      <c r="CU45" s="101"/>
      <c r="CV45" s="102"/>
      <c r="CX45" s="18" t="str">
        <f xml:space="preserve"> IF(CU45=0, "", "    - xform/^" &amp; CU45 &amp; "(?!\d)/" &amp; CQ45 &amp; "/  # " &amp; CR45 &amp; " [ " &amp; CU45 &amp; "]")</f>
        <v/>
      </c>
      <c r="CY45" s="91">
        <f t="shared" si="4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0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288</v>
      </c>
      <c r="BT46" s="95">
        <f xml:space="preserve"> LEN(BO46)</f>
        <v>3</v>
      </c>
      <c r="BV46" s="96" t="str">
        <f xml:space="preserve"> "    """ &amp; BQ46 &amp; """: { commit: """ &amp; BR46 &amp; """ }" &amp; "  # " &amp; "/" &amp; BO46 &amp; "/ ==&gt; " &amp; BP46</f>
        <v xml:space="preserve">    "o": { commit: "ㆲ" }  # /ong/ ==&gt; H</v>
      </c>
      <c r="BW46" s="97"/>
      <c r="BX46" s="91">
        <f t="shared" si="1"/>
        <v>42</v>
      </c>
      <c r="BY46" s="100"/>
      <c r="BZ46" s="98"/>
      <c r="CA46" s="99"/>
      <c r="CB46" s="83"/>
      <c r="CC46" s="101"/>
      <c r="CD46" s="102"/>
      <c r="CG46" s="91">
        <f t="shared" si="2"/>
        <v>42</v>
      </c>
      <c r="CH46" s="100"/>
      <c r="CI46" s="98"/>
      <c r="CJ46" s="99"/>
      <c r="CK46" s="83"/>
      <c r="CL46" s="101"/>
      <c r="CM46" s="102"/>
      <c r="CP46" s="91">
        <f t="shared" si="3"/>
        <v>42</v>
      </c>
      <c r="CQ46" s="100"/>
      <c r="CR46" s="98"/>
      <c r="CS46" s="99"/>
      <c r="CT46" s="83"/>
      <c r="CU46" s="101"/>
      <c r="CV46" s="102"/>
      <c r="CX46" s="18" t="str">
        <f xml:space="preserve"> IF(CU46=0, "", "    - xform/^" &amp; CU46 &amp; "(?!\d)/" &amp; CQ46 &amp; "/  # " &amp; CR46 &amp; " [ " &amp; CU46 &amp; "]")</f>
        <v/>
      </c>
      <c r="CY46" s="91">
        <f t="shared" si="4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6" xml:space="preserve"> MID($E$41, C$46, 1)</f>
        <v>p</v>
      </c>
      <c r="D47" s="190" t="str">
        <f t="shared" si="6"/>
        <v>P</v>
      </c>
      <c r="E47" s="190" t="str">
        <f t="shared" si="6"/>
        <v>m</v>
      </c>
      <c r="F47" s="190" t="str">
        <f t="shared" si="6"/>
        <v>n</v>
      </c>
      <c r="G47" s="190" t="str">
        <f t="shared" si="6"/>
        <v>t</v>
      </c>
      <c r="H47" s="190" t="str">
        <f t="shared" si="6"/>
        <v>T</v>
      </c>
      <c r="I47" s="190" t="str">
        <f t="shared" si="6"/>
        <v>l</v>
      </c>
      <c r="J47" s="190" t="str">
        <f t="shared" si="6"/>
        <v>g</v>
      </c>
      <c r="K47" s="190" t="str">
        <f t="shared" si="6"/>
        <v>k</v>
      </c>
      <c r="L47" s="190" t="str">
        <f t="shared" si="6"/>
        <v>K</v>
      </c>
      <c r="M47" s="190" t="str">
        <f t="shared" si="6"/>
        <v>ŋ</v>
      </c>
      <c r="N47" s="190" t="str">
        <f t="shared" si="6"/>
        <v>j</v>
      </c>
      <c r="O47" s="190" t="str">
        <f t="shared" si="6"/>
        <v>z</v>
      </c>
      <c r="P47" s="190" t="str">
        <f t="shared" si="6"/>
        <v>c</v>
      </c>
      <c r="Q47" s="190" t="str">
        <f t="shared" si="6"/>
        <v>s</v>
      </c>
      <c r="R47" s="190" t="str">
        <f t="shared" si="6"/>
        <v>h</v>
      </c>
      <c r="S47" s="190" t="str">
        <f t="shared" si="6"/>
        <v>J</v>
      </c>
      <c r="T47" s="190" t="str">
        <f t="shared" si="6"/>
        <v>Z</v>
      </c>
      <c r="U47" s="190" t="str">
        <f t="shared" si="6"/>
        <v>C</v>
      </c>
      <c r="V47" s="190" t="str">
        <f t="shared" si="6"/>
        <v>S</v>
      </c>
      <c r="W47" s="190" t="str">
        <f t="shared" si="6"/>
        <v>a</v>
      </c>
      <c r="X47" s="190" t="str">
        <f t="shared" si="6"/>
        <v>i</v>
      </c>
      <c r="Y47" s="190" t="str">
        <f t="shared" si="6"/>
        <v>w</v>
      </c>
      <c r="Z47" s="190" t="str">
        <f t="shared" si="6"/>
        <v>u</v>
      </c>
      <c r="AA47" s="190" t="str">
        <f t="shared" si="6"/>
        <v>e</v>
      </c>
      <c r="AB47" s="190" t="str">
        <f t="shared" si="6"/>
        <v>O</v>
      </c>
      <c r="AC47" s="190" t="str">
        <f t="shared" si="6"/>
        <v>ə</v>
      </c>
      <c r="AD47" s="190" t="str">
        <f t="shared" si="6"/>
        <v>M</v>
      </c>
      <c r="AE47" s="190" t="str">
        <f t="shared" si="6"/>
        <v>N</v>
      </c>
      <c r="AF47" s="190" t="str">
        <f t="shared" si="6"/>
        <v>G</v>
      </c>
      <c r="AG47" s="190" t="str">
        <f t="shared" si="6"/>
        <v>R</v>
      </c>
      <c r="AH47" s="190" t="str">
        <f t="shared" si="6"/>
        <v>F</v>
      </c>
      <c r="AI47" s="190" t="str">
        <f t="shared" si="6"/>
        <v>Q</v>
      </c>
      <c r="AJ47" s="190" t="str">
        <f t="shared" si="6"/>
        <v>V</v>
      </c>
      <c r="AK47" s="190" t="str">
        <f t="shared" si="6"/>
        <v>I</v>
      </c>
      <c r="AL47" s="190" t="str">
        <f t="shared" si="6"/>
        <v>U</v>
      </c>
      <c r="AM47" s="190" t="str">
        <f t="shared" si="6"/>
        <v>Y</v>
      </c>
      <c r="AN47" s="190" t="str">
        <f t="shared" si="6"/>
        <v>@</v>
      </c>
      <c r="AO47" s="190" t="str">
        <f t="shared" si="6"/>
        <v>A</v>
      </c>
      <c r="AP47" s="190" t="str">
        <f t="shared" si="6"/>
        <v>W</v>
      </c>
      <c r="AQ47" s="190" t="str">
        <f t="shared" si="6"/>
        <v>H</v>
      </c>
      <c r="AR47" s="190" t="str">
        <f t="shared" si="6"/>
        <v>d</v>
      </c>
      <c r="AS47" s="190" t="str">
        <f t="shared" si="6"/>
        <v>f</v>
      </c>
      <c r="AT47" s="190" t="str">
        <f t="shared" si="6"/>
        <v>q</v>
      </c>
      <c r="AU47" s="190" t="str">
        <f t="shared" si="6"/>
        <v>r</v>
      </c>
      <c r="AV47" s="190" t="str">
        <f t="shared" si="6"/>
        <v>v</v>
      </c>
      <c r="AW47" s="190" t="str">
        <f t="shared" si="6"/>
        <v>x</v>
      </c>
      <c r="AX47" s="190" t="str">
        <f t="shared" si="6"/>
        <v>y</v>
      </c>
      <c r="AY47" s="190" t="str">
        <f t="shared" si="6"/>
        <v>1</v>
      </c>
      <c r="AZ47" s="190" t="str">
        <f t="shared" si="6"/>
        <v>7</v>
      </c>
      <c r="BA47" s="190" t="str">
        <f t="shared" si="6"/>
        <v>3</v>
      </c>
      <c r="BB47" s="190" t="str">
        <f t="shared" si="6"/>
        <v>2</v>
      </c>
      <c r="BC47" s="190" t="str">
        <f t="shared" si="6"/>
        <v>5</v>
      </c>
      <c r="BD47" s="190" t="str">
        <f t="shared" si="6"/>
        <v>8</v>
      </c>
      <c r="BE47" s="190" t="str">
        <f t="shared" si="6"/>
        <v>4</v>
      </c>
      <c r="BF47" s="190" t="str">
        <f t="shared" si="6"/>
        <v>0</v>
      </c>
      <c r="BG47" s="190" t="str">
        <f t="shared" si="6"/>
        <v>L</v>
      </c>
      <c r="BH47" s="190" t="str">
        <f t="shared" si="6"/>
        <v/>
      </c>
      <c r="BI47" s="190" t="str">
        <f t="shared" si="6"/>
        <v/>
      </c>
      <c r="BJ47" s="171"/>
      <c r="BK47" s="171"/>
      <c r="BL47" s="171"/>
      <c r="BN47" s="91">
        <f t="shared" si="0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288</v>
      </c>
      <c r="BT47" s="95">
        <f xml:space="preserve"> LEN(BO47)</f>
        <v>2</v>
      </c>
      <c r="BV47" s="96" t="str">
        <f xml:space="preserve"> "    """ &amp; BQ47 &amp; """: { commit: """ &amp; BR47 &amp; """ }" &amp; "  # " &amp; "/" &amp; BO47 &amp; "/ ==&gt; " &amp; BP47</f>
        <v xml:space="preserve">    "*": { commit: "ㆩ" }  # /aⁿ/ ==&gt; d</v>
      </c>
      <c r="BX47" s="91">
        <f t="shared" si="1"/>
        <v>43</v>
      </c>
      <c r="BY47" s="100"/>
      <c r="BZ47" s="98"/>
      <c r="CA47" s="99"/>
      <c r="CB47" s="83"/>
      <c r="CC47" s="101"/>
      <c r="CD47" s="102"/>
      <c r="CG47" s="91">
        <f t="shared" si="2"/>
        <v>43</v>
      </c>
      <c r="CH47" s="100"/>
      <c r="CI47" s="98"/>
      <c r="CJ47" s="99"/>
      <c r="CK47" s="83"/>
      <c r="CL47" s="101"/>
      <c r="CM47" s="102"/>
      <c r="CP47" s="91">
        <f t="shared" si="3"/>
        <v>43</v>
      </c>
      <c r="CQ47" s="100"/>
      <c r="CR47" s="98"/>
      <c r="CS47" s="99"/>
      <c r="CT47" s="83"/>
      <c r="CU47" s="101"/>
      <c r="CV47" s="102"/>
      <c r="CX47" s="18" t="str">
        <f xml:space="preserve"> IF(CU47=0, "", "    - xform/^" &amp; CU47 &amp; "(?!\d)/" &amp; CQ47 &amp; "/  # " &amp; CR47 &amp; " [ " &amp; CU47 &amp; "]")</f>
        <v/>
      </c>
      <c r="CY47" s="91">
        <f t="shared" si="4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7" xml:space="preserve"> MID($E$42, C$46, 1)</f>
        <v>1</v>
      </c>
      <c r="D48" s="191" t="str">
        <f t="shared" si="7"/>
        <v>q</v>
      </c>
      <c r="E48" s="191" t="str">
        <f t="shared" si="7"/>
        <v>a</v>
      </c>
      <c r="F48" s="191" t="str">
        <f t="shared" si="7"/>
        <v>s</v>
      </c>
      <c r="G48" s="191" t="str">
        <f t="shared" si="7"/>
        <v>2</v>
      </c>
      <c r="H48" s="191" t="str">
        <f t="shared" si="7"/>
        <v>w</v>
      </c>
      <c r="I48" s="191" t="str">
        <f t="shared" si="7"/>
        <v>x</v>
      </c>
      <c r="J48" s="191" t="str">
        <f t="shared" si="7"/>
        <v>E</v>
      </c>
      <c r="K48" s="191" t="str">
        <f t="shared" si="7"/>
        <v>e</v>
      </c>
      <c r="L48" s="191" t="str">
        <f t="shared" si="7"/>
        <v>d</v>
      </c>
      <c r="M48" s="191" t="str">
        <f t="shared" si="7"/>
        <v>G</v>
      </c>
      <c r="N48" s="191" t="str">
        <f t="shared" si="7"/>
        <v>Y</v>
      </c>
      <c r="O48" s="191" t="str">
        <f t="shared" si="7"/>
        <v>y</v>
      </c>
      <c r="P48" s="191" t="str">
        <f t="shared" si="7"/>
        <v>h</v>
      </c>
      <c r="Q48" s="191" t="str">
        <f t="shared" si="7"/>
        <v>n</v>
      </c>
      <c r="R48" s="191" t="str">
        <f t="shared" si="7"/>
        <v>c</v>
      </c>
      <c r="S48" s="191" t="str">
        <f t="shared" si="7"/>
        <v>R</v>
      </c>
      <c r="T48" s="191" t="str">
        <f t="shared" si="7"/>
        <v>r</v>
      </c>
      <c r="U48" s="191" t="str">
        <f t="shared" si="7"/>
        <v>f</v>
      </c>
      <c r="V48" s="191" t="str">
        <f t="shared" si="7"/>
        <v>v</v>
      </c>
      <c r="W48" s="191" t="str">
        <f t="shared" si="7"/>
        <v>8</v>
      </c>
      <c r="X48" s="191" t="str">
        <f t="shared" si="7"/>
        <v>u</v>
      </c>
      <c r="Y48" s="191" t="str">
        <f t="shared" si="7"/>
        <v>K</v>
      </c>
      <c r="Z48" s="191" t="str">
        <f t="shared" si="7"/>
        <v>j</v>
      </c>
      <c r="AA48" s="191" t="str">
        <f t="shared" si="7"/>
        <v>,</v>
      </c>
      <c r="AB48" s="191" t="str">
        <f t="shared" si="7"/>
        <v>i</v>
      </c>
      <c r="AC48" s="191" t="str">
        <f t="shared" si="7"/>
        <v>k</v>
      </c>
      <c r="AD48" s="191" t="str">
        <f t="shared" si="7"/>
        <v>m</v>
      </c>
      <c r="AE48" s="191" t="str">
        <f t="shared" si="7"/>
        <v>p</v>
      </c>
      <c r="AF48" s="191" t="str">
        <f t="shared" si="7"/>
        <v>/</v>
      </c>
      <c r="AG48" s="191" t="str">
        <f t="shared" si="7"/>
        <v>b</v>
      </c>
      <c r="AH48" s="191" t="str">
        <f t="shared" si="7"/>
        <v>t</v>
      </c>
      <c r="AI48" s="191" t="str">
        <f t="shared" si="7"/>
        <v>g</v>
      </c>
      <c r="AJ48" s="191" t="str">
        <f t="shared" si="7"/>
        <v>z</v>
      </c>
      <c r="AK48" s="191" t="str">
        <f t="shared" si="7"/>
        <v>9</v>
      </c>
      <c r="AL48" s="191" t="str">
        <f t="shared" si="7"/>
        <v>l</v>
      </c>
      <c r="AM48" s="191" t="str">
        <f t="shared" si="7"/>
        <v>M</v>
      </c>
      <c r="AN48" s="191" t="str">
        <f t="shared" si="7"/>
        <v>0</v>
      </c>
      <c r="AO48" s="191" t="str">
        <f t="shared" si="7"/>
        <v>;</v>
      </c>
      <c r="AP48" s="191" t="str">
        <f t="shared" si="7"/>
        <v>O</v>
      </c>
      <c r="AQ48" s="191" t="str">
        <f t="shared" si="7"/>
        <v>o</v>
      </c>
      <c r="AR48" s="191" t="str">
        <f t="shared" si="7"/>
        <v>*</v>
      </c>
      <c r="AS48" s="191" t="str">
        <f t="shared" si="7"/>
        <v>U</v>
      </c>
      <c r="AT48" s="191" t="str">
        <f t="shared" si="7"/>
        <v>J</v>
      </c>
      <c r="AU48" s="191" t="str">
        <f t="shared" si="7"/>
        <v>&lt;</v>
      </c>
      <c r="AV48" s="191" t="str">
        <f t="shared" si="7"/>
        <v>I</v>
      </c>
      <c r="AW48" s="191" t="str">
        <f t="shared" si="7"/>
        <v>(</v>
      </c>
      <c r="AX48" s="191" t="str">
        <f t="shared" si="7"/>
        <v>L</v>
      </c>
      <c r="AY48" s="191" t="str">
        <f t="shared" si="7"/>
        <v>:</v>
      </c>
      <c r="AZ48" s="191" t="str">
        <f t="shared" si="7"/>
        <v>5</v>
      </c>
      <c r="BA48" s="191" t="str">
        <f t="shared" si="7"/>
        <v>3</v>
      </c>
      <c r="BB48" s="191" t="str">
        <f t="shared" si="7"/>
        <v>4</v>
      </c>
      <c r="BC48" s="191" t="str">
        <f t="shared" si="7"/>
        <v>6</v>
      </c>
      <c r="BD48" s="191" t="str">
        <f t="shared" si="7"/>
        <v>]</v>
      </c>
      <c r="BE48" s="191" t="str">
        <f t="shared" si="7"/>
        <v>[</v>
      </c>
      <c r="BF48" s="191" t="str">
        <f t="shared" si="7"/>
        <v>7</v>
      </c>
      <c r="BG48" s="191" t="str">
        <f t="shared" si="7"/>
        <v>N</v>
      </c>
      <c r="BH48" s="191" t="str">
        <f t="shared" si="7"/>
        <v/>
      </c>
      <c r="BI48" s="191" t="str">
        <f t="shared" si="7"/>
        <v/>
      </c>
      <c r="BJ48" s="171"/>
      <c r="BK48" s="171"/>
      <c r="BL48" s="171"/>
      <c r="BN48" s="91">
        <f t="shared" si="0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288</v>
      </c>
      <c r="BT48" s="95">
        <f xml:space="preserve"> LEN(BO48)</f>
        <v>2</v>
      </c>
      <c r="BV48" s="96" t="str">
        <f xml:space="preserve"> "    """ &amp; BQ48 &amp; """: { commit: """ &amp; BR48 &amp; """ }" &amp; "  # " &amp; "/" &amp; BO48 &amp; "/ ==&gt; " &amp; BP48</f>
        <v xml:space="preserve">    "U": { commit: "ㆪ" }  # /iⁿ/ ==&gt; f</v>
      </c>
      <c r="BX48" s="91">
        <f t="shared" si="1"/>
        <v>44</v>
      </c>
      <c r="BY48" s="100"/>
      <c r="BZ48" s="98"/>
      <c r="CA48" s="99"/>
      <c r="CB48" s="83"/>
      <c r="CC48" s="101"/>
      <c r="CD48" s="102"/>
      <c r="CG48" s="91">
        <f t="shared" si="2"/>
        <v>44</v>
      </c>
      <c r="CH48" s="100"/>
      <c r="CI48" s="98"/>
      <c r="CJ48" s="99"/>
      <c r="CK48" s="83"/>
      <c r="CL48" s="101"/>
      <c r="CM48" s="102"/>
      <c r="CP48" s="91">
        <f t="shared" si="3"/>
        <v>44</v>
      </c>
      <c r="CQ48" s="100"/>
      <c r="CR48" s="98"/>
      <c r="CS48" s="99"/>
      <c r="CT48" s="83"/>
      <c r="CU48" s="101"/>
      <c r="CV48" s="102"/>
      <c r="CX48" s="18" t="str">
        <f xml:space="preserve"> IF(CU48=0, "", "    - xform/^" &amp; CU48 &amp; "(?!\d)/" &amp; CQ48 &amp; "/  # " &amp; CR48 &amp; " [ " &amp; CU48 &amp; "]")</f>
        <v/>
      </c>
      <c r="CY48" s="91">
        <f t="shared" si="4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0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288</v>
      </c>
      <c r="BT49" s="95">
        <f xml:space="preserve"> LEN(BO49)</f>
        <v>2</v>
      </c>
      <c r="BV49" s="96" t="str">
        <f xml:space="preserve"> "    """ &amp; BQ49 &amp; """: { commit: """ &amp; BR49 &amp; """ }" &amp; "  # " &amp; "/" &amp; BO49 &amp; "/ ==&gt; " &amp; BP49</f>
        <v xml:space="preserve">    "J": { commit: "ㆫ" }  # /uⁿ/ ==&gt; q</v>
      </c>
      <c r="BX49" s="91">
        <f t="shared" si="1"/>
        <v>45</v>
      </c>
      <c r="BY49" s="100"/>
      <c r="BZ49" s="98"/>
      <c r="CA49" s="99"/>
      <c r="CB49" s="83"/>
      <c r="CC49" s="101"/>
      <c r="CD49" s="102"/>
      <c r="CG49" s="91">
        <f t="shared" si="2"/>
        <v>45</v>
      </c>
      <c r="CH49" s="100"/>
      <c r="CI49" s="98"/>
      <c r="CJ49" s="99"/>
      <c r="CK49" s="83"/>
      <c r="CL49" s="101"/>
      <c r="CM49" s="102"/>
      <c r="CP49" s="91">
        <f t="shared" si="3"/>
        <v>45</v>
      </c>
      <c r="CQ49" s="100"/>
      <c r="CR49" s="98"/>
      <c r="CS49" s="99"/>
      <c r="CT49" s="83"/>
      <c r="CU49" s="101"/>
      <c r="CV49" s="102"/>
      <c r="CX49" s="18" t="str">
        <f xml:space="preserve"> IF(CU49=0, "", "    - xform/^" &amp; CU49 &amp; "(?!\d)/" &amp; CQ49 &amp; "/  # " &amp; CR49 &amp; " [ " &amp; CU49 &amp; "]")</f>
        <v/>
      </c>
      <c r="CY49" s="91">
        <f t="shared" si="4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0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288</v>
      </c>
      <c r="BT50" s="95">
        <f xml:space="preserve"> LEN(BO50)</f>
        <v>2</v>
      </c>
      <c r="BV50" s="96" t="str">
        <f xml:space="preserve"> "    """ &amp; BQ50 &amp; """: { commit: """ &amp; BR50 &amp; """ }" &amp; "  # " &amp; "/" &amp; BO50 &amp; "/ ==&gt; " &amp; BP50</f>
        <v xml:space="preserve">    "&lt;": { commit: "ㆥ" }  # /eⁿ/ ==&gt; r</v>
      </c>
      <c r="BX50" s="91">
        <f t="shared" si="1"/>
        <v>46</v>
      </c>
      <c r="BY50" s="100"/>
      <c r="BZ50" s="98"/>
      <c r="CA50" s="99"/>
      <c r="CB50" s="83"/>
      <c r="CC50" s="101"/>
      <c r="CD50" s="102"/>
      <c r="CG50" s="91">
        <f t="shared" si="2"/>
        <v>46</v>
      </c>
      <c r="CH50" s="100"/>
      <c r="CI50" s="98"/>
      <c r="CJ50" s="99"/>
      <c r="CK50" s="83"/>
      <c r="CL50" s="101"/>
      <c r="CM50" s="102"/>
      <c r="CP50" s="91">
        <f t="shared" si="3"/>
        <v>46</v>
      </c>
      <c r="CQ50" s="100"/>
      <c r="CR50" s="98"/>
      <c r="CS50" s="99"/>
      <c r="CT50" s="83"/>
      <c r="CU50" s="101"/>
      <c r="CV50" s="102"/>
      <c r="CX50" s="18" t="str">
        <f xml:space="preserve"> IF(CU50=0, "", "    - xform/^" &amp; CU50 &amp; "(?!\d)/" &amp; CQ50 &amp; "/  # " &amp; CR50 &amp; " [ " &amp; CU50 &amp; "]")</f>
        <v/>
      </c>
      <c r="CY50" s="91">
        <f t="shared" si="4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0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288</v>
      </c>
      <c r="BT51" s="95">
        <f xml:space="preserve"> LEN(BO51)</f>
        <v>2</v>
      </c>
      <c r="BV51" s="96" t="str">
        <f xml:space="preserve"> "    """ &amp; BQ51 &amp; """: { commit: """ &amp; BR51 &amp; """ }" &amp; "  # " &amp; "/" &amp; BO51 &amp; "/ ==&gt; " &amp; BP51</f>
        <v xml:space="preserve">    "I": { commit: "ㆧ" }  # /oⁿ/ ==&gt; v</v>
      </c>
      <c r="BX51" s="91">
        <f t="shared" si="1"/>
        <v>47</v>
      </c>
      <c r="BY51" s="100"/>
      <c r="BZ51" s="98"/>
      <c r="CA51" s="99"/>
      <c r="CB51" s="83"/>
      <c r="CC51" s="101"/>
      <c r="CD51" s="102"/>
      <c r="CG51" s="91">
        <f t="shared" si="2"/>
        <v>47</v>
      </c>
      <c r="CH51" s="100"/>
      <c r="CI51" s="98"/>
      <c r="CJ51" s="99"/>
      <c r="CK51" s="83"/>
      <c r="CL51" s="101"/>
      <c r="CM51" s="102"/>
      <c r="CP51" s="91">
        <f t="shared" si="3"/>
        <v>47</v>
      </c>
      <c r="CQ51" s="100"/>
      <c r="CR51" s="98"/>
      <c r="CS51" s="99"/>
      <c r="CT51" s="83"/>
      <c r="CU51" s="101"/>
      <c r="CV51" s="102"/>
      <c r="CX51" s="18" t="str">
        <f xml:space="preserve"> IF(CU51=0, "", "    - xform/^" &amp; CU51 &amp; "(?!\d)/" &amp; CQ51 &amp; "/  # " &amp; CR51 &amp; " [ " &amp; CU51 &amp; "]")</f>
        <v/>
      </c>
      <c r="CY51" s="91">
        <f t="shared" si="4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0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288</v>
      </c>
      <c r="BT52" s="95">
        <f xml:space="preserve"> LEN(BO52)</f>
        <v>3</v>
      </c>
      <c r="BV52" s="96" t="str">
        <f xml:space="preserve"> "    """ &amp; BQ52 &amp; """: { commit: """ &amp; BR52 &amp; """ }" &amp; "  # " &amp; "/" &amp; BO52 &amp; "/ ==&gt; " &amp; BP52</f>
        <v xml:space="preserve">    "(": { commit: "ㆮ" }  # /aiⁿ/ ==&gt; x</v>
      </c>
      <c r="BX52" s="91">
        <f t="shared" si="1"/>
        <v>48</v>
      </c>
      <c r="BY52" s="100"/>
      <c r="BZ52" s="98"/>
      <c r="CA52" s="99"/>
      <c r="CB52" s="83"/>
      <c r="CC52" s="101"/>
      <c r="CD52" s="102"/>
      <c r="CG52" s="91">
        <f t="shared" si="2"/>
        <v>48</v>
      </c>
      <c r="CH52" s="100"/>
      <c r="CI52" s="98"/>
      <c r="CJ52" s="99"/>
      <c r="CK52" s="83"/>
      <c r="CL52" s="101"/>
      <c r="CM52" s="102"/>
      <c r="CP52" s="91">
        <f t="shared" si="3"/>
        <v>48</v>
      </c>
      <c r="CQ52" s="100"/>
      <c r="CR52" s="98"/>
      <c r="CS52" s="99"/>
      <c r="CT52" s="83"/>
      <c r="CU52" s="101"/>
      <c r="CV52" s="102"/>
      <c r="CX52" s="18" t="str">
        <f xml:space="preserve"> IF(CU52=0, "", "    - xform/^" &amp; CU52 &amp; "(?!\d)/" &amp; CQ52 &amp; "/  # " &amp; CR52 &amp; " [ " &amp; CU52 &amp; "]")</f>
        <v/>
      </c>
      <c r="CY52" s="91">
        <f t="shared" si="4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0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288</v>
      </c>
      <c r="BT53" s="95">
        <f xml:space="preserve"> LEN(BO53)</f>
        <v>3</v>
      </c>
      <c r="BV53" s="96" t="str">
        <f xml:space="preserve"> "    """ &amp; BQ53 &amp; """: { commit: """ &amp; BR53 &amp; """ }" &amp; "  # " &amp; "/" &amp; BO53 &amp; "/ ==&gt; " &amp; BP53</f>
        <v xml:space="preserve">    "L": { commit: "ㆯ" }  # /auⁿ/ ==&gt; y</v>
      </c>
      <c r="BX53" s="91">
        <f t="shared" si="1"/>
        <v>49</v>
      </c>
      <c r="BY53" s="100"/>
      <c r="BZ53" s="98"/>
      <c r="CA53" s="99"/>
      <c r="CB53" s="83"/>
      <c r="CC53" s="101"/>
      <c r="CD53" s="102"/>
      <c r="CG53" s="91">
        <f t="shared" si="2"/>
        <v>49</v>
      </c>
      <c r="CH53" s="100"/>
      <c r="CI53" s="98"/>
      <c r="CJ53" s="99"/>
      <c r="CK53" s="83"/>
      <c r="CL53" s="101"/>
      <c r="CM53" s="102"/>
      <c r="CP53" s="91">
        <f t="shared" si="3"/>
        <v>49</v>
      </c>
      <c r="CQ53" s="100"/>
      <c r="CR53" s="98"/>
      <c r="CS53" s="99"/>
      <c r="CT53" s="83"/>
      <c r="CU53" s="101"/>
      <c r="CV53" s="102"/>
      <c r="CX53" s="18" t="str">
        <f xml:space="preserve"> IF(CU53=0, "", "    - xform/^" &amp; CU53 &amp; "(?!\d)/" &amp; CQ53 &amp; "/  # " &amp; CR53 &amp; " [ " &amp; CU53 &amp; "]")</f>
        <v/>
      </c>
      <c r="CY53" s="91">
        <f t="shared" si="4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0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289</v>
      </c>
      <c r="BT54" s="95">
        <f xml:space="preserve"> LEN(BO54)</f>
        <v>1</v>
      </c>
      <c r="BV54" s="96" t="str">
        <f xml:space="preserve"> "    """ &amp; BQ54 &amp; """: { commit: """ &amp; BR54 &amp; """ }" &amp; "  # " &amp; "/" &amp; BO54 &amp; "/ ==&gt; " &amp; BP54</f>
        <v xml:space="preserve">    ":": { commit: "一" }  # /1/ ==&gt; 1</v>
      </c>
      <c r="BX54" s="91">
        <f t="shared" si="1"/>
        <v>50</v>
      </c>
      <c r="BY54" s="100"/>
      <c r="BZ54" s="98"/>
      <c r="CA54" s="99"/>
      <c r="CB54" s="83"/>
      <c r="CC54" s="101"/>
      <c r="CD54" s="102"/>
      <c r="CG54" s="91">
        <f t="shared" si="2"/>
        <v>50</v>
      </c>
      <c r="CH54" s="100"/>
      <c r="CI54" s="98"/>
      <c r="CJ54" s="99"/>
      <c r="CK54" s="83"/>
      <c r="CL54" s="101"/>
      <c r="CM54" s="102"/>
      <c r="CP54" s="91">
        <f t="shared" si="3"/>
        <v>50</v>
      </c>
      <c r="CQ54" s="100"/>
      <c r="CR54" s="98"/>
      <c r="CS54" s="99"/>
      <c r="CT54" s="83"/>
      <c r="CU54" s="101"/>
      <c r="CV54" s="102"/>
      <c r="CX54" s="18" t="str">
        <f xml:space="preserve"> IF(CU54=0, "", "    - xform/^" &amp; CU54 &amp; "(?!\d)/" &amp; CQ54 &amp; "/  # " &amp; CR54 &amp; " [ " &amp; CU54 &amp; "]")</f>
        <v/>
      </c>
      <c r="CY54" s="91">
        <f t="shared" si="4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0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289</v>
      </c>
      <c r="BT55" s="95">
        <f xml:space="preserve"> LEN(BO55)</f>
        <v>1</v>
      </c>
      <c r="BV55" s="96" t="str">
        <f xml:space="preserve"> "    """ &amp; BQ55 &amp; """: { commit: """ &amp; BR55 &amp; """ }" &amp; "  # " &amp; "/" &amp; BO55 &amp; "/ ==&gt; " &amp; BP55</f>
        <v xml:space="preserve">    "5": { commit: "七" }  # /7/ ==&gt; 7</v>
      </c>
      <c r="BX55" s="91">
        <f t="shared" si="1"/>
        <v>51</v>
      </c>
      <c r="BY55" s="100"/>
      <c r="BZ55" s="98"/>
      <c r="CA55" s="99"/>
      <c r="CB55" s="83"/>
      <c r="CC55" s="101"/>
      <c r="CD55" s="102"/>
      <c r="CG55" s="91">
        <f t="shared" si="2"/>
        <v>51</v>
      </c>
      <c r="CH55" s="100"/>
      <c r="CI55" s="98"/>
      <c r="CJ55" s="99"/>
      <c r="CK55" s="83"/>
      <c r="CL55" s="101"/>
      <c r="CM55" s="102"/>
      <c r="CP55" s="91">
        <f t="shared" si="3"/>
        <v>51</v>
      </c>
      <c r="CQ55" s="100"/>
      <c r="CR55" s="98"/>
      <c r="CS55" s="99"/>
      <c r="CT55" s="83"/>
      <c r="CU55" s="101"/>
      <c r="CV55" s="102"/>
      <c r="CX55" s="18" t="str">
        <f xml:space="preserve"> IF(CU55=0, "", "    - xform/^" &amp; CU55 &amp; "(?!\d)/" &amp; CQ55 &amp; "/  # " &amp; CR55 &amp; " [ " &amp; CU55 &amp; "]")</f>
        <v/>
      </c>
      <c r="CY55" s="91">
        <f t="shared" si="4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0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289</v>
      </c>
      <c r="BT56" s="95">
        <f xml:space="preserve"> LEN(BO56)</f>
        <v>1</v>
      </c>
      <c r="BV56" s="96" t="str">
        <f xml:space="preserve"> "    """ &amp; BQ56 &amp; """: { commit: """ &amp; BR56 &amp; """ }" &amp; "  # " &amp; "/" &amp; BO56 &amp; "/ ==&gt; " &amp; BP56</f>
        <v xml:space="preserve">    "3": { commit: "三" }  # /3/ ==&gt; 3</v>
      </c>
      <c r="BX56" s="91">
        <f t="shared" si="1"/>
        <v>52</v>
      </c>
      <c r="BY56" s="100"/>
      <c r="BZ56" s="98"/>
      <c r="CA56" s="99"/>
      <c r="CB56" s="83"/>
      <c r="CC56" s="101"/>
      <c r="CD56" s="102"/>
      <c r="CG56" s="91">
        <f t="shared" si="2"/>
        <v>52</v>
      </c>
      <c r="CH56" s="100"/>
      <c r="CI56" s="98"/>
      <c r="CJ56" s="99"/>
      <c r="CK56" s="83"/>
      <c r="CL56" s="101"/>
      <c r="CM56" s="102"/>
      <c r="CP56" s="91">
        <f t="shared" si="3"/>
        <v>52</v>
      </c>
      <c r="CQ56" s="100"/>
      <c r="CR56" s="98"/>
      <c r="CS56" s="99"/>
      <c r="CT56" s="83"/>
      <c r="CU56" s="101"/>
      <c r="CV56" s="102"/>
      <c r="CX56" s="18" t="str">
        <f xml:space="preserve"> IF(CU56=0, "", "    - xform/^" &amp; CU56 &amp; "(?!\d)/" &amp; CQ56 &amp; "/  # " &amp; CR56 &amp; " [ " &amp; CU56 &amp; "]")</f>
        <v/>
      </c>
      <c r="CY56" s="91">
        <f t="shared" si="4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0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289</v>
      </c>
      <c r="BT57" s="95">
        <f xml:space="preserve"> LEN(BO57)</f>
        <v>1</v>
      </c>
      <c r="BV57" s="96" t="str">
        <f xml:space="preserve"> "    """ &amp; BQ57 &amp; """: { commit: """ &amp; BR57 &amp; """ }" &amp; "  # " &amp; "/" &amp; BO57 &amp; "/ ==&gt; " &amp; BP57</f>
        <v xml:space="preserve">    "4": { commit: "二" }  # /2/ ==&gt; 2</v>
      </c>
      <c r="BX57" s="91">
        <f t="shared" si="1"/>
        <v>53</v>
      </c>
      <c r="BY57" s="100"/>
      <c r="BZ57" s="98"/>
      <c r="CA57" s="99"/>
      <c r="CB57" s="83"/>
      <c r="CC57" s="101"/>
      <c r="CD57" s="102"/>
      <c r="CG57" s="91">
        <f t="shared" si="2"/>
        <v>53</v>
      </c>
      <c r="CH57" s="100"/>
      <c r="CI57" s="98"/>
      <c r="CJ57" s="99"/>
      <c r="CK57" s="83"/>
      <c r="CL57" s="101"/>
      <c r="CM57" s="102"/>
      <c r="CP57" s="91">
        <f t="shared" si="3"/>
        <v>53</v>
      </c>
      <c r="CQ57" s="100"/>
      <c r="CR57" s="98"/>
      <c r="CS57" s="99"/>
      <c r="CT57" s="83"/>
      <c r="CU57" s="101"/>
      <c r="CV57" s="102"/>
      <c r="CY57" s="91">
        <f t="shared" si="4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0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289</v>
      </c>
      <c r="BT58" s="95">
        <f xml:space="preserve"> LEN(BO58)</f>
        <v>1</v>
      </c>
      <c r="BV58" s="96" t="str">
        <f xml:space="preserve"> "    """ &amp; BQ58 &amp; """: { commit: """ &amp; BR58 &amp; """ }" &amp; "  # " &amp; "/" &amp; BO58 &amp; "/ ==&gt; " &amp; BP58</f>
        <v xml:space="preserve">    "6": { commit: "五" }  # /5/ ==&gt; 5</v>
      </c>
      <c r="BX58" s="91">
        <f t="shared" si="1"/>
        <v>54</v>
      </c>
      <c r="BY58" s="100"/>
      <c r="BZ58" s="98"/>
      <c r="CA58" s="99"/>
      <c r="CB58" s="83"/>
      <c r="CC58" s="101"/>
      <c r="CD58" s="102"/>
      <c r="CG58" s="91">
        <f t="shared" si="2"/>
        <v>54</v>
      </c>
      <c r="CH58" s="100"/>
      <c r="CI58" s="98"/>
      <c r="CJ58" s="99"/>
      <c r="CK58" s="83"/>
      <c r="CL58" s="101"/>
      <c r="CM58" s="102"/>
      <c r="CP58" s="91">
        <f t="shared" si="3"/>
        <v>54</v>
      </c>
      <c r="CQ58" s="100"/>
      <c r="CR58" s="98"/>
      <c r="CS58" s="99"/>
      <c r="CT58" s="83"/>
      <c r="CU58" s="101"/>
      <c r="CV58" s="102"/>
      <c r="CY58" s="91">
        <f t="shared" si="4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8" xml:space="preserve"> MID($E$53, C$46, 1)</f>
        <v>1</v>
      </c>
      <c r="D59" s="191" t="str">
        <f t="shared" si="8"/>
        <v>q</v>
      </c>
      <c r="E59" s="191" t="str">
        <f t="shared" si="8"/>
        <v>a</v>
      </c>
      <c r="F59" s="191" t="str">
        <f t="shared" si="8"/>
        <v>s</v>
      </c>
      <c r="G59" s="191" t="str">
        <f t="shared" si="8"/>
        <v>2</v>
      </c>
      <c r="H59" s="191" t="str">
        <f t="shared" si="8"/>
        <v>w</v>
      </c>
      <c r="I59" s="191" t="str">
        <f t="shared" si="8"/>
        <v>x</v>
      </c>
      <c r="J59" s="191" t="str">
        <f t="shared" si="8"/>
        <v>E</v>
      </c>
      <c r="K59" s="191" t="str">
        <f t="shared" si="8"/>
        <v>e</v>
      </c>
      <c r="L59" s="191" t="str">
        <f t="shared" si="8"/>
        <v>d</v>
      </c>
      <c r="M59" s="191" t="str">
        <f t="shared" si="8"/>
        <v>G</v>
      </c>
      <c r="N59" s="191" t="str">
        <f t="shared" si="8"/>
        <v>Y</v>
      </c>
      <c r="O59" s="191" t="str">
        <f t="shared" si="8"/>
        <v>y</v>
      </c>
      <c r="P59" s="191" t="str">
        <f t="shared" si="8"/>
        <v>h</v>
      </c>
      <c r="Q59" s="191" t="str">
        <f t="shared" si="8"/>
        <v>n</v>
      </c>
      <c r="R59" s="191" t="str">
        <f t="shared" si="8"/>
        <v>c</v>
      </c>
      <c r="S59" s="191" t="str">
        <f t="shared" si="8"/>
        <v>R</v>
      </c>
      <c r="T59" s="191" t="str">
        <f t="shared" si="8"/>
        <v>r</v>
      </c>
      <c r="U59" s="191" t="str">
        <f t="shared" si="8"/>
        <v>f</v>
      </c>
      <c r="V59" s="191" t="str">
        <f t="shared" si="8"/>
        <v>v</v>
      </c>
      <c r="W59" s="191" t="str">
        <f t="shared" si="8"/>
        <v>8</v>
      </c>
      <c r="X59" s="191" t="str">
        <f t="shared" si="8"/>
        <v>u</v>
      </c>
      <c r="Y59" s="191" t="str">
        <f t="shared" si="8"/>
        <v>K</v>
      </c>
      <c r="Z59" s="191" t="str">
        <f t="shared" si="8"/>
        <v>j</v>
      </c>
      <c r="AA59" s="191" t="str">
        <f t="shared" si="8"/>
        <v>,</v>
      </c>
      <c r="AB59" s="191" t="str">
        <f t="shared" si="8"/>
        <v>i</v>
      </c>
      <c r="AC59" s="191" t="str">
        <f t="shared" si="8"/>
        <v>k</v>
      </c>
      <c r="AD59" s="191" t="str">
        <f t="shared" si="8"/>
        <v>m</v>
      </c>
      <c r="AE59" s="191" t="str">
        <f t="shared" si="8"/>
        <v>p</v>
      </c>
      <c r="AF59" s="191" t="str">
        <f t="shared" si="8"/>
        <v>/</v>
      </c>
      <c r="AG59" s="191" t="str">
        <f t="shared" si="8"/>
        <v>b</v>
      </c>
      <c r="AH59" s="191" t="str">
        <f t="shared" si="8"/>
        <v>t</v>
      </c>
      <c r="AI59" s="191" t="str">
        <f t="shared" si="8"/>
        <v>g</v>
      </c>
      <c r="AJ59" s="191" t="str">
        <f t="shared" si="8"/>
        <v>z</v>
      </c>
      <c r="AK59" s="191" t="str">
        <f t="shared" si="8"/>
        <v>9</v>
      </c>
      <c r="AL59" s="191" t="str">
        <f t="shared" si="8"/>
        <v>l</v>
      </c>
      <c r="AM59" s="191" t="str">
        <f t="shared" si="8"/>
        <v>M</v>
      </c>
      <c r="AN59" s="191" t="str">
        <f t="shared" si="8"/>
        <v>0</v>
      </c>
      <c r="AO59" s="191" t="str">
        <f t="shared" si="8"/>
        <v>;</v>
      </c>
      <c r="AP59" s="191" t="str">
        <f t="shared" si="8"/>
        <v>O</v>
      </c>
      <c r="AQ59" s="191" t="str">
        <f t="shared" si="8"/>
        <v>o</v>
      </c>
      <c r="AR59" s="191" t="str">
        <f t="shared" si="8"/>
        <v>*</v>
      </c>
      <c r="AS59" s="191" t="str">
        <f t="shared" si="8"/>
        <v>U</v>
      </c>
      <c r="AT59" s="191" t="str">
        <f t="shared" si="8"/>
        <v>J</v>
      </c>
      <c r="AU59" s="191" t="str">
        <f t="shared" si="8"/>
        <v>&lt;</v>
      </c>
      <c r="AV59" s="191" t="str">
        <f t="shared" si="8"/>
        <v>I</v>
      </c>
      <c r="AW59" s="191" t="str">
        <f t="shared" si="8"/>
        <v>(</v>
      </c>
      <c r="AX59" s="191" t="str">
        <f t="shared" si="8"/>
        <v>L</v>
      </c>
      <c r="AY59" s="191" t="str">
        <f t="shared" si="8"/>
        <v>:</v>
      </c>
      <c r="AZ59" s="191" t="str">
        <f t="shared" si="8"/>
        <v>5</v>
      </c>
      <c r="BA59" s="191" t="str">
        <f t="shared" si="8"/>
        <v>3</v>
      </c>
      <c r="BB59" s="191" t="str">
        <f t="shared" si="8"/>
        <v>4</v>
      </c>
      <c r="BC59" s="191" t="str">
        <f t="shared" si="8"/>
        <v>6</v>
      </c>
      <c r="BD59" s="191" t="str">
        <f t="shared" si="8"/>
        <v>]</v>
      </c>
      <c r="BE59" s="191" t="str">
        <f t="shared" si="8"/>
        <v>[</v>
      </c>
      <c r="BF59" s="191" t="str">
        <f t="shared" si="8"/>
        <v>7</v>
      </c>
      <c r="BG59" s="191" t="str">
        <f t="shared" si="8"/>
        <v>N</v>
      </c>
      <c r="BH59" s="191" t="str">
        <f t="shared" si="8"/>
        <v/>
      </c>
      <c r="BI59" s="191" t="str">
        <f t="shared" si="8"/>
        <v/>
      </c>
      <c r="BJ59" s="171"/>
      <c r="BK59" s="171"/>
      <c r="BL59" s="171"/>
      <c r="BN59" s="91">
        <f t="shared" si="0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289</v>
      </c>
      <c r="BT59" s="95">
        <f xml:space="preserve"> LEN(BO59)</f>
        <v>1</v>
      </c>
      <c r="BV59" s="96" t="str">
        <f xml:space="preserve"> "    """ &amp; BQ59 &amp; """: { commit: """ &amp; BR59 &amp; """ }" &amp; "  # " &amp; "/" &amp; BO59 &amp; "/ ==&gt; " &amp; BP59</f>
        <v xml:space="preserve">    "]": { commit: "八" }  # /8/ ==&gt; 8</v>
      </c>
      <c r="BX59" s="91">
        <f t="shared" si="1"/>
        <v>55</v>
      </c>
      <c r="BY59" s="100"/>
      <c r="BZ59" s="98"/>
      <c r="CA59" s="99"/>
      <c r="CB59" s="83"/>
      <c r="CC59" s="101"/>
      <c r="CD59" s="102"/>
      <c r="CG59" s="91">
        <f t="shared" si="2"/>
        <v>55</v>
      </c>
      <c r="CH59" s="100"/>
      <c r="CI59" s="98"/>
      <c r="CJ59" s="99"/>
      <c r="CK59" s="83"/>
      <c r="CL59" s="101"/>
      <c r="CM59" s="102"/>
      <c r="CP59" s="91">
        <f t="shared" si="3"/>
        <v>55</v>
      </c>
      <c r="CQ59" s="100"/>
      <c r="CR59" s="98"/>
      <c r="CS59" s="99"/>
      <c r="CT59" s="83"/>
      <c r="CU59" s="101"/>
      <c r="CV59" s="102"/>
      <c r="CY59" s="91">
        <f t="shared" si="4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9" xml:space="preserve"> MID($E$54, C$46, 1)</f>
        <v>ㄅ</v>
      </c>
      <c r="D60" s="202" t="str">
        <f t="shared" si="9"/>
        <v>ㄆ</v>
      </c>
      <c r="E60" s="202" t="str">
        <f t="shared" si="9"/>
        <v>ㄇ</v>
      </c>
      <c r="F60" s="202" t="str">
        <f t="shared" si="9"/>
        <v>ㄋ</v>
      </c>
      <c r="G60" s="202" t="str">
        <f t="shared" si="9"/>
        <v>ㄉ</v>
      </c>
      <c r="H60" s="202" t="str">
        <f t="shared" si="9"/>
        <v>ㄊ</v>
      </c>
      <c r="I60" s="202" t="str">
        <f t="shared" si="9"/>
        <v>ㄌ</v>
      </c>
      <c r="J60" s="202" t="str">
        <f t="shared" si="9"/>
        <v>ㆣ</v>
      </c>
      <c r="K60" s="202" t="str">
        <f t="shared" si="9"/>
        <v>ㄍ</v>
      </c>
      <c r="L60" s="202" t="str">
        <f t="shared" si="9"/>
        <v>ㄎ</v>
      </c>
      <c r="M60" s="202" t="str">
        <f t="shared" si="9"/>
        <v>ㄫ</v>
      </c>
      <c r="N60" s="202" t="str">
        <f t="shared" si="9"/>
        <v>ㆡ</v>
      </c>
      <c r="O60" s="202" t="str">
        <f t="shared" si="9"/>
        <v>ㄗ</v>
      </c>
      <c r="P60" s="202" t="str">
        <f t="shared" si="9"/>
        <v>ㄘ</v>
      </c>
      <c r="Q60" s="202" t="str">
        <f t="shared" si="9"/>
        <v>ㄙ</v>
      </c>
      <c r="R60" s="202" t="str">
        <f t="shared" si="9"/>
        <v>ㄏ</v>
      </c>
      <c r="S60" s="202" t="str">
        <f t="shared" si="9"/>
        <v>ㆢ</v>
      </c>
      <c r="T60" s="202" t="str">
        <f t="shared" si="9"/>
        <v>ㄐ</v>
      </c>
      <c r="U60" s="202" t="str">
        <f t="shared" si="9"/>
        <v>ㄑ</v>
      </c>
      <c r="V60" s="202" t="str">
        <f t="shared" si="9"/>
        <v>ㄒ</v>
      </c>
      <c r="W60" s="202" t="str">
        <f t="shared" si="9"/>
        <v>ㄚ</v>
      </c>
      <c r="X60" s="202" t="str">
        <f t="shared" si="9"/>
        <v>ㄧ</v>
      </c>
      <c r="Y60" s="202" t="str">
        <f t="shared" si="9"/>
        <v>ㆨ</v>
      </c>
      <c r="Z60" s="202" t="str">
        <f t="shared" si="9"/>
        <v>ㄨ</v>
      </c>
      <c r="AA60" s="202" t="str">
        <f t="shared" si="9"/>
        <v>ㆤ</v>
      </c>
      <c r="AB60" s="202" t="str">
        <f t="shared" si="9"/>
        <v>ㆦ</v>
      </c>
      <c r="AC60" s="202" t="str">
        <f t="shared" si="9"/>
        <v>ㄜ</v>
      </c>
      <c r="AD60" s="202" t="str">
        <f t="shared" si="9"/>
        <v>ㆬ</v>
      </c>
      <c r="AE60" s="202" t="str">
        <f t="shared" si="9"/>
        <v>ㄣ</v>
      </c>
      <c r="AF60" s="202" t="str">
        <f t="shared" si="9"/>
        <v>ㆭ</v>
      </c>
      <c r="AG60" s="202" t="str">
        <f t="shared" si="9"/>
        <v>ㆴ</v>
      </c>
      <c r="AH60" s="202" t="str">
        <f t="shared" si="9"/>
        <v>ㆵ</v>
      </c>
      <c r="AI60" s="202" t="str">
        <f t="shared" si="9"/>
        <v>ㆻ</v>
      </c>
      <c r="AJ60" s="202" t="str">
        <f t="shared" si="9"/>
        <v>ㆷ</v>
      </c>
      <c r="AK60" s="202" t="str">
        <f t="shared" si="9"/>
        <v>ㄞ</v>
      </c>
      <c r="AL60" s="202" t="str">
        <f t="shared" si="9"/>
        <v>ㄠ</v>
      </c>
      <c r="AM60" s="202" t="str">
        <f t="shared" si="9"/>
        <v>ㆰ</v>
      </c>
      <c r="AN60" s="202" t="str">
        <f t="shared" si="9"/>
        <v>ㄢ</v>
      </c>
      <c r="AO60" s="202" t="str">
        <f t="shared" si="9"/>
        <v>ㄤ</v>
      </c>
      <c r="AP60" s="202" t="str">
        <f t="shared" si="9"/>
        <v>ㆱ</v>
      </c>
      <c r="AQ60" s="202" t="str">
        <f t="shared" si="9"/>
        <v>ㆲ</v>
      </c>
      <c r="AR60" s="202" t="str">
        <f t="shared" si="9"/>
        <v>ㆩ</v>
      </c>
      <c r="AS60" s="202" t="str">
        <f t="shared" si="9"/>
        <v>ㆪ</v>
      </c>
      <c r="AT60" s="202" t="str">
        <f t="shared" si="9"/>
        <v>ㆫ</v>
      </c>
      <c r="AU60" s="202" t="str">
        <f t="shared" si="9"/>
        <v>ㆥ</v>
      </c>
      <c r="AV60" s="202" t="str">
        <f t="shared" si="9"/>
        <v>ㆧ</v>
      </c>
      <c r="AW60" s="202" t="str">
        <f t="shared" si="9"/>
        <v>ㆮ</v>
      </c>
      <c r="AX60" s="202" t="str">
        <f t="shared" si="9"/>
        <v>ㆯ</v>
      </c>
      <c r="AY60" s="202" t="str">
        <f t="shared" si="9"/>
        <v>一</v>
      </c>
      <c r="AZ60" s="202" t="str">
        <f t="shared" si="9"/>
        <v>七</v>
      </c>
      <c r="BA60" s="202" t="str">
        <f t="shared" si="9"/>
        <v>三</v>
      </c>
      <c r="BB60" s="202" t="str">
        <f t="shared" si="9"/>
        <v>二</v>
      </c>
      <c r="BC60" s="202" t="str">
        <f t="shared" si="9"/>
        <v>五</v>
      </c>
      <c r="BD60" s="202" t="str">
        <f t="shared" si="9"/>
        <v>八</v>
      </c>
      <c r="BE60" s="202" t="str">
        <f t="shared" si="9"/>
        <v>四</v>
      </c>
      <c r="BF60" s="202" t="str">
        <f t="shared" si="9"/>
        <v>入</v>
      </c>
      <c r="BG60" s="202" t="str">
        <f t="shared" si="9"/>
        <v>ㄥ</v>
      </c>
      <c r="BH60" s="202" t="str">
        <f t="shared" si="9"/>
        <v/>
      </c>
      <c r="BI60" s="202" t="str">
        <f t="shared" si="9"/>
        <v/>
      </c>
      <c r="BJ60" s="171"/>
      <c r="BK60" s="171"/>
      <c r="BL60" s="171"/>
      <c r="BN60" s="91">
        <f t="shared" si="0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289</v>
      </c>
      <c r="BT60" s="95">
        <f xml:space="preserve"> LEN(BO60)</f>
        <v>1</v>
      </c>
      <c r="BV60" s="96" t="str">
        <f xml:space="preserve"> "    """ &amp; BQ60 &amp; """: { commit: """ &amp; BR60 &amp; """ }" &amp; "  # " &amp; "/" &amp; BO60 &amp; "/ ==&gt; " &amp; BP60</f>
        <v xml:space="preserve">    "[": { commit: "四" }  # /4/ ==&gt; 4</v>
      </c>
      <c r="BX60" s="91">
        <f t="shared" si="1"/>
        <v>56</v>
      </c>
      <c r="BY60" s="100"/>
      <c r="BZ60" s="98"/>
      <c r="CA60" s="99"/>
      <c r="CB60" s="83"/>
      <c r="CC60" s="101"/>
      <c r="CD60" s="102"/>
      <c r="CG60" s="91">
        <f t="shared" si="2"/>
        <v>56</v>
      </c>
      <c r="CH60" s="100"/>
      <c r="CI60" s="98"/>
      <c r="CJ60" s="99"/>
      <c r="CK60" s="83"/>
      <c r="CL60" s="101"/>
      <c r="CM60" s="102"/>
      <c r="CP60" s="91">
        <f t="shared" si="3"/>
        <v>56</v>
      </c>
      <c r="CQ60" s="100"/>
      <c r="CR60" s="98"/>
      <c r="CS60" s="99"/>
      <c r="CT60" s="83"/>
      <c r="CU60" s="101"/>
      <c r="CV60" s="102"/>
      <c r="CY60" s="91">
        <f t="shared" si="4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0"/>
        <v>57</v>
      </c>
      <c r="BO61" s="93">
        <v>0</v>
      </c>
      <c r="BP61" s="92">
        <v>0</v>
      </c>
      <c r="BQ61" s="82">
        <v>7</v>
      </c>
      <c r="BR61" s="83" t="str">
        <v>入</v>
      </c>
      <c r="BS61" s="94" t="s">
        <v>36</v>
      </c>
      <c r="BT61" s="95">
        <f xml:space="preserve"> LEN(BO61)</f>
        <v>1</v>
      </c>
      <c r="BV61" s="96" t="str">
        <f xml:space="preserve"> "    """ &amp; BQ61 &amp; """: { commit: """ &amp; BR61 &amp; """ }" &amp; "  # " &amp; "/" &amp; BO61 &amp; "/ ==&gt; " &amp; BP61</f>
        <v xml:space="preserve">    "7": { commit: "入" }  # /0/ ==&gt; 0</v>
      </c>
      <c r="BX61" s="91">
        <f t="shared" si="1"/>
        <v>57</v>
      </c>
      <c r="BY61" s="100"/>
      <c r="BZ61" s="98"/>
      <c r="CA61" s="99"/>
      <c r="CB61" s="83"/>
      <c r="CC61" s="101"/>
      <c r="CD61" s="102"/>
      <c r="CG61" s="91">
        <f t="shared" si="2"/>
        <v>57</v>
      </c>
      <c r="CH61" s="100"/>
      <c r="CI61" s="98"/>
      <c r="CJ61" s="99"/>
      <c r="CK61" s="83"/>
      <c r="CL61" s="101"/>
      <c r="CM61" s="102"/>
      <c r="CP61" s="91">
        <f t="shared" si="3"/>
        <v>57</v>
      </c>
      <c r="CQ61" s="100"/>
      <c r="CR61" s="98"/>
      <c r="CS61" s="99"/>
      <c r="CT61" s="83"/>
      <c r="CU61" s="101"/>
      <c r="CV61" s="102"/>
      <c r="CY61" s="91">
        <f t="shared" si="4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0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xml:space="preserve"> LEN(BO62)</f>
        <v>1</v>
      </c>
      <c r="BV62" s="96" t="str">
        <f xml:space="preserve"> "    """ &amp; BQ62 &amp; """: { commit: """ &amp; BR62 &amp; """ }" &amp; "  # " &amp; "/" &amp; BO62 &amp; "/ ==&gt; " &amp; BP62</f>
        <v xml:space="preserve">    "N": { commit: "ㄥ" }  # /L/ ==&gt; L</v>
      </c>
      <c r="BX62" s="91">
        <f t="shared" si="1"/>
        <v>58</v>
      </c>
      <c r="BY62" s="100"/>
      <c r="BZ62" s="98"/>
      <c r="CA62" s="99"/>
      <c r="CB62" s="83"/>
      <c r="CC62" s="101"/>
      <c r="CD62" s="102"/>
      <c r="CG62" s="91">
        <f t="shared" si="2"/>
        <v>58</v>
      </c>
      <c r="CH62" s="100"/>
      <c r="CI62" s="98"/>
      <c r="CJ62" s="99"/>
      <c r="CK62" s="83"/>
      <c r="CL62" s="101"/>
      <c r="CM62" s="102"/>
      <c r="CP62" s="91">
        <f t="shared" si="3"/>
        <v>58</v>
      </c>
      <c r="CQ62" s="100"/>
      <c r="CR62" s="98"/>
      <c r="CS62" s="99"/>
      <c r="CT62" s="83"/>
      <c r="CU62" s="101"/>
      <c r="CV62" s="102"/>
      <c r="CY62" s="91">
        <f t="shared" si="4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0"/>
        <v>59</v>
      </c>
      <c r="BO63" s="93"/>
      <c r="BP63" s="92"/>
      <c r="BQ63" s="82"/>
      <c r="BR63" s="83"/>
      <c r="BS63" s="94"/>
      <c r="BT63" s="95">
        <f xml:space="preserve"> LEN(BO63)</f>
        <v>0</v>
      </c>
      <c r="BX63" s="91">
        <f t="shared" si="1"/>
        <v>59</v>
      </c>
      <c r="BY63" s="100"/>
      <c r="BZ63" s="98"/>
      <c r="CA63" s="99"/>
      <c r="CB63" s="83"/>
      <c r="CC63" s="101"/>
      <c r="CD63" s="102"/>
      <c r="CG63" s="91">
        <f t="shared" si="2"/>
        <v>59</v>
      </c>
      <c r="CH63" s="100"/>
      <c r="CI63" s="98"/>
      <c r="CJ63" s="99"/>
      <c r="CK63" s="83"/>
      <c r="CL63" s="101"/>
      <c r="CM63" s="102"/>
      <c r="CP63" s="91">
        <f t="shared" si="3"/>
        <v>59</v>
      </c>
      <c r="CQ63" s="100"/>
      <c r="CR63" s="98"/>
      <c r="CS63" s="99"/>
      <c r="CT63" s="83"/>
      <c r="CU63" s="101"/>
      <c r="CV63" s="102"/>
      <c r="CY63" s="91">
        <f t="shared" si="4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0"/>
        <v>60</v>
      </c>
      <c r="BO64" s="93"/>
      <c r="BP64" s="92"/>
      <c r="BQ64" s="82"/>
      <c r="BR64" s="83"/>
      <c r="BS64" s="94"/>
      <c r="BT64" s="95">
        <f xml:space="preserve"> LEN(BO64)</f>
        <v>0</v>
      </c>
      <c r="BX64" s="91">
        <f t="shared" si="1"/>
        <v>60</v>
      </c>
      <c r="BY64" s="100"/>
      <c r="BZ64" s="98"/>
      <c r="CA64" s="99"/>
      <c r="CB64" s="83"/>
      <c r="CC64" s="101"/>
      <c r="CD64" s="102"/>
      <c r="CG64" s="91">
        <f t="shared" si="2"/>
        <v>60</v>
      </c>
      <c r="CH64" s="100"/>
      <c r="CI64" s="98"/>
      <c r="CJ64" s="99"/>
      <c r="CK64" s="83"/>
      <c r="CL64" s="101"/>
      <c r="CM64" s="102"/>
      <c r="CP64" s="91">
        <f t="shared" si="3"/>
        <v>60</v>
      </c>
      <c r="CQ64" s="100"/>
      <c r="CR64" s="98"/>
      <c r="CS64" s="99"/>
      <c r="CT64" s="83"/>
      <c r="CU64" s="101"/>
      <c r="CV64" s="102"/>
      <c r="CY64" s="91">
        <f t="shared" si="4"/>
        <v>60</v>
      </c>
      <c r="CZ64" s="100"/>
      <c r="DA64" s="98"/>
      <c r="DB64" s="99"/>
      <c r="DC64" s="83"/>
      <c r="DD64" s="101"/>
      <c r="DE64" s="102"/>
    </row>
    <row r="65" spans="1:109" ht="45.75">
      <c r="A65" s="193">
        <f xml:space="preserve"> LEN(B83)</f>
        <v>60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>
        <f xml:space="preserve"> LEN(B84)</f>
        <v>60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>
        <f xml:space="preserve"> LEN(B88)</f>
        <v>49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>
        <f xml:space="preserve"> LEN(B89)</f>
        <v>49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>
        <f xml:space="preserve"> LEN(B93)</f>
        <v>60</v>
      </c>
      <c r="B74" s="190" t="str" cm="1">
        <f t="array" ref="B74:BI74" xml:space="preserve"> TRANSPOSE([1]!注音編碼對照表[字典編碼])</f>
        <v>m</v>
      </c>
      <c r="C74" s="190" t="str">
        <v>B</v>
      </c>
      <c r="D74" s="190" t="str">
        <v>b</v>
      </c>
      <c r="E74" s="190" t="str">
        <v>p</v>
      </c>
      <c r="F74" s="190" t="str">
        <v>n</v>
      </c>
      <c r="G74" s="190" t="str">
        <v>d</v>
      </c>
      <c r="H74" s="190" t="str">
        <v>t</v>
      </c>
      <c r="I74" s="190" t="str">
        <v>l</v>
      </c>
      <c r="J74" s="190" t="str">
        <v>ŋ</v>
      </c>
      <c r="K74" s="190" t="str">
        <v>v</v>
      </c>
      <c r="L74" s="190" t="str">
        <v>g</v>
      </c>
      <c r="M74" s="190" t="str">
        <v>k</v>
      </c>
      <c r="N74" s="190" t="str">
        <v>Z</v>
      </c>
      <c r="O74" s="190" t="str">
        <v>z</v>
      </c>
      <c r="P74" s="190" t="str">
        <v>c</v>
      </c>
      <c r="Q74" s="190" t="str">
        <v>s</v>
      </c>
      <c r="R74" s="190" t="str">
        <v>J</v>
      </c>
      <c r="S74" s="190" t="str">
        <v>j</v>
      </c>
      <c r="T74" s="190" t="str">
        <v>C</v>
      </c>
      <c r="U74" s="190" t="str">
        <v>S</v>
      </c>
      <c r="V74" s="190" t="str">
        <v>h</v>
      </c>
      <c r="W74" s="190" t="str">
        <v>a</v>
      </c>
      <c r="X74" s="190" t="str">
        <v>i</v>
      </c>
      <c r="Y74" s="190" t="str">
        <v>w</v>
      </c>
      <c r="Z74" s="190" t="str">
        <v>u</v>
      </c>
      <c r="AA74" s="190" t="str">
        <v>e</v>
      </c>
      <c r="AB74" s="190" t="str">
        <v>O</v>
      </c>
      <c r="AC74" s="190" t="str">
        <v>o</v>
      </c>
      <c r="AD74" s="190" t="str">
        <v>I</v>
      </c>
      <c r="AE74" s="190" t="str">
        <v>U</v>
      </c>
      <c r="AF74" s="190" t="str">
        <v>R</v>
      </c>
      <c r="AG74" s="190" t="str">
        <v>D</v>
      </c>
      <c r="AH74" s="205" t="str">
        <v>X</v>
      </c>
      <c r="AI74" s="205" t="str">
        <v>E</v>
      </c>
      <c r="AJ74" s="205" t="str">
        <v>Q</v>
      </c>
      <c r="AK74" s="205" t="str">
        <v>x</v>
      </c>
      <c r="AL74" s="206" t="str">
        <v>y</v>
      </c>
      <c r="AM74" s="205" t="str">
        <v>M</v>
      </c>
      <c r="AN74" s="205" t="str">
        <v>N</v>
      </c>
      <c r="AO74" s="205" t="str">
        <v>G</v>
      </c>
      <c r="AP74" s="205" t="str">
        <v>Y</v>
      </c>
      <c r="AQ74" s="205" t="str">
        <v>@</v>
      </c>
      <c r="AR74" s="205" t="str">
        <v>A</v>
      </c>
      <c r="AS74" s="205" t="str">
        <v>W</v>
      </c>
      <c r="AT74" s="205" t="str">
        <v>H</v>
      </c>
      <c r="AU74" s="205" t="str">
        <v>P</v>
      </c>
      <c r="AV74" s="205" t="str">
        <v>T</v>
      </c>
      <c r="AW74" s="205" t="str">
        <v>K</v>
      </c>
      <c r="AX74" s="205" t="str">
        <v>V</v>
      </c>
      <c r="AY74" s="205">
        <v>1</v>
      </c>
      <c r="AZ74" s="205">
        <v>7</v>
      </c>
      <c r="BA74" s="205">
        <v>6</v>
      </c>
      <c r="BB74" s="205">
        <v>5</v>
      </c>
      <c r="BC74" s="205">
        <v>3</v>
      </c>
      <c r="BD74" s="205">
        <v>2</v>
      </c>
      <c r="BE74" s="205">
        <v>8</v>
      </c>
      <c r="BF74" s="205">
        <v>0</v>
      </c>
      <c r="BG74" s="205">
        <v>9</v>
      </c>
      <c r="BH74" s="205" t="str">
        <v>L</v>
      </c>
      <c r="BI74" s="205" t="str">
        <v>*</v>
      </c>
      <c r="BJ74" s="171"/>
      <c r="BK74" s="171"/>
    </row>
    <row r="75" spans="1:109" ht="45" customHeight="1">
      <c r="A75" s="193">
        <f xml:space="preserve"> LEN(B94)</f>
        <v>60</v>
      </c>
      <c r="B75" s="191" t="str" cm="1">
        <f t="array" ref="B75:BI75" xml:space="preserve"> TRANSPOSE([1]!注音編碼對照表[鍵盤按鍵])</f>
        <v>a</v>
      </c>
      <c r="C75" s="191" t="str">
        <v>!</v>
      </c>
      <c r="D75" s="191" t="str">
        <v>1</v>
      </c>
      <c r="E75" s="191" t="str">
        <v>q</v>
      </c>
      <c r="F75" s="191" t="str">
        <v>s</v>
      </c>
      <c r="G75" s="191" t="str">
        <v>2</v>
      </c>
      <c r="H75" s="191" t="str">
        <v>w</v>
      </c>
      <c r="I75" s="191" t="str">
        <v>x</v>
      </c>
      <c r="J75" s="191" t="str">
        <v>N</v>
      </c>
      <c r="K75" s="191" t="str">
        <v>E</v>
      </c>
      <c r="L75" s="191" t="str">
        <v>e</v>
      </c>
      <c r="M75" s="191" t="str">
        <v>d</v>
      </c>
      <c r="N75" s="191" t="str">
        <v>Y</v>
      </c>
      <c r="O75" s="191" t="str">
        <v>y</v>
      </c>
      <c r="P75" s="191" t="str">
        <v>h</v>
      </c>
      <c r="Q75" s="191" t="str">
        <v>n</v>
      </c>
      <c r="R75" s="191" t="str">
        <v>R</v>
      </c>
      <c r="S75" s="191" t="str">
        <v>r</v>
      </c>
      <c r="T75" s="191" t="str">
        <v>f</v>
      </c>
      <c r="U75" s="191" t="str">
        <v>v</v>
      </c>
      <c r="V75" s="191" t="str">
        <v>c</v>
      </c>
      <c r="W75" s="191" t="str">
        <v>8</v>
      </c>
      <c r="X75" s="191" t="str">
        <v>u</v>
      </c>
      <c r="Y75" s="191" t="str">
        <v>K</v>
      </c>
      <c r="Z75" s="191" t="str">
        <v>j</v>
      </c>
      <c r="AA75" s="191" t="str">
        <v>,</v>
      </c>
      <c r="AB75" s="191" t="str">
        <v>i</v>
      </c>
      <c r="AC75" s="191" t="str">
        <v>k</v>
      </c>
      <c r="AD75" s="191" t="str">
        <v>9</v>
      </c>
      <c r="AE75" s="191" t="str">
        <v>l</v>
      </c>
      <c r="AF75" s="191" t="str">
        <v>*</v>
      </c>
      <c r="AG75" s="191" t="str">
        <v>U</v>
      </c>
      <c r="AH75" s="207" t="str">
        <v>J</v>
      </c>
      <c r="AI75" s="207" t="str">
        <v>&lt;</v>
      </c>
      <c r="AJ75" s="207" t="str">
        <v>I</v>
      </c>
      <c r="AK75" s="207" t="str">
        <v>(</v>
      </c>
      <c r="AL75" s="208" t="str">
        <v>L</v>
      </c>
      <c r="AM75" s="207" t="str">
        <v>m</v>
      </c>
      <c r="AN75" s="207" t="str">
        <v>p</v>
      </c>
      <c r="AO75" s="207" t="str">
        <v>/</v>
      </c>
      <c r="AP75" s="207" t="str">
        <v>M</v>
      </c>
      <c r="AQ75" s="207" t="str">
        <v>0</v>
      </c>
      <c r="AR75" s="207" t="str">
        <v>;</v>
      </c>
      <c r="AS75" s="207" t="str">
        <v>O</v>
      </c>
      <c r="AT75" s="207" t="str">
        <v>o</v>
      </c>
      <c r="AU75" s="207" t="str">
        <v>b</v>
      </c>
      <c r="AV75" s="207" t="str">
        <v>t</v>
      </c>
      <c r="AW75" s="207" t="str">
        <v>g</v>
      </c>
      <c r="AX75" s="207" t="str">
        <v>z</v>
      </c>
      <c r="AY75" s="207" t="str">
        <v>:</v>
      </c>
      <c r="AZ75" s="207" t="str">
        <v>[</v>
      </c>
      <c r="BA75" s="207">
        <v>5</v>
      </c>
      <c r="BB75" s="207">
        <v>3</v>
      </c>
      <c r="BC75" s="207">
        <v>4</v>
      </c>
      <c r="BD75" s="207">
        <v>6</v>
      </c>
      <c r="BE75" s="207" t="str">
        <v>]</v>
      </c>
      <c r="BF75" s="207">
        <v>7</v>
      </c>
      <c r="BG75" s="207" t="str">
        <v>.</v>
      </c>
      <c r="BH75" s="207" t="str">
        <v>?</v>
      </c>
      <c r="BI75" s="207" t="str">
        <v>-</v>
      </c>
      <c r="BJ75" s="171"/>
      <c r="BK75" s="171"/>
    </row>
    <row r="76" spans="1:109" ht="45" customHeight="1">
      <c r="B76" s="209" t="str" cm="1">
        <f t="array" ref="B76:BI76" xml:space="preserve"> TRANSPOSE([1]!注音編碼對照表[方音符號])</f>
        <v>ㄇ</v>
      </c>
      <c r="C76" s="209" t="str">
        <v>ㆠ</v>
      </c>
      <c r="D76" s="209" t="str">
        <v>ㄅ</v>
      </c>
      <c r="E76" s="209" t="str">
        <v>ㄆ</v>
      </c>
      <c r="F76" s="209" t="str">
        <v>ㄋ</v>
      </c>
      <c r="G76" s="209" t="str">
        <v>ㄉ</v>
      </c>
      <c r="H76" s="209" t="str">
        <v>ㄊ</v>
      </c>
      <c r="I76" s="209" t="str">
        <v>ㄌ</v>
      </c>
      <c r="J76" s="209" t="str">
        <v>ㄫ</v>
      </c>
      <c r="K76" s="209" t="str">
        <v>ㆣ</v>
      </c>
      <c r="L76" s="209" t="str">
        <v>ㄍ</v>
      </c>
      <c r="M76" s="209" t="str">
        <v>ㄎ</v>
      </c>
      <c r="N76" s="209" t="str">
        <v>ㆡ</v>
      </c>
      <c r="O76" s="209" t="str">
        <v>ㄗ</v>
      </c>
      <c r="P76" s="209" t="str">
        <v>ㄘ</v>
      </c>
      <c r="Q76" s="209" t="str">
        <v>ㄙ</v>
      </c>
      <c r="R76" s="209" t="str">
        <v>ㆢ</v>
      </c>
      <c r="S76" s="209" t="str">
        <v>ㄐ</v>
      </c>
      <c r="T76" s="209" t="str">
        <v>ㄑ</v>
      </c>
      <c r="U76" s="209" t="str">
        <v>ㄒ</v>
      </c>
      <c r="V76" s="209" t="str">
        <v>ㄏ</v>
      </c>
      <c r="W76" s="209" t="str">
        <v>ㄚ</v>
      </c>
      <c r="X76" s="209" t="str">
        <v>ㄧ</v>
      </c>
      <c r="Y76" s="209" t="str">
        <v>ㆨ</v>
      </c>
      <c r="Z76" s="209" t="str">
        <v>ㄨ</v>
      </c>
      <c r="AA76" s="209" t="str">
        <v>ㆤ</v>
      </c>
      <c r="AB76" s="209" t="str">
        <v>ㆦ</v>
      </c>
      <c r="AC76" s="209" t="str">
        <v>ㄜ</v>
      </c>
      <c r="AD76" s="209" t="str">
        <v>ㄞ</v>
      </c>
      <c r="AE76" s="209" t="str">
        <v>ㄠ</v>
      </c>
      <c r="AF76" s="209" t="str">
        <v>ㆩ</v>
      </c>
      <c r="AG76" s="209" t="str">
        <v>ㆪ</v>
      </c>
      <c r="AH76" s="210" t="str">
        <v>ㆫ</v>
      </c>
      <c r="AI76" s="210" t="str">
        <v>ㆥ</v>
      </c>
      <c r="AJ76" s="210" t="str">
        <v>ㆧ</v>
      </c>
      <c r="AK76" s="210" t="str">
        <v>ㆮ</v>
      </c>
      <c r="AL76" s="211" t="str">
        <v>ㆯ</v>
      </c>
      <c r="AM76" s="210" t="str">
        <v>ㆬ</v>
      </c>
      <c r="AN76" s="210" t="str">
        <v>ㄣ</v>
      </c>
      <c r="AO76" s="210" t="str">
        <v>ㆭ</v>
      </c>
      <c r="AP76" s="210" t="str">
        <v>ㆰ</v>
      </c>
      <c r="AQ76" s="210" t="str">
        <v>ㄢ</v>
      </c>
      <c r="AR76" s="210" t="str">
        <v>ㄤ</v>
      </c>
      <c r="AS76" s="210" t="str">
        <v>ㆱ</v>
      </c>
      <c r="AT76" s="210" t="str">
        <v>ㆲ</v>
      </c>
      <c r="AU76" s="210" t="str">
        <v>ㆴ</v>
      </c>
      <c r="AV76" s="210" t="str">
        <v>ㆵ</v>
      </c>
      <c r="AW76" s="210" t="str">
        <v>ㆻ</v>
      </c>
      <c r="AX76" s="210" t="str">
        <v>ㆷ</v>
      </c>
      <c r="AY76" s="210" t="str">
        <v>ˉ</v>
      </c>
      <c r="AZ76" s="210" t="str">
        <v>ˉ</v>
      </c>
      <c r="BA76" s="210" t="str">
        <v>^</v>
      </c>
      <c r="BB76" s="210" t="str">
        <v>ˋ</v>
      </c>
      <c r="BC76" s="210" t="str">
        <v>ˇ</v>
      </c>
      <c r="BD76" s="210" t="str">
        <v>ˊ</v>
      </c>
      <c r="BE76" s="210" t="str">
        <v>ˊ</v>
      </c>
      <c r="BF76" s="210" t="str">
        <v>˙</v>
      </c>
      <c r="BG76" s="210" t="str">
        <v>入</v>
      </c>
      <c r="BH76" s="210" t="str">
        <v>ㄥ</v>
      </c>
      <c r="BI76" s="210" t="str">
        <v>ñ</v>
      </c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str">
        <f>_xlfn.CONCAT("  alphabet: """,B75:AX75,BF75:BH75,AY75:BE75,"""")</f>
        <v xml:space="preserve">  alphabet: "a!1qs2wxNEedYyhnRrfvc8uKj,ik9l*UJ&lt;I(Lmp/M0;Oobtgz7.?:[5346]"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str">
        <f>_xlfn.CONCAT("  initials: """,B75:AX75,BF75:BH75,"""")</f>
        <v xml:space="preserve">  initials: "a!1qs2wxNEedYyhnRrfvc8uKj,ik9l*UJ&lt;I(Lmp/M0;Oobtgz7.?"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":[5346]"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str">
        <f>_xlfn.CONCAT(_xlfn.ANCHORARRAY(B74))</f>
        <v>mBbpndtlŋvgkZzcsJjCShaiwueOoIURDXEQxyMNGY@AWHPTKV176532809L*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str">
        <f>_xlfn.CONCAT(_xlfn.ANCHORARRAY(B75))</f>
        <v>a!1qs2wxNEedYyhnRrfvc8uKj,ik9l*UJ&lt;I(Lmp/M0;Oobtgz:[5346]7.?-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str">
        <f xml:space="preserve"> _xlfn.CONCAT("    - xlit|", B83, "|", B84,"|")</f>
        <v xml:space="preserve">    - xlit|mBbpndtlŋvgkZzcsJjCShaiwueOoIURDXEQxyMNGY@AWHPTKV176532809L*|a!1qs2wxNEedYyhnRrfvc8uKj,ik9l*UJ&lt;I(Lmp/M0;Oobtgz:[5346]7.?-|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str">
        <f>_xlfn.CONCAT(B75:AX75)</f>
        <v>a!1qs2wxNEedYyhnRrfvc8uKj,ik9l*UJ&lt;I(Lmp/M0;Oobtgz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str">
        <f>_xlfn.CONCAT(B76:AX76)</f>
        <v>ㄇㆠㄅㄆㄋㄉㄊㄌㄫㆣㄍㄎㆡㄗㄘㄙㆢㄐㄑㄒㄏㄚㄧㆨㄨㆤㆦㄜㄞㄠㆩㆪㆫㆥㆧㆮㆯㆬㄣㆭㆰㄢㄤㆱㆲㆴㆵㆻㆷ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str">
        <f xml:space="preserve"> _xlfn.CONCAT("    - xlit|", B88, "|", B89,"|")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str">
        <f>_xlfn.CONCAT(_xlfn.ANCHORARRAY(B75))</f>
        <v>a!1qs2wxNEedYyhnRrfvc8uKj,ik9l*UJ&lt;I(Lmp/M0;Oobtgz:[5346]7.?-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str">
        <f>_xlfn.CONCAT(_xlfn.ANCHORARRAY(B76))</f>
        <v>ㄇㆠㄅㄆㄋㄉㄊㄌㄫㆣㄍㄎㆡㄗㄘㄙㆢㄐㄑㄒㄏㄚㄧㆨㄨㆤㆦㄜㄞㄠㆩㆪㆫㆥㆧㆮㆯㆬㄣㆭㆰㄢㄤㆱㆲㆴㆵㆻㆷˉˉ^ˋˇˊˊ˙入ㄥñ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str">
        <f xml:space="preserve"> _xlfn.CONCAT("    - xlit|", B93, "|", B94,"|")</f>
        <v xml:space="preserve">    - xlit|a!1qs2wxNEedYyhnRrfvc8uKj,ik9l*UJ&lt;I(Lmp/M0;Oobtgz:[5346]7.?-|ㄇㆠㄅㄆㄋㄉㄊㄌㄫㆣㄍㄎㆡㄗㄘㄙㆢㄐㄑㄒㄏㄚㄧㆨㄨㆤㆦㄜㄞㄠㆩㆪㆫㆥㆧㆮㆯㆬㄣㆭㆰㄢㄤㆱㆲㆴㆵㆻㆷˉˉ^ˋˇˊˊ˙入ㄥñ|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tr" cm="1">
        <f t="array" aca="1" ref="B106" ca="1" xml:space="preserve"> IFERROR( INDEX([1]!注音編碼對照表[方音符號], MATCH(TRUE, EXACT(B108, [1]!注音編碼對照表[鍵盤按鍵]),0)), "")</f>
        <v>ㄅ</v>
      </c>
      <c r="C106" s="209" t="str" cm="1">
        <f t="array" aca="1" ref="C106" ca="1" xml:space="preserve"> IFERROR( INDEX([1]!注音編碼對照表[方音符號], MATCH(TRUE, EXACT(C108, [1]!注音編碼對照表[鍵盤按鍵]),0)), "")</f>
        <v>ㆠ</v>
      </c>
      <c r="D106" s="209" t="str" cm="1">
        <f t="array" aca="1" ref="D106" ca="1" xml:space="preserve"> IFERROR( INDEX([1]!注音編碼對照表[方音符號], MATCH(TRUE, EXACT(D108, [1]!注音編碼對照表[鍵盤按鍵]),0)), "")</f>
        <v>ㄆ</v>
      </c>
      <c r="E106" s="209" t="str" cm="1">
        <f t="array" aca="1" ref="E106" ca="1" xml:space="preserve"> IFERROR( INDEX([1]!注音編碼對照表[方音符號], MATCH(TRUE, EXACT(E108, [1]!注音編碼對照表[鍵盤按鍵]),0)), "")</f>
        <v>ㄇ</v>
      </c>
      <c r="F106" s="209" t="str" cm="1">
        <f t="array" aca="1" ref="F106" ca="1" xml:space="preserve"> IFERROR( INDEX([1]!注音編碼對照表[方音符號], MATCH(TRUE, EXACT(F108, [1]!注音編碼對照表[鍵盤按鍵]),0)), "")</f>
        <v>ㄉ</v>
      </c>
      <c r="G106" s="209" t="str" cm="1">
        <f t="array" aca="1" ref="G106" ca="1" xml:space="preserve"> IFERROR( INDEX([1]!注音編碼對照表[方音符號], MATCH(TRUE, EXACT(G108, [1]!注音編碼對照表[鍵盤按鍵]),0)), "")</f>
        <v>ㄊ</v>
      </c>
      <c r="H106" s="209" t="str" cm="1">
        <f t="array" aca="1" ref="H106" ca="1" xml:space="preserve"> IFERROR( INDEX([1]!注音編碼對照表[方音符號], MATCH(TRUE, EXACT(H108, [1]!注音編碼對照表[鍵盤按鍵]),0)), "")</f>
        <v>ㄋ</v>
      </c>
      <c r="I106" s="209" t="str" cm="1">
        <f t="array" aca="1" ref="I106" ca="1" xml:space="preserve"> IFERROR( INDEX([1]!注音編碼對照表[方音符號], MATCH(TRUE, EXACT(I108, [1]!注音編碼對照表[鍵盤按鍵]),0)), "")</f>
        <v>ㄌ</v>
      </c>
      <c r="J106" s="209" t="str" cm="1">
        <f t="array" aca="1" ref="J106" ca="1" xml:space="preserve"> IFERROR( INDEX([1]!注音編碼對照表[方音符號], MATCH(TRUE, EXACT(J108, [1]!注音編碼對照表[鍵盤按鍵]),0)), "")</f>
        <v>ㄍ</v>
      </c>
      <c r="K106" s="209" t="str" cm="1">
        <f t="array" aca="1" ref="K106" ca="1" xml:space="preserve"> IFERROR( INDEX([1]!注音編碼對照表[方音符號], MATCH(TRUE, EXACT(K108, [1]!注音編碼對照表[鍵盤按鍵]),0)), "")</f>
        <v>ㆣ</v>
      </c>
      <c r="L106" s="209" t="str" cm="1">
        <f t="array" aca="1" ref="L106" ca="1" xml:space="preserve"> IFERROR( INDEX([1]!注音編碼對照表[方音符號], MATCH(TRUE, EXACT(L108, [1]!注音編碼對照表[鍵盤按鍵]),0)), "")</f>
        <v>ㄎ</v>
      </c>
      <c r="M106" s="209" t="str" cm="1">
        <f t="array" aca="1" ref="M106" ca="1" xml:space="preserve"> IFERROR( INDEX([1]!注音編碼對照表[方音符號], MATCH(TRUE, EXACT(M108, [1]!注音編碼對照表[鍵盤按鍵]),0)), "")</f>
        <v/>
      </c>
      <c r="N106" s="209" t="str" cm="1">
        <f t="array" aca="1" ref="N106" ca="1" xml:space="preserve"> IFERROR( INDEX([1]!注音編碼對照表[方音符號], MATCH(TRUE, EXACT(N108, [1]!注音編碼對照表[鍵盤按鍵]),0)), "")</f>
        <v>ㄏ</v>
      </c>
      <c r="O106" s="209" t="str" cm="1">
        <f t="array" aca="1" ref="O106" ca="1" xml:space="preserve"> IFERROR( INDEX([1]!注音編碼對照表[方音符號], MATCH(TRUE, EXACT(O108, [1]!注音編碼對照表[鍵盤按鍵]),0)), "")</f>
        <v>ㄐ</v>
      </c>
      <c r="P106" s="209" t="str" cm="1">
        <f t="array" aca="1" ref="P106" ca="1" xml:space="preserve"> IFERROR( INDEX([1]!注音編碼對照表[方音符號], MATCH(TRUE, EXACT(P108, [1]!注音編碼對照表[鍵盤按鍵]),0)), "")</f>
        <v>ㆢ</v>
      </c>
      <c r="Q106" s="209" t="str" cm="1">
        <f t="array" aca="1" ref="Q106" ca="1" xml:space="preserve"> IFERROR( INDEX([1]!注音編碼對照表[方音符號], MATCH(TRUE, EXACT(Q108, [1]!注音編碼對照表[鍵盤按鍵]),0)), "")</f>
        <v>ㄑ</v>
      </c>
      <c r="R106" s="209" t="str" cm="1">
        <f t="array" aca="1" ref="R106" ca="1" xml:space="preserve"> IFERROR( INDEX([1]!注音編碼對照表[方音符號], MATCH(TRUE, EXACT(R108, [1]!注音編碼對照表[鍵盤按鍵]),0)), "")</f>
        <v>ㄒ</v>
      </c>
      <c r="S106" s="209" t="str" cm="1">
        <f t="array" aca="1" ref="S106" ca="1" xml:space="preserve"> IFERROR( INDEX([1]!注音編碼對照表[方音符號], MATCH(TRUE, EXACT(S108, [1]!注音編碼對照表[鍵盤按鍵]),0)), "")</f>
        <v>ㄗ</v>
      </c>
      <c r="T106" s="209" t="str" cm="1">
        <f t="array" aca="1" ref="T106" ca="1" xml:space="preserve"> IFERROR( INDEX([1]!注音編碼對照表[方音符號], MATCH(TRUE, EXACT(T108, [1]!注音編碼對照表[鍵盤按鍵]),0)), "")</f>
        <v>ㆡ</v>
      </c>
      <c r="U106" s="209" t="str" cm="1">
        <f t="array" aca="1" ref="U106" ca="1" xml:space="preserve"> IFERROR( INDEX([1]!注音編碼對照表[方音符號], MATCH(TRUE, EXACT(U108, [1]!注音編碼對照表[鍵盤按鍵]),0)), "")</f>
        <v>ㄘ</v>
      </c>
      <c r="V106" s="209" t="str" cm="1">
        <f t="array" aca="1" ref="V106" ca="1" xml:space="preserve"> IFERROR( INDEX([1]!注音編碼對照表[方音符號], MATCH(TRUE, EXACT(V108, [1]!注音編碼對照表[鍵盤按鍵]),0)), "")</f>
        <v>ㄙ</v>
      </c>
      <c r="W106" s="209" t="str" cm="1">
        <f t="array" aca="1" ref="W106" ca="1" xml:space="preserve"> IFERROR( INDEX([1]!注音編碼對照表[方音符號], MATCH(TRUE, EXACT(W108, [1]!注音編碼對照表[鍵盤按鍵]),0)), "")</f>
        <v>ㄧ</v>
      </c>
      <c r="X106" s="209" t="str" cm="1">
        <f t="array" aca="1" ref="X106" ca="1" xml:space="preserve"> IFERROR( INDEX([1]!注音編碼對照表[方音符號], MATCH(TRUE, EXACT(X108, [1]!注音編碼對照表[鍵盤按鍵]),0)), "")</f>
        <v>ㆪ</v>
      </c>
      <c r="Y106" s="209" t="str" cm="1">
        <f t="array" aca="1" ref="Y106" ca="1" xml:space="preserve"> IFERROR( INDEX([1]!注音編碼對照表[方音符號], MATCH(TRUE, EXACT(Y108, [1]!注音編碼對照表[鍵盤按鍵]),0)), "")</f>
        <v>ㄨ</v>
      </c>
      <c r="Z106" s="209" t="str" cm="1">
        <f t="array" aca="1" ref="Z106" ca="1" xml:space="preserve"> IFERROR( INDEX([1]!注音編碼對照表[方音符號], MATCH(TRUE, EXACT(Z108, [1]!注音編碼對照表[鍵盤按鍵]),0)), "")</f>
        <v>ㆫ</v>
      </c>
      <c r="AA106" s="209" t="str" cm="1">
        <f t="array" aca="1" ref="AA106" ca="1" xml:space="preserve"> IFERROR( INDEX([1]!注音編碼對照表[方音符號], MATCH(TRUE, EXACT(AA108, [1]!注音編碼對照表[鍵盤按鍵]),0)), "")</f>
        <v>ㄚ</v>
      </c>
      <c r="AB106" s="209" t="str" cm="1">
        <f t="array" aca="1" ref="AB106" ca="1" xml:space="preserve"> IFERROR( INDEX([1]!注音編碼對照表[方音符號], MATCH(TRUE, EXACT(AB108, [1]!注音編碼對照表[鍵盤按鍵]),0)), "")</f>
        <v>ㆩ</v>
      </c>
      <c r="AC106" s="209" t="str" cm="1">
        <f t="array" aca="1" ref="AC106" ca="1" xml:space="preserve"> IFERROR( INDEX([1]!注音編碼對照表[方音符號], MATCH(TRUE, EXACT(AC108, [1]!注音編碼對照表[鍵盤按鍵]),0)), "")</f>
        <v>ㆦ</v>
      </c>
      <c r="AD106" s="209" t="str" cm="1">
        <f t="array" aca="1" ref="AD106" ca="1" xml:space="preserve"> IFERROR( INDEX([1]!注音編碼對照表[方音符號], MATCH(TRUE, EXACT(AD108, [1]!注音編碼對照表[鍵盤按鍵]),0)), "")</f>
        <v>ㆧ</v>
      </c>
      <c r="AE106" s="209" t="str" cm="1">
        <f t="array" aca="1" ref="AE106" ca="1" xml:space="preserve"> IFERROR( INDEX([1]!注音編碼對照表[方音符號], MATCH(TRUE, EXACT(AE108, [1]!注音編碼對照表[鍵盤按鍵]),0)), "")</f>
        <v>ㄜ</v>
      </c>
      <c r="AF106" s="209" t="str" cm="1">
        <f t="array" aca="1" ref="AF106" ca="1" xml:space="preserve"> IFERROR( INDEX([1]!注音編碼對照表[方音符號], MATCH(TRUE, EXACT(AF108, [1]!注音編碼對照表[鍵盤按鍵]),0)), "")</f>
        <v>ㆤ</v>
      </c>
      <c r="AG106" s="209" t="str" cm="1">
        <f t="array" aca="1" ref="AG106" ca="1" xml:space="preserve"> IFERROR( INDEX([1]!注音編碼對照表[方音符號], MATCH(TRUE, EXACT(AG108, [1]!注音編碼對照表[鍵盤按鍵]),0)), "")</f>
        <v>ㆥ</v>
      </c>
      <c r="AH106" s="210" t="str" cm="1">
        <f t="array" aca="1" ref="AH106" ca="1" xml:space="preserve"> IFERROR( INDEX([1]!注音編碼對照表[方音符號], MATCH(TRUE, EXACT(AH108, [1]!注音編碼對照表[鍵盤按鍵]),0)), "")</f>
        <v>ㄞ</v>
      </c>
      <c r="AI106" s="210" t="str" cm="1">
        <f t="array" aca="1" ref="AI106" ca="1" xml:space="preserve"> IFERROR( INDEX([1]!注音編碼對照表[方音符號], MATCH(TRUE, EXACT(AI108, [1]!注音編碼對照表[鍵盤按鍵]),0)), "")</f>
        <v>ㆮ</v>
      </c>
      <c r="AJ106" s="210" t="str" cm="1">
        <f t="array" aca="1" ref="AJ106" ca="1" xml:space="preserve"> IFERROR( INDEX([1]!注音編碼對照表[方音符號], MATCH(TRUE, EXACT(AJ108, [1]!注音編碼對照表[鍵盤按鍵]),0)), "")</f>
        <v>ㄠ</v>
      </c>
      <c r="AK106" s="210" t="str" cm="1">
        <f t="array" aca="1" ref="AK106" ca="1" xml:space="preserve"> IFERROR( INDEX([1]!注音編碼對照表[方音符號], MATCH(TRUE, EXACT(AK108, [1]!注音編碼對照表[鍵盤按鍵]),0)), "")</f>
        <v>ㆯ</v>
      </c>
      <c r="AL106" s="211" t="str" cm="1">
        <f t="array" aca="1" ref="AL106" ca="1" xml:space="preserve"> IFERROR( INDEX([1]!注音編碼對照表[方音符號], MATCH(TRUE, EXACT(AL108, [1]!注音編碼對照表[鍵盤按鍵]),0)), "")</f>
        <v>ㄤ</v>
      </c>
      <c r="AM106" s="210" t="str" cm="1">
        <f t="array" aca="1" ref="AM106" ca="1" xml:space="preserve"> IFERROR( INDEX([1]!注音編碼對照表[方音符號], MATCH(TRUE, EXACT(AM108, [1]!注音編碼對照表[鍵盤按鍵]),0)), "")</f>
        <v>ㆲ</v>
      </c>
      <c r="AN106" s="210" t="str" cm="1">
        <f t="array" aca="1" ref="AN106" ca="1" xml:space="preserve"> IFERROR( INDEX([1]!注音編碼對照表[方音符號], MATCH(TRUE, EXACT(AN108, [1]!注音編碼對照表[鍵盤按鍵]),0)), "")</f>
        <v>ㆰ</v>
      </c>
      <c r="AO106" s="210" t="str" cm="1">
        <f t="array" aca="1" ref="AO106" ca="1" xml:space="preserve"> IFERROR( INDEX([1]!注音編碼對照表[方音符號], MATCH(TRUE, EXACT(AO108, [1]!注音編碼對照表[鍵盤按鍵]),0)), "")</f>
        <v>ㆱ</v>
      </c>
      <c r="AP106" s="210" t="str" cm="1">
        <f t="array" aca="1" ref="AP106" ca="1" xml:space="preserve"> IFERROR( INDEX([1]!注音編碼對照表[方音符號], MATCH(TRUE, EXACT(AP108, [1]!注音編碼對照表[鍵盤按鍵]),0)), "")</f>
        <v>ㄢ</v>
      </c>
      <c r="AQ106" s="210" t="str" cm="1">
        <f t="array" aca="1" ref="AQ106" ca="1" xml:space="preserve"> IFERROR( INDEX([1]!注音編碼對照表[方音符號], MATCH(TRUE, EXACT(AQ108, [1]!注音編碼對照表[鍵盤按鍵]),0)), "")</f>
        <v>ㆬ</v>
      </c>
      <c r="AR106" s="210" t="str" cm="1">
        <f t="array" aca="1" ref="AR106" ca="1" xml:space="preserve"> IFERROR( INDEX([1]!注音編碼對照表[方音符號], MATCH(TRUE, EXACT(AR108, [1]!注音編碼對照表[鍵盤按鍵]),0)), "")</f>
        <v>ㄣ</v>
      </c>
      <c r="AS106" s="210" t="str" cm="1">
        <f t="array" aca="1" ref="AS106" ca="1" xml:space="preserve"> IFERROR( INDEX([1]!注音編碼對照表[方音符號], MATCH(TRUE, EXACT(AS108, [1]!注音編碼對照表[鍵盤按鍵]),0)), "")</f>
        <v>ㆭ</v>
      </c>
      <c r="AT106" s="210" t="str" cm="1">
        <f t="array" aca="1" ref="AT106" ca="1" xml:space="preserve"> IFERROR( INDEX([1]!注音編碼對照表[方音符號], MATCH(TRUE, EXACT(AT108, [1]!注音編碼對照表[鍵盤按鍵]),0)), "")</f>
        <v>ㆨ</v>
      </c>
      <c r="AU106" s="210" t="str" cm="1">
        <f t="array" aca="1" ref="AU106" ca="1" xml:space="preserve"> IFERROR( INDEX([1]!注音編碼對照表[方音符號], MATCH(TRUE, EXACT(AU108, [1]!注音編碼對照表[鍵盤按鍵]),0)), "")</f>
        <v>ㆢ</v>
      </c>
      <c r="AV106" s="210" t="str" cm="1">
        <f t="array" aca="1" ref="AV106" ca="1" xml:space="preserve"> IFERROR( INDEX([1]!注音編碼對照表[方音符號], MATCH(TRUE, EXACT(AV108, [1]!注音編碼對照表[鍵盤按鍵]),0)), "")</f>
        <v/>
      </c>
      <c r="AW106" s="210" t="str" cm="1">
        <f t="array" aca="1" ref="AW106" ca="1" xml:space="preserve"> IFERROR( INDEX([1]!注音編碼對照表[方音符號], MATCH(TRUE, EXACT(AW108, [1]!注音編碼對照表[鍵盤按鍵]),0)), "")</f>
        <v/>
      </c>
      <c r="AX106" s="210" t="str" cm="1">
        <f t="array" aca="1" ref="AX106" ca="1" xml:space="preserve"> IFERROR( INDEX([1]!注音編碼對照表[方音符號], MATCH(TRUE, EXACT(AX108, [1]!注音編碼對照表[鍵盤按鍵]),0)), "")</f>
        <v/>
      </c>
      <c r="AY106" s="210" t="str" cm="1">
        <f t="array" aca="1" ref="AY106" ca="1" xml:space="preserve"> IFERROR( INDEX([1]!注音編碼對照表[方音符號], MATCH(TRUE, EXACT(AY108, [1]!注音編碼對照表[鍵盤按鍵]),0)), "")</f>
        <v/>
      </c>
      <c r="AZ106" s="210" t="str" cm="1">
        <f t="array" aca="1" ref="AZ106" ca="1" xml:space="preserve"> IFERROR( INDEX([1]!注音編碼對照表[方音符號], MATCH(TRUE, EXACT(AZ108, [1]!注音編碼對照表[鍵盤按鍵]),0)), "")</f>
        <v/>
      </c>
      <c r="BA106" s="210" t="str" cm="1">
        <f t="array" aca="1" ref="BA106" ca="1" xml:space="preserve"> IFERROR( INDEX([1]!注音編碼對照表[方音符號], MATCH(TRUE, EXACT(BA108, [1]!注音編碼對照表[鍵盤按鍵]),0)), "")</f>
        <v/>
      </c>
      <c r="BB106" s="210" t="str" cm="1">
        <f t="array" aca="1" ref="BB106" ca="1" xml:space="preserve"> IFERROR( INDEX([1]!注音編碼對照表[方音符號], MATCH(TRUE, EXACT(BB108, [1]!注音編碼對照表[鍵盤按鍵]),0)), "")</f>
        <v/>
      </c>
      <c r="BC106" s="210" t="str" cm="1">
        <f t="array" aca="1" ref="BC106" ca="1" xml:space="preserve"> IFERROR( INDEX([1]!注音編碼對照表[方音符號], MATCH(TRUE, EXACT(BC108, [1]!注音編碼對照表[鍵盤按鍵]),0)), "")</f>
        <v/>
      </c>
      <c r="BD106" s="210" t="str" cm="1">
        <f t="array" aca="1" ref="BD106" ca="1" xml:space="preserve"> IFERROR( INDEX([1]!注音編碼對照表[方音符號], MATCH(TRUE, EXACT(BD108, [1]!注音編碼對照表[鍵盤按鍵]),0)), "")</f>
        <v/>
      </c>
      <c r="BE106" s="210" t="str" cm="1">
        <f t="array" aca="1" ref="BE106" ca="1" xml:space="preserve"> IFERROR( INDEX([1]!注音編碼對照表[方音符號], MATCH(TRUE, EXACT(BE108, [1]!注音編碼對照表[鍵盤按鍵]),0)), "")</f>
        <v/>
      </c>
      <c r="BF106" s="210" t="str" cm="1">
        <f t="array" aca="1" ref="BF106" ca="1" xml:space="preserve"> IFERROR( INDEX([1]!注音編碼對照表[方音符號], MATCH(TRUE, EXACT(BF108, [1]!注音編碼對照表[鍵盤按鍵]),0)), "")</f>
        <v/>
      </c>
      <c r="BG106" s="210" t="str" cm="1">
        <f t="array" aca="1" ref="BG106" ca="1" xml:space="preserve"> IFERROR( INDEX([1]!注音編碼對照表[方音符號], MATCH(TRUE, EXACT(BG108, [1]!注音編碼對照表[鍵盤按鍵]),0)), "")</f>
        <v/>
      </c>
      <c r="BH106" s="210" t="str" cm="1">
        <f t="array" aca="1" ref="BH106" ca="1" xml:space="preserve"> IFERROR( INDEX([1]!注音編碼對照表[方音符號], MATCH(TRUE, EXACT(BH108, [1]!注音編碼對照表[鍵盤按鍵]),0)), "")</f>
        <v/>
      </c>
      <c r="BI106" s="210" t="str" cm="1">
        <f t="array" aca="1" ref="BI106" ca="1" xml:space="preserve"> IFERROR( INDEX([1]!注音編碼對照表[方音符號], MATCH(TRUE, EXACT(BI108, [1]!注音編碼對照表[鍵盤按鍵]),0)), "")</f>
        <v/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2</vt:i4>
      </vt:variant>
    </vt:vector>
  </HeadingPairs>
  <TitlesOfParts>
    <vt:vector size="5" baseType="lpstr">
      <vt:lpstr>xlit對映工具</vt:lpstr>
      <vt:lpstr>聲調符號</vt:lpstr>
      <vt:lpstr>RIME設定【台語音標】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2026-04-02T06:46:16Z</dcterms:modified>
</cp:coreProperties>
</file>