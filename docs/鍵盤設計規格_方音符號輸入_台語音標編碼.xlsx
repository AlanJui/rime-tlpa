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8_{483B5F2C-798F-44C0-86C5-9BFFB7B64E6C}" xr6:coauthVersionLast="47" xr6:coauthVersionMax="47" xr10:uidLastSave="{00000000-0000-0000-0000-000000000000}"/>
  <bookViews>
    <workbookView xWindow="-120" yWindow="-120" windowWidth="29040" windowHeight="15720" xr2:uid="{6D6F034E-466E-416C-B3CC-1F7937B8DE3D}"/>
  </bookViews>
  <sheets>
    <sheet name="xlit對映工具" sheetId="1" r:id="rId1"/>
    <sheet name="韻母列表" sheetId="4" r:id="rId2"/>
    <sheet name="韻母列表 (陽聲韻轉換)" sheetId="5" r:id="rId3"/>
    <sheet name="韻母列表 (3)" sheetId="6" r:id="rId4"/>
    <sheet name="聲調符號" sheetId="3" r:id="rId5"/>
    <sheet name="RIME設定【台語音標】" sheetId="2" r:id="rId6"/>
  </sheets>
  <definedNames>
    <definedName name="_xlnm._FilterDatabase" localSheetId="5" hidden="1">RIME設定【台語音標】!$BR$4:$BT$59</definedName>
    <definedName name="_xlnm.Criteria" localSheetId="5">RIME設定【台語音標】!$CQ$1:$CQ$2</definedName>
    <definedName name="_xlnm.Extract" localSheetId="5">RIME設定【台語音標】!$CR$4:$CV$4</definedName>
    <definedName name="十五音韻母">#REF!</definedName>
    <definedName name="十五音韻母對照表">#REF!</definedName>
    <definedName name="方音符號" localSheetId="5">#REF!</definedName>
    <definedName name="方音符號">#REF!</definedName>
    <definedName name="台羅韻母八音反切">#REF!</definedName>
    <definedName name="白話字韻母八音反切">#REF!</definedName>
    <definedName name="字典編碼" localSheetId="5">#REF!</definedName>
    <definedName name="字典編碼">#REF!</definedName>
    <definedName name="注音符號">#REF!</definedName>
    <definedName name="注音編碼">#REF!</definedName>
    <definedName name="拼音字母" localSheetId="5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5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P19" i="6" l="1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T23" i="5" l="1"/>
  <c r="T22" i="5"/>
  <c r="S22" i="4"/>
  <c r="Z4" i="3" l="1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I104" i="2" a="1"/>
  <c r="AR104" i="2" a="1"/>
  <c r="W104" i="2" a="1"/>
  <c r="Z104" i="2" a="1"/>
  <c r="BC104" i="2" a="1"/>
  <c r="AA105" i="2" a="1"/>
  <c r="AT104" i="2" a="1"/>
  <c r="X105" i="2" a="1"/>
  <c r="AB104" i="2" a="1"/>
  <c r="F105" i="2" a="1"/>
  <c r="M105" i="2" a="1"/>
  <c r="AO105" i="2" a="1"/>
  <c r="N105" i="2" a="1"/>
  <c r="D105" i="2" a="1"/>
  <c r="AV105" i="2" a="1"/>
  <c r="U105" i="2" a="1"/>
  <c r="AW105" i="2" a="1"/>
  <c r="G104" i="2" a="1"/>
  <c r="AE105" i="2" a="1"/>
  <c r="BG105" i="2" a="1"/>
  <c r="AV108" i="2" a="1"/>
  <c r="V105" i="2" a="1"/>
  <c r="AW108" i="2" a="1"/>
  <c r="AJ105" i="2" a="1"/>
  <c r="AF104" i="2" a="1"/>
  <c r="D104" i="2" a="1"/>
  <c r="AG104" i="2" a="1"/>
  <c r="AB105" i="2" a="1"/>
  <c r="O104" i="2" a="1"/>
  <c r="W105" i="2" a="1"/>
  <c r="BB104" i="2" a="1"/>
  <c r="E105" i="2" a="1"/>
  <c r="BI104" i="2" a="1"/>
  <c r="X104" i="2" a="1"/>
  <c r="AC105" i="2" a="1"/>
  <c r="BD104" i="2" a="1"/>
  <c r="AD105" i="2" a="1"/>
  <c r="AJ104" i="2" a="1"/>
  <c r="L105" i="2" a="1"/>
  <c r="J105" i="2" a="1"/>
  <c r="AU105" i="2" a="1"/>
  <c r="BI105" i="2" a="1"/>
  <c r="BB105" i="2" a="1"/>
  <c r="AX105" i="2" a="1"/>
  <c r="E104" i="2" a="1"/>
  <c r="BC105" i="2" a="1"/>
  <c r="N104" i="2" a="1"/>
  <c r="AH104" i="2" a="1"/>
  <c r="AU108" i="2" a="1"/>
  <c r="BF104" i="2" a="1"/>
  <c r="F104" i="2" a="1"/>
  <c r="AH105" i="2" a="1"/>
  <c r="AL104" i="2" a="1"/>
  <c r="Y69" i="2" a="1"/>
  <c r="B105" i="2" a="1"/>
  <c r="AM104" i="2" a="1"/>
  <c r="L104" i="2" a="1"/>
  <c r="AZ104" i="2" a="1"/>
  <c r="K104" i="2" a="1"/>
  <c r="S105" i="2" a="1"/>
  <c r="AS105" i="2" a="1"/>
  <c r="BA104" i="2" a="1"/>
  <c r="AI105" i="2" a="1"/>
  <c r="AF105" i="2" a="1"/>
  <c r="AP105" i="2" a="1"/>
  <c r="AK104" i="2" a="1"/>
  <c r="P105" i="2" a="1"/>
  <c r="AO104" i="2" a="1"/>
  <c r="AE104" i="2" a="1"/>
  <c r="BA105" i="2" a="1"/>
  <c r="AC104" i="2" a="1"/>
  <c r="BG104" i="2" a="1"/>
  <c r="AP104" i="2" a="1"/>
  <c r="AD104" i="2" a="1"/>
  <c r="Q105" i="2" a="1"/>
  <c r="U104" i="2" a="1"/>
  <c r="AT105" i="2" a="1"/>
  <c r="AQ104" i="2" a="1"/>
  <c r="AN105" i="2" a="1"/>
  <c r="BF105" i="2" a="1"/>
  <c r="T105" i="2" a="1"/>
  <c r="R105" i="2" a="1"/>
  <c r="Y104" i="2" a="1"/>
  <c r="AG105" i="2" a="1"/>
  <c r="T104" i="2" a="1"/>
  <c r="K105" i="2" a="1"/>
  <c r="BD105" i="2" a="1"/>
  <c r="I105" i="2" a="1"/>
  <c r="AL105" i="2" a="1"/>
  <c r="AY104" i="2" a="1"/>
  <c r="AY105" i="2" a="1"/>
  <c r="C104" i="2" a="1"/>
  <c r="P104" i="2" a="1"/>
  <c r="AZ105" i="2" a="1"/>
  <c r="Q104" i="2" a="1"/>
  <c r="AK105" i="2" a="1"/>
  <c r="B104" i="2" a="1"/>
  <c r="AN104" i="2" a="1"/>
  <c r="C105" i="2" a="1"/>
  <c r="V104" i="2" a="1"/>
  <c r="BE105" i="2" a="1"/>
  <c r="AI104" i="2" a="1"/>
  <c r="G105" i="2" a="1"/>
  <c r="R104" i="2" a="1"/>
  <c r="J104" i="2" a="1"/>
  <c r="H105" i="2" a="1"/>
  <c r="S104" i="2" a="1"/>
  <c r="O105" i="2" a="1"/>
  <c r="AQ105" i="2" a="1"/>
  <c r="BE104" i="2" a="1"/>
  <c r="Y105" i="2" a="1"/>
  <c r="Z105" i="2" a="1"/>
  <c r="BH105" i="2" a="1"/>
  <c r="AM105" i="2" a="1"/>
  <c r="AS104" i="2" a="1"/>
  <c r="M108" i="2" a="1"/>
  <c r="BH104" i="2" a="1"/>
  <c r="AX108" i="2" a="1"/>
  <c r="AA104" i="2" a="1"/>
  <c r="AR105" i="2" a="1"/>
  <c r="H104" i="2" a="1"/>
  <c r="BL2" i="1" l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F108" i="2" a="1"/>
  <c r="AC108" i="2" a="1"/>
  <c r="X108" i="2" a="1"/>
  <c r="BF108" i="2" a="1"/>
  <c r="AD108" i="2" a="1"/>
  <c r="AQ108" i="2" a="1"/>
  <c r="O108" i="2" a="1"/>
  <c r="N108" i="2" a="1"/>
  <c r="AE108" i="2" a="1"/>
  <c r="AJ108" i="2" a="1"/>
  <c r="BH108" i="2" a="1"/>
  <c r="BC108" i="2" a="1"/>
  <c r="AH108" i="2" a="1"/>
  <c r="AK108" i="2" a="1"/>
  <c r="B108" i="2" a="1"/>
  <c r="V108" i="2" a="1"/>
  <c r="AL108" i="2" a="1"/>
  <c r="AA108" i="2" a="1"/>
  <c r="AN108" i="2" a="1"/>
  <c r="AG108" i="2" a="1"/>
  <c r="I108" i="2" a="1"/>
  <c r="Y108" i="2" a="1"/>
  <c r="AY108" i="2" a="1"/>
  <c r="BD108" i="2" a="1"/>
  <c r="Z108" i="2" a="1"/>
  <c r="AT108" i="2" a="1"/>
  <c r="AP108" i="2" a="1"/>
  <c r="D108" i="2" a="1"/>
  <c r="BG108" i="2" a="1"/>
  <c r="E108" i="2" a="1"/>
  <c r="AO108" i="2" a="1"/>
  <c r="T108" i="2" a="1"/>
  <c r="AM108" i="2" a="1"/>
  <c r="BA108" i="2" a="1"/>
  <c r="J108" i="2" a="1"/>
  <c r="W108" i="2" a="1"/>
  <c r="L108" i="2" a="1"/>
  <c r="C108" i="2" a="1"/>
  <c r="R108" i="2" a="1"/>
  <c r="AS108" i="2" a="1"/>
  <c r="BE108" i="2" a="1"/>
  <c r="Q108" i="2" a="1"/>
  <c r="G108" i="2" a="1"/>
  <c r="S108" i="2" a="1"/>
  <c r="U108" i="2" a="1"/>
  <c r="K108" i="2" a="1"/>
  <c r="BB108" i="2" a="1"/>
  <c r="AI108" i="2" a="1"/>
  <c r="BI108" i="2" a="1"/>
  <c r="H108" i="2" a="1"/>
  <c r="AB108" i="2" a="1"/>
  <c r="P108" i="2" a="1"/>
  <c r="AR108" i="2" a="1"/>
  <c r="AF108" i="2" a="1"/>
  <c r="AZ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<sst xmlns="http://schemas.openxmlformats.org/spreadsheetml/2006/main" count="1279" uniqueCount="514">
  <si>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</si>
  <si>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</si>
  <si>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</si>
  <si>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</si>
  <si>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</si>
  <si>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</si>
  <si>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</si>
  <si>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</si>
  <si>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</si>
  <si>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</si>
  <si>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</si>
  <si>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</si>
  <si>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</si>
  <si>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</si>
  <si>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</si>
  <si>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</si>
  <si>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</si>
  <si>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</si>
  <si>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</si>
  <si>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</si>
  <si>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</si>
  <si>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</si>
  <si>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</si>
  <si>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</si>
  <si>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</si>
  <si>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</si>
  <si>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</si>
  <si>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</si>
  <si>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</si>
  <si>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</si>
  <si>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</si>
  <si>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</si>
  <si>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</si>
  <si>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</si>
  <si>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</si>
  <si>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</si>
  <si>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</si>
  <si>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</si>
  <si>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</si>
  <si>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</si>
  <si>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</si>
  <si>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</si>
  <si>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</si>
  <si>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</si>
  <si>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</si>
  <si>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</si>
  <si>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</si>
  <si>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</si>
  <si>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</si>
  <si>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</si>
  <si>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</si>
  <si>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</si>
  <si>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</si>
  <si>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</si>
  <si>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</si>
  <si>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</si>
  <si>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</si>
  <si>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</si>
  <si>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</si>
  <si>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</si>
  <si>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</si>
  <si>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</si>
  <si>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</si>
  <si>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</si>
  <si>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</si>
  <si>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</si>
  <si>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</si>
  <si>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</si>
  <si>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</si>
  <si>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</si>
  <si>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</si>
  <si>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</si>
  <si>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</si>
  <si>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</si>
  <si>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</si>
  <si>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</si>
  <si>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</si>
  <si>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</si>
  <si>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</si>
  <si>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</si>
  <si>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</si>
  <si>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</si>
  <si>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</si>
  <si>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</si>
  <si>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</si>
  <si>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</si>
  <si>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</si>
  <si>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</si>
  <si>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</si>
  <si>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</si>
  <si>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</si>
  <si>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</si>
  <si>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</si>
  <si>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</si>
  <si>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</si>
  <si>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</si>
  <si>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</si>
  <si>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</si>
  <si>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</si>
  <si>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</si>
  <si>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</si>
  <si>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</si>
  <si>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</si>
  <si>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</si>
  <si>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</si>
  <si>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</si>
  <si>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</si>
  <si>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</si>
  <si>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</si>
  <si>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</si>
  <si>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</si>
  <si>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</si>
  <si>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</si>
  <si>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</si>
  <si>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</si>
  <si>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</si>
  <si>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</si>
  <si>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</si>
  <si>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</si>
  <si>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</si>
  <si>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</si>
  <si>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</si>
  <si>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</si>
  <si>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</si>
  <si>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</si>
  <si>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</si>
  <si>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</si>
  <si>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</si>
  <si>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</si>
  <si>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</si>
  <si>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</si>
  <si>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</si>
  <si>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</si>
  <si>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</si>
  <si>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</si>
  <si>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</si>
  <si>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</si>
  <si>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</si>
  <si>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</si>
  <si>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</si>
  <si>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</si>
  <si>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</si>
  <si>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</si>
  <si>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</si>
  <si>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</si>
  <si>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</si>
  <si>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</si>
  <si>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</si>
  <si>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</si>
  <si>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</si>
  <si>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</si>
  <si>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</si>
  <si>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</si>
  <si>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</si>
  <si>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</si>
  <si>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</si>
  <si>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</si>
  <si>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</si>
  <si>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</si>
  <si>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</si>
  <si>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</si>
  <si>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</si>
  <si>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</si>
  <si>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</si>
  <si>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</si>
  <si>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</si>
  <si>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</si>
  <si>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</si>
  <si>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</si>
  <si>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</si>
  <si>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</si>
  <si>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</si>
  <si>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</si>
  <si>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</si>
  <si>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</si>
  <si>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</si>
  <si>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</si>
  <si>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</si>
  <si>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</si>
  <si>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</si>
  <si>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</si>
  <si>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</si>
  <si>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</si>
  <si>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</si>
  <si>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</si>
  <si>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</si>
  <si>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</si>
  <si>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</si>
  <si>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</si>
  <si>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</si>
  <si>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</si>
  <si>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</si>
  <si>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</si>
  <si>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</si>
  <si>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</si>
  <si>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</si>
  <si>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</si>
  <si>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</si>
  <si>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</si>
  <si>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</si>
  <si>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</si>
  <si>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</si>
  <si>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</si>
  <si>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</si>
  <si>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</si>
  <si>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</si>
  <si>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</si>
  <si>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</si>
  <si>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</si>
  <si>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</si>
  <si>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</si>
  <si>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</si>
  <si>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</si>
  <si>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</si>
  <si>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</si>
  <si>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</si>
  <si>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</si>
  <si>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</si>
  <si>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</si>
  <si>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</si>
  <si>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</si>
  <si>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</si>
  <si>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</si>
  <si>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</si>
  <si>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</si>
  <si>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</si>
  <si>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</si>
  <si>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</si>
  <si>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</si>
  <si>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</si>
  <si>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</si>
  <si>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</si>
  <si>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</si>
  <si>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</si>
  <si>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</si>
  <si>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</si>
  <si>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</si>
  <si>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</si>
  <si>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</si>
  <si>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</si>
  <si>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</si>
  <si>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</si>
  <si>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</si>
  <si>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</si>
  <si>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</si>
  <si>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</si>
  <si>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拼音字母</t>
    <phoneticPr fontId="4" type="noConversion"/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</si>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</sst>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1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</fonts>
  <fills count="3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59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" fillId="0" borderId="1" xfId="0" applyFont="1" applyBorder="1"/>
    <xf numFmtId="0" fontId="103" fillId="25" borderId="1" xfId="0" applyFont="1" applyFill="1" applyBorder="1"/>
    <xf numFmtId="0" fontId="3" fillId="18" borderId="1" xfId="0" applyFont="1" applyFill="1" applyBorder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BP62"/>
  <sheetViews>
    <sheetView tabSelected="1" topLeftCell="A31" zoomScale="70" zoomScaleNormal="70" workbookViewId="0">
      <selection activeCell="C39" sqref="C39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4" width="8.796875" style="1"/>
    <col min="65" max="68" width="10.3984375" style="1" customWidth="1"/>
    <col min="69" max="16384" width="8.796875" style="1"/>
  </cols>
  <sheetData>
    <row r="1" spans="1:68">
      <c r="BL1" s="222" t="s">
        <v>291</v>
      </c>
      <c r="BM1" s="222" t="str" cm="1">
        <f t="array" ref="BM1:BP1">TRANSPOSE(A3:A6)</f>
        <v>拼音字母</v>
      </c>
      <c r="BN1" s="222" t="str">
        <v>字典編碼</v>
      </c>
      <c r="BO1" s="222" t="str">
        <v>按鍵</v>
      </c>
      <c r="BP1" s="222" t="str">
        <v>注音符號</v>
      </c>
    </row>
    <row r="2" spans="1:68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21" cm="1">
        <f t="array" ref="BL2:BP61" xml:space="preserve"> TRANSPOSE(C2:BJ6)</f>
        <v>1</v>
      </c>
      <c r="BM2" s="221" t="str">
        <v>b</v>
      </c>
      <c r="BN2" s="221" t="str">
        <v>b</v>
      </c>
      <c r="BO2" s="221" t="str">
        <v>!</v>
      </c>
      <c r="BP2" s="221" t="str">
        <v>ㆠ</v>
      </c>
    </row>
    <row r="3" spans="1:68">
      <c r="A3" s="1" t="s">
        <v>246</v>
      </c>
      <c r="C3" s="217" t="s">
        <v>248</v>
      </c>
      <c r="D3" s="217" t="s">
        <v>247</v>
      </c>
      <c r="E3" s="217" t="s">
        <v>249</v>
      </c>
      <c r="F3" s="217" t="s">
        <v>250</v>
      </c>
      <c r="G3" s="217" t="s">
        <v>251</v>
      </c>
      <c r="H3" s="217" t="s">
        <v>96</v>
      </c>
      <c r="I3" s="217" t="s">
        <v>252</v>
      </c>
      <c r="J3" s="217" t="s">
        <v>253</v>
      </c>
      <c r="K3" s="217" t="s">
        <v>81</v>
      </c>
      <c r="L3" s="217" t="s">
        <v>284</v>
      </c>
      <c r="M3" s="217" t="s">
        <v>285</v>
      </c>
      <c r="N3" s="217" t="s">
        <v>254</v>
      </c>
      <c r="O3" s="217" t="s">
        <v>255</v>
      </c>
      <c r="P3" s="217" t="s">
        <v>292</v>
      </c>
      <c r="Q3" s="217" t="s">
        <v>293</v>
      </c>
      <c r="R3" s="217" t="s">
        <v>256</v>
      </c>
      <c r="S3" s="217" t="s">
        <v>257</v>
      </c>
      <c r="T3" s="217" t="s">
        <v>258</v>
      </c>
      <c r="U3" s="217" t="s">
        <v>259</v>
      </c>
      <c r="V3" s="217" t="s">
        <v>260</v>
      </c>
      <c r="W3" s="217" t="s">
        <v>261</v>
      </c>
      <c r="X3" s="217" t="s">
        <v>262</v>
      </c>
      <c r="Y3" s="217" t="s">
        <v>263</v>
      </c>
      <c r="Z3" s="217" t="s">
        <v>264</v>
      </c>
      <c r="AA3" s="217" t="s">
        <v>265</v>
      </c>
      <c r="AB3" s="217" t="s">
        <v>266</v>
      </c>
      <c r="AC3" s="217" t="s">
        <v>267</v>
      </c>
      <c r="AD3" s="217" t="s">
        <v>268</v>
      </c>
      <c r="AE3" s="218" t="s">
        <v>269</v>
      </c>
      <c r="AF3" s="218" t="s">
        <v>111</v>
      </c>
      <c r="AG3" s="218" t="s">
        <v>270</v>
      </c>
      <c r="AH3" s="219" t="s">
        <v>271</v>
      </c>
      <c r="AI3" s="219" t="s">
        <v>272</v>
      </c>
      <c r="AJ3" s="219" t="s">
        <v>273</v>
      </c>
      <c r="AK3" s="219" t="s">
        <v>274</v>
      </c>
      <c r="AL3" s="217" t="s">
        <v>275</v>
      </c>
      <c r="AM3" s="217" t="s">
        <v>276</v>
      </c>
      <c r="AN3" s="217" t="s">
        <v>277</v>
      </c>
      <c r="AO3" s="217" t="s">
        <v>278</v>
      </c>
      <c r="AP3" s="217" t="s">
        <v>279</v>
      </c>
      <c r="AQ3" s="217" t="s">
        <v>280</v>
      </c>
      <c r="AR3" s="217" t="s">
        <v>281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21">
        <v>2</v>
      </c>
      <c r="BM3" s="221" t="str">
        <v>p</v>
      </c>
      <c r="BN3" s="221" t="str">
        <v>p</v>
      </c>
      <c r="BO3" s="221" t="str">
        <v>1</v>
      </c>
      <c r="BP3" s="221" t="str">
        <v>ㄅ</v>
      </c>
    </row>
    <row r="4" spans="1:68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284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>
        <v>0</v>
      </c>
      <c r="BH4" s="5" t="s">
        <v>120</v>
      </c>
      <c r="BI4" s="5" t="s">
        <v>226</v>
      </c>
      <c r="BJ4" s="5"/>
      <c r="BL4" s="221">
        <v>3</v>
      </c>
      <c r="BM4" s="221" t="str">
        <v>ph</v>
      </c>
      <c r="BN4" s="223" t="str">
        <v>P</v>
      </c>
      <c r="BO4" s="221" t="str">
        <v>q</v>
      </c>
      <c r="BP4" s="221" t="str">
        <v>ㄆ</v>
      </c>
    </row>
    <row r="5" spans="1:68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294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21">
        <v>4</v>
      </c>
      <c r="BM5" s="221" t="str">
        <v>m</v>
      </c>
      <c r="BN5" s="221" t="str">
        <v>m</v>
      </c>
      <c r="BO5" s="221" t="str">
        <v>a</v>
      </c>
      <c r="BP5" s="221" t="str">
        <v>ㄇ</v>
      </c>
    </row>
    <row r="6" spans="1:68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21">
        <v>5</v>
      </c>
      <c r="BM6" s="221" t="str">
        <v>n</v>
      </c>
      <c r="BN6" s="221" t="str">
        <v>n</v>
      </c>
      <c r="BO6" s="221" t="str">
        <v>s</v>
      </c>
      <c r="BP6" s="221" t="str">
        <v>ㄋ</v>
      </c>
    </row>
    <row r="7" spans="1:68"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L7" s="221">
        <v>6</v>
      </c>
      <c r="BM7" s="221" t="str">
        <v>t</v>
      </c>
      <c r="BN7" s="221" t="str">
        <v>t</v>
      </c>
      <c r="BO7" s="221" t="str">
        <v>2</v>
      </c>
      <c r="BP7" s="221" t="str">
        <v>ㄉ</v>
      </c>
    </row>
    <row r="8" spans="1:68">
      <c r="C8" s="258" t="str">
        <f xml:space="preserve"> _xlfn.CONCAT("""", C5:AY5, AZ5:BH5, """")</f>
        <v>"!1qas2wxEedGYyhncRrfv8uKj,ikmp/btgz9lM0;Oo*UJ&lt;I(L:5346][7N"</v>
      </c>
      <c r="D8" s="257"/>
      <c r="E8" s="257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L8" s="221">
        <v>7</v>
      </c>
      <c r="BM8" s="221" t="str">
        <v>th</v>
      </c>
      <c r="BN8" s="221" t="str">
        <v>T</v>
      </c>
      <c r="BO8" s="221" t="str">
        <v>w</v>
      </c>
      <c r="BP8" s="221" t="str">
        <v>ㄊ</v>
      </c>
    </row>
    <row r="9" spans="1:68">
      <c r="C9" s="1" t="str">
        <f xml:space="preserve"> _xlfn.CONCAT("""",C5:AY5, """")</f>
        <v>"!1qas2wxEedGYyhncRrfv8uKj,ikmp/btgz9lM0;Oo*UJ&lt;I(L"</v>
      </c>
      <c r="D9" s="257"/>
      <c r="E9" s="257"/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L9" s="221">
        <v>8</v>
      </c>
      <c r="BM9" s="221" t="str">
        <v>l</v>
      </c>
      <c r="BN9" s="221" t="str">
        <v>l</v>
      </c>
      <c r="BO9" s="221" t="str">
        <v>x</v>
      </c>
      <c r="BP9" s="221" t="str">
        <v>ㄌ</v>
      </c>
    </row>
    <row r="10" spans="1:68">
      <c r="AR10" s="220" t="s">
        <v>283</v>
      </c>
      <c r="AS10" s="1" t="s">
        <v>282</v>
      </c>
      <c r="AV10" s="1" t="str">
        <f xml:space="preserve"> _xlfn.UNICHAR(HEX2DEC(RIGHT("U+207F",4)))</f>
        <v>ⁿ</v>
      </c>
      <c r="BL10" s="221">
        <v>9</v>
      </c>
      <c r="BM10" s="221" t="str">
        <v>ㆣ</v>
      </c>
      <c r="BN10" s="221" t="str">
        <v>g</v>
      </c>
      <c r="BO10" s="221" t="str">
        <v>E</v>
      </c>
      <c r="BP10" s="221" t="str">
        <v>ㆣ</v>
      </c>
    </row>
    <row r="11" spans="1:68">
      <c r="A11" s="1" t="s">
        <v>0</v>
      </c>
      <c r="BL11" s="221">
        <v>10</v>
      </c>
      <c r="BM11" s="221" t="str">
        <v>k</v>
      </c>
      <c r="BN11" s="223" t="str">
        <v>k</v>
      </c>
      <c r="BO11" s="221" t="str">
        <v>e</v>
      </c>
      <c r="BP11" s="221" t="str">
        <v>ㄍ</v>
      </c>
    </row>
    <row r="12" spans="1:68" outlineLevel="1">
      <c r="B12" s="1" t="str">
        <f xml:space="preserve"> _xlfn.CONCAT("    - xlit|", C4:BH4, "|", C5:BH5, "|")</f>
        <v xml:space="preserve">    - xlit|bpPmntTlgkKŋjzcshJZCSaiwueOəMNGRFQVIUY@AWHdfqrvxy17325840L|!1qas2wxEedGYyhncRrfv8uKj,ikmp/btgz9lM0;Oo*UJ&lt;I(L:5346][7N|</v>
      </c>
      <c r="BL12" s="221">
        <v>11</v>
      </c>
      <c r="BM12" s="221" t="str">
        <v>kh</v>
      </c>
      <c r="BN12" s="221" t="str">
        <v>K</v>
      </c>
      <c r="BO12" s="221" t="str">
        <v>d</v>
      </c>
      <c r="BP12" s="221" t="str">
        <v>ㄎ</v>
      </c>
    </row>
    <row r="13" spans="1:68" outlineLevel="1">
      <c r="B13" s="2" t="s">
        <v>286</v>
      </c>
      <c r="BL13" s="221">
        <v>12</v>
      </c>
      <c r="BM13" s="221" t="str">
        <v>ng</v>
      </c>
      <c r="BN13" s="221" t="str">
        <v>ŋ</v>
      </c>
      <c r="BO13" s="221" t="str">
        <v>G</v>
      </c>
      <c r="BP13" s="221" t="str">
        <v>ㄫ</v>
      </c>
    </row>
    <row r="14" spans="1:68" outlineLevel="1">
      <c r="A14" s="1" t="s">
        <v>1</v>
      </c>
      <c r="B14" s="1">
        <f xml:space="preserve"> SEARCH("|", $B$12)</f>
        <v>11</v>
      </c>
      <c r="BL14" s="221">
        <v>13</v>
      </c>
      <c r="BM14" s="221" t="str">
        <v>j</v>
      </c>
      <c r="BN14" s="221" t="str">
        <v>j</v>
      </c>
      <c r="BO14" s="221" t="str">
        <v>Y</v>
      </c>
      <c r="BP14" s="221" t="str">
        <v>ㆡ</v>
      </c>
    </row>
    <row r="15" spans="1:68" outlineLevel="1">
      <c r="A15" s="1" t="s">
        <v>2</v>
      </c>
      <c r="B15" s="1">
        <f xml:space="preserve"> SEARCH("|", $B$12, B14+1)</f>
        <v>70</v>
      </c>
      <c r="BL15" s="221">
        <v>14</v>
      </c>
      <c r="BM15" s="221" t="str">
        <v>z(ts)</v>
      </c>
      <c r="BN15" s="223" t="str">
        <v>z</v>
      </c>
      <c r="BO15" s="221" t="str">
        <v>y</v>
      </c>
      <c r="BP15" s="221" t="str">
        <v>ㄗ</v>
      </c>
    </row>
    <row r="16" spans="1:68" outlineLevel="1">
      <c r="A16" s="1" t="s">
        <v>3</v>
      </c>
      <c r="B16" s="1">
        <f xml:space="preserve"> SEARCH("|", $B$12, B15+1)</f>
        <v>129</v>
      </c>
      <c r="BL16" s="221">
        <v>15</v>
      </c>
      <c r="BM16" s="221" t="str">
        <v>c(tsh)</v>
      </c>
      <c r="BN16" s="223" t="str">
        <v>c</v>
      </c>
      <c r="BO16" s="221" t="str">
        <v>h</v>
      </c>
      <c r="BP16" s="221" t="str">
        <v>ㄘ</v>
      </c>
    </row>
    <row r="17" spans="1:68" outlineLevel="1">
      <c r="BL17" s="221">
        <v>16</v>
      </c>
      <c r="BM17" s="221" t="str">
        <v>s</v>
      </c>
      <c r="BN17" s="223" t="str">
        <v>s</v>
      </c>
      <c r="BO17" s="221" t="str">
        <v>n</v>
      </c>
      <c r="BP17" s="221" t="str">
        <v>ㄙ</v>
      </c>
    </row>
    <row r="18" spans="1:68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bpPmntTlgkKŋjzcshJZCSaiwueOəMNGRFQVIUY@AWHdfqrvxy17325840L</v>
      </c>
      <c r="BL18" s="221">
        <v>17</v>
      </c>
      <c r="BM18" s="221" t="str">
        <v>h</v>
      </c>
      <c r="BN18" s="223" t="str">
        <v>h</v>
      </c>
      <c r="BO18" s="221" t="str">
        <v>c</v>
      </c>
      <c r="BP18" s="221" t="str">
        <v>ㄏ</v>
      </c>
    </row>
    <row r="19" spans="1:68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21">
        <v>18</v>
      </c>
      <c r="BM19" s="221" t="str">
        <v>j(i)</v>
      </c>
      <c r="BN19" s="223" t="str">
        <v>J</v>
      </c>
      <c r="BO19" s="221" t="str">
        <v>R</v>
      </c>
      <c r="BP19" s="221" t="str">
        <v>ㆢ</v>
      </c>
    </row>
    <row r="20" spans="1:68">
      <c r="BL20" s="221">
        <v>19</v>
      </c>
      <c r="BM20" s="221" t="str">
        <v>z(i)</v>
      </c>
      <c r="BN20" s="223" t="str">
        <v>Z</v>
      </c>
      <c r="BO20" s="221" t="str">
        <v>r</v>
      </c>
      <c r="BP20" s="221" t="str">
        <v>ㄐ</v>
      </c>
    </row>
    <row r="21" spans="1:68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21">
        <v>20</v>
      </c>
      <c r="BM21" s="221" t="str">
        <v>c(i)</v>
      </c>
      <c r="BN21" s="223" t="str">
        <v>C</v>
      </c>
      <c r="BO21" s="221" t="str">
        <v>f</v>
      </c>
      <c r="BP21" s="221" t="str">
        <v>ㄑ</v>
      </c>
    </row>
    <row r="22" spans="1:68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0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21">
        <v>21</v>
      </c>
      <c r="BM22" s="221" t="str">
        <v>s(i)</v>
      </c>
      <c r="BN22" s="223" t="str">
        <v>S</v>
      </c>
      <c r="BO22" s="221" t="str">
        <v>v</v>
      </c>
      <c r="BP22" s="221" t="str">
        <v>ㄒ</v>
      </c>
    </row>
    <row r="23" spans="1:68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21">
        <v>22</v>
      </c>
      <c r="BM23" s="221" t="str">
        <v>a</v>
      </c>
      <c r="BN23" s="223" t="str">
        <v>a</v>
      </c>
      <c r="BO23" s="221" t="str">
        <v>8</v>
      </c>
      <c r="BP23" s="221" t="str">
        <v>ㄚ</v>
      </c>
    </row>
    <row r="24" spans="1:68">
      <c r="BL24" s="221">
        <v>23</v>
      </c>
      <c r="BM24" s="221" t="str">
        <v>i</v>
      </c>
      <c r="BN24" s="223" t="str">
        <v>i</v>
      </c>
      <c r="BO24" s="221" t="str">
        <v>u</v>
      </c>
      <c r="BP24" s="221" t="str">
        <v>ㄧ</v>
      </c>
    </row>
    <row r="25" spans="1:68">
      <c r="BL25" s="221">
        <v>24</v>
      </c>
      <c r="BM25" s="221" t="str">
        <v>ir</v>
      </c>
      <c r="BN25" s="223" t="str">
        <v>w</v>
      </c>
      <c r="BO25" s="221" t="str">
        <v>K</v>
      </c>
      <c r="BP25" s="221" t="str">
        <v>ㆨ</v>
      </c>
    </row>
    <row r="26" spans="1:68">
      <c r="A26" s="1" t="s">
        <v>6</v>
      </c>
      <c r="BL26" s="221">
        <v>25</v>
      </c>
      <c r="BM26" s="221" t="str">
        <v>u</v>
      </c>
      <c r="BN26" s="221" t="str">
        <v>u</v>
      </c>
      <c r="BO26" s="221" t="str">
        <v>j</v>
      </c>
      <c r="BP26" s="221" t="str">
        <v>ㄨ</v>
      </c>
    </row>
    <row r="27" spans="1:68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21">
        <v>26</v>
      </c>
      <c r="BM27" s="221" t="str">
        <v>e</v>
      </c>
      <c r="BN27" s="221" t="str">
        <v>e</v>
      </c>
      <c r="BO27" s="221" t="str">
        <v>,</v>
      </c>
      <c r="BP27" s="221" t="str">
        <v>ㆤ</v>
      </c>
    </row>
    <row r="28" spans="1:68" outlineLevel="1">
      <c r="BL28" s="221">
        <v>27</v>
      </c>
      <c r="BM28" s="221" t="str">
        <v>oo</v>
      </c>
      <c r="BN28" s="221" t="str">
        <v>O</v>
      </c>
      <c r="BO28" s="221" t="str">
        <v>i</v>
      </c>
      <c r="BP28" s="221" t="str">
        <v>ㆦ</v>
      </c>
    </row>
    <row r="29" spans="1:68" outlineLevel="1">
      <c r="A29" s="1" t="s">
        <v>1</v>
      </c>
      <c r="B29" s="1">
        <f xml:space="preserve"> SEARCH("|", $B$27)</f>
        <v>11</v>
      </c>
      <c r="BL29" s="221">
        <v>28</v>
      </c>
      <c r="BM29" s="221" t="str">
        <v>o</v>
      </c>
      <c r="BN29" s="221" t="str">
        <v>ə</v>
      </c>
      <c r="BO29" s="221" t="str">
        <v>k</v>
      </c>
      <c r="BP29" s="221" t="str">
        <v>ㄜ</v>
      </c>
    </row>
    <row r="30" spans="1:68" outlineLevel="1">
      <c r="A30" s="1" t="s">
        <v>2</v>
      </c>
      <c r="B30" s="1">
        <f xml:space="preserve"> SEARCH("|", $B$27, B29+1)</f>
        <v>70</v>
      </c>
      <c r="BL30" s="221">
        <v>29</v>
      </c>
      <c r="BM30" s="221" t="str">
        <v>-m</v>
      </c>
      <c r="BN30" s="221" t="str">
        <v>M</v>
      </c>
      <c r="BO30" s="221" t="str">
        <v>m</v>
      </c>
      <c r="BP30" s="221" t="str">
        <v>ㆬ</v>
      </c>
    </row>
    <row r="31" spans="1:68" outlineLevel="1">
      <c r="A31" s="1" t="s">
        <v>3</v>
      </c>
      <c r="B31" s="1">
        <f xml:space="preserve"> SEARCH("|", $B$27, B30+1)</f>
        <v>129</v>
      </c>
      <c r="BL31" s="221">
        <v>30</v>
      </c>
      <c r="BM31" s="221" t="str">
        <v>-n</v>
      </c>
      <c r="BN31" s="221" t="str">
        <v>N</v>
      </c>
      <c r="BO31" s="221" t="str">
        <v>p</v>
      </c>
      <c r="BP31" s="221" t="str">
        <v>ㄣ</v>
      </c>
    </row>
    <row r="32" spans="1:68" outlineLevel="1">
      <c r="BL32" s="221">
        <v>31</v>
      </c>
      <c r="BM32" s="221" t="str">
        <v>-ng</v>
      </c>
      <c r="BN32" s="221" t="str">
        <v>G</v>
      </c>
      <c r="BO32" s="221" t="str">
        <v>/</v>
      </c>
      <c r="BP32" s="221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21">
        <v>32</v>
      </c>
      <c r="BM33" s="221" t="str">
        <v>-p</v>
      </c>
      <c r="BN33" s="221" t="str">
        <v>R</v>
      </c>
      <c r="BO33" s="221" t="str">
        <v>b</v>
      </c>
      <c r="BP33" s="221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21">
        <v>33</v>
      </c>
      <c r="BM34" s="221" t="str">
        <v>-t</v>
      </c>
      <c r="BN34" s="221" t="str">
        <v>F</v>
      </c>
      <c r="BO34" s="221" t="str">
        <v>t</v>
      </c>
      <c r="BP34" s="221" t="str">
        <v>ㆵ</v>
      </c>
    </row>
    <row r="35" spans="1:68">
      <c r="BL35" s="221">
        <v>34</v>
      </c>
      <c r="BM35" s="221" t="str">
        <v>-k</v>
      </c>
      <c r="BN35" s="221" t="str">
        <v>Q</v>
      </c>
      <c r="BO35" s="221" t="str">
        <v>g</v>
      </c>
      <c r="BP35" s="221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21">
        <v>35</v>
      </c>
      <c r="BM36" s="221" t="str">
        <v>-h</v>
      </c>
      <c r="BN36" s="221" t="str">
        <v>V</v>
      </c>
      <c r="BO36" s="221" t="str">
        <v>z</v>
      </c>
      <c r="BP36" s="221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0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21">
        <v>36</v>
      </c>
      <c r="BM37" s="221" t="str">
        <v>ai</v>
      </c>
      <c r="BN37" s="221" t="str">
        <v>I</v>
      </c>
      <c r="BO37" s="221" t="str">
        <v>9</v>
      </c>
      <c r="BP37" s="221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21">
        <v>37</v>
      </c>
      <c r="BM38" s="221" t="str">
        <v>au</v>
      </c>
      <c r="BN38" s="221" t="str">
        <v>U</v>
      </c>
      <c r="BO38" s="221" t="str">
        <v>l</v>
      </c>
      <c r="BP38" s="221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21">
        <v>38</v>
      </c>
      <c r="BM39" s="221" t="str">
        <v>am</v>
      </c>
      <c r="BN39" s="221" t="str">
        <v>Y</v>
      </c>
      <c r="BO39" s="221" t="str">
        <v>M</v>
      </c>
      <c r="BP39" s="221" t="str">
        <v>ㆰ</v>
      </c>
    </row>
    <row r="40" spans="1:68">
      <c r="BL40" s="221">
        <v>39</v>
      </c>
      <c r="BM40" s="221" t="str">
        <v>an</v>
      </c>
      <c r="BN40" s="223" t="str">
        <v>@</v>
      </c>
      <c r="BO40" s="221" t="str">
        <v>0</v>
      </c>
      <c r="BP40" s="221" t="str">
        <v>ㄢ</v>
      </c>
    </row>
    <row r="41" spans="1:68">
      <c r="BL41" s="221">
        <v>40</v>
      </c>
      <c r="BM41" s="221" t="str">
        <v>ang</v>
      </c>
      <c r="BN41" s="223" t="str">
        <v>A</v>
      </c>
      <c r="BO41" s="221" t="str">
        <v>;</v>
      </c>
      <c r="BP41" s="221" t="str">
        <v>ㄤ</v>
      </c>
    </row>
    <row r="42" spans="1:68">
      <c r="BL42" s="221">
        <v>41</v>
      </c>
      <c r="BM42" s="221" t="str">
        <v>om</v>
      </c>
      <c r="BN42" s="223" t="str">
        <v>W</v>
      </c>
      <c r="BO42" s="221" t="str">
        <v>O</v>
      </c>
      <c r="BP42" s="221" t="str">
        <v>ㆱ</v>
      </c>
    </row>
    <row r="43" spans="1:68">
      <c r="BL43" s="221">
        <v>42</v>
      </c>
      <c r="BM43" s="221" t="str">
        <v>ong</v>
      </c>
      <c r="BN43" s="223" t="str">
        <v>H</v>
      </c>
      <c r="BO43" s="221" t="str">
        <v>o</v>
      </c>
      <c r="BP43" s="221" t="str">
        <v>ㆲ</v>
      </c>
    </row>
    <row r="44" spans="1:68">
      <c r="BL44" s="221">
        <v>43</v>
      </c>
      <c r="BM44" s="221" t="str">
        <v>aⁿ</v>
      </c>
      <c r="BN44" s="223" t="str">
        <v>d</v>
      </c>
      <c r="BO44" s="221" t="str">
        <v>*</v>
      </c>
      <c r="BP44" s="221" t="str">
        <v>ㆩ</v>
      </c>
    </row>
    <row r="45" spans="1:68">
      <c r="BL45" s="221">
        <v>44</v>
      </c>
      <c r="BM45" s="221" t="str">
        <v>iⁿ</v>
      </c>
      <c r="BN45" s="223" t="str">
        <v>f</v>
      </c>
      <c r="BO45" s="221" t="str">
        <v>U</v>
      </c>
      <c r="BP45" s="221" t="str">
        <v>ㆪ</v>
      </c>
    </row>
    <row r="46" spans="1:68">
      <c r="BL46" s="221">
        <v>45</v>
      </c>
      <c r="BM46" s="221" t="str">
        <v>uⁿ</v>
      </c>
      <c r="BN46" s="223" t="str">
        <v>q</v>
      </c>
      <c r="BO46" s="221" t="str">
        <v>J</v>
      </c>
      <c r="BP46" s="221" t="str">
        <v>ㆫ</v>
      </c>
    </row>
    <row r="47" spans="1:68">
      <c r="BL47" s="221">
        <v>46</v>
      </c>
      <c r="BM47" s="221" t="str">
        <v>eⁿ</v>
      </c>
      <c r="BN47" s="223" t="str">
        <v>r</v>
      </c>
      <c r="BO47" s="221" t="str">
        <v>&lt;</v>
      </c>
      <c r="BP47" s="221" t="str">
        <v>ㆥ</v>
      </c>
    </row>
    <row r="48" spans="1:68">
      <c r="BL48" s="221">
        <v>47</v>
      </c>
      <c r="BM48" s="221" t="str">
        <v>oⁿ</v>
      </c>
      <c r="BN48" s="223" t="str">
        <v>v</v>
      </c>
      <c r="BO48" s="221" t="str">
        <v>I</v>
      </c>
      <c r="BP48" s="221" t="str">
        <v>ㆧ</v>
      </c>
    </row>
    <row r="49" spans="64:68">
      <c r="BL49" s="221">
        <v>48</v>
      </c>
      <c r="BM49" s="221" t="str">
        <v>aiⁿ</v>
      </c>
      <c r="BN49" s="223" t="str">
        <v>x</v>
      </c>
      <c r="BO49" s="221" t="str">
        <v>(</v>
      </c>
      <c r="BP49" s="221" t="str">
        <v>ㆮ</v>
      </c>
    </row>
    <row r="50" spans="64:68">
      <c r="BL50" s="221">
        <v>49</v>
      </c>
      <c r="BM50" s="221" t="str">
        <v>auⁿ</v>
      </c>
      <c r="BN50" s="223" t="str">
        <v>y</v>
      </c>
      <c r="BO50" s="221" t="str">
        <v>L</v>
      </c>
      <c r="BP50" s="221" t="str">
        <v>ㆯ</v>
      </c>
    </row>
    <row r="51" spans="64:68">
      <c r="BL51" s="221">
        <v>50</v>
      </c>
      <c r="BM51" s="221">
        <v>1</v>
      </c>
      <c r="BN51" s="223">
        <v>1</v>
      </c>
      <c r="BO51" s="221" t="str">
        <v>:</v>
      </c>
      <c r="BP51" s="221" t="str">
        <v>一</v>
      </c>
    </row>
    <row r="52" spans="64:68">
      <c r="BL52" s="221">
        <v>51</v>
      </c>
      <c r="BM52" s="221">
        <v>7</v>
      </c>
      <c r="BN52" s="223">
        <v>7</v>
      </c>
      <c r="BO52" s="221">
        <v>5</v>
      </c>
      <c r="BP52" s="221" t="str">
        <v>七</v>
      </c>
    </row>
    <row r="53" spans="64:68">
      <c r="BL53" s="221">
        <v>52</v>
      </c>
      <c r="BM53" s="221">
        <v>3</v>
      </c>
      <c r="BN53" s="223">
        <v>3</v>
      </c>
      <c r="BO53" s="221">
        <v>3</v>
      </c>
      <c r="BP53" s="221" t="str">
        <v>三</v>
      </c>
    </row>
    <row r="54" spans="64:68">
      <c r="BL54" s="221">
        <v>53</v>
      </c>
      <c r="BM54" s="221">
        <v>2</v>
      </c>
      <c r="BN54" s="221">
        <v>2</v>
      </c>
      <c r="BO54" s="221">
        <v>4</v>
      </c>
      <c r="BP54" s="221" t="str">
        <v>二</v>
      </c>
    </row>
    <row r="55" spans="64:68">
      <c r="BL55" s="221">
        <v>54</v>
      </c>
      <c r="BM55" s="221">
        <v>5</v>
      </c>
      <c r="BN55" s="221">
        <v>5</v>
      </c>
      <c r="BO55" s="221">
        <v>6</v>
      </c>
      <c r="BP55" s="221" t="str">
        <v>五</v>
      </c>
    </row>
    <row r="56" spans="64:68">
      <c r="BL56" s="221">
        <v>55</v>
      </c>
      <c r="BM56" s="221">
        <v>8</v>
      </c>
      <c r="BN56" s="221">
        <v>8</v>
      </c>
      <c r="BO56" s="221" t="str">
        <v>]</v>
      </c>
      <c r="BP56" s="221" t="str">
        <v>八</v>
      </c>
    </row>
    <row r="57" spans="64:68">
      <c r="BL57" s="221">
        <v>56</v>
      </c>
      <c r="BM57" s="221">
        <v>4</v>
      </c>
      <c r="BN57" s="221">
        <v>4</v>
      </c>
      <c r="BO57" s="221" t="str">
        <v>[</v>
      </c>
      <c r="BP57" s="221" t="str">
        <v>四</v>
      </c>
    </row>
    <row r="58" spans="64:68">
      <c r="BL58" s="221">
        <v>57</v>
      </c>
      <c r="BM58" s="221">
        <v>0</v>
      </c>
      <c r="BN58" s="221">
        <v>0</v>
      </c>
      <c r="BO58" s="221">
        <v>7</v>
      </c>
      <c r="BP58" s="221" t="str">
        <v>入</v>
      </c>
    </row>
    <row r="59" spans="64:68">
      <c r="BL59" s="221">
        <v>58</v>
      </c>
      <c r="BM59" s="221" t="str">
        <v>L</v>
      </c>
      <c r="BN59" s="221" t="str">
        <v>L</v>
      </c>
      <c r="BO59" s="221" t="str">
        <v>N</v>
      </c>
      <c r="BP59" s="221" t="str">
        <v>ㄥ</v>
      </c>
    </row>
    <row r="60" spans="64:68">
      <c r="BL60" s="221">
        <v>59</v>
      </c>
      <c r="BM60" s="221" t="str">
        <v/>
      </c>
      <c r="BN60" s="221" t="str">
        <v/>
      </c>
      <c r="BO60" s="221" t="str">
        <v/>
      </c>
      <c r="BP60" s="221" t="str">
        <v/>
      </c>
    </row>
    <row r="61" spans="64:68">
      <c r="BL61" s="221">
        <v>60</v>
      </c>
      <c r="BM61" s="221">
        <v>0</v>
      </c>
      <c r="BN61" s="221">
        <v>0</v>
      </c>
      <c r="BO61" s="221">
        <v>0</v>
      </c>
      <c r="BP61" s="221">
        <v>0</v>
      </c>
    </row>
    <row r="62" spans="64:68">
      <c r="BL62" s="221"/>
      <c r="BM62" s="221"/>
      <c r="BN62" s="221"/>
      <c r="BO62" s="221"/>
      <c r="BP62" s="221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.75"/>
  <cols>
    <col min="15" max="16" width="8.796875" style="239"/>
    <col min="17" max="18" width="15" style="239" customWidth="1"/>
    <col min="19" max="19" width="47.296875" style="239" customWidth="1"/>
    <col min="20" max="25" width="8.796875" style="239"/>
  </cols>
  <sheetData>
    <row r="1" spans="2:19" ht="22.5" thickBot="1"/>
    <row r="2" spans="2:19" ht="24" thickBot="1">
      <c r="B2" s="248" t="s">
        <v>333</v>
      </c>
      <c r="C2" s="250" t="s">
        <v>334</v>
      </c>
      <c r="D2" s="251"/>
      <c r="E2" s="254" t="s">
        <v>335</v>
      </c>
      <c r="F2" s="255"/>
      <c r="G2" s="256"/>
      <c r="H2" s="254" t="s">
        <v>336</v>
      </c>
      <c r="I2" s="255"/>
      <c r="J2" s="255"/>
      <c r="K2" s="255"/>
      <c r="L2" s="256"/>
      <c r="O2" s="239" t="s">
        <v>485</v>
      </c>
      <c r="P2" s="239" t="s">
        <v>486</v>
      </c>
      <c r="Q2" s="242">
        <v>0</v>
      </c>
      <c r="R2" s="242" t="s">
        <v>487</v>
      </c>
    </row>
    <row r="3" spans="2:19" ht="24" thickBot="1">
      <c r="B3" s="249"/>
      <c r="C3" s="252"/>
      <c r="D3" s="253"/>
      <c r="E3" s="237" t="s">
        <v>337</v>
      </c>
      <c r="F3" s="237" t="s">
        <v>338</v>
      </c>
      <c r="G3" s="237" t="s">
        <v>339</v>
      </c>
      <c r="H3" s="237" t="s">
        <v>340</v>
      </c>
      <c r="I3" s="237" t="s">
        <v>341</v>
      </c>
      <c r="J3" s="237" t="s">
        <v>342</v>
      </c>
      <c r="K3" s="254" t="s">
        <v>343</v>
      </c>
      <c r="L3" s="256"/>
      <c r="O3" s="239" t="s">
        <v>279</v>
      </c>
      <c r="P3" s="239" t="s">
        <v>455</v>
      </c>
      <c r="Q3" s="239" t="str">
        <f t="shared" ref="Q3:Q19" si="0">_xlfn.CONCAT(O3,$Q$2)</f>
        <v>ang0</v>
      </c>
      <c r="R3" s="239" t="str">
        <f t="shared" ref="R3:R19" si="1" xml:space="preserve"> _xlfn.CONCAT(P3,$R$2)</f>
        <v>ak[48]</v>
      </c>
      <c r="S3" s="239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7" t="s">
        <v>344</v>
      </c>
      <c r="C4" s="238" t="s">
        <v>58</v>
      </c>
      <c r="D4" s="238" t="s">
        <v>40</v>
      </c>
      <c r="E4" s="238" t="s">
        <v>162</v>
      </c>
      <c r="F4" s="238" t="s">
        <v>62</v>
      </c>
      <c r="G4" s="238" t="s">
        <v>148</v>
      </c>
      <c r="H4" s="238" t="s">
        <v>345</v>
      </c>
      <c r="I4" s="238" t="s">
        <v>346</v>
      </c>
      <c r="J4" s="238" t="s">
        <v>347</v>
      </c>
      <c r="K4" s="238" t="s">
        <v>348</v>
      </c>
      <c r="L4" s="238" t="s">
        <v>349</v>
      </c>
      <c r="O4" s="239" t="s">
        <v>278</v>
      </c>
      <c r="P4" s="239" t="s">
        <v>456</v>
      </c>
      <c r="Q4" s="239" t="str">
        <f t="shared" si="0"/>
        <v>an0</v>
      </c>
      <c r="R4" s="239" t="str">
        <f t="shared" si="1"/>
        <v>at[48]</v>
      </c>
      <c r="S4" s="239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7" t="s">
        <v>350</v>
      </c>
      <c r="C5" s="238" t="s">
        <v>60</v>
      </c>
      <c r="D5" s="238" t="s">
        <v>42</v>
      </c>
      <c r="E5" s="238"/>
      <c r="F5" s="238"/>
      <c r="G5" s="238"/>
      <c r="H5" s="238"/>
      <c r="I5" s="238"/>
      <c r="J5" s="238"/>
      <c r="K5" s="238" t="s">
        <v>351</v>
      </c>
      <c r="L5" s="238" t="s">
        <v>352</v>
      </c>
      <c r="O5" s="239" t="s">
        <v>277</v>
      </c>
      <c r="P5" s="239" t="s">
        <v>454</v>
      </c>
      <c r="Q5" s="239" t="str">
        <f t="shared" si="0"/>
        <v>am0</v>
      </c>
      <c r="R5" s="239" t="str">
        <f t="shared" si="1"/>
        <v>ap[48]</v>
      </c>
      <c r="S5" s="239" t="str">
        <f t="shared" si="2"/>
        <v xml:space="preserve">    - derive/am0/ap[48]/    # ap[48]入 = ap[48]</v>
      </c>
    </row>
    <row r="6" spans="2:19" ht="24" thickBot="1">
      <c r="B6" s="237" t="s">
        <v>353</v>
      </c>
      <c r="C6" s="238" t="s">
        <v>146</v>
      </c>
      <c r="D6" s="238"/>
      <c r="E6" s="238"/>
      <c r="F6" s="238"/>
      <c r="G6" s="238"/>
      <c r="H6" s="238"/>
      <c r="I6" s="238"/>
      <c r="J6" s="238"/>
      <c r="K6" s="238" t="s">
        <v>354</v>
      </c>
      <c r="L6" s="238" t="s">
        <v>355</v>
      </c>
      <c r="O6" s="239" t="s">
        <v>462</v>
      </c>
      <c r="P6" s="239" t="s">
        <v>459</v>
      </c>
      <c r="Q6" s="239" t="str">
        <f t="shared" si="0"/>
        <v>ing0</v>
      </c>
      <c r="R6" s="239" t="str">
        <f t="shared" si="1"/>
        <v>ik[48]</v>
      </c>
      <c r="S6" s="239" t="str">
        <f t="shared" si="2"/>
        <v xml:space="preserve">    - derive/ing0/ik[48]/    # ik[48]入 = ik[48]</v>
      </c>
    </row>
    <row r="7" spans="2:19" ht="24" thickBot="1">
      <c r="B7" s="237" t="s">
        <v>356</v>
      </c>
      <c r="C7" s="238" t="s">
        <v>357</v>
      </c>
      <c r="D7" s="238"/>
      <c r="E7" s="238"/>
      <c r="F7" s="238"/>
      <c r="G7" s="238" t="s">
        <v>358</v>
      </c>
      <c r="H7" s="238"/>
      <c r="I7" s="238"/>
      <c r="J7" s="238" t="s">
        <v>359</v>
      </c>
      <c r="K7" s="238" t="s">
        <v>360</v>
      </c>
      <c r="L7" s="238"/>
      <c r="O7" s="239" t="s">
        <v>462</v>
      </c>
      <c r="P7" s="239" t="s">
        <v>460</v>
      </c>
      <c r="Q7" s="239" t="str">
        <f t="shared" si="0"/>
        <v>ing0</v>
      </c>
      <c r="R7" s="239" t="str">
        <f t="shared" si="1"/>
        <v>it[48]</v>
      </c>
      <c r="S7" s="239" t="str">
        <f t="shared" si="2"/>
        <v xml:space="preserve">    - derive/ing0/it[48]/    # it[48]入 = it[48]</v>
      </c>
    </row>
    <row r="8" spans="2:19" ht="24" thickBot="1">
      <c r="B8" s="237" t="s">
        <v>361</v>
      </c>
      <c r="C8" s="238" t="s">
        <v>183</v>
      </c>
      <c r="D8" s="238" t="s">
        <v>164</v>
      </c>
      <c r="E8" s="238"/>
      <c r="F8" s="238"/>
      <c r="G8" s="238"/>
      <c r="H8" s="238"/>
      <c r="I8" s="238"/>
      <c r="J8" s="238"/>
      <c r="K8" s="238" t="s">
        <v>362</v>
      </c>
      <c r="L8" s="238" t="s">
        <v>363</v>
      </c>
      <c r="O8" s="239" t="s">
        <v>463</v>
      </c>
      <c r="P8" s="239" t="s">
        <v>461</v>
      </c>
      <c r="Q8" s="239" t="str">
        <f t="shared" si="0"/>
        <v>im0</v>
      </c>
      <c r="R8" s="239" t="str">
        <f t="shared" si="1"/>
        <v>ip[48]</v>
      </c>
      <c r="S8" s="239" t="str">
        <f t="shared" si="2"/>
        <v xml:space="preserve">    - derive/im0/ip[48]/    # ip[48]入 = ip[48]</v>
      </c>
    </row>
    <row r="9" spans="2:19" ht="24" thickBot="1">
      <c r="B9" s="237" t="s">
        <v>364</v>
      </c>
      <c r="C9" s="238" t="s">
        <v>105</v>
      </c>
      <c r="D9" s="238" t="s">
        <v>88</v>
      </c>
      <c r="E9" s="238" t="s">
        <v>365</v>
      </c>
      <c r="F9" s="238" t="s">
        <v>366</v>
      </c>
      <c r="G9" s="238" t="s">
        <v>367</v>
      </c>
      <c r="H9" s="238" t="s">
        <v>368</v>
      </c>
      <c r="I9" s="238" t="s">
        <v>369</v>
      </c>
      <c r="J9" s="238" t="s">
        <v>370</v>
      </c>
      <c r="K9" s="238" t="s">
        <v>371</v>
      </c>
      <c r="L9" s="238" t="s">
        <v>372</v>
      </c>
      <c r="O9" s="239" t="s">
        <v>465</v>
      </c>
      <c r="P9" s="239" t="s">
        <v>464</v>
      </c>
      <c r="Q9" s="239" t="str">
        <f t="shared" si="0"/>
        <v>iang0</v>
      </c>
      <c r="R9" s="239" t="str">
        <f t="shared" si="1"/>
        <v>iak[48]</v>
      </c>
      <c r="S9" s="239" t="str">
        <f t="shared" si="2"/>
        <v xml:space="preserve">    - derive/iang0/iak[48]/    # iak[48]入 = iak[48]</v>
      </c>
    </row>
    <row r="10" spans="2:19" ht="24" thickBot="1">
      <c r="B10" s="237" t="s">
        <v>373</v>
      </c>
      <c r="C10" s="238" t="s">
        <v>374</v>
      </c>
      <c r="D10" s="238" t="s">
        <v>375</v>
      </c>
      <c r="E10" s="238" t="s">
        <v>376</v>
      </c>
      <c r="F10" s="238" t="s">
        <v>377</v>
      </c>
      <c r="G10" s="238" t="s">
        <v>378</v>
      </c>
      <c r="H10" s="238" t="s">
        <v>379</v>
      </c>
      <c r="I10" s="238" t="s">
        <v>380</v>
      </c>
      <c r="J10" s="238" t="s">
        <v>381</v>
      </c>
      <c r="K10" s="238" t="s">
        <v>382</v>
      </c>
      <c r="L10" s="238" t="s">
        <v>383</v>
      </c>
      <c r="O10" s="239" t="s">
        <v>468</v>
      </c>
      <c r="P10" s="239" t="s">
        <v>466</v>
      </c>
      <c r="Q10" s="239" t="str">
        <f t="shared" si="0"/>
        <v>ian0</v>
      </c>
      <c r="R10" s="239" t="str">
        <f t="shared" si="1"/>
        <v>iat[48]</v>
      </c>
      <c r="S10" s="239" t="str">
        <f t="shared" si="2"/>
        <v xml:space="preserve">    - derive/ian0/iat[48]/    # iat[48]入 = iat[48]</v>
      </c>
    </row>
    <row r="11" spans="2:19" ht="24" thickBot="1">
      <c r="B11" s="237" t="s">
        <v>384</v>
      </c>
      <c r="C11" s="238" t="s">
        <v>385</v>
      </c>
      <c r="D11" s="238" t="s">
        <v>386</v>
      </c>
      <c r="E11" s="238"/>
      <c r="F11" s="238"/>
      <c r="G11" s="238"/>
      <c r="H11" s="238"/>
      <c r="I11" s="238"/>
      <c r="J11" s="238"/>
      <c r="K11" s="238" t="s">
        <v>387</v>
      </c>
      <c r="L11" s="238"/>
      <c r="O11" s="239" t="s">
        <v>469</v>
      </c>
      <c r="P11" s="239" t="s">
        <v>467</v>
      </c>
      <c r="Q11" s="239" t="str">
        <f t="shared" si="0"/>
        <v>iam0</v>
      </c>
      <c r="R11" s="239" t="str">
        <f t="shared" si="1"/>
        <v>iap[48]</v>
      </c>
      <c r="S11" s="239" t="str">
        <f t="shared" si="2"/>
        <v xml:space="preserve">    - derive/iam0/iap[48]/    # iap[48]入 = iap[48]</v>
      </c>
    </row>
    <row r="12" spans="2:19" ht="24" thickBot="1">
      <c r="B12" s="237" t="s">
        <v>388</v>
      </c>
      <c r="C12" s="238" t="s">
        <v>389</v>
      </c>
      <c r="D12" s="238"/>
      <c r="E12" s="238"/>
      <c r="F12" s="238"/>
      <c r="G12" s="238"/>
      <c r="H12" s="238"/>
      <c r="I12" s="238"/>
      <c r="J12" s="238"/>
      <c r="K12" s="238" t="s">
        <v>390</v>
      </c>
      <c r="L12" s="238"/>
      <c r="O12" s="239" t="s">
        <v>471</v>
      </c>
      <c r="P12" s="239" t="s">
        <v>470</v>
      </c>
      <c r="Q12" s="239" t="str">
        <f t="shared" si="0"/>
        <v>iong0</v>
      </c>
      <c r="R12" s="239" t="str">
        <f t="shared" si="1"/>
        <v>iok[48]</v>
      </c>
      <c r="S12" s="239" t="str">
        <f t="shared" si="2"/>
        <v xml:space="preserve">    - derive/iong0/iok[48]/    # iok[48]入 = iok[48]</v>
      </c>
    </row>
    <row r="13" spans="2:19" ht="24" thickBot="1">
      <c r="B13" s="237" t="s">
        <v>391</v>
      </c>
      <c r="C13" s="238" t="s">
        <v>392</v>
      </c>
      <c r="D13" s="238" t="s">
        <v>393</v>
      </c>
      <c r="E13" s="238"/>
      <c r="F13" s="238"/>
      <c r="G13" s="238" t="s">
        <v>394</v>
      </c>
      <c r="H13" s="238"/>
      <c r="I13" s="238"/>
      <c r="J13" s="238" t="s">
        <v>395</v>
      </c>
      <c r="K13" s="238" t="s">
        <v>396</v>
      </c>
      <c r="L13" s="238"/>
      <c r="O13" s="239" t="s">
        <v>281</v>
      </c>
      <c r="P13" s="239" t="s">
        <v>472</v>
      </c>
      <c r="Q13" s="239" t="str">
        <f t="shared" si="0"/>
        <v>ong0</v>
      </c>
      <c r="R13" s="239" t="str">
        <f t="shared" si="1"/>
        <v>ok[48]</v>
      </c>
      <c r="S13" s="239" t="str">
        <f t="shared" si="2"/>
        <v xml:space="preserve">    - derive/ong0/ok[48]/    # ok[48]入 = ok[48]</v>
      </c>
    </row>
    <row r="14" spans="2:19" ht="24" thickBot="1">
      <c r="B14" s="237" t="s">
        <v>397</v>
      </c>
      <c r="C14" s="238" t="s">
        <v>398</v>
      </c>
      <c r="D14" s="238" t="s">
        <v>399</v>
      </c>
      <c r="E14" s="238"/>
      <c r="F14" s="238"/>
      <c r="G14" s="238"/>
      <c r="H14" s="238"/>
      <c r="I14" s="238"/>
      <c r="J14" s="238"/>
      <c r="K14" s="238" t="s">
        <v>400</v>
      </c>
      <c r="L14" s="238" t="s">
        <v>401</v>
      </c>
      <c r="O14" s="239" t="s">
        <v>280</v>
      </c>
      <c r="P14" s="239" t="s">
        <v>473</v>
      </c>
      <c r="Q14" s="239" t="str">
        <f t="shared" si="0"/>
        <v>om0</v>
      </c>
      <c r="R14" s="239" t="str">
        <f t="shared" si="1"/>
        <v>op[48]</v>
      </c>
      <c r="S14" s="239" t="str">
        <f t="shared" si="2"/>
        <v xml:space="preserve">    - derive/om0/op[48]/    # op[48]入 = op[48]</v>
      </c>
    </row>
    <row r="15" spans="2:19" ht="24" thickBot="1">
      <c r="B15" s="237" t="s">
        <v>402</v>
      </c>
      <c r="C15" s="238" t="s">
        <v>403</v>
      </c>
      <c r="D15" s="238"/>
      <c r="E15" s="238"/>
      <c r="F15" s="238"/>
      <c r="G15" s="238"/>
      <c r="H15" s="238"/>
      <c r="I15" s="238"/>
      <c r="J15" s="238"/>
      <c r="K15" s="238" t="s">
        <v>404</v>
      </c>
      <c r="L15" s="238"/>
      <c r="O15" s="239" t="s">
        <v>477</v>
      </c>
      <c r="P15" s="239" t="s">
        <v>474</v>
      </c>
      <c r="Q15" s="239" t="str">
        <f t="shared" si="0"/>
        <v>irng0</v>
      </c>
      <c r="R15" s="239" t="str">
        <f t="shared" si="1"/>
        <v>irk[48]</v>
      </c>
      <c r="S15" s="239" t="str">
        <f t="shared" si="2"/>
        <v xml:space="preserve">    - derive/irng0/irk[48]/    # irk[48]入 = irk[48]</v>
      </c>
    </row>
    <row r="16" spans="2:19" ht="24" thickBot="1">
      <c r="B16" s="237" t="s">
        <v>405</v>
      </c>
      <c r="C16" s="238" t="s">
        <v>194</v>
      </c>
      <c r="D16" s="238"/>
      <c r="E16" s="238"/>
      <c r="F16" s="238"/>
      <c r="G16" s="238"/>
      <c r="H16" s="238"/>
      <c r="I16" s="238"/>
      <c r="J16" s="238"/>
      <c r="K16" s="238" t="s">
        <v>406</v>
      </c>
      <c r="L16" s="238"/>
      <c r="O16" s="239" t="s">
        <v>477</v>
      </c>
      <c r="P16" s="239" t="s">
        <v>475</v>
      </c>
      <c r="Q16" s="239" t="str">
        <f t="shared" si="0"/>
        <v>irng0</v>
      </c>
      <c r="R16" s="239" t="str">
        <f t="shared" si="1"/>
        <v>irt[48]</v>
      </c>
      <c r="S16" s="239" t="str">
        <f t="shared" si="2"/>
        <v xml:space="preserve">    - derive/irng0/irt[48]/    # irt[48]入 = irt[48]</v>
      </c>
    </row>
    <row r="17" spans="2:20" ht="24" thickBot="1">
      <c r="B17" s="237" t="s">
        <v>407</v>
      </c>
      <c r="C17" s="238" t="s">
        <v>107</v>
      </c>
      <c r="D17" s="238" t="s">
        <v>408</v>
      </c>
      <c r="E17" s="238" t="s">
        <v>92</v>
      </c>
      <c r="F17" s="238"/>
      <c r="G17" s="238" t="s">
        <v>109</v>
      </c>
      <c r="H17" s="238" t="s">
        <v>409</v>
      </c>
      <c r="I17" s="238"/>
      <c r="J17" s="238" t="s">
        <v>410</v>
      </c>
      <c r="K17" s="238" t="s">
        <v>411</v>
      </c>
      <c r="L17" s="238" t="s">
        <v>412</v>
      </c>
      <c r="O17" s="239" t="s">
        <v>478</v>
      </c>
      <c r="P17" s="239" t="s">
        <v>476</v>
      </c>
      <c r="Q17" s="239" t="str">
        <f t="shared" si="0"/>
        <v>irm0</v>
      </c>
      <c r="R17" s="239" t="str">
        <f t="shared" si="1"/>
        <v>irp[48]</v>
      </c>
      <c r="S17" s="239" t="str">
        <f t="shared" si="2"/>
        <v xml:space="preserve">    - derive/irm0/irp[48]/    # irp[48]入 = irp[48]</v>
      </c>
    </row>
    <row r="18" spans="2:20" ht="24" thickBot="1">
      <c r="B18" s="237" t="s">
        <v>413</v>
      </c>
      <c r="C18" s="238" t="s">
        <v>126</v>
      </c>
      <c r="D18" s="238"/>
      <c r="E18" s="238" t="s">
        <v>414</v>
      </c>
      <c r="F18" s="238" t="s">
        <v>415</v>
      </c>
      <c r="G18" s="238" t="s">
        <v>416</v>
      </c>
      <c r="H18" s="238" t="s">
        <v>417</v>
      </c>
      <c r="I18" s="238" t="s">
        <v>418</v>
      </c>
      <c r="J18" s="238" t="s">
        <v>419</v>
      </c>
      <c r="K18" s="238" t="s">
        <v>420</v>
      </c>
      <c r="L18" s="238"/>
      <c r="O18" s="239" t="s">
        <v>480</v>
      </c>
      <c r="P18" s="239" t="s">
        <v>479</v>
      </c>
      <c r="Q18" s="239" t="str">
        <f t="shared" si="0"/>
        <v>un0</v>
      </c>
      <c r="R18" s="239" t="str">
        <f t="shared" si="1"/>
        <v>ut[48]</v>
      </c>
      <c r="S18" s="239" t="str">
        <f t="shared" si="2"/>
        <v xml:space="preserve">    - derive/un0/ut[48]/    # ut[48]入 = ut[48]</v>
      </c>
    </row>
    <row r="19" spans="2:20" ht="24" thickBot="1">
      <c r="B19" s="237" t="s">
        <v>421</v>
      </c>
      <c r="C19" s="238" t="s">
        <v>142</v>
      </c>
      <c r="D19" s="238"/>
      <c r="E19" s="238"/>
      <c r="F19" s="238" t="s">
        <v>422</v>
      </c>
      <c r="G19" s="238"/>
      <c r="H19" s="238"/>
      <c r="I19" s="238" t="s">
        <v>423</v>
      </c>
      <c r="J19" s="238"/>
      <c r="K19" s="238" t="s">
        <v>424</v>
      </c>
      <c r="L19" s="238"/>
      <c r="O19" s="239" t="s">
        <v>482</v>
      </c>
      <c r="P19" s="239" t="s">
        <v>481</v>
      </c>
      <c r="Q19" s="239" t="str">
        <f t="shared" si="0"/>
        <v>uan0</v>
      </c>
      <c r="R19" s="239" t="str">
        <f t="shared" si="1"/>
        <v>uat[48]</v>
      </c>
      <c r="S19" s="239" t="str">
        <f t="shared" si="2"/>
        <v xml:space="preserve">    - derive/uan0/uat[48]/    # uat[48]入 = uat[48]</v>
      </c>
    </row>
    <row r="20" spans="2:20" ht="24" thickBot="1">
      <c r="B20" s="237" t="s">
        <v>425</v>
      </c>
      <c r="C20" s="238" t="s">
        <v>426</v>
      </c>
      <c r="D20" s="238" t="s">
        <v>427</v>
      </c>
      <c r="E20" s="238"/>
      <c r="F20" s="238" t="s">
        <v>428</v>
      </c>
      <c r="G20" s="238" t="s">
        <v>429</v>
      </c>
      <c r="H20" s="238"/>
      <c r="I20" s="238" t="s">
        <v>430</v>
      </c>
      <c r="J20" s="238"/>
      <c r="K20" s="238" t="s">
        <v>431</v>
      </c>
      <c r="L20" s="238"/>
    </row>
    <row r="21" spans="2:20" ht="24" thickBot="1">
      <c r="B21" s="237" t="s">
        <v>432</v>
      </c>
      <c r="C21" s="238" t="s">
        <v>433</v>
      </c>
      <c r="D21" s="238" t="s">
        <v>434</v>
      </c>
      <c r="E21" s="238"/>
      <c r="F21" s="238"/>
      <c r="G21" s="238"/>
      <c r="H21" s="238"/>
      <c r="I21" s="238"/>
      <c r="J21" s="238"/>
      <c r="K21" s="238"/>
      <c r="L21" s="238"/>
    </row>
    <row r="22" spans="2:20" ht="24" thickBot="1">
      <c r="B22" s="237" t="s">
        <v>435</v>
      </c>
      <c r="C22" s="238" t="s">
        <v>436</v>
      </c>
      <c r="D22" s="238"/>
      <c r="E22" s="238"/>
      <c r="F22" s="238"/>
      <c r="G22" s="238"/>
      <c r="H22" s="238"/>
      <c r="I22" s="238"/>
      <c r="J22" s="238"/>
      <c r="K22" s="238" t="s">
        <v>437</v>
      </c>
      <c r="L22" s="238"/>
      <c r="O22" s="240" t="s">
        <v>458</v>
      </c>
      <c r="P22" s="240" t="s">
        <v>457</v>
      </c>
      <c r="Q22" s="240" t="str">
        <f>_xlfn.CONCAT(O22,$Q$2)</f>
        <v>eng0</v>
      </c>
      <c r="R22" s="240" t="str">
        <f xml:space="preserve"> _xlfn.CONCAT(P22,$R$2)</f>
        <v>ek[48]</v>
      </c>
      <c r="S22" s="240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7" t="s">
        <v>438</v>
      </c>
      <c r="C23" s="238" t="s">
        <v>439</v>
      </c>
      <c r="D23" s="238"/>
      <c r="E23" s="238"/>
      <c r="F23" s="238"/>
      <c r="G23" s="238"/>
      <c r="H23" s="238"/>
      <c r="I23" s="238"/>
      <c r="J23" s="238"/>
      <c r="K23" s="238" t="s">
        <v>440</v>
      </c>
      <c r="L23" s="238"/>
      <c r="O23" s="239" t="s">
        <v>483</v>
      </c>
      <c r="P23" s="241" t="s">
        <v>484</v>
      </c>
      <c r="Q23" s="239" t="str">
        <f>_xlfn.CONCAT(O23,$Q$2)</f>
        <v>uang0</v>
      </c>
      <c r="R23" s="239" t="str">
        <f xml:space="preserve"> _xlfn.CONCAT(P23,$R$2)</f>
        <v>uak[48]</v>
      </c>
      <c r="S23" s="239" t="str">
        <f xml:space="preserve"> _xlfn.CONCAT("    - xform/", R23, "/", Q23, "/    # " &amp; O23, "入 = ", P23, "[48]")</f>
        <v xml:space="preserve">    - xform/uak[48]/uang0/    # uang入 = uak[48]</v>
      </c>
      <c r="T23" s="240"/>
    </row>
    <row r="24" spans="2:20" ht="24" thickBot="1">
      <c r="B24" s="237" t="s">
        <v>441</v>
      </c>
      <c r="C24" s="238" t="s">
        <v>442</v>
      </c>
      <c r="D24" s="238"/>
      <c r="E24" s="238"/>
      <c r="F24" s="238"/>
      <c r="G24" s="238"/>
      <c r="H24" s="238"/>
      <c r="I24" s="238"/>
      <c r="J24" s="238"/>
      <c r="K24" s="238"/>
      <c r="L24" s="238"/>
    </row>
    <row r="25" spans="2:20" ht="24" thickBot="1">
      <c r="B25" s="237" t="s">
        <v>443</v>
      </c>
      <c r="C25" s="238"/>
      <c r="D25" s="238" t="s">
        <v>444</v>
      </c>
      <c r="E25" s="238"/>
      <c r="F25" s="238"/>
      <c r="G25" s="238"/>
      <c r="H25" s="238"/>
      <c r="I25" s="238"/>
      <c r="J25" s="238"/>
      <c r="K25" s="238"/>
      <c r="L25" s="238"/>
    </row>
    <row r="26" spans="2:20" ht="24" thickBot="1">
      <c r="B26" s="237" t="s">
        <v>445</v>
      </c>
      <c r="C26" s="238" t="s">
        <v>446</v>
      </c>
      <c r="D26" s="238"/>
      <c r="E26" s="238"/>
      <c r="F26" s="238"/>
      <c r="G26" s="238"/>
      <c r="H26" s="238"/>
      <c r="I26" s="238"/>
      <c r="J26" s="238"/>
      <c r="K26" s="238" t="s">
        <v>447</v>
      </c>
      <c r="L26" s="238"/>
    </row>
    <row r="27" spans="2:20" ht="24" thickBot="1">
      <c r="B27" s="237" t="s">
        <v>448</v>
      </c>
      <c r="C27" s="245" t="s">
        <v>192</v>
      </c>
      <c r="D27" s="246"/>
      <c r="E27" s="245" t="s">
        <v>449</v>
      </c>
      <c r="F27" s="247"/>
      <c r="G27" s="247"/>
      <c r="H27" s="247"/>
      <c r="I27" s="247"/>
      <c r="J27" s="246"/>
      <c r="K27" s="245" t="s">
        <v>450</v>
      </c>
      <c r="L27" s="246"/>
    </row>
    <row r="28" spans="2:20" ht="24" thickBot="1">
      <c r="B28" s="237" t="s">
        <v>451</v>
      </c>
      <c r="C28" s="245" t="s">
        <v>452</v>
      </c>
      <c r="D28" s="246"/>
      <c r="E28" s="245" t="s">
        <v>449</v>
      </c>
      <c r="F28" s="247"/>
      <c r="G28" s="247"/>
      <c r="H28" s="247"/>
      <c r="I28" s="247"/>
      <c r="J28" s="246"/>
      <c r="K28" s="245" t="s">
        <v>453</v>
      </c>
      <c r="L28" s="246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.75"/>
  <cols>
    <col min="1" max="1" width="2.8984375" customWidth="1"/>
    <col min="15" max="15" width="6" customWidth="1"/>
    <col min="16" max="17" width="7.796875" style="239" customWidth="1"/>
    <col min="18" max="19" width="14.69921875" style="239" customWidth="1"/>
    <col min="20" max="20" width="65.09765625" style="239" customWidth="1"/>
    <col min="21" max="26" width="8.796875" style="239"/>
  </cols>
  <sheetData>
    <row r="1" spans="2:20" ht="22.5" thickBot="1"/>
    <row r="2" spans="2:20" ht="24" thickBot="1">
      <c r="B2" s="248" t="s">
        <v>333</v>
      </c>
      <c r="C2" s="250" t="s">
        <v>334</v>
      </c>
      <c r="D2" s="251"/>
      <c r="E2" s="254" t="s">
        <v>335</v>
      </c>
      <c r="F2" s="255"/>
      <c r="G2" s="256"/>
      <c r="H2" s="254" t="s">
        <v>336</v>
      </c>
      <c r="I2" s="255"/>
      <c r="J2" s="255"/>
      <c r="K2" s="255"/>
      <c r="L2" s="256"/>
    </row>
    <row r="3" spans="2:20" ht="24" thickBot="1">
      <c r="B3" s="249"/>
      <c r="C3" s="252"/>
      <c r="D3" s="253"/>
      <c r="E3" s="237" t="s">
        <v>337</v>
      </c>
      <c r="F3" s="237" t="s">
        <v>338</v>
      </c>
      <c r="G3" s="237" t="s">
        <v>339</v>
      </c>
      <c r="H3" s="237" t="s">
        <v>340</v>
      </c>
      <c r="I3" s="237" t="s">
        <v>341</v>
      </c>
      <c r="J3" s="237" t="s">
        <v>342</v>
      </c>
      <c r="K3" s="254" t="s">
        <v>343</v>
      </c>
      <c r="L3" s="256"/>
      <c r="N3" s="243" t="s">
        <v>510</v>
      </c>
      <c r="O3" s="243" t="s">
        <v>513</v>
      </c>
      <c r="P3" s="244" t="s">
        <v>506</v>
      </c>
      <c r="Q3" s="244" t="s">
        <v>505</v>
      </c>
      <c r="R3" s="244" t="s">
        <v>507</v>
      </c>
      <c r="S3" s="244" t="str">
        <f xml:space="preserve"> "$1"</f>
        <v>$1</v>
      </c>
      <c r="T3" s="244" t="s">
        <v>512</v>
      </c>
    </row>
    <row r="4" spans="2:20" ht="24" thickBot="1">
      <c r="B4" s="237" t="s">
        <v>344</v>
      </c>
      <c r="C4" s="238" t="s">
        <v>58</v>
      </c>
      <c r="D4" s="238" t="s">
        <v>40</v>
      </c>
      <c r="E4" s="238" t="s">
        <v>162</v>
      </c>
      <c r="F4" s="238" t="s">
        <v>62</v>
      </c>
      <c r="G4" s="238" t="s">
        <v>148</v>
      </c>
      <c r="H4" s="238" t="s">
        <v>345</v>
      </c>
      <c r="I4" s="238" t="s">
        <v>346</v>
      </c>
      <c r="J4" s="238" t="s">
        <v>347</v>
      </c>
      <c r="K4" s="238" t="s">
        <v>348</v>
      </c>
      <c r="L4" s="238" t="s">
        <v>349</v>
      </c>
      <c r="N4">
        <v>1</v>
      </c>
      <c r="O4">
        <f t="shared" ref="O4:O20" si="0" xml:space="preserve"> LEN(P4)</f>
        <v>4</v>
      </c>
      <c r="P4" s="239" t="s">
        <v>465</v>
      </c>
      <c r="Q4" s="239" t="s">
        <v>490</v>
      </c>
      <c r="R4" s="239" t="str">
        <f>_xlfn.CONCAT(P4,$R$3)</f>
        <v>iang([12357])</v>
      </c>
      <c r="S4" s="239" t="str">
        <f xml:space="preserve"> _xlfn.CONCAT(Q4,$S$3)</f>
        <v>iaG$1</v>
      </c>
      <c r="T4" s="239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7" t="s">
        <v>350</v>
      </c>
      <c r="C5" s="238" t="s">
        <v>60</v>
      </c>
      <c r="D5" s="238" t="s">
        <v>42</v>
      </c>
      <c r="E5" s="238"/>
      <c r="F5" s="238"/>
      <c r="G5" s="238"/>
      <c r="H5" s="238"/>
      <c r="I5" s="238"/>
      <c r="J5" s="238"/>
      <c r="K5" s="238" t="s">
        <v>351</v>
      </c>
      <c r="L5" s="238" t="s">
        <v>352</v>
      </c>
      <c r="N5">
        <v>1</v>
      </c>
      <c r="O5">
        <f t="shared" si="0"/>
        <v>4</v>
      </c>
      <c r="P5" s="239" t="s">
        <v>471</v>
      </c>
      <c r="Q5" s="239" t="s">
        <v>491</v>
      </c>
      <c r="R5" s="239" t="str">
        <f t="shared" ref="R5:R20" si="1">_xlfn.CONCAT(P5,$R$3)</f>
        <v>iong([12357])</v>
      </c>
      <c r="S5" s="239" t="str">
        <f t="shared" ref="S5:S20" si="2" xml:space="preserve"> _xlfn.CONCAT(Q5,$S$3)</f>
        <v>ioG$1</v>
      </c>
      <c r="T5" s="239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7" t="s">
        <v>353</v>
      </c>
      <c r="C6" s="238" t="s">
        <v>146</v>
      </c>
      <c r="D6" s="238"/>
      <c r="E6" s="238"/>
      <c r="F6" s="238"/>
      <c r="G6" s="238"/>
      <c r="H6" s="238"/>
      <c r="I6" s="238"/>
      <c r="J6" s="238"/>
      <c r="K6" s="238" t="s">
        <v>354</v>
      </c>
      <c r="L6" s="238" t="s">
        <v>355</v>
      </c>
      <c r="N6">
        <v>1</v>
      </c>
      <c r="O6">
        <f t="shared" si="0"/>
        <v>4</v>
      </c>
      <c r="P6" s="239" t="s">
        <v>477</v>
      </c>
      <c r="Q6" s="239" t="s">
        <v>493</v>
      </c>
      <c r="R6" s="239" t="str">
        <f t="shared" si="1"/>
        <v>irng([12357])</v>
      </c>
      <c r="S6" s="239" t="str">
        <f t="shared" si="2"/>
        <v>irG$1</v>
      </c>
      <c r="T6" s="239" t="str">
        <f t="shared" si="3"/>
        <v xml:space="preserve">    - derive/irng([12357])/irG$1/    # irG入 = irng[48]</v>
      </c>
    </row>
    <row r="7" spans="2:20" ht="24" thickBot="1">
      <c r="B7" s="237" t="s">
        <v>356</v>
      </c>
      <c r="C7" s="238" t="s">
        <v>357</v>
      </c>
      <c r="D7" s="238"/>
      <c r="E7" s="238"/>
      <c r="F7" s="238"/>
      <c r="G7" s="238" t="s">
        <v>358</v>
      </c>
      <c r="H7" s="238"/>
      <c r="I7" s="238"/>
      <c r="J7" s="238" t="s">
        <v>359</v>
      </c>
      <c r="K7" s="238" t="s">
        <v>360</v>
      </c>
      <c r="L7" s="238"/>
      <c r="N7">
        <v>1</v>
      </c>
      <c r="O7">
        <f t="shared" si="0"/>
        <v>3</v>
      </c>
      <c r="P7" s="239" t="s">
        <v>279</v>
      </c>
      <c r="Q7" s="239" t="s">
        <v>488</v>
      </c>
      <c r="R7" s="239" t="str">
        <f t="shared" si="1"/>
        <v>ang([12357])</v>
      </c>
      <c r="S7" s="239" t="str">
        <f t="shared" si="2"/>
        <v>aG$1</v>
      </c>
      <c r="T7" s="239" t="str">
        <f t="shared" si="3"/>
        <v xml:space="preserve">    - derive/ang([12357])/aG$1/    # aG入 = ang[48]</v>
      </c>
    </row>
    <row r="8" spans="2:20" ht="24" thickBot="1">
      <c r="B8" s="237" t="s">
        <v>361</v>
      </c>
      <c r="C8" s="238" t="s">
        <v>183</v>
      </c>
      <c r="D8" s="238" t="s">
        <v>164</v>
      </c>
      <c r="E8" s="238"/>
      <c r="F8" s="238"/>
      <c r="G8" s="238"/>
      <c r="H8" s="238"/>
      <c r="I8" s="238"/>
      <c r="J8" s="238"/>
      <c r="K8" s="238" t="s">
        <v>362</v>
      </c>
      <c r="L8" s="238" t="s">
        <v>363</v>
      </c>
      <c r="N8">
        <v>1</v>
      </c>
      <c r="O8">
        <f t="shared" si="0"/>
        <v>3</v>
      </c>
      <c r="P8" s="239" t="s">
        <v>462</v>
      </c>
      <c r="Q8" s="239" t="s">
        <v>489</v>
      </c>
      <c r="R8" s="239" t="str">
        <f t="shared" si="1"/>
        <v>ing([12357])</v>
      </c>
      <c r="S8" s="239" t="str">
        <f t="shared" si="2"/>
        <v>iG$1</v>
      </c>
      <c r="T8" s="239" t="str">
        <f t="shared" si="3"/>
        <v xml:space="preserve">    - derive/ing([12357])/iG$1/    # iG入 = ing[48]</v>
      </c>
    </row>
    <row r="9" spans="2:20" ht="24" thickBot="1">
      <c r="B9" s="237" t="s">
        <v>364</v>
      </c>
      <c r="C9" s="238" t="s">
        <v>105</v>
      </c>
      <c r="D9" s="238" t="s">
        <v>88</v>
      </c>
      <c r="E9" s="238" t="s">
        <v>365</v>
      </c>
      <c r="F9" s="238" t="s">
        <v>366</v>
      </c>
      <c r="G9" s="238" t="s">
        <v>367</v>
      </c>
      <c r="H9" s="238" t="s">
        <v>368</v>
      </c>
      <c r="I9" s="238" t="s">
        <v>369</v>
      </c>
      <c r="J9" s="238" t="s">
        <v>370</v>
      </c>
      <c r="K9" s="238" t="s">
        <v>371</v>
      </c>
      <c r="L9" s="238" t="s">
        <v>372</v>
      </c>
      <c r="N9">
        <v>1</v>
      </c>
      <c r="O9">
        <f t="shared" si="0"/>
        <v>3</v>
      </c>
      <c r="P9" s="239" t="s">
        <v>281</v>
      </c>
      <c r="Q9" s="239" t="s">
        <v>492</v>
      </c>
      <c r="R9" s="239" t="str">
        <f t="shared" si="1"/>
        <v>ong([12357])</v>
      </c>
      <c r="S9" s="239" t="str">
        <f t="shared" si="2"/>
        <v>oG$1</v>
      </c>
      <c r="T9" s="239" t="str">
        <f t="shared" si="3"/>
        <v xml:space="preserve">    - derive/ong([12357])/oG$1/    # oG入 = ong[48]</v>
      </c>
    </row>
    <row r="10" spans="2:20" ht="24" thickBot="1">
      <c r="B10" s="237" t="s">
        <v>373</v>
      </c>
      <c r="C10" s="238" t="s">
        <v>374</v>
      </c>
      <c r="D10" s="238" t="s">
        <v>375</v>
      </c>
      <c r="E10" s="238" t="s">
        <v>376</v>
      </c>
      <c r="F10" s="238" t="s">
        <v>377</v>
      </c>
      <c r="G10" s="238" t="s">
        <v>378</v>
      </c>
      <c r="H10" s="238" t="s">
        <v>379</v>
      </c>
      <c r="I10" s="238" t="s">
        <v>380</v>
      </c>
      <c r="J10" s="238" t="s">
        <v>381</v>
      </c>
      <c r="K10" s="238" t="s">
        <v>382</v>
      </c>
      <c r="L10" s="238" t="s">
        <v>383</v>
      </c>
      <c r="N10">
        <v>2</v>
      </c>
      <c r="O10">
        <f t="shared" si="0"/>
        <v>3</v>
      </c>
      <c r="P10" s="239" t="s">
        <v>468</v>
      </c>
      <c r="Q10" s="239" t="s">
        <v>497</v>
      </c>
      <c r="R10" s="239" t="str">
        <f t="shared" si="1"/>
        <v>ian([12357])</v>
      </c>
      <c r="S10" s="239" t="str">
        <f t="shared" si="2"/>
        <v>iaN$1</v>
      </c>
      <c r="T10" s="239" t="str">
        <f t="shared" si="3"/>
        <v xml:space="preserve">    - derive/ian([12357])/iaN$1/    # iaN入 = ian[48]</v>
      </c>
    </row>
    <row r="11" spans="2:20" ht="24" thickBot="1">
      <c r="B11" s="237" t="s">
        <v>384</v>
      </c>
      <c r="C11" s="238" t="s">
        <v>385</v>
      </c>
      <c r="D11" s="238" t="s">
        <v>386</v>
      </c>
      <c r="E11" s="238"/>
      <c r="F11" s="238"/>
      <c r="G11" s="238"/>
      <c r="H11" s="238"/>
      <c r="I11" s="238"/>
      <c r="J11" s="238"/>
      <c r="K11" s="238" t="s">
        <v>387</v>
      </c>
      <c r="L11" s="238"/>
      <c r="N11">
        <v>2</v>
      </c>
      <c r="O11">
        <f t="shared" si="0"/>
        <v>3</v>
      </c>
      <c r="P11" s="239" t="s">
        <v>511</v>
      </c>
      <c r="Q11" s="239" t="s">
        <v>493</v>
      </c>
      <c r="R11" s="239" t="str">
        <f t="shared" si="1"/>
        <v>irn([12357])</v>
      </c>
      <c r="S11" s="239" t="str">
        <f t="shared" si="2"/>
        <v>irG$1</v>
      </c>
      <c r="T11" s="239" t="str">
        <f t="shared" si="3"/>
        <v xml:space="preserve">    - derive/irn([12357])/irG$1/    # irG入 = irn[48]</v>
      </c>
    </row>
    <row r="12" spans="2:20" ht="24" thickBot="1">
      <c r="B12" s="237" t="s">
        <v>388</v>
      </c>
      <c r="C12" s="238" t="s">
        <v>389</v>
      </c>
      <c r="D12" s="238"/>
      <c r="E12" s="238"/>
      <c r="F12" s="238"/>
      <c r="G12" s="238"/>
      <c r="H12" s="238"/>
      <c r="I12" s="238"/>
      <c r="J12" s="238"/>
      <c r="K12" s="238" t="s">
        <v>390</v>
      </c>
      <c r="L12" s="238"/>
      <c r="N12">
        <v>2</v>
      </c>
      <c r="O12">
        <f t="shared" si="0"/>
        <v>3</v>
      </c>
      <c r="P12" s="239" t="s">
        <v>482</v>
      </c>
      <c r="Q12" s="239" t="s">
        <v>499</v>
      </c>
      <c r="R12" s="239" t="str">
        <f t="shared" si="1"/>
        <v>uan([12357])</v>
      </c>
      <c r="S12" s="239" t="str">
        <f t="shared" si="2"/>
        <v>uaN$1</v>
      </c>
      <c r="T12" s="239" t="str">
        <f t="shared" si="3"/>
        <v xml:space="preserve">    - derive/uan([12357])/uaN$1/    # uaN入 = uan[48]</v>
      </c>
    </row>
    <row r="13" spans="2:20" ht="24" thickBot="1">
      <c r="B13" s="237" t="s">
        <v>391</v>
      </c>
      <c r="C13" s="238" t="s">
        <v>392</v>
      </c>
      <c r="D13" s="238" t="s">
        <v>393</v>
      </c>
      <c r="E13" s="238"/>
      <c r="F13" s="238"/>
      <c r="G13" s="238" t="s">
        <v>394</v>
      </c>
      <c r="H13" s="238"/>
      <c r="I13" s="238"/>
      <c r="J13" s="238" t="s">
        <v>395</v>
      </c>
      <c r="K13" s="238" t="s">
        <v>396</v>
      </c>
      <c r="L13" s="238"/>
      <c r="N13">
        <v>2</v>
      </c>
      <c r="O13">
        <f t="shared" si="0"/>
        <v>2</v>
      </c>
      <c r="P13" s="239" t="s">
        <v>278</v>
      </c>
      <c r="Q13" s="239" t="s">
        <v>496</v>
      </c>
      <c r="R13" s="239" t="str">
        <f t="shared" si="1"/>
        <v>an([12357])</v>
      </c>
      <c r="S13" s="239" t="str">
        <f t="shared" si="2"/>
        <v>aN$1</v>
      </c>
      <c r="T13" s="239" t="str">
        <f t="shared" si="3"/>
        <v xml:space="preserve">    - derive/an([12357])/aN$1/    # aN入 = an[48]</v>
      </c>
    </row>
    <row r="14" spans="2:20" ht="24" thickBot="1">
      <c r="B14" s="237" t="s">
        <v>397</v>
      </c>
      <c r="C14" s="238" t="s">
        <v>398</v>
      </c>
      <c r="D14" s="238" t="s">
        <v>399</v>
      </c>
      <c r="E14" s="238"/>
      <c r="F14" s="238"/>
      <c r="G14" s="238"/>
      <c r="H14" s="238"/>
      <c r="I14" s="238"/>
      <c r="J14" s="238"/>
      <c r="K14" s="238" t="s">
        <v>400</v>
      </c>
      <c r="L14" s="238" t="s">
        <v>401</v>
      </c>
      <c r="N14">
        <v>2</v>
      </c>
      <c r="O14">
        <f t="shared" si="0"/>
        <v>2</v>
      </c>
      <c r="P14" s="239" t="s">
        <v>508</v>
      </c>
      <c r="Q14" s="239" t="s">
        <v>509</v>
      </c>
      <c r="R14" s="239" t="str">
        <f t="shared" si="1"/>
        <v>in([12357])</v>
      </c>
      <c r="S14" s="239" t="str">
        <f t="shared" si="2"/>
        <v>iN$1</v>
      </c>
      <c r="T14" s="239" t="str">
        <f t="shared" si="3"/>
        <v xml:space="preserve">    - derive/in([12357])/iN$1/    # iN入 = in[48]</v>
      </c>
    </row>
    <row r="15" spans="2:20" ht="24" thickBot="1">
      <c r="B15" s="237" t="s">
        <v>402</v>
      </c>
      <c r="C15" s="238" t="s">
        <v>403</v>
      </c>
      <c r="D15" s="238"/>
      <c r="E15" s="238"/>
      <c r="F15" s="238"/>
      <c r="G15" s="238"/>
      <c r="H15" s="238"/>
      <c r="I15" s="238"/>
      <c r="J15" s="238"/>
      <c r="K15" s="238" t="s">
        <v>404</v>
      </c>
      <c r="L15" s="238"/>
      <c r="N15">
        <v>2</v>
      </c>
      <c r="O15">
        <f t="shared" si="0"/>
        <v>2</v>
      </c>
      <c r="P15" s="239" t="s">
        <v>480</v>
      </c>
      <c r="Q15" s="239" t="s">
        <v>498</v>
      </c>
      <c r="R15" s="239" t="str">
        <f t="shared" si="1"/>
        <v>un([12357])</v>
      </c>
      <c r="S15" s="239" t="str">
        <f t="shared" si="2"/>
        <v>uN$1</v>
      </c>
      <c r="T15" s="239" t="str">
        <f t="shared" si="3"/>
        <v xml:space="preserve">    - derive/un([12357])/uN$1/    # uN入 = un[48]</v>
      </c>
    </row>
    <row r="16" spans="2:20" ht="24" thickBot="1">
      <c r="B16" s="237" t="s">
        <v>405</v>
      </c>
      <c r="C16" s="238" t="s">
        <v>194</v>
      </c>
      <c r="D16" s="238"/>
      <c r="E16" s="238"/>
      <c r="F16" s="238"/>
      <c r="G16" s="238"/>
      <c r="H16" s="238"/>
      <c r="I16" s="238"/>
      <c r="J16" s="238"/>
      <c r="K16" s="238" t="s">
        <v>406</v>
      </c>
      <c r="L16" s="238"/>
      <c r="N16">
        <v>3</v>
      </c>
      <c r="O16">
        <f t="shared" si="0"/>
        <v>3</v>
      </c>
      <c r="P16" s="239" t="s">
        <v>469</v>
      </c>
      <c r="Q16" s="239" t="s">
        <v>502</v>
      </c>
      <c r="R16" s="239" t="str">
        <f t="shared" si="1"/>
        <v>iam([12357])</v>
      </c>
      <c r="S16" s="239" t="str">
        <f t="shared" si="2"/>
        <v>iaM$1</v>
      </c>
      <c r="T16" s="239" t="str">
        <f t="shared" si="3"/>
        <v xml:space="preserve">    - derive/iam([12357])/iaM$1/    # iaM入 = iam[48]</v>
      </c>
    </row>
    <row r="17" spans="2:21" ht="24" thickBot="1">
      <c r="B17" s="237" t="s">
        <v>407</v>
      </c>
      <c r="C17" s="238" t="s">
        <v>107</v>
      </c>
      <c r="D17" s="238" t="s">
        <v>408</v>
      </c>
      <c r="E17" s="238" t="s">
        <v>92</v>
      </c>
      <c r="F17" s="238"/>
      <c r="G17" s="238" t="s">
        <v>109</v>
      </c>
      <c r="H17" s="238" t="s">
        <v>409</v>
      </c>
      <c r="I17" s="238"/>
      <c r="J17" s="238" t="s">
        <v>410</v>
      </c>
      <c r="K17" s="238" t="s">
        <v>411</v>
      </c>
      <c r="L17" s="238" t="s">
        <v>412</v>
      </c>
      <c r="N17">
        <v>3</v>
      </c>
      <c r="O17">
        <f t="shared" si="0"/>
        <v>3</v>
      </c>
      <c r="P17" s="239" t="s">
        <v>478</v>
      </c>
      <c r="Q17" s="239" t="s">
        <v>504</v>
      </c>
      <c r="R17" s="239" t="str">
        <f t="shared" si="1"/>
        <v>irm([12357])</v>
      </c>
      <c r="S17" s="239" t="str">
        <f t="shared" si="2"/>
        <v>irM$1</v>
      </c>
      <c r="T17" s="239" t="str">
        <f t="shared" si="3"/>
        <v xml:space="preserve">    - derive/irm([12357])/irM$1/    # irM入 = irm[48]</v>
      </c>
    </row>
    <row r="18" spans="2:21" ht="24" thickBot="1">
      <c r="B18" s="237" t="s">
        <v>413</v>
      </c>
      <c r="C18" s="238" t="s">
        <v>126</v>
      </c>
      <c r="D18" s="238"/>
      <c r="E18" s="238" t="s">
        <v>414</v>
      </c>
      <c r="F18" s="238" t="s">
        <v>415</v>
      </c>
      <c r="G18" s="238" t="s">
        <v>416</v>
      </c>
      <c r="H18" s="238" t="s">
        <v>417</v>
      </c>
      <c r="I18" s="238" t="s">
        <v>418</v>
      </c>
      <c r="J18" s="238" t="s">
        <v>419</v>
      </c>
      <c r="K18" s="238" t="s">
        <v>420</v>
      </c>
      <c r="L18" s="238"/>
      <c r="N18">
        <v>3</v>
      </c>
      <c r="O18">
        <f t="shared" si="0"/>
        <v>2</v>
      </c>
      <c r="P18" s="239" t="s">
        <v>277</v>
      </c>
      <c r="Q18" s="239" t="s">
        <v>500</v>
      </c>
      <c r="R18" s="239" t="str">
        <f t="shared" si="1"/>
        <v>am([12357])</v>
      </c>
      <c r="S18" s="239" t="str">
        <f t="shared" si="2"/>
        <v>aM$1</v>
      </c>
      <c r="T18" s="239" t="str">
        <f t="shared" si="3"/>
        <v xml:space="preserve">    - derive/am([12357])/aM$1/    # aM入 = am[48]</v>
      </c>
    </row>
    <row r="19" spans="2:21" ht="24" thickBot="1">
      <c r="B19" s="237" t="s">
        <v>421</v>
      </c>
      <c r="C19" s="238" t="s">
        <v>142</v>
      </c>
      <c r="D19" s="238"/>
      <c r="E19" s="238"/>
      <c r="F19" s="238" t="s">
        <v>422</v>
      </c>
      <c r="G19" s="238"/>
      <c r="H19" s="238"/>
      <c r="I19" s="238" t="s">
        <v>423</v>
      </c>
      <c r="J19" s="238"/>
      <c r="K19" s="238" t="s">
        <v>424</v>
      </c>
      <c r="L19" s="238"/>
      <c r="N19">
        <v>3</v>
      </c>
      <c r="O19">
        <f t="shared" si="0"/>
        <v>2</v>
      </c>
      <c r="P19" s="239" t="s">
        <v>463</v>
      </c>
      <c r="Q19" s="239" t="s">
        <v>501</v>
      </c>
      <c r="R19" s="239" t="str">
        <f t="shared" si="1"/>
        <v>im([12357])</v>
      </c>
      <c r="S19" s="239" t="str">
        <f t="shared" si="2"/>
        <v>iM$1</v>
      </c>
      <c r="T19" s="239" t="str">
        <f t="shared" si="3"/>
        <v xml:space="preserve">    - derive/im([12357])/iM$1/    # iM入 = im[48]</v>
      </c>
    </row>
    <row r="20" spans="2:21" ht="24" thickBot="1">
      <c r="B20" s="237" t="s">
        <v>425</v>
      </c>
      <c r="C20" s="238" t="s">
        <v>426</v>
      </c>
      <c r="D20" s="238" t="s">
        <v>427</v>
      </c>
      <c r="E20" s="238"/>
      <c r="F20" s="238" t="s">
        <v>428</v>
      </c>
      <c r="G20" s="238" t="s">
        <v>429</v>
      </c>
      <c r="H20" s="238"/>
      <c r="I20" s="238" t="s">
        <v>430</v>
      </c>
      <c r="J20" s="238"/>
      <c r="K20" s="238" t="s">
        <v>431</v>
      </c>
      <c r="L20" s="238"/>
      <c r="N20">
        <v>3</v>
      </c>
      <c r="O20">
        <f t="shared" si="0"/>
        <v>2</v>
      </c>
      <c r="P20" s="239" t="s">
        <v>280</v>
      </c>
      <c r="Q20" s="239" t="s">
        <v>503</v>
      </c>
      <c r="R20" s="239" t="str">
        <f t="shared" si="1"/>
        <v>om([12357])</v>
      </c>
      <c r="S20" s="239" t="str">
        <f t="shared" si="2"/>
        <v>oM$1</v>
      </c>
      <c r="T20" s="239" t="str">
        <f t="shared" si="3"/>
        <v xml:space="preserve">    - derive/om([12357])/oM$1/    # oM入 = om[48]</v>
      </c>
    </row>
    <row r="21" spans="2:21" ht="24" thickBot="1">
      <c r="B21" s="237" t="s">
        <v>432</v>
      </c>
      <c r="C21" s="238" t="s">
        <v>433</v>
      </c>
      <c r="D21" s="238" t="s">
        <v>434</v>
      </c>
      <c r="E21" s="238"/>
      <c r="F21" s="238"/>
      <c r="G21" s="238"/>
      <c r="H21" s="238"/>
      <c r="I21" s="238"/>
      <c r="J21" s="238"/>
      <c r="K21" s="238"/>
      <c r="L21" s="238"/>
    </row>
    <row r="22" spans="2:21" ht="24" thickBot="1">
      <c r="B22" s="237" t="s">
        <v>435</v>
      </c>
      <c r="C22" s="238" t="s">
        <v>436</v>
      </c>
      <c r="D22" s="238"/>
      <c r="E22" s="238"/>
      <c r="F22" s="238"/>
      <c r="G22" s="238"/>
      <c r="H22" s="238"/>
      <c r="I22" s="238"/>
      <c r="J22" s="238"/>
      <c r="K22" s="238" t="s">
        <v>437</v>
      </c>
      <c r="L22" s="238"/>
      <c r="P22" s="240" t="s">
        <v>457</v>
      </c>
      <c r="Q22" s="240" t="s">
        <v>494</v>
      </c>
      <c r="R22" s="240" t="str">
        <f>_xlfn.CONCAT(Q22,$R$3)</f>
        <v>eG([12357])</v>
      </c>
      <c r="S22" s="240" t="str">
        <f xml:space="preserve"> _xlfn.CONCAT(P22,$S$3)</f>
        <v>ek$1</v>
      </c>
      <c r="T22" s="240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7" t="s">
        <v>438</v>
      </c>
      <c r="C23" s="238" t="s">
        <v>439</v>
      </c>
      <c r="D23" s="238"/>
      <c r="E23" s="238"/>
      <c r="F23" s="238"/>
      <c r="G23" s="238"/>
      <c r="H23" s="238"/>
      <c r="I23" s="238"/>
      <c r="J23" s="238"/>
      <c r="K23" s="238" t="s">
        <v>440</v>
      </c>
      <c r="L23" s="238"/>
      <c r="P23" s="241" t="s">
        <v>484</v>
      </c>
      <c r="Q23" s="239" t="s">
        <v>495</v>
      </c>
      <c r="R23" s="239" t="str">
        <f>_xlfn.CONCAT(Q23,$R$3)</f>
        <v>uaG([12357])</v>
      </c>
      <c r="S23" s="239" t="str">
        <f xml:space="preserve"> _xlfn.CONCAT(P23,$S$3)</f>
        <v>uak$1</v>
      </c>
      <c r="T23" s="239" t="str">
        <f xml:space="preserve"> _xlfn.CONCAT("    - xform/", S23, "/", R23, "/    # " &amp; Q23, "入 = ", P23, "[48]")</f>
        <v xml:space="preserve">    - xform/uak$1/uaG([12357])/    # uaG入 = uak[48]</v>
      </c>
      <c r="U23" s="240"/>
    </row>
    <row r="24" spans="2:21" ht="24" thickBot="1">
      <c r="B24" s="237" t="s">
        <v>441</v>
      </c>
      <c r="C24" s="238" t="s">
        <v>442</v>
      </c>
      <c r="D24" s="238"/>
      <c r="E24" s="238"/>
      <c r="F24" s="238"/>
      <c r="G24" s="238"/>
      <c r="H24" s="238"/>
      <c r="I24" s="238"/>
      <c r="J24" s="238"/>
      <c r="K24" s="238"/>
      <c r="L24" s="238"/>
    </row>
    <row r="25" spans="2:21" ht="24" thickBot="1">
      <c r="B25" s="237" t="s">
        <v>443</v>
      </c>
      <c r="C25" s="238"/>
      <c r="D25" s="238" t="s">
        <v>444</v>
      </c>
      <c r="E25" s="238"/>
      <c r="F25" s="238"/>
      <c r="G25" s="238"/>
      <c r="H25" s="238"/>
      <c r="I25" s="238"/>
      <c r="J25" s="238"/>
      <c r="K25" s="238"/>
      <c r="L25" s="238"/>
    </row>
    <row r="26" spans="2:21" ht="24" thickBot="1">
      <c r="B26" s="237" t="s">
        <v>445</v>
      </c>
      <c r="C26" s="238" t="s">
        <v>446</v>
      </c>
      <c r="D26" s="238"/>
      <c r="E26" s="238"/>
      <c r="F26" s="238"/>
      <c r="G26" s="238"/>
      <c r="H26" s="238"/>
      <c r="I26" s="238"/>
      <c r="J26" s="238"/>
      <c r="K26" s="238" t="s">
        <v>447</v>
      </c>
      <c r="L26" s="238"/>
    </row>
    <row r="27" spans="2:21" ht="24" thickBot="1">
      <c r="B27" s="237" t="s">
        <v>448</v>
      </c>
      <c r="C27" s="245" t="s">
        <v>192</v>
      </c>
      <c r="D27" s="246"/>
      <c r="E27" s="245" t="s">
        <v>449</v>
      </c>
      <c r="F27" s="247"/>
      <c r="G27" s="247"/>
      <c r="H27" s="247"/>
      <c r="I27" s="247"/>
      <c r="J27" s="246"/>
      <c r="K27" s="245" t="s">
        <v>450</v>
      </c>
      <c r="L27" s="246"/>
    </row>
    <row r="28" spans="2:21" ht="24" thickBot="1">
      <c r="B28" s="237" t="s">
        <v>451</v>
      </c>
      <c r="C28" s="245" t="s">
        <v>452</v>
      </c>
      <c r="D28" s="246"/>
      <c r="E28" s="245" t="s">
        <v>449</v>
      </c>
      <c r="F28" s="247"/>
      <c r="G28" s="247"/>
      <c r="H28" s="247"/>
      <c r="I28" s="247"/>
      <c r="J28" s="246"/>
      <c r="K28" s="245" t="s">
        <v>453</v>
      </c>
      <c r="L28" s="246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.75"/>
  <cols>
    <col min="1" max="1" width="2.8984375" customWidth="1"/>
    <col min="14" max="15" width="6.8984375" style="239" customWidth="1"/>
    <col min="16" max="17" width="13.09765625" style="239" customWidth="1"/>
    <col min="18" max="18" width="47.296875" style="239" customWidth="1"/>
    <col min="19" max="24" width="8.796875" style="239"/>
  </cols>
  <sheetData>
    <row r="1" spans="2:18" ht="22.5" thickBot="1"/>
    <row r="2" spans="2:18" ht="24" thickBot="1">
      <c r="B2" s="248" t="s">
        <v>333</v>
      </c>
      <c r="C2" s="250" t="s">
        <v>334</v>
      </c>
      <c r="D2" s="251"/>
      <c r="E2" s="254" t="s">
        <v>335</v>
      </c>
      <c r="F2" s="255"/>
      <c r="G2" s="256"/>
      <c r="H2" s="254" t="s">
        <v>336</v>
      </c>
      <c r="I2" s="255"/>
      <c r="J2" s="255"/>
      <c r="K2" s="255"/>
      <c r="L2" s="256"/>
      <c r="P2" s="239" t="str">
        <f xml:space="preserve"> "([48])"</f>
        <v>([48])</v>
      </c>
      <c r="Q2" s="239">
        <v>0</v>
      </c>
    </row>
    <row r="3" spans="2:18" ht="24" thickBot="1">
      <c r="B3" s="249"/>
      <c r="C3" s="252"/>
      <c r="D3" s="253"/>
      <c r="E3" s="237" t="s">
        <v>337</v>
      </c>
      <c r="F3" s="237" t="s">
        <v>338</v>
      </c>
      <c r="G3" s="237" t="s">
        <v>339</v>
      </c>
      <c r="H3" s="237" t="s">
        <v>340</v>
      </c>
      <c r="I3" s="237" t="s">
        <v>341</v>
      </c>
      <c r="J3" s="237" t="s">
        <v>342</v>
      </c>
      <c r="K3" s="254" t="s">
        <v>343</v>
      </c>
      <c r="L3" s="256"/>
      <c r="N3" s="239" t="s">
        <v>455</v>
      </c>
      <c r="O3" s="239" t="s">
        <v>279</v>
      </c>
      <c r="P3" s="239" t="str">
        <f xml:space="preserve"> _xlfn.CONCAT(N3,$P$2)</f>
        <v>ak([48])</v>
      </c>
      <c r="Q3" s="239" t="str">
        <f>_xlfn.CONCAT(O3,$Q$2)</f>
        <v>ang0</v>
      </c>
      <c r="R3" s="239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7" t="s">
        <v>344</v>
      </c>
      <c r="C4" s="238" t="s">
        <v>58</v>
      </c>
      <c r="D4" s="238" t="s">
        <v>40</v>
      </c>
      <c r="E4" s="238" t="s">
        <v>162</v>
      </c>
      <c r="F4" s="238" t="s">
        <v>62</v>
      </c>
      <c r="G4" s="238" t="s">
        <v>148</v>
      </c>
      <c r="H4" s="238" t="s">
        <v>345</v>
      </c>
      <c r="I4" s="238" t="s">
        <v>346</v>
      </c>
      <c r="J4" s="238" t="s">
        <v>347</v>
      </c>
      <c r="K4" s="238" t="s">
        <v>348</v>
      </c>
      <c r="L4" s="238" t="s">
        <v>349</v>
      </c>
      <c r="N4" s="239" t="s">
        <v>456</v>
      </c>
      <c r="O4" s="239" t="s">
        <v>278</v>
      </c>
      <c r="P4" s="239" t="str">
        <f t="shared" ref="P4:P19" si="0" xml:space="preserve"> _xlfn.CONCAT(N4,$P$2)</f>
        <v>at([48])</v>
      </c>
      <c r="Q4" s="239" t="str">
        <f t="shared" ref="Q4:Q19" si="1">_xlfn.CONCAT(O4,$Q$2)</f>
        <v>an0</v>
      </c>
      <c r="R4" s="239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7" t="s">
        <v>350</v>
      </c>
      <c r="C5" s="238" t="s">
        <v>60</v>
      </c>
      <c r="D5" s="238" t="s">
        <v>42</v>
      </c>
      <c r="E5" s="238"/>
      <c r="F5" s="238"/>
      <c r="G5" s="238"/>
      <c r="H5" s="238"/>
      <c r="I5" s="238"/>
      <c r="J5" s="238"/>
      <c r="K5" s="238" t="s">
        <v>351</v>
      </c>
      <c r="L5" s="238" t="s">
        <v>352</v>
      </c>
      <c r="N5" s="239" t="s">
        <v>454</v>
      </c>
      <c r="O5" s="239" t="s">
        <v>277</v>
      </c>
      <c r="P5" s="239" t="str">
        <f t="shared" si="0"/>
        <v>ap([48])</v>
      </c>
      <c r="Q5" s="239" t="str">
        <f t="shared" si="1"/>
        <v>am0</v>
      </c>
      <c r="R5" s="239" t="str">
        <f t="shared" si="2"/>
        <v xml:space="preserve">    - derive/ap([48])/am0/    # am入 = ap[48]</v>
      </c>
    </row>
    <row r="6" spans="2:18" ht="24" thickBot="1">
      <c r="B6" s="237" t="s">
        <v>353</v>
      </c>
      <c r="C6" s="238" t="s">
        <v>146</v>
      </c>
      <c r="D6" s="238"/>
      <c r="E6" s="238"/>
      <c r="F6" s="238"/>
      <c r="G6" s="238"/>
      <c r="H6" s="238"/>
      <c r="I6" s="238"/>
      <c r="J6" s="238"/>
      <c r="K6" s="238" t="s">
        <v>354</v>
      </c>
      <c r="L6" s="238" t="s">
        <v>355</v>
      </c>
      <c r="N6" s="239" t="s">
        <v>459</v>
      </c>
      <c r="O6" s="239" t="s">
        <v>462</v>
      </c>
      <c r="P6" s="239" t="str">
        <f t="shared" si="0"/>
        <v>ik([48])</v>
      </c>
      <c r="Q6" s="239" t="str">
        <f t="shared" si="1"/>
        <v>ing0</v>
      </c>
      <c r="R6" s="239" t="str">
        <f t="shared" si="2"/>
        <v xml:space="preserve">    - derive/ik([48])/ing0/    # ing入 = ik[48]</v>
      </c>
    </row>
    <row r="7" spans="2:18" ht="24" thickBot="1">
      <c r="B7" s="237" t="s">
        <v>356</v>
      </c>
      <c r="C7" s="238" t="s">
        <v>357</v>
      </c>
      <c r="D7" s="238"/>
      <c r="E7" s="238"/>
      <c r="F7" s="238"/>
      <c r="G7" s="238" t="s">
        <v>358</v>
      </c>
      <c r="H7" s="238"/>
      <c r="I7" s="238"/>
      <c r="J7" s="238" t="s">
        <v>359</v>
      </c>
      <c r="K7" s="238" t="s">
        <v>360</v>
      </c>
      <c r="L7" s="238"/>
      <c r="N7" s="239" t="s">
        <v>460</v>
      </c>
      <c r="O7" s="239" t="s">
        <v>462</v>
      </c>
      <c r="P7" s="239" t="str">
        <f t="shared" si="0"/>
        <v>it([48])</v>
      </c>
      <c r="Q7" s="239" t="str">
        <f t="shared" si="1"/>
        <v>ing0</v>
      </c>
      <c r="R7" s="239" t="str">
        <f t="shared" si="2"/>
        <v xml:space="preserve">    - derive/it([48])/ing0/    # ing入 = it[48]</v>
      </c>
    </row>
    <row r="8" spans="2:18" ht="24" thickBot="1">
      <c r="B8" s="237" t="s">
        <v>361</v>
      </c>
      <c r="C8" s="238" t="s">
        <v>183</v>
      </c>
      <c r="D8" s="238" t="s">
        <v>164</v>
      </c>
      <c r="E8" s="238"/>
      <c r="F8" s="238"/>
      <c r="G8" s="238"/>
      <c r="H8" s="238"/>
      <c r="I8" s="238"/>
      <c r="J8" s="238"/>
      <c r="K8" s="238" t="s">
        <v>362</v>
      </c>
      <c r="L8" s="238" t="s">
        <v>363</v>
      </c>
      <c r="N8" s="239" t="s">
        <v>461</v>
      </c>
      <c r="O8" s="239" t="s">
        <v>463</v>
      </c>
      <c r="P8" s="239" t="str">
        <f t="shared" si="0"/>
        <v>ip([48])</v>
      </c>
      <c r="Q8" s="239" t="str">
        <f t="shared" si="1"/>
        <v>im0</v>
      </c>
      <c r="R8" s="239" t="str">
        <f t="shared" si="2"/>
        <v xml:space="preserve">    - derive/ip([48])/im0/    # im入 = ip[48]</v>
      </c>
    </row>
    <row r="9" spans="2:18" ht="24" thickBot="1">
      <c r="B9" s="237" t="s">
        <v>364</v>
      </c>
      <c r="C9" s="238" t="s">
        <v>105</v>
      </c>
      <c r="D9" s="238" t="s">
        <v>88</v>
      </c>
      <c r="E9" s="238" t="s">
        <v>365</v>
      </c>
      <c r="F9" s="238" t="s">
        <v>366</v>
      </c>
      <c r="G9" s="238" t="s">
        <v>367</v>
      </c>
      <c r="H9" s="238" t="s">
        <v>368</v>
      </c>
      <c r="I9" s="238" t="s">
        <v>369</v>
      </c>
      <c r="J9" s="238" t="s">
        <v>370</v>
      </c>
      <c r="K9" s="238" t="s">
        <v>371</v>
      </c>
      <c r="L9" s="238" t="s">
        <v>372</v>
      </c>
      <c r="N9" s="239" t="s">
        <v>464</v>
      </c>
      <c r="O9" s="239" t="s">
        <v>465</v>
      </c>
      <c r="P9" s="239" t="str">
        <f t="shared" si="0"/>
        <v>iak([48])</v>
      </c>
      <c r="Q9" s="239" t="str">
        <f t="shared" si="1"/>
        <v>iang0</v>
      </c>
      <c r="R9" s="239" t="str">
        <f t="shared" si="2"/>
        <v xml:space="preserve">    - derive/iak([48])/iang0/    # iang入 = iak[48]</v>
      </c>
    </row>
    <row r="10" spans="2:18" ht="24" thickBot="1">
      <c r="B10" s="237" t="s">
        <v>373</v>
      </c>
      <c r="C10" s="238" t="s">
        <v>374</v>
      </c>
      <c r="D10" s="238" t="s">
        <v>375</v>
      </c>
      <c r="E10" s="238" t="s">
        <v>376</v>
      </c>
      <c r="F10" s="238" t="s">
        <v>377</v>
      </c>
      <c r="G10" s="238" t="s">
        <v>378</v>
      </c>
      <c r="H10" s="238" t="s">
        <v>379</v>
      </c>
      <c r="I10" s="238" t="s">
        <v>380</v>
      </c>
      <c r="J10" s="238" t="s">
        <v>381</v>
      </c>
      <c r="K10" s="238" t="s">
        <v>382</v>
      </c>
      <c r="L10" s="238" t="s">
        <v>383</v>
      </c>
      <c r="N10" s="239" t="s">
        <v>466</v>
      </c>
      <c r="O10" s="239" t="s">
        <v>468</v>
      </c>
      <c r="P10" s="239" t="str">
        <f t="shared" si="0"/>
        <v>iat([48])</v>
      </c>
      <c r="Q10" s="239" t="str">
        <f t="shared" si="1"/>
        <v>ian0</v>
      </c>
      <c r="R10" s="239" t="str">
        <f t="shared" si="2"/>
        <v xml:space="preserve">    - derive/iat([48])/ian0/    # ian入 = iat[48]</v>
      </c>
    </row>
    <row r="11" spans="2:18" ht="24" thickBot="1">
      <c r="B11" s="237" t="s">
        <v>384</v>
      </c>
      <c r="C11" s="238" t="s">
        <v>385</v>
      </c>
      <c r="D11" s="238" t="s">
        <v>386</v>
      </c>
      <c r="E11" s="238"/>
      <c r="F11" s="238"/>
      <c r="G11" s="238"/>
      <c r="H11" s="238"/>
      <c r="I11" s="238"/>
      <c r="J11" s="238"/>
      <c r="K11" s="238" t="s">
        <v>387</v>
      </c>
      <c r="L11" s="238"/>
      <c r="N11" s="239" t="s">
        <v>467</v>
      </c>
      <c r="O11" s="239" t="s">
        <v>469</v>
      </c>
      <c r="P11" s="239" t="str">
        <f t="shared" si="0"/>
        <v>iap([48])</v>
      </c>
      <c r="Q11" s="239" t="str">
        <f t="shared" si="1"/>
        <v>iam0</v>
      </c>
      <c r="R11" s="239" t="str">
        <f t="shared" si="2"/>
        <v xml:space="preserve">    - derive/iap([48])/iam0/    # iam入 = iap[48]</v>
      </c>
    </row>
    <row r="12" spans="2:18" ht="24" thickBot="1">
      <c r="B12" s="237" t="s">
        <v>388</v>
      </c>
      <c r="C12" s="238" t="s">
        <v>389</v>
      </c>
      <c r="D12" s="238"/>
      <c r="E12" s="238"/>
      <c r="F12" s="238"/>
      <c r="G12" s="238"/>
      <c r="H12" s="238"/>
      <c r="I12" s="238"/>
      <c r="J12" s="238"/>
      <c r="K12" s="238" t="s">
        <v>390</v>
      </c>
      <c r="L12" s="238"/>
      <c r="N12" s="239" t="s">
        <v>470</v>
      </c>
      <c r="O12" s="239" t="s">
        <v>471</v>
      </c>
      <c r="P12" s="239" t="str">
        <f t="shared" si="0"/>
        <v>iok([48])</v>
      </c>
      <c r="Q12" s="239" t="str">
        <f t="shared" si="1"/>
        <v>iong0</v>
      </c>
      <c r="R12" s="239" t="str">
        <f t="shared" si="2"/>
        <v xml:space="preserve">    - derive/iok([48])/iong0/    # iong入 = iok[48]</v>
      </c>
    </row>
    <row r="13" spans="2:18" ht="24" thickBot="1">
      <c r="B13" s="237" t="s">
        <v>391</v>
      </c>
      <c r="C13" s="238" t="s">
        <v>392</v>
      </c>
      <c r="D13" s="238" t="s">
        <v>393</v>
      </c>
      <c r="E13" s="238"/>
      <c r="F13" s="238"/>
      <c r="G13" s="238" t="s">
        <v>394</v>
      </c>
      <c r="H13" s="238"/>
      <c r="I13" s="238"/>
      <c r="J13" s="238" t="s">
        <v>395</v>
      </c>
      <c r="K13" s="238" t="s">
        <v>396</v>
      </c>
      <c r="L13" s="238"/>
      <c r="N13" s="239" t="s">
        <v>472</v>
      </c>
      <c r="O13" s="239" t="s">
        <v>281</v>
      </c>
      <c r="P13" s="239" t="str">
        <f t="shared" si="0"/>
        <v>ok([48])</v>
      </c>
      <c r="Q13" s="239" t="str">
        <f t="shared" si="1"/>
        <v>ong0</v>
      </c>
      <c r="R13" s="239" t="str">
        <f t="shared" si="2"/>
        <v xml:space="preserve">    - derive/ok([48])/ong0/    # ong入 = ok[48]</v>
      </c>
    </row>
    <row r="14" spans="2:18" ht="24" thickBot="1">
      <c r="B14" s="237" t="s">
        <v>397</v>
      </c>
      <c r="C14" s="238" t="s">
        <v>398</v>
      </c>
      <c r="D14" s="238" t="s">
        <v>399</v>
      </c>
      <c r="E14" s="238"/>
      <c r="F14" s="238"/>
      <c r="G14" s="238"/>
      <c r="H14" s="238"/>
      <c r="I14" s="238"/>
      <c r="J14" s="238"/>
      <c r="K14" s="238" t="s">
        <v>400</v>
      </c>
      <c r="L14" s="238" t="s">
        <v>401</v>
      </c>
      <c r="N14" s="239" t="s">
        <v>473</v>
      </c>
      <c r="O14" s="239" t="s">
        <v>280</v>
      </c>
      <c r="P14" s="239" t="str">
        <f t="shared" si="0"/>
        <v>op([48])</v>
      </c>
      <c r="Q14" s="239" t="str">
        <f t="shared" si="1"/>
        <v>om0</v>
      </c>
      <c r="R14" s="239" t="str">
        <f t="shared" si="2"/>
        <v xml:space="preserve">    - derive/op([48])/om0/    # om入 = op[48]</v>
      </c>
    </row>
    <row r="15" spans="2:18" ht="24" thickBot="1">
      <c r="B15" s="237" t="s">
        <v>402</v>
      </c>
      <c r="C15" s="238" t="s">
        <v>403</v>
      </c>
      <c r="D15" s="238"/>
      <c r="E15" s="238"/>
      <c r="F15" s="238"/>
      <c r="G15" s="238"/>
      <c r="H15" s="238"/>
      <c r="I15" s="238"/>
      <c r="J15" s="238"/>
      <c r="K15" s="238" t="s">
        <v>404</v>
      </c>
      <c r="L15" s="238"/>
      <c r="N15" s="239" t="s">
        <v>474</v>
      </c>
      <c r="O15" s="239" t="s">
        <v>477</v>
      </c>
      <c r="P15" s="239" t="str">
        <f t="shared" si="0"/>
        <v>irk([48])</v>
      </c>
      <c r="Q15" s="239" t="str">
        <f t="shared" si="1"/>
        <v>irng0</v>
      </c>
      <c r="R15" s="239" t="str">
        <f t="shared" si="2"/>
        <v xml:space="preserve">    - derive/irk([48])/irng0/    # irng入 = irk[48]</v>
      </c>
    </row>
    <row r="16" spans="2:18" ht="24" thickBot="1">
      <c r="B16" s="237" t="s">
        <v>405</v>
      </c>
      <c r="C16" s="238" t="s">
        <v>194</v>
      </c>
      <c r="D16" s="238"/>
      <c r="E16" s="238"/>
      <c r="F16" s="238"/>
      <c r="G16" s="238"/>
      <c r="H16" s="238"/>
      <c r="I16" s="238"/>
      <c r="J16" s="238"/>
      <c r="K16" s="238" t="s">
        <v>406</v>
      </c>
      <c r="L16" s="238"/>
      <c r="N16" s="239" t="s">
        <v>475</v>
      </c>
      <c r="O16" s="239" t="s">
        <v>477</v>
      </c>
      <c r="P16" s="239" t="str">
        <f t="shared" si="0"/>
        <v>irt([48])</v>
      </c>
      <c r="Q16" s="239" t="str">
        <f t="shared" si="1"/>
        <v>irng0</v>
      </c>
      <c r="R16" s="239" t="str">
        <f t="shared" si="2"/>
        <v xml:space="preserve">    - derive/irt([48])/irng0/    # irng入 = irt[48]</v>
      </c>
    </row>
    <row r="17" spans="2:19" ht="24" thickBot="1">
      <c r="B17" s="237" t="s">
        <v>407</v>
      </c>
      <c r="C17" s="238" t="s">
        <v>107</v>
      </c>
      <c r="D17" s="238" t="s">
        <v>408</v>
      </c>
      <c r="E17" s="238" t="s">
        <v>92</v>
      </c>
      <c r="F17" s="238"/>
      <c r="G17" s="238" t="s">
        <v>109</v>
      </c>
      <c r="H17" s="238" t="s">
        <v>409</v>
      </c>
      <c r="I17" s="238"/>
      <c r="J17" s="238" t="s">
        <v>410</v>
      </c>
      <c r="K17" s="238" t="s">
        <v>411</v>
      </c>
      <c r="L17" s="238" t="s">
        <v>412</v>
      </c>
      <c r="N17" s="239" t="s">
        <v>476</v>
      </c>
      <c r="O17" s="239" t="s">
        <v>478</v>
      </c>
      <c r="P17" s="239" t="str">
        <f t="shared" si="0"/>
        <v>irp([48])</v>
      </c>
      <c r="Q17" s="239" t="str">
        <f t="shared" si="1"/>
        <v>irm0</v>
      </c>
      <c r="R17" s="239" t="str">
        <f t="shared" si="2"/>
        <v xml:space="preserve">    - derive/irp([48])/irm0/    # irm入 = irp[48]</v>
      </c>
    </row>
    <row r="18" spans="2:19" ht="24" thickBot="1">
      <c r="B18" s="237" t="s">
        <v>413</v>
      </c>
      <c r="C18" s="238" t="s">
        <v>126</v>
      </c>
      <c r="D18" s="238"/>
      <c r="E18" s="238" t="s">
        <v>414</v>
      </c>
      <c r="F18" s="238" t="s">
        <v>415</v>
      </c>
      <c r="G18" s="238" t="s">
        <v>416</v>
      </c>
      <c r="H18" s="238" t="s">
        <v>417</v>
      </c>
      <c r="I18" s="238" t="s">
        <v>418</v>
      </c>
      <c r="J18" s="238" t="s">
        <v>419</v>
      </c>
      <c r="K18" s="238" t="s">
        <v>420</v>
      </c>
      <c r="L18" s="238"/>
      <c r="N18" s="239" t="s">
        <v>479</v>
      </c>
      <c r="O18" s="239" t="s">
        <v>480</v>
      </c>
      <c r="P18" s="239" t="str">
        <f t="shared" si="0"/>
        <v>ut([48])</v>
      </c>
      <c r="Q18" s="239" t="str">
        <f t="shared" si="1"/>
        <v>un0</v>
      </c>
      <c r="R18" s="239" t="str">
        <f t="shared" si="2"/>
        <v xml:space="preserve">    - derive/ut([48])/un0/    # un入 = ut[48]</v>
      </c>
    </row>
    <row r="19" spans="2:19" ht="24" thickBot="1">
      <c r="B19" s="237" t="s">
        <v>421</v>
      </c>
      <c r="C19" s="238" t="s">
        <v>142</v>
      </c>
      <c r="D19" s="238"/>
      <c r="E19" s="238"/>
      <c r="F19" s="238" t="s">
        <v>422</v>
      </c>
      <c r="G19" s="238"/>
      <c r="H19" s="238"/>
      <c r="I19" s="238" t="s">
        <v>423</v>
      </c>
      <c r="J19" s="238"/>
      <c r="K19" s="238" t="s">
        <v>424</v>
      </c>
      <c r="L19" s="238"/>
      <c r="N19" s="239" t="s">
        <v>481</v>
      </c>
      <c r="O19" s="239" t="s">
        <v>482</v>
      </c>
      <c r="P19" s="239" t="str">
        <f t="shared" si="0"/>
        <v>uat([48])</v>
      </c>
      <c r="Q19" s="239" t="str">
        <f t="shared" si="1"/>
        <v>uan0</v>
      </c>
      <c r="R19" s="239" t="str">
        <f t="shared" si="2"/>
        <v xml:space="preserve">    - derive/uat([48])/uan0/    # uan入 = uat[48]</v>
      </c>
    </row>
    <row r="20" spans="2:19" ht="24" thickBot="1">
      <c r="B20" s="237" t="s">
        <v>425</v>
      </c>
      <c r="C20" s="238" t="s">
        <v>426</v>
      </c>
      <c r="D20" s="238" t="s">
        <v>427</v>
      </c>
      <c r="E20" s="238"/>
      <c r="F20" s="238" t="s">
        <v>428</v>
      </c>
      <c r="G20" s="238" t="s">
        <v>429</v>
      </c>
      <c r="H20" s="238"/>
      <c r="I20" s="238" t="s">
        <v>430</v>
      </c>
      <c r="J20" s="238"/>
      <c r="K20" s="238" t="s">
        <v>431</v>
      </c>
      <c r="L20" s="238"/>
    </row>
    <row r="21" spans="2:19" ht="24" thickBot="1">
      <c r="B21" s="237" t="s">
        <v>432</v>
      </c>
      <c r="C21" s="238" t="s">
        <v>433</v>
      </c>
      <c r="D21" s="238" t="s">
        <v>434</v>
      </c>
      <c r="E21" s="238"/>
      <c r="F21" s="238"/>
      <c r="G21" s="238"/>
      <c r="H21" s="238"/>
      <c r="I21" s="238"/>
      <c r="J21" s="238"/>
      <c r="K21" s="238"/>
      <c r="L21" s="238"/>
    </row>
    <row r="22" spans="2:19" ht="24" thickBot="1">
      <c r="B22" s="237" t="s">
        <v>435</v>
      </c>
      <c r="C22" s="238" t="s">
        <v>436</v>
      </c>
      <c r="D22" s="238"/>
      <c r="E22" s="238"/>
      <c r="F22" s="238"/>
      <c r="G22" s="238"/>
      <c r="H22" s="238"/>
      <c r="I22" s="238"/>
      <c r="J22" s="238"/>
      <c r="K22" s="238" t="s">
        <v>437</v>
      </c>
      <c r="L22" s="238"/>
      <c r="N22" s="240" t="s">
        <v>457</v>
      </c>
      <c r="O22" s="240" t="s">
        <v>458</v>
      </c>
      <c r="P22" s="240" t="str">
        <f xml:space="preserve"> _xlfn.CONCAT(N22,$P$2)</f>
        <v>ek([48])</v>
      </c>
      <c r="Q22" s="240" t="str">
        <f>_xlfn.CONCAT(O22,$Q$2)</f>
        <v>eng0</v>
      </c>
      <c r="R22" s="240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7" t="s">
        <v>438</v>
      </c>
      <c r="C23" s="238" t="s">
        <v>439</v>
      </c>
      <c r="D23" s="238"/>
      <c r="E23" s="238"/>
      <c r="F23" s="238"/>
      <c r="G23" s="238"/>
      <c r="H23" s="238"/>
      <c r="I23" s="238"/>
      <c r="J23" s="238"/>
      <c r="K23" s="238" t="s">
        <v>440</v>
      </c>
      <c r="L23" s="238"/>
      <c r="N23" s="241" t="s">
        <v>484</v>
      </c>
      <c r="O23" s="239" t="s">
        <v>483</v>
      </c>
      <c r="P23" s="239" t="str">
        <f xml:space="preserve"> _xlfn.CONCAT(N23,$P$2)</f>
        <v>uak([48])</v>
      </c>
      <c r="Q23" s="239" t="str">
        <f>_xlfn.CONCAT(O23,$Q$2)</f>
        <v>uang0</v>
      </c>
      <c r="R23" s="239" t="str">
        <f xml:space="preserve"> _xlfn.CONCAT("    - xform/", P23, "/", Q23, "/    # " &amp; O23, "入 = ", N23, "[48]")</f>
        <v xml:space="preserve">    - xform/uak([48])/uang0/    # uang入 = uak[48]</v>
      </c>
      <c r="S23" s="240"/>
    </row>
    <row r="24" spans="2:19" ht="24" thickBot="1">
      <c r="B24" s="237" t="s">
        <v>441</v>
      </c>
      <c r="C24" s="238" t="s">
        <v>442</v>
      </c>
      <c r="D24" s="238"/>
      <c r="E24" s="238"/>
      <c r="F24" s="238"/>
      <c r="G24" s="238"/>
      <c r="H24" s="238"/>
      <c r="I24" s="238"/>
      <c r="J24" s="238"/>
      <c r="K24" s="238"/>
      <c r="L24" s="238"/>
    </row>
    <row r="25" spans="2:19" ht="24" thickBot="1">
      <c r="B25" s="237" t="s">
        <v>443</v>
      </c>
      <c r="C25" s="238"/>
      <c r="D25" s="238" t="s">
        <v>444</v>
      </c>
      <c r="E25" s="238"/>
      <c r="F25" s="238"/>
      <c r="G25" s="238"/>
      <c r="H25" s="238"/>
      <c r="I25" s="238"/>
      <c r="J25" s="238"/>
      <c r="K25" s="238"/>
      <c r="L25" s="238"/>
    </row>
    <row r="26" spans="2:19" ht="24" thickBot="1">
      <c r="B26" s="237" t="s">
        <v>445</v>
      </c>
      <c r="C26" s="238" t="s">
        <v>446</v>
      </c>
      <c r="D26" s="238"/>
      <c r="E26" s="238"/>
      <c r="F26" s="238"/>
      <c r="G26" s="238"/>
      <c r="H26" s="238"/>
      <c r="I26" s="238"/>
      <c r="J26" s="238"/>
      <c r="K26" s="238" t="s">
        <v>447</v>
      </c>
      <c r="L26" s="238"/>
    </row>
    <row r="27" spans="2:19" ht="24" thickBot="1">
      <c r="B27" s="237" t="s">
        <v>448</v>
      </c>
      <c r="C27" s="245" t="s">
        <v>192</v>
      </c>
      <c r="D27" s="246"/>
      <c r="E27" s="245" t="s">
        <v>449</v>
      </c>
      <c r="F27" s="247"/>
      <c r="G27" s="247"/>
      <c r="H27" s="247"/>
      <c r="I27" s="247"/>
      <c r="J27" s="246"/>
      <c r="K27" s="245" t="s">
        <v>450</v>
      </c>
      <c r="L27" s="246"/>
    </row>
    <row r="28" spans="2:19" ht="24" thickBot="1">
      <c r="B28" s="237" t="s">
        <v>451</v>
      </c>
      <c r="C28" s="245" t="s">
        <v>452</v>
      </c>
      <c r="D28" s="246"/>
      <c r="E28" s="245" t="s">
        <v>449</v>
      </c>
      <c r="F28" s="247"/>
      <c r="G28" s="247"/>
      <c r="H28" s="247"/>
      <c r="I28" s="247"/>
      <c r="J28" s="246"/>
      <c r="K28" s="245" t="s">
        <v>453</v>
      </c>
      <c r="L28" s="246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topLeftCell="E1"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4" t="s">
        <v>313</v>
      </c>
      <c r="C2" s="234" t="s">
        <v>321</v>
      </c>
      <c r="D2" s="234" t="s">
        <v>300</v>
      </c>
      <c r="E2" s="234" t="s">
        <v>314</v>
      </c>
      <c r="F2" s="234" t="s">
        <v>66</v>
      </c>
      <c r="G2" s="234" t="s">
        <v>5</v>
      </c>
      <c r="I2" s="234" t="s">
        <v>313</v>
      </c>
      <c r="J2" s="234" t="s">
        <v>321</v>
      </c>
      <c r="K2" s="234" t="s">
        <v>300</v>
      </c>
      <c r="L2" s="234" t="s">
        <v>314</v>
      </c>
      <c r="M2" s="234" t="s">
        <v>66</v>
      </c>
      <c r="N2" s="234" t="s">
        <v>5</v>
      </c>
    </row>
    <row r="3" spans="2:26" ht="32.25">
      <c r="B3" s="224" t="s">
        <v>305</v>
      </c>
      <c r="C3" s="224" t="s">
        <v>322</v>
      </c>
      <c r="D3" s="225">
        <v>1</v>
      </c>
      <c r="E3" s="226" t="s">
        <v>302</v>
      </c>
      <c r="F3" s="227" t="s">
        <v>295</v>
      </c>
      <c r="G3" s="224" t="s">
        <v>297</v>
      </c>
      <c r="I3" s="224" t="s">
        <v>305</v>
      </c>
      <c r="J3" s="224" t="s">
        <v>322</v>
      </c>
      <c r="K3" s="225">
        <v>1</v>
      </c>
      <c r="L3" s="226" t="s">
        <v>302</v>
      </c>
      <c r="M3" s="227" t="s">
        <v>295</v>
      </c>
      <c r="N3" s="224" t="s">
        <v>297</v>
      </c>
      <c r="P3" s="235" cm="1">
        <f t="array" ref="P3:W3" xml:space="preserve"> TRANSPOSE(K3:K10)</f>
        <v>1</v>
      </c>
      <c r="Q3" s="235">
        <v>7</v>
      </c>
      <c r="R3" s="235">
        <v>3</v>
      </c>
      <c r="S3" s="235">
        <v>2</v>
      </c>
      <c r="T3" s="235">
        <v>5</v>
      </c>
      <c r="U3" s="235">
        <v>8</v>
      </c>
      <c r="V3" s="235">
        <v>4</v>
      </c>
      <c r="W3" s="235">
        <v>0</v>
      </c>
      <c r="X3" s="235" t="s">
        <v>331</v>
      </c>
      <c r="Z3" t="str">
        <f xml:space="preserve"> _xlfn.CONCAT("    - xform/", L3, "/", M3, "/")</f>
        <v xml:space="preserve">    - xform/一/ˉ/</v>
      </c>
    </row>
    <row r="4" spans="2:26" ht="32.25">
      <c r="B4" s="224" t="s">
        <v>306</v>
      </c>
      <c r="C4" s="224" t="s">
        <v>323</v>
      </c>
      <c r="D4" s="225">
        <v>2</v>
      </c>
      <c r="E4" s="226" t="s">
        <v>315</v>
      </c>
      <c r="F4" s="227" t="s">
        <v>49</v>
      </c>
      <c r="G4" s="224">
        <v>4</v>
      </c>
      <c r="I4" s="229" t="s">
        <v>311</v>
      </c>
      <c r="J4" s="229" t="s">
        <v>330</v>
      </c>
      <c r="K4" s="230">
        <v>7</v>
      </c>
      <c r="L4" s="233" t="s">
        <v>318</v>
      </c>
      <c r="M4" s="232" t="s">
        <v>51</v>
      </c>
      <c r="N4" s="229">
        <v>5</v>
      </c>
      <c r="P4" s="235" t="str" cm="1">
        <f t="array" ref="P4:W4" xml:space="preserve"> TRANSPOSE(N3:N10)</f>
        <v>:</v>
      </c>
      <c r="Q4" s="235">
        <v>5</v>
      </c>
      <c r="R4" s="235">
        <v>3</v>
      </c>
      <c r="S4" s="235">
        <v>4</v>
      </c>
      <c r="T4" s="235">
        <v>6</v>
      </c>
      <c r="U4" s="235" t="str">
        <v>]</v>
      </c>
      <c r="V4" s="235" t="str">
        <v>[</v>
      </c>
      <c r="W4" s="235">
        <v>7</v>
      </c>
      <c r="X4" s="235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4" t="s">
        <v>307</v>
      </c>
      <c r="C5" s="224" t="s">
        <v>324</v>
      </c>
      <c r="D5" s="225">
        <v>3</v>
      </c>
      <c r="E5" s="228" t="s">
        <v>316</v>
      </c>
      <c r="F5" s="227" t="s">
        <v>47</v>
      </c>
      <c r="G5" s="224">
        <v>3</v>
      </c>
      <c r="I5" s="224" t="s">
        <v>307</v>
      </c>
      <c r="J5" s="224" t="s">
        <v>324</v>
      </c>
      <c r="K5" s="225">
        <v>3</v>
      </c>
      <c r="L5" s="228" t="s">
        <v>316</v>
      </c>
      <c r="M5" s="227" t="s">
        <v>47</v>
      </c>
      <c r="N5" s="224">
        <v>3</v>
      </c>
      <c r="P5" s="236" t="str" cm="1">
        <f t="array" ref="P5:W5" xml:space="preserve"> TRANSPOSE(L3:L10)</f>
        <v>一</v>
      </c>
      <c r="Q5" s="236" t="str">
        <v>七</v>
      </c>
      <c r="R5" s="236" t="str">
        <v>三</v>
      </c>
      <c r="S5" s="236" t="str">
        <v>二</v>
      </c>
      <c r="T5" s="236" t="str">
        <v>五</v>
      </c>
      <c r="U5" s="235" t="str">
        <v>八</v>
      </c>
      <c r="V5" s="236" t="str">
        <v>四</v>
      </c>
      <c r="W5" s="236" t="str">
        <v>入</v>
      </c>
      <c r="X5" s="235" t="s">
        <v>332</v>
      </c>
      <c r="Z5" t="str">
        <f t="shared" si="0"/>
        <v xml:space="preserve">    - xform/三/˪/</v>
      </c>
    </row>
    <row r="6" spans="2:26" ht="32.25">
      <c r="B6" s="224" t="s">
        <v>308</v>
      </c>
      <c r="C6" s="224" t="s">
        <v>325</v>
      </c>
      <c r="D6" s="225">
        <v>4</v>
      </c>
      <c r="E6" s="228" t="s">
        <v>303</v>
      </c>
      <c r="F6" s="227" t="s">
        <v>295</v>
      </c>
      <c r="G6" s="224" t="s">
        <v>319</v>
      </c>
      <c r="I6" s="224" t="s">
        <v>306</v>
      </c>
      <c r="J6" s="224" t="s">
        <v>323</v>
      </c>
      <c r="K6" s="225">
        <v>2</v>
      </c>
      <c r="L6" s="226" t="s">
        <v>315</v>
      </c>
      <c r="M6" s="227" t="s">
        <v>49</v>
      </c>
      <c r="N6" s="224">
        <v>4</v>
      </c>
      <c r="P6" s="236" t="s">
        <v>295</v>
      </c>
      <c r="Q6" s="236" t="s">
        <v>51</v>
      </c>
      <c r="R6" s="236" t="s">
        <v>47</v>
      </c>
      <c r="S6" s="236" t="s">
        <v>49</v>
      </c>
      <c r="T6" s="236" t="s">
        <v>53</v>
      </c>
      <c r="U6" s="235" t="s">
        <v>296</v>
      </c>
      <c r="V6" s="236" t="s">
        <v>295</v>
      </c>
      <c r="W6" s="236" t="s">
        <v>63</v>
      </c>
      <c r="Z6" t="str">
        <f t="shared" si="0"/>
        <v xml:space="preserve">    - xform/二/ˋ/</v>
      </c>
    </row>
    <row r="7" spans="2:26" ht="32.25">
      <c r="B7" s="229" t="s">
        <v>309</v>
      </c>
      <c r="C7" s="229" t="s">
        <v>328</v>
      </c>
      <c r="D7" s="230">
        <v>5</v>
      </c>
      <c r="E7" s="231" t="s">
        <v>304</v>
      </c>
      <c r="F7" s="232" t="s">
        <v>53</v>
      </c>
      <c r="G7" s="229">
        <v>6</v>
      </c>
      <c r="I7" s="229" t="s">
        <v>309</v>
      </c>
      <c r="J7" s="229" t="s">
        <v>328</v>
      </c>
      <c r="K7" s="230">
        <v>5</v>
      </c>
      <c r="L7" s="231" t="s">
        <v>304</v>
      </c>
      <c r="M7" s="232" t="s">
        <v>53</v>
      </c>
      <c r="N7" s="229">
        <v>6</v>
      </c>
      <c r="Z7" t="str">
        <f t="shared" si="0"/>
        <v xml:space="preserve">    - xform/五/ˊ/</v>
      </c>
    </row>
    <row r="8" spans="2:26" ht="32.25">
      <c r="B8" s="229" t="s">
        <v>310</v>
      </c>
      <c r="C8" s="229" t="s">
        <v>329</v>
      </c>
      <c r="D8" s="230">
        <v>6</v>
      </c>
      <c r="E8" s="231" t="s">
        <v>317</v>
      </c>
      <c r="F8" s="232" t="s">
        <v>49</v>
      </c>
      <c r="G8" s="229"/>
      <c r="I8" s="229" t="s">
        <v>312</v>
      </c>
      <c r="J8" s="229" t="s">
        <v>326</v>
      </c>
      <c r="K8" s="230">
        <v>8</v>
      </c>
      <c r="L8" s="231" t="s">
        <v>301</v>
      </c>
      <c r="M8" s="232" t="s">
        <v>296</v>
      </c>
      <c r="N8" s="229" t="s">
        <v>298</v>
      </c>
      <c r="Z8" t="str">
        <f t="shared" si="0"/>
        <v xml:space="preserve">    - xform/八/˙/</v>
      </c>
    </row>
    <row r="9" spans="2:26" ht="32.25">
      <c r="B9" s="229" t="s">
        <v>311</v>
      </c>
      <c r="C9" s="229" t="s">
        <v>330</v>
      </c>
      <c r="D9" s="230">
        <v>7</v>
      </c>
      <c r="E9" s="233" t="s">
        <v>318</v>
      </c>
      <c r="F9" s="232" t="s">
        <v>51</v>
      </c>
      <c r="G9" s="229">
        <v>5</v>
      </c>
      <c r="I9" s="224" t="s">
        <v>308</v>
      </c>
      <c r="J9" s="224" t="s">
        <v>325</v>
      </c>
      <c r="K9" s="225">
        <v>4</v>
      </c>
      <c r="L9" s="228" t="s">
        <v>303</v>
      </c>
      <c r="M9" s="227" t="s">
        <v>295</v>
      </c>
      <c r="N9" s="224" t="s">
        <v>319</v>
      </c>
      <c r="Z9" t="str">
        <f t="shared" si="0"/>
        <v xml:space="preserve">    - xform/四/ˉ/</v>
      </c>
    </row>
    <row r="10" spans="2:26" ht="32.25">
      <c r="B10" s="229" t="s">
        <v>312</v>
      </c>
      <c r="C10" s="229" t="s">
        <v>326</v>
      </c>
      <c r="D10" s="230">
        <v>8</v>
      </c>
      <c r="E10" s="231" t="s">
        <v>301</v>
      </c>
      <c r="F10" s="232" t="s">
        <v>296</v>
      </c>
      <c r="G10" s="229" t="s">
        <v>298</v>
      </c>
      <c r="I10" s="229" t="s">
        <v>320</v>
      </c>
      <c r="J10" s="229" t="s">
        <v>327</v>
      </c>
      <c r="K10" s="230">
        <v>0</v>
      </c>
      <c r="L10" s="232" t="s">
        <v>299</v>
      </c>
      <c r="M10" s="232" t="s">
        <v>299</v>
      </c>
      <c r="N10" s="229">
        <v>7</v>
      </c>
    </row>
    <row r="11" spans="2:26" ht="32.25">
      <c r="B11" s="229" t="s">
        <v>320</v>
      </c>
      <c r="C11" s="229" t="s">
        <v>327</v>
      </c>
      <c r="D11" s="230">
        <v>0</v>
      </c>
      <c r="E11" s="231" t="s">
        <v>301</v>
      </c>
      <c r="F11" s="232" t="s">
        <v>299</v>
      </c>
      <c r="G11" s="229">
        <v>7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zoomScale="40" zoomScaleNormal="40" workbookViewId="0">
      <selection activeCell="CX15" sqref="CX15:CX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290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290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290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290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290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290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290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287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c(tsh)</v>
      </c>
      <c r="CR5" s="98" t="str">
        <v>c</v>
      </c>
      <c r="CS5" s="99" t="str">
        <v>h</v>
      </c>
      <c r="CT5" s="83" t="str">
        <v>ㄘ</v>
      </c>
      <c r="CU5" s="101" t="str">
        <v>聲</v>
      </c>
      <c r="CV5" s="102">
        <v>6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>
        <v>0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287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z(ts)</v>
      </c>
      <c r="CR6" s="98" t="str">
        <v>z</v>
      </c>
      <c r="CS6" s="99" t="str">
        <v>y</v>
      </c>
      <c r="CT6" s="83" t="str">
        <v>ㄗ</v>
      </c>
      <c r="CU6" s="101" t="str">
        <v>聲</v>
      </c>
      <c r="CV6" s="102">
        <v>5</v>
      </c>
      <c r="CX6" s="103" t="str">
        <f t="shared" si="3"/>
        <v xml:space="preserve">    - xform/^z(ts)/z/  # 【y】 ==&gt; 聲： ㄗ [z(ts)]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287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j(i)</v>
      </c>
      <c r="CR7" s="98" t="str">
        <v>J</v>
      </c>
      <c r="CS7" s="99" t="str">
        <v>R</v>
      </c>
      <c r="CT7" s="83" t="str">
        <v>ㆢ</v>
      </c>
      <c r="CU7" s="101" t="str">
        <v>聲</v>
      </c>
      <c r="CV7" s="102">
        <v>4</v>
      </c>
      <c r="CX7" s="103" t="str">
        <f t="shared" si="3"/>
        <v xml:space="preserve">    - xform/^j(i)/J/  # 【R】 ==&gt; 聲： ㆢ [j(i)]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287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z(i)</v>
      </c>
      <c r="CR8" s="98" t="str">
        <v>Z</v>
      </c>
      <c r="CS8" s="99" t="str">
        <v>r</v>
      </c>
      <c r="CT8" s="83" t="str">
        <v>ㄐ</v>
      </c>
      <c r="CU8" s="101" t="str">
        <v>聲</v>
      </c>
      <c r="CV8" s="102">
        <v>4</v>
      </c>
      <c r="CX8" s="103" t="str">
        <f t="shared" si="3"/>
        <v xml:space="preserve">    - xform/^z(i)/Z/  # 【r】 ==&gt; 聲： ㄐ [z(i)]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287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c(i)</v>
      </c>
      <c r="CR9" s="98" t="str">
        <v>C</v>
      </c>
      <c r="CS9" s="99" t="str">
        <v>f</v>
      </c>
      <c r="CT9" s="83" t="str">
        <v>ㄑ</v>
      </c>
      <c r="CU9" s="101" t="str">
        <v>聲</v>
      </c>
      <c r="CV9" s="102">
        <v>4</v>
      </c>
      <c r="CX9" s="103" t="str">
        <f t="shared" si="3"/>
        <v xml:space="preserve">    - xform/^c(i)/C/  # 【f】 ==&gt; 聲： ㄑ [c(i)]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287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s(i)</v>
      </c>
      <c r="CR10" s="98" t="str">
        <v>S</v>
      </c>
      <c r="CS10" s="99" t="str">
        <v>v</v>
      </c>
      <c r="CT10" s="83" t="str">
        <v>ㄒ</v>
      </c>
      <c r="CU10" s="101" t="str">
        <v>聲</v>
      </c>
      <c r="CV10" s="102">
        <v>4</v>
      </c>
      <c r="CX10" s="103" t="str">
        <f t="shared" si="3"/>
        <v xml:space="preserve">    - xform/^s(i)/S/  # 【v】 ==&gt; 聲： ㄒ [s(i)]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287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ph</v>
      </c>
      <c r="CR11" s="98" t="str">
        <v>P</v>
      </c>
      <c r="CS11" s="99" t="str">
        <v>q</v>
      </c>
      <c r="CT11" s="83" t="str">
        <v>ㄆ</v>
      </c>
      <c r="CU11" s="101" t="str">
        <v>聲</v>
      </c>
      <c r="CV11" s="102">
        <v>2</v>
      </c>
      <c r="CX11" s="103" t="str">
        <f t="shared" si="3"/>
        <v xml:space="preserve">    - xform/^ph/P/  # 【q】 ==&gt; 聲： ㄆ [ph]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287</v>
      </c>
      <c r="BT12" s="95">
        <f t="shared" si="0"/>
        <v>1</v>
      </c>
      <c r="BV12" s="96" t="str">
        <f t="shared" si="5"/>
        <v xml:space="preserve">    "x": { commit: "ㄌ" }  # /ㆣ/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th</v>
      </c>
      <c r="CR12" s="98" t="str">
        <v>T</v>
      </c>
      <c r="CS12" s="99" t="str">
        <v>w</v>
      </c>
      <c r="CT12" s="83" t="str">
        <v>ㄊ</v>
      </c>
      <c r="CU12" s="101" t="str">
        <v>聲</v>
      </c>
      <c r="CV12" s="102">
        <v>2</v>
      </c>
      <c r="CX12" s="103" t="str">
        <f t="shared" si="3"/>
        <v xml:space="preserve">    - xform/^th/T/  # 【w】 ==&gt; 聲： ㄊ [th]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ㆣ</v>
      </c>
      <c r="BP13" s="92" t="str">
        <v>g</v>
      </c>
      <c r="BQ13" s="82" t="str">
        <v>E</v>
      </c>
      <c r="BR13" s="83" t="str">
        <v>ㆣ</v>
      </c>
      <c r="BS13" s="94" t="s">
        <v>287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kh</v>
      </c>
      <c r="CR13" s="98" t="str">
        <v>K</v>
      </c>
      <c r="CS13" s="99" t="str">
        <v>d</v>
      </c>
      <c r="CT13" s="83" t="str">
        <v>ㄎ</v>
      </c>
      <c r="CU13" s="101" t="str">
        <v>聲</v>
      </c>
      <c r="CV13" s="102">
        <v>2</v>
      </c>
      <c r="CX13" s="103" t="str">
        <f t="shared" si="3"/>
        <v xml:space="preserve">    - xform/^kh/K/  # 【d】 ==&gt; 聲： ㄎ [kh]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287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ng</v>
      </c>
      <c r="CR14" s="98" t="str">
        <v>ŋ</v>
      </c>
      <c r="CS14" s="99" t="str">
        <v>G</v>
      </c>
      <c r="CT14" s="83" t="str">
        <v>ㄫ</v>
      </c>
      <c r="CU14" s="101" t="str">
        <v>聲</v>
      </c>
      <c r="CV14" s="102">
        <v>2</v>
      </c>
      <c r="CX14" s="103" t="str">
        <f t="shared" si="3"/>
        <v xml:space="preserve">    - xform/^ng/ŋ/  # 【G】 ==&gt; 聲： ㄫ [ng]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287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287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290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ㆣ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z(ts)</v>
      </c>
      <c r="R17" s="142" t="str">
        <f>xlit對映工具!Q3</f>
        <v>c(tsh)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287</v>
      </c>
      <c r="BT17" s="95">
        <f t="shared" si="0"/>
        <v>1</v>
      </c>
      <c r="BV17" s="96" t="str">
        <f t="shared" si="5"/>
        <v xml:space="preserve">    "Y": { commit: "ㆡ" }  # /z(ts)/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>
        <f>xlit對映工具!BG4</f>
        <v>0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z(ts)</v>
      </c>
      <c r="BP18" s="92" t="str">
        <v>z</v>
      </c>
      <c r="BQ18" s="82" t="str">
        <v>y</v>
      </c>
      <c r="BR18" s="83" t="str">
        <v>ㄗ</v>
      </c>
      <c r="BS18" s="94" t="s">
        <v>287</v>
      </c>
      <c r="BT18" s="95">
        <f t="shared" si="0"/>
        <v>5</v>
      </c>
      <c r="BV18" s="96" t="str">
        <f t="shared" si="5"/>
        <v xml:space="preserve">    "y": { commit: "ㄗ" }  # /c(tsh)/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c(tsh)</v>
      </c>
      <c r="BP19" s="92" t="str">
        <v>c</v>
      </c>
      <c r="BQ19" s="82" t="str">
        <v>h</v>
      </c>
      <c r="BR19" s="83" t="str">
        <v>ㄘ</v>
      </c>
      <c r="BS19" s="94" t="s">
        <v>287</v>
      </c>
      <c r="BT19" s="95">
        <f t="shared" si="0"/>
        <v>6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287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287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ㆣ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[ㆣ]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287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287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287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287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288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288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bpPmntTlgkKŋjzcshJZCSaiwueOəMNGRFQVIUY@AWHdfqrvxy17325840L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17325840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288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288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xlit|bpPmntTlgkKŋjzcshJZCSaiwueOəMNGRFQVIUY@AWHdfqrvxy17325840L|!1qas2wxEedGYyhncRrfv8uKj,ikmp/btgz9lM0;Oo*UJ&lt;I(L:5346][7N|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xlit|17325840|:5346][7|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288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288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288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288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0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288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288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288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288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288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288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288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289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289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289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289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289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289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289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>
        <v>0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0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2</vt:i4>
      </vt:variant>
    </vt:vector>
  </HeadingPairs>
  <TitlesOfParts>
    <vt:vector size="8" baseType="lpstr">
      <vt:lpstr>xlit對映工具</vt:lpstr>
      <vt:lpstr>韻母列表</vt:lpstr>
      <vt:lpstr>韻母列表 (陽聲韻轉換)</vt:lpstr>
      <vt:lpstr>韻母列表 (3)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2026-04-05T12:40:15Z</dcterms:modified>
</cp:coreProperties>
</file>