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"/>
    </mc:Choice>
  </mc:AlternateContent>
  <xr:revisionPtr revIDLastSave="0" documentId="13_ncr:1_{40EA21EC-CB20-4263-B8B2-05C8FA58AB06}" xr6:coauthVersionLast="47" xr6:coauthVersionMax="47" xr10:uidLastSave="{00000000-0000-0000-0000-000000000000}"/>
  <bookViews>
    <workbookView xWindow="-28455" yWindow="735" windowWidth="28200" windowHeight="13065" activeTab="2" xr2:uid="{7E808FC4-FD7B-4D2F-8735-FF65DCE8E5C1}"/>
  </bookViews>
  <sheets>
    <sheet name="【聲】聲母對照表" sheetId="1" r:id="rId1"/>
    <sheet name="【韻】聲母對照表" sheetId="2" r:id="rId2"/>
    <sheet name="【調】聲調對照表" sheetId="3" r:id="rId3"/>
    <sheet name="工作表1" sheetId="5" r:id="rId4"/>
    <sheet name="舊版聲調對照表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3" i="3" l="1"/>
  <c r="R14" i="3"/>
  <c r="R15" i="3"/>
  <c r="R16" i="3"/>
  <c r="R17" i="3"/>
  <c r="R18" i="3"/>
  <c r="R19" i="3"/>
  <c r="R20" i="3"/>
  <c r="R21" i="3"/>
  <c r="R12" i="3"/>
  <c r="P21" i="3"/>
  <c r="P20" i="3"/>
  <c r="P19" i="3"/>
  <c r="P18" i="3"/>
  <c r="P17" i="3"/>
  <c r="P16" i="3"/>
  <c r="P15" i="3"/>
  <c r="P14" i="3"/>
  <c r="P13" i="3"/>
  <c r="P12" i="3"/>
  <c r="J14" i="3"/>
  <c r="J15" i="3"/>
  <c r="J16" i="3"/>
  <c r="J17" i="3"/>
  <c r="J18" i="3"/>
  <c r="J19" i="3"/>
  <c r="J20" i="3"/>
  <c r="J21" i="3"/>
  <c r="J13" i="3"/>
  <c r="N17" i="3"/>
  <c r="N18" i="3"/>
  <c r="N14" i="3"/>
  <c r="N19" i="3"/>
  <c r="N15" i="3"/>
  <c r="N13" i="3"/>
  <c r="N16" i="3"/>
  <c r="J12" i="3"/>
  <c r="N12" i="3"/>
  <c r="L12" i="3"/>
  <c r="L15" i="3"/>
  <c r="L19" i="3"/>
  <c r="L13" i="3"/>
  <c r="L14" i="3"/>
  <c r="L16" i="3"/>
  <c r="L17" i="3"/>
  <c r="L18" i="3"/>
  <c r="L21" i="3"/>
  <c r="P11" i="4"/>
  <c r="N11" i="4"/>
  <c r="M11" i="4"/>
  <c r="L11" i="4"/>
  <c r="J11" i="4"/>
  <c r="P10" i="4"/>
  <c r="N10" i="4"/>
  <c r="M10" i="4"/>
  <c r="L10" i="4"/>
  <c r="J10" i="4"/>
  <c r="P9" i="4"/>
  <c r="N9" i="4"/>
  <c r="M9" i="4"/>
  <c r="L9" i="4"/>
  <c r="J9" i="4"/>
  <c r="P8" i="4"/>
  <c r="N8" i="4"/>
  <c r="M8" i="4"/>
  <c r="L8" i="4"/>
  <c r="J8" i="4"/>
  <c r="M7" i="4"/>
  <c r="P6" i="4"/>
  <c r="N6" i="4"/>
  <c r="M6" i="4"/>
  <c r="L6" i="4"/>
  <c r="J6" i="4"/>
  <c r="P5" i="4"/>
  <c r="N5" i="4"/>
  <c r="M5" i="4"/>
  <c r="L5" i="4"/>
  <c r="J5" i="4"/>
  <c r="P4" i="4"/>
  <c r="N4" i="4"/>
  <c r="M4" i="4"/>
  <c r="L4" i="4"/>
  <c r="J4" i="4"/>
  <c r="P3" i="4"/>
  <c r="N3" i="4"/>
  <c r="M3" i="4"/>
  <c r="L3" i="4"/>
  <c r="J3" i="4"/>
</calcChain>
</file>

<file path=xl/sharedStrings.xml><?xml version="1.0" encoding="utf-8"?>
<sst xmlns="http://schemas.openxmlformats.org/spreadsheetml/2006/main" count="1450" uniqueCount="872">
  <si>
    <t>識別號</t>
  </si>
  <si>
    <t>漢字例</t>
  </si>
  <si>
    <t>國際音標</t>
  </si>
  <si>
    <t>十五音</t>
  </si>
  <si>
    <t>方音符號</t>
  </si>
  <si>
    <t>台語音標</t>
  </si>
  <si>
    <t>台羅拼音</t>
  </si>
  <si>
    <t>白話字</t>
  </si>
  <si>
    <t>閩拼方案</t>
  </si>
  <si>
    <t>注音二式</t>
  </si>
  <si>
    <t>舒促聲</t>
  </si>
  <si>
    <t>十五音識別碼</t>
  </si>
  <si>
    <t>1</t>
  </si>
  <si>
    <t>汾</t>
  </si>
  <si>
    <t>un</t>
  </si>
  <si>
    <t>君</t>
  </si>
  <si>
    <t>ㄨㄣ</t>
  </si>
  <si>
    <t>舒聲</t>
  </si>
  <si>
    <t>君舒</t>
  </si>
  <si>
    <t>2</t>
  </si>
  <si>
    <t>不</t>
  </si>
  <si>
    <t>ut̚</t>
  </si>
  <si>
    <t>ㄨㆵ</t>
  </si>
  <si>
    <t>ut</t>
  </si>
  <si>
    <t>促聲</t>
  </si>
  <si>
    <t>君促</t>
  </si>
  <si>
    <t>3</t>
  </si>
  <si>
    <t>掀</t>
  </si>
  <si>
    <t>ian</t>
  </si>
  <si>
    <t>堅</t>
  </si>
  <si>
    <t>ㄧㄢ</t>
  </si>
  <si>
    <t>堅舒</t>
  </si>
  <si>
    <t>4</t>
  </si>
  <si>
    <t>別</t>
  </si>
  <si>
    <t>iat̚</t>
  </si>
  <si>
    <t>ㄧㄚㆵ</t>
  </si>
  <si>
    <t>iat</t>
  </si>
  <si>
    <t>堅促</t>
  </si>
  <si>
    <t>5</t>
  </si>
  <si>
    <t>深</t>
  </si>
  <si>
    <t>im</t>
  </si>
  <si>
    <t>金</t>
  </si>
  <si>
    <t>ㄧㆬ</t>
  </si>
  <si>
    <t>金舒</t>
  </si>
  <si>
    <t>6</t>
  </si>
  <si>
    <t>蟄</t>
  </si>
  <si>
    <t>ip̚</t>
  </si>
  <si>
    <t>一ㆴ</t>
  </si>
  <si>
    <t>ip</t>
  </si>
  <si>
    <t>金促</t>
  </si>
  <si>
    <t>7</t>
  </si>
  <si>
    <t>歸</t>
  </si>
  <si>
    <t>ui</t>
  </si>
  <si>
    <t>規</t>
  </si>
  <si>
    <t>ㄨㄧ</t>
  </si>
  <si>
    <t>規舒</t>
  </si>
  <si>
    <t>9</t>
  </si>
  <si>
    <t>家</t>
  </si>
  <si>
    <t>ɛ</t>
  </si>
  <si>
    <t>嘉</t>
  </si>
  <si>
    <t>ㄝ</t>
  </si>
  <si>
    <t>ee</t>
  </si>
  <si>
    <t>e</t>
  </si>
  <si>
    <t>嘉舒</t>
  </si>
  <si>
    <t>10</t>
  </si>
  <si>
    <t>八</t>
  </si>
  <si>
    <t>ɛ?</t>
  </si>
  <si>
    <t>ㄝㆷ</t>
  </si>
  <si>
    <t>eeh</t>
  </si>
  <si>
    <t>0</t>
  </si>
  <si>
    <t>eh</t>
  </si>
  <si>
    <t>嘉促</t>
  </si>
  <si>
    <t>11</t>
  </si>
  <si>
    <t>蘭</t>
  </si>
  <si>
    <t>an</t>
  </si>
  <si>
    <t>干</t>
  </si>
  <si>
    <t>ㄢ</t>
  </si>
  <si>
    <t>干舒</t>
  </si>
  <si>
    <t>12</t>
  </si>
  <si>
    <t>識</t>
  </si>
  <si>
    <t>at̚</t>
  </si>
  <si>
    <t>ㄚㆵ</t>
  </si>
  <si>
    <t>at</t>
  </si>
  <si>
    <t>干促</t>
  </si>
  <si>
    <t>13</t>
  </si>
  <si>
    <t>風</t>
  </si>
  <si>
    <t>ɔŋ</t>
  </si>
  <si>
    <t>公</t>
  </si>
  <si>
    <t>ㆲ</t>
  </si>
  <si>
    <t>ong</t>
  </si>
  <si>
    <t>公舒</t>
  </si>
  <si>
    <t>14</t>
  </si>
  <si>
    <t>福</t>
  </si>
  <si>
    <t>ɔk̚</t>
  </si>
  <si>
    <t>ㆦㆻ</t>
  </si>
  <si>
    <t>ok</t>
  </si>
  <si>
    <t>公促</t>
  </si>
  <si>
    <t>15</t>
  </si>
  <si>
    <t>怪</t>
  </si>
  <si>
    <t>uai</t>
  </si>
  <si>
    <t>乖</t>
  </si>
  <si>
    <t>ㄨㄞ</t>
  </si>
  <si>
    <t>oai</t>
  </si>
  <si>
    <t>乖舒</t>
  </si>
  <si>
    <t>8</t>
  </si>
  <si>
    <t>16</t>
  </si>
  <si>
    <t>uai?</t>
  </si>
  <si>
    <t>ㄨㄞㆷ</t>
  </si>
  <si>
    <t>uaih</t>
  </si>
  <si>
    <t>oaih</t>
  </si>
  <si>
    <t>乖促</t>
  </si>
  <si>
    <t>17</t>
  </si>
  <si>
    <t>情</t>
  </si>
  <si>
    <t>iŋ</t>
  </si>
  <si>
    <t>經</t>
  </si>
  <si>
    <t>ㄧㄥ</t>
  </si>
  <si>
    <t>ing</t>
  </si>
  <si>
    <t>eng</t>
  </si>
  <si>
    <t>經舒</t>
  </si>
  <si>
    <t>18</t>
  </si>
  <si>
    <t>益</t>
  </si>
  <si>
    <t>ik̚</t>
  </si>
  <si>
    <t>ㄧㆻ</t>
  </si>
  <si>
    <t>ik</t>
  </si>
  <si>
    <t>ek</t>
  </si>
  <si>
    <t>經促</t>
  </si>
  <si>
    <t>19</t>
  </si>
  <si>
    <t>猿</t>
  </si>
  <si>
    <t>uan</t>
  </si>
  <si>
    <t>觀</t>
  </si>
  <si>
    <t>ㄨㄢ</t>
  </si>
  <si>
    <t>oan</t>
  </si>
  <si>
    <t>觀舒</t>
  </si>
  <si>
    <t>20</t>
  </si>
  <si>
    <t>說</t>
  </si>
  <si>
    <t>uat̚</t>
  </si>
  <si>
    <t>ㄨㄚㆵ</t>
  </si>
  <si>
    <t>uat</t>
  </si>
  <si>
    <t>oat</t>
  </si>
  <si>
    <t>觀促</t>
  </si>
  <si>
    <t>21</t>
  </si>
  <si>
    <t>捕</t>
  </si>
  <si>
    <t>ou</t>
  </si>
  <si>
    <t>沽</t>
  </si>
  <si>
    <t>ㆦ</t>
  </si>
  <si>
    <t>oo</t>
  </si>
  <si>
    <t>o͘</t>
  </si>
  <si>
    <t>沽舒</t>
  </si>
  <si>
    <t>23</t>
  </si>
  <si>
    <t>遙</t>
  </si>
  <si>
    <t>iau</t>
  </si>
  <si>
    <t>嬌</t>
  </si>
  <si>
    <t>ㄧㄠ</t>
  </si>
  <si>
    <t>iao</t>
  </si>
  <si>
    <t>嬌舒</t>
  </si>
  <si>
    <t>24</t>
  </si>
  <si>
    <t>噭</t>
  </si>
  <si>
    <t>iau?</t>
  </si>
  <si>
    <t>ㄧㄠㆷ</t>
  </si>
  <si>
    <t>iauh</t>
  </si>
  <si>
    <t>iaoh</t>
  </si>
  <si>
    <t>嬌促</t>
  </si>
  <si>
    <t>25</t>
  </si>
  <si>
    <t>遞</t>
  </si>
  <si>
    <t>ei</t>
  </si>
  <si>
    <t>稽</t>
  </si>
  <si>
    <t>ㆤ</t>
  </si>
  <si>
    <t>稽舒</t>
  </si>
  <si>
    <t>27</t>
  </si>
  <si>
    <t>中</t>
  </si>
  <si>
    <t>iɔŋ</t>
  </si>
  <si>
    <t>恭</t>
  </si>
  <si>
    <t>ㄧㆲ</t>
  </si>
  <si>
    <t>iong</t>
  </si>
  <si>
    <t>恭舒</t>
  </si>
  <si>
    <t>28</t>
  </si>
  <si>
    <t>俗</t>
  </si>
  <si>
    <t>iɔk̚</t>
  </si>
  <si>
    <t>ㄧㆦㆻ</t>
  </si>
  <si>
    <t>iok</t>
  </si>
  <si>
    <t>恭促</t>
  </si>
  <si>
    <t>29</t>
  </si>
  <si>
    <t>果</t>
  </si>
  <si>
    <t>o</t>
  </si>
  <si>
    <t>高</t>
  </si>
  <si>
    <t>ㄜ</t>
  </si>
  <si>
    <t>or</t>
  </si>
  <si>
    <t>高舒</t>
  </si>
  <si>
    <t>30</t>
  </si>
  <si>
    <t>卜</t>
  </si>
  <si>
    <t>o?</t>
  </si>
  <si>
    <t>ㄜㆷ</t>
  </si>
  <si>
    <t>oh</t>
  </si>
  <si>
    <t>orh</t>
  </si>
  <si>
    <t>高促</t>
  </si>
  <si>
    <t>31</t>
  </si>
  <si>
    <t>埃</t>
  </si>
  <si>
    <t>ai</t>
  </si>
  <si>
    <t>皆</t>
  </si>
  <si>
    <t>ㄞ</t>
  </si>
  <si>
    <t>皆舒</t>
  </si>
  <si>
    <t>33</t>
  </si>
  <si>
    <t>恩</t>
  </si>
  <si>
    <t>in</t>
  </si>
  <si>
    <t>巾</t>
  </si>
  <si>
    <t>ㄧㄣ</t>
  </si>
  <si>
    <t>巾舒</t>
  </si>
  <si>
    <t>34</t>
  </si>
  <si>
    <t>一</t>
  </si>
  <si>
    <t>it̚</t>
  </si>
  <si>
    <t>ㄧㆵ</t>
  </si>
  <si>
    <t>it</t>
  </si>
  <si>
    <t>巾促</t>
  </si>
  <si>
    <t>35</t>
  </si>
  <si>
    <t>將</t>
  </si>
  <si>
    <t>iaŋ</t>
  </si>
  <si>
    <t>姜</t>
  </si>
  <si>
    <t>ㄧㄤ</t>
  </si>
  <si>
    <t>iang</t>
  </si>
  <si>
    <t>姜舒</t>
  </si>
  <si>
    <t>36</t>
  </si>
  <si>
    <t>爆</t>
  </si>
  <si>
    <t>iak̚</t>
  </si>
  <si>
    <t>ㄧㄚㆻ</t>
  </si>
  <si>
    <t>iak</t>
  </si>
  <si>
    <t>姜促</t>
  </si>
  <si>
    <t>37</t>
  </si>
  <si>
    <t>堪</t>
  </si>
  <si>
    <t>am</t>
  </si>
  <si>
    <t>甘</t>
  </si>
  <si>
    <t>ㆰ</t>
  </si>
  <si>
    <t>甘舒</t>
  </si>
  <si>
    <t>38</t>
  </si>
  <si>
    <t>答</t>
  </si>
  <si>
    <t>ap̚</t>
  </si>
  <si>
    <t>ㄚㆴ</t>
  </si>
  <si>
    <t>ap</t>
  </si>
  <si>
    <t>甘促</t>
  </si>
  <si>
    <t>39</t>
  </si>
  <si>
    <t>花</t>
  </si>
  <si>
    <t>ua</t>
  </si>
  <si>
    <t>瓜</t>
  </si>
  <si>
    <t>ㄨㄚ</t>
  </si>
  <si>
    <t>oa</t>
  </si>
  <si>
    <t>瓜舒</t>
  </si>
  <si>
    <t>40</t>
  </si>
  <si>
    <t>缽</t>
  </si>
  <si>
    <t>ua?</t>
  </si>
  <si>
    <t>ㄨㄚㆷ</t>
  </si>
  <si>
    <t>uah</t>
  </si>
  <si>
    <t>oah</t>
  </si>
  <si>
    <t>瓜促</t>
  </si>
  <si>
    <t>41</t>
  </si>
  <si>
    <t>邦</t>
  </si>
  <si>
    <t>aŋ</t>
  </si>
  <si>
    <t>江</t>
  </si>
  <si>
    <t>ㄤ</t>
  </si>
  <si>
    <t>ang</t>
  </si>
  <si>
    <t>江舒</t>
  </si>
  <si>
    <t>42</t>
  </si>
  <si>
    <t>角</t>
  </si>
  <si>
    <t>ak̚</t>
  </si>
  <si>
    <t>ㄚㆻ</t>
  </si>
  <si>
    <t>ak</t>
  </si>
  <si>
    <t>江促</t>
  </si>
  <si>
    <t>43</t>
  </si>
  <si>
    <t>尖</t>
  </si>
  <si>
    <t>iam</t>
  </si>
  <si>
    <t>兼</t>
  </si>
  <si>
    <t>ㄧㆰ</t>
  </si>
  <si>
    <t>兼舒</t>
  </si>
  <si>
    <t>22</t>
  </si>
  <si>
    <t>44</t>
  </si>
  <si>
    <t>接</t>
  </si>
  <si>
    <t>iap̚</t>
  </si>
  <si>
    <t>ㄧㄚㆴ</t>
  </si>
  <si>
    <t>iap</t>
  </si>
  <si>
    <t>兼促</t>
  </si>
  <si>
    <t>45</t>
  </si>
  <si>
    <t>鬧</t>
  </si>
  <si>
    <t>au</t>
  </si>
  <si>
    <t>交</t>
  </si>
  <si>
    <t>ㄠ</t>
  </si>
  <si>
    <t>ao</t>
  </si>
  <si>
    <t>交舒</t>
  </si>
  <si>
    <t>46</t>
  </si>
  <si>
    <t>暴</t>
  </si>
  <si>
    <t>au?</t>
  </si>
  <si>
    <t>ㄠㆷ</t>
  </si>
  <si>
    <t>auh</t>
  </si>
  <si>
    <t>aoh</t>
  </si>
  <si>
    <t>交促</t>
  </si>
  <si>
    <t>47</t>
  </si>
  <si>
    <t>名</t>
  </si>
  <si>
    <t>ia</t>
  </si>
  <si>
    <t>迦</t>
  </si>
  <si>
    <t>ㄧㄚ</t>
  </si>
  <si>
    <t>迦舒</t>
  </si>
  <si>
    <t>48</t>
  </si>
  <si>
    <t>壁</t>
  </si>
  <si>
    <t>ia?</t>
  </si>
  <si>
    <t>ㄧㄚㆷ</t>
  </si>
  <si>
    <t>iah</t>
  </si>
  <si>
    <t>迦促</t>
  </si>
  <si>
    <t>49</t>
  </si>
  <si>
    <t>話</t>
  </si>
  <si>
    <t>uei</t>
  </si>
  <si>
    <t>檜</t>
  </si>
  <si>
    <t>ㄨㆤ</t>
  </si>
  <si>
    <t>ue</t>
  </si>
  <si>
    <t>oe</t>
  </si>
  <si>
    <t>檜舒</t>
  </si>
  <si>
    <t>50</t>
  </si>
  <si>
    <t>拔</t>
  </si>
  <si>
    <t>uei?</t>
  </si>
  <si>
    <t>ㄨㆤㆷ</t>
  </si>
  <si>
    <t>ueh</t>
  </si>
  <si>
    <t>oeh</t>
  </si>
  <si>
    <t>檜促</t>
  </si>
  <si>
    <t>聽</t>
  </si>
  <si>
    <t>ã</t>
  </si>
  <si>
    <t>監</t>
  </si>
  <si>
    <t>ㆩ</t>
  </si>
  <si>
    <t>ann</t>
  </si>
  <si>
    <t>aⁿ</t>
  </si>
  <si>
    <t>na</t>
  </si>
  <si>
    <t>監舒</t>
  </si>
  <si>
    <t>26</t>
  </si>
  <si>
    <t>含</t>
  </si>
  <si>
    <t>ã?</t>
  </si>
  <si>
    <t>ㆩㆷ</t>
  </si>
  <si>
    <t>ahnn</t>
  </si>
  <si>
    <t>annh</t>
  </si>
  <si>
    <t>aⁿh</t>
  </si>
  <si>
    <t>nah</t>
  </si>
  <si>
    <t>監促</t>
  </si>
  <si>
    <t>夫</t>
  </si>
  <si>
    <t>u</t>
  </si>
  <si>
    <t>艍</t>
  </si>
  <si>
    <t>ㄨ</t>
  </si>
  <si>
    <t>艍舒</t>
  </si>
  <si>
    <t>勃</t>
  </si>
  <si>
    <t>u?</t>
  </si>
  <si>
    <t>ㄨㆷ</t>
  </si>
  <si>
    <t>uh</t>
  </si>
  <si>
    <t>艍促</t>
  </si>
  <si>
    <t>些</t>
  </si>
  <si>
    <t>a</t>
  </si>
  <si>
    <t>膠</t>
  </si>
  <si>
    <t>ㄚ</t>
  </si>
  <si>
    <t>膠舒</t>
  </si>
  <si>
    <t>百</t>
  </si>
  <si>
    <t>a?</t>
  </si>
  <si>
    <t>ㄚㆷ</t>
  </si>
  <si>
    <t>ah</t>
  </si>
  <si>
    <t>膠促</t>
  </si>
  <si>
    <t>爾</t>
  </si>
  <si>
    <t>i</t>
  </si>
  <si>
    <t>居</t>
  </si>
  <si>
    <t>ㄧ</t>
  </si>
  <si>
    <t>居舒</t>
  </si>
  <si>
    <t>逼</t>
  </si>
  <si>
    <t>i?</t>
  </si>
  <si>
    <t>ㄧㆷ</t>
  </si>
  <si>
    <t>ih</t>
  </si>
  <si>
    <t>居促</t>
  </si>
  <si>
    <t>油</t>
  </si>
  <si>
    <t>iu</t>
  </si>
  <si>
    <t>丩</t>
  </si>
  <si>
    <t>ㄧㄨ</t>
  </si>
  <si>
    <t>丩舒</t>
  </si>
  <si>
    <t>爭</t>
  </si>
  <si>
    <t>ɛ̃</t>
  </si>
  <si>
    <t>更</t>
  </si>
  <si>
    <t>ㆥ</t>
  </si>
  <si>
    <t>enn</t>
  </si>
  <si>
    <t>eⁿ</t>
  </si>
  <si>
    <t>ne</t>
  </si>
  <si>
    <t>更舒</t>
  </si>
  <si>
    <t>挾</t>
  </si>
  <si>
    <t>ɛ̃?</t>
  </si>
  <si>
    <t>ㆥㆷ</t>
  </si>
  <si>
    <t>ehnn</t>
  </si>
  <si>
    <t>ennh</t>
  </si>
  <si>
    <t>eⁿh</t>
  </si>
  <si>
    <t>neh</t>
  </si>
  <si>
    <t>更促</t>
  </si>
  <si>
    <t>荒</t>
  </si>
  <si>
    <t>uĩ</t>
  </si>
  <si>
    <t>褌</t>
  </si>
  <si>
    <t>ㄨㆪ</t>
  </si>
  <si>
    <t>uinn</t>
  </si>
  <si>
    <t>uiⁿ</t>
  </si>
  <si>
    <t>nui</t>
  </si>
  <si>
    <t>褌舒</t>
  </si>
  <si>
    <t>32</t>
  </si>
  <si>
    <t>少</t>
  </si>
  <si>
    <t>io</t>
  </si>
  <si>
    <t>茄</t>
  </si>
  <si>
    <t>ㄧㄜ</t>
  </si>
  <si>
    <t>ior</t>
  </si>
  <si>
    <t>茄舒</t>
  </si>
  <si>
    <t>著</t>
  </si>
  <si>
    <t>io?</t>
  </si>
  <si>
    <t>ㄧㄜㆷ</t>
  </si>
  <si>
    <t>ioh</t>
  </si>
  <si>
    <t>iorh</t>
  </si>
  <si>
    <t>茄促</t>
  </si>
  <si>
    <t>庚</t>
  </si>
  <si>
    <t>ĩ</t>
  </si>
  <si>
    <t>梔</t>
  </si>
  <si>
    <t>ㆪ</t>
  </si>
  <si>
    <t>inn</t>
  </si>
  <si>
    <t>iⁿ</t>
  </si>
  <si>
    <t>ni</t>
  </si>
  <si>
    <t>梔舒</t>
  </si>
  <si>
    <t>欷</t>
  </si>
  <si>
    <t>ĩ?</t>
  </si>
  <si>
    <t>ㆪㆷ</t>
  </si>
  <si>
    <t>ihnn</t>
  </si>
  <si>
    <t>innh</t>
  </si>
  <si>
    <t>iⁿh</t>
  </si>
  <si>
    <t>nih</t>
  </si>
  <si>
    <t>梔促</t>
  </si>
  <si>
    <t>腔</t>
  </si>
  <si>
    <t>iɔ̃</t>
  </si>
  <si>
    <t>薑</t>
  </si>
  <si>
    <t>ㄧㆧ</t>
  </si>
  <si>
    <t>ionn</t>
  </si>
  <si>
    <t>ioⁿ</t>
  </si>
  <si>
    <t>nioo</t>
  </si>
  <si>
    <t>ioonn</t>
  </si>
  <si>
    <t>薑舒</t>
  </si>
  <si>
    <t>且</t>
  </si>
  <si>
    <t>iã</t>
  </si>
  <si>
    <t>驚</t>
  </si>
  <si>
    <t>ㄧㆩ</t>
  </si>
  <si>
    <t>iann</t>
  </si>
  <si>
    <t>iannh</t>
  </si>
  <si>
    <t>iaⁿ</t>
  </si>
  <si>
    <t>nia</t>
  </si>
  <si>
    <t>驚舒</t>
  </si>
  <si>
    <t>肝</t>
  </si>
  <si>
    <t>uã</t>
  </si>
  <si>
    <t>官</t>
  </si>
  <si>
    <t>ㄨㆩ</t>
  </si>
  <si>
    <t>uann</t>
  </si>
  <si>
    <t>oaⁿ</t>
  </si>
  <si>
    <t>nua</t>
  </si>
  <si>
    <t>官舒</t>
  </si>
  <si>
    <t>床</t>
  </si>
  <si>
    <t>ŋ̍</t>
  </si>
  <si>
    <t>鋼</t>
  </si>
  <si>
    <t>ㆭ</t>
  </si>
  <si>
    <t>ng</t>
  </si>
  <si>
    <t>鋼舒</t>
  </si>
  <si>
    <t>會</t>
  </si>
  <si>
    <t>伽</t>
  </si>
  <si>
    <t>伽舒</t>
  </si>
  <si>
    <t>伯</t>
  </si>
  <si>
    <t>e?</t>
  </si>
  <si>
    <t>ㆤㆷ</t>
  </si>
  <si>
    <t>伽促</t>
  </si>
  <si>
    <t>挨</t>
  </si>
  <si>
    <t>ãi</t>
  </si>
  <si>
    <t>閒</t>
  </si>
  <si>
    <t>ㆮ</t>
  </si>
  <si>
    <t>ainn</t>
  </si>
  <si>
    <t>aiⁿ</t>
  </si>
  <si>
    <t>nai</t>
  </si>
  <si>
    <t>閒舒</t>
  </si>
  <si>
    <t>張</t>
  </si>
  <si>
    <t>õu</t>
  </si>
  <si>
    <t>姑</t>
  </si>
  <si>
    <t>ㆧ</t>
  </si>
  <si>
    <t>oonn</t>
  </si>
  <si>
    <t>onn</t>
  </si>
  <si>
    <t>oⁿ</t>
  </si>
  <si>
    <t>noo</t>
  </si>
  <si>
    <t>姑舒</t>
  </si>
  <si>
    <t>姆</t>
  </si>
  <si>
    <t>m̩</t>
  </si>
  <si>
    <t>ㆬ</t>
  </si>
  <si>
    <t>m</t>
  </si>
  <si>
    <t>姆舒</t>
  </si>
  <si>
    <t>闖</t>
  </si>
  <si>
    <t>uaŋ</t>
  </si>
  <si>
    <t>光</t>
  </si>
  <si>
    <t>ㄨㄤ</t>
  </si>
  <si>
    <t>uang</t>
  </si>
  <si>
    <t>oang</t>
  </si>
  <si>
    <t>光舒</t>
  </si>
  <si>
    <t>伏</t>
  </si>
  <si>
    <t>uak̚</t>
  </si>
  <si>
    <t>ㄨㄚㆻ</t>
  </si>
  <si>
    <t>uak</t>
  </si>
  <si>
    <t>oak</t>
  </si>
  <si>
    <t>光促</t>
  </si>
  <si>
    <t>檨</t>
  </si>
  <si>
    <t>uãi</t>
  </si>
  <si>
    <t>閂</t>
  </si>
  <si>
    <t>ㄨㆮ</t>
  </si>
  <si>
    <t>uainn</t>
  </si>
  <si>
    <t>oaiⁿ</t>
  </si>
  <si>
    <t>nuai</t>
  </si>
  <si>
    <t>閂舒</t>
  </si>
  <si>
    <t>蹶</t>
  </si>
  <si>
    <t>uãi?</t>
  </si>
  <si>
    <t>ㄨㆮㆷ</t>
  </si>
  <si>
    <t>uaihnn</t>
  </si>
  <si>
    <t>uainnh</t>
  </si>
  <si>
    <t>oaiⁿh</t>
  </si>
  <si>
    <t>nuaih</t>
  </si>
  <si>
    <t>閂促</t>
  </si>
  <si>
    <t>uẽi</t>
  </si>
  <si>
    <t>糜</t>
  </si>
  <si>
    <t>ㄨㆥ</t>
  </si>
  <si>
    <t>uenn</t>
  </si>
  <si>
    <t>oeⁿ</t>
  </si>
  <si>
    <t>nue</t>
  </si>
  <si>
    <t>糜舒</t>
  </si>
  <si>
    <t>鳥</t>
  </si>
  <si>
    <t>iãu</t>
  </si>
  <si>
    <t>嘄</t>
  </si>
  <si>
    <t>ㄧㆯ</t>
  </si>
  <si>
    <t>iaunn</t>
  </si>
  <si>
    <t>iauⁿ</t>
  </si>
  <si>
    <t>niao</t>
  </si>
  <si>
    <t>嘄舒</t>
  </si>
  <si>
    <t>iãu?</t>
  </si>
  <si>
    <t>ㄧㆯㆷ</t>
  </si>
  <si>
    <t>iauhnn</t>
  </si>
  <si>
    <t>iaunnh</t>
  </si>
  <si>
    <t>iauⁿh</t>
  </si>
  <si>
    <t>niaoh</t>
  </si>
  <si>
    <t>嘄促</t>
  </si>
  <si>
    <t>丼</t>
  </si>
  <si>
    <t>ɔm</t>
  </si>
  <si>
    <t>箴</t>
  </si>
  <si>
    <t>ㆱ</t>
  </si>
  <si>
    <t>om</t>
  </si>
  <si>
    <t>oom</t>
  </si>
  <si>
    <t>箴舒</t>
  </si>
  <si>
    <t>吷</t>
  </si>
  <si>
    <t>ɔp̚</t>
  </si>
  <si>
    <t>ㆦㆴ</t>
  </si>
  <si>
    <t>op</t>
  </si>
  <si>
    <t>oop</t>
  </si>
  <si>
    <t>箴促</t>
  </si>
  <si>
    <t>懸</t>
  </si>
  <si>
    <t>ãu</t>
  </si>
  <si>
    <t>爻</t>
  </si>
  <si>
    <t>ㆯ</t>
  </si>
  <si>
    <t>aunn</t>
  </si>
  <si>
    <t>auⁿ</t>
  </si>
  <si>
    <t>nao</t>
  </si>
  <si>
    <t>爻舒</t>
  </si>
  <si>
    <t>呼</t>
  </si>
  <si>
    <t>õ</t>
  </si>
  <si>
    <t>扛</t>
  </si>
  <si>
    <t>on</t>
  </si>
  <si>
    <t>ornn</t>
  </si>
  <si>
    <t>扛舒</t>
  </si>
  <si>
    <t>õʔ</t>
  </si>
  <si>
    <t>ㆧㆷ</t>
  </si>
  <si>
    <t>ohnn</t>
  </si>
  <si>
    <t>onnh</t>
  </si>
  <si>
    <t>onh</t>
  </si>
  <si>
    <t>nooh</t>
  </si>
  <si>
    <t>扛促</t>
  </si>
  <si>
    <t>香</t>
  </si>
  <si>
    <t>ĩu</t>
  </si>
  <si>
    <t>牛</t>
  </si>
  <si>
    <t>ㄧㆫ</t>
  </si>
  <si>
    <t>iunn</t>
  </si>
  <si>
    <t>iuⁿ</t>
  </si>
  <si>
    <t>niu</t>
  </si>
  <si>
    <t>牛舒</t>
  </si>
  <si>
    <t>十五音序</t>
    <phoneticPr fontId="3" type="noConversion"/>
  </si>
  <si>
    <r>
      <rPr>
        <sz val="24"/>
        <color theme="1"/>
        <rFont val="Noto Sans TC Medium"/>
        <family val="2"/>
        <charset val="136"/>
      </rPr>
      <t>◯</t>
    </r>
  </si>
  <si>
    <t>備註</t>
  </si>
  <si>
    <t>理</t>
  </si>
  <si>
    <t>l</t>
  </si>
  <si>
    <t>柳</t>
  </si>
  <si>
    <t>ㄌ</t>
  </si>
  <si>
    <t>比</t>
  </si>
  <si>
    <t>p</t>
  </si>
  <si>
    <t>邊</t>
  </si>
  <si>
    <t>ㄅ</t>
  </si>
  <si>
    <t>b</t>
  </si>
  <si>
    <t>己</t>
  </si>
  <si>
    <t>k</t>
  </si>
  <si>
    <t>求</t>
  </si>
  <si>
    <t>ㄍ</t>
  </si>
  <si>
    <t>g</t>
  </si>
  <si>
    <t>起</t>
  </si>
  <si>
    <t>kʰ</t>
  </si>
  <si>
    <t>去</t>
  </si>
  <si>
    <t>ㄎ</t>
  </si>
  <si>
    <t>kh</t>
  </si>
  <si>
    <t>底</t>
  </si>
  <si>
    <t>t</t>
  </si>
  <si>
    <t>地</t>
  </si>
  <si>
    <t>ㄉ</t>
  </si>
  <si>
    <t>d</t>
  </si>
  <si>
    <t>鄙</t>
  </si>
  <si>
    <t>pʰ</t>
  </si>
  <si>
    <t>頗</t>
  </si>
  <si>
    <t>ㄆ</t>
  </si>
  <si>
    <t>ph</t>
  </si>
  <si>
    <t>恥</t>
  </si>
  <si>
    <t>tʰ</t>
  </si>
  <si>
    <t>他</t>
  </si>
  <si>
    <t>ㄊ</t>
  </si>
  <si>
    <t>th</t>
  </si>
  <si>
    <t>阻</t>
  </si>
  <si>
    <t>ʦ</t>
  </si>
  <si>
    <t>曾</t>
  </si>
  <si>
    <t>ㄗ</t>
  </si>
  <si>
    <t>z</t>
  </si>
  <si>
    <t>ts</t>
  </si>
  <si>
    <t>ch</t>
  </si>
  <si>
    <t>熱</t>
  </si>
  <si>
    <t>ʣ</t>
  </si>
  <si>
    <t>入</t>
  </si>
  <si>
    <t>ㆡ</t>
  </si>
  <si>
    <t>j</t>
  </si>
  <si>
    <t>zz</t>
  </si>
  <si>
    <t>詞</t>
  </si>
  <si>
    <t>s</t>
  </si>
  <si>
    <t>時</t>
  </si>
  <si>
    <t>以</t>
  </si>
  <si>
    <t>ʔ</t>
  </si>
  <si>
    <t>英</t>
  </si>
  <si>
    <t>Ø</t>
  </si>
  <si>
    <t>美</t>
  </si>
  <si>
    <t>門</t>
  </si>
  <si>
    <t>ㆠ</t>
  </si>
  <si>
    <t>bb</t>
  </si>
  <si>
    <t>禦</t>
  </si>
  <si>
    <t>ɡ</t>
  </si>
  <si>
    <t>語</t>
  </si>
  <si>
    <t>ㆣ</t>
  </si>
  <si>
    <t>gg</t>
  </si>
  <si>
    <t>取</t>
  </si>
  <si>
    <t>ʦʰ</t>
  </si>
  <si>
    <t>出</t>
  </si>
  <si>
    <t>c</t>
  </si>
  <si>
    <t>tsh</t>
  </si>
  <si>
    <t>chh</t>
  </si>
  <si>
    <t>喜</t>
  </si>
  <si>
    <t>h</t>
  </si>
  <si>
    <t>ㄏ</t>
  </si>
  <si>
    <t>毛</t>
  </si>
  <si>
    <t>ㄇ</t>
  </si>
  <si>
    <t>bbn</t>
  </si>
  <si>
    <t xml:space="preserve">b/m 本不分，此處分門/毛 </t>
  </si>
  <si>
    <t>耐</t>
  </si>
  <si>
    <t>n</t>
  </si>
  <si>
    <t>ㄋ</t>
  </si>
  <si>
    <t>ln</t>
  </si>
  <si>
    <t xml:space="preserve">l/n 本不分，此處分柳/耐 </t>
  </si>
  <si>
    <t>雅</t>
  </si>
  <si>
    <t>ŋ</t>
  </si>
  <si>
    <t>ㄫ</t>
  </si>
  <si>
    <t>ggn</t>
  </si>
  <si>
    <t xml:space="preserve">g/ng 本不分，此處分語/雅 </t>
  </si>
  <si>
    <t>ʥ</t>
  </si>
  <si>
    <t>ㆢ</t>
  </si>
  <si>
    <t>ji</t>
  </si>
  <si>
    <t>zzi</t>
  </si>
  <si>
    <t>jji</t>
  </si>
  <si>
    <t>止</t>
  </si>
  <si>
    <t>ʨ</t>
  </si>
  <si>
    <t>ㄐ</t>
  </si>
  <si>
    <t>zi</t>
  </si>
  <si>
    <t>tsi</t>
  </si>
  <si>
    <t>chi</t>
  </si>
  <si>
    <t>測</t>
  </si>
  <si>
    <t>ʨʰ</t>
  </si>
  <si>
    <t>ㄑ</t>
  </si>
  <si>
    <t>ci</t>
  </si>
  <si>
    <t>tshi</t>
  </si>
  <si>
    <t>chhi</t>
  </si>
  <si>
    <t>惜</t>
  </si>
  <si>
    <t>ɕ</t>
  </si>
  <si>
    <t>ㄒ</t>
  </si>
  <si>
    <t>si</t>
  </si>
  <si>
    <t>shi</t>
  </si>
  <si>
    <t>ㆢ = ㆡㄧ</t>
    <phoneticPr fontId="3" type="noConversion"/>
  </si>
  <si>
    <t>ㄐ = ㄗㄧ</t>
    <phoneticPr fontId="3" type="noConversion"/>
  </si>
  <si>
    <t>ㄙ</t>
    <phoneticPr fontId="3" type="noConversion"/>
  </si>
  <si>
    <t>ㄒ = ㄙㄧ</t>
    <phoneticPr fontId="3" type="noConversion"/>
  </si>
  <si>
    <t>ㄘ</t>
    <phoneticPr fontId="3" type="noConversion"/>
  </si>
  <si>
    <t>ㄑ = ㄘㄧ</t>
    <phoneticPr fontId="3" type="noConversion"/>
  </si>
  <si>
    <t>調值</t>
  </si>
  <si>
    <t>方音調值</t>
  </si>
  <si>
    <t>四聲八調</t>
  </si>
  <si>
    <t>W調名</t>
  </si>
  <si>
    <t>鍵盤按鍵</t>
  </si>
  <si>
    <t>注音調符</t>
  </si>
  <si>
    <t>台羅調號</t>
  </si>
  <si>
    <t>陰平</t>
  </si>
  <si>
    <t>東</t>
  </si>
  <si>
    <t>tong1</t>
  </si>
  <si>
    <t>高音調</t>
  </si>
  <si>
    <t>;</t>
  </si>
  <si>
    <t/>
  </si>
  <si>
    <t>陽去</t>
  </si>
  <si>
    <t>動</t>
  </si>
  <si>
    <t>tong7</t>
  </si>
  <si>
    <t>中音調</t>
  </si>
  <si>
    <t>-</t>
  </si>
  <si>
    <t>ā</t>
  </si>
  <si>
    <t>ㄚ˫</t>
  </si>
  <si>
    <t>˫</t>
  </si>
  <si>
    <t>陰去</t>
  </si>
  <si>
    <t>棟</t>
  </si>
  <si>
    <t>tong3</t>
  </si>
  <si>
    <t>低音調</t>
  </si>
  <si>
    <t>_</t>
  </si>
  <si>
    <t>à</t>
  </si>
  <si>
    <t>ㄚ˪</t>
  </si>
  <si>
    <t>˪</t>
  </si>
  <si>
    <t>上声/陰上</t>
  </si>
  <si>
    <t>董</t>
  </si>
  <si>
    <t>tong2</t>
  </si>
  <si>
    <t>高降調</t>
  </si>
  <si>
    <t>\</t>
  </si>
  <si>
    <t>á</t>
  </si>
  <si>
    <t>ㄚˋ</t>
  </si>
  <si>
    <t>ˋ</t>
  </si>
  <si>
    <t>陽平</t>
  </si>
  <si>
    <t>同</t>
  </si>
  <si>
    <t>tong5</t>
  </si>
  <si>
    <t>低升調</t>
  </si>
  <si>
    <t>/</t>
  </si>
  <si>
    <t>â</t>
  </si>
  <si>
    <t>ㄚˊ</t>
  </si>
  <si>
    <t>ˊ</t>
  </si>
  <si>
    <t>陰入</t>
  </si>
  <si>
    <t>督</t>
  </si>
  <si>
    <t>tok4</t>
  </si>
  <si>
    <t>低促調</t>
  </si>
  <si>
    <t>[</t>
  </si>
  <si>
    <t>ㄚ◌</t>
  </si>
  <si>
    <t>陽入</t>
  </si>
  <si>
    <t>獨</t>
  </si>
  <si>
    <t>tok8</t>
  </si>
  <si>
    <t>高促調</t>
  </si>
  <si>
    <t>]</t>
  </si>
  <si>
    <t>ㄚ◌˙</t>
  </si>
  <si>
    <t>˙</t>
  </si>
  <si>
    <t>閩拼調號</t>
    <phoneticPr fontId="3" type="noConversion"/>
  </si>
  <si>
    <t>漢字</t>
    <phoneticPr fontId="3" type="noConversion"/>
  </si>
  <si>
    <t>台語音標</t>
    <phoneticPr fontId="3" type="noConversion"/>
  </si>
  <si>
    <t>羅馬拼音調符</t>
    <phoneticPr fontId="3" type="noConversion"/>
  </si>
  <si>
    <t>注音調符編碼</t>
    <phoneticPr fontId="3" type="noConversion"/>
  </si>
  <si>
    <t>拼音調符編碼</t>
    <phoneticPr fontId="3" type="noConversion"/>
  </si>
  <si>
    <t>U+0304</t>
  </si>
  <si>
    <t>U+0301</t>
  </si>
  <si>
    <t>調號</t>
  </si>
  <si>
    <t>U+030A</t>
  </si>
  <si>
    <t>U+030B</t>
  </si>
  <si>
    <t>閩拼調號</t>
    <phoneticPr fontId="22" type="noConversion"/>
  </si>
  <si>
    <t>W調序</t>
    <phoneticPr fontId="23" type="noConversion"/>
  </si>
  <si>
    <t>四聲八調</t>
    <phoneticPr fontId="24" type="noConversion"/>
  </si>
  <si>
    <t>W調名</t>
    <phoneticPr fontId="23" type="noConversion"/>
  </si>
  <si>
    <t>調值</t>
    <phoneticPr fontId="23" type="noConversion"/>
  </si>
  <si>
    <t>漢字</t>
    <phoneticPr fontId="23" type="noConversion"/>
  </si>
  <si>
    <t>台語音標</t>
    <phoneticPr fontId="23" type="noConversion"/>
  </si>
  <si>
    <t>拚音調符編碼</t>
    <phoneticPr fontId="23" type="noConversion"/>
  </si>
  <si>
    <t>帶調拚音字母</t>
    <phoneticPr fontId="23" type="noConversion"/>
  </si>
  <si>
    <t>拚音聲調按鍵</t>
    <phoneticPr fontId="23" type="noConversion"/>
  </si>
  <si>
    <t>閩拼音標</t>
    <phoneticPr fontId="23" type="noConversion"/>
  </si>
  <si>
    <t>帶調閩拚</t>
    <phoneticPr fontId="23" type="noConversion"/>
  </si>
  <si>
    <t>按鍵輸入</t>
    <phoneticPr fontId="24" type="noConversion"/>
  </si>
  <si>
    <t>注音調符編碼</t>
    <phoneticPr fontId="23" type="noConversion"/>
  </si>
  <si>
    <t>帶調注音符號</t>
    <phoneticPr fontId="23" type="noConversion"/>
  </si>
  <si>
    <t>注音聲調按鍵</t>
    <phoneticPr fontId="23" type="noConversion"/>
  </si>
  <si>
    <t>按鍵輸入</t>
  </si>
  <si>
    <t>輕聲</t>
    <phoneticPr fontId="23" type="noConversion"/>
  </si>
  <si>
    <t>輕聲調</t>
    <phoneticPr fontId="23" type="noConversion"/>
  </si>
  <si>
    <t>啊</t>
    <phoneticPr fontId="23" type="noConversion"/>
  </si>
  <si>
    <t>ah0</t>
    <phoneticPr fontId="23" type="noConversion"/>
  </si>
  <si>
    <t>U+030A</t>
    <phoneticPr fontId="23" type="noConversion"/>
  </si>
  <si>
    <t>U+0308</t>
    <phoneticPr fontId="23" type="noConversion"/>
  </si>
  <si>
    <t>ㄚㆷ˙</t>
  </si>
  <si>
    <t>ㄚㆷ7</t>
  </si>
  <si>
    <t>高音調</t>
    <phoneticPr fontId="23" type="noConversion"/>
  </si>
  <si>
    <t>東</t>
    <phoneticPr fontId="23" type="noConversion"/>
  </si>
  <si>
    <t>tong1</t>
    <phoneticPr fontId="23" type="noConversion"/>
  </si>
  <si>
    <t>U+0304</t>
    <phoneticPr fontId="23" type="noConversion"/>
  </si>
  <si>
    <t>;</t>
    <phoneticPr fontId="23" type="noConversion"/>
  </si>
  <si>
    <t>:</t>
  </si>
  <si>
    <t>ㄊㆲ</t>
  </si>
  <si>
    <t>ㄊㆲ:</t>
  </si>
  <si>
    <t>低升調</t>
    <phoneticPr fontId="23" type="noConversion"/>
  </si>
  <si>
    <t>同</t>
    <phoneticPr fontId="23" type="noConversion"/>
  </si>
  <si>
    <t>tong5</t>
    <phoneticPr fontId="23" type="noConversion"/>
  </si>
  <si>
    <t>U+0301</t>
    <phoneticPr fontId="23" type="noConversion"/>
  </si>
  <si>
    <t>/</t>
    <phoneticPr fontId="23" type="noConversion"/>
  </si>
  <si>
    <t>6</t>
    <phoneticPr fontId="23" type="noConversion"/>
  </si>
  <si>
    <t>ㄊㆲˊ</t>
  </si>
  <si>
    <t>ㄊㆲ6</t>
  </si>
  <si>
    <t>上声/陰上</t>
    <phoneticPr fontId="23" type="noConversion"/>
  </si>
  <si>
    <t>高降調</t>
    <phoneticPr fontId="23" type="noConversion"/>
  </si>
  <si>
    <t>董</t>
    <phoneticPr fontId="23" type="noConversion"/>
  </si>
  <si>
    <t>tong2</t>
    <phoneticPr fontId="23" type="noConversion"/>
  </si>
  <si>
    <t>U+030C</t>
    <phoneticPr fontId="23" type="noConversion"/>
  </si>
  <si>
    <t>\</t>
    <phoneticPr fontId="23" type="noConversion"/>
  </si>
  <si>
    <t>U+0300</t>
    <phoneticPr fontId="23" type="noConversion"/>
  </si>
  <si>
    <t>ㄊㆲˋ</t>
  </si>
  <si>
    <t>ㄊㆲ4</t>
  </si>
  <si>
    <t>上声/陽上</t>
    <phoneticPr fontId="23" type="noConversion"/>
  </si>
  <si>
    <t>低音調</t>
    <phoneticPr fontId="23" type="noConversion"/>
  </si>
  <si>
    <t>棟</t>
    <phoneticPr fontId="23" type="noConversion"/>
  </si>
  <si>
    <t>tong3</t>
    <phoneticPr fontId="23" type="noConversion"/>
  </si>
  <si>
    <t>_</t>
    <phoneticPr fontId="23" type="noConversion"/>
  </si>
  <si>
    <t>U+02EA</t>
    <phoneticPr fontId="23" type="noConversion"/>
  </si>
  <si>
    <t>ㄊㆲ˪</t>
  </si>
  <si>
    <t>ㄊㆲ3</t>
  </si>
  <si>
    <t>中音調</t>
    <phoneticPr fontId="23" type="noConversion"/>
  </si>
  <si>
    <t>動</t>
    <phoneticPr fontId="23" type="noConversion"/>
  </si>
  <si>
    <t>tong7</t>
    <phoneticPr fontId="23" type="noConversion"/>
  </si>
  <si>
    <t>U+0302</t>
    <phoneticPr fontId="23" type="noConversion"/>
  </si>
  <si>
    <t>-</t>
    <phoneticPr fontId="23" type="noConversion"/>
  </si>
  <si>
    <t>U+02EB</t>
    <phoneticPr fontId="23" type="noConversion"/>
  </si>
  <si>
    <t>5</t>
    <phoneticPr fontId="23" type="noConversion"/>
  </si>
  <si>
    <t>ㄊㆲ˫</t>
  </si>
  <si>
    <t>ㄊㆲ5</t>
  </si>
  <si>
    <t>低促調</t>
    <phoneticPr fontId="23" type="noConversion"/>
  </si>
  <si>
    <t>督</t>
    <phoneticPr fontId="23" type="noConversion"/>
  </si>
  <si>
    <t>tok4</t>
    <phoneticPr fontId="23" type="noConversion"/>
  </si>
  <si>
    <t>[</t>
    <phoneticPr fontId="23" type="noConversion"/>
  </si>
  <si>
    <t>ㄊㆦㆻ</t>
  </si>
  <si>
    <t>ㄊㆦㆻ[</t>
  </si>
  <si>
    <t>高促調</t>
    <phoneticPr fontId="23" type="noConversion"/>
  </si>
  <si>
    <t>獨</t>
    <phoneticPr fontId="23" type="noConversion"/>
  </si>
  <si>
    <t>tok8</t>
    <phoneticPr fontId="23" type="noConversion"/>
  </si>
  <si>
    <t>]</t>
    <phoneticPr fontId="23" type="noConversion"/>
  </si>
  <si>
    <t>U+02D9</t>
    <phoneticPr fontId="23" type="noConversion"/>
  </si>
  <si>
    <r>
      <rPr>
        <sz val="24"/>
        <color theme="5" tint="-0.249977111117893"/>
        <rFont val="Noto Sans TC"/>
        <family val="2"/>
        <charset val="136"/>
      </rPr>
      <t>ㄊㆦㆻ</t>
    </r>
    <r>
      <rPr>
        <sz val="24"/>
        <color theme="5" tint="-0.249977111117893"/>
        <rFont val="Arial"/>
        <family val="2"/>
      </rPr>
      <t>˙</t>
    </r>
    <phoneticPr fontId="23" type="noConversion"/>
  </si>
  <si>
    <t>ㄊㆦㆻ]</t>
  </si>
  <si>
    <t>U+02D9</t>
    <phoneticPr fontId="3" type="noConversion"/>
  </si>
  <si>
    <t>U+0300</t>
    <phoneticPr fontId="3" type="noConversion"/>
  </si>
  <si>
    <t>U+02EA</t>
    <phoneticPr fontId="3" type="noConversion"/>
  </si>
  <si>
    <t>U+0301</t>
    <phoneticPr fontId="3" type="noConversion"/>
  </si>
  <si>
    <t>U+02EB</t>
    <phoneticPr fontId="3" type="noConversion"/>
  </si>
  <si>
    <t>台羅拼音</t>
    <phoneticPr fontId="3" type="noConversion"/>
  </si>
  <si>
    <t>方音符號</t>
    <phoneticPr fontId="3" type="noConversion"/>
  </si>
  <si>
    <t>閩拼方案</t>
    <phoneticPr fontId="3" type="noConversion"/>
  </si>
  <si>
    <t>U+0302</t>
    <phoneticPr fontId="3" type="noConversion"/>
  </si>
  <si>
    <t>U+030C</t>
    <phoneticPr fontId="3" type="noConversion"/>
  </si>
  <si>
    <t>輕聲</t>
    <phoneticPr fontId="3" type="noConversion"/>
  </si>
  <si>
    <t>上平</t>
    <phoneticPr fontId="3" type="noConversion"/>
  </si>
  <si>
    <t>上聲</t>
    <phoneticPr fontId="3" type="noConversion"/>
  </si>
  <si>
    <t>上去</t>
    <phoneticPr fontId="3" type="noConversion"/>
  </si>
  <si>
    <t>上入</t>
    <phoneticPr fontId="3" type="noConversion"/>
  </si>
  <si>
    <t>下平</t>
    <phoneticPr fontId="3" type="noConversion"/>
  </si>
  <si>
    <t>下入</t>
    <phoneticPr fontId="3" type="noConversion"/>
  </si>
  <si>
    <t>下去</t>
    <phoneticPr fontId="3" type="noConversion"/>
  </si>
  <si>
    <t>U+0304</t>
    <phoneticPr fontId="3" type="noConversion"/>
  </si>
  <si>
    <t>台羅調符編碼</t>
    <phoneticPr fontId="3" type="noConversion"/>
  </si>
  <si>
    <t>方音調符編碼</t>
    <phoneticPr fontId="3" type="noConversion"/>
  </si>
  <si>
    <t>閩拼調符編碼</t>
    <phoneticPr fontId="3" type="noConversion"/>
  </si>
  <si>
    <t>調名</t>
    <phoneticPr fontId="3" type="noConversion"/>
  </si>
  <si>
    <t>ah</t>
    <phoneticPr fontId="3" type="noConversion"/>
  </si>
  <si>
    <t>a̍h</t>
    <phoneticPr fontId="3" type="noConversion"/>
  </si>
  <si>
    <t>U+030D</t>
    <phoneticPr fontId="3" type="noConversion"/>
  </si>
  <si>
    <t>Charis</t>
    <phoneticPr fontId="3" type="noConversion"/>
  </si>
  <si>
    <t>Noto Sans TC Medium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</si>
</sst>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2">
    <font>
      <sz val="16"/>
      <color theme="1"/>
      <name val="Noto Sans TC Medium"/>
      <family val="2"/>
      <charset val="136"/>
    </font>
    <font>
      <b/>
      <sz val="16"/>
      <color theme="0"/>
      <name val="Noto Sans TC Medium"/>
      <family val="2"/>
      <charset val="136"/>
    </font>
    <font>
      <sz val="16"/>
      <color rgb="FFFF0000"/>
      <name val="Noto Sans TC Medium"/>
      <family val="2"/>
      <charset val="136"/>
    </font>
    <font>
      <sz val="9"/>
      <name val="Noto Sans TC Medium"/>
      <family val="2"/>
      <charset val="136"/>
    </font>
    <font>
      <sz val="24"/>
      <color theme="1"/>
      <name val="Noto Sans TC Medium"/>
      <family val="2"/>
      <charset val="136"/>
    </font>
    <font>
      <sz val="24"/>
      <color theme="1"/>
      <name val="吳守禮細明台語注音"/>
      <family val="1"/>
      <charset val="136"/>
    </font>
    <font>
      <sz val="24"/>
      <color theme="1"/>
      <name val="吳守禮細明台語破音01"/>
      <family val="1"/>
      <charset val="136"/>
    </font>
    <font>
      <sz val="24"/>
      <color theme="1"/>
      <name val="吳守禮細明台語破音02"/>
      <family val="1"/>
      <charset val="136"/>
    </font>
    <font>
      <sz val="24"/>
      <color theme="1"/>
      <name val="吳守禮細明台語破音03"/>
      <family val="1"/>
      <charset val="136"/>
    </font>
    <font>
      <sz val="24"/>
      <color theme="1"/>
      <name val="吳守禮細明台語破音04"/>
      <family val="1"/>
      <charset val="136"/>
    </font>
    <font>
      <sz val="24"/>
      <color theme="1"/>
      <name val="吳守禮細明台語破音05"/>
      <family val="1"/>
      <charset val="136"/>
    </font>
    <font>
      <sz val="24"/>
      <color theme="1"/>
      <name val="吳守禮細明台語破音06"/>
      <family val="1"/>
      <charset val="136"/>
    </font>
    <font>
      <sz val="24"/>
      <color rgb="FFFF0000"/>
      <name val="吳守禮細明台語破音03"/>
      <family val="1"/>
      <charset val="136"/>
    </font>
    <font>
      <sz val="24"/>
      <color rgb="FFFF0000"/>
      <name val="吳守禮細明台語注音"/>
      <family val="1"/>
      <charset val="136"/>
    </font>
    <font>
      <sz val="24"/>
      <color rgb="FFFF0000"/>
      <name val="吳守禮細明台語破音02"/>
      <family val="1"/>
      <charset val="136"/>
    </font>
    <font>
      <sz val="24"/>
      <color rgb="FFFF0000"/>
      <name val="吳守禮細明台語破音01"/>
      <family val="1"/>
      <charset val="136"/>
    </font>
    <font>
      <sz val="24"/>
      <color rgb="FFFF0000"/>
      <name val="吳守禮細明台語破音04"/>
      <family val="1"/>
      <charset val="136"/>
    </font>
    <font>
      <sz val="16"/>
      <color theme="8"/>
      <name val="Noto Sans TC Medium"/>
      <family val="2"/>
      <charset val="136"/>
    </font>
    <font>
      <sz val="24"/>
      <color theme="8"/>
      <name val="吳守禮細明台語注音"/>
      <family val="1"/>
      <charset val="136"/>
    </font>
    <font>
      <sz val="16"/>
      <color rgb="FFFF0000"/>
      <name val="Noto Sans TC Medium"/>
      <family val="2"/>
    </font>
    <font>
      <sz val="16"/>
      <color theme="1"/>
      <name val="Noto Sans TC"/>
      <family val="2"/>
      <charset val="136"/>
    </font>
    <font>
      <b/>
      <sz val="16"/>
      <color theme="0"/>
      <name val="Noto Sans TC"/>
      <family val="2"/>
    </font>
    <font>
      <sz val="9"/>
      <name val="黒体-繁"/>
      <family val="2"/>
      <charset val="136"/>
    </font>
    <font>
      <sz val="9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18"/>
      <color theme="1"/>
      <name val="Noto Sans TC"/>
      <family val="2"/>
    </font>
    <font>
      <sz val="16"/>
      <color theme="1"/>
      <name val="Noto Serif TC Black"/>
      <family val="1"/>
      <charset val="136"/>
    </font>
    <font>
      <sz val="10"/>
      <color rgb="FF000000"/>
      <name val="Linux Libertine G"/>
      <family val="2"/>
    </font>
    <font>
      <sz val="24"/>
      <name val="Arial"/>
      <family val="2"/>
    </font>
    <font>
      <sz val="36"/>
      <color rgb="FFFF0000"/>
      <name val="Noto Serif TC Medium"/>
      <family val="1"/>
      <charset val="136"/>
    </font>
    <font>
      <b/>
      <sz val="24"/>
      <color rgb="FFFF0000"/>
      <name val="Arial"/>
      <family val="2"/>
    </font>
    <font>
      <b/>
      <sz val="24"/>
      <color rgb="FF0070C0"/>
      <name val="Arial"/>
      <family val="2"/>
    </font>
    <font>
      <b/>
      <sz val="28"/>
      <color rgb="FF0070C0"/>
      <name val="霞鶩文楷等寬 TC"/>
      <family val="3"/>
      <charset val="136"/>
    </font>
    <font>
      <b/>
      <sz val="24"/>
      <color rgb="FF0070C0"/>
      <name val="字咍源雲明體 台羅方音 L"/>
      <family val="1"/>
      <charset val="136"/>
    </font>
    <font>
      <sz val="24"/>
      <color rgb="FF0070C0"/>
      <name val="字咍源雲明體 台羅方音 L"/>
      <family val="1"/>
      <charset val="136"/>
    </font>
    <font>
      <sz val="24"/>
      <color theme="5" tint="-0.249977111117893"/>
      <name val="Arial"/>
      <family val="2"/>
    </font>
    <font>
      <sz val="24"/>
      <color theme="5" tint="-0.249977111117893"/>
      <name val="霞鶩文楷等寬 TC"/>
      <family val="3"/>
      <charset val="136"/>
    </font>
    <font>
      <b/>
      <sz val="28"/>
      <color rgb="FF0070C0"/>
      <name val="Arial"/>
      <family val="2"/>
    </font>
    <font>
      <sz val="24"/>
      <color theme="5" tint="-0.249977111117893"/>
      <name val="Noto Sans TC"/>
      <family val="2"/>
      <charset val="136"/>
    </font>
    <font>
      <sz val="16"/>
      <color theme="0" tint="-0.14999847407452621"/>
      <name val="Noto Sans TC Medium"/>
      <family val="2"/>
      <charset val="136"/>
    </font>
    <font>
      <sz val="16"/>
      <color theme="0" tint="-0.14999847407452621"/>
      <name val="Noto Sans TC Medium"/>
      <family val="2"/>
    </font>
    <font>
      <sz val="16"/>
      <color theme="1"/>
      <name val="Charis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7" fillId="0" borderId="0"/>
  </cellStyleXfs>
  <cellXfs count="55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2" borderId="1" xfId="0" applyFill="1" applyBorder="1">
      <alignment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17" fillId="0" borderId="1" xfId="0" applyFont="1" applyBorder="1">
      <alignment vertical="center"/>
    </xf>
    <xf numFmtId="0" fontId="18" fillId="0" borderId="1" xfId="0" applyFont="1" applyBorder="1" applyAlignment="1">
      <alignment horizontal="center" vertical="center"/>
    </xf>
    <xf numFmtId="0" fontId="19" fillId="0" borderId="1" xfId="0" applyFont="1" applyBorder="1">
      <alignment vertical="center"/>
    </xf>
    <xf numFmtId="0" fontId="0" fillId="0" borderId="0" xfId="0" applyAlignment="1">
      <alignment horizontal="center" vertical="center"/>
    </xf>
    <xf numFmtId="0" fontId="21" fillId="3" borderId="1" xfId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1" fillId="3" borderId="2" xfId="1" applyFont="1" applyFill="1" applyBorder="1" applyAlignment="1">
      <alignment horizontal="center" vertical="center"/>
    </xf>
    <xf numFmtId="0" fontId="21" fillId="3" borderId="3" xfId="1" applyFont="1" applyFill="1" applyBorder="1" applyAlignment="1">
      <alignment horizontal="center" vertical="center"/>
    </xf>
    <xf numFmtId="0" fontId="25" fillId="0" borderId="1" xfId="1" applyFont="1" applyBorder="1" applyAlignment="1">
      <alignment horizontal="center" vertical="center"/>
    </xf>
    <xf numFmtId="0" fontId="26" fillId="0" borderId="1" xfId="2" applyFont="1" applyBorder="1" applyAlignment="1">
      <alignment horizontal="center" vertical="center"/>
    </xf>
    <xf numFmtId="0" fontId="28" fillId="0" borderId="1" xfId="3" applyFont="1" applyBorder="1" applyAlignment="1">
      <alignment horizontal="center" vertical="center"/>
    </xf>
    <xf numFmtId="0" fontId="29" fillId="0" borderId="1" xfId="2" applyFont="1" applyBorder="1" applyAlignment="1">
      <alignment horizontal="center"/>
    </xf>
    <xf numFmtId="0" fontId="30" fillId="0" borderId="1" xfId="2" applyFont="1" applyBorder="1" applyAlignment="1">
      <alignment horizontal="left" indent="1"/>
    </xf>
    <xf numFmtId="0" fontId="31" fillId="0" borderId="1" xfId="3" applyFont="1" applyBorder="1" applyAlignment="1">
      <alignment horizontal="center" vertical="center"/>
    </xf>
    <xf numFmtId="0" fontId="32" fillId="0" borderId="1" xfId="3" applyFont="1" applyBorder="1" applyAlignment="1">
      <alignment horizontal="center" vertical="center"/>
    </xf>
    <xf numFmtId="0" fontId="33" fillId="0" borderId="1" xfId="2" applyFont="1" applyBorder="1" applyAlignment="1">
      <alignment horizontal="center"/>
    </xf>
    <xf numFmtId="0" fontId="34" fillId="0" borderId="1" xfId="2" applyFont="1" applyBorder="1" applyAlignment="1">
      <alignment horizontal="left" indent="1"/>
    </xf>
    <xf numFmtId="0" fontId="34" fillId="0" borderId="1" xfId="2" applyFont="1" applyBorder="1" applyAlignment="1">
      <alignment horizontal="center"/>
    </xf>
    <xf numFmtId="0" fontId="35" fillId="0" borderId="1" xfId="3" applyFont="1" applyBorder="1" applyAlignment="1">
      <alignment horizontal="center" vertical="center"/>
    </xf>
    <xf numFmtId="0" fontId="36" fillId="0" borderId="1" xfId="3" applyFont="1" applyBorder="1" applyAlignment="1">
      <alignment horizontal="left" vertical="center" indent="4"/>
    </xf>
    <xf numFmtId="0" fontId="25" fillId="4" borderId="1" xfId="1" applyFont="1" applyFill="1" applyBorder="1" applyAlignment="1">
      <alignment horizontal="center" vertical="center"/>
    </xf>
    <xf numFmtId="0" fontId="26" fillId="4" borderId="1" xfId="2" applyFont="1" applyFill="1" applyBorder="1" applyAlignment="1">
      <alignment horizontal="center" vertical="center"/>
    </xf>
    <xf numFmtId="0" fontId="28" fillId="4" borderId="1" xfId="3" applyFont="1" applyFill="1" applyBorder="1" applyAlignment="1">
      <alignment horizontal="center" vertical="center"/>
    </xf>
    <xf numFmtId="0" fontId="29" fillId="4" borderId="1" xfId="2" applyFont="1" applyFill="1" applyBorder="1" applyAlignment="1">
      <alignment horizontal="center"/>
    </xf>
    <xf numFmtId="0" fontId="30" fillId="4" borderId="1" xfId="2" applyFont="1" applyFill="1" applyBorder="1" applyAlignment="1">
      <alignment horizontal="left" indent="1"/>
    </xf>
    <xf numFmtId="0" fontId="31" fillId="4" borderId="1" xfId="3" applyFont="1" applyFill="1" applyBorder="1" applyAlignment="1">
      <alignment horizontal="center" vertical="center"/>
    </xf>
    <xf numFmtId="0" fontId="37" fillId="4" borderId="1" xfId="3" applyFont="1" applyFill="1" applyBorder="1" applyAlignment="1">
      <alignment horizontal="center" vertical="center"/>
    </xf>
    <xf numFmtId="0" fontId="33" fillId="4" borderId="1" xfId="2" applyFont="1" applyFill="1" applyBorder="1" applyAlignment="1">
      <alignment horizontal="center"/>
    </xf>
    <xf numFmtId="0" fontId="34" fillId="4" borderId="1" xfId="2" applyFont="1" applyFill="1" applyBorder="1" applyAlignment="1">
      <alignment horizontal="left" indent="1"/>
    </xf>
    <xf numFmtId="0" fontId="34" fillId="4" borderId="1" xfId="2" applyFont="1" applyFill="1" applyBorder="1" applyAlignment="1">
      <alignment horizontal="center"/>
    </xf>
    <xf numFmtId="0" fontId="35" fillId="4" borderId="1" xfId="3" applyFont="1" applyFill="1" applyBorder="1" applyAlignment="1">
      <alignment horizontal="center" vertical="center"/>
    </xf>
    <xf numFmtId="0" fontId="36" fillId="4" borderId="1" xfId="3" applyFont="1" applyFill="1" applyBorder="1" applyAlignment="1">
      <alignment horizontal="left" vertical="center" indent="4"/>
    </xf>
    <xf numFmtId="0" fontId="0" fillId="0" borderId="1" xfId="0" applyBorder="1" applyAlignment="1">
      <alignment horizontal="left" vertical="center" indent="3"/>
    </xf>
    <xf numFmtId="0" fontId="39" fillId="0" borderId="1" xfId="0" applyFont="1" applyBorder="1">
      <alignment vertical="center"/>
    </xf>
    <xf numFmtId="0" fontId="40" fillId="0" borderId="1" xfId="0" applyFont="1" applyBorder="1">
      <alignment vertical="center"/>
    </xf>
    <xf numFmtId="0" fontId="39" fillId="0" borderId="1" xfId="0" applyFont="1" applyBorder="1" applyAlignment="1">
      <alignment horizontal="left" vertical="center" indent="3"/>
    </xf>
    <xf numFmtId="0" fontId="0" fillId="2" borderId="1" xfId="0" applyFill="1" applyBorder="1" applyAlignment="1">
      <alignment horizontal="center" vertical="center"/>
    </xf>
    <xf numFmtId="0" fontId="41" fillId="0" borderId="1" xfId="0" applyFont="1" applyBorder="1" applyAlignment="1">
      <alignment horizontal="center" vertical="center"/>
    </xf>
  </cellXfs>
  <cellStyles count="4">
    <cellStyle name="一般" xfId="0" builtinId="0"/>
    <cellStyle name="一般 2" xfId="3" xr:uid="{A038E3EC-A179-46A7-BFF6-73E593261D7C}"/>
    <cellStyle name="一般 3" xfId="1" xr:uid="{0D0E4F11-2A76-4046-877C-929132571B97}"/>
    <cellStyle name="一般 5" xfId="2" xr:uid="{8C9CBB70-72B8-491C-A1A5-535BA1FE1D6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6CB2EB7-B2EC-48EA-B531-1F9C61CA7A4C}">
  <we:reference id="wa200007447" version="1.1.6.7" store="zh-TW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E8012-85E3-4410-BF6F-8322F40DAF24}">
  <dimension ref="A1:K23"/>
  <sheetViews>
    <sheetView workbookViewId="0">
      <pane ySplit="1" topLeftCell="A2" activePane="bottomLeft" state="frozen"/>
      <selection pane="bottomLeft" activeCell="C29" sqref="C29"/>
    </sheetView>
  </sheetViews>
  <sheetFormatPr defaultRowHeight="25.5"/>
  <cols>
    <col min="1" max="1" width="6.4140625" bestFit="1" customWidth="1"/>
    <col min="11" max="11" width="23.08203125" bestFit="1" customWidth="1"/>
  </cols>
  <sheetData>
    <row r="1" spans="1:11">
      <c r="A1" s="2" t="s">
        <v>0</v>
      </c>
      <c r="B1" s="2" t="s">
        <v>3</v>
      </c>
      <c r="C1" s="2" t="s">
        <v>1</v>
      </c>
      <c r="D1" s="2" t="s">
        <v>2</v>
      </c>
      <c r="E1" s="2" t="s">
        <v>4</v>
      </c>
      <c r="F1" s="2" t="s">
        <v>5</v>
      </c>
      <c r="G1" s="2" t="s">
        <v>6</v>
      </c>
      <c r="H1" s="2" t="s">
        <v>9</v>
      </c>
      <c r="I1" s="2" t="s">
        <v>7</v>
      </c>
      <c r="J1" s="2" t="s">
        <v>8</v>
      </c>
      <c r="K1" s="2" t="s">
        <v>580</v>
      </c>
    </row>
    <row r="2" spans="1:11" ht="29.25">
      <c r="A2" s="1">
        <v>1</v>
      </c>
      <c r="B2" s="3" t="s">
        <v>583</v>
      </c>
      <c r="C2" s="3" t="s">
        <v>581</v>
      </c>
      <c r="D2" s="1" t="s">
        <v>582</v>
      </c>
      <c r="E2" s="1" t="s">
        <v>584</v>
      </c>
      <c r="F2" s="1" t="s">
        <v>582</v>
      </c>
      <c r="G2" s="1" t="s">
        <v>582</v>
      </c>
      <c r="H2" s="1" t="s">
        <v>582</v>
      </c>
      <c r="I2" s="1" t="s">
        <v>582</v>
      </c>
      <c r="J2" s="1" t="s">
        <v>582</v>
      </c>
      <c r="K2" s="1"/>
    </row>
    <row r="3" spans="1:11" ht="29.25">
      <c r="A3" s="1">
        <v>2</v>
      </c>
      <c r="B3" s="3" t="s">
        <v>587</v>
      </c>
      <c r="C3" s="3" t="s">
        <v>585</v>
      </c>
      <c r="D3" s="1" t="s">
        <v>586</v>
      </c>
      <c r="E3" s="1" t="s">
        <v>588</v>
      </c>
      <c r="F3" s="1" t="s">
        <v>586</v>
      </c>
      <c r="G3" s="1" t="s">
        <v>586</v>
      </c>
      <c r="H3" s="1" t="s">
        <v>589</v>
      </c>
      <c r="I3" s="1" t="s">
        <v>586</v>
      </c>
      <c r="J3" s="1" t="s">
        <v>589</v>
      </c>
      <c r="K3" s="1"/>
    </row>
    <row r="4" spans="1:11" ht="29.25">
      <c r="A4" s="1">
        <v>3</v>
      </c>
      <c r="B4" s="3" t="s">
        <v>592</v>
      </c>
      <c r="C4" s="3" t="s">
        <v>590</v>
      </c>
      <c r="D4" s="1" t="s">
        <v>591</v>
      </c>
      <c r="E4" s="1" t="s">
        <v>593</v>
      </c>
      <c r="F4" s="1" t="s">
        <v>591</v>
      </c>
      <c r="G4" s="1" t="s">
        <v>591</v>
      </c>
      <c r="H4" s="1" t="s">
        <v>594</v>
      </c>
      <c r="I4" s="1" t="s">
        <v>591</v>
      </c>
      <c r="J4" s="1" t="s">
        <v>594</v>
      </c>
      <c r="K4" s="1"/>
    </row>
    <row r="5" spans="1:11" ht="29.25">
      <c r="A5" s="1">
        <v>4</v>
      </c>
      <c r="B5" s="3" t="s">
        <v>597</v>
      </c>
      <c r="C5" s="3" t="s">
        <v>595</v>
      </c>
      <c r="D5" s="1" t="s">
        <v>596</v>
      </c>
      <c r="E5" s="1" t="s">
        <v>598</v>
      </c>
      <c r="F5" s="1" t="s">
        <v>599</v>
      </c>
      <c r="G5" s="1" t="s">
        <v>599</v>
      </c>
      <c r="H5" s="1" t="s">
        <v>591</v>
      </c>
      <c r="I5" s="1" t="s">
        <v>599</v>
      </c>
      <c r="J5" s="1" t="s">
        <v>591</v>
      </c>
      <c r="K5" s="1"/>
    </row>
    <row r="6" spans="1:11" ht="29.25">
      <c r="A6" s="1">
        <v>5</v>
      </c>
      <c r="B6" s="3" t="s">
        <v>602</v>
      </c>
      <c r="C6" s="3" t="s">
        <v>600</v>
      </c>
      <c r="D6" s="1" t="s">
        <v>601</v>
      </c>
      <c r="E6" s="1" t="s">
        <v>603</v>
      </c>
      <c r="F6" s="1" t="s">
        <v>601</v>
      </c>
      <c r="G6" s="1" t="s">
        <v>601</v>
      </c>
      <c r="H6" s="1" t="s">
        <v>604</v>
      </c>
      <c r="I6" s="1" t="s">
        <v>601</v>
      </c>
      <c r="J6" s="1" t="s">
        <v>604</v>
      </c>
      <c r="K6" s="1"/>
    </row>
    <row r="7" spans="1:11" ht="29.25">
      <c r="A7" s="1">
        <v>6</v>
      </c>
      <c r="B7" s="3" t="s">
        <v>607</v>
      </c>
      <c r="C7" s="3" t="s">
        <v>605</v>
      </c>
      <c r="D7" s="1" t="s">
        <v>606</v>
      </c>
      <c r="E7" s="1" t="s">
        <v>608</v>
      </c>
      <c r="F7" s="1" t="s">
        <v>609</v>
      </c>
      <c r="G7" s="1" t="s">
        <v>609</v>
      </c>
      <c r="H7" s="1" t="s">
        <v>586</v>
      </c>
      <c r="I7" s="1" t="s">
        <v>609</v>
      </c>
      <c r="J7" s="1" t="s">
        <v>586</v>
      </c>
      <c r="K7" s="1"/>
    </row>
    <row r="8" spans="1:11" ht="29.25">
      <c r="A8" s="1">
        <v>7</v>
      </c>
      <c r="B8" s="3" t="s">
        <v>612</v>
      </c>
      <c r="C8" s="3" t="s">
        <v>610</v>
      </c>
      <c r="D8" s="1" t="s">
        <v>611</v>
      </c>
      <c r="E8" s="1" t="s">
        <v>613</v>
      </c>
      <c r="F8" s="1" t="s">
        <v>614</v>
      </c>
      <c r="G8" s="1" t="s">
        <v>614</v>
      </c>
      <c r="H8" s="1" t="s">
        <v>601</v>
      </c>
      <c r="I8" s="1" t="s">
        <v>614</v>
      </c>
      <c r="J8" s="1" t="s">
        <v>601</v>
      </c>
      <c r="K8" s="1"/>
    </row>
    <row r="9" spans="1:11" ht="29.25">
      <c r="A9" s="1">
        <v>8</v>
      </c>
      <c r="B9" s="3" t="s">
        <v>617</v>
      </c>
      <c r="C9" s="3" t="s">
        <v>615</v>
      </c>
      <c r="D9" s="1" t="s">
        <v>616</v>
      </c>
      <c r="E9" s="1" t="s">
        <v>618</v>
      </c>
      <c r="F9" s="1" t="s">
        <v>619</v>
      </c>
      <c r="G9" s="1" t="s">
        <v>620</v>
      </c>
      <c r="H9" s="1" t="s">
        <v>619</v>
      </c>
      <c r="I9" s="1" t="s">
        <v>621</v>
      </c>
      <c r="J9" s="1" t="s">
        <v>619</v>
      </c>
      <c r="K9" s="1"/>
    </row>
    <row r="10" spans="1:11" ht="29.25">
      <c r="A10" s="1">
        <v>9</v>
      </c>
      <c r="B10" s="11" t="s">
        <v>624</v>
      </c>
      <c r="C10" s="6" t="s">
        <v>622</v>
      </c>
      <c r="D10" s="1" t="s">
        <v>623</v>
      </c>
      <c r="E10" s="1" t="s">
        <v>625</v>
      </c>
      <c r="F10" s="1" t="s">
        <v>626</v>
      </c>
      <c r="G10" s="1" t="s">
        <v>626</v>
      </c>
      <c r="H10" s="1" t="s">
        <v>627</v>
      </c>
      <c r="I10" s="1" t="s">
        <v>626</v>
      </c>
      <c r="J10" s="1" t="s">
        <v>627</v>
      </c>
      <c r="K10" s="1"/>
    </row>
    <row r="11" spans="1:11" ht="29.25">
      <c r="A11" s="1">
        <v>10</v>
      </c>
      <c r="B11" s="11" t="s">
        <v>630</v>
      </c>
      <c r="C11" s="3" t="s">
        <v>628</v>
      </c>
      <c r="D11" s="1" t="s">
        <v>629</v>
      </c>
      <c r="E11" s="1" t="s">
        <v>691</v>
      </c>
      <c r="F11" s="1" t="s">
        <v>629</v>
      </c>
      <c r="G11" s="1" t="s">
        <v>629</v>
      </c>
      <c r="H11" s="1" t="s">
        <v>629</v>
      </c>
      <c r="I11" s="1" t="s">
        <v>629</v>
      </c>
      <c r="J11" s="1" t="s">
        <v>629</v>
      </c>
      <c r="K11" s="1"/>
    </row>
    <row r="12" spans="1:11" ht="29.25">
      <c r="A12" s="1">
        <v>11</v>
      </c>
      <c r="B12" s="15" t="s">
        <v>633</v>
      </c>
      <c r="C12" s="3" t="s">
        <v>631</v>
      </c>
      <c r="D12" s="1" t="s">
        <v>632</v>
      </c>
      <c r="E12" s="1" t="s">
        <v>634</v>
      </c>
      <c r="F12" s="1" t="s">
        <v>634</v>
      </c>
      <c r="G12" s="1" t="s">
        <v>634</v>
      </c>
      <c r="H12" s="1" t="s">
        <v>634</v>
      </c>
      <c r="I12" s="1" t="s">
        <v>634</v>
      </c>
      <c r="J12" s="1" t="s">
        <v>634</v>
      </c>
      <c r="K12" s="1"/>
    </row>
    <row r="13" spans="1:11" ht="29.25">
      <c r="A13" s="1">
        <v>12</v>
      </c>
      <c r="B13" s="4" t="s">
        <v>636</v>
      </c>
      <c r="C13" s="3" t="s">
        <v>635</v>
      </c>
      <c r="D13" s="1" t="s">
        <v>589</v>
      </c>
      <c r="E13" s="1" t="s">
        <v>637</v>
      </c>
      <c r="F13" s="1" t="s">
        <v>589</v>
      </c>
      <c r="G13" s="1" t="s">
        <v>589</v>
      </c>
      <c r="H13" s="1" t="s">
        <v>638</v>
      </c>
      <c r="I13" s="1" t="s">
        <v>589</v>
      </c>
      <c r="J13" s="1" t="s">
        <v>638</v>
      </c>
      <c r="K13" s="1"/>
    </row>
    <row r="14" spans="1:11" ht="29.25">
      <c r="A14" s="1">
        <v>13</v>
      </c>
      <c r="B14" s="3" t="s">
        <v>641</v>
      </c>
      <c r="C14" s="3" t="s">
        <v>639</v>
      </c>
      <c r="D14" s="1" t="s">
        <v>640</v>
      </c>
      <c r="E14" s="1" t="s">
        <v>642</v>
      </c>
      <c r="F14" s="1" t="s">
        <v>594</v>
      </c>
      <c r="G14" s="1" t="s">
        <v>594</v>
      </c>
      <c r="H14" s="1" t="s">
        <v>643</v>
      </c>
      <c r="I14" s="1" t="s">
        <v>594</v>
      </c>
      <c r="J14" s="1" t="s">
        <v>643</v>
      </c>
      <c r="K14" s="1"/>
    </row>
    <row r="15" spans="1:11" ht="29.25">
      <c r="A15" s="1">
        <v>14</v>
      </c>
      <c r="B15" s="3" t="s">
        <v>646</v>
      </c>
      <c r="C15" s="3" t="s">
        <v>644</v>
      </c>
      <c r="D15" s="1" t="s">
        <v>645</v>
      </c>
      <c r="E15" s="1" t="s">
        <v>693</v>
      </c>
      <c r="F15" s="1" t="s">
        <v>647</v>
      </c>
      <c r="G15" s="1" t="s">
        <v>648</v>
      </c>
      <c r="H15" s="1" t="s">
        <v>647</v>
      </c>
      <c r="I15" s="1" t="s">
        <v>649</v>
      </c>
      <c r="J15" s="1" t="s">
        <v>647</v>
      </c>
      <c r="K15" s="1"/>
    </row>
    <row r="16" spans="1:11" ht="29.25">
      <c r="A16" s="1">
        <v>15</v>
      </c>
      <c r="B16" s="3" t="s">
        <v>650</v>
      </c>
      <c r="C16" s="3" t="s">
        <v>650</v>
      </c>
      <c r="D16" s="1" t="s">
        <v>651</v>
      </c>
      <c r="E16" s="1" t="s">
        <v>652</v>
      </c>
      <c r="F16" s="1" t="s">
        <v>651</v>
      </c>
      <c r="G16" s="1" t="s">
        <v>651</v>
      </c>
      <c r="H16" s="1" t="s">
        <v>651</v>
      </c>
      <c r="I16" s="1" t="s">
        <v>651</v>
      </c>
      <c r="J16" s="1" t="s">
        <v>651</v>
      </c>
      <c r="K16" s="1"/>
    </row>
    <row r="17" spans="1:11" ht="29.25">
      <c r="A17" s="1">
        <v>16</v>
      </c>
      <c r="B17" s="3" t="s">
        <v>653</v>
      </c>
      <c r="C17" s="3" t="s">
        <v>653</v>
      </c>
      <c r="D17" s="1" t="s">
        <v>483</v>
      </c>
      <c r="E17" s="1" t="s">
        <v>654</v>
      </c>
      <c r="F17" s="1" t="s">
        <v>483</v>
      </c>
      <c r="G17" s="1" t="s">
        <v>483</v>
      </c>
      <c r="H17" s="1" t="s">
        <v>483</v>
      </c>
      <c r="I17" s="1" t="s">
        <v>483</v>
      </c>
      <c r="J17" s="1" t="s">
        <v>655</v>
      </c>
      <c r="K17" s="16" t="s">
        <v>656</v>
      </c>
    </row>
    <row r="18" spans="1:11" ht="29.25">
      <c r="A18" s="1">
        <v>17</v>
      </c>
      <c r="B18" s="3" t="s">
        <v>657</v>
      </c>
      <c r="C18" s="3" t="s">
        <v>657</v>
      </c>
      <c r="D18" s="1" t="s">
        <v>658</v>
      </c>
      <c r="E18" s="1" t="s">
        <v>659</v>
      </c>
      <c r="F18" s="1" t="s">
        <v>658</v>
      </c>
      <c r="G18" s="1" t="s">
        <v>658</v>
      </c>
      <c r="H18" s="1" t="s">
        <v>658</v>
      </c>
      <c r="I18" s="1" t="s">
        <v>658</v>
      </c>
      <c r="J18" s="1" t="s">
        <v>660</v>
      </c>
      <c r="K18" s="19" t="s">
        <v>661</v>
      </c>
    </row>
    <row r="19" spans="1:11" ht="29.25">
      <c r="A19" s="1">
        <v>18</v>
      </c>
      <c r="B19" s="3" t="s">
        <v>662</v>
      </c>
      <c r="C19" s="3" t="s">
        <v>662</v>
      </c>
      <c r="D19" s="1" t="s">
        <v>663</v>
      </c>
      <c r="E19" s="1" t="s">
        <v>664</v>
      </c>
      <c r="F19" s="1" t="s">
        <v>454</v>
      </c>
      <c r="G19" s="1" t="s">
        <v>454</v>
      </c>
      <c r="H19" s="1" t="s">
        <v>454</v>
      </c>
      <c r="I19" s="1" t="s">
        <v>454</v>
      </c>
      <c r="J19" s="1" t="s">
        <v>665</v>
      </c>
      <c r="K19" s="19" t="s">
        <v>666</v>
      </c>
    </row>
    <row r="20" spans="1:11" ht="29.25">
      <c r="A20" s="17">
        <v>19</v>
      </c>
      <c r="B20" s="18" t="s">
        <v>624</v>
      </c>
      <c r="C20" s="18" t="s">
        <v>622</v>
      </c>
      <c r="D20" s="16" t="s">
        <v>667</v>
      </c>
      <c r="E20" s="16" t="s">
        <v>668</v>
      </c>
      <c r="F20" s="17" t="s">
        <v>669</v>
      </c>
      <c r="G20" s="17" t="s">
        <v>669</v>
      </c>
      <c r="H20" s="17" t="s">
        <v>671</v>
      </c>
      <c r="I20" s="17" t="s">
        <v>669</v>
      </c>
      <c r="J20" s="17" t="s">
        <v>670</v>
      </c>
      <c r="K20" s="19" t="s">
        <v>689</v>
      </c>
    </row>
    <row r="21" spans="1:11" ht="29.25">
      <c r="A21" s="17">
        <v>20</v>
      </c>
      <c r="B21" s="18" t="s">
        <v>617</v>
      </c>
      <c r="C21" s="18" t="s">
        <v>672</v>
      </c>
      <c r="D21" s="19" t="s">
        <v>673</v>
      </c>
      <c r="E21" s="19" t="s">
        <v>674</v>
      </c>
      <c r="F21" s="17" t="s">
        <v>675</v>
      </c>
      <c r="G21" s="17" t="s">
        <v>676</v>
      </c>
      <c r="H21" s="17" t="s">
        <v>669</v>
      </c>
      <c r="I21" s="17" t="s">
        <v>677</v>
      </c>
      <c r="J21" s="17" t="s">
        <v>675</v>
      </c>
      <c r="K21" s="19" t="s">
        <v>690</v>
      </c>
    </row>
    <row r="22" spans="1:11" ht="29.25">
      <c r="A22" s="17">
        <v>21</v>
      </c>
      <c r="B22" s="18" t="s">
        <v>646</v>
      </c>
      <c r="C22" s="18" t="s">
        <v>678</v>
      </c>
      <c r="D22" s="19" t="s">
        <v>679</v>
      </c>
      <c r="E22" s="19" t="s">
        <v>680</v>
      </c>
      <c r="F22" s="17" t="s">
        <v>681</v>
      </c>
      <c r="G22" s="17" t="s">
        <v>682</v>
      </c>
      <c r="H22" s="17" t="s">
        <v>677</v>
      </c>
      <c r="I22" s="17" t="s">
        <v>683</v>
      </c>
      <c r="J22" s="17" t="s">
        <v>681</v>
      </c>
      <c r="K22" s="19" t="s">
        <v>694</v>
      </c>
    </row>
    <row r="23" spans="1:11" ht="29.25">
      <c r="A23" s="17">
        <v>22</v>
      </c>
      <c r="B23" s="18" t="s">
        <v>630</v>
      </c>
      <c r="C23" s="18" t="s">
        <v>684</v>
      </c>
      <c r="D23" s="19" t="s">
        <v>685</v>
      </c>
      <c r="E23" s="19" t="s">
        <v>686</v>
      </c>
      <c r="F23" s="17" t="s">
        <v>687</v>
      </c>
      <c r="G23" s="17" t="s">
        <v>687</v>
      </c>
      <c r="H23" s="17" t="s">
        <v>688</v>
      </c>
      <c r="I23" s="17" t="s">
        <v>687</v>
      </c>
      <c r="J23" s="17" t="s">
        <v>687</v>
      </c>
      <c r="K23" s="19" t="s">
        <v>692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42B6C-5679-4370-9927-A55154F8A277}">
  <dimension ref="A1:M85"/>
  <sheetViews>
    <sheetView workbookViewId="0">
      <selection activeCell="E16" sqref="E16"/>
    </sheetView>
  </sheetViews>
  <sheetFormatPr defaultRowHeight="25.5"/>
  <cols>
    <col min="1" max="1" width="7.1640625" customWidth="1"/>
    <col min="11" max="11" width="8.1640625" bestFit="1" customWidth="1"/>
    <col min="12" max="12" width="6.4140625" bestFit="1" customWidth="1"/>
    <col min="13" max="13" width="11.83203125" bestFit="1" customWidth="1"/>
  </cols>
  <sheetData>
    <row r="1" spans="1:13">
      <c r="A1" s="2" t="s">
        <v>0</v>
      </c>
      <c r="B1" s="2" t="s">
        <v>3</v>
      </c>
      <c r="C1" s="2" t="s">
        <v>1</v>
      </c>
      <c r="D1" s="2" t="s">
        <v>2</v>
      </c>
      <c r="E1" s="2" t="s">
        <v>4</v>
      </c>
      <c r="F1" s="2" t="s">
        <v>5</v>
      </c>
      <c r="G1" s="2" t="s">
        <v>6</v>
      </c>
      <c r="H1" s="2" t="s">
        <v>9</v>
      </c>
      <c r="I1" s="2" t="s">
        <v>7</v>
      </c>
      <c r="J1" s="2" t="s">
        <v>8</v>
      </c>
      <c r="K1" s="2" t="s">
        <v>578</v>
      </c>
      <c r="L1" s="2" t="s">
        <v>10</v>
      </c>
      <c r="M1" s="2" t="s">
        <v>11</v>
      </c>
    </row>
    <row r="2" spans="1:13" ht="29.25">
      <c r="A2" s="1">
        <v>1</v>
      </c>
      <c r="B2" s="3" t="s">
        <v>15</v>
      </c>
      <c r="C2" s="3" t="s">
        <v>13</v>
      </c>
      <c r="D2" s="1" t="s">
        <v>14</v>
      </c>
      <c r="E2" s="1" t="s">
        <v>16</v>
      </c>
      <c r="F2" s="1" t="s">
        <v>14</v>
      </c>
      <c r="G2" s="1" t="s">
        <v>14</v>
      </c>
      <c r="H2" s="1" t="s">
        <v>14</v>
      </c>
      <c r="I2" s="1" t="s">
        <v>14</v>
      </c>
      <c r="J2" s="1" t="s">
        <v>14</v>
      </c>
      <c r="K2" s="1" t="s">
        <v>12</v>
      </c>
      <c r="L2" s="1" t="s">
        <v>17</v>
      </c>
      <c r="M2" s="1" t="s">
        <v>18</v>
      </c>
    </row>
    <row r="3" spans="1:13" ht="29.25">
      <c r="A3" s="1">
        <v>2</v>
      </c>
      <c r="B3" s="3" t="s">
        <v>15</v>
      </c>
      <c r="C3" s="3" t="s">
        <v>20</v>
      </c>
      <c r="D3" s="1" t="s">
        <v>21</v>
      </c>
      <c r="E3" s="1" t="s">
        <v>22</v>
      </c>
      <c r="F3" s="1" t="s">
        <v>23</v>
      </c>
      <c r="G3" s="1" t="s">
        <v>23</v>
      </c>
      <c r="H3" s="1" t="s">
        <v>23</v>
      </c>
      <c r="I3" s="1" t="s">
        <v>23</v>
      </c>
      <c r="J3" s="1" t="s">
        <v>23</v>
      </c>
      <c r="K3" s="1" t="s">
        <v>12</v>
      </c>
      <c r="L3" s="1" t="s">
        <v>24</v>
      </c>
      <c r="M3" s="1" t="s">
        <v>25</v>
      </c>
    </row>
    <row r="4" spans="1:13" ht="29.25">
      <c r="A4" s="1">
        <v>3</v>
      </c>
      <c r="B4" s="3" t="s">
        <v>29</v>
      </c>
      <c r="C4" s="3" t="s">
        <v>27</v>
      </c>
      <c r="D4" s="1" t="s">
        <v>28</v>
      </c>
      <c r="E4" s="1" t="s">
        <v>30</v>
      </c>
      <c r="F4" s="1" t="s">
        <v>28</v>
      </c>
      <c r="G4" s="1" t="s">
        <v>28</v>
      </c>
      <c r="H4" s="1" t="s">
        <v>28</v>
      </c>
      <c r="I4" s="1" t="s">
        <v>28</v>
      </c>
      <c r="J4" s="1" t="s">
        <v>28</v>
      </c>
      <c r="K4" s="1" t="s">
        <v>19</v>
      </c>
      <c r="L4" s="1" t="s">
        <v>17</v>
      </c>
      <c r="M4" s="1" t="s">
        <v>31</v>
      </c>
    </row>
    <row r="5" spans="1:13" ht="29.25">
      <c r="A5" s="1">
        <v>4</v>
      </c>
      <c r="B5" s="3" t="s">
        <v>29</v>
      </c>
      <c r="C5" s="3" t="s">
        <v>33</v>
      </c>
      <c r="D5" s="1" t="s">
        <v>34</v>
      </c>
      <c r="E5" s="1" t="s">
        <v>35</v>
      </c>
      <c r="F5" s="1" t="s">
        <v>36</v>
      </c>
      <c r="G5" s="1" t="s">
        <v>36</v>
      </c>
      <c r="H5" s="1" t="s">
        <v>36</v>
      </c>
      <c r="I5" s="1" t="s">
        <v>36</v>
      </c>
      <c r="J5" s="1" t="s">
        <v>36</v>
      </c>
      <c r="K5" s="1" t="s">
        <v>19</v>
      </c>
      <c r="L5" s="1" t="s">
        <v>24</v>
      </c>
      <c r="M5" s="1" t="s">
        <v>37</v>
      </c>
    </row>
    <row r="6" spans="1:13" ht="29.25">
      <c r="A6" s="1">
        <v>5</v>
      </c>
      <c r="B6" s="3" t="s">
        <v>41</v>
      </c>
      <c r="C6" s="3" t="s">
        <v>39</v>
      </c>
      <c r="D6" s="1" t="s">
        <v>40</v>
      </c>
      <c r="E6" s="1" t="s">
        <v>42</v>
      </c>
      <c r="F6" s="1" t="s">
        <v>40</v>
      </c>
      <c r="G6" s="1" t="s">
        <v>40</v>
      </c>
      <c r="H6" s="1" t="s">
        <v>40</v>
      </c>
      <c r="I6" s="1" t="s">
        <v>40</v>
      </c>
      <c r="J6" s="1" t="s">
        <v>40</v>
      </c>
      <c r="K6" s="1" t="s">
        <v>26</v>
      </c>
      <c r="L6" s="1" t="s">
        <v>17</v>
      </c>
      <c r="M6" s="1" t="s">
        <v>43</v>
      </c>
    </row>
    <row r="7" spans="1:13" ht="29.25">
      <c r="A7" s="1">
        <v>6</v>
      </c>
      <c r="B7" s="3" t="s">
        <v>41</v>
      </c>
      <c r="C7" s="3" t="s">
        <v>45</v>
      </c>
      <c r="D7" s="1" t="s">
        <v>46</v>
      </c>
      <c r="E7" s="1" t="s">
        <v>47</v>
      </c>
      <c r="F7" s="1" t="s">
        <v>48</v>
      </c>
      <c r="G7" s="1" t="s">
        <v>48</v>
      </c>
      <c r="H7" s="1" t="s">
        <v>48</v>
      </c>
      <c r="I7" s="1" t="s">
        <v>48</v>
      </c>
      <c r="J7" s="1" t="s">
        <v>48</v>
      </c>
      <c r="K7" s="1" t="s">
        <v>26</v>
      </c>
      <c r="L7" s="1" t="s">
        <v>24</v>
      </c>
      <c r="M7" s="1" t="s">
        <v>49</v>
      </c>
    </row>
    <row r="8" spans="1:13" ht="29.25">
      <c r="A8" s="1">
        <v>7</v>
      </c>
      <c r="B8" s="3" t="s">
        <v>53</v>
      </c>
      <c r="C8" s="3" t="s">
        <v>51</v>
      </c>
      <c r="D8" s="1" t="s">
        <v>52</v>
      </c>
      <c r="E8" s="1" t="s">
        <v>54</v>
      </c>
      <c r="F8" s="1" t="s">
        <v>52</v>
      </c>
      <c r="G8" s="1" t="s">
        <v>52</v>
      </c>
      <c r="H8" s="1" t="s">
        <v>52</v>
      </c>
      <c r="I8" s="1" t="s">
        <v>52</v>
      </c>
      <c r="J8" s="1" t="s">
        <v>52</v>
      </c>
      <c r="K8" s="1" t="s">
        <v>32</v>
      </c>
      <c r="L8" s="1" t="s">
        <v>17</v>
      </c>
      <c r="M8" s="1" t="s">
        <v>55</v>
      </c>
    </row>
    <row r="9" spans="1:13" ht="29.25">
      <c r="A9" s="1">
        <v>9</v>
      </c>
      <c r="B9" s="4" t="s">
        <v>59</v>
      </c>
      <c r="C9" s="4" t="s">
        <v>57</v>
      </c>
      <c r="D9" s="1" t="s">
        <v>58</v>
      </c>
      <c r="E9" s="1" t="s">
        <v>60</v>
      </c>
      <c r="F9" s="1" t="s">
        <v>61</v>
      </c>
      <c r="G9" s="1" t="s">
        <v>61</v>
      </c>
      <c r="H9" s="1" t="s">
        <v>62</v>
      </c>
      <c r="I9" s="1" t="s">
        <v>62</v>
      </c>
      <c r="J9" s="1" t="s">
        <v>61</v>
      </c>
      <c r="K9" s="1" t="s">
        <v>38</v>
      </c>
      <c r="L9" s="1" t="s">
        <v>17</v>
      </c>
      <c r="M9" s="1" t="s">
        <v>63</v>
      </c>
    </row>
    <row r="10" spans="1:13" ht="29.25">
      <c r="A10" s="1">
        <v>10</v>
      </c>
      <c r="B10" s="4" t="s">
        <v>59</v>
      </c>
      <c r="C10" s="3" t="s">
        <v>65</v>
      </c>
      <c r="D10" s="1" t="s">
        <v>66</v>
      </c>
      <c r="E10" s="1" t="s">
        <v>67</v>
      </c>
      <c r="F10" s="1" t="s">
        <v>68</v>
      </c>
      <c r="G10" s="1" t="s">
        <v>68</v>
      </c>
      <c r="H10" s="1" t="s">
        <v>70</v>
      </c>
      <c r="I10" s="1" t="s">
        <v>68</v>
      </c>
      <c r="J10" s="1" t="s">
        <v>69</v>
      </c>
      <c r="K10" s="1" t="s">
        <v>38</v>
      </c>
      <c r="L10" s="1" t="s">
        <v>24</v>
      </c>
      <c r="M10" s="1" t="s">
        <v>71</v>
      </c>
    </row>
    <row r="11" spans="1:13" ht="29.25">
      <c r="A11" s="1">
        <v>11</v>
      </c>
      <c r="B11" s="3" t="s">
        <v>75</v>
      </c>
      <c r="C11" s="3" t="s">
        <v>73</v>
      </c>
      <c r="D11" s="1" t="s">
        <v>74</v>
      </c>
      <c r="E11" s="1" t="s">
        <v>76</v>
      </c>
      <c r="F11" s="1" t="s">
        <v>74</v>
      </c>
      <c r="G11" s="1" t="s">
        <v>74</v>
      </c>
      <c r="H11" s="1" t="s">
        <v>74</v>
      </c>
      <c r="I11" s="1" t="s">
        <v>74</v>
      </c>
      <c r="J11" s="1" t="s">
        <v>74</v>
      </c>
      <c r="K11" s="1" t="s">
        <v>44</v>
      </c>
      <c r="L11" s="1" t="s">
        <v>17</v>
      </c>
      <c r="M11" s="1" t="s">
        <v>77</v>
      </c>
    </row>
    <row r="12" spans="1:13" ht="29.25">
      <c r="A12" s="1">
        <v>12</v>
      </c>
      <c r="B12" s="3" t="s">
        <v>75</v>
      </c>
      <c r="C12" s="3" t="s">
        <v>79</v>
      </c>
      <c r="D12" s="1" t="s">
        <v>80</v>
      </c>
      <c r="E12" s="1" t="s">
        <v>81</v>
      </c>
      <c r="F12" s="1" t="s">
        <v>82</v>
      </c>
      <c r="G12" s="1" t="s">
        <v>82</v>
      </c>
      <c r="H12" s="1" t="s">
        <v>82</v>
      </c>
      <c r="I12" s="1" t="s">
        <v>82</v>
      </c>
      <c r="J12" s="1" t="s">
        <v>82</v>
      </c>
      <c r="K12" s="1" t="s">
        <v>44</v>
      </c>
      <c r="L12" s="1" t="s">
        <v>24</v>
      </c>
      <c r="M12" s="1" t="s">
        <v>83</v>
      </c>
    </row>
    <row r="13" spans="1:13" ht="29.25">
      <c r="A13" s="1">
        <v>13</v>
      </c>
      <c r="B13" s="3" t="s">
        <v>87</v>
      </c>
      <c r="C13" s="3" t="s">
        <v>85</v>
      </c>
      <c r="D13" s="1" t="s">
        <v>86</v>
      </c>
      <c r="E13" s="1" t="s">
        <v>88</v>
      </c>
      <c r="F13" s="1" t="s">
        <v>89</v>
      </c>
      <c r="G13" s="1" t="s">
        <v>89</v>
      </c>
      <c r="H13" s="1" t="s">
        <v>89</v>
      </c>
      <c r="I13" s="1" t="s">
        <v>89</v>
      </c>
      <c r="J13" s="1" t="s">
        <v>89</v>
      </c>
      <c r="K13" s="1" t="s">
        <v>50</v>
      </c>
      <c r="L13" s="1" t="s">
        <v>17</v>
      </c>
      <c r="M13" s="1" t="s">
        <v>90</v>
      </c>
    </row>
    <row r="14" spans="1:13" ht="29.25">
      <c r="A14" s="1">
        <v>14</v>
      </c>
      <c r="B14" s="3" t="s">
        <v>87</v>
      </c>
      <c r="C14" s="3" t="s">
        <v>92</v>
      </c>
      <c r="D14" s="1" t="s">
        <v>93</v>
      </c>
      <c r="E14" s="1" t="s">
        <v>94</v>
      </c>
      <c r="F14" s="1" t="s">
        <v>95</v>
      </c>
      <c r="G14" s="1" t="s">
        <v>95</v>
      </c>
      <c r="H14" s="1" t="s">
        <v>95</v>
      </c>
      <c r="I14" s="1" t="s">
        <v>95</v>
      </c>
      <c r="J14" s="1" t="s">
        <v>95</v>
      </c>
      <c r="K14" s="1" t="s">
        <v>50</v>
      </c>
      <c r="L14" s="1" t="s">
        <v>24</v>
      </c>
      <c r="M14" s="1" t="s">
        <v>96</v>
      </c>
    </row>
    <row r="15" spans="1:13" ht="29.25">
      <c r="A15" s="1">
        <v>15</v>
      </c>
      <c r="B15" s="3" t="s">
        <v>100</v>
      </c>
      <c r="C15" s="3" t="s">
        <v>98</v>
      </c>
      <c r="D15" s="1" t="s">
        <v>99</v>
      </c>
      <c r="E15" s="1" t="s">
        <v>101</v>
      </c>
      <c r="F15" s="1" t="s">
        <v>99</v>
      </c>
      <c r="G15" s="1" t="s">
        <v>99</v>
      </c>
      <c r="H15" s="1" t="s">
        <v>99</v>
      </c>
      <c r="I15" s="1" t="s">
        <v>102</v>
      </c>
      <c r="J15" s="1" t="s">
        <v>99</v>
      </c>
      <c r="K15" s="1" t="s">
        <v>104</v>
      </c>
      <c r="L15" s="1" t="s">
        <v>17</v>
      </c>
      <c r="M15" s="1" t="s">
        <v>103</v>
      </c>
    </row>
    <row r="16" spans="1:13" ht="39">
      <c r="A16" s="1">
        <v>16</v>
      </c>
      <c r="B16" s="3" t="s">
        <v>100</v>
      </c>
      <c r="C16" s="3" t="s">
        <v>579</v>
      </c>
      <c r="D16" s="1" t="s">
        <v>106</v>
      </c>
      <c r="E16" s="1" t="s">
        <v>107</v>
      </c>
      <c r="F16" s="1" t="s">
        <v>108</v>
      </c>
      <c r="G16" s="1" t="s">
        <v>108</v>
      </c>
      <c r="H16" s="1" t="s">
        <v>108</v>
      </c>
      <c r="I16" s="1" t="s">
        <v>109</v>
      </c>
      <c r="J16" s="1" t="s">
        <v>108</v>
      </c>
      <c r="K16" s="1" t="s">
        <v>104</v>
      </c>
      <c r="L16" s="1" t="s">
        <v>24</v>
      </c>
      <c r="M16" s="1" t="s">
        <v>110</v>
      </c>
    </row>
    <row r="17" spans="1:13" ht="29.25">
      <c r="A17" s="1">
        <v>17</v>
      </c>
      <c r="B17" s="3" t="s">
        <v>114</v>
      </c>
      <c r="C17" s="3" t="s">
        <v>112</v>
      </c>
      <c r="D17" s="1" t="s">
        <v>113</v>
      </c>
      <c r="E17" s="1" t="s">
        <v>115</v>
      </c>
      <c r="F17" s="1" t="s">
        <v>116</v>
      </c>
      <c r="G17" s="1" t="s">
        <v>116</v>
      </c>
      <c r="H17" s="1" t="s">
        <v>116</v>
      </c>
      <c r="I17" s="1" t="s">
        <v>117</v>
      </c>
      <c r="J17" s="1" t="s">
        <v>116</v>
      </c>
      <c r="K17" s="1" t="s">
        <v>56</v>
      </c>
      <c r="L17" s="1" t="s">
        <v>17</v>
      </c>
      <c r="M17" s="1" t="s">
        <v>118</v>
      </c>
    </row>
    <row r="18" spans="1:13" ht="29.25">
      <c r="A18" s="1">
        <v>18</v>
      </c>
      <c r="B18" s="3" t="s">
        <v>114</v>
      </c>
      <c r="C18" s="3" t="s">
        <v>120</v>
      </c>
      <c r="D18" s="1" t="s">
        <v>121</v>
      </c>
      <c r="E18" s="1" t="s">
        <v>122</v>
      </c>
      <c r="F18" s="1" t="s">
        <v>123</v>
      </c>
      <c r="G18" s="1" t="s">
        <v>123</v>
      </c>
      <c r="H18" s="1" t="s">
        <v>123</v>
      </c>
      <c r="I18" s="1" t="s">
        <v>124</v>
      </c>
      <c r="J18" s="1" t="s">
        <v>123</v>
      </c>
      <c r="K18" s="1" t="s">
        <v>56</v>
      </c>
      <c r="L18" s="1" t="s">
        <v>24</v>
      </c>
      <c r="M18" s="1" t="s">
        <v>125</v>
      </c>
    </row>
    <row r="19" spans="1:13" ht="29.25">
      <c r="A19" s="1">
        <v>19</v>
      </c>
      <c r="B19" s="3" t="s">
        <v>129</v>
      </c>
      <c r="C19" s="3" t="s">
        <v>127</v>
      </c>
      <c r="D19" s="1" t="s">
        <v>128</v>
      </c>
      <c r="E19" s="1" t="s">
        <v>130</v>
      </c>
      <c r="F19" s="1" t="s">
        <v>128</v>
      </c>
      <c r="G19" s="1" t="s">
        <v>128</v>
      </c>
      <c r="H19" s="1" t="s">
        <v>128</v>
      </c>
      <c r="I19" s="1" t="s">
        <v>131</v>
      </c>
      <c r="J19" s="1" t="s">
        <v>128</v>
      </c>
      <c r="K19" s="1" t="s">
        <v>64</v>
      </c>
      <c r="L19" s="1" t="s">
        <v>17</v>
      </c>
      <c r="M19" s="1" t="s">
        <v>132</v>
      </c>
    </row>
    <row r="20" spans="1:13" ht="29.25">
      <c r="A20" s="1">
        <v>20</v>
      </c>
      <c r="B20" s="3" t="s">
        <v>129</v>
      </c>
      <c r="C20" s="3" t="s">
        <v>134</v>
      </c>
      <c r="D20" s="1" t="s">
        <v>135</v>
      </c>
      <c r="E20" s="1" t="s">
        <v>136</v>
      </c>
      <c r="F20" s="1" t="s">
        <v>137</v>
      </c>
      <c r="G20" s="1" t="s">
        <v>137</v>
      </c>
      <c r="H20" s="1" t="s">
        <v>137</v>
      </c>
      <c r="I20" s="1" t="s">
        <v>138</v>
      </c>
      <c r="J20" s="1" t="s">
        <v>137</v>
      </c>
      <c r="K20" s="1" t="s">
        <v>64</v>
      </c>
      <c r="L20" s="1" t="s">
        <v>24</v>
      </c>
      <c r="M20" s="1" t="s">
        <v>139</v>
      </c>
    </row>
    <row r="21" spans="1:13" ht="29.25">
      <c r="A21" s="1">
        <v>21</v>
      </c>
      <c r="B21" s="3" t="s">
        <v>143</v>
      </c>
      <c r="C21" s="3" t="s">
        <v>141</v>
      </c>
      <c r="D21" s="1" t="s">
        <v>142</v>
      </c>
      <c r="E21" s="1" t="s">
        <v>144</v>
      </c>
      <c r="F21" s="1" t="s">
        <v>145</v>
      </c>
      <c r="G21" s="1" t="s">
        <v>145</v>
      </c>
      <c r="H21" s="1" t="s">
        <v>145</v>
      </c>
      <c r="I21" s="1" t="s">
        <v>146</v>
      </c>
      <c r="J21" s="1" t="s">
        <v>145</v>
      </c>
      <c r="K21" s="1" t="s">
        <v>72</v>
      </c>
      <c r="L21" s="1" t="s">
        <v>17</v>
      </c>
      <c r="M21" s="1" t="s">
        <v>147</v>
      </c>
    </row>
    <row r="22" spans="1:13" ht="29.25">
      <c r="A22" s="1">
        <v>23</v>
      </c>
      <c r="B22" s="3" t="s">
        <v>151</v>
      </c>
      <c r="C22" s="3" t="s">
        <v>149</v>
      </c>
      <c r="D22" s="1" t="s">
        <v>150</v>
      </c>
      <c r="E22" s="1" t="s">
        <v>152</v>
      </c>
      <c r="F22" s="1" t="s">
        <v>150</v>
      </c>
      <c r="G22" s="1" t="s">
        <v>150</v>
      </c>
      <c r="H22" s="1" t="s">
        <v>150</v>
      </c>
      <c r="I22" s="1" t="s">
        <v>150</v>
      </c>
      <c r="J22" s="1" t="s">
        <v>153</v>
      </c>
      <c r="K22" s="1" t="s">
        <v>78</v>
      </c>
      <c r="L22" s="1" t="s">
        <v>17</v>
      </c>
      <c r="M22" s="1" t="s">
        <v>154</v>
      </c>
    </row>
    <row r="23" spans="1:13" ht="29.25">
      <c r="A23" s="1">
        <v>24</v>
      </c>
      <c r="B23" s="3" t="s">
        <v>151</v>
      </c>
      <c r="C23" s="5" t="s">
        <v>156</v>
      </c>
      <c r="D23" s="1" t="s">
        <v>157</v>
      </c>
      <c r="E23" s="1" t="s">
        <v>158</v>
      </c>
      <c r="F23" s="1" t="s">
        <v>159</v>
      </c>
      <c r="G23" s="1" t="s">
        <v>159</v>
      </c>
      <c r="H23" s="1" t="s">
        <v>159</v>
      </c>
      <c r="I23" s="1" t="s">
        <v>159</v>
      </c>
      <c r="J23" s="1" t="s">
        <v>160</v>
      </c>
      <c r="K23" s="1" t="s">
        <v>78</v>
      </c>
      <c r="L23" s="1" t="s">
        <v>24</v>
      </c>
      <c r="M23" s="1" t="s">
        <v>161</v>
      </c>
    </row>
    <row r="24" spans="1:13" ht="29.25">
      <c r="A24" s="1">
        <v>25</v>
      </c>
      <c r="B24" s="3" t="s">
        <v>165</v>
      </c>
      <c r="C24" s="3" t="s">
        <v>163</v>
      </c>
      <c r="D24" s="1" t="s">
        <v>164</v>
      </c>
      <c r="E24" s="1" t="s">
        <v>166</v>
      </c>
      <c r="F24" s="1" t="s">
        <v>164</v>
      </c>
      <c r="G24" s="1" t="s">
        <v>62</v>
      </c>
      <c r="H24" s="1" t="s">
        <v>62</v>
      </c>
      <c r="I24" s="1" t="s">
        <v>62</v>
      </c>
      <c r="J24" s="1" t="s">
        <v>62</v>
      </c>
      <c r="K24" s="1" t="s">
        <v>84</v>
      </c>
      <c r="L24" s="1" t="s">
        <v>17</v>
      </c>
      <c r="M24" s="1" t="s">
        <v>167</v>
      </c>
    </row>
    <row r="25" spans="1:13" ht="29.25">
      <c r="A25" s="1">
        <v>27</v>
      </c>
      <c r="B25" s="3" t="s">
        <v>171</v>
      </c>
      <c r="C25" s="3" t="s">
        <v>169</v>
      </c>
      <c r="D25" s="1" t="s">
        <v>170</v>
      </c>
      <c r="E25" s="1" t="s">
        <v>172</v>
      </c>
      <c r="F25" s="1" t="s">
        <v>173</v>
      </c>
      <c r="G25" s="1" t="s">
        <v>173</v>
      </c>
      <c r="H25" s="1" t="s">
        <v>173</v>
      </c>
      <c r="I25" s="1" t="s">
        <v>173</v>
      </c>
      <c r="J25" s="1" t="s">
        <v>173</v>
      </c>
      <c r="K25" s="1" t="s">
        <v>91</v>
      </c>
      <c r="L25" s="1" t="s">
        <v>17</v>
      </c>
      <c r="M25" s="1" t="s">
        <v>174</v>
      </c>
    </row>
    <row r="26" spans="1:13" ht="29.25">
      <c r="A26" s="1">
        <v>28</v>
      </c>
      <c r="B26" s="3" t="s">
        <v>171</v>
      </c>
      <c r="C26" s="3" t="s">
        <v>176</v>
      </c>
      <c r="D26" s="1" t="s">
        <v>177</v>
      </c>
      <c r="E26" s="1" t="s">
        <v>178</v>
      </c>
      <c r="F26" s="1" t="s">
        <v>179</v>
      </c>
      <c r="G26" s="1" t="s">
        <v>179</v>
      </c>
      <c r="H26" s="1" t="s">
        <v>179</v>
      </c>
      <c r="I26" s="1" t="s">
        <v>179</v>
      </c>
      <c r="J26" s="1" t="s">
        <v>179</v>
      </c>
      <c r="K26" s="1" t="s">
        <v>91</v>
      </c>
      <c r="L26" s="1" t="s">
        <v>24</v>
      </c>
      <c r="M26" s="1" t="s">
        <v>180</v>
      </c>
    </row>
    <row r="27" spans="1:13" ht="29.25">
      <c r="A27" s="1">
        <v>29</v>
      </c>
      <c r="B27" s="3" t="s">
        <v>184</v>
      </c>
      <c r="C27" s="3" t="s">
        <v>182</v>
      </c>
      <c r="D27" s="1" t="s">
        <v>183</v>
      </c>
      <c r="E27" s="1" t="s">
        <v>185</v>
      </c>
      <c r="F27" s="1" t="s">
        <v>183</v>
      </c>
      <c r="G27" s="1" t="s">
        <v>183</v>
      </c>
      <c r="H27" s="1" t="s">
        <v>186</v>
      </c>
      <c r="I27" s="1" t="s">
        <v>183</v>
      </c>
      <c r="J27" s="1" t="s">
        <v>183</v>
      </c>
      <c r="K27" s="1" t="s">
        <v>97</v>
      </c>
      <c r="L27" s="1" t="s">
        <v>17</v>
      </c>
      <c r="M27" s="1" t="s">
        <v>187</v>
      </c>
    </row>
    <row r="28" spans="1:13" ht="29.25">
      <c r="A28" s="1">
        <v>30</v>
      </c>
      <c r="B28" s="3" t="s">
        <v>184</v>
      </c>
      <c r="C28" s="4" t="s">
        <v>189</v>
      </c>
      <c r="D28" s="1" t="s">
        <v>190</v>
      </c>
      <c r="E28" s="1" t="s">
        <v>191</v>
      </c>
      <c r="F28" s="1" t="s">
        <v>192</v>
      </c>
      <c r="G28" s="1" t="s">
        <v>192</v>
      </c>
      <c r="H28" s="1" t="s">
        <v>193</v>
      </c>
      <c r="I28" s="1" t="s">
        <v>192</v>
      </c>
      <c r="J28" s="1" t="s">
        <v>192</v>
      </c>
      <c r="K28" s="1" t="s">
        <v>97</v>
      </c>
      <c r="L28" s="1" t="s">
        <v>24</v>
      </c>
      <c r="M28" s="1" t="s">
        <v>194</v>
      </c>
    </row>
    <row r="29" spans="1:13" ht="29.25">
      <c r="A29" s="1">
        <v>31</v>
      </c>
      <c r="B29" s="3" t="s">
        <v>198</v>
      </c>
      <c r="C29" s="3" t="s">
        <v>196</v>
      </c>
      <c r="D29" s="1" t="s">
        <v>197</v>
      </c>
      <c r="E29" s="1" t="s">
        <v>199</v>
      </c>
      <c r="F29" s="1" t="s">
        <v>197</v>
      </c>
      <c r="G29" s="1" t="s">
        <v>197</v>
      </c>
      <c r="H29" s="1" t="s">
        <v>197</v>
      </c>
      <c r="I29" s="1" t="s">
        <v>197</v>
      </c>
      <c r="J29" s="1" t="s">
        <v>197</v>
      </c>
      <c r="K29" s="1" t="s">
        <v>105</v>
      </c>
      <c r="L29" s="1" t="s">
        <v>17</v>
      </c>
      <c r="M29" s="1" t="s">
        <v>200</v>
      </c>
    </row>
    <row r="30" spans="1:13" ht="29.25">
      <c r="A30" s="1">
        <v>33</v>
      </c>
      <c r="B30" s="3" t="s">
        <v>204</v>
      </c>
      <c r="C30" s="3" t="s">
        <v>202</v>
      </c>
      <c r="D30" s="1" t="s">
        <v>203</v>
      </c>
      <c r="E30" s="1" t="s">
        <v>205</v>
      </c>
      <c r="F30" s="1" t="s">
        <v>203</v>
      </c>
      <c r="G30" s="1" t="s">
        <v>203</v>
      </c>
      <c r="H30" s="1" t="s">
        <v>203</v>
      </c>
      <c r="I30" s="1" t="s">
        <v>203</v>
      </c>
      <c r="J30" s="1" t="s">
        <v>203</v>
      </c>
      <c r="K30" s="1" t="s">
        <v>111</v>
      </c>
      <c r="L30" s="1" t="s">
        <v>17</v>
      </c>
      <c r="M30" s="1" t="s">
        <v>206</v>
      </c>
    </row>
    <row r="31" spans="1:13" ht="29.25">
      <c r="A31" s="1">
        <v>34</v>
      </c>
      <c r="B31" s="3" t="s">
        <v>204</v>
      </c>
      <c r="C31" s="3" t="s">
        <v>208</v>
      </c>
      <c r="D31" s="1" t="s">
        <v>209</v>
      </c>
      <c r="E31" s="1" t="s">
        <v>210</v>
      </c>
      <c r="F31" s="1" t="s">
        <v>211</v>
      </c>
      <c r="G31" s="1" t="s">
        <v>211</v>
      </c>
      <c r="H31" s="1" t="s">
        <v>211</v>
      </c>
      <c r="I31" s="1" t="s">
        <v>211</v>
      </c>
      <c r="J31" s="1" t="s">
        <v>211</v>
      </c>
      <c r="K31" s="1" t="s">
        <v>111</v>
      </c>
      <c r="L31" s="1" t="s">
        <v>24</v>
      </c>
      <c r="M31" s="1" t="s">
        <v>212</v>
      </c>
    </row>
    <row r="32" spans="1:13" ht="29.25">
      <c r="A32" s="1">
        <v>35</v>
      </c>
      <c r="B32" s="5" t="s">
        <v>216</v>
      </c>
      <c r="C32" s="5" t="s">
        <v>214</v>
      </c>
      <c r="D32" s="1" t="s">
        <v>215</v>
      </c>
      <c r="E32" s="1" t="s">
        <v>217</v>
      </c>
      <c r="F32" s="1" t="s">
        <v>218</v>
      </c>
      <c r="G32" s="1" t="s">
        <v>218</v>
      </c>
      <c r="H32" s="1" t="s">
        <v>218</v>
      </c>
      <c r="I32" s="1" t="s">
        <v>218</v>
      </c>
      <c r="J32" s="1" t="s">
        <v>218</v>
      </c>
      <c r="K32" s="1" t="s">
        <v>119</v>
      </c>
      <c r="L32" s="1" t="s">
        <v>17</v>
      </c>
      <c r="M32" s="1" t="s">
        <v>219</v>
      </c>
    </row>
    <row r="33" spans="1:13" ht="29.25">
      <c r="A33" s="1">
        <v>36</v>
      </c>
      <c r="B33" s="5" t="s">
        <v>216</v>
      </c>
      <c r="C33" s="4" t="s">
        <v>221</v>
      </c>
      <c r="D33" s="1" t="s">
        <v>222</v>
      </c>
      <c r="E33" s="1" t="s">
        <v>223</v>
      </c>
      <c r="F33" s="1" t="s">
        <v>224</v>
      </c>
      <c r="G33" s="1" t="s">
        <v>224</v>
      </c>
      <c r="H33" s="1" t="s">
        <v>224</v>
      </c>
      <c r="I33" s="1" t="s">
        <v>224</v>
      </c>
      <c r="J33" s="1" t="s">
        <v>224</v>
      </c>
      <c r="K33" s="1" t="s">
        <v>119</v>
      </c>
      <c r="L33" s="1" t="s">
        <v>24</v>
      </c>
      <c r="M33" s="1" t="s">
        <v>225</v>
      </c>
    </row>
    <row r="34" spans="1:13" ht="29.25">
      <c r="A34" s="1">
        <v>37</v>
      </c>
      <c r="B34" s="3" t="s">
        <v>229</v>
      </c>
      <c r="C34" s="3" t="s">
        <v>227</v>
      </c>
      <c r="D34" s="1" t="s">
        <v>228</v>
      </c>
      <c r="E34" s="1" t="s">
        <v>230</v>
      </c>
      <c r="F34" s="1" t="s">
        <v>228</v>
      </c>
      <c r="G34" s="1" t="s">
        <v>228</v>
      </c>
      <c r="H34" s="1" t="s">
        <v>228</v>
      </c>
      <c r="I34" s="1" t="s">
        <v>228</v>
      </c>
      <c r="J34" s="1" t="s">
        <v>228</v>
      </c>
      <c r="K34" s="1" t="s">
        <v>126</v>
      </c>
      <c r="L34" s="1" t="s">
        <v>17</v>
      </c>
      <c r="M34" s="1" t="s">
        <v>231</v>
      </c>
    </row>
    <row r="35" spans="1:13" ht="29.25">
      <c r="A35" s="1">
        <v>38</v>
      </c>
      <c r="B35" s="3" t="s">
        <v>229</v>
      </c>
      <c r="C35" s="3" t="s">
        <v>233</v>
      </c>
      <c r="D35" s="1" t="s">
        <v>234</v>
      </c>
      <c r="E35" s="1" t="s">
        <v>235</v>
      </c>
      <c r="F35" s="1" t="s">
        <v>236</v>
      </c>
      <c r="G35" s="1" t="s">
        <v>236</v>
      </c>
      <c r="H35" s="1" t="s">
        <v>236</v>
      </c>
      <c r="I35" s="1" t="s">
        <v>236</v>
      </c>
      <c r="J35" s="1" t="s">
        <v>236</v>
      </c>
      <c r="K35" s="1" t="s">
        <v>126</v>
      </c>
      <c r="L35" s="1" t="s">
        <v>24</v>
      </c>
      <c r="M35" s="1" t="s">
        <v>237</v>
      </c>
    </row>
    <row r="36" spans="1:13" ht="29.25">
      <c r="A36" s="1">
        <v>39</v>
      </c>
      <c r="B36" s="3" t="s">
        <v>241</v>
      </c>
      <c r="C36" s="3" t="s">
        <v>239</v>
      </c>
      <c r="D36" s="1" t="s">
        <v>240</v>
      </c>
      <c r="E36" s="1" t="s">
        <v>242</v>
      </c>
      <c r="F36" s="1" t="s">
        <v>240</v>
      </c>
      <c r="G36" s="1" t="s">
        <v>240</v>
      </c>
      <c r="H36" s="1" t="s">
        <v>240</v>
      </c>
      <c r="I36" s="1" t="s">
        <v>243</v>
      </c>
      <c r="J36" s="1" t="s">
        <v>240</v>
      </c>
      <c r="K36" s="1" t="s">
        <v>133</v>
      </c>
      <c r="L36" s="1" t="s">
        <v>17</v>
      </c>
      <c r="M36" s="1" t="s">
        <v>244</v>
      </c>
    </row>
    <row r="37" spans="1:13" ht="29.25">
      <c r="A37" s="1">
        <v>40</v>
      </c>
      <c r="B37" s="3" t="s">
        <v>241</v>
      </c>
      <c r="C37" s="3" t="s">
        <v>246</v>
      </c>
      <c r="D37" s="1" t="s">
        <v>247</v>
      </c>
      <c r="E37" s="1" t="s">
        <v>248</v>
      </c>
      <c r="F37" s="1" t="s">
        <v>249</v>
      </c>
      <c r="G37" s="1" t="s">
        <v>249</v>
      </c>
      <c r="H37" s="1" t="s">
        <v>249</v>
      </c>
      <c r="I37" s="1" t="s">
        <v>250</v>
      </c>
      <c r="J37" s="1" t="s">
        <v>249</v>
      </c>
      <c r="K37" s="1" t="s">
        <v>133</v>
      </c>
      <c r="L37" s="1" t="s">
        <v>24</v>
      </c>
      <c r="M37" s="1" t="s">
        <v>251</v>
      </c>
    </row>
    <row r="38" spans="1:13" ht="29.25">
      <c r="A38" s="1">
        <v>41</v>
      </c>
      <c r="B38" s="3" t="s">
        <v>255</v>
      </c>
      <c r="C38" s="3" t="s">
        <v>253</v>
      </c>
      <c r="D38" s="1" t="s">
        <v>254</v>
      </c>
      <c r="E38" s="1" t="s">
        <v>256</v>
      </c>
      <c r="F38" s="1" t="s">
        <v>257</v>
      </c>
      <c r="G38" s="1" t="s">
        <v>257</v>
      </c>
      <c r="H38" s="1" t="s">
        <v>257</v>
      </c>
      <c r="I38" s="1" t="s">
        <v>257</v>
      </c>
      <c r="J38" s="1" t="s">
        <v>257</v>
      </c>
      <c r="K38" s="1" t="s">
        <v>140</v>
      </c>
      <c r="L38" s="1" t="s">
        <v>17</v>
      </c>
      <c r="M38" s="1" t="s">
        <v>258</v>
      </c>
    </row>
    <row r="39" spans="1:13" ht="29.25">
      <c r="A39" s="1">
        <v>42</v>
      </c>
      <c r="B39" s="3" t="s">
        <v>255</v>
      </c>
      <c r="C39" s="3" t="s">
        <v>260</v>
      </c>
      <c r="D39" s="1" t="s">
        <v>261</v>
      </c>
      <c r="E39" s="1" t="s">
        <v>262</v>
      </c>
      <c r="F39" s="1" t="s">
        <v>263</v>
      </c>
      <c r="G39" s="1" t="s">
        <v>263</v>
      </c>
      <c r="H39" s="1" t="s">
        <v>263</v>
      </c>
      <c r="I39" s="1" t="s">
        <v>263</v>
      </c>
      <c r="J39" s="1" t="s">
        <v>263</v>
      </c>
      <c r="K39" s="1" t="s">
        <v>140</v>
      </c>
      <c r="L39" s="1" t="s">
        <v>24</v>
      </c>
      <c r="M39" s="1" t="s">
        <v>264</v>
      </c>
    </row>
    <row r="40" spans="1:13" ht="29.25">
      <c r="A40" s="1">
        <v>43</v>
      </c>
      <c r="B40" s="3" t="s">
        <v>268</v>
      </c>
      <c r="C40" s="3" t="s">
        <v>266</v>
      </c>
      <c r="D40" s="1" t="s">
        <v>267</v>
      </c>
      <c r="E40" s="1" t="s">
        <v>269</v>
      </c>
      <c r="F40" s="1" t="s">
        <v>267</v>
      </c>
      <c r="G40" s="1" t="s">
        <v>267</v>
      </c>
      <c r="H40" s="1" t="s">
        <v>267</v>
      </c>
      <c r="I40" s="1" t="s">
        <v>267</v>
      </c>
      <c r="J40" s="1" t="s">
        <v>267</v>
      </c>
      <c r="K40" s="1" t="s">
        <v>271</v>
      </c>
      <c r="L40" s="1" t="s">
        <v>17</v>
      </c>
      <c r="M40" s="1" t="s">
        <v>270</v>
      </c>
    </row>
    <row r="41" spans="1:13" ht="29.25">
      <c r="A41" s="1">
        <v>44</v>
      </c>
      <c r="B41" s="3" t="s">
        <v>268</v>
      </c>
      <c r="C41" s="3" t="s">
        <v>273</v>
      </c>
      <c r="D41" s="1" t="s">
        <v>274</v>
      </c>
      <c r="E41" s="1" t="s">
        <v>275</v>
      </c>
      <c r="F41" s="1" t="s">
        <v>276</v>
      </c>
      <c r="G41" s="1" t="s">
        <v>276</v>
      </c>
      <c r="H41" s="1" t="s">
        <v>276</v>
      </c>
      <c r="I41" s="1" t="s">
        <v>276</v>
      </c>
      <c r="J41" s="1" t="s">
        <v>276</v>
      </c>
      <c r="K41" s="1" t="s">
        <v>271</v>
      </c>
      <c r="L41" s="1" t="s">
        <v>24</v>
      </c>
      <c r="M41" s="1" t="s">
        <v>277</v>
      </c>
    </row>
    <row r="42" spans="1:13" ht="29.25">
      <c r="A42" s="1">
        <v>45</v>
      </c>
      <c r="B42" s="3" t="s">
        <v>281</v>
      </c>
      <c r="C42" s="3" t="s">
        <v>279</v>
      </c>
      <c r="D42" s="1" t="s">
        <v>280</v>
      </c>
      <c r="E42" s="1" t="s">
        <v>282</v>
      </c>
      <c r="F42" s="1" t="s">
        <v>280</v>
      </c>
      <c r="G42" s="1" t="s">
        <v>280</v>
      </c>
      <c r="H42" s="1" t="s">
        <v>280</v>
      </c>
      <c r="I42" s="1" t="s">
        <v>280</v>
      </c>
      <c r="J42" s="1" t="s">
        <v>283</v>
      </c>
      <c r="K42" s="1" t="s">
        <v>148</v>
      </c>
      <c r="L42" s="1" t="s">
        <v>17</v>
      </c>
      <c r="M42" s="1" t="s">
        <v>284</v>
      </c>
    </row>
    <row r="43" spans="1:13" ht="29.25">
      <c r="A43" s="1">
        <v>46</v>
      </c>
      <c r="B43" s="3" t="s">
        <v>281</v>
      </c>
      <c r="C43" s="6" t="s">
        <v>286</v>
      </c>
      <c r="D43" s="1" t="s">
        <v>287</v>
      </c>
      <c r="E43" s="1" t="s">
        <v>288</v>
      </c>
      <c r="F43" s="1" t="s">
        <v>289</v>
      </c>
      <c r="G43" s="1" t="s">
        <v>289</v>
      </c>
      <c r="H43" s="1" t="s">
        <v>289</v>
      </c>
      <c r="I43" s="1" t="s">
        <v>289</v>
      </c>
      <c r="J43" s="1" t="s">
        <v>290</v>
      </c>
      <c r="K43" s="1" t="s">
        <v>148</v>
      </c>
      <c r="L43" s="1" t="s">
        <v>24</v>
      </c>
      <c r="M43" s="1" t="s">
        <v>291</v>
      </c>
    </row>
    <row r="44" spans="1:13" ht="29.25">
      <c r="A44" s="1">
        <v>47</v>
      </c>
      <c r="B44" s="4" t="s">
        <v>295</v>
      </c>
      <c r="C44" s="3" t="s">
        <v>293</v>
      </c>
      <c r="D44" s="1" t="s">
        <v>294</v>
      </c>
      <c r="E44" s="1" t="s">
        <v>296</v>
      </c>
      <c r="F44" s="1" t="s">
        <v>294</v>
      </c>
      <c r="G44" s="1" t="s">
        <v>294</v>
      </c>
      <c r="H44" s="1" t="s">
        <v>294</v>
      </c>
      <c r="I44" s="1" t="s">
        <v>294</v>
      </c>
      <c r="J44" s="1" t="s">
        <v>294</v>
      </c>
      <c r="K44" s="1" t="s">
        <v>155</v>
      </c>
      <c r="L44" s="1" t="s">
        <v>17</v>
      </c>
      <c r="M44" s="1" t="s">
        <v>297</v>
      </c>
    </row>
    <row r="45" spans="1:13" ht="29.25">
      <c r="A45" s="1">
        <v>48</v>
      </c>
      <c r="B45" s="4" t="s">
        <v>295</v>
      </c>
      <c r="C45" s="3" t="s">
        <v>299</v>
      </c>
      <c r="D45" s="1" t="s">
        <v>300</v>
      </c>
      <c r="E45" s="1" t="s">
        <v>301</v>
      </c>
      <c r="F45" s="1" t="s">
        <v>302</v>
      </c>
      <c r="G45" s="1" t="s">
        <v>302</v>
      </c>
      <c r="H45" s="1" t="s">
        <v>302</v>
      </c>
      <c r="I45" s="1" t="s">
        <v>302</v>
      </c>
      <c r="J45" s="1" t="s">
        <v>302</v>
      </c>
      <c r="K45" s="1" t="s">
        <v>155</v>
      </c>
      <c r="L45" s="1" t="s">
        <v>24</v>
      </c>
      <c r="M45" s="1" t="s">
        <v>303</v>
      </c>
    </row>
    <row r="46" spans="1:13" ht="29.25">
      <c r="A46" s="1">
        <v>49</v>
      </c>
      <c r="B46" s="3" t="s">
        <v>307</v>
      </c>
      <c r="C46" s="3" t="s">
        <v>305</v>
      </c>
      <c r="D46" s="1" t="s">
        <v>306</v>
      </c>
      <c r="E46" s="1" t="s">
        <v>308</v>
      </c>
      <c r="F46" s="1" t="s">
        <v>309</v>
      </c>
      <c r="G46" s="1" t="s">
        <v>309</v>
      </c>
      <c r="H46" s="1" t="s">
        <v>309</v>
      </c>
      <c r="I46" s="1" t="s">
        <v>310</v>
      </c>
      <c r="J46" s="1" t="s">
        <v>309</v>
      </c>
      <c r="K46" s="1" t="s">
        <v>162</v>
      </c>
      <c r="L46" s="1" t="s">
        <v>17</v>
      </c>
      <c r="M46" s="1" t="s">
        <v>311</v>
      </c>
    </row>
    <row r="47" spans="1:13" ht="29.25">
      <c r="A47" s="1">
        <v>50</v>
      </c>
      <c r="B47" s="3" t="s">
        <v>307</v>
      </c>
      <c r="C47" s="4" t="s">
        <v>313</v>
      </c>
      <c r="D47" s="1" t="s">
        <v>314</v>
      </c>
      <c r="E47" s="1" t="s">
        <v>315</v>
      </c>
      <c r="F47" s="1" t="s">
        <v>316</v>
      </c>
      <c r="G47" s="1" t="s">
        <v>316</v>
      </c>
      <c r="H47" s="1" t="s">
        <v>316</v>
      </c>
      <c r="I47" s="1" t="s">
        <v>317</v>
      </c>
      <c r="J47" s="1" t="s">
        <v>316</v>
      </c>
      <c r="K47" s="1" t="s">
        <v>162</v>
      </c>
      <c r="L47" s="1" t="s">
        <v>24</v>
      </c>
      <c r="M47" s="1" t="s">
        <v>318</v>
      </c>
    </row>
    <row r="48" spans="1:13" ht="29.25">
      <c r="A48" s="1">
        <v>51</v>
      </c>
      <c r="B48" s="3" t="s">
        <v>321</v>
      </c>
      <c r="C48" s="3" t="s">
        <v>319</v>
      </c>
      <c r="D48" s="1" t="s">
        <v>320</v>
      </c>
      <c r="E48" s="1" t="s">
        <v>322</v>
      </c>
      <c r="F48" s="1" t="s">
        <v>323</v>
      </c>
      <c r="G48" s="1" t="s">
        <v>323</v>
      </c>
      <c r="H48" s="1" t="s">
        <v>323</v>
      </c>
      <c r="I48" s="1" t="s">
        <v>324</v>
      </c>
      <c r="J48" s="1" t="s">
        <v>325</v>
      </c>
      <c r="K48" s="1" t="s">
        <v>327</v>
      </c>
      <c r="L48" s="1" t="s">
        <v>17</v>
      </c>
      <c r="M48" s="1" t="s">
        <v>326</v>
      </c>
    </row>
    <row r="49" spans="1:13" ht="29.25">
      <c r="A49" s="1">
        <v>52</v>
      </c>
      <c r="B49" s="3" t="s">
        <v>321</v>
      </c>
      <c r="C49" s="9" t="s">
        <v>328</v>
      </c>
      <c r="D49" s="1" t="s">
        <v>329</v>
      </c>
      <c r="E49" s="1" t="s">
        <v>330</v>
      </c>
      <c r="F49" s="1" t="s">
        <v>331</v>
      </c>
      <c r="G49" s="1" t="s">
        <v>332</v>
      </c>
      <c r="H49" s="1" t="s">
        <v>332</v>
      </c>
      <c r="I49" s="1" t="s">
        <v>333</v>
      </c>
      <c r="J49" s="1" t="s">
        <v>334</v>
      </c>
      <c r="K49" s="1" t="s">
        <v>327</v>
      </c>
      <c r="L49" s="1" t="s">
        <v>24</v>
      </c>
      <c r="M49" s="1" t="s">
        <v>335</v>
      </c>
    </row>
    <row r="50" spans="1:13" ht="29.25">
      <c r="A50" s="1">
        <v>53</v>
      </c>
      <c r="B50" s="3" t="s">
        <v>338</v>
      </c>
      <c r="C50" s="3" t="s">
        <v>336</v>
      </c>
      <c r="D50" s="1" t="s">
        <v>337</v>
      </c>
      <c r="E50" s="1" t="s">
        <v>339</v>
      </c>
      <c r="F50" s="1" t="s">
        <v>337</v>
      </c>
      <c r="G50" s="1" t="s">
        <v>337</v>
      </c>
      <c r="H50" s="1" t="s">
        <v>337</v>
      </c>
      <c r="I50" s="1" t="s">
        <v>337</v>
      </c>
      <c r="J50" s="1" t="s">
        <v>337</v>
      </c>
      <c r="K50" s="1" t="s">
        <v>168</v>
      </c>
      <c r="L50" s="1" t="s">
        <v>17</v>
      </c>
      <c r="M50" s="1" t="s">
        <v>340</v>
      </c>
    </row>
    <row r="51" spans="1:13" ht="29.25">
      <c r="A51" s="1">
        <v>54</v>
      </c>
      <c r="B51" s="3" t="s">
        <v>338</v>
      </c>
      <c r="C51" s="4" t="s">
        <v>341</v>
      </c>
      <c r="D51" s="1" t="s">
        <v>342</v>
      </c>
      <c r="E51" s="1" t="s">
        <v>343</v>
      </c>
      <c r="F51" s="1" t="s">
        <v>344</v>
      </c>
      <c r="G51" s="1" t="s">
        <v>344</v>
      </c>
      <c r="H51" s="1" t="s">
        <v>344</v>
      </c>
      <c r="I51" s="1" t="s">
        <v>344</v>
      </c>
      <c r="J51" s="1" t="s">
        <v>344</v>
      </c>
      <c r="K51" s="1" t="s">
        <v>168</v>
      </c>
      <c r="L51" s="1" t="s">
        <v>24</v>
      </c>
      <c r="M51" s="1" t="s">
        <v>345</v>
      </c>
    </row>
    <row r="52" spans="1:13" ht="29.25">
      <c r="A52" s="1">
        <v>55</v>
      </c>
      <c r="B52" s="3" t="s">
        <v>348</v>
      </c>
      <c r="C52" s="3" t="s">
        <v>346</v>
      </c>
      <c r="D52" s="1" t="s">
        <v>347</v>
      </c>
      <c r="E52" s="1" t="s">
        <v>349</v>
      </c>
      <c r="F52" s="1" t="s">
        <v>347</v>
      </c>
      <c r="G52" s="1" t="s">
        <v>347</v>
      </c>
      <c r="H52" s="1" t="s">
        <v>347</v>
      </c>
      <c r="I52" s="1" t="s">
        <v>347</v>
      </c>
      <c r="J52" s="1" t="s">
        <v>347</v>
      </c>
      <c r="K52" s="1" t="s">
        <v>175</v>
      </c>
      <c r="L52" s="1" t="s">
        <v>17</v>
      </c>
      <c r="M52" s="1" t="s">
        <v>350</v>
      </c>
    </row>
    <row r="53" spans="1:13" ht="29.25">
      <c r="A53" s="1">
        <v>56</v>
      </c>
      <c r="B53" s="3" t="s">
        <v>348</v>
      </c>
      <c r="C53" s="3" t="s">
        <v>351</v>
      </c>
      <c r="D53" s="1" t="s">
        <v>352</v>
      </c>
      <c r="E53" s="1" t="s">
        <v>353</v>
      </c>
      <c r="F53" s="1" t="s">
        <v>354</v>
      </c>
      <c r="G53" s="1" t="s">
        <v>354</v>
      </c>
      <c r="H53" s="1" t="s">
        <v>354</v>
      </c>
      <c r="I53" s="1" t="s">
        <v>354</v>
      </c>
      <c r="J53" s="1" t="s">
        <v>354</v>
      </c>
      <c r="K53" s="1" t="s">
        <v>175</v>
      </c>
      <c r="L53" s="1" t="s">
        <v>24</v>
      </c>
      <c r="M53" s="1" t="s">
        <v>355</v>
      </c>
    </row>
    <row r="54" spans="1:13" ht="29.25">
      <c r="A54" s="1">
        <v>57</v>
      </c>
      <c r="B54" s="3" t="s">
        <v>358</v>
      </c>
      <c r="C54" s="3" t="s">
        <v>356</v>
      </c>
      <c r="D54" s="1" t="s">
        <v>357</v>
      </c>
      <c r="E54" s="1" t="s">
        <v>359</v>
      </c>
      <c r="F54" s="1" t="s">
        <v>357</v>
      </c>
      <c r="G54" s="1" t="s">
        <v>357</v>
      </c>
      <c r="H54" s="1" t="s">
        <v>357</v>
      </c>
      <c r="I54" s="1" t="s">
        <v>357</v>
      </c>
      <c r="J54" s="1" t="s">
        <v>357</v>
      </c>
      <c r="K54" s="1" t="s">
        <v>181</v>
      </c>
      <c r="L54" s="1" t="s">
        <v>17</v>
      </c>
      <c r="M54" s="1" t="s">
        <v>360</v>
      </c>
    </row>
    <row r="55" spans="1:13" ht="29.25">
      <c r="A55" s="1">
        <v>58</v>
      </c>
      <c r="B55" s="3" t="s">
        <v>358</v>
      </c>
      <c r="C55" s="5" t="s">
        <v>361</v>
      </c>
      <c r="D55" s="1" t="s">
        <v>362</v>
      </c>
      <c r="E55" s="1" t="s">
        <v>363</v>
      </c>
      <c r="F55" s="1" t="s">
        <v>364</v>
      </c>
      <c r="G55" s="1" t="s">
        <v>364</v>
      </c>
      <c r="H55" s="1" t="s">
        <v>364</v>
      </c>
      <c r="I55" s="1" t="s">
        <v>364</v>
      </c>
      <c r="J55" s="1" t="s">
        <v>364</v>
      </c>
      <c r="K55" s="1" t="s">
        <v>181</v>
      </c>
      <c r="L55" s="1" t="s">
        <v>24</v>
      </c>
      <c r="M55" s="1" t="s">
        <v>365</v>
      </c>
    </row>
    <row r="56" spans="1:13" ht="29.25">
      <c r="A56" s="1">
        <v>59</v>
      </c>
      <c r="B56" s="3" t="s">
        <v>368</v>
      </c>
      <c r="C56" s="3" t="s">
        <v>366</v>
      </c>
      <c r="D56" s="1" t="s">
        <v>367</v>
      </c>
      <c r="E56" s="1" t="s">
        <v>369</v>
      </c>
      <c r="F56" s="1" t="s">
        <v>367</v>
      </c>
      <c r="G56" s="1" t="s">
        <v>367</v>
      </c>
      <c r="H56" s="1" t="s">
        <v>367</v>
      </c>
      <c r="I56" s="1" t="s">
        <v>367</v>
      </c>
      <c r="J56" s="1" t="s">
        <v>367</v>
      </c>
      <c r="K56" s="1" t="s">
        <v>188</v>
      </c>
      <c r="L56" s="1" t="s">
        <v>17</v>
      </c>
      <c r="M56" s="1" t="s">
        <v>370</v>
      </c>
    </row>
    <row r="57" spans="1:13" ht="29.25">
      <c r="A57" s="1">
        <v>61</v>
      </c>
      <c r="B57" s="8" t="s">
        <v>373</v>
      </c>
      <c r="C57" s="3" t="s">
        <v>371</v>
      </c>
      <c r="D57" s="1" t="s">
        <v>372</v>
      </c>
      <c r="E57" s="1" t="s">
        <v>374</v>
      </c>
      <c r="F57" s="1" t="s">
        <v>375</v>
      </c>
      <c r="G57" s="1" t="s">
        <v>375</v>
      </c>
      <c r="H57" s="1" t="s">
        <v>375</v>
      </c>
      <c r="I57" s="1" t="s">
        <v>376</v>
      </c>
      <c r="J57" s="1" t="s">
        <v>377</v>
      </c>
      <c r="K57" s="1" t="s">
        <v>195</v>
      </c>
      <c r="L57" s="1" t="s">
        <v>17</v>
      </c>
      <c r="M57" s="1" t="s">
        <v>378</v>
      </c>
    </row>
    <row r="58" spans="1:13" ht="29.25">
      <c r="A58" s="1">
        <v>62</v>
      </c>
      <c r="B58" s="8" t="s">
        <v>373</v>
      </c>
      <c r="C58" s="10" t="s">
        <v>379</v>
      </c>
      <c r="D58" s="1" t="s">
        <v>380</v>
      </c>
      <c r="E58" s="1" t="s">
        <v>381</v>
      </c>
      <c r="F58" s="1" t="s">
        <v>382</v>
      </c>
      <c r="G58" s="1" t="s">
        <v>383</v>
      </c>
      <c r="H58" s="1" t="s">
        <v>383</v>
      </c>
      <c r="I58" s="1" t="s">
        <v>384</v>
      </c>
      <c r="J58" s="1" t="s">
        <v>385</v>
      </c>
      <c r="K58" s="1" t="s">
        <v>195</v>
      </c>
      <c r="L58" s="1" t="s">
        <v>24</v>
      </c>
      <c r="M58" s="1" t="s">
        <v>386</v>
      </c>
    </row>
    <row r="59" spans="1:13" ht="29.25">
      <c r="A59" s="1">
        <v>63</v>
      </c>
      <c r="B59" s="4" t="s">
        <v>389</v>
      </c>
      <c r="C59" s="5" t="s">
        <v>387</v>
      </c>
      <c r="D59" s="1" t="s">
        <v>388</v>
      </c>
      <c r="E59" s="1" t="s">
        <v>390</v>
      </c>
      <c r="F59" s="1" t="s">
        <v>391</v>
      </c>
      <c r="G59" s="1" t="s">
        <v>391</v>
      </c>
      <c r="H59" s="1" t="s">
        <v>391</v>
      </c>
      <c r="I59" s="1" t="s">
        <v>392</v>
      </c>
      <c r="J59" s="1" t="s">
        <v>393</v>
      </c>
      <c r="K59" s="1" t="s">
        <v>395</v>
      </c>
      <c r="L59" s="1" t="s">
        <v>17</v>
      </c>
      <c r="M59" s="1" t="s">
        <v>394</v>
      </c>
    </row>
    <row r="60" spans="1:13" ht="29.25">
      <c r="A60" s="1">
        <v>65</v>
      </c>
      <c r="B60" s="5" t="s">
        <v>398</v>
      </c>
      <c r="C60" s="3" t="s">
        <v>396</v>
      </c>
      <c r="D60" s="1" t="s">
        <v>397</v>
      </c>
      <c r="E60" s="1" t="s">
        <v>399</v>
      </c>
      <c r="F60" s="1" t="s">
        <v>397</v>
      </c>
      <c r="G60" s="1" t="s">
        <v>397</v>
      </c>
      <c r="H60" s="1" t="s">
        <v>400</v>
      </c>
      <c r="I60" s="1" t="s">
        <v>397</v>
      </c>
      <c r="J60" s="1" t="s">
        <v>397</v>
      </c>
      <c r="K60" s="1" t="s">
        <v>201</v>
      </c>
      <c r="L60" s="1" t="s">
        <v>17</v>
      </c>
      <c r="M60" s="1" t="s">
        <v>401</v>
      </c>
    </row>
    <row r="61" spans="1:13" ht="29.25">
      <c r="A61" s="1">
        <v>66</v>
      </c>
      <c r="B61" s="3" t="s">
        <v>398</v>
      </c>
      <c r="C61" s="4" t="s">
        <v>402</v>
      </c>
      <c r="D61" s="1" t="s">
        <v>403</v>
      </c>
      <c r="E61" s="1" t="s">
        <v>404</v>
      </c>
      <c r="F61" s="1" t="s">
        <v>405</v>
      </c>
      <c r="G61" s="1" t="s">
        <v>405</v>
      </c>
      <c r="H61" s="1" t="s">
        <v>406</v>
      </c>
      <c r="I61" s="1" t="s">
        <v>405</v>
      </c>
      <c r="J61" s="1" t="s">
        <v>405</v>
      </c>
      <c r="K61" s="1" t="s">
        <v>201</v>
      </c>
      <c r="L61" s="1" t="s">
        <v>24</v>
      </c>
      <c r="M61" s="1" t="s">
        <v>407</v>
      </c>
    </row>
    <row r="62" spans="1:13" ht="29.25">
      <c r="A62" s="1">
        <v>67</v>
      </c>
      <c r="B62" s="3" t="s">
        <v>410</v>
      </c>
      <c r="C62" s="3" t="s">
        <v>408</v>
      </c>
      <c r="D62" s="1" t="s">
        <v>409</v>
      </c>
      <c r="E62" s="1" t="s">
        <v>411</v>
      </c>
      <c r="F62" s="1" t="s">
        <v>412</v>
      </c>
      <c r="G62" s="1" t="s">
        <v>412</v>
      </c>
      <c r="H62" s="1" t="s">
        <v>412</v>
      </c>
      <c r="I62" s="1" t="s">
        <v>413</v>
      </c>
      <c r="J62" s="1" t="s">
        <v>414</v>
      </c>
      <c r="K62" s="1" t="s">
        <v>207</v>
      </c>
      <c r="L62" s="1" t="s">
        <v>17</v>
      </c>
      <c r="M62" s="1" t="s">
        <v>415</v>
      </c>
    </row>
    <row r="63" spans="1:13" ht="29.25">
      <c r="A63" s="1">
        <v>68</v>
      </c>
      <c r="B63" s="3" t="s">
        <v>410</v>
      </c>
      <c r="C63" s="4" t="s">
        <v>416</v>
      </c>
      <c r="D63" s="1" t="s">
        <v>417</v>
      </c>
      <c r="E63" s="1" t="s">
        <v>418</v>
      </c>
      <c r="F63" s="1" t="s">
        <v>419</v>
      </c>
      <c r="G63" s="1" t="s">
        <v>420</v>
      </c>
      <c r="H63" s="1" t="s">
        <v>420</v>
      </c>
      <c r="I63" s="1" t="s">
        <v>421</v>
      </c>
      <c r="J63" s="1" t="s">
        <v>422</v>
      </c>
      <c r="K63" s="1" t="s">
        <v>207</v>
      </c>
      <c r="L63" s="1" t="s">
        <v>24</v>
      </c>
      <c r="M63" s="1" t="s">
        <v>423</v>
      </c>
    </row>
    <row r="64" spans="1:13" ht="29.25">
      <c r="A64" s="1">
        <v>69</v>
      </c>
      <c r="B64" s="6" t="s">
        <v>426</v>
      </c>
      <c r="C64" s="7" t="s">
        <v>424</v>
      </c>
      <c r="D64" s="1" t="s">
        <v>425</v>
      </c>
      <c r="E64" s="1" t="s">
        <v>427</v>
      </c>
      <c r="F64" s="1" t="s">
        <v>428</v>
      </c>
      <c r="G64" s="1" t="s">
        <v>428</v>
      </c>
      <c r="H64" s="1" t="s">
        <v>431</v>
      </c>
      <c r="I64" s="1" t="s">
        <v>429</v>
      </c>
      <c r="J64" s="1" t="s">
        <v>430</v>
      </c>
      <c r="K64" s="1" t="s">
        <v>213</v>
      </c>
      <c r="L64" s="1" t="s">
        <v>17</v>
      </c>
      <c r="M64" s="1" t="s">
        <v>432</v>
      </c>
    </row>
    <row r="65" spans="1:13" ht="29.25">
      <c r="A65" s="1">
        <v>71</v>
      </c>
      <c r="B65" s="3" t="s">
        <v>435</v>
      </c>
      <c r="C65" s="3" t="s">
        <v>433</v>
      </c>
      <c r="D65" s="1" t="s">
        <v>434</v>
      </c>
      <c r="E65" s="1" t="s">
        <v>436</v>
      </c>
      <c r="F65" s="1" t="s">
        <v>437</v>
      </c>
      <c r="G65" s="1" t="s">
        <v>438</v>
      </c>
      <c r="H65" s="1" t="s">
        <v>437</v>
      </c>
      <c r="I65" s="1" t="s">
        <v>439</v>
      </c>
      <c r="J65" s="1" t="s">
        <v>440</v>
      </c>
      <c r="K65" s="1" t="s">
        <v>220</v>
      </c>
      <c r="L65" s="1" t="s">
        <v>17</v>
      </c>
      <c r="M65" s="1" t="s">
        <v>441</v>
      </c>
    </row>
    <row r="66" spans="1:13" ht="29.25">
      <c r="A66" s="1">
        <v>73</v>
      </c>
      <c r="B66" s="3" t="s">
        <v>444</v>
      </c>
      <c r="C66" s="3" t="s">
        <v>442</v>
      </c>
      <c r="D66" s="1" t="s">
        <v>443</v>
      </c>
      <c r="E66" s="1" t="s">
        <v>445</v>
      </c>
      <c r="F66" s="1" t="s">
        <v>446</v>
      </c>
      <c r="G66" s="1" t="s">
        <v>446</v>
      </c>
      <c r="H66" s="1" t="s">
        <v>446</v>
      </c>
      <c r="I66" s="1" t="s">
        <v>447</v>
      </c>
      <c r="J66" s="1" t="s">
        <v>448</v>
      </c>
      <c r="K66" s="1" t="s">
        <v>226</v>
      </c>
      <c r="L66" s="1" t="s">
        <v>17</v>
      </c>
      <c r="M66" s="1" t="s">
        <v>449</v>
      </c>
    </row>
    <row r="67" spans="1:13" ht="29.25">
      <c r="A67" s="1">
        <v>75</v>
      </c>
      <c r="B67" s="3" t="s">
        <v>452</v>
      </c>
      <c r="C67" s="3" t="s">
        <v>450</v>
      </c>
      <c r="D67" s="1" t="s">
        <v>451</v>
      </c>
      <c r="E67" s="1" t="s">
        <v>453</v>
      </c>
      <c r="F67" s="1" t="s">
        <v>454</v>
      </c>
      <c r="G67" s="1" t="s">
        <v>454</v>
      </c>
      <c r="H67" s="1" t="s">
        <v>454</v>
      </c>
      <c r="I67" s="1" t="s">
        <v>454</v>
      </c>
      <c r="J67" s="1" t="s">
        <v>454</v>
      </c>
      <c r="K67" s="1" t="s">
        <v>232</v>
      </c>
      <c r="L67" s="1" t="s">
        <v>17</v>
      </c>
      <c r="M67" s="1" t="s">
        <v>455</v>
      </c>
    </row>
    <row r="68" spans="1:13" ht="29.25">
      <c r="A68" s="1">
        <v>77</v>
      </c>
      <c r="B68" s="3" t="s">
        <v>457</v>
      </c>
      <c r="C68" s="3" t="s">
        <v>456</v>
      </c>
      <c r="D68" s="1" t="s">
        <v>62</v>
      </c>
      <c r="E68" s="1" t="s">
        <v>166</v>
      </c>
      <c r="F68" s="1" t="s">
        <v>62</v>
      </c>
      <c r="G68" s="1" t="s">
        <v>62</v>
      </c>
      <c r="H68" s="1" t="s">
        <v>62</v>
      </c>
      <c r="I68" s="1" t="s">
        <v>62</v>
      </c>
      <c r="J68" s="1" t="s">
        <v>62</v>
      </c>
      <c r="K68" s="1" t="s">
        <v>238</v>
      </c>
      <c r="L68" s="1" t="s">
        <v>17</v>
      </c>
      <c r="M68" s="1" t="s">
        <v>458</v>
      </c>
    </row>
    <row r="69" spans="1:13" ht="29.25">
      <c r="A69" s="1">
        <v>78</v>
      </c>
      <c r="B69" s="3" t="s">
        <v>457</v>
      </c>
      <c r="C69" s="3" t="s">
        <v>459</v>
      </c>
      <c r="D69" s="1" t="s">
        <v>460</v>
      </c>
      <c r="E69" s="1" t="s">
        <v>461</v>
      </c>
      <c r="F69" s="1" t="s">
        <v>70</v>
      </c>
      <c r="G69" s="1" t="s">
        <v>70</v>
      </c>
      <c r="H69" s="1" t="s">
        <v>70</v>
      </c>
      <c r="I69" s="1" t="s">
        <v>70</v>
      </c>
      <c r="J69" s="1" t="s">
        <v>70</v>
      </c>
      <c r="K69" s="1" t="s">
        <v>238</v>
      </c>
      <c r="L69" s="1" t="s">
        <v>24</v>
      </c>
      <c r="M69" s="1" t="s">
        <v>462</v>
      </c>
    </row>
    <row r="70" spans="1:13" ht="29.25">
      <c r="A70" s="1">
        <v>79</v>
      </c>
      <c r="B70" s="6" t="s">
        <v>465</v>
      </c>
      <c r="C70" s="6" t="s">
        <v>463</v>
      </c>
      <c r="D70" s="1" t="s">
        <v>464</v>
      </c>
      <c r="E70" s="1" t="s">
        <v>466</v>
      </c>
      <c r="F70" s="1" t="s">
        <v>467</v>
      </c>
      <c r="G70" s="1" t="s">
        <v>467</v>
      </c>
      <c r="H70" s="1" t="s">
        <v>467</v>
      </c>
      <c r="I70" s="1" t="s">
        <v>468</v>
      </c>
      <c r="J70" s="1" t="s">
        <v>469</v>
      </c>
      <c r="K70" s="1" t="s">
        <v>245</v>
      </c>
      <c r="L70" s="1" t="s">
        <v>17</v>
      </c>
      <c r="M70" s="1" t="s">
        <v>470</v>
      </c>
    </row>
    <row r="71" spans="1:13" ht="29.25">
      <c r="A71" s="1">
        <v>81</v>
      </c>
      <c r="B71" s="11" t="s">
        <v>473</v>
      </c>
      <c r="C71" s="6" t="s">
        <v>471</v>
      </c>
      <c r="D71" s="1" t="s">
        <v>472</v>
      </c>
      <c r="E71" s="1" t="s">
        <v>474</v>
      </c>
      <c r="F71" s="1" t="s">
        <v>475</v>
      </c>
      <c r="G71" s="1" t="s">
        <v>476</v>
      </c>
      <c r="H71" s="1" t="s">
        <v>475</v>
      </c>
      <c r="I71" s="1" t="s">
        <v>477</v>
      </c>
      <c r="J71" s="1" t="s">
        <v>478</v>
      </c>
      <c r="K71" s="1" t="s">
        <v>252</v>
      </c>
      <c r="L71" s="1" t="s">
        <v>17</v>
      </c>
      <c r="M71" s="1" t="s">
        <v>479</v>
      </c>
    </row>
    <row r="72" spans="1:13" ht="29.25">
      <c r="A72" s="1">
        <v>83</v>
      </c>
      <c r="B72" s="3" t="s">
        <v>480</v>
      </c>
      <c r="C72" s="3" t="s">
        <v>480</v>
      </c>
      <c r="D72" s="1" t="s">
        <v>481</v>
      </c>
      <c r="E72" s="1" t="s">
        <v>482</v>
      </c>
      <c r="F72" s="1" t="s">
        <v>483</v>
      </c>
      <c r="G72" s="1" t="s">
        <v>483</v>
      </c>
      <c r="H72" s="1" t="s">
        <v>483</v>
      </c>
      <c r="I72" s="1" t="s">
        <v>483</v>
      </c>
      <c r="J72" s="1" t="s">
        <v>483</v>
      </c>
      <c r="K72" s="1" t="s">
        <v>259</v>
      </c>
      <c r="L72" s="1" t="s">
        <v>17</v>
      </c>
      <c r="M72" s="1" t="s">
        <v>484</v>
      </c>
    </row>
    <row r="73" spans="1:13" ht="29.25">
      <c r="A73" s="1">
        <v>85</v>
      </c>
      <c r="B73" s="5" t="s">
        <v>487</v>
      </c>
      <c r="C73" s="6" t="s">
        <v>485</v>
      </c>
      <c r="D73" s="1" t="s">
        <v>486</v>
      </c>
      <c r="E73" s="1" t="s">
        <v>488</v>
      </c>
      <c r="F73" s="1" t="s">
        <v>489</v>
      </c>
      <c r="G73" s="1" t="s">
        <v>489</v>
      </c>
      <c r="H73" s="1" t="s">
        <v>489</v>
      </c>
      <c r="I73" s="1" t="s">
        <v>490</v>
      </c>
      <c r="J73" s="1" t="s">
        <v>489</v>
      </c>
      <c r="K73" s="1" t="s">
        <v>265</v>
      </c>
      <c r="L73" s="1" t="s">
        <v>17</v>
      </c>
      <c r="M73" s="1" t="s">
        <v>491</v>
      </c>
    </row>
    <row r="74" spans="1:13" ht="29.25">
      <c r="A74" s="1">
        <v>86</v>
      </c>
      <c r="B74" s="5" t="s">
        <v>487</v>
      </c>
      <c r="C74" s="6" t="s">
        <v>492</v>
      </c>
      <c r="D74" s="1" t="s">
        <v>493</v>
      </c>
      <c r="E74" s="1" t="s">
        <v>494</v>
      </c>
      <c r="F74" s="1" t="s">
        <v>495</v>
      </c>
      <c r="G74" s="1" t="s">
        <v>495</v>
      </c>
      <c r="H74" s="1" t="s">
        <v>495</v>
      </c>
      <c r="I74" s="1" t="s">
        <v>496</v>
      </c>
      <c r="J74" s="1" t="s">
        <v>495</v>
      </c>
      <c r="K74" s="1" t="s">
        <v>265</v>
      </c>
      <c r="L74" s="1" t="s">
        <v>24</v>
      </c>
      <c r="M74" s="1" t="s">
        <v>497</v>
      </c>
    </row>
    <row r="75" spans="1:13" ht="29.25">
      <c r="A75" s="1">
        <v>87</v>
      </c>
      <c r="B75" s="7" t="s">
        <v>500</v>
      </c>
      <c r="C75" s="3" t="s">
        <v>498</v>
      </c>
      <c r="D75" s="1" t="s">
        <v>499</v>
      </c>
      <c r="E75" s="1" t="s">
        <v>501</v>
      </c>
      <c r="F75" s="1" t="s">
        <v>502</v>
      </c>
      <c r="G75" s="1" t="s">
        <v>502</v>
      </c>
      <c r="H75" s="1" t="s">
        <v>502</v>
      </c>
      <c r="I75" s="1" t="s">
        <v>503</v>
      </c>
      <c r="J75" s="1" t="s">
        <v>504</v>
      </c>
      <c r="K75" s="1" t="s">
        <v>272</v>
      </c>
      <c r="L75" s="1" t="s">
        <v>17</v>
      </c>
      <c r="M75" s="1" t="s">
        <v>505</v>
      </c>
    </row>
    <row r="76" spans="1:13" ht="29.25">
      <c r="A76" s="1">
        <v>88</v>
      </c>
      <c r="B76" s="7" t="s">
        <v>500</v>
      </c>
      <c r="C76" s="9" t="s">
        <v>506</v>
      </c>
      <c r="D76" s="1" t="s">
        <v>507</v>
      </c>
      <c r="E76" s="1" t="s">
        <v>508</v>
      </c>
      <c r="F76" s="1" t="s">
        <v>509</v>
      </c>
      <c r="G76" s="1" t="s">
        <v>510</v>
      </c>
      <c r="H76" s="1" t="s">
        <v>510</v>
      </c>
      <c r="I76" s="1" t="s">
        <v>511</v>
      </c>
      <c r="J76" s="1" t="s">
        <v>512</v>
      </c>
      <c r="K76" s="1" t="s">
        <v>272</v>
      </c>
      <c r="L76" s="1" t="s">
        <v>24</v>
      </c>
      <c r="M76" s="1" t="s">
        <v>513</v>
      </c>
    </row>
    <row r="77" spans="1:13" ht="39">
      <c r="A77" s="1">
        <v>89</v>
      </c>
      <c r="B77" s="12" t="s">
        <v>515</v>
      </c>
      <c r="C77" s="3" t="s">
        <v>579</v>
      </c>
      <c r="D77" s="1" t="s">
        <v>514</v>
      </c>
      <c r="E77" s="1" t="s">
        <v>516</v>
      </c>
      <c r="F77" s="1" t="s">
        <v>517</v>
      </c>
      <c r="G77" s="1" t="s">
        <v>517</v>
      </c>
      <c r="H77" s="1" t="s">
        <v>517</v>
      </c>
      <c r="I77" s="1" t="s">
        <v>518</v>
      </c>
      <c r="J77" s="1" t="s">
        <v>519</v>
      </c>
      <c r="K77" s="1" t="s">
        <v>278</v>
      </c>
      <c r="L77" s="1" t="s">
        <v>17</v>
      </c>
      <c r="M77" s="1" t="s">
        <v>520</v>
      </c>
    </row>
    <row r="78" spans="1:13" ht="29.25">
      <c r="A78" s="1">
        <v>91</v>
      </c>
      <c r="B78" s="11" t="s">
        <v>523</v>
      </c>
      <c r="C78" s="5" t="s">
        <v>521</v>
      </c>
      <c r="D78" s="1" t="s">
        <v>522</v>
      </c>
      <c r="E78" s="1" t="s">
        <v>524</v>
      </c>
      <c r="F78" s="1" t="s">
        <v>525</v>
      </c>
      <c r="G78" s="1" t="s">
        <v>525</v>
      </c>
      <c r="H78" s="1" t="s">
        <v>525</v>
      </c>
      <c r="I78" s="1" t="s">
        <v>526</v>
      </c>
      <c r="J78" s="1" t="s">
        <v>527</v>
      </c>
      <c r="K78" s="1" t="s">
        <v>285</v>
      </c>
      <c r="L78" s="1" t="s">
        <v>17</v>
      </c>
      <c r="M78" s="1" t="s">
        <v>528</v>
      </c>
    </row>
    <row r="79" spans="1:13" ht="39">
      <c r="A79" s="1">
        <v>92</v>
      </c>
      <c r="B79" s="3" t="s">
        <v>523</v>
      </c>
      <c r="C79" s="3" t="s">
        <v>579</v>
      </c>
      <c r="D79" s="1" t="s">
        <v>529</v>
      </c>
      <c r="E79" s="1" t="s">
        <v>530</v>
      </c>
      <c r="F79" s="1" t="s">
        <v>531</v>
      </c>
      <c r="G79" s="1" t="s">
        <v>532</v>
      </c>
      <c r="H79" s="1" t="s">
        <v>532</v>
      </c>
      <c r="I79" s="1" t="s">
        <v>533</v>
      </c>
      <c r="J79" s="1" t="s">
        <v>534</v>
      </c>
      <c r="K79" s="1" t="s">
        <v>285</v>
      </c>
      <c r="L79" s="1" t="s">
        <v>24</v>
      </c>
      <c r="M79" s="1" t="s">
        <v>535</v>
      </c>
    </row>
    <row r="80" spans="1:13" ht="29.25">
      <c r="A80" s="1">
        <v>93</v>
      </c>
      <c r="B80" s="13" t="s">
        <v>538</v>
      </c>
      <c r="C80" s="5" t="s">
        <v>536</v>
      </c>
      <c r="D80" s="1" t="s">
        <v>537</v>
      </c>
      <c r="E80" s="1" t="s">
        <v>539</v>
      </c>
      <c r="F80" s="1" t="s">
        <v>540</v>
      </c>
      <c r="G80" s="1" t="s">
        <v>540</v>
      </c>
      <c r="H80" s="1" t="s">
        <v>541</v>
      </c>
      <c r="I80" s="1" t="s">
        <v>540</v>
      </c>
      <c r="J80" s="1" t="s">
        <v>540</v>
      </c>
      <c r="K80" s="1" t="s">
        <v>292</v>
      </c>
      <c r="L80" s="1" t="s">
        <v>17</v>
      </c>
      <c r="M80" s="1" t="s">
        <v>542</v>
      </c>
    </row>
    <row r="81" spans="1:13" ht="29.25">
      <c r="A81" s="1">
        <v>94</v>
      </c>
      <c r="B81" s="13" t="s">
        <v>538</v>
      </c>
      <c r="C81" s="3" t="s">
        <v>543</v>
      </c>
      <c r="D81" s="1" t="s">
        <v>544</v>
      </c>
      <c r="E81" s="1" t="s">
        <v>545</v>
      </c>
      <c r="F81" s="1" t="s">
        <v>546</v>
      </c>
      <c r="G81" s="1" t="s">
        <v>546</v>
      </c>
      <c r="H81" s="1" t="s">
        <v>547</v>
      </c>
      <c r="I81" s="1" t="s">
        <v>546</v>
      </c>
      <c r="J81" s="1" t="s">
        <v>546</v>
      </c>
      <c r="K81" s="1" t="s">
        <v>292</v>
      </c>
      <c r="L81" s="1" t="s">
        <v>24</v>
      </c>
      <c r="M81" s="1" t="s">
        <v>548</v>
      </c>
    </row>
    <row r="82" spans="1:13" ht="29.25">
      <c r="A82" s="1">
        <v>95</v>
      </c>
      <c r="B82" s="13" t="s">
        <v>551</v>
      </c>
      <c r="C82" s="9" t="s">
        <v>549</v>
      </c>
      <c r="D82" s="1" t="s">
        <v>550</v>
      </c>
      <c r="E82" s="1" t="s">
        <v>552</v>
      </c>
      <c r="F82" s="1" t="s">
        <v>553</v>
      </c>
      <c r="G82" s="1" t="s">
        <v>553</v>
      </c>
      <c r="H82" s="1" t="s">
        <v>553</v>
      </c>
      <c r="I82" s="1" t="s">
        <v>554</v>
      </c>
      <c r="J82" s="1" t="s">
        <v>555</v>
      </c>
      <c r="K82" s="1" t="s">
        <v>298</v>
      </c>
      <c r="L82" s="1" t="s">
        <v>17</v>
      </c>
      <c r="M82" s="1" t="s">
        <v>556</v>
      </c>
    </row>
    <row r="83" spans="1:13" ht="29.25">
      <c r="A83" s="1">
        <v>97</v>
      </c>
      <c r="B83" s="12" t="s">
        <v>559</v>
      </c>
      <c r="C83" s="3" t="s">
        <v>557</v>
      </c>
      <c r="D83" s="1" t="s">
        <v>558</v>
      </c>
      <c r="E83" s="1" t="s">
        <v>474</v>
      </c>
      <c r="F83" s="1" t="s">
        <v>476</v>
      </c>
      <c r="G83" s="1" t="s">
        <v>476</v>
      </c>
      <c r="H83" s="1" t="s">
        <v>561</v>
      </c>
      <c r="I83" s="1" t="s">
        <v>560</v>
      </c>
      <c r="J83" s="1" t="s">
        <v>478</v>
      </c>
      <c r="K83" s="1" t="s">
        <v>304</v>
      </c>
      <c r="L83" s="1" t="s">
        <v>17</v>
      </c>
      <c r="M83" s="1" t="s">
        <v>562</v>
      </c>
    </row>
    <row r="84" spans="1:13" ht="39">
      <c r="A84" s="1">
        <v>98</v>
      </c>
      <c r="B84" s="12" t="s">
        <v>559</v>
      </c>
      <c r="C84" s="3" t="s">
        <v>579</v>
      </c>
      <c r="D84" s="1" t="s">
        <v>563</v>
      </c>
      <c r="E84" s="1" t="s">
        <v>564</v>
      </c>
      <c r="F84" s="1" t="s">
        <v>565</v>
      </c>
      <c r="G84" s="1" t="s">
        <v>566</v>
      </c>
      <c r="H84" s="1" t="s">
        <v>517</v>
      </c>
      <c r="I84" s="1" t="s">
        <v>567</v>
      </c>
      <c r="J84" s="1" t="s">
        <v>568</v>
      </c>
      <c r="K84" s="1" t="s">
        <v>304</v>
      </c>
      <c r="L84" s="1" t="s">
        <v>24</v>
      </c>
      <c r="M84" s="1" t="s">
        <v>569</v>
      </c>
    </row>
    <row r="85" spans="1:13" ht="29.25">
      <c r="A85" s="1">
        <v>99</v>
      </c>
      <c r="B85" s="12" t="s">
        <v>572</v>
      </c>
      <c r="C85" s="3" t="s">
        <v>570</v>
      </c>
      <c r="D85" s="1" t="s">
        <v>571</v>
      </c>
      <c r="E85" s="1" t="s">
        <v>573</v>
      </c>
      <c r="F85" s="1" t="s">
        <v>574</v>
      </c>
      <c r="G85" s="1" t="s">
        <v>574</v>
      </c>
      <c r="H85" s="1" t="s">
        <v>574</v>
      </c>
      <c r="I85" s="1" t="s">
        <v>575</v>
      </c>
      <c r="J85" s="1" t="s">
        <v>576</v>
      </c>
      <c r="K85" s="1" t="s">
        <v>312</v>
      </c>
      <c r="L85" s="1" t="s">
        <v>17</v>
      </c>
      <c r="M85" s="1" t="s">
        <v>577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3D1B8-C933-4F87-997F-1644EE992569}">
  <dimension ref="A1:R21"/>
  <sheetViews>
    <sheetView tabSelected="1" topLeftCell="H7" workbookViewId="0">
      <selection activeCell="R13" sqref="R13"/>
    </sheetView>
  </sheetViews>
  <sheetFormatPr defaultRowHeight="25.5"/>
  <cols>
    <col min="1" max="1" width="7.58203125" customWidth="1"/>
    <col min="7" max="8" width="9.83203125" style="20" customWidth="1"/>
    <col min="9" max="14" width="12.1640625" customWidth="1"/>
  </cols>
  <sheetData>
    <row r="1" spans="1:18">
      <c r="A1" s="2" t="s">
        <v>0</v>
      </c>
      <c r="B1" s="2" t="s">
        <v>698</v>
      </c>
      <c r="C1" s="2" t="s">
        <v>697</v>
      </c>
      <c r="D1" s="2" t="s">
        <v>754</v>
      </c>
      <c r="E1" s="2" t="s">
        <v>695</v>
      </c>
      <c r="F1" s="2" t="s">
        <v>696</v>
      </c>
      <c r="G1" s="2" t="s">
        <v>701</v>
      </c>
      <c r="H1" s="2" t="s">
        <v>753</v>
      </c>
      <c r="I1" s="2" t="s">
        <v>755</v>
      </c>
      <c r="J1" s="2" t="s">
        <v>756</v>
      </c>
      <c r="K1" s="2" t="s">
        <v>758</v>
      </c>
      <c r="L1" s="2" t="s">
        <v>700</v>
      </c>
      <c r="M1" s="2" t="s">
        <v>757</v>
      </c>
      <c r="N1" s="2" t="s">
        <v>699</v>
      </c>
    </row>
    <row r="2" spans="1:18">
      <c r="A2" s="1">
        <v>1</v>
      </c>
      <c r="B2" s="1" t="s">
        <v>705</v>
      </c>
      <c r="C2" s="1" t="s">
        <v>702</v>
      </c>
      <c r="D2" s="1" t="s">
        <v>703</v>
      </c>
      <c r="E2" s="1">
        <v>44</v>
      </c>
      <c r="F2" s="1">
        <v>55</v>
      </c>
      <c r="G2" s="14">
        <v>1</v>
      </c>
      <c r="H2" s="14">
        <v>1</v>
      </c>
      <c r="I2" s="1" t="s">
        <v>704</v>
      </c>
      <c r="J2" s="1" t="s">
        <v>347</v>
      </c>
      <c r="K2" s="1"/>
      <c r="L2" s="1" t="s">
        <v>349</v>
      </c>
      <c r="M2" s="1" t="s">
        <v>707</v>
      </c>
      <c r="N2" s="1" t="s">
        <v>706</v>
      </c>
    </row>
    <row r="3" spans="1:18">
      <c r="A3" s="1">
        <v>2</v>
      </c>
      <c r="B3" s="1" t="s">
        <v>711</v>
      </c>
      <c r="C3" s="1" t="s">
        <v>708</v>
      </c>
      <c r="D3" s="1" t="s">
        <v>709</v>
      </c>
      <c r="E3" s="1">
        <v>22</v>
      </c>
      <c r="F3" s="1">
        <v>33</v>
      </c>
      <c r="G3" s="14">
        <v>7</v>
      </c>
      <c r="H3" s="14">
        <v>6</v>
      </c>
      <c r="I3" s="1" t="s">
        <v>710</v>
      </c>
      <c r="J3" s="1" t="s">
        <v>713</v>
      </c>
      <c r="K3" s="1" t="s">
        <v>759</v>
      </c>
      <c r="L3" s="1" t="s">
        <v>714</v>
      </c>
      <c r="M3" s="1" t="s">
        <v>715</v>
      </c>
      <c r="N3" s="1" t="s">
        <v>712</v>
      </c>
    </row>
    <row r="4" spans="1:18">
      <c r="A4" s="1">
        <v>3</v>
      </c>
      <c r="B4" s="1" t="s">
        <v>719</v>
      </c>
      <c r="C4" s="1" t="s">
        <v>716</v>
      </c>
      <c r="D4" s="1" t="s">
        <v>717</v>
      </c>
      <c r="E4" s="1">
        <v>21</v>
      </c>
      <c r="F4" s="1">
        <v>31</v>
      </c>
      <c r="G4" s="14">
        <v>3</v>
      </c>
      <c r="H4" s="14">
        <v>5</v>
      </c>
      <c r="I4" s="1" t="s">
        <v>718</v>
      </c>
      <c r="J4" s="1" t="s">
        <v>721</v>
      </c>
      <c r="K4" s="1"/>
      <c r="L4" s="1" t="s">
        <v>722</v>
      </c>
      <c r="M4" s="1" t="s">
        <v>723</v>
      </c>
      <c r="N4" s="1" t="s">
        <v>720</v>
      </c>
    </row>
    <row r="5" spans="1:18">
      <c r="A5" s="1">
        <v>4</v>
      </c>
      <c r="B5" s="1" t="s">
        <v>727</v>
      </c>
      <c r="C5" s="1" t="s">
        <v>724</v>
      </c>
      <c r="D5" s="1" t="s">
        <v>725</v>
      </c>
      <c r="E5" s="1">
        <v>53</v>
      </c>
      <c r="F5" s="1">
        <v>51</v>
      </c>
      <c r="G5" s="14">
        <v>2</v>
      </c>
      <c r="H5" s="14">
        <v>3</v>
      </c>
      <c r="I5" s="1" t="s">
        <v>726</v>
      </c>
      <c r="J5" s="1" t="s">
        <v>729</v>
      </c>
      <c r="K5" s="1" t="s">
        <v>760</v>
      </c>
      <c r="L5" s="1" t="s">
        <v>730</v>
      </c>
      <c r="M5" s="1" t="s">
        <v>731</v>
      </c>
      <c r="N5" s="1" t="s">
        <v>728</v>
      </c>
    </row>
    <row r="6" spans="1:18">
      <c r="A6" s="1">
        <v>5</v>
      </c>
      <c r="B6" s="1" t="s">
        <v>735</v>
      </c>
      <c r="C6" s="1" t="s">
        <v>732</v>
      </c>
      <c r="D6" s="1" t="s">
        <v>733</v>
      </c>
      <c r="E6" s="1">
        <v>13</v>
      </c>
      <c r="F6" s="1">
        <v>24</v>
      </c>
      <c r="G6" s="14">
        <v>5</v>
      </c>
      <c r="H6" s="14">
        <v>2</v>
      </c>
      <c r="I6" s="1" t="s">
        <v>734</v>
      </c>
      <c r="J6" s="1" t="s">
        <v>737</v>
      </c>
      <c r="K6" s="1"/>
      <c r="L6" s="1" t="s">
        <v>738</v>
      </c>
      <c r="M6" s="1" t="s">
        <v>739</v>
      </c>
      <c r="N6" s="1" t="s">
        <v>736</v>
      </c>
    </row>
    <row r="7" spans="1:18">
      <c r="A7" s="1">
        <v>6</v>
      </c>
      <c r="B7" s="1" t="s">
        <v>743</v>
      </c>
      <c r="C7" s="1" t="s">
        <v>740</v>
      </c>
      <c r="D7" s="1" t="s">
        <v>741</v>
      </c>
      <c r="E7" s="1">
        <v>32</v>
      </c>
      <c r="F7" s="1">
        <v>30</v>
      </c>
      <c r="G7" s="14">
        <v>4</v>
      </c>
      <c r="H7" s="14">
        <v>7</v>
      </c>
      <c r="I7" s="1" t="s">
        <v>742</v>
      </c>
      <c r="J7" s="1" t="s">
        <v>867</v>
      </c>
      <c r="K7" s="1"/>
      <c r="L7" s="1" t="s">
        <v>745</v>
      </c>
      <c r="M7" s="1" t="s">
        <v>707</v>
      </c>
      <c r="N7" s="1" t="s">
        <v>744</v>
      </c>
    </row>
    <row r="8" spans="1:18">
      <c r="A8" s="1">
        <v>7</v>
      </c>
      <c r="B8" s="1" t="s">
        <v>749</v>
      </c>
      <c r="C8" s="1" t="s">
        <v>746</v>
      </c>
      <c r="D8" s="1" t="s">
        <v>747</v>
      </c>
      <c r="E8" s="1">
        <v>121</v>
      </c>
      <c r="F8" s="1">
        <v>50</v>
      </c>
      <c r="G8" s="14">
        <v>8</v>
      </c>
      <c r="H8" s="14">
        <v>8</v>
      </c>
      <c r="I8" s="1" t="s">
        <v>748</v>
      </c>
      <c r="J8" s="1" t="s">
        <v>868</v>
      </c>
      <c r="K8" s="1"/>
      <c r="L8" s="1" t="s">
        <v>751</v>
      </c>
      <c r="M8" s="1" t="s">
        <v>752</v>
      </c>
      <c r="N8" s="1" t="s">
        <v>750</v>
      </c>
    </row>
    <row r="10" spans="1:18">
      <c r="J10" s="20" t="s">
        <v>871</v>
      </c>
      <c r="P10" t="s">
        <v>870</v>
      </c>
    </row>
    <row r="11" spans="1:18">
      <c r="G11" s="53" t="s">
        <v>866</v>
      </c>
      <c r="H11" s="53" t="s">
        <v>761</v>
      </c>
      <c r="I11" s="53" t="s">
        <v>863</v>
      </c>
      <c r="J11" s="53" t="s">
        <v>849</v>
      </c>
      <c r="K11" s="53" t="s">
        <v>864</v>
      </c>
      <c r="L11" s="53" t="s">
        <v>850</v>
      </c>
      <c r="M11" s="53" t="s">
        <v>865</v>
      </c>
      <c r="N11" s="53" t="s">
        <v>851</v>
      </c>
      <c r="P11" s="53" t="s">
        <v>849</v>
      </c>
    </row>
    <row r="12" spans="1:18">
      <c r="G12" s="14" t="s">
        <v>855</v>
      </c>
      <c r="H12" s="1">
        <v>1</v>
      </c>
      <c r="I12" s="1"/>
      <c r="J12" s="14" t="str">
        <f xml:space="preserve"> IFERROR( _xlfn.CONCAT("a"), "")</f>
        <v>a</v>
      </c>
      <c r="K12" s="1"/>
      <c r="L12" s="1" t="str">
        <f xml:space="preserve"> IFERROR( _xlfn.CONCAT("ㄚ"), "")</f>
        <v>ㄚ</v>
      </c>
      <c r="M12" s="1" t="s">
        <v>759</v>
      </c>
      <c r="N12" s="49" t="str">
        <f t="shared" ref="N12:N14" si="0" xml:space="preserve"> IFERROR( _xlfn.CONCAT("a", _xlfn.UNICHAR(HEX2DEC(RIGHT(M12,4)))), "")</f>
        <v>ā</v>
      </c>
      <c r="P12" s="54" t="str">
        <f xml:space="preserve"> IFERROR( _xlfn.CONCAT("a"), "")</f>
        <v>a</v>
      </c>
      <c r="R12" t="str">
        <f xml:space="preserve"> IFERROR( _xlfn.CONCAT("l", "u", _xlfn.UNICHAR(HEX2DEC(RIGHT(M12,4))), "n"), "")</f>
        <v>lūn</v>
      </c>
    </row>
    <row r="13" spans="1:18">
      <c r="G13" s="14" t="s">
        <v>856</v>
      </c>
      <c r="H13" s="1">
        <v>2</v>
      </c>
      <c r="I13" s="1" t="s">
        <v>760</v>
      </c>
      <c r="J13" s="14" t="str">
        <f xml:space="preserve"> IFERROR( _xlfn.CONCAT("a", _xlfn.UNICHAR(HEX2DEC(RIGHT($I13,4)))), "")</f>
        <v>á</v>
      </c>
      <c r="K13" s="1" t="s">
        <v>845</v>
      </c>
      <c r="L13" s="1" t="str">
        <f t="shared" ref="L13:L18" si="1" xml:space="preserve"> IFERROR( _xlfn.CONCAT("ㄚ", _xlfn.UNICHAR(HEX2DEC(RIGHT(K13,4)))), "")</f>
        <v>ㄚ̀</v>
      </c>
      <c r="M13" s="1" t="s">
        <v>853</v>
      </c>
      <c r="N13" s="49" t="str">
        <f t="shared" si="0"/>
        <v>ǎ</v>
      </c>
      <c r="P13" s="54" t="str">
        <f xml:space="preserve"> IFERROR( _xlfn.CONCAT("a", _xlfn.UNICHAR(HEX2DEC(RIGHT($I13,4)))), "")</f>
        <v>á</v>
      </c>
      <c r="R13" t="str">
        <f t="shared" ref="R13:R21" si="2" xml:space="preserve"> IFERROR( _xlfn.CONCAT("l", "u", _xlfn.UNICHAR(HEX2DEC(RIGHT(M13,4))), "n"), "")</f>
        <v>lǔn</v>
      </c>
    </row>
    <row r="14" spans="1:18">
      <c r="G14" s="14" t="s">
        <v>857</v>
      </c>
      <c r="H14" s="1">
        <v>3</v>
      </c>
      <c r="I14" s="1" t="s">
        <v>845</v>
      </c>
      <c r="J14" s="14" t="str">
        <f t="shared" ref="J14:J21" si="3" xml:space="preserve"> IFERROR( _xlfn.CONCAT("a", _xlfn.UNICHAR(HEX2DEC(RIGHT($I14,4)))), "")</f>
        <v>à</v>
      </c>
      <c r="K14" s="1" t="s">
        <v>846</v>
      </c>
      <c r="L14" s="1" t="str">
        <f t="shared" si="1"/>
        <v>ㄚ˪</v>
      </c>
      <c r="M14" s="1" t="s">
        <v>845</v>
      </c>
      <c r="N14" s="49" t="str">
        <f t="shared" si="0"/>
        <v>à</v>
      </c>
      <c r="P14" s="54" t="str">
        <f t="shared" ref="P14:P21" si="4" xml:space="preserve"> IFERROR( _xlfn.CONCAT("a", _xlfn.UNICHAR(HEX2DEC(RIGHT($I14,4)))), "")</f>
        <v>à</v>
      </c>
      <c r="R14" t="str">
        <f t="shared" si="2"/>
        <v>lùn</v>
      </c>
    </row>
    <row r="15" spans="1:18">
      <c r="G15" s="14" t="s">
        <v>858</v>
      </c>
      <c r="H15" s="1">
        <v>4</v>
      </c>
      <c r="I15" s="1"/>
      <c r="J15" s="14" t="str">
        <f t="shared" si="3"/>
        <v/>
      </c>
      <c r="K15" s="1"/>
      <c r="L15" s="1" t="str">
        <f xml:space="preserve"> IFERROR( _xlfn.CONCAT("ㄚ", "ㆷ"), "")</f>
        <v>ㄚㆷ</v>
      </c>
      <c r="M15" s="1" t="s">
        <v>862</v>
      </c>
      <c r="N15" s="49" t="str">
        <f xml:space="preserve"> IFERROR( _xlfn.CONCAT("a", _xlfn.UNICHAR(HEX2DEC(RIGHT(M15,4))), "h"), "")</f>
        <v>āh</v>
      </c>
      <c r="P15" s="54" t="str">
        <f t="shared" si="4"/>
        <v/>
      </c>
      <c r="R15" t="str">
        <f t="shared" si="2"/>
        <v>lūn</v>
      </c>
    </row>
    <row r="16" spans="1:18">
      <c r="G16" s="14" t="s">
        <v>859</v>
      </c>
      <c r="H16" s="1">
        <v>5</v>
      </c>
      <c r="I16" s="1" t="s">
        <v>853</v>
      </c>
      <c r="J16" s="14" t="str">
        <f t="shared" si="3"/>
        <v>ǎ</v>
      </c>
      <c r="K16" s="1" t="s">
        <v>847</v>
      </c>
      <c r="L16" s="1" t="str">
        <f t="shared" si="1"/>
        <v>ㄚ́</v>
      </c>
      <c r="M16" s="1" t="s">
        <v>847</v>
      </c>
      <c r="N16" s="49" t="str">
        <f t="shared" ref="N16:N17" si="5" xml:space="preserve"> IFERROR( _xlfn.CONCAT("a", _xlfn.UNICHAR(HEX2DEC(RIGHT(M16,4)))), "")</f>
        <v>á</v>
      </c>
      <c r="P16" s="54" t="str">
        <f t="shared" si="4"/>
        <v>ǎ</v>
      </c>
      <c r="R16" t="str">
        <f t="shared" si="2"/>
        <v>lún</v>
      </c>
    </row>
    <row r="17" spans="7:18">
      <c r="G17" s="14" t="s">
        <v>856</v>
      </c>
      <c r="H17" s="50">
        <v>6</v>
      </c>
      <c r="I17" s="50" t="s">
        <v>847</v>
      </c>
      <c r="J17" s="14" t="str">
        <f t="shared" si="3"/>
        <v>á</v>
      </c>
      <c r="K17" s="51" t="s">
        <v>845</v>
      </c>
      <c r="L17" s="51" t="str">
        <f t="shared" si="1"/>
        <v>ㄚ̀</v>
      </c>
      <c r="M17" s="51" t="s">
        <v>853</v>
      </c>
      <c r="N17" s="52" t="str">
        <f t="shared" si="5"/>
        <v>ǎ</v>
      </c>
      <c r="P17" s="54" t="str">
        <f t="shared" si="4"/>
        <v>á</v>
      </c>
      <c r="R17" t="str">
        <f t="shared" si="2"/>
        <v>lǔn</v>
      </c>
    </row>
    <row r="18" spans="7:18">
      <c r="G18" s="14" t="s">
        <v>860</v>
      </c>
      <c r="H18" s="1">
        <v>7</v>
      </c>
      <c r="I18" s="1" t="s">
        <v>759</v>
      </c>
      <c r="J18" s="14" t="str">
        <f t="shared" si="3"/>
        <v>ā</v>
      </c>
      <c r="K18" s="1" t="s">
        <v>848</v>
      </c>
      <c r="L18" s="1" t="str">
        <f t="shared" si="1"/>
        <v>ㄚ˫</v>
      </c>
      <c r="M18" s="1" t="s">
        <v>852</v>
      </c>
      <c r="N18" s="49" t="str">
        <f t="shared" ref="N18" si="6" xml:space="preserve"> IFERROR( _xlfn.CONCAT("a", _xlfn.UNICHAR(HEX2DEC(RIGHT(M18,4)))), "")</f>
        <v>â</v>
      </c>
      <c r="P18" s="54" t="str">
        <f t="shared" si="4"/>
        <v>ā</v>
      </c>
      <c r="R18" t="str">
        <f t="shared" si="2"/>
        <v>lûn</v>
      </c>
    </row>
    <row r="19" spans="7:18">
      <c r="G19" s="14" t="s">
        <v>861</v>
      </c>
      <c r="H19" s="1">
        <v>8</v>
      </c>
      <c r="I19" s="1" t="s">
        <v>869</v>
      </c>
      <c r="J19" s="14" t="str">
        <f t="shared" si="3"/>
        <v>a̍</v>
      </c>
      <c r="K19" s="1" t="s">
        <v>844</v>
      </c>
      <c r="L19" s="1" t="str">
        <f xml:space="preserve"> IFERROR( _xlfn.CONCAT("ㄚ", "ㆷ", _xlfn.UNICHAR(HEX2DEC(RIGHT(K19,4)))), "")</f>
        <v>ㄚㆷ˙</v>
      </c>
      <c r="M19" s="1" t="s">
        <v>847</v>
      </c>
      <c r="N19" s="49" t="str">
        <f xml:space="preserve"> IFERROR( _xlfn.CONCAT("a", _xlfn.UNICHAR(HEX2DEC(RIGHT(M19,4))), "h"), "")</f>
        <v>áh</v>
      </c>
      <c r="P19" s="54" t="str">
        <f t="shared" si="4"/>
        <v>a̍</v>
      </c>
      <c r="R19" t="str">
        <f t="shared" si="2"/>
        <v>lún</v>
      </c>
    </row>
    <row r="20" spans="7:18">
      <c r="G20" s="14" t="s">
        <v>854</v>
      </c>
      <c r="H20" s="1">
        <v>9</v>
      </c>
      <c r="I20" s="1" t="s">
        <v>763</v>
      </c>
      <c r="J20" s="14" t="str">
        <f t="shared" si="3"/>
        <v>a̋</v>
      </c>
      <c r="K20" s="1"/>
      <c r="L20" s="1"/>
      <c r="M20" s="1"/>
      <c r="N20" s="1"/>
      <c r="P20" s="54" t="str">
        <f t="shared" si="4"/>
        <v>a̋</v>
      </c>
      <c r="R20" t="str">
        <f t="shared" si="2"/>
        <v/>
      </c>
    </row>
    <row r="21" spans="7:18">
      <c r="G21" s="14" t="s">
        <v>854</v>
      </c>
      <c r="H21" s="1">
        <v>0</v>
      </c>
      <c r="I21" s="1" t="s">
        <v>762</v>
      </c>
      <c r="J21" s="14" t="str">
        <f t="shared" si="3"/>
        <v>å</v>
      </c>
      <c r="K21" s="1" t="s">
        <v>762</v>
      </c>
      <c r="L21" s="1" t="str">
        <f xml:space="preserve"> IFERROR( _xlfn.CONCAT("ㄚ", _xlfn.UNICHAR(HEX2DEC(RIGHT(K21,4)))), "")</f>
        <v>ㄚ̊</v>
      </c>
      <c r="M21" s="1"/>
      <c r="N21" s="1"/>
      <c r="P21" s="54" t="str">
        <f t="shared" si="4"/>
        <v>å</v>
      </c>
      <c r="R21" t="str">
        <f t="shared" si="2"/>
        <v/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20345-2D00-435A-9A23-DC8811939E64}">
  <dimension ref="A1"/>
  <sheetViews>
    <sheetView workbookViewId="0"/>
  </sheetViews>
  <sheetFormatPr defaultRowHeight="25.5"/>
  <sheetData/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7F42E-1BEB-4022-BC67-5F9C82B5FABF}">
  <dimension ref="B1:S11"/>
  <sheetViews>
    <sheetView workbookViewId="0">
      <selection activeCell="Q7" sqref="Q7"/>
    </sheetView>
  </sheetViews>
  <sheetFormatPr defaultRowHeight="25.5"/>
  <cols>
    <col min="1" max="1" width="2" customWidth="1"/>
    <col min="8" max="8" width="10.1640625" bestFit="1" customWidth="1"/>
    <col min="9" max="19" width="12.58203125" customWidth="1"/>
  </cols>
  <sheetData>
    <row r="1" spans="2:19" ht="9" customHeight="1"/>
    <row r="2" spans="2:19">
      <c r="B2" s="21" t="s">
        <v>764</v>
      </c>
      <c r="C2" s="21" t="s">
        <v>765</v>
      </c>
      <c r="D2" s="22" t="s">
        <v>766</v>
      </c>
      <c r="E2" s="22" t="s">
        <v>767</v>
      </c>
      <c r="F2" s="21" t="s">
        <v>768</v>
      </c>
      <c r="G2" s="21" t="s">
        <v>769</v>
      </c>
      <c r="H2" s="23" t="s">
        <v>770</v>
      </c>
      <c r="I2" s="21" t="s">
        <v>771</v>
      </c>
      <c r="J2" s="21" t="s">
        <v>772</v>
      </c>
      <c r="K2" s="21" t="s">
        <v>773</v>
      </c>
      <c r="L2" s="23" t="s">
        <v>774</v>
      </c>
      <c r="M2" s="24" t="s">
        <v>775</v>
      </c>
      <c r="N2" s="22" t="s">
        <v>776</v>
      </c>
      <c r="O2" s="21" t="s">
        <v>777</v>
      </c>
      <c r="P2" s="21" t="s">
        <v>778</v>
      </c>
      <c r="Q2" s="21" t="s">
        <v>779</v>
      </c>
      <c r="R2" s="21" t="s">
        <v>4</v>
      </c>
      <c r="S2" s="21" t="s">
        <v>780</v>
      </c>
    </row>
    <row r="3" spans="2:19" ht="57.75">
      <c r="B3" s="25">
        <v>0</v>
      </c>
      <c r="C3" s="25">
        <v>9</v>
      </c>
      <c r="D3" s="26" t="s">
        <v>781</v>
      </c>
      <c r="E3" s="26" t="s">
        <v>782</v>
      </c>
      <c r="F3" s="27">
        <v>20</v>
      </c>
      <c r="G3" s="28" t="s">
        <v>783</v>
      </c>
      <c r="H3" s="29" t="s">
        <v>784</v>
      </c>
      <c r="I3" s="30" t="s">
        <v>785</v>
      </c>
      <c r="J3" s="31" t="str">
        <f xml:space="preserve"> IFERROR( _xlfn.CONCAT("a", _xlfn.UNICHAR(HEX2DEC(RIGHT(I3,4)))), "")</f>
        <v>å</v>
      </c>
      <c r="K3" s="32">
        <v>7</v>
      </c>
      <c r="L3" s="33" t="str">
        <f xml:space="preserve"> _xlfn.CONCAT("ah", B3)</f>
        <v>ah0</v>
      </c>
      <c r="M3" s="34" t="str">
        <f xml:space="preserve"> IFERROR( _xlfn.CONCAT("a", "h", _xlfn.UNICHAR(HEX2DEC(RIGHT(I3,4)))), "")</f>
        <v>ah̊</v>
      </c>
      <c r="N3" s="33" t="str">
        <f xml:space="preserve"> _xlfn.CONCAT("ah", K3)</f>
        <v>ah7</v>
      </c>
      <c r="O3" s="35" t="s">
        <v>786</v>
      </c>
      <c r="P3" s="36" t="str">
        <f xml:space="preserve"> _xlfn.CONCAT("ㄚ", "ㆷ", _xlfn.UNICHAR(HEX2DEC(RIGHT("U+02D9",4))))</f>
        <v>ㄚㆷ˙</v>
      </c>
      <c r="Q3" s="35" t="s">
        <v>50</v>
      </c>
      <c r="R3" s="35" t="s">
        <v>787</v>
      </c>
      <c r="S3" s="35" t="s">
        <v>788</v>
      </c>
    </row>
    <row r="4" spans="2:19" ht="57.75">
      <c r="B4" s="25">
        <v>1</v>
      </c>
      <c r="C4" s="25">
        <v>1</v>
      </c>
      <c r="D4" s="26" t="s">
        <v>702</v>
      </c>
      <c r="E4" s="26" t="s">
        <v>789</v>
      </c>
      <c r="F4" s="27">
        <v>44</v>
      </c>
      <c r="G4" s="28" t="s">
        <v>790</v>
      </c>
      <c r="H4" s="29" t="s">
        <v>791</v>
      </c>
      <c r="I4" s="30" t="s">
        <v>792</v>
      </c>
      <c r="J4" s="31" t="str">
        <f xml:space="preserve"> IFERROR( _xlfn.CONCAT("a", _xlfn.UNICHAR(HEX2DEC(RIGHT(I4,4)))), "")</f>
        <v>ā</v>
      </c>
      <c r="K4" s="32" t="s">
        <v>793</v>
      </c>
      <c r="L4" s="33" t="str">
        <f xml:space="preserve"> _xlfn.CONCAT("dong", B4)</f>
        <v>dong1</v>
      </c>
      <c r="M4" s="34" t="str">
        <f t="shared" ref="M4:M9" si="0" xml:space="preserve"> IFERROR( _xlfn.CONCAT("d", "o", _xlfn.UNICHAR(HEX2DEC(RIGHT(I4,4))), "ng"), "")</f>
        <v>dōng</v>
      </c>
      <c r="N4" s="33" t="str">
        <f xml:space="preserve"> _xlfn.CONCAT("dong", K4)</f>
        <v>dong;</v>
      </c>
      <c r="O4" s="35"/>
      <c r="P4" s="36" t="str">
        <f xml:space="preserve"> _xlfn.CONCAT("ㄚ",)</f>
        <v>ㄚ</v>
      </c>
      <c r="Q4" s="35" t="s">
        <v>794</v>
      </c>
      <c r="R4" s="35" t="s">
        <v>795</v>
      </c>
      <c r="S4" s="35" t="s">
        <v>796</v>
      </c>
    </row>
    <row r="5" spans="2:19" ht="57.75">
      <c r="B5" s="37">
        <v>2</v>
      </c>
      <c r="C5" s="37">
        <v>5</v>
      </c>
      <c r="D5" s="38" t="s">
        <v>732</v>
      </c>
      <c r="E5" s="38" t="s">
        <v>797</v>
      </c>
      <c r="F5" s="39">
        <v>13</v>
      </c>
      <c r="G5" s="40" t="s">
        <v>798</v>
      </c>
      <c r="H5" s="41" t="s">
        <v>799</v>
      </c>
      <c r="I5" s="42" t="s">
        <v>800</v>
      </c>
      <c r="J5" s="43" t="str">
        <f xml:space="preserve"> IFERROR( _xlfn.CONCAT("a", _xlfn.UNICHAR(HEX2DEC(RIGHT(I5,4)))), "")</f>
        <v>á</v>
      </c>
      <c r="K5" s="44" t="s">
        <v>801</v>
      </c>
      <c r="L5" s="45" t="str">
        <f xml:space="preserve"> _xlfn.CONCAT("dong", B5)</f>
        <v>dong2</v>
      </c>
      <c r="M5" s="46" t="str">
        <f t="shared" si="0"/>
        <v>dóng</v>
      </c>
      <c r="N5" s="45" t="str">
        <f xml:space="preserve"> _xlfn.CONCAT("dong", K5)</f>
        <v>dong/</v>
      </c>
      <c r="O5" s="47" t="s">
        <v>800</v>
      </c>
      <c r="P5" s="48" t="str">
        <f xml:space="preserve"> _xlfn.CONCAT("ㄚ ",_xlfn.UNICHAR(HEX2DEC(RIGHT(O5,4))))</f>
        <v>ㄚ ́</v>
      </c>
      <c r="Q5" s="47" t="s">
        <v>802</v>
      </c>
      <c r="R5" s="47" t="s">
        <v>803</v>
      </c>
      <c r="S5" s="47" t="s">
        <v>804</v>
      </c>
    </row>
    <row r="6" spans="2:19" ht="57.75">
      <c r="B6" s="25">
        <v>3</v>
      </c>
      <c r="C6" s="25">
        <v>4</v>
      </c>
      <c r="D6" s="26" t="s">
        <v>805</v>
      </c>
      <c r="E6" s="26" t="s">
        <v>806</v>
      </c>
      <c r="F6" s="27">
        <v>53</v>
      </c>
      <c r="G6" s="28" t="s">
        <v>807</v>
      </c>
      <c r="H6" s="29" t="s">
        <v>808</v>
      </c>
      <c r="I6" s="30" t="s">
        <v>809</v>
      </c>
      <c r="J6" s="31" t="str">
        <f xml:space="preserve"> IFERROR( _xlfn.CONCAT("a", _xlfn.UNICHAR(HEX2DEC(RIGHT(I6,4)))), "")</f>
        <v>ǎ</v>
      </c>
      <c r="K6" s="32" t="s">
        <v>810</v>
      </c>
      <c r="L6" s="33" t="str">
        <f xml:space="preserve"> _xlfn.CONCAT("dong", B6)</f>
        <v>dong3</v>
      </c>
      <c r="M6" s="34" t="str">
        <f t="shared" si="0"/>
        <v>dǒng</v>
      </c>
      <c r="N6" s="33" t="str">
        <f xml:space="preserve"> _xlfn.CONCAT("dong", K6)</f>
        <v>dong\</v>
      </c>
      <c r="O6" s="35" t="s">
        <v>811</v>
      </c>
      <c r="P6" s="36" t="str">
        <f xml:space="preserve"> _xlfn.CONCAT("ㄚ ",_xlfn.UNICHAR(HEX2DEC(RIGHT(O6,4))))</f>
        <v>ㄚ ̀</v>
      </c>
      <c r="Q6" s="35" t="s">
        <v>32</v>
      </c>
      <c r="R6" s="35" t="s">
        <v>812</v>
      </c>
      <c r="S6" s="35" t="s">
        <v>813</v>
      </c>
    </row>
    <row r="7" spans="2:19" ht="57.75">
      <c r="B7" s="37">
        <v>4</v>
      </c>
      <c r="C7" s="37">
        <v>99</v>
      </c>
      <c r="D7" s="38" t="s">
        <v>814</v>
      </c>
      <c r="E7" s="38"/>
      <c r="F7" s="39"/>
      <c r="G7" s="40"/>
      <c r="H7" s="41"/>
      <c r="I7" s="42"/>
      <c r="J7" s="43"/>
      <c r="K7" s="44"/>
      <c r="L7" s="45"/>
      <c r="M7" s="46" t="str">
        <f t="shared" si="0"/>
        <v/>
      </c>
      <c r="N7" s="45"/>
      <c r="O7" s="47"/>
      <c r="P7" s="48"/>
      <c r="Q7" s="47" t="s">
        <v>707</v>
      </c>
      <c r="R7" s="47"/>
      <c r="S7" s="47"/>
    </row>
    <row r="8" spans="2:19" ht="57.75">
      <c r="B8" s="25">
        <v>5</v>
      </c>
      <c r="C8" s="25">
        <v>3</v>
      </c>
      <c r="D8" s="26" t="s">
        <v>716</v>
      </c>
      <c r="E8" s="26" t="s">
        <v>815</v>
      </c>
      <c r="F8" s="27">
        <v>21</v>
      </c>
      <c r="G8" s="28" t="s">
        <v>816</v>
      </c>
      <c r="H8" s="29" t="s">
        <v>817</v>
      </c>
      <c r="I8" s="30" t="s">
        <v>811</v>
      </c>
      <c r="J8" s="31" t="str">
        <f xml:space="preserve"> IFERROR( _xlfn.CONCAT("a", _xlfn.UNICHAR(HEX2DEC(RIGHT(I8,4)))), "")</f>
        <v>à</v>
      </c>
      <c r="K8" s="32" t="s">
        <v>818</v>
      </c>
      <c r="L8" s="33" t="str">
        <f xml:space="preserve"> _xlfn.CONCAT("dong", B8)</f>
        <v>dong5</v>
      </c>
      <c r="M8" s="34" t="str">
        <f t="shared" si="0"/>
        <v>dòng</v>
      </c>
      <c r="N8" s="33" t="str">
        <f xml:space="preserve"> _xlfn.CONCAT("dong", K8)</f>
        <v>dong_</v>
      </c>
      <c r="O8" s="35" t="s">
        <v>819</v>
      </c>
      <c r="P8" s="36" t="str">
        <f xml:space="preserve"> _xlfn.CONCAT("ㄚ",_xlfn.UNICHAR(HEX2DEC(RIGHT(O8,4))))</f>
        <v>ㄚ˪</v>
      </c>
      <c r="Q8" s="35" t="s">
        <v>26</v>
      </c>
      <c r="R8" s="35" t="s">
        <v>820</v>
      </c>
      <c r="S8" s="35" t="s">
        <v>821</v>
      </c>
    </row>
    <row r="9" spans="2:19" ht="57.75">
      <c r="B9" s="37">
        <v>6</v>
      </c>
      <c r="C9" s="37">
        <v>2</v>
      </c>
      <c r="D9" s="38" t="s">
        <v>708</v>
      </c>
      <c r="E9" s="38" t="s">
        <v>822</v>
      </c>
      <c r="F9" s="39">
        <v>22</v>
      </c>
      <c r="G9" s="40" t="s">
        <v>823</v>
      </c>
      <c r="H9" s="41" t="s">
        <v>824</v>
      </c>
      <c r="I9" s="42" t="s">
        <v>825</v>
      </c>
      <c r="J9" s="43" t="str">
        <f xml:space="preserve"> IFERROR( _xlfn.CONCAT("a", _xlfn.UNICHAR(HEX2DEC(RIGHT(I9,4)))), "")</f>
        <v>â</v>
      </c>
      <c r="K9" s="44" t="s">
        <v>826</v>
      </c>
      <c r="L9" s="45" t="str">
        <f xml:space="preserve"> _xlfn.CONCAT("dong", B9)</f>
        <v>dong6</v>
      </c>
      <c r="M9" s="46" t="str">
        <f t="shared" si="0"/>
        <v>dông</v>
      </c>
      <c r="N9" s="45" t="str">
        <f xml:space="preserve"> _xlfn.CONCAT("dong", K9)</f>
        <v>dong-</v>
      </c>
      <c r="O9" s="47" t="s">
        <v>827</v>
      </c>
      <c r="P9" s="48" t="str">
        <f xml:space="preserve"> _xlfn.CONCAT("ㄚ",_xlfn.UNICHAR(HEX2DEC(RIGHT(O9,4))))</f>
        <v>ㄚ˫</v>
      </c>
      <c r="Q9" s="47" t="s">
        <v>828</v>
      </c>
      <c r="R9" s="47" t="s">
        <v>829</v>
      </c>
      <c r="S9" s="47" t="s">
        <v>830</v>
      </c>
    </row>
    <row r="10" spans="2:19" ht="57.75">
      <c r="B10" s="25">
        <v>7</v>
      </c>
      <c r="C10" s="25">
        <v>7</v>
      </c>
      <c r="D10" s="26" t="s">
        <v>740</v>
      </c>
      <c r="E10" s="26" t="s">
        <v>831</v>
      </c>
      <c r="F10" s="27">
        <v>32</v>
      </c>
      <c r="G10" s="28" t="s">
        <v>832</v>
      </c>
      <c r="H10" s="29" t="s">
        <v>833</v>
      </c>
      <c r="I10" s="30" t="s">
        <v>792</v>
      </c>
      <c r="J10" s="31" t="str">
        <f xml:space="preserve"> IFERROR( _xlfn.CONCAT("a", _xlfn.UNICHAR(HEX2DEC(RIGHT(I10,4))), "h"), "")</f>
        <v>āh</v>
      </c>
      <c r="K10" s="32" t="s">
        <v>834</v>
      </c>
      <c r="L10" s="33" t="str">
        <f xml:space="preserve"> _xlfn.CONCAT("dok", B10)</f>
        <v>dok7</v>
      </c>
      <c r="M10" s="34" t="str">
        <f xml:space="preserve"> IFERROR( _xlfn.CONCAT("d", "o", _xlfn.UNICHAR(HEX2DEC(RIGHT(I10,4))), "k"), "")</f>
        <v>dōk</v>
      </c>
      <c r="N10" s="33" t="str">
        <f xml:space="preserve"> _xlfn.CONCAT("dok", K10)</f>
        <v>dok[</v>
      </c>
      <c r="O10" s="35"/>
      <c r="P10" s="36" t="str">
        <f xml:space="preserve"> _xlfn.CONCAT("ㄚ", "ㆷ")</f>
        <v>ㄚㆷ</v>
      </c>
      <c r="Q10" s="35" t="s">
        <v>744</v>
      </c>
      <c r="R10" s="35" t="s">
        <v>835</v>
      </c>
      <c r="S10" s="35" t="s">
        <v>836</v>
      </c>
    </row>
    <row r="11" spans="2:19" ht="57.75">
      <c r="B11" s="37">
        <v>8</v>
      </c>
      <c r="C11" s="37">
        <v>8</v>
      </c>
      <c r="D11" s="38" t="s">
        <v>746</v>
      </c>
      <c r="E11" s="38" t="s">
        <v>837</v>
      </c>
      <c r="F11" s="39">
        <v>121</v>
      </c>
      <c r="G11" s="40" t="s">
        <v>838</v>
      </c>
      <c r="H11" s="41" t="s">
        <v>839</v>
      </c>
      <c r="I11" s="42" t="s">
        <v>800</v>
      </c>
      <c r="J11" s="43" t="str">
        <f xml:space="preserve"> IFERROR( _xlfn.CONCAT("a", _xlfn.UNICHAR(HEX2DEC(RIGHT(I11,4))), "h"), "")</f>
        <v>áh</v>
      </c>
      <c r="K11" s="44" t="s">
        <v>840</v>
      </c>
      <c r="L11" s="45" t="str">
        <f xml:space="preserve"> _xlfn.CONCAT("dok", B11)</f>
        <v>dok8</v>
      </c>
      <c r="M11" s="46" t="str">
        <f xml:space="preserve"> IFERROR( _xlfn.CONCAT("d", "o", _xlfn.UNICHAR(HEX2DEC(RIGHT(I11,4))), "k"), "")</f>
        <v>dók</v>
      </c>
      <c r="N11" s="45" t="str">
        <f xml:space="preserve"> _xlfn.CONCAT("dok", K11)</f>
        <v>dok]</v>
      </c>
      <c r="O11" s="47" t="s">
        <v>841</v>
      </c>
      <c r="P11" s="48" t="str">
        <f xml:space="preserve"> _xlfn.CONCAT("ㄚ", "ㆷ", _xlfn.UNICHAR(HEX2DEC(RIGHT(O11,4))))</f>
        <v>ㄚㆷ˙</v>
      </c>
      <c r="Q11" s="47" t="s">
        <v>840</v>
      </c>
      <c r="R11" s="47" t="s">
        <v>842</v>
      </c>
      <c r="S11" s="47" t="s">
        <v>843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【聲】聲母對照表</vt:lpstr>
      <vt:lpstr>【韻】聲母對照表</vt:lpstr>
      <vt:lpstr>【調】聲調對照表</vt:lpstr>
      <vt:lpstr>工作表1</vt:lpstr>
      <vt:lpstr>舊版聲調對照表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2026-03-12T11:06:03Z</dcterms:created>
  <dcterms:modified xsi:type="dcterms:W3CDTF">2026-04-28T04:32:01Z</dcterms:modified>
</cp:coreProperties>
</file>