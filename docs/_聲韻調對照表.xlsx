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5C18FE3C-24B2-4B09-B714-8FF6FE91604A}" xr6:coauthVersionLast="47" xr6:coauthVersionMax="47" xr10:uidLastSave="{00000000-0000-0000-0000-000000000000}"/>
  <bookViews>
    <workbookView xWindow="-120" yWindow="-120" windowWidth="38640" windowHeight="15720" activeTab="1" xr2:uid="{7E808FC4-FD7B-4D2F-8735-FF65DCE8E5C1}"/>
  </bookViews>
  <sheets>
    <sheet name="【聲】聲母對照表" sheetId="1" r:id="rId1"/>
    <sheet name="【韻】韻母對照表" sheetId="2" r:id="rId2"/>
    <sheet name="韻母轉換規則" sheetId="6" r:id="rId3"/>
    <sheet name="台語注音二式轉換" sheetId="7" r:id="rId4"/>
    <sheet name="【調】聲調對照表" sheetId="3" r:id="rId5"/>
    <sheet name="十五音韻母" sheetId="9" r:id="rId6"/>
    <sheet name="舊版聲調對照表" sheetId="4" r:id="rId7"/>
    <sheet name="【韻】韻母對照表 (2)" sheetId="10" r:id="rId8"/>
    <sheet name="工作表3" sheetId="8" r:id="rId9"/>
  </sheets>
  <definedNames>
    <definedName name="_xlnm._FilterDatabase" localSheetId="2" hidden="1">韻母轉換規則!$B$2:$J$98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6" l="1" a="1"/>
  <c r="E98" i="6" s="1"/>
  <c r="G98" i="6" a="1"/>
  <c r="G98" i="6" s="1"/>
  <c r="I98" i="6" a="1"/>
  <c r="I98" i="6" s="1"/>
  <c r="H98" i="6" a="1"/>
  <c r="H98" i="6" s="1"/>
  <c r="E97" i="6" a="1"/>
  <c r="E97" i="6" s="1"/>
  <c r="G97" i="6" a="1"/>
  <c r="G97" i="6" s="1"/>
  <c r="I97" i="6" a="1"/>
  <c r="I97" i="6" s="1"/>
  <c r="H97" i="6" a="1"/>
  <c r="H97" i="6" s="1"/>
  <c r="E96" i="6" a="1"/>
  <c r="E96" i="6" s="1"/>
  <c r="G96" i="6" a="1"/>
  <c r="G96" i="6" s="1"/>
  <c r="I96" i="6" a="1"/>
  <c r="I96" i="6" s="1"/>
  <c r="H96" i="6" a="1"/>
  <c r="H96" i="6" s="1"/>
  <c r="E95" i="6" a="1"/>
  <c r="E95" i="6" s="1"/>
  <c r="G95" i="6" a="1"/>
  <c r="G95" i="6" s="1"/>
  <c r="I95" i="6" a="1"/>
  <c r="I95" i="6" s="1"/>
  <c r="H95" i="6" a="1"/>
  <c r="H95" i="6" s="1"/>
  <c r="E94" i="6" a="1"/>
  <c r="E94" i="6" s="1"/>
  <c r="G94" i="6" a="1"/>
  <c r="G94" i="6" s="1"/>
  <c r="I94" i="6" a="1"/>
  <c r="I94" i="6" s="1"/>
  <c r="H94" i="6" a="1"/>
  <c r="H94" i="6" s="1"/>
  <c r="E93" i="6" a="1"/>
  <c r="E93" i="6" s="1"/>
  <c r="G93" i="6" a="1"/>
  <c r="G93" i="6" s="1"/>
  <c r="I93" i="6" a="1"/>
  <c r="I93" i="6" s="1"/>
  <c r="H93" i="6" a="1"/>
  <c r="H93" i="6" s="1"/>
  <c r="E92" i="6" a="1"/>
  <c r="E92" i="6" s="1"/>
  <c r="G92" i="6" a="1"/>
  <c r="G92" i="6" s="1"/>
  <c r="I92" i="6" a="1"/>
  <c r="I92" i="6" s="1"/>
  <c r="H92" i="6" a="1"/>
  <c r="H92" i="6" s="1"/>
  <c r="E91" i="6" a="1"/>
  <c r="E91" i="6" s="1"/>
  <c r="G91" i="6" a="1"/>
  <c r="G91" i="6" s="1"/>
  <c r="I91" i="6" a="1"/>
  <c r="I91" i="6" s="1"/>
  <c r="H91" i="6" a="1"/>
  <c r="H91" i="6" s="1"/>
  <c r="E90" i="6" a="1"/>
  <c r="E90" i="6" s="1"/>
  <c r="G90" i="6" a="1"/>
  <c r="G90" i="6" s="1"/>
  <c r="I90" i="6" a="1"/>
  <c r="I90" i="6" s="1"/>
  <c r="H90" i="6" a="1"/>
  <c r="H90" i="6" s="1"/>
  <c r="E89" i="6" a="1"/>
  <c r="E89" i="6" s="1"/>
  <c r="G89" i="6" a="1"/>
  <c r="G89" i="6" s="1"/>
  <c r="I89" i="6" a="1"/>
  <c r="I89" i="6" s="1"/>
  <c r="H89" i="6" a="1"/>
  <c r="H89" i="6" s="1"/>
  <c r="E88" i="6" a="1"/>
  <c r="E88" i="6" s="1"/>
  <c r="G88" i="6" a="1"/>
  <c r="G88" i="6" s="1"/>
  <c r="I88" i="6" a="1"/>
  <c r="I88" i="6" s="1"/>
  <c r="H88" i="6" a="1"/>
  <c r="H88" i="6" s="1"/>
  <c r="E87" i="6" a="1"/>
  <c r="E87" i="6" s="1"/>
  <c r="G87" i="6" a="1"/>
  <c r="G87" i="6" s="1"/>
  <c r="I87" i="6" a="1"/>
  <c r="I87" i="6" s="1"/>
  <c r="H87" i="6" a="1"/>
  <c r="H87" i="6" s="1"/>
  <c r="E86" i="6" a="1"/>
  <c r="E86" i="6" s="1"/>
  <c r="G86" i="6" a="1"/>
  <c r="G86" i="6" s="1"/>
  <c r="I86" i="6" a="1"/>
  <c r="I86" i="6" s="1"/>
  <c r="H86" i="6" a="1"/>
  <c r="H86" i="6" s="1"/>
  <c r="E85" i="6" a="1"/>
  <c r="E85" i="6" s="1"/>
  <c r="G85" i="6" a="1"/>
  <c r="G85" i="6" s="1"/>
  <c r="I85" i="6" a="1"/>
  <c r="I85" i="6" s="1"/>
  <c r="H85" i="6" a="1"/>
  <c r="H85" i="6" s="1"/>
  <c r="E84" i="6" a="1"/>
  <c r="E84" i="6" s="1"/>
  <c r="G84" i="6" a="1"/>
  <c r="G84" i="6" s="1"/>
  <c r="I84" i="6" a="1"/>
  <c r="I84" i="6" s="1"/>
  <c r="H84" i="6" a="1"/>
  <c r="H84" i="6" s="1"/>
  <c r="E83" i="6" a="1"/>
  <c r="E83" i="6" s="1"/>
  <c r="G83" i="6" a="1"/>
  <c r="G83" i="6" s="1"/>
  <c r="I83" i="6" a="1"/>
  <c r="I83" i="6" s="1"/>
  <c r="H83" i="6" a="1"/>
  <c r="H83" i="6" s="1"/>
  <c r="E82" i="6" a="1"/>
  <c r="E82" i="6" s="1"/>
  <c r="G82" i="6" a="1"/>
  <c r="G82" i="6" s="1"/>
  <c r="I82" i="6" a="1"/>
  <c r="I82" i="6" s="1"/>
  <c r="H82" i="6" a="1"/>
  <c r="H82" i="6" s="1"/>
  <c r="E81" i="6" a="1"/>
  <c r="E81" i="6" s="1"/>
  <c r="G81" i="6" a="1"/>
  <c r="G81" i="6" s="1"/>
  <c r="I81" i="6" a="1"/>
  <c r="I81" i="6" s="1"/>
  <c r="H81" i="6" a="1"/>
  <c r="H81" i="6" s="1"/>
  <c r="E80" i="6" a="1"/>
  <c r="E80" i="6" s="1"/>
  <c r="G80" i="6" a="1"/>
  <c r="G80" i="6" s="1"/>
  <c r="I80" i="6" a="1"/>
  <c r="I80" i="6" s="1"/>
  <c r="H80" i="6" a="1"/>
  <c r="H80" i="6" s="1"/>
  <c r="E79" i="6" a="1"/>
  <c r="E79" i="6" s="1"/>
  <c r="G79" i="6" a="1"/>
  <c r="G79" i="6" s="1"/>
  <c r="I79" i="6" a="1"/>
  <c r="I79" i="6" s="1"/>
  <c r="H79" i="6" a="1"/>
  <c r="H79" i="6" s="1"/>
  <c r="E78" i="6" a="1"/>
  <c r="E78" i="6" s="1"/>
  <c r="G78" i="6" a="1"/>
  <c r="G78" i="6" s="1"/>
  <c r="I78" i="6" a="1"/>
  <c r="I78" i="6" s="1"/>
  <c r="H78" i="6" a="1"/>
  <c r="H78" i="6" s="1"/>
  <c r="E77" i="6" a="1"/>
  <c r="E77" i="6" s="1"/>
  <c r="G77" i="6" a="1"/>
  <c r="G77" i="6" s="1"/>
  <c r="I77" i="6" a="1"/>
  <c r="I77" i="6" s="1"/>
  <c r="H77" i="6" a="1"/>
  <c r="H77" i="6" s="1"/>
  <c r="E76" i="6" a="1"/>
  <c r="E76" i="6" s="1"/>
  <c r="G76" i="6" a="1"/>
  <c r="G76" i="6" s="1"/>
  <c r="I76" i="6" a="1"/>
  <c r="I76" i="6" s="1"/>
  <c r="H76" i="6" a="1"/>
  <c r="H76" i="6" s="1"/>
  <c r="E75" i="6" a="1"/>
  <c r="E75" i="6" s="1"/>
  <c r="G75" i="6" a="1"/>
  <c r="G75" i="6" s="1"/>
  <c r="I75" i="6" a="1"/>
  <c r="I75" i="6" s="1"/>
  <c r="H75" i="6" a="1"/>
  <c r="H75" i="6" s="1"/>
  <c r="E74" i="6" a="1"/>
  <c r="E74" i="6" s="1"/>
  <c r="G74" i="6" a="1"/>
  <c r="G74" i="6" s="1"/>
  <c r="I74" i="6" a="1"/>
  <c r="I74" i="6" s="1"/>
  <c r="H74" i="6" a="1"/>
  <c r="H74" i="6" s="1"/>
  <c r="E73" i="6" a="1"/>
  <c r="E73" i="6" s="1"/>
  <c r="G73" i="6" a="1"/>
  <c r="G73" i="6" s="1"/>
  <c r="I73" i="6" a="1"/>
  <c r="I73" i="6" s="1"/>
  <c r="H73" i="6" a="1"/>
  <c r="H73" i="6" s="1"/>
  <c r="E72" i="6" a="1"/>
  <c r="E72" i="6" s="1"/>
  <c r="G72" i="6" a="1"/>
  <c r="G72" i="6" s="1"/>
  <c r="I72" i="6" a="1"/>
  <c r="I72" i="6" s="1"/>
  <c r="H72" i="6" a="1"/>
  <c r="H72" i="6" s="1"/>
  <c r="E71" i="6" a="1"/>
  <c r="E71" i="6" s="1"/>
  <c r="G71" i="6" a="1"/>
  <c r="G71" i="6" s="1"/>
  <c r="I71" i="6" a="1"/>
  <c r="I71" i="6" s="1"/>
  <c r="H71" i="6" a="1"/>
  <c r="H71" i="6" s="1"/>
  <c r="E70" i="6" a="1"/>
  <c r="E70" i="6" s="1"/>
  <c r="G70" i="6" a="1"/>
  <c r="G70" i="6" s="1"/>
  <c r="I70" i="6" a="1"/>
  <c r="I70" i="6" s="1"/>
  <c r="H70" i="6" a="1"/>
  <c r="H70" i="6" s="1"/>
  <c r="E69" i="6" a="1"/>
  <c r="E69" i="6" s="1"/>
  <c r="G69" i="6" a="1"/>
  <c r="G69" i="6" s="1"/>
  <c r="I69" i="6" a="1"/>
  <c r="I69" i="6" s="1"/>
  <c r="H69" i="6" a="1"/>
  <c r="H69" i="6" s="1"/>
  <c r="E68" i="6" a="1"/>
  <c r="E68" i="6" s="1"/>
  <c r="G68" i="6" a="1"/>
  <c r="G68" i="6" s="1"/>
  <c r="I68" i="6" a="1"/>
  <c r="I68" i="6" s="1"/>
  <c r="H68" i="6" a="1"/>
  <c r="H68" i="6" s="1"/>
  <c r="E67" i="6" a="1"/>
  <c r="E67" i="6" s="1"/>
  <c r="G67" i="6" a="1"/>
  <c r="G67" i="6" s="1"/>
  <c r="I67" i="6" a="1"/>
  <c r="I67" i="6" s="1"/>
  <c r="H67" i="6" a="1"/>
  <c r="H67" i="6" s="1"/>
  <c r="E66" i="6" a="1"/>
  <c r="E66" i="6" s="1"/>
  <c r="G66" i="6" a="1"/>
  <c r="G66" i="6" s="1"/>
  <c r="I66" i="6" a="1"/>
  <c r="I66" i="6" s="1"/>
  <c r="H66" i="6" a="1"/>
  <c r="H66" i="6" s="1"/>
  <c r="E65" i="6" a="1"/>
  <c r="E65" i="6" s="1"/>
  <c r="G65" i="6" a="1"/>
  <c r="G65" i="6" s="1"/>
  <c r="I65" i="6" a="1"/>
  <c r="I65" i="6" s="1"/>
  <c r="H65" i="6" a="1"/>
  <c r="H65" i="6" s="1"/>
  <c r="E64" i="6" a="1"/>
  <c r="E64" i="6" s="1"/>
  <c r="G64" i="6" a="1"/>
  <c r="G64" i="6" s="1"/>
  <c r="I64" i="6" a="1"/>
  <c r="I64" i="6" s="1"/>
  <c r="H64" i="6" a="1"/>
  <c r="H64" i="6" s="1"/>
  <c r="E63" i="6" a="1"/>
  <c r="E63" i="6" s="1"/>
  <c r="G63" i="6" a="1"/>
  <c r="G63" i="6" s="1"/>
  <c r="I63" i="6" a="1"/>
  <c r="I63" i="6" s="1"/>
  <c r="H63" i="6" a="1"/>
  <c r="H63" i="6" s="1"/>
  <c r="E62" i="6" a="1"/>
  <c r="E62" i="6" s="1"/>
  <c r="G62" i="6" a="1"/>
  <c r="G62" i="6" s="1"/>
  <c r="I62" i="6" a="1"/>
  <c r="I62" i="6" s="1"/>
  <c r="H62" i="6" a="1"/>
  <c r="H62" i="6" s="1"/>
  <c r="E61" i="6" a="1"/>
  <c r="E61" i="6" s="1"/>
  <c r="G61" i="6" a="1"/>
  <c r="G61" i="6" s="1"/>
  <c r="I61" i="6" a="1"/>
  <c r="I61" i="6" s="1"/>
  <c r="H61" i="6" a="1"/>
  <c r="H61" i="6" s="1"/>
  <c r="E60" i="6" a="1"/>
  <c r="E60" i="6" s="1"/>
  <c r="G60" i="6" a="1"/>
  <c r="G60" i="6" s="1"/>
  <c r="I60" i="6" a="1"/>
  <c r="I60" i="6" s="1"/>
  <c r="H60" i="6" a="1"/>
  <c r="H60" i="6" s="1"/>
  <c r="E59" i="6" a="1"/>
  <c r="E59" i="6" s="1"/>
  <c r="G59" i="6" a="1"/>
  <c r="G59" i="6" s="1"/>
  <c r="I59" i="6" a="1"/>
  <c r="I59" i="6" s="1"/>
  <c r="H59" i="6" a="1"/>
  <c r="H59" i="6" s="1"/>
  <c r="E58" i="6" a="1"/>
  <c r="E58" i="6" s="1"/>
  <c r="G58" i="6" a="1"/>
  <c r="G58" i="6" s="1"/>
  <c r="I58" i="6" a="1"/>
  <c r="I58" i="6" s="1"/>
  <c r="H58" i="6" a="1"/>
  <c r="H58" i="6" s="1"/>
  <c r="E57" i="6" a="1"/>
  <c r="E57" i="6" s="1"/>
  <c r="G57" i="6" a="1"/>
  <c r="G57" i="6" s="1"/>
  <c r="I57" i="6" a="1"/>
  <c r="I57" i="6" s="1"/>
  <c r="H57" i="6" a="1"/>
  <c r="H57" i="6" s="1"/>
  <c r="E56" i="6" a="1"/>
  <c r="E56" i="6" s="1"/>
  <c r="G56" i="6" a="1"/>
  <c r="G56" i="6" s="1"/>
  <c r="I56" i="6" a="1"/>
  <c r="I56" i="6" s="1"/>
  <c r="H56" i="6" a="1"/>
  <c r="H56" i="6" s="1"/>
  <c r="E55" i="6" a="1"/>
  <c r="E55" i="6" s="1"/>
  <c r="G55" i="6" a="1"/>
  <c r="G55" i="6" s="1"/>
  <c r="I55" i="6" a="1"/>
  <c r="I55" i="6" s="1"/>
  <c r="H55" i="6" a="1"/>
  <c r="H55" i="6" s="1"/>
  <c r="E54" i="6" a="1"/>
  <c r="E54" i="6" s="1"/>
  <c r="G54" i="6" a="1"/>
  <c r="G54" i="6" s="1"/>
  <c r="I54" i="6" a="1"/>
  <c r="I54" i="6" s="1"/>
  <c r="H54" i="6" a="1"/>
  <c r="H54" i="6" s="1"/>
  <c r="E53" i="6" a="1"/>
  <c r="E53" i="6" s="1"/>
  <c r="G53" i="6" a="1"/>
  <c r="G53" i="6" s="1"/>
  <c r="I53" i="6" a="1"/>
  <c r="I53" i="6" s="1"/>
  <c r="H53" i="6" a="1"/>
  <c r="H53" i="6" s="1"/>
  <c r="E52" i="6" a="1"/>
  <c r="E52" i="6" s="1"/>
  <c r="G52" i="6" a="1"/>
  <c r="G52" i="6" s="1"/>
  <c r="I52" i="6" a="1"/>
  <c r="I52" i="6" s="1"/>
  <c r="H52" i="6" a="1"/>
  <c r="H52" i="6" s="1"/>
  <c r="E51" i="6" a="1"/>
  <c r="E51" i="6" s="1"/>
  <c r="G51" i="6" a="1"/>
  <c r="G51" i="6" s="1"/>
  <c r="I51" i="6" a="1"/>
  <c r="I51" i="6" s="1"/>
  <c r="H51" i="6" a="1"/>
  <c r="H51" i="6" s="1"/>
  <c r="E50" i="6" a="1"/>
  <c r="E50" i="6" s="1"/>
  <c r="G50" i="6" a="1"/>
  <c r="G50" i="6" s="1"/>
  <c r="I50" i="6" a="1"/>
  <c r="I50" i="6" s="1"/>
  <c r="H50" i="6" a="1"/>
  <c r="H50" i="6" s="1"/>
  <c r="E49" i="6" a="1"/>
  <c r="E49" i="6" s="1"/>
  <c r="G49" i="6" a="1"/>
  <c r="G49" i="6" s="1"/>
  <c r="I49" i="6" a="1"/>
  <c r="I49" i="6" s="1"/>
  <c r="H49" i="6" a="1"/>
  <c r="H49" i="6" s="1"/>
  <c r="E48" i="6" a="1"/>
  <c r="E48" i="6" s="1"/>
  <c r="G48" i="6" a="1"/>
  <c r="G48" i="6" s="1"/>
  <c r="I48" i="6" a="1"/>
  <c r="I48" i="6" s="1"/>
  <c r="H48" i="6" a="1"/>
  <c r="H48" i="6" s="1"/>
  <c r="E47" i="6" a="1"/>
  <c r="E47" i="6" s="1"/>
  <c r="G47" i="6" a="1"/>
  <c r="G47" i="6" s="1"/>
  <c r="I47" i="6" a="1"/>
  <c r="I47" i="6" s="1"/>
  <c r="H47" i="6" a="1"/>
  <c r="H47" i="6" s="1"/>
  <c r="E46" i="6" a="1"/>
  <c r="E46" i="6" s="1"/>
  <c r="I46" i="6" a="1"/>
  <c r="I46" i="6" s="1"/>
  <c r="H46" i="6" a="1"/>
  <c r="H46" i="6" s="1"/>
  <c r="E45" i="6" a="1"/>
  <c r="E45" i="6" s="1"/>
  <c r="G45" i="6" a="1"/>
  <c r="G45" i="6" s="1"/>
  <c r="I45" i="6" a="1"/>
  <c r="I45" i="6" s="1"/>
  <c r="H45" i="6" a="1"/>
  <c r="H45" i="6" s="1"/>
  <c r="E44" i="6" a="1"/>
  <c r="E44" i="6" s="1"/>
  <c r="G44" i="6" a="1"/>
  <c r="G44" i="6" s="1"/>
  <c r="I44" i="6" a="1"/>
  <c r="I44" i="6" s="1"/>
  <c r="H44" i="6" a="1"/>
  <c r="H44" i="6" s="1"/>
  <c r="E43" i="6" a="1"/>
  <c r="E43" i="6" s="1"/>
  <c r="G43" i="6" a="1"/>
  <c r="G43" i="6" s="1"/>
  <c r="I43" i="6" a="1"/>
  <c r="I43" i="6" s="1"/>
  <c r="H43" i="6" a="1"/>
  <c r="H43" i="6" s="1"/>
  <c r="E42" i="6" a="1"/>
  <c r="E42" i="6" s="1"/>
  <c r="G42" i="6" a="1"/>
  <c r="G42" i="6" s="1"/>
  <c r="I42" i="6" a="1"/>
  <c r="I42" i="6" s="1"/>
  <c r="H42" i="6" a="1"/>
  <c r="H42" i="6" s="1"/>
  <c r="E41" i="6" a="1"/>
  <c r="E41" i="6" s="1"/>
  <c r="G41" i="6" a="1"/>
  <c r="G41" i="6" s="1"/>
  <c r="I41" i="6" a="1"/>
  <c r="I41" i="6" s="1"/>
  <c r="H41" i="6" a="1"/>
  <c r="H41" i="6" s="1"/>
  <c r="E40" i="6" a="1"/>
  <c r="E40" i="6" s="1"/>
  <c r="G40" i="6" a="1"/>
  <c r="G40" i="6" s="1"/>
  <c r="I40" i="6" a="1"/>
  <c r="I40" i="6" s="1"/>
  <c r="H40" i="6" a="1"/>
  <c r="H40" i="6" s="1"/>
  <c r="E39" i="6" a="1"/>
  <c r="E39" i="6" s="1"/>
  <c r="G39" i="6" a="1"/>
  <c r="G39" i="6" s="1"/>
  <c r="I39" i="6" a="1"/>
  <c r="I39" i="6" s="1"/>
  <c r="H39" i="6" a="1"/>
  <c r="H39" i="6" s="1"/>
  <c r="E38" i="6" a="1"/>
  <c r="E38" i="6" s="1"/>
  <c r="G38" i="6" a="1"/>
  <c r="G38" i="6" s="1"/>
  <c r="I38" i="6" a="1"/>
  <c r="I38" i="6" s="1"/>
  <c r="H38" i="6" a="1"/>
  <c r="H38" i="6" s="1"/>
  <c r="E37" i="6" a="1"/>
  <c r="E37" i="6" s="1"/>
  <c r="G37" i="6" a="1"/>
  <c r="G37" i="6" s="1"/>
  <c r="I37" i="6" a="1"/>
  <c r="I37" i="6" s="1"/>
  <c r="H37" i="6" a="1"/>
  <c r="H37" i="6" s="1"/>
  <c r="E36" i="6" a="1"/>
  <c r="E36" i="6" s="1"/>
  <c r="G36" i="6" a="1"/>
  <c r="G36" i="6" s="1"/>
  <c r="I36" i="6" a="1"/>
  <c r="I36" i="6" s="1"/>
  <c r="H36" i="6" a="1"/>
  <c r="H36" i="6" s="1"/>
  <c r="E35" i="6" a="1"/>
  <c r="E35" i="6" s="1"/>
  <c r="G35" i="6" a="1"/>
  <c r="G35" i="6" s="1"/>
  <c r="I35" i="6" a="1"/>
  <c r="I35" i="6" s="1"/>
  <c r="H35" i="6" a="1"/>
  <c r="H35" i="6" s="1"/>
  <c r="E34" i="6" a="1"/>
  <c r="E34" i="6" s="1"/>
  <c r="G34" i="6" a="1"/>
  <c r="G34" i="6" s="1"/>
  <c r="I34" i="6" a="1"/>
  <c r="I34" i="6" s="1"/>
  <c r="H34" i="6" a="1"/>
  <c r="H34" i="6" s="1"/>
  <c r="E33" i="6" a="1"/>
  <c r="E33" i="6" s="1"/>
  <c r="G33" i="6" a="1"/>
  <c r="G33" i="6" s="1"/>
  <c r="I33" i="6" a="1"/>
  <c r="I33" i="6" s="1"/>
  <c r="H33" i="6" a="1"/>
  <c r="H33" i="6" s="1"/>
  <c r="E32" i="6" a="1"/>
  <c r="E32" i="6" s="1"/>
  <c r="G32" i="6" a="1"/>
  <c r="G32" i="6" s="1"/>
  <c r="I32" i="6" a="1"/>
  <c r="I32" i="6" s="1"/>
  <c r="H32" i="6" a="1"/>
  <c r="H32" i="6" s="1"/>
  <c r="E31" i="6" a="1"/>
  <c r="E31" i="6" s="1"/>
  <c r="G31" i="6" a="1"/>
  <c r="G31" i="6" s="1"/>
  <c r="I31" i="6" a="1"/>
  <c r="I31" i="6" s="1"/>
  <c r="H31" i="6" a="1"/>
  <c r="H31" i="6" s="1"/>
  <c r="E30" i="6" a="1"/>
  <c r="E30" i="6" s="1"/>
  <c r="G30" i="6" a="1"/>
  <c r="G30" i="6" s="1"/>
  <c r="I30" i="6" a="1"/>
  <c r="I30" i="6" s="1"/>
  <c r="H30" i="6" a="1"/>
  <c r="H30" i="6" s="1"/>
  <c r="E29" i="6" a="1"/>
  <c r="E29" i="6" s="1"/>
  <c r="G29" i="6" a="1"/>
  <c r="G29" i="6" s="1"/>
  <c r="I29" i="6" a="1"/>
  <c r="I29" i="6" s="1"/>
  <c r="H29" i="6" a="1"/>
  <c r="H29" i="6" s="1"/>
  <c r="E28" i="6" a="1"/>
  <c r="E28" i="6" s="1"/>
  <c r="G28" i="6" a="1"/>
  <c r="G28" i="6" s="1"/>
  <c r="I28" i="6" a="1"/>
  <c r="I28" i="6" s="1"/>
  <c r="H28" i="6" a="1"/>
  <c r="H28" i="6" s="1"/>
  <c r="E27" i="6" a="1"/>
  <c r="E27" i="6" s="1"/>
  <c r="G27" i="6" a="1"/>
  <c r="G27" i="6" s="1"/>
  <c r="I27" i="6" a="1"/>
  <c r="I27" i="6" s="1"/>
  <c r="H27" i="6" a="1"/>
  <c r="H27" i="6" s="1"/>
  <c r="E26" i="6" a="1"/>
  <c r="E26" i="6" s="1"/>
  <c r="G26" i="6" a="1"/>
  <c r="G26" i="6" s="1"/>
  <c r="I26" i="6" a="1"/>
  <c r="I26" i="6" s="1"/>
  <c r="H26" i="6" a="1"/>
  <c r="H26" i="6" s="1"/>
  <c r="E25" i="6" a="1"/>
  <c r="E25" i="6" s="1"/>
  <c r="G25" i="6" a="1"/>
  <c r="G25" i="6" s="1"/>
  <c r="I25" i="6" a="1"/>
  <c r="I25" i="6" s="1"/>
  <c r="H25" i="6" a="1"/>
  <c r="H25" i="6" s="1"/>
  <c r="E24" i="6" a="1"/>
  <c r="E24" i="6" s="1"/>
  <c r="G24" i="6" a="1"/>
  <c r="G24" i="6" s="1"/>
  <c r="I24" i="6" a="1"/>
  <c r="I24" i="6" s="1"/>
  <c r="H24" i="6" a="1"/>
  <c r="H24" i="6" s="1"/>
  <c r="E23" i="6" a="1"/>
  <c r="E23" i="6" s="1"/>
  <c r="G23" i="6" a="1"/>
  <c r="G23" i="6" s="1"/>
  <c r="I23" i="6" a="1"/>
  <c r="I23" i="6" s="1"/>
  <c r="H23" i="6" a="1"/>
  <c r="H23" i="6" s="1"/>
  <c r="E22" i="6" a="1"/>
  <c r="E22" i="6" s="1"/>
  <c r="G22" i="6" a="1"/>
  <c r="G22" i="6" s="1"/>
  <c r="I22" i="6" a="1"/>
  <c r="I22" i="6" s="1"/>
  <c r="H22" i="6" a="1"/>
  <c r="H22" i="6" s="1"/>
  <c r="E21" i="6" a="1"/>
  <c r="E21" i="6" s="1"/>
  <c r="G21" i="6" a="1"/>
  <c r="G21" i="6" s="1"/>
  <c r="I21" i="6" a="1"/>
  <c r="I21" i="6" s="1"/>
  <c r="H21" i="6" a="1"/>
  <c r="H21" i="6" s="1"/>
  <c r="E20" i="6" a="1"/>
  <c r="E20" i="6" s="1"/>
  <c r="G20" i="6" a="1"/>
  <c r="G20" i="6" s="1"/>
  <c r="I20" i="6" a="1"/>
  <c r="I20" i="6" s="1"/>
  <c r="H20" i="6" a="1"/>
  <c r="H20" i="6" s="1"/>
  <c r="E19" i="6" a="1"/>
  <c r="E19" i="6" s="1"/>
  <c r="G19" i="6" a="1"/>
  <c r="G19" i="6" s="1"/>
  <c r="I19" i="6" a="1"/>
  <c r="I19" i="6" s="1"/>
  <c r="H19" i="6" a="1"/>
  <c r="H19" i="6" s="1"/>
  <c r="E18" i="6" a="1"/>
  <c r="E18" i="6" s="1"/>
  <c r="G18" i="6" a="1"/>
  <c r="G18" i="6" s="1"/>
  <c r="I18" i="6" a="1"/>
  <c r="I18" i="6" s="1"/>
  <c r="H18" i="6" a="1"/>
  <c r="H18" i="6" s="1"/>
  <c r="E17" i="6" a="1"/>
  <c r="E17" i="6" s="1"/>
  <c r="G17" i="6" a="1"/>
  <c r="G17" i="6" s="1"/>
  <c r="I17" i="6" a="1"/>
  <c r="I17" i="6" s="1"/>
  <c r="H17" i="6" a="1"/>
  <c r="H17" i="6" s="1"/>
  <c r="E16" i="6" a="1"/>
  <c r="E16" i="6" s="1"/>
  <c r="G16" i="6" a="1"/>
  <c r="G16" i="6" s="1"/>
  <c r="I16" i="6" a="1"/>
  <c r="I16" i="6" s="1"/>
  <c r="H16" i="6" a="1"/>
  <c r="H16" i="6" s="1"/>
  <c r="E15" i="6" a="1"/>
  <c r="E15" i="6" s="1"/>
  <c r="G15" i="6" a="1"/>
  <c r="G15" i="6" s="1"/>
  <c r="I15" i="6" a="1"/>
  <c r="I15" i="6" s="1"/>
  <c r="H15" i="6" a="1"/>
  <c r="H15" i="6" s="1"/>
  <c r="E14" i="6" a="1"/>
  <c r="E14" i="6" s="1"/>
  <c r="G14" i="6" a="1"/>
  <c r="G14" i="6" s="1"/>
  <c r="I14" i="6" a="1"/>
  <c r="I14" i="6" s="1"/>
  <c r="H14" i="6" a="1"/>
  <c r="H14" i="6" s="1"/>
  <c r="E13" i="6" a="1"/>
  <c r="E13" i="6" s="1"/>
  <c r="I13" i="6" a="1"/>
  <c r="I13" i="6" s="1"/>
  <c r="H13" i="6" a="1"/>
  <c r="H13" i="6" s="1"/>
  <c r="E12" i="6" a="1"/>
  <c r="E12" i="6" s="1"/>
  <c r="G12" i="6" a="1"/>
  <c r="G12" i="6" s="1"/>
  <c r="I12" i="6" a="1"/>
  <c r="I12" i="6" s="1"/>
  <c r="H12" i="6" a="1"/>
  <c r="H12" i="6" s="1"/>
  <c r="E11" i="6" a="1"/>
  <c r="E11" i="6" s="1"/>
  <c r="G11" i="6" a="1"/>
  <c r="G11" i="6" s="1"/>
  <c r="I11" i="6" a="1"/>
  <c r="I11" i="6" s="1"/>
  <c r="H11" i="6" a="1"/>
  <c r="H11" i="6" s="1"/>
  <c r="E10" i="6" a="1"/>
  <c r="E10" i="6" s="1"/>
  <c r="G10" i="6" a="1"/>
  <c r="G10" i="6" s="1"/>
  <c r="I10" i="6" a="1"/>
  <c r="I10" i="6" s="1"/>
  <c r="H10" i="6" a="1"/>
  <c r="H10" i="6" s="1"/>
  <c r="E9" i="6" a="1"/>
  <c r="E9" i="6" s="1"/>
  <c r="G9" i="6" a="1"/>
  <c r="G9" i="6" s="1"/>
  <c r="I9" i="6" a="1"/>
  <c r="I9" i="6" s="1"/>
  <c r="H9" i="6" a="1"/>
  <c r="H9" i="6" s="1"/>
  <c r="E8" i="6" a="1"/>
  <c r="E8" i="6" s="1"/>
  <c r="G8" i="6" a="1"/>
  <c r="G8" i="6" s="1"/>
  <c r="I8" i="6" a="1"/>
  <c r="I8" i="6" s="1"/>
  <c r="H8" i="6" a="1"/>
  <c r="H8" i="6" s="1"/>
  <c r="E7" i="6" a="1"/>
  <c r="E7" i="6" s="1"/>
  <c r="G7" i="6" a="1"/>
  <c r="G7" i="6" s="1"/>
  <c r="I7" i="6" a="1"/>
  <c r="I7" i="6" s="1"/>
  <c r="H7" i="6" a="1"/>
  <c r="H7" i="6" s="1"/>
  <c r="E6" i="6" a="1"/>
  <c r="E6" i="6" s="1"/>
  <c r="G6" i="6" a="1"/>
  <c r="G6" i="6" s="1"/>
  <c r="I6" i="6" a="1"/>
  <c r="I6" i="6" s="1"/>
  <c r="H6" i="6" a="1"/>
  <c r="H6" i="6" s="1"/>
  <c r="E5" i="6" a="1"/>
  <c r="E5" i="6" s="1"/>
  <c r="G5" i="6" a="1"/>
  <c r="G5" i="6" s="1"/>
  <c r="I5" i="6" a="1"/>
  <c r="I5" i="6" s="1"/>
  <c r="H5" i="6" a="1"/>
  <c r="H5" i="6" s="1"/>
  <c r="E4" i="6" a="1"/>
  <c r="E4" i="6" s="1"/>
  <c r="G4" i="6" a="1"/>
  <c r="G4" i="6" s="1"/>
  <c r="I4" i="6" a="1"/>
  <c r="I4" i="6" s="1"/>
  <c r="H4" i="6" a="1"/>
  <c r="H4" i="6" s="1"/>
  <c r="E3" i="6" a="1"/>
  <c r="E3" i="6" s="1"/>
  <c r="G3" i="6" a="1"/>
  <c r="G3" i="6" s="1"/>
  <c r="I3" i="6" a="1"/>
  <c r="I3" i="6" s="1"/>
  <c r="H3" i="6" a="1"/>
  <c r="H3" i="6" s="1"/>
  <c r="B37" i="6" a="1"/>
  <c r="B37" i="6" s="1"/>
  <c r="B34" i="6" a="1"/>
  <c r="B34" i="6" s="1"/>
  <c r="E82" i="2"/>
  <c r="E79" i="2"/>
  <c r="B3" i="6" s="1" a="1"/>
  <c r="B3" i="6" s="1"/>
  <c r="E78" i="2"/>
  <c r="E84" i="2"/>
  <c r="B12" i="6" s="1" a="1"/>
  <c r="B12" i="6" s="1"/>
  <c r="E83" i="2"/>
  <c r="E77" i="2"/>
  <c r="E76" i="2"/>
  <c r="B4" i="6" s="1" a="1"/>
  <c r="B4" i="6" s="1"/>
  <c r="E75" i="2"/>
  <c r="B42" i="6" s="1" a="1"/>
  <c r="B42" i="6" s="1"/>
  <c r="E71" i="2"/>
  <c r="E70" i="2"/>
  <c r="E66" i="2"/>
  <c r="B36" i="6" s="1" a="1"/>
  <c r="B36" i="6" s="1"/>
  <c r="E65" i="2"/>
  <c r="E63" i="2"/>
  <c r="B33" i="6" s="1" a="1"/>
  <c r="B33" i="6" s="1"/>
  <c r="E62" i="2"/>
  <c r="E64" i="2"/>
  <c r="O79" i="2"/>
  <c r="O78" i="2"/>
  <c r="I21" i="2"/>
  <c r="F102" i="6"/>
  <c r="F103" i="6" s="1"/>
  <c r="G3" i="10" a="1"/>
  <c r="G3" i="10" s="1"/>
  <c r="H3" i="10" a="1"/>
  <c r="H3" i="10" s="1"/>
  <c r="G4" i="10" a="1"/>
  <c r="G4" i="10" s="1"/>
  <c r="H4" i="10" a="1"/>
  <c r="H4" i="10" s="1"/>
  <c r="G5" i="10" a="1"/>
  <c r="G5" i="10" s="1"/>
  <c r="H5" i="10" a="1"/>
  <c r="H5" i="10" s="1"/>
  <c r="G6" i="10" a="1"/>
  <c r="G6" i="10" s="1"/>
  <c r="H6" i="10" a="1"/>
  <c r="H6" i="10" s="1"/>
  <c r="G7" i="10" a="1"/>
  <c r="G7" i="10" s="1"/>
  <c r="H7" i="10" a="1"/>
  <c r="H7" i="10" s="1"/>
  <c r="G8" i="10" a="1"/>
  <c r="G8" i="10" s="1"/>
  <c r="H8" i="10" a="1"/>
  <c r="H8" i="10" s="1"/>
  <c r="G9" i="10" a="1"/>
  <c r="G9" i="10"/>
  <c r="H9" i="10" a="1"/>
  <c r="H9" i="10" s="1"/>
  <c r="G10" i="10" a="1"/>
  <c r="G10" i="10" s="1"/>
  <c r="H10" i="10" a="1"/>
  <c r="H10" i="10" s="1"/>
  <c r="G11" i="10" a="1"/>
  <c r="G11" i="10"/>
  <c r="H11" i="10" a="1"/>
  <c r="H11" i="10" s="1"/>
  <c r="G12" i="10" a="1"/>
  <c r="G12" i="10" s="1"/>
  <c r="H12" i="10" a="1"/>
  <c r="H12" i="10" s="1"/>
  <c r="G13" i="10" a="1"/>
  <c r="G13" i="10" s="1"/>
  <c r="H13" i="10" a="1"/>
  <c r="H13" i="10" s="1"/>
  <c r="G14" i="10" a="1"/>
  <c r="G14" i="10" s="1"/>
  <c r="H14" i="10" a="1"/>
  <c r="H14" i="10"/>
  <c r="G15" i="10" a="1"/>
  <c r="G15" i="10" s="1"/>
  <c r="H15" i="10" a="1"/>
  <c r="H15" i="10" s="1"/>
  <c r="G16" i="10" a="1"/>
  <c r="G16" i="10" s="1"/>
  <c r="H16" i="10" a="1"/>
  <c r="H16" i="10" s="1"/>
  <c r="G17" i="10" a="1"/>
  <c r="G17" i="10" s="1"/>
  <c r="H17" i="10" a="1"/>
  <c r="H17" i="10" s="1"/>
  <c r="G18" i="10" a="1"/>
  <c r="G18" i="10" s="1"/>
  <c r="H18" i="10" a="1"/>
  <c r="H18" i="10" s="1"/>
  <c r="G19" i="10" a="1"/>
  <c r="G19" i="10" s="1"/>
  <c r="H19" i="10" a="1"/>
  <c r="H19" i="10" s="1"/>
  <c r="G20" i="10" a="1"/>
  <c r="G20" i="10" s="1"/>
  <c r="H20" i="10" a="1"/>
  <c r="H20" i="10" s="1"/>
  <c r="G21" i="10" a="1"/>
  <c r="G21" i="10" s="1"/>
  <c r="H21" i="10" a="1"/>
  <c r="H21" i="10" s="1"/>
  <c r="G22" i="10" a="1"/>
  <c r="G22" i="10" s="1"/>
  <c r="H22" i="10" a="1"/>
  <c r="H22" i="10" s="1"/>
  <c r="G23" i="10" a="1"/>
  <c r="G23" i="10" s="1"/>
  <c r="H23" i="10" a="1"/>
  <c r="H23" i="10" s="1"/>
  <c r="G24" i="10" a="1"/>
  <c r="G24" i="10" s="1"/>
  <c r="H24" i="10" a="1"/>
  <c r="H24" i="10" s="1"/>
  <c r="G25" i="10" a="1"/>
  <c r="G25" i="10" s="1"/>
  <c r="H25" i="10" a="1"/>
  <c r="H25" i="10" s="1"/>
  <c r="G26" i="10" a="1"/>
  <c r="G26" i="10" s="1"/>
  <c r="H26" i="10" a="1"/>
  <c r="H26" i="10" s="1"/>
  <c r="G27" i="10" a="1"/>
  <c r="G27" i="10" s="1"/>
  <c r="H27" i="10" a="1"/>
  <c r="H27" i="10" s="1"/>
  <c r="G28" i="10" a="1"/>
  <c r="G28" i="10" s="1"/>
  <c r="H28" i="10" a="1"/>
  <c r="H28" i="10" s="1"/>
  <c r="G29" i="10" a="1"/>
  <c r="G29" i="10" s="1"/>
  <c r="H29" i="10" a="1"/>
  <c r="H29" i="10" s="1"/>
  <c r="G30" i="10" a="1"/>
  <c r="G30" i="10" s="1"/>
  <c r="H30" i="10" a="1"/>
  <c r="H30" i="10" s="1"/>
  <c r="G31" i="10" a="1"/>
  <c r="G31" i="10" s="1"/>
  <c r="H31" i="10" a="1"/>
  <c r="H31" i="10" s="1"/>
  <c r="G32" i="10" a="1"/>
  <c r="G32" i="10" s="1"/>
  <c r="H32" i="10" a="1"/>
  <c r="H32" i="10" s="1"/>
  <c r="G33" i="10" a="1"/>
  <c r="G33" i="10" s="1"/>
  <c r="H33" i="10" a="1"/>
  <c r="H33" i="10" s="1"/>
  <c r="G34" i="10" a="1"/>
  <c r="G34" i="10" s="1"/>
  <c r="H34" i="10" a="1"/>
  <c r="H34" i="10"/>
  <c r="G35" i="10" a="1"/>
  <c r="G35" i="10"/>
  <c r="H35" i="10" a="1"/>
  <c r="H35" i="10"/>
  <c r="G36" i="10" a="1"/>
  <c r="G36" i="10"/>
  <c r="H36" i="10" a="1"/>
  <c r="H36" i="10"/>
  <c r="G37" i="10" a="1"/>
  <c r="G37" i="10"/>
  <c r="H37" i="10" a="1"/>
  <c r="H37" i="10"/>
  <c r="G38" i="10" a="1"/>
  <c r="G38" i="10"/>
  <c r="H38" i="10" a="1"/>
  <c r="H38" i="10"/>
  <c r="G39" i="10" a="1"/>
  <c r="G39" i="10"/>
  <c r="H39" i="10" a="1"/>
  <c r="H39" i="10"/>
  <c r="G40" i="10" a="1"/>
  <c r="G40" i="10"/>
  <c r="H40" i="10" a="1"/>
  <c r="H40" i="10" s="1"/>
  <c r="G41" i="10" a="1"/>
  <c r="G41" i="10" s="1"/>
  <c r="H41" i="10" a="1"/>
  <c r="H41" i="10" s="1"/>
  <c r="G42" i="10" a="1"/>
  <c r="G42" i="10" s="1"/>
  <c r="H42" i="10" a="1"/>
  <c r="H42" i="10" s="1"/>
  <c r="G43" i="10" a="1"/>
  <c r="G43" i="10" s="1"/>
  <c r="H43" i="10" a="1"/>
  <c r="H43" i="10" s="1"/>
  <c r="G44" i="10" a="1"/>
  <c r="G44" i="10" s="1"/>
  <c r="H44" i="10" a="1"/>
  <c r="H44" i="10" s="1"/>
  <c r="G45" i="10" a="1"/>
  <c r="G45" i="10" s="1"/>
  <c r="H45" i="10" a="1"/>
  <c r="H45" i="10" s="1"/>
  <c r="G46" i="10" a="1"/>
  <c r="G46" i="10" s="1"/>
  <c r="H46" i="10" a="1"/>
  <c r="H46" i="10" s="1"/>
  <c r="G47" i="10" a="1"/>
  <c r="G47" i="10" s="1"/>
  <c r="H47" i="10" a="1"/>
  <c r="H47" i="10" s="1"/>
  <c r="G48" i="10" a="1"/>
  <c r="G48" i="10" s="1"/>
  <c r="H48" i="10" a="1"/>
  <c r="H48" i="10" s="1"/>
  <c r="G49" i="10" a="1"/>
  <c r="G49" i="10" s="1"/>
  <c r="H49" i="10" a="1"/>
  <c r="H49" i="10" s="1"/>
  <c r="G50" i="10" a="1"/>
  <c r="G50" i="10" s="1"/>
  <c r="H50" i="10" a="1"/>
  <c r="H50" i="10" s="1"/>
  <c r="G51" i="10" a="1"/>
  <c r="G51" i="10" s="1"/>
  <c r="H51" i="10" a="1"/>
  <c r="H51" i="10" s="1"/>
  <c r="G52" i="10" a="1"/>
  <c r="G52" i="10" s="1"/>
  <c r="H52" i="10" a="1"/>
  <c r="H52" i="10" s="1"/>
  <c r="G53" i="10" a="1"/>
  <c r="G53" i="10" s="1"/>
  <c r="H53" i="10" a="1"/>
  <c r="H53" i="10" s="1"/>
  <c r="G54" i="10" a="1"/>
  <c r="G54" i="10" s="1"/>
  <c r="H54" i="10" a="1"/>
  <c r="H54" i="10" s="1"/>
  <c r="G55" i="10" a="1"/>
  <c r="G55" i="10" s="1"/>
  <c r="H55" i="10" a="1"/>
  <c r="H55" i="10" s="1"/>
  <c r="G56" i="10" a="1"/>
  <c r="G56" i="10" s="1"/>
  <c r="H56" i="10" a="1"/>
  <c r="H56" i="10" s="1"/>
  <c r="G57" i="10" a="1"/>
  <c r="G57" i="10" s="1"/>
  <c r="H57" i="10" a="1"/>
  <c r="H57" i="10" s="1"/>
  <c r="G58" i="10" a="1"/>
  <c r="G58" i="10" s="1"/>
  <c r="H58" i="10" a="1"/>
  <c r="H58" i="10" s="1"/>
  <c r="G59" i="10" a="1"/>
  <c r="G59" i="10" s="1"/>
  <c r="H59" i="10" a="1"/>
  <c r="H59" i="10" s="1"/>
  <c r="G60" i="10" a="1"/>
  <c r="G60" i="10" s="1"/>
  <c r="H60" i="10" a="1"/>
  <c r="H60" i="10" s="1"/>
  <c r="G61" i="10" a="1"/>
  <c r="G61" i="10" s="1"/>
  <c r="H61" i="10" a="1"/>
  <c r="H61" i="10" s="1"/>
  <c r="G62" i="10" a="1"/>
  <c r="G62" i="10" s="1"/>
  <c r="H62" i="10" a="1"/>
  <c r="H62" i="10" s="1"/>
  <c r="G63" i="10" a="1"/>
  <c r="G63" i="10" s="1"/>
  <c r="H63" i="10" a="1"/>
  <c r="H63" i="10" s="1"/>
  <c r="G64" i="10" a="1"/>
  <c r="G64" i="10" s="1"/>
  <c r="H64" i="10" a="1"/>
  <c r="H64" i="10" s="1"/>
  <c r="G65" i="10" a="1"/>
  <c r="G65" i="10" s="1"/>
  <c r="H65" i="10" a="1"/>
  <c r="H65" i="10" s="1"/>
  <c r="G66" i="10" a="1"/>
  <c r="G66" i="10" s="1"/>
  <c r="H66" i="10" a="1"/>
  <c r="H66" i="10"/>
  <c r="G67" i="10" a="1"/>
  <c r="G67" i="10"/>
  <c r="H67" i="10" a="1"/>
  <c r="H67" i="10"/>
  <c r="G68" i="10" a="1"/>
  <c r="G68" i="10"/>
  <c r="H68" i="10" a="1"/>
  <c r="H68" i="10"/>
  <c r="G69" i="10" a="1"/>
  <c r="G69" i="10"/>
  <c r="H69" i="10" a="1"/>
  <c r="H69" i="10"/>
  <c r="G70" i="10" a="1"/>
  <c r="G70" i="10"/>
  <c r="H70" i="10" a="1"/>
  <c r="H70" i="10"/>
  <c r="G71" i="10" a="1"/>
  <c r="G71" i="10"/>
  <c r="H71" i="10" a="1"/>
  <c r="H71" i="10"/>
  <c r="G72" i="10" a="1"/>
  <c r="G72" i="10"/>
  <c r="H72" i="10" a="1"/>
  <c r="H72" i="10"/>
  <c r="G73" i="10" a="1"/>
  <c r="G73" i="10"/>
  <c r="H73" i="10" a="1"/>
  <c r="H73" i="10"/>
  <c r="G74" i="10" a="1"/>
  <c r="G74" i="10"/>
  <c r="H74" i="10" a="1"/>
  <c r="H74" i="10"/>
  <c r="G75" i="10" a="1"/>
  <c r="G75" i="10"/>
  <c r="H75" i="10" a="1"/>
  <c r="H75" i="10"/>
  <c r="G76" i="10" a="1"/>
  <c r="G76" i="10"/>
  <c r="H76" i="10" a="1"/>
  <c r="H76" i="10"/>
  <c r="G77" i="10" a="1"/>
  <c r="G77" i="10"/>
  <c r="H77" i="10" a="1"/>
  <c r="H77" i="10"/>
  <c r="G78" i="10" a="1"/>
  <c r="G78" i="10"/>
  <c r="H78" i="10" a="1"/>
  <c r="H78" i="10"/>
  <c r="G79" i="10" a="1"/>
  <c r="G79" i="10"/>
  <c r="H79" i="10" a="1"/>
  <c r="H79" i="10" s="1"/>
  <c r="G80" i="10" a="1"/>
  <c r="G80" i="10" s="1"/>
  <c r="H80" i="10" a="1"/>
  <c r="H80" i="10" s="1"/>
  <c r="G81" i="10" a="1"/>
  <c r="G81" i="10" s="1"/>
  <c r="H81" i="10" a="1"/>
  <c r="H81" i="10" s="1"/>
  <c r="G82" i="10" a="1"/>
  <c r="G82" i="10" s="1"/>
  <c r="H82" i="10" a="1"/>
  <c r="H82" i="10" s="1"/>
  <c r="G83" i="10" a="1"/>
  <c r="G83" i="10" s="1"/>
  <c r="H83" i="10" a="1"/>
  <c r="H83" i="10" s="1"/>
  <c r="G84" i="10" a="1"/>
  <c r="G84" i="10" s="1"/>
  <c r="H84" i="10" a="1"/>
  <c r="H84" i="10" s="1"/>
  <c r="G85" i="10" a="1"/>
  <c r="G85" i="10" s="1"/>
  <c r="H85" i="10" a="1"/>
  <c r="H85" i="10" s="1"/>
  <c r="H2" i="10" a="1"/>
  <c r="H2" i="10" s="1"/>
  <c r="G2" i="10" a="1"/>
  <c r="G2" i="10" s="1"/>
  <c r="F3" i="10" a="1"/>
  <c r="F3" i="10" s="1"/>
  <c r="F4" i="10" a="1"/>
  <c r="F4" i="10" s="1"/>
  <c r="F5" i="10" a="1"/>
  <c r="F5" i="10" s="1"/>
  <c r="F6" i="10" a="1"/>
  <c r="F6" i="10" s="1"/>
  <c r="F7" i="10" a="1"/>
  <c r="F7" i="10" s="1"/>
  <c r="F8" i="10" a="1"/>
  <c r="F8" i="10" s="1"/>
  <c r="F9" i="10" a="1"/>
  <c r="F9" i="10" s="1"/>
  <c r="F10" i="10" a="1"/>
  <c r="F10" i="10" s="1"/>
  <c r="F11" i="10" a="1"/>
  <c r="F11" i="10" s="1"/>
  <c r="F12" i="10" a="1"/>
  <c r="F12" i="10" s="1"/>
  <c r="F13" i="10" a="1"/>
  <c r="F13" i="10" s="1"/>
  <c r="F14" i="10" a="1"/>
  <c r="F14" i="10" s="1"/>
  <c r="F15" i="10" a="1"/>
  <c r="F15" i="10" s="1"/>
  <c r="F16" i="10" a="1"/>
  <c r="F16" i="10" s="1"/>
  <c r="F17" i="10" a="1"/>
  <c r="F17" i="10" s="1"/>
  <c r="F18" i="10" a="1"/>
  <c r="F18" i="10" s="1"/>
  <c r="F19" i="10" a="1"/>
  <c r="F19" i="10" s="1"/>
  <c r="F20" i="10" a="1"/>
  <c r="F20" i="10" s="1"/>
  <c r="F21" i="10" a="1"/>
  <c r="F21" i="10" s="1"/>
  <c r="F22" i="10" a="1"/>
  <c r="F22" i="10" s="1"/>
  <c r="F23" i="10" a="1"/>
  <c r="F23" i="10" s="1"/>
  <c r="F24" i="10" a="1"/>
  <c r="F24" i="10" s="1"/>
  <c r="F25" i="10" a="1"/>
  <c r="F25" i="10" s="1"/>
  <c r="F26" i="10" a="1"/>
  <c r="F26" i="10" s="1"/>
  <c r="F27" i="10" a="1"/>
  <c r="F27" i="10" s="1"/>
  <c r="F28" i="10" a="1"/>
  <c r="F28" i="10" s="1"/>
  <c r="F29" i="10" a="1"/>
  <c r="F29" i="10" s="1"/>
  <c r="F30" i="10" a="1"/>
  <c r="F30" i="10" s="1"/>
  <c r="F31" i="10" a="1"/>
  <c r="F31" i="10" s="1"/>
  <c r="F32" i="10" a="1"/>
  <c r="F32" i="10" s="1"/>
  <c r="F33" i="10" a="1"/>
  <c r="F33" i="10" s="1"/>
  <c r="F34" i="10" a="1"/>
  <c r="F34" i="10" s="1"/>
  <c r="F35" i="10" a="1"/>
  <c r="F35" i="10" s="1"/>
  <c r="F36" i="10" a="1"/>
  <c r="F36" i="10" s="1"/>
  <c r="F37" i="10" a="1"/>
  <c r="F37" i="10" s="1"/>
  <c r="F38" i="10" a="1"/>
  <c r="F38" i="10" s="1"/>
  <c r="F39" i="10" a="1"/>
  <c r="F39" i="10" s="1"/>
  <c r="F40" i="10" a="1"/>
  <c r="F40" i="10" s="1"/>
  <c r="F41" i="10" a="1"/>
  <c r="F41" i="10" s="1"/>
  <c r="F42" i="10" a="1"/>
  <c r="F42" i="10" s="1"/>
  <c r="F43" i="10" a="1"/>
  <c r="F43" i="10" s="1"/>
  <c r="F44" i="10" a="1"/>
  <c r="F44" i="10" s="1"/>
  <c r="F45" i="10" a="1"/>
  <c r="F45" i="10" s="1"/>
  <c r="F46" i="10" a="1"/>
  <c r="F46" i="10" s="1"/>
  <c r="F47" i="10" a="1"/>
  <c r="F47" i="10" s="1"/>
  <c r="F48" i="10" a="1"/>
  <c r="F48" i="10" s="1"/>
  <c r="F49" i="10" a="1"/>
  <c r="F49" i="10" s="1"/>
  <c r="F50" i="10" a="1"/>
  <c r="F50" i="10" s="1"/>
  <c r="F51" i="10" a="1"/>
  <c r="F51" i="10" s="1"/>
  <c r="F52" i="10" a="1"/>
  <c r="F52" i="10" s="1"/>
  <c r="F53" i="10" a="1"/>
  <c r="F53" i="10" s="1"/>
  <c r="F54" i="10" a="1"/>
  <c r="F54" i="10" s="1"/>
  <c r="F55" i="10" a="1"/>
  <c r="F55" i="10" s="1"/>
  <c r="F56" i="10" a="1"/>
  <c r="F56" i="10"/>
  <c r="F57" i="10" a="1"/>
  <c r="F57" i="10"/>
  <c r="F58" i="10" a="1"/>
  <c r="F58" i="10"/>
  <c r="F59" i="10" a="1"/>
  <c r="F59" i="10"/>
  <c r="F60" i="10" a="1"/>
  <c r="F60" i="10"/>
  <c r="F61" i="10" a="1"/>
  <c r="F61" i="10"/>
  <c r="F62" i="10" a="1"/>
  <c r="F62" i="10"/>
  <c r="F63" i="10" a="1"/>
  <c r="F63" i="10"/>
  <c r="F64" i="10" a="1"/>
  <c r="F64" i="10" s="1"/>
  <c r="F65" i="10" a="1"/>
  <c r="F65" i="10" s="1"/>
  <c r="F66" i="10" a="1"/>
  <c r="F66" i="10" s="1"/>
  <c r="F67" i="10" a="1"/>
  <c r="F67" i="10" s="1"/>
  <c r="F68" i="10" a="1"/>
  <c r="F68" i="10" s="1"/>
  <c r="F69" i="10" a="1"/>
  <c r="F69" i="10" s="1"/>
  <c r="F70" i="10" a="1"/>
  <c r="F70" i="10" s="1"/>
  <c r="F71" i="10" a="1"/>
  <c r="F71" i="10" s="1"/>
  <c r="F72" i="10" a="1"/>
  <c r="F72" i="10" s="1"/>
  <c r="F73" i="10" a="1"/>
  <c r="F73" i="10" s="1"/>
  <c r="F74" i="10" a="1"/>
  <c r="F74" i="10" s="1"/>
  <c r="F75" i="10" a="1"/>
  <c r="F75" i="10" s="1"/>
  <c r="F76" i="10" a="1"/>
  <c r="F76" i="10" s="1"/>
  <c r="F77" i="10" a="1"/>
  <c r="F77" i="10" s="1"/>
  <c r="F78" i="10" a="1"/>
  <c r="F78" i="10" s="1"/>
  <c r="F79" i="10" a="1"/>
  <c r="F79" i="10" s="1"/>
  <c r="F80" i="10" a="1"/>
  <c r="F80" i="10" s="1"/>
  <c r="F81" i="10" a="1"/>
  <c r="F81" i="10" s="1"/>
  <c r="F82" i="10" a="1"/>
  <c r="F82" i="10" s="1"/>
  <c r="F83" i="10" a="1"/>
  <c r="F83" i="10" s="1"/>
  <c r="F84" i="10" a="1"/>
  <c r="F84" i="10" s="1"/>
  <c r="F85" i="10" a="1"/>
  <c r="F85" i="10" s="1"/>
  <c r="F2" i="10" a="1"/>
  <c r="F2" i="10" s="1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3" i="9"/>
  <c r="T3" i="9" s="1"/>
  <c r="W4" i="9"/>
  <c r="X4" i="9" s="1"/>
  <c r="W5" i="9"/>
  <c r="X5" i="9" s="1"/>
  <c r="W6" i="9"/>
  <c r="X6" i="9" s="1"/>
  <c r="W7" i="9"/>
  <c r="X7" i="9" s="1"/>
  <c r="W8" i="9"/>
  <c r="X8" i="9" s="1"/>
  <c r="W9" i="9"/>
  <c r="X9" i="9" s="1"/>
  <c r="W10" i="9"/>
  <c r="X10" i="9" s="1"/>
  <c r="W11" i="9"/>
  <c r="X11" i="9" s="1"/>
  <c r="W12" i="9"/>
  <c r="X12" i="9" s="1"/>
  <c r="W13" i="9"/>
  <c r="X13" i="9" s="1"/>
  <c r="W14" i="9"/>
  <c r="X14" i="9" s="1"/>
  <c r="W15" i="9"/>
  <c r="X15" i="9" s="1"/>
  <c r="W16" i="9"/>
  <c r="X16" i="9" s="1"/>
  <c r="W17" i="9"/>
  <c r="X17" i="9" s="1"/>
  <c r="W18" i="9"/>
  <c r="X18" i="9" s="1"/>
  <c r="W19" i="9"/>
  <c r="X19" i="9" s="1"/>
  <c r="W20" i="9"/>
  <c r="X20" i="9" s="1"/>
  <c r="W21" i="9"/>
  <c r="X21" i="9" s="1"/>
  <c r="W22" i="9"/>
  <c r="X22" i="9" s="1"/>
  <c r="W23" i="9"/>
  <c r="X23" i="9" s="1"/>
  <c r="W24" i="9"/>
  <c r="X24" i="9" s="1"/>
  <c r="W25" i="9"/>
  <c r="X25" i="9" s="1"/>
  <c r="W26" i="9"/>
  <c r="X26" i="9" s="1"/>
  <c r="W27" i="9"/>
  <c r="X27" i="9" s="1"/>
  <c r="W28" i="9"/>
  <c r="X28" i="9" s="1"/>
  <c r="W29" i="9"/>
  <c r="X29" i="9" s="1"/>
  <c r="W30" i="9"/>
  <c r="X30" i="9" s="1"/>
  <c r="W31" i="9"/>
  <c r="X31" i="9" s="1"/>
  <c r="W32" i="9"/>
  <c r="X32" i="9" s="1"/>
  <c r="W33" i="9"/>
  <c r="X33" i="9" s="1"/>
  <c r="W34" i="9"/>
  <c r="X34" i="9" s="1"/>
  <c r="W35" i="9"/>
  <c r="X35" i="9" s="1"/>
  <c r="W36" i="9"/>
  <c r="X36" i="9" s="1"/>
  <c r="W37" i="9"/>
  <c r="X37" i="9" s="1"/>
  <c r="W38" i="9"/>
  <c r="X38" i="9" s="1"/>
  <c r="W39" i="9"/>
  <c r="X39" i="9" s="1"/>
  <c r="W40" i="9"/>
  <c r="X40" i="9" s="1"/>
  <c r="W41" i="9"/>
  <c r="X41" i="9" s="1"/>
  <c r="W42" i="9"/>
  <c r="X42" i="9" s="1"/>
  <c r="W43" i="9"/>
  <c r="X43" i="9" s="1"/>
  <c r="W44" i="9"/>
  <c r="X44" i="9" s="1"/>
  <c r="W45" i="9"/>
  <c r="X45" i="9" s="1"/>
  <c r="W46" i="9"/>
  <c r="X46" i="9" s="1"/>
  <c r="W47" i="9"/>
  <c r="X47" i="9" s="1"/>
  <c r="W48" i="9"/>
  <c r="X48" i="9" s="1"/>
  <c r="W49" i="9"/>
  <c r="X49" i="9" s="1"/>
  <c r="W50" i="9"/>
  <c r="X50" i="9" s="1"/>
  <c r="W51" i="9"/>
  <c r="X51" i="9" s="1"/>
  <c r="W52" i="9"/>
  <c r="X52" i="9" s="1"/>
  <c r="W3" i="9"/>
  <c r="X3" i="9" s="1"/>
  <c r="S4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3" i="9"/>
  <c r="B3" i="7"/>
  <c r="B8" i="7"/>
  <c r="B9" i="7"/>
  <c r="B10" i="7"/>
  <c r="B11" i="7"/>
  <c r="B4" i="7"/>
  <c r="B5" i="7"/>
  <c r="B26" i="7"/>
  <c r="B12" i="7"/>
  <c r="B55" i="7"/>
  <c r="B27" i="7"/>
  <c r="B28" i="7"/>
  <c r="B29" i="7"/>
  <c r="B30" i="7"/>
  <c r="B31" i="7"/>
  <c r="B32" i="7"/>
  <c r="B33" i="7"/>
  <c r="B34" i="7"/>
  <c r="B35" i="7"/>
  <c r="B36" i="7"/>
  <c r="B13" i="7"/>
  <c r="B14" i="7"/>
  <c r="B37" i="7"/>
  <c r="B38" i="7"/>
  <c r="B15" i="7"/>
  <c r="B16" i="7"/>
  <c r="B17" i="7"/>
  <c r="B39" i="7"/>
  <c r="B18" i="7"/>
  <c r="B19" i="7"/>
  <c r="B20" i="7"/>
  <c r="B21" i="7"/>
  <c r="B22" i="7"/>
  <c r="B23" i="7"/>
  <c r="B40" i="7"/>
  <c r="B41" i="7"/>
  <c r="B42" i="7"/>
  <c r="B43" i="7"/>
  <c r="B6" i="7"/>
  <c r="B44" i="7"/>
  <c r="B45" i="7"/>
  <c r="B46" i="7"/>
  <c r="B88" i="7"/>
  <c r="B56" i="7"/>
  <c r="B57" i="7"/>
  <c r="B58" i="7"/>
  <c r="B59" i="7"/>
  <c r="B60" i="7"/>
  <c r="B61" i="7"/>
  <c r="B62" i="7"/>
  <c r="B63" i="7"/>
  <c r="B64" i="7"/>
  <c r="B89" i="7"/>
  <c r="B65" i="7"/>
  <c r="B90" i="7"/>
  <c r="B66" i="7"/>
  <c r="B67" i="7"/>
  <c r="B68" i="7"/>
  <c r="B69" i="7"/>
  <c r="B47" i="7"/>
  <c r="B70" i="7"/>
  <c r="B71" i="7"/>
  <c r="B72" i="7"/>
  <c r="B73" i="7"/>
  <c r="B48" i="7"/>
  <c r="B74" i="7"/>
  <c r="B49" i="7"/>
  <c r="B50" i="7"/>
  <c r="B75" i="7"/>
  <c r="B76" i="7"/>
  <c r="B51" i="7"/>
  <c r="B77" i="7"/>
  <c r="B78" i="7"/>
  <c r="B79" i="7"/>
  <c r="B80" i="7"/>
  <c r="B81" i="7"/>
  <c r="B82" i="7"/>
  <c r="B91" i="7"/>
  <c r="B92" i="7"/>
  <c r="B93" i="7"/>
  <c r="B94" i="7"/>
  <c r="B83" i="7"/>
  <c r="B95" i="7"/>
  <c r="B52" i="7"/>
  <c r="B7" i="7"/>
  <c r="B24" i="7"/>
  <c r="B96" i="7"/>
  <c r="B84" i="7"/>
  <c r="B85" i="7"/>
  <c r="B53" i="7"/>
  <c r="B25" i="7"/>
  <c r="B86" i="7"/>
  <c r="B97" i="7"/>
  <c r="B54" i="7"/>
  <c r="B87" i="7"/>
  <c r="B2" i="7"/>
  <c r="E3" i="7"/>
  <c r="E8" i="7"/>
  <c r="E9" i="7"/>
  <c r="E10" i="7"/>
  <c r="E11" i="7"/>
  <c r="E4" i="7"/>
  <c r="E5" i="7"/>
  <c r="E26" i="7"/>
  <c r="E12" i="7"/>
  <c r="E55" i="7"/>
  <c r="E27" i="7"/>
  <c r="E28" i="7"/>
  <c r="E29" i="7"/>
  <c r="E30" i="7"/>
  <c r="E31" i="7"/>
  <c r="E32" i="7"/>
  <c r="E33" i="7"/>
  <c r="E34" i="7"/>
  <c r="E35" i="7"/>
  <c r="E36" i="7"/>
  <c r="E13" i="7"/>
  <c r="E14" i="7"/>
  <c r="E37" i="7"/>
  <c r="E38" i="7"/>
  <c r="E15" i="7"/>
  <c r="E16" i="7"/>
  <c r="E17" i="7"/>
  <c r="E39" i="7"/>
  <c r="E18" i="7"/>
  <c r="E19" i="7"/>
  <c r="E20" i="7"/>
  <c r="E21" i="7"/>
  <c r="E22" i="7"/>
  <c r="E23" i="7"/>
  <c r="E40" i="7"/>
  <c r="E41" i="7"/>
  <c r="E42" i="7"/>
  <c r="E43" i="7"/>
  <c r="E6" i="7"/>
  <c r="E44" i="7"/>
  <c r="E45" i="7"/>
  <c r="E46" i="7"/>
  <c r="E88" i="7"/>
  <c r="E56" i="7"/>
  <c r="E57" i="7"/>
  <c r="E58" i="7"/>
  <c r="E59" i="7"/>
  <c r="E60" i="7"/>
  <c r="E61" i="7"/>
  <c r="E62" i="7"/>
  <c r="E63" i="7"/>
  <c r="E64" i="7"/>
  <c r="E89" i="7"/>
  <c r="E65" i="7"/>
  <c r="E90" i="7"/>
  <c r="E66" i="7"/>
  <c r="E67" i="7"/>
  <c r="E68" i="7"/>
  <c r="E69" i="7"/>
  <c r="E47" i="7"/>
  <c r="E70" i="7"/>
  <c r="E71" i="7"/>
  <c r="E72" i="7"/>
  <c r="E73" i="7"/>
  <c r="E48" i="7"/>
  <c r="E74" i="7"/>
  <c r="E49" i="7"/>
  <c r="E50" i="7"/>
  <c r="E75" i="7"/>
  <c r="E76" i="7"/>
  <c r="E51" i="7"/>
  <c r="E77" i="7"/>
  <c r="E78" i="7"/>
  <c r="E79" i="7"/>
  <c r="E80" i="7"/>
  <c r="E81" i="7"/>
  <c r="E82" i="7"/>
  <c r="E91" i="7"/>
  <c r="E92" i="7"/>
  <c r="E93" i="7"/>
  <c r="E94" i="7"/>
  <c r="E83" i="7"/>
  <c r="E95" i="7"/>
  <c r="E52" i="7"/>
  <c r="E7" i="7"/>
  <c r="E24" i="7"/>
  <c r="E96" i="7"/>
  <c r="E84" i="7"/>
  <c r="E85" i="7"/>
  <c r="E53" i="7"/>
  <c r="E25" i="7"/>
  <c r="E86" i="7"/>
  <c r="E97" i="7"/>
  <c r="E54" i="7"/>
  <c r="E87" i="7"/>
  <c r="E2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3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" i="6"/>
  <c r="B1" i="6"/>
  <c r="S13" i="3"/>
  <c r="S14" i="3"/>
  <c r="S15" i="3"/>
  <c r="S16" i="3"/>
  <c r="S17" i="3"/>
  <c r="S18" i="3"/>
  <c r="S19" i="3"/>
  <c r="S12" i="3"/>
  <c r="R12" i="3"/>
  <c r="R13" i="3"/>
  <c r="R14" i="3"/>
  <c r="R15" i="3"/>
  <c r="R16" i="3"/>
  <c r="R17" i="3"/>
  <c r="R18" i="3"/>
  <c r="R19" i="3"/>
  <c r="R20" i="3"/>
  <c r="R21" i="3"/>
  <c r="P21" i="3"/>
  <c r="P20" i="3"/>
  <c r="P19" i="3"/>
  <c r="P18" i="3"/>
  <c r="P17" i="3"/>
  <c r="P16" i="3"/>
  <c r="P15" i="3"/>
  <c r="P14" i="3"/>
  <c r="P13" i="3"/>
  <c r="P12" i="3"/>
  <c r="J14" i="3"/>
  <c r="J15" i="3"/>
  <c r="J16" i="3"/>
  <c r="J17" i="3"/>
  <c r="J18" i="3"/>
  <c r="J19" i="3"/>
  <c r="J20" i="3"/>
  <c r="J21" i="3"/>
  <c r="J13" i="3"/>
  <c r="N17" i="3"/>
  <c r="N18" i="3"/>
  <c r="N14" i="3"/>
  <c r="N19" i="3"/>
  <c r="N15" i="3"/>
  <c r="N13" i="3"/>
  <c r="N16" i="3"/>
  <c r="J12" i="3"/>
  <c r="N12" i="3"/>
  <c r="L12" i="3"/>
  <c r="L15" i="3"/>
  <c r="L19" i="3"/>
  <c r="L13" i="3"/>
  <c r="L14" i="3"/>
  <c r="L16" i="3"/>
  <c r="L17" i="3"/>
  <c r="L18" i="3"/>
  <c r="L21" i="3"/>
  <c r="P11" i="4"/>
  <c r="N11" i="4"/>
  <c r="M11" i="4"/>
  <c r="L11" i="4"/>
  <c r="J11" i="4"/>
  <c r="P10" i="4"/>
  <c r="N10" i="4"/>
  <c r="M10" i="4"/>
  <c r="L10" i="4"/>
  <c r="J10" i="4"/>
  <c r="P9" i="4"/>
  <c r="N9" i="4"/>
  <c r="M9" i="4"/>
  <c r="L9" i="4"/>
  <c r="J9" i="4"/>
  <c r="P8" i="4"/>
  <c r="N8" i="4"/>
  <c r="M8" i="4"/>
  <c r="L8" i="4"/>
  <c r="J8" i="4"/>
  <c r="M7" i="4"/>
  <c r="P6" i="4"/>
  <c r="N6" i="4"/>
  <c r="M6" i="4"/>
  <c r="L6" i="4"/>
  <c r="J6" i="4"/>
  <c r="P5" i="4"/>
  <c r="N5" i="4"/>
  <c r="M5" i="4"/>
  <c r="L5" i="4"/>
  <c r="J5" i="4"/>
  <c r="P4" i="4"/>
  <c r="N4" i="4"/>
  <c r="M4" i="4"/>
  <c r="L4" i="4"/>
  <c r="J4" i="4"/>
  <c r="P3" i="4"/>
  <c r="N3" i="4"/>
  <c r="M3" i="4"/>
  <c r="L3" i="4"/>
  <c r="J3" i="4"/>
  <c r="K96" i="6" l="1"/>
  <c r="N96" i="6" s="1"/>
  <c r="K58" i="6"/>
  <c r="N58" i="6" s="1"/>
  <c r="K56" i="6"/>
  <c r="N56" i="6" s="1"/>
  <c r="K35" i="6"/>
  <c r="N35" i="6" s="1"/>
  <c r="F93" i="6" a="1"/>
  <c r="F93" i="6" s="1"/>
  <c r="F92" i="6" a="1"/>
  <c r="F92" i="6" s="1"/>
  <c r="F97" i="6" a="1"/>
  <c r="F97" i="6" s="1"/>
  <c r="F89" i="6" a="1"/>
  <c r="F89" i="6" s="1"/>
  <c r="F94" i="6" a="1"/>
  <c r="F94" i="6" s="1"/>
  <c r="F95" i="6" a="1"/>
  <c r="F95" i="6" s="1"/>
  <c r="F96" i="6" a="1"/>
  <c r="F96" i="6" s="1"/>
  <c r="F98" i="6" a="1"/>
  <c r="F98" i="6" s="1"/>
  <c r="F90" i="6" a="1"/>
  <c r="F90" i="6" s="1"/>
  <c r="F91" i="6" a="1"/>
  <c r="F91" i="6" s="1"/>
  <c r="U4" i="9"/>
  <c r="Q4" i="9"/>
  <c r="Q5" i="9"/>
  <c r="U5" i="9"/>
  <c r="Q6" i="9"/>
  <c r="U6" i="9"/>
  <c r="Q7" i="9"/>
  <c r="U7" i="9"/>
  <c r="Q8" i="9"/>
  <c r="U8" i="9"/>
  <c r="Q9" i="9"/>
  <c r="U9" i="9"/>
  <c r="Q10" i="9"/>
  <c r="U10" i="9"/>
  <c r="U11" i="9"/>
  <c r="Q11" i="9"/>
  <c r="Q12" i="9"/>
  <c r="U12" i="9"/>
  <c r="Q13" i="9"/>
  <c r="U13" i="9"/>
  <c r="Q14" i="9"/>
  <c r="U14" i="9"/>
  <c r="Q15" i="9"/>
  <c r="U15" i="9"/>
  <c r="Q16" i="9"/>
  <c r="U16" i="9"/>
  <c r="Q17" i="9"/>
  <c r="U17" i="9"/>
  <c r="Q18" i="9"/>
  <c r="U18" i="9"/>
  <c r="Q19" i="9"/>
  <c r="U19" i="9"/>
  <c r="Q20" i="9"/>
  <c r="U20" i="9"/>
  <c r="Q21" i="9"/>
  <c r="U21" i="9"/>
  <c r="Q22" i="9"/>
  <c r="U22" i="9"/>
  <c r="Q23" i="9"/>
  <c r="U23" i="9"/>
  <c r="U24" i="9"/>
  <c r="Q24" i="9"/>
  <c r="Q25" i="9"/>
  <c r="U25" i="9"/>
  <c r="Q26" i="9"/>
  <c r="U26" i="9"/>
  <c r="Q27" i="9"/>
  <c r="U27" i="9"/>
  <c r="Q28" i="9"/>
  <c r="N28" i="9" s="1"/>
  <c r="U28" i="9"/>
  <c r="Q29" i="9"/>
  <c r="U29" i="9"/>
  <c r="Q30" i="9"/>
  <c r="U30" i="9"/>
  <c r="U31" i="9"/>
  <c r="Q31" i="9"/>
  <c r="U32" i="9"/>
  <c r="Q32" i="9"/>
  <c r="Q33" i="9"/>
  <c r="U33" i="9"/>
  <c r="U34" i="9"/>
  <c r="Q34" i="9"/>
  <c r="U35" i="9"/>
  <c r="Q35" i="9"/>
  <c r="N35" i="9" s="1"/>
  <c r="U36" i="9"/>
  <c r="Q36" i="9"/>
  <c r="N36" i="9" s="1"/>
  <c r="Q37" i="9"/>
  <c r="U37" i="9"/>
  <c r="U38" i="9"/>
  <c r="Q38" i="9"/>
  <c r="Q39" i="9"/>
  <c r="U39" i="9"/>
  <c r="U40" i="9"/>
  <c r="Q40" i="9"/>
  <c r="Q41" i="9"/>
  <c r="U41" i="9"/>
  <c r="U42" i="9"/>
  <c r="Q42" i="9"/>
  <c r="U43" i="9"/>
  <c r="Q43" i="9"/>
  <c r="Q44" i="9"/>
  <c r="U44" i="9"/>
  <c r="Q45" i="9"/>
  <c r="N45" i="9" s="1"/>
  <c r="U45" i="9"/>
  <c r="U46" i="9"/>
  <c r="Q46" i="9"/>
  <c r="Q47" i="9"/>
  <c r="U47" i="9"/>
  <c r="U48" i="9"/>
  <c r="Q48" i="9"/>
  <c r="N48" i="9" s="1"/>
  <c r="U49" i="9"/>
  <c r="Q49" i="9"/>
  <c r="N49" i="9" s="1"/>
  <c r="U50" i="9"/>
  <c r="Q50" i="9"/>
  <c r="U51" i="9"/>
  <c r="Q51" i="9"/>
  <c r="Q52" i="9"/>
  <c r="U52" i="9"/>
  <c r="U3" i="9"/>
  <c r="Y11" i="9"/>
  <c r="Y12" i="9"/>
  <c r="Y13" i="9"/>
  <c r="Y21" i="9"/>
  <c r="Y6" i="9"/>
  <c r="N3" i="9"/>
  <c r="K91" i="6" l="1"/>
  <c r="N91" i="6" s="1"/>
  <c r="K89" i="6"/>
  <c r="N89" i="6" s="1"/>
  <c r="K65" i="6"/>
  <c r="N65" i="6" s="1"/>
  <c r="K64" i="6"/>
  <c r="N64" i="6" s="1"/>
  <c r="K63" i="6"/>
  <c r="N63" i="6" s="1"/>
  <c r="K57" i="6"/>
  <c r="N57" i="6" s="1"/>
  <c r="K49" i="6"/>
  <c r="N49" i="6" s="1"/>
  <c r="K45" i="6"/>
  <c r="N45" i="6" s="1"/>
  <c r="K39" i="6"/>
  <c r="N39" i="6" s="1"/>
  <c r="K34" i="6"/>
  <c r="N34" i="6" s="1"/>
  <c r="K32" i="6"/>
  <c r="N32" i="6" s="1"/>
  <c r="K31" i="6"/>
  <c r="N31" i="6" s="1"/>
  <c r="K30" i="6"/>
  <c r="N30" i="6" s="1"/>
  <c r="K29" i="6"/>
  <c r="N29" i="6" s="1"/>
  <c r="K28" i="6"/>
  <c r="N28" i="6" s="1"/>
  <c r="K26" i="6"/>
  <c r="N26" i="6" s="1"/>
  <c r="K98" i="6"/>
  <c r="N98" i="6" s="1"/>
  <c r="K97" i="6"/>
  <c r="N97" i="6" s="1"/>
  <c r="K95" i="6"/>
  <c r="N95" i="6" s="1"/>
  <c r="K94" i="6"/>
  <c r="N94" i="6" s="1"/>
  <c r="K93" i="6"/>
  <c r="N93" i="6" s="1"/>
  <c r="K92" i="6"/>
  <c r="N92" i="6" s="1"/>
  <c r="K37" i="6"/>
  <c r="N37" i="6" s="1"/>
  <c r="K33" i="6"/>
  <c r="N33" i="6" s="1"/>
  <c r="K90" i="6"/>
  <c r="N90" i="6" s="1"/>
  <c r="K88" i="6"/>
  <c r="N88" i="6" s="1"/>
  <c r="K87" i="6"/>
  <c r="N87" i="6" s="1"/>
  <c r="K86" i="6"/>
  <c r="N86" i="6" s="1"/>
  <c r="K85" i="6"/>
  <c r="N85" i="6" s="1"/>
  <c r="K84" i="6"/>
  <c r="N84" i="6" s="1"/>
  <c r="K83" i="6"/>
  <c r="N83" i="6" s="1"/>
  <c r="K82" i="6"/>
  <c r="N82" i="6" s="1"/>
  <c r="K81" i="6"/>
  <c r="N81" i="6" s="1"/>
  <c r="K80" i="6"/>
  <c r="N80" i="6" s="1"/>
  <c r="K79" i="6"/>
  <c r="N79" i="6" s="1"/>
  <c r="K78" i="6"/>
  <c r="N78" i="6" s="1"/>
  <c r="K77" i="6"/>
  <c r="N77" i="6" s="1"/>
  <c r="K76" i="6"/>
  <c r="N76" i="6" s="1"/>
  <c r="K75" i="6"/>
  <c r="N75" i="6" s="1"/>
  <c r="K74" i="6"/>
  <c r="N74" i="6" s="1"/>
  <c r="K73" i="6"/>
  <c r="N73" i="6" s="1"/>
  <c r="K72" i="6"/>
  <c r="N72" i="6" s="1"/>
  <c r="K71" i="6"/>
  <c r="N71" i="6" s="1"/>
  <c r="K70" i="6"/>
  <c r="N70" i="6" s="1"/>
  <c r="K69" i="6"/>
  <c r="N69" i="6" s="1"/>
  <c r="K68" i="6"/>
  <c r="N68" i="6" s="1"/>
  <c r="K67" i="6"/>
  <c r="N67" i="6" s="1"/>
  <c r="K66" i="6"/>
  <c r="N66" i="6" s="1"/>
  <c r="K62" i="6"/>
  <c r="N62" i="6" s="1"/>
  <c r="K61" i="6"/>
  <c r="N61" i="6" s="1"/>
  <c r="K60" i="6"/>
  <c r="N60" i="6" s="1"/>
  <c r="K59" i="6"/>
  <c r="N59" i="6" s="1"/>
  <c r="K55" i="6"/>
  <c r="N55" i="6" s="1"/>
  <c r="K54" i="6"/>
  <c r="N54" i="6" s="1"/>
  <c r="K53" i="6"/>
  <c r="N53" i="6" s="1"/>
  <c r="K52" i="6"/>
  <c r="N52" i="6" s="1"/>
  <c r="K51" i="6"/>
  <c r="N51" i="6" s="1"/>
  <c r="K50" i="6"/>
  <c r="N50" i="6" s="1"/>
  <c r="K48" i="6"/>
  <c r="N48" i="6" s="1"/>
  <c r="K47" i="6"/>
  <c r="N47" i="6" s="1"/>
  <c r="K46" i="6"/>
  <c r="N46" i="6" s="1"/>
  <c r="K44" i="6"/>
  <c r="N44" i="6" s="1"/>
  <c r="K43" i="6"/>
  <c r="N43" i="6" s="1"/>
  <c r="K42" i="6"/>
  <c r="N42" i="6" s="1"/>
  <c r="K41" i="6"/>
  <c r="N41" i="6" s="1"/>
  <c r="K40" i="6"/>
  <c r="N40" i="6" s="1"/>
  <c r="K38" i="6"/>
  <c r="N38" i="6" s="1"/>
  <c r="K36" i="6"/>
  <c r="N36" i="6" s="1"/>
  <c r="K27" i="6"/>
  <c r="N27" i="6" s="1"/>
  <c r="K24" i="6"/>
  <c r="N24" i="6" s="1"/>
  <c r="K23" i="6"/>
  <c r="N23" i="6" s="1"/>
  <c r="K22" i="6"/>
  <c r="N22" i="6" s="1"/>
  <c r="K21" i="6"/>
  <c r="N21" i="6" s="1"/>
  <c r="K20" i="6"/>
  <c r="N20" i="6" s="1"/>
  <c r="K19" i="6"/>
  <c r="N19" i="6" s="1"/>
  <c r="K18" i="6"/>
  <c r="N18" i="6" s="1"/>
  <c r="K17" i="6"/>
  <c r="N17" i="6" s="1"/>
  <c r="K16" i="6"/>
  <c r="N16" i="6" s="1"/>
  <c r="K15" i="6"/>
  <c r="N15" i="6" s="1"/>
  <c r="K14" i="6"/>
  <c r="N14" i="6" s="1"/>
  <c r="K13" i="6"/>
  <c r="N13" i="6" s="1"/>
  <c r="K12" i="6"/>
  <c r="N12" i="6" s="1"/>
  <c r="K11" i="6"/>
  <c r="N11" i="6" s="1"/>
  <c r="K10" i="6"/>
  <c r="N10" i="6" s="1"/>
  <c r="K9" i="6"/>
  <c r="N9" i="6" s="1"/>
  <c r="K8" i="6"/>
  <c r="N8" i="6" s="1"/>
  <c r="K7" i="6"/>
  <c r="N7" i="6" s="1"/>
  <c r="K6" i="6"/>
  <c r="N6" i="6" s="1"/>
  <c r="K5" i="6"/>
  <c r="N5" i="6" s="1"/>
  <c r="K4" i="6"/>
  <c r="N4" i="6" s="1"/>
  <c r="K25" i="6"/>
  <c r="N25" i="6" s="1"/>
  <c r="N47" i="9"/>
  <c r="O13" i="9"/>
  <c r="N29" i="9"/>
  <c r="N34" i="9"/>
  <c r="N43" i="9"/>
  <c r="N27" i="9"/>
  <c r="N31" i="9"/>
  <c r="N30" i="9"/>
  <c r="N46" i="9"/>
  <c r="N26" i="9"/>
  <c r="N42" i="9"/>
  <c r="N33" i="9"/>
  <c r="N39" i="9"/>
  <c r="N41" i="9"/>
  <c r="N44" i="9"/>
  <c r="N32" i="9"/>
  <c r="N38" i="9"/>
  <c r="N37" i="9"/>
  <c r="N40" i="9"/>
  <c r="N23" i="9"/>
  <c r="N24" i="9"/>
  <c r="N25" i="9"/>
  <c r="N50" i="9"/>
  <c r="N51" i="9"/>
  <c r="N52" i="9"/>
  <c r="N4" i="9"/>
  <c r="N5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O6" i="9"/>
  <c r="N6" i="9"/>
  <c r="O11" i="9"/>
  <c r="O12" i="9"/>
  <c r="O21" i="9"/>
  <c r="Y10" i="9"/>
  <c r="O10" i="9" s="1"/>
  <c r="Y14" i="9"/>
  <c r="O14" i="9" s="1"/>
  <c r="Y15" i="9"/>
  <c r="O15" i="9" s="1"/>
  <c r="Y16" i="9"/>
  <c r="O16" i="9" s="1"/>
  <c r="Y17" i="9"/>
  <c r="O17" i="9" s="1"/>
  <c r="Y18" i="9"/>
  <c r="O18" i="9" s="1"/>
  <c r="Y19" i="9"/>
  <c r="O19" i="9" s="1"/>
  <c r="Y20" i="9"/>
  <c r="O20" i="9" s="1"/>
  <c r="Y8" i="9"/>
  <c r="O8" i="9" s="1"/>
  <c r="Y22" i="9"/>
  <c r="O22" i="9" s="1"/>
  <c r="Y23" i="9"/>
  <c r="O23" i="9" s="1"/>
  <c r="Y24" i="9"/>
  <c r="O24" i="9" s="1"/>
  <c r="Y25" i="9"/>
  <c r="O25" i="9" s="1"/>
  <c r="Y26" i="9"/>
  <c r="O26" i="9" s="1"/>
  <c r="Y27" i="9"/>
  <c r="O27" i="9" s="1"/>
  <c r="Y28" i="9"/>
  <c r="O28" i="9" s="1"/>
  <c r="Y29" i="9"/>
  <c r="O29" i="9" s="1"/>
  <c r="Y30" i="9"/>
  <c r="O30" i="9" s="1"/>
  <c r="Y31" i="9"/>
  <c r="O31" i="9" s="1"/>
  <c r="Y32" i="9"/>
  <c r="O32" i="9" s="1"/>
  <c r="Y33" i="9"/>
  <c r="O33" i="9" s="1"/>
  <c r="Y34" i="9"/>
  <c r="O34" i="9" s="1"/>
  <c r="Y35" i="9"/>
  <c r="O35" i="9" s="1"/>
  <c r="Y36" i="9"/>
  <c r="O36" i="9" s="1"/>
  <c r="Y37" i="9"/>
  <c r="O37" i="9" s="1"/>
  <c r="Y38" i="9"/>
  <c r="O38" i="9" s="1"/>
  <c r="Y39" i="9"/>
  <c r="O39" i="9" s="1"/>
  <c r="Y40" i="9"/>
  <c r="O40" i="9" s="1"/>
  <c r="Y41" i="9"/>
  <c r="O41" i="9" s="1"/>
  <c r="Y42" i="9"/>
  <c r="O42" i="9" s="1"/>
  <c r="Y43" i="9"/>
  <c r="O43" i="9" s="1"/>
  <c r="Y44" i="9"/>
  <c r="O44" i="9" s="1"/>
  <c r="Y45" i="9"/>
  <c r="O45" i="9" s="1"/>
  <c r="O46" i="9"/>
  <c r="O47" i="9"/>
  <c r="O48" i="9"/>
  <c r="O49" i="9"/>
  <c r="O50" i="9"/>
  <c r="O51" i="9"/>
  <c r="Y52" i="9"/>
  <c r="O52" i="9" s="1"/>
  <c r="Y4" i="9"/>
  <c r="O4" i="9" s="1"/>
  <c r="Y5" i="9"/>
  <c r="O5" i="9" s="1"/>
  <c r="Y7" i="9"/>
  <c r="O7" i="9" s="1"/>
  <c r="Y9" i="9"/>
  <c r="O9" i="9" s="1"/>
  <c r="Y3" i="9"/>
  <c r="O3" i="9" s="1"/>
  <c r="K3" i="6" l="1"/>
  <c r="N3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<sst xmlns="http://schemas.openxmlformats.org/spreadsheetml/2006/main" count="3613" uniqueCount="1331">
  <si>
    <t>識別號</t>
  </si>
  <si>
    <t>漢字例</t>
  </si>
  <si>
    <t>國際音標</t>
  </si>
  <si>
    <t>十五音</t>
  </si>
  <si>
    <t>方音符號</t>
  </si>
  <si>
    <t>台語音標</t>
  </si>
  <si>
    <t>台羅拼音</t>
  </si>
  <si>
    <t>白話字</t>
  </si>
  <si>
    <t>閩拼方案</t>
  </si>
  <si>
    <t>注音二式</t>
  </si>
  <si>
    <t>舒促聲</t>
  </si>
  <si>
    <t>十五音識別碼</t>
  </si>
  <si>
    <t>1</t>
  </si>
  <si>
    <t>汾</t>
  </si>
  <si>
    <t>un</t>
  </si>
  <si>
    <t>君</t>
  </si>
  <si>
    <t>ㄨㄣ</t>
  </si>
  <si>
    <t>舒聲</t>
  </si>
  <si>
    <t>君舒</t>
  </si>
  <si>
    <t>2</t>
  </si>
  <si>
    <t>不</t>
  </si>
  <si>
    <t>ㄨㆵ</t>
  </si>
  <si>
    <t>ut</t>
  </si>
  <si>
    <t>促聲</t>
  </si>
  <si>
    <t>君促</t>
  </si>
  <si>
    <t>3</t>
  </si>
  <si>
    <t>掀</t>
  </si>
  <si>
    <t>ian</t>
  </si>
  <si>
    <t>堅</t>
  </si>
  <si>
    <t>ㄧㄢ</t>
  </si>
  <si>
    <t>堅舒</t>
  </si>
  <si>
    <t>4</t>
  </si>
  <si>
    <t>別</t>
  </si>
  <si>
    <t>ㄧㄚㆵ</t>
  </si>
  <si>
    <t>iat</t>
  </si>
  <si>
    <t>堅促</t>
  </si>
  <si>
    <t>5</t>
  </si>
  <si>
    <t>深</t>
  </si>
  <si>
    <t>im</t>
  </si>
  <si>
    <t>金</t>
  </si>
  <si>
    <t>ㄧㆬ</t>
  </si>
  <si>
    <t>金舒</t>
  </si>
  <si>
    <t>6</t>
  </si>
  <si>
    <t>蟄</t>
  </si>
  <si>
    <t>ip̚</t>
  </si>
  <si>
    <t>一ㆴ</t>
  </si>
  <si>
    <t>ip</t>
  </si>
  <si>
    <t>金促</t>
  </si>
  <si>
    <t>7</t>
  </si>
  <si>
    <t>歸</t>
  </si>
  <si>
    <t>ui</t>
  </si>
  <si>
    <t>規</t>
  </si>
  <si>
    <t>ㄨㄧ</t>
  </si>
  <si>
    <t>規舒</t>
  </si>
  <si>
    <t>9</t>
  </si>
  <si>
    <t>家</t>
  </si>
  <si>
    <t>ɛ</t>
  </si>
  <si>
    <t>嘉</t>
  </si>
  <si>
    <t>ㄝ</t>
  </si>
  <si>
    <t>ee</t>
  </si>
  <si>
    <t>e</t>
  </si>
  <si>
    <t>嘉舒</t>
  </si>
  <si>
    <t>10</t>
  </si>
  <si>
    <t>八</t>
  </si>
  <si>
    <t>eeh</t>
  </si>
  <si>
    <t>eh</t>
  </si>
  <si>
    <t>嘉促</t>
  </si>
  <si>
    <t>11</t>
  </si>
  <si>
    <t>蘭</t>
  </si>
  <si>
    <t>an</t>
  </si>
  <si>
    <t>干</t>
  </si>
  <si>
    <t>ㄢ</t>
  </si>
  <si>
    <t>干舒</t>
  </si>
  <si>
    <t>12</t>
  </si>
  <si>
    <t>識</t>
  </si>
  <si>
    <t>at̚</t>
  </si>
  <si>
    <t>ㄚㆵ</t>
  </si>
  <si>
    <t>at</t>
  </si>
  <si>
    <t>干促</t>
  </si>
  <si>
    <t>13</t>
  </si>
  <si>
    <t>風</t>
  </si>
  <si>
    <t>ɔŋ</t>
  </si>
  <si>
    <t>公</t>
  </si>
  <si>
    <t>ㆲ</t>
  </si>
  <si>
    <t>ong</t>
  </si>
  <si>
    <t>公舒</t>
  </si>
  <si>
    <t>14</t>
  </si>
  <si>
    <t>福</t>
  </si>
  <si>
    <t>ɔk̚</t>
  </si>
  <si>
    <t>ㆦㆻ</t>
  </si>
  <si>
    <t>ok</t>
  </si>
  <si>
    <t>公促</t>
  </si>
  <si>
    <t>15</t>
  </si>
  <si>
    <t>怪</t>
  </si>
  <si>
    <t>uai</t>
  </si>
  <si>
    <t>乖</t>
  </si>
  <si>
    <t>ㄨㄞ</t>
  </si>
  <si>
    <t>oai</t>
  </si>
  <si>
    <t>乖舒</t>
  </si>
  <si>
    <t>8</t>
  </si>
  <si>
    <t>16</t>
  </si>
  <si>
    <t>uaih</t>
  </si>
  <si>
    <t>oaih</t>
  </si>
  <si>
    <t>乖促</t>
  </si>
  <si>
    <t>17</t>
  </si>
  <si>
    <t>情</t>
  </si>
  <si>
    <t>iŋ</t>
  </si>
  <si>
    <t>經</t>
  </si>
  <si>
    <t>ㄧㄥ</t>
  </si>
  <si>
    <t>ing</t>
  </si>
  <si>
    <t>eng</t>
  </si>
  <si>
    <t>經舒</t>
  </si>
  <si>
    <t>18</t>
  </si>
  <si>
    <t>益</t>
  </si>
  <si>
    <t>ㄧㆻ</t>
  </si>
  <si>
    <t>ik</t>
  </si>
  <si>
    <t>ek</t>
  </si>
  <si>
    <t>經促</t>
  </si>
  <si>
    <t>19</t>
  </si>
  <si>
    <t>猿</t>
  </si>
  <si>
    <t>uan</t>
  </si>
  <si>
    <t>觀</t>
  </si>
  <si>
    <t>ㄨㄢ</t>
  </si>
  <si>
    <t>oan</t>
  </si>
  <si>
    <t>觀舒</t>
  </si>
  <si>
    <t>20</t>
  </si>
  <si>
    <t>說</t>
  </si>
  <si>
    <t>uat̚</t>
  </si>
  <si>
    <t>ㄨㄚㆵ</t>
  </si>
  <si>
    <t>uat</t>
  </si>
  <si>
    <t>oat</t>
  </si>
  <si>
    <t>觀促</t>
  </si>
  <si>
    <t>21</t>
  </si>
  <si>
    <t>捕</t>
  </si>
  <si>
    <t>ou</t>
  </si>
  <si>
    <t>沽</t>
  </si>
  <si>
    <t>oo</t>
  </si>
  <si>
    <t>o͘</t>
  </si>
  <si>
    <t>沽舒</t>
  </si>
  <si>
    <t>23</t>
  </si>
  <si>
    <t>遙</t>
  </si>
  <si>
    <t>iau</t>
  </si>
  <si>
    <t>嬌</t>
  </si>
  <si>
    <t>ㄧㄠ</t>
  </si>
  <si>
    <t>iao</t>
  </si>
  <si>
    <t>嬌舒</t>
  </si>
  <si>
    <t>24</t>
  </si>
  <si>
    <t>噭</t>
  </si>
  <si>
    <t>iauh</t>
  </si>
  <si>
    <t>iaoh</t>
  </si>
  <si>
    <t>嬌促</t>
  </si>
  <si>
    <t>25</t>
  </si>
  <si>
    <t>遞</t>
  </si>
  <si>
    <t>ei</t>
  </si>
  <si>
    <t>稽</t>
  </si>
  <si>
    <t>ㆤ</t>
  </si>
  <si>
    <t>稽舒</t>
  </si>
  <si>
    <t>27</t>
  </si>
  <si>
    <t>中</t>
  </si>
  <si>
    <t>iɔŋ</t>
  </si>
  <si>
    <t>恭</t>
  </si>
  <si>
    <t>ㄧㆲ</t>
  </si>
  <si>
    <t>iong</t>
  </si>
  <si>
    <t>恭舒</t>
  </si>
  <si>
    <t>28</t>
  </si>
  <si>
    <t>俗</t>
  </si>
  <si>
    <t>ㄧㆦㆻ</t>
  </si>
  <si>
    <t>iok</t>
  </si>
  <si>
    <t>恭促</t>
  </si>
  <si>
    <t>29</t>
  </si>
  <si>
    <t>果</t>
  </si>
  <si>
    <t>o</t>
  </si>
  <si>
    <t>高</t>
  </si>
  <si>
    <t>ㄜ</t>
  </si>
  <si>
    <t>or</t>
  </si>
  <si>
    <t>高舒</t>
  </si>
  <si>
    <t>30</t>
  </si>
  <si>
    <t>卜</t>
  </si>
  <si>
    <t>oh</t>
  </si>
  <si>
    <t>orh</t>
  </si>
  <si>
    <t>高促</t>
  </si>
  <si>
    <t>31</t>
  </si>
  <si>
    <t>埃</t>
  </si>
  <si>
    <t>ai</t>
  </si>
  <si>
    <t>皆</t>
  </si>
  <si>
    <t>ㄞ</t>
  </si>
  <si>
    <t>皆舒</t>
  </si>
  <si>
    <t>33</t>
  </si>
  <si>
    <t>恩</t>
  </si>
  <si>
    <t>in</t>
  </si>
  <si>
    <t>巾</t>
  </si>
  <si>
    <t>ㄧㄣ</t>
  </si>
  <si>
    <t>巾舒</t>
  </si>
  <si>
    <t>34</t>
  </si>
  <si>
    <t>一</t>
  </si>
  <si>
    <t>it̚</t>
  </si>
  <si>
    <t>ㄧㆵ</t>
  </si>
  <si>
    <t>it</t>
  </si>
  <si>
    <t>巾促</t>
  </si>
  <si>
    <t>35</t>
  </si>
  <si>
    <t>將</t>
  </si>
  <si>
    <t>iaŋ</t>
  </si>
  <si>
    <t>姜</t>
  </si>
  <si>
    <t>iang</t>
  </si>
  <si>
    <t>姜舒</t>
  </si>
  <si>
    <t>36</t>
  </si>
  <si>
    <t>爆</t>
  </si>
  <si>
    <t>iak</t>
  </si>
  <si>
    <t>姜促</t>
  </si>
  <si>
    <t>37</t>
  </si>
  <si>
    <t>堪</t>
  </si>
  <si>
    <t>am</t>
  </si>
  <si>
    <t>甘</t>
  </si>
  <si>
    <t>ㆰ</t>
  </si>
  <si>
    <t>甘舒</t>
  </si>
  <si>
    <t>38</t>
  </si>
  <si>
    <t>答</t>
  </si>
  <si>
    <t>ap̚</t>
  </si>
  <si>
    <t>ㄚㆴ</t>
  </si>
  <si>
    <t>ap</t>
  </si>
  <si>
    <t>甘促</t>
  </si>
  <si>
    <t>39</t>
  </si>
  <si>
    <t>花</t>
  </si>
  <si>
    <t>ua</t>
  </si>
  <si>
    <t>瓜</t>
  </si>
  <si>
    <t>ㄨㄚ</t>
  </si>
  <si>
    <t>oa</t>
  </si>
  <si>
    <t>瓜舒</t>
  </si>
  <si>
    <t>40</t>
  </si>
  <si>
    <t>缽</t>
  </si>
  <si>
    <t>uah</t>
  </si>
  <si>
    <t>oah</t>
  </si>
  <si>
    <t>瓜促</t>
  </si>
  <si>
    <t>41</t>
  </si>
  <si>
    <t>邦</t>
  </si>
  <si>
    <t>aŋ</t>
  </si>
  <si>
    <t>江</t>
  </si>
  <si>
    <t>ang</t>
  </si>
  <si>
    <t>江舒</t>
  </si>
  <si>
    <t>42</t>
  </si>
  <si>
    <t>角</t>
  </si>
  <si>
    <t>ak̚</t>
  </si>
  <si>
    <t>ㄚㆻ</t>
  </si>
  <si>
    <t>ak</t>
  </si>
  <si>
    <t>江促</t>
  </si>
  <si>
    <t>43</t>
  </si>
  <si>
    <t>尖</t>
  </si>
  <si>
    <t>iam</t>
  </si>
  <si>
    <t>兼</t>
  </si>
  <si>
    <t>ㄧㆰ</t>
  </si>
  <si>
    <t>兼舒</t>
  </si>
  <si>
    <t>22</t>
  </si>
  <si>
    <t>44</t>
  </si>
  <si>
    <t>接</t>
  </si>
  <si>
    <t>iap̚</t>
  </si>
  <si>
    <t>ㄧㄚㆴ</t>
  </si>
  <si>
    <t>iap</t>
  </si>
  <si>
    <t>兼促</t>
  </si>
  <si>
    <t>45</t>
  </si>
  <si>
    <t>鬧</t>
  </si>
  <si>
    <t>au</t>
  </si>
  <si>
    <t>交</t>
  </si>
  <si>
    <t>ㄠ</t>
  </si>
  <si>
    <t>ao</t>
  </si>
  <si>
    <t>交舒</t>
  </si>
  <si>
    <t>46</t>
  </si>
  <si>
    <t>暴</t>
  </si>
  <si>
    <t>auh</t>
  </si>
  <si>
    <t>aoh</t>
  </si>
  <si>
    <t>交促</t>
  </si>
  <si>
    <t>47</t>
  </si>
  <si>
    <t>名</t>
  </si>
  <si>
    <t>ia</t>
  </si>
  <si>
    <t>迦</t>
  </si>
  <si>
    <t>ㄧㄚ</t>
  </si>
  <si>
    <t>迦舒</t>
  </si>
  <si>
    <t>48</t>
  </si>
  <si>
    <t>壁</t>
  </si>
  <si>
    <t>iah</t>
  </si>
  <si>
    <t>迦促</t>
  </si>
  <si>
    <t>49</t>
  </si>
  <si>
    <t>話</t>
  </si>
  <si>
    <t>uei</t>
  </si>
  <si>
    <t>檜</t>
  </si>
  <si>
    <t>ㄨㆤ</t>
  </si>
  <si>
    <t>ue</t>
  </si>
  <si>
    <t>oe</t>
  </si>
  <si>
    <t>檜舒</t>
  </si>
  <si>
    <t>50</t>
  </si>
  <si>
    <t>拔</t>
  </si>
  <si>
    <t>ueh</t>
  </si>
  <si>
    <t>oeh</t>
  </si>
  <si>
    <t>檜促</t>
  </si>
  <si>
    <t>聽</t>
  </si>
  <si>
    <t>ã</t>
  </si>
  <si>
    <t>監</t>
  </si>
  <si>
    <t>ㆩ</t>
  </si>
  <si>
    <t>ann</t>
  </si>
  <si>
    <t>aⁿ</t>
  </si>
  <si>
    <t>na</t>
  </si>
  <si>
    <t>監舒</t>
  </si>
  <si>
    <t>26</t>
  </si>
  <si>
    <t>含</t>
  </si>
  <si>
    <t>ahnn</t>
  </si>
  <si>
    <t>annh</t>
  </si>
  <si>
    <t>nah</t>
  </si>
  <si>
    <t>監促</t>
  </si>
  <si>
    <t>夫</t>
  </si>
  <si>
    <t>u</t>
  </si>
  <si>
    <t>艍</t>
  </si>
  <si>
    <t>ㄨ</t>
  </si>
  <si>
    <t>艍舒</t>
  </si>
  <si>
    <t>勃</t>
  </si>
  <si>
    <t>uh</t>
  </si>
  <si>
    <t>艍促</t>
  </si>
  <si>
    <t>些</t>
  </si>
  <si>
    <t>a</t>
  </si>
  <si>
    <t>膠</t>
  </si>
  <si>
    <t>ㄚ</t>
  </si>
  <si>
    <t>膠舒</t>
  </si>
  <si>
    <t>百</t>
  </si>
  <si>
    <t>ah</t>
  </si>
  <si>
    <t>膠促</t>
  </si>
  <si>
    <t>爾</t>
  </si>
  <si>
    <t>i</t>
  </si>
  <si>
    <t>居</t>
  </si>
  <si>
    <t>ㄧ</t>
  </si>
  <si>
    <t>居舒</t>
  </si>
  <si>
    <t>逼</t>
  </si>
  <si>
    <t>ih</t>
  </si>
  <si>
    <t>居促</t>
  </si>
  <si>
    <t>油</t>
  </si>
  <si>
    <t>iu</t>
  </si>
  <si>
    <t>丩</t>
  </si>
  <si>
    <t>ㄧㄨ</t>
  </si>
  <si>
    <t>丩舒</t>
  </si>
  <si>
    <t>爭</t>
  </si>
  <si>
    <t>ɛ̃</t>
  </si>
  <si>
    <t>更</t>
  </si>
  <si>
    <t>ㆥ</t>
  </si>
  <si>
    <t>enn</t>
  </si>
  <si>
    <t>eⁿ</t>
  </si>
  <si>
    <t>ne</t>
  </si>
  <si>
    <t>更舒</t>
  </si>
  <si>
    <t>挾</t>
  </si>
  <si>
    <t>ehnn</t>
  </si>
  <si>
    <t>ennh</t>
  </si>
  <si>
    <t>更促</t>
  </si>
  <si>
    <t>荒</t>
  </si>
  <si>
    <t>褌</t>
  </si>
  <si>
    <t>ㄨㆪ</t>
  </si>
  <si>
    <t>uinn</t>
  </si>
  <si>
    <t>uiⁿ</t>
  </si>
  <si>
    <t>nui</t>
  </si>
  <si>
    <t>褌舒</t>
  </si>
  <si>
    <t>32</t>
  </si>
  <si>
    <t>少</t>
  </si>
  <si>
    <t>io</t>
  </si>
  <si>
    <t>茄</t>
  </si>
  <si>
    <t>ㄧㄜ</t>
  </si>
  <si>
    <t>ior</t>
  </si>
  <si>
    <t>茄舒</t>
  </si>
  <si>
    <t>著</t>
  </si>
  <si>
    <t>ioh</t>
  </si>
  <si>
    <t>iorh</t>
  </si>
  <si>
    <t>茄促</t>
  </si>
  <si>
    <t>庚</t>
  </si>
  <si>
    <t>ĩ</t>
  </si>
  <si>
    <t>梔</t>
  </si>
  <si>
    <t>ㆪ</t>
  </si>
  <si>
    <t>inn</t>
  </si>
  <si>
    <t>iⁿ</t>
  </si>
  <si>
    <t>ni</t>
  </si>
  <si>
    <t>梔舒</t>
  </si>
  <si>
    <t>欷</t>
  </si>
  <si>
    <t>ihnn</t>
  </si>
  <si>
    <t>innh</t>
  </si>
  <si>
    <t>nih</t>
  </si>
  <si>
    <t>梔促</t>
  </si>
  <si>
    <t>腔</t>
  </si>
  <si>
    <t>iɔ̃</t>
  </si>
  <si>
    <t>薑</t>
  </si>
  <si>
    <t>ㄧㆧ</t>
  </si>
  <si>
    <t>ionn</t>
  </si>
  <si>
    <t>ioⁿ</t>
  </si>
  <si>
    <t>nioo</t>
  </si>
  <si>
    <t>ioonn</t>
  </si>
  <si>
    <t>薑舒</t>
  </si>
  <si>
    <t>且</t>
  </si>
  <si>
    <t>驚</t>
  </si>
  <si>
    <t>ㄧㆩ</t>
  </si>
  <si>
    <t>iann</t>
  </si>
  <si>
    <t>iannh</t>
  </si>
  <si>
    <t>iaⁿ</t>
  </si>
  <si>
    <t>nia</t>
  </si>
  <si>
    <t>驚舒</t>
  </si>
  <si>
    <t>肝</t>
  </si>
  <si>
    <t>官</t>
  </si>
  <si>
    <t>ㄨㆩ</t>
  </si>
  <si>
    <t>uann</t>
  </si>
  <si>
    <t>oaⁿ</t>
  </si>
  <si>
    <t>nua</t>
  </si>
  <si>
    <t>官舒</t>
  </si>
  <si>
    <t>床</t>
  </si>
  <si>
    <t>ŋ̍</t>
  </si>
  <si>
    <t>鋼</t>
  </si>
  <si>
    <t>ㆭ</t>
  </si>
  <si>
    <t>ng</t>
  </si>
  <si>
    <t>鋼舒</t>
  </si>
  <si>
    <t>會</t>
  </si>
  <si>
    <t>伽</t>
  </si>
  <si>
    <t>伽舒</t>
  </si>
  <si>
    <t>伯</t>
  </si>
  <si>
    <t>伽促</t>
  </si>
  <si>
    <t>挨</t>
  </si>
  <si>
    <t>閒</t>
  </si>
  <si>
    <t>ㆮ</t>
  </si>
  <si>
    <t>ainn</t>
  </si>
  <si>
    <t>aiⁿ</t>
  </si>
  <si>
    <t>nai</t>
  </si>
  <si>
    <t>閒舒</t>
  </si>
  <si>
    <t>張</t>
  </si>
  <si>
    <t>姑</t>
  </si>
  <si>
    <t>ㆧ</t>
  </si>
  <si>
    <t>oonn</t>
  </si>
  <si>
    <t>onn</t>
  </si>
  <si>
    <t>oⁿ</t>
  </si>
  <si>
    <t>noo</t>
  </si>
  <si>
    <t>姑舒</t>
  </si>
  <si>
    <t>姆</t>
  </si>
  <si>
    <t>m̩</t>
  </si>
  <si>
    <t>ㆬ</t>
  </si>
  <si>
    <t>m</t>
  </si>
  <si>
    <t>姆舒</t>
  </si>
  <si>
    <t>闖</t>
  </si>
  <si>
    <t>uaŋ</t>
  </si>
  <si>
    <t>光</t>
  </si>
  <si>
    <t>uang</t>
  </si>
  <si>
    <t>oang</t>
  </si>
  <si>
    <t>光舒</t>
  </si>
  <si>
    <t>伏</t>
  </si>
  <si>
    <t>uak̚</t>
  </si>
  <si>
    <t>ㄨㄚㆻ</t>
  </si>
  <si>
    <t>uak</t>
  </si>
  <si>
    <t>oak</t>
  </si>
  <si>
    <t>光促</t>
  </si>
  <si>
    <t>檨</t>
  </si>
  <si>
    <t>閂</t>
  </si>
  <si>
    <t>ㄨㆮ</t>
  </si>
  <si>
    <t>uainn</t>
  </si>
  <si>
    <t>oaiⁿ</t>
  </si>
  <si>
    <t>nuai</t>
  </si>
  <si>
    <t>閂舒</t>
  </si>
  <si>
    <t>蹶</t>
  </si>
  <si>
    <t>uaihnn</t>
  </si>
  <si>
    <t>uainnh</t>
  </si>
  <si>
    <t>nuaih</t>
  </si>
  <si>
    <t>閂促</t>
  </si>
  <si>
    <t>糜</t>
  </si>
  <si>
    <t>ㄨㆥ</t>
  </si>
  <si>
    <t>uenn</t>
  </si>
  <si>
    <t>oeⁿ</t>
  </si>
  <si>
    <t>nue</t>
  </si>
  <si>
    <t>糜舒</t>
  </si>
  <si>
    <t>鳥</t>
  </si>
  <si>
    <t>嘄</t>
  </si>
  <si>
    <t>ㄧㆯ</t>
  </si>
  <si>
    <t>iaunn</t>
  </si>
  <si>
    <t>iauⁿ</t>
  </si>
  <si>
    <t>niao</t>
  </si>
  <si>
    <t>嘄舒</t>
  </si>
  <si>
    <t>iauhnn</t>
  </si>
  <si>
    <t>iaunnh</t>
  </si>
  <si>
    <t>niaoh</t>
  </si>
  <si>
    <t>嘄促</t>
  </si>
  <si>
    <t>丼</t>
  </si>
  <si>
    <t>ɔm</t>
  </si>
  <si>
    <t>箴</t>
  </si>
  <si>
    <t>ㆱ</t>
  </si>
  <si>
    <t>om</t>
  </si>
  <si>
    <t>oom</t>
  </si>
  <si>
    <t>箴舒</t>
  </si>
  <si>
    <t>吷</t>
  </si>
  <si>
    <t>ɔp̚</t>
  </si>
  <si>
    <t>ㆦㆴ</t>
  </si>
  <si>
    <t>op</t>
  </si>
  <si>
    <t>oop</t>
  </si>
  <si>
    <t>箴促</t>
  </si>
  <si>
    <t>懸</t>
  </si>
  <si>
    <t>爻</t>
  </si>
  <si>
    <t>ㆯ</t>
  </si>
  <si>
    <t>aunn</t>
  </si>
  <si>
    <t>auⁿ</t>
  </si>
  <si>
    <t>nao</t>
  </si>
  <si>
    <t>爻舒</t>
  </si>
  <si>
    <t>呼</t>
  </si>
  <si>
    <t>扛</t>
  </si>
  <si>
    <t>on</t>
  </si>
  <si>
    <t>ornn</t>
  </si>
  <si>
    <t>扛舒</t>
  </si>
  <si>
    <t>ohnn</t>
  </si>
  <si>
    <t>onnh</t>
  </si>
  <si>
    <t>nooh</t>
  </si>
  <si>
    <t>扛促</t>
  </si>
  <si>
    <t>香</t>
  </si>
  <si>
    <t>牛</t>
  </si>
  <si>
    <t>ㄧㆫ</t>
  </si>
  <si>
    <t>iunn</t>
  </si>
  <si>
    <t>iuⁿ</t>
  </si>
  <si>
    <t>niu</t>
  </si>
  <si>
    <t>牛舒</t>
  </si>
  <si>
    <t>十五音序</t>
    <phoneticPr fontId="4" type="noConversion"/>
  </si>
  <si>
    <r>
      <rPr>
        <sz val="24"/>
        <color theme="1"/>
        <rFont val="Noto Sans TC Medium"/>
        <family val="2"/>
        <charset val="136"/>
      </rPr>
      <t>◯</t>
    </r>
  </si>
  <si>
    <t>備註</t>
  </si>
  <si>
    <t>理</t>
  </si>
  <si>
    <t>l</t>
  </si>
  <si>
    <t>柳</t>
  </si>
  <si>
    <t>ㄌ</t>
  </si>
  <si>
    <t>比</t>
  </si>
  <si>
    <t>p</t>
  </si>
  <si>
    <t>邊</t>
  </si>
  <si>
    <t>ㄅ</t>
  </si>
  <si>
    <t>b</t>
  </si>
  <si>
    <t>己</t>
  </si>
  <si>
    <t>k</t>
  </si>
  <si>
    <t>求</t>
  </si>
  <si>
    <t>ㄍ</t>
  </si>
  <si>
    <t>g</t>
  </si>
  <si>
    <t>起</t>
  </si>
  <si>
    <t>kʰ</t>
  </si>
  <si>
    <t>去</t>
  </si>
  <si>
    <t>ㄎ</t>
  </si>
  <si>
    <t>kh</t>
  </si>
  <si>
    <t>底</t>
  </si>
  <si>
    <t>t</t>
  </si>
  <si>
    <t>地</t>
  </si>
  <si>
    <t>ㄉ</t>
  </si>
  <si>
    <t>d</t>
  </si>
  <si>
    <t>鄙</t>
  </si>
  <si>
    <t>pʰ</t>
  </si>
  <si>
    <t>頗</t>
  </si>
  <si>
    <t>ㄆ</t>
  </si>
  <si>
    <t>ph</t>
  </si>
  <si>
    <t>恥</t>
  </si>
  <si>
    <t>tʰ</t>
  </si>
  <si>
    <t>他</t>
  </si>
  <si>
    <t>ㄊ</t>
  </si>
  <si>
    <t>th</t>
  </si>
  <si>
    <t>阻</t>
  </si>
  <si>
    <t>ʦ</t>
  </si>
  <si>
    <t>曾</t>
  </si>
  <si>
    <t>ㄗ</t>
  </si>
  <si>
    <t>z</t>
  </si>
  <si>
    <t>ts</t>
  </si>
  <si>
    <t>ch</t>
  </si>
  <si>
    <t>熱</t>
  </si>
  <si>
    <t>ʣ</t>
  </si>
  <si>
    <t>入</t>
  </si>
  <si>
    <t>ㆡ</t>
  </si>
  <si>
    <t>j</t>
  </si>
  <si>
    <t>zz</t>
  </si>
  <si>
    <t>詞</t>
  </si>
  <si>
    <t>s</t>
  </si>
  <si>
    <t>時</t>
  </si>
  <si>
    <t>以</t>
  </si>
  <si>
    <t>ʔ</t>
  </si>
  <si>
    <t>英</t>
  </si>
  <si>
    <t>Ø</t>
  </si>
  <si>
    <t>美</t>
  </si>
  <si>
    <t>門</t>
  </si>
  <si>
    <t>ㆠ</t>
  </si>
  <si>
    <t>bb</t>
  </si>
  <si>
    <t>禦</t>
  </si>
  <si>
    <t>ɡ</t>
  </si>
  <si>
    <t>語</t>
  </si>
  <si>
    <t>ㆣ</t>
  </si>
  <si>
    <t>gg</t>
  </si>
  <si>
    <t>取</t>
  </si>
  <si>
    <t>ʦʰ</t>
  </si>
  <si>
    <t>出</t>
  </si>
  <si>
    <t>c</t>
  </si>
  <si>
    <t>tsh</t>
  </si>
  <si>
    <t>chh</t>
  </si>
  <si>
    <t>喜</t>
  </si>
  <si>
    <t>h</t>
  </si>
  <si>
    <t>ㄏ</t>
  </si>
  <si>
    <t>毛</t>
  </si>
  <si>
    <t>ㄇ</t>
  </si>
  <si>
    <t>bbn</t>
  </si>
  <si>
    <t xml:space="preserve">b/m 本不分，此處分門/毛 </t>
  </si>
  <si>
    <t>耐</t>
  </si>
  <si>
    <t>n</t>
  </si>
  <si>
    <t>ㄋ</t>
  </si>
  <si>
    <t>ln</t>
  </si>
  <si>
    <t xml:space="preserve">l/n 本不分，此處分柳/耐 </t>
  </si>
  <si>
    <t>雅</t>
  </si>
  <si>
    <t>ŋ</t>
  </si>
  <si>
    <t>ㄫ</t>
  </si>
  <si>
    <t>ggn</t>
  </si>
  <si>
    <t xml:space="preserve">g/ng 本不分，此處分語/雅 </t>
  </si>
  <si>
    <t>ʥ</t>
  </si>
  <si>
    <t>ㆢ</t>
  </si>
  <si>
    <t>ji</t>
  </si>
  <si>
    <t>zzi</t>
  </si>
  <si>
    <t>jji</t>
  </si>
  <si>
    <t>止</t>
  </si>
  <si>
    <t>ʨ</t>
  </si>
  <si>
    <t>ㄐ</t>
  </si>
  <si>
    <t>zi</t>
  </si>
  <si>
    <t>tsi</t>
  </si>
  <si>
    <t>chi</t>
  </si>
  <si>
    <t>測</t>
  </si>
  <si>
    <t>ʨʰ</t>
  </si>
  <si>
    <t>ㄑ</t>
  </si>
  <si>
    <t>ci</t>
  </si>
  <si>
    <t>tshi</t>
  </si>
  <si>
    <t>chhi</t>
  </si>
  <si>
    <t>惜</t>
  </si>
  <si>
    <t>ɕ</t>
  </si>
  <si>
    <t>ㄒ</t>
  </si>
  <si>
    <t>si</t>
  </si>
  <si>
    <t>shi</t>
  </si>
  <si>
    <t>ㆢ = ㆡㄧ</t>
    <phoneticPr fontId="4" type="noConversion"/>
  </si>
  <si>
    <t>ㄐ = ㄗㄧ</t>
    <phoneticPr fontId="4" type="noConversion"/>
  </si>
  <si>
    <t>ㄙ</t>
    <phoneticPr fontId="4" type="noConversion"/>
  </si>
  <si>
    <t>ㄒ = ㄙㄧ</t>
    <phoneticPr fontId="4" type="noConversion"/>
  </si>
  <si>
    <t>ㄘ</t>
    <phoneticPr fontId="4" type="noConversion"/>
  </si>
  <si>
    <t>ㄑ = ㄘㄧ</t>
    <phoneticPr fontId="4" type="noConversion"/>
  </si>
  <si>
    <t>調值</t>
  </si>
  <si>
    <t>方音調值</t>
  </si>
  <si>
    <t>四聲八調</t>
  </si>
  <si>
    <t>W調名</t>
  </si>
  <si>
    <t>鍵盤按鍵</t>
  </si>
  <si>
    <t>注音調符</t>
  </si>
  <si>
    <t>台羅調號</t>
  </si>
  <si>
    <t>陰平</t>
  </si>
  <si>
    <t>東</t>
  </si>
  <si>
    <t>tong1</t>
  </si>
  <si>
    <t>高音調</t>
  </si>
  <si>
    <t>;</t>
  </si>
  <si>
    <t/>
  </si>
  <si>
    <t>陽去</t>
  </si>
  <si>
    <t>動</t>
  </si>
  <si>
    <t>tong7</t>
  </si>
  <si>
    <t>中音調</t>
  </si>
  <si>
    <t>-</t>
  </si>
  <si>
    <t>ā</t>
  </si>
  <si>
    <t>ㄚ˫</t>
  </si>
  <si>
    <t>˫</t>
  </si>
  <si>
    <t>陰去</t>
  </si>
  <si>
    <t>棟</t>
  </si>
  <si>
    <t>tong3</t>
  </si>
  <si>
    <t>低音調</t>
  </si>
  <si>
    <t>_</t>
  </si>
  <si>
    <t>à</t>
  </si>
  <si>
    <t>ㄚ˪</t>
  </si>
  <si>
    <t>˪</t>
  </si>
  <si>
    <t>上声/陰上</t>
  </si>
  <si>
    <t>董</t>
  </si>
  <si>
    <t>tong2</t>
  </si>
  <si>
    <t>高降調</t>
  </si>
  <si>
    <t>\</t>
  </si>
  <si>
    <t>á</t>
  </si>
  <si>
    <t>ㄚˋ</t>
  </si>
  <si>
    <t>ˋ</t>
  </si>
  <si>
    <t>陽平</t>
  </si>
  <si>
    <t>同</t>
  </si>
  <si>
    <t>tong5</t>
  </si>
  <si>
    <t>低升調</t>
  </si>
  <si>
    <t>/</t>
  </si>
  <si>
    <t>â</t>
  </si>
  <si>
    <t>ㄚˊ</t>
  </si>
  <si>
    <t>ˊ</t>
  </si>
  <si>
    <t>陰入</t>
  </si>
  <si>
    <t>督</t>
  </si>
  <si>
    <t>tok4</t>
  </si>
  <si>
    <t>低促調</t>
  </si>
  <si>
    <t>[</t>
  </si>
  <si>
    <t>ㄚ◌</t>
  </si>
  <si>
    <t>陽入</t>
  </si>
  <si>
    <t>獨</t>
  </si>
  <si>
    <t>tok8</t>
  </si>
  <si>
    <t>高促調</t>
  </si>
  <si>
    <t>]</t>
  </si>
  <si>
    <t>ㄚ◌˙</t>
  </si>
  <si>
    <t>˙</t>
  </si>
  <si>
    <t>閩拼調號</t>
    <phoneticPr fontId="4" type="noConversion"/>
  </si>
  <si>
    <t>漢字</t>
    <phoneticPr fontId="4" type="noConversion"/>
  </si>
  <si>
    <t>台語音標</t>
    <phoneticPr fontId="4" type="noConversion"/>
  </si>
  <si>
    <t>羅馬拼音調符</t>
    <phoneticPr fontId="4" type="noConversion"/>
  </si>
  <si>
    <t>注音調符編碼</t>
    <phoneticPr fontId="4" type="noConversion"/>
  </si>
  <si>
    <t>拼音調符編碼</t>
    <phoneticPr fontId="4" type="noConversion"/>
  </si>
  <si>
    <t>U+0304</t>
  </si>
  <si>
    <t>U+0301</t>
  </si>
  <si>
    <t>調號</t>
  </si>
  <si>
    <t>U+030A</t>
  </si>
  <si>
    <t>U+030B</t>
  </si>
  <si>
    <t>閩拼調號</t>
    <phoneticPr fontId="23" type="noConversion"/>
  </si>
  <si>
    <t>W調序</t>
    <phoneticPr fontId="24" type="noConversion"/>
  </si>
  <si>
    <t>四聲八調</t>
    <phoneticPr fontId="25" type="noConversion"/>
  </si>
  <si>
    <t>W調名</t>
    <phoneticPr fontId="24" type="noConversion"/>
  </si>
  <si>
    <t>調值</t>
    <phoneticPr fontId="24" type="noConversion"/>
  </si>
  <si>
    <t>漢字</t>
    <phoneticPr fontId="24" type="noConversion"/>
  </si>
  <si>
    <t>台語音標</t>
    <phoneticPr fontId="24" type="noConversion"/>
  </si>
  <si>
    <t>拚音調符編碼</t>
    <phoneticPr fontId="24" type="noConversion"/>
  </si>
  <si>
    <t>帶調拚音字母</t>
    <phoneticPr fontId="24" type="noConversion"/>
  </si>
  <si>
    <t>拚音聲調按鍵</t>
    <phoneticPr fontId="24" type="noConversion"/>
  </si>
  <si>
    <t>閩拼音標</t>
    <phoneticPr fontId="24" type="noConversion"/>
  </si>
  <si>
    <t>帶調閩拚</t>
    <phoneticPr fontId="24" type="noConversion"/>
  </si>
  <si>
    <t>按鍵輸入</t>
    <phoneticPr fontId="25" type="noConversion"/>
  </si>
  <si>
    <t>注音調符編碼</t>
    <phoneticPr fontId="24" type="noConversion"/>
  </si>
  <si>
    <t>帶調注音符號</t>
    <phoneticPr fontId="24" type="noConversion"/>
  </si>
  <si>
    <t>注音聲調按鍵</t>
    <phoneticPr fontId="24" type="noConversion"/>
  </si>
  <si>
    <t>按鍵輸入</t>
  </si>
  <si>
    <t>輕聲</t>
    <phoneticPr fontId="24" type="noConversion"/>
  </si>
  <si>
    <t>輕聲調</t>
    <phoneticPr fontId="24" type="noConversion"/>
  </si>
  <si>
    <t>啊</t>
    <phoneticPr fontId="24" type="noConversion"/>
  </si>
  <si>
    <t>ah0</t>
    <phoneticPr fontId="24" type="noConversion"/>
  </si>
  <si>
    <t>U+030A</t>
    <phoneticPr fontId="24" type="noConversion"/>
  </si>
  <si>
    <t>U+0308</t>
    <phoneticPr fontId="24" type="noConversion"/>
  </si>
  <si>
    <t>ㄚㆷ˙</t>
  </si>
  <si>
    <t>ㄚㆷ7</t>
  </si>
  <si>
    <t>高音調</t>
    <phoneticPr fontId="24" type="noConversion"/>
  </si>
  <si>
    <t>東</t>
    <phoneticPr fontId="24" type="noConversion"/>
  </si>
  <si>
    <t>tong1</t>
    <phoneticPr fontId="24" type="noConversion"/>
  </si>
  <si>
    <t>U+0304</t>
    <phoneticPr fontId="24" type="noConversion"/>
  </si>
  <si>
    <t>;</t>
    <phoneticPr fontId="24" type="noConversion"/>
  </si>
  <si>
    <t>:</t>
  </si>
  <si>
    <t>ㄊㆲ</t>
  </si>
  <si>
    <t>ㄊㆲ:</t>
  </si>
  <si>
    <t>低升調</t>
    <phoneticPr fontId="24" type="noConversion"/>
  </si>
  <si>
    <t>同</t>
    <phoneticPr fontId="24" type="noConversion"/>
  </si>
  <si>
    <t>tong5</t>
    <phoneticPr fontId="24" type="noConversion"/>
  </si>
  <si>
    <t>U+0301</t>
    <phoneticPr fontId="24" type="noConversion"/>
  </si>
  <si>
    <t>/</t>
    <phoneticPr fontId="24" type="noConversion"/>
  </si>
  <si>
    <t>6</t>
    <phoneticPr fontId="24" type="noConversion"/>
  </si>
  <si>
    <t>ㄊㆲˊ</t>
  </si>
  <si>
    <t>ㄊㆲ6</t>
  </si>
  <si>
    <t>上声/陰上</t>
    <phoneticPr fontId="24" type="noConversion"/>
  </si>
  <si>
    <t>高降調</t>
    <phoneticPr fontId="24" type="noConversion"/>
  </si>
  <si>
    <t>董</t>
    <phoneticPr fontId="24" type="noConversion"/>
  </si>
  <si>
    <t>tong2</t>
    <phoneticPr fontId="24" type="noConversion"/>
  </si>
  <si>
    <t>U+030C</t>
    <phoneticPr fontId="24" type="noConversion"/>
  </si>
  <si>
    <t>\</t>
    <phoneticPr fontId="24" type="noConversion"/>
  </si>
  <si>
    <t>U+0300</t>
    <phoneticPr fontId="24" type="noConversion"/>
  </si>
  <si>
    <t>ㄊㆲˋ</t>
  </si>
  <si>
    <t>ㄊㆲ4</t>
  </si>
  <si>
    <t>上声/陽上</t>
    <phoneticPr fontId="24" type="noConversion"/>
  </si>
  <si>
    <t>低音調</t>
    <phoneticPr fontId="24" type="noConversion"/>
  </si>
  <si>
    <t>棟</t>
    <phoneticPr fontId="24" type="noConversion"/>
  </si>
  <si>
    <t>tong3</t>
    <phoneticPr fontId="24" type="noConversion"/>
  </si>
  <si>
    <t>_</t>
    <phoneticPr fontId="24" type="noConversion"/>
  </si>
  <si>
    <t>U+02EA</t>
    <phoneticPr fontId="24" type="noConversion"/>
  </si>
  <si>
    <t>ㄊㆲ˪</t>
  </si>
  <si>
    <t>ㄊㆲ3</t>
  </si>
  <si>
    <t>中音調</t>
    <phoneticPr fontId="24" type="noConversion"/>
  </si>
  <si>
    <t>動</t>
    <phoneticPr fontId="24" type="noConversion"/>
  </si>
  <si>
    <t>tong7</t>
    <phoneticPr fontId="24" type="noConversion"/>
  </si>
  <si>
    <t>U+0302</t>
    <phoneticPr fontId="24" type="noConversion"/>
  </si>
  <si>
    <t>-</t>
    <phoneticPr fontId="24" type="noConversion"/>
  </si>
  <si>
    <t>U+02EB</t>
    <phoneticPr fontId="24" type="noConversion"/>
  </si>
  <si>
    <t>5</t>
    <phoneticPr fontId="24" type="noConversion"/>
  </si>
  <si>
    <t>ㄊㆲ˫</t>
  </si>
  <si>
    <t>ㄊㆲ5</t>
  </si>
  <si>
    <t>低促調</t>
    <phoneticPr fontId="24" type="noConversion"/>
  </si>
  <si>
    <t>督</t>
    <phoneticPr fontId="24" type="noConversion"/>
  </si>
  <si>
    <t>tok4</t>
    <phoneticPr fontId="24" type="noConversion"/>
  </si>
  <si>
    <t>[</t>
    <phoneticPr fontId="24" type="noConversion"/>
  </si>
  <si>
    <t>ㄊㆦㆻ</t>
  </si>
  <si>
    <t>ㄊㆦㆻ[</t>
  </si>
  <si>
    <t>高促調</t>
    <phoneticPr fontId="24" type="noConversion"/>
  </si>
  <si>
    <t>獨</t>
    <phoneticPr fontId="24" type="noConversion"/>
  </si>
  <si>
    <t>tok8</t>
    <phoneticPr fontId="24" type="noConversion"/>
  </si>
  <si>
    <t>]</t>
    <phoneticPr fontId="24" type="noConversion"/>
  </si>
  <si>
    <t>U+02D9</t>
    <phoneticPr fontId="24" type="noConversion"/>
  </si>
  <si>
    <r>
      <rPr>
        <sz val="24"/>
        <color theme="5" tint="-0.249977111117893"/>
        <rFont val="Noto Sans TC"/>
        <family val="2"/>
        <charset val="136"/>
      </rPr>
      <t>ㄊㆦㆻ</t>
    </r>
    <r>
      <rPr>
        <sz val="24"/>
        <color theme="5" tint="-0.249977111117893"/>
        <rFont val="Arial"/>
        <family val="2"/>
      </rPr>
      <t>˙</t>
    </r>
    <phoneticPr fontId="24" type="noConversion"/>
  </si>
  <si>
    <t>ㄊㆦㆻ]</t>
  </si>
  <si>
    <t>U+02D9</t>
    <phoneticPr fontId="4" type="noConversion"/>
  </si>
  <si>
    <t>U+0300</t>
    <phoneticPr fontId="4" type="noConversion"/>
  </si>
  <si>
    <t>U+02EA</t>
    <phoneticPr fontId="4" type="noConversion"/>
  </si>
  <si>
    <t>U+0301</t>
    <phoneticPr fontId="4" type="noConversion"/>
  </si>
  <si>
    <t>U+02EB</t>
    <phoneticPr fontId="4" type="noConversion"/>
  </si>
  <si>
    <t>台羅拼音</t>
    <phoneticPr fontId="4" type="noConversion"/>
  </si>
  <si>
    <t>方音符號</t>
    <phoneticPr fontId="4" type="noConversion"/>
  </si>
  <si>
    <t>閩拼方案</t>
    <phoneticPr fontId="4" type="noConversion"/>
  </si>
  <si>
    <t>U+0302</t>
    <phoneticPr fontId="4" type="noConversion"/>
  </si>
  <si>
    <t>U+030C</t>
    <phoneticPr fontId="4" type="noConversion"/>
  </si>
  <si>
    <t>輕聲</t>
    <phoneticPr fontId="4" type="noConversion"/>
  </si>
  <si>
    <t>上平</t>
    <phoneticPr fontId="4" type="noConversion"/>
  </si>
  <si>
    <t>上聲</t>
    <phoneticPr fontId="4" type="noConversion"/>
  </si>
  <si>
    <t>上去</t>
    <phoneticPr fontId="4" type="noConversion"/>
  </si>
  <si>
    <t>上入</t>
    <phoneticPr fontId="4" type="noConversion"/>
  </si>
  <si>
    <t>下平</t>
    <phoneticPr fontId="4" type="noConversion"/>
  </si>
  <si>
    <t>下入</t>
    <phoneticPr fontId="4" type="noConversion"/>
  </si>
  <si>
    <t>下去</t>
    <phoneticPr fontId="4" type="noConversion"/>
  </si>
  <si>
    <t>U+0304</t>
    <phoneticPr fontId="4" type="noConversion"/>
  </si>
  <si>
    <t>台羅調符編碼</t>
    <phoneticPr fontId="4" type="noConversion"/>
  </si>
  <si>
    <t>方音調符編碼</t>
    <phoneticPr fontId="4" type="noConversion"/>
  </si>
  <si>
    <t>閩拼調符編碼</t>
    <phoneticPr fontId="4" type="noConversion"/>
  </si>
  <si>
    <t>調名</t>
    <phoneticPr fontId="4" type="noConversion"/>
  </si>
  <si>
    <t>ah</t>
    <phoneticPr fontId="4" type="noConversion"/>
  </si>
  <si>
    <t>a̍h</t>
    <phoneticPr fontId="4" type="noConversion"/>
  </si>
  <si>
    <t>U+030D</t>
    <phoneticPr fontId="4" type="noConversion"/>
  </si>
  <si>
    <t>Charis</t>
    <phoneticPr fontId="4" type="noConversion"/>
  </si>
  <si>
    <t>Noto Sans TC Medium</t>
    <phoneticPr fontId="4" type="noConversion"/>
  </si>
  <si>
    <t>niɑoh</t>
  </si>
  <si>
    <t>nuɑih</t>
  </si>
  <si>
    <t>iɑŋ</t>
  </si>
  <si>
    <t>iɑnɡ</t>
  </si>
  <si>
    <t>iauʔ</t>
  </si>
  <si>
    <t>ionɡ</t>
  </si>
  <si>
    <t>ɛ̃ʔ</t>
  </si>
  <si>
    <t>nɑeh</t>
  </si>
  <si>
    <t>ãuʔ</t>
  </si>
  <si>
    <t>aunnh</t>
  </si>
  <si>
    <t>nɑoh</t>
  </si>
  <si>
    <t>iãʔ</t>
  </si>
  <si>
    <t>niɑh</t>
  </si>
  <si>
    <t>niɑo</t>
  </si>
  <si>
    <t>ɔ̃ʔ</t>
  </si>
  <si>
    <t>ɑeh</t>
  </si>
  <si>
    <t>ɑŋ</t>
  </si>
  <si>
    <t>anɡ</t>
  </si>
  <si>
    <t>auʔ</t>
  </si>
  <si>
    <t>ɑoh</t>
  </si>
  <si>
    <t>iaʔ</t>
  </si>
  <si>
    <t>iɑh</t>
  </si>
  <si>
    <t>iɑk</t>
  </si>
  <si>
    <t>iɑm</t>
  </si>
  <si>
    <t>iɑn</t>
  </si>
  <si>
    <t>iɑo</t>
  </si>
  <si>
    <t>iɑp</t>
  </si>
  <si>
    <t>iɑt</t>
  </si>
  <si>
    <t>inɡ</t>
  </si>
  <si>
    <t>ioʔ</t>
  </si>
  <si>
    <t>iuʔ</t>
  </si>
  <si>
    <t>iuh</t>
  </si>
  <si>
    <t>nɑe</t>
  </si>
  <si>
    <t>ãʔ</t>
  </si>
  <si>
    <t>nɑh</t>
  </si>
  <si>
    <t>ãi</t>
  </si>
  <si>
    <t>nɑi</t>
  </si>
  <si>
    <t>ãu</t>
  </si>
  <si>
    <t>nɑo</t>
  </si>
  <si>
    <t>ŋ̍ʔ</t>
  </si>
  <si>
    <t>ngh</t>
  </si>
  <si>
    <t>iã</t>
  </si>
  <si>
    <t>ɔ̃</t>
  </si>
  <si>
    <t>onɡ</t>
  </si>
  <si>
    <t>ɔʔ</t>
  </si>
  <si>
    <t>ooh</t>
  </si>
  <si>
    <t>uaʔ</t>
  </si>
  <si>
    <t>uɑh</t>
  </si>
  <si>
    <t>uɑi</t>
  </si>
  <si>
    <t>uɑn</t>
  </si>
  <si>
    <t>uɑt</t>
  </si>
  <si>
    <t>ueʔ</t>
  </si>
  <si>
    <t>ɑe</t>
  </si>
  <si>
    <t>aʔ</t>
  </si>
  <si>
    <t>ɑh</t>
  </si>
  <si>
    <t>ɑk</t>
  </si>
  <si>
    <t>ɑm</t>
  </si>
  <si>
    <t>ɑn</t>
  </si>
  <si>
    <t>ɑp</t>
  </si>
  <si>
    <t>ɑt</t>
  </si>
  <si>
    <t>eʔ</t>
  </si>
  <si>
    <t>ɯ</t>
  </si>
  <si>
    <t>ir</t>
  </si>
  <si>
    <t>eu</t>
  </si>
  <si>
    <t>iɑ</t>
  </si>
  <si>
    <t>ə~ɤ</t>
  </si>
  <si>
    <t>er</t>
  </si>
  <si>
    <t>ie</t>
  </si>
  <si>
    <t>iʔ</t>
  </si>
  <si>
    <t>m̩ʔ</t>
  </si>
  <si>
    <t>mh</t>
  </si>
  <si>
    <t>ĩ</t>
  </si>
  <si>
    <t>oʔ</t>
  </si>
  <si>
    <t>ɔk</t>
  </si>
  <si>
    <t>ɔ</t>
  </si>
  <si>
    <t>ɔp</t>
  </si>
  <si>
    <t>uɑ</t>
  </si>
  <si>
    <t>uʔ</t>
  </si>
  <si>
    <t>ɑ</t>
  </si>
  <si>
    <t>iɔʔ</t>
  </si>
  <si>
    <t>iooh</t>
  </si>
  <si>
    <t>ɔu</t>
  </si>
  <si>
    <t>æ</t>
  </si>
  <si>
    <t>ae</t>
  </si>
  <si>
    <t>uæ</t>
  </si>
  <si>
    <t>uae</t>
  </si>
  <si>
    <t>æ̃</t>
  </si>
  <si>
    <t>aenn</t>
  </si>
  <si>
    <t>eu~eo</t>
  </si>
  <si>
    <t>iɔ</t>
  </si>
  <si>
    <t>ioo</t>
  </si>
  <si>
    <t>eŋ</t>
  </si>
  <si>
    <t>iaunnh</t>
    <phoneticPr fontId="4" type="noConversion"/>
  </si>
  <si>
    <t>白話字</t>
    <phoneticPr fontId="4" type="noConversion"/>
  </si>
  <si>
    <t>ioh</t>
    <phoneticPr fontId="4" type="noConversion"/>
  </si>
  <si>
    <t>台語注音二式</t>
  </si>
  <si>
    <t>台語注音二式</t>
    <phoneticPr fontId="4" type="noConversion"/>
  </si>
  <si>
    <t>十五音</t>
    <phoneticPr fontId="4" type="noConversion"/>
  </si>
  <si>
    <t>國際音標</t>
    <phoneticPr fontId="4" type="noConversion"/>
  </si>
  <si>
    <t>iat̚</t>
    <phoneticPr fontId="4" type="noConversion"/>
  </si>
  <si>
    <t>uat̚</t>
    <phoneticPr fontId="4" type="noConversion"/>
  </si>
  <si>
    <t>at̚</t>
    <phoneticPr fontId="4" type="noConversion"/>
  </si>
  <si>
    <t>it̚</t>
    <phoneticPr fontId="4" type="noConversion"/>
  </si>
  <si>
    <t>ut̚</t>
    <phoneticPr fontId="4" type="noConversion"/>
  </si>
  <si>
    <t>iap̚</t>
    <phoneticPr fontId="4" type="noConversion"/>
  </si>
  <si>
    <t>ap̚</t>
    <phoneticPr fontId="4" type="noConversion"/>
  </si>
  <si>
    <t>ip̚</t>
    <phoneticPr fontId="4" type="noConversion"/>
  </si>
  <si>
    <t>ɔp̚</t>
    <phoneticPr fontId="4" type="noConversion"/>
  </si>
  <si>
    <t>iɑk̚</t>
    <phoneticPr fontId="4" type="noConversion"/>
  </si>
  <si>
    <t>ɑk̚</t>
    <phoneticPr fontId="4" type="noConversion"/>
  </si>
  <si>
    <t>ik̚</t>
    <phoneticPr fontId="4" type="noConversion"/>
  </si>
  <si>
    <t>ɔk̚</t>
    <phoneticPr fontId="4" type="noConversion"/>
  </si>
  <si>
    <t>ek̚</t>
    <phoneticPr fontId="4" type="noConversion"/>
  </si>
  <si>
    <t>ɛʔ</t>
  </si>
  <si>
    <t>εʔ</t>
    <phoneticPr fontId="4" type="noConversion"/>
  </si>
  <si>
    <t>iook</t>
  </si>
  <si>
    <t>iook</t>
    <phoneticPr fontId="4" type="noConversion"/>
  </si>
  <si>
    <t>iɔk̚</t>
    <phoneticPr fontId="4" type="noConversion"/>
  </si>
  <si>
    <t>序號</t>
    <phoneticPr fontId="4" type="noConversion"/>
  </si>
  <si>
    <t>字長</t>
    <phoneticPr fontId="4" type="noConversion"/>
  </si>
  <si>
    <t>對映</t>
    <phoneticPr fontId="4" type="noConversion"/>
  </si>
  <si>
    <t>ahⁿ</t>
  </si>
  <si>
    <t>ehⁿ</t>
  </si>
  <si>
    <t>ihⁿ</t>
  </si>
  <si>
    <t>oaihⁿ</t>
  </si>
  <si>
    <t>iauhⁿ</t>
  </si>
  <si>
    <t>ohⁿ</t>
  </si>
  <si>
    <t>ɔu</t>
    <phoneticPr fontId="4" type="noConversion"/>
  </si>
  <si>
    <t>onn</t>
    <phoneticPr fontId="4" type="noConversion"/>
  </si>
  <si>
    <t>ɔ̃ʔ</t>
    <phoneticPr fontId="4" type="noConversion"/>
  </si>
  <si>
    <t>ɔ̃</t>
    <phoneticPr fontId="4" type="noConversion"/>
  </si>
  <si>
    <t>ㄝㆷ</t>
    <phoneticPr fontId="4" type="noConversion"/>
  </si>
  <si>
    <t>ㄨㄞㆷ</t>
    <phoneticPr fontId="4" type="noConversion"/>
  </si>
  <si>
    <t>ㆦ</t>
    <phoneticPr fontId="4" type="noConversion"/>
  </si>
  <si>
    <t>ㄧㄠㆷ</t>
    <phoneticPr fontId="4" type="noConversion"/>
  </si>
  <si>
    <t>ㄜㆷ</t>
    <phoneticPr fontId="4" type="noConversion"/>
  </si>
  <si>
    <t>ㄧㄤ</t>
    <phoneticPr fontId="4" type="noConversion"/>
  </si>
  <si>
    <t>ㄧㄚㆻ</t>
    <phoneticPr fontId="4" type="noConversion"/>
  </si>
  <si>
    <t>ㄨㄚㆷ</t>
    <phoneticPr fontId="4" type="noConversion"/>
  </si>
  <si>
    <t>ㄤ</t>
    <phoneticPr fontId="4" type="noConversion"/>
  </si>
  <si>
    <t>ㄠㆷ</t>
    <phoneticPr fontId="4" type="noConversion"/>
  </si>
  <si>
    <t>ㄧㄚㆷ</t>
    <phoneticPr fontId="4" type="noConversion"/>
  </si>
  <si>
    <t>ㄨㆤㆷ</t>
    <phoneticPr fontId="4" type="noConversion"/>
  </si>
  <si>
    <t>ㆩㆷ</t>
    <phoneticPr fontId="4" type="noConversion"/>
  </si>
  <si>
    <t>ㄨㆷ</t>
    <phoneticPr fontId="4" type="noConversion"/>
  </si>
  <si>
    <t>ㄚㆷ</t>
    <phoneticPr fontId="4" type="noConversion"/>
  </si>
  <si>
    <t>ㄧㆷ</t>
    <phoneticPr fontId="4" type="noConversion"/>
  </si>
  <si>
    <t>ㆥㆷ</t>
    <phoneticPr fontId="4" type="noConversion"/>
  </si>
  <si>
    <t>ㄧㄜㆷ</t>
    <phoneticPr fontId="4" type="noConversion"/>
  </si>
  <si>
    <t>ㆪㆷ</t>
    <phoneticPr fontId="4" type="noConversion"/>
  </si>
  <si>
    <t>ㆤㆷ</t>
    <phoneticPr fontId="4" type="noConversion"/>
  </si>
  <si>
    <t>ㆧ</t>
    <phoneticPr fontId="4" type="noConversion"/>
  </si>
  <si>
    <t>ㄨㄤ</t>
    <phoneticPr fontId="4" type="noConversion"/>
  </si>
  <si>
    <t>ㄨㆮㆷ</t>
    <phoneticPr fontId="4" type="noConversion"/>
  </si>
  <si>
    <t>ㄧㆯㆷ</t>
    <phoneticPr fontId="4" type="noConversion"/>
  </si>
  <si>
    <t>ㆧㆷ</t>
    <phoneticPr fontId="4" type="noConversion"/>
  </si>
  <si>
    <t>韻母五十字</t>
  </si>
  <si>
    <t>韻母</t>
  </si>
  <si>
    <t>千</t>
  </si>
  <si>
    <t>*un/t</t>
  </si>
  <si>
    <t>*ian/t</t>
  </si>
  <si>
    <t>*im/p</t>
  </si>
  <si>
    <t>*ui</t>
  </si>
  <si>
    <t>*ɛ(ʔ)</t>
  </si>
  <si>
    <t>*an/t</t>
  </si>
  <si>
    <t>*ɔŋ/k</t>
  </si>
  <si>
    <t>*uai(ʔ)</t>
  </si>
  <si>
    <t>*ɛŋ/k</t>
  </si>
  <si>
    <t>*uan/t</t>
  </si>
  <si>
    <t>[un/t̚]</t>
  </si>
  <si>
    <t>[ɪan/t̚]</t>
  </si>
  <si>
    <t>[im/p̚]</t>
  </si>
  <si>
    <t>[ui]</t>
  </si>
  <si>
    <t>[ɛ(ʔ)]</t>
  </si>
  <si>
    <t>[an/t̚]</t>
  </si>
  <si>
    <t>[ɔŋ/k̚]</t>
  </si>
  <si>
    <t>[uai(ʔ)]</t>
  </si>
  <si>
    <t>[ɪŋ/k̚]</t>
  </si>
  <si>
    <t>[uan/t̚]</t>
  </si>
  <si>
    <t>閩南拼音</t>
  </si>
  <si>
    <t>un/t</t>
  </si>
  <si>
    <t>ian/t</t>
  </si>
  <si>
    <t>im/p</t>
  </si>
  <si>
    <t>e(h)</t>
  </si>
  <si>
    <t>an/t</t>
  </si>
  <si>
    <t>ong/k</t>
  </si>
  <si>
    <t>uai(h)</t>
  </si>
  <si>
    <t>ing/k</t>
  </si>
  <si>
    <t>uan/t</t>
  </si>
  <si>
    <t>ee(h)</t>
  </si>
  <si>
    <t>馬重奇擬音</t>
  </si>
  <si>
    <t>*ɔu</t>
  </si>
  <si>
    <t>*iau(ʔ)</t>
  </si>
  <si>
    <t>*ei</t>
  </si>
  <si>
    <t>*iɔŋ/k</t>
  </si>
  <si>
    <t>*o(ʔ)</t>
  </si>
  <si>
    <t>*ai</t>
  </si>
  <si>
    <t>*in/t</t>
  </si>
  <si>
    <t>*iaŋ/k</t>
  </si>
  <si>
    <t>*am/p</t>
  </si>
  <si>
    <t>*ua(ʔ)</t>
  </si>
  <si>
    <t>[ɔ]</t>
  </si>
  <si>
    <t>[ɪaʊ(ʔ)]</t>
  </si>
  <si>
    <t>[e]</t>
  </si>
  <si>
    <t>[ɪɔŋ/k̚]</t>
  </si>
  <si>
    <t>[o(ʔ)]</t>
  </si>
  <si>
    <t>[aɪ]</t>
  </si>
  <si>
    <t>[in/t̚]</t>
  </si>
  <si>
    <t>[ɪaŋ/k̚]</t>
  </si>
  <si>
    <t>[am/p̚]</t>
  </si>
  <si>
    <t>[ua(ʔ)]</t>
  </si>
  <si>
    <t>iao(h)</t>
  </si>
  <si>
    <t>iong/k</t>
  </si>
  <si>
    <t>o(h)</t>
  </si>
  <si>
    <t>in/t</t>
  </si>
  <si>
    <t>iang/k</t>
  </si>
  <si>
    <t>am/p</t>
  </si>
  <si>
    <t>ua(h)</t>
  </si>
  <si>
    <t>iau(h)</t>
  </si>
  <si>
    <t>*aŋ/k</t>
  </si>
  <si>
    <t>*iam/p</t>
  </si>
  <si>
    <t>*au(ʔ)</t>
  </si>
  <si>
    <t>*ia(ʔ)</t>
  </si>
  <si>
    <t>*uei(ʔ)</t>
  </si>
  <si>
    <t>*ã(ʔ)</t>
  </si>
  <si>
    <t>*u(ʔ)</t>
  </si>
  <si>
    <t>*a(ʔ)</t>
  </si>
  <si>
    <t>*i(ʔ)</t>
  </si>
  <si>
    <t>*iu</t>
  </si>
  <si>
    <t>[aŋ/k̚]</t>
  </si>
  <si>
    <t>[iam/p̚]</t>
  </si>
  <si>
    <t>[aʊ(ʔ)]</t>
  </si>
  <si>
    <t>[ɪa(ʔ)]</t>
  </si>
  <si>
    <t>[ue(ʔ)]</t>
  </si>
  <si>
    <t>[ã(ʔ)]</t>
  </si>
  <si>
    <t>[u(ʔ)]</t>
  </si>
  <si>
    <t>[a(ʔ)]</t>
  </si>
  <si>
    <t>[i(ʔ)]</t>
  </si>
  <si>
    <t>[iu]</t>
  </si>
  <si>
    <t>ang/k</t>
  </si>
  <si>
    <t>iam/p</t>
  </si>
  <si>
    <t>ao(h)</t>
  </si>
  <si>
    <t>ia(h)</t>
  </si>
  <si>
    <t>ue(h)</t>
  </si>
  <si>
    <t>na(h)</t>
  </si>
  <si>
    <t>u(h)</t>
  </si>
  <si>
    <t>a(h)</t>
  </si>
  <si>
    <t>i(h)</t>
  </si>
  <si>
    <t>au(h)</t>
  </si>
  <si>
    <t>ann(h)</t>
  </si>
  <si>
    <t>*ɛ̃</t>
  </si>
  <si>
    <t>*ũĩ</t>
  </si>
  <si>
    <t>*io(ʔ)</t>
  </si>
  <si>
    <t>*ĩ(ʔ)</t>
  </si>
  <si>
    <t>*ĩõ</t>
  </si>
  <si>
    <t>*ĩã</t>
  </si>
  <si>
    <t>*ũã</t>
  </si>
  <si>
    <t>*ŋ</t>
  </si>
  <si>
    <t>*e(ʔ)</t>
  </si>
  <si>
    <t>*ãĩ</t>
  </si>
  <si>
    <t>[ẽ]</t>
  </si>
  <si>
    <t>[ũĩ]</t>
  </si>
  <si>
    <t>[ɪo(ʔ)]</t>
  </si>
  <si>
    <t>[ĩ(ʔ)]</t>
  </si>
  <si>
    <t>[ĩɔ̃]</t>
  </si>
  <si>
    <t>[ĩã]</t>
  </si>
  <si>
    <t>[ũã]</t>
  </si>
  <si>
    <t>[ŋ̍]</t>
  </si>
  <si>
    <t>[e(ʔ)]</t>
  </si>
  <si>
    <t>[ãĩ]</t>
  </si>
  <si>
    <t>io(h)</t>
  </si>
  <si>
    <t>ni(h)</t>
  </si>
  <si>
    <t>inn(h)</t>
  </si>
  <si>
    <t>*õũ</t>
  </si>
  <si>
    <t>*m</t>
  </si>
  <si>
    <t>*uaŋ/k</t>
  </si>
  <si>
    <t>*ũãĩ(ʔ)</t>
  </si>
  <si>
    <t>*ũẽĩ(ʔ)</t>
  </si>
  <si>
    <t>*ĩãũ(ʔ)</t>
  </si>
  <si>
    <t>*ɔm/p</t>
  </si>
  <si>
    <t>*ãũ</t>
  </si>
  <si>
    <t>*õ(ʔ)</t>
  </si>
  <si>
    <t>*ĩũ</t>
  </si>
  <si>
    <t>[ɔ̃]</t>
  </si>
  <si>
    <t>[m̩]</t>
  </si>
  <si>
    <t>[uaŋ/k̚]</t>
  </si>
  <si>
    <t>[ũãĩ(ʔ)]</t>
  </si>
  <si>
    <t>[ũẽ(ʔ)]</t>
  </si>
  <si>
    <t>[ĩãũ(ʔ)]</t>
  </si>
  <si>
    <t>[ɔm/p̚]</t>
  </si>
  <si>
    <t>[ãũ]</t>
  </si>
  <si>
    <t>[ɔ̃(ʔ)]</t>
  </si>
  <si>
    <t>[ĩũ]</t>
  </si>
  <si>
    <t>uang/k</t>
  </si>
  <si>
    <t>nuai(h)</t>
  </si>
  <si>
    <t>nue(h)</t>
  </si>
  <si>
    <t>niao(h)</t>
  </si>
  <si>
    <t>om/p</t>
  </si>
  <si>
    <t>noo(h)</t>
  </si>
  <si>
    <t>uainn(h)</t>
  </si>
  <si>
    <t>uenn(h)</t>
  </si>
  <si>
    <t>iaunn(h)</t>
  </si>
  <si>
    <t>onn(h)</t>
  </si>
  <si>
    <t>馬重奇擬音</t>
    <phoneticPr fontId="4" type="noConversion"/>
  </si>
  <si>
    <t>ɛ(ʔ)</t>
  </si>
  <si>
    <t>ɔŋ/k</t>
  </si>
  <si>
    <t>uai(ʔ)</t>
  </si>
  <si>
    <t>ɛŋ/k</t>
  </si>
  <si>
    <t>iau(ʔ)</t>
  </si>
  <si>
    <t>iɔŋ/k</t>
  </si>
  <si>
    <t>o(ʔ)</t>
  </si>
  <si>
    <t>iaŋ/k</t>
  </si>
  <si>
    <t>ua(ʔ)</t>
  </si>
  <si>
    <t>aŋ/k</t>
  </si>
  <si>
    <t>au(ʔ)</t>
  </si>
  <si>
    <t>ia(ʔ)</t>
  </si>
  <si>
    <t>uei(ʔ)</t>
  </si>
  <si>
    <t>ã(ʔ)</t>
  </si>
  <si>
    <t>u(ʔ)</t>
  </si>
  <si>
    <t>a(ʔ)</t>
  </si>
  <si>
    <t>i(ʔ)</t>
  </si>
  <si>
    <t>ũĩ</t>
  </si>
  <si>
    <t>io(ʔ)</t>
  </si>
  <si>
    <t>ĩ(ʔ)</t>
  </si>
  <si>
    <t>ĩõ</t>
  </si>
  <si>
    <t>ĩã</t>
  </si>
  <si>
    <t>ũã</t>
  </si>
  <si>
    <t>e(ʔ)</t>
  </si>
  <si>
    <t>ãĩ</t>
  </si>
  <si>
    <t>õũ</t>
  </si>
  <si>
    <t>uaŋ/k</t>
  </si>
  <si>
    <t>ũãĩ(ʔ)</t>
  </si>
  <si>
    <t>ũẽĩ(ʔ)</t>
  </si>
  <si>
    <t>ĩãũ(ʔ)</t>
  </si>
  <si>
    <t>ɔm/p</t>
  </si>
  <si>
    <t>ãũ</t>
  </si>
  <si>
    <t>õ(ʔ)</t>
  </si>
  <si>
    <t>ĩũ</t>
  </si>
  <si>
    <t>舒聲韻母</t>
    <phoneticPr fontId="4" type="noConversion"/>
  </si>
  <si>
    <t>促聲韻母</t>
    <phoneticPr fontId="4" type="noConversion"/>
  </si>
  <si>
    <t>(</t>
    <phoneticPr fontId="4" type="noConversion"/>
  </si>
  <si>
    <t>uaiʔ</t>
  </si>
  <si>
    <t>ɛŋ</t>
  </si>
  <si>
    <t>ɛk</t>
  </si>
  <si>
    <t>iɔk</t>
  </si>
  <si>
    <t>ueiʔ</t>
  </si>
  <si>
    <t>ã</t>
  </si>
  <si>
    <t>ĩʔ</t>
  </si>
  <si>
    <t>ũãĩ</t>
  </si>
  <si>
    <t>ũãĩʔ</t>
  </si>
  <si>
    <t>ũẽĩ</t>
  </si>
  <si>
    <t>ũẽĩʔ</t>
  </si>
  <si>
    <t>ĩãũ</t>
  </si>
  <si>
    <t>ĩãũʔ</t>
  </si>
  <si>
    <t>õ</t>
  </si>
  <si>
    <t>õʔ</t>
  </si>
  <si>
    <t>/</t>
    <phoneticPr fontId="4" type="noConversion"/>
  </si>
  <si>
    <t>ɪan/t̚</t>
  </si>
  <si>
    <t>im/p̚</t>
  </si>
  <si>
    <t>an/t̚</t>
  </si>
  <si>
    <t>ɔŋ/k̚</t>
  </si>
  <si>
    <t>ɪŋ/k̚</t>
  </si>
  <si>
    <t>uan/t̚</t>
  </si>
  <si>
    <t>ɪaʊ(ʔ)</t>
  </si>
  <si>
    <t>ɪɔŋ/k̚</t>
  </si>
  <si>
    <t>aɪ</t>
  </si>
  <si>
    <t>in/t̚</t>
  </si>
  <si>
    <t>ɪaŋ/k̚</t>
  </si>
  <si>
    <t>am/p̚</t>
  </si>
  <si>
    <t>aŋ/k̚</t>
  </si>
  <si>
    <t>iam/p̚</t>
  </si>
  <si>
    <t>aʊ(ʔ)</t>
  </si>
  <si>
    <t>ɪa(ʔ)</t>
  </si>
  <si>
    <t>ue(ʔ)</t>
  </si>
  <si>
    <t>ẽ</t>
  </si>
  <si>
    <t>ɪo(ʔ)</t>
  </si>
  <si>
    <t>ĩɔ̃</t>
  </si>
  <si>
    <t>uaŋ/k̚</t>
  </si>
  <si>
    <t>ũẽ(ʔ)</t>
  </si>
  <si>
    <t>ɔm/p̚</t>
  </si>
  <si>
    <t>ɔ̃(ʔ)</t>
  </si>
  <si>
    <r>
      <t>ũẽ</t>
    </r>
    <r>
      <rPr>
        <sz val="16"/>
        <color theme="1"/>
        <rFont val="Segoe UI"/>
        <family val="2"/>
        <charset val="1"/>
      </rPr>
      <t>ʔ</t>
    </r>
    <phoneticPr fontId="4" type="noConversion"/>
  </si>
  <si>
    <t>ɪan</t>
  </si>
  <si>
    <t>ɪat̚</t>
  </si>
  <si>
    <t>ɪŋ</t>
  </si>
  <si>
    <t>ɪk̚</t>
  </si>
  <si>
    <t>ɪaʊ</t>
  </si>
  <si>
    <t>ɪaʊʔ</t>
  </si>
  <si>
    <t>ɪɔŋ</t>
  </si>
  <si>
    <t>ɪɔk̚</t>
  </si>
  <si>
    <t>ɪaŋ</t>
  </si>
  <si>
    <t>ɪak̚</t>
  </si>
  <si>
    <t>aʊ</t>
  </si>
  <si>
    <t>aʊʔ</t>
  </si>
  <si>
    <t>ɪa</t>
  </si>
  <si>
    <t>ɪo</t>
  </si>
  <si>
    <t>ɪoʔ</t>
  </si>
  <si>
    <t>ũẽ</t>
  </si>
  <si>
    <t>ũẽʔ</t>
  </si>
  <si>
    <t>ian</t>
    <phoneticPr fontId="4" type="noConversion"/>
  </si>
  <si>
    <t>iat</t>
    <phoneticPr fontId="4" type="noConversion"/>
  </si>
  <si>
    <t>ip</t>
    <phoneticPr fontId="4" type="noConversion"/>
  </si>
  <si>
    <t>eh</t>
    <phoneticPr fontId="4" type="noConversion"/>
  </si>
  <si>
    <t>e</t>
    <phoneticPr fontId="4" type="noConversion"/>
  </si>
  <si>
    <t>an</t>
    <phoneticPr fontId="4" type="noConversion"/>
  </si>
  <si>
    <t>at</t>
    <phoneticPr fontId="4" type="noConversion"/>
  </si>
  <si>
    <t>ak</t>
    <phoneticPr fontId="4" type="noConversion"/>
  </si>
  <si>
    <t>ok</t>
    <phoneticPr fontId="4" type="noConversion"/>
  </si>
  <si>
    <t>ong</t>
    <phoneticPr fontId="4" type="noConversion"/>
  </si>
  <si>
    <t>uaih</t>
    <phoneticPr fontId="4" type="noConversion"/>
  </si>
  <si>
    <t>ik</t>
    <phoneticPr fontId="4" type="noConversion"/>
  </si>
  <si>
    <t>uat</t>
    <phoneticPr fontId="4" type="noConversion"/>
  </si>
  <si>
    <t>iaoh</t>
    <phoneticPr fontId="4" type="noConversion"/>
  </si>
  <si>
    <t>iok</t>
    <phoneticPr fontId="4" type="noConversion"/>
  </si>
  <si>
    <t>oh</t>
    <phoneticPr fontId="4" type="noConversion"/>
  </si>
  <si>
    <t>it</t>
    <phoneticPr fontId="4" type="noConversion"/>
  </si>
  <si>
    <t>iak</t>
    <phoneticPr fontId="4" type="noConversion"/>
  </si>
  <si>
    <t>ap</t>
    <phoneticPr fontId="4" type="noConversion"/>
  </si>
  <si>
    <t>uah</t>
    <phoneticPr fontId="4" type="noConversion"/>
  </si>
  <si>
    <t>iap</t>
    <phoneticPr fontId="4" type="noConversion"/>
  </si>
  <si>
    <t>aoh</t>
    <phoneticPr fontId="4" type="noConversion"/>
  </si>
  <si>
    <t>iah</t>
    <phoneticPr fontId="4" type="noConversion"/>
  </si>
  <si>
    <t>ueh</t>
    <phoneticPr fontId="4" type="noConversion"/>
  </si>
  <si>
    <t>nah</t>
    <phoneticPr fontId="4" type="noConversion"/>
  </si>
  <si>
    <t>uh</t>
    <phoneticPr fontId="4" type="noConversion"/>
  </si>
  <si>
    <t>ih</t>
    <phoneticPr fontId="4" type="noConversion"/>
  </si>
  <si>
    <t>nih</t>
    <phoneticPr fontId="4" type="noConversion"/>
  </si>
  <si>
    <t>nooh</t>
    <phoneticPr fontId="4" type="noConversion"/>
  </si>
  <si>
    <t>op</t>
    <phoneticPr fontId="4" type="noConversion"/>
  </si>
  <si>
    <t>niaoh</t>
    <phoneticPr fontId="4" type="noConversion"/>
  </si>
  <si>
    <t>nueh</t>
    <phoneticPr fontId="4" type="noConversion"/>
  </si>
  <si>
    <t>nuaih</t>
    <phoneticPr fontId="4" type="noConversion"/>
  </si>
  <si>
    <t>uak</t>
    <phoneticPr fontId="4" type="noConversion"/>
  </si>
  <si>
    <t>uai</t>
    <phoneticPr fontId="4" type="noConversion"/>
  </si>
  <si>
    <t>ing</t>
    <phoneticPr fontId="4" type="noConversion"/>
  </si>
  <si>
    <t>uan</t>
    <phoneticPr fontId="4" type="noConversion"/>
  </si>
  <si>
    <t>iao</t>
    <phoneticPr fontId="4" type="noConversion"/>
  </si>
  <si>
    <t>iong</t>
    <phoneticPr fontId="4" type="noConversion"/>
  </si>
  <si>
    <t>o</t>
    <phoneticPr fontId="4" type="noConversion"/>
  </si>
  <si>
    <t>in</t>
    <phoneticPr fontId="4" type="noConversion"/>
  </si>
  <si>
    <t>iang</t>
    <phoneticPr fontId="4" type="noConversion"/>
  </si>
  <si>
    <t>am</t>
    <phoneticPr fontId="4" type="noConversion"/>
  </si>
  <si>
    <t>ua</t>
    <phoneticPr fontId="4" type="noConversion"/>
  </si>
  <si>
    <t>ang</t>
    <phoneticPr fontId="4" type="noConversion"/>
  </si>
  <si>
    <t>iam</t>
    <phoneticPr fontId="4" type="noConversion"/>
  </si>
  <si>
    <t>ao</t>
    <phoneticPr fontId="4" type="noConversion"/>
  </si>
  <si>
    <t>ia</t>
    <phoneticPr fontId="4" type="noConversion"/>
  </si>
  <si>
    <t>ue</t>
    <phoneticPr fontId="4" type="noConversion"/>
  </si>
  <si>
    <t>na</t>
    <phoneticPr fontId="4" type="noConversion"/>
  </si>
  <si>
    <t>u</t>
    <phoneticPr fontId="4" type="noConversion"/>
  </si>
  <si>
    <t>a</t>
    <phoneticPr fontId="4" type="noConversion"/>
  </si>
  <si>
    <t>i</t>
    <phoneticPr fontId="4" type="noConversion"/>
  </si>
  <si>
    <t>io</t>
    <phoneticPr fontId="4" type="noConversion"/>
  </si>
  <si>
    <t>ni</t>
    <phoneticPr fontId="4" type="noConversion"/>
  </si>
  <si>
    <t>uang</t>
    <phoneticPr fontId="4" type="noConversion"/>
  </si>
  <si>
    <t>nuai</t>
    <phoneticPr fontId="4" type="noConversion"/>
  </si>
  <si>
    <t>nue</t>
    <phoneticPr fontId="4" type="noConversion"/>
  </si>
  <si>
    <t>niao</t>
    <phoneticPr fontId="4" type="noConversion"/>
  </si>
  <si>
    <t>noo</t>
    <phoneticPr fontId="4" type="noConversion"/>
  </si>
  <si>
    <t>閩南拼音</t>
    <phoneticPr fontId="4" type="noConversion"/>
  </si>
  <si>
    <t>eeh</t>
    <phoneticPr fontId="4" type="noConversion"/>
  </si>
  <si>
    <t>ee</t>
    <phoneticPr fontId="4" type="noConversion"/>
  </si>
  <si>
    <t>iauh</t>
    <phoneticPr fontId="4" type="noConversion"/>
  </si>
  <si>
    <t>iau</t>
    <phoneticPr fontId="4" type="noConversion"/>
  </si>
  <si>
    <t>auh</t>
    <phoneticPr fontId="4" type="noConversion"/>
  </si>
  <si>
    <t>au</t>
    <phoneticPr fontId="4" type="noConversion"/>
  </si>
  <si>
    <t>annh</t>
    <phoneticPr fontId="4" type="noConversion"/>
  </si>
  <si>
    <t>ann</t>
    <phoneticPr fontId="4" type="noConversion"/>
  </si>
  <si>
    <t>innh</t>
    <phoneticPr fontId="4" type="noConversion"/>
  </si>
  <si>
    <t>inn</t>
    <phoneticPr fontId="4" type="noConversion"/>
  </si>
  <si>
    <t>uainnh</t>
    <phoneticPr fontId="4" type="noConversion"/>
  </si>
  <si>
    <t>uennh</t>
    <phoneticPr fontId="4" type="noConversion"/>
  </si>
  <si>
    <t>onnh</t>
    <phoneticPr fontId="4" type="noConversion"/>
  </si>
  <si>
    <t>uainn</t>
    <phoneticPr fontId="4" type="noConversion"/>
  </si>
  <si>
    <t>uenn</t>
    <phoneticPr fontId="4" type="noConversion"/>
  </si>
  <si>
    <t>iaunn</t>
    <phoneticPr fontId="4" type="noConversion"/>
  </si>
  <si>
    <t>干</t>
    <phoneticPr fontId="4" type="noConversion"/>
  </si>
  <si>
    <t>ɪaʔ</t>
    <phoneticPr fontId="4" type="noConversion"/>
  </si>
  <si>
    <t>ueʔ</t>
    <phoneticPr fontId="4" type="noConversion"/>
  </si>
  <si>
    <r>
      <rPr>
        <sz val="18"/>
        <color theme="1"/>
        <rFont val="霞鶩文楷等寬 TC Medium"/>
        <family val="3"/>
        <charset val="136"/>
      </rPr>
      <t>ɔŋ</t>
    </r>
  </si>
  <si>
    <r>
      <rPr>
        <sz val="18"/>
        <color theme="1"/>
        <rFont val="霞鶩文楷等寬 TC Medium"/>
        <family val="3"/>
        <charset val="136"/>
      </rPr>
      <t>ɔ</t>
    </r>
    <r>
      <rPr>
        <sz val="18"/>
        <color theme="1"/>
        <rFont val="Segoe UI"/>
        <family val="2"/>
      </rPr>
      <t>k̚</t>
    </r>
  </si>
  <si>
    <r>
      <rPr>
        <sz val="18"/>
        <color theme="1"/>
        <rFont val="霞鶩文楷等寬 TC Medium"/>
        <family val="3"/>
        <charset val="136"/>
      </rPr>
      <t>ɔ</t>
    </r>
  </si>
  <si>
    <r>
      <rPr>
        <sz val="18"/>
        <color theme="1"/>
        <rFont val="霞鶩文楷等寬 TC Medium"/>
        <family val="3"/>
        <charset val="136"/>
      </rPr>
      <t>ɪɔŋ</t>
    </r>
  </si>
  <si>
    <r>
      <rPr>
        <sz val="18"/>
        <color theme="1"/>
        <rFont val="霞鶩文楷等寬 TC Medium"/>
        <family val="3"/>
        <charset val="136"/>
      </rPr>
      <t>ɪɔ</t>
    </r>
    <r>
      <rPr>
        <sz val="18"/>
        <color theme="1"/>
        <rFont val="Segoe UI"/>
        <family val="2"/>
      </rPr>
      <t>k̚</t>
    </r>
  </si>
  <si>
    <r>
      <rPr>
        <sz val="18"/>
        <color theme="1"/>
        <rFont val="霞鶩文楷等寬 TC Medium"/>
        <family val="3"/>
        <charset val="136"/>
      </rPr>
      <t>ɪ</t>
    </r>
    <r>
      <rPr>
        <sz val="18"/>
        <color theme="1"/>
        <rFont val="Segoe UI"/>
        <family val="2"/>
      </rPr>
      <t>o</t>
    </r>
  </si>
  <si>
    <r>
      <rPr>
        <sz val="18"/>
        <color theme="1"/>
        <rFont val="霞鶩文楷等寬 TC Medium"/>
        <family val="3"/>
        <charset val="136"/>
      </rPr>
      <t>ɪ</t>
    </r>
    <r>
      <rPr>
        <sz val="18"/>
        <color theme="1"/>
        <rFont val="Segoe UI"/>
        <family val="2"/>
      </rPr>
      <t>oʔ</t>
    </r>
  </si>
  <si>
    <r>
      <rPr>
        <sz val="18"/>
        <color theme="1"/>
        <rFont val="霞鶩文楷等寬 TC Medium"/>
        <family val="3"/>
        <charset val="136"/>
      </rPr>
      <t>ɔ</t>
    </r>
    <r>
      <rPr>
        <sz val="18"/>
        <color theme="1"/>
        <rFont val="Segoe UI"/>
        <family val="2"/>
      </rPr>
      <t>m</t>
    </r>
  </si>
  <si>
    <r>
      <rPr>
        <sz val="18"/>
        <color theme="1"/>
        <rFont val="霞鶩文楷等寬 TC Medium"/>
        <family val="3"/>
        <charset val="136"/>
      </rPr>
      <t>ɔ</t>
    </r>
    <r>
      <rPr>
        <sz val="18"/>
        <color theme="1"/>
        <rFont val="Segoe UI"/>
        <family val="2"/>
      </rPr>
      <t>p̚</t>
    </r>
  </si>
  <si>
    <r>
      <rPr>
        <sz val="18"/>
        <color theme="1"/>
        <rFont val="Noto Sans TC Medium"/>
        <family val="2"/>
        <charset val="136"/>
      </rPr>
      <t>ɪ</t>
    </r>
    <r>
      <rPr>
        <sz val="18"/>
        <color theme="1"/>
        <rFont val="Segoe UI"/>
        <family val="2"/>
      </rPr>
      <t>an</t>
    </r>
  </si>
  <si>
    <r>
      <rPr>
        <sz val="18"/>
        <color theme="1"/>
        <rFont val="Noto Sans TC Medium"/>
        <family val="2"/>
        <charset val="136"/>
      </rPr>
      <t>ɪ</t>
    </r>
    <r>
      <rPr>
        <sz val="18"/>
        <color theme="1"/>
        <rFont val="Segoe UI"/>
        <family val="2"/>
      </rPr>
      <t>at̚</t>
    </r>
  </si>
  <si>
    <r>
      <rPr>
        <sz val="18"/>
        <color theme="1"/>
        <rFont val="Noto Sans TC Medium"/>
        <family val="2"/>
        <charset val="136"/>
      </rPr>
      <t>ɛ</t>
    </r>
  </si>
  <si>
    <r>
      <rPr>
        <sz val="18"/>
        <color theme="1"/>
        <rFont val="Arial"/>
        <family val="2"/>
      </rPr>
      <t>ɛ</t>
    </r>
    <r>
      <rPr>
        <sz val="18"/>
        <color theme="1"/>
        <rFont val="Segoe UI"/>
        <family val="2"/>
      </rPr>
      <t>ʔ</t>
    </r>
  </si>
  <si>
    <r>
      <rPr>
        <sz val="18"/>
        <color theme="1"/>
        <rFont val="Noto Sans TC Medium"/>
        <family val="2"/>
        <charset val="136"/>
      </rPr>
      <t>ɪŋ</t>
    </r>
  </si>
  <si>
    <r>
      <rPr>
        <sz val="18"/>
        <color theme="1"/>
        <rFont val="Noto Sans TC Medium"/>
        <family val="2"/>
        <charset val="136"/>
      </rPr>
      <t>ɪ</t>
    </r>
    <r>
      <rPr>
        <sz val="18"/>
        <color theme="1"/>
        <rFont val="Segoe UI"/>
        <family val="2"/>
      </rPr>
      <t>k̚</t>
    </r>
  </si>
  <si>
    <r>
      <rPr>
        <sz val="18"/>
        <color theme="1"/>
        <rFont val="Noto Sans TC Medium"/>
        <family val="2"/>
        <charset val="1"/>
      </rPr>
      <t>ɪ</t>
    </r>
    <r>
      <rPr>
        <sz val="18"/>
        <color theme="1"/>
        <rFont val="Segoe UI"/>
        <family val="2"/>
      </rPr>
      <t>a</t>
    </r>
    <r>
      <rPr>
        <sz val="18"/>
        <color theme="1"/>
        <rFont val="Noto Sans TC Medium"/>
        <family val="2"/>
        <charset val="1"/>
      </rPr>
      <t>ʊ</t>
    </r>
  </si>
  <si>
    <r>
      <rPr>
        <sz val="18"/>
        <color theme="1"/>
        <rFont val="Noto Sans TC Medium"/>
        <family val="2"/>
        <charset val="1"/>
      </rPr>
      <t>ɪ</t>
    </r>
    <r>
      <rPr>
        <sz val="18"/>
        <color theme="1"/>
        <rFont val="Segoe UI"/>
        <family val="2"/>
      </rPr>
      <t>a</t>
    </r>
    <r>
      <rPr>
        <sz val="18"/>
        <color theme="1"/>
        <rFont val="Noto Sans TC Medium"/>
        <family val="2"/>
        <charset val="1"/>
      </rPr>
      <t>ʊ</t>
    </r>
    <r>
      <rPr>
        <sz val="18"/>
        <color theme="1"/>
        <rFont val="Segoe UI"/>
        <family val="2"/>
      </rPr>
      <t>ʔ</t>
    </r>
  </si>
  <si>
    <r>
      <t>a</t>
    </r>
    <r>
      <rPr>
        <sz val="18"/>
        <color theme="1"/>
        <rFont val="Noto Sans TC Medium"/>
        <family val="2"/>
        <charset val="136"/>
      </rPr>
      <t>ɪ</t>
    </r>
  </si>
  <si>
    <r>
      <rPr>
        <sz val="18"/>
        <color theme="1"/>
        <rFont val="Noto Sans TC Medium"/>
        <family val="2"/>
        <charset val="136"/>
      </rPr>
      <t>ɪ</t>
    </r>
    <r>
      <rPr>
        <sz val="18"/>
        <color theme="1"/>
        <rFont val="Segoe UI"/>
        <family val="2"/>
      </rPr>
      <t>a</t>
    </r>
    <r>
      <rPr>
        <sz val="18"/>
        <color theme="1"/>
        <rFont val="Noto Sans TC Medium"/>
        <family val="2"/>
        <charset val="136"/>
      </rPr>
      <t>ŋ</t>
    </r>
  </si>
  <si>
    <r>
      <rPr>
        <sz val="18"/>
        <color theme="1"/>
        <rFont val="Noto Sans TC Medium"/>
        <family val="2"/>
        <charset val="136"/>
      </rPr>
      <t>ɪ</t>
    </r>
    <r>
      <rPr>
        <sz val="18"/>
        <color theme="1"/>
        <rFont val="Segoe UI"/>
        <family val="2"/>
      </rPr>
      <t>ak̚</t>
    </r>
  </si>
  <si>
    <r>
      <t>a</t>
    </r>
    <r>
      <rPr>
        <sz val="18"/>
        <color theme="1"/>
        <rFont val="Noto Sans TC Medium"/>
        <family val="2"/>
        <charset val="136"/>
      </rPr>
      <t>ŋ</t>
    </r>
  </si>
  <si>
    <r>
      <t>a</t>
    </r>
    <r>
      <rPr>
        <sz val="18"/>
        <color theme="1"/>
        <rFont val="Noto Sans TC Medium"/>
        <family val="2"/>
        <charset val="136"/>
      </rPr>
      <t>ʊ</t>
    </r>
  </si>
  <si>
    <r>
      <t>a</t>
    </r>
    <r>
      <rPr>
        <sz val="18"/>
        <color theme="1"/>
        <rFont val="Noto Sans TC Medium"/>
        <family val="2"/>
        <charset val="136"/>
      </rPr>
      <t>ʊ</t>
    </r>
    <r>
      <rPr>
        <sz val="18"/>
        <color theme="1"/>
        <rFont val="Segoe UI"/>
        <family val="2"/>
      </rPr>
      <t>ʔ</t>
    </r>
  </si>
  <si>
    <r>
      <rPr>
        <sz val="18"/>
        <color theme="1"/>
        <rFont val="Noto Sans TC Medium"/>
        <family val="2"/>
        <charset val="136"/>
      </rPr>
      <t>ɪ</t>
    </r>
    <r>
      <rPr>
        <sz val="18"/>
        <color theme="1"/>
        <rFont val="Segoe UI"/>
        <family val="2"/>
      </rPr>
      <t>a</t>
    </r>
  </si>
  <si>
    <r>
      <rPr>
        <sz val="18"/>
        <color theme="1"/>
        <rFont val="Noto Sans TC Medium"/>
        <family val="2"/>
        <charset val="136"/>
      </rPr>
      <t>ɪ</t>
    </r>
    <r>
      <rPr>
        <sz val="18"/>
        <color theme="1"/>
        <rFont val="Segoe UI"/>
        <family val="2"/>
      </rPr>
      <t>aʔ</t>
    </r>
  </si>
  <si>
    <r>
      <rPr>
        <sz val="18"/>
        <color theme="1"/>
        <rFont val="Noto Sans TC Medium"/>
        <family val="2"/>
        <charset val="136"/>
      </rPr>
      <t>ŋ</t>
    </r>
    <r>
      <rPr>
        <sz val="18"/>
        <color theme="1"/>
        <rFont val="Segoe UI"/>
        <family val="2"/>
      </rPr>
      <t>̍</t>
    </r>
  </si>
  <si>
    <r>
      <t>ua</t>
    </r>
    <r>
      <rPr>
        <sz val="18"/>
        <color theme="1"/>
        <rFont val="Noto Sans TC Medium"/>
        <family val="2"/>
        <charset val="136"/>
      </rPr>
      <t>ŋ</t>
    </r>
  </si>
  <si>
    <r>
      <t>a</t>
    </r>
    <r>
      <rPr>
        <sz val="16"/>
        <color theme="1"/>
        <rFont val="Noto Sans TC Medium"/>
        <family val="2"/>
        <charset val="136"/>
      </rPr>
      <t>ⁿ</t>
    </r>
  </si>
  <si>
    <r>
      <t>ah</t>
    </r>
    <r>
      <rPr>
        <sz val="16"/>
        <color theme="1"/>
        <rFont val="Noto Sans TC Medium"/>
        <family val="2"/>
        <charset val="136"/>
      </rPr>
      <t>ⁿ</t>
    </r>
  </si>
  <si>
    <r>
      <t>e</t>
    </r>
    <r>
      <rPr>
        <sz val="16"/>
        <color theme="1"/>
        <rFont val="Noto Sans TC Medium"/>
        <family val="2"/>
        <charset val="136"/>
      </rPr>
      <t>ⁿ</t>
    </r>
  </si>
  <si>
    <r>
      <t>eh</t>
    </r>
    <r>
      <rPr>
        <sz val="16"/>
        <color theme="1"/>
        <rFont val="Noto Sans TC Medium"/>
        <family val="2"/>
        <charset val="136"/>
      </rPr>
      <t>ⁿ</t>
    </r>
  </si>
  <si>
    <r>
      <t>ui</t>
    </r>
    <r>
      <rPr>
        <sz val="16"/>
        <color theme="1"/>
        <rFont val="Noto Sans TC Medium"/>
        <family val="2"/>
        <charset val="136"/>
      </rPr>
      <t>ⁿ</t>
    </r>
  </si>
  <si>
    <r>
      <t>i</t>
    </r>
    <r>
      <rPr>
        <sz val="16"/>
        <color theme="1"/>
        <rFont val="Noto Sans TC Medium"/>
        <family val="2"/>
        <charset val="136"/>
      </rPr>
      <t>ⁿ</t>
    </r>
  </si>
  <si>
    <r>
      <t>ih</t>
    </r>
    <r>
      <rPr>
        <sz val="16"/>
        <color theme="1"/>
        <rFont val="Noto Sans TC Medium"/>
        <family val="2"/>
        <charset val="136"/>
      </rPr>
      <t>ⁿ</t>
    </r>
  </si>
  <si>
    <r>
      <t>io</t>
    </r>
    <r>
      <rPr>
        <sz val="16"/>
        <color theme="1"/>
        <rFont val="Noto Sans TC Medium"/>
        <family val="2"/>
        <charset val="136"/>
      </rPr>
      <t>ⁿ</t>
    </r>
  </si>
  <si>
    <r>
      <t>ia</t>
    </r>
    <r>
      <rPr>
        <sz val="16"/>
        <color theme="1"/>
        <rFont val="Noto Sans TC Medium"/>
        <family val="2"/>
        <charset val="136"/>
      </rPr>
      <t>ⁿ</t>
    </r>
  </si>
  <si>
    <r>
      <t>oa</t>
    </r>
    <r>
      <rPr>
        <sz val="16"/>
        <color theme="1"/>
        <rFont val="Noto Sans TC Medium"/>
        <family val="2"/>
        <charset val="136"/>
      </rPr>
      <t>ⁿ</t>
    </r>
  </si>
  <si>
    <r>
      <t>ai</t>
    </r>
    <r>
      <rPr>
        <sz val="16"/>
        <color theme="1"/>
        <rFont val="Noto Sans TC Medium"/>
        <family val="2"/>
        <charset val="136"/>
      </rPr>
      <t>ⁿ</t>
    </r>
  </si>
  <si>
    <r>
      <t>o</t>
    </r>
    <r>
      <rPr>
        <sz val="16"/>
        <color theme="1"/>
        <rFont val="Noto Sans TC Medium"/>
        <family val="2"/>
        <charset val="136"/>
      </rPr>
      <t>ⁿ</t>
    </r>
  </si>
  <si>
    <r>
      <t>oai</t>
    </r>
    <r>
      <rPr>
        <sz val="16"/>
        <color theme="1"/>
        <rFont val="Noto Sans TC Medium"/>
        <family val="2"/>
        <charset val="136"/>
      </rPr>
      <t>ⁿ</t>
    </r>
  </si>
  <si>
    <r>
      <t>oaih</t>
    </r>
    <r>
      <rPr>
        <sz val="16"/>
        <color theme="1"/>
        <rFont val="Noto Sans TC Medium"/>
        <family val="2"/>
        <charset val="136"/>
      </rPr>
      <t>ⁿ</t>
    </r>
  </si>
  <si>
    <r>
      <t>oe</t>
    </r>
    <r>
      <rPr>
        <sz val="16"/>
        <color theme="1"/>
        <rFont val="Noto Sans TC Medium"/>
        <family val="2"/>
        <charset val="136"/>
      </rPr>
      <t>ⁿ</t>
    </r>
  </si>
  <si>
    <r>
      <t>iau</t>
    </r>
    <r>
      <rPr>
        <sz val="16"/>
        <color theme="1"/>
        <rFont val="Noto Sans TC Medium"/>
        <family val="2"/>
        <charset val="136"/>
      </rPr>
      <t>ⁿ</t>
    </r>
  </si>
  <si>
    <r>
      <t>iauh</t>
    </r>
    <r>
      <rPr>
        <sz val="16"/>
        <color theme="1"/>
        <rFont val="Noto Sans TC Medium"/>
        <family val="2"/>
        <charset val="136"/>
      </rPr>
      <t>ⁿ</t>
    </r>
  </si>
  <si>
    <r>
      <t>au</t>
    </r>
    <r>
      <rPr>
        <sz val="16"/>
        <color theme="1"/>
        <rFont val="Noto Sans TC Medium"/>
        <family val="2"/>
        <charset val="136"/>
      </rPr>
      <t>ⁿ</t>
    </r>
  </si>
  <si>
    <r>
      <t>oh</t>
    </r>
    <r>
      <rPr>
        <sz val="16"/>
        <color theme="1"/>
        <rFont val="Noto Sans TC Medium"/>
        <family val="2"/>
        <charset val="136"/>
      </rPr>
      <t>ⁿ</t>
    </r>
  </si>
  <si>
    <r>
      <t>iu</t>
    </r>
    <r>
      <rPr>
        <sz val="16"/>
        <color theme="1"/>
        <rFont val="Noto Sans TC Medium"/>
        <family val="2"/>
        <charset val="136"/>
      </rPr>
      <t>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</si>
</sst>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2">
    <font>
      <sz val="16"/>
      <color theme="1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6"/>
      <color theme="0"/>
      <name val="Noto Sans TC Medium"/>
      <family val="2"/>
      <charset val="136"/>
    </font>
    <font>
      <sz val="16"/>
      <color rgb="FFFF0000"/>
      <name val="Noto Sans TC Medium"/>
      <family val="2"/>
      <charset val="136"/>
    </font>
    <font>
      <sz val="9"/>
      <name val="Noto Sans TC Medium"/>
      <family val="2"/>
      <charset val="136"/>
    </font>
    <font>
      <sz val="24"/>
      <color theme="1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1"/>
      <family val="1"/>
      <charset val="136"/>
    </font>
    <font>
      <sz val="24"/>
      <color theme="1"/>
      <name val="吳守禮細明台語破音02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theme="1"/>
      <name val="吳守禮細明台語破音04"/>
      <family val="1"/>
      <charset val="136"/>
    </font>
    <font>
      <sz val="24"/>
      <color theme="1"/>
      <name val="吳守禮細明台語破音05"/>
      <family val="1"/>
      <charset val="136"/>
    </font>
    <font>
      <sz val="24"/>
      <color theme="1"/>
      <name val="吳守禮細明台語破音06"/>
      <family val="1"/>
      <charset val="136"/>
    </font>
    <font>
      <sz val="24"/>
      <color rgb="FFFF0000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2"/>
      <family val="1"/>
      <charset val="136"/>
    </font>
    <font>
      <sz val="24"/>
      <color rgb="FFFF0000"/>
      <name val="吳守禮細明台語破音01"/>
      <family val="1"/>
      <charset val="136"/>
    </font>
    <font>
      <sz val="24"/>
      <color rgb="FFFF0000"/>
      <name val="吳守禮細明台語破音04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theme="1"/>
      <name val="Noto Sans TC"/>
      <family val="2"/>
      <charset val="136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8"/>
      <color theme="1"/>
      <name val="Noto Sans TC"/>
      <family val="2"/>
    </font>
    <font>
      <sz val="16"/>
      <color theme="1"/>
      <name val="Noto Serif TC Black"/>
      <family val="1"/>
      <charset val="136"/>
    </font>
    <font>
      <sz val="10"/>
      <color rgb="FF000000"/>
      <name val="Linux Libertine G"/>
      <family val="2"/>
    </font>
    <font>
      <sz val="24"/>
      <name val="Arial"/>
      <family val="2"/>
    </font>
    <font>
      <sz val="36"/>
      <color rgb="FFFF0000"/>
      <name val="Noto Serif TC Medium"/>
      <family val="1"/>
      <charset val="136"/>
    </font>
    <font>
      <b/>
      <sz val="24"/>
      <color rgb="FFFF0000"/>
      <name val="Arial"/>
      <family val="2"/>
    </font>
    <font>
      <b/>
      <sz val="24"/>
      <color rgb="FF0070C0"/>
      <name val="Arial"/>
      <family val="2"/>
    </font>
    <font>
      <b/>
      <sz val="28"/>
      <color rgb="FF0070C0"/>
      <name val="霞鶩文楷等寬 TC"/>
      <family val="3"/>
      <charset val="136"/>
    </font>
    <font>
      <b/>
      <sz val="24"/>
      <color rgb="FF0070C0"/>
      <name val="字咍源雲明體 台羅方音 L"/>
      <family val="1"/>
      <charset val="136"/>
    </font>
    <font>
      <sz val="24"/>
      <color rgb="FF0070C0"/>
      <name val="字咍源雲明體 台羅方音 L"/>
      <family val="1"/>
      <charset val="136"/>
    </font>
    <font>
      <sz val="24"/>
      <color theme="5" tint="-0.249977111117893"/>
      <name val="Arial"/>
      <family val="2"/>
    </font>
    <font>
      <sz val="24"/>
      <color theme="5" tint="-0.249977111117893"/>
      <name val="霞鶩文楷等寬 TC"/>
      <family val="3"/>
      <charset val="136"/>
    </font>
    <font>
      <b/>
      <sz val="28"/>
      <color rgb="FF0070C0"/>
      <name val="Arial"/>
      <family val="2"/>
    </font>
    <font>
      <sz val="24"/>
      <color theme="5" tint="-0.249977111117893"/>
      <name val="Noto Sans TC"/>
      <family val="2"/>
      <charset val="136"/>
    </font>
    <font>
      <sz val="16"/>
      <color theme="0" tint="-0.14999847407452621"/>
      <name val="Noto Sans TC Medium"/>
      <family val="2"/>
      <charset val="136"/>
    </font>
    <font>
      <sz val="16"/>
      <color theme="0" tint="-0.14999847407452621"/>
      <name val="Noto Sans TC Medium"/>
      <family val="2"/>
    </font>
    <font>
      <sz val="16"/>
      <color theme="1"/>
      <name val="Charis"/>
    </font>
    <font>
      <sz val="16"/>
      <color theme="1"/>
      <name val="Noto Sans TC Medium"/>
      <family val="2"/>
      <charset val="136"/>
    </font>
    <font>
      <sz val="12"/>
      <color theme="1"/>
      <name val="Noto Sans TC SemiBold"/>
      <family val="2"/>
      <charset val="136"/>
    </font>
    <font>
      <b/>
      <sz val="18"/>
      <color rgb="FF000000"/>
      <name val="Noto Sans"/>
      <family val="2"/>
    </font>
    <font>
      <sz val="18"/>
      <color rgb="FF000000"/>
      <name val="Noto Sans"/>
      <family val="2"/>
    </font>
    <font>
      <sz val="18"/>
      <color rgb="FFFF0000"/>
      <name val="Noto Sans"/>
      <family val="2"/>
    </font>
    <font>
      <sz val="16"/>
      <color theme="1"/>
      <name val="Noto Sans TC SemiBold"/>
      <family val="2"/>
      <charset val="136"/>
    </font>
    <font>
      <b/>
      <sz val="18"/>
      <color rgb="FF000000"/>
      <name val="微軟正黑體"/>
      <family val="2"/>
      <charset val="136"/>
    </font>
    <font>
      <sz val="18"/>
      <color rgb="FFFF0000"/>
      <name val="霞鶩文楷等寬 TC Medium"/>
      <family val="3"/>
      <charset val="136"/>
    </font>
    <font>
      <sz val="18"/>
      <color rgb="FF000000"/>
      <name val="霞鶩文楷等寬 TC Medium"/>
      <family val="3"/>
      <charset val="136"/>
    </font>
    <font>
      <sz val="16"/>
      <color theme="3" tint="0.499984740745262"/>
      <name val="Noto Sans TC Medium"/>
      <family val="2"/>
      <charset val="136"/>
    </font>
    <font>
      <sz val="18"/>
      <color rgb="FFC00000"/>
      <name val="霞鶩文楷等寬 TC Medium"/>
      <family val="3"/>
      <charset val="136"/>
    </font>
    <font>
      <sz val="16"/>
      <color theme="1"/>
      <name val="Arial"/>
      <family val="2"/>
    </font>
    <font>
      <sz val="16"/>
      <color theme="1"/>
      <name val="Segoe UI"/>
      <family val="2"/>
      <charset val="1"/>
    </font>
    <font>
      <sz val="16"/>
      <color theme="1"/>
      <name val="Segoe UI"/>
      <family val="2"/>
    </font>
    <font>
      <b/>
      <sz val="18"/>
      <color rgb="FFFF0000"/>
      <name val="Noto Sans"/>
      <family val="2"/>
    </font>
    <font>
      <sz val="18"/>
      <color theme="1"/>
      <name val="霞鶩文楷等寬 TC Medium"/>
      <family val="3"/>
      <charset val="136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sz val="12"/>
      <color rgb="FF202122"/>
      <name val="Segoe UI"/>
      <family val="2"/>
    </font>
    <font>
      <b/>
      <sz val="18"/>
      <color rgb="FF202122"/>
      <name val="霞鶩文楷等寬 TC Medium"/>
      <family val="3"/>
      <charset val="136"/>
    </font>
    <font>
      <sz val="18"/>
      <color rgb="FF202122"/>
      <name val="Segoe UI"/>
      <family val="2"/>
    </font>
    <font>
      <b/>
      <sz val="12"/>
      <color rgb="FFFF0000"/>
      <name val="Arial"/>
      <family val="2"/>
    </font>
    <font>
      <sz val="18"/>
      <color rgb="FFFF0000"/>
      <name val="Segoe UI"/>
      <family val="2"/>
    </font>
    <font>
      <b/>
      <sz val="20"/>
      <color rgb="FF202122"/>
      <name val="Noto Serif TC Black"/>
      <family val="1"/>
      <charset val="136"/>
    </font>
    <font>
      <sz val="18"/>
      <color theme="1"/>
      <name val="Segoe UI"/>
      <family val="2"/>
    </font>
    <font>
      <sz val="18"/>
      <color theme="1"/>
      <name val="Noto Sans TC Medium"/>
      <family val="2"/>
      <charset val="136"/>
    </font>
    <font>
      <sz val="18"/>
      <color theme="1"/>
      <name val="Arial"/>
      <family val="2"/>
    </font>
    <font>
      <sz val="18"/>
      <color theme="1"/>
      <name val="Noto Sans TC Medium"/>
      <family val="2"/>
      <charset val="1"/>
    </font>
    <font>
      <sz val="16"/>
      <color rgb="FFFF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</borders>
  <cellStyleXfs count="5">
    <xf numFmtId="0" fontId="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8" fillId="0" borderId="0"/>
    <xf numFmtId="0" fontId="1" fillId="0" borderId="0">
      <alignment vertical="center"/>
    </xf>
  </cellStyleXfs>
  <cellXfs count="10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8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2" fillId="3" borderId="2" xfId="1" applyFont="1" applyFill="1" applyBorder="1" applyAlignment="1">
      <alignment horizontal="center" vertical="center"/>
    </xf>
    <xf numFmtId="0" fontId="22" fillId="3" borderId="3" xfId="1" applyFont="1" applyFill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9" fillId="0" borderId="1" xfId="3" applyFont="1" applyBorder="1" applyAlignment="1">
      <alignment horizontal="center" vertical="center"/>
    </xf>
    <xf numFmtId="0" fontId="30" fillId="0" borderId="1" xfId="2" applyFont="1" applyBorder="1" applyAlignment="1">
      <alignment horizontal="center"/>
    </xf>
    <xf numFmtId="0" fontId="31" fillId="0" borderId="1" xfId="2" applyFont="1" applyBorder="1" applyAlignment="1">
      <alignment horizontal="left" indent="1"/>
    </xf>
    <xf numFmtId="0" fontId="32" fillId="0" borderId="1" xfId="3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/>
    </xf>
    <xf numFmtId="0" fontId="34" fillId="0" borderId="1" xfId="2" applyFont="1" applyBorder="1" applyAlignment="1">
      <alignment horizontal="center"/>
    </xf>
    <xf numFmtId="0" fontId="35" fillId="0" borderId="1" xfId="2" applyFont="1" applyBorder="1" applyAlignment="1">
      <alignment horizontal="left" indent="1"/>
    </xf>
    <xf numFmtId="0" fontId="35" fillId="0" borderId="1" xfId="2" applyFont="1" applyBorder="1" applyAlignment="1">
      <alignment horizontal="center"/>
    </xf>
    <xf numFmtId="0" fontId="36" fillId="0" borderId="1" xfId="3" applyFont="1" applyBorder="1" applyAlignment="1">
      <alignment horizontal="center" vertical="center"/>
    </xf>
    <xf numFmtId="0" fontId="37" fillId="0" borderId="1" xfId="3" applyFont="1" applyBorder="1" applyAlignment="1">
      <alignment horizontal="left" vertical="center" indent="4"/>
    </xf>
    <xf numFmtId="0" fontId="26" fillId="4" borderId="1" xfId="1" applyFont="1" applyFill="1" applyBorder="1" applyAlignment="1">
      <alignment horizontal="center" vertical="center"/>
    </xf>
    <xf numFmtId="0" fontId="27" fillId="4" borderId="1" xfId="2" applyFont="1" applyFill="1" applyBorder="1" applyAlignment="1">
      <alignment horizontal="center" vertical="center"/>
    </xf>
    <xf numFmtId="0" fontId="29" fillId="4" borderId="1" xfId="3" applyFont="1" applyFill="1" applyBorder="1" applyAlignment="1">
      <alignment horizontal="center" vertical="center"/>
    </xf>
    <xf numFmtId="0" fontId="30" fillId="4" borderId="1" xfId="2" applyFont="1" applyFill="1" applyBorder="1" applyAlignment="1">
      <alignment horizontal="center"/>
    </xf>
    <xf numFmtId="0" fontId="31" fillId="4" borderId="1" xfId="2" applyFont="1" applyFill="1" applyBorder="1" applyAlignment="1">
      <alignment horizontal="left" indent="1"/>
    </xf>
    <xf numFmtId="0" fontId="32" fillId="4" borderId="1" xfId="3" applyFont="1" applyFill="1" applyBorder="1" applyAlignment="1">
      <alignment horizontal="center" vertical="center"/>
    </xf>
    <xf numFmtId="0" fontId="38" fillId="4" borderId="1" xfId="3" applyFont="1" applyFill="1" applyBorder="1" applyAlignment="1">
      <alignment horizontal="center" vertical="center"/>
    </xf>
    <xf numFmtId="0" fontId="34" fillId="4" borderId="1" xfId="2" applyFont="1" applyFill="1" applyBorder="1" applyAlignment="1">
      <alignment horizontal="center"/>
    </xf>
    <xf numFmtId="0" fontId="35" fillId="4" borderId="1" xfId="2" applyFont="1" applyFill="1" applyBorder="1" applyAlignment="1">
      <alignment horizontal="left" indent="1"/>
    </xf>
    <xf numFmtId="0" fontId="35" fillId="4" borderId="1" xfId="2" applyFont="1" applyFill="1" applyBorder="1" applyAlignment="1">
      <alignment horizontal="center"/>
    </xf>
    <xf numFmtId="0" fontId="36" fillId="4" borderId="1" xfId="3" applyFont="1" applyFill="1" applyBorder="1" applyAlignment="1">
      <alignment horizontal="center" vertical="center"/>
    </xf>
    <xf numFmtId="0" fontId="37" fillId="4" borderId="1" xfId="3" applyFont="1" applyFill="1" applyBorder="1" applyAlignment="1">
      <alignment horizontal="left" vertical="center" indent="4"/>
    </xf>
    <xf numFmtId="0" fontId="0" fillId="0" borderId="1" xfId="0" applyBorder="1" applyAlignment="1">
      <alignment horizontal="left" vertical="center" indent="3"/>
    </xf>
    <xf numFmtId="0" fontId="40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40" fillId="0" borderId="1" xfId="0" applyFont="1" applyBorder="1" applyAlignment="1">
      <alignment horizontal="left" vertical="center" indent="3"/>
    </xf>
    <xf numFmtId="0" fontId="0" fillId="2" borderId="1" xfId="0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4" fillId="0" borderId="0" xfId="4" applyFont="1">
      <alignment vertical="center"/>
    </xf>
    <xf numFmtId="0" fontId="1" fillId="0" borderId="0" xfId="4">
      <alignment vertical="center"/>
    </xf>
    <xf numFmtId="0" fontId="45" fillId="5" borderId="4" xfId="4" applyFont="1" applyFill="1" applyBorder="1" applyAlignment="1">
      <alignment horizontal="center" vertical="center" wrapText="1"/>
    </xf>
    <xf numFmtId="0" fontId="45" fillId="5" borderId="0" xfId="4" applyFont="1" applyFill="1" applyAlignment="1">
      <alignment horizontal="center" vertical="center" wrapText="1"/>
    </xf>
    <xf numFmtId="0" fontId="46" fillId="5" borderId="4" xfId="4" applyFont="1" applyFill="1" applyBorder="1" applyAlignment="1">
      <alignment horizontal="center" vertical="center" wrapText="1"/>
    </xf>
    <xf numFmtId="0" fontId="46" fillId="5" borderId="0" xfId="4" applyFont="1" applyFill="1" applyAlignment="1">
      <alignment horizontal="center" vertical="center" wrapText="1"/>
    </xf>
    <xf numFmtId="0" fontId="48" fillId="0" borderId="0" xfId="4" applyFont="1">
      <alignment vertical="center"/>
    </xf>
    <xf numFmtId="0" fontId="46" fillId="5" borderId="4" xfId="4" applyFont="1" applyFill="1" applyBorder="1" applyAlignment="1">
      <alignment horizontal="left" vertical="center" wrapText="1" indent="1"/>
    </xf>
    <xf numFmtId="0" fontId="49" fillId="5" borderId="4" xfId="4" applyFont="1" applyFill="1" applyBorder="1" applyAlignment="1">
      <alignment horizontal="center" vertical="center" wrapText="1"/>
    </xf>
    <xf numFmtId="0" fontId="50" fillId="5" borderId="4" xfId="4" applyFont="1" applyFill="1" applyBorder="1" applyAlignment="1">
      <alignment horizontal="left" vertical="center" wrapText="1" indent="1"/>
    </xf>
    <xf numFmtId="0" fontId="51" fillId="5" borderId="4" xfId="4" applyFont="1" applyFill="1" applyBorder="1" applyAlignment="1">
      <alignment horizontal="left" vertical="center" wrapText="1" indent="1"/>
    </xf>
    <xf numFmtId="0" fontId="51" fillId="6" borderId="4" xfId="4" applyFont="1" applyFill="1" applyBorder="1" applyAlignment="1">
      <alignment horizontal="left" vertical="center" wrapText="1" inden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15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52" fillId="2" borderId="5" xfId="0" applyFont="1" applyFill="1" applyBorder="1">
      <alignment vertical="center"/>
    </xf>
    <xf numFmtId="0" fontId="52" fillId="2" borderId="6" xfId="0" applyFont="1" applyFill="1" applyBorder="1">
      <alignment vertical="center"/>
    </xf>
    <xf numFmtId="0" fontId="52" fillId="2" borderId="7" xfId="0" applyFont="1" applyFill="1" applyBorder="1">
      <alignment vertical="center"/>
    </xf>
    <xf numFmtId="0" fontId="53" fillId="5" borderId="4" xfId="4" applyFont="1" applyFill="1" applyBorder="1" applyAlignment="1">
      <alignment horizontal="left" vertical="center" wrapText="1" indent="1"/>
    </xf>
    <xf numFmtId="0" fontId="45" fillId="5" borderId="0" xfId="4" applyFont="1" applyFill="1" applyBorder="1" applyAlignment="1">
      <alignment horizontal="center" vertical="center" wrapText="1"/>
    </xf>
    <xf numFmtId="0" fontId="46" fillId="5" borderId="0" xfId="4" applyFont="1" applyFill="1" applyBorder="1" applyAlignment="1">
      <alignment horizontal="left" vertical="center" wrapText="1" indent="1"/>
    </xf>
    <xf numFmtId="0" fontId="47" fillId="7" borderId="4" xfId="4" applyFont="1" applyFill="1" applyBorder="1" applyAlignment="1">
      <alignment horizontal="left" vertical="center" wrapText="1" indent="1"/>
    </xf>
    <xf numFmtId="0" fontId="57" fillId="8" borderId="4" xfId="4" applyFont="1" applyFill="1" applyBorder="1" applyAlignment="1">
      <alignment horizontal="left" vertical="center" wrapText="1" indent="1"/>
    </xf>
    <xf numFmtId="0" fontId="59" fillId="10" borderId="11" xfId="0" applyFont="1" applyFill="1" applyBorder="1" applyAlignment="1">
      <alignment horizontal="center" vertical="center" wrapText="1"/>
    </xf>
    <xf numFmtId="0" fontId="61" fillId="9" borderId="11" xfId="0" applyFont="1" applyFill="1" applyBorder="1" applyAlignment="1">
      <alignment vertical="center" wrapText="1"/>
    </xf>
    <xf numFmtId="0" fontId="60" fillId="9" borderId="11" xfId="0" applyFont="1" applyFill="1" applyBorder="1" applyAlignment="1">
      <alignment vertical="center" wrapText="1"/>
    </xf>
    <xf numFmtId="0" fontId="0" fillId="9" borderId="12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59" fillId="10" borderId="11" xfId="0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59" fillId="0" borderId="0" xfId="0" applyFont="1" applyFill="1" applyBorder="1" applyAlignment="1">
      <alignment horizontal="left" vertical="center" wrapText="1"/>
    </xf>
    <xf numFmtId="0" fontId="60" fillId="0" borderId="0" xfId="0" applyFont="1" applyFill="1" applyBorder="1" applyAlignment="1">
      <alignment vertical="center" wrapText="1"/>
    </xf>
    <xf numFmtId="0" fontId="62" fillId="0" borderId="0" xfId="0" applyFont="1" applyFill="1" applyBorder="1" applyAlignment="1">
      <alignment vertical="center" wrapText="1"/>
    </xf>
    <xf numFmtId="0" fontId="63" fillId="9" borderId="11" xfId="0" applyFont="1" applyFill="1" applyBorder="1" applyAlignment="1">
      <alignment vertical="center" wrapText="1"/>
    </xf>
    <xf numFmtId="0" fontId="54" fillId="0" borderId="0" xfId="0" applyFont="1">
      <alignment vertical="center"/>
    </xf>
    <xf numFmtId="0" fontId="3" fillId="0" borderId="0" xfId="0" applyFont="1">
      <alignment vertical="center"/>
    </xf>
    <xf numFmtId="0" fontId="64" fillId="10" borderId="11" xfId="0" applyFont="1" applyFill="1" applyBorder="1" applyAlignment="1">
      <alignment horizontal="left" vertical="center" wrapText="1"/>
    </xf>
    <xf numFmtId="0" fontId="65" fillId="9" borderId="11" xfId="0" applyFont="1" applyFill="1" applyBorder="1" applyAlignment="1">
      <alignment vertical="center" wrapText="1"/>
    </xf>
    <xf numFmtId="0" fontId="63" fillId="6" borderId="11" xfId="0" applyFont="1" applyFill="1" applyBorder="1" applyAlignment="1">
      <alignment vertical="center" wrapText="1"/>
    </xf>
    <xf numFmtId="0" fontId="66" fillId="10" borderId="11" xfId="0" applyFont="1" applyFill="1" applyBorder="1" applyAlignment="1">
      <alignment horizontal="center" vertical="center" wrapText="1"/>
    </xf>
    <xf numFmtId="0" fontId="56" fillId="0" borderId="1" xfId="0" applyFont="1" applyBorder="1">
      <alignment vertical="center"/>
    </xf>
    <xf numFmtId="0" fontId="56" fillId="0" borderId="9" xfId="0" applyFont="1" applyBorder="1">
      <alignment vertical="center"/>
    </xf>
    <xf numFmtId="0" fontId="67" fillId="0" borderId="1" xfId="0" applyFont="1" applyBorder="1">
      <alignment vertical="center"/>
    </xf>
    <xf numFmtId="0" fontId="67" fillId="0" borderId="9" xfId="0" applyFont="1" applyBorder="1">
      <alignment vertical="center"/>
    </xf>
    <xf numFmtId="0" fontId="67" fillId="0" borderId="0" xfId="0" applyFont="1">
      <alignment vertical="center"/>
    </xf>
    <xf numFmtId="0" fontId="56" fillId="6" borderId="1" xfId="0" applyFont="1" applyFill="1" applyBorder="1">
      <alignment vertical="center"/>
    </xf>
    <xf numFmtId="0" fontId="71" fillId="0" borderId="1" xfId="0" applyFont="1" applyBorder="1">
      <alignment vertical="center"/>
    </xf>
  </cellXfs>
  <cellStyles count="5">
    <cellStyle name="一般" xfId="0" builtinId="0"/>
    <cellStyle name="一般 2" xfId="3" xr:uid="{A038E3EC-A179-46A7-BFF6-73E593261D7C}"/>
    <cellStyle name="一般 3" xfId="1" xr:uid="{0D0E4F11-2A76-4046-877C-929132571B97}"/>
    <cellStyle name="一般 4" xfId="4" xr:uid="{E932D2E5-AF16-4FFA-AB0C-5F7E179E4D03}"/>
    <cellStyle name="一般 5" xfId="2" xr:uid="{8C9CBB70-72B8-491C-A1A5-535BA1FE1D69}"/>
  </cellStyles>
  <dxfs count="3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8"/>
        <name val="Segoe U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name val="Segoe U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  <name val="霞鶩文楷等寬 TC Medium"/>
        <family val="3"/>
        <charset val="136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Segoe U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Segoe U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color theme="1"/>
        <name val="Segoe U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24"/>
        <name val="吳守禮細明台語注音"/>
        <family val="1"/>
        <charset val="136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FF0000"/>
        <name val="吳守禮細明台語破音02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6"/>
        <color theme="3" tint="0.499984740745262"/>
        <name val="Noto Sans TC Medium"/>
        <family val="2"/>
        <charset val="136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24"/>
        <name val="吳守禮細明台語注音"/>
        <family val="1"/>
        <charset val="136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3" tint="0.499984740745262"/>
        <name val="Noto Sans TC Medium"/>
        <family val="2"/>
        <charset val="136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FF0000"/>
        <name val="吳守禮細明台語破音02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C3941-9899-48C4-8E14-367017F7B2F5}" name="韻母對照表" displayName="韻母對照表" ref="A1:M85" totalsRowShown="0" headerRowDxfId="24" headerRowBorderDxfId="32" tableBorderDxfId="33" totalsRowBorderDxfId="31">
  <autoFilter ref="A1:M85" xr:uid="{771C3941-9899-48C4-8E14-367017F7B2F5}"/>
  <tableColumns count="13">
    <tableColumn id="1" xr3:uid="{93BCA6A2-508B-467B-95D1-473C97CCD52B}" name="識別號" dataDxfId="30"/>
    <tableColumn id="2" xr3:uid="{80F0C42C-C2BD-4707-8BE9-49A90C7647AB}" name="十五音" dataDxfId="29"/>
    <tableColumn id="3" xr3:uid="{8C99734F-A142-4FBD-96DD-463C060588A5}" name="漢字例" dataDxfId="23"/>
    <tableColumn id="5" xr3:uid="{88460F28-F486-4EB3-974F-039F84D0E83A}" name="方音符號" dataDxfId="22"/>
    <tableColumn id="4" xr3:uid="{C4E57A92-27A9-46F6-A864-9668B62AB3D8}" name="國際音標" dataDxfId="4"/>
    <tableColumn id="7" xr3:uid="{D04A8FC9-DCA4-4643-AE3B-824F465B8E3A}" name="台羅拼音" dataDxfId="1"/>
    <tableColumn id="6" xr3:uid="{DA98A1A1-49CA-4EC1-91D5-BF45045A4B18}" name="台語音標" dataDxfId="0"/>
    <tableColumn id="10" xr3:uid="{BDA4D6F0-BBAC-44DF-85B3-15A86E2ED416}" name="閩拼方案" dataDxfId="3"/>
    <tableColumn id="9" xr3:uid="{972A94F9-A940-4172-AB75-0BE33372A5A6}" name="白話字" dataDxfId="2"/>
    <tableColumn id="8" xr3:uid="{E8D82139-523B-47F7-B0CC-47FDC35BBF0B}" name="注音二式" dataDxfId="28"/>
    <tableColumn id="11" xr3:uid="{77E72489-4845-4BE7-807E-50EDB35447E7}" name="十五音序" dataDxfId="27"/>
    <tableColumn id="12" xr3:uid="{4D0E40DE-9C66-4BA2-B18D-2F564923928D}" name="舒促聲" dataDxfId="26"/>
    <tableColumn id="13" xr3:uid="{1E5A033C-A3E4-47B2-8D3D-334C23BE852B}" name="十五音識別碼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90B7A-D09E-43B2-979B-7CD1EE35DCEF}" name="韻母對照表3" displayName="韻母對照表3" ref="A1:M85" totalsRowShown="0" headerRowDxfId="21" headerRowBorderDxfId="19" tableBorderDxfId="20" totalsRowBorderDxfId="18">
  <autoFilter ref="A1:M85" xr:uid="{771C3941-9899-48C4-8E14-367017F7B2F5}"/>
  <tableColumns count="13">
    <tableColumn id="1" xr3:uid="{C10E80BA-9FEE-411B-A2E1-0B8D75C43A73}" name="識別號" dataDxfId="17"/>
    <tableColumn id="2" xr3:uid="{BDE2F94E-9AD0-4497-B0A4-0887F343995C}" name="十五音" dataDxfId="16"/>
    <tableColumn id="3" xr3:uid="{1BB80AC9-0E65-4250-97F0-4C9BF936F6F4}" name="漢字例" dataDxfId="15"/>
    <tableColumn id="5" xr3:uid="{FF3D3154-85AC-43FE-9B6E-613CB6837684}" name="方音符號" dataDxfId="8"/>
    <tableColumn id="6" xr3:uid="{76F226E4-4708-40A7-849D-3CC6919D3693}" name="台語音標" dataDxfId="6"/>
    <tableColumn id="4" xr3:uid="{B2037F3B-8888-4074-8870-6B45341F0C3A}" name="國際音標" dataDxfId="7">
      <calculatedColumnFormula array="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calculatedColumnFormula>
    </tableColumn>
    <tableColumn id="10" xr3:uid="{8FF1DC7C-D8AD-4071-B26D-6830788BB67A}" name="閩拼方案" dataDxfId="5">
      <calculatedColumnFormula array="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calculatedColumnFormula>
    </tableColumn>
    <tableColumn id="7" xr3:uid="{76F2259B-CA5E-44D6-86F0-A1217D200D54}" name="台羅拼音" dataDxfId="14">
      <calculatedColumnFormula array="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calculatedColumnFormula>
    </tableColumn>
    <tableColumn id="8" xr3:uid="{DF4BA570-1408-41DB-8328-90FB8913B1DF}" name="注音二式" dataDxfId="13"/>
    <tableColumn id="9" xr3:uid="{42E33940-E4F1-4C86-AD57-6236C50EBE40}" name="白話字" dataDxfId="12"/>
    <tableColumn id="11" xr3:uid="{BE8C4436-8D84-475B-A5C6-C392918893AA}" name="十五音序" dataDxfId="11"/>
    <tableColumn id="12" xr3:uid="{4D04DB9F-1246-4494-8D81-B2950125EC5B}" name="舒促聲" dataDxfId="10"/>
    <tableColumn id="13" xr3:uid="{EB7195BB-541B-463D-BA37-EBE312BD24A4}" name="十五音識別碼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%E5%BD%99%E9%9B%86%E9%9B%85%E4%BF%97%E9%80%9A%E5%8D%81%E4%BA%94%E9%9F%B3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8012-85E3-4410-BF6F-8322F40DAF24}">
  <dimension ref="A1:K23"/>
  <sheetViews>
    <sheetView workbookViewId="0">
      <pane ySplit="1" topLeftCell="A2" activePane="bottomLeft" state="frozen"/>
      <selection pane="bottomLeft" activeCell="C29" sqref="C29"/>
    </sheetView>
  </sheetViews>
  <sheetFormatPr defaultRowHeight="25.5"/>
  <cols>
    <col min="1" max="1" width="6.4140625" bestFit="1" customWidth="1"/>
    <col min="11" max="11" width="23.08203125" bestFit="1" customWidth="1"/>
  </cols>
  <sheetData>
    <row r="1" spans="1:11">
      <c r="A1" s="2" t="s">
        <v>0</v>
      </c>
      <c r="B1" s="2" t="s">
        <v>3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7</v>
      </c>
      <c r="J1" s="2" t="s">
        <v>8</v>
      </c>
      <c r="K1" s="2" t="s">
        <v>513</v>
      </c>
    </row>
    <row r="2" spans="1:11" ht="29.25">
      <c r="A2" s="1">
        <v>1</v>
      </c>
      <c r="B2" s="3" t="s">
        <v>516</v>
      </c>
      <c r="C2" s="3" t="s">
        <v>514</v>
      </c>
      <c r="D2" s="1" t="s">
        <v>515</v>
      </c>
      <c r="E2" s="1" t="s">
        <v>517</v>
      </c>
      <c r="F2" s="1" t="s">
        <v>515</v>
      </c>
      <c r="G2" s="1" t="s">
        <v>515</v>
      </c>
      <c r="H2" s="1" t="s">
        <v>515</v>
      </c>
      <c r="I2" s="1" t="s">
        <v>515</v>
      </c>
      <c r="J2" s="1" t="s">
        <v>515</v>
      </c>
      <c r="K2" s="1"/>
    </row>
    <row r="3" spans="1:11" ht="29.25">
      <c r="A3" s="1">
        <v>2</v>
      </c>
      <c r="B3" s="3" t="s">
        <v>520</v>
      </c>
      <c r="C3" s="3" t="s">
        <v>518</v>
      </c>
      <c r="D3" s="1" t="s">
        <v>519</v>
      </c>
      <c r="E3" s="1" t="s">
        <v>521</v>
      </c>
      <c r="F3" s="1" t="s">
        <v>519</v>
      </c>
      <c r="G3" s="1" t="s">
        <v>519</v>
      </c>
      <c r="H3" s="1" t="s">
        <v>522</v>
      </c>
      <c r="I3" s="1" t="s">
        <v>519</v>
      </c>
      <c r="J3" s="1" t="s">
        <v>522</v>
      </c>
      <c r="K3" s="1"/>
    </row>
    <row r="4" spans="1:11" ht="29.25">
      <c r="A4" s="1">
        <v>3</v>
      </c>
      <c r="B4" s="3" t="s">
        <v>525</v>
      </c>
      <c r="C4" s="3" t="s">
        <v>523</v>
      </c>
      <c r="D4" s="1" t="s">
        <v>524</v>
      </c>
      <c r="E4" s="1" t="s">
        <v>526</v>
      </c>
      <c r="F4" s="1" t="s">
        <v>524</v>
      </c>
      <c r="G4" s="1" t="s">
        <v>524</v>
      </c>
      <c r="H4" s="1" t="s">
        <v>527</v>
      </c>
      <c r="I4" s="1" t="s">
        <v>524</v>
      </c>
      <c r="J4" s="1" t="s">
        <v>527</v>
      </c>
      <c r="K4" s="1"/>
    </row>
    <row r="5" spans="1:11" ht="29.25">
      <c r="A5" s="1">
        <v>4</v>
      </c>
      <c r="B5" s="3" t="s">
        <v>530</v>
      </c>
      <c r="C5" s="3" t="s">
        <v>528</v>
      </c>
      <c r="D5" s="1" t="s">
        <v>529</v>
      </c>
      <c r="E5" s="1" t="s">
        <v>531</v>
      </c>
      <c r="F5" s="1" t="s">
        <v>532</v>
      </c>
      <c r="G5" s="1" t="s">
        <v>532</v>
      </c>
      <c r="H5" s="1" t="s">
        <v>524</v>
      </c>
      <c r="I5" s="1" t="s">
        <v>532</v>
      </c>
      <c r="J5" s="1" t="s">
        <v>524</v>
      </c>
      <c r="K5" s="1"/>
    </row>
    <row r="6" spans="1:11" ht="29.25">
      <c r="A6" s="1">
        <v>5</v>
      </c>
      <c r="B6" s="3" t="s">
        <v>535</v>
      </c>
      <c r="C6" s="3" t="s">
        <v>533</v>
      </c>
      <c r="D6" s="1" t="s">
        <v>534</v>
      </c>
      <c r="E6" s="1" t="s">
        <v>536</v>
      </c>
      <c r="F6" s="1" t="s">
        <v>534</v>
      </c>
      <c r="G6" s="1" t="s">
        <v>534</v>
      </c>
      <c r="H6" s="1" t="s">
        <v>537</v>
      </c>
      <c r="I6" s="1" t="s">
        <v>534</v>
      </c>
      <c r="J6" s="1" t="s">
        <v>537</v>
      </c>
      <c r="K6" s="1"/>
    </row>
    <row r="7" spans="1:11" ht="29.25">
      <c r="A7" s="1">
        <v>6</v>
      </c>
      <c r="B7" s="3" t="s">
        <v>540</v>
      </c>
      <c r="C7" s="3" t="s">
        <v>538</v>
      </c>
      <c r="D7" s="1" t="s">
        <v>539</v>
      </c>
      <c r="E7" s="1" t="s">
        <v>541</v>
      </c>
      <c r="F7" s="1" t="s">
        <v>542</v>
      </c>
      <c r="G7" s="1" t="s">
        <v>542</v>
      </c>
      <c r="H7" s="1" t="s">
        <v>519</v>
      </c>
      <c r="I7" s="1" t="s">
        <v>542</v>
      </c>
      <c r="J7" s="1" t="s">
        <v>519</v>
      </c>
      <c r="K7" s="1"/>
    </row>
    <row r="8" spans="1:11" ht="29.25">
      <c r="A8" s="1">
        <v>7</v>
      </c>
      <c r="B8" s="3" t="s">
        <v>545</v>
      </c>
      <c r="C8" s="3" t="s">
        <v>543</v>
      </c>
      <c r="D8" s="1" t="s">
        <v>544</v>
      </c>
      <c r="E8" s="1" t="s">
        <v>546</v>
      </c>
      <c r="F8" s="1" t="s">
        <v>547</v>
      </c>
      <c r="G8" s="1" t="s">
        <v>547</v>
      </c>
      <c r="H8" s="1" t="s">
        <v>534</v>
      </c>
      <c r="I8" s="1" t="s">
        <v>547</v>
      </c>
      <c r="J8" s="1" t="s">
        <v>534</v>
      </c>
      <c r="K8" s="1"/>
    </row>
    <row r="9" spans="1:11" ht="29.25">
      <c r="A9" s="1">
        <v>8</v>
      </c>
      <c r="B9" s="3" t="s">
        <v>550</v>
      </c>
      <c r="C9" s="3" t="s">
        <v>548</v>
      </c>
      <c r="D9" s="1" t="s">
        <v>549</v>
      </c>
      <c r="E9" s="1" t="s">
        <v>551</v>
      </c>
      <c r="F9" s="1" t="s">
        <v>552</v>
      </c>
      <c r="G9" s="1" t="s">
        <v>553</v>
      </c>
      <c r="H9" s="1" t="s">
        <v>552</v>
      </c>
      <c r="I9" s="1" t="s">
        <v>554</v>
      </c>
      <c r="J9" s="1" t="s">
        <v>552</v>
      </c>
      <c r="K9" s="1"/>
    </row>
    <row r="10" spans="1:11" ht="29.25">
      <c r="A10" s="1">
        <v>9</v>
      </c>
      <c r="B10" s="11" t="s">
        <v>557</v>
      </c>
      <c r="C10" s="6" t="s">
        <v>555</v>
      </c>
      <c r="D10" s="1" t="s">
        <v>556</v>
      </c>
      <c r="E10" s="1" t="s">
        <v>558</v>
      </c>
      <c r="F10" s="1" t="s">
        <v>559</v>
      </c>
      <c r="G10" s="1" t="s">
        <v>559</v>
      </c>
      <c r="H10" s="1" t="s">
        <v>560</v>
      </c>
      <c r="I10" s="1" t="s">
        <v>559</v>
      </c>
      <c r="J10" s="1" t="s">
        <v>560</v>
      </c>
      <c r="K10" s="1"/>
    </row>
    <row r="11" spans="1:11" ht="29.25">
      <c r="A11" s="1">
        <v>10</v>
      </c>
      <c r="B11" s="11" t="s">
        <v>563</v>
      </c>
      <c r="C11" s="3" t="s">
        <v>561</v>
      </c>
      <c r="D11" s="1" t="s">
        <v>562</v>
      </c>
      <c r="E11" s="1" t="s">
        <v>624</v>
      </c>
      <c r="F11" s="1" t="s">
        <v>562</v>
      </c>
      <c r="G11" s="1" t="s">
        <v>562</v>
      </c>
      <c r="H11" s="1" t="s">
        <v>562</v>
      </c>
      <c r="I11" s="1" t="s">
        <v>562</v>
      </c>
      <c r="J11" s="1" t="s">
        <v>562</v>
      </c>
      <c r="K11" s="1"/>
    </row>
    <row r="12" spans="1:11" ht="29.25">
      <c r="A12" s="1">
        <v>11</v>
      </c>
      <c r="B12" s="15" t="s">
        <v>566</v>
      </c>
      <c r="C12" s="3" t="s">
        <v>564</v>
      </c>
      <c r="D12" s="1" t="s">
        <v>565</v>
      </c>
      <c r="E12" s="1" t="s">
        <v>567</v>
      </c>
      <c r="F12" s="1" t="s">
        <v>567</v>
      </c>
      <c r="G12" s="1" t="s">
        <v>567</v>
      </c>
      <c r="H12" s="1" t="s">
        <v>567</v>
      </c>
      <c r="I12" s="1" t="s">
        <v>567</v>
      </c>
      <c r="J12" s="1" t="s">
        <v>567</v>
      </c>
      <c r="K12" s="1"/>
    </row>
    <row r="13" spans="1:11" ht="29.25">
      <c r="A13" s="1">
        <v>12</v>
      </c>
      <c r="B13" s="4" t="s">
        <v>569</v>
      </c>
      <c r="C13" s="3" t="s">
        <v>568</v>
      </c>
      <c r="D13" s="1" t="s">
        <v>522</v>
      </c>
      <c r="E13" s="1" t="s">
        <v>570</v>
      </c>
      <c r="F13" s="1" t="s">
        <v>522</v>
      </c>
      <c r="G13" s="1" t="s">
        <v>522</v>
      </c>
      <c r="H13" s="1" t="s">
        <v>571</v>
      </c>
      <c r="I13" s="1" t="s">
        <v>522</v>
      </c>
      <c r="J13" s="1" t="s">
        <v>571</v>
      </c>
      <c r="K13" s="1"/>
    </row>
    <row r="14" spans="1:11" ht="29.25">
      <c r="A14" s="1">
        <v>13</v>
      </c>
      <c r="B14" s="3" t="s">
        <v>574</v>
      </c>
      <c r="C14" s="3" t="s">
        <v>572</v>
      </c>
      <c r="D14" s="1" t="s">
        <v>573</v>
      </c>
      <c r="E14" s="1" t="s">
        <v>575</v>
      </c>
      <c r="F14" s="1" t="s">
        <v>527</v>
      </c>
      <c r="G14" s="1" t="s">
        <v>527</v>
      </c>
      <c r="H14" s="1" t="s">
        <v>576</v>
      </c>
      <c r="I14" s="1" t="s">
        <v>527</v>
      </c>
      <c r="J14" s="1" t="s">
        <v>576</v>
      </c>
      <c r="K14" s="1"/>
    </row>
    <row r="15" spans="1:11" ht="29.25">
      <c r="A15" s="1">
        <v>14</v>
      </c>
      <c r="B15" s="3" t="s">
        <v>579</v>
      </c>
      <c r="C15" s="3" t="s">
        <v>577</v>
      </c>
      <c r="D15" s="1" t="s">
        <v>578</v>
      </c>
      <c r="E15" s="1" t="s">
        <v>626</v>
      </c>
      <c r="F15" s="1" t="s">
        <v>580</v>
      </c>
      <c r="G15" s="1" t="s">
        <v>581</v>
      </c>
      <c r="H15" s="1" t="s">
        <v>580</v>
      </c>
      <c r="I15" s="1" t="s">
        <v>582</v>
      </c>
      <c r="J15" s="1" t="s">
        <v>580</v>
      </c>
      <c r="K15" s="1"/>
    </row>
    <row r="16" spans="1:11" ht="29.25">
      <c r="A16" s="1">
        <v>15</v>
      </c>
      <c r="B16" s="3" t="s">
        <v>583</v>
      </c>
      <c r="C16" s="3" t="s">
        <v>583</v>
      </c>
      <c r="D16" s="1" t="s">
        <v>584</v>
      </c>
      <c r="E16" s="1" t="s">
        <v>585</v>
      </c>
      <c r="F16" s="1" t="s">
        <v>584</v>
      </c>
      <c r="G16" s="1" t="s">
        <v>584</v>
      </c>
      <c r="H16" s="1" t="s">
        <v>584</v>
      </c>
      <c r="I16" s="1" t="s">
        <v>584</v>
      </c>
      <c r="J16" s="1" t="s">
        <v>584</v>
      </c>
      <c r="K16" s="1"/>
    </row>
    <row r="17" spans="1:11" ht="29.25">
      <c r="A17" s="1">
        <v>16</v>
      </c>
      <c r="B17" s="3" t="s">
        <v>586</v>
      </c>
      <c r="C17" s="3" t="s">
        <v>586</v>
      </c>
      <c r="D17" s="1" t="s">
        <v>432</v>
      </c>
      <c r="E17" s="1" t="s">
        <v>587</v>
      </c>
      <c r="F17" s="1" t="s">
        <v>432</v>
      </c>
      <c r="G17" s="1" t="s">
        <v>432</v>
      </c>
      <c r="H17" s="1" t="s">
        <v>432</v>
      </c>
      <c r="I17" s="1" t="s">
        <v>432</v>
      </c>
      <c r="J17" s="1" t="s">
        <v>588</v>
      </c>
      <c r="K17" s="16" t="s">
        <v>589</v>
      </c>
    </row>
    <row r="18" spans="1:11" ht="29.25">
      <c r="A18" s="1">
        <v>17</v>
      </c>
      <c r="B18" s="3" t="s">
        <v>590</v>
      </c>
      <c r="C18" s="3" t="s">
        <v>590</v>
      </c>
      <c r="D18" s="1" t="s">
        <v>591</v>
      </c>
      <c r="E18" s="1" t="s">
        <v>592</v>
      </c>
      <c r="F18" s="1" t="s">
        <v>591</v>
      </c>
      <c r="G18" s="1" t="s">
        <v>591</v>
      </c>
      <c r="H18" s="1" t="s">
        <v>591</v>
      </c>
      <c r="I18" s="1" t="s">
        <v>591</v>
      </c>
      <c r="J18" s="1" t="s">
        <v>593</v>
      </c>
      <c r="K18" s="19" t="s">
        <v>594</v>
      </c>
    </row>
    <row r="19" spans="1:11" ht="29.25">
      <c r="A19" s="1">
        <v>18</v>
      </c>
      <c r="B19" s="3" t="s">
        <v>595</v>
      </c>
      <c r="C19" s="3" t="s">
        <v>595</v>
      </c>
      <c r="D19" s="1" t="s">
        <v>596</v>
      </c>
      <c r="E19" s="1" t="s">
        <v>597</v>
      </c>
      <c r="F19" s="1" t="s">
        <v>407</v>
      </c>
      <c r="G19" s="1" t="s">
        <v>407</v>
      </c>
      <c r="H19" s="1" t="s">
        <v>407</v>
      </c>
      <c r="I19" s="1" t="s">
        <v>407</v>
      </c>
      <c r="J19" s="1" t="s">
        <v>598</v>
      </c>
      <c r="K19" s="19" t="s">
        <v>599</v>
      </c>
    </row>
    <row r="20" spans="1:11" ht="29.25">
      <c r="A20" s="17">
        <v>19</v>
      </c>
      <c r="B20" s="18" t="s">
        <v>557</v>
      </c>
      <c r="C20" s="18" t="s">
        <v>555</v>
      </c>
      <c r="D20" s="16" t="s">
        <v>600</v>
      </c>
      <c r="E20" s="16" t="s">
        <v>601</v>
      </c>
      <c r="F20" s="17" t="s">
        <v>602</v>
      </c>
      <c r="G20" s="17" t="s">
        <v>602</v>
      </c>
      <c r="H20" s="17" t="s">
        <v>604</v>
      </c>
      <c r="I20" s="17" t="s">
        <v>602</v>
      </c>
      <c r="J20" s="17" t="s">
        <v>603</v>
      </c>
      <c r="K20" s="19" t="s">
        <v>622</v>
      </c>
    </row>
    <row r="21" spans="1:11" ht="29.25">
      <c r="A21" s="17">
        <v>20</v>
      </c>
      <c r="B21" s="18" t="s">
        <v>550</v>
      </c>
      <c r="C21" s="18" t="s">
        <v>605</v>
      </c>
      <c r="D21" s="19" t="s">
        <v>606</v>
      </c>
      <c r="E21" s="19" t="s">
        <v>607</v>
      </c>
      <c r="F21" s="17" t="s">
        <v>608</v>
      </c>
      <c r="G21" s="17" t="s">
        <v>609</v>
      </c>
      <c r="H21" s="17" t="s">
        <v>602</v>
      </c>
      <c r="I21" s="17" t="s">
        <v>610</v>
      </c>
      <c r="J21" s="17" t="s">
        <v>608</v>
      </c>
      <c r="K21" s="19" t="s">
        <v>623</v>
      </c>
    </row>
    <row r="22" spans="1:11" ht="29.25">
      <c r="A22" s="17">
        <v>21</v>
      </c>
      <c r="B22" s="18" t="s">
        <v>579</v>
      </c>
      <c r="C22" s="18" t="s">
        <v>611</v>
      </c>
      <c r="D22" s="19" t="s">
        <v>612</v>
      </c>
      <c r="E22" s="19" t="s">
        <v>613</v>
      </c>
      <c r="F22" s="17" t="s">
        <v>614</v>
      </c>
      <c r="G22" s="17" t="s">
        <v>615</v>
      </c>
      <c r="H22" s="17" t="s">
        <v>610</v>
      </c>
      <c r="I22" s="17" t="s">
        <v>616</v>
      </c>
      <c r="J22" s="17" t="s">
        <v>614</v>
      </c>
      <c r="K22" s="19" t="s">
        <v>627</v>
      </c>
    </row>
    <row r="23" spans="1:11" ht="29.25">
      <c r="A23" s="17">
        <v>22</v>
      </c>
      <c r="B23" s="18" t="s">
        <v>563</v>
      </c>
      <c r="C23" s="18" t="s">
        <v>617</v>
      </c>
      <c r="D23" s="19" t="s">
        <v>618</v>
      </c>
      <c r="E23" s="19" t="s">
        <v>619</v>
      </c>
      <c r="F23" s="17" t="s">
        <v>620</v>
      </c>
      <c r="G23" s="17" t="s">
        <v>620</v>
      </c>
      <c r="H23" s="17" t="s">
        <v>621</v>
      </c>
      <c r="I23" s="17" t="s">
        <v>620</v>
      </c>
      <c r="J23" s="17" t="s">
        <v>620</v>
      </c>
      <c r="K23" s="19" t="s">
        <v>625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2B6C-5679-4370-9927-A55154F8A277}">
  <dimension ref="A1:O85"/>
  <sheetViews>
    <sheetView tabSelected="1" topLeftCell="A48" workbookViewId="0">
      <selection activeCell="F64" sqref="F64"/>
    </sheetView>
  </sheetViews>
  <sheetFormatPr defaultRowHeight="26.25"/>
  <cols>
    <col min="1" max="1" width="7.33203125" customWidth="1"/>
    <col min="4" max="4" width="9.1640625" customWidth="1"/>
    <col min="6" max="6" width="9.1640625" style="103" customWidth="1"/>
    <col min="7" max="7" width="9.1640625" customWidth="1"/>
    <col min="11" max="11" width="9.1640625" customWidth="1"/>
    <col min="13" max="13" width="9.1640625" customWidth="1"/>
    <col min="17" max="18" width="9.1640625" customWidth="1"/>
    <col min="19" max="19" width="7.33203125" customWidth="1"/>
    <col min="20" max="20" width="12.83203125" customWidth="1"/>
  </cols>
  <sheetData>
    <row r="1" spans="1:13" ht="25.5">
      <c r="A1" s="74" t="s">
        <v>0</v>
      </c>
      <c r="B1" s="75" t="s">
        <v>3</v>
      </c>
      <c r="C1" s="75" t="s">
        <v>1</v>
      </c>
      <c r="D1" s="75" t="s">
        <v>4</v>
      </c>
      <c r="E1" s="75" t="s">
        <v>2</v>
      </c>
      <c r="F1" s="75" t="s">
        <v>6</v>
      </c>
      <c r="G1" s="75" t="s">
        <v>5</v>
      </c>
      <c r="H1" s="75" t="s">
        <v>8</v>
      </c>
      <c r="I1" s="75" t="s">
        <v>7</v>
      </c>
      <c r="J1" s="75" t="s">
        <v>9</v>
      </c>
      <c r="K1" s="75" t="s">
        <v>511</v>
      </c>
      <c r="L1" s="75" t="s">
        <v>10</v>
      </c>
      <c r="M1" s="76" t="s">
        <v>11</v>
      </c>
    </row>
    <row r="2" spans="1:13" ht="29.25">
      <c r="A2" s="67">
        <v>1</v>
      </c>
      <c r="B2" s="3" t="s">
        <v>15</v>
      </c>
      <c r="C2" s="3" t="s">
        <v>13</v>
      </c>
      <c r="D2" s="1" t="s">
        <v>16</v>
      </c>
      <c r="E2" s="101" t="s">
        <v>14</v>
      </c>
      <c r="F2" s="1" t="s">
        <v>14</v>
      </c>
      <c r="G2" s="1" t="s">
        <v>14</v>
      </c>
      <c r="H2" s="1" t="s">
        <v>14</v>
      </c>
      <c r="I2" s="99" t="s">
        <v>14</v>
      </c>
      <c r="J2" s="1" t="s">
        <v>14</v>
      </c>
      <c r="K2" s="1" t="s">
        <v>12</v>
      </c>
      <c r="L2" s="1" t="s">
        <v>17</v>
      </c>
      <c r="M2" s="68" t="s">
        <v>18</v>
      </c>
    </row>
    <row r="3" spans="1:13" ht="29.25">
      <c r="A3" s="67">
        <v>2</v>
      </c>
      <c r="B3" s="3" t="s">
        <v>15</v>
      </c>
      <c r="C3" s="3" t="s">
        <v>20</v>
      </c>
      <c r="D3" s="1" t="s">
        <v>21</v>
      </c>
      <c r="E3" s="101" t="s">
        <v>22</v>
      </c>
      <c r="F3" s="1" t="s">
        <v>22</v>
      </c>
      <c r="G3" s="1" t="s">
        <v>22</v>
      </c>
      <c r="H3" s="1" t="s">
        <v>22</v>
      </c>
      <c r="I3" s="99" t="s">
        <v>22</v>
      </c>
      <c r="J3" s="1" t="s">
        <v>22</v>
      </c>
      <c r="K3" s="1" t="s">
        <v>12</v>
      </c>
      <c r="L3" s="1" t="s">
        <v>23</v>
      </c>
      <c r="M3" s="68" t="s">
        <v>24</v>
      </c>
    </row>
    <row r="4" spans="1:13" ht="30">
      <c r="A4" s="67">
        <v>3</v>
      </c>
      <c r="B4" s="3" t="s">
        <v>28</v>
      </c>
      <c r="C4" s="3" t="s">
        <v>26</v>
      </c>
      <c r="D4" s="1" t="s">
        <v>29</v>
      </c>
      <c r="E4" s="101" t="s">
        <v>1293</v>
      </c>
      <c r="F4" s="1" t="s">
        <v>27</v>
      </c>
      <c r="G4" s="1" t="s">
        <v>27</v>
      </c>
      <c r="H4" s="1" t="s">
        <v>27</v>
      </c>
      <c r="I4" s="99" t="s">
        <v>27</v>
      </c>
      <c r="J4" s="1" t="s">
        <v>27</v>
      </c>
      <c r="K4" s="1" t="s">
        <v>19</v>
      </c>
      <c r="L4" s="1" t="s">
        <v>17</v>
      </c>
      <c r="M4" s="68" t="s">
        <v>30</v>
      </c>
    </row>
    <row r="5" spans="1:13" ht="30">
      <c r="A5" s="67">
        <v>4</v>
      </c>
      <c r="B5" s="3" t="s">
        <v>28</v>
      </c>
      <c r="C5" s="3" t="s">
        <v>32</v>
      </c>
      <c r="D5" s="1" t="s">
        <v>33</v>
      </c>
      <c r="E5" s="101" t="s">
        <v>1294</v>
      </c>
      <c r="F5" s="1" t="s">
        <v>34</v>
      </c>
      <c r="G5" s="1" t="s">
        <v>34</v>
      </c>
      <c r="H5" s="1" t="s">
        <v>34</v>
      </c>
      <c r="I5" s="99" t="s">
        <v>34</v>
      </c>
      <c r="J5" s="1" t="s">
        <v>34</v>
      </c>
      <c r="K5" s="1" t="s">
        <v>19</v>
      </c>
      <c r="L5" s="1" t="s">
        <v>23</v>
      </c>
      <c r="M5" s="68" t="s">
        <v>35</v>
      </c>
    </row>
    <row r="6" spans="1:13" ht="29.25">
      <c r="A6" s="67">
        <v>5</v>
      </c>
      <c r="B6" s="3" t="s">
        <v>39</v>
      </c>
      <c r="C6" s="3" t="s">
        <v>37</v>
      </c>
      <c r="D6" s="1" t="s">
        <v>40</v>
      </c>
      <c r="E6" s="101" t="s">
        <v>38</v>
      </c>
      <c r="F6" s="1" t="s">
        <v>38</v>
      </c>
      <c r="G6" s="1" t="s">
        <v>38</v>
      </c>
      <c r="H6" s="1" t="s">
        <v>38</v>
      </c>
      <c r="I6" s="99" t="s">
        <v>38</v>
      </c>
      <c r="J6" s="1" t="s">
        <v>38</v>
      </c>
      <c r="K6" s="1" t="s">
        <v>25</v>
      </c>
      <c r="L6" s="1" t="s">
        <v>17</v>
      </c>
      <c r="M6" s="68" t="s">
        <v>41</v>
      </c>
    </row>
    <row r="7" spans="1:13" ht="29.25">
      <c r="A7" s="67">
        <v>6</v>
      </c>
      <c r="B7" s="3" t="s">
        <v>39</v>
      </c>
      <c r="C7" s="3" t="s">
        <v>43</v>
      </c>
      <c r="D7" s="1" t="s">
        <v>45</v>
      </c>
      <c r="E7" s="101" t="s">
        <v>44</v>
      </c>
      <c r="F7" s="1" t="s">
        <v>46</v>
      </c>
      <c r="G7" s="1" t="s">
        <v>46</v>
      </c>
      <c r="H7" s="1" t="s">
        <v>46</v>
      </c>
      <c r="I7" s="99" t="s">
        <v>46</v>
      </c>
      <c r="J7" s="1" t="s">
        <v>46</v>
      </c>
      <c r="K7" s="1" t="s">
        <v>25</v>
      </c>
      <c r="L7" s="1" t="s">
        <v>23</v>
      </c>
      <c r="M7" s="68" t="s">
        <v>47</v>
      </c>
    </row>
    <row r="8" spans="1:13" ht="29.25">
      <c r="A8" s="67">
        <v>7</v>
      </c>
      <c r="B8" s="3" t="s">
        <v>51</v>
      </c>
      <c r="C8" s="3" t="s">
        <v>49</v>
      </c>
      <c r="D8" s="1" t="s">
        <v>52</v>
      </c>
      <c r="E8" s="101" t="s">
        <v>50</v>
      </c>
      <c r="F8" s="1" t="s">
        <v>50</v>
      </c>
      <c r="G8" s="1" t="s">
        <v>50</v>
      </c>
      <c r="H8" s="1" t="s">
        <v>50</v>
      </c>
      <c r="I8" s="99" t="s">
        <v>50</v>
      </c>
      <c r="J8" s="1" t="s">
        <v>50</v>
      </c>
      <c r="K8" s="1" t="s">
        <v>31</v>
      </c>
      <c r="L8" s="1" t="s">
        <v>17</v>
      </c>
      <c r="M8" s="68" t="s">
        <v>53</v>
      </c>
    </row>
    <row r="9" spans="1:13" ht="30">
      <c r="A9" s="67">
        <v>9</v>
      </c>
      <c r="B9" s="4" t="s">
        <v>57</v>
      </c>
      <c r="C9" s="4" t="s">
        <v>55</v>
      </c>
      <c r="D9" s="1" t="s">
        <v>58</v>
      </c>
      <c r="E9" s="101" t="s">
        <v>1295</v>
      </c>
      <c r="F9" s="1" t="s">
        <v>59</v>
      </c>
      <c r="G9" s="1" t="s">
        <v>59</v>
      </c>
      <c r="H9" s="1" t="s">
        <v>60</v>
      </c>
      <c r="I9" s="104"/>
      <c r="J9" s="1" t="s">
        <v>60</v>
      </c>
      <c r="K9" s="1" t="s">
        <v>36</v>
      </c>
      <c r="L9" s="1" t="s">
        <v>17</v>
      </c>
      <c r="M9" s="68" t="s">
        <v>61</v>
      </c>
    </row>
    <row r="10" spans="1:13" ht="29.25">
      <c r="A10" s="67">
        <v>10</v>
      </c>
      <c r="B10" s="4" t="s">
        <v>57</v>
      </c>
      <c r="C10" s="3" t="s">
        <v>63</v>
      </c>
      <c r="D10" s="1" t="s">
        <v>936</v>
      </c>
      <c r="E10" s="101" t="s">
        <v>1296</v>
      </c>
      <c r="F10" s="1" t="s">
        <v>64</v>
      </c>
      <c r="G10" s="1" t="s">
        <v>64</v>
      </c>
      <c r="H10" s="1" t="s">
        <v>65</v>
      </c>
      <c r="I10" s="104"/>
      <c r="J10" s="1" t="s">
        <v>65</v>
      </c>
      <c r="K10" s="1" t="s">
        <v>36</v>
      </c>
      <c r="L10" s="1" t="s">
        <v>23</v>
      </c>
      <c r="M10" s="68" t="s">
        <v>66</v>
      </c>
    </row>
    <row r="11" spans="1:13" ht="29.25">
      <c r="A11" s="67">
        <v>11</v>
      </c>
      <c r="B11" s="3" t="s">
        <v>70</v>
      </c>
      <c r="C11" s="3" t="s">
        <v>68</v>
      </c>
      <c r="D11" s="1" t="s">
        <v>71</v>
      </c>
      <c r="E11" s="101" t="s">
        <v>69</v>
      </c>
      <c r="F11" s="1" t="s">
        <v>69</v>
      </c>
      <c r="G11" s="1" t="s">
        <v>69</v>
      </c>
      <c r="H11" s="1" t="s">
        <v>69</v>
      </c>
      <c r="I11" s="99" t="s">
        <v>69</v>
      </c>
      <c r="J11" s="1" t="s">
        <v>69</v>
      </c>
      <c r="K11" s="1" t="s">
        <v>42</v>
      </c>
      <c r="L11" s="1" t="s">
        <v>17</v>
      </c>
      <c r="M11" s="68" t="s">
        <v>72</v>
      </c>
    </row>
    <row r="12" spans="1:13" ht="29.25">
      <c r="A12" s="67">
        <v>12</v>
      </c>
      <c r="B12" s="3" t="s">
        <v>70</v>
      </c>
      <c r="C12" s="3" t="s">
        <v>74</v>
      </c>
      <c r="D12" s="1" t="s">
        <v>76</v>
      </c>
      <c r="E12" s="101" t="s">
        <v>75</v>
      </c>
      <c r="F12" s="1" t="s">
        <v>77</v>
      </c>
      <c r="G12" s="1" t="s">
        <v>77</v>
      </c>
      <c r="H12" s="1" t="s">
        <v>77</v>
      </c>
      <c r="I12" s="99" t="s">
        <v>77</v>
      </c>
      <c r="J12" s="1" t="s">
        <v>77</v>
      </c>
      <c r="K12" s="1" t="s">
        <v>42</v>
      </c>
      <c r="L12" s="1" t="s">
        <v>23</v>
      </c>
      <c r="M12" s="68" t="s">
        <v>78</v>
      </c>
    </row>
    <row r="13" spans="1:13" ht="29.25">
      <c r="A13" s="67">
        <v>13</v>
      </c>
      <c r="B13" s="3" t="s">
        <v>82</v>
      </c>
      <c r="C13" s="3" t="s">
        <v>80</v>
      </c>
      <c r="D13" s="1" t="s">
        <v>83</v>
      </c>
      <c r="E13" s="101" t="s">
        <v>1284</v>
      </c>
      <c r="F13" s="1" t="s">
        <v>84</v>
      </c>
      <c r="G13" s="1" t="s">
        <v>84</v>
      </c>
      <c r="H13" s="1" t="s">
        <v>84</v>
      </c>
      <c r="I13" s="99" t="s">
        <v>84</v>
      </c>
      <c r="J13" s="1" t="s">
        <v>84</v>
      </c>
      <c r="K13" s="1" t="s">
        <v>48</v>
      </c>
      <c r="L13" s="1" t="s">
        <v>17</v>
      </c>
      <c r="M13" s="68" t="s">
        <v>85</v>
      </c>
    </row>
    <row r="14" spans="1:13" ht="29.25">
      <c r="A14" s="67">
        <v>14</v>
      </c>
      <c r="B14" s="3" t="s">
        <v>82</v>
      </c>
      <c r="C14" s="3" t="s">
        <v>87</v>
      </c>
      <c r="D14" s="1" t="s">
        <v>89</v>
      </c>
      <c r="E14" s="101" t="s">
        <v>1285</v>
      </c>
      <c r="F14" s="1" t="s">
        <v>90</v>
      </c>
      <c r="G14" s="1" t="s">
        <v>90</v>
      </c>
      <c r="H14" s="1" t="s">
        <v>90</v>
      </c>
      <c r="I14" s="99" t="s">
        <v>90</v>
      </c>
      <c r="J14" s="1" t="s">
        <v>90</v>
      </c>
      <c r="K14" s="1" t="s">
        <v>48</v>
      </c>
      <c r="L14" s="1" t="s">
        <v>23</v>
      </c>
      <c r="M14" s="68" t="s">
        <v>91</v>
      </c>
    </row>
    <row r="15" spans="1:13" ht="29.25">
      <c r="A15" s="67">
        <v>15</v>
      </c>
      <c r="B15" s="3" t="s">
        <v>95</v>
      </c>
      <c r="C15" s="3" t="s">
        <v>93</v>
      </c>
      <c r="D15" s="1" t="s">
        <v>96</v>
      </c>
      <c r="E15" s="101" t="s">
        <v>94</v>
      </c>
      <c r="F15" s="1" t="s">
        <v>94</v>
      </c>
      <c r="G15" s="1" t="s">
        <v>94</v>
      </c>
      <c r="H15" s="1" t="s">
        <v>94</v>
      </c>
      <c r="I15" s="105" t="s">
        <v>97</v>
      </c>
      <c r="J15" s="1" t="s">
        <v>94</v>
      </c>
      <c r="K15" s="1" t="s">
        <v>99</v>
      </c>
      <c r="L15" s="1" t="s">
        <v>17</v>
      </c>
      <c r="M15" s="68" t="s">
        <v>98</v>
      </c>
    </row>
    <row r="16" spans="1:13" ht="39">
      <c r="A16" s="67">
        <v>16</v>
      </c>
      <c r="B16" s="3" t="s">
        <v>95</v>
      </c>
      <c r="C16" s="3" t="s">
        <v>512</v>
      </c>
      <c r="D16" s="1" t="s">
        <v>937</v>
      </c>
      <c r="E16" s="101" t="s">
        <v>1146</v>
      </c>
      <c r="F16" s="1" t="s">
        <v>101</v>
      </c>
      <c r="G16" s="1" t="s">
        <v>101</v>
      </c>
      <c r="H16" s="1" t="s">
        <v>101</v>
      </c>
      <c r="I16" s="105" t="s">
        <v>102</v>
      </c>
      <c r="J16" s="1" t="s">
        <v>101</v>
      </c>
      <c r="K16" s="1" t="s">
        <v>99</v>
      </c>
      <c r="L16" s="1" t="s">
        <v>23</v>
      </c>
      <c r="M16" s="68" t="s">
        <v>103</v>
      </c>
    </row>
    <row r="17" spans="1:13" ht="30">
      <c r="A17" s="67">
        <v>17</v>
      </c>
      <c r="B17" s="3" t="s">
        <v>107</v>
      </c>
      <c r="C17" s="3" t="s">
        <v>105</v>
      </c>
      <c r="D17" s="1" t="s">
        <v>108</v>
      </c>
      <c r="E17" s="101" t="s">
        <v>1297</v>
      </c>
      <c r="F17" s="1" t="s">
        <v>109</v>
      </c>
      <c r="G17" s="1" t="s">
        <v>109</v>
      </c>
      <c r="H17" s="1" t="s">
        <v>109</v>
      </c>
      <c r="I17" s="105" t="s">
        <v>110</v>
      </c>
      <c r="J17" s="1" t="s">
        <v>109</v>
      </c>
      <c r="K17" s="1" t="s">
        <v>54</v>
      </c>
      <c r="L17" s="1" t="s">
        <v>17</v>
      </c>
      <c r="M17" s="68" t="s">
        <v>111</v>
      </c>
    </row>
    <row r="18" spans="1:13" ht="30">
      <c r="A18" s="67">
        <v>18</v>
      </c>
      <c r="B18" s="3" t="s">
        <v>107</v>
      </c>
      <c r="C18" s="3" t="s">
        <v>113</v>
      </c>
      <c r="D18" s="1" t="s">
        <v>114</v>
      </c>
      <c r="E18" s="101" t="s">
        <v>1298</v>
      </c>
      <c r="F18" s="1" t="s">
        <v>115</v>
      </c>
      <c r="G18" s="1" t="s">
        <v>115</v>
      </c>
      <c r="H18" s="1" t="s">
        <v>115</v>
      </c>
      <c r="I18" s="105" t="s">
        <v>116</v>
      </c>
      <c r="J18" s="1" t="s">
        <v>115</v>
      </c>
      <c r="K18" s="1" t="s">
        <v>54</v>
      </c>
      <c r="L18" s="1" t="s">
        <v>23</v>
      </c>
      <c r="M18" s="68" t="s">
        <v>117</v>
      </c>
    </row>
    <row r="19" spans="1:13" ht="29.25">
      <c r="A19" s="67">
        <v>19</v>
      </c>
      <c r="B19" s="3" t="s">
        <v>121</v>
      </c>
      <c r="C19" s="3" t="s">
        <v>119</v>
      </c>
      <c r="D19" s="1" t="s">
        <v>122</v>
      </c>
      <c r="E19" s="101" t="s">
        <v>120</v>
      </c>
      <c r="F19" s="1" t="s">
        <v>120</v>
      </c>
      <c r="G19" s="1" t="s">
        <v>120</v>
      </c>
      <c r="H19" s="1" t="s">
        <v>120</v>
      </c>
      <c r="I19" s="105" t="s">
        <v>123</v>
      </c>
      <c r="J19" s="1" t="s">
        <v>120</v>
      </c>
      <c r="K19" s="1" t="s">
        <v>62</v>
      </c>
      <c r="L19" s="1" t="s">
        <v>17</v>
      </c>
      <c r="M19" s="68" t="s">
        <v>124</v>
      </c>
    </row>
    <row r="20" spans="1:13" ht="29.25">
      <c r="A20" s="67">
        <v>20</v>
      </c>
      <c r="B20" s="3" t="s">
        <v>121</v>
      </c>
      <c r="C20" s="3" t="s">
        <v>126</v>
      </c>
      <c r="D20" s="1" t="s">
        <v>128</v>
      </c>
      <c r="E20" s="101" t="s">
        <v>127</v>
      </c>
      <c r="F20" s="1" t="s">
        <v>129</v>
      </c>
      <c r="G20" s="1" t="s">
        <v>129</v>
      </c>
      <c r="H20" s="1" t="s">
        <v>129</v>
      </c>
      <c r="I20" s="105" t="s">
        <v>130</v>
      </c>
      <c r="J20" s="1" t="s">
        <v>129</v>
      </c>
      <c r="K20" s="1" t="s">
        <v>62</v>
      </c>
      <c r="L20" s="1" t="s">
        <v>23</v>
      </c>
      <c r="M20" s="68" t="s">
        <v>131</v>
      </c>
    </row>
    <row r="21" spans="1:13" ht="29.25">
      <c r="A21" s="67">
        <v>21</v>
      </c>
      <c r="B21" s="3" t="s">
        <v>135</v>
      </c>
      <c r="C21" s="3" t="s">
        <v>133</v>
      </c>
      <c r="D21" s="1" t="s">
        <v>938</v>
      </c>
      <c r="E21" s="101" t="s">
        <v>1286</v>
      </c>
      <c r="F21" s="1" t="s">
        <v>136</v>
      </c>
      <c r="G21" s="1" t="s">
        <v>136</v>
      </c>
      <c r="H21" s="1" t="s">
        <v>136</v>
      </c>
      <c r="I21" s="105" t="str">
        <f xml:space="preserve"> _xlfn.CONCAT("o", _xlfn.UNICHAR(HEX2DEC(358)))</f>
        <v>o͘</v>
      </c>
      <c r="J21" s="1" t="s">
        <v>136</v>
      </c>
      <c r="K21" s="1" t="s">
        <v>67</v>
      </c>
      <c r="L21" s="1" t="s">
        <v>17</v>
      </c>
      <c r="M21" s="68" t="s">
        <v>138</v>
      </c>
    </row>
    <row r="22" spans="1:13" ht="30">
      <c r="A22" s="67">
        <v>23</v>
      </c>
      <c r="B22" s="3" t="s">
        <v>142</v>
      </c>
      <c r="C22" s="3" t="s">
        <v>140</v>
      </c>
      <c r="D22" s="1" t="s">
        <v>143</v>
      </c>
      <c r="E22" s="101" t="s">
        <v>1299</v>
      </c>
      <c r="F22" s="1" t="s">
        <v>141</v>
      </c>
      <c r="G22" s="1" t="s">
        <v>141</v>
      </c>
      <c r="H22" s="16" t="s">
        <v>144</v>
      </c>
      <c r="I22" s="99" t="s">
        <v>141</v>
      </c>
      <c r="J22" s="1" t="s">
        <v>141</v>
      </c>
      <c r="K22" s="1" t="s">
        <v>73</v>
      </c>
      <c r="L22" s="1" t="s">
        <v>17</v>
      </c>
      <c r="M22" s="68" t="s">
        <v>145</v>
      </c>
    </row>
    <row r="23" spans="1:13" ht="30">
      <c r="A23" s="67">
        <v>24</v>
      </c>
      <c r="B23" s="3" t="s">
        <v>142</v>
      </c>
      <c r="C23" s="5" t="s">
        <v>147</v>
      </c>
      <c r="D23" s="1" t="s">
        <v>939</v>
      </c>
      <c r="E23" s="101" t="s">
        <v>1300</v>
      </c>
      <c r="F23" s="1" t="s">
        <v>148</v>
      </c>
      <c r="G23" s="1" t="s">
        <v>148</v>
      </c>
      <c r="H23" s="1" t="s">
        <v>149</v>
      </c>
      <c r="I23" s="99" t="s">
        <v>148</v>
      </c>
      <c r="J23" s="1" t="s">
        <v>148</v>
      </c>
      <c r="K23" s="1" t="s">
        <v>73</v>
      </c>
      <c r="L23" s="1" t="s">
        <v>23</v>
      </c>
      <c r="M23" s="68" t="s">
        <v>150</v>
      </c>
    </row>
    <row r="24" spans="1:13" ht="29.25">
      <c r="A24" s="67">
        <v>25</v>
      </c>
      <c r="B24" s="3" t="s">
        <v>154</v>
      </c>
      <c r="C24" s="3" t="s">
        <v>152</v>
      </c>
      <c r="D24" s="1" t="s">
        <v>155</v>
      </c>
      <c r="E24" s="101" t="s">
        <v>60</v>
      </c>
      <c r="F24" s="1" t="s">
        <v>60</v>
      </c>
      <c r="G24" s="1" t="s">
        <v>153</v>
      </c>
      <c r="H24" s="1" t="s">
        <v>60</v>
      </c>
      <c r="I24" s="104"/>
      <c r="J24" s="1" t="s">
        <v>60</v>
      </c>
      <c r="K24" s="1" t="s">
        <v>79</v>
      </c>
      <c r="L24" s="1" t="s">
        <v>17</v>
      </c>
      <c r="M24" s="68" t="s">
        <v>156</v>
      </c>
    </row>
    <row r="25" spans="1:13" ht="29.25">
      <c r="A25" s="67">
        <v>27</v>
      </c>
      <c r="B25" s="3" t="s">
        <v>160</v>
      </c>
      <c r="C25" s="3" t="s">
        <v>158</v>
      </c>
      <c r="D25" s="1" t="s">
        <v>161</v>
      </c>
      <c r="E25" s="101" t="s">
        <v>1287</v>
      </c>
      <c r="F25" s="1" t="s">
        <v>162</v>
      </c>
      <c r="G25" s="1" t="s">
        <v>162</v>
      </c>
      <c r="H25" s="1" t="s">
        <v>162</v>
      </c>
      <c r="I25" s="99" t="s">
        <v>162</v>
      </c>
      <c r="J25" s="1" t="s">
        <v>162</v>
      </c>
      <c r="K25" s="1" t="s">
        <v>86</v>
      </c>
      <c r="L25" s="1" t="s">
        <v>17</v>
      </c>
      <c r="M25" s="68" t="s">
        <v>163</v>
      </c>
    </row>
    <row r="26" spans="1:13" ht="29.25">
      <c r="A26" s="67">
        <v>28</v>
      </c>
      <c r="B26" s="3" t="s">
        <v>160</v>
      </c>
      <c r="C26" s="3" t="s">
        <v>165</v>
      </c>
      <c r="D26" s="1" t="s">
        <v>166</v>
      </c>
      <c r="E26" s="101" t="s">
        <v>1288</v>
      </c>
      <c r="F26" s="1" t="s">
        <v>167</v>
      </c>
      <c r="G26" s="1" t="s">
        <v>167</v>
      </c>
      <c r="H26" s="1" t="s">
        <v>167</v>
      </c>
      <c r="I26" s="99" t="s">
        <v>167</v>
      </c>
      <c r="J26" s="16" t="s">
        <v>921</v>
      </c>
      <c r="K26" s="1" t="s">
        <v>86</v>
      </c>
      <c r="L26" s="1" t="s">
        <v>23</v>
      </c>
      <c r="M26" s="68" t="s">
        <v>168</v>
      </c>
    </row>
    <row r="27" spans="1:13" ht="29.25">
      <c r="A27" s="67">
        <v>29</v>
      </c>
      <c r="B27" s="3" t="s">
        <v>172</v>
      </c>
      <c r="C27" s="3" t="s">
        <v>170</v>
      </c>
      <c r="D27" s="1" t="s">
        <v>173</v>
      </c>
      <c r="E27" s="101" t="s">
        <v>171</v>
      </c>
      <c r="F27" s="1" t="s">
        <v>171</v>
      </c>
      <c r="G27" s="1" t="s">
        <v>171</v>
      </c>
      <c r="H27" s="1" t="s">
        <v>171</v>
      </c>
      <c r="I27" s="99" t="s">
        <v>171</v>
      </c>
      <c r="J27" s="16" t="s">
        <v>174</v>
      </c>
      <c r="K27" s="1" t="s">
        <v>92</v>
      </c>
      <c r="L27" s="1" t="s">
        <v>17</v>
      </c>
      <c r="M27" s="68" t="s">
        <v>175</v>
      </c>
    </row>
    <row r="28" spans="1:13" ht="29.25">
      <c r="A28" s="67">
        <v>30</v>
      </c>
      <c r="B28" s="3" t="s">
        <v>172</v>
      </c>
      <c r="C28" s="4" t="s">
        <v>177</v>
      </c>
      <c r="D28" s="1" t="s">
        <v>940</v>
      </c>
      <c r="E28" s="101" t="s">
        <v>877</v>
      </c>
      <c r="F28" s="1" t="s">
        <v>178</v>
      </c>
      <c r="G28" s="1" t="s">
        <v>178</v>
      </c>
      <c r="H28" s="1" t="s">
        <v>178</v>
      </c>
      <c r="I28" s="99" t="s">
        <v>178</v>
      </c>
      <c r="J28" s="16" t="s">
        <v>179</v>
      </c>
      <c r="K28" s="1" t="s">
        <v>92</v>
      </c>
      <c r="L28" s="1" t="s">
        <v>23</v>
      </c>
      <c r="M28" s="68" t="s">
        <v>180</v>
      </c>
    </row>
    <row r="29" spans="1:13" ht="30">
      <c r="A29" s="67">
        <v>31</v>
      </c>
      <c r="B29" s="3" t="s">
        <v>184</v>
      </c>
      <c r="C29" s="3" t="s">
        <v>182</v>
      </c>
      <c r="D29" s="1" t="s">
        <v>185</v>
      </c>
      <c r="E29" s="101" t="s">
        <v>1301</v>
      </c>
      <c r="F29" s="1" t="s">
        <v>183</v>
      </c>
      <c r="G29" s="1" t="s">
        <v>183</v>
      </c>
      <c r="H29" s="1" t="s">
        <v>183</v>
      </c>
      <c r="I29" s="99" t="s">
        <v>183</v>
      </c>
      <c r="J29" s="1" t="s">
        <v>183</v>
      </c>
      <c r="K29" s="1" t="s">
        <v>100</v>
      </c>
      <c r="L29" s="1" t="s">
        <v>17</v>
      </c>
      <c r="M29" s="68" t="s">
        <v>186</v>
      </c>
    </row>
    <row r="30" spans="1:13" ht="29.25">
      <c r="A30" s="67">
        <v>33</v>
      </c>
      <c r="B30" s="3" t="s">
        <v>190</v>
      </c>
      <c r="C30" s="3" t="s">
        <v>188</v>
      </c>
      <c r="D30" s="1" t="s">
        <v>191</v>
      </c>
      <c r="E30" s="101" t="s">
        <v>189</v>
      </c>
      <c r="F30" s="1" t="s">
        <v>189</v>
      </c>
      <c r="G30" s="1" t="s">
        <v>189</v>
      </c>
      <c r="H30" s="1" t="s">
        <v>189</v>
      </c>
      <c r="I30" s="99" t="s">
        <v>189</v>
      </c>
      <c r="J30" s="1" t="s">
        <v>189</v>
      </c>
      <c r="K30" s="1" t="s">
        <v>104</v>
      </c>
      <c r="L30" s="1" t="s">
        <v>17</v>
      </c>
      <c r="M30" s="68" t="s">
        <v>192</v>
      </c>
    </row>
    <row r="31" spans="1:13" ht="29.25">
      <c r="A31" s="67">
        <v>34</v>
      </c>
      <c r="B31" s="3" t="s">
        <v>190</v>
      </c>
      <c r="C31" s="3" t="s">
        <v>194</v>
      </c>
      <c r="D31" s="1" t="s">
        <v>196</v>
      </c>
      <c r="E31" s="101" t="s">
        <v>195</v>
      </c>
      <c r="F31" s="1" t="s">
        <v>197</v>
      </c>
      <c r="G31" s="1" t="s">
        <v>197</v>
      </c>
      <c r="H31" s="1" t="s">
        <v>197</v>
      </c>
      <c r="I31" s="99" t="s">
        <v>197</v>
      </c>
      <c r="J31" s="1" t="s">
        <v>197</v>
      </c>
      <c r="K31" s="1" t="s">
        <v>104</v>
      </c>
      <c r="L31" s="1" t="s">
        <v>23</v>
      </c>
      <c r="M31" s="68" t="s">
        <v>198</v>
      </c>
    </row>
    <row r="32" spans="1:13" ht="30">
      <c r="A32" s="67">
        <v>35</v>
      </c>
      <c r="B32" s="5" t="s">
        <v>202</v>
      </c>
      <c r="C32" s="5" t="s">
        <v>200</v>
      </c>
      <c r="D32" s="1" t="s">
        <v>941</v>
      </c>
      <c r="E32" s="101" t="s">
        <v>1302</v>
      </c>
      <c r="F32" s="1" t="s">
        <v>203</v>
      </c>
      <c r="G32" s="1" t="s">
        <v>203</v>
      </c>
      <c r="H32" s="1" t="s">
        <v>203</v>
      </c>
      <c r="I32" s="99" t="s">
        <v>203</v>
      </c>
      <c r="J32" s="1" t="s">
        <v>203</v>
      </c>
      <c r="K32" s="1" t="s">
        <v>112</v>
      </c>
      <c r="L32" s="1" t="s">
        <v>17</v>
      </c>
      <c r="M32" s="68" t="s">
        <v>204</v>
      </c>
    </row>
    <row r="33" spans="1:13" ht="30">
      <c r="A33" s="67">
        <v>36</v>
      </c>
      <c r="B33" s="5" t="s">
        <v>202</v>
      </c>
      <c r="C33" s="4" t="s">
        <v>206</v>
      </c>
      <c r="D33" s="1" t="s">
        <v>942</v>
      </c>
      <c r="E33" s="101" t="s">
        <v>1303</v>
      </c>
      <c r="F33" s="1" t="s">
        <v>207</v>
      </c>
      <c r="G33" s="1" t="s">
        <v>207</v>
      </c>
      <c r="H33" s="1" t="s">
        <v>207</v>
      </c>
      <c r="I33" s="99" t="s">
        <v>207</v>
      </c>
      <c r="J33" s="1" t="s">
        <v>207</v>
      </c>
      <c r="K33" s="1" t="s">
        <v>112</v>
      </c>
      <c r="L33" s="1" t="s">
        <v>23</v>
      </c>
      <c r="M33" s="68" t="s">
        <v>208</v>
      </c>
    </row>
    <row r="34" spans="1:13" ht="29.25">
      <c r="A34" s="67">
        <v>37</v>
      </c>
      <c r="B34" s="3" t="s">
        <v>212</v>
      </c>
      <c r="C34" s="3" t="s">
        <v>210</v>
      </c>
      <c r="D34" s="1" t="s">
        <v>213</v>
      </c>
      <c r="E34" s="101" t="s">
        <v>211</v>
      </c>
      <c r="F34" s="1" t="s">
        <v>211</v>
      </c>
      <c r="G34" s="1" t="s">
        <v>211</v>
      </c>
      <c r="H34" s="1" t="s">
        <v>211</v>
      </c>
      <c r="I34" s="99" t="s">
        <v>211</v>
      </c>
      <c r="J34" s="1" t="s">
        <v>211</v>
      </c>
      <c r="K34" s="1" t="s">
        <v>118</v>
      </c>
      <c r="L34" s="1" t="s">
        <v>17</v>
      </c>
      <c r="M34" s="68" t="s">
        <v>214</v>
      </c>
    </row>
    <row r="35" spans="1:13" ht="29.25">
      <c r="A35" s="67">
        <v>38</v>
      </c>
      <c r="B35" s="3" t="s">
        <v>212</v>
      </c>
      <c r="C35" s="3" t="s">
        <v>216</v>
      </c>
      <c r="D35" s="1" t="s">
        <v>218</v>
      </c>
      <c r="E35" s="101" t="s">
        <v>217</v>
      </c>
      <c r="F35" s="1" t="s">
        <v>219</v>
      </c>
      <c r="G35" s="1" t="s">
        <v>219</v>
      </c>
      <c r="H35" s="1" t="s">
        <v>219</v>
      </c>
      <c r="I35" s="99" t="s">
        <v>219</v>
      </c>
      <c r="J35" s="1" t="s">
        <v>219</v>
      </c>
      <c r="K35" s="1" t="s">
        <v>118</v>
      </c>
      <c r="L35" s="1" t="s">
        <v>23</v>
      </c>
      <c r="M35" s="68" t="s">
        <v>220</v>
      </c>
    </row>
    <row r="36" spans="1:13" ht="29.25">
      <c r="A36" s="67">
        <v>39</v>
      </c>
      <c r="B36" s="3" t="s">
        <v>224</v>
      </c>
      <c r="C36" s="3" t="s">
        <v>222</v>
      </c>
      <c r="D36" s="1" t="s">
        <v>225</v>
      </c>
      <c r="E36" s="101" t="s">
        <v>223</v>
      </c>
      <c r="F36" s="1" t="s">
        <v>223</v>
      </c>
      <c r="G36" s="1" t="s">
        <v>223</v>
      </c>
      <c r="H36" s="1" t="s">
        <v>223</v>
      </c>
      <c r="I36" s="105" t="s">
        <v>226</v>
      </c>
      <c r="J36" s="1" t="s">
        <v>223</v>
      </c>
      <c r="K36" s="1" t="s">
        <v>125</v>
      </c>
      <c r="L36" s="1" t="s">
        <v>17</v>
      </c>
      <c r="M36" s="68" t="s">
        <v>227</v>
      </c>
    </row>
    <row r="37" spans="1:13" ht="29.25">
      <c r="A37" s="67">
        <v>40</v>
      </c>
      <c r="B37" s="3" t="s">
        <v>224</v>
      </c>
      <c r="C37" s="3" t="s">
        <v>229</v>
      </c>
      <c r="D37" s="1" t="s">
        <v>943</v>
      </c>
      <c r="E37" s="101" t="s">
        <v>851</v>
      </c>
      <c r="F37" s="1" t="s">
        <v>230</v>
      </c>
      <c r="G37" s="1" t="s">
        <v>230</v>
      </c>
      <c r="H37" s="1" t="s">
        <v>230</v>
      </c>
      <c r="I37" s="105" t="s">
        <v>231</v>
      </c>
      <c r="J37" s="1" t="s">
        <v>230</v>
      </c>
      <c r="K37" s="1" t="s">
        <v>125</v>
      </c>
      <c r="L37" s="1" t="s">
        <v>23</v>
      </c>
      <c r="M37" s="68" t="s">
        <v>232</v>
      </c>
    </row>
    <row r="38" spans="1:13" ht="30">
      <c r="A38" s="67">
        <v>41</v>
      </c>
      <c r="B38" s="3" t="s">
        <v>236</v>
      </c>
      <c r="C38" s="3" t="s">
        <v>234</v>
      </c>
      <c r="D38" s="1" t="s">
        <v>944</v>
      </c>
      <c r="E38" s="101" t="s">
        <v>1304</v>
      </c>
      <c r="F38" s="1" t="s">
        <v>237</v>
      </c>
      <c r="G38" s="1" t="s">
        <v>237</v>
      </c>
      <c r="H38" s="1" t="s">
        <v>237</v>
      </c>
      <c r="I38" s="99" t="s">
        <v>237</v>
      </c>
      <c r="J38" s="1" t="s">
        <v>237</v>
      </c>
      <c r="K38" s="1" t="s">
        <v>132</v>
      </c>
      <c r="L38" s="1" t="s">
        <v>17</v>
      </c>
      <c r="M38" s="68" t="s">
        <v>238</v>
      </c>
    </row>
    <row r="39" spans="1:13" ht="29.25">
      <c r="A39" s="67">
        <v>42</v>
      </c>
      <c r="B39" s="3" t="s">
        <v>236</v>
      </c>
      <c r="C39" s="3" t="s">
        <v>240</v>
      </c>
      <c r="D39" s="1" t="s">
        <v>242</v>
      </c>
      <c r="E39" s="101" t="s">
        <v>241</v>
      </c>
      <c r="F39" s="1" t="s">
        <v>243</v>
      </c>
      <c r="G39" s="1" t="s">
        <v>243</v>
      </c>
      <c r="H39" s="1" t="s">
        <v>243</v>
      </c>
      <c r="I39" s="99" t="s">
        <v>243</v>
      </c>
      <c r="J39" s="1" t="s">
        <v>243</v>
      </c>
      <c r="K39" s="1" t="s">
        <v>132</v>
      </c>
      <c r="L39" s="1" t="s">
        <v>23</v>
      </c>
      <c r="M39" s="68" t="s">
        <v>244</v>
      </c>
    </row>
    <row r="40" spans="1:13" ht="29.25">
      <c r="A40" s="67">
        <v>43</v>
      </c>
      <c r="B40" s="3" t="s">
        <v>248</v>
      </c>
      <c r="C40" s="3" t="s">
        <v>246</v>
      </c>
      <c r="D40" s="1" t="s">
        <v>249</v>
      </c>
      <c r="E40" s="101" t="s">
        <v>247</v>
      </c>
      <c r="F40" s="1" t="s">
        <v>247</v>
      </c>
      <c r="G40" s="1" t="s">
        <v>247</v>
      </c>
      <c r="H40" s="1" t="s">
        <v>247</v>
      </c>
      <c r="I40" s="99" t="s">
        <v>247</v>
      </c>
      <c r="J40" s="1" t="s">
        <v>247</v>
      </c>
      <c r="K40" s="1" t="s">
        <v>251</v>
      </c>
      <c r="L40" s="1" t="s">
        <v>17</v>
      </c>
      <c r="M40" s="68" t="s">
        <v>250</v>
      </c>
    </row>
    <row r="41" spans="1:13" ht="29.25">
      <c r="A41" s="67">
        <v>44</v>
      </c>
      <c r="B41" s="3" t="s">
        <v>248</v>
      </c>
      <c r="C41" s="3" t="s">
        <v>253</v>
      </c>
      <c r="D41" s="1" t="s">
        <v>255</v>
      </c>
      <c r="E41" s="101" t="s">
        <v>254</v>
      </c>
      <c r="F41" s="1" t="s">
        <v>256</v>
      </c>
      <c r="G41" s="1" t="s">
        <v>256</v>
      </c>
      <c r="H41" s="1" t="s">
        <v>256</v>
      </c>
      <c r="I41" s="99" t="s">
        <v>256</v>
      </c>
      <c r="J41" s="1" t="s">
        <v>256</v>
      </c>
      <c r="K41" s="1" t="s">
        <v>251</v>
      </c>
      <c r="L41" s="1" t="s">
        <v>23</v>
      </c>
      <c r="M41" s="68" t="s">
        <v>257</v>
      </c>
    </row>
    <row r="42" spans="1:13" ht="30">
      <c r="A42" s="67">
        <v>45</v>
      </c>
      <c r="B42" s="3" t="s">
        <v>261</v>
      </c>
      <c r="C42" s="3" t="s">
        <v>259</v>
      </c>
      <c r="D42" s="1" t="s">
        <v>262</v>
      </c>
      <c r="E42" s="101" t="s">
        <v>1305</v>
      </c>
      <c r="F42" s="1" t="s">
        <v>260</v>
      </c>
      <c r="G42" s="1" t="s">
        <v>260</v>
      </c>
      <c r="H42" s="16" t="s">
        <v>263</v>
      </c>
      <c r="I42" s="99" t="s">
        <v>260</v>
      </c>
      <c r="J42" s="1" t="s">
        <v>260</v>
      </c>
      <c r="K42" s="1" t="s">
        <v>139</v>
      </c>
      <c r="L42" s="1" t="s">
        <v>17</v>
      </c>
      <c r="M42" s="68" t="s">
        <v>264</v>
      </c>
    </row>
    <row r="43" spans="1:13" ht="30">
      <c r="A43" s="67">
        <v>46</v>
      </c>
      <c r="B43" s="3" t="s">
        <v>261</v>
      </c>
      <c r="C43" s="6" t="s">
        <v>266</v>
      </c>
      <c r="D43" s="1" t="s">
        <v>945</v>
      </c>
      <c r="E43" s="101" t="s">
        <v>1306</v>
      </c>
      <c r="F43" s="1" t="s">
        <v>267</v>
      </c>
      <c r="G43" s="1" t="s">
        <v>267</v>
      </c>
      <c r="H43" s="16" t="s">
        <v>268</v>
      </c>
      <c r="I43" s="99" t="s">
        <v>267</v>
      </c>
      <c r="J43" s="1" t="s">
        <v>267</v>
      </c>
      <c r="K43" s="1" t="s">
        <v>139</v>
      </c>
      <c r="L43" s="1" t="s">
        <v>23</v>
      </c>
      <c r="M43" s="68" t="s">
        <v>269</v>
      </c>
    </row>
    <row r="44" spans="1:13" ht="30">
      <c r="A44" s="67">
        <v>47</v>
      </c>
      <c r="B44" s="4" t="s">
        <v>273</v>
      </c>
      <c r="C44" s="3" t="s">
        <v>271</v>
      </c>
      <c r="D44" s="1" t="s">
        <v>274</v>
      </c>
      <c r="E44" s="101" t="s">
        <v>1307</v>
      </c>
      <c r="F44" s="1" t="s">
        <v>272</v>
      </c>
      <c r="G44" s="1" t="s">
        <v>272</v>
      </c>
      <c r="H44" s="1" t="s">
        <v>272</v>
      </c>
      <c r="I44" s="99" t="s">
        <v>272</v>
      </c>
      <c r="J44" s="1" t="s">
        <v>272</v>
      </c>
      <c r="K44" s="1" t="s">
        <v>146</v>
      </c>
      <c r="L44" s="1" t="s">
        <v>17</v>
      </c>
      <c r="M44" s="68" t="s">
        <v>275</v>
      </c>
    </row>
    <row r="45" spans="1:13" ht="30">
      <c r="A45" s="67">
        <v>48</v>
      </c>
      <c r="B45" s="4" t="s">
        <v>273</v>
      </c>
      <c r="C45" s="3" t="s">
        <v>277</v>
      </c>
      <c r="D45" s="1" t="s">
        <v>946</v>
      </c>
      <c r="E45" s="101" t="s">
        <v>1308</v>
      </c>
      <c r="F45" s="1" t="s">
        <v>278</v>
      </c>
      <c r="G45" s="1" t="s">
        <v>278</v>
      </c>
      <c r="H45" s="1" t="s">
        <v>278</v>
      </c>
      <c r="I45" s="99" t="s">
        <v>278</v>
      </c>
      <c r="J45" s="1" t="s">
        <v>278</v>
      </c>
      <c r="K45" s="1" t="s">
        <v>146</v>
      </c>
      <c r="L45" s="1" t="s">
        <v>23</v>
      </c>
      <c r="M45" s="68" t="s">
        <v>279</v>
      </c>
    </row>
    <row r="46" spans="1:13" ht="29.25">
      <c r="A46" s="67">
        <v>49</v>
      </c>
      <c r="B46" s="3" t="s">
        <v>283</v>
      </c>
      <c r="C46" s="3" t="s">
        <v>281</v>
      </c>
      <c r="D46" s="1" t="s">
        <v>284</v>
      </c>
      <c r="E46" s="101" t="s">
        <v>285</v>
      </c>
      <c r="F46" s="1" t="s">
        <v>285</v>
      </c>
      <c r="G46" s="1" t="s">
        <v>285</v>
      </c>
      <c r="H46" s="1" t="s">
        <v>285</v>
      </c>
      <c r="I46" s="105" t="s">
        <v>286</v>
      </c>
      <c r="J46" s="1" t="s">
        <v>285</v>
      </c>
      <c r="K46" s="1" t="s">
        <v>151</v>
      </c>
      <c r="L46" s="1" t="s">
        <v>17</v>
      </c>
      <c r="M46" s="68" t="s">
        <v>287</v>
      </c>
    </row>
    <row r="47" spans="1:13" ht="29.25">
      <c r="A47" s="67">
        <v>50</v>
      </c>
      <c r="B47" s="3" t="s">
        <v>283</v>
      </c>
      <c r="C47" s="4" t="s">
        <v>289</v>
      </c>
      <c r="D47" s="1" t="s">
        <v>947</v>
      </c>
      <c r="E47" s="101" t="s">
        <v>856</v>
      </c>
      <c r="F47" s="1" t="s">
        <v>290</v>
      </c>
      <c r="G47" s="1" t="s">
        <v>290</v>
      </c>
      <c r="H47" s="1" t="s">
        <v>290</v>
      </c>
      <c r="I47" s="105" t="s">
        <v>291</v>
      </c>
      <c r="J47" s="1" t="s">
        <v>290</v>
      </c>
      <c r="K47" s="1" t="s">
        <v>151</v>
      </c>
      <c r="L47" s="1" t="s">
        <v>23</v>
      </c>
      <c r="M47" s="68" t="s">
        <v>292</v>
      </c>
    </row>
    <row r="48" spans="1:13" ht="29.25">
      <c r="A48" s="67">
        <v>51</v>
      </c>
      <c r="B48" s="3" t="s">
        <v>295</v>
      </c>
      <c r="C48" s="3" t="s">
        <v>293</v>
      </c>
      <c r="D48" s="1" t="s">
        <v>296</v>
      </c>
      <c r="E48" s="101" t="s">
        <v>1151</v>
      </c>
      <c r="F48" s="1" t="s">
        <v>297</v>
      </c>
      <c r="G48" s="1" t="s">
        <v>297</v>
      </c>
      <c r="H48" s="1" t="s">
        <v>299</v>
      </c>
      <c r="I48" s="99" t="s">
        <v>1311</v>
      </c>
      <c r="J48" s="1" t="s">
        <v>297</v>
      </c>
      <c r="K48" s="1" t="s">
        <v>301</v>
      </c>
      <c r="L48" s="1" t="s">
        <v>17</v>
      </c>
      <c r="M48" s="68" t="s">
        <v>300</v>
      </c>
    </row>
    <row r="49" spans="1:13" ht="29.25">
      <c r="A49" s="67">
        <v>52</v>
      </c>
      <c r="B49" s="3" t="s">
        <v>295</v>
      </c>
      <c r="C49" s="9" t="s">
        <v>302</v>
      </c>
      <c r="D49" s="1" t="s">
        <v>948</v>
      </c>
      <c r="E49" s="101" t="s">
        <v>838</v>
      </c>
      <c r="F49" s="1" t="s">
        <v>304</v>
      </c>
      <c r="G49" s="1" t="s">
        <v>303</v>
      </c>
      <c r="H49" s="1" t="s">
        <v>305</v>
      </c>
      <c r="I49" s="99" t="s">
        <v>1312</v>
      </c>
      <c r="J49" s="1" t="s">
        <v>304</v>
      </c>
      <c r="K49" s="1" t="s">
        <v>301</v>
      </c>
      <c r="L49" s="1" t="s">
        <v>23</v>
      </c>
      <c r="M49" s="68" t="s">
        <v>306</v>
      </c>
    </row>
    <row r="50" spans="1:13" ht="29.25">
      <c r="A50" s="67">
        <v>53</v>
      </c>
      <c r="B50" s="3" t="s">
        <v>309</v>
      </c>
      <c r="C50" s="3" t="s">
        <v>307</v>
      </c>
      <c r="D50" s="1" t="s">
        <v>310</v>
      </c>
      <c r="E50" s="101" t="s">
        <v>308</v>
      </c>
      <c r="F50" s="1" t="s">
        <v>308</v>
      </c>
      <c r="G50" s="1" t="s">
        <v>308</v>
      </c>
      <c r="H50" s="1" t="s">
        <v>308</v>
      </c>
      <c r="I50" s="99" t="s">
        <v>308</v>
      </c>
      <c r="J50" s="1" t="s">
        <v>308</v>
      </c>
      <c r="K50" s="1" t="s">
        <v>157</v>
      </c>
      <c r="L50" s="1" t="s">
        <v>17</v>
      </c>
      <c r="M50" s="68" t="s">
        <v>311</v>
      </c>
    </row>
    <row r="51" spans="1:13" ht="29.25">
      <c r="A51" s="67">
        <v>54</v>
      </c>
      <c r="B51" s="3" t="s">
        <v>309</v>
      </c>
      <c r="C51" s="4" t="s">
        <v>312</v>
      </c>
      <c r="D51" s="1" t="s">
        <v>949</v>
      </c>
      <c r="E51" s="101" t="s">
        <v>882</v>
      </c>
      <c r="F51" s="1" t="s">
        <v>313</v>
      </c>
      <c r="G51" s="1" t="s">
        <v>313</v>
      </c>
      <c r="H51" s="1" t="s">
        <v>313</v>
      </c>
      <c r="I51" s="99" t="s">
        <v>313</v>
      </c>
      <c r="J51" s="1" t="s">
        <v>313</v>
      </c>
      <c r="K51" s="1" t="s">
        <v>157</v>
      </c>
      <c r="L51" s="1" t="s">
        <v>23</v>
      </c>
      <c r="M51" s="68" t="s">
        <v>314</v>
      </c>
    </row>
    <row r="52" spans="1:13" ht="29.25">
      <c r="A52" s="67">
        <v>55</v>
      </c>
      <c r="B52" s="3" t="s">
        <v>317</v>
      </c>
      <c r="C52" s="3" t="s">
        <v>315</v>
      </c>
      <c r="D52" s="1" t="s">
        <v>318</v>
      </c>
      <c r="E52" s="101" t="s">
        <v>316</v>
      </c>
      <c r="F52" s="1" t="s">
        <v>316</v>
      </c>
      <c r="G52" s="1" t="s">
        <v>316</v>
      </c>
      <c r="H52" s="1" t="s">
        <v>316</v>
      </c>
      <c r="I52" s="99" t="s">
        <v>316</v>
      </c>
      <c r="J52" s="1" t="s">
        <v>316</v>
      </c>
      <c r="K52" s="1" t="s">
        <v>164</v>
      </c>
      <c r="L52" s="1" t="s">
        <v>17</v>
      </c>
      <c r="M52" s="68" t="s">
        <v>319</v>
      </c>
    </row>
    <row r="53" spans="1:13" ht="29.25">
      <c r="A53" s="67">
        <v>56</v>
      </c>
      <c r="B53" s="3" t="s">
        <v>317</v>
      </c>
      <c r="C53" s="3" t="s">
        <v>320</v>
      </c>
      <c r="D53" s="1" t="s">
        <v>950</v>
      </c>
      <c r="E53" s="101" t="s">
        <v>858</v>
      </c>
      <c r="F53" s="1" t="s">
        <v>321</v>
      </c>
      <c r="G53" s="1" t="s">
        <v>321</v>
      </c>
      <c r="H53" s="1" t="s">
        <v>321</v>
      </c>
      <c r="I53" s="99" t="s">
        <v>321</v>
      </c>
      <c r="J53" s="1" t="s">
        <v>321</v>
      </c>
      <c r="K53" s="1" t="s">
        <v>164</v>
      </c>
      <c r="L53" s="1" t="s">
        <v>23</v>
      </c>
      <c r="M53" s="68" t="s">
        <v>322</v>
      </c>
    </row>
    <row r="54" spans="1:13" ht="29.25">
      <c r="A54" s="67">
        <v>57</v>
      </c>
      <c r="B54" s="3" t="s">
        <v>325</v>
      </c>
      <c r="C54" s="3" t="s">
        <v>323</v>
      </c>
      <c r="D54" s="1" t="s">
        <v>326</v>
      </c>
      <c r="E54" s="101" t="s">
        <v>324</v>
      </c>
      <c r="F54" s="1" t="s">
        <v>324</v>
      </c>
      <c r="G54" s="1" t="s">
        <v>324</v>
      </c>
      <c r="H54" s="1" t="s">
        <v>324</v>
      </c>
      <c r="I54" s="99" t="s">
        <v>324</v>
      </c>
      <c r="J54" s="1" t="s">
        <v>324</v>
      </c>
      <c r="K54" s="1" t="s">
        <v>169</v>
      </c>
      <c r="L54" s="1" t="s">
        <v>17</v>
      </c>
      <c r="M54" s="68" t="s">
        <v>327</v>
      </c>
    </row>
    <row r="55" spans="1:13" ht="29.25">
      <c r="A55" s="67">
        <v>58</v>
      </c>
      <c r="B55" s="3" t="s">
        <v>325</v>
      </c>
      <c r="C55" s="5" t="s">
        <v>328</v>
      </c>
      <c r="D55" s="1" t="s">
        <v>951</v>
      </c>
      <c r="E55" s="101" t="s">
        <v>873</v>
      </c>
      <c r="F55" s="1" t="s">
        <v>329</v>
      </c>
      <c r="G55" s="1" t="s">
        <v>329</v>
      </c>
      <c r="H55" s="1" t="s">
        <v>329</v>
      </c>
      <c r="I55" s="99" t="s">
        <v>329</v>
      </c>
      <c r="J55" s="1" t="s">
        <v>329</v>
      </c>
      <c r="K55" s="1" t="s">
        <v>169</v>
      </c>
      <c r="L55" s="1" t="s">
        <v>23</v>
      </c>
      <c r="M55" s="68" t="s">
        <v>330</v>
      </c>
    </row>
    <row r="56" spans="1:13" ht="29.25">
      <c r="A56" s="67">
        <v>59</v>
      </c>
      <c r="B56" s="3" t="s">
        <v>333</v>
      </c>
      <c r="C56" s="3" t="s">
        <v>331</v>
      </c>
      <c r="D56" s="1" t="s">
        <v>334</v>
      </c>
      <c r="E56" s="101" t="s">
        <v>332</v>
      </c>
      <c r="F56" s="1" t="s">
        <v>332</v>
      </c>
      <c r="G56" s="1" t="s">
        <v>332</v>
      </c>
      <c r="H56" s="1" t="s">
        <v>332</v>
      </c>
      <c r="I56" s="99" t="s">
        <v>332</v>
      </c>
      <c r="J56" s="1" t="s">
        <v>332</v>
      </c>
      <c r="K56" s="1" t="s">
        <v>176</v>
      </c>
      <c r="L56" s="1" t="s">
        <v>17</v>
      </c>
      <c r="M56" s="68" t="s">
        <v>335</v>
      </c>
    </row>
    <row r="57" spans="1:13" ht="29.25">
      <c r="A57" s="67">
        <v>61</v>
      </c>
      <c r="B57" s="8" t="s">
        <v>338</v>
      </c>
      <c r="C57" s="3" t="s">
        <v>336</v>
      </c>
      <c r="D57" s="1" t="s">
        <v>339</v>
      </c>
      <c r="E57" s="101" t="s">
        <v>1179</v>
      </c>
      <c r="F57" s="1" t="s">
        <v>340</v>
      </c>
      <c r="G57" s="1" t="s">
        <v>340</v>
      </c>
      <c r="H57" s="1" t="s">
        <v>342</v>
      </c>
      <c r="I57" s="99" t="s">
        <v>1313</v>
      </c>
      <c r="J57" s="1" t="s">
        <v>340</v>
      </c>
      <c r="K57" s="1" t="s">
        <v>181</v>
      </c>
      <c r="L57" s="1" t="s">
        <v>17</v>
      </c>
      <c r="M57" s="68" t="s">
        <v>343</v>
      </c>
    </row>
    <row r="58" spans="1:13" ht="29.25">
      <c r="A58" s="67">
        <v>62</v>
      </c>
      <c r="B58" s="8" t="s">
        <v>338</v>
      </c>
      <c r="C58" s="10" t="s">
        <v>344</v>
      </c>
      <c r="D58" s="1" t="s">
        <v>952</v>
      </c>
      <c r="E58" s="101" t="s">
        <v>640</v>
      </c>
      <c r="F58" s="1" t="s">
        <v>640</v>
      </c>
      <c r="G58" s="1" t="s">
        <v>345</v>
      </c>
      <c r="H58" s="1" t="s">
        <v>640</v>
      </c>
      <c r="I58" s="99" t="s">
        <v>1314</v>
      </c>
      <c r="J58" s="1" t="s">
        <v>346</v>
      </c>
      <c r="K58" s="1" t="s">
        <v>181</v>
      </c>
      <c r="L58" s="1" t="s">
        <v>23</v>
      </c>
      <c r="M58" s="68" t="s">
        <v>347</v>
      </c>
    </row>
    <row r="59" spans="1:13" ht="29.25">
      <c r="A59" s="67">
        <v>63</v>
      </c>
      <c r="B59" s="4" t="s">
        <v>349</v>
      </c>
      <c r="C59" s="5" t="s">
        <v>348</v>
      </c>
      <c r="D59" s="1" t="s">
        <v>350</v>
      </c>
      <c r="E59" s="101" t="s">
        <v>1126</v>
      </c>
      <c r="F59" s="1" t="s">
        <v>351</v>
      </c>
      <c r="G59" s="1" t="s">
        <v>351</v>
      </c>
      <c r="H59" s="1" t="s">
        <v>353</v>
      </c>
      <c r="I59" s="99" t="s">
        <v>1315</v>
      </c>
      <c r="J59" s="1" t="s">
        <v>351</v>
      </c>
      <c r="K59" s="1" t="s">
        <v>355</v>
      </c>
      <c r="L59" s="1" t="s">
        <v>17</v>
      </c>
      <c r="M59" s="68" t="s">
        <v>354</v>
      </c>
    </row>
    <row r="60" spans="1:13" ht="29.25">
      <c r="A60" s="67">
        <v>65</v>
      </c>
      <c r="B60" s="5" t="s">
        <v>358</v>
      </c>
      <c r="C60" s="3" t="s">
        <v>356</v>
      </c>
      <c r="D60" s="1" t="s">
        <v>359</v>
      </c>
      <c r="E60" s="101" t="s">
        <v>1289</v>
      </c>
      <c r="F60" s="1" t="s">
        <v>357</v>
      </c>
      <c r="G60" s="1" t="s">
        <v>357</v>
      </c>
      <c r="H60" s="1" t="s">
        <v>357</v>
      </c>
      <c r="I60" s="99" t="s">
        <v>357</v>
      </c>
      <c r="J60" s="16" t="s">
        <v>360</v>
      </c>
      <c r="K60" s="1" t="s">
        <v>187</v>
      </c>
      <c r="L60" s="1" t="s">
        <v>17</v>
      </c>
      <c r="M60" s="68" t="s">
        <v>361</v>
      </c>
    </row>
    <row r="61" spans="1:13" ht="29.25">
      <c r="A61" s="67">
        <v>66</v>
      </c>
      <c r="B61" s="3" t="s">
        <v>358</v>
      </c>
      <c r="C61" s="4" t="s">
        <v>362</v>
      </c>
      <c r="D61" s="1" t="s">
        <v>953</v>
      </c>
      <c r="E61" s="101" t="s">
        <v>1290</v>
      </c>
      <c r="F61" s="1" t="s">
        <v>363</v>
      </c>
      <c r="G61" s="1" t="s">
        <v>363</v>
      </c>
      <c r="H61" s="1" t="s">
        <v>363</v>
      </c>
      <c r="I61" s="99" t="s">
        <v>363</v>
      </c>
      <c r="J61" s="16" t="s">
        <v>364</v>
      </c>
      <c r="K61" s="1" t="s">
        <v>187</v>
      </c>
      <c r="L61" s="1" t="s">
        <v>23</v>
      </c>
      <c r="M61" s="68" t="s">
        <v>365</v>
      </c>
    </row>
    <row r="62" spans="1:13" ht="29.25">
      <c r="A62" s="67">
        <v>67</v>
      </c>
      <c r="B62" s="3" t="s">
        <v>368</v>
      </c>
      <c r="C62" s="3" t="s">
        <v>366</v>
      </c>
      <c r="D62" s="1" t="s">
        <v>369</v>
      </c>
      <c r="E62" s="101" t="str">
        <f>_xlfn.CONCAT("i",_xlfn.UNICHAR(HEX2DEC(303)))</f>
        <v>ĩ</v>
      </c>
      <c r="F62" s="1" t="s">
        <v>370</v>
      </c>
      <c r="G62" s="1" t="s">
        <v>370</v>
      </c>
      <c r="H62" s="1" t="s">
        <v>372</v>
      </c>
      <c r="I62" s="99" t="s">
        <v>1316</v>
      </c>
      <c r="J62" s="1" t="s">
        <v>370</v>
      </c>
      <c r="K62" s="1" t="s">
        <v>193</v>
      </c>
      <c r="L62" s="1" t="s">
        <v>17</v>
      </c>
      <c r="M62" s="68" t="s">
        <v>373</v>
      </c>
    </row>
    <row r="63" spans="1:13" ht="29.25">
      <c r="A63" s="67">
        <v>68</v>
      </c>
      <c r="B63" s="3" t="s">
        <v>368</v>
      </c>
      <c r="C63" s="4" t="s">
        <v>374</v>
      </c>
      <c r="D63" s="1" t="s">
        <v>954</v>
      </c>
      <c r="E63" s="101" t="str">
        <f>_xlfn.CONCAT("i",_xlfn.UNICHAR(HEX2DEC(303)), "ʔ")</f>
        <v>ĩʔ</v>
      </c>
      <c r="F63" s="1" t="s">
        <v>376</v>
      </c>
      <c r="G63" s="1" t="s">
        <v>375</v>
      </c>
      <c r="H63" s="1" t="s">
        <v>377</v>
      </c>
      <c r="I63" s="99" t="s">
        <v>1317</v>
      </c>
      <c r="J63" s="1" t="s">
        <v>376</v>
      </c>
      <c r="K63" s="1" t="s">
        <v>193</v>
      </c>
      <c r="L63" s="1" t="s">
        <v>23</v>
      </c>
      <c r="M63" s="68" t="s">
        <v>378</v>
      </c>
    </row>
    <row r="64" spans="1:13" ht="29.25">
      <c r="A64" s="67">
        <v>69</v>
      </c>
      <c r="B64" s="6" t="s">
        <v>381</v>
      </c>
      <c r="C64" s="7" t="s">
        <v>379</v>
      </c>
      <c r="D64" s="1" t="s">
        <v>382</v>
      </c>
      <c r="E64" s="101" t="str">
        <f>_xlfn.CONCAT("i",_xlfn.UNICHAR(HEX2DEC(303)),"ɔ",_xlfn.UNICHAR(HEX2DEC(303)))</f>
        <v>ĩɔ̃</v>
      </c>
      <c r="F64" s="1" t="s">
        <v>383</v>
      </c>
      <c r="G64" s="1" t="s">
        <v>383</v>
      </c>
      <c r="H64" s="1" t="s">
        <v>385</v>
      </c>
      <c r="I64" s="99" t="s">
        <v>1318</v>
      </c>
      <c r="J64" s="1" t="s">
        <v>386</v>
      </c>
      <c r="K64" s="1" t="s">
        <v>199</v>
      </c>
      <c r="L64" s="1" t="s">
        <v>17</v>
      </c>
      <c r="M64" s="68" t="s">
        <v>387</v>
      </c>
    </row>
    <row r="65" spans="1:15" ht="29.25">
      <c r="A65" s="67">
        <v>71</v>
      </c>
      <c r="B65" s="3" t="s">
        <v>389</v>
      </c>
      <c r="C65" s="3" t="s">
        <v>388</v>
      </c>
      <c r="D65" s="1" t="s">
        <v>390</v>
      </c>
      <c r="E65" s="101" t="str">
        <f>_xlfn.CONCAT("i",_xlfn.UNICHAR(HEX2DEC(303)),"a",_xlfn.UNICHAR(HEX2DEC(303)))</f>
        <v>ĩã</v>
      </c>
      <c r="F65" s="1" t="s">
        <v>391</v>
      </c>
      <c r="G65" s="1" t="s">
        <v>391</v>
      </c>
      <c r="H65" s="1" t="s">
        <v>394</v>
      </c>
      <c r="I65" s="99" t="s">
        <v>1319</v>
      </c>
      <c r="J65" s="1" t="s">
        <v>391</v>
      </c>
      <c r="K65" s="1" t="s">
        <v>205</v>
      </c>
      <c r="L65" s="1" t="s">
        <v>17</v>
      </c>
      <c r="M65" s="68" t="s">
        <v>395</v>
      </c>
    </row>
    <row r="66" spans="1:15" ht="29.25">
      <c r="A66" s="67">
        <v>73</v>
      </c>
      <c r="B66" s="3" t="s">
        <v>397</v>
      </c>
      <c r="C66" s="3" t="s">
        <v>396</v>
      </c>
      <c r="D66" s="1" t="s">
        <v>398</v>
      </c>
      <c r="E66" s="101" t="str">
        <f>_xlfn.CONCAT("u",_xlfn.UNICHAR(HEX2DEC(303)),"a",_xlfn.UNICHAR(HEX2DEC(303)))</f>
        <v>ũã</v>
      </c>
      <c r="F66" s="1" t="s">
        <v>399</v>
      </c>
      <c r="G66" s="1" t="s">
        <v>399</v>
      </c>
      <c r="H66" s="1" t="s">
        <v>401</v>
      </c>
      <c r="I66" s="99" t="s">
        <v>1320</v>
      </c>
      <c r="J66" s="1" t="s">
        <v>399</v>
      </c>
      <c r="K66" s="1" t="s">
        <v>209</v>
      </c>
      <c r="L66" s="1" t="s">
        <v>17</v>
      </c>
      <c r="M66" s="68" t="s">
        <v>402</v>
      </c>
    </row>
    <row r="67" spans="1:15" ht="30">
      <c r="A67" s="67">
        <v>75</v>
      </c>
      <c r="B67" s="3" t="s">
        <v>405</v>
      </c>
      <c r="C67" s="3" t="s">
        <v>403</v>
      </c>
      <c r="D67" s="1" t="s">
        <v>406</v>
      </c>
      <c r="E67" s="101" t="s">
        <v>1309</v>
      </c>
      <c r="F67" s="1" t="s">
        <v>407</v>
      </c>
      <c r="G67" s="1" t="s">
        <v>407</v>
      </c>
      <c r="H67" s="1" t="s">
        <v>407</v>
      </c>
      <c r="I67" s="99" t="s">
        <v>407</v>
      </c>
      <c r="J67" s="1" t="s">
        <v>407</v>
      </c>
      <c r="K67" s="1" t="s">
        <v>215</v>
      </c>
      <c r="L67" s="1" t="s">
        <v>17</v>
      </c>
      <c r="M67" s="68" t="s">
        <v>408</v>
      </c>
    </row>
    <row r="68" spans="1:15" ht="29.25">
      <c r="A68" s="67">
        <v>77</v>
      </c>
      <c r="B68" s="3" t="s">
        <v>410</v>
      </c>
      <c r="C68" s="3" t="s">
        <v>409</v>
      </c>
      <c r="D68" s="1" t="s">
        <v>155</v>
      </c>
      <c r="E68" s="101" t="s">
        <v>60</v>
      </c>
      <c r="F68" s="1" t="s">
        <v>60</v>
      </c>
      <c r="G68" s="1" t="s">
        <v>60</v>
      </c>
      <c r="H68" s="1" t="s">
        <v>60</v>
      </c>
      <c r="I68" s="99" t="s">
        <v>60</v>
      </c>
      <c r="J68" s="1" t="s">
        <v>60</v>
      </c>
      <c r="K68" s="1" t="s">
        <v>221</v>
      </c>
      <c r="L68" s="1" t="s">
        <v>17</v>
      </c>
      <c r="M68" s="68" t="s">
        <v>411</v>
      </c>
    </row>
    <row r="69" spans="1:15" ht="29.25">
      <c r="A69" s="67">
        <v>78</v>
      </c>
      <c r="B69" s="3" t="s">
        <v>410</v>
      </c>
      <c r="C69" s="3" t="s">
        <v>412</v>
      </c>
      <c r="D69" s="1" t="s">
        <v>955</v>
      </c>
      <c r="E69" s="101" t="s">
        <v>865</v>
      </c>
      <c r="F69" s="1" t="s">
        <v>65</v>
      </c>
      <c r="G69" s="1" t="s">
        <v>65</v>
      </c>
      <c r="H69" s="1" t="s">
        <v>65</v>
      </c>
      <c r="I69" s="99" t="s">
        <v>65</v>
      </c>
      <c r="J69" s="1" t="s">
        <v>65</v>
      </c>
      <c r="K69" s="1" t="s">
        <v>221</v>
      </c>
      <c r="L69" s="1" t="s">
        <v>23</v>
      </c>
      <c r="M69" s="68" t="s">
        <v>413</v>
      </c>
    </row>
    <row r="70" spans="1:15" ht="29.25">
      <c r="A70" s="67">
        <v>79</v>
      </c>
      <c r="B70" s="6" t="s">
        <v>415</v>
      </c>
      <c r="C70" s="6" t="s">
        <v>414</v>
      </c>
      <c r="D70" s="1" t="s">
        <v>416</v>
      </c>
      <c r="E70" s="101" t="str">
        <f>_xlfn.CONCAT("a",_xlfn.UNICHAR(HEX2DEC(303)),"i",_xlfn.UNICHAR(HEX2DEC(303)))</f>
        <v>ãĩ</v>
      </c>
      <c r="F70" s="1" t="s">
        <v>417</v>
      </c>
      <c r="G70" s="1" t="s">
        <v>417</v>
      </c>
      <c r="H70" s="1" t="s">
        <v>419</v>
      </c>
      <c r="I70" s="99" t="s">
        <v>1321</v>
      </c>
      <c r="J70" s="1" t="s">
        <v>417</v>
      </c>
      <c r="K70" s="1" t="s">
        <v>228</v>
      </c>
      <c r="L70" s="1" t="s">
        <v>17</v>
      </c>
      <c r="M70" s="68" t="s">
        <v>420</v>
      </c>
    </row>
    <row r="71" spans="1:15" ht="29.25">
      <c r="A71" s="67">
        <v>81</v>
      </c>
      <c r="B71" s="11" t="s">
        <v>422</v>
      </c>
      <c r="C71" s="6" t="s">
        <v>421</v>
      </c>
      <c r="D71" s="1" t="s">
        <v>956</v>
      </c>
      <c r="E71" s="101" t="str">
        <f>_xlfn.CONCAT("ɔ",_xlfn.UNICHAR(HEX2DEC(303)))</f>
        <v>ɔ̃</v>
      </c>
      <c r="F71" s="1" t="s">
        <v>425</v>
      </c>
      <c r="G71" s="1" t="s">
        <v>425</v>
      </c>
      <c r="H71" s="1" t="s">
        <v>427</v>
      </c>
      <c r="I71" s="99" t="s">
        <v>1322</v>
      </c>
      <c r="J71" s="1" t="s">
        <v>424</v>
      </c>
      <c r="K71" s="1" t="s">
        <v>233</v>
      </c>
      <c r="L71" s="1" t="s">
        <v>17</v>
      </c>
      <c r="M71" s="68" t="s">
        <v>428</v>
      </c>
    </row>
    <row r="72" spans="1:15" ht="29.25">
      <c r="A72" s="67">
        <v>83</v>
      </c>
      <c r="B72" s="3" t="s">
        <v>429</v>
      </c>
      <c r="C72" s="3" t="s">
        <v>429</v>
      </c>
      <c r="D72" s="1" t="s">
        <v>431</v>
      </c>
      <c r="E72" s="101" t="s">
        <v>430</v>
      </c>
      <c r="F72" s="1" t="s">
        <v>432</v>
      </c>
      <c r="G72" s="1" t="s">
        <v>432</v>
      </c>
      <c r="H72" s="1" t="s">
        <v>432</v>
      </c>
      <c r="I72" s="99" t="s">
        <v>432</v>
      </c>
      <c r="J72" s="1" t="s">
        <v>432</v>
      </c>
      <c r="K72" s="1" t="s">
        <v>239</v>
      </c>
      <c r="L72" s="1" t="s">
        <v>17</v>
      </c>
      <c r="M72" s="68" t="s">
        <v>433</v>
      </c>
    </row>
    <row r="73" spans="1:15" ht="30">
      <c r="A73" s="67">
        <v>85</v>
      </c>
      <c r="B73" s="5" t="s">
        <v>436</v>
      </c>
      <c r="C73" s="6" t="s">
        <v>434</v>
      </c>
      <c r="D73" s="1" t="s">
        <v>957</v>
      </c>
      <c r="E73" s="101" t="s">
        <v>1310</v>
      </c>
      <c r="F73" s="1" t="s">
        <v>437</v>
      </c>
      <c r="G73" s="1" t="s">
        <v>437</v>
      </c>
      <c r="H73" s="1" t="s">
        <v>437</v>
      </c>
      <c r="I73" s="99" t="s">
        <v>438</v>
      </c>
      <c r="J73" s="1" t="s">
        <v>437</v>
      </c>
      <c r="K73" s="1" t="s">
        <v>245</v>
      </c>
      <c r="L73" s="1" t="s">
        <v>17</v>
      </c>
      <c r="M73" s="68" t="s">
        <v>439</v>
      </c>
    </row>
    <row r="74" spans="1:15" ht="29.25">
      <c r="A74" s="67">
        <v>86</v>
      </c>
      <c r="B74" s="5" t="s">
        <v>436</v>
      </c>
      <c r="C74" s="6" t="s">
        <v>440</v>
      </c>
      <c r="D74" s="1" t="s">
        <v>442</v>
      </c>
      <c r="E74" s="101" t="s">
        <v>441</v>
      </c>
      <c r="F74" s="1" t="s">
        <v>443</v>
      </c>
      <c r="G74" s="1" t="s">
        <v>443</v>
      </c>
      <c r="H74" s="1" t="s">
        <v>443</v>
      </c>
      <c r="I74" s="99" t="s">
        <v>444</v>
      </c>
      <c r="J74" s="1" t="s">
        <v>443</v>
      </c>
      <c r="K74" s="1" t="s">
        <v>245</v>
      </c>
      <c r="L74" s="1" t="s">
        <v>23</v>
      </c>
      <c r="M74" s="68" t="s">
        <v>445</v>
      </c>
    </row>
    <row r="75" spans="1:15" ht="29.25">
      <c r="A75" s="67">
        <v>87</v>
      </c>
      <c r="B75" s="7" t="s">
        <v>447</v>
      </c>
      <c r="C75" s="3" t="s">
        <v>446</v>
      </c>
      <c r="D75" s="1" t="s">
        <v>448</v>
      </c>
      <c r="E75" s="101" t="str">
        <f>_xlfn.CONCAT("u",_xlfn.UNICHAR(HEX2DEC(303)),"a",_xlfn.UNICHAR(HEX2DEC(303)),"i",_xlfn.UNICHAR(HEX2DEC(303)))</f>
        <v>ũãĩ</v>
      </c>
      <c r="F75" s="1" t="s">
        <v>449</v>
      </c>
      <c r="G75" s="1" t="s">
        <v>449</v>
      </c>
      <c r="H75" s="1" t="s">
        <v>451</v>
      </c>
      <c r="I75" s="99" t="s">
        <v>1323</v>
      </c>
      <c r="J75" s="1" t="s">
        <v>449</v>
      </c>
      <c r="K75" s="1" t="s">
        <v>252</v>
      </c>
      <c r="L75" s="1" t="s">
        <v>17</v>
      </c>
      <c r="M75" s="68" t="s">
        <v>452</v>
      </c>
    </row>
    <row r="76" spans="1:15" ht="29.25">
      <c r="A76" s="67">
        <v>88</v>
      </c>
      <c r="B76" s="7" t="s">
        <v>447</v>
      </c>
      <c r="C76" s="9" t="s">
        <v>453</v>
      </c>
      <c r="D76" s="1" t="s">
        <v>958</v>
      </c>
      <c r="E76" s="101" t="str">
        <f>_xlfn.CONCAT("u",_xlfn.UNICHAR(HEX2DEC(303)),"a",_xlfn.UNICHAR(HEX2DEC(303)),"i",_xlfn.UNICHAR(HEX2DEC(303)), "ʔ")</f>
        <v>ũãĩʔ</v>
      </c>
      <c r="F76" s="1" t="s">
        <v>455</v>
      </c>
      <c r="G76" s="1" t="s">
        <v>454</v>
      </c>
      <c r="H76" s="1" t="s">
        <v>456</v>
      </c>
      <c r="I76" s="99" t="s">
        <v>1324</v>
      </c>
      <c r="J76" s="1" t="s">
        <v>455</v>
      </c>
      <c r="K76" s="1" t="s">
        <v>252</v>
      </c>
      <c r="L76" s="1" t="s">
        <v>23</v>
      </c>
      <c r="M76" s="68" t="s">
        <v>457</v>
      </c>
    </row>
    <row r="77" spans="1:15" ht="39">
      <c r="A77" s="67">
        <v>89</v>
      </c>
      <c r="B77" s="12" t="s">
        <v>458</v>
      </c>
      <c r="C77" s="3" t="s">
        <v>512</v>
      </c>
      <c r="D77" s="1" t="s">
        <v>459</v>
      </c>
      <c r="E77" s="101" t="str">
        <f>_xlfn.CONCAT("u",_xlfn.UNICHAR(HEX2DEC(303)),"e",_xlfn.UNICHAR(HEX2DEC(303)))</f>
        <v>ũẽ</v>
      </c>
      <c r="F77" s="1" t="s">
        <v>460</v>
      </c>
      <c r="G77" s="1" t="s">
        <v>460</v>
      </c>
      <c r="H77" s="1" t="s">
        <v>462</v>
      </c>
      <c r="I77" s="99" t="s">
        <v>1325</v>
      </c>
      <c r="J77" s="1" t="s">
        <v>460</v>
      </c>
      <c r="K77" s="1" t="s">
        <v>258</v>
      </c>
      <c r="L77" s="1" t="s">
        <v>17</v>
      </c>
      <c r="M77" s="68" t="s">
        <v>463</v>
      </c>
    </row>
    <row r="78" spans="1:15" ht="29.25">
      <c r="A78" s="67">
        <v>91</v>
      </c>
      <c r="B78" s="11" t="s">
        <v>465</v>
      </c>
      <c r="C78" s="5" t="s">
        <v>464</v>
      </c>
      <c r="D78" s="1" t="s">
        <v>466</v>
      </c>
      <c r="E78" s="101" t="str">
        <f>_xlfn.CONCAT("i",_xlfn.UNICHAR(HEX2DEC(303)), "a",_xlfn.UNICHAR(HEX2DEC(303)),"u",_xlfn.UNICHAR(HEX2DEC(303)))</f>
        <v>ĩãũ</v>
      </c>
      <c r="F78" s="1" t="s">
        <v>467</v>
      </c>
      <c r="G78" s="1" t="s">
        <v>467</v>
      </c>
      <c r="H78" s="1" t="s">
        <v>469</v>
      </c>
      <c r="I78" s="99" t="s">
        <v>1326</v>
      </c>
      <c r="J78" s="1" t="s">
        <v>467</v>
      </c>
      <c r="K78" s="1" t="s">
        <v>265</v>
      </c>
      <c r="L78" s="1" t="s">
        <v>17</v>
      </c>
      <c r="M78" s="68" t="s">
        <v>470</v>
      </c>
      <c r="O78" t="str">
        <f xml:space="preserve"> _xlfn.UNICHAR( HEX2DEC(129))</f>
        <v>ĩ</v>
      </c>
    </row>
    <row r="79" spans="1:15" ht="39">
      <c r="A79" s="67">
        <v>92</v>
      </c>
      <c r="B79" s="3" t="s">
        <v>465</v>
      </c>
      <c r="C79" s="3" t="s">
        <v>512</v>
      </c>
      <c r="D79" s="1" t="s">
        <v>959</v>
      </c>
      <c r="E79" s="101" t="str">
        <f>_xlfn.CONCAT("i",_xlfn.UNICHAR(HEX2DEC(303)), "a",_xlfn.UNICHAR(HEX2DEC(303)),"u",_xlfn.UNICHAR(HEX2DEC(303)), "ʔ")</f>
        <v>ĩãũʔ</v>
      </c>
      <c r="F79" s="1" t="s">
        <v>472</v>
      </c>
      <c r="G79" s="1" t="s">
        <v>471</v>
      </c>
      <c r="H79" s="1" t="s">
        <v>473</v>
      </c>
      <c r="I79" s="99" t="s">
        <v>1327</v>
      </c>
      <c r="J79" s="1" t="s">
        <v>472</v>
      </c>
      <c r="K79" s="1" t="s">
        <v>265</v>
      </c>
      <c r="L79" s="1" t="s">
        <v>23</v>
      </c>
      <c r="M79" s="68" t="s">
        <v>474</v>
      </c>
      <c r="O79" t="str">
        <f xml:space="preserve"> _xlfn.CONCAT("i", _xlfn.UNICHAR( HEX2DEC(303)))</f>
        <v>ĩ</v>
      </c>
    </row>
    <row r="80" spans="1:15" ht="29.25">
      <c r="A80" s="67">
        <v>93</v>
      </c>
      <c r="B80" s="13" t="s">
        <v>477</v>
      </c>
      <c r="C80" s="5" t="s">
        <v>475</v>
      </c>
      <c r="D80" s="1" t="s">
        <v>478</v>
      </c>
      <c r="E80" s="101" t="s">
        <v>1291</v>
      </c>
      <c r="F80" s="1" t="s">
        <v>1102</v>
      </c>
      <c r="G80" s="1" t="s">
        <v>479</v>
      </c>
      <c r="H80" s="1" t="s">
        <v>1102</v>
      </c>
      <c r="I80" s="99" t="s">
        <v>479</v>
      </c>
      <c r="J80" s="1" t="s">
        <v>480</v>
      </c>
      <c r="K80" s="1" t="s">
        <v>270</v>
      </c>
      <c r="L80" s="1" t="s">
        <v>17</v>
      </c>
      <c r="M80" s="68" t="s">
        <v>481</v>
      </c>
    </row>
    <row r="81" spans="1:13" ht="29.25">
      <c r="A81" s="67">
        <v>94</v>
      </c>
      <c r="B81" s="13" t="s">
        <v>477</v>
      </c>
      <c r="C81" s="3" t="s">
        <v>482</v>
      </c>
      <c r="D81" s="1" t="s">
        <v>484</v>
      </c>
      <c r="E81" s="101" t="s">
        <v>1292</v>
      </c>
      <c r="F81" s="1" t="s">
        <v>485</v>
      </c>
      <c r="G81" s="1" t="s">
        <v>485</v>
      </c>
      <c r="H81" s="1" t="s">
        <v>485</v>
      </c>
      <c r="I81" s="99" t="s">
        <v>485</v>
      </c>
      <c r="J81" s="1" t="s">
        <v>486</v>
      </c>
      <c r="K81" s="1" t="s">
        <v>270</v>
      </c>
      <c r="L81" s="1" t="s">
        <v>23</v>
      </c>
      <c r="M81" s="68" t="s">
        <v>487</v>
      </c>
    </row>
    <row r="82" spans="1:13" ht="29.25">
      <c r="A82" s="67">
        <v>95</v>
      </c>
      <c r="B82" s="13" t="s">
        <v>489</v>
      </c>
      <c r="C82" s="9" t="s">
        <v>488</v>
      </c>
      <c r="D82" s="1" t="s">
        <v>490</v>
      </c>
      <c r="E82" s="101" t="str">
        <f>_xlfn.CONCAT("a",_xlfn.UNICHAR(HEX2DEC(303)),"u",_xlfn.UNICHAR(HEX2DEC(303)))</f>
        <v>ãũ</v>
      </c>
      <c r="F82" s="1" t="s">
        <v>491</v>
      </c>
      <c r="G82" s="1" t="s">
        <v>491</v>
      </c>
      <c r="H82" s="1" t="s">
        <v>493</v>
      </c>
      <c r="I82" s="99" t="s">
        <v>1328</v>
      </c>
      <c r="J82" s="1" t="s">
        <v>491</v>
      </c>
      <c r="K82" s="1" t="s">
        <v>276</v>
      </c>
      <c r="L82" s="1" t="s">
        <v>17</v>
      </c>
      <c r="M82" s="68" t="s">
        <v>494</v>
      </c>
    </row>
    <row r="83" spans="1:13" ht="29.25">
      <c r="A83" s="67">
        <v>97</v>
      </c>
      <c r="B83" s="12" t="s">
        <v>496</v>
      </c>
      <c r="C83" s="3" t="s">
        <v>495</v>
      </c>
      <c r="D83" s="1" t="s">
        <v>423</v>
      </c>
      <c r="E83" s="101" t="str">
        <f>_xlfn.CONCAT("ɔ",_xlfn.UNICHAR(HEX2DEC(303)))</f>
        <v>ɔ̃</v>
      </c>
      <c r="F83" s="1" t="s">
        <v>425</v>
      </c>
      <c r="G83" s="1" t="s">
        <v>425</v>
      </c>
      <c r="H83" s="1" t="s">
        <v>427</v>
      </c>
      <c r="I83" s="99" t="s">
        <v>497</v>
      </c>
      <c r="J83" s="1" t="s">
        <v>498</v>
      </c>
      <c r="K83" s="1" t="s">
        <v>280</v>
      </c>
      <c r="L83" s="1" t="s">
        <v>17</v>
      </c>
      <c r="M83" s="68" t="s">
        <v>499</v>
      </c>
    </row>
    <row r="84" spans="1:13" ht="39">
      <c r="A84" s="67">
        <v>98</v>
      </c>
      <c r="B84" s="12" t="s">
        <v>496</v>
      </c>
      <c r="C84" s="3" t="s">
        <v>512</v>
      </c>
      <c r="D84" s="1" t="s">
        <v>960</v>
      </c>
      <c r="E84" s="101" t="str">
        <f>_xlfn.CONCAT("ɔ",_xlfn.UNICHAR(HEX2DEC(303)), "ʔ")</f>
        <v>ɔ̃ʔ</v>
      </c>
      <c r="F84" s="1" t="s">
        <v>501</v>
      </c>
      <c r="G84" s="1" t="s">
        <v>500</v>
      </c>
      <c r="H84" s="1" t="s">
        <v>502</v>
      </c>
      <c r="I84" s="99" t="s">
        <v>1329</v>
      </c>
      <c r="J84" s="1" t="s">
        <v>460</v>
      </c>
      <c r="K84" s="1" t="s">
        <v>280</v>
      </c>
      <c r="L84" s="1" t="s">
        <v>23</v>
      </c>
      <c r="M84" s="68" t="s">
        <v>503</v>
      </c>
    </row>
    <row r="85" spans="1:13" ht="29.25">
      <c r="A85" s="69">
        <v>99</v>
      </c>
      <c r="B85" s="70" t="s">
        <v>505</v>
      </c>
      <c r="C85" s="71" t="s">
        <v>504</v>
      </c>
      <c r="D85" s="72" t="s">
        <v>506</v>
      </c>
      <c r="E85" s="102" t="s">
        <v>1142</v>
      </c>
      <c r="F85" s="72" t="s">
        <v>507</v>
      </c>
      <c r="G85" s="72" t="s">
        <v>507</v>
      </c>
      <c r="H85" s="72" t="s">
        <v>509</v>
      </c>
      <c r="I85" s="100" t="s">
        <v>1330</v>
      </c>
      <c r="J85" s="72" t="s">
        <v>507</v>
      </c>
      <c r="K85" s="72" t="s">
        <v>288</v>
      </c>
      <c r="L85" s="72" t="s">
        <v>17</v>
      </c>
      <c r="M85" s="73" t="s">
        <v>510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18839-8279-4205-A1C9-3667D2078600}">
  <dimension ref="A1:N103"/>
  <sheetViews>
    <sheetView showGridLines="0" workbookViewId="0">
      <pane ySplit="2" topLeftCell="A39" activePane="bottomLeft" state="frozen"/>
      <selection pane="bottomLeft" activeCell="H104" sqref="H104"/>
    </sheetView>
  </sheetViews>
  <sheetFormatPr defaultRowHeight="16.5"/>
  <cols>
    <col min="1" max="1" width="5.58203125" style="56" customWidth="1"/>
    <col min="2" max="10" width="10.25" style="56" customWidth="1"/>
    <col min="11" max="12" width="10.08203125" style="56" customWidth="1"/>
    <col min="13" max="13" width="10.25" style="56" customWidth="1"/>
    <col min="14" max="14" width="20.6640625" style="56" bestFit="1" customWidth="1"/>
    <col min="15" max="16384" width="8.6640625" style="56"/>
  </cols>
  <sheetData>
    <row r="1" spans="1:14" ht="46.5" customHeight="1" thickBot="1">
      <c r="A1" s="55"/>
      <c r="B1" s="55" t="str">
        <f xml:space="preserve"> "(""" &amp; _xlfn.TEXTJOIN(""",""",TRUE,F3:F86) &amp; """)"</f>
        <v>("niɑoh","nuɑih","iɑnɡ","iaoh","ionɡ","nɑeh","nɑoh","niɑh","niɑo","nooh","ɑeh","anɡ","ɑoh","iɑh","iɑk","iɑm","iɑn","iɑo","iɑp","iɑt","inɡ","ioh","iok","iuh","nɑe","nɑh","nɑi","nɑo","ngh","nia","nih","niu","noo","nua","nui","onɡ","ooh","uɑh","uai","uɑi","uɑn","uɑt","ueh","ɑe","ɑh","ai","ɑk","ɑm","ɑn","ao","ɑp","ɑt","eh","eu","iɑ","ie","ih","ik","im","in","io","ip","it","iu","mh","na","ng","ni","oh","ok","oo","op","uɑ","ue","uh","ui","un","ut","ɑ","e","i","m","o","u")</v>
      </c>
      <c r="D1" s="55"/>
      <c r="H1" s="55"/>
      <c r="I1" s="55"/>
    </row>
    <row r="2" spans="1:14" ht="48.75" thickBot="1">
      <c r="A2" s="63" t="s">
        <v>923</v>
      </c>
      <c r="B2" s="63" t="s">
        <v>903</v>
      </c>
      <c r="C2" s="63" t="s">
        <v>782</v>
      </c>
      <c r="D2" s="63" t="s">
        <v>688</v>
      </c>
      <c r="E2" s="63" t="s">
        <v>901</v>
      </c>
      <c r="F2" s="63" t="s">
        <v>784</v>
      </c>
      <c r="G2" s="63" t="s">
        <v>898</v>
      </c>
      <c r="H2" s="63" t="s">
        <v>902</v>
      </c>
      <c r="I2" s="63" t="s">
        <v>783</v>
      </c>
      <c r="J2" s="78"/>
      <c r="K2" s="63" t="s">
        <v>901</v>
      </c>
      <c r="L2" s="57" t="s">
        <v>688</v>
      </c>
      <c r="M2" s="58"/>
    </row>
    <row r="3" spans="1:14" ht="27.75" thickBot="1">
      <c r="A3" s="62">
        <f xml:space="preserve"> ROW() -2</f>
        <v>1</v>
      </c>
      <c r="B3" s="80" t="str" cm="1">
        <f t="array" ref="B3" xml:space="preserve"> IFERROR( INDEX(韻母對照表[國際音標], MATCH(TRUE, EXACT(韻母轉換規則!$C3, 韻母對照表[台羅拼音]), 0)), "")</f>
        <v>ĩãũʔ</v>
      </c>
      <c r="C3" s="62" t="s">
        <v>472</v>
      </c>
      <c r="D3" s="62" t="s">
        <v>472</v>
      </c>
      <c r="E3" s="62" t="str" cm="1">
        <f t="array" ref="E3" xml:space="preserve"> IFERROR( INDEX(韻母對照表[注音二式], MATCH(TRUE, EXACT(韻母轉換規則!$C3, 韻母對照表[台羅拼音]), 0)), "")</f>
        <v>iaunnh</v>
      </c>
      <c r="F3" s="62" t="s">
        <v>805</v>
      </c>
      <c r="G3" s="66" t="str" cm="1">
        <f t="array" ref="G3" xml:space="preserve"> IFERROR( INDEX(韻母對照表[白話字], MATCH(TRUE, EXACT(韻母轉換規則!$C3, 韻母對照表[台羅拼音]), 0)), "")</f>
        <v>iauhⁿ</v>
      </c>
      <c r="H3" s="59" t="str" cm="1">
        <f t="array" ref="H3" xml:space="preserve"> IFERROR( INDEX(韻母對照表[十五音識別碼], MATCH(TRUE, EXACT(韻母轉換規則!$C3, 韻母對照表[台羅拼音]), 0)), "")</f>
        <v>嘄促</v>
      </c>
      <c r="I3" s="62" t="str" cm="1">
        <f t="array" ref="I3" xml:space="preserve"> IFERROR( INDEX(韻母對照表[方音符號], MATCH(TRUE, EXACT(韻母轉換規則!$C3, 韻母對照表[台羅拼音]), 0)), "")</f>
        <v>ㄧㆯㆷ</v>
      </c>
      <c r="J3" s="79"/>
      <c r="K3" s="62" t="str">
        <f>E3</f>
        <v>iaunnh</v>
      </c>
      <c r="L3" s="62" t="str">
        <f>D3</f>
        <v>iaunnh</v>
      </c>
      <c r="M3" s="60"/>
      <c r="N3" s="61" t="str">
        <f xml:space="preserve"> IF(AND(K3&lt;&gt;"", L3&lt;&gt;""), "xform/" &amp; $E3 &amp;  "/"  &amp; $D3 &amp;  "/", "")</f>
        <v>xform/iaunnh/iaunnh/</v>
      </c>
    </row>
    <row r="4" spans="1:14" ht="27.75" thickBot="1">
      <c r="A4" s="62">
        <f t="shared" ref="A4:A67" si="0" xml:space="preserve"> ROW() -2</f>
        <v>2</v>
      </c>
      <c r="B4" s="80" t="str" cm="1">
        <f t="array" ref="B4" xml:space="preserve"> IFERROR( INDEX(韻母對照表[國際音標], MATCH(TRUE, EXACT(韻母轉換規則!$C4, 韻母對照表[台羅拼音]), 0)), "")</f>
        <v>ũãĩʔ</v>
      </c>
      <c r="C4" s="62" t="s">
        <v>455</v>
      </c>
      <c r="D4" s="62" t="s">
        <v>455</v>
      </c>
      <c r="E4" s="62" t="str" cm="1">
        <f t="array" ref="E4" xml:space="preserve"> IFERROR( INDEX(韻母對照表[注音二式], MATCH(TRUE, EXACT(韻母轉換規則!$C4, 韻母對照表[台羅拼音]), 0)), "")</f>
        <v>uainnh</v>
      </c>
      <c r="F4" s="62" t="s">
        <v>806</v>
      </c>
      <c r="G4" s="66" t="str" cm="1">
        <f t="array" ref="G4" xml:space="preserve"> IFERROR( INDEX(韻母對照表[白話字], MATCH(TRUE, EXACT(韻母轉換規則!$C4, 韻母對照表[台羅拼音]), 0)), "")</f>
        <v>oaihⁿ</v>
      </c>
      <c r="H4" s="59" t="str" cm="1">
        <f t="array" ref="H4" xml:space="preserve"> IFERROR( INDEX(韻母對照表[十五音識別碼], MATCH(TRUE, EXACT(韻母轉換規則!$C4, 韻母對照表[台羅拼音]), 0)), "")</f>
        <v>閂促</v>
      </c>
      <c r="I4" s="62" t="str" cm="1">
        <f t="array" ref="I4" xml:space="preserve"> IFERROR( INDEX(韻母對照表[方音符號], MATCH(TRUE, EXACT(韻母轉換規則!$C4, 韻母對照表[台羅拼音]), 0)), "")</f>
        <v>ㄨㆮㆷ</v>
      </c>
      <c r="J4" s="79"/>
      <c r="K4" s="62" t="str">
        <f>E4</f>
        <v>uainnh</v>
      </c>
      <c r="L4" s="62" t="str">
        <f t="shared" ref="L4:L33" si="1">D4</f>
        <v>uainnh</v>
      </c>
      <c r="M4" s="60"/>
      <c r="N4" s="61" t="str">
        <f xml:space="preserve"> IF(AND(K4&lt;&gt;"", L4&lt;&gt;""), "xform/" &amp; $E4 &amp;  "/"  &amp; $D4 &amp;  "/", "")</f>
        <v>xform/uainnh/uainnh/</v>
      </c>
    </row>
    <row r="5" spans="1:14" ht="27.75" thickBot="1">
      <c r="A5" s="62">
        <f t="shared" si="0"/>
        <v>3</v>
      </c>
      <c r="B5" s="62" t="s">
        <v>807</v>
      </c>
      <c r="C5" s="62" t="s">
        <v>203</v>
      </c>
      <c r="D5" s="62" t="s">
        <v>203</v>
      </c>
      <c r="E5" s="62" t="str" cm="1">
        <f t="array" ref="E5" xml:space="preserve"> IFERROR( INDEX(韻母對照表[注音二式], MATCH(TRUE, EXACT(韻母轉換規則!$C5, 韻母對照表[台羅拼音]), 0)), "")</f>
        <v>iang</v>
      </c>
      <c r="F5" s="62" t="s">
        <v>808</v>
      </c>
      <c r="G5" s="65" t="str" cm="1">
        <f t="array" ref="G5" xml:space="preserve"> IFERROR( INDEX(韻母對照表[白話字], MATCH(TRUE, EXACT(韻母轉換規則!$C5, 韻母對照表[台羅拼音]), 0)), "")</f>
        <v>iang</v>
      </c>
      <c r="H5" s="59" t="str" cm="1">
        <f t="array" ref="H5" xml:space="preserve"> IFERROR( INDEX(韻母對照表[十五音識別碼], MATCH(TRUE, EXACT(韻母轉換規則!$C5, 韻母對照表[台羅拼音]), 0)), "")</f>
        <v>姜舒</v>
      </c>
      <c r="I5" s="62" t="str" cm="1">
        <f t="array" ref="I5" xml:space="preserve"> IFERROR( INDEX(韻母對照表[方音符號], MATCH(TRUE, EXACT(韻母轉換規則!$C5, 韻母對照表[台羅拼音]), 0)), "")</f>
        <v>ㄧㄤ</v>
      </c>
      <c r="J5" s="79"/>
      <c r="K5" s="62" t="str">
        <f>E5</f>
        <v>iang</v>
      </c>
      <c r="L5" s="62" t="str">
        <f t="shared" si="1"/>
        <v>iang</v>
      </c>
      <c r="M5" s="60"/>
      <c r="N5" s="61" t="str">
        <f xml:space="preserve"> IF(AND(K5&lt;&gt;"", L5&lt;&gt;""), "xform/" &amp; $E5 &amp;  "/"  &amp; $D5 &amp;  "/", "")</f>
        <v>xform/iang/iang/</v>
      </c>
    </row>
    <row r="6" spans="1:14" ht="27.75" thickBot="1">
      <c r="A6" s="62">
        <f t="shared" si="0"/>
        <v>4</v>
      </c>
      <c r="B6" s="62" t="s">
        <v>809</v>
      </c>
      <c r="C6" s="62" t="s">
        <v>148</v>
      </c>
      <c r="D6" s="62" t="s">
        <v>148</v>
      </c>
      <c r="E6" s="62" t="str" cm="1">
        <f t="array" ref="E6" xml:space="preserve"> IFERROR( INDEX(韻母對照表[注音二式], MATCH(TRUE, EXACT(韻母轉換規則!$C6, 韻母對照表[台羅拼音]), 0)), "")</f>
        <v>iauh</v>
      </c>
      <c r="F6" s="62" t="s">
        <v>149</v>
      </c>
      <c r="G6" s="64" t="str" cm="1">
        <f t="array" ref="G6" xml:space="preserve"> IFERROR( INDEX(韻母對照表[白話字], MATCH(TRUE, EXACT(韻母轉換規則!$C6, 韻母對照表[台羅拼音]), 0)), "")</f>
        <v>iauh</v>
      </c>
      <c r="H6" s="59" t="str" cm="1">
        <f t="array" ref="H6" xml:space="preserve"> IFERROR( INDEX(韻母對照表[十五音識別碼], MATCH(TRUE, EXACT(韻母轉換規則!$C6, 韻母對照表[台羅拼音]), 0)), "")</f>
        <v>嬌促</v>
      </c>
      <c r="I6" s="62" t="str" cm="1">
        <f t="array" ref="I6" xml:space="preserve"> IFERROR( INDEX(韻母對照表[方音符號], MATCH(TRUE, EXACT(韻母轉換規則!$C6, 韻母對照表[台羅拼音]), 0)), "")</f>
        <v>ㄧㄠㆷ</v>
      </c>
      <c r="J6" s="79"/>
      <c r="K6" s="62" t="str">
        <f>E6</f>
        <v>iauh</v>
      </c>
      <c r="L6" s="62" t="str">
        <f t="shared" si="1"/>
        <v>iauh</v>
      </c>
      <c r="M6" s="60"/>
      <c r="N6" s="61" t="str">
        <f xml:space="preserve"> IF(AND(K6&lt;&gt;"", L6&lt;&gt;""), "xform/" &amp; $E6 &amp;  "/"  &amp; $D6 &amp;  "/", "")</f>
        <v>xform/iauh/iauh/</v>
      </c>
    </row>
    <row r="7" spans="1:14" ht="27.75" thickBot="1">
      <c r="A7" s="62">
        <f t="shared" si="0"/>
        <v>5</v>
      </c>
      <c r="B7" s="62" t="s">
        <v>159</v>
      </c>
      <c r="C7" s="62" t="s">
        <v>162</v>
      </c>
      <c r="D7" s="62" t="s">
        <v>162</v>
      </c>
      <c r="E7" s="62" t="str" cm="1">
        <f t="array" ref="E7" xml:space="preserve"> IFERROR( INDEX(韻母對照表[注音二式], MATCH(TRUE, EXACT(韻母轉換規則!$C7, 韻母對照表[台羅拼音]), 0)), "")</f>
        <v>iong</v>
      </c>
      <c r="F7" s="62" t="s">
        <v>810</v>
      </c>
      <c r="G7" s="65" t="str" cm="1">
        <f t="array" ref="G7" xml:space="preserve"> IFERROR( INDEX(韻母對照表[白話字], MATCH(TRUE, EXACT(韻母轉換規則!$C7, 韻母對照表[台羅拼音]), 0)), "")</f>
        <v>iong</v>
      </c>
      <c r="H7" s="59" t="str" cm="1">
        <f t="array" ref="H7" xml:space="preserve"> IFERROR( INDEX(韻母對照表[十五音識別碼], MATCH(TRUE, EXACT(韻母轉換規則!$C7, 韻母對照表[台羅拼音]), 0)), "")</f>
        <v>恭舒</v>
      </c>
      <c r="I7" s="62" t="str" cm="1">
        <f t="array" ref="I7" xml:space="preserve"> IFERROR( INDEX(韻母對照表[方音符號], MATCH(TRUE, EXACT(韻母轉換規則!$C7, 韻母對照表[台羅拼音]), 0)), "")</f>
        <v>ㄧㆲ</v>
      </c>
      <c r="J7" s="79"/>
      <c r="K7" s="62" t="str">
        <f>E7</f>
        <v>iong</v>
      </c>
      <c r="L7" s="62" t="str">
        <f t="shared" si="1"/>
        <v>iong</v>
      </c>
      <c r="M7" s="60"/>
      <c r="N7" s="61" t="str">
        <f xml:space="preserve"> IF(AND(K7&lt;&gt;"", L7&lt;&gt;""), "xform/" &amp; $E7 &amp;  "/"  &amp; $D7 &amp;  "/", "")</f>
        <v>xform/iong/iong/</v>
      </c>
    </row>
    <row r="8" spans="1:14" ht="27.75" thickBot="1">
      <c r="A8" s="62">
        <f t="shared" si="0"/>
        <v>6</v>
      </c>
      <c r="B8" s="80" t="s">
        <v>811</v>
      </c>
      <c r="C8" s="62" t="s">
        <v>346</v>
      </c>
      <c r="D8" s="62" t="s">
        <v>346</v>
      </c>
      <c r="E8" s="62" t="str" cm="1">
        <f t="array" ref="E8" xml:space="preserve"> IFERROR( INDEX(韻母對照表[注音二式], MATCH(TRUE, EXACT(韻母轉換規則!$C8, 韻母對照表[台羅拼音]), 0)), "")</f>
        <v/>
      </c>
      <c r="F8" s="62" t="s">
        <v>812</v>
      </c>
      <c r="G8" s="77" t="str" cm="1">
        <f t="array" ref="G8" xml:space="preserve"> IFERROR( INDEX(韻母對照表[白話字], MATCH(TRUE, EXACT(韻母轉換規則!$C8, 韻母對照表[台羅拼音]), 0)), "")</f>
        <v/>
      </c>
      <c r="H8" s="59" t="str" cm="1">
        <f t="array" ref="H8" xml:space="preserve"> IFERROR( INDEX(韻母對照表[十五音識別碼], MATCH(TRUE, EXACT(韻母轉換規則!$C8, 韻母對照表[台羅拼音]), 0)), "")</f>
        <v/>
      </c>
      <c r="I8" s="62" t="str" cm="1">
        <f t="array" ref="I8" xml:space="preserve"> IFERROR( INDEX(韻母對照表[方音符號], MATCH(TRUE, EXACT(韻母轉換規則!$C8, 韻母對照表[台羅拼音]), 0)), "")</f>
        <v/>
      </c>
      <c r="J8" s="79"/>
      <c r="K8" s="62" t="str">
        <f>E8</f>
        <v/>
      </c>
      <c r="L8" s="62" t="str">
        <f t="shared" si="1"/>
        <v>ennh</v>
      </c>
      <c r="M8" s="60"/>
      <c r="N8" s="61" t="str">
        <f xml:space="preserve"> IF(AND(K8&lt;&gt;"", L8&lt;&gt;""), "xform/" &amp; $E8 &amp;  "/"  &amp; $D8 &amp;  "/", "")</f>
        <v/>
      </c>
    </row>
    <row r="9" spans="1:14" ht="27.75" thickBot="1">
      <c r="A9" s="62">
        <f t="shared" si="0"/>
        <v>7</v>
      </c>
      <c r="B9" s="80" t="s">
        <v>813</v>
      </c>
      <c r="C9" s="62" t="s">
        <v>814</v>
      </c>
      <c r="D9" s="62" t="s">
        <v>814</v>
      </c>
      <c r="E9" s="81" t="str" cm="1">
        <f t="array" ref="E9" xml:space="preserve"> IFERROR( INDEX(韻母對照表[注音二式], MATCH(TRUE, EXACT(韻母轉換規則!$C9, 韻母對照表[台羅拼音]), 0)), "")</f>
        <v/>
      </c>
      <c r="F9" s="62" t="s">
        <v>815</v>
      </c>
      <c r="G9" s="66" t="str" cm="1">
        <f t="array" ref="G9" xml:space="preserve"> IFERROR( INDEX(韻母對照表[白話字], MATCH(TRUE, EXACT(韻母轉換規則!$C9, 韻母對照表[台羅拼音]), 0)), "")</f>
        <v/>
      </c>
      <c r="H9" s="59" t="str" cm="1">
        <f t="array" ref="H9" xml:space="preserve"> IFERROR( INDEX(韻母對照表[十五音識別碼], MATCH(TRUE, EXACT(韻母轉換規則!$C9, 韻母對照表[台羅拼音]), 0)), "")</f>
        <v/>
      </c>
      <c r="I9" s="62" t="str" cm="1">
        <f t="array" ref="I9" xml:space="preserve"> IFERROR( INDEX(韻母對照表[方音符號], MATCH(TRUE, EXACT(韻母轉換規則!$C9, 韻母對照表[台羅拼音]), 0)), "")</f>
        <v/>
      </c>
      <c r="J9" s="79"/>
      <c r="K9" s="62" t="str">
        <f>E9</f>
        <v/>
      </c>
      <c r="L9" s="62" t="str">
        <f t="shared" si="1"/>
        <v>aunnh</v>
      </c>
      <c r="M9" s="60"/>
      <c r="N9" s="61" t="str">
        <f xml:space="preserve"> IF(AND(K9&lt;&gt;"", L9&lt;&gt;""), "xform/" &amp; $E9 &amp;  "/"  &amp; $D9 &amp;  "/", "")</f>
        <v/>
      </c>
    </row>
    <row r="10" spans="1:14" ht="27.75" thickBot="1">
      <c r="A10" s="62">
        <f t="shared" si="0"/>
        <v>8</v>
      </c>
      <c r="B10" s="80" t="s">
        <v>816</v>
      </c>
      <c r="C10" s="62" t="s">
        <v>392</v>
      </c>
      <c r="D10" s="62" t="s">
        <v>392</v>
      </c>
      <c r="E10" s="81" t="str" cm="1">
        <f t="array" ref="E10" xml:space="preserve"> IFERROR( INDEX(韻母對照表[注音二式], MATCH(TRUE, EXACT(韻母轉換規則!$C10, 韻母對照表[台羅拼音]), 0)), "")</f>
        <v/>
      </c>
      <c r="F10" s="62" t="s">
        <v>817</v>
      </c>
      <c r="G10" s="77" t="str" cm="1">
        <f t="array" ref="G10" xml:space="preserve"> IFERROR( INDEX(韻母對照表[白話字], MATCH(TRUE, EXACT(韻母轉換規則!$C10, 韻母對照表[台羅拼音]), 0)), "")</f>
        <v/>
      </c>
      <c r="H10" s="59" t="str" cm="1">
        <f t="array" ref="H10" xml:space="preserve"> IFERROR( INDEX(韻母對照表[十五音識別碼], MATCH(TRUE, EXACT(韻母轉換規則!$C10, 韻母對照表[台羅拼音]), 0)), "")</f>
        <v/>
      </c>
      <c r="I10" s="62" t="str" cm="1">
        <f t="array" ref="I10" xml:space="preserve"> IFERROR( INDEX(韻母對照表[方音符號], MATCH(TRUE, EXACT(韻母轉換規則!$C10, 韻母對照表[台羅拼音]), 0)), "")</f>
        <v/>
      </c>
      <c r="J10" s="79"/>
      <c r="K10" s="62" t="str">
        <f>E10</f>
        <v/>
      </c>
      <c r="L10" s="62" t="str">
        <f t="shared" si="1"/>
        <v>iannh</v>
      </c>
      <c r="M10" s="60"/>
      <c r="N10" s="61" t="str">
        <f xml:space="preserve"> IF(AND(K10&lt;&gt;"", L10&lt;&gt;""), "xform/" &amp; $E10 &amp;  "/"  &amp; $D10 &amp;  "/", "")</f>
        <v/>
      </c>
    </row>
    <row r="11" spans="1:14" ht="27.75" thickBot="1">
      <c r="A11" s="62">
        <f t="shared" si="0"/>
        <v>9</v>
      </c>
      <c r="B11" s="62" t="s">
        <v>141</v>
      </c>
      <c r="C11" s="62" t="s">
        <v>467</v>
      </c>
      <c r="D11" s="62" t="s">
        <v>467</v>
      </c>
      <c r="E11" s="62" t="str" cm="1">
        <f t="array" ref="E11" xml:space="preserve"> IFERROR( INDEX(韻母對照表[注音二式], MATCH(TRUE, EXACT(韻母轉換規則!$C11, 韻母對照表[台羅拼音]), 0)), "")</f>
        <v>iaunn</v>
      </c>
      <c r="F11" s="62" t="s">
        <v>818</v>
      </c>
      <c r="G11" s="64" t="str" cm="1">
        <f t="array" ref="G11" xml:space="preserve"> IFERROR( INDEX(韻母對照表[白話字], MATCH(TRUE, EXACT(韻母轉換規則!$C11, 韻母對照表[台羅拼音]), 0)), "")</f>
        <v>iauⁿ</v>
      </c>
      <c r="H11" s="59" t="str" cm="1">
        <f t="array" ref="H11" xml:space="preserve"> IFERROR( INDEX(韻母對照表[十五音識別碼], MATCH(TRUE, EXACT(韻母轉換規則!$C11, 韻母對照表[台羅拼音]), 0)), "")</f>
        <v>嘄舒</v>
      </c>
      <c r="I11" s="62" t="str" cm="1">
        <f t="array" ref="I11" xml:space="preserve"> IFERROR( INDEX(韻母對照表[方音符號], MATCH(TRUE, EXACT(韻母轉換規則!$C11, 韻母對照表[台羅拼音]), 0)), "")</f>
        <v>ㄧㆯ</v>
      </c>
      <c r="J11" s="79"/>
      <c r="K11" s="62" t="str">
        <f>E11</f>
        <v>iaunn</v>
      </c>
      <c r="L11" s="62" t="str">
        <f t="shared" si="1"/>
        <v>iaunn</v>
      </c>
      <c r="M11" s="60"/>
      <c r="N11" s="61" t="str">
        <f xml:space="preserve"> IF(AND(K11&lt;&gt;"", L11&lt;&gt;""), "xform/" &amp; $E11 &amp;  "/"  &amp; $D11 &amp;  "/", "")</f>
        <v>xform/iaunn/iaunn/</v>
      </c>
    </row>
    <row r="12" spans="1:14" ht="27.75" thickBot="1">
      <c r="A12" s="62">
        <f t="shared" si="0"/>
        <v>10</v>
      </c>
      <c r="B12" s="80" t="str" cm="1">
        <f t="array" ref="B12" xml:space="preserve"> IFERROR( INDEX(韻母對照表[國際音標], MATCH(TRUE, EXACT(韻母轉換規則!$C12, 韻母對照表[台羅拼音]), 0)), "")</f>
        <v>ɔ̃ʔ</v>
      </c>
      <c r="C12" s="62" t="s">
        <v>501</v>
      </c>
      <c r="D12" s="62" t="s">
        <v>501</v>
      </c>
      <c r="E12" s="81" t="str" cm="1">
        <f t="array" ref="E12" xml:space="preserve"> IFERROR( INDEX(韻母對照表[注音二式], MATCH(TRUE, EXACT(韻母轉換規則!$C12, 韻母對照表[台羅拼音]), 0)), "")</f>
        <v>uenn</v>
      </c>
      <c r="F12" s="62" t="s">
        <v>502</v>
      </c>
      <c r="G12" s="77" t="str" cm="1">
        <f t="array" ref="G12" xml:space="preserve"> IFERROR( INDEX(韻母對照表[白話字], MATCH(TRUE, EXACT(韻母轉換規則!$C12, 韻母對照表[台羅拼音]), 0)), "")</f>
        <v>ohⁿ</v>
      </c>
      <c r="H12" s="59" t="str" cm="1">
        <f t="array" ref="H12" xml:space="preserve"> IFERROR( INDEX(韻母對照表[十五音識別碼], MATCH(TRUE, EXACT(韻母轉換規則!$C12, 韻母對照表[台羅拼音]), 0)), "")</f>
        <v>扛促</v>
      </c>
      <c r="I12" s="62" t="str" cm="1">
        <f t="array" ref="I12" xml:space="preserve"> IFERROR( INDEX(韻母對照表[方音符號], MATCH(TRUE, EXACT(韻母轉換規則!$C12, 韻母對照表[台羅拼音]), 0)), "")</f>
        <v>ㆧㆷ</v>
      </c>
      <c r="J12" s="79"/>
      <c r="K12" s="62" t="str">
        <f>E12</f>
        <v>uenn</v>
      </c>
      <c r="L12" s="62" t="str">
        <f t="shared" si="1"/>
        <v>onnh</v>
      </c>
      <c r="M12" s="60"/>
      <c r="N12" s="61" t="str">
        <f xml:space="preserve"> IF(AND(K12&lt;&gt;"", L12&lt;&gt;""), "xform/" &amp; $E12 &amp;  "/"  &amp; $D12 &amp;  "/", "")</f>
        <v>xform/uenn/onnh/</v>
      </c>
    </row>
    <row r="13" spans="1:14" ht="27.75" thickBot="1">
      <c r="A13" s="62">
        <f t="shared" si="0"/>
        <v>11</v>
      </c>
      <c r="B13" s="62" t="s">
        <v>919</v>
      </c>
      <c r="C13" s="62" t="s">
        <v>64</v>
      </c>
      <c r="D13" s="62" t="s">
        <v>64</v>
      </c>
      <c r="E13" s="62" t="str" cm="1">
        <f t="array" ref="E13" xml:space="preserve"> IFERROR( INDEX(韻母對照表[注音二式], MATCH(TRUE, EXACT(韻母轉換規則!$C13, 韻母對照表[台羅拼音]), 0)), "")</f>
        <v>eh</v>
      </c>
      <c r="F13" s="62" t="s">
        <v>820</v>
      </c>
      <c r="G13" s="66"/>
      <c r="H13" s="59" t="str" cm="1">
        <f t="array" ref="H13" xml:space="preserve"> IFERROR( INDEX(韻母對照表[十五音識別碼], MATCH(TRUE, EXACT(韻母轉換規則!$C13, 韻母對照表[台羅拼音]), 0)), "")</f>
        <v>嘉促</v>
      </c>
      <c r="I13" s="62" t="str" cm="1">
        <f t="array" ref="I13" xml:space="preserve"> IFERROR( INDEX(韻母對照表[方音符號], MATCH(TRUE, EXACT(韻母轉換規則!$C13, 韻母對照表[台羅拼音]), 0)), "")</f>
        <v>ㄝㆷ</v>
      </c>
      <c r="J13" s="79"/>
      <c r="K13" s="62" t="str">
        <f>E13</f>
        <v>eh</v>
      </c>
      <c r="L13" s="62" t="str">
        <f t="shared" si="1"/>
        <v>eeh</v>
      </c>
      <c r="M13" s="60"/>
      <c r="N13" s="61" t="str">
        <f xml:space="preserve"> IF(AND(K13&lt;&gt;"", L13&lt;&gt;""), "xform/" &amp; $E13 &amp;  "/"  &amp; $D13 &amp;  "/", "")</f>
        <v>xform/eh/eeh/</v>
      </c>
    </row>
    <row r="14" spans="1:14" ht="27.75" thickBot="1">
      <c r="A14" s="62">
        <f t="shared" si="0"/>
        <v>12</v>
      </c>
      <c r="B14" s="62" t="s">
        <v>821</v>
      </c>
      <c r="C14" s="62" t="s">
        <v>237</v>
      </c>
      <c r="D14" s="62" t="s">
        <v>237</v>
      </c>
      <c r="E14" s="62" t="str" cm="1">
        <f t="array" ref="E14" xml:space="preserve"> IFERROR( INDEX(韻母對照表[注音二式], MATCH(TRUE, EXACT(韻母轉換規則!$C14, 韻母對照表[台羅拼音]), 0)), "")</f>
        <v>ang</v>
      </c>
      <c r="F14" s="62" t="s">
        <v>822</v>
      </c>
      <c r="G14" s="65" t="str" cm="1">
        <f t="array" ref="G14" xml:space="preserve"> IFERROR( INDEX(韻母對照表[白話字], MATCH(TRUE, EXACT(韻母轉換規則!$C14, 韻母對照表[台羅拼音]), 0)), "")</f>
        <v>ang</v>
      </c>
      <c r="H14" s="59" t="str" cm="1">
        <f t="array" ref="H14" xml:space="preserve"> IFERROR( INDEX(韻母對照表[十五音識別碼], MATCH(TRUE, EXACT(韻母轉換規則!$C14, 韻母對照表[台羅拼音]), 0)), "")</f>
        <v>江舒</v>
      </c>
      <c r="I14" s="62" t="str" cm="1">
        <f t="array" ref="I14" xml:space="preserve"> IFERROR( INDEX(韻母對照表[方音符號], MATCH(TRUE, EXACT(韻母轉換規則!$C14, 韻母對照表[台羅拼音]), 0)), "")</f>
        <v>ㄤ</v>
      </c>
      <c r="J14" s="79"/>
      <c r="K14" s="62" t="str">
        <f>E14</f>
        <v>ang</v>
      </c>
      <c r="L14" s="62" t="str">
        <f t="shared" si="1"/>
        <v>ang</v>
      </c>
      <c r="M14" s="60"/>
      <c r="N14" s="61" t="str">
        <f xml:space="preserve"> IF(AND(K14&lt;&gt;"", L14&lt;&gt;""), "xform/" &amp; $E14 &amp;  "/"  &amp; $D14 &amp;  "/", "")</f>
        <v>xform/ang/ang/</v>
      </c>
    </row>
    <row r="15" spans="1:14" ht="27.75" thickBot="1">
      <c r="A15" s="62">
        <f t="shared" si="0"/>
        <v>13</v>
      </c>
      <c r="B15" s="62" t="s">
        <v>823</v>
      </c>
      <c r="C15" s="62" t="s">
        <v>267</v>
      </c>
      <c r="D15" s="62" t="s">
        <v>267</v>
      </c>
      <c r="E15" s="62" t="str" cm="1">
        <f t="array" ref="E15" xml:space="preserve"> IFERROR( INDEX(韻母對照表[注音二式], MATCH(TRUE, EXACT(韻母轉換規則!$C15, 韻母對照表[台羅拼音]), 0)), "")</f>
        <v>auh</v>
      </c>
      <c r="F15" s="62" t="s">
        <v>824</v>
      </c>
      <c r="G15" s="65" t="str" cm="1">
        <f t="array" ref="G15" xml:space="preserve"> IFERROR( INDEX(韻母對照表[白話字], MATCH(TRUE, EXACT(韻母轉換規則!$C15, 韻母對照表[台羅拼音]), 0)), "")</f>
        <v>auh</v>
      </c>
      <c r="H15" s="59" t="str" cm="1">
        <f t="array" ref="H15" xml:space="preserve"> IFERROR( INDEX(韻母對照表[十五音識別碼], MATCH(TRUE, EXACT(韻母轉換規則!$C15, 韻母對照表[台羅拼音]), 0)), "")</f>
        <v>交促</v>
      </c>
      <c r="I15" s="62" t="str" cm="1">
        <f t="array" ref="I15" xml:space="preserve"> IFERROR( INDEX(韻母對照表[方音符號], MATCH(TRUE, EXACT(韻母轉換規則!$C15, 韻母對照表[台羅拼音]), 0)), "")</f>
        <v>ㄠㆷ</v>
      </c>
      <c r="J15" s="79"/>
      <c r="K15" s="62" t="str">
        <f>E15</f>
        <v>auh</v>
      </c>
      <c r="L15" s="62" t="str">
        <f t="shared" si="1"/>
        <v>auh</v>
      </c>
      <c r="M15" s="60"/>
      <c r="N15" s="61" t="str">
        <f xml:space="preserve"> IF(AND(K15&lt;&gt;"", L15&lt;&gt;""), "xform/" &amp; $E15 &amp;  "/"  &amp; $D15 &amp;  "/", "")</f>
        <v>xform/auh/auh/</v>
      </c>
    </row>
    <row r="16" spans="1:14" ht="27.75" thickBot="1">
      <c r="A16" s="62">
        <f t="shared" si="0"/>
        <v>14</v>
      </c>
      <c r="B16" s="62" t="s">
        <v>825</v>
      </c>
      <c r="C16" s="62" t="s">
        <v>278</v>
      </c>
      <c r="D16" s="62" t="s">
        <v>278</v>
      </c>
      <c r="E16" s="62" t="str" cm="1">
        <f t="array" ref="E16" xml:space="preserve"> IFERROR( INDEX(韻母對照表[注音二式], MATCH(TRUE, EXACT(韻母轉換規則!$C16, 韻母對照表[台羅拼音]), 0)), "")</f>
        <v>iah</v>
      </c>
      <c r="F16" s="62" t="s">
        <v>826</v>
      </c>
      <c r="G16" s="65" t="str" cm="1">
        <f t="array" ref="G16" xml:space="preserve"> IFERROR( INDEX(韻母對照表[白話字], MATCH(TRUE, EXACT(韻母轉換規則!$C16, 韻母對照表[台羅拼音]), 0)), "")</f>
        <v>iah</v>
      </c>
      <c r="H16" s="59" t="str" cm="1">
        <f t="array" ref="H16" xml:space="preserve"> IFERROR( INDEX(韻母對照表[十五音識別碼], MATCH(TRUE, EXACT(韻母轉換規則!$C16, 韻母對照表[台羅拼音]), 0)), "")</f>
        <v>迦促</v>
      </c>
      <c r="I16" s="62" t="str" cm="1">
        <f t="array" ref="I16" xml:space="preserve"> IFERROR( INDEX(韻母對照表[方音符號], MATCH(TRUE, EXACT(韻母轉換規則!$C16, 韻母對照表[台羅拼音]), 0)), "")</f>
        <v>ㄧㄚㆷ</v>
      </c>
      <c r="J16" s="79"/>
      <c r="K16" s="62" t="str">
        <f>E16</f>
        <v>iah</v>
      </c>
      <c r="L16" s="62" t="str">
        <f t="shared" si="1"/>
        <v>iah</v>
      </c>
      <c r="M16" s="60"/>
      <c r="N16" s="61" t="str">
        <f xml:space="preserve"> IF(AND(K16&lt;&gt;"", L16&lt;&gt;""), "xform/" &amp; $E16 &amp;  "/"  &amp; $D16 &amp;  "/", "")</f>
        <v>xform/iah/iah/</v>
      </c>
    </row>
    <row r="17" spans="1:14" ht="27.75" thickBot="1">
      <c r="A17" s="62">
        <f t="shared" si="0"/>
        <v>15</v>
      </c>
      <c r="B17" s="62" t="s">
        <v>913</v>
      </c>
      <c r="C17" s="62" t="s">
        <v>207</v>
      </c>
      <c r="D17" s="62" t="s">
        <v>207</v>
      </c>
      <c r="E17" s="62" t="str" cm="1">
        <f t="array" ref="E17" xml:space="preserve"> IFERROR( INDEX(韻母對照表[注音二式], MATCH(TRUE, EXACT(韻母轉換規則!$C17, 韻母對照表[台羅拼音]), 0)), "")</f>
        <v>iak</v>
      </c>
      <c r="F17" s="62" t="s">
        <v>827</v>
      </c>
      <c r="G17" s="65" t="str" cm="1">
        <f t="array" ref="G17" xml:space="preserve"> IFERROR( INDEX(韻母對照表[白話字], MATCH(TRUE, EXACT(韻母轉換規則!$C17, 韻母對照表[台羅拼音]), 0)), "")</f>
        <v>iak</v>
      </c>
      <c r="H17" s="59" t="str" cm="1">
        <f t="array" ref="H17" xml:space="preserve"> IFERROR( INDEX(韻母對照表[十五音識別碼], MATCH(TRUE, EXACT(韻母轉換規則!$C17, 韻母對照表[台羅拼音]), 0)), "")</f>
        <v>姜促</v>
      </c>
      <c r="I17" s="62" t="str" cm="1">
        <f t="array" ref="I17" xml:space="preserve"> IFERROR( INDEX(韻母對照表[方音符號], MATCH(TRUE, EXACT(韻母轉換規則!$C17, 韻母對照表[台羅拼音]), 0)), "")</f>
        <v>ㄧㄚㆻ</v>
      </c>
      <c r="J17" s="79"/>
      <c r="K17" s="62" t="str">
        <f>E17</f>
        <v>iak</v>
      </c>
      <c r="L17" s="62" t="str">
        <f t="shared" si="1"/>
        <v>iak</v>
      </c>
      <c r="M17" s="60"/>
      <c r="N17" s="61" t="str">
        <f xml:space="preserve"> IF(AND(K17&lt;&gt;"", L17&lt;&gt;""), "xform/" &amp; $E17 &amp;  "/"  &amp; $D17 &amp;  "/", "")</f>
        <v>xform/iak/iak/</v>
      </c>
    </row>
    <row r="18" spans="1:14" ht="27.75" thickBot="1">
      <c r="A18" s="62">
        <f t="shared" si="0"/>
        <v>16</v>
      </c>
      <c r="B18" s="62" t="s">
        <v>247</v>
      </c>
      <c r="C18" s="62" t="s">
        <v>247</v>
      </c>
      <c r="D18" s="62" t="s">
        <v>247</v>
      </c>
      <c r="E18" s="62" t="str" cm="1">
        <f t="array" ref="E18" xml:space="preserve"> IFERROR( INDEX(韻母對照表[注音二式], MATCH(TRUE, EXACT(韻母轉換規則!$C18, 韻母對照表[台羅拼音]), 0)), "")</f>
        <v>iam</v>
      </c>
      <c r="F18" s="62" t="s">
        <v>828</v>
      </c>
      <c r="G18" s="65" t="str" cm="1">
        <f t="array" ref="G18" xml:space="preserve"> IFERROR( INDEX(韻母對照表[白話字], MATCH(TRUE, EXACT(韻母轉換規則!$C18, 韻母對照表[台羅拼音]), 0)), "")</f>
        <v>iam</v>
      </c>
      <c r="H18" s="59" t="str" cm="1">
        <f t="array" ref="H18" xml:space="preserve"> IFERROR( INDEX(韻母對照表[十五音識別碼], MATCH(TRUE, EXACT(韻母轉換規則!$C18, 韻母對照表[台羅拼音]), 0)), "")</f>
        <v>兼舒</v>
      </c>
      <c r="I18" s="62" t="str" cm="1">
        <f t="array" ref="I18" xml:space="preserve"> IFERROR( INDEX(韻母對照表[方音符號], MATCH(TRUE, EXACT(韻母轉換規則!$C18, 韻母對照表[台羅拼音]), 0)), "")</f>
        <v>ㄧㆰ</v>
      </c>
      <c r="J18" s="79"/>
      <c r="K18" s="62" t="str">
        <f>E18</f>
        <v>iam</v>
      </c>
      <c r="L18" s="62" t="str">
        <f t="shared" si="1"/>
        <v>iam</v>
      </c>
      <c r="M18" s="60"/>
      <c r="N18" s="61" t="str">
        <f xml:space="preserve"> IF(AND(K18&lt;&gt;"", L18&lt;&gt;""), "xform/" &amp; $E18 &amp;  "/"  &amp; $D18 &amp;  "/", "")</f>
        <v>xform/iam/iam/</v>
      </c>
    </row>
    <row r="19" spans="1:14" ht="27.75" thickBot="1">
      <c r="A19" s="62">
        <f t="shared" si="0"/>
        <v>17</v>
      </c>
      <c r="B19" s="62" t="s">
        <v>27</v>
      </c>
      <c r="C19" s="62" t="s">
        <v>27</v>
      </c>
      <c r="D19" s="62" t="s">
        <v>27</v>
      </c>
      <c r="E19" s="62" t="str" cm="1">
        <f t="array" ref="E19" xml:space="preserve"> IFERROR( INDEX(韻母對照表[注音二式], MATCH(TRUE, EXACT(韻母轉換規則!$C19, 韻母對照表[台羅拼音]), 0)), "")</f>
        <v>ian</v>
      </c>
      <c r="F19" s="62" t="s">
        <v>829</v>
      </c>
      <c r="G19" s="65" t="str" cm="1">
        <f t="array" ref="G19" xml:space="preserve"> IFERROR( INDEX(韻母對照表[白話字], MATCH(TRUE, EXACT(韻母轉換規則!$C19, 韻母對照表[台羅拼音]), 0)), "")</f>
        <v>ian</v>
      </c>
      <c r="H19" s="59" t="str" cm="1">
        <f t="array" ref="H19" xml:space="preserve"> IFERROR( INDEX(韻母對照表[十五音識別碼], MATCH(TRUE, EXACT(韻母轉換規則!$C19, 韻母對照表[台羅拼音]), 0)), "")</f>
        <v>堅舒</v>
      </c>
      <c r="I19" s="62" t="str" cm="1">
        <f t="array" ref="I19" xml:space="preserve"> IFERROR( INDEX(韻母對照表[方音符號], MATCH(TRUE, EXACT(韻母轉換規則!$C19, 韻母對照表[台羅拼音]), 0)), "")</f>
        <v>ㄧㄢ</v>
      </c>
      <c r="J19" s="79"/>
      <c r="K19" s="62" t="str">
        <f>E19</f>
        <v>ian</v>
      </c>
      <c r="L19" s="62" t="str">
        <f t="shared" si="1"/>
        <v>ian</v>
      </c>
      <c r="M19" s="60"/>
      <c r="N19" s="61" t="str">
        <f xml:space="preserve"> IF(AND(K19&lt;&gt;"", L19&lt;&gt;""), "xform/" &amp; $E19 &amp;  "/"  &amp; $D19 &amp;  "/", "")</f>
        <v>xform/ian/ian/</v>
      </c>
    </row>
    <row r="20" spans="1:14" ht="27.75" thickBot="1">
      <c r="A20" s="62">
        <f t="shared" si="0"/>
        <v>18</v>
      </c>
      <c r="B20" s="62" t="s">
        <v>141</v>
      </c>
      <c r="C20" s="62" t="s">
        <v>141</v>
      </c>
      <c r="D20" s="62" t="s">
        <v>141</v>
      </c>
      <c r="E20" s="62" t="str" cm="1">
        <f t="array" ref="E20" xml:space="preserve"> IFERROR( INDEX(韻母對照表[注音二式], MATCH(TRUE, EXACT(韻母轉換規則!$C20, 韻母對照表[台羅拼音]), 0)), "")</f>
        <v>iau</v>
      </c>
      <c r="F20" s="62" t="s">
        <v>830</v>
      </c>
      <c r="G20" s="64" t="str" cm="1">
        <f t="array" ref="G20" xml:space="preserve"> IFERROR( INDEX(韻母對照表[白話字], MATCH(TRUE, EXACT(韻母轉換規則!$C20, 韻母對照表[台羅拼音]), 0)), "")</f>
        <v>iau</v>
      </c>
      <c r="H20" s="59" t="str" cm="1">
        <f t="array" ref="H20" xml:space="preserve"> IFERROR( INDEX(韻母對照表[十五音識別碼], MATCH(TRUE, EXACT(韻母轉換規則!$C20, 韻母對照表[台羅拼音]), 0)), "")</f>
        <v>嬌舒</v>
      </c>
      <c r="I20" s="62" t="str" cm="1">
        <f t="array" ref="I20" xml:space="preserve"> IFERROR( INDEX(韻母對照表[方音符號], MATCH(TRUE, EXACT(韻母轉換規則!$C20, 韻母對照表[台羅拼音]), 0)), "")</f>
        <v>ㄧㄠ</v>
      </c>
      <c r="J20" s="79"/>
      <c r="K20" s="62" t="str">
        <f>E20</f>
        <v>iau</v>
      </c>
      <c r="L20" s="62" t="str">
        <f t="shared" si="1"/>
        <v>iau</v>
      </c>
      <c r="M20" s="60"/>
      <c r="N20" s="61" t="str">
        <f xml:space="preserve"> IF(AND(K20&lt;&gt;"", L20&lt;&gt;""), "xform/" &amp; $E20 &amp;  "/"  &amp; $D20 &amp;  "/", "")</f>
        <v>xform/iau/iau/</v>
      </c>
    </row>
    <row r="21" spans="1:14" ht="27.75" thickBot="1">
      <c r="A21" s="62">
        <f t="shared" si="0"/>
        <v>19</v>
      </c>
      <c r="B21" s="62" t="s">
        <v>909</v>
      </c>
      <c r="C21" s="62" t="s">
        <v>256</v>
      </c>
      <c r="D21" s="62" t="s">
        <v>256</v>
      </c>
      <c r="E21" s="62" t="str" cm="1">
        <f t="array" ref="E21" xml:space="preserve"> IFERROR( INDEX(韻母對照表[注音二式], MATCH(TRUE, EXACT(韻母轉換規則!$C21, 韻母對照表[台羅拼音]), 0)), "")</f>
        <v>iap</v>
      </c>
      <c r="F21" s="62" t="s">
        <v>831</v>
      </c>
      <c r="G21" s="65" t="str" cm="1">
        <f t="array" ref="G21" xml:space="preserve"> IFERROR( INDEX(韻母對照表[白話字], MATCH(TRUE, EXACT(韻母轉換規則!$C21, 韻母對照表[台羅拼音]), 0)), "")</f>
        <v>iap</v>
      </c>
      <c r="H21" s="59" t="str" cm="1">
        <f t="array" ref="H21" xml:space="preserve"> IFERROR( INDEX(韻母對照表[十五音識別碼], MATCH(TRUE, EXACT(韻母轉換規則!$C21, 韻母對照表[台羅拼音]), 0)), "")</f>
        <v>兼促</v>
      </c>
      <c r="I21" s="62" t="str" cm="1">
        <f t="array" ref="I21" xml:space="preserve"> IFERROR( INDEX(韻母對照表[方音符號], MATCH(TRUE, EXACT(韻母轉換規則!$C21, 韻母對照表[台羅拼音]), 0)), "")</f>
        <v>ㄧㄚㆴ</v>
      </c>
      <c r="J21" s="79"/>
      <c r="K21" s="62" t="str">
        <f>E21</f>
        <v>iap</v>
      </c>
      <c r="L21" s="62" t="str">
        <f t="shared" si="1"/>
        <v>iap</v>
      </c>
      <c r="M21" s="60"/>
      <c r="N21" s="61" t="str">
        <f xml:space="preserve"> IF(AND(K21&lt;&gt;"", L21&lt;&gt;""), "xform/" &amp; $E21 &amp;  "/"  &amp; $D21 &amp;  "/", "")</f>
        <v>xform/iap/iap/</v>
      </c>
    </row>
    <row r="22" spans="1:14" ht="27.75" thickBot="1">
      <c r="A22" s="62">
        <f t="shared" si="0"/>
        <v>20</v>
      </c>
      <c r="B22" s="62" t="s">
        <v>904</v>
      </c>
      <c r="C22" s="62" t="s">
        <v>34</v>
      </c>
      <c r="D22" s="62" t="s">
        <v>34</v>
      </c>
      <c r="E22" s="62" t="str" cm="1">
        <f t="array" ref="E22" xml:space="preserve"> IFERROR( INDEX(韻母對照表[注音二式], MATCH(TRUE, EXACT(韻母轉換規則!$C22, 韻母對照表[台羅拼音]), 0)), "")</f>
        <v>iat</v>
      </c>
      <c r="F22" s="62" t="s">
        <v>832</v>
      </c>
      <c r="G22" s="65" t="str" cm="1">
        <f t="array" ref="G22" xml:space="preserve"> IFERROR( INDEX(韻母對照表[白話字], MATCH(TRUE, EXACT(韻母轉換規則!$C22, 韻母對照表[台羅拼音]), 0)), "")</f>
        <v>iat</v>
      </c>
      <c r="H22" s="59" t="str" cm="1">
        <f t="array" ref="H22" xml:space="preserve"> IFERROR( INDEX(韻母對照表[十五音識別碼], MATCH(TRUE, EXACT(韻母轉換規則!$C22, 韻母對照表[台羅拼音]), 0)), "")</f>
        <v>堅促</v>
      </c>
      <c r="I22" s="62" t="str" cm="1">
        <f t="array" ref="I22" xml:space="preserve"> IFERROR( INDEX(韻母對照表[方音符號], MATCH(TRUE, EXACT(韻母轉換規則!$C22, 韻母對照表[台羅拼音]), 0)), "")</f>
        <v>ㄧㄚㆵ</v>
      </c>
      <c r="J22" s="79"/>
      <c r="K22" s="62" t="str">
        <f>E22</f>
        <v>iat</v>
      </c>
      <c r="L22" s="62" t="str">
        <f t="shared" si="1"/>
        <v>iat</v>
      </c>
      <c r="M22" s="60"/>
      <c r="N22" s="61" t="str">
        <f xml:space="preserve"> IF(AND(K22&lt;&gt;"", L22&lt;&gt;""), "xform/" &amp; $E22 &amp;  "/"  &amp; $D22 &amp;  "/", "")</f>
        <v>xform/iat/iat/</v>
      </c>
    </row>
    <row r="23" spans="1:14" ht="27.75" thickBot="1">
      <c r="A23" s="62">
        <f t="shared" si="0"/>
        <v>21</v>
      </c>
      <c r="B23" s="62" t="s">
        <v>106</v>
      </c>
      <c r="C23" s="62" t="s">
        <v>109</v>
      </c>
      <c r="D23" s="62" t="s">
        <v>109</v>
      </c>
      <c r="E23" s="62" t="str" cm="1">
        <f t="array" ref="E23" xml:space="preserve"> IFERROR( INDEX(韻母對照表[注音二式], MATCH(TRUE, EXACT(韻母轉換規則!$C23, 韻母對照表[台羅拼音]), 0)), "")</f>
        <v>ing</v>
      </c>
      <c r="F23" s="62" t="s">
        <v>833</v>
      </c>
      <c r="G23" s="64" t="str" cm="1">
        <f t="array" ref="G23" xml:space="preserve"> IFERROR( INDEX(韻母對照表[白話字], MATCH(TRUE, EXACT(韻母轉換規則!$C23, 韻母對照表[台羅拼音]), 0)), "")</f>
        <v>eng</v>
      </c>
      <c r="H23" s="59" t="str" cm="1">
        <f t="array" ref="H23" xml:space="preserve"> IFERROR( INDEX(韻母對照表[十五音識別碼], MATCH(TRUE, EXACT(韻母轉換規則!$C23, 韻母對照表[台羅拼音]), 0)), "")</f>
        <v>經舒</v>
      </c>
      <c r="I23" s="62" t="str" cm="1">
        <f t="array" ref="I23" xml:space="preserve"> IFERROR( INDEX(韻母對照表[方音符號], MATCH(TRUE, EXACT(韻母轉換規則!$C23, 韻母對照表[台羅拼音]), 0)), "")</f>
        <v>ㄧㄥ</v>
      </c>
      <c r="J23" s="79"/>
      <c r="K23" s="62" t="str">
        <f>E23</f>
        <v>ing</v>
      </c>
      <c r="L23" s="62" t="str">
        <f t="shared" si="1"/>
        <v>ing</v>
      </c>
      <c r="M23" s="60"/>
      <c r="N23" s="61" t="str">
        <f xml:space="preserve"> IF(AND(K23&lt;&gt;"", L23&lt;&gt;""), "xform/" &amp; $E23 &amp;  "/"  &amp; $D23 &amp;  "/", "")</f>
        <v>xform/ing/ing/</v>
      </c>
    </row>
    <row r="24" spans="1:14" ht="27.75" thickBot="1">
      <c r="A24" s="62">
        <f t="shared" si="0"/>
        <v>22</v>
      </c>
      <c r="B24" s="62" t="s">
        <v>834</v>
      </c>
      <c r="C24" s="62" t="s">
        <v>363</v>
      </c>
      <c r="D24" s="62" t="s">
        <v>363</v>
      </c>
      <c r="E24" s="62" t="str" cm="1">
        <f t="array" ref="E24" xml:space="preserve"> IFERROR( INDEX(韻母對照表[注音二式], MATCH(TRUE, EXACT(韻母轉換規則!$C24, 韻母對照表[台羅拼音]), 0)), "")</f>
        <v>iorh</v>
      </c>
      <c r="F24" s="62" t="s">
        <v>363</v>
      </c>
      <c r="G24" s="65" t="str" cm="1">
        <f t="array" ref="G24" xml:space="preserve"> IFERROR( INDEX(韻母對照表[白話字], MATCH(TRUE, EXACT(韻母轉換規則!$C24, 韻母對照表[台羅拼音]), 0)), "")</f>
        <v>ioh</v>
      </c>
      <c r="H24" s="59" t="str" cm="1">
        <f t="array" ref="H24" xml:space="preserve"> IFERROR( INDEX(韻母對照表[十五音識別碼], MATCH(TRUE, EXACT(韻母轉換規則!$C24, 韻母對照表[台羅拼音]), 0)), "")</f>
        <v>茄促</v>
      </c>
      <c r="I24" s="62" t="str" cm="1">
        <f t="array" ref="I24" xml:space="preserve"> IFERROR( INDEX(韻母對照表[方音符號], MATCH(TRUE, EXACT(韻母轉換規則!$C24, 韻母對照表[台羅拼音]), 0)), "")</f>
        <v>ㄧㄜㆷ</v>
      </c>
      <c r="J24" s="79"/>
      <c r="K24" s="62" t="str">
        <f>E24</f>
        <v>iorh</v>
      </c>
      <c r="L24" s="62" t="str">
        <f t="shared" si="1"/>
        <v>ioh</v>
      </c>
      <c r="M24" s="60"/>
      <c r="N24" s="61" t="str">
        <f xml:space="preserve"> IF(AND(K24&lt;&gt;"", L24&lt;&gt;""), "xform/" &amp; $E24 &amp;  "/"  &amp; $D24 &amp;  "/", "")</f>
        <v>xform/iorh/ioh/</v>
      </c>
    </row>
    <row r="25" spans="1:14" ht="27.75" thickBot="1">
      <c r="A25" s="62">
        <f t="shared" si="0"/>
        <v>23</v>
      </c>
      <c r="B25" s="62" t="s">
        <v>922</v>
      </c>
      <c r="C25" s="62" t="s">
        <v>167</v>
      </c>
      <c r="D25" s="62" t="s">
        <v>167</v>
      </c>
      <c r="E25" s="62" t="str" cm="1">
        <f t="array" ref="E25" xml:space="preserve"> IFERROR( INDEX(韻母對照表[注音二式], MATCH(TRUE, EXACT(韻母轉換規則!$C25, 韻母對照表[台羅拼音]), 0)), "")</f>
        <v>iook</v>
      </c>
      <c r="F25" s="62" t="s">
        <v>167</v>
      </c>
      <c r="G25" s="65" t="str" cm="1">
        <f t="array" ref="G25" xml:space="preserve"> IFERROR( INDEX(韻母對照表[白話字], MATCH(TRUE, EXACT(韻母轉換規則!$C25, 韻母對照表[台羅拼音]), 0)), "")</f>
        <v>iok</v>
      </c>
      <c r="H25" s="59" t="str" cm="1">
        <f t="array" ref="H25" xml:space="preserve"> IFERROR( INDEX(韻母對照表[十五音識別碼], MATCH(TRUE, EXACT(韻母轉換規則!$C25, 韻母對照表[台羅拼音]), 0)), "")</f>
        <v>恭促</v>
      </c>
      <c r="I25" s="62" t="str" cm="1">
        <f t="array" ref="I25" xml:space="preserve"> IFERROR( INDEX(韻母對照表[方音符號], MATCH(TRUE, EXACT(韻母轉換規則!$C25, 韻母對照表[台羅拼音]), 0)), "")</f>
        <v>ㄧㆦㆻ</v>
      </c>
      <c r="J25" s="79"/>
      <c r="K25" s="62" t="str">
        <f>E25</f>
        <v>iook</v>
      </c>
      <c r="L25" s="62" t="str">
        <f t="shared" si="1"/>
        <v>iok</v>
      </c>
      <c r="M25" s="60"/>
      <c r="N25" s="61" t="str">
        <f xml:space="preserve"> IF(AND(K25&lt;&gt;"", L25&lt;&gt;""), "xform/" &amp; $E25 &amp;  "/"  &amp; $D25 &amp;  "/", "")</f>
        <v>xform/iook/iok/</v>
      </c>
    </row>
    <row r="26" spans="1:14" ht="27.75" thickBot="1">
      <c r="A26" s="62">
        <f t="shared" si="0"/>
        <v>24</v>
      </c>
      <c r="B26" s="80" t="s">
        <v>835</v>
      </c>
      <c r="C26" s="62" t="s">
        <v>836</v>
      </c>
      <c r="D26" s="62" t="s">
        <v>836</v>
      </c>
      <c r="E26" s="81" t="str" cm="1">
        <f t="array" ref="E26" xml:space="preserve"> IFERROR( INDEX(韻母對照表[注音二式], MATCH(TRUE, EXACT(韻母轉換規則!$C26, 韻母對照表[台羅拼音]), 0)), "")</f>
        <v/>
      </c>
      <c r="F26" s="62" t="s">
        <v>836</v>
      </c>
      <c r="G26" s="65" t="str" cm="1">
        <f t="array" ref="G26" xml:space="preserve"> IFERROR( INDEX(韻母對照表[白話字], MATCH(TRUE, EXACT(韻母轉換規則!$C26, 韻母對照表[台羅拼音]), 0)), "")</f>
        <v/>
      </c>
      <c r="H26" s="59" t="str" cm="1">
        <f t="array" ref="H26" xml:space="preserve"> IFERROR( INDEX(韻母對照表[十五音識別碼], MATCH(TRUE, EXACT(韻母轉換規則!$C26, 韻母對照表[台羅拼音]), 0)), "")</f>
        <v/>
      </c>
      <c r="I26" s="62" t="str" cm="1">
        <f t="array" ref="I26" xml:space="preserve"> IFERROR( INDEX(韻母對照表[方音符號], MATCH(TRUE, EXACT(韻母轉換規則!$C26, 韻母對照表[台羅拼音]), 0)), "")</f>
        <v/>
      </c>
      <c r="J26" s="79"/>
      <c r="K26" s="62" t="str">
        <f>E26</f>
        <v/>
      </c>
      <c r="L26" s="62" t="str">
        <f t="shared" si="1"/>
        <v>iuh</v>
      </c>
      <c r="M26" s="60"/>
      <c r="N26" s="61" t="str">
        <f xml:space="preserve"> IF(AND(K26&lt;&gt;"", L26&lt;&gt;""), "xform/" &amp; $E26 &amp;  "/"  &amp; $D26 &amp;  "/", "")</f>
        <v/>
      </c>
    </row>
    <row r="27" spans="1:14" ht="27.75" thickBot="1">
      <c r="A27" s="62">
        <f t="shared" si="0"/>
        <v>25</v>
      </c>
      <c r="B27" s="62" t="s">
        <v>337</v>
      </c>
      <c r="C27" s="62" t="s">
        <v>340</v>
      </c>
      <c r="D27" s="62" t="s">
        <v>340</v>
      </c>
      <c r="E27" s="62" t="str" cm="1">
        <f t="array" ref="E27" xml:space="preserve"> IFERROR( INDEX(韻母對照表[注音二式], MATCH(TRUE, EXACT(韻母轉換規則!$C27, 韻母對照表[台羅拼音]), 0)), "")</f>
        <v>enn</v>
      </c>
      <c r="F27" s="62" t="s">
        <v>837</v>
      </c>
      <c r="G27" s="65" t="str" cm="1">
        <f t="array" ref="G27" xml:space="preserve"> IFERROR( INDEX(韻母對照表[白話字], MATCH(TRUE, EXACT(韻母轉換規則!$C27, 韻母對照表[台羅拼音]), 0)), "")</f>
        <v>eⁿ</v>
      </c>
      <c r="H27" s="59" t="str" cm="1">
        <f t="array" ref="H27" xml:space="preserve"> IFERROR( INDEX(韻母對照表[十五音識別碼], MATCH(TRUE, EXACT(韻母轉換規則!$C27, 韻母對照表[台羅拼音]), 0)), "")</f>
        <v>更舒</v>
      </c>
      <c r="I27" s="62" t="str" cm="1">
        <f t="array" ref="I27" xml:space="preserve"> IFERROR( INDEX(韻母對照表[方音符號], MATCH(TRUE, EXACT(韻母轉換規則!$C27, 韻母對照表[台羅拼音]), 0)), "")</f>
        <v>ㆥ</v>
      </c>
      <c r="J27" s="79"/>
      <c r="K27" s="62" t="str">
        <f>E27</f>
        <v>enn</v>
      </c>
      <c r="L27" s="62" t="str">
        <f t="shared" si="1"/>
        <v>enn</v>
      </c>
      <c r="M27" s="60"/>
      <c r="N27" s="61" t="str">
        <f xml:space="preserve"> IF(AND(K27&lt;&gt;"", L27&lt;&gt;""), "xform/" &amp; $E27 &amp;  "/"  &amp; $D27 &amp;  "/", "")</f>
        <v>xform/enn/enn/</v>
      </c>
    </row>
    <row r="28" spans="1:14" ht="27.75" thickBot="1">
      <c r="A28" s="62">
        <f t="shared" si="0"/>
        <v>26</v>
      </c>
      <c r="B28" s="80" t="s">
        <v>838</v>
      </c>
      <c r="C28" s="62" t="s">
        <v>304</v>
      </c>
      <c r="D28" s="62" t="s">
        <v>304</v>
      </c>
      <c r="E28" s="81" t="str" cm="1">
        <f t="array" ref="E28" xml:space="preserve"> IFERROR( INDEX(韻母對照表[注音二式], MATCH(TRUE, EXACT(韻母轉換規則!$C28, 韻母對照表[台羅拼音]), 0)), "")</f>
        <v>annh</v>
      </c>
      <c r="F28" s="62" t="s">
        <v>839</v>
      </c>
      <c r="G28" s="77" t="str" cm="1">
        <f t="array" ref="G28" xml:space="preserve"> IFERROR( INDEX(韻母對照表[白話字], MATCH(TRUE, EXACT(韻母轉換規則!$C28, 韻母對照表[台羅拼音]), 0)), "")</f>
        <v>ahⁿ</v>
      </c>
      <c r="H28" s="59" t="str" cm="1">
        <f t="array" ref="H28" xml:space="preserve"> IFERROR( INDEX(韻母對照表[十五音識別碼], MATCH(TRUE, EXACT(韻母轉換規則!$C28, 韻母對照表[台羅拼音]), 0)), "")</f>
        <v>監促</v>
      </c>
      <c r="I28" s="62" t="str" cm="1">
        <f t="array" ref="I28" xml:space="preserve"> IFERROR( INDEX(韻母對照表[方音符號], MATCH(TRUE, EXACT(韻母轉換規則!$C28, 韻母對照表[台羅拼音]), 0)), "")</f>
        <v>ㆩㆷ</v>
      </c>
      <c r="J28" s="79"/>
      <c r="K28" s="62" t="str">
        <f>E28</f>
        <v>annh</v>
      </c>
      <c r="L28" s="62" t="str">
        <f t="shared" si="1"/>
        <v>annh</v>
      </c>
      <c r="M28" s="60"/>
      <c r="N28" s="61" t="str">
        <f xml:space="preserve"> IF(AND(K28&lt;&gt;"", L28&lt;&gt;""), "xform/" &amp; $E28 &amp;  "/"  &amp; $D28 &amp;  "/", "")</f>
        <v>xform/annh/annh/</v>
      </c>
    </row>
    <row r="29" spans="1:14" ht="27.75" thickBot="1">
      <c r="A29" s="62">
        <f t="shared" si="0"/>
        <v>27</v>
      </c>
      <c r="B29" s="62" t="s">
        <v>840</v>
      </c>
      <c r="C29" s="62" t="s">
        <v>417</v>
      </c>
      <c r="D29" s="62" t="s">
        <v>417</v>
      </c>
      <c r="E29" s="81" t="str" cm="1">
        <f t="array" ref="E29" xml:space="preserve"> IFERROR( INDEX(韻母對照表[注音二式], MATCH(TRUE, EXACT(韻母轉換規則!$C29, 韻母對照表[台羅拼音]), 0)), "")</f>
        <v>ainn</v>
      </c>
      <c r="F29" s="62" t="s">
        <v>841</v>
      </c>
      <c r="G29" s="65" t="str" cm="1">
        <f t="array" ref="G29" xml:space="preserve"> IFERROR( INDEX(韻母對照表[白話字], MATCH(TRUE, EXACT(韻母轉換規則!$C29, 韻母對照表[台羅拼音]), 0)), "")</f>
        <v>aiⁿ</v>
      </c>
      <c r="H29" s="59" t="str" cm="1">
        <f t="array" ref="H29" xml:space="preserve"> IFERROR( INDEX(韻母對照表[十五音識別碼], MATCH(TRUE, EXACT(韻母轉換規則!$C29, 韻母對照表[台羅拼音]), 0)), "")</f>
        <v>閒舒</v>
      </c>
      <c r="I29" s="62" t="str" cm="1">
        <f t="array" ref="I29" xml:space="preserve"> IFERROR( INDEX(韻母對照表[方音符號], MATCH(TRUE, EXACT(韻母轉換規則!$C29, 韻母對照表[台羅拼音]), 0)), "")</f>
        <v>ㆮ</v>
      </c>
      <c r="J29" s="79"/>
      <c r="K29" s="62" t="str">
        <f>E29</f>
        <v>ainn</v>
      </c>
      <c r="L29" s="62" t="str">
        <f t="shared" si="1"/>
        <v>ainn</v>
      </c>
      <c r="M29" s="60"/>
      <c r="N29" s="61" t="str">
        <f xml:space="preserve"> IF(AND(K29&lt;&gt;"", L29&lt;&gt;""), "xform/" &amp; $E29 &amp;  "/"  &amp; $D29 &amp;  "/", "")</f>
        <v>xform/ainn/ainn/</v>
      </c>
    </row>
    <row r="30" spans="1:14" ht="27.75" thickBot="1">
      <c r="A30" s="62">
        <f t="shared" si="0"/>
        <v>28</v>
      </c>
      <c r="B30" s="62" t="s">
        <v>842</v>
      </c>
      <c r="C30" s="62" t="s">
        <v>491</v>
      </c>
      <c r="D30" s="62" t="s">
        <v>491</v>
      </c>
      <c r="E30" s="81" t="str" cm="1">
        <f t="array" ref="E30" xml:space="preserve"> IFERROR( INDEX(韻母對照表[注音二式], MATCH(TRUE, EXACT(韻母轉換規則!$C30, 韻母對照表[台羅拼音]), 0)), "")</f>
        <v>aunn</v>
      </c>
      <c r="F30" s="62" t="s">
        <v>843</v>
      </c>
      <c r="G30" s="64" t="str" cm="1">
        <f t="array" ref="G30" xml:space="preserve"> IFERROR( INDEX(韻母對照表[白話字], MATCH(TRUE, EXACT(韻母轉換規則!$C30, 韻母對照表[台羅拼音]), 0)), "")</f>
        <v>auⁿ</v>
      </c>
      <c r="H30" s="59" t="str" cm="1">
        <f t="array" ref="H30" xml:space="preserve"> IFERROR( INDEX(韻母對照表[十五音識別碼], MATCH(TRUE, EXACT(韻母轉換規則!$C30, 韻母對照表[台羅拼音]), 0)), "")</f>
        <v>爻舒</v>
      </c>
      <c r="I30" s="62" t="str" cm="1">
        <f t="array" ref="I30" xml:space="preserve"> IFERROR( INDEX(韻母對照表[方音符號], MATCH(TRUE, EXACT(韻母轉換規則!$C30, 韻母對照表[台羅拼音]), 0)), "")</f>
        <v>ㆯ</v>
      </c>
      <c r="J30" s="79"/>
      <c r="K30" s="62" t="str">
        <f>E30</f>
        <v>aunn</v>
      </c>
      <c r="L30" s="62" t="str">
        <f t="shared" si="1"/>
        <v>aunn</v>
      </c>
      <c r="M30" s="60"/>
      <c r="N30" s="61" t="str">
        <f xml:space="preserve"> IF(AND(K30&lt;&gt;"", L30&lt;&gt;""), "xform/" &amp; $E30 &amp;  "/"  &amp; $D30 &amp;  "/", "")</f>
        <v>xform/aunn/aunn/</v>
      </c>
    </row>
    <row r="31" spans="1:14" ht="27.75" thickBot="1">
      <c r="A31" s="62">
        <f t="shared" si="0"/>
        <v>29</v>
      </c>
      <c r="B31" s="80" t="s">
        <v>844</v>
      </c>
      <c r="C31" s="62" t="s">
        <v>845</v>
      </c>
      <c r="D31" s="62" t="s">
        <v>845</v>
      </c>
      <c r="E31" s="81" t="str" cm="1">
        <f t="array" ref="E31" xml:space="preserve"> IFERROR( INDEX(韻母對照表[注音二式], MATCH(TRUE, EXACT(韻母轉換規則!$C31, 韻母對照表[台羅拼音]), 0)), "")</f>
        <v/>
      </c>
      <c r="F31" s="62" t="s">
        <v>845</v>
      </c>
      <c r="G31" s="65" t="str" cm="1">
        <f t="array" ref="G31" xml:space="preserve"> IFERROR( INDEX(韻母對照表[白話字], MATCH(TRUE, EXACT(韻母轉換規則!$C31, 韻母對照表[台羅拼音]), 0)), "")</f>
        <v/>
      </c>
      <c r="H31" s="59" t="str" cm="1">
        <f t="array" ref="H31" xml:space="preserve"> IFERROR( INDEX(韻母對照表[十五音識別碼], MATCH(TRUE, EXACT(韻母轉換規則!$C31, 韻母對照表[台羅拼音]), 0)), "")</f>
        <v/>
      </c>
      <c r="I31" s="62" t="str" cm="1">
        <f t="array" ref="I31" xml:space="preserve"> IFERROR( INDEX(韻母對照表[方音符號], MATCH(TRUE, EXACT(韻母轉換規則!$C31, 韻母對照表[台羅拼音]), 0)), "")</f>
        <v/>
      </c>
      <c r="J31" s="79"/>
      <c r="K31" s="62" t="str">
        <f>E31</f>
        <v/>
      </c>
      <c r="L31" s="62" t="str">
        <f t="shared" si="1"/>
        <v>ngh</v>
      </c>
      <c r="M31" s="60"/>
      <c r="N31" s="61" t="str">
        <f xml:space="preserve"> IF(AND(K31&lt;&gt;"", L31&lt;&gt;""), "xform/" &amp; $E31 &amp;  "/"  &amp; $D31 &amp;  "/", "")</f>
        <v/>
      </c>
    </row>
    <row r="32" spans="1:14" ht="27.75" thickBot="1">
      <c r="A32" s="62">
        <f t="shared" si="0"/>
        <v>30</v>
      </c>
      <c r="B32" s="62" t="s">
        <v>846</v>
      </c>
      <c r="C32" s="62" t="s">
        <v>391</v>
      </c>
      <c r="D32" s="62" t="s">
        <v>391</v>
      </c>
      <c r="E32" s="81" t="str" cm="1">
        <f t="array" ref="E32" xml:space="preserve"> IFERROR( INDEX(韻母對照表[注音二式], MATCH(TRUE, EXACT(韻母轉換規則!$C32, 韻母對照表[台羅拼音]), 0)), "")</f>
        <v>iann</v>
      </c>
      <c r="F32" s="62" t="s">
        <v>394</v>
      </c>
      <c r="G32" s="65" t="str" cm="1">
        <f t="array" ref="G32" xml:space="preserve"> IFERROR( INDEX(韻母對照表[白話字], MATCH(TRUE, EXACT(韻母轉換規則!$C32, 韻母對照表[台羅拼音]), 0)), "")</f>
        <v>iaⁿ</v>
      </c>
      <c r="H32" s="59" t="str" cm="1">
        <f t="array" ref="H32" xml:space="preserve"> IFERROR( INDEX(韻母對照表[十五音識別碼], MATCH(TRUE, EXACT(韻母轉換規則!$C32, 韻母對照表[台羅拼音]), 0)), "")</f>
        <v>驚舒</v>
      </c>
      <c r="I32" s="62" t="str" cm="1">
        <f t="array" ref="I32" xml:space="preserve"> IFERROR( INDEX(韻母對照表[方音符號], MATCH(TRUE, EXACT(韻母轉換規則!$C32, 韻母對照表[台羅拼音]), 0)), "")</f>
        <v>ㄧㆩ</v>
      </c>
      <c r="J32" s="79"/>
      <c r="K32" s="62" t="str">
        <f>E32</f>
        <v>iann</v>
      </c>
      <c r="L32" s="62" t="str">
        <f t="shared" si="1"/>
        <v>iann</v>
      </c>
      <c r="M32" s="60"/>
      <c r="N32" s="61" t="str">
        <f xml:space="preserve"> IF(AND(K32&lt;&gt;"", L32&lt;&gt;""), "xform/" &amp; $E32 &amp;  "/"  &amp; $D32 &amp;  "/", "")</f>
        <v>xform/iann/iann/</v>
      </c>
    </row>
    <row r="33" spans="1:14" ht="27.75" thickBot="1">
      <c r="A33" s="62">
        <f t="shared" si="0"/>
        <v>31</v>
      </c>
      <c r="B33" s="80" t="str" cm="1">
        <f t="array" ref="B33" xml:space="preserve"> IFERROR( INDEX(韻母對照表[國際音標], MATCH(TRUE, EXACT(韻母轉換規則!$C33, 韻母對照表[台羅拼音]), 0)), "")</f>
        <v>ĩʔ</v>
      </c>
      <c r="C33" s="62" t="s">
        <v>376</v>
      </c>
      <c r="D33" s="62" t="s">
        <v>376</v>
      </c>
      <c r="E33" s="81" t="str" cm="1">
        <f t="array" ref="E33" xml:space="preserve"> IFERROR( INDEX(韻母對照表[注音二式], MATCH(TRUE, EXACT(韻母轉換規則!$C33, 韻母對照表[台羅拼音]), 0)), "")</f>
        <v>innh</v>
      </c>
      <c r="F33" s="62" t="s">
        <v>377</v>
      </c>
      <c r="G33" s="77" t="str" cm="1">
        <f t="array" ref="G33" xml:space="preserve"> IFERROR( INDEX(韻母對照表[白話字], MATCH(TRUE, EXACT(韻母轉換規則!$C33, 韻母對照表[台羅拼音]), 0)), "")</f>
        <v>ihⁿ</v>
      </c>
      <c r="H33" s="59" t="str" cm="1">
        <f t="array" ref="H33" xml:space="preserve"> IFERROR( INDEX(韻母對照表[十五音識別碼], MATCH(TRUE, EXACT(韻母轉換規則!$C33, 韻母對照表[台羅拼音]), 0)), "")</f>
        <v>梔促</v>
      </c>
      <c r="I33" s="62" t="str" cm="1">
        <f t="array" ref="I33" xml:space="preserve"> IFERROR( INDEX(韻母對照表[方音符號], MATCH(TRUE, EXACT(韻母轉換規則!$C33, 韻母對照表[台羅拼音]), 0)), "")</f>
        <v>ㆪㆷ</v>
      </c>
      <c r="J33" s="79"/>
      <c r="K33" s="62" t="str">
        <f>E33</f>
        <v>innh</v>
      </c>
      <c r="L33" s="62" t="str">
        <f t="shared" si="1"/>
        <v>innh</v>
      </c>
      <c r="M33" s="60"/>
      <c r="N33" s="61" t="str">
        <f xml:space="preserve"> IF(AND(K33&lt;&gt;"", L33&lt;&gt;""), "xform/" &amp; $E33 &amp;  "/"  &amp; $D33 &amp;  "/", "")</f>
        <v>xform/innh/innh/</v>
      </c>
    </row>
    <row r="34" spans="1:14" ht="27.75" thickBot="1">
      <c r="A34" s="62">
        <f t="shared" si="0"/>
        <v>32</v>
      </c>
      <c r="B34" s="62" t="str" cm="1">
        <f t="array" ref="B34" xml:space="preserve"> IFERROR( INDEX(韻母對照表[國際音標], MATCH(TRUE, EXACT(韻母轉換規則!$C34, 韻母對照表[台羅拼音]), 0)), "")</f>
        <v>ĩũ</v>
      </c>
      <c r="C34" s="62" t="s">
        <v>507</v>
      </c>
      <c r="D34" s="62" t="s">
        <v>507</v>
      </c>
      <c r="E34" s="81" t="str" cm="1">
        <f t="array" ref="E34" xml:space="preserve"> IFERROR( INDEX(韻母對照表[注音二式], MATCH(TRUE, EXACT(韻母轉換規則!$C34, 韻母對照表[台羅拼音]), 0)), "")</f>
        <v>iunn</v>
      </c>
      <c r="F34" s="62" t="s">
        <v>509</v>
      </c>
      <c r="G34" s="65" t="str" cm="1">
        <f t="array" ref="G34" xml:space="preserve"> IFERROR( INDEX(韻母對照表[白話字], MATCH(TRUE, EXACT(韻母轉換規則!$C34, 韻母對照表[台羅拼音]), 0)), "")</f>
        <v>iuⁿ</v>
      </c>
      <c r="H34" s="59" t="str" cm="1">
        <f t="array" ref="H34" xml:space="preserve"> IFERROR( INDEX(韻母對照表[十五音識別碼], MATCH(TRUE, EXACT(韻母轉換規則!$C34, 韻母對照表[台羅拼音]), 0)), "")</f>
        <v>牛舒</v>
      </c>
      <c r="I34" s="62" t="str" cm="1">
        <f t="array" ref="I34" xml:space="preserve"> IFERROR( INDEX(韻母對照表[方音符號], MATCH(TRUE, EXACT(韻母轉換規則!$C34, 韻母對照表[台羅拼音]), 0)), "")</f>
        <v>ㄧㆫ</v>
      </c>
      <c r="J34" s="79"/>
      <c r="K34" s="62" t="str">
        <f>E34</f>
        <v>iunn</v>
      </c>
      <c r="L34" s="62" t="str">
        <f t="shared" ref="L34:L97" si="2">D34</f>
        <v>iunn</v>
      </c>
      <c r="M34" s="60"/>
      <c r="N34" s="61" t="str">
        <f xml:space="preserve"> IF(AND(K34&lt;&gt;"", L34&lt;&gt;""), "xform/" &amp; $E34 &amp;  "/"  &amp; $D34 &amp;  "/", "")</f>
        <v>xform/iunn/iunn/</v>
      </c>
    </row>
    <row r="35" spans="1:14" ht="27.75" thickBot="1">
      <c r="A35" s="62">
        <f t="shared" si="0"/>
        <v>33</v>
      </c>
      <c r="B35" s="62" t="s">
        <v>935</v>
      </c>
      <c r="C35" s="62" t="s">
        <v>425</v>
      </c>
      <c r="D35" s="62" t="s">
        <v>425</v>
      </c>
      <c r="E35" s="81" t="str" cm="1">
        <f t="array" ref="E35" xml:space="preserve"> IFERROR( INDEX(韻母對照表[注音二式], MATCH(TRUE, EXACT(韻母轉換規則!$C35, 韻母對照表[台羅拼音]), 0)), "")</f>
        <v>oonn</v>
      </c>
      <c r="F35" s="62" t="s">
        <v>427</v>
      </c>
      <c r="G35" s="64" t="str" cm="1">
        <f t="array" ref="G35" xml:space="preserve"> IFERROR( INDEX(韻母對照表[白話字], MATCH(TRUE, EXACT(韻母轉換規則!$C35, 韻母對照表[台羅拼音]), 0)), "")</f>
        <v>oⁿ</v>
      </c>
      <c r="H35" s="59" t="str" cm="1">
        <f t="array" ref="H35" xml:space="preserve"> IFERROR( INDEX(韻母對照表[十五音識別碼], MATCH(TRUE, EXACT(韻母轉換規則!$C35, 韻母對照表[台羅拼音]), 0)), "")</f>
        <v>姑舒</v>
      </c>
      <c r="I35" s="62" t="str" cm="1">
        <f t="array" ref="I35" xml:space="preserve"> IFERROR( INDEX(韻母對照表[方音符號], MATCH(TRUE, EXACT(韻母轉換規則!$C35, 韻母對照表[台羅拼音]), 0)), "")</f>
        <v>ㆧ</v>
      </c>
      <c r="J35" s="79"/>
      <c r="K35" s="62" t="str">
        <f>E35</f>
        <v>oonn</v>
      </c>
      <c r="L35" s="62" t="str">
        <f t="shared" si="2"/>
        <v>onn</v>
      </c>
      <c r="M35" s="60"/>
      <c r="N35" s="61" t="str">
        <f xml:space="preserve"> IF(AND(K35&lt;&gt;"", L35&lt;&gt;""), "xform/" &amp; $E35 &amp;  "/"  &amp; $D35 &amp;  "/", "")</f>
        <v>xform/oonn/onn/</v>
      </c>
    </row>
    <row r="36" spans="1:14" ht="27.75" thickBot="1">
      <c r="A36" s="62">
        <f t="shared" si="0"/>
        <v>34</v>
      </c>
      <c r="B36" s="62" t="str" cm="1">
        <f t="array" ref="B36" xml:space="preserve"> IFERROR( INDEX(韻母對照表[國際音標], MATCH(TRUE, EXACT(韻母轉換規則!$C36, 韻母對照表[台羅拼音]), 0)), "")</f>
        <v>ũã</v>
      </c>
      <c r="C36" s="62" t="s">
        <v>399</v>
      </c>
      <c r="D36" s="62" t="s">
        <v>399</v>
      </c>
      <c r="E36" s="62" t="str" cm="1">
        <f t="array" ref="E36" xml:space="preserve"> IFERROR( INDEX(韻母對照表[注音二式], MATCH(TRUE, EXACT(韻母轉換規則!$C36, 韻母對照表[台羅拼音]), 0)), "")</f>
        <v>uann</v>
      </c>
      <c r="F36" s="62" t="s">
        <v>401</v>
      </c>
      <c r="G36" s="65" t="str" cm="1">
        <f t="array" ref="G36" xml:space="preserve"> IFERROR( INDEX(韻母對照表[白話字], MATCH(TRUE, EXACT(韻母轉換規則!$C36, 韻母對照表[台羅拼音]), 0)), "")</f>
        <v>oaⁿ</v>
      </c>
      <c r="H36" s="59" t="str" cm="1">
        <f t="array" ref="H36" xml:space="preserve"> IFERROR( INDEX(韻母對照表[十五音識別碼], MATCH(TRUE, EXACT(韻母轉換規則!$C36, 韻母對照表[台羅拼音]), 0)), "")</f>
        <v>官舒</v>
      </c>
      <c r="I36" s="62" t="str" cm="1">
        <f t="array" ref="I36" xml:space="preserve"> IFERROR( INDEX(韻母對照表[方音符號], MATCH(TRUE, EXACT(韻母轉換規則!$C36, 韻母對照表[台羅拼音]), 0)), "")</f>
        <v>ㄨㆩ</v>
      </c>
      <c r="J36" s="79"/>
      <c r="K36" s="62" t="str">
        <f>E36</f>
        <v>uann</v>
      </c>
      <c r="L36" s="62" t="str">
        <f t="shared" si="2"/>
        <v>uann</v>
      </c>
      <c r="M36" s="60"/>
      <c r="N36" s="61" t="str">
        <f xml:space="preserve"> IF(AND(K36&lt;&gt;"", L36&lt;&gt;""), "xform/" &amp; $E36 &amp;  "/"  &amp; $D36 &amp;  "/", "")</f>
        <v>xform/uann/uann/</v>
      </c>
    </row>
    <row r="37" spans="1:14" ht="27.75" thickBot="1">
      <c r="A37" s="62">
        <f t="shared" si="0"/>
        <v>35</v>
      </c>
      <c r="B37" s="62" t="str" cm="1">
        <f t="array" ref="B37" xml:space="preserve"> IFERROR( INDEX(韻母對照表[國際音標], MATCH(TRUE, EXACT(韻母轉換規則!$C37, 韻母對照表[台羅拼音]), 0)), "")</f>
        <v>ũĩ</v>
      </c>
      <c r="C37" s="62" t="s">
        <v>351</v>
      </c>
      <c r="D37" s="62" t="s">
        <v>351</v>
      </c>
      <c r="E37" s="81" t="str" cm="1">
        <f t="array" ref="E37" xml:space="preserve"> IFERROR( INDEX(韻母對照表[注音二式], MATCH(TRUE, EXACT(韻母轉換規則!$C37, 韻母對照表[台羅拼音]), 0)), "")</f>
        <v>uinn</v>
      </c>
      <c r="F37" s="62" t="s">
        <v>353</v>
      </c>
      <c r="G37" s="65" t="str" cm="1">
        <f t="array" ref="G37" xml:space="preserve"> IFERROR( INDEX(韻母對照表[白話字], MATCH(TRUE, EXACT(韻母轉換規則!$C37, 韻母對照表[台羅拼音]), 0)), "")</f>
        <v>uiⁿ</v>
      </c>
      <c r="H37" s="59" t="str" cm="1">
        <f t="array" ref="H37" xml:space="preserve"> IFERROR( INDEX(韻母對照表[十五音識別碼], MATCH(TRUE, EXACT(韻母轉換規則!$C37, 韻母對照表[台羅拼音]), 0)), "")</f>
        <v>褌舒</v>
      </c>
      <c r="I37" s="62" t="str" cm="1">
        <f t="array" ref="I37" xml:space="preserve"> IFERROR( INDEX(韻母對照表[方音符號], MATCH(TRUE, EXACT(韻母轉換規則!$C37, 韻母對照表[台羅拼音]), 0)), "")</f>
        <v>ㄨㆪ</v>
      </c>
      <c r="J37" s="79"/>
      <c r="K37" s="62" t="str">
        <f>E37</f>
        <v>uinn</v>
      </c>
      <c r="L37" s="62" t="str">
        <f t="shared" si="2"/>
        <v>uinn</v>
      </c>
      <c r="M37" s="60"/>
      <c r="N37" s="61" t="str">
        <f xml:space="preserve"> IF(AND(K37&lt;&gt;"", L37&lt;&gt;""), "xform/" &amp; $E37 &amp;  "/"  &amp; $D37 &amp;  "/", "")</f>
        <v>xform/uinn/uinn/</v>
      </c>
    </row>
    <row r="38" spans="1:14" ht="27.75" thickBot="1">
      <c r="A38" s="62">
        <f t="shared" si="0"/>
        <v>36</v>
      </c>
      <c r="B38" s="62" t="s">
        <v>81</v>
      </c>
      <c r="C38" s="62" t="s">
        <v>84</v>
      </c>
      <c r="D38" s="62" t="s">
        <v>84</v>
      </c>
      <c r="E38" s="62" t="str" cm="1">
        <f t="array" ref="E38" xml:space="preserve"> IFERROR( INDEX(韻母對照表[注音二式], MATCH(TRUE, EXACT(韻母轉換規則!$C38, 韻母對照表[台羅拼音]), 0)), "")</f>
        <v>ong</v>
      </c>
      <c r="F38" s="62" t="s">
        <v>848</v>
      </c>
      <c r="G38" s="65" t="str" cm="1">
        <f t="array" ref="G38" xml:space="preserve"> IFERROR( INDEX(韻母對照表[白話字], MATCH(TRUE, EXACT(韻母轉換規則!$C38, 韻母對照表[台羅拼音]), 0)), "")</f>
        <v>ong</v>
      </c>
      <c r="H38" s="59" t="str" cm="1">
        <f t="array" ref="H38" xml:space="preserve"> IFERROR( INDEX(韻母對照表[十五音識別碼], MATCH(TRUE, EXACT(韻母轉換規則!$C38, 韻母對照表[台羅拼音]), 0)), "")</f>
        <v>公舒</v>
      </c>
      <c r="I38" s="62" t="str" cm="1">
        <f t="array" ref="I38" xml:space="preserve"> IFERROR( INDEX(韻母對照表[方音符號], MATCH(TRUE, EXACT(韻母轉換規則!$C38, 韻母對照表[台羅拼音]), 0)), "")</f>
        <v>ㆲ</v>
      </c>
      <c r="J38" s="79"/>
      <c r="K38" s="62" t="str">
        <f>E38</f>
        <v>ong</v>
      </c>
      <c r="L38" s="62" t="str">
        <f t="shared" si="2"/>
        <v>ong</v>
      </c>
      <c r="M38" s="60"/>
      <c r="N38" s="61" t="str">
        <f xml:space="preserve"> IF(AND(K38&lt;&gt;"", L38&lt;&gt;""), "xform/" &amp; $E38 &amp;  "/"  &amp; $D38 &amp;  "/", "")</f>
        <v>xform/ong/ong/</v>
      </c>
    </row>
    <row r="39" spans="1:14" ht="27.75" thickBot="1">
      <c r="A39" s="62">
        <f t="shared" si="0"/>
        <v>37</v>
      </c>
      <c r="B39" s="80" t="s">
        <v>849</v>
      </c>
      <c r="C39" s="62" t="s">
        <v>850</v>
      </c>
      <c r="D39" s="62" t="s">
        <v>850</v>
      </c>
      <c r="E39" s="81" t="str" cm="1">
        <f t="array" ref="E39" xml:space="preserve"> IFERROR( INDEX(韻母對照表[注音二式], MATCH(TRUE, EXACT(韻母轉換規則!$C39, 韻母對照表[台羅拼音]), 0)), "")</f>
        <v/>
      </c>
      <c r="F39" s="62" t="s">
        <v>850</v>
      </c>
      <c r="G39" s="64" t="str" cm="1">
        <f t="array" ref="G39" xml:space="preserve"> IFERROR( INDEX(韻母對照表[白話字], MATCH(TRUE, EXACT(韻母轉換規則!$C39, 韻母對照表[台羅拼音]), 0)), "")</f>
        <v/>
      </c>
      <c r="H39" s="59" t="str" cm="1">
        <f t="array" ref="H39" xml:space="preserve"> IFERROR( INDEX(韻母對照表[十五音識別碼], MATCH(TRUE, EXACT(韻母轉換規則!$C39, 韻母對照表[台羅拼音]), 0)), "")</f>
        <v/>
      </c>
      <c r="I39" s="62" t="str" cm="1">
        <f t="array" ref="I39" xml:space="preserve"> IFERROR( INDEX(韻母對照表[方音符號], MATCH(TRUE, EXACT(韻母轉換規則!$C39, 韻母對照表[台羅拼音]), 0)), "")</f>
        <v/>
      </c>
      <c r="J39" s="79"/>
      <c r="K39" s="62" t="str">
        <f>E39</f>
        <v/>
      </c>
      <c r="L39" s="62" t="str">
        <f t="shared" si="2"/>
        <v>ooh</v>
      </c>
      <c r="M39" s="60"/>
      <c r="N39" s="61" t="str">
        <f xml:space="preserve"> IF(AND(K39&lt;&gt;"", L39&lt;&gt;""), "xform/" &amp; $E39 &amp;  "/"  &amp; $D39 &amp;  "/", "")</f>
        <v/>
      </c>
    </row>
    <row r="40" spans="1:14" ht="27.75" thickBot="1">
      <c r="A40" s="62">
        <f t="shared" si="0"/>
        <v>38</v>
      </c>
      <c r="B40" s="62" t="s">
        <v>851</v>
      </c>
      <c r="C40" s="62" t="s">
        <v>230</v>
      </c>
      <c r="D40" s="62" t="s">
        <v>230</v>
      </c>
      <c r="E40" s="62" t="str" cm="1">
        <f t="array" ref="E40" xml:space="preserve"> IFERROR( INDEX(韻母對照表[注音二式], MATCH(TRUE, EXACT(韻母轉換規則!$C40, 韻母對照表[台羅拼音]), 0)), "")</f>
        <v>uah</v>
      </c>
      <c r="F40" s="62" t="s">
        <v>852</v>
      </c>
      <c r="G40" s="64" t="str" cm="1">
        <f t="array" ref="G40" xml:space="preserve"> IFERROR( INDEX(韻母對照表[白話字], MATCH(TRUE, EXACT(韻母轉換規則!$C40, 韻母對照表[台羅拼音]), 0)), "")</f>
        <v>oah</v>
      </c>
      <c r="H40" s="59" t="str" cm="1">
        <f t="array" ref="H40" xml:space="preserve"> IFERROR( INDEX(韻母對照表[十五音識別碼], MATCH(TRUE, EXACT(韻母轉換規則!$C40, 韻母對照表[台羅拼音]), 0)), "")</f>
        <v>瓜促</v>
      </c>
      <c r="I40" s="62" t="str" cm="1">
        <f t="array" ref="I40" xml:space="preserve"> IFERROR( INDEX(韻母對照表[方音符號], MATCH(TRUE, EXACT(韻母轉換規則!$C40, 韻母對照表[台羅拼音]), 0)), "")</f>
        <v>ㄨㄚㆷ</v>
      </c>
      <c r="J40" s="79"/>
      <c r="K40" s="62" t="str">
        <f>E40</f>
        <v>uah</v>
      </c>
      <c r="L40" s="62" t="str">
        <f t="shared" si="2"/>
        <v>uah</v>
      </c>
      <c r="M40" s="60"/>
      <c r="N40" s="61" t="str">
        <f xml:space="preserve"> IF(AND(K40&lt;&gt;"", L40&lt;&gt;""), "xform/" &amp; $E40 &amp;  "/"  &amp; $D40 &amp;  "/", "")</f>
        <v>xform/uah/uah/</v>
      </c>
    </row>
    <row r="41" spans="1:14" ht="27.75" thickBot="1">
      <c r="A41" s="62">
        <f t="shared" si="0"/>
        <v>39</v>
      </c>
      <c r="B41" s="62" t="s">
        <v>94</v>
      </c>
      <c r="C41" s="62" t="s">
        <v>94</v>
      </c>
      <c r="D41" s="62" t="s">
        <v>94</v>
      </c>
      <c r="E41" s="62" t="str" cm="1">
        <f t="array" ref="E41" xml:space="preserve"> IFERROR( INDEX(韻母對照表[注音二式], MATCH(TRUE, EXACT(韻母轉換規則!$C41, 韻母對照表[台羅拼音]), 0)), "")</f>
        <v>uai</v>
      </c>
      <c r="F41" s="62" t="s">
        <v>94</v>
      </c>
      <c r="G41" s="64" t="str" cm="1">
        <f t="array" ref="G41" xml:space="preserve"> IFERROR( INDEX(韻母對照表[白話字], MATCH(TRUE, EXACT(韻母轉換規則!$C41, 韻母對照表[台羅拼音]), 0)), "")</f>
        <v>oai</v>
      </c>
      <c r="H41" s="59" t="str" cm="1">
        <f t="array" ref="H41" xml:space="preserve"> IFERROR( INDEX(韻母對照表[十五音識別碼], MATCH(TRUE, EXACT(韻母轉換規則!$C41, 韻母對照表[台羅拼音]), 0)), "")</f>
        <v>乖舒</v>
      </c>
      <c r="I41" s="62" t="str" cm="1">
        <f t="array" ref="I41" xml:space="preserve"> IFERROR( INDEX(韻母對照表[方音符號], MATCH(TRUE, EXACT(韻母轉換規則!$C41, 韻母對照表[台羅拼音]), 0)), "")</f>
        <v>ㄨㄞ</v>
      </c>
      <c r="J41" s="79"/>
      <c r="K41" s="62" t="str">
        <f>E41</f>
        <v>uai</v>
      </c>
      <c r="L41" s="62" t="str">
        <f t="shared" si="2"/>
        <v>uai</v>
      </c>
      <c r="M41" s="60"/>
      <c r="N41" s="61" t="str">
        <f xml:space="preserve"> IF(AND(K41&lt;&gt;"", L41&lt;&gt;""), "xform/" &amp; $E41 &amp;  "/"  &amp; $D41 &amp;  "/", "")</f>
        <v>xform/uai/uai/</v>
      </c>
    </row>
    <row r="42" spans="1:14" ht="27.75" thickBot="1">
      <c r="A42" s="62">
        <f t="shared" si="0"/>
        <v>40</v>
      </c>
      <c r="B42" s="62" t="str" cm="1">
        <f t="array" ref="B42" xml:space="preserve"> IFERROR( INDEX(韻母對照表[國際音標], MATCH(TRUE, EXACT(韻母轉換規則!$C42, 韻母對照表[台羅拼音]), 0)), "")</f>
        <v>ũãĩ</v>
      </c>
      <c r="C42" s="62" t="s">
        <v>449</v>
      </c>
      <c r="D42" s="62" t="s">
        <v>449</v>
      </c>
      <c r="E42" s="62" t="str" cm="1">
        <f t="array" ref="E42" xml:space="preserve"> IFERROR( INDEX(韻母對照表[注音二式], MATCH(TRUE, EXACT(韻母轉換規則!$C42, 韻母對照表[台羅拼音]), 0)), "")</f>
        <v>uainn</v>
      </c>
      <c r="F42" s="62" t="s">
        <v>853</v>
      </c>
      <c r="G42" s="64" t="str" cm="1">
        <f t="array" ref="G42" xml:space="preserve"> IFERROR( INDEX(韻母對照表[白話字], MATCH(TRUE, EXACT(韻母轉換規則!$C42, 韻母對照表[台羅拼音]), 0)), "")</f>
        <v>oaiⁿ</v>
      </c>
      <c r="H42" s="59" t="str" cm="1">
        <f t="array" ref="H42" xml:space="preserve"> IFERROR( INDEX(韻母對照表[十五音識別碼], MATCH(TRUE, EXACT(韻母轉換規則!$C42, 韻母對照表[台羅拼音]), 0)), "")</f>
        <v>閂舒</v>
      </c>
      <c r="I42" s="62" t="str" cm="1">
        <f t="array" ref="I42" xml:space="preserve"> IFERROR( INDEX(韻母對照表[方音符號], MATCH(TRUE, EXACT(韻母轉換規則!$C42, 韻母對照表[台羅拼音]), 0)), "")</f>
        <v>ㄨㆮ</v>
      </c>
      <c r="J42" s="79"/>
      <c r="K42" s="62" t="str">
        <f>E42</f>
        <v>uainn</v>
      </c>
      <c r="L42" s="62" t="str">
        <f t="shared" si="2"/>
        <v>uainn</v>
      </c>
      <c r="M42" s="60"/>
      <c r="N42" s="61" t="str">
        <f xml:space="preserve"> IF(AND(K42&lt;&gt;"", L42&lt;&gt;""), "xform/" &amp; $E42 &amp;  "/"  &amp; $D42 &amp;  "/", "")</f>
        <v>xform/uainn/uainn/</v>
      </c>
    </row>
    <row r="43" spans="1:14" ht="27.75" thickBot="1">
      <c r="A43" s="62">
        <f t="shared" si="0"/>
        <v>41</v>
      </c>
      <c r="B43" s="62" t="s">
        <v>120</v>
      </c>
      <c r="C43" s="62" t="s">
        <v>120</v>
      </c>
      <c r="D43" s="62" t="s">
        <v>120</v>
      </c>
      <c r="E43" s="62" t="str" cm="1">
        <f t="array" ref="E43" xml:space="preserve"> IFERROR( INDEX(韻母對照表[注音二式], MATCH(TRUE, EXACT(韻母轉換規則!$C43, 韻母對照表[台羅拼音]), 0)), "")</f>
        <v>uan</v>
      </c>
      <c r="F43" s="62" t="s">
        <v>854</v>
      </c>
      <c r="G43" s="64" t="str" cm="1">
        <f t="array" ref="G43" xml:space="preserve"> IFERROR( INDEX(韻母對照表[白話字], MATCH(TRUE, EXACT(韻母轉換規則!$C43, 韻母對照表[台羅拼音]), 0)), "")</f>
        <v>oan</v>
      </c>
      <c r="H43" s="59" t="str" cm="1">
        <f t="array" ref="H43" xml:space="preserve"> IFERROR( INDEX(韻母對照表[十五音識別碼], MATCH(TRUE, EXACT(韻母轉換規則!$C43, 韻母對照表[台羅拼音]), 0)), "")</f>
        <v>觀舒</v>
      </c>
      <c r="I43" s="62" t="str" cm="1">
        <f t="array" ref="I43" xml:space="preserve"> IFERROR( INDEX(韻母對照表[方音符號], MATCH(TRUE, EXACT(韻母轉換規則!$C43, 韻母對照表[台羅拼音]), 0)), "")</f>
        <v>ㄨㄢ</v>
      </c>
      <c r="J43" s="79"/>
      <c r="K43" s="62" t="str">
        <f>E43</f>
        <v>uan</v>
      </c>
      <c r="L43" s="62" t="str">
        <f t="shared" si="2"/>
        <v>uan</v>
      </c>
      <c r="M43" s="60"/>
      <c r="N43" s="61" t="str">
        <f xml:space="preserve"> IF(AND(K43&lt;&gt;"", L43&lt;&gt;""), "xform/" &amp; $E43 &amp;  "/"  &amp; $D43 &amp;  "/", "")</f>
        <v>xform/uan/uan/</v>
      </c>
    </row>
    <row r="44" spans="1:14" ht="27.75" thickBot="1">
      <c r="A44" s="62">
        <f t="shared" si="0"/>
        <v>42</v>
      </c>
      <c r="B44" s="62" t="s">
        <v>905</v>
      </c>
      <c r="C44" s="62" t="s">
        <v>129</v>
      </c>
      <c r="D44" s="62" t="s">
        <v>129</v>
      </c>
      <c r="E44" s="62" t="str" cm="1">
        <f t="array" ref="E44" xml:space="preserve"> IFERROR( INDEX(韻母對照表[注音二式], MATCH(TRUE, EXACT(韻母轉換規則!$C44, 韻母對照表[台羅拼音]), 0)), "")</f>
        <v>uat</v>
      </c>
      <c r="F44" s="62" t="s">
        <v>855</v>
      </c>
      <c r="G44" s="64" t="str" cm="1">
        <f t="array" ref="G44" xml:space="preserve"> IFERROR( INDEX(韻母對照表[白話字], MATCH(TRUE, EXACT(韻母轉換規則!$C44, 韻母對照表[台羅拼音]), 0)), "")</f>
        <v>oat</v>
      </c>
      <c r="H44" s="59" t="str" cm="1">
        <f t="array" ref="H44" xml:space="preserve"> IFERROR( INDEX(韻母對照表[十五音識別碼], MATCH(TRUE, EXACT(韻母轉換規則!$C44, 韻母對照表[台羅拼音]), 0)), "")</f>
        <v>觀促</v>
      </c>
      <c r="I44" s="62" t="str" cm="1">
        <f t="array" ref="I44" xml:space="preserve"> IFERROR( INDEX(韻母對照表[方音符號], MATCH(TRUE, EXACT(韻母轉換規則!$C44, 韻母對照表[台羅拼音]), 0)), "")</f>
        <v>ㄨㄚㆵ</v>
      </c>
      <c r="J44" s="79"/>
      <c r="K44" s="62" t="str">
        <f>E44</f>
        <v>uat</v>
      </c>
      <c r="L44" s="62" t="str">
        <f t="shared" si="2"/>
        <v>uat</v>
      </c>
      <c r="M44" s="60"/>
      <c r="N44" s="61" t="str">
        <f xml:space="preserve"> IF(AND(K44&lt;&gt;"", L44&lt;&gt;""), "xform/" &amp; $E44 &amp;  "/"  &amp; $D44 &amp;  "/", "")</f>
        <v>xform/uat/uat/</v>
      </c>
    </row>
    <row r="45" spans="1:14" ht="27.75" thickBot="1">
      <c r="A45" s="62">
        <f t="shared" si="0"/>
        <v>43</v>
      </c>
      <c r="B45" s="62" t="s">
        <v>856</v>
      </c>
      <c r="C45" s="62" t="s">
        <v>290</v>
      </c>
      <c r="D45" s="62" t="s">
        <v>290</v>
      </c>
      <c r="E45" s="81" t="str" cm="1">
        <f t="array" ref="E45" xml:space="preserve"> IFERROR( INDEX(韻母對照表[注音二式], MATCH(TRUE, EXACT(韻母轉換規則!$C45, 韻母對照表[台羅拼音]), 0)), "")</f>
        <v>ueh</v>
      </c>
      <c r="F45" s="62" t="s">
        <v>290</v>
      </c>
      <c r="G45" s="64" t="str" cm="1">
        <f t="array" ref="G45" xml:space="preserve"> IFERROR( INDEX(韻母對照表[白話字], MATCH(TRUE, EXACT(韻母轉換規則!$C45, 韻母對照表[台羅拼音]), 0)), "")</f>
        <v>oeh</v>
      </c>
      <c r="H45" s="59" t="str" cm="1">
        <f t="array" ref="H45" xml:space="preserve"> IFERROR( INDEX(韻母對照表[十五音識別碼], MATCH(TRUE, EXACT(韻母轉換規則!$C45, 韻母對照表[台羅拼音]), 0)), "")</f>
        <v>檜促</v>
      </c>
      <c r="I45" s="62" t="str" cm="1">
        <f t="array" ref="I45" xml:space="preserve"> IFERROR( INDEX(韻母對照表[方音符號], MATCH(TRUE, EXACT(韻母轉換規則!$C45, 韻母對照表[台羅拼音]), 0)), "")</f>
        <v>ㄨㆤㆷ</v>
      </c>
      <c r="J45" s="79"/>
      <c r="K45" s="62" t="str">
        <f>E45</f>
        <v>ueh</v>
      </c>
      <c r="L45" s="62" t="str">
        <f t="shared" si="2"/>
        <v>ueh</v>
      </c>
      <c r="M45" s="60"/>
      <c r="N45" s="61" t="str">
        <f xml:space="preserve"> IF(AND(K45&lt;&gt;"", L45&lt;&gt;""), "xform/" &amp; $E45 &amp;  "/"  &amp; $D45 &amp;  "/", "")</f>
        <v>xform/ueh/ueh/</v>
      </c>
    </row>
    <row r="46" spans="1:14" ht="27.75" thickBot="1">
      <c r="A46" s="62">
        <f t="shared" si="0"/>
        <v>44</v>
      </c>
      <c r="B46" s="62" t="s">
        <v>56</v>
      </c>
      <c r="C46" s="62" t="s">
        <v>59</v>
      </c>
      <c r="D46" s="62" t="s">
        <v>59</v>
      </c>
      <c r="E46" s="62" t="str" cm="1">
        <f t="array" ref="E46" xml:space="preserve"> IFERROR( INDEX(韻母對照表[注音二式], MATCH(TRUE, EXACT(韻母轉換規則!$C46, 韻母對照表[台羅拼音]), 0)), "")</f>
        <v>e</v>
      </c>
      <c r="F46" s="62" t="s">
        <v>857</v>
      </c>
      <c r="G46" s="66"/>
      <c r="H46" s="59" t="str" cm="1">
        <f t="array" ref="H46" xml:space="preserve"> IFERROR( INDEX(韻母對照表[十五音識別碼], MATCH(TRUE, EXACT(韻母轉換規則!$C46, 韻母對照表[台羅拼音]), 0)), "")</f>
        <v>嘉舒</v>
      </c>
      <c r="I46" s="62" t="str" cm="1">
        <f t="array" ref="I46" xml:space="preserve"> IFERROR( INDEX(韻母對照表[方音符號], MATCH(TRUE, EXACT(韻母轉換規則!$C46, 韻母對照表[台羅拼音]), 0)), "")</f>
        <v>ㄝ</v>
      </c>
      <c r="J46" s="79"/>
      <c r="K46" s="62" t="str">
        <f>E46</f>
        <v>e</v>
      </c>
      <c r="L46" s="62" t="str">
        <f t="shared" si="2"/>
        <v>ee</v>
      </c>
      <c r="M46" s="60"/>
      <c r="N46" s="61" t="str">
        <f xml:space="preserve"> IF(AND(K46&lt;&gt;"", L46&lt;&gt;""), "xform/" &amp; $E46 &amp;  "/"  &amp; $D46 &amp;  "/", "")</f>
        <v>xform/e/ee/</v>
      </c>
    </row>
    <row r="47" spans="1:14" ht="27.75" thickBot="1">
      <c r="A47" s="62">
        <f t="shared" si="0"/>
        <v>45</v>
      </c>
      <c r="B47" s="62" t="s">
        <v>858</v>
      </c>
      <c r="C47" s="62" t="s">
        <v>321</v>
      </c>
      <c r="D47" s="62" t="s">
        <v>321</v>
      </c>
      <c r="E47" s="62" t="str" cm="1">
        <f t="array" ref="E47" xml:space="preserve"> IFERROR( INDEX(韻母對照表[注音二式], MATCH(TRUE, EXACT(韻母轉換規則!$C47, 韻母對照表[台羅拼音]), 0)), "")</f>
        <v>ah</v>
      </c>
      <c r="F47" s="62" t="s">
        <v>859</v>
      </c>
      <c r="G47" s="65" t="str" cm="1">
        <f t="array" ref="G47" xml:space="preserve"> IFERROR( INDEX(韻母對照表[白話字], MATCH(TRUE, EXACT(韻母轉換規則!$C47, 韻母對照表[台羅拼音]), 0)), "")</f>
        <v>ah</v>
      </c>
      <c r="H47" s="59" t="str" cm="1">
        <f t="array" ref="H47" xml:space="preserve"> IFERROR( INDEX(韻母對照表[十五音識別碼], MATCH(TRUE, EXACT(韻母轉換規則!$C47, 韻母對照表[台羅拼音]), 0)), "")</f>
        <v>膠促</v>
      </c>
      <c r="I47" s="62" t="str" cm="1">
        <f t="array" ref="I47" xml:space="preserve"> IFERROR( INDEX(韻母對照表[方音符號], MATCH(TRUE, EXACT(韻母轉換規則!$C47, 韻母對照表[台羅拼音]), 0)), "")</f>
        <v>ㄚㆷ</v>
      </c>
      <c r="J47" s="79"/>
      <c r="K47" s="62" t="str">
        <f>E47</f>
        <v>ah</v>
      </c>
      <c r="L47" s="62" t="str">
        <f t="shared" si="2"/>
        <v>ah</v>
      </c>
      <c r="M47" s="60"/>
      <c r="N47" s="61" t="str">
        <f xml:space="preserve"> IF(AND(K47&lt;&gt;"", L47&lt;&gt;""), "xform/" &amp; $E47 &amp;  "/"  &amp; $D47 &amp;  "/", "")</f>
        <v>xform/ah/ah/</v>
      </c>
    </row>
    <row r="48" spans="1:14" ht="27.75" thickBot="1">
      <c r="A48" s="62">
        <f t="shared" si="0"/>
        <v>46</v>
      </c>
      <c r="B48" s="62" t="s">
        <v>183</v>
      </c>
      <c r="C48" s="62" t="s">
        <v>183</v>
      </c>
      <c r="D48" s="62" t="s">
        <v>183</v>
      </c>
      <c r="E48" s="62" t="str" cm="1">
        <f t="array" ref="E48" xml:space="preserve"> IFERROR( INDEX(韻母對照表[注音二式], MATCH(TRUE, EXACT(韻母轉換規則!$C48, 韻母對照表[台羅拼音]), 0)), "")</f>
        <v>ai</v>
      </c>
      <c r="F48" s="62" t="s">
        <v>183</v>
      </c>
      <c r="G48" s="65" t="str" cm="1">
        <f t="array" ref="G48" xml:space="preserve"> IFERROR( INDEX(韻母對照表[白話字], MATCH(TRUE, EXACT(韻母轉換規則!$C48, 韻母對照表[台羅拼音]), 0)), "")</f>
        <v>ai</v>
      </c>
      <c r="H48" s="59" t="str" cm="1">
        <f t="array" ref="H48" xml:space="preserve"> IFERROR( INDEX(韻母對照表[十五音識別碼], MATCH(TRUE, EXACT(韻母轉換規則!$C48, 韻母對照表[台羅拼音]), 0)), "")</f>
        <v>皆舒</v>
      </c>
      <c r="I48" s="62" t="str" cm="1">
        <f t="array" ref="I48" xml:space="preserve"> IFERROR( INDEX(韻母對照表[方音符號], MATCH(TRUE, EXACT(韻母轉換規則!$C48, 韻母對照表[台羅拼音]), 0)), "")</f>
        <v>ㄞ</v>
      </c>
      <c r="J48" s="79"/>
      <c r="K48" s="62" t="str">
        <f>E48</f>
        <v>ai</v>
      </c>
      <c r="L48" s="62" t="str">
        <f t="shared" si="2"/>
        <v>ai</v>
      </c>
      <c r="M48" s="60"/>
      <c r="N48" s="61" t="str">
        <f xml:space="preserve"> IF(AND(K48&lt;&gt;"", L48&lt;&gt;""), "xform/" &amp; $E48 &amp;  "/"  &amp; $D48 &amp;  "/", "")</f>
        <v>xform/ai/ai/</v>
      </c>
    </row>
    <row r="49" spans="1:14" ht="27.75" thickBot="1">
      <c r="A49" s="62">
        <f t="shared" si="0"/>
        <v>47</v>
      </c>
      <c r="B49" s="62" t="s">
        <v>914</v>
      </c>
      <c r="C49" s="62" t="s">
        <v>243</v>
      </c>
      <c r="D49" s="62" t="s">
        <v>243</v>
      </c>
      <c r="E49" s="81" t="str" cm="1">
        <f t="array" ref="E49" xml:space="preserve"> IFERROR( INDEX(韻母對照表[注音二式], MATCH(TRUE, EXACT(韻母轉換規則!$C49, 韻母對照表[台羅拼音]), 0)), "")</f>
        <v>ak</v>
      </c>
      <c r="F49" s="62" t="s">
        <v>860</v>
      </c>
      <c r="G49" s="65" t="str" cm="1">
        <f t="array" ref="G49" xml:space="preserve"> IFERROR( INDEX(韻母對照表[白話字], MATCH(TRUE, EXACT(韻母轉換規則!$C49, 韻母對照表[台羅拼音]), 0)), "")</f>
        <v>ak</v>
      </c>
      <c r="H49" s="59" t="str" cm="1">
        <f t="array" ref="H49" xml:space="preserve"> IFERROR( INDEX(韻母對照表[十五音識別碼], MATCH(TRUE, EXACT(韻母轉換規則!$C49, 韻母對照表[台羅拼音]), 0)), "")</f>
        <v>江促</v>
      </c>
      <c r="I49" s="62" t="str" cm="1">
        <f t="array" ref="I49" xml:space="preserve"> IFERROR( INDEX(韻母對照表[方音符號], MATCH(TRUE, EXACT(韻母轉換規則!$C49, 韻母對照表[台羅拼音]), 0)), "")</f>
        <v>ㄚㆻ</v>
      </c>
      <c r="J49" s="79"/>
      <c r="K49" s="62" t="str">
        <f>E49</f>
        <v>ak</v>
      </c>
      <c r="L49" s="62" t="str">
        <f t="shared" si="2"/>
        <v>ak</v>
      </c>
      <c r="M49" s="60"/>
      <c r="N49" s="61" t="str">
        <f xml:space="preserve"> IF(AND(K49&lt;&gt;"", L49&lt;&gt;""), "xform/" &amp; $E49 &amp;  "/"  &amp; $D49 &amp;  "/", "")</f>
        <v>xform/ak/ak/</v>
      </c>
    </row>
    <row r="50" spans="1:14" ht="27.75" thickBot="1">
      <c r="A50" s="62">
        <f t="shared" si="0"/>
        <v>48</v>
      </c>
      <c r="B50" s="62" t="s">
        <v>211</v>
      </c>
      <c r="C50" s="62" t="s">
        <v>211</v>
      </c>
      <c r="D50" s="62" t="s">
        <v>211</v>
      </c>
      <c r="E50" s="62" t="str" cm="1">
        <f t="array" ref="E50" xml:space="preserve"> IFERROR( INDEX(韻母對照表[注音二式], MATCH(TRUE, EXACT(韻母轉換規則!$C50, 韻母對照表[台羅拼音]), 0)), "")</f>
        <v>am</v>
      </c>
      <c r="F50" s="62" t="s">
        <v>861</v>
      </c>
      <c r="G50" s="65" t="str" cm="1">
        <f t="array" ref="G50" xml:space="preserve"> IFERROR( INDEX(韻母對照表[白話字], MATCH(TRUE, EXACT(韻母轉換規則!$C50, 韻母對照表[台羅拼音]), 0)), "")</f>
        <v>am</v>
      </c>
      <c r="H50" s="59" t="str" cm="1">
        <f t="array" ref="H50" xml:space="preserve"> IFERROR( INDEX(韻母對照表[十五音識別碼], MATCH(TRUE, EXACT(韻母轉換規則!$C50, 韻母對照表[台羅拼音]), 0)), "")</f>
        <v>甘舒</v>
      </c>
      <c r="I50" s="62" t="str" cm="1">
        <f t="array" ref="I50" xml:space="preserve"> IFERROR( INDEX(韻母對照表[方音符號], MATCH(TRUE, EXACT(韻母轉換規則!$C50, 韻母對照表[台羅拼音]), 0)), "")</f>
        <v>ㆰ</v>
      </c>
      <c r="J50" s="79"/>
      <c r="K50" s="62" t="str">
        <f>E50</f>
        <v>am</v>
      </c>
      <c r="L50" s="62" t="str">
        <f t="shared" si="2"/>
        <v>am</v>
      </c>
      <c r="M50" s="60"/>
      <c r="N50" s="61" t="str">
        <f xml:space="preserve"> IF(AND(K50&lt;&gt;"", L50&lt;&gt;""), "xform/" &amp; $E50 &amp;  "/"  &amp; $D50 &amp;  "/", "")</f>
        <v>xform/am/am/</v>
      </c>
    </row>
    <row r="51" spans="1:14" ht="27.75" thickBot="1">
      <c r="A51" s="62">
        <f t="shared" si="0"/>
        <v>49</v>
      </c>
      <c r="B51" s="62" t="s">
        <v>69</v>
      </c>
      <c r="C51" s="62" t="s">
        <v>69</v>
      </c>
      <c r="D51" s="62" t="s">
        <v>69</v>
      </c>
      <c r="E51" s="62" t="str" cm="1">
        <f t="array" ref="E51" xml:space="preserve"> IFERROR( INDEX(韻母對照表[注音二式], MATCH(TRUE, EXACT(韻母轉換規則!$C51, 韻母對照表[台羅拼音]), 0)), "")</f>
        <v>an</v>
      </c>
      <c r="F51" s="62" t="s">
        <v>862</v>
      </c>
      <c r="G51" s="65" t="str" cm="1">
        <f t="array" ref="G51" xml:space="preserve"> IFERROR( INDEX(韻母對照表[白話字], MATCH(TRUE, EXACT(韻母轉換規則!$C51, 韻母對照表[台羅拼音]), 0)), "")</f>
        <v>an</v>
      </c>
      <c r="H51" s="59" t="str" cm="1">
        <f t="array" ref="H51" xml:space="preserve"> IFERROR( INDEX(韻母對照表[十五音識別碼], MATCH(TRUE, EXACT(韻母轉換規則!$C51, 韻母對照表[台羅拼音]), 0)), "")</f>
        <v>干舒</v>
      </c>
      <c r="I51" s="62" t="str" cm="1">
        <f t="array" ref="I51" xml:space="preserve"> IFERROR( INDEX(韻母對照表[方音符號], MATCH(TRUE, EXACT(韻母轉換規則!$C51, 韻母對照表[台羅拼音]), 0)), "")</f>
        <v>ㄢ</v>
      </c>
      <c r="J51" s="79"/>
      <c r="K51" s="62" t="str">
        <f>E51</f>
        <v>an</v>
      </c>
      <c r="L51" s="62" t="str">
        <f t="shared" si="2"/>
        <v>an</v>
      </c>
      <c r="M51" s="60"/>
      <c r="N51" s="61" t="str">
        <f xml:space="preserve"> IF(AND(K51&lt;&gt;"", L51&lt;&gt;""), "xform/" &amp; $E51 &amp;  "/"  &amp; $D51 &amp;  "/", "")</f>
        <v>xform/an/an/</v>
      </c>
    </row>
    <row r="52" spans="1:14" ht="27.75" thickBot="1">
      <c r="A52" s="62">
        <f t="shared" si="0"/>
        <v>50</v>
      </c>
      <c r="B52" s="62" t="s">
        <v>260</v>
      </c>
      <c r="C52" s="62" t="s">
        <v>260</v>
      </c>
      <c r="D52" s="62" t="s">
        <v>260</v>
      </c>
      <c r="E52" s="62" t="str" cm="1">
        <f t="array" ref="E52" xml:space="preserve"> IFERROR( INDEX(韻母對照表[注音二式], MATCH(TRUE, EXACT(韻母轉換規則!$C52, 韻母對照表[台羅拼音]), 0)), "")</f>
        <v>au</v>
      </c>
      <c r="F52" s="62" t="s">
        <v>263</v>
      </c>
      <c r="G52" s="64" t="str" cm="1">
        <f t="array" ref="G52" xml:space="preserve"> IFERROR( INDEX(韻母對照表[白話字], MATCH(TRUE, EXACT(韻母轉換規則!$C52, 韻母對照表[台羅拼音]), 0)), "")</f>
        <v>au</v>
      </c>
      <c r="H52" s="59" t="str" cm="1">
        <f t="array" ref="H52" xml:space="preserve"> IFERROR( INDEX(韻母對照表[十五音識別碼], MATCH(TRUE, EXACT(韻母轉換規則!$C52, 韻母對照表[台羅拼音]), 0)), "")</f>
        <v>交舒</v>
      </c>
      <c r="I52" s="62" t="str" cm="1">
        <f t="array" ref="I52" xml:space="preserve"> IFERROR( INDEX(韻母對照表[方音符號], MATCH(TRUE, EXACT(韻母轉換規則!$C52, 韻母對照表[台羅拼音]), 0)), "")</f>
        <v>ㄠ</v>
      </c>
      <c r="J52" s="79"/>
      <c r="K52" s="62" t="str">
        <f>E52</f>
        <v>au</v>
      </c>
      <c r="L52" s="62" t="str">
        <f t="shared" si="2"/>
        <v>au</v>
      </c>
      <c r="M52" s="60"/>
      <c r="N52" s="61" t="str">
        <f xml:space="preserve"> IF(AND(K52&lt;&gt;"", L52&lt;&gt;""), "xform/" &amp; $E52 &amp;  "/"  &amp; $D52 &amp;  "/", "")</f>
        <v>xform/au/au/</v>
      </c>
    </row>
    <row r="53" spans="1:14" ht="27.75" thickBot="1">
      <c r="A53" s="62">
        <f t="shared" si="0"/>
        <v>51</v>
      </c>
      <c r="B53" s="62" t="s">
        <v>910</v>
      </c>
      <c r="C53" s="62" t="s">
        <v>219</v>
      </c>
      <c r="D53" s="62" t="s">
        <v>219</v>
      </c>
      <c r="E53" s="62" t="str" cm="1">
        <f t="array" ref="E53" xml:space="preserve"> IFERROR( INDEX(韻母對照表[注音二式], MATCH(TRUE, EXACT(韻母轉換規則!$C53, 韻母對照表[台羅拼音]), 0)), "")</f>
        <v>ap</v>
      </c>
      <c r="F53" s="62" t="s">
        <v>863</v>
      </c>
      <c r="G53" s="65" t="str" cm="1">
        <f t="array" ref="G53" xml:space="preserve"> IFERROR( INDEX(韻母對照表[白話字], MATCH(TRUE, EXACT(韻母轉換規則!$C53, 韻母對照表[台羅拼音]), 0)), "")</f>
        <v>ap</v>
      </c>
      <c r="H53" s="59" t="str" cm="1">
        <f t="array" ref="H53" xml:space="preserve"> IFERROR( INDEX(韻母對照表[十五音識別碼], MATCH(TRUE, EXACT(韻母轉換規則!$C53, 韻母對照表[台羅拼音]), 0)), "")</f>
        <v>甘促</v>
      </c>
      <c r="I53" s="62" t="str" cm="1">
        <f t="array" ref="I53" xml:space="preserve"> IFERROR( INDEX(韻母對照表[方音符號], MATCH(TRUE, EXACT(韻母轉換規則!$C53, 韻母對照表[台羅拼音]), 0)), "")</f>
        <v>ㄚㆴ</v>
      </c>
      <c r="J53" s="79"/>
      <c r="K53" s="62" t="str">
        <f>E53</f>
        <v>ap</v>
      </c>
      <c r="L53" s="62" t="str">
        <f t="shared" si="2"/>
        <v>ap</v>
      </c>
      <c r="M53" s="60"/>
      <c r="N53" s="61" t="str">
        <f xml:space="preserve"> IF(AND(K53&lt;&gt;"", L53&lt;&gt;""), "xform/" &amp; $E53 &amp;  "/"  &amp; $D53 &amp;  "/", "")</f>
        <v>xform/ap/ap/</v>
      </c>
    </row>
    <row r="54" spans="1:14" ht="27.75" thickBot="1">
      <c r="A54" s="62">
        <f t="shared" si="0"/>
        <v>52</v>
      </c>
      <c r="B54" s="62" t="s">
        <v>906</v>
      </c>
      <c r="C54" s="62" t="s">
        <v>77</v>
      </c>
      <c r="D54" s="62" t="s">
        <v>77</v>
      </c>
      <c r="E54" s="62" t="str" cm="1">
        <f t="array" ref="E54" xml:space="preserve"> IFERROR( INDEX(韻母對照表[注音二式], MATCH(TRUE, EXACT(韻母轉換規則!$C54, 韻母對照表[台羅拼音]), 0)), "")</f>
        <v>at</v>
      </c>
      <c r="F54" s="62" t="s">
        <v>864</v>
      </c>
      <c r="G54" s="65" t="str" cm="1">
        <f t="array" ref="G54" xml:space="preserve"> IFERROR( INDEX(韻母對照表[白話字], MATCH(TRUE, EXACT(韻母轉換規則!$C54, 韻母對照表[台羅拼音]), 0)), "")</f>
        <v>at</v>
      </c>
      <c r="H54" s="59" t="str" cm="1">
        <f t="array" ref="H54" xml:space="preserve"> IFERROR( INDEX(韻母對照表[十五音識別碼], MATCH(TRUE, EXACT(韻母轉換規則!$C54, 韻母對照表[台羅拼音]), 0)), "")</f>
        <v>干促</v>
      </c>
      <c r="I54" s="62" t="str" cm="1">
        <f t="array" ref="I54" xml:space="preserve"> IFERROR( INDEX(韻母對照表[方音符號], MATCH(TRUE, EXACT(韻母轉換規則!$C54, 韻母對照表[台羅拼音]), 0)), "")</f>
        <v>ㄚㆵ</v>
      </c>
      <c r="J54" s="79"/>
      <c r="K54" s="62" t="str">
        <f>E54</f>
        <v>at</v>
      </c>
      <c r="L54" s="62" t="str">
        <f t="shared" si="2"/>
        <v>at</v>
      </c>
      <c r="M54" s="60"/>
      <c r="N54" s="61" t="str">
        <f xml:space="preserve"> IF(AND(K54&lt;&gt;"", L54&lt;&gt;""), "xform/" &amp; $E54 &amp;  "/"  &amp; $D54 &amp;  "/", "")</f>
        <v>xform/at/at/</v>
      </c>
    </row>
    <row r="55" spans="1:14" ht="27.75" thickBot="1">
      <c r="A55" s="62">
        <f t="shared" si="0"/>
        <v>53</v>
      </c>
      <c r="B55" s="62" t="s">
        <v>865</v>
      </c>
      <c r="C55" s="62" t="s">
        <v>65</v>
      </c>
      <c r="D55" s="62" t="s">
        <v>65</v>
      </c>
      <c r="E55" s="62" t="str" cm="1">
        <f t="array" ref="E55" xml:space="preserve"> IFERROR( INDEX(韻母對照表[注音二式], MATCH(TRUE, EXACT(韻母轉換規則!$C55, 韻母對照表[台羅拼音]), 0)), "")</f>
        <v>eh</v>
      </c>
      <c r="F55" s="62" t="s">
        <v>65</v>
      </c>
      <c r="G55" s="65" t="str" cm="1">
        <f t="array" ref="G55" xml:space="preserve"> IFERROR( INDEX(韻母對照表[白話字], MATCH(TRUE, EXACT(韻母轉換規則!$C55, 韻母對照表[台羅拼音]), 0)), "")</f>
        <v>eh</v>
      </c>
      <c r="H55" s="59" t="str" cm="1">
        <f t="array" ref="H55" xml:space="preserve"> IFERROR( INDEX(韻母對照表[十五音識別碼], MATCH(TRUE, EXACT(韻母轉換規則!$C55, 韻母對照表[台羅拼音]), 0)), "")</f>
        <v>伽促</v>
      </c>
      <c r="I55" s="62" t="str" cm="1">
        <f t="array" ref="I55" xml:space="preserve"> IFERROR( INDEX(韻母對照表[方音符號], MATCH(TRUE, EXACT(韻母轉換規則!$C55, 韻母對照表[台羅拼音]), 0)), "")</f>
        <v>ㆤㆷ</v>
      </c>
      <c r="J55" s="79"/>
      <c r="K55" s="62" t="str">
        <f>E55</f>
        <v>eh</v>
      </c>
      <c r="L55" s="62" t="str">
        <f t="shared" si="2"/>
        <v>eh</v>
      </c>
      <c r="M55" s="60"/>
      <c r="N55" s="61" t="str">
        <f xml:space="preserve"> IF(AND(K55&lt;&gt;"", L55&lt;&gt;""), "xform/" &amp; $E55 &amp;  "/"  &amp; $D55 &amp;  "/", "")</f>
        <v>xform/eh/eh/</v>
      </c>
    </row>
    <row r="56" spans="1:14" ht="27.75" thickBot="1">
      <c r="A56" s="62">
        <f t="shared" si="0"/>
        <v>54</v>
      </c>
      <c r="B56" s="80" t="s">
        <v>866</v>
      </c>
      <c r="C56" s="62" t="s">
        <v>867</v>
      </c>
      <c r="D56" s="62" t="s">
        <v>867</v>
      </c>
      <c r="E56" s="66" t="str" cm="1">
        <f t="array" ref="E56" xml:space="preserve"> IFERROR( INDEX(韻母對照表[注音二式], MATCH(TRUE, EXACT(韻母轉換規則!$C56, 韻母對照表[台羅拼音]), 0)), "")</f>
        <v/>
      </c>
      <c r="F56" s="62" t="s">
        <v>868</v>
      </c>
      <c r="G56" s="66" t="str" cm="1">
        <f t="array" ref="G56" xml:space="preserve"> IFERROR( INDEX(韻母對照表[白話字], MATCH(TRUE, EXACT(韻母轉換規則!$C56, 韻母對照表[台羅拼音]), 0)), "")</f>
        <v/>
      </c>
      <c r="H56" s="59" t="str" cm="1">
        <f t="array" ref="H56" xml:space="preserve"> IFERROR( INDEX(韻母對照表[十五音識別碼], MATCH(TRUE, EXACT(韻母轉換規則!$C56, 韻母對照表[台羅拼音]), 0)), "")</f>
        <v/>
      </c>
      <c r="I56" s="62" t="str" cm="1">
        <f t="array" ref="I56" xml:space="preserve"> IFERROR( INDEX(韻母對照表[方音符號], MATCH(TRUE, EXACT(韻母轉換規則!$C56, 韻母對照表[台羅拼音]), 0)), "")</f>
        <v/>
      </c>
      <c r="J56" s="79"/>
      <c r="K56" s="62" t="str">
        <f>E56</f>
        <v/>
      </c>
      <c r="L56" s="62" t="str">
        <f t="shared" si="2"/>
        <v>ir</v>
      </c>
      <c r="M56" s="60"/>
      <c r="N56" s="61" t="str">
        <f xml:space="preserve"> IF(AND(K56&lt;&gt;"", L56&lt;&gt;""), "xform/" &amp; $E56 &amp;  "/"  &amp; $D56 &amp;  "/", "")</f>
        <v/>
      </c>
    </row>
    <row r="57" spans="1:14" ht="27.75" thickBot="1">
      <c r="A57" s="62">
        <f t="shared" si="0"/>
        <v>55</v>
      </c>
      <c r="B57" s="62" t="s">
        <v>272</v>
      </c>
      <c r="C57" s="62" t="s">
        <v>272</v>
      </c>
      <c r="D57" s="62" t="s">
        <v>272</v>
      </c>
      <c r="E57" s="62" t="str" cm="1">
        <f t="array" ref="E57" xml:space="preserve"> IFERROR( INDEX(韻母對照表[注音二式], MATCH(TRUE, EXACT(韻母轉換規則!$C57, 韻母對照表[台羅拼音]), 0)), "")</f>
        <v>ia</v>
      </c>
      <c r="F57" s="62" t="s">
        <v>869</v>
      </c>
      <c r="G57" s="65" t="str" cm="1">
        <f t="array" ref="G57" xml:space="preserve"> IFERROR( INDEX(韻母對照表[白話字], MATCH(TRUE, EXACT(韻母轉換規則!$C57, 韻母對照表[台羅拼音]), 0)), "")</f>
        <v>ia</v>
      </c>
      <c r="H57" s="59" t="str" cm="1">
        <f t="array" ref="H57" xml:space="preserve"> IFERROR( INDEX(韻母對照表[十五音識別碼], MATCH(TRUE, EXACT(韻母轉換規則!$C57, 韻母對照表[台羅拼音]), 0)), "")</f>
        <v>迦舒</v>
      </c>
      <c r="I57" s="62" t="str" cm="1">
        <f t="array" ref="I57" xml:space="preserve"> IFERROR( INDEX(韻母對照表[方音符號], MATCH(TRUE, EXACT(韻母轉換規則!$C57, 韻母對照表[台羅拼音]), 0)), "")</f>
        <v>ㄧㄚ</v>
      </c>
      <c r="J57" s="79"/>
      <c r="K57" s="62" t="str">
        <f>E57</f>
        <v>ia</v>
      </c>
      <c r="L57" s="62" t="str">
        <f t="shared" si="2"/>
        <v>ia</v>
      </c>
      <c r="M57" s="60"/>
      <c r="N57" s="61" t="str">
        <f xml:space="preserve"> IF(AND(K57&lt;&gt;"", L57&lt;&gt;""), "xform/" &amp; $E57 &amp;  "/"  &amp; $D57 &amp;  "/", "")</f>
        <v>xform/ia/ia/</v>
      </c>
    </row>
    <row r="58" spans="1:14" ht="27.75" thickBot="1">
      <c r="A58" s="62">
        <f t="shared" si="0"/>
        <v>56</v>
      </c>
      <c r="B58" s="80" t="s">
        <v>870</v>
      </c>
      <c r="C58" s="62" t="s">
        <v>871</v>
      </c>
      <c r="D58" s="62" t="s">
        <v>871</v>
      </c>
      <c r="E58" s="66" t="str" cm="1">
        <f t="array" ref="E58" xml:space="preserve"> IFERROR( INDEX(韻母對照表[注音二式], MATCH(TRUE, EXACT(韻母轉換規則!$C58, 韻母對照表[台羅拼音]), 0)), "")</f>
        <v/>
      </c>
      <c r="F58" s="62" t="s">
        <v>872</v>
      </c>
      <c r="G58" s="66" t="str" cm="1">
        <f t="array" ref="G58" xml:space="preserve"> IFERROR( INDEX(韻母對照表[白話字], MATCH(TRUE, EXACT(韻母轉換規則!$C58, 韻母對照表[台羅拼音]), 0)), "")</f>
        <v/>
      </c>
      <c r="H58" s="59" t="str" cm="1">
        <f t="array" ref="H58" xml:space="preserve"> IFERROR( INDEX(韻母對照表[十五音識別碼], MATCH(TRUE, EXACT(韻母轉換規則!$C58, 韻母對照表[台羅拼音]), 0)), "")</f>
        <v/>
      </c>
      <c r="I58" s="62" t="str" cm="1">
        <f t="array" ref="I58" xml:space="preserve"> IFERROR( INDEX(韻母對照表[方音符號], MATCH(TRUE, EXACT(韻母轉換規則!$C58, 韻母對照表[台羅拼音]), 0)), "")</f>
        <v/>
      </c>
      <c r="J58" s="79"/>
      <c r="K58" s="62" t="str">
        <f>E58</f>
        <v/>
      </c>
      <c r="L58" s="62" t="str">
        <f t="shared" si="2"/>
        <v>er</v>
      </c>
      <c r="M58" s="60"/>
      <c r="N58" s="61" t="str">
        <f xml:space="preserve"> IF(AND(K58&lt;&gt;"", L58&lt;&gt;""), "xform/" &amp; $E58 &amp;  "/"  &amp; $D58 &amp;  "/", "")</f>
        <v/>
      </c>
    </row>
    <row r="59" spans="1:14" ht="27.75" thickBot="1">
      <c r="A59" s="62">
        <f t="shared" si="0"/>
        <v>57</v>
      </c>
      <c r="B59" s="62" t="s">
        <v>873</v>
      </c>
      <c r="C59" s="62" t="s">
        <v>329</v>
      </c>
      <c r="D59" s="62" t="s">
        <v>329</v>
      </c>
      <c r="E59" s="62" t="str" cm="1">
        <f t="array" ref="E59" xml:space="preserve"> IFERROR( INDEX(韻母對照表[注音二式], MATCH(TRUE, EXACT(韻母轉換規則!$C59, 韻母對照表[台羅拼音]), 0)), "")</f>
        <v>ih</v>
      </c>
      <c r="F59" s="62" t="s">
        <v>329</v>
      </c>
      <c r="G59" s="65" t="str" cm="1">
        <f t="array" ref="G59" xml:space="preserve"> IFERROR( INDEX(韻母對照表[白話字], MATCH(TRUE, EXACT(韻母轉換規則!$C59, 韻母對照表[台羅拼音]), 0)), "")</f>
        <v>ih</v>
      </c>
      <c r="H59" s="59" t="str" cm="1">
        <f t="array" ref="H59" xml:space="preserve"> IFERROR( INDEX(韻母對照表[十五音識別碼], MATCH(TRUE, EXACT(韻母轉換規則!$C59, 韻母對照表[台羅拼音]), 0)), "")</f>
        <v>居促</v>
      </c>
      <c r="I59" s="62" t="str" cm="1">
        <f t="array" ref="I59" xml:space="preserve"> IFERROR( INDEX(韻母對照表[方音符號], MATCH(TRUE, EXACT(韻母轉換規則!$C59, 韻母對照表[台羅拼音]), 0)), "")</f>
        <v>ㄧㆷ</v>
      </c>
      <c r="J59" s="79"/>
      <c r="K59" s="62" t="str">
        <f>E59</f>
        <v>ih</v>
      </c>
      <c r="L59" s="62" t="str">
        <f t="shared" si="2"/>
        <v>ih</v>
      </c>
      <c r="M59" s="60"/>
      <c r="N59" s="61" t="str">
        <f xml:space="preserve"> IF(AND(K59&lt;&gt;"", L59&lt;&gt;""), "xform/" &amp; $E59 &amp;  "/"  &amp; $D59 &amp;  "/", "")</f>
        <v>xform/ih/ih/</v>
      </c>
    </row>
    <row r="60" spans="1:14" ht="27.75" thickBot="1">
      <c r="A60" s="62">
        <f t="shared" si="0"/>
        <v>58</v>
      </c>
      <c r="B60" s="62" t="s">
        <v>915</v>
      </c>
      <c r="C60" s="62" t="s">
        <v>115</v>
      </c>
      <c r="D60" s="62" t="s">
        <v>115</v>
      </c>
      <c r="E60" s="62" t="str" cm="1">
        <f t="array" ref="E60" xml:space="preserve"> IFERROR( INDEX(韻母對照表[注音二式], MATCH(TRUE, EXACT(韻母轉換規則!$C60, 韻母對照表[台羅拼音]), 0)), "")</f>
        <v>ik</v>
      </c>
      <c r="F60" s="62" t="s">
        <v>115</v>
      </c>
      <c r="G60" s="64" t="str" cm="1">
        <f t="array" ref="G60" xml:space="preserve"> IFERROR( INDEX(韻母對照表[白話字], MATCH(TRUE, EXACT(韻母轉換規則!$C60, 韻母對照表[台羅拼音]), 0)), "")</f>
        <v>ek</v>
      </c>
      <c r="H60" s="59" t="str" cm="1">
        <f t="array" ref="H60" xml:space="preserve"> IFERROR( INDEX(韻母對照表[十五音識別碼], MATCH(TRUE, EXACT(韻母轉換規則!$C60, 韻母對照表[台羅拼音]), 0)), "")</f>
        <v>經促</v>
      </c>
      <c r="I60" s="62" t="str" cm="1">
        <f t="array" ref="I60" xml:space="preserve"> IFERROR( INDEX(韻母對照表[方音符號], MATCH(TRUE, EXACT(韻母轉換規則!$C60, 韻母對照表[台羅拼音]), 0)), "")</f>
        <v>ㄧㆻ</v>
      </c>
      <c r="J60" s="79"/>
      <c r="K60" s="62" t="str">
        <f>E60</f>
        <v>ik</v>
      </c>
      <c r="L60" s="62" t="str">
        <f t="shared" si="2"/>
        <v>ik</v>
      </c>
      <c r="M60" s="60"/>
      <c r="N60" s="61" t="str">
        <f xml:space="preserve"> IF(AND(K60&lt;&gt;"", L60&lt;&gt;""), "xform/" &amp; $E60 &amp;  "/"  &amp; $D60 &amp;  "/", "")</f>
        <v>xform/ik/ik/</v>
      </c>
    </row>
    <row r="61" spans="1:14" ht="27.75" thickBot="1">
      <c r="A61" s="62">
        <f t="shared" si="0"/>
        <v>59</v>
      </c>
      <c r="B61" s="62" t="s">
        <v>38</v>
      </c>
      <c r="C61" s="62" t="s">
        <v>38</v>
      </c>
      <c r="D61" s="62" t="s">
        <v>38</v>
      </c>
      <c r="E61" s="62" t="str" cm="1">
        <f t="array" ref="E61" xml:space="preserve"> IFERROR( INDEX(韻母對照表[注音二式], MATCH(TRUE, EXACT(韻母轉換規則!$C61, 韻母對照表[台羅拼音]), 0)), "")</f>
        <v>im</v>
      </c>
      <c r="F61" s="62" t="s">
        <v>38</v>
      </c>
      <c r="G61" s="65" t="str" cm="1">
        <f t="array" ref="G61" xml:space="preserve"> IFERROR( INDEX(韻母對照表[白話字], MATCH(TRUE, EXACT(韻母轉換規則!$C61, 韻母對照表[台羅拼音]), 0)), "")</f>
        <v>im</v>
      </c>
      <c r="H61" s="59" t="str" cm="1">
        <f t="array" ref="H61" xml:space="preserve"> IFERROR( INDEX(韻母對照表[十五音識別碼], MATCH(TRUE, EXACT(韻母轉換規則!$C61, 韻母對照表[台羅拼音]), 0)), "")</f>
        <v>金舒</v>
      </c>
      <c r="I61" s="62" t="str" cm="1">
        <f t="array" ref="I61" xml:space="preserve"> IFERROR( INDEX(韻母對照表[方音符號], MATCH(TRUE, EXACT(韻母轉換規則!$C61, 韻母對照表[台羅拼音]), 0)), "")</f>
        <v>ㄧㆬ</v>
      </c>
      <c r="J61" s="79"/>
      <c r="K61" s="62" t="str">
        <f>E61</f>
        <v>im</v>
      </c>
      <c r="L61" s="62" t="str">
        <f t="shared" si="2"/>
        <v>im</v>
      </c>
      <c r="M61" s="60"/>
      <c r="N61" s="61" t="str">
        <f xml:space="preserve"> IF(AND(K61&lt;&gt;"", L61&lt;&gt;""), "xform/" &amp; $E61 &amp;  "/"  &amp; $D61 &amp;  "/", "")</f>
        <v>xform/im/im/</v>
      </c>
    </row>
    <row r="62" spans="1:14" ht="27.75" thickBot="1">
      <c r="A62" s="62">
        <f t="shared" si="0"/>
        <v>60</v>
      </c>
      <c r="B62" s="62" t="s">
        <v>189</v>
      </c>
      <c r="C62" s="62" t="s">
        <v>189</v>
      </c>
      <c r="D62" s="62" t="s">
        <v>189</v>
      </c>
      <c r="E62" s="62" t="str" cm="1">
        <f t="array" ref="E62" xml:space="preserve"> IFERROR( INDEX(韻母對照表[注音二式], MATCH(TRUE, EXACT(韻母轉換規則!$C62, 韻母對照表[台羅拼音]), 0)), "")</f>
        <v>in</v>
      </c>
      <c r="F62" s="62" t="s">
        <v>189</v>
      </c>
      <c r="G62" s="65" t="str" cm="1">
        <f t="array" ref="G62" xml:space="preserve"> IFERROR( INDEX(韻母對照表[白話字], MATCH(TRUE, EXACT(韻母轉換規則!$C62, 韻母對照表[台羅拼音]), 0)), "")</f>
        <v>in</v>
      </c>
      <c r="H62" s="59" t="str" cm="1">
        <f t="array" ref="H62" xml:space="preserve"> IFERROR( INDEX(韻母對照表[十五音識別碼], MATCH(TRUE, EXACT(韻母轉換規則!$C62, 韻母對照表[台羅拼音]), 0)), "")</f>
        <v>巾舒</v>
      </c>
      <c r="I62" s="62" t="str" cm="1">
        <f t="array" ref="I62" xml:space="preserve"> IFERROR( INDEX(韻母對照表[方音符號], MATCH(TRUE, EXACT(韻母轉換規則!$C62, 韻母對照表[台羅拼音]), 0)), "")</f>
        <v>ㄧㄣ</v>
      </c>
      <c r="J62" s="79"/>
      <c r="K62" s="62" t="str">
        <f>E62</f>
        <v>in</v>
      </c>
      <c r="L62" s="62" t="str">
        <f t="shared" si="2"/>
        <v>in</v>
      </c>
      <c r="M62" s="60"/>
      <c r="N62" s="61" t="str">
        <f xml:space="preserve"> IF(AND(K62&lt;&gt;"", L62&lt;&gt;""), "xform/" &amp; $E62 &amp;  "/"  &amp; $D62 &amp;  "/", "")</f>
        <v>xform/in/in/</v>
      </c>
    </row>
    <row r="63" spans="1:14" ht="27.75" thickBot="1">
      <c r="A63" s="62">
        <f t="shared" si="0"/>
        <v>61</v>
      </c>
      <c r="B63" s="62" t="s">
        <v>357</v>
      </c>
      <c r="C63" s="62" t="s">
        <v>357</v>
      </c>
      <c r="D63" s="62" t="s">
        <v>357</v>
      </c>
      <c r="E63" s="62" t="str" cm="1">
        <f t="array" ref="E63" xml:space="preserve"> IFERROR( INDEX(韻母對照表[注音二式], MATCH(TRUE, EXACT(韻母轉換規則!$C63, 韻母對照表[台羅拼音]), 0)), "")</f>
        <v>ior</v>
      </c>
      <c r="F63" s="62" t="s">
        <v>357</v>
      </c>
      <c r="G63" s="65" t="str" cm="1">
        <f t="array" ref="G63" xml:space="preserve"> IFERROR( INDEX(韻母對照表[白話字], MATCH(TRUE, EXACT(韻母轉換規則!$C63, 韻母對照表[台羅拼音]), 0)), "")</f>
        <v>io</v>
      </c>
      <c r="H63" s="59" t="str" cm="1">
        <f t="array" ref="H63" xml:space="preserve"> IFERROR( INDEX(韻母對照表[十五音識別碼], MATCH(TRUE, EXACT(韻母轉換規則!$C63, 韻母對照表[台羅拼音]), 0)), "")</f>
        <v>茄舒</v>
      </c>
      <c r="I63" s="62" t="str" cm="1">
        <f t="array" ref="I63" xml:space="preserve"> IFERROR( INDEX(韻母對照表[方音符號], MATCH(TRUE, EXACT(韻母轉換規則!$C63, 韻母對照表[台羅拼音]), 0)), "")</f>
        <v>ㄧㄜ</v>
      </c>
      <c r="J63" s="79"/>
      <c r="K63" s="62" t="str">
        <f>E63</f>
        <v>ior</v>
      </c>
      <c r="L63" s="62" t="str">
        <f t="shared" si="2"/>
        <v>io</v>
      </c>
      <c r="M63" s="60"/>
      <c r="N63" s="61" t="str">
        <f xml:space="preserve"> IF(AND(K63&lt;&gt;"", L63&lt;&gt;""), "xform/" &amp; $E63 &amp;  "/"  &amp; $D63 &amp;  "/", "")</f>
        <v>xform/ior/io/</v>
      </c>
    </row>
    <row r="64" spans="1:14" ht="27.75" thickBot="1">
      <c r="A64" s="62">
        <f t="shared" si="0"/>
        <v>62</v>
      </c>
      <c r="B64" s="62" t="s">
        <v>911</v>
      </c>
      <c r="C64" s="62" t="s">
        <v>46</v>
      </c>
      <c r="D64" s="62" t="s">
        <v>46</v>
      </c>
      <c r="E64" s="62" t="str" cm="1">
        <f t="array" ref="E64" xml:space="preserve"> IFERROR( INDEX(韻母對照表[注音二式], MATCH(TRUE, EXACT(韻母轉換規則!$C64, 韻母對照表[台羅拼音]), 0)), "")</f>
        <v>ip</v>
      </c>
      <c r="F64" s="62" t="s">
        <v>46</v>
      </c>
      <c r="G64" s="65" t="str" cm="1">
        <f t="array" ref="G64" xml:space="preserve"> IFERROR( INDEX(韻母對照表[白話字], MATCH(TRUE, EXACT(韻母轉換規則!$C64, 韻母對照表[台羅拼音]), 0)), "")</f>
        <v>ip</v>
      </c>
      <c r="H64" s="59" t="str" cm="1">
        <f t="array" ref="H64" xml:space="preserve"> IFERROR( INDEX(韻母對照表[十五音識別碼], MATCH(TRUE, EXACT(韻母轉換規則!$C64, 韻母對照表[台羅拼音]), 0)), "")</f>
        <v>金促</v>
      </c>
      <c r="I64" s="62" t="str" cm="1">
        <f t="array" ref="I64" xml:space="preserve"> IFERROR( INDEX(韻母對照表[方音符號], MATCH(TRUE, EXACT(韻母轉換規則!$C64, 韻母對照表[台羅拼音]), 0)), "")</f>
        <v>一ㆴ</v>
      </c>
      <c r="J64" s="79"/>
      <c r="K64" s="62" t="str">
        <f>E64</f>
        <v>ip</v>
      </c>
      <c r="L64" s="62" t="str">
        <f t="shared" si="2"/>
        <v>ip</v>
      </c>
      <c r="M64" s="60"/>
      <c r="N64" s="61" t="str">
        <f xml:space="preserve"> IF(AND(K64&lt;&gt;"", L64&lt;&gt;""), "xform/" &amp; $E64 &amp;  "/"  &amp; $D64 &amp;  "/", "")</f>
        <v>xform/ip/ip/</v>
      </c>
    </row>
    <row r="65" spans="1:14" ht="27.75" thickBot="1">
      <c r="A65" s="62">
        <f t="shared" si="0"/>
        <v>63</v>
      </c>
      <c r="B65" s="62" t="s">
        <v>907</v>
      </c>
      <c r="C65" s="62" t="s">
        <v>197</v>
      </c>
      <c r="D65" s="62" t="s">
        <v>197</v>
      </c>
      <c r="E65" s="62" t="str" cm="1">
        <f t="array" ref="E65" xml:space="preserve"> IFERROR( INDEX(韻母對照表[注音二式], MATCH(TRUE, EXACT(韻母轉換規則!$C65, 韻母對照表[台羅拼音]), 0)), "")</f>
        <v>it</v>
      </c>
      <c r="F65" s="62" t="s">
        <v>197</v>
      </c>
      <c r="G65" s="65" t="str" cm="1">
        <f t="array" ref="G65" xml:space="preserve"> IFERROR( INDEX(韻母對照表[白話字], MATCH(TRUE, EXACT(韻母轉換規則!$C65, 韻母對照表[台羅拼音]), 0)), "")</f>
        <v>it</v>
      </c>
      <c r="H65" s="59" t="str" cm="1">
        <f t="array" ref="H65" xml:space="preserve"> IFERROR( INDEX(韻母對照表[十五音識別碼], MATCH(TRUE, EXACT(韻母轉換規則!$C65, 韻母對照表[台羅拼音]), 0)), "")</f>
        <v>巾促</v>
      </c>
      <c r="I65" s="62" t="str" cm="1">
        <f t="array" ref="I65" xml:space="preserve"> IFERROR( INDEX(韻母對照表[方音符號], MATCH(TRUE, EXACT(韻母轉換規則!$C65, 韻母對照表[台羅拼音]), 0)), "")</f>
        <v>ㄧㆵ</v>
      </c>
      <c r="J65" s="79"/>
      <c r="K65" s="62" t="str">
        <f>E65</f>
        <v>it</v>
      </c>
      <c r="L65" s="62" t="str">
        <f t="shared" si="2"/>
        <v>it</v>
      </c>
      <c r="M65" s="60"/>
      <c r="N65" s="61" t="str">
        <f xml:space="preserve"> IF(AND(K65&lt;&gt;"", L65&lt;&gt;""), "xform/" &amp; $E65 &amp;  "/"  &amp; $D65 &amp;  "/", "")</f>
        <v>xform/it/it/</v>
      </c>
    </row>
    <row r="66" spans="1:14" ht="27.75" thickBot="1">
      <c r="A66" s="62">
        <f t="shared" si="0"/>
        <v>64</v>
      </c>
      <c r="B66" s="62" t="s">
        <v>332</v>
      </c>
      <c r="C66" s="62" t="s">
        <v>332</v>
      </c>
      <c r="D66" s="62" t="s">
        <v>332</v>
      </c>
      <c r="E66" s="62" t="str" cm="1">
        <f t="array" ref="E66" xml:space="preserve"> IFERROR( INDEX(韻母對照表[注音二式], MATCH(TRUE, EXACT(韻母轉換規則!$C66, 韻母對照表[台羅拼音]), 0)), "")</f>
        <v>iu</v>
      </c>
      <c r="F66" s="62" t="s">
        <v>332</v>
      </c>
      <c r="G66" s="65" t="str" cm="1">
        <f t="array" ref="G66" xml:space="preserve"> IFERROR( INDEX(韻母對照表[白話字], MATCH(TRUE, EXACT(韻母轉換規則!$C66, 韻母對照表[台羅拼音]), 0)), "")</f>
        <v>iu</v>
      </c>
      <c r="H66" s="59" t="str" cm="1">
        <f t="array" ref="H66" xml:space="preserve"> IFERROR( INDEX(韻母對照表[十五音識別碼], MATCH(TRUE, EXACT(韻母轉換規則!$C66, 韻母對照表[台羅拼音]), 0)), "")</f>
        <v>丩舒</v>
      </c>
      <c r="I66" s="62" t="str" cm="1">
        <f t="array" ref="I66" xml:space="preserve"> IFERROR( INDEX(韻母對照表[方音符號], MATCH(TRUE, EXACT(韻母轉換規則!$C66, 韻母對照表[台羅拼音]), 0)), "")</f>
        <v>ㄧㄨ</v>
      </c>
      <c r="J66" s="79"/>
      <c r="K66" s="62" t="str">
        <f>E66</f>
        <v>iu</v>
      </c>
      <c r="L66" s="62" t="str">
        <f t="shared" si="2"/>
        <v>iu</v>
      </c>
      <c r="M66" s="60"/>
      <c r="N66" s="61" t="str">
        <f xml:space="preserve"> IF(AND(K66&lt;&gt;"", L66&lt;&gt;""), "xform/" &amp; $E66 &amp;  "/"  &amp; $D66 &amp;  "/", "")</f>
        <v>xform/iu/iu/</v>
      </c>
    </row>
    <row r="67" spans="1:14" ht="27.75" thickBot="1">
      <c r="A67" s="62">
        <f t="shared" si="0"/>
        <v>65</v>
      </c>
      <c r="B67" s="80" t="s">
        <v>874</v>
      </c>
      <c r="C67" s="62" t="s">
        <v>875</v>
      </c>
      <c r="D67" s="62" t="s">
        <v>875</v>
      </c>
      <c r="E67" s="81" t="str" cm="1">
        <f t="array" ref="E67" xml:space="preserve"> IFERROR( INDEX(韻母對照表[注音二式], MATCH(TRUE, EXACT(韻母轉換規則!$C67, 韻母對照表[台羅拼音]), 0)), "")</f>
        <v/>
      </c>
      <c r="F67" s="62" t="s">
        <v>875</v>
      </c>
      <c r="G67" s="65" t="str" cm="1">
        <f t="array" ref="G67" xml:space="preserve"> IFERROR( INDEX(韻母對照表[白話字], MATCH(TRUE, EXACT(韻母轉換規則!$C67, 韻母對照表[台羅拼音]), 0)), "")</f>
        <v/>
      </c>
      <c r="H67" s="59" t="str" cm="1">
        <f t="array" ref="H67" xml:space="preserve"> IFERROR( INDEX(韻母對照表[十五音識別碼], MATCH(TRUE, EXACT(韻母轉換規則!$C67, 韻母對照表[台羅拼音]), 0)), "")</f>
        <v/>
      </c>
      <c r="I67" s="62" t="str" cm="1">
        <f t="array" ref="I67" xml:space="preserve"> IFERROR( INDEX(韻母對照表[方音符號], MATCH(TRUE, EXACT(韻母轉換規則!$C67, 韻母對照表[台羅拼音]), 0)), "")</f>
        <v/>
      </c>
      <c r="J67" s="79"/>
      <c r="K67" s="62" t="str">
        <f>E67</f>
        <v/>
      </c>
      <c r="L67" s="62" t="str">
        <f t="shared" si="2"/>
        <v>mh</v>
      </c>
      <c r="M67" s="60"/>
      <c r="N67" s="61" t="str">
        <f xml:space="preserve"> IF(AND(K67&lt;&gt;"", L67&lt;&gt;""), "xform/" &amp; $E67 &amp;  "/"  &amp; $D67 &amp;  "/", "")</f>
        <v/>
      </c>
    </row>
    <row r="68" spans="1:14" ht="27.75" thickBot="1">
      <c r="A68" s="62">
        <f t="shared" ref="A68:A98" si="3" xml:space="preserve"> ROW() -2</f>
        <v>66</v>
      </c>
      <c r="B68" s="62" t="s">
        <v>294</v>
      </c>
      <c r="C68" s="62" t="s">
        <v>297</v>
      </c>
      <c r="D68" s="62" t="s">
        <v>297</v>
      </c>
      <c r="E68" s="62" t="str" cm="1">
        <f t="array" ref="E68" xml:space="preserve"> IFERROR( INDEX(韻母對照表[注音二式], MATCH(TRUE, EXACT(韻母轉換規則!$C68, 韻母對照表[台羅拼音]), 0)), "")</f>
        <v>ann</v>
      </c>
      <c r="F68" s="62" t="s">
        <v>299</v>
      </c>
      <c r="G68" s="65" t="str" cm="1">
        <f t="array" ref="G68" xml:space="preserve"> IFERROR( INDEX(韻母對照表[白話字], MATCH(TRUE, EXACT(韻母轉換規則!$C68, 韻母對照表[台羅拼音]), 0)), "")</f>
        <v>aⁿ</v>
      </c>
      <c r="H68" s="59" t="str" cm="1">
        <f t="array" ref="H68" xml:space="preserve"> IFERROR( INDEX(韻母對照表[十五音識別碼], MATCH(TRUE, EXACT(韻母轉換規則!$C68, 韻母對照表[台羅拼音]), 0)), "")</f>
        <v>監舒</v>
      </c>
      <c r="I68" s="62" t="str" cm="1">
        <f t="array" ref="I68" xml:space="preserve"> IFERROR( INDEX(韻母對照表[方音符號], MATCH(TRUE, EXACT(韻母轉換規則!$C68, 韻母對照表[台羅拼音]), 0)), "")</f>
        <v>ㆩ</v>
      </c>
      <c r="J68" s="79"/>
      <c r="K68" s="62" t="str">
        <f>E68</f>
        <v>ann</v>
      </c>
      <c r="L68" s="62" t="str">
        <f t="shared" si="2"/>
        <v>ann</v>
      </c>
      <c r="M68" s="60"/>
      <c r="N68" s="61" t="str">
        <f xml:space="preserve"> IF(AND(K68&lt;&gt;"", L68&lt;&gt;""), "xform/" &amp; $E68 &amp;  "/"  &amp; $D68 &amp;  "/", "")</f>
        <v>xform/ann/ann/</v>
      </c>
    </row>
    <row r="69" spans="1:14" ht="27.75" thickBot="1">
      <c r="A69" s="62">
        <f t="shared" si="3"/>
        <v>67</v>
      </c>
      <c r="B69" s="62" t="s">
        <v>404</v>
      </c>
      <c r="C69" s="62" t="s">
        <v>407</v>
      </c>
      <c r="D69" s="62" t="s">
        <v>407</v>
      </c>
      <c r="E69" s="62" t="str" cm="1">
        <f t="array" ref="E69" xml:space="preserve"> IFERROR( INDEX(韻母對照表[注音二式], MATCH(TRUE, EXACT(韻母轉換規則!$C69, 韻母對照表[台羅拼音]), 0)), "")</f>
        <v>ng</v>
      </c>
      <c r="F69" s="62" t="s">
        <v>407</v>
      </c>
      <c r="G69" s="65" t="str" cm="1">
        <f t="array" ref="G69" xml:space="preserve"> IFERROR( INDEX(韻母對照表[白話字], MATCH(TRUE, EXACT(韻母轉換規則!$C69, 韻母對照表[台羅拼音]), 0)), "")</f>
        <v>ng</v>
      </c>
      <c r="H69" s="59" t="str" cm="1">
        <f t="array" ref="H69" xml:space="preserve"> IFERROR( INDEX(韻母對照表[十五音識別碼], MATCH(TRUE, EXACT(韻母轉換規則!$C69, 韻母對照表[台羅拼音]), 0)), "")</f>
        <v>鋼舒</v>
      </c>
      <c r="I69" s="62" t="str" cm="1">
        <f t="array" ref="I69" xml:space="preserve"> IFERROR( INDEX(韻母對照表[方音符號], MATCH(TRUE, EXACT(韻母轉換規則!$C69, 韻母對照表[台羅拼音]), 0)), "")</f>
        <v>ㆭ</v>
      </c>
      <c r="J69" s="79"/>
      <c r="K69" s="62" t="str">
        <f>E69</f>
        <v>ng</v>
      </c>
      <c r="L69" s="62" t="str">
        <f t="shared" si="2"/>
        <v>ng</v>
      </c>
      <c r="M69" s="60"/>
      <c r="N69" s="61" t="str">
        <f xml:space="preserve"> IF(AND(K69&lt;&gt;"", L69&lt;&gt;""), "xform/" &amp; $E69 &amp;  "/"  &amp; $D69 &amp;  "/", "")</f>
        <v>xform/ng/ng/</v>
      </c>
    </row>
    <row r="70" spans="1:14" ht="27.75" thickBot="1">
      <c r="A70" s="62">
        <f t="shared" si="3"/>
        <v>68</v>
      </c>
      <c r="B70" s="62" t="s">
        <v>876</v>
      </c>
      <c r="C70" s="62" t="s">
        <v>370</v>
      </c>
      <c r="D70" s="62" t="s">
        <v>370</v>
      </c>
      <c r="E70" s="81" t="str" cm="1">
        <f t="array" ref="E70" xml:space="preserve"> IFERROR( INDEX(韻母對照表[注音二式], MATCH(TRUE, EXACT(韻母轉換規則!$C70, 韻母對照表[台羅拼音]), 0)), "")</f>
        <v>inn</v>
      </c>
      <c r="F70" s="62" t="s">
        <v>372</v>
      </c>
      <c r="G70" s="65" t="str" cm="1">
        <f t="array" ref="G70" xml:space="preserve"> IFERROR( INDEX(韻母對照表[白話字], MATCH(TRUE, EXACT(韻母轉換規則!$C70, 韻母對照表[台羅拼音]), 0)), "")</f>
        <v>iⁿ</v>
      </c>
      <c r="H70" s="59" t="str" cm="1">
        <f t="array" ref="H70" xml:space="preserve"> IFERROR( INDEX(韻母對照表[十五音識別碼], MATCH(TRUE, EXACT(韻母轉換規則!$C70, 韻母對照表[台羅拼音]), 0)), "")</f>
        <v>梔舒</v>
      </c>
      <c r="I70" s="62" t="str" cm="1">
        <f t="array" ref="I70" xml:space="preserve"> IFERROR( INDEX(韻母對照表[方音符號], MATCH(TRUE, EXACT(韻母轉換規則!$C70, 韻母對照表[台羅拼音]), 0)), "")</f>
        <v>ㆪ</v>
      </c>
      <c r="J70" s="79"/>
      <c r="K70" s="62" t="str">
        <f>E70</f>
        <v>inn</v>
      </c>
      <c r="L70" s="62" t="str">
        <f t="shared" si="2"/>
        <v>inn</v>
      </c>
      <c r="M70" s="60"/>
      <c r="N70" s="61" t="str">
        <f xml:space="preserve"> IF(AND(K70&lt;&gt;"", L70&lt;&gt;""), "xform/" &amp; $E70 &amp;  "/"  &amp; $D70 &amp;  "/", "")</f>
        <v>xform/inn/inn/</v>
      </c>
    </row>
    <row r="71" spans="1:14" ht="27.75" thickBot="1">
      <c r="A71" s="62">
        <f t="shared" si="3"/>
        <v>69</v>
      </c>
      <c r="B71" s="62" t="s">
        <v>877</v>
      </c>
      <c r="C71" s="62" t="s">
        <v>178</v>
      </c>
      <c r="D71" s="62" t="s">
        <v>178</v>
      </c>
      <c r="E71" s="62" t="str" cm="1">
        <f t="array" ref="E71" xml:space="preserve"> IFERROR( INDEX(韻母對照表[注音二式], MATCH(TRUE, EXACT(韻母轉換規則!$C71, 韻母對照表[台羅拼音]), 0)), "")</f>
        <v>orh</v>
      </c>
      <c r="F71" s="62" t="s">
        <v>178</v>
      </c>
      <c r="G71" s="65" t="str" cm="1">
        <f t="array" ref="G71" xml:space="preserve"> IFERROR( INDEX(韻母對照表[白話字], MATCH(TRUE, EXACT(韻母轉換規則!$C71, 韻母對照表[台羅拼音]), 0)), "")</f>
        <v>oh</v>
      </c>
      <c r="H71" s="59" t="str" cm="1">
        <f t="array" ref="H71" xml:space="preserve"> IFERROR( INDEX(韻母對照表[十五音識別碼], MATCH(TRUE, EXACT(韻母轉換規則!$C71, 韻母對照表[台羅拼音]), 0)), "")</f>
        <v>高促</v>
      </c>
      <c r="I71" s="62" t="str" cm="1">
        <f t="array" ref="I71" xml:space="preserve"> IFERROR( INDEX(韻母對照表[方音符號], MATCH(TRUE, EXACT(韻母轉換規則!$C71, 韻母對照表[台羅拼音]), 0)), "")</f>
        <v>ㄜㆷ</v>
      </c>
      <c r="J71" s="79"/>
      <c r="K71" s="62" t="str">
        <f>E71</f>
        <v>orh</v>
      </c>
      <c r="L71" s="62" t="str">
        <f t="shared" si="2"/>
        <v>oh</v>
      </c>
      <c r="M71" s="60"/>
      <c r="N71" s="61" t="str">
        <f xml:space="preserve"> IF(AND(K71&lt;&gt;"", L71&lt;&gt;""), "xform/" &amp; $E71 &amp;  "/"  &amp; $D71 &amp;  "/", "")</f>
        <v>xform/orh/oh/</v>
      </c>
    </row>
    <row r="72" spans="1:14" ht="27.75" thickBot="1">
      <c r="A72" s="62">
        <f t="shared" si="3"/>
        <v>70</v>
      </c>
      <c r="B72" s="62" t="s">
        <v>916</v>
      </c>
      <c r="C72" s="62" t="s">
        <v>90</v>
      </c>
      <c r="D72" s="62" t="s">
        <v>90</v>
      </c>
      <c r="E72" s="62" t="str" cm="1">
        <f t="array" ref="E72" xml:space="preserve"> IFERROR( INDEX(韻母對照表[注音二式], MATCH(TRUE, EXACT(韻母轉換規則!$C72, 韻母對照表[台羅拼音]), 0)), "")</f>
        <v>ok</v>
      </c>
      <c r="F72" s="62" t="s">
        <v>90</v>
      </c>
      <c r="G72" s="65" t="str" cm="1">
        <f t="array" ref="G72" xml:space="preserve"> IFERROR( INDEX(韻母對照表[白話字], MATCH(TRUE, EXACT(韻母轉換規則!$C72, 韻母對照表[台羅拼音]), 0)), "")</f>
        <v>ok</v>
      </c>
      <c r="H72" s="59" t="str" cm="1">
        <f t="array" ref="H72" xml:space="preserve"> IFERROR( INDEX(韻母對照表[十五音識別碼], MATCH(TRUE, EXACT(韻母轉換規則!$C72, 韻母對照表[台羅拼音]), 0)), "")</f>
        <v>公促</v>
      </c>
      <c r="I72" s="62" t="str" cm="1">
        <f t="array" ref="I72" xml:space="preserve"> IFERROR( INDEX(韻母對照表[方音符號], MATCH(TRUE, EXACT(韻母轉換規則!$C72, 韻母對照表[台羅拼音]), 0)), "")</f>
        <v>ㆦㆻ</v>
      </c>
      <c r="J72" s="79"/>
      <c r="K72" s="62" t="str">
        <f>E72</f>
        <v>ok</v>
      </c>
      <c r="L72" s="62" t="str">
        <f t="shared" si="2"/>
        <v>ok</v>
      </c>
      <c r="M72" s="60"/>
      <c r="N72" s="61" t="str">
        <f xml:space="preserve"> IF(AND(K72&lt;&gt;"", L72&lt;&gt;""), "xform/" &amp; $E72 &amp;  "/"  &amp; $D72 &amp;  "/", "")</f>
        <v>xform/ok/ok/</v>
      </c>
    </row>
    <row r="73" spans="1:14" ht="27.75" thickBot="1">
      <c r="A73" s="62">
        <f t="shared" si="3"/>
        <v>71</v>
      </c>
      <c r="B73" s="62" t="s">
        <v>879</v>
      </c>
      <c r="C73" s="62" t="s">
        <v>136</v>
      </c>
      <c r="D73" s="62" t="s">
        <v>136</v>
      </c>
      <c r="E73" s="81" t="str" cm="1">
        <f t="array" ref="E73" xml:space="preserve"> IFERROR( INDEX(韻母對照表[注音二式], MATCH(TRUE, EXACT(韻母轉換規則!$C73, 韻母對照表[台羅拼音]), 0)), "")</f>
        <v>oo</v>
      </c>
      <c r="F73" s="62" t="s">
        <v>136</v>
      </c>
      <c r="G73" s="64" t="str" cm="1">
        <f t="array" ref="G73" xml:space="preserve"> IFERROR( INDEX(韻母對照表[白話字], MATCH(TRUE, EXACT(韻母轉換規則!$C73, 韻母對照表[台羅拼音]), 0)), "")</f>
        <v>o͘</v>
      </c>
      <c r="H73" s="59" t="str" cm="1">
        <f t="array" ref="H73" xml:space="preserve"> IFERROR( INDEX(韻母對照表[十五音識別碼], MATCH(TRUE, EXACT(韻母轉換規則!$C73, 韻母對照表[台羅拼音]), 0)), "")</f>
        <v>沽舒</v>
      </c>
      <c r="I73" s="62" t="str" cm="1">
        <f t="array" ref="I73" xml:space="preserve"> IFERROR( INDEX(韻母對照表[方音符號], MATCH(TRUE, EXACT(韻母轉換規則!$C73, 韻母對照表[台羅拼音]), 0)), "")</f>
        <v>ㆦ</v>
      </c>
      <c r="J73" s="79"/>
      <c r="K73" s="62" t="str">
        <f>E73</f>
        <v>oo</v>
      </c>
      <c r="L73" s="62" t="str">
        <f t="shared" si="2"/>
        <v>oo</v>
      </c>
      <c r="M73" s="60"/>
      <c r="N73" s="61" t="str">
        <f xml:space="preserve"> IF(AND(K73&lt;&gt;"", L73&lt;&gt;""), "xform/" &amp; $E73 &amp;  "/"  &amp; $D73 &amp;  "/", "")</f>
        <v>xform/oo/oo/</v>
      </c>
    </row>
    <row r="74" spans="1:14" ht="27.75" thickBot="1">
      <c r="A74" s="62">
        <f t="shared" si="3"/>
        <v>72</v>
      </c>
      <c r="B74" s="62" t="s">
        <v>912</v>
      </c>
      <c r="C74" s="62" t="s">
        <v>485</v>
      </c>
      <c r="D74" s="62" t="s">
        <v>485</v>
      </c>
      <c r="E74" s="62" t="str" cm="1">
        <f t="array" ref="E74" xml:space="preserve"> IFERROR( INDEX(韻母對照表[注音二式], MATCH(TRUE, EXACT(韻母轉換規則!$C74, 韻母對照表[台羅拼音]), 0)), "")</f>
        <v>oop</v>
      </c>
      <c r="F74" s="62" t="s">
        <v>485</v>
      </c>
      <c r="G74" s="65" t="str" cm="1">
        <f t="array" ref="G74" xml:space="preserve"> IFERROR( INDEX(韻母對照表[白話字], MATCH(TRUE, EXACT(韻母轉換規則!$C74, 韻母對照表[台羅拼音]), 0)), "")</f>
        <v>op</v>
      </c>
      <c r="H74" s="59" t="str" cm="1">
        <f t="array" ref="H74" xml:space="preserve"> IFERROR( INDEX(韻母對照表[十五音識別碼], MATCH(TRUE, EXACT(韻母轉換規則!$C74, 韻母對照表[台羅拼音]), 0)), "")</f>
        <v>箴促</v>
      </c>
      <c r="I74" s="62" t="str" cm="1">
        <f t="array" ref="I74" xml:space="preserve"> IFERROR( INDEX(韻母對照表[方音符號], MATCH(TRUE, EXACT(韻母轉換規則!$C74, 韻母對照表[台羅拼音]), 0)), "")</f>
        <v>ㆦㆴ</v>
      </c>
      <c r="J74" s="79"/>
      <c r="K74" s="62" t="str">
        <f>E74</f>
        <v>oop</v>
      </c>
      <c r="L74" s="62" t="str">
        <f t="shared" si="2"/>
        <v>op</v>
      </c>
      <c r="M74" s="60"/>
      <c r="N74" s="61" t="str">
        <f xml:space="preserve"> IF(AND(K74&lt;&gt;"", L74&lt;&gt;""), "xform/" &amp; $E74 &amp;  "/"  &amp; $D74 &amp;  "/", "")</f>
        <v>xform/oop/op/</v>
      </c>
    </row>
    <row r="75" spans="1:14" ht="27.75" thickBot="1">
      <c r="A75" s="62">
        <f t="shared" si="3"/>
        <v>73</v>
      </c>
      <c r="B75" s="62" t="s">
        <v>223</v>
      </c>
      <c r="C75" s="62" t="s">
        <v>223</v>
      </c>
      <c r="D75" s="62" t="s">
        <v>223</v>
      </c>
      <c r="E75" s="62" t="str" cm="1">
        <f t="array" ref="E75" xml:space="preserve"> IFERROR( INDEX(韻母對照表[注音二式], MATCH(TRUE, EXACT(韻母轉換規則!$C75, 韻母對照表[台羅拼音]), 0)), "")</f>
        <v>ua</v>
      </c>
      <c r="F75" s="62" t="s">
        <v>881</v>
      </c>
      <c r="G75" s="64" t="str" cm="1">
        <f t="array" ref="G75" xml:space="preserve"> IFERROR( INDEX(韻母對照表[白話字], MATCH(TRUE, EXACT(韻母轉換規則!$C75, 韻母對照表[台羅拼音]), 0)), "")</f>
        <v>oa</v>
      </c>
      <c r="H75" s="59" t="str" cm="1">
        <f t="array" ref="H75" xml:space="preserve"> IFERROR( INDEX(韻母對照表[十五音識別碼], MATCH(TRUE, EXACT(韻母轉換規則!$C75, 韻母對照表[台羅拼音]), 0)), "")</f>
        <v>瓜舒</v>
      </c>
      <c r="I75" s="62" t="str" cm="1">
        <f t="array" ref="I75" xml:space="preserve"> IFERROR( INDEX(韻母對照表[方音符號], MATCH(TRUE, EXACT(韻母轉換規則!$C75, 韻母對照表[台羅拼音]), 0)), "")</f>
        <v>ㄨㄚ</v>
      </c>
      <c r="J75" s="79"/>
      <c r="K75" s="62" t="str">
        <f>E75</f>
        <v>ua</v>
      </c>
      <c r="L75" s="62" t="str">
        <f t="shared" si="2"/>
        <v>ua</v>
      </c>
      <c r="M75" s="60"/>
      <c r="N75" s="61" t="str">
        <f xml:space="preserve"> IF(AND(K75&lt;&gt;"", L75&lt;&gt;""), "xform/" &amp; $E75 &amp;  "/"  &amp; $D75 &amp;  "/", "")</f>
        <v>xform/ua/ua/</v>
      </c>
    </row>
    <row r="76" spans="1:14" ht="27.75" thickBot="1">
      <c r="A76" s="62">
        <f t="shared" si="3"/>
        <v>74</v>
      </c>
      <c r="B76" s="62" t="s">
        <v>285</v>
      </c>
      <c r="C76" s="62" t="s">
        <v>285</v>
      </c>
      <c r="D76" s="62" t="s">
        <v>285</v>
      </c>
      <c r="E76" s="81" t="str" cm="1">
        <f t="array" ref="E76" xml:space="preserve"> IFERROR( INDEX(韻母對照表[注音二式], MATCH(TRUE, EXACT(韻母轉換規則!$C76, 韻母對照表[台羅拼音]), 0)), "")</f>
        <v>ue</v>
      </c>
      <c r="F76" s="62" t="s">
        <v>285</v>
      </c>
      <c r="G76" s="64" t="str" cm="1">
        <f t="array" ref="G76" xml:space="preserve"> IFERROR( INDEX(韻母對照表[白話字], MATCH(TRUE, EXACT(韻母轉換規則!$C76, 韻母對照表[台羅拼音]), 0)), "")</f>
        <v>oe</v>
      </c>
      <c r="H76" s="59" t="str" cm="1">
        <f t="array" ref="H76" xml:space="preserve"> IFERROR( INDEX(韻母對照表[十五音識別碼], MATCH(TRUE, EXACT(韻母轉換規則!$C76, 韻母對照表[台羅拼音]), 0)), "")</f>
        <v>檜舒</v>
      </c>
      <c r="I76" s="62" t="str" cm="1">
        <f t="array" ref="I76" xml:space="preserve"> IFERROR( INDEX(韻母對照表[方音符號], MATCH(TRUE, EXACT(韻母轉換規則!$C76, 韻母對照表[台羅拼音]), 0)), "")</f>
        <v>ㄨㆤ</v>
      </c>
      <c r="J76" s="79"/>
      <c r="K76" s="62" t="str">
        <f>E76</f>
        <v>ue</v>
      </c>
      <c r="L76" s="62" t="str">
        <f t="shared" si="2"/>
        <v>ue</v>
      </c>
      <c r="M76" s="60"/>
      <c r="N76" s="61" t="str">
        <f xml:space="preserve"> IF(AND(K76&lt;&gt;"", L76&lt;&gt;""), "xform/" &amp; $E76 &amp;  "/"  &amp; $D76 &amp;  "/", "")</f>
        <v>xform/ue/ue/</v>
      </c>
    </row>
    <row r="77" spans="1:14" ht="27.75" thickBot="1">
      <c r="A77" s="62">
        <f t="shared" si="3"/>
        <v>75</v>
      </c>
      <c r="B77" s="62" t="s">
        <v>882</v>
      </c>
      <c r="C77" s="62" t="s">
        <v>313</v>
      </c>
      <c r="D77" s="62" t="s">
        <v>313</v>
      </c>
      <c r="E77" s="62" t="str" cm="1">
        <f t="array" ref="E77" xml:space="preserve"> IFERROR( INDEX(韻母對照表[注音二式], MATCH(TRUE, EXACT(韻母轉換規則!$C77, 韻母對照表[台羅拼音]), 0)), "")</f>
        <v>uh</v>
      </c>
      <c r="F77" s="62" t="s">
        <v>313</v>
      </c>
      <c r="G77" s="65" t="str" cm="1">
        <f t="array" ref="G77" xml:space="preserve"> IFERROR( INDEX(韻母對照表[白話字], MATCH(TRUE, EXACT(韻母轉換規則!$C77, 韻母對照表[台羅拼音]), 0)), "")</f>
        <v>uh</v>
      </c>
      <c r="H77" s="59" t="str" cm="1">
        <f t="array" ref="H77" xml:space="preserve"> IFERROR( INDEX(韻母對照表[十五音識別碼], MATCH(TRUE, EXACT(韻母轉換規則!$C77, 韻母對照表[台羅拼音]), 0)), "")</f>
        <v>艍促</v>
      </c>
      <c r="I77" s="62" t="str" cm="1">
        <f t="array" ref="I77" xml:space="preserve"> IFERROR( INDEX(韻母對照表[方音符號], MATCH(TRUE, EXACT(韻母轉換規則!$C77, 韻母對照表[台羅拼音]), 0)), "")</f>
        <v>ㄨㆷ</v>
      </c>
      <c r="J77" s="79"/>
      <c r="K77" s="62" t="str">
        <f>E77</f>
        <v>uh</v>
      </c>
      <c r="L77" s="62" t="str">
        <f t="shared" si="2"/>
        <v>uh</v>
      </c>
      <c r="M77" s="60"/>
      <c r="N77" s="61" t="str">
        <f xml:space="preserve"> IF(AND(K77&lt;&gt;"", L77&lt;&gt;""), "xform/" &amp; $E77 &amp;  "/"  &amp; $D77 &amp;  "/", "")</f>
        <v>xform/uh/uh/</v>
      </c>
    </row>
    <row r="78" spans="1:14" ht="27.75" thickBot="1">
      <c r="A78" s="62">
        <f t="shared" si="3"/>
        <v>76</v>
      </c>
      <c r="B78" s="62" t="s">
        <v>50</v>
      </c>
      <c r="C78" s="62" t="s">
        <v>50</v>
      </c>
      <c r="D78" s="62" t="s">
        <v>50</v>
      </c>
      <c r="E78" s="62" t="str" cm="1">
        <f t="array" ref="E78" xml:space="preserve"> IFERROR( INDEX(韻母對照表[注音二式], MATCH(TRUE, EXACT(韻母轉換規則!$C78, 韻母對照表[台羅拼音]), 0)), "")</f>
        <v>ui</v>
      </c>
      <c r="F78" s="62" t="s">
        <v>50</v>
      </c>
      <c r="G78" s="65" t="str" cm="1">
        <f t="array" ref="G78" xml:space="preserve"> IFERROR( INDEX(韻母對照表[白話字], MATCH(TRUE, EXACT(韻母轉換規則!$C78, 韻母對照表[台羅拼音]), 0)), "")</f>
        <v>ui</v>
      </c>
      <c r="H78" s="59" t="str" cm="1">
        <f t="array" ref="H78" xml:space="preserve"> IFERROR( INDEX(韻母對照表[十五音識別碼], MATCH(TRUE, EXACT(韻母轉換規則!$C78, 韻母對照表[台羅拼音]), 0)), "")</f>
        <v>規舒</v>
      </c>
      <c r="I78" s="62" t="str" cm="1">
        <f t="array" ref="I78" xml:space="preserve"> IFERROR( INDEX(韻母對照表[方音符號], MATCH(TRUE, EXACT(韻母轉換規則!$C78, 韻母對照表[台羅拼音]), 0)), "")</f>
        <v>ㄨㄧ</v>
      </c>
      <c r="J78" s="79"/>
      <c r="K78" s="62" t="str">
        <f>E78</f>
        <v>ui</v>
      </c>
      <c r="L78" s="62" t="str">
        <f t="shared" si="2"/>
        <v>ui</v>
      </c>
      <c r="M78" s="60"/>
      <c r="N78" s="61" t="str">
        <f xml:space="preserve"> IF(AND(K78&lt;&gt;"", L78&lt;&gt;""), "xform/" &amp; $E78 &amp;  "/"  &amp; $D78 &amp;  "/", "")</f>
        <v>xform/ui/ui/</v>
      </c>
    </row>
    <row r="79" spans="1:14" ht="27.75" thickBot="1">
      <c r="A79" s="62">
        <f t="shared" si="3"/>
        <v>77</v>
      </c>
      <c r="B79" s="62" t="s">
        <v>14</v>
      </c>
      <c r="C79" s="62" t="s">
        <v>14</v>
      </c>
      <c r="D79" s="62" t="s">
        <v>14</v>
      </c>
      <c r="E79" s="62" t="str" cm="1">
        <f t="array" ref="E79" xml:space="preserve"> IFERROR( INDEX(韻母對照表[注音二式], MATCH(TRUE, EXACT(韻母轉換規則!$C79, 韻母對照表[台羅拼音]), 0)), "")</f>
        <v>un</v>
      </c>
      <c r="F79" s="62" t="s">
        <v>14</v>
      </c>
      <c r="G79" s="65" t="str" cm="1">
        <f t="array" ref="G79" xml:space="preserve"> IFERROR( INDEX(韻母對照表[白話字], MATCH(TRUE, EXACT(韻母轉換規則!$C79, 韻母對照表[台羅拼音]), 0)), "")</f>
        <v>un</v>
      </c>
      <c r="H79" s="59" t="str" cm="1">
        <f t="array" ref="H79" xml:space="preserve"> IFERROR( INDEX(韻母對照表[十五音識別碼], MATCH(TRUE, EXACT(韻母轉換規則!$C79, 韻母對照表[台羅拼音]), 0)), "")</f>
        <v>君舒</v>
      </c>
      <c r="I79" s="62" t="str" cm="1">
        <f t="array" ref="I79" xml:space="preserve"> IFERROR( INDEX(韻母對照表[方音符號], MATCH(TRUE, EXACT(韻母轉換規則!$C79, 韻母對照表[台羅拼音]), 0)), "")</f>
        <v>ㄨㄣ</v>
      </c>
      <c r="J79" s="79"/>
      <c r="K79" s="62" t="str">
        <f>E79</f>
        <v>un</v>
      </c>
      <c r="L79" s="62" t="str">
        <f t="shared" si="2"/>
        <v>un</v>
      </c>
      <c r="M79" s="60"/>
      <c r="N79" s="61" t="str">
        <f xml:space="preserve"> IF(AND(K79&lt;&gt;"", L79&lt;&gt;""), "xform/" &amp; $E79 &amp;  "/"  &amp; $D79 &amp;  "/", "")</f>
        <v>xform/un/un/</v>
      </c>
    </row>
    <row r="80" spans="1:14" ht="27.75" thickBot="1">
      <c r="A80" s="62">
        <f t="shared" si="3"/>
        <v>78</v>
      </c>
      <c r="B80" s="62" t="s">
        <v>908</v>
      </c>
      <c r="C80" s="62" t="s">
        <v>22</v>
      </c>
      <c r="D80" s="62" t="s">
        <v>22</v>
      </c>
      <c r="E80" s="62" t="str" cm="1">
        <f t="array" ref="E80" xml:space="preserve"> IFERROR( INDEX(韻母對照表[注音二式], MATCH(TRUE, EXACT(韻母轉換規則!$C80, 韻母對照表[台羅拼音]), 0)), "")</f>
        <v>ut</v>
      </c>
      <c r="F80" s="62" t="s">
        <v>22</v>
      </c>
      <c r="G80" s="65" t="str" cm="1">
        <f t="array" ref="G80" xml:space="preserve"> IFERROR( INDEX(韻母對照表[白話字], MATCH(TRUE, EXACT(韻母轉換規則!$C80, 韻母對照表[台羅拼音]), 0)), "")</f>
        <v>ut</v>
      </c>
      <c r="H80" s="59" t="str" cm="1">
        <f t="array" ref="H80" xml:space="preserve"> IFERROR( INDEX(韻母對照表[十五音識別碼], MATCH(TRUE, EXACT(韻母轉換規則!$C80, 韻母對照表[台羅拼音]), 0)), "")</f>
        <v>君促</v>
      </c>
      <c r="I80" s="62" t="str" cm="1">
        <f t="array" ref="I80" xml:space="preserve"> IFERROR( INDEX(韻母對照表[方音符號], MATCH(TRUE, EXACT(韻母轉換規則!$C80, 韻母對照表[台羅拼音]), 0)), "")</f>
        <v>ㄨㆵ</v>
      </c>
      <c r="J80" s="79"/>
      <c r="K80" s="62" t="str">
        <f>E80</f>
        <v>ut</v>
      </c>
      <c r="L80" s="62" t="str">
        <f t="shared" si="2"/>
        <v>ut</v>
      </c>
      <c r="M80" s="60"/>
      <c r="N80" s="61" t="str">
        <f xml:space="preserve"> IF(AND(K80&lt;&gt;"", L80&lt;&gt;""), "xform/" &amp; $E80 &amp;  "/"  &amp; $D80 &amp;  "/", "")</f>
        <v>xform/ut/ut/</v>
      </c>
    </row>
    <row r="81" spans="1:14" ht="27.75" thickBot="1">
      <c r="A81" s="62">
        <f t="shared" si="3"/>
        <v>79</v>
      </c>
      <c r="B81" s="62" t="s">
        <v>316</v>
      </c>
      <c r="C81" s="62" t="s">
        <v>316</v>
      </c>
      <c r="D81" s="62" t="s">
        <v>316</v>
      </c>
      <c r="E81" s="62" t="str" cm="1">
        <f t="array" ref="E81" xml:space="preserve"> IFERROR( INDEX(韻母對照表[注音二式], MATCH(TRUE, EXACT(韻母轉換規則!$C81, 韻母對照表[台羅拼音]), 0)), "")</f>
        <v>a</v>
      </c>
      <c r="F81" s="62" t="s">
        <v>883</v>
      </c>
      <c r="G81" s="65" t="str" cm="1">
        <f t="array" ref="G81" xml:space="preserve"> IFERROR( INDEX(韻母對照表[白話字], MATCH(TRUE, EXACT(韻母轉換規則!$C81, 韻母對照表[台羅拼音]), 0)), "")</f>
        <v>a</v>
      </c>
      <c r="H81" s="59" t="str" cm="1">
        <f t="array" ref="H81" xml:space="preserve"> IFERROR( INDEX(韻母對照表[十五音識別碼], MATCH(TRUE, EXACT(韻母轉換規則!$C81, 韻母對照表[台羅拼音]), 0)), "")</f>
        <v>膠舒</v>
      </c>
      <c r="I81" s="62" t="str" cm="1">
        <f t="array" ref="I81" xml:space="preserve"> IFERROR( INDEX(韻母對照表[方音符號], MATCH(TRUE, EXACT(韻母轉換規則!$C81, 韻母對照表[台羅拼音]), 0)), "")</f>
        <v>ㄚ</v>
      </c>
      <c r="J81" s="79"/>
      <c r="K81" s="62" t="str">
        <f>E81</f>
        <v>a</v>
      </c>
      <c r="L81" s="62" t="str">
        <f t="shared" si="2"/>
        <v>a</v>
      </c>
      <c r="M81" s="60"/>
      <c r="N81" s="61" t="str">
        <f xml:space="preserve"> IF(AND(K81&lt;&gt;"", L81&lt;&gt;""), "xform/" &amp; $E81 &amp;  "/"  &amp; $D81 &amp;  "/", "")</f>
        <v>xform/a/a/</v>
      </c>
    </row>
    <row r="82" spans="1:14" ht="27.75" thickBot="1">
      <c r="A82" s="62">
        <f t="shared" si="3"/>
        <v>80</v>
      </c>
      <c r="B82" s="62" t="s">
        <v>60</v>
      </c>
      <c r="C82" s="62" t="s">
        <v>60</v>
      </c>
      <c r="D82" s="62" t="s">
        <v>60</v>
      </c>
      <c r="E82" s="62" t="str" cm="1">
        <f t="array" ref="E82" xml:space="preserve"> IFERROR( INDEX(韻母對照表[注音二式], MATCH(TRUE, EXACT(韻母轉換規則!$C82, 韻母對照表[台羅拼音]), 0)), "")</f>
        <v>e</v>
      </c>
      <c r="F82" s="62" t="s">
        <v>60</v>
      </c>
      <c r="G82" s="65" cm="1">
        <f t="array" ref="G82" xml:space="preserve"> IFERROR( INDEX(韻母對照表[白話字], MATCH(TRUE, EXACT(韻母轉換規則!$C82, 韻母對照表[台羅拼音]), 0)), "")</f>
        <v>0</v>
      </c>
      <c r="H82" s="59" t="str" cm="1">
        <f t="array" ref="H82" xml:space="preserve"> IFERROR( INDEX(韻母對照表[十五音識別碼], MATCH(TRUE, EXACT(韻母轉換規則!$C82, 韻母對照表[台羅拼音]), 0)), "")</f>
        <v>稽舒</v>
      </c>
      <c r="I82" s="62" t="str" cm="1">
        <f t="array" ref="I82" xml:space="preserve"> IFERROR( INDEX(韻母對照表[方音符號], MATCH(TRUE, EXACT(韻母轉換規則!$C82, 韻母對照表[台羅拼音]), 0)), "")</f>
        <v>ㆤ</v>
      </c>
      <c r="J82" s="79"/>
      <c r="K82" s="62" t="str">
        <f>E82</f>
        <v>e</v>
      </c>
      <c r="L82" s="62" t="str">
        <f t="shared" si="2"/>
        <v>e</v>
      </c>
      <c r="M82" s="60"/>
      <c r="N82" s="61" t="str">
        <f xml:space="preserve"> IF(AND(K82&lt;&gt;"", L82&lt;&gt;""), "xform/" &amp; $E82 &amp;  "/"  &amp; $D82 &amp;  "/", "")</f>
        <v>xform/e/e/</v>
      </c>
    </row>
    <row r="83" spans="1:14" ht="27.75" thickBot="1">
      <c r="A83" s="62">
        <f t="shared" si="3"/>
        <v>81</v>
      </c>
      <c r="B83" s="62" t="s">
        <v>324</v>
      </c>
      <c r="C83" s="62" t="s">
        <v>324</v>
      </c>
      <c r="D83" s="62" t="s">
        <v>324</v>
      </c>
      <c r="E83" s="62" t="str" cm="1">
        <f t="array" ref="E83" xml:space="preserve"> IFERROR( INDEX(韻母對照表[注音二式], MATCH(TRUE, EXACT(韻母轉換規則!$C83, 韻母對照表[台羅拼音]), 0)), "")</f>
        <v>i</v>
      </c>
      <c r="F83" s="62" t="s">
        <v>324</v>
      </c>
      <c r="G83" s="65" t="str" cm="1">
        <f t="array" ref="G83" xml:space="preserve"> IFERROR( INDEX(韻母對照表[白話字], MATCH(TRUE, EXACT(韻母轉換規則!$C83, 韻母對照表[台羅拼音]), 0)), "")</f>
        <v>i</v>
      </c>
      <c r="H83" s="59" t="str" cm="1">
        <f t="array" ref="H83" xml:space="preserve"> IFERROR( INDEX(韻母對照表[十五音識別碼], MATCH(TRUE, EXACT(韻母轉換規則!$C83, 韻母對照表[台羅拼音]), 0)), "")</f>
        <v>居舒</v>
      </c>
      <c r="I83" s="62" t="str" cm="1">
        <f t="array" ref="I83" xml:space="preserve"> IFERROR( INDEX(韻母對照表[方音符號], MATCH(TRUE, EXACT(韻母轉換規則!$C83, 韻母對照表[台羅拼音]), 0)), "")</f>
        <v>ㄧ</v>
      </c>
      <c r="J83" s="79"/>
      <c r="K83" s="62" t="str">
        <f>E83</f>
        <v>i</v>
      </c>
      <c r="L83" s="62" t="str">
        <f t="shared" si="2"/>
        <v>i</v>
      </c>
      <c r="M83" s="60"/>
      <c r="N83" s="61" t="str">
        <f xml:space="preserve"> IF(AND(K83&lt;&gt;"", L83&lt;&gt;""), "xform/" &amp; $E83 &amp;  "/"  &amp; $D83 &amp;  "/", "")</f>
        <v>xform/i/i/</v>
      </c>
    </row>
    <row r="84" spans="1:14" ht="27.75" thickBot="1">
      <c r="A84" s="62">
        <f t="shared" si="3"/>
        <v>82</v>
      </c>
      <c r="B84" s="62" t="s">
        <v>430</v>
      </c>
      <c r="C84" s="62" t="s">
        <v>432</v>
      </c>
      <c r="D84" s="62" t="s">
        <v>432</v>
      </c>
      <c r="E84" s="62" t="str" cm="1">
        <f t="array" ref="E84" xml:space="preserve"> IFERROR( INDEX(韻母對照表[注音二式], MATCH(TRUE, EXACT(韻母轉換規則!$C84, 韻母對照表[台羅拼音]), 0)), "")</f>
        <v>m</v>
      </c>
      <c r="F84" s="62" t="s">
        <v>432</v>
      </c>
      <c r="G84" s="65" t="str" cm="1">
        <f t="array" ref="G84" xml:space="preserve"> IFERROR( INDEX(韻母對照表[白話字], MATCH(TRUE, EXACT(韻母轉換規則!$C84, 韻母對照表[台羅拼音]), 0)), "")</f>
        <v>m</v>
      </c>
      <c r="H84" s="59" t="str" cm="1">
        <f t="array" ref="H84" xml:space="preserve"> IFERROR( INDEX(韻母對照表[十五音識別碼], MATCH(TRUE, EXACT(韻母轉換規則!$C84, 韻母對照表[台羅拼音]), 0)), "")</f>
        <v>姆舒</v>
      </c>
      <c r="I84" s="62" t="str" cm="1">
        <f t="array" ref="I84" xml:space="preserve"> IFERROR( INDEX(韻母對照表[方音符號], MATCH(TRUE, EXACT(韻母轉換規則!$C84, 韻母對照表[台羅拼音]), 0)), "")</f>
        <v>ㆬ</v>
      </c>
      <c r="J84" s="79"/>
      <c r="K84" s="62" t="str">
        <f>E84</f>
        <v>m</v>
      </c>
      <c r="L84" s="62" t="str">
        <f t="shared" si="2"/>
        <v>m</v>
      </c>
      <c r="M84" s="60"/>
      <c r="N84" s="61" t="str">
        <f xml:space="preserve"> IF(AND(K84&lt;&gt;"", L84&lt;&gt;""), "xform/" &amp; $E84 &amp;  "/"  &amp; $D84 &amp;  "/", "")</f>
        <v>xform/m/m/</v>
      </c>
    </row>
    <row r="85" spans="1:14" ht="27.75" thickBot="1">
      <c r="A85" s="62">
        <f t="shared" si="3"/>
        <v>83</v>
      </c>
      <c r="B85" s="62" t="s">
        <v>171</v>
      </c>
      <c r="C85" s="62" t="s">
        <v>171</v>
      </c>
      <c r="D85" s="62" t="s">
        <v>171</v>
      </c>
      <c r="E85" s="62" t="str" cm="1">
        <f t="array" ref="E85" xml:space="preserve"> IFERROR( INDEX(韻母對照表[注音二式], MATCH(TRUE, EXACT(韻母轉換規則!$C85, 韻母對照表[台羅拼音]), 0)), "")</f>
        <v>or</v>
      </c>
      <c r="F85" s="62" t="s">
        <v>171</v>
      </c>
      <c r="G85" s="65" t="str" cm="1">
        <f t="array" ref="G85" xml:space="preserve"> IFERROR( INDEX(韻母對照表[白話字], MATCH(TRUE, EXACT(韻母轉換規則!$C85, 韻母對照表[台羅拼音]), 0)), "")</f>
        <v>o</v>
      </c>
      <c r="H85" s="59" t="str" cm="1">
        <f t="array" ref="H85" xml:space="preserve"> IFERROR( INDEX(韻母對照表[十五音識別碼], MATCH(TRUE, EXACT(韻母轉換規則!$C85, 韻母對照表[台羅拼音]), 0)), "")</f>
        <v>高舒</v>
      </c>
      <c r="I85" s="62" t="str" cm="1">
        <f t="array" ref="I85" xml:space="preserve"> IFERROR( INDEX(韻母對照表[方音符號], MATCH(TRUE, EXACT(韻母轉換規則!$C85, 韻母對照表[台羅拼音]), 0)), "")</f>
        <v>ㄜ</v>
      </c>
      <c r="J85" s="79"/>
      <c r="K85" s="62" t="str">
        <f>E85</f>
        <v>or</v>
      </c>
      <c r="L85" s="62" t="str">
        <f t="shared" si="2"/>
        <v>o</v>
      </c>
      <c r="M85" s="60"/>
      <c r="N85" s="61" t="str">
        <f xml:space="preserve"> IF(AND(K85&lt;&gt;"", L85&lt;&gt;""), "xform/" &amp; $E85 &amp;  "/"  &amp; $D85 &amp;  "/", "")</f>
        <v>xform/or/o/</v>
      </c>
    </row>
    <row r="86" spans="1:14" ht="27.75" thickBot="1">
      <c r="A86" s="62">
        <f t="shared" si="3"/>
        <v>84</v>
      </c>
      <c r="B86" s="62" t="s">
        <v>308</v>
      </c>
      <c r="C86" s="62" t="s">
        <v>308</v>
      </c>
      <c r="D86" s="62" t="s">
        <v>308</v>
      </c>
      <c r="E86" s="62" t="str" cm="1">
        <f t="array" ref="E86" xml:space="preserve"> IFERROR( INDEX(韻母對照表[注音二式], MATCH(TRUE, EXACT(韻母轉換規則!$C86, 韻母對照表[台羅拼音]), 0)), "")</f>
        <v>u</v>
      </c>
      <c r="F86" s="62" t="s">
        <v>308</v>
      </c>
      <c r="G86" s="65" t="str" cm="1">
        <f t="array" ref="G86" xml:space="preserve"> IFERROR( INDEX(韻母對照表[白話字], MATCH(TRUE, EXACT(韻母轉換規則!$C86, 韻母對照表[台羅拼音]), 0)), "")</f>
        <v>u</v>
      </c>
      <c r="H86" s="59" t="str" cm="1">
        <f t="array" ref="H86" xml:space="preserve"> IFERROR( INDEX(韻母對照表[十五音識別碼], MATCH(TRUE, EXACT(韻母轉換規則!$C86, 韻母對照表[台羅拼音]), 0)), "")</f>
        <v>艍舒</v>
      </c>
      <c r="I86" s="62" t="str" cm="1">
        <f t="array" ref="I86" xml:space="preserve"> IFERROR( INDEX(韻母對照表[方音符號], MATCH(TRUE, EXACT(韻母轉換規則!$C86, 韻母對照表[台羅拼音]), 0)), "")</f>
        <v>ㄨ</v>
      </c>
      <c r="J86" s="79"/>
      <c r="K86" s="62" t="str">
        <f>E86</f>
        <v>u</v>
      </c>
      <c r="L86" s="62" t="str">
        <f t="shared" si="2"/>
        <v>u</v>
      </c>
      <c r="M86" s="60"/>
      <c r="N86" s="61" t="str">
        <f xml:space="preserve"> IF(AND(K86&lt;&gt;"", L86&lt;&gt;""), "xform/" &amp; $E86 &amp;  "/"  &amp; $D86 &amp;  "/", "")</f>
        <v>xform/u/u/</v>
      </c>
    </row>
    <row r="87" spans="1:14" ht="27.75" thickBot="1">
      <c r="A87" s="62">
        <f t="shared" si="3"/>
        <v>85</v>
      </c>
      <c r="B87" s="62" t="s">
        <v>476</v>
      </c>
      <c r="C87" s="62" t="s">
        <v>479</v>
      </c>
      <c r="D87" s="62" t="s">
        <v>479</v>
      </c>
      <c r="E87" s="62" t="str" cm="1">
        <f t="array" ref="E87" xml:space="preserve"> IFERROR( INDEX(韻母對照表[注音二式], MATCH(TRUE, EXACT(韻母轉換規則!$C87, 韻母對照表[台羅拼音]), 0)), "")</f>
        <v/>
      </c>
      <c r="F87" s="62" t="s">
        <v>645</v>
      </c>
      <c r="G87" s="65" t="str" cm="1">
        <f t="array" ref="G87" xml:space="preserve"> IFERROR( INDEX(韻母對照表[白話字], MATCH(TRUE, EXACT(韻母轉換規則!$C87, 韻母對照表[台羅拼音]), 0)), "")</f>
        <v/>
      </c>
      <c r="H87" s="59" t="str" cm="1">
        <f t="array" ref="H87" xml:space="preserve"> IFERROR( INDEX(韻母對照表[十五音識別碼], MATCH(TRUE, EXACT(韻母轉換規則!$C87, 韻母對照表[台羅拼音]), 0)), "")</f>
        <v/>
      </c>
      <c r="I87" s="62" t="str" cm="1">
        <f t="array" ref="I87" xml:space="preserve"> IFERROR( INDEX(韻母對照表[方音符號], MATCH(TRUE, EXACT(韻母轉換規則!$C87, 韻母對照表[台羅拼音]), 0)), "")</f>
        <v/>
      </c>
      <c r="J87" s="79"/>
      <c r="K87" s="62" t="str">
        <f>E87</f>
        <v/>
      </c>
      <c r="L87" s="62" t="str">
        <f t="shared" si="2"/>
        <v>om</v>
      </c>
      <c r="M87" s="60"/>
      <c r="N87" s="61" t="str">
        <f xml:space="preserve"> IF(AND(K87&lt;&gt;"", L87&lt;&gt;""), "xform/" &amp; $E87 &amp;  "/"  &amp; $D87 &amp;  "/", "")</f>
        <v/>
      </c>
    </row>
    <row r="88" spans="1:14" ht="27.75" thickBot="1">
      <c r="A88" s="62">
        <f t="shared" si="3"/>
        <v>86</v>
      </c>
      <c r="B88" s="62" t="s">
        <v>380</v>
      </c>
      <c r="C88" s="62" t="s">
        <v>383</v>
      </c>
      <c r="D88" s="62" t="s">
        <v>383</v>
      </c>
      <c r="E88" s="62" t="str" cm="1">
        <f t="array" ref="E88" xml:space="preserve"> IFERROR( INDEX(韻母對照表[注音二式], MATCH(TRUE, EXACT(韻母轉換規則!$C88, 韻母對照表[台羅拼音]), 0)), "")</f>
        <v>ioonn</v>
      </c>
      <c r="F88" s="62" t="s">
        <v>645</v>
      </c>
      <c r="G88" s="64" t="str" cm="1">
        <f t="array" ref="G88" xml:space="preserve"> IFERROR( INDEX(韻母對照表[白話字], MATCH(TRUE, EXACT(韻母轉換規則!$C88, 韻母對照表[台羅拼音]), 0)), "")</f>
        <v>ioⁿ</v>
      </c>
      <c r="H88" s="59" t="str" cm="1">
        <f t="array" ref="H88" xml:space="preserve"> IFERROR( INDEX(韻母對照表[十五音識別碼], MATCH(TRUE, EXACT(韻母轉換規則!$C88, 韻母對照表[台羅拼音]), 0)), "")</f>
        <v>薑舒</v>
      </c>
      <c r="I88" s="62" t="str" cm="1">
        <f t="array" ref="I88" xml:space="preserve"> IFERROR( INDEX(韻母對照表[方音符號], MATCH(TRUE, EXACT(韻母轉換規則!$C88, 韻母對照表[台羅拼音]), 0)), "")</f>
        <v>ㄧㆧ</v>
      </c>
      <c r="J88" s="79"/>
      <c r="K88" s="62" t="str">
        <f>E88</f>
        <v>ioonn</v>
      </c>
      <c r="L88" s="62" t="str">
        <f t="shared" si="2"/>
        <v>ionn</v>
      </c>
      <c r="M88" s="60"/>
      <c r="N88" s="61" t="str">
        <f xml:space="preserve"> IF(AND(K88&lt;&gt;"", L88&lt;&gt;""), "xform/" &amp; $E88 &amp;  "/"  &amp; $D88 &amp;  "/", "")</f>
        <v>xform/ioonn/ionn/</v>
      </c>
    </row>
    <row r="89" spans="1:14" ht="27.75" thickBot="1">
      <c r="A89" s="62">
        <f t="shared" si="3"/>
        <v>87</v>
      </c>
      <c r="B89" s="80" t="s">
        <v>884</v>
      </c>
      <c r="C89" s="62" t="s">
        <v>885</v>
      </c>
      <c r="D89" s="62" t="s">
        <v>885</v>
      </c>
      <c r="E89" s="81" t="str" cm="1">
        <f t="array" ref="E89" xml:space="preserve"> IFERROR( INDEX(韻母對照表[注音二式], MATCH(TRUE, EXACT(韻母轉換規則!$C89, 韻母對照表[台羅拼音]), 0)), "")</f>
        <v/>
      </c>
      <c r="F89" s="62" t="str" cm="1">
        <f t="array" ref="F89" xml:space="preserve"> IFERROR( INDEX(韻母對照表[閩拼方案], MATCH(TRUE, EXACT(韻母轉換規則!$B89, 韻母對照表[國際音標]), 0)), "")</f>
        <v/>
      </c>
      <c r="G89" s="64" t="str" cm="1">
        <f t="array" ref="G89" xml:space="preserve"> IFERROR( INDEX(韻母對照表[白話字], MATCH(TRUE, EXACT(韻母轉換規則!$C89, 韻母對照表[台羅拼音]), 0)), "")</f>
        <v/>
      </c>
      <c r="H89" s="59" t="str" cm="1">
        <f t="array" ref="H89" xml:space="preserve"> IFERROR( INDEX(韻母對照表[十五音識別碼], MATCH(TRUE, EXACT(韻母轉換規則!$C89, 韻母對照表[台羅拼音]), 0)), "")</f>
        <v/>
      </c>
      <c r="I89" s="62" t="str" cm="1">
        <f t="array" ref="I89" xml:space="preserve"> IFERROR( INDEX(韻母對照表[方音符號], MATCH(TRUE, EXACT(韻母轉換規則!$C89, 韻母對照表[台羅拼音]), 0)), "")</f>
        <v/>
      </c>
      <c r="J89" s="79"/>
      <c r="K89" s="62" t="str">
        <f>E89</f>
        <v/>
      </c>
      <c r="L89" s="62" t="str">
        <f t="shared" si="2"/>
        <v>iooh</v>
      </c>
      <c r="M89" s="60"/>
      <c r="N89" s="61" t="str">
        <f xml:space="preserve"> IF(AND(K89&lt;&gt;"", L89&lt;&gt;""), "xform/" &amp; $E89 &amp;  "/"  &amp; $D89 &amp;  "/", "")</f>
        <v/>
      </c>
    </row>
    <row r="90" spans="1:14" ht="27.75" thickBot="1">
      <c r="A90" s="62">
        <f t="shared" si="3"/>
        <v>88</v>
      </c>
      <c r="B90" s="62" t="s">
        <v>153</v>
      </c>
      <c r="C90" s="62" t="s">
        <v>153</v>
      </c>
      <c r="D90" s="62" t="s">
        <v>153</v>
      </c>
      <c r="E90" s="62" t="str" cm="1">
        <f t="array" ref="E90" xml:space="preserve"> IFERROR( INDEX(韻母對照表[注音二式], MATCH(TRUE, EXACT(韻母轉換規則!$C90, 韻母對照表[台羅拼音]), 0)), "")</f>
        <v/>
      </c>
      <c r="F90" s="62" t="str" cm="1">
        <f t="array" ref="F90" xml:space="preserve"> IFERROR( INDEX(韻母對照表[閩拼方案], MATCH(TRUE, EXACT(韻母轉換規則!$B90, 韻母對照表[國際音標]), 0)), "")</f>
        <v/>
      </c>
      <c r="G90" s="66" t="str" cm="1">
        <f t="array" ref="G90" xml:space="preserve"> IFERROR( INDEX(韻母對照表[白話字], MATCH(TRUE, EXACT(韻母轉換規則!$C90, 韻母對照表[台羅拼音]), 0)), "")</f>
        <v/>
      </c>
      <c r="H90" s="59" t="str" cm="1">
        <f t="array" ref="H90" xml:space="preserve"> IFERROR( INDEX(韻母對照表[十五音識別碼], MATCH(TRUE, EXACT(韻母轉換規則!$C90, 韻母對照表[台羅拼音]), 0)), "")</f>
        <v/>
      </c>
      <c r="I90" s="62" t="str" cm="1">
        <f t="array" ref="I90" xml:space="preserve"> IFERROR( INDEX(韻母對照表[方音符號], MATCH(TRUE, EXACT(韻母轉換規則!$C90, 韻母對照表[台羅拼音]), 0)), "")</f>
        <v/>
      </c>
      <c r="J90" s="79"/>
      <c r="K90" s="62" t="str">
        <f>E90</f>
        <v/>
      </c>
      <c r="L90" s="62" t="str">
        <f t="shared" si="2"/>
        <v>ei</v>
      </c>
      <c r="M90" s="60"/>
      <c r="N90" s="61" t="str">
        <f xml:space="preserve"> IF(AND(K90&lt;&gt;"", L90&lt;&gt;""), "xform/" &amp; $E90 &amp;  "/"  &amp; $D90 &amp;  "/", "")</f>
        <v/>
      </c>
    </row>
    <row r="91" spans="1:14" ht="27.75" thickBot="1">
      <c r="A91" s="62">
        <f t="shared" si="3"/>
        <v>89</v>
      </c>
      <c r="B91" s="80" t="s">
        <v>932</v>
      </c>
      <c r="C91" s="62" t="s">
        <v>134</v>
      </c>
      <c r="D91" s="62" t="s">
        <v>134</v>
      </c>
      <c r="E91" s="81" t="str" cm="1">
        <f t="array" ref="E91" xml:space="preserve"> IFERROR( INDEX(韻母對照表[注音二式], MATCH(TRUE, EXACT(韻母轉換規則!$C91, 韻母對照表[台羅拼音]), 0)), "")</f>
        <v/>
      </c>
      <c r="F91" s="62" t="str" cm="1">
        <f t="array" ref="F91" xml:space="preserve"> IFERROR( INDEX(韻母對照表[閩拼方案], MATCH(TRUE, EXACT(韻母轉換規則!$B91, 韻母對照表[國際音標]), 0)), "")</f>
        <v/>
      </c>
      <c r="G91" s="66" t="str" cm="1">
        <f t="array" ref="G91" xml:space="preserve"> IFERROR( INDEX(韻母對照表[白話字], MATCH(TRUE, EXACT(韻母轉換規則!$C91, 韻母對照表[台羅拼音]), 0)), "")</f>
        <v/>
      </c>
      <c r="H91" s="59" t="str" cm="1">
        <f t="array" ref="H91" xml:space="preserve"> IFERROR( INDEX(韻母對照表[十五音識別碼], MATCH(TRUE, EXACT(韻母轉換規則!$C91, 韻母對照表[台羅拼音]), 0)), "")</f>
        <v/>
      </c>
      <c r="I91" s="62" t="str" cm="1">
        <f t="array" ref="I91" xml:space="preserve"> IFERROR( INDEX(韻母對照表[方音符號], MATCH(TRUE, EXACT(韻母轉換規則!$C91, 韻母對照表[台羅拼音]), 0)), "")</f>
        <v/>
      </c>
      <c r="J91" s="79"/>
      <c r="K91" s="62" t="str">
        <f>E91</f>
        <v/>
      </c>
      <c r="L91" s="62" t="str">
        <f t="shared" si="2"/>
        <v>ou</v>
      </c>
      <c r="M91" s="60"/>
      <c r="N91" s="61" t="str">
        <f xml:space="preserve"> IF(AND(K91&lt;&gt;"", L91&lt;&gt;""), "xform/" &amp; $E91 &amp;  "/"  &amp; $D91 &amp;  "/", "")</f>
        <v/>
      </c>
    </row>
    <row r="92" spans="1:14" ht="27.75" thickBot="1">
      <c r="A92" s="62">
        <f t="shared" si="3"/>
        <v>90</v>
      </c>
      <c r="B92" s="80" t="s">
        <v>887</v>
      </c>
      <c r="C92" s="62" t="s">
        <v>888</v>
      </c>
      <c r="D92" s="62" t="s">
        <v>888</v>
      </c>
      <c r="E92" s="81" t="str" cm="1">
        <f t="array" ref="E92" xml:space="preserve"> IFERROR( INDEX(韻母對照表[注音二式], MATCH(TRUE, EXACT(韻母轉換規則!$C92, 韻母對照表[台羅拼音]), 0)), "")</f>
        <v/>
      </c>
      <c r="F92" s="62" t="str" cm="1">
        <f t="array" ref="F92" xml:space="preserve"> IFERROR( INDEX(韻母對照表[閩拼方案], MATCH(TRUE, EXACT(韻母轉換規則!$B92, 韻母對照表[國際音標]), 0)), "")</f>
        <v/>
      </c>
      <c r="G92" s="66" t="str" cm="1">
        <f t="array" ref="G92" xml:space="preserve"> IFERROR( INDEX(韻母對照表[白話字], MATCH(TRUE, EXACT(韻母轉換規則!$C92, 韻母對照表[台羅拼音]), 0)), "")</f>
        <v/>
      </c>
      <c r="H92" s="59" t="str" cm="1">
        <f t="array" ref="H92" xml:space="preserve"> IFERROR( INDEX(韻母對照表[十五音識別碼], MATCH(TRUE, EXACT(韻母轉換規則!$C92, 韻母對照表[台羅拼音]), 0)), "")</f>
        <v/>
      </c>
      <c r="I92" s="62" t="str" cm="1">
        <f t="array" ref="I92" xml:space="preserve"> IFERROR( INDEX(韻母對照表[方音符號], MATCH(TRUE, EXACT(韻母轉換規則!$C92, 韻母對照表[台羅拼音]), 0)), "")</f>
        <v/>
      </c>
      <c r="J92" s="79"/>
      <c r="K92" s="62" t="str">
        <f>E92</f>
        <v/>
      </c>
      <c r="L92" s="62" t="str">
        <f t="shared" si="2"/>
        <v>ae</v>
      </c>
      <c r="M92" s="60"/>
      <c r="N92" s="61" t="str">
        <f xml:space="preserve"> IF(AND(K92&lt;&gt;"", L92&lt;&gt;""), "xform/" &amp; $E92 &amp;  "/"  &amp; $D92 &amp;  "/", "")</f>
        <v/>
      </c>
    </row>
    <row r="93" spans="1:14" ht="27.75" thickBot="1">
      <c r="A93" s="62">
        <f t="shared" si="3"/>
        <v>91</v>
      </c>
      <c r="B93" s="80" t="s">
        <v>889</v>
      </c>
      <c r="C93" s="62" t="s">
        <v>890</v>
      </c>
      <c r="D93" s="62" t="s">
        <v>890</v>
      </c>
      <c r="E93" s="81" t="str" cm="1">
        <f t="array" ref="E93" xml:space="preserve"> IFERROR( INDEX(韻母對照表[注音二式], MATCH(TRUE, EXACT(韻母轉換規則!$C93, 韻母對照表[台羅拼音]), 0)), "")</f>
        <v/>
      </c>
      <c r="F93" s="62" t="str" cm="1">
        <f t="array" ref="F93" xml:space="preserve"> IFERROR( INDEX(韻母對照表[閩拼方案], MATCH(TRUE, EXACT(韻母轉換規則!$B93, 韻母對照表[國際音標]), 0)), "")</f>
        <v/>
      </c>
      <c r="G93" s="66" t="str" cm="1">
        <f t="array" ref="G93" xml:space="preserve"> IFERROR( INDEX(韻母對照表[白話字], MATCH(TRUE, EXACT(韻母轉換規則!$C93, 韻母對照表[台羅拼音]), 0)), "")</f>
        <v/>
      </c>
      <c r="H93" s="59" t="str" cm="1">
        <f t="array" ref="H93" xml:space="preserve"> IFERROR( INDEX(韻母對照表[十五音識別碼], MATCH(TRUE, EXACT(韻母轉換規則!$C93, 韻母對照表[台羅拼音]), 0)), "")</f>
        <v/>
      </c>
      <c r="I93" s="62" t="str" cm="1">
        <f t="array" ref="I93" xml:space="preserve"> IFERROR( INDEX(韻母對照表[方音符號], MATCH(TRUE, EXACT(韻母轉換規則!$C93, 韻母對照表[台羅拼音]), 0)), "")</f>
        <v/>
      </c>
      <c r="J93" s="79"/>
      <c r="K93" s="62" t="str">
        <f>E93</f>
        <v/>
      </c>
      <c r="L93" s="62" t="str">
        <f t="shared" si="2"/>
        <v>uae</v>
      </c>
      <c r="M93" s="60"/>
      <c r="N93" s="61" t="str">
        <f xml:space="preserve"> IF(AND(K93&lt;&gt;"", L93&lt;&gt;""), "xform/" &amp; $E93 &amp;  "/"  &amp; $D93 &amp;  "/", "")</f>
        <v/>
      </c>
    </row>
    <row r="94" spans="1:14" ht="27.75" thickBot="1">
      <c r="A94" s="62">
        <f t="shared" si="3"/>
        <v>92</v>
      </c>
      <c r="B94" s="80" t="s">
        <v>891</v>
      </c>
      <c r="C94" s="62" t="s">
        <v>892</v>
      </c>
      <c r="D94" s="62" t="s">
        <v>892</v>
      </c>
      <c r="E94" s="81" t="str" cm="1">
        <f t="array" ref="E94" xml:space="preserve"> IFERROR( INDEX(韻母對照表[注音二式], MATCH(TRUE, EXACT(韻母轉換規則!$C94, 韻母對照表[台羅拼音]), 0)), "")</f>
        <v/>
      </c>
      <c r="F94" s="62" t="str" cm="1">
        <f t="array" ref="F94" xml:space="preserve"> IFERROR( INDEX(韻母對照表[閩拼方案], MATCH(TRUE, EXACT(韻母轉換規則!$B94, 韻母對照表[國際音標]), 0)), "")</f>
        <v/>
      </c>
      <c r="G94" s="66" t="str" cm="1">
        <f t="array" ref="G94" xml:space="preserve"> IFERROR( INDEX(韻母對照表[白話字], MATCH(TRUE, EXACT(韻母轉換規則!$C94, 韻母對照表[台羅拼音]), 0)), "")</f>
        <v/>
      </c>
      <c r="H94" s="59" t="str" cm="1">
        <f t="array" ref="H94" xml:space="preserve"> IFERROR( INDEX(韻母對照表[十五音識別碼], MATCH(TRUE, EXACT(韻母轉換規則!$C94, 韻母對照表[台羅拼音]), 0)), "")</f>
        <v/>
      </c>
      <c r="I94" s="62" t="str" cm="1">
        <f t="array" ref="I94" xml:space="preserve"> IFERROR( INDEX(韻母對照表[方音符號], MATCH(TRUE, EXACT(韻母轉換規則!$C94, 韻母對照表[台羅拼音]), 0)), "")</f>
        <v/>
      </c>
      <c r="J94" s="79"/>
      <c r="K94" s="62" t="str">
        <f>E94</f>
        <v/>
      </c>
      <c r="L94" s="62" t="str">
        <f t="shared" si="2"/>
        <v>aenn</v>
      </c>
      <c r="M94" s="60"/>
      <c r="N94" s="61" t="str">
        <f xml:space="preserve"> IF(AND(K94&lt;&gt;"", L94&lt;&gt;""), "xform/" &amp; $E94 &amp;  "/"  &amp; $D94 &amp;  "/", "")</f>
        <v/>
      </c>
    </row>
    <row r="95" spans="1:14" ht="27.75" thickBot="1">
      <c r="A95" s="62">
        <f t="shared" si="3"/>
        <v>93</v>
      </c>
      <c r="B95" s="80" t="s">
        <v>893</v>
      </c>
      <c r="C95" s="62" t="s">
        <v>868</v>
      </c>
      <c r="D95" s="62" t="s">
        <v>868</v>
      </c>
      <c r="E95" s="81" t="str" cm="1">
        <f t="array" ref="E95" xml:space="preserve"> IFERROR( INDEX(韻母對照表[注音二式], MATCH(TRUE, EXACT(韻母轉換規則!$C95, 韻母對照表[台羅拼音]), 0)), "")</f>
        <v/>
      </c>
      <c r="F95" s="62" t="str" cm="1">
        <f t="array" ref="F95" xml:space="preserve"> IFERROR( INDEX(韻母對照表[閩拼方案], MATCH(TRUE, EXACT(韻母轉換規則!$B95, 韻母對照表[國際音標]), 0)), "")</f>
        <v/>
      </c>
      <c r="G95" s="66" t="str" cm="1">
        <f t="array" ref="G95" xml:space="preserve"> IFERROR( INDEX(韻母對照表[白話字], MATCH(TRUE, EXACT(韻母轉換規則!$C95, 韻母對照表[台羅拼音]), 0)), "")</f>
        <v/>
      </c>
      <c r="H95" s="59" t="str" cm="1">
        <f t="array" ref="H95" xml:space="preserve"> IFERROR( INDEX(韻母對照表[十五音識別碼], MATCH(TRUE, EXACT(韻母轉換規則!$C95, 韻母對照表[台羅拼音]), 0)), "")</f>
        <v/>
      </c>
      <c r="I95" s="62" t="str" cm="1">
        <f t="array" ref="I95" xml:space="preserve"> IFERROR( INDEX(韻母對照表[方音符號], MATCH(TRUE, EXACT(韻母轉換規則!$C95, 韻母對照表[台羅拼音]), 0)), "")</f>
        <v/>
      </c>
      <c r="J95" s="79"/>
      <c r="K95" s="62" t="str">
        <f>E95</f>
        <v/>
      </c>
      <c r="L95" s="62" t="str">
        <f t="shared" si="2"/>
        <v>eu</v>
      </c>
      <c r="M95" s="60"/>
      <c r="N95" s="61" t="str">
        <f xml:space="preserve"> IF(AND(K95&lt;&gt;"", L95&lt;&gt;""), "xform/" &amp; $E95 &amp;  "/"  &amp; $D95 &amp;  "/", "")</f>
        <v/>
      </c>
    </row>
    <row r="96" spans="1:14" ht="27.75" thickBot="1">
      <c r="A96" s="62">
        <f t="shared" si="3"/>
        <v>94</v>
      </c>
      <c r="B96" s="80" t="s">
        <v>894</v>
      </c>
      <c r="C96" s="62" t="s">
        <v>895</v>
      </c>
      <c r="D96" s="62" t="s">
        <v>895</v>
      </c>
      <c r="E96" s="66" t="str" cm="1">
        <f t="array" ref="E96" xml:space="preserve"> IFERROR( INDEX(韻母對照表[注音二式], MATCH(TRUE, EXACT(韻母轉換規則!$C96, 韻母對照表[台羅拼音]), 0)), "")</f>
        <v/>
      </c>
      <c r="F96" s="62" t="str" cm="1">
        <f t="array" ref="F96" xml:space="preserve"> IFERROR( INDEX(韻母對照表[閩拼方案], MATCH(TRUE, EXACT(韻母轉換規則!$B96, 韻母對照表[國際音標]), 0)), "")</f>
        <v/>
      </c>
      <c r="G96" s="66" t="str" cm="1">
        <f t="array" ref="G96" xml:space="preserve"> IFERROR( INDEX(韻母對照表[白話字], MATCH(TRUE, EXACT(韻母轉換規則!$C96, 韻母對照表[台羅拼音]), 0)), "")</f>
        <v/>
      </c>
      <c r="H96" s="59" t="str" cm="1">
        <f t="array" ref="H96" xml:space="preserve"> IFERROR( INDEX(韻母對照表[十五音識別碼], MATCH(TRUE, EXACT(韻母轉換規則!$C96, 韻母對照表[台羅拼音]), 0)), "")</f>
        <v/>
      </c>
      <c r="I96" s="62" t="str" cm="1">
        <f t="array" ref="I96" xml:space="preserve"> IFERROR( INDEX(韻母對照表[方音符號], MATCH(TRUE, EXACT(韻母轉換規則!$C96, 韻母對照表[台羅拼音]), 0)), "")</f>
        <v/>
      </c>
      <c r="J96" s="79"/>
      <c r="K96" s="62" t="str">
        <f>E96</f>
        <v/>
      </c>
      <c r="L96" s="62" t="str">
        <f t="shared" si="2"/>
        <v>ioo</v>
      </c>
      <c r="M96" s="60"/>
      <c r="N96" s="61" t="str">
        <f xml:space="preserve"> IF(AND(K96&lt;&gt;"", L96&lt;&gt;""), "xform/" &amp; $E96 &amp;  "/"  &amp; $D96 &amp;  "/", "")</f>
        <v/>
      </c>
    </row>
    <row r="97" spans="1:14" ht="27.75" thickBot="1">
      <c r="A97" s="62">
        <f t="shared" si="3"/>
        <v>95</v>
      </c>
      <c r="B97" s="80" t="s">
        <v>896</v>
      </c>
      <c r="C97" s="62" t="s">
        <v>110</v>
      </c>
      <c r="D97" s="62" t="s">
        <v>110</v>
      </c>
      <c r="E97" s="81" t="str" cm="1">
        <f t="array" ref="E97" xml:space="preserve"> IFERROR( INDEX(韻母對照表[注音二式], MATCH(TRUE, EXACT(韻母轉換規則!$C97, 韻母對照表[台羅拼音]), 0)), "")</f>
        <v/>
      </c>
      <c r="F97" s="62" t="str" cm="1">
        <f t="array" ref="F97" xml:space="preserve"> IFERROR( INDEX(韻母對照表[閩拼方案], MATCH(TRUE, EXACT(韻母轉換規則!$B97, 韻母對照表[國際音標]), 0)), "")</f>
        <v/>
      </c>
      <c r="G97" s="64" t="str" cm="1">
        <f t="array" ref="G97" xml:space="preserve"> IFERROR( INDEX(韻母對照表[白話字], MATCH(TRUE, EXACT(韻母轉換規則!$C97, 韻母對照表[台羅拼音]), 0)), "")</f>
        <v/>
      </c>
      <c r="H97" s="59" t="str" cm="1">
        <f t="array" ref="H97" xml:space="preserve"> IFERROR( INDEX(韻母對照表[十五音識別碼], MATCH(TRUE, EXACT(韻母轉換規則!$C97, 韻母對照表[台羅拼音]), 0)), "")</f>
        <v/>
      </c>
      <c r="I97" s="62" t="str" cm="1">
        <f t="array" ref="I97" xml:space="preserve"> IFERROR( INDEX(韻母對照表[方音符號], MATCH(TRUE, EXACT(韻母轉換規則!$C97, 韻母對照表[台羅拼音]), 0)), "")</f>
        <v/>
      </c>
      <c r="J97" s="79"/>
      <c r="K97" s="62" t="str">
        <f>E97</f>
        <v/>
      </c>
      <c r="L97" s="62" t="str">
        <f t="shared" si="2"/>
        <v>eng</v>
      </c>
      <c r="M97" s="60"/>
      <c r="N97" s="61" t="str">
        <f xml:space="preserve"> IF(AND(K97&lt;&gt;"", L97&lt;&gt;""), "xform/" &amp; $E97 &amp;  "/"  &amp; $D97 &amp;  "/", "")</f>
        <v/>
      </c>
    </row>
    <row r="98" spans="1:14" ht="27.75" thickBot="1">
      <c r="A98" s="62">
        <f t="shared" si="3"/>
        <v>96</v>
      </c>
      <c r="B98" s="80" t="s">
        <v>917</v>
      </c>
      <c r="C98" s="62" t="s">
        <v>116</v>
      </c>
      <c r="D98" s="62" t="s">
        <v>116</v>
      </c>
      <c r="E98" s="81" t="str" cm="1">
        <f t="array" ref="E98" xml:space="preserve"> IFERROR( INDEX(韻母對照表[注音二式], MATCH(TRUE, EXACT(韻母轉換規則!$C98, 韻母對照表[台羅拼音]), 0)), "")</f>
        <v/>
      </c>
      <c r="F98" s="62" t="str" cm="1">
        <f t="array" ref="F98" xml:space="preserve"> IFERROR( INDEX(韻母對照表[閩拼方案], MATCH(TRUE, EXACT(韻母轉換規則!$B98, 韻母對照表[國際音標]), 0)), "")</f>
        <v/>
      </c>
      <c r="G98" s="64" t="str" cm="1">
        <f t="array" ref="G98" xml:space="preserve"> IFERROR( INDEX(韻母對照表[白話字], MATCH(TRUE, EXACT(韻母轉換規則!$C98, 韻母對照表[台羅拼音]), 0)), "")</f>
        <v/>
      </c>
      <c r="H98" s="59" t="str" cm="1">
        <f t="array" ref="H98" xml:space="preserve"> IFERROR( INDEX(韻母對照表[十五音識別碼], MATCH(TRUE, EXACT(韻母轉換規則!$C98, 韻母對照表[台羅拼音]), 0)), "")</f>
        <v/>
      </c>
      <c r="I98" s="62" t="str" cm="1">
        <f t="array" ref="I98" xml:space="preserve"> IFERROR( INDEX(韻母對照表[方音符號], MATCH(TRUE, EXACT(韻母轉換規則!$C98, 韻母對照表[台羅拼音]), 0)), "")</f>
        <v/>
      </c>
      <c r="J98" s="79"/>
      <c r="K98" s="62" t="str">
        <f>E98</f>
        <v/>
      </c>
      <c r="L98" s="62" t="str">
        <f t="shared" ref="L98" si="4">D98</f>
        <v>ek</v>
      </c>
      <c r="M98" s="60"/>
      <c r="N98" s="61" t="str">
        <f xml:space="preserve"> IF(AND(K98&lt;&gt;"", L98&lt;&gt;""), "xform/" &amp; $E98 &amp;  "/"  &amp; $D98 &amp;  "/", "")</f>
        <v/>
      </c>
    </row>
    <row r="102" spans="1:14">
      <c r="F102" s="56">
        <f xml:space="preserve"> _xlfn.UNICODE( RIGHT(G102,1) )</f>
        <v>856</v>
      </c>
      <c r="G102" s="56" t="s">
        <v>137</v>
      </c>
    </row>
    <row r="103" spans="1:14">
      <c r="F103" s="56" t="str">
        <f xml:space="preserve"> _xlfn.CONCAT("o", _xlfn.UNICHAR(F102))</f>
        <v>o͘</v>
      </c>
    </row>
  </sheetData>
  <autoFilter ref="B2:J98" xr:uid="{1D918839-8279-4205-A1C9-3667D2078600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6857-D699-4356-B8D2-76BD25C09201}">
  <dimension ref="A1:F97"/>
  <sheetViews>
    <sheetView workbookViewId="0">
      <selection activeCell="I7" sqref="I7"/>
    </sheetView>
  </sheetViews>
  <sheetFormatPr defaultRowHeight="25.5"/>
  <cols>
    <col min="1" max="1" width="5.33203125" bestFit="1" customWidth="1"/>
    <col min="2" max="2" width="5.33203125" customWidth="1"/>
    <col min="3" max="4" width="10.08203125" style="56" customWidth="1"/>
    <col min="5" max="5" width="29.83203125" style="56" customWidth="1"/>
    <col min="6" max="6" width="7.83203125" style="56" customWidth="1"/>
  </cols>
  <sheetData>
    <row r="1" spans="1:6" ht="48.75" thickBot="1">
      <c r="A1" s="63" t="s">
        <v>923</v>
      </c>
      <c r="B1" s="63" t="s">
        <v>924</v>
      </c>
      <c r="C1" s="63" t="s">
        <v>900</v>
      </c>
      <c r="D1" s="57" t="s">
        <v>5</v>
      </c>
      <c r="E1" s="57" t="s">
        <v>925</v>
      </c>
    </row>
    <row r="2" spans="1:6" ht="27.75" thickBot="1">
      <c r="A2" s="62">
        <v>1</v>
      </c>
      <c r="B2" s="59">
        <f xml:space="preserve"> LEN(C2)</f>
        <v>6</v>
      </c>
      <c r="C2" s="62" t="s">
        <v>472</v>
      </c>
      <c r="D2" s="62" t="s">
        <v>472</v>
      </c>
      <c r="E2" s="62" t="str">
        <f xml:space="preserve"> "xform/" &amp; $C2 &amp;  "/"  &amp; $D2 &amp;  "/"</f>
        <v>xform/iaunnh/iaunnh/</v>
      </c>
    </row>
    <row r="3" spans="1:6" ht="27.75" thickBot="1">
      <c r="A3" s="62">
        <v>2</v>
      </c>
      <c r="B3" s="59">
        <f xml:space="preserve"> LEN(C3)</f>
        <v>6</v>
      </c>
      <c r="C3" s="62" t="s">
        <v>455</v>
      </c>
      <c r="D3" s="62" t="s">
        <v>455</v>
      </c>
      <c r="E3" s="62" t="str">
        <f xml:space="preserve"> "xform/" &amp; $C3 &amp;  "/"  &amp; $D3 &amp;  "/"</f>
        <v>xform/uainnh/uainnh/</v>
      </c>
      <c r="F3" s="61"/>
    </row>
    <row r="4" spans="1:6" ht="27.75" thickBot="1">
      <c r="A4" s="62">
        <v>7</v>
      </c>
      <c r="B4" s="59">
        <f xml:space="preserve"> LEN(C4)</f>
        <v>5</v>
      </c>
      <c r="C4" s="62" t="s">
        <v>814</v>
      </c>
      <c r="D4" s="62" t="s">
        <v>814</v>
      </c>
      <c r="E4" s="62" t="str">
        <f xml:space="preserve"> "xform/" &amp; $C4 &amp;  "/"  &amp; $D4 &amp;  "/"</f>
        <v>xform/aunnh/aunnh/</v>
      </c>
      <c r="F4" s="61"/>
    </row>
    <row r="5" spans="1:6" ht="27.75" thickBot="1">
      <c r="A5" s="62">
        <v>8</v>
      </c>
      <c r="B5" s="59">
        <f xml:space="preserve"> LEN(C5)</f>
        <v>5</v>
      </c>
      <c r="C5" s="62" t="s">
        <v>392</v>
      </c>
      <c r="D5" s="62" t="s">
        <v>392</v>
      </c>
      <c r="E5" s="62" t="str">
        <f xml:space="preserve"> "xform/" &amp; $C5 &amp;  "/"  &amp; $D5 &amp;  "/"</f>
        <v>xform/iannh/iannh/</v>
      </c>
      <c r="F5" s="61"/>
    </row>
    <row r="6" spans="1:6" ht="27.75" thickBot="1">
      <c r="A6" s="62">
        <v>40</v>
      </c>
      <c r="B6" s="59">
        <f xml:space="preserve"> LEN(C6)</f>
        <v>5</v>
      </c>
      <c r="C6" s="62" t="s">
        <v>449</v>
      </c>
      <c r="D6" s="62" t="s">
        <v>449</v>
      </c>
      <c r="E6" s="62" t="str">
        <f xml:space="preserve"> "xform/" &amp; $C6 &amp;  "/"  &amp; $D6 &amp;  "/"</f>
        <v>xform/uainn/uainn/</v>
      </c>
      <c r="F6" s="61"/>
    </row>
    <row r="7" spans="1:6" ht="27.75" thickBot="1">
      <c r="A7" s="62">
        <v>86</v>
      </c>
      <c r="B7" s="59">
        <f xml:space="preserve"> LEN(C7)</f>
        <v>5</v>
      </c>
      <c r="C7" s="62" t="s">
        <v>386</v>
      </c>
      <c r="D7" s="62" t="s">
        <v>383</v>
      </c>
      <c r="E7" s="62" t="str">
        <f xml:space="preserve"> "xform/" &amp; $C7 &amp;  "/"  &amp; $D7 &amp;  "/"</f>
        <v>xform/ioonn/ionn/</v>
      </c>
      <c r="F7" s="61"/>
    </row>
    <row r="8" spans="1:6" ht="27.75" thickBot="1">
      <c r="A8" s="62">
        <v>3</v>
      </c>
      <c r="B8" s="59">
        <f xml:space="preserve"> LEN(C8)</f>
        <v>4</v>
      </c>
      <c r="C8" s="62" t="s">
        <v>203</v>
      </c>
      <c r="D8" s="62" t="s">
        <v>203</v>
      </c>
      <c r="E8" s="62" t="str">
        <f xml:space="preserve"> "xform/" &amp; $C8 &amp;  "/"  &amp; $D8 &amp;  "/"</f>
        <v>xform/iang/iang/</v>
      </c>
      <c r="F8" s="61"/>
    </row>
    <row r="9" spans="1:6" ht="27.75" thickBot="1">
      <c r="A9" s="62">
        <v>4</v>
      </c>
      <c r="B9" s="59">
        <f xml:space="preserve"> LEN(C9)</f>
        <v>4</v>
      </c>
      <c r="C9" s="62" t="s">
        <v>148</v>
      </c>
      <c r="D9" s="62" t="s">
        <v>148</v>
      </c>
      <c r="E9" s="62" t="str">
        <f xml:space="preserve"> "xform/" &amp; $C9 &amp;  "/"  &amp; $D9 &amp;  "/"</f>
        <v>xform/iauh/iauh/</v>
      </c>
      <c r="F9" s="61"/>
    </row>
    <row r="10" spans="1:6" ht="27.75" thickBot="1">
      <c r="A10" s="62">
        <v>5</v>
      </c>
      <c r="B10" s="59">
        <f xml:space="preserve"> LEN(C10)</f>
        <v>4</v>
      </c>
      <c r="C10" s="62" t="s">
        <v>162</v>
      </c>
      <c r="D10" s="62" t="s">
        <v>162</v>
      </c>
      <c r="E10" s="62" t="str">
        <f xml:space="preserve"> "xform/" &amp; $C10 &amp;  "/"  &amp; $D10 &amp;  "/"</f>
        <v>xform/iong/iong/</v>
      </c>
      <c r="F10" s="61"/>
    </row>
    <row r="11" spans="1:6" ht="27.75" thickBot="1">
      <c r="A11" s="62">
        <v>6</v>
      </c>
      <c r="B11" s="59">
        <f xml:space="preserve"> LEN(C11)</f>
        <v>4</v>
      </c>
      <c r="C11" s="62" t="s">
        <v>346</v>
      </c>
      <c r="D11" s="62" t="s">
        <v>346</v>
      </c>
      <c r="E11" s="62" t="str">
        <f xml:space="preserve"> "xform/" &amp; $C11 &amp;  "/"  &amp; $D11 &amp;  "/"</f>
        <v>xform/ennh/ennh/</v>
      </c>
      <c r="F11" s="61"/>
    </row>
    <row r="12" spans="1:6" ht="27.75" thickBot="1">
      <c r="A12" s="62">
        <v>10</v>
      </c>
      <c r="B12" s="59">
        <f xml:space="preserve"> LEN(C12)</f>
        <v>4</v>
      </c>
      <c r="C12" s="62" t="s">
        <v>501</v>
      </c>
      <c r="D12" s="62" t="s">
        <v>501</v>
      </c>
      <c r="E12" s="62" t="str">
        <f xml:space="preserve"> "xform/" &amp; $C12 &amp;  "/"  &amp; $D12 &amp;  "/"</f>
        <v>xform/onnh/onnh/</v>
      </c>
      <c r="F12" s="61"/>
    </row>
    <row r="13" spans="1:6" ht="27.75" thickBot="1">
      <c r="A13" s="62">
        <v>22</v>
      </c>
      <c r="B13" s="59">
        <f xml:space="preserve"> LEN(C13)</f>
        <v>4</v>
      </c>
      <c r="C13" s="62" t="s">
        <v>364</v>
      </c>
      <c r="D13" s="62" t="s">
        <v>363</v>
      </c>
      <c r="E13" s="62" t="str">
        <f xml:space="preserve"> "xform/" &amp; $C13 &amp;  "/"  &amp; $D13 &amp;  "/"</f>
        <v>xform/iorh/ioh/</v>
      </c>
      <c r="F13" s="61"/>
    </row>
    <row r="14" spans="1:6" ht="27.75" thickBot="1">
      <c r="A14" s="62">
        <v>23</v>
      </c>
      <c r="B14" s="59">
        <f xml:space="preserve"> LEN(C14)</f>
        <v>4</v>
      </c>
      <c r="C14" s="62" t="s">
        <v>920</v>
      </c>
      <c r="D14" s="62" t="s">
        <v>167</v>
      </c>
      <c r="E14" s="62" t="str">
        <f xml:space="preserve"> "xform/" &amp; $C14 &amp;  "/"  &amp; $D14 &amp;  "/"</f>
        <v>xform/iook/iok/</v>
      </c>
      <c r="F14" s="61"/>
    </row>
    <row r="15" spans="1:6" ht="27.75" thickBot="1">
      <c r="A15" s="62">
        <v>26</v>
      </c>
      <c r="B15" s="59">
        <f xml:space="preserve"> LEN(C15)</f>
        <v>4</v>
      </c>
      <c r="C15" s="62" t="s">
        <v>304</v>
      </c>
      <c r="D15" s="62" t="s">
        <v>304</v>
      </c>
      <c r="E15" s="62" t="str">
        <f xml:space="preserve"> "xform/" &amp; $C15 &amp;  "/"  &amp; $D15 &amp;  "/"</f>
        <v>xform/annh/annh/</v>
      </c>
      <c r="F15" s="61"/>
    </row>
    <row r="16" spans="1:6" ht="27.75" thickBot="1">
      <c r="A16" s="62">
        <v>27</v>
      </c>
      <c r="B16" s="59">
        <f xml:space="preserve"> LEN(C16)</f>
        <v>4</v>
      </c>
      <c r="C16" s="62" t="s">
        <v>417</v>
      </c>
      <c r="D16" s="62" t="s">
        <v>417</v>
      </c>
      <c r="E16" s="62" t="str">
        <f xml:space="preserve"> "xform/" &amp; $C16 &amp;  "/"  &amp; $D16 &amp;  "/"</f>
        <v>xform/ainn/ainn/</v>
      </c>
      <c r="F16" s="61"/>
    </row>
    <row r="17" spans="1:6" ht="27.75" thickBot="1">
      <c r="A17" s="62">
        <v>28</v>
      </c>
      <c r="B17" s="59">
        <f xml:space="preserve"> LEN(C17)</f>
        <v>4</v>
      </c>
      <c r="C17" s="62" t="s">
        <v>491</v>
      </c>
      <c r="D17" s="62" t="s">
        <v>491</v>
      </c>
      <c r="E17" s="62" t="str">
        <f xml:space="preserve"> "xform/" &amp; $C17 &amp;  "/"  &amp; $D17 &amp;  "/"</f>
        <v>xform/aunn/aunn/</v>
      </c>
      <c r="F17" s="61"/>
    </row>
    <row r="18" spans="1:6" ht="27.75" thickBot="1">
      <c r="A18" s="62">
        <v>30</v>
      </c>
      <c r="B18" s="59">
        <f xml:space="preserve"> LEN(C18)</f>
        <v>4</v>
      </c>
      <c r="C18" s="62" t="s">
        <v>391</v>
      </c>
      <c r="D18" s="62" t="s">
        <v>391</v>
      </c>
      <c r="E18" s="62" t="str">
        <f xml:space="preserve"> "xform/" &amp; $C18 &amp;  "/"  &amp; $D18 &amp;  "/"</f>
        <v>xform/iann/iann/</v>
      </c>
      <c r="F18" s="61"/>
    </row>
    <row r="19" spans="1:6" ht="27.75" thickBot="1">
      <c r="A19" s="62">
        <v>31</v>
      </c>
      <c r="B19" s="59">
        <f xml:space="preserve"> LEN(C19)</f>
        <v>4</v>
      </c>
      <c r="C19" s="62" t="s">
        <v>376</v>
      </c>
      <c r="D19" s="62" t="s">
        <v>376</v>
      </c>
      <c r="E19" s="62" t="str">
        <f xml:space="preserve"> "xform/" &amp; $C19 &amp;  "/"  &amp; $D19 &amp;  "/"</f>
        <v>xform/innh/innh/</v>
      </c>
      <c r="F19" s="61"/>
    </row>
    <row r="20" spans="1:6" ht="27.75" thickBot="1">
      <c r="A20" s="62">
        <v>32</v>
      </c>
      <c r="B20" s="59">
        <f xml:space="preserve"> LEN(C20)</f>
        <v>4</v>
      </c>
      <c r="C20" s="62" t="s">
        <v>507</v>
      </c>
      <c r="D20" s="62" t="s">
        <v>507</v>
      </c>
      <c r="E20" s="62" t="str">
        <f xml:space="preserve"> "xform/" &amp; $C20 &amp;  "/"  &amp; $D20 &amp;  "/"</f>
        <v>xform/iunn/iunn/</v>
      </c>
      <c r="F20" s="61"/>
    </row>
    <row r="21" spans="1:6" ht="27.75" thickBot="1">
      <c r="A21" s="62">
        <v>33</v>
      </c>
      <c r="B21" s="59">
        <f xml:space="preserve"> LEN(C21)</f>
        <v>4</v>
      </c>
      <c r="C21" s="62" t="s">
        <v>424</v>
      </c>
      <c r="D21" s="62" t="s">
        <v>425</v>
      </c>
      <c r="E21" s="62" t="str">
        <f xml:space="preserve"> "xform/" &amp; $C21 &amp;  "/"  &amp; $D21 &amp;  "/"</f>
        <v>xform/oonn/onn/</v>
      </c>
      <c r="F21" s="61"/>
    </row>
    <row r="22" spans="1:6" ht="27.75" thickBot="1">
      <c r="A22" s="62">
        <v>34</v>
      </c>
      <c r="B22" s="59">
        <f xml:space="preserve"> LEN(C22)</f>
        <v>4</v>
      </c>
      <c r="C22" s="62" t="s">
        <v>399</v>
      </c>
      <c r="D22" s="62" t="s">
        <v>399</v>
      </c>
      <c r="E22" s="62" t="str">
        <f xml:space="preserve"> "xform/" &amp; $C22 &amp;  "/"  &amp; $D22 &amp;  "/"</f>
        <v>xform/uann/uann/</v>
      </c>
      <c r="F22" s="61"/>
    </row>
    <row r="23" spans="1:6" ht="27.75" thickBot="1">
      <c r="A23" s="62">
        <v>35</v>
      </c>
      <c r="B23" s="59">
        <f xml:space="preserve"> LEN(C23)</f>
        <v>4</v>
      </c>
      <c r="C23" s="62" t="s">
        <v>351</v>
      </c>
      <c r="D23" s="62" t="s">
        <v>351</v>
      </c>
      <c r="E23" s="62" t="str">
        <f xml:space="preserve"> "xform/" &amp; $C23 &amp;  "/"  &amp; $D23 &amp;  "/"</f>
        <v>xform/uinn/uinn/</v>
      </c>
      <c r="F23" s="61"/>
    </row>
    <row r="24" spans="1:6" ht="27.75" thickBot="1">
      <c r="A24" s="62">
        <v>87</v>
      </c>
      <c r="B24" s="59">
        <f xml:space="preserve"> LEN(C24)</f>
        <v>4</v>
      </c>
      <c r="C24" s="62" t="s">
        <v>885</v>
      </c>
      <c r="D24" s="62" t="s">
        <v>885</v>
      </c>
      <c r="E24" s="62" t="str">
        <f xml:space="preserve"> "xform/" &amp; $C24 &amp;  "/"  &amp; $D24 &amp;  "/"</f>
        <v>xform/iooh/iooh/</v>
      </c>
      <c r="F24" s="61"/>
    </row>
    <row r="25" spans="1:6" ht="27.75" thickBot="1">
      <c r="A25" s="62">
        <v>92</v>
      </c>
      <c r="B25" s="59">
        <f xml:space="preserve"> LEN(C25)</f>
        <v>4</v>
      </c>
      <c r="C25" s="62" t="s">
        <v>892</v>
      </c>
      <c r="D25" s="62" t="s">
        <v>892</v>
      </c>
      <c r="E25" s="62" t="str">
        <f xml:space="preserve"> "xform/" &amp; $C25 &amp;  "/"  &amp; $D25 &amp;  "/"</f>
        <v>xform/aenn/aenn/</v>
      </c>
      <c r="F25" s="61"/>
    </row>
    <row r="26" spans="1:6" ht="27.75" thickBot="1">
      <c r="A26" s="62">
        <v>9</v>
      </c>
      <c r="B26" s="59">
        <f xml:space="preserve"> LEN(C26)</f>
        <v>3</v>
      </c>
      <c r="C26" s="62" t="s">
        <v>141</v>
      </c>
      <c r="D26" s="62" t="s">
        <v>467</v>
      </c>
      <c r="E26" s="62" t="str">
        <f xml:space="preserve"> "xform/" &amp; $C26 &amp;  "/"  &amp; $D26 &amp;  "/"</f>
        <v>xform/iau/iaunn/</v>
      </c>
      <c r="F26" s="61"/>
    </row>
    <row r="27" spans="1:6" ht="27.75" thickBot="1">
      <c r="A27" s="62">
        <v>12</v>
      </c>
      <c r="B27" s="59">
        <f xml:space="preserve"> LEN(C27)</f>
        <v>3</v>
      </c>
      <c r="C27" s="62" t="s">
        <v>237</v>
      </c>
      <c r="D27" s="62" t="s">
        <v>237</v>
      </c>
      <c r="E27" s="62" t="str">
        <f xml:space="preserve"> "xform/" &amp; $C27 &amp;  "/"  &amp; $D27 &amp;  "/"</f>
        <v>xform/ang/ang/</v>
      </c>
      <c r="F27" s="61"/>
    </row>
    <row r="28" spans="1:6" ht="27.75" thickBot="1">
      <c r="A28" s="62">
        <v>13</v>
      </c>
      <c r="B28" s="59">
        <f xml:space="preserve"> LEN(C28)</f>
        <v>3</v>
      </c>
      <c r="C28" s="62" t="s">
        <v>267</v>
      </c>
      <c r="D28" s="62" t="s">
        <v>267</v>
      </c>
      <c r="E28" s="62" t="str">
        <f xml:space="preserve"> "xform/" &amp; $C28 &amp;  "/"  &amp; $D28 &amp;  "/"</f>
        <v>xform/auh/auh/</v>
      </c>
      <c r="F28" s="61"/>
    </row>
    <row r="29" spans="1:6" ht="27.75" thickBot="1">
      <c r="A29" s="62">
        <v>14</v>
      </c>
      <c r="B29" s="59">
        <f xml:space="preserve"> LEN(C29)</f>
        <v>3</v>
      </c>
      <c r="C29" s="62" t="s">
        <v>278</v>
      </c>
      <c r="D29" s="62" t="s">
        <v>278</v>
      </c>
      <c r="E29" s="62" t="str">
        <f xml:space="preserve"> "xform/" &amp; $C29 &amp;  "/"  &amp; $D29 &amp;  "/"</f>
        <v>xform/iah/iah/</v>
      </c>
      <c r="F29" s="61"/>
    </row>
    <row r="30" spans="1:6" ht="27.75" thickBot="1">
      <c r="A30" s="62">
        <v>15</v>
      </c>
      <c r="B30" s="59">
        <f xml:space="preserve"> LEN(C30)</f>
        <v>3</v>
      </c>
      <c r="C30" s="62" t="s">
        <v>207</v>
      </c>
      <c r="D30" s="62" t="s">
        <v>207</v>
      </c>
      <c r="E30" s="62" t="str">
        <f xml:space="preserve"> "xform/" &amp; $C30 &amp;  "/"  &amp; $D30 &amp;  "/"</f>
        <v>xform/iak/iak/</v>
      </c>
      <c r="F30" s="61"/>
    </row>
    <row r="31" spans="1:6" ht="27.75" thickBot="1">
      <c r="A31" s="62">
        <v>16</v>
      </c>
      <c r="B31" s="59">
        <f xml:space="preserve"> LEN(C31)</f>
        <v>3</v>
      </c>
      <c r="C31" s="62" t="s">
        <v>247</v>
      </c>
      <c r="D31" s="62" t="s">
        <v>247</v>
      </c>
      <c r="E31" s="62" t="str">
        <f xml:space="preserve"> "xform/" &amp; $C31 &amp;  "/"  &amp; $D31 &amp;  "/"</f>
        <v>xform/iam/iam/</v>
      </c>
      <c r="F31" s="61"/>
    </row>
    <row r="32" spans="1:6" ht="27.75" thickBot="1">
      <c r="A32" s="62">
        <v>17</v>
      </c>
      <c r="B32" s="59">
        <f xml:space="preserve"> LEN(C32)</f>
        <v>3</v>
      </c>
      <c r="C32" s="62" t="s">
        <v>27</v>
      </c>
      <c r="D32" s="62" t="s">
        <v>27</v>
      </c>
      <c r="E32" s="62" t="str">
        <f xml:space="preserve"> "xform/" &amp; $C32 &amp;  "/"  &amp; $D32 &amp;  "/"</f>
        <v>xform/ian/ian/</v>
      </c>
      <c r="F32" s="61"/>
    </row>
    <row r="33" spans="1:6" ht="27.75" thickBot="1">
      <c r="A33" s="62">
        <v>18</v>
      </c>
      <c r="B33" s="59">
        <f xml:space="preserve"> LEN(C33)</f>
        <v>3</v>
      </c>
      <c r="C33" s="62" t="s">
        <v>141</v>
      </c>
      <c r="D33" s="62" t="s">
        <v>141</v>
      </c>
      <c r="E33" s="62" t="str">
        <f xml:space="preserve"> "xform/" &amp; $C33 &amp;  "/"  &amp; $D33 &amp;  "/"</f>
        <v>xform/iau/iau/</v>
      </c>
      <c r="F33" s="61"/>
    </row>
    <row r="34" spans="1:6" ht="27.75" thickBot="1">
      <c r="A34" s="62">
        <v>19</v>
      </c>
      <c r="B34" s="59">
        <f xml:space="preserve"> LEN(C34)</f>
        <v>3</v>
      </c>
      <c r="C34" s="62" t="s">
        <v>256</v>
      </c>
      <c r="D34" s="62" t="s">
        <v>256</v>
      </c>
      <c r="E34" s="62" t="str">
        <f xml:space="preserve"> "xform/" &amp; $C34 &amp;  "/"  &amp; $D34 &amp;  "/"</f>
        <v>xform/iap/iap/</v>
      </c>
      <c r="F34" s="61"/>
    </row>
    <row r="35" spans="1:6" ht="27.75" thickBot="1">
      <c r="A35" s="62">
        <v>20</v>
      </c>
      <c r="B35" s="59">
        <f xml:space="preserve"> LEN(C35)</f>
        <v>3</v>
      </c>
      <c r="C35" s="62" t="s">
        <v>34</v>
      </c>
      <c r="D35" s="62" t="s">
        <v>34</v>
      </c>
      <c r="E35" s="62" t="str">
        <f xml:space="preserve"> "xform/" &amp; $C35 &amp;  "/"  &amp; $D35 &amp;  "/"</f>
        <v>xform/iat/iat/</v>
      </c>
      <c r="F35" s="61"/>
    </row>
    <row r="36" spans="1:6" ht="27.75" thickBot="1">
      <c r="A36" s="62">
        <v>21</v>
      </c>
      <c r="B36" s="59">
        <f xml:space="preserve"> LEN(C36)</f>
        <v>3</v>
      </c>
      <c r="C36" s="62" t="s">
        <v>109</v>
      </c>
      <c r="D36" s="62" t="s">
        <v>109</v>
      </c>
      <c r="E36" s="62" t="str">
        <f xml:space="preserve"> "xform/" &amp; $C36 &amp;  "/"  &amp; $D36 &amp;  "/"</f>
        <v>xform/ing/ing/</v>
      </c>
      <c r="F36" s="61"/>
    </row>
    <row r="37" spans="1:6" ht="27.75" thickBot="1">
      <c r="A37" s="62">
        <v>24</v>
      </c>
      <c r="B37" s="59">
        <f xml:space="preserve"> LEN(C37)</f>
        <v>3</v>
      </c>
      <c r="C37" s="62" t="s">
        <v>836</v>
      </c>
      <c r="D37" s="62" t="s">
        <v>836</v>
      </c>
      <c r="E37" s="62" t="str">
        <f xml:space="preserve"> "xform/" &amp; $C37 &amp;  "/"  &amp; $D37 &amp;  "/"</f>
        <v>xform/iuh/iuh/</v>
      </c>
      <c r="F37" s="61"/>
    </row>
    <row r="38" spans="1:6" ht="27.75" thickBot="1">
      <c r="A38" s="62">
        <v>25</v>
      </c>
      <c r="B38" s="59">
        <f xml:space="preserve"> LEN(C38)</f>
        <v>3</v>
      </c>
      <c r="C38" s="62" t="s">
        <v>340</v>
      </c>
      <c r="D38" s="62" t="s">
        <v>340</v>
      </c>
      <c r="E38" s="62" t="str">
        <f xml:space="preserve"> "xform/" &amp; $C38 &amp;  "/"  &amp; $D38 &amp;  "/"</f>
        <v>xform/enn/enn/</v>
      </c>
      <c r="F38" s="61"/>
    </row>
    <row r="39" spans="1:6" ht="27.75" thickBot="1">
      <c r="A39" s="62">
        <v>29</v>
      </c>
      <c r="B39" s="59">
        <f xml:space="preserve"> LEN(C39)</f>
        <v>3</v>
      </c>
      <c r="C39" s="62" t="s">
        <v>845</v>
      </c>
      <c r="D39" s="62" t="s">
        <v>845</v>
      </c>
      <c r="E39" s="62" t="str">
        <f xml:space="preserve"> "xform/" &amp; $C39 &amp;  "/"  &amp; $D39 &amp;  "/"</f>
        <v>xform/ngh/ngh/</v>
      </c>
      <c r="F39" s="61"/>
    </row>
    <row r="40" spans="1:6" ht="27.75" thickBot="1">
      <c r="A40" s="62">
        <v>36</v>
      </c>
      <c r="B40" s="59">
        <f xml:space="preserve"> LEN(C40)</f>
        <v>3</v>
      </c>
      <c r="C40" s="62" t="s">
        <v>84</v>
      </c>
      <c r="D40" s="62" t="s">
        <v>84</v>
      </c>
      <c r="E40" s="62" t="str">
        <f xml:space="preserve"> "xform/" &amp; $C40 &amp;  "/"  &amp; $D40 &amp;  "/"</f>
        <v>xform/ong/ong/</v>
      </c>
      <c r="F40" s="61"/>
    </row>
    <row r="41" spans="1:6" ht="27.75" thickBot="1">
      <c r="A41" s="62">
        <v>37</v>
      </c>
      <c r="B41" s="59">
        <f xml:space="preserve"> LEN(C41)</f>
        <v>3</v>
      </c>
      <c r="C41" s="62" t="s">
        <v>850</v>
      </c>
      <c r="D41" s="62" t="s">
        <v>850</v>
      </c>
      <c r="E41" s="62" t="str">
        <f xml:space="preserve"> "xform/" &amp; $C41 &amp;  "/"  &amp; $D41 &amp;  "/"</f>
        <v>xform/ooh/ooh/</v>
      </c>
      <c r="F41" s="61"/>
    </row>
    <row r="42" spans="1:6" ht="27.75" thickBot="1">
      <c r="A42" s="62">
        <v>38</v>
      </c>
      <c r="B42" s="59">
        <f xml:space="preserve"> LEN(C42)</f>
        <v>3</v>
      </c>
      <c r="C42" s="62" t="s">
        <v>230</v>
      </c>
      <c r="D42" s="62" t="s">
        <v>230</v>
      </c>
      <c r="E42" s="62" t="str">
        <f xml:space="preserve"> "xform/" &amp; $C42 &amp;  "/"  &amp; $D42 &amp;  "/"</f>
        <v>xform/uah/uah/</v>
      </c>
      <c r="F42" s="61"/>
    </row>
    <row r="43" spans="1:6" ht="27.75" thickBot="1">
      <c r="A43" s="62">
        <v>39</v>
      </c>
      <c r="B43" s="59">
        <f xml:space="preserve"> LEN(C43)</f>
        <v>3</v>
      </c>
      <c r="C43" s="62" t="s">
        <v>94</v>
      </c>
      <c r="D43" s="62" t="s">
        <v>94</v>
      </c>
      <c r="E43" s="62" t="str">
        <f xml:space="preserve"> "xform/" &amp; $C43 &amp;  "/"  &amp; $D43 &amp;  "/"</f>
        <v>xform/uai/uai/</v>
      </c>
      <c r="F43" s="61"/>
    </row>
    <row r="44" spans="1:6" ht="27.75" thickBot="1">
      <c r="A44" s="62">
        <v>41</v>
      </c>
      <c r="B44" s="59">
        <f xml:space="preserve"> LEN(C44)</f>
        <v>3</v>
      </c>
      <c r="C44" s="62" t="s">
        <v>120</v>
      </c>
      <c r="D44" s="62" t="s">
        <v>120</v>
      </c>
      <c r="E44" s="62" t="str">
        <f xml:space="preserve"> "xform/" &amp; $C44 &amp;  "/"  &amp; $D44 &amp;  "/"</f>
        <v>xform/uan/uan/</v>
      </c>
      <c r="F44" s="61"/>
    </row>
    <row r="45" spans="1:6" ht="27.75" thickBot="1">
      <c r="A45" s="62">
        <v>42</v>
      </c>
      <c r="B45" s="59">
        <f xml:space="preserve"> LEN(C45)</f>
        <v>3</v>
      </c>
      <c r="C45" s="62" t="s">
        <v>129</v>
      </c>
      <c r="D45" s="62" t="s">
        <v>129</v>
      </c>
      <c r="E45" s="62" t="str">
        <f xml:space="preserve"> "xform/" &amp; $C45 &amp;  "/"  &amp; $D45 &amp;  "/"</f>
        <v>xform/uat/uat/</v>
      </c>
      <c r="F45" s="61"/>
    </row>
    <row r="46" spans="1:6" ht="27.75" thickBot="1">
      <c r="A46" s="62">
        <v>43</v>
      </c>
      <c r="B46" s="59">
        <f xml:space="preserve"> LEN(C46)</f>
        <v>3</v>
      </c>
      <c r="C46" s="62" t="s">
        <v>290</v>
      </c>
      <c r="D46" s="62" t="s">
        <v>290</v>
      </c>
      <c r="E46" s="62" t="str">
        <f xml:space="preserve"> "xform/" &amp; $C46 &amp;  "/"  &amp; $D46 &amp;  "/"</f>
        <v>xform/ueh/ueh/</v>
      </c>
      <c r="F46" s="61"/>
    </row>
    <row r="47" spans="1:6" ht="27.75" thickBot="1">
      <c r="A47" s="62">
        <v>61</v>
      </c>
      <c r="B47" s="59">
        <f xml:space="preserve"> LEN(C47)</f>
        <v>3</v>
      </c>
      <c r="C47" s="62" t="s">
        <v>360</v>
      </c>
      <c r="D47" s="62" t="s">
        <v>357</v>
      </c>
      <c r="E47" s="62" t="str">
        <f xml:space="preserve"> "xform/" &amp; $C47 &amp;  "/"  &amp; $D47 &amp;  "/"</f>
        <v>xform/ior/io/</v>
      </c>
      <c r="F47" s="61"/>
    </row>
    <row r="48" spans="1:6" ht="27.75" thickBot="1">
      <c r="A48" s="62">
        <v>66</v>
      </c>
      <c r="B48" s="59">
        <f xml:space="preserve"> LEN(C48)</f>
        <v>3</v>
      </c>
      <c r="C48" s="62" t="s">
        <v>297</v>
      </c>
      <c r="D48" s="62" t="s">
        <v>297</v>
      </c>
      <c r="E48" s="62" t="str">
        <f xml:space="preserve"> "xform/" &amp; $C48 &amp;  "/"  &amp; $D48 &amp;  "/"</f>
        <v>xform/ann/ann/</v>
      </c>
      <c r="F48" s="61"/>
    </row>
    <row r="49" spans="1:6" ht="27.75" thickBot="1">
      <c r="A49" s="62">
        <v>68</v>
      </c>
      <c r="B49" s="59">
        <f xml:space="preserve"> LEN(C49)</f>
        <v>3</v>
      </c>
      <c r="C49" s="62" t="s">
        <v>370</v>
      </c>
      <c r="D49" s="62" t="s">
        <v>370</v>
      </c>
      <c r="E49" s="62" t="str">
        <f xml:space="preserve"> "xform/" &amp; $C49 &amp;  "/"  &amp; $D49 &amp;  "/"</f>
        <v>xform/inn/inn/</v>
      </c>
      <c r="F49" s="61"/>
    </row>
    <row r="50" spans="1:6" ht="27.75" thickBot="1">
      <c r="A50" s="62">
        <v>69</v>
      </c>
      <c r="B50" s="59">
        <f xml:space="preserve"> LEN(C50)</f>
        <v>3</v>
      </c>
      <c r="C50" s="62" t="s">
        <v>179</v>
      </c>
      <c r="D50" s="62" t="s">
        <v>178</v>
      </c>
      <c r="E50" s="62" t="str">
        <f xml:space="preserve"> "xform/" &amp; $C50 &amp;  "/"  &amp; $D50 &amp;  "/"</f>
        <v>xform/orh/oh/</v>
      </c>
      <c r="F50" s="61"/>
    </row>
    <row r="51" spans="1:6" ht="27.75" thickBot="1">
      <c r="A51" s="62">
        <v>72</v>
      </c>
      <c r="B51" s="59">
        <f xml:space="preserve"> LEN(C51)</f>
        <v>3</v>
      </c>
      <c r="C51" s="62" t="s">
        <v>486</v>
      </c>
      <c r="D51" s="62" t="s">
        <v>485</v>
      </c>
      <c r="E51" s="62" t="str">
        <f xml:space="preserve"> "xform/" &amp; $C51 &amp;  "/"  &amp; $D51 &amp;  "/"</f>
        <v>xform/oop/op/</v>
      </c>
      <c r="F51" s="61"/>
    </row>
    <row r="52" spans="1:6" ht="27.75" thickBot="1">
      <c r="A52" s="62">
        <v>85</v>
      </c>
      <c r="B52" s="59">
        <f xml:space="preserve"> LEN(C52)</f>
        <v>3</v>
      </c>
      <c r="C52" s="62" t="s">
        <v>480</v>
      </c>
      <c r="D52" s="62" t="s">
        <v>479</v>
      </c>
      <c r="E52" s="62" t="str">
        <f xml:space="preserve"> "xform/" &amp; $C52 &amp;  "/"  &amp; $D52 &amp;  "/"</f>
        <v>xform/oom/om/</v>
      </c>
      <c r="F52" s="61"/>
    </row>
    <row r="53" spans="1:6" ht="27.75" thickBot="1">
      <c r="A53" s="62">
        <v>91</v>
      </c>
      <c r="B53" s="59">
        <f xml:space="preserve"> LEN(C53)</f>
        <v>3</v>
      </c>
      <c r="C53" s="62" t="s">
        <v>890</v>
      </c>
      <c r="D53" s="62" t="s">
        <v>890</v>
      </c>
      <c r="E53" s="62" t="str">
        <f xml:space="preserve"> "xform/" &amp; $C53 &amp;  "/"  &amp; $D53 &amp;  "/"</f>
        <v>xform/uae/uae/</v>
      </c>
      <c r="F53" s="61"/>
    </row>
    <row r="54" spans="1:6" ht="27.75" thickBot="1">
      <c r="A54" s="62">
        <v>95</v>
      </c>
      <c r="B54" s="59">
        <f xml:space="preserve"> LEN(C54)</f>
        <v>3</v>
      </c>
      <c r="C54" s="62" t="s">
        <v>110</v>
      </c>
      <c r="D54" s="62" t="s">
        <v>110</v>
      </c>
      <c r="E54" s="62" t="str">
        <f xml:space="preserve"> "xform/" &amp; $C54 &amp;  "/"  &amp; $D54 &amp;  "/"</f>
        <v>xform/eng/eng/</v>
      </c>
      <c r="F54" s="61"/>
    </row>
    <row r="55" spans="1:6" ht="27.75" thickBot="1">
      <c r="A55" s="62">
        <v>11</v>
      </c>
      <c r="B55" s="59">
        <f xml:space="preserve"> LEN(C55)</f>
        <v>2</v>
      </c>
      <c r="C55" s="62" t="s">
        <v>65</v>
      </c>
      <c r="D55" s="62" t="s">
        <v>64</v>
      </c>
      <c r="E55" s="62" t="str">
        <f xml:space="preserve"> "xform/" &amp; $C55 &amp;  "/"  &amp; $D55 &amp;  "/"</f>
        <v>xform/eh/eeh/</v>
      </c>
      <c r="F55" s="61"/>
    </row>
    <row r="56" spans="1:6" ht="27.75" thickBot="1">
      <c r="A56" s="62">
        <v>45</v>
      </c>
      <c r="B56" s="59">
        <f xml:space="preserve"> LEN(C56)</f>
        <v>2</v>
      </c>
      <c r="C56" s="62" t="s">
        <v>321</v>
      </c>
      <c r="D56" s="62" t="s">
        <v>321</v>
      </c>
      <c r="E56" s="62" t="str">
        <f xml:space="preserve"> "xform/" &amp; $C56 &amp;  "/"  &amp; $D56 &amp;  "/"</f>
        <v>xform/ah/ah/</v>
      </c>
      <c r="F56" s="61"/>
    </row>
    <row r="57" spans="1:6" ht="27.75" thickBot="1">
      <c r="A57" s="62">
        <v>46</v>
      </c>
      <c r="B57" s="59">
        <f xml:space="preserve"> LEN(C57)</f>
        <v>2</v>
      </c>
      <c r="C57" s="62" t="s">
        <v>183</v>
      </c>
      <c r="D57" s="62" t="s">
        <v>183</v>
      </c>
      <c r="E57" s="62" t="str">
        <f xml:space="preserve"> "xform/" &amp; $C57 &amp;  "/"  &amp; $D57 &amp;  "/"</f>
        <v>xform/ai/ai/</v>
      </c>
      <c r="F57" s="61"/>
    </row>
    <row r="58" spans="1:6" ht="27.75" thickBot="1">
      <c r="A58" s="62">
        <v>47</v>
      </c>
      <c r="B58" s="59">
        <f xml:space="preserve"> LEN(C58)</f>
        <v>2</v>
      </c>
      <c r="C58" s="62" t="s">
        <v>243</v>
      </c>
      <c r="D58" s="62" t="s">
        <v>243</v>
      </c>
      <c r="E58" s="62" t="str">
        <f xml:space="preserve"> "xform/" &amp; $C58 &amp;  "/"  &amp; $D58 &amp;  "/"</f>
        <v>xform/ak/ak/</v>
      </c>
      <c r="F58" s="61"/>
    </row>
    <row r="59" spans="1:6" ht="27.75" thickBot="1">
      <c r="A59" s="62">
        <v>48</v>
      </c>
      <c r="B59" s="59">
        <f xml:space="preserve"> LEN(C59)</f>
        <v>2</v>
      </c>
      <c r="C59" s="62" t="s">
        <v>211</v>
      </c>
      <c r="D59" s="62" t="s">
        <v>211</v>
      </c>
      <c r="E59" s="62" t="str">
        <f xml:space="preserve"> "xform/" &amp; $C59 &amp;  "/"  &amp; $D59 &amp;  "/"</f>
        <v>xform/am/am/</v>
      </c>
      <c r="F59" s="61"/>
    </row>
    <row r="60" spans="1:6" ht="27.75" thickBot="1">
      <c r="A60" s="62">
        <v>49</v>
      </c>
      <c r="B60" s="59">
        <f xml:space="preserve"> LEN(C60)</f>
        <v>2</v>
      </c>
      <c r="C60" s="62" t="s">
        <v>69</v>
      </c>
      <c r="D60" s="62" t="s">
        <v>69</v>
      </c>
      <c r="E60" s="62" t="str">
        <f xml:space="preserve"> "xform/" &amp; $C60 &amp;  "/"  &amp; $D60 &amp;  "/"</f>
        <v>xform/an/an/</v>
      </c>
      <c r="F60" s="61"/>
    </row>
    <row r="61" spans="1:6" ht="27.75" thickBot="1">
      <c r="A61" s="62">
        <v>50</v>
      </c>
      <c r="B61" s="59">
        <f xml:space="preserve"> LEN(C61)</f>
        <v>2</v>
      </c>
      <c r="C61" s="62" t="s">
        <v>260</v>
      </c>
      <c r="D61" s="62" t="s">
        <v>260</v>
      </c>
      <c r="E61" s="62" t="str">
        <f xml:space="preserve"> "xform/" &amp; $C61 &amp;  "/"  &amp; $D61 &amp;  "/"</f>
        <v>xform/au/au/</v>
      </c>
      <c r="F61" s="61"/>
    </row>
    <row r="62" spans="1:6" ht="27.75" thickBot="1">
      <c r="A62" s="62">
        <v>51</v>
      </c>
      <c r="B62" s="59">
        <f xml:space="preserve"> LEN(C62)</f>
        <v>2</v>
      </c>
      <c r="C62" s="62" t="s">
        <v>219</v>
      </c>
      <c r="D62" s="62" t="s">
        <v>219</v>
      </c>
      <c r="E62" s="62" t="str">
        <f xml:space="preserve"> "xform/" &amp; $C62 &amp;  "/"  &amp; $D62 &amp;  "/"</f>
        <v>xform/ap/ap/</v>
      </c>
      <c r="F62" s="61"/>
    </row>
    <row r="63" spans="1:6" ht="27.75" thickBot="1">
      <c r="A63" s="62">
        <v>52</v>
      </c>
      <c r="B63" s="59">
        <f xml:space="preserve"> LEN(C63)</f>
        <v>2</v>
      </c>
      <c r="C63" s="62" t="s">
        <v>77</v>
      </c>
      <c r="D63" s="62" t="s">
        <v>77</v>
      </c>
      <c r="E63" s="62" t="str">
        <f xml:space="preserve"> "xform/" &amp; $C63 &amp;  "/"  &amp; $D63 &amp;  "/"</f>
        <v>xform/at/at/</v>
      </c>
      <c r="F63" s="61"/>
    </row>
    <row r="64" spans="1:6" ht="27.75" thickBot="1">
      <c r="A64" s="62">
        <v>53</v>
      </c>
      <c r="B64" s="59">
        <f xml:space="preserve"> LEN(C64)</f>
        <v>2</v>
      </c>
      <c r="C64" s="62" t="s">
        <v>65</v>
      </c>
      <c r="D64" s="62" t="s">
        <v>65</v>
      </c>
      <c r="E64" s="62" t="str">
        <f xml:space="preserve"> "xform/" &amp; $C64 &amp;  "/"  &amp; $D64 &amp;  "/"</f>
        <v>xform/eh/eh/</v>
      </c>
      <c r="F64" s="61"/>
    </row>
    <row r="65" spans="1:6" ht="27.75" thickBot="1">
      <c r="A65" s="62">
        <v>55</v>
      </c>
      <c r="B65" s="59">
        <f xml:space="preserve"> LEN(C65)</f>
        <v>2</v>
      </c>
      <c r="C65" s="62" t="s">
        <v>272</v>
      </c>
      <c r="D65" s="62" t="s">
        <v>272</v>
      </c>
      <c r="E65" s="62" t="str">
        <f xml:space="preserve"> "xform/" &amp; $C65 &amp;  "/"  &amp; $D65 &amp;  "/"</f>
        <v>xform/ia/ia/</v>
      </c>
      <c r="F65" s="61"/>
    </row>
    <row r="66" spans="1:6" ht="27.75" thickBot="1">
      <c r="A66" s="62">
        <v>57</v>
      </c>
      <c r="B66" s="59">
        <f xml:space="preserve"> LEN(C66)</f>
        <v>2</v>
      </c>
      <c r="C66" s="62" t="s">
        <v>329</v>
      </c>
      <c r="D66" s="62" t="s">
        <v>329</v>
      </c>
      <c r="E66" s="62" t="str">
        <f xml:space="preserve"> "xform/" &amp; $C66 &amp;  "/"  &amp; $D66 &amp;  "/"</f>
        <v>xform/ih/ih/</v>
      </c>
      <c r="F66" s="61"/>
    </row>
    <row r="67" spans="1:6" ht="27.75" thickBot="1">
      <c r="A67" s="62">
        <v>58</v>
      </c>
      <c r="B67" s="59">
        <f xml:space="preserve"> LEN(C67)</f>
        <v>2</v>
      </c>
      <c r="C67" s="62" t="s">
        <v>115</v>
      </c>
      <c r="D67" s="62" t="s">
        <v>115</v>
      </c>
      <c r="E67" s="62" t="str">
        <f xml:space="preserve"> "xform/" &amp; $C67 &amp;  "/"  &amp; $D67 &amp;  "/"</f>
        <v>xform/ik/ik/</v>
      </c>
      <c r="F67" s="61"/>
    </row>
    <row r="68" spans="1:6" ht="27.75" thickBot="1">
      <c r="A68" s="62">
        <v>59</v>
      </c>
      <c r="B68" s="59">
        <f xml:space="preserve"> LEN(C68)</f>
        <v>2</v>
      </c>
      <c r="C68" s="62" t="s">
        <v>38</v>
      </c>
      <c r="D68" s="62" t="s">
        <v>38</v>
      </c>
      <c r="E68" s="62" t="str">
        <f xml:space="preserve"> "xform/" &amp; $C68 &amp;  "/"  &amp; $D68 &amp;  "/"</f>
        <v>xform/im/im/</v>
      </c>
      <c r="F68" s="61"/>
    </row>
    <row r="69" spans="1:6" ht="27.75" thickBot="1">
      <c r="A69" s="62">
        <v>60</v>
      </c>
      <c r="B69" s="59">
        <f xml:space="preserve"> LEN(C69)</f>
        <v>2</v>
      </c>
      <c r="C69" s="62" t="s">
        <v>189</v>
      </c>
      <c r="D69" s="62" t="s">
        <v>189</v>
      </c>
      <c r="E69" s="62" t="str">
        <f xml:space="preserve"> "xform/" &amp; $C69 &amp;  "/"  &amp; $D69 &amp;  "/"</f>
        <v>xform/in/in/</v>
      </c>
      <c r="F69" s="61"/>
    </row>
    <row r="70" spans="1:6" ht="27.75" thickBot="1">
      <c r="A70" s="62">
        <v>62</v>
      </c>
      <c r="B70" s="59">
        <f xml:space="preserve"> LEN(C70)</f>
        <v>2</v>
      </c>
      <c r="C70" s="62" t="s">
        <v>46</v>
      </c>
      <c r="D70" s="62" t="s">
        <v>46</v>
      </c>
      <c r="E70" s="62" t="str">
        <f xml:space="preserve"> "xform/" &amp; $C70 &amp;  "/"  &amp; $D70 &amp;  "/"</f>
        <v>xform/ip/ip/</v>
      </c>
      <c r="F70" s="61"/>
    </row>
    <row r="71" spans="1:6" ht="27.75" thickBot="1">
      <c r="A71" s="62">
        <v>63</v>
      </c>
      <c r="B71" s="59">
        <f xml:space="preserve"> LEN(C71)</f>
        <v>2</v>
      </c>
      <c r="C71" s="62" t="s">
        <v>197</v>
      </c>
      <c r="D71" s="62" t="s">
        <v>197</v>
      </c>
      <c r="E71" s="62" t="str">
        <f xml:space="preserve"> "xform/" &amp; $C71 &amp;  "/"  &amp; $D71 &amp;  "/"</f>
        <v>xform/it/it/</v>
      </c>
      <c r="F71" s="61"/>
    </row>
    <row r="72" spans="1:6" ht="27.75" thickBot="1">
      <c r="A72" s="62">
        <v>64</v>
      </c>
      <c r="B72" s="59">
        <f xml:space="preserve"> LEN(C72)</f>
        <v>2</v>
      </c>
      <c r="C72" s="62" t="s">
        <v>332</v>
      </c>
      <c r="D72" s="62" t="s">
        <v>332</v>
      </c>
      <c r="E72" s="62" t="str">
        <f xml:space="preserve"> "xform/" &amp; $C72 &amp;  "/"  &amp; $D72 &amp;  "/"</f>
        <v>xform/iu/iu/</v>
      </c>
      <c r="F72" s="61"/>
    </row>
    <row r="73" spans="1:6" ht="27.75" thickBot="1">
      <c r="A73" s="62">
        <v>65</v>
      </c>
      <c r="B73" s="59">
        <f xml:space="preserve"> LEN(C73)</f>
        <v>2</v>
      </c>
      <c r="C73" s="62" t="s">
        <v>875</v>
      </c>
      <c r="D73" s="62" t="s">
        <v>875</v>
      </c>
      <c r="E73" s="62" t="str">
        <f xml:space="preserve"> "xform/" &amp; $C73 &amp;  "/"  &amp; $D73 &amp;  "/"</f>
        <v>xform/mh/mh/</v>
      </c>
      <c r="F73" s="61"/>
    </row>
    <row r="74" spans="1:6" ht="27.75" thickBot="1">
      <c r="A74" s="62">
        <v>67</v>
      </c>
      <c r="B74" s="59">
        <f xml:space="preserve"> LEN(C74)</f>
        <v>2</v>
      </c>
      <c r="C74" s="62" t="s">
        <v>407</v>
      </c>
      <c r="D74" s="62" t="s">
        <v>407</v>
      </c>
      <c r="E74" s="62" t="str">
        <f xml:space="preserve"> "xform/" &amp; $C74 &amp;  "/"  &amp; $D74 &amp;  "/"</f>
        <v>xform/ng/ng/</v>
      </c>
      <c r="F74" s="61"/>
    </row>
    <row r="75" spans="1:6" ht="27.75" thickBot="1">
      <c r="A75" s="62">
        <v>70</v>
      </c>
      <c r="B75" s="59">
        <f xml:space="preserve"> LEN(C75)</f>
        <v>2</v>
      </c>
      <c r="C75" s="62" t="s">
        <v>90</v>
      </c>
      <c r="D75" s="62" t="s">
        <v>90</v>
      </c>
      <c r="E75" s="62" t="str">
        <f xml:space="preserve"> "xform/" &amp; $C75 &amp;  "/"  &amp; $D75 &amp;  "/"</f>
        <v>xform/ok/ok/</v>
      </c>
      <c r="F75" s="61"/>
    </row>
    <row r="76" spans="1:6" ht="27.75" thickBot="1">
      <c r="A76" s="62">
        <v>71</v>
      </c>
      <c r="B76" s="59">
        <f xml:space="preserve"> LEN(C76)</f>
        <v>2</v>
      </c>
      <c r="C76" s="62" t="s">
        <v>136</v>
      </c>
      <c r="D76" s="62" t="s">
        <v>136</v>
      </c>
      <c r="E76" s="62" t="str">
        <f xml:space="preserve"> "xform/" &amp; $C76 &amp;  "/"  &amp; $D76 &amp;  "/"</f>
        <v>xform/oo/oo/</v>
      </c>
      <c r="F76" s="61"/>
    </row>
    <row r="77" spans="1:6" ht="27.75" thickBot="1">
      <c r="A77" s="62">
        <v>73</v>
      </c>
      <c r="B77" s="59">
        <f xml:space="preserve"> LEN(C77)</f>
        <v>2</v>
      </c>
      <c r="C77" s="62" t="s">
        <v>223</v>
      </c>
      <c r="D77" s="62" t="s">
        <v>223</v>
      </c>
      <c r="E77" s="62" t="str">
        <f xml:space="preserve"> "xform/" &amp; $C77 &amp;  "/"  &amp; $D77 &amp;  "/"</f>
        <v>xform/ua/ua/</v>
      </c>
      <c r="F77" s="61"/>
    </row>
    <row r="78" spans="1:6" ht="27.75" thickBot="1">
      <c r="A78" s="62">
        <v>74</v>
      </c>
      <c r="B78" s="59">
        <f xml:space="preserve"> LEN(C78)</f>
        <v>2</v>
      </c>
      <c r="C78" s="62" t="s">
        <v>285</v>
      </c>
      <c r="D78" s="62" t="s">
        <v>285</v>
      </c>
      <c r="E78" s="62" t="str">
        <f xml:space="preserve"> "xform/" &amp; $C78 &amp;  "/"  &amp; $D78 &amp;  "/"</f>
        <v>xform/ue/ue/</v>
      </c>
      <c r="F78" s="61"/>
    </row>
    <row r="79" spans="1:6" ht="27.75" thickBot="1">
      <c r="A79" s="62">
        <v>75</v>
      </c>
      <c r="B79" s="59">
        <f xml:space="preserve"> LEN(C79)</f>
        <v>2</v>
      </c>
      <c r="C79" s="62" t="s">
        <v>313</v>
      </c>
      <c r="D79" s="62" t="s">
        <v>313</v>
      </c>
      <c r="E79" s="62" t="str">
        <f xml:space="preserve"> "xform/" &amp; $C79 &amp;  "/"  &amp; $D79 &amp;  "/"</f>
        <v>xform/uh/uh/</v>
      </c>
      <c r="F79" s="61"/>
    </row>
    <row r="80" spans="1:6" ht="27.75" thickBot="1">
      <c r="A80" s="62">
        <v>76</v>
      </c>
      <c r="B80" s="59">
        <f xml:space="preserve"> LEN(C80)</f>
        <v>2</v>
      </c>
      <c r="C80" s="62" t="s">
        <v>50</v>
      </c>
      <c r="D80" s="62" t="s">
        <v>50</v>
      </c>
      <c r="E80" s="62" t="str">
        <f xml:space="preserve"> "xform/" &amp; $C80 &amp;  "/"  &amp; $D80 &amp;  "/"</f>
        <v>xform/ui/ui/</v>
      </c>
      <c r="F80" s="61"/>
    </row>
    <row r="81" spans="1:6" ht="27.75" thickBot="1">
      <c r="A81" s="62">
        <v>77</v>
      </c>
      <c r="B81" s="59">
        <f xml:space="preserve"> LEN(C81)</f>
        <v>2</v>
      </c>
      <c r="C81" s="62" t="s">
        <v>14</v>
      </c>
      <c r="D81" s="62" t="s">
        <v>14</v>
      </c>
      <c r="E81" s="62" t="str">
        <f xml:space="preserve"> "xform/" &amp; $C81 &amp;  "/"  &amp; $D81 &amp;  "/"</f>
        <v>xform/un/un/</v>
      </c>
      <c r="F81" s="61"/>
    </row>
    <row r="82" spans="1:6" ht="27.75" thickBot="1">
      <c r="A82" s="62">
        <v>78</v>
      </c>
      <c r="B82" s="59">
        <f xml:space="preserve"> LEN(C82)</f>
        <v>2</v>
      </c>
      <c r="C82" s="62" t="s">
        <v>22</v>
      </c>
      <c r="D82" s="62" t="s">
        <v>22</v>
      </c>
      <c r="E82" s="62" t="str">
        <f xml:space="preserve"> "xform/" &amp; $C82 &amp;  "/"  &amp; $D82 &amp;  "/"</f>
        <v>xform/ut/ut/</v>
      </c>
      <c r="F82" s="61"/>
    </row>
    <row r="83" spans="1:6" ht="27.75" thickBot="1">
      <c r="A83" s="62">
        <v>83</v>
      </c>
      <c r="B83" s="59">
        <f xml:space="preserve"> LEN(C83)</f>
        <v>2</v>
      </c>
      <c r="C83" s="62" t="s">
        <v>174</v>
      </c>
      <c r="D83" s="62" t="s">
        <v>171</v>
      </c>
      <c r="E83" s="62" t="str">
        <f xml:space="preserve"> "xform/" &amp; $C83 &amp;  "/"  &amp; $D83 &amp;  "/"</f>
        <v>xform/or/o/</v>
      </c>
      <c r="F83" s="61"/>
    </row>
    <row r="84" spans="1:6" ht="27.75" thickBot="1">
      <c r="A84" s="62">
        <v>89</v>
      </c>
      <c r="B84" s="59">
        <f xml:space="preserve"> LEN(C84)</f>
        <v>2</v>
      </c>
      <c r="C84" s="62" t="s">
        <v>134</v>
      </c>
      <c r="D84" s="62" t="s">
        <v>134</v>
      </c>
      <c r="E84" s="62" t="str">
        <f xml:space="preserve"> "xform/" &amp; $C84 &amp;  "/"  &amp; $D84 &amp;  "/"</f>
        <v>xform/ou/ou/</v>
      </c>
      <c r="F84" s="61"/>
    </row>
    <row r="85" spans="1:6" ht="27.75" thickBot="1">
      <c r="A85" s="62">
        <v>90</v>
      </c>
      <c r="B85" s="59">
        <f xml:space="preserve"> LEN(C85)</f>
        <v>2</v>
      </c>
      <c r="C85" s="62" t="s">
        <v>888</v>
      </c>
      <c r="D85" s="62" t="s">
        <v>888</v>
      </c>
      <c r="E85" s="62" t="str">
        <f xml:space="preserve"> "xform/" &amp; $C85 &amp;  "/"  &amp; $D85 &amp;  "/"</f>
        <v>xform/ae/ae/</v>
      </c>
      <c r="F85" s="61"/>
    </row>
    <row r="86" spans="1:6" ht="27.75" thickBot="1">
      <c r="A86" s="62">
        <v>93</v>
      </c>
      <c r="B86" s="59">
        <f xml:space="preserve"> LEN(C86)</f>
        <v>2</v>
      </c>
      <c r="C86" s="62" t="s">
        <v>868</v>
      </c>
      <c r="D86" s="62" t="s">
        <v>868</v>
      </c>
      <c r="E86" s="62" t="str">
        <f xml:space="preserve"> "xform/" &amp; $C86 &amp;  "/"  &amp; $D86 &amp;  "/"</f>
        <v>xform/eu/eu/</v>
      </c>
      <c r="F86" s="61"/>
    </row>
    <row r="87" spans="1:6" ht="27.75" thickBot="1">
      <c r="A87" s="62">
        <v>96</v>
      </c>
      <c r="B87" s="59">
        <f xml:space="preserve"> LEN(C87)</f>
        <v>2</v>
      </c>
      <c r="C87" s="62" t="s">
        <v>116</v>
      </c>
      <c r="D87" s="62" t="s">
        <v>116</v>
      </c>
      <c r="E87" s="62" t="str">
        <f xml:space="preserve"> "xform/" &amp; $C87 &amp;  "/"  &amp; $D87 &amp;  "/"</f>
        <v>xform/ek/ek/</v>
      </c>
      <c r="F87" s="61"/>
    </row>
    <row r="88" spans="1:6" ht="27.75" thickBot="1">
      <c r="A88" s="62">
        <v>44</v>
      </c>
      <c r="B88" s="59">
        <f xml:space="preserve"> LEN(C88)</f>
        <v>1</v>
      </c>
      <c r="C88" s="62" t="s">
        <v>60</v>
      </c>
      <c r="D88" s="62" t="s">
        <v>59</v>
      </c>
      <c r="E88" s="62" t="str">
        <f xml:space="preserve"> "xform/" &amp; $C88 &amp;  "/"  &amp; $D88 &amp;  "/"</f>
        <v>xform/e/ee/</v>
      </c>
      <c r="F88" s="61"/>
    </row>
    <row r="89" spans="1:6" ht="27.75" thickBot="1">
      <c r="A89" s="62">
        <v>54</v>
      </c>
      <c r="B89" s="59">
        <f xml:space="preserve"> LEN(C89)</f>
        <v>1</v>
      </c>
      <c r="C89" s="62">
        <v>0</v>
      </c>
      <c r="D89" s="62" t="s">
        <v>867</v>
      </c>
      <c r="E89" s="62" t="str">
        <f xml:space="preserve"> "xform/" &amp; $C89 &amp;  "/"  &amp; $D89 &amp;  "/"</f>
        <v>xform/0/ir/</v>
      </c>
      <c r="F89" s="61"/>
    </row>
    <row r="90" spans="1:6" ht="27.75" thickBot="1">
      <c r="A90" s="62">
        <v>56</v>
      </c>
      <c r="B90" s="59">
        <f xml:space="preserve"> LEN(C90)</f>
        <v>1</v>
      </c>
      <c r="C90" s="62">
        <v>0</v>
      </c>
      <c r="D90" s="62" t="s">
        <v>871</v>
      </c>
      <c r="E90" s="62" t="str">
        <f xml:space="preserve"> "xform/" &amp; $C90 &amp;  "/"  &amp; $D90 &amp;  "/"</f>
        <v>xform/0/er/</v>
      </c>
      <c r="F90" s="61"/>
    </row>
    <row r="91" spans="1:6" ht="27.75" thickBot="1">
      <c r="A91" s="62">
        <v>79</v>
      </c>
      <c r="B91" s="59">
        <f xml:space="preserve"> LEN(C91)</f>
        <v>1</v>
      </c>
      <c r="C91" s="62" t="s">
        <v>316</v>
      </c>
      <c r="D91" s="62" t="s">
        <v>316</v>
      </c>
      <c r="E91" s="62" t="str">
        <f xml:space="preserve"> "xform/" &amp; $C91 &amp;  "/"  &amp; $D91 &amp;  "/"</f>
        <v>xform/a/a/</v>
      </c>
      <c r="F91" s="61"/>
    </row>
    <row r="92" spans="1:6" ht="27.75" thickBot="1">
      <c r="A92" s="62">
        <v>80</v>
      </c>
      <c r="B92" s="59">
        <f xml:space="preserve"> LEN(C92)</f>
        <v>1</v>
      </c>
      <c r="C92" s="62" t="s">
        <v>60</v>
      </c>
      <c r="D92" s="62" t="s">
        <v>60</v>
      </c>
      <c r="E92" s="62" t="str">
        <f xml:space="preserve"> "xform/" &amp; $C92 &amp;  "/"  &amp; $D92 &amp;  "/"</f>
        <v>xform/e/e/</v>
      </c>
      <c r="F92" s="61"/>
    </row>
    <row r="93" spans="1:6" ht="27.75" thickBot="1">
      <c r="A93" s="62">
        <v>81</v>
      </c>
      <c r="B93" s="59">
        <f xml:space="preserve"> LEN(C93)</f>
        <v>1</v>
      </c>
      <c r="C93" s="62" t="s">
        <v>324</v>
      </c>
      <c r="D93" s="62" t="s">
        <v>324</v>
      </c>
      <c r="E93" s="62" t="str">
        <f xml:space="preserve"> "xform/" &amp; $C93 &amp;  "/"  &amp; $D93 &amp;  "/"</f>
        <v>xform/i/i/</v>
      </c>
      <c r="F93" s="61"/>
    </row>
    <row r="94" spans="1:6" ht="27.75" thickBot="1">
      <c r="A94" s="62">
        <v>82</v>
      </c>
      <c r="B94" s="59">
        <f xml:space="preserve"> LEN(C94)</f>
        <v>1</v>
      </c>
      <c r="C94" s="62" t="s">
        <v>432</v>
      </c>
      <c r="D94" s="62" t="s">
        <v>432</v>
      </c>
      <c r="E94" s="62" t="str">
        <f xml:space="preserve"> "xform/" &amp; $C94 &amp;  "/"  &amp; $D94 &amp;  "/"</f>
        <v>xform/m/m/</v>
      </c>
      <c r="F94" s="61"/>
    </row>
    <row r="95" spans="1:6" ht="27.75" thickBot="1">
      <c r="A95" s="62">
        <v>84</v>
      </c>
      <c r="B95" s="59">
        <f xml:space="preserve"> LEN(C95)</f>
        <v>1</v>
      </c>
      <c r="C95" s="62" t="s">
        <v>308</v>
      </c>
      <c r="D95" s="62" t="s">
        <v>308</v>
      </c>
      <c r="E95" s="62" t="str">
        <f xml:space="preserve"> "xform/" &amp; $C95 &amp;  "/"  &amp; $D95 &amp;  "/"</f>
        <v>xform/u/u/</v>
      </c>
      <c r="F95" s="61"/>
    </row>
    <row r="96" spans="1:6" ht="27.75" thickBot="1">
      <c r="A96" s="62">
        <v>88</v>
      </c>
      <c r="B96" s="59">
        <f xml:space="preserve"> LEN(C96)</f>
        <v>1</v>
      </c>
      <c r="C96" s="62" t="s">
        <v>60</v>
      </c>
      <c r="D96" s="62" t="s">
        <v>153</v>
      </c>
      <c r="E96" s="62" t="str">
        <f xml:space="preserve"> "xform/" &amp; $C96 &amp;  "/"  &amp; $D96 &amp;  "/"</f>
        <v>xform/e/ei/</v>
      </c>
      <c r="F96" s="61"/>
    </row>
    <row r="97" spans="1:6" ht="27.75" thickBot="1">
      <c r="A97" s="62">
        <v>94</v>
      </c>
      <c r="B97" s="59">
        <f xml:space="preserve"> LEN(C97)</f>
        <v>1</v>
      </c>
      <c r="C97" s="62">
        <v>0</v>
      </c>
      <c r="D97" s="62" t="s">
        <v>895</v>
      </c>
      <c r="E97" s="62" t="str">
        <f xml:space="preserve"> "xform/" &amp; $C97 &amp;  "/"  &amp; $D97 &amp;  "/"</f>
        <v>xform/0/ioo/</v>
      </c>
      <c r="F97" s="61"/>
    </row>
  </sheetData>
  <sortState xmlns:xlrd2="http://schemas.microsoft.com/office/spreadsheetml/2017/richdata2" ref="A2:E97">
    <sortCondition descending="1" ref="B2:B9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D1B8-C933-4F87-997F-1644EE992569}">
  <dimension ref="A1:S21"/>
  <sheetViews>
    <sheetView workbookViewId="0">
      <selection activeCell="S13" sqref="S13"/>
    </sheetView>
  </sheetViews>
  <sheetFormatPr defaultRowHeight="25.5"/>
  <cols>
    <col min="1" max="1" width="7.58203125" customWidth="1"/>
    <col min="7" max="8" width="9.83203125" style="20" customWidth="1"/>
    <col min="9" max="14" width="12.1640625" customWidth="1"/>
  </cols>
  <sheetData>
    <row r="1" spans="1:19">
      <c r="A1" s="2" t="s">
        <v>0</v>
      </c>
      <c r="B1" s="2" t="s">
        <v>631</v>
      </c>
      <c r="C1" s="2" t="s">
        <v>630</v>
      </c>
      <c r="D1" s="2" t="s">
        <v>687</v>
      </c>
      <c r="E1" s="2" t="s">
        <v>628</v>
      </c>
      <c r="F1" s="2" t="s">
        <v>629</v>
      </c>
      <c r="G1" s="2" t="s">
        <v>634</v>
      </c>
      <c r="H1" s="2" t="s">
        <v>686</v>
      </c>
      <c r="I1" s="2" t="s">
        <v>688</v>
      </c>
      <c r="J1" s="2" t="s">
        <v>689</v>
      </c>
      <c r="K1" s="2" t="s">
        <v>691</v>
      </c>
      <c r="L1" s="2" t="s">
        <v>633</v>
      </c>
      <c r="M1" s="2" t="s">
        <v>690</v>
      </c>
      <c r="N1" s="2" t="s">
        <v>632</v>
      </c>
    </row>
    <row r="2" spans="1:19">
      <c r="A2" s="1">
        <v>1</v>
      </c>
      <c r="B2" s="1" t="s">
        <v>638</v>
      </c>
      <c r="C2" s="1" t="s">
        <v>635</v>
      </c>
      <c r="D2" s="1" t="s">
        <v>636</v>
      </c>
      <c r="E2" s="1">
        <v>44</v>
      </c>
      <c r="F2" s="1">
        <v>55</v>
      </c>
      <c r="G2" s="14">
        <v>1</v>
      </c>
      <c r="H2" s="14">
        <v>1</v>
      </c>
      <c r="I2" s="1" t="s">
        <v>637</v>
      </c>
      <c r="J2" s="1" t="s">
        <v>316</v>
      </c>
      <c r="K2" s="1"/>
      <c r="L2" s="1" t="s">
        <v>318</v>
      </c>
      <c r="M2" s="1" t="s">
        <v>640</v>
      </c>
      <c r="N2" s="1" t="s">
        <v>639</v>
      </c>
    </row>
    <row r="3" spans="1:19">
      <c r="A3" s="1">
        <v>2</v>
      </c>
      <c r="B3" s="1" t="s">
        <v>644</v>
      </c>
      <c r="C3" s="1" t="s">
        <v>641</v>
      </c>
      <c r="D3" s="1" t="s">
        <v>642</v>
      </c>
      <c r="E3" s="1">
        <v>22</v>
      </c>
      <c r="F3" s="1">
        <v>33</v>
      </c>
      <c r="G3" s="14">
        <v>7</v>
      </c>
      <c r="H3" s="14">
        <v>6</v>
      </c>
      <c r="I3" s="1" t="s">
        <v>643</v>
      </c>
      <c r="J3" s="1" t="s">
        <v>646</v>
      </c>
      <c r="K3" s="1" t="s">
        <v>692</v>
      </c>
      <c r="L3" s="1" t="s">
        <v>647</v>
      </c>
      <c r="M3" s="1" t="s">
        <v>648</v>
      </c>
      <c r="N3" s="1" t="s">
        <v>645</v>
      </c>
    </row>
    <row r="4" spans="1:19">
      <c r="A4" s="1">
        <v>3</v>
      </c>
      <c r="B4" s="1" t="s">
        <v>652</v>
      </c>
      <c r="C4" s="1" t="s">
        <v>649</v>
      </c>
      <c r="D4" s="1" t="s">
        <v>650</v>
      </c>
      <c r="E4" s="1">
        <v>21</v>
      </c>
      <c r="F4" s="1">
        <v>31</v>
      </c>
      <c r="G4" s="14">
        <v>3</v>
      </c>
      <c r="H4" s="14">
        <v>5</v>
      </c>
      <c r="I4" s="1" t="s">
        <v>651</v>
      </c>
      <c r="J4" s="1" t="s">
        <v>654</v>
      </c>
      <c r="K4" s="1"/>
      <c r="L4" s="1" t="s">
        <v>655</v>
      </c>
      <c r="M4" s="1" t="s">
        <v>656</v>
      </c>
      <c r="N4" s="1" t="s">
        <v>653</v>
      </c>
    </row>
    <row r="5" spans="1:19">
      <c r="A5" s="1">
        <v>4</v>
      </c>
      <c r="B5" s="1" t="s">
        <v>660</v>
      </c>
      <c r="C5" s="1" t="s">
        <v>657</v>
      </c>
      <c r="D5" s="1" t="s">
        <v>658</v>
      </c>
      <c r="E5" s="1">
        <v>53</v>
      </c>
      <c r="F5" s="1">
        <v>51</v>
      </c>
      <c r="G5" s="14">
        <v>2</v>
      </c>
      <c r="H5" s="14">
        <v>3</v>
      </c>
      <c r="I5" s="1" t="s">
        <v>659</v>
      </c>
      <c r="J5" s="1" t="s">
        <v>662</v>
      </c>
      <c r="K5" s="1" t="s">
        <v>693</v>
      </c>
      <c r="L5" s="1" t="s">
        <v>663</v>
      </c>
      <c r="M5" s="1" t="s">
        <v>664</v>
      </c>
      <c r="N5" s="1" t="s">
        <v>661</v>
      </c>
    </row>
    <row r="6" spans="1:19">
      <c r="A6" s="1">
        <v>5</v>
      </c>
      <c r="B6" s="1" t="s">
        <v>668</v>
      </c>
      <c r="C6" s="1" t="s">
        <v>665</v>
      </c>
      <c r="D6" s="1" t="s">
        <v>666</v>
      </c>
      <c r="E6" s="1">
        <v>13</v>
      </c>
      <c r="F6" s="1">
        <v>24</v>
      </c>
      <c r="G6" s="14">
        <v>5</v>
      </c>
      <c r="H6" s="14">
        <v>2</v>
      </c>
      <c r="I6" s="1" t="s">
        <v>667</v>
      </c>
      <c r="J6" s="1" t="s">
        <v>670</v>
      </c>
      <c r="K6" s="1"/>
      <c r="L6" s="1" t="s">
        <v>671</v>
      </c>
      <c r="M6" s="1" t="s">
        <v>672</v>
      </c>
      <c r="N6" s="1" t="s">
        <v>669</v>
      </c>
    </row>
    <row r="7" spans="1:19">
      <c r="A7" s="1">
        <v>6</v>
      </c>
      <c r="B7" s="1" t="s">
        <v>676</v>
      </c>
      <c r="C7" s="1" t="s">
        <v>673</v>
      </c>
      <c r="D7" s="1" t="s">
        <v>674</v>
      </c>
      <c r="E7" s="1">
        <v>32</v>
      </c>
      <c r="F7" s="1">
        <v>30</v>
      </c>
      <c r="G7" s="14">
        <v>4</v>
      </c>
      <c r="H7" s="14">
        <v>7</v>
      </c>
      <c r="I7" s="1" t="s">
        <v>675</v>
      </c>
      <c r="J7" s="1" t="s">
        <v>800</v>
      </c>
      <c r="K7" s="1"/>
      <c r="L7" s="1" t="s">
        <v>678</v>
      </c>
      <c r="M7" s="1" t="s">
        <v>640</v>
      </c>
      <c r="N7" s="1" t="s">
        <v>677</v>
      </c>
    </row>
    <row r="8" spans="1:19">
      <c r="A8" s="1">
        <v>7</v>
      </c>
      <c r="B8" s="1" t="s">
        <v>682</v>
      </c>
      <c r="C8" s="1" t="s">
        <v>679</v>
      </c>
      <c r="D8" s="1" t="s">
        <v>680</v>
      </c>
      <c r="E8" s="1">
        <v>121</v>
      </c>
      <c r="F8" s="1">
        <v>50</v>
      </c>
      <c r="G8" s="14">
        <v>8</v>
      </c>
      <c r="H8" s="14">
        <v>8</v>
      </c>
      <c r="I8" s="1" t="s">
        <v>681</v>
      </c>
      <c r="J8" s="1" t="s">
        <v>801</v>
      </c>
      <c r="K8" s="1"/>
      <c r="L8" s="1" t="s">
        <v>684</v>
      </c>
      <c r="M8" s="1" t="s">
        <v>685</v>
      </c>
      <c r="N8" s="1" t="s">
        <v>683</v>
      </c>
    </row>
    <row r="10" spans="1:19">
      <c r="J10" s="20" t="s">
        <v>804</v>
      </c>
      <c r="P10" t="s">
        <v>803</v>
      </c>
    </row>
    <row r="11" spans="1:19">
      <c r="G11" s="53" t="s">
        <v>799</v>
      </c>
      <c r="H11" s="53" t="s">
        <v>694</v>
      </c>
      <c r="I11" s="53" t="s">
        <v>796</v>
      </c>
      <c r="J11" s="53" t="s">
        <v>782</v>
      </c>
      <c r="K11" s="53" t="s">
        <v>797</v>
      </c>
      <c r="L11" s="53" t="s">
        <v>783</v>
      </c>
      <c r="M11" s="53" t="s">
        <v>798</v>
      </c>
      <c r="N11" s="53" t="s">
        <v>784</v>
      </c>
      <c r="P11" s="53" t="s">
        <v>782</v>
      </c>
    </row>
    <row r="12" spans="1:19">
      <c r="G12" s="14" t="s">
        <v>788</v>
      </c>
      <c r="H12" s="1">
        <v>1</v>
      </c>
      <c r="I12" s="1"/>
      <c r="J12" s="14" t="str">
        <f xml:space="preserve"> IFERROR( _xlfn.CONCAT("a"), "")</f>
        <v>a</v>
      </c>
      <c r="K12" s="1"/>
      <c r="L12" s="1" t="str">
        <f xml:space="preserve"> IFERROR( _xlfn.CONCAT("ㄚ"), "")</f>
        <v>ㄚ</v>
      </c>
      <c r="M12" s="1" t="s">
        <v>692</v>
      </c>
      <c r="N12" s="49" t="str">
        <f t="shared" ref="N12:N14" si="0" xml:space="preserve"> IFERROR( _xlfn.CONCAT("a", _xlfn.UNICHAR(HEX2DEC(RIGHT(M12,4)))), "")</f>
        <v>ā</v>
      </c>
      <c r="P12" s="54" t="str">
        <f xml:space="preserve"> IFERROR( _xlfn.CONCAT("a"), "")</f>
        <v>a</v>
      </c>
      <c r="R12" t="str">
        <f t="shared" ref="R12:R19" si="1" xml:space="preserve"> IFERROR( _xlfn.CONCAT("l", "u", _xlfn.UNICHAR(HEX2DEC(RIGHT($M12,4))), "n"), "")</f>
        <v>lūn</v>
      </c>
      <c r="S12" t="str">
        <f xml:space="preserve"> IFERROR( _xlfn.CONCAT("n", "g", "o", _xlfn.UNICHAR(HEX2DEC(RIGHT($M12,4))), "o"), "")</f>
        <v>ngōo</v>
      </c>
    </row>
    <row r="13" spans="1:19">
      <c r="G13" s="14" t="s">
        <v>789</v>
      </c>
      <c r="H13" s="1">
        <v>2</v>
      </c>
      <c r="I13" s="1" t="s">
        <v>693</v>
      </c>
      <c r="J13" s="14" t="str">
        <f xml:space="preserve"> IFERROR( _xlfn.CONCAT("a", _xlfn.UNICHAR(HEX2DEC(RIGHT($I13,4)))), "")</f>
        <v>á</v>
      </c>
      <c r="K13" s="1" t="s">
        <v>778</v>
      </c>
      <c r="L13" s="1" t="str">
        <f t="shared" ref="L13:L18" si="2" xml:space="preserve"> IFERROR( _xlfn.CONCAT("ㄚ", _xlfn.UNICHAR(HEX2DEC(RIGHT(K13,4)))), "")</f>
        <v>ㄚ̀</v>
      </c>
      <c r="M13" s="1" t="s">
        <v>786</v>
      </c>
      <c r="N13" s="49" t="str">
        <f t="shared" si="0"/>
        <v>ǎ</v>
      </c>
      <c r="P13" s="54" t="str">
        <f xml:space="preserve"> IFERROR( _xlfn.CONCAT("a", _xlfn.UNICHAR(HEX2DEC(RIGHT($I13,4)))), "")</f>
        <v>á</v>
      </c>
      <c r="R13" t="str">
        <f t="shared" si="1"/>
        <v>lǔn</v>
      </c>
      <c r="S13" t="str">
        <f t="shared" ref="S13:S19" si="3" xml:space="preserve"> IFERROR( _xlfn.CONCAT("n", "g", "o", _xlfn.UNICHAR(HEX2DEC(RIGHT($M13,4))), "o"), "")</f>
        <v>ngǒo</v>
      </c>
    </row>
    <row r="14" spans="1:19">
      <c r="G14" s="14" t="s">
        <v>790</v>
      </c>
      <c r="H14" s="1">
        <v>3</v>
      </c>
      <c r="I14" s="1" t="s">
        <v>778</v>
      </c>
      <c r="J14" s="14" t="str">
        <f t="shared" ref="J14:J21" si="4" xml:space="preserve"> IFERROR( _xlfn.CONCAT("a", _xlfn.UNICHAR(HEX2DEC(RIGHT($I14,4)))), "")</f>
        <v>à</v>
      </c>
      <c r="K14" s="1" t="s">
        <v>779</v>
      </c>
      <c r="L14" s="1" t="str">
        <f t="shared" si="2"/>
        <v>ㄚ˪</v>
      </c>
      <c r="M14" s="1" t="s">
        <v>778</v>
      </c>
      <c r="N14" s="49" t="str">
        <f t="shared" si="0"/>
        <v>à</v>
      </c>
      <c r="P14" s="54" t="str">
        <f t="shared" ref="P14:P21" si="5" xml:space="preserve"> IFERROR( _xlfn.CONCAT("a", _xlfn.UNICHAR(HEX2DEC(RIGHT($I14,4)))), "")</f>
        <v>à</v>
      </c>
      <c r="R14" t="str">
        <f t="shared" si="1"/>
        <v>lùn</v>
      </c>
      <c r="S14" t="str">
        <f t="shared" si="3"/>
        <v>ngòo</v>
      </c>
    </row>
    <row r="15" spans="1:19">
      <c r="G15" s="14" t="s">
        <v>791</v>
      </c>
      <c r="H15" s="1">
        <v>4</v>
      </c>
      <c r="I15" s="1"/>
      <c r="J15" s="14" t="str">
        <f t="shared" si="4"/>
        <v/>
      </c>
      <c r="K15" s="1"/>
      <c r="L15" s="1" t="str">
        <f xml:space="preserve"> IFERROR( _xlfn.CONCAT("ㄚ", "ㆷ"), "")</f>
        <v>ㄚㆷ</v>
      </c>
      <c r="M15" s="1" t="s">
        <v>795</v>
      </c>
      <c r="N15" s="49" t="str">
        <f xml:space="preserve"> IFERROR( _xlfn.CONCAT("a", _xlfn.UNICHAR(HEX2DEC(RIGHT(M15,4))), "h"), "")</f>
        <v>āh</v>
      </c>
      <c r="P15" s="54" t="str">
        <f t="shared" si="5"/>
        <v/>
      </c>
      <c r="R15" t="str">
        <f t="shared" si="1"/>
        <v>lūn</v>
      </c>
      <c r="S15" t="str">
        <f t="shared" si="3"/>
        <v>ngōo</v>
      </c>
    </row>
    <row r="16" spans="1:19">
      <c r="G16" s="14" t="s">
        <v>792</v>
      </c>
      <c r="H16" s="1">
        <v>5</v>
      </c>
      <c r="I16" s="1" t="s">
        <v>786</v>
      </c>
      <c r="J16" s="14" t="str">
        <f t="shared" si="4"/>
        <v>ǎ</v>
      </c>
      <c r="K16" s="1" t="s">
        <v>780</v>
      </c>
      <c r="L16" s="1" t="str">
        <f t="shared" si="2"/>
        <v>ㄚ́</v>
      </c>
      <c r="M16" s="1" t="s">
        <v>780</v>
      </c>
      <c r="N16" s="49" t="str">
        <f t="shared" ref="N16:N17" si="6" xml:space="preserve"> IFERROR( _xlfn.CONCAT("a", _xlfn.UNICHAR(HEX2DEC(RIGHT(M16,4)))), "")</f>
        <v>á</v>
      </c>
      <c r="P16" s="54" t="str">
        <f t="shared" si="5"/>
        <v>ǎ</v>
      </c>
      <c r="R16" t="str">
        <f t="shared" si="1"/>
        <v>lún</v>
      </c>
      <c r="S16" t="str">
        <f t="shared" si="3"/>
        <v>ngóo</v>
      </c>
    </row>
    <row r="17" spans="7:19">
      <c r="G17" s="14" t="s">
        <v>789</v>
      </c>
      <c r="H17" s="50">
        <v>6</v>
      </c>
      <c r="I17" s="50" t="s">
        <v>780</v>
      </c>
      <c r="J17" s="14" t="str">
        <f t="shared" si="4"/>
        <v>á</v>
      </c>
      <c r="K17" s="51" t="s">
        <v>778</v>
      </c>
      <c r="L17" s="51" t="str">
        <f t="shared" si="2"/>
        <v>ㄚ̀</v>
      </c>
      <c r="M17" s="51" t="s">
        <v>786</v>
      </c>
      <c r="N17" s="52" t="str">
        <f t="shared" si="6"/>
        <v>ǎ</v>
      </c>
      <c r="P17" s="54" t="str">
        <f t="shared" si="5"/>
        <v>á</v>
      </c>
      <c r="R17" t="str">
        <f t="shared" si="1"/>
        <v>lǔn</v>
      </c>
      <c r="S17" t="str">
        <f t="shared" si="3"/>
        <v>ngǒo</v>
      </c>
    </row>
    <row r="18" spans="7:19">
      <c r="G18" s="14" t="s">
        <v>793</v>
      </c>
      <c r="H18" s="1">
        <v>7</v>
      </c>
      <c r="I18" s="1" t="s">
        <v>692</v>
      </c>
      <c r="J18" s="14" t="str">
        <f t="shared" si="4"/>
        <v>ā</v>
      </c>
      <c r="K18" s="1" t="s">
        <v>781</v>
      </c>
      <c r="L18" s="1" t="str">
        <f t="shared" si="2"/>
        <v>ㄚ˫</v>
      </c>
      <c r="M18" s="1" t="s">
        <v>785</v>
      </c>
      <c r="N18" s="49" t="str">
        <f t="shared" ref="N18" si="7" xml:space="preserve"> IFERROR( _xlfn.CONCAT("a", _xlfn.UNICHAR(HEX2DEC(RIGHT(M18,4)))), "")</f>
        <v>â</v>
      </c>
      <c r="P18" s="54" t="str">
        <f t="shared" si="5"/>
        <v>ā</v>
      </c>
      <c r="R18" t="str">
        <f t="shared" si="1"/>
        <v>lûn</v>
      </c>
      <c r="S18" t="str">
        <f t="shared" si="3"/>
        <v>ngôo</v>
      </c>
    </row>
    <row r="19" spans="7:19">
      <c r="G19" s="14" t="s">
        <v>794</v>
      </c>
      <c r="H19" s="1">
        <v>8</v>
      </c>
      <c r="I19" s="1" t="s">
        <v>802</v>
      </c>
      <c r="J19" s="14" t="str">
        <f t="shared" si="4"/>
        <v>a̍</v>
      </c>
      <c r="K19" s="1" t="s">
        <v>777</v>
      </c>
      <c r="L19" s="1" t="str">
        <f xml:space="preserve"> IFERROR( _xlfn.CONCAT("ㄚ", "ㆷ", _xlfn.UNICHAR(HEX2DEC(RIGHT(K19,4)))), "")</f>
        <v>ㄚㆷ˙</v>
      </c>
      <c r="M19" s="1" t="s">
        <v>780</v>
      </c>
      <c r="N19" s="49" t="str">
        <f xml:space="preserve"> IFERROR( _xlfn.CONCAT("a", _xlfn.UNICHAR(HEX2DEC(RIGHT(M19,4))), "h"), "")</f>
        <v>áh</v>
      </c>
      <c r="P19" s="54" t="str">
        <f t="shared" si="5"/>
        <v>a̍</v>
      </c>
      <c r="R19" t="str">
        <f t="shared" si="1"/>
        <v>lún</v>
      </c>
      <c r="S19" t="str">
        <f t="shared" si="3"/>
        <v>ngóo</v>
      </c>
    </row>
    <row r="20" spans="7:19">
      <c r="G20" s="14" t="s">
        <v>787</v>
      </c>
      <c r="H20" s="1">
        <v>9</v>
      </c>
      <c r="I20" s="1" t="s">
        <v>696</v>
      </c>
      <c r="J20" s="14" t="str">
        <f t="shared" si="4"/>
        <v>a̋</v>
      </c>
      <c r="K20" s="1"/>
      <c r="L20" s="1"/>
      <c r="M20" s="1"/>
      <c r="N20" s="1"/>
      <c r="P20" s="54" t="str">
        <f t="shared" si="5"/>
        <v>a̋</v>
      </c>
      <c r="R20" t="str">
        <f t="shared" ref="R13:R21" si="8" xml:space="preserve"> IFERROR( _xlfn.CONCAT("l", "u", _xlfn.UNICHAR(HEX2DEC(RIGHT(M20,4))), "n"), "")</f>
        <v/>
      </c>
    </row>
    <row r="21" spans="7:19">
      <c r="G21" s="14" t="s">
        <v>787</v>
      </c>
      <c r="H21" s="1">
        <v>0</v>
      </c>
      <c r="I21" s="1" t="s">
        <v>695</v>
      </c>
      <c r="J21" s="14" t="str">
        <f t="shared" si="4"/>
        <v>å</v>
      </c>
      <c r="K21" s="1" t="s">
        <v>695</v>
      </c>
      <c r="L21" s="1" t="str">
        <f xml:space="preserve"> IFERROR( _xlfn.CONCAT("ㄚ", _xlfn.UNICHAR(HEX2DEC(RIGHT(K21,4)))), "")</f>
        <v>ㄚ̊</v>
      </c>
      <c r="M21" s="1"/>
      <c r="N21" s="1"/>
      <c r="P21" s="54" t="str">
        <f t="shared" si="5"/>
        <v>å</v>
      </c>
      <c r="R21" t="str">
        <f t="shared" si="8"/>
        <v/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F0A9-4D84-4813-9D11-1858F78A91DA}">
  <dimension ref="A1:Y52"/>
  <sheetViews>
    <sheetView workbookViewId="0">
      <selection activeCell="H27" sqref="H27"/>
    </sheetView>
  </sheetViews>
  <sheetFormatPr defaultRowHeight="25.5" outlineLevelCol="1"/>
  <cols>
    <col min="1" max="1" width="4.6640625" customWidth="1"/>
    <col min="3" max="3" width="0" style="94" hidden="1" customWidth="1" outlineLevel="1"/>
    <col min="4" max="4" width="8.6640625" collapsed="1"/>
    <col min="6" max="6" width="0" style="94" hidden="1" customWidth="1" outlineLevel="1"/>
    <col min="7" max="7" width="8.6640625" collapsed="1"/>
    <col min="13" max="18" width="8.6640625" style="88"/>
  </cols>
  <sheetData>
    <row r="1" spans="1:25" ht="26.25" thickBot="1"/>
    <row r="2" spans="1:25" ht="26.25" thickBot="1">
      <c r="B2" s="82" t="s">
        <v>962</v>
      </c>
      <c r="C2" s="95"/>
      <c r="D2" s="87" t="s">
        <v>1108</v>
      </c>
      <c r="E2" s="87"/>
      <c r="F2" s="95"/>
      <c r="G2" s="87" t="s">
        <v>903</v>
      </c>
      <c r="H2" s="87"/>
      <c r="I2" s="87" t="s">
        <v>1264</v>
      </c>
      <c r="J2" s="87"/>
      <c r="K2" s="87" t="s">
        <v>782</v>
      </c>
      <c r="L2" s="87"/>
      <c r="M2" s="89"/>
      <c r="N2" s="89"/>
      <c r="O2" s="89"/>
      <c r="P2" s="89"/>
      <c r="Q2" s="89"/>
      <c r="R2" s="89"/>
      <c r="S2" s="20" t="s">
        <v>1161</v>
      </c>
      <c r="T2" s="20" t="s">
        <v>1143</v>
      </c>
      <c r="U2" s="20" t="s">
        <v>1144</v>
      </c>
      <c r="V2" s="20"/>
      <c r="W2" s="20" t="s">
        <v>1145</v>
      </c>
      <c r="X2" t="s">
        <v>1143</v>
      </c>
      <c r="Y2" t="s">
        <v>1144</v>
      </c>
    </row>
    <row r="3" spans="1:25" ht="33.75" thickBot="1">
      <c r="A3">
        <f xml:space="preserve"> ROW() - 2</f>
        <v>1</v>
      </c>
      <c r="B3" s="98" t="s">
        <v>15</v>
      </c>
      <c r="C3" s="96" t="s">
        <v>985</v>
      </c>
      <c r="D3" s="92" t="s">
        <v>14</v>
      </c>
      <c r="E3" s="92" t="s">
        <v>22</v>
      </c>
      <c r="F3" s="96" t="s">
        <v>14</v>
      </c>
      <c r="G3" s="92" t="s">
        <v>14</v>
      </c>
      <c r="H3" s="92" t="s">
        <v>22</v>
      </c>
      <c r="I3" s="92" t="s">
        <v>14</v>
      </c>
      <c r="J3" s="92" t="s">
        <v>22</v>
      </c>
      <c r="K3" s="92" t="s">
        <v>14</v>
      </c>
      <c r="L3" s="92" t="s">
        <v>22</v>
      </c>
      <c r="M3" s="90"/>
      <c r="N3" s="91" t="str">
        <f t="shared" ref="N3:N52" si="0" xml:space="preserve"> Q3 &amp; T3 &amp; X3</f>
        <v/>
      </c>
      <c r="O3" s="91" t="str">
        <f xml:space="preserve"> U3 &amp; Y3</f>
        <v/>
      </c>
      <c r="P3" s="91"/>
      <c r="Q3" s="90"/>
      <c r="R3" s="90"/>
      <c r="S3" t="str">
        <f xml:space="preserve"> IFERROR( SEARCH($S$2, $I3), "")</f>
        <v/>
      </c>
      <c r="T3" t="str">
        <f xml:space="preserve"> IFERROR(LEFT($F3, S3-1), "")</f>
        <v/>
      </c>
      <c r="U3" t="str">
        <f>IFERROR( _xlfn.CONCAT(LEFT(T3,LEN(T3)-1), RIGHT(C3,1)), "")</f>
        <v/>
      </c>
      <c r="W3" t="str">
        <f xml:space="preserve"> IFERROR( SEARCH($W$2, $F3), "")</f>
        <v/>
      </c>
      <c r="X3" t="str">
        <f xml:space="preserve"> IF(AND(LEN(W3)&gt;0,W3&gt;0), LEFT(F3, LEN(F3)-3), "")</f>
        <v/>
      </c>
      <c r="Y3" t="str">
        <f t="shared" ref="Y3:Y6" si="1">IF(AND(LEN(W3)&gt;0,LEN(X3)&gt;0),_xlfn.CONCAT(X3,MID(C3,W3+1,1)), "")</f>
        <v/>
      </c>
    </row>
    <row r="4" spans="1:25" ht="33.75" thickBot="1">
      <c r="A4">
        <f t="shared" ref="A4:A52" si="2" xml:space="preserve"> ROW() - 2</f>
        <v>2</v>
      </c>
      <c r="B4" s="98" t="s">
        <v>28</v>
      </c>
      <c r="C4" s="96" t="s">
        <v>986</v>
      </c>
      <c r="D4" s="92" t="s">
        <v>27</v>
      </c>
      <c r="E4" s="92" t="s">
        <v>34</v>
      </c>
      <c r="F4" s="96" t="s">
        <v>1162</v>
      </c>
      <c r="G4" s="92" t="s">
        <v>1187</v>
      </c>
      <c r="H4" s="92" t="s">
        <v>1188</v>
      </c>
      <c r="I4" s="92" t="s">
        <v>1204</v>
      </c>
      <c r="J4" s="92" t="s">
        <v>1205</v>
      </c>
      <c r="K4" s="92" t="s">
        <v>1204</v>
      </c>
      <c r="L4" s="92" t="s">
        <v>1205</v>
      </c>
      <c r="M4" s="90"/>
      <c r="N4" s="91" t="str">
        <f t="shared" si="0"/>
        <v>ian</v>
      </c>
      <c r="O4" s="91" t="str">
        <f t="shared" ref="O4:O52" si="3" xml:space="preserve"> U4 &amp; Y4</f>
        <v>iat̚</v>
      </c>
      <c r="P4" s="91"/>
      <c r="Q4" s="91" t="str">
        <f xml:space="preserve"> IF( AND(S4="", W4=""), F4, "")</f>
        <v/>
      </c>
      <c r="R4" s="90"/>
      <c r="S4">
        <f t="shared" ref="S4:S52" si="4" xml:space="preserve"> IFERROR( SEARCH($S$2, $F4), "")</f>
        <v>4</v>
      </c>
      <c r="T4" t="str">
        <f xml:space="preserve"> IFERROR(LEFT($I4, S4-1), "")</f>
        <v>ian</v>
      </c>
      <c r="U4" t="str">
        <f>IFERROR( _xlfn.CONCAT(LEFT(T4,LEN(T4)-1), RIGHT(C4,1), _xlfn.UNICHAR(794)), "")</f>
        <v>iat̚</v>
      </c>
      <c r="W4" t="str">
        <f t="shared" ref="W4:W52" si="5" xml:space="preserve"> IFERROR( SEARCH($W$2, $F4), "")</f>
        <v/>
      </c>
      <c r="X4" t="str">
        <f t="shared" ref="X4:X52" si="6" xml:space="preserve"> IF(AND(LEN(W4)&gt;0,W4&gt;0), LEFT(F4, LEN(F4)-3), "")</f>
        <v/>
      </c>
      <c r="Y4" t="str">
        <f t="shared" si="1"/>
        <v/>
      </c>
    </row>
    <row r="5" spans="1:25" ht="33.75" thickBot="1">
      <c r="A5">
        <f t="shared" si="2"/>
        <v>3</v>
      </c>
      <c r="B5" s="98" t="s">
        <v>39</v>
      </c>
      <c r="C5" s="96" t="s">
        <v>987</v>
      </c>
      <c r="D5" s="92" t="s">
        <v>38</v>
      </c>
      <c r="E5" s="92" t="s">
        <v>46</v>
      </c>
      <c r="F5" s="96" t="s">
        <v>1163</v>
      </c>
      <c r="G5" s="92" t="s">
        <v>38</v>
      </c>
      <c r="H5" s="92" t="s">
        <v>44</v>
      </c>
      <c r="I5" s="92" t="s">
        <v>38</v>
      </c>
      <c r="J5" s="92" t="s">
        <v>1206</v>
      </c>
      <c r="K5" s="92" t="s">
        <v>38</v>
      </c>
      <c r="L5" s="92" t="s">
        <v>1206</v>
      </c>
      <c r="M5" s="90"/>
      <c r="N5" s="91" t="str">
        <f t="shared" si="0"/>
        <v>im</v>
      </c>
      <c r="O5" s="91" t="str">
        <f t="shared" si="3"/>
        <v>ip̚</v>
      </c>
      <c r="P5" s="91"/>
      <c r="Q5" s="91" t="str">
        <f t="shared" ref="Q5:Q52" si="7" xml:space="preserve"> IF( AND(S5="", W5=""), F5, "")</f>
        <v/>
      </c>
      <c r="R5" s="90"/>
      <c r="S5">
        <f t="shared" si="4"/>
        <v>3</v>
      </c>
      <c r="T5" t="str">
        <f t="shared" ref="T5:T52" si="8" xml:space="preserve"> IFERROR(LEFT($I5, S5-1), "")</f>
        <v>im</v>
      </c>
      <c r="U5" t="str">
        <f t="shared" ref="U5:U52" si="9">IFERROR( _xlfn.CONCAT(LEFT(T5,LEN(T5)-1), RIGHT(C5,1), _xlfn.UNICHAR(794)), "")</f>
        <v>ip̚</v>
      </c>
      <c r="W5" t="str">
        <f t="shared" si="5"/>
        <v/>
      </c>
      <c r="X5" t="str">
        <f t="shared" si="6"/>
        <v/>
      </c>
      <c r="Y5" t="str">
        <f t="shared" si="1"/>
        <v/>
      </c>
    </row>
    <row r="6" spans="1:25" ht="33.75" thickBot="1">
      <c r="A6">
        <f t="shared" si="2"/>
        <v>4</v>
      </c>
      <c r="B6" s="98" t="s">
        <v>51</v>
      </c>
      <c r="C6" s="96" t="s">
        <v>50</v>
      </c>
      <c r="D6" s="92" t="s">
        <v>50</v>
      </c>
      <c r="E6" s="97" t="s">
        <v>640</v>
      </c>
      <c r="F6" s="96" t="s">
        <v>50</v>
      </c>
      <c r="G6" s="92" t="s">
        <v>50</v>
      </c>
      <c r="H6" s="97" t="s">
        <v>640</v>
      </c>
      <c r="I6" s="92" t="s">
        <v>50</v>
      </c>
      <c r="J6" s="97" t="s">
        <v>640</v>
      </c>
      <c r="K6" s="92" t="s">
        <v>50</v>
      </c>
      <c r="L6" s="97" t="s">
        <v>640</v>
      </c>
      <c r="M6" s="90"/>
      <c r="N6" s="91" t="str">
        <f t="shared" si="0"/>
        <v>ui</v>
      </c>
      <c r="O6" s="91" t="str">
        <f t="shared" si="3"/>
        <v/>
      </c>
      <c r="P6" s="91"/>
      <c r="Q6" s="91" t="str">
        <f t="shared" si="7"/>
        <v>ui</v>
      </c>
      <c r="R6" s="91"/>
      <c r="S6" t="str">
        <f t="shared" si="4"/>
        <v/>
      </c>
      <c r="T6" t="str">
        <f t="shared" si="8"/>
        <v/>
      </c>
      <c r="U6" t="str">
        <f t="shared" si="9"/>
        <v/>
      </c>
      <c r="W6" t="str">
        <f t="shared" si="5"/>
        <v/>
      </c>
      <c r="X6" t="str">
        <f t="shared" si="6"/>
        <v/>
      </c>
      <c r="Y6" t="str">
        <f t="shared" si="1"/>
        <v/>
      </c>
    </row>
    <row r="7" spans="1:25" ht="33.75" thickBot="1">
      <c r="A7">
        <f t="shared" si="2"/>
        <v>5</v>
      </c>
      <c r="B7" s="98" t="s">
        <v>57</v>
      </c>
      <c r="C7" s="96" t="s">
        <v>1109</v>
      </c>
      <c r="D7" s="92" t="s">
        <v>56</v>
      </c>
      <c r="E7" s="92" t="s">
        <v>918</v>
      </c>
      <c r="F7" s="96" t="s">
        <v>1109</v>
      </c>
      <c r="G7" s="92" t="s">
        <v>56</v>
      </c>
      <c r="H7" s="92" t="s">
        <v>918</v>
      </c>
      <c r="I7" s="92" t="s">
        <v>1208</v>
      </c>
      <c r="J7" s="92" t="s">
        <v>1207</v>
      </c>
      <c r="K7" s="92" t="s">
        <v>1266</v>
      </c>
      <c r="L7" s="92" t="s">
        <v>1265</v>
      </c>
      <c r="M7" s="90"/>
      <c r="N7" s="91" t="str">
        <f t="shared" si="0"/>
        <v>ɛ</v>
      </c>
      <c r="O7" s="91" t="str">
        <f t="shared" si="3"/>
        <v>ɛʔ</v>
      </c>
      <c r="P7" s="91"/>
      <c r="Q7" s="91" t="str">
        <f t="shared" si="7"/>
        <v/>
      </c>
      <c r="R7" s="90"/>
      <c r="S7" t="str">
        <f t="shared" si="4"/>
        <v/>
      </c>
      <c r="T7" t="str">
        <f t="shared" si="8"/>
        <v/>
      </c>
      <c r="U7" t="str">
        <f t="shared" si="9"/>
        <v/>
      </c>
      <c r="W7">
        <f t="shared" si="5"/>
        <v>2</v>
      </c>
      <c r="X7" t="str">
        <f t="shared" si="6"/>
        <v>ɛ</v>
      </c>
      <c r="Y7" t="str">
        <f>IF(AND(LEN(W7)&gt;0,LEN(X7)&gt;0),_xlfn.CONCAT(X7,MID(C7,W7+1,1)), "")</f>
        <v>ɛʔ</v>
      </c>
    </row>
    <row r="8" spans="1:25" ht="33.75" thickBot="1">
      <c r="A8">
        <f t="shared" si="2"/>
        <v>6</v>
      </c>
      <c r="B8" s="98" t="s">
        <v>1281</v>
      </c>
      <c r="C8" s="96" t="s">
        <v>989</v>
      </c>
      <c r="D8" s="92" t="s">
        <v>69</v>
      </c>
      <c r="E8" s="92" t="s">
        <v>77</v>
      </c>
      <c r="F8" s="96" t="s">
        <v>1164</v>
      </c>
      <c r="G8" s="92" t="s">
        <v>69</v>
      </c>
      <c r="H8" s="92" t="s">
        <v>75</v>
      </c>
      <c r="I8" s="92" t="s">
        <v>1209</v>
      </c>
      <c r="J8" s="92" t="s">
        <v>1210</v>
      </c>
      <c r="K8" s="92" t="s">
        <v>1209</v>
      </c>
      <c r="L8" s="92" t="s">
        <v>1210</v>
      </c>
      <c r="M8" s="90"/>
      <c r="N8" s="91" t="str">
        <f t="shared" si="0"/>
        <v>an</v>
      </c>
      <c r="O8" s="91" t="str">
        <f t="shared" si="3"/>
        <v>at̚</v>
      </c>
      <c r="P8" s="91"/>
      <c r="Q8" s="91" t="str">
        <f t="shared" si="7"/>
        <v/>
      </c>
      <c r="R8" s="90"/>
      <c r="S8">
        <f t="shared" si="4"/>
        <v>3</v>
      </c>
      <c r="T8" t="str">
        <f t="shared" si="8"/>
        <v>an</v>
      </c>
      <c r="U8" t="str">
        <f t="shared" si="9"/>
        <v>at̚</v>
      </c>
      <c r="W8" t="str">
        <f t="shared" si="5"/>
        <v/>
      </c>
      <c r="X8" t="str">
        <f t="shared" si="6"/>
        <v/>
      </c>
      <c r="Y8" t="str">
        <f>IF(AND(LEN(W8)&gt;0,LEN(X8)&gt;0),_xlfn.CONCAT(X8,MID(C8,W8+1,1)), "")</f>
        <v/>
      </c>
    </row>
    <row r="9" spans="1:25" ht="33.75" thickBot="1">
      <c r="A9">
        <f t="shared" si="2"/>
        <v>7</v>
      </c>
      <c r="B9" s="98" t="s">
        <v>82</v>
      </c>
      <c r="C9" s="96" t="s">
        <v>1110</v>
      </c>
      <c r="D9" s="92" t="s">
        <v>81</v>
      </c>
      <c r="E9" s="92" t="s">
        <v>878</v>
      </c>
      <c r="F9" s="96" t="s">
        <v>1165</v>
      </c>
      <c r="G9" s="92" t="s">
        <v>81</v>
      </c>
      <c r="H9" s="92" t="s">
        <v>88</v>
      </c>
      <c r="I9" s="92" t="s">
        <v>1213</v>
      </c>
      <c r="J9" s="92" t="s">
        <v>1212</v>
      </c>
      <c r="K9" s="92" t="s">
        <v>1213</v>
      </c>
      <c r="L9" s="92" t="s">
        <v>1212</v>
      </c>
      <c r="M9" s="90"/>
      <c r="N9" s="91" t="str">
        <f t="shared" si="0"/>
        <v>on</v>
      </c>
      <c r="O9" s="91" t="str">
        <f t="shared" si="3"/>
        <v>ok̚</v>
      </c>
      <c r="P9" s="91"/>
      <c r="Q9" s="91" t="str">
        <f t="shared" si="7"/>
        <v/>
      </c>
      <c r="R9" s="90"/>
      <c r="S9">
        <f t="shared" si="4"/>
        <v>3</v>
      </c>
      <c r="T9" t="str">
        <f t="shared" si="8"/>
        <v>on</v>
      </c>
      <c r="U9" t="str">
        <f t="shared" si="9"/>
        <v>ok̚</v>
      </c>
      <c r="W9" t="str">
        <f t="shared" si="5"/>
        <v/>
      </c>
      <c r="X9" t="str">
        <f t="shared" si="6"/>
        <v/>
      </c>
      <c r="Y9" t="str">
        <f>IF(AND(LEN(W9)&gt;0,LEN(X9)&gt;0),_xlfn.CONCAT(X9,MID(C9,W9+1,1)), "")</f>
        <v/>
      </c>
    </row>
    <row r="10" spans="1:25" ht="33.75" thickBot="1">
      <c r="A10">
        <f t="shared" si="2"/>
        <v>8</v>
      </c>
      <c r="B10" s="98" t="s">
        <v>95</v>
      </c>
      <c r="C10" s="96" t="s">
        <v>1111</v>
      </c>
      <c r="D10" s="92" t="s">
        <v>94</v>
      </c>
      <c r="E10" s="92" t="s">
        <v>1146</v>
      </c>
      <c r="F10" s="96" t="s">
        <v>1111</v>
      </c>
      <c r="G10" s="92" t="s">
        <v>94</v>
      </c>
      <c r="H10" s="92" t="s">
        <v>1146</v>
      </c>
      <c r="I10" s="92" t="s">
        <v>1238</v>
      </c>
      <c r="J10" s="92" t="s">
        <v>1214</v>
      </c>
      <c r="K10" s="92" t="s">
        <v>1238</v>
      </c>
      <c r="L10" s="92" t="s">
        <v>1214</v>
      </c>
      <c r="M10" s="90"/>
      <c r="N10" s="91" t="str">
        <f t="shared" si="0"/>
        <v>uai</v>
      </c>
      <c r="O10" s="91" t="str">
        <f t="shared" si="3"/>
        <v>uaiʔ</v>
      </c>
      <c r="P10" s="91"/>
      <c r="Q10" s="91" t="str">
        <f t="shared" si="7"/>
        <v/>
      </c>
      <c r="R10" s="90"/>
      <c r="S10" t="str">
        <f t="shared" si="4"/>
        <v/>
      </c>
      <c r="T10" t="str">
        <f t="shared" si="8"/>
        <v/>
      </c>
      <c r="U10" t="str">
        <f t="shared" si="9"/>
        <v/>
      </c>
      <c r="W10">
        <f t="shared" si="5"/>
        <v>4</v>
      </c>
      <c r="X10" t="str">
        <f t="shared" si="6"/>
        <v>uai</v>
      </c>
      <c r="Y10" t="str">
        <f>IF(AND(LEN(W10)&gt;0,LEN(X10)&gt;0),_xlfn.CONCAT(X10,MID(C10,W10+1,1)), "")</f>
        <v>uaiʔ</v>
      </c>
    </row>
    <row r="11" spans="1:25" ht="33.75" thickBot="1">
      <c r="A11">
        <f t="shared" si="2"/>
        <v>9</v>
      </c>
      <c r="B11" s="98" t="s">
        <v>107</v>
      </c>
      <c r="C11" s="96" t="s">
        <v>1112</v>
      </c>
      <c r="D11" s="92" t="s">
        <v>1147</v>
      </c>
      <c r="E11" s="92" t="s">
        <v>1148</v>
      </c>
      <c r="F11" s="96" t="s">
        <v>1166</v>
      </c>
      <c r="G11" s="92" t="s">
        <v>1189</v>
      </c>
      <c r="H11" s="92" t="s">
        <v>1190</v>
      </c>
      <c r="I11" s="92" t="s">
        <v>1239</v>
      </c>
      <c r="J11" s="92" t="s">
        <v>1215</v>
      </c>
      <c r="K11" s="92" t="s">
        <v>1239</v>
      </c>
      <c r="L11" s="92" t="s">
        <v>1215</v>
      </c>
      <c r="M11" s="90"/>
      <c r="N11" s="91" t="str">
        <f t="shared" si="0"/>
        <v>in</v>
      </c>
      <c r="O11" s="91" t="str">
        <f t="shared" si="3"/>
        <v>ik̚</v>
      </c>
      <c r="P11" s="91"/>
      <c r="Q11" s="91" t="str">
        <f t="shared" si="7"/>
        <v/>
      </c>
      <c r="R11" s="90"/>
      <c r="S11">
        <f t="shared" si="4"/>
        <v>3</v>
      </c>
      <c r="T11" t="str">
        <f t="shared" si="8"/>
        <v>in</v>
      </c>
      <c r="U11" t="str">
        <f t="shared" si="9"/>
        <v>ik̚</v>
      </c>
      <c r="W11" t="str">
        <f t="shared" si="5"/>
        <v/>
      </c>
      <c r="X11" t="str">
        <f t="shared" si="6"/>
        <v/>
      </c>
      <c r="Y11" t="str">
        <f>IF(AND(LEN(W11)&gt;0,LEN(X11)&gt;0),_xlfn.CONCAT(X11,MID(C11,W11+1,1)), "")</f>
        <v/>
      </c>
    </row>
    <row r="12" spans="1:25" ht="33.75" thickBot="1">
      <c r="A12">
        <f t="shared" si="2"/>
        <v>10</v>
      </c>
      <c r="B12" s="98" t="s">
        <v>121</v>
      </c>
      <c r="C12" s="96" t="s">
        <v>993</v>
      </c>
      <c r="D12" s="92" t="s">
        <v>120</v>
      </c>
      <c r="E12" s="92" t="s">
        <v>129</v>
      </c>
      <c r="F12" s="96" t="s">
        <v>1167</v>
      </c>
      <c r="G12" s="92" t="s">
        <v>120</v>
      </c>
      <c r="H12" s="92" t="s">
        <v>127</v>
      </c>
      <c r="I12" s="92" t="s">
        <v>1240</v>
      </c>
      <c r="J12" s="92" t="s">
        <v>1216</v>
      </c>
      <c r="K12" s="92" t="s">
        <v>1240</v>
      </c>
      <c r="L12" s="92" t="s">
        <v>1216</v>
      </c>
      <c r="M12" s="90"/>
      <c r="N12" s="91" t="str">
        <f t="shared" si="0"/>
        <v>uan</v>
      </c>
      <c r="O12" s="91" t="str">
        <f t="shared" si="3"/>
        <v>uat̚</v>
      </c>
      <c r="P12" s="91"/>
      <c r="Q12" s="91" t="str">
        <f t="shared" si="7"/>
        <v/>
      </c>
      <c r="R12" s="90"/>
      <c r="S12">
        <f t="shared" si="4"/>
        <v>4</v>
      </c>
      <c r="T12" t="str">
        <f t="shared" si="8"/>
        <v>uan</v>
      </c>
      <c r="U12" t="str">
        <f t="shared" si="9"/>
        <v>uat̚</v>
      </c>
      <c r="W12" t="str">
        <f t="shared" si="5"/>
        <v/>
      </c>
      <c r="X12" t="str">
        <f t="shared" si="6"/>
        <v/>
      </c>
      <c r="Y12" t="str">
        <f>IF(AND(LEN(W12)&gt;0,LEN(X12)&gt;0),_xlfn.CONCAT(X12,MID(C12,W12+1,1)), "")</f>
        <v/>
      </c>
    </row>
    <row r="13" spans="1:25" ht="33.75" thickBot="1">
      <c r="A13">
        <f t="shared" si="2"/>
        <v>11</v>
      </c>
      <c r="B13" s="98" t="s">
        <v>135</v>
      </c>
      <c r="C13" s="96" t="s">
        <v>886</v>
      </c>
      <c r="D13" s="92" t="s">
        <v>886</v>
      </c>
      <c r="E13" s="97" t="s">
        <v>640</v>
      </c>
      <c r="F13" s="96" t="s">
        <v>879</v>
      </c>
      <c r="G13" s="92" t="s">
        <v>879</v>
      </c>
      <c r="H13" s="97" t="s">
        <v>640</v>
      </c>
      <c r="I13" s="92" t="s">
        <v>136</v>
      </c>
      <c r="J13" s="97" t="s">
        <v>640</v>
      </c>
      <c r="K13" s="92" t="s">
        <v>136</v>
      </c>
      <c r="L13" s="97" t="s">
        <v>640</v>
      </c>
      <c r="M13" s="90"/>
      <c r="N13" s="91" t="str">
        <f t="shared" si="0"/>
        <v>ɔ</v>
      </c>
      <c r="O13" s="91" t="str">
        <f t="shared" si="3"/>
        <v/>
      </c>
      <c r="P13" s="91"/>
      <c r="Q13" s="91" t="str">
        <f t="shared" si="7"/>
        <v>ɔ</v>
      </c>
      <c r="R13" s="90"/>
      <c r="S13" t="str">
        <f t="shared" si="4"/>
        <v/>
      </c>
      <c r="T13" t="str">
        <f t="shared" si="8"/>
        <v/>
      </c>
      <c r="U13" t="str">
        <f t="shared" si="9"/>
        <v/>
      </c>
      <c r="W13" t="str">
        <f t="shared" si="5"/>
        <v/>
      </c>
      <c r="X13" t="str">
        <f t="shared" si="6"/>
        <v/>
      </c>
      <c r="Y13" t="str">
        <f>IF(AND(LEN(W13)&gt;0,LEN(X13)&gt;0),_xlfn.CONCAT(X13,MID(C13,W13+1,1)), "")</f>
        <v/>
      </c>
    </row>
    <row r="14" spans="1:25" ht="33.75" thickBot="1">
      <c r="A14">
        <f t="shared" si="2"/>
        <v>12</v>
      </c>
      <c r="B14" s="98" t="s">
        <v>142</v>
      </c>
      <c r="C14" s="96" t="s">
        <v>1113</v>
      </c>
      <c r="D14" s="92" t="s">
        <v>141</v>
      </c>
      <c r="E14" s="92" t="s">
        <v>809</v>
      </c>
      <c r="F14" s="96" t="s">
        <v>1168</v>
      </c>
      <c r="G14" s="92" t="s">
        <v>1191</v>
      </c>
      <c r="H14" s="92" t="s">
        <v>1192</v>
      </c>
      <c r="I14" s="92" t="s">
        <v>1241</v>
      </c>
      <c r="J14" s="92" t="s">
        <v>1217</v>
      </c>
      <c r="K14" s="92" t="s">
        <v>1268</v>
      </c>
      <c r="L14" s="92" t="s">
        <v>1267</v>
      </c>
      <c r="M14" s="90"/>
      <c r="N14" s="91" t="str">
        <f t="shared" si="0"/>
        <v>ɪaʊ</v>
      </c>
      <c r="O14" s="91" t="str">
        <f t="shared" si="3"/>
        <v>ɪaʊʔ</v>
      </c>
      <c r="P14" s="91"/>
      <c r="Q14" s="91" t="str">
        <f t="shared" si="7"/>
        <v/>
      </c>
      <c r="R14" s="90"/>
      <c r="S14" t="str">
        <f t="shared" si="4"/>
        <v/>
      </c>
      <c r="T14" t="str">
        <f t="shared" si="8"/>
        <v/>
      </c>
      <c r="U14" t="str">
        <f t="shared" si="9"/>
        <v/>
      </c>
      <c r="W14">
        <f t="shared" si="5"/>
        <v>4</v>
      </c>
      <c r="X14" t="str">
        <f t="shared" si="6"/>
        <v>ɪaʊ</v>
      </c>
      <c r="Y14" t="str">
        <f>IF(AND(LEN(W14)&gt;0,LEN(X14)&gt;0),_xlfn.CONCAT(X14,MID(C14,W14+1,1)), "")</f>
        <v>ɪaʊʔ</v>
      </c>
    </row>
    <row r="15" spans="1:25" ht="33.75" thickBot="1">
      <c r="A15">
        <f t="shared" si="2"/>
        <v>13</v>
      </c>
      <c r="B15" s="98" t="s">
        <v>154</v>
      </c>
      <c r="C15" s="96" t="s">
        <v>153</v>
      </c>
      <c r="D15" s="92" t="s">
        <v>153</v>
      </c>
      <c r="E15" s="97" t="s">
        <v>640</v>
      </c>
      <c r="F15" s="96" t="s">
        <v>60</v>
      </c>
      <c r="G15" s="92" t="s">
        <v>60</v>
      </c>
      <c r="H15" s="97" t="s">
        <v>640</v>
      </c>
      <c r="I15" s="92" t="s">
        <v>60</v>
      </c>
      <c r="J15" s="97"/>
      <c r="K15" s="92" t="s">
        <v>60</v>
      </c>
      <c r="L15" s="97"/>
      <c r="M15" s="90"/>
      <c r="N15" s="91" t="str">
        <f t="shared" si="0"/>
        <v>e</v>
      </c>
      <c r="O15" s="91" t="str">
        <f t="shared" si="3"/>
        <v/>
      </c>
      <c r="P15" s="91"/>
      <c r="Q15" s="91" t="str">
        <f t="shared" si="7"/>
        <v>e</v>
      </c>
      <c r="R15" s="90"/>
      <c r="S15" t="str">
        <f t="shared" si="4"/>
        <v/>
      </c>
      <c r="T15" t="str">
        <f t="shared" si="8"/>
        <v/>
      </c>
      <c r="U15" t="str">
        <f t="shared" si="9"/>
        <v/>
      </c>
      <c r="W15" t="str">
        <f t="shared" si="5"/>
        <v/>
      </c>
      <c r="X15" t="str">
        <f t="shared" si="6"/>
        <v/>
      </c>
      <c r="Y15" t="str">
        <f>IF(AND(LEN(W15)&gt;0,LEN(X15)&gt;0),_xlfn.CONCAT(X15,MID(C15,W15+1,1)), "")</f>
        <v/>
      </c>
    </row>
    <row r="16" spans="1:25" ht="33.75" thickBot="1">
      <c r="A16">
        <f t="shared" si="2"/>
        <v>14</v>
      </c>
      <c r="B16" s="98" t="s">
        <v>160</v>
      </c>
      <c r="C16" s="96" t="s">
        <v>1114</v>
      </c>
      <c r="D16" s="92" t="s">
        <v>159</v>
      </c>
      <c r="E16" s="92" t="s">
        <v>1149</v>
      </c>
      <c r="F16" s="96" t="s">
        <v>1169</v>
      </c>
      <c r="G16" s="92" t="s">
        <v>1193</v>
      </c>
      <c r="H16" s="92" t="s">
        <v>1194</v>
      </c>
      <c r="I16" s="92" t="s">
        <v>1242</v>
      </c>
      <c r="J16" s="92" t="s">
        <v>1218</v>
      </c>
      <c r="K16" s="92" t="s">
        <v>1242</v>
      </c>
      <c r="L16" s="92" t="s">
        <v>1218</v>
      </c>
      <c r="M16" s="90"/>
      <c r="N16" s="91" t="str">
        <f t="shared" si="0"/>
        <v>ion</v>
      </c>
      <c r="O16" s="91" t="str">
        <f t="shared" si="3"/>
        <v>iok̚</v>
      </c>
      <c r="P16" s="91"/>
      <c r="Q16" s="91" t="str">
        <f t="shared" si="7"/>
        <v/>
      </c>
      <c r="R16" s="90"/>
      <c r="S16">
        <f t="shared" si="4"/>
        <v>4</v>
      </c>
      <c r="T16" t="str">
        <f t="shared" si="8"/>
        <v>ion</v>
      </c>
      <c r="U16" t="str">
        <f t="shared" si="9"/>
        <v>iok̚</v>
      </c>
      <c r="W16" t="str">
        <f t="shared" si="5"/>
        <v/>
      </c>
      <c r="X16" t="str">
        <f t="shared" si="6"/>
        <v/>
      </c>
      <c r="Y16" t="str">
        <f>IF(AND(LEN(W16)&gt;0,LEN(X16)&gt;0),_xlfn.CONCAT(X16,MID(C16,W16+1,1)), "")</f>
        <v/>
      </c>
    </row>
    <row r="17" spans="1:25" ht="33.75" thickBot="1">
      <c r="A17">
        <f t="shared" si="2"/>
        <v>15</v>
      </c>
      <c r="B17" s="98" t="s">
        <v>172</v>
      </c>
      <c r="C17" s="96" t="s">
        <v>1115</v>
      </c>
      <c r="D17" s="92" t="s">
        <v>171</v>
      </c>
      <c r="E17" s="92" t="s">
        <v>877</v>
      </c>
      <c r="F17" s="96" t="s">
        <v>1115</v>
      </c>
      <c r="G17" s="92" t="s">
        <v>171</v>
      </c>
      <c r="H17" s="92" t="s">
        <v>877</v>
      </c>
      <c r="I17" s="92" t="s">
        <v>1243</v>
      </c>
      <c r="J17" s="92" t="s">
        <v>1219</v>
      </c>
      <c r="K17" s="92" t="s">
        <v>1243</v>
      </c>
      <c r="L17" s="92" t="s">
        <v>1219</v>
      </c>
      <c r="M17" s="90"/>
      <c r="N17" s="91" t="str">
        <f t="shared" si="0"/>
        <v>o</v>
      </c>
      <c r="O17" s="91" t="str">
        <f t="shared" si="3"/>
        <v>oʔ</v>
      </c>
      <c r="P17" s="91"/>
      <c r="Q17" s="91" t="str">
        <f t="shared" si="7"/>
        <v/>
      </c>
      <c r="R17" s="90"/>
      <c r="S17" t="str">
        <f t="shared" si="4"/>
        <v/>
      </c>
      <c r="T17" t="str">
        <f t="shared" si="8"/>
        <v/>
      </c>
      <c r="U17" t="str">
        <f t="shared" si="9"/>
        <v/>
      </c>
      <c r="W17">
        <f t="shared" si="5"/>
        <v>2</v>
      </c>
      <c r="X17" t="str">
        <f t="shared" si="6"/>
        <v>o</v>
      </c>
      <c r="Y17" t="str">
        <f>IF(AND(LEN(W17)&gt;0,LEN(X17)&gt;0),_xlfn.CONCAT(X17,MID(C17,W17+1,1)), "")</f>
        <v>oʔ</v>
      </c>
    </row>
    <row r="18" spans="1:25" ht="33.75" thickBot="1">
      <c r="A18">
        <f t="shared" si="2"/>
        <v>16</v>
      </c>
      <c r="B18" s="98" t="s">
        <v>184</v>
      </c>
      <c r="C18" s="96" t="s">
        <v>183</v>
      </c>
      <c r="D18" s="92" t="s">
        <v>183</v>
      </c>
      <c r="E18" s="97" t="s">
        <v>640</v>
      </c>
      <c r="F18" s="96" t="s">
        <v>1170</v>
      </c>
      <c r="G18" s="92" t="s">
        <v>1170</v>
      </c>
      <c r="H18" s="97" t="s">
        <v>640</v>
      </c>
      <c r="I18" s="92" t="s">
        <v>183</v>
      </c>
      <c r="J18" s="97" t="s">
        <v>640</v>
      </c>
      <c r="K18" s="92" t="s">
        <v>183</v>
      </c>
      <c r="L18" s="97" t="s">
        <v>640</v>
      </c>
      <c r="M18" s="90"/>
      <c r="N18" s="91" t="str">
        <f t="shared" si="0"/>
        <v>aɪ</v>
      </c>
      <c r="O18" s="91" t="str">
        <f t="shared" si="3"/>
        <v/>
      </c>
      <c r="P18" s="91"/>
      <c r="Q18" s="91" t="str">
        <f t="shared" si="7"/>
        <v>aɪ</v>
      </c>
      <c r="R18" s="90"/>
      <c r="S18" t="str">
        <f t="shared" si="4"/>
        <v/>
      </c>
      <c r="T18" t="str">
        <f t="shared" si="8"/>
        <v/>
      </c>
      <c r="U18" t="str">
        <f t="shared" si="9"/>
        <v/>
      </c>
      <c r="W18" t="str">
        <f t="shared" si="5"/>
        <v/>
      </c>
      <c r="X18" t="str">
        <f t="shared" si="6"/>
        <v/>
      </c>
      <c r="Y18" t="str">
        <f>IF(AND(LEN(W18)&gt;0,LEN(X18)&gt;0),_xlfn.CONCAT(X18,MID(C18,W18+1,1)), "")</f>
        <v/>
      </c>
    </row>
    <row r="19" spans="1:25" ht="33.75" thickBot="1">
      <c r="A19">
        <f t="shared" si="2"/>
        <v>17</v>
      </c>
      <c r="B19" s="98" t="s">
        <v>190</v>
      </c>
      <c r="C19" s="96" t="s">
        <v>1019</v>
      </c>
      <c r="D19" s="92" t="s">
        <v>189</v>
      </c>
      <c r="E19" s="92" t="s">
        <v>197</v>
      </c>
      <c r="F19" s="96" t="s">
        <v>1171</v>
      </c>
      <c r="G19" s="92" t="s">
        <v>189</v>
      </c>
      <c r="H19" s="92" t="s">
        <v>195</v>
      </c>
      <c r="I19" s="92" t="s">
        <v>1244</v>
      </c>
      <c r="J19" s="92" t="s">
        <v>1220</v>
      </c>
      <c r="K19" s="92" t="s">
        <v>1244</v>
      </c>
      <c r="L19" s="92" t="s">
        <v>1220</v>
      </c>
      <c r="M19" s="90"/>
      <c r="N19" s="91" t="str">
        <f t="shared" si="0"/>
        <v>in</v>
      </c>
      <c r="O19" s="91" t="str">
        <f t="shared" si="3"/>
        <v>it̚</v>
      </c>
      <c r="P19" s="91"/>
      <c r="Q19" s="91" t="str">
        <f t="shared" si="7"/>
        <v/>
      </c>
      <c r="R19" s="90"/>
      <c r="S19">
        <f t="shared" si="4"/>
        <v>3</v>
      </c>
      <c r="T19" t="str">
        <f t="shared" si="8"/>
        <v>in</v>
      </c>
      <c r="U19" t="str">
        <f t="shared" si="9"/>
        <v>it̚</v>
      </c>
      <c r="W19" t="str">
        <f t="shared" si="5"/>
        <v/>
      </c>
      <c r="X19" t="str">
        <f t="shared" si="6"/>
        <v/>
      </c>
      <c r="Y19" t="str">
        <f>IF(AND(LEN(W19)&gt;0,LEN(X19)&gt;0),_xlfn.CONCAT(X19,MID(C19,W19+1,1)), "")</f>
        <v/>
      </c>
    </row>
    <row r="20" spans="1:25" ht="33.75" thickBot="1">
      <c r="A20">
        <f t="shared" si="2"/>
        <v>18</v>
      </c>
      <c r="B20" s="98" t="s">
        <v>202</v>
      </c>
      <c r="C20" s="96" t="s">
        <v>1116</v>
      </c>
      <c r="D20" s="92" t="s">
        <v>201</v>
      </c>
      <c r="E20" s="92" t="s">
        <v>207</v>
      </c>
      <c r="F20" s="96" t="s">
        <v>1172</v>
      </c>
      <c r="G20" s="92" t="s">
        <v>1195</v>
      </c>
      <c r="H20" s="92" t="s">
        <v>1196</v>
      </c>
      <c r="I20" s="92" t="s">
        <v>1245</v>
      </c>
      <c r="J20" s="92" t="s">
        <v>1221</v>
      </c>
      <c r="K20" s="92" t="s">
        <v>1245</v>
      </c>
      <c r="L20" s="92" t="s">
        <v>1221</v>
      </c>
      <c r="M20" s="90"/>
      <c r="N20" s="91" t="str">
        <f t="shared" si="0"/>
        <v>ian</v>
      </c>
      <c r="O20" s="91" t="str">
        <f t="shared" si="3"/>
        <v>iak̚</v>
      </c>
      <c r="P20" s="91"/>
      <c r="Q20" s="91" t="str">
        <f t="shared" si="7"/>
        <v/>
      </c>
      <c r="R20" s="90"/>
      <c r="S20">
        <f t="shared" si="4"/>
        <v>4</v>
      </c>
      <c r="T20" t="str">
        <f t="shared" si="8"/>
        <v>ian</v>
      </c>
      <c r="U20" t="str">
        <f t="shared" si="9"/>
        <v>iak̚</v>
      </c>
      <c r="W20" t="str">
        <f t="shared" si="5"/>
        <v/>
      </c>
      <c r="X20" t="str">
        <f t="shared" si="6"/>
        <v/>
      </c>
      <c r="Y20" t="str">
        <f>IF(AND(LEN(W20)&gt;0,LEN(X20)&gt;0),_xlfn.CONCAT(X20,MID(C20,W20+1,1)), "")</f>
        <v/>
      </c>
    </row>
    <row r="21" spans="1:25" ht="33.75" thickBot="1">
      <c r="A21">
        <f t="shared" si="2"/>
        <v>19</v>
      </c>
      <c r="B21" s="98" t="s">
        <v>212</v>
      </c>
      <c r="C21" s="96" t="s">
        <v>1021</v>
      </c>
      <c r="D21" s="92" t="s">
        <v>211</v>
      </c>
      <c r="E21" s="92" t="s">
        <v>219</v>
      </c>
      <c r="F21" s="96" t="s">
        <v>1173</v>
      </c>
      <c r="G21" s="92" t="s">
        <v>211</v>
      </c>
      <c r="H21" s="92" t="s">
        <v>217</v>
      </c>
      <c r="I21" s="92" t="s">
        <v>1246</v>
      </c>
      <c r="J21" s="92" t="s">
        <v>1222</v>
      </c>
      <c r="K21" s="92" t="s">
        <v>1246</v>
      </c>
      <c r="L21" s="92" t="s">
        <v>1222</v>
      </c>
      <c r="M21" s="90"/>
      <c r="N21" s="91" t="str">
        <f t="shared" si="0"/>
        <v>am</v>
      </c>
      <c r="O21" s="91" t="str">
        <f t="shared" si="3"/>
        <v>ap̚</v>
      </c>
      <c r="P21" s="91"/>
      <c r="Q21" s="91" t="str">
        <f t="shared" si="7"/>
        <v/>
      </c>
      <c r="R21" s="90"/>
      <c r="S21">
        <f t="shared" si="4"/>
        <v>3</v>
      </c>
      <c r="T21" t="str">
        <f t="shared" si="8"/>
        <v>am</v>
      </c>
      <c r="U21" t="str">
        <f t="shared" si="9"/>
        <v>ap̚</v>
      </c>
      <c r="W21" t="str">
        <f t="shared" si="5"/>
        <v/>
      </c>
      <c r="X21" t="str">
        <f t="shared" si="6"/>
        <v/>
      </c>
      <c r="Y21" t="str">
        <f>IF(AND(LEN(W21)&gt;0,LEN(X21)&gt;0),_xlfn.CONCAT(X21,MID(C21,W21+1,1)), "")</f>
        <v/>
      </c>
    </row>
    <row r="22" spans="1:25" ht="33.75" thickBot="1">
      <c r="A22">
        <f t="shared" si="2"/>
        <v>20</v>
      </c>
      <c r="B22" s="98" t="s">
        <v>224</v>
      </c>
      <c r="C22" s="96" t="s">
        <v>1117</v>
      </c>
      <c r="D22" s="92" t="s">
        <v>223</v>
      </c>
      <c r="E22" s="92" t="s">
        <v>851</v>
      </c>
      <c r="F22" s="96" t="s">
        <v>1117</v>
      </c>
      <c r="G22" s="92" t="s">
        <v>223</v>
      </c>
      <c r="H22" s="92" t="s">
        <v>851</v>
      </c>
      <c r="I22" s="92" t="s">
        <v>1247</v>
      </c>
      <c r="J22" s="92" t="s">
        <v>1223</v>
      </c>
      <c r="K22" s="92" t="s">
        <v>1247</v>
      </c>
      <c r="L22" s="92" t="s">
        <v>1223</v>
      </c>
      <c r="M22" s="90"/>
      <c r="N22" s="91" t="str">
        <f t="shared" si="0"/>
        <v>ua</v>
      </c>
      <c r="O22" s="91" t="str">
        <f t="shared" si="3"/>
        <v>uaʔ</v>
      </c>
      <c r="P22" s="91"/>
      <c r="Q22" s="91" t="str">
        <f t="shared" si="7"/>
        <v/>
      </c>
      <c r="R22" s="90"/>
      <c r="S22" t="str">
        <f t="shared" si="4"/>
        <v/>
      </c>
      <c r="T22" t="str">
        <f t="shared" si="8"/>
        <v/>
      </c>
      <c r="U22" t="str">
        <f t="shared" si="9"/>
        <v/>
      </c>
      <c r="W22">
        <f t="shared" si="5"/>
        <v>3</v>
      </c>
      <c r="X22" t="str">
        <f t="shared" si="6"/>
        <v>ua</v>
      </c>
      <c r="Y22" t="str">
        <f>IF(AND(LEN(W22)&gt;0,LEN(X22)&gt;0),_xlfn.CONCAT(X22,MID(C22,W22+1,1)), "")</f>
        <v>uaʔ</v>
      </c>
    </row>
    <row r="23" spans="1:25" ht="33.75" thickBot="1">
      <c r="A23">
        <f t="shared" si="2"/>
        <v>21</v>
      </c>
      <c r="B23" s="98" t="s">
        <v>236</v>
      </c>
      <c r="C23" s="96" t="s">
        <v>1118</v>
      </c>
      <c r="D23" s="92" t="s">
        <v>235</v>
      </c>
      <c r="E23" s="92" t="s">
        <v>243</v>
      </c>
      <c r="F23" s="96" t="s">
        <v>1174</v>
      </c>
      <c r="G23" s="92" t="s">
        <v>235</v>
      </c>
      <c r="H23" s="92" t="s">
        <v>241</v>
      </c>
      <c r="I23" s="92" t="s">
        <v>1248</v>
      </c>
      <c r="J23" s="92" t="s">
        <v>1211</v>
      </c>
      <c r="K23" s="92" t="s">
        <v>1248</v>
      </c>
      <c r="L23" s="92" t="s">
        <v>1211</v>
      </c>
      <c r="M23" s="90"/>
      <c r="N23" s="91" t="str">
        <f t="shared" si="0"/>
        <v>an</v>
      </c>
      <c r="O23" s="91" t="str">
        <f t="shared" si="3"/>
        <v>ak̚</v>
      </c>
      <c r="P23" s="91"/>
      <c r="Q23" s="91" t="str">
        <f t="shared" si="7"/>
        <v/>
      </c>
      <c r="R23" s="90"/>
      <c r="S23">
        <f t="shared" si="4"/>
        <v>3</v>
      </c>
      <c r="T23" t="str">
        <f t="shared" si="8"/>
        <v>an</v>
      </c>
      <c r="U23" t="str">
        <f t="shared" si="9"/>
        <v>ak̚</v>
      </c>
      <c r="W23" t="str">
        <f t="shared" si="5"/>
        <v/>
      </c>
      <c r="X23" t="str">
        <f t="shared" si="6"/>
        <v/>
      </c>
      <c r="Y23" t="str">
        <f>IF(AND(LEN(W23)&gt;0,LEN(X23)&gt;0),_xlfn.CONCAT(X23,MID(C23,W23+1,1)), "")</f>
        <v/>
      </c>
    </row>
    <row r="24" spans="1:25" ht="33.75" thickBot="1">
      <c r="A24">
        <f t="shared" si="2"/>
        <v>22</v>
      </c>
      <c r="B24" s="98" t="s">
        <v>248</v>
      </c>
      <c r="C24" s="96" t="s">
        <v>1045</v>
      </c>
      <c r="D24" s="92" t="s">
        <v>247</v>
      </c>
      <c r="E24" s="92" t="s">
        <v>256</v>
      </c>
      <c r="F24" s="96" t="s">
        <v>1175</v>
      </c>
      <c r="G24" s="92" t="s">
        <v>247</v>
      </c>
      <c r="H24" s="92" t="s">
        <v>254</v>
      </c>
      <c r="I24" s="92" t="s">
        <v>1249</v>
      </c>
      <c r="J24" s="92" t="s">
        <v>1224</v>
      </c>
      <c r="K24" s="92" t="s">
        <v>1249</v>
      </c>
      <c r="L24" s="92" t="s">
        <v>1224</v>
      </c>
      <c r="M24" s="90"/>
      <c r="N24" s="91" t="str">
        <f t="shared" si="0"/>
        <v>iam</v>
      </c>
      <c r="O24" s="91" t="str">
        <f t="shared" si="3"/>
        <v>iap̚</v>
      </c>
      <c r="P24" s="91"/>
      <c r="Q24" s="91" t="str">
        <f t="shared" si="7"/>
        <v/>
      </c>
      <c r="R24" s="90"/>
      <c r="S24">
        <f t="shared" si="4"/>
        <v>4</v>
      </c>
      <c r="T24" t="str">
        <f t="shared" si="8"/>
        <v>iam</v>
      </c>
      <c r="U24" t="str">
        <f t="shared" si="9"/>
        <v>iap̚</v>
      </c>
      <c r="W24" t="str">
        <f t="shared" si="5"/>
        <v/>
      </c>
      <c r="X24" t="str">
        <f t="shared" si="6"/>
        <v/>
      </c>
      <c r="Y24" t="str">
        <f>IF(AND(LEN(W24)&gt;0,LEN(X24)&gt;0),_xlfn.CONCAT(X24,MID(C24,W24+1,1)), "")</f>
        <v/>
      </c>
    </row>
    <row r="25" spans="1:25" ht="33.75" thickBot="1">
      <c r="A25">
        <f t="shared" si="2"/>
        <v>23</v>
      </c>
      <c r="B25" s="98" t="s">
        <v>261</v>
      </c>
      <c r="C25" s="96" t="s">
        <v>1119</v>
      </c>
      <c r="D25" s="92" t="s">
        <v>260</v>
      </c>
      <c r="E25" s="92" t="s">
        <v>823</v>
      </c>
      <c r="F25" s="96" t="s">
        <v>1176</v>
      </c>
      <c r="G25" s="92" t="s">
        <v>1197</v>
      </c>
      <c r="H25" s="92" t="s">
        <v>1198</v>
      </c>
      <c r="I25" s="92" t="s">
        <v>1250</v>
      </c>
      <c r="J25" s="92" t="s">
        <v>1225</v>
      </c>
      <c r="K25" s="92" t="s">
        <v>1270</v>
      </c>
      <c r="L25" s="92" t="s">
        <v>1269</v>
      </c>
      <c r="M25" s="90"/>
      <c r="N25" s="91" t="str">
        <f t="shared" si="0"/>
        <v>aʊ</v>
      </c>
      <c r="O25" s="91" t="str">
        <f t="shared" si="3"/>
        <v>aʊʔ</v>
      </c>
      <c r="P25" s="91"/>
      <c r="Q25" s="91" t="str">
        <f t="shared" si="7"/>
        <v/>
      </c>
      <c r="R25" s="90"/>
      <c r="S25" t="str">
        <f t="shared" si="4"/>
        <v/>
      </c>
      <c r="T25" t="str">
        <f t="shared" si="8"/>
        <v/>
      </c>
      <c r="U25" t="str">
        <f t="shared" si="9"/>
        <v/>
      </c>
      <c r="W25">
        <f t="shared" si="5"/>
        <v>3</v>
      </c>
      <c r="X25" t="str">
        <f t="shared" si="6"/>
        <v>aʊ</v>
      </c>
      <c r="Y25" t="str">
        <f>IF(AND(LEN(W25)&gt;0,LEN(X25)&gt;0),_xlfn.CONCAT(X25,MID(C25,W25+1,1)), "")</f>
        <v>aʊʔ</v>
      </c>
    </row>
    <row r="26" spans="1:25" ht="33.75" thickBot="1">
      <c r="A26">
        <f t="shared" si="2"/>
        <v>24</v>
      </c>
      <c r="B26" s="98" t="s">
        <v>273</v>
      </c>
      <c r="C26" s="96" t="s">
        <v>1120</v>
      </c>
      <c r="D26" s="92" t="s">
        <v>272</v>
      </c>
      <c r="E26" s="92" t="s">
        <v>825</v>
      </c>
      <c r="F26" s="96" t="s">
        <v>1177</v>
      </c>
      <c r="G26" s="92" t="s">
        <v>1199</v>
      </c>
      <c r="H26" s="92" t="s">
        <v>1282</v>
      </c>
      <c r="I26" s="92" t="s">
        <v>1251</v>
      </c>
      <c r="J26" s="92" t="s">
        <v>1226</v>
      </c>
      <c r="K26" s="92" t="s">
        <v>1251</v>
      </c>
      <c r="L26" s="92" t="s">
        <v>1226</v>
      </c>
      <c r="M26" s="90"/>
      <c r="N26" s="91" t="str">
        <f t="shared" si="0"/>
        <v>ɪa</v>
      </c>
      <c r="O26" s="91" t="str">
        <f t="shared" si="3"/>
        <v>ɪaʔ</v>
      </c>
      <c r="P26" s="91"/>
      <c r="Q26" s="91" t="str">
        <f t="shared" si="7"/>
        <v/>
      </c>
      <c r="R26" s="90"/>
      <c r="S26" t="str">
        <f t="shared" si="4"/>
        <v/>
      </c>
      <c r="T26" t="str">
        <f t="shared" si="8"/>
        <v/>
      </c>
      <c r="U26" t="str">
        <f t="shared" si="9"/>
        <v/>
      </c>
      <c r="W26">
        <f t="shared" si="5"/>
        <v>3</v>
      </c>
      <c r="X26" t="str">
        <f t="shared" si="6"/>
        <v>ɪa</v>
      </c>
      <c r="Y26" t="str">
        <f>IF(AND(LEN(W26)&gt;0,LEN(X26)&gt;0),_xlfn.CONCAT(X26,MID(C26,W26+1,1)), "")</f>
        <v>ɪaʔ</v>
      </c>
    </row>
    <row r="27" spans="1:25" ht="33.75" thickBot="1">
      <c r="A27">
        <f t="shared" si="2"/>
        <v>25</v>
      </c>
      <c r="B27" s="98" t="s">
        <v>283</v>
      </c>
      <c r="C27" s="96" t="s">
        <v>1121</v>
      </c>
      <c r="D27" s="92" t="s">
        <v>282</v>
      </c>
      <c r="E27" s="92" t="s">
        <v>1150</v>
      </c>
      <c r="F27" s="96" t="s">
        <v>1178</v>
      </c>
      <c r="G27" s="92" t="s">
        <v>285</v>
      </c>
      <c r="H27" s="92" t="s">
        <v>1283</v>
      </c>
      <c r="I27" s="92" t="s">
        <v>1252</v>
      </c>
      <c r="J27" s="92" t="s">
        <v>1227</v>
      </c>
      <c r="K27" s="92" t="s">
        <v>1252</v>
      </c>
      <c r="L27" s="92" t="s">
        <v>1227</v>
      </c>
      <c r="M27" s="90"/>
      <c r="N27" s="91" t="str">
        <f t="shared" si="0"/>
        <v>ue</v>
      </c>
      <c r="O27" s="91" t="str">
        <f t="shared" si="3"/>
        <v>ue(</v>
      </c>
      <c r="P27" s="91"/>
      <c r="Q27" s="91" t="str">
        <f t="shared" si="7"/>
        <v/>
      </c>
      <c r="R27" s="90"/>
      <c r="S27" t="str">
        <f t="shared" si="4"/>
        <v/>
      </c>
      <c r="T27" t="str">
        <f t="shared" si="8"/>
        <v/>
      </c>
      <c r="U27" t="str">
        <f t="shared" si="9"/>
        <v/>
      </c>
      <c r="W27">
        <f t="shared" si="5"/>
        <v>3</v>
      </c>
      <c r="X27" t="str">
        <f t="shared" si="6"/>
        <v>ue</v>
      </c>
      <c r="Y27" t="str">
        <f>IF(AND(LEN(W27)&gt;0,LEN(X27)&gt;0),_xlfn.CONCAT(X27,MID(C27,W27+1,1)), "")</f>
        <v>ue(</v>
      </c>
    </row>
    <row r="28" spans="1:25" ht="33.75" thickBot="1">
      <c r="A28">
        <f t="shared" si="2"/>
        <v>26</v>
      </c>
      <c r="B28" s="98" t="s">
        <v>295</v>
      </c>
      <c r="C28" s="96" t="s">
        <v>1122</v>
      </c>
      <c r="D28" s="92" t="s">
        <v>1151</v>
      </c>
      <c r="E28" s="92" t="s">
        <v>838</v>
      </c>
      <c r="F28" s="96" t="s">
        <v>1122</v>
      </c>
      <c r="G28" s="92" t="s">
        <v>1151</v>
      </c>
      <c r="H28" s="92" t="s">
        <v>838</v>
      </c>
      <c r="I28" s="92" t="s">
        <v>1253</v>
      </c>
      <c r="J28" s="92" t="s">
        <v>1228</v>
      </c>
      <c r="K28" s="92" t="s">
        <v>1272</v>
      </c>
      <c r="L28" s="92" t="s">
        <v>1271</v>
      </c>
      <c r="M28" s="90"/>
      <c r="N28" s="91" t="str">
        <f t="shared" si="0"/>
        <v>ã</v>
      </c>
      <c r="O28" s="91" t="str">
        <f t="shared" si="3"/>
        <v>ãʔ</v>
      </c>
      <c r="P28" s="91"/>
      <c r="Q28" s="91" t="str">
        <f t="shared" si="7"/>
        <v/>
      </c>
      <c r="R28" s="90"/>
      <c r="S28" t="str">
        <f t="shared" si="4"/>
        <v/>
      </c>
      <c r="T28" t="str">
        <f t="shared" si="8"/>
        <v/>
      </c>
      <c r="U28" t="str">
        <f t="shared" si="9"/>
        <v/>
      </c>
      <c r="W28">
        <f t="shared" si="5"/>
        <v>2</v>
      </c>
      <c r="X28" t="str">
        <f t="shared" si="6"/>
        <v>ã</v>
      </c>
      <c r="Y28" t="str">
        <f>IF(AND(LEN(W28)&gt;0,LEN(X28)&gt;0),_xlfn.CONCAT(X28,MID(C28,W28+1,1)), "")</f>
        <v>ãʔ</v>
      </c>
    </row>
    <row r="29" spans="1:25" ht="33.75" thickBot="1">
      <c r="A29">
        <f t="shared" si="2"/>
        <v>27</v>
      </c>
      <c r="B29" s="98" t="s">
        <v>309</v>
      </c>
      <c r="C29" s="96" t="s">
        <v>1123</v>
      </c>
      <c r="D29" s="92" t="s">
        <v>308</v>
      </c>
      <c r="E29" s="92" t="s">
        <v>882</v>
      </c>
      <c r="F29" s="96" t="s">
        <v>1123</v>
      </c>
      <c r="G29" s="92" t="s">
        <v>308</v>
      </c>
      <c r="H29" s="92" t="s">
        <v>882</v>
      </c>
      <c r="I29" s="92" t="s">
        <v>1254</v>
      </c>
      <c r="J29" s="92" t="s">
        <v>1229</v>
      </c>
      <c r="K29" s="92" t="s">
        <v>1254</v>
      </c>
      <c r="L29" s="92" t="s">
        <v>1229</v>
      </c>
      <c r="M29" s="90"/>
      <c r="N29" s="91" t="str">
        <f t="shared" si="0"/>
        <v>u</v>
      </c>
      <c r="O29" s="91" t="str">
        <f t="shared" si="3"/>
        <v>uʔ</v>
      </c>
      <c r="P29" s="91"/>
      <c r="Q29" s="91" t="str">
        <f t="shared" si="7"/>
        <v/>
      </c>
      <c r="R29" s="90"/>
      <c r="S29" t="str">
        <f t="shared" si="4"/>
        <v/>
      </c>
      <c r="T29" t="str">
        <f t="shared" si="8"/>
        <v/>
      </c>
      <c r="U29" t="str">
        <f t="shared" si="9"/>
        <v/>
      </c>
      <c r="W29">
        <f t="shared" si="5"/>
        <v>2</v>
      </c>
      <c r="X29" t="str">
        <f t="shared" si="6"/>
        <v>u</v>
      </c>
      <c r="Y29" t="str">
        <f>IF(AND(LEN(W29)&gt;0,LEN(X29)&gt;0),_xlfn.CONCAT(X29,MID(C29,W29+1,1)), "")</f>
        <v>uʔ</v>
      </c>
    </row>
    <row r="30" spans="1:25" ht="33.75" thickBot="1">
      <c r="A30">
        <f t="shared" si="2"/>
        <v>28</v>
      </c>
      <c r="B30" s="98" t="s">
        <v>317</v>
      </c>
      <c r="C30" s="96" t="s">
        <v>1124</v>
      </c>
      <c r="D30" s="92" t="s">
        <v>316</v>
      </c>
      <c r="E30" s="92" t="s">
        <v>858</v>
      </c>
      <c r="F30" s="96" t="s">
        <v>1124</v>
      </c>
      <c r="G30" s="92" t="s">
        <v>316</v>
      </c>
      <c r="H30" s="92" t="s">
        <v>858</v>
      </c>
      <c r="I30" s="92" t="s">
        <v>1255</v>
      </c>
      <c r="J30" s="92" t="s">
        <v>800</v>
      </c>
      <c r="K30" s="92" t="s">
        <v>1255</v>
      </c>
      <c r="L30" s="92" t="s">
        <v>800</v>
      </c>
      <c r="M30" s="90"/>
      <c r="N30" s="91" t="str">
        <f t="shared" si="0"/>
        <v>a</v>
      </c>
      <c r="O30" s="91" t="str">
        <f t="shared" si="3"/>
        <v>aʔ</v>
      </c>
      <c r="P30" s="91"/>
      <c r="Q30" s="91" t="str">
        <f t="shared" si="7"/>
        <v/>
      </c>
      <c r="R30" s="90"/>
      <c r="S30" t="str">
        <f t="shared" si="4"/>
        <v/>
      </c>
      <c r="T30" t="str">
        <f t="shared" si="8"/>
        <v/>
      </c>
      <c r="U30" t="str">
        <f t="shared" si="9"/>
        <v/>
      </c>
      <c r="W30">
        <f t="shared" si="5"/>
        <v>2</v>
      </c>
      <c r="X30" t="str">
        <f t="shared" si="6"/>
        <v>a</v>
      </c>
      <c r="Y30" t="str">
        <f>IF(AND(LEN(W30)&gt;0,LEN(X30)&gt;0),_xlfn.CONCAT(X30,MID(C30,W30+1,1)), "")</f>
        <v>aʔ</v>
      </c>
    </row>
    <row r="31" spans="1:25" ht="33.75" thickBot="1">
      <c r="A31">
        <f t="shared" si="2"/>
        <v>29</v>
      </c>
      <c r="B31" s="98" t="s">
        <v>325</v>
      </c>
      <c r="C31" s="96" t="s">
        <v>1125</v>
      </c>
      <c r="D31" s="92" t="s">
        <v>324</v>
      </c>
      <c r="E31" s="92" t="s">
        <v>873</v>
      </c>
      <c r="F31" s="96" t="s">
        <v>1125</v>
      </c>
      <c r="G31" s="92" t="s">
        <v>324</v>
      </c>
      <c r="H31" s="92" t="s">
        <v>873</v>
      </c>
      <c r="I31" s="92" t="s">
        <v>1256</v>
      </c>
      <c r="J31" s="92" t="s">
        <v>1230</v>
      </c>
      <c r="K31" s="92" t="s">
        <v>1256</v>
      </c>
      <c r="L31" s="92" t="s">
        <v>1230</v>
      </c>
      <c r="M31" s="90"/>
      <c r="N31" s="91" t="str">
        <f t="shared" si="0"/>
        <v>i</v>
      </c>
      <c r="O31" s="91" t="str">
        <f t="shared" si="3"/>
        <v>iʔ</v>
      </c>
      <c r="P31" s="91"/>
      <c r="Q31" s="91" t="str">
        <f t="shared" si="7"/>
        <v/>
      </c>
      <c r="R31" s="90"/>
      <c r="S31" t="str">
        <f t="shared" si="4"/>
        <v/>
      </c>
      <c r="T31" t="str">
        <f t="shared" si="8"/>
        <v/>
      </c>
      <c r="U31" t="str">
        <f t="shared" si="9"/>
        <v/>
      </c>
      <c r="W31">
        <f t="shared" si="5"/>
        <v>2</v>
      </c>
      <c r="X31" t="str">
        <f t="shared" si="6"/>
        <v>i</v>
      </c>
      <c r="Y31" t="str">
        <f>IF(AND(LEN(W31)&gt;0,LEN(X31)&gt;0),_xlfn.CONCAT(X31,MID(C31,W31+1,1)), "")</f>
        <v>iʔ</v>
      </c>
    </row>
    <row r="32" spans="1:25" ht="33.75" thickBot="1">
      <c r="A32">
        <f t="shared" si="2"/>
        <v>30</v>
      </c>
      <c r="B32" s="98" t="s">
        <v>333</v>
      </c>
      <c r="C32" s="96" t="s">
        <v>332</v>
      </c>
      <c r="D32" s="92" t="s">
        <v>332</v>
      </c>
      <c r="E32" s="97" t="s">
        <v>640</v>
      </c>
      <c r="F32" s="96" t="s">
        <v>332</v>
      </c>
      <c r="G32" s="92" t="s">
        <v>332</v>
      </c>
      <c r="H32" s="97" t="s">
        <v>640</v>
      </c>
      <c r="I32" s="92" t="s">
        <v>332</v>
      </c>
      <c r="J32" s="97" t="s">
        <v>640</v>
      </c>
      <c r="K32" s="92" t="s">
        <v>332</v>
      </c>
      <c r="L32" s="97" t="s">
        <v>640</v>
      </c>
      <c r="M32" s="90"/>
      <c r="N32" s="91" t="str">
        <f t="shared" si="0"/>
        <v>iu</v>
      </c>
      <c r="O32" s="91" t="str">
        <f t="shared" si="3"/>
        <v/>
      </c>
      <c r="P32" s="91"/>
      <c r="Q32" s="91" t="str">
        <f t="shared" si="7"/>
        <v>iu</v>
      </c>
      <c r="R32" s="90"/>
      <c r="S32" t="str">
        <f t="shared" si="4"/>
        <v/>
      </c>
      <c r="T32" t="str">
        <f t="shared" si="8"/>
        <v/>
      </c>
      <c r="U32" t="str">
        <f t="shared" si="9"/>
        <v/>
      </c>
      <c r="W32" t="str">
        <f t="shared" si="5"/>
        <v/>
      </c>
      <c r="X32" t="str">
        <f t="shared" si="6"/>
        <v/>
      </c>
      <c r="Y32" t="str">
        <f>IF(AND(LEN(W32)&gt;0,LEN(X32)&gt;0),_xlfn.CONCAT(X32,MID(C32,W32+1,1)), "")</f>
        <v/>
      </c>
    </row>
    <row r="33" spans="1:25" ht="33.75" thickBot="1">
      <c r="A33">
        <f t="shared" si="2"/>
        <v>31</v>
      </c>
      <c r="B33" s="98" t="s">
        <v>338</v>
      </c>
      <c r="C33" s="96" t="s">
        <v>337</v>
      </c>
      <c r="D33" s="92" t="s">
        <v>337</v>
      </c>
      <c r="E33" s="97" t="s">
        <v>640</v>
      </c>
      <c r="F33" s="96" t="s">
        <v>1179</v>
      </c>
      <c r="G33" s="92" t="s">
        <v>1179</v>
      </c>
      <c r="H33" s="97" t="s">
        <v>640</v>
      </c>
      <c r="I33" s="92" t="s">
        <v>342</v>
      </c>
      <c r="J33" s="97" t="s">
        <v>640</v>
      </c>
      <c r="K33" s="92" t="s">
        <v>340</v>
      </c>
      <c r="L33" s="97" t="s">
        <v>640</v>
      </c>
      <c r="M33" s="90"/>
      <c r="N33" s="91" t="str">
        <f t="shared" si="0"/>
        <v>ẽ</v>
      </c>
      <c r="O33" s="91" t="str">
        <f t="shared" si="3"/>
        <v/>
      </c>
      <c r="P33" s="91"/>
      <c r="Q33" s="91" t="str">
        <f t="shared" si="7"/>
        <v>ẽ</v>
      </c>
      <c r="R33" s="90"/>
      <c r="S33" t="str">
        <f t="shared" si="4"/>
        <v/>
      </c>
      <c r="T33" t="str">
        <f t="shared" si="8"/>
        <v/>
      </c>
      <c r="U33" t="str">
        <f t="shared" si="9"/>
        <v/>
      </c>
      <c r="W33" t="str">
        <f t="shared" si="5"/>
        <v/>
      </c>
      <c r="X33" t="str">
        <f t="shared" si="6"/>
        <v/>
      </c>
      <c r="Y33" t="str">
        <f>IF(AND(LEN(W33)&gt;0,LEN(X33)&gt;0),_xlfn.CONCAT(X33,MID(C33,W33+1,1)), "")</f>
        <v/>
      </c>
    </row>
    <row r="34" spans="1:25" ht="33.75" thickBot="1">
      <c r="A34">
        <f t="shared" si="2"/>
        <v>32</v>
      </c>
      <c r="B34" s="98" t="s">
        <v>349</v>
      </c>
      <c r="C34" s="96" t="s">
        <v>1126</v>
      </c>
      <c r="D34" s="92" t="s">
        <v>1126</v>
      </c>
      <c r="E34" s="97" t="s">
        <v>640</v>
      </c>
      <c r="F34" s="96" t="s">
        <v>1126</v>
      </c>
      <c r="G34" s="92" t="s">
        <v>1126</v>
      </c>
      <c r="H34" s="97" t="s">
        <v>640</v>
      </c>
      <c r="I34" s="92" t="s">
        <v>353</v>
      </c>
      <c r="J34" s="97" t="s">
        <v>640</v>
      </c>
      <c r="K34" s="92" t="s">
        <v>351</v>
      </c>
      <c r="L34" s="97" t="s">
        <v>640</v>
      </c>
      <c r="M34" s="90"/>
      <c r="N34" s="91" t="str">
        <f t="shared" si="0"/>
        <v>ũĩ</v>
      </c>
      <c r="O34" s="91" t="str">
        <f t="shared" si="3"/>
        <v/>
      </c>
      <c r="P34" s="91"/>
      <c r="Q34" s="91" t="str">
        <f t="shared" si="7"/>
        <v>ũĩ</v>
      </c>
      <c r="R34" s="90"/>
      <c r="S34" t="str">
        <f t="shared" si="4"/>
        <v/>
      </c>
      <c r="T34" t="str">
        <f t="shared" si="8"/>
        <v/>
      </c>
      <c r="U34" t="str">
        <f t="shared" si="9"/>
        <v/>
      </c>
      <c r="W34" t="str">
        <f t="shared" si="5"/>
        <v/>
      </c>
      <c r="X34" t="str">
        <f t="shared" si="6"/>
        <v/>
      </c>
      <c r="Y34" t="str">
        <f>IF(AND(LEN(W34)&gt;0,LEN(X34)&gt;0),_xlfn.CONCAT(X34,MID(C34,W34+1,1)), "")</f>
        <v/>
      </c>
    </row>
    <row r="35" spans="1:25" ht="33.75" thickBot="1">
      <c r="A35">
        <f t="shared" si="2"/>
        <v>33</v>
      </c>
      <c r="B35" s="98" t="s">
        <v>358</v>
      </c>
      <c r="C35" s="96" t="s">
        <v>1127</v>
      </c>
      <c r="D35" s="92" t="s">
        <v>357</v>
      </c>
      <c r="E35" s="92" t="s">
        <v>834</v>
      </c>
      <c r="F35" s="96" t="s">
        <v>1180</v>
      </c>
      <c r="G35" s="92" t="s">
        <v>1200</v>
      </c>
      <c r="H35" s="92" t="s">
        <v>1201</v>
      </c>
      <c r="I35" s="92" t="s">
        <v>1257</v>
      </c>
      <c r="J35" s="92" t="s">
        <v>899</v>
      </c>
      <c r="K35" s="92" t="s">
        <v>1257</v>
      </c>
      <c r="L35" s="92" t="s">
        <v>899</v>
      </c>
      <c r="M35" s="90"/>
      <c r="N35" s="91" t="str">
        <f t="shared" si="0"/>
        <v>ɪo</v>
      </c>
      <c r="O35" s="91" t="str">
        <f t="shared" si="3"/>
        <v>ɪoʔ</v>
      </c>
      <c r="P35" s="91"/>
      <c r="Q35" s="91" t="str">
        <f t="shared" si="7"/>
        <v/>
      </c>
      <c r="R35" s="90"/>
      <c r="S35" t="str">
        <f t="shared" si="4"/>
        <v/>
      </c>
      <c r="T35" t="str">
        <f t="shared" si="8"/>
        <v/>
      </c>
      <c r="U35" t="str">
        <f t="shared" si="9"/>
        <v/>
      </c>
      <c r="W35">
        <f t="shared" si="5"/>
        <v>3</v>
      </c>
      <c r="X35" t="str">
        <f t="shared" si="6"/>
        <v>ɪo</v>
      </c>
      <c r="Y35" t="str">
        <f>IF(AND(LEN(W35)&gt;0,LEN(X35)&gt;0),_xlfn.CONCAT(X35,MID(C35,W35+1,1)), "")</f>
        <v>ɪoʔ</v>
      </c>
    </row>
    <row r="36" spans="1:25" ht="33.75" thickBot="1">
      <c r="A36">
        <f t="shared" si="2"/>
        <v>34</v>
      </c>
      <c r="B36" s="98" t="s">
        <v>368</v>
      </c>
      <c r="C36" s="96" t="s">
        <v>1128</v>
      </c>
      <c r="D36" s="92" t="s">
        <v>367</v>
      </c>
      <c r="E36" s="92" t="s">
        <v>1152</v>
      </c>
      <c r="F36" s="96" t="s">
        <v>1128</v>
      </c>
      <c r="G36" s="92" t="s">
        <v>367</v>
      </c>
      <c r="H36" s="92" t="s">
        <v>1152</v>
      </c>
      <c r="I36" s="92" t="s">
        <v>1258</v>
      </c>
      <c r="J36" s="92" t="s">
        <v>1231</v>
      </c>
      <c r="K36" s="92" t="s">
        <v>1274</v>
      </c>
      <c r="L36" s="92" t="s">
        <v>1273</v>
      </c>
      <c r="M36" s="90"/>
      <c r="N36" s="91" t="str">
        <f t="shared" si="0"/>
        <v>ĩ</v>
      </c>
      <c r="O36" s="91" t="str">
        <f t="shared" si="3"/>
        <v>ĩʔ</v>
      </c>
      <c r="P36" s="91"/>
      <c r="Q36" s="91" t="str">
        <f t="shared" si="7"/>
        <v/>
      </c>
      <c r="R36" s="90"/>
      <c r="S36" t="str">
        <f t="shared" si="4"/>
        <v/>
      </c>
      <c r="T36" t="str">
        <f t="shared" si="8"/>
        <v/>
      </c>
      <c r="U36" t="str">
        <f t="shared" si="9"/>
        <v/>
      </c>
      <c r="W36">
        <f t="shared" si="5"/>
        <v>2</v>
      </c>
      <c r="X36" t="str">
        <f t="shared" si="6"/>
        <v>ĩ</v>
      </c>
      <c r="Y36" t="str">
        <f>IF(AND(LEN(W36)&gt;0,LEN(X36)&gt;0),_xlfn.CONCAT(X36,MID(C36,W36+1,1)), "")</f>
        <v>ĩʔ</v>
      </c>
    </row>
    <row r="37" spans="1:25" ht="33.75" thickBot="1">
      <c r="A37">
        <f t="shared" si="2"/>
        <v>35</v>
      </c>
      <c r="B37" s="98" t="s">
        <v>381</v>
      </c>
      <c r="C37" s="96" t="s">
        <v>1129</v>
      </c>
      <c r="D37" s="92" t="s">
        <v>1129</v>
      </c>
      <c r="E37" s="97" t="s">
        <v>640</v>
      </c>
      <c r="F37" s="96" t="s">
        <v>1181</v>
      </c>
      <c r="G37" s="92" t="s">
        <v>1181</v>
      </c>
      <c r="H37" s="97" t="s">
        <v>640</v>
      </c>
      <c r="I37" s="92" t="s">
        <v>385</v>
      </c>
      <c r="J37" s="97" t="s">
        <v>640</v>
      </c>
      <c r="K37" s="92" t="s">
        <v>383</v>
      </c>
      <c r="L37" s="97" t="s">
        <v>640</v>
      </c>
      <c r="M37" s="90"/>
      <c r="N37" s="91" t="str">
        <f t="shared" si="0"/>
        <v>ĩɔ̃</v>
      </c>
      <c r="O37" s="91" t="str">
        <f t="shared" si="3"/>
        <v/>
      </c>
      <c r="P37" s="91"/>
      <c r="Q37" s="91" t="str">
        <f t="shared" si="7"/>
        <v>ĩɔ̃</v>
      </c>
      <c r="R37" s="90"/>
      <c r="S37" t="str">
        <f t="shared" si="4"/>
        <v/>
      </c>
      <c r="T37" t="str">
        <f t="shared" si="8"/>
        <v/>
      </c>
      <c r="U37" t="str">
        <f t="shared" si="9"/>
        <v/>
      </c>
      <c r="W37" t="str">
        <f t="shared" si="5"/>
        <v/>
      </c>
      <c r="X37" t="str">
        <f t="shared" si="6"/>
        <v/>
      </c>
      <c r="Y37" t="str">
        <f>IF(AND(LEN(W37)&gt;0,LEN(X37)&gt;0),_xlfn.CONCAT(X37,MID(C37,W37+1,1)), "")</f>
        <v/>
      </c>
    </row>
    <row r="38" spans="1:25" ht="33.75" thickBot="1">
      <c r="A38">
        <f t="shared" si="2"/>
        <v>36</v>
      </c>
      <c r="B38" s="98" t="s">
        <v>389</v>
      </c>
      <c r="C38" s="96" t="s">
        <v>1130</v>
      </c>
      <c r="D38" s="92" t="s">
        <v>1130</v>
      </c>
      <c r="E38" s="97" t="s">
        <v>640</v>
      </c>
      <c r="F38" s="96" t="s">
        <v>1130</v>
      </c>
      <c r="G38" s="92" t="s">
        <v>1130</v>
      </c>
      <c r="H38" s="97" t="s">
        <v>640</v>
      </c>
      <c r="I38" s="92" t="s">
        <v>394</v>
      </c>
      <c r="J38" s="97" t="s">
        <v>640</v>
      </c>
      <c r="K38" s="92" t="s">
        <v>391</v>
      </c>
      <c r="L38" s="97" t="s">
        <v>640</v>
      </c>
      <c r="M38" s="90"/>
      <c r="N38" s="91" t="str">
        <f t="shared" si="0"/>
        <v>ĩã</v>
      </c>
      <c r="O38" s="91" t="str">
        <f t="shared" si="3"/>
        <v/>
      </c>
      <c r="P38" s="91"/>
      <c r="Q38" s="91" t="str">
        <f t="shared" si="7"/>
        <v>ĩã</v>
      </c>
      <c r="R38" s="90"/>
      <c r="S38" t="str">
        <f t="shared" si="4"/>
        <v/>
      </c>
      <c r="T38" t="str">
        <f t="shared" si="8"/>
        <v/>
      </c>
      <c r="U38" t="str">
        <f t="shared" si="9"/>
        <v/>
      </c>
      <c r="W38" t="str">
        <f t="shared" si="5"/>
        <v/>
      </c>
      <c r="X38" t="str">
        <f t="shared" si="6"/>
        <v/>
      </c>
      <c r="Y38" t="str">
        <f>IF(AND(LEN(W38)&gt;0,LEN(X38)&gt;0),_xlfn.CONCAT(X38,MID(C38,W38+1,1)), "")</f>
        <v/>
      </c>
    </row>
    <row r="39" spans="1:25" ht="33.75" thickBot="1">
      <c r="A39">
        <f t="shared" si="2"/>
        <v>37</v>
      </c>
      <c r="B39" s="98" t="s">
        <v>397</v>
      </c>
      <c r="C39" s="96" t="s">
        <v>1131</v>
      </c>
      <c r="D39" s="92" t="s">
        <v>1131</v>
      </c>
      <c r="E39" s="97" t="s">
        <v>640</v>
      </c>
      <c r="F39" s="96" t="s">
        <v>1131</v>
      </c>
      <c r="G39" s="92" t="s">
        <v>1131</v>
      </c>
      <c r="H39" s="97" t="s">
        <v>640</v>
      </c>
      <c r="I39" s="92" t="s">
        <v>401</v>
      </c>
      <c r="J39" s="97" t="s">
        <v>640</v>
      </c>
      <c r="K39" s="92" t="s">
        <v>399</v>
      </c>
      <c r="L39" s="97" t="s">
        <v>640</v>
      </c>
      <c r="M39" s="90"/>
      <c r="N39" s="91" t="str">
        <f t="shared" si="0"/>
        <v>ũã</v>
      </c>
      <c r="O39" s="91" t="str">
        <f t="shared" si="3"/>
        <v/>
      </c>
      <c r="P39" s="91"/>
      <c r="Q39" s="91" t="str">
        <f t="shared" si="7"/>
        <v>ũã</v>
      </c>
      <c r="R39" s="90"/>
      <c r="S39" t="str">
        <f t="shared" si="4"/>
        <v/>
      </c>
      <c r="T39" t="str">
        <f t="shared" si="8"/>
        <v/>
      </c>
      <c r="U39" t="str">
        <f t="shared" si="9"/>
        <v/>
      </c>
      <c r="W39" t="str">
        <f t="shared" si="5"/>
        <v/>
      </c>
      <c r="X39" t="str">
        <f t="shared" si="6"/>
        <v/>
      </c>
      <c r="Y39" t="str">
        <f>IF(AND(LEN(W39)&gt;0,LEN(X39)&gt;0),_xlfn.CONCAT(X39,MID(C39,W39+1,1)), "")</f>
        <v/>
      </c>
    </row>
    <row r="40" spans="1:25" ht="33.75" thickBot="1">
      <c r="A40">
        <f t="shared" si="2"/>
        <v>38</v>
      </c>
      <c r="B40" s="98" t="s">
        <v>405</v>
      </c>
      <c r="C40" s="96" t="s">
        <v>596</v>
      </c>
      <c r="D40" s="92" t="s">
        <v>596</v>
      </c>
      <c r="E40" s="97" t="s">
        <v>640</v>
      </c>
      <c r="F40" s="96" t="s">
        <v>404</v>
      </c>
      <c r="G40" s="92" t="s">
        <v>404</v>
      </c>
      <c r="H40" s="97" t="s">
        <v>640</v>
      </c>
      <c r="I40" s="92" t="s">
        <v>407</v>
      </c>
      <c r="J40" s="97" t="s">
        <v>640</v>
      </c>
      <c r="K40" s="92" t="s">
        <v>407</v>
      </c>
      <c r="L40" s="97" t="s">
        <v>640</v>
      </c>
      <c r="M40" s="90"/>
      <c r="N40" s="91" t="str">
        <f t="shared" si="0"/>
        <v>ŋ̍</v>
      </c>
      <c r="O40" s="91" t="str">
        <f t="shared" si="3"/>
        <v/>
      </c>
      <c r="P40" s="91"/>
      <c r="Q40" s="91" t="str">
        <f t="shared" si="7"/>
        <v>ŋ̍</v>
      </c>
      <c r="R40" s="90"/>
      <c r="S40" t="str">
        <f t="shared" si="4"/>
        <v/>
      </c>
      <c r="T40" t="str">
        <f t="shared" si="8"/>
        <v/>
      </c>
      <c r="U40" t="str">
        <f t="shared" si="9"/>
        <v/>
      </c>
      <c r="W40" t="str">
        <f t="shared" si="5"/>
        <v/>
      </c>
      <c r="X40" t="str">
        <f t="shared" si="6"/>
        <v/>
      </c>
      <c r="Y40" t="str">
        <f>IF(AND(LEN(W40)&gt;0,LEN(X40)&gt;0),_xlfn.CONCAT(X40,MID(C40,W40+1,1)), "")</f>
        <v/>
      </c>
    </row>
    <row r="41" spans="1:25" ht="33.75" thickBot="1">
      <c r="A41">
        <f t="shared" si="2"/>
        <v>39</v>
      </c>
      <c r="B41" s="98" t="s">
        <v>410</v>
      </c>
      <c r="C41" s="96" t="s">
        <v>1132</v>
      </c>
      <c r="D41" s="92" t="s">
        <v>60</v>
      </c>
      <c r="E41" s="92" t="s">
        <v>865</v>
      </c>
      <c r="F41" s="96" t="s">
        <v>1132</v>
      </c>
      <c r="G41" s="92" t="s">
        <v>60</v>
      </c>
      <c r="H41" s="92" t="s">
        <v>865</v>
      </c>
      <c r="I41" s="92" t="s">
        <v>1208</v>
      </c>
      <c r="J41" s="92" t="s">
        <v>1207</v>
      </c>
      <c r="K41" s="92" t="s">
        <v>1208</v>
      </c>
      <c r="L41" s="92" t="s">
        <v>1207</v>
      </c>
      <c r="M41" s="90"/>
      <c r="N41" s="91" t="str">
        <f t="shared" si="0"/>
        <v>e</v>
      </c>
      <c r="O41" s="91" t="str">
        <f t="shared" si="3"/>
        <v>eʔ</v>
      </c>
      <c r="P41" s="91"/>
      <c r="Q41" s="91" t="str">
        <f t="shared" si="7"/>
        <v/>
      </c>
      <c r="R41" s="90"/>
      <c r="S41" t="str">
        <f t="shared" si="4"/>
        <v/>
      </c>
      <c r="T41" t="str">
        <f t="shared" si="8"/>
        <v/>
      </c>
      <c r="U41" t="str">
        <f t="shared" si="9"/>
        <v/>
      </c>
      <c r="W41">
        <f t="shared" si="5"/>
        <v>2</v>
      </c>
      <c r="X41" t="str">
        <f t="shared" si="6"/>
        <v>e</v>
      </c>
      <c r="Y41" t="str">
        <f>IF(AND(LEN(W41)&gt;0,LEN(X41)&gt;0),_xlfn.CONCAT(X41,MID(C41,W41+1,1)), "")</f>
        <v>eʔ</v>
      </c>
    </row>
    <row r="42" spans="1:25" ht="33.75" thickBot="1">
      <c r="A42">
        <f t="shared" si="2"/>
        <v>40</v>
      </c>
      <c r="B42" s="98" t="s">
        <v>415</v>
      </c>
      <c r="C42" s="96" t="s">
        <v>1133</v>
      </c>
      <c r="D42" s="92" t="s">
        <v>1133</v>
      </c>
      <c r="E42" s="97" t="s">
        <v>640</v>
      </c>
      <c r="F42" s="96" t="s">
        <v>1133</v>
      </c>
      <c r="G42" s="92" t="s">
        <v>1133</v>
      </c>
      <c r="H42" s="97" t="s">
        <v>640</v>
      </c>
      <c r="I42" s="92" t="s">
        <v>419</v>
      </c>
      <c r="J42" s="97" t="s">
        <v>640</v>
      </c>
      <c r="K42" s="92" t="s">
        <v>417</v>
      </c>
      <c r="L42" s="97" t="s">
        <v>640</v>
      </c>
      <c r="M42" s="90"/>
      <c r="N42" s="91" t="str">
        <f t="shared" si="0"/>
        <v>ãĩ</v>
      </c>
      <c r="O42" s="91" t="str">
        <f t="shared" si="3"/>
        <v/>
      </c>
      <c r="P42" s="91"/>
      <c r="Q42" s="91" t="str">
        <f t="shared" si="7"/>
        <v>ãĩ</v>
      </c>
      <c r="R42" s="90"/>
      <c r="S42" t="str">
        <f t="shared" si="4"/>
        <v/>
      </c>
      <c r="T42" t="str">
        <f t="shared" si="8"/>
        <v/>
      </c>
      <c r="U42" t="str">
        <f t="shared" si="9"/>
        <v/>
      </c>
      <c r="W42" t="str">
        <f t="shared" si="5"/>
        <v/>
      </c>
      <c r="X42" t="str">
        <f t="shared" si="6"/>
        <v/>
      </c>
      <c r="Y42" t="str">
        <f>IF(AND(LEN(W42)&gt;0,LEN(X42)&gt;0),_xlfn.CONCAT(X42,MID(C42,W42+1,1)), "")</f>
        <v/>
      </c>
    </row>
    <row r="43" spans="1:25" ht="33.75" thickBot="1">
      <c r="A43">
        <f t="shared" si="2"/>
        <v>41</v>
      </c>
      <c r="B43" s="98" t="s">
        <v>422</v>
      </c>
      <c r="C43" s="96" t="s">
        <v>1134</v>
      </c>
      <c r="D43" s="92" t="s">
        <v>1134</v>
      </c>
      <c r="E43" s="97" t="s">
        <v>640</v>
      </c>
      <c r="F43" s="96" t="s">
        <v>847</v>
      </c>
      <c r="G43" s="92" t="s">
        <v>847</v>
      </c>
      <c r="H43" s="97" t="s">
        <v>640</v>
      </c>
      <c r="I43" s="92" t="s">
        <v>427</v>
      </c>
      <c r="J43" s="97" t="s">
        <v>640</v>
      </c>
      <c r="K43" s="92" t="s">
        <v>425</v>
      </c>
      <c r="L43" s="97" t="s">
        <v>640</v>
      </c>
      <c r="M43" s="90"/>
      <c r="N43" s="91" t="str">
        <f t="shared" si="0"/>
        <v>ɔ̃</v>
      </c>
      <c r="O43" s="91" t="str">
        <f t="shared" si="3"/>
        <v/>
      </c>
      <c r="P43" s="91"/>
      <c r="Q43" s="91" t="str">
        <f t="shared" si="7"/>
        <v>ɔ̃</v>
      </c>
      <c r="R43" s="90"/>
      <c r="S43" t="str">
        <f t="shared" si="4"/>
        <v/>
      </c>
      <c r="T43" t="str">
        <f t="shared" si="8"/>
        <v/>
      </c>
      <c r="U43" t="str">
        <f t="shared" si="9"/>
        <v/>
      </c>
      <c r="W43" t="str">
        <f t="shared" si="5"/>
        <v/>
      </c>
      <c r="X43" t="str">
        <f t="shared" si="6"/>
        <v/>
      </c>
      <c r="Y43" t="str">
        <f>IF(AND(LEN(W43)&gt;0,LEN(X43)&gt;0),_xlfn.CONCAT(X43,MID(C43,W43+1,1)), "")</f>
        <v/>
      </c>
    </row>
    <row r="44" spans="1:25" ht="33.75" thickBot="1">
      <c r="A44">
        <f t="shared" si="2"/>
        <v>42</v>
      </c>
      <c r="B44" s="98" t="s">
        <v>429</v>
      </c>
      <c r="C44" s="96" t="s">
        <v>432</v>
      </c>
      <c r="D44" s="92" t="s">
        <v>432</v>
      </c>
      <c r="E44" s="97" t="s">
        <v>640</v>
      </c>
      <c r="F44" s="96" t="s">
        <v>430</v>
      </c>
      <c r="G44" s="92" t="s">
        <v>430</v>
      </c>
      <c r="H44" s="97" t="s">
        <v>640</v>
      </c>
      <c r="I44" s="92" t="s">
        <v>432</v>
      </c>
      <c r="J44" s="97" t="s">
        <v>640</v>
      </c>
      <c r="K44" s="92" t="s">
        <v>432</v>
      </c>
      <c r="L44" s="97" t="s">
        <v>640</v>
      </c>
      <c r="M44" s="90"/>
      <c r="N44" s="91" t="str">
        <f t="shared" si="0"/>
        <v>m̩</v>
      </c>
      <c r="O44" s="91" t="str">
        <f t="shared" si="3"/>
        <v/>
      </c>
      <c r="P44" s="91"/>
      <c r="Q44" s="91" t="str">
        <f t="shared" si="7"/>
        <v>m̩</v>
      </c>
      <c r="R44" s="90"/>
      <c r="S44" t="str">
        <f t="shared" si="4"/>
        <v/>
      </c>
      <c r="T44" t="str">
        <f t="shared" si="8"/>
        <v/>
      </c>
      <c r="U44" t="str">
        <f t="shared" si="9"/>
        <v/>
      </c>
      <c r="W44" t="str">
        <f t="shared" si="5"/>
        <v/>
      </c>
      <c r="X44" t="str">
        <f t="shared" si="6"/>
        <v/>
      </c>
      <c r="Y44" t="str">
        <f>IF(AND(LEN(W44)&gt;0,LEN(X44)&gt;0),_xlfn.CONCAT(X44,MID(C44,W44+1,1)), "")</f>
        <v/>
      </c>
    </row>
    <row r="45" spans="1:25" ht="33.75" thickBot="1">
      <c r="A45">
        <f t="shared" si="2"/>
        <v>43</v>
      </c>
      <c r="B45" s="98" t="s">
        <v>436</v>
      </c>
      <c r="C45" s="96" t="s">
        <v>1135</v>
      </c>
      <c r="D45" s="92" t="s">
        <v>435</v>
      </c>
      <c r="E45" s="92" t="s">
        <v>443</v>
      </c>
      <c r="F45" s="96" t="s">
        <v>1182</v>
      </c>
      <c r="G45" s="92" t="s">
        <v>435</v>
      </c>
      <c r="H45" s="92" t="s">
        <v>441</v>
      </c>
      <c r="I45" s="92" t="s">
        <v>1259</v>
      </c>
      <c r="J45" s="92" t="s">
        <v>1237</v>
      </c>
      <c r="K45" s="92" t="s">
        <v>1259</v>
      </c>
      <c r="L45" s="92" t="s">
        <v>1237</v>
      </c>
      <c r="M45" s="90"/>
      <c r="N45" s="91" t="str">
        <f t="shared" si="0"/>
        <v>uan</v>
      </c>
      <c r="O45" s="91" t="str">
        <f t="shared" si="3"/>
        <v>uak̚</v>
      </c>
      <c r="P45" s="91"/>
      <c r="Q45" s="91" t="str">
        <f t="shared" si="7"/>
        <v/>
      </c>
      <c r="R45" s="90"/>
      <c r="S45">
        <f t="shared" si="4"/>
        <v>4</v>
      </c>
      <c r="T45" t="str">
        <f t="shared" si="8"/>
        <v>uan</v>
      </c>
      <c r="U45" t="str">
        <f t="shared" si="9"/>
        <v>uak̚</v>
      </c>
      <c r="W45" t="str">
        <f t="shared" si="5"/>
        <v/>
      </c>
      <c r="X45" t="str">
        <f t="shared" si="6"/>
        <v/>
      </c>
      <c r="Y45" t="str">
        <f>IF(AND(LEN(W45)&gt;0,LEN(X45)&gt;0),_xlfn.CONCAT(X45,MID(C45,W45+1,1)), "")</f>
        <v/>
      </c>
    </row>
    <row r="46" spans="1:25" ht="33.75" thickBot="1">
      <c r="A46">
        <f t="shared" si="2"/>
        <v>44</v>
      </c>
      <c r="B46" s="98" t="s">
        <v>447</v>
      </c>
      <c r="C46" s="96" t="s">
        <v>1136</v>
      </c>
      <c r="D46" s="92" t="s">
        <v>1153</v>
      </c>
      <c r="E46" s="92" t="s">
        <v>1154</v>
      </c>
      <c r="F46" s="96" t="s">
        <v>1136</v>
      </c>
      <c r="G46" s="92" t="s">
        <v>1153</v>
      </c>
      <c r="H46" s="92" t="s">
        <v>1154</v>
      </c>
      <c r="I46" s="92" t="s">
        <v>1260</v>
      </c>
      <c r="J46" s="92" t="s">
        <v>1236</v>
      </c>
      <c r="K46" s="92" t="s">
        <v>1278</v>
      </c>
      <c r="L46" s="92" t="s">
        <v>1275</v>
      </c>
      <c r="M46" s="90"/>
      <c r="N46" s="91" t="str">
        <f t="shared" si="0"/>
        <v>ũãĩ</v>
      </c>
      <c r="O46" s="91" t="str">
        <f t="shared" si="3"/>
        <v>ũãĩʔ</v>
      </c>
      <c r="P46" s="91"/>
      <c r="Q46" s="91" t="str">
        <f t="shared" si="7"/>
        <v/>
      </c>
      <c r="R46" s="90"/>
      <c r="S46" t="str">
        <f t="shared" si="4"/>
        <v/>
      </c>
      <c r="T46" t="str">
        <f t="shared" si="8"/>
        <v/>
      </c>
      <c r="U46" t="str">
        <f t="shared" si="9"/>
        <v/>
      </c>
      <c r="W46">
        <f t="shared" si="5"/>
        <v>4</v>
      </c>
      <c r="X46" t="str">
        <f t="shared" si="6"/>
        <v>ũãĩ</v>
      </c>
      <c r="Y46" t="s">
        <v>1154</v>
      </c>
    </row>
    <row r="47" spans="1:25" ht="33.75" thickBot="1">
      <c r="A47">
        <f t="shared" si="2"/>
        <v>45</v>
      </c>
      <c r="B47" s="98" t="s">
        <v>458</v>
      </c>
      <c r="C47" s="96" t="s">
        <v>1137</v>
      </c>
      <c r="D47" s="92" t="s">
        <v>1155</v>
      </c>
      <c r="E47" s="92" t="s">
        <v>1156</v>
      </c>
      <c r="F47" s="96" t="s">
        <v>1183</v>
      </c>
      <c r="G47" s="92" t="s">
        <v>1202</v>
      </c>
      <c r="H47" s="92" t="s">
        <v>1203</v>
      </c>
      <c r="I47" s="92" t="s">
        <v>1261</v>
      </c>
      <c r="J47" s="92" t="s">
        <v>1235</v>
      </c>
      <c r="K47" s="92" t="s">
        <v>1279</v>
      </c>
      <c r="L47" s="92" t="s">
        <v>1276</v>
      </c>
      <c r="M47" s="90"/>
      <c r="N47" s="91" t="str">
        <f t="shared" si="0"/>
        <v>ũẽ</v>
      </c>
      <c r="O47" s="91" t="str">
        <f t="shared" si="3"/>
        <v>ũẽʔ</v>
      </c>
      <c r="P47" s="91"/>
      <c r="Q47" s="91" t="str">
        <f t="shared" si="7"/>
        <v/>
      </c>
      <c r="R47" s="90"/>
      <c r="S47" t="str">
        <f t="shared" si="4"/>
        <v/>
      </c>
      <c r="T47" t="str">
        <f t="shared" si="8"/>
        <v/>
      </c>
      <c r="U47" t="str">
        <f t="shared" si="9"/>
        <v/>
      </c>
      <c r="W47">
        <f t="shared" si="5"/>
        <v>3</v>
      </c>
      <c r="X47" t="str">
        <f t="shared" si="6"/>
        <v>ũẽ</v>
      </c>
      <c r="Y47" t="s">
        <v>1186</v>
      </c>
    </row>
    <row r="48" spans="1:25" ht="33.75" thickBot="1">
      <c r="A48">
        <f t="shared" si="2"/>
        <v>46</v>
      </c>
      <c r="B48" s="98" t="s">
        <v>465</v>
      </c>
      <c r="C48" s="96" t="s">
        <v>1138</v>
      </c>
      <c r="D48" s="92" t="s">
        <v>1157</v>
      </c>
      <c r="E48" s="92" t="s">
        <v>1158</v>
      </c>
      <c r="F48" s="96" t="s">
        <v>1138</v>
      </c>
      <c r="G48" s="92" t="s">
        <v>1157</v>
      </c>
      <c r="H48" s="92" t="s">
        <v>1158</v>
      </c>
      <c r="I48" s="92" t="s">
        <v>1262</v>
      </c>
      <c r="J48" s="92" t="s">
        <v>1234</v>
      </c>
      <c r="K48" s="92" t="s">
        <v>1280</v>
      </c>
      <c r="L48" s="92" t="s">
        <v>897</v>
      </c>
      <c r="M48" s="90"/>
      <c r="N48" s="91" t="str">
        <f t="shared" si="0"/>
        <v>ĩãũ</v>
      </c>
      <c r="O48" s="91" t="str">
        <f t="shared" si="3"/>
        <v>ĩãũʔ</v>
      </c>
      <c r="P48" s="91"/>
      <c r="Q48" s="91" t="str">
        <f t="shared" si="7"/>
        <v/>
      </c>
      <c r="R48" s="90"/>
      <c r="S48" t="str">
        <f t="shared" si="4"/>
        <v/>
      </c>
      <c r="T48" t="str">
        <f t="shared" si="8"/>
        <v/>
      </c>
      <c r="U48" t="str">
        <f t="shared" si="9"/>
        <v/>
      </c>
      <c r="W48">
        <f t="shared" si="5"/>
        <v>4</v>
      </c>
      <c r="X48" t="str">
        <f t="shared" si="6"/>
        <v>ĩãũ</v>
      </c>
      <c r="Y48" t="s">
        <v>1158</v>
      </c>
    </row>
    <row r="49" spans="1:25" ht="33.75" thickBot="1">
      <c r="A49">
        <f t="shared" si="2"/>
        <v>47</v>
      </c>
      <c r="B49" s="98" t="s">
        <v>477</v>
      </c>
      <c r="C49" s="96" t="s">
        <v>1139</v>
      </c>
      <c r="D49" s="92" t="s">
        <v>476</v>
      </c>
      <c r="E49" s="92" t="s">
        <v>880</v>
      </c>
      <c r="F49" s="96" t="s">
        <v>1184</v>
      </c>
      <c r="G49" s="92" t="s">
        <v>476</v>
      </c>
      <c r="H49" s="92" t="s">
        <v>483</v>
      </c>
      <c r="I49" s="92" t="s">
        <v>1102</v>
      </c>
      <c r="J49" s="92" t="s">
        <v>1233</v>
      </c>
      <c r="K49" s="92" t="s">
        <v>1102</v>
      </c>
      <c r="L49" s="92" t="s">
        <v>1233</v>
      </c>
      <c r="M49" s="90"/>
      <c r="N49" s="91" t="str">
        <f t="shared" si="0"/>
        <v>om</v>
      </c>
      <c r="O49" s="91" t="str">
        <f t="shared" si="3"/>
        <v>op̚</v>
      </c>
      <c r="P49" s="91"/>
      <c r="Q49" s="91" t="str">
        <f t="shared" si="7"/>
        <v/>
      </c>
      <c r="R49" s="90"/>
      <c r="S49">
        <f t="shared" si="4"/>
        <v>3</v>
      </c>
      <c r="T49" t="str">
        <f t="shared" si="8"/>
        <v>om</v>
      </c>
      <c r="U49" t="str">
        <f t="shared" si="9"/>
        <v>op̚</v>
      </c>
      <c r="W49" t="str">
        <f t="shared" si="5"/>
        <v/>
      </c>
      <c r="X49" t="str">
        <f t="shared" si="6"/>
        <v/>
      </c>
      <c r="Y49" t="s">
        <v>640</v>
      </c>
    </row>
    <row r="50" spans="1:25" ht="33.75" thickBot="1">
      <c r="A50">
        <f t="shared" si="2"/>
        <v>48</v>
      </c>
      <c r="B50" s="98" t="s">
        <v>489</v>
      </c>
      <c r="C50" s="96" t="s">
        <v>1140</v>
      </c>
      <c r="D50" s="92" t="s">
        <v>1140</v>
      </c>
      <c r="E50" s="97" t="s">
        <v>640</v>
      </c>
      <c r="F50" s="96" t="s">
        <v>1140</v>
      </c>
      <c r="G50" s="92" t="s">
        <v>1140</v>
      </c>
      <c r="H50" s="97" t="s">
        <v>640</v>
      </c>
      <c r="I50" s="92" t="s">
        <v>493</v>
      </c>
      <c r="J50" s="97" t="s">
        <v>640</v>
      </c>
      <c r="K50" s="92" t="s">
        <v>491</v>
      </c>
      <c r="L50" s="97" t="s">
        <v>640</v>
      </c>
      <c r="M50" s="90"/>
      <c r="N50" s="91" t="str">
        <f t="shared" si="0"/>
        <v>ãũ</v>
      </c>
      <c r="O50" s="91" t="str">
        <f t="shared" si="3"/>
        <v/>
      </c>
      <c r="P50" s="91"/>
      <c r="Q50" s="91" t="str">
        <f t="shared" si="7"/>
        <v>ãũ</v>
      </c>
      <c r="R50" s="90"/>
      <c r="S50" t="str">
        <f t="shared" si="4"/>
        <v/>
      </c>
      <c r="T50" t="str">
        <f t="shared" si="8"/>
        <v/>
      </c>
      <c r="U50" t="str">
        <f t="shared" si="9"/>
        <v/>
      </c>
      <c r="W50" t="str">
        <f t="shared" si="5"/>
        <v/>
      </c>
      <c r="X50" t="str">
        <f t="shared" si="6"/>
        <v/>
      </c>
      <c r="Y50" t="s">
        <v>640</v>
      </c>
    </row>
    <row r="51" spans="1:25" ht="33.75" thickBot="1">
      <c r="A51">
        <f t="shared" si="2"/>
        <v>49</v>
      </c>
      <c r="B51" s="98" t="s">
        <v>496</v>
      </c>
      <c r="C51" s="96" t="s">
        <v>1141</v>
      </c>
      <c r="D51" s="92" t="s">
        <v>1159</v>
      </c>
      <c r="E51" s="92" t="s">
        <v>1160</v>
      </c>
      <c r="F51" s="96" t="s">
        <v>1185</v>
      </c>
      <c r="G51" s="92" t="s">
        <v>847</v>
      </c>
      <c r="H51" s="92" t="s">
        <v>819</v>
      </c>
      <c r="I51" s="92" t="s">
        <v>1263</v>
      </c>
      <c r="J51" s="92" t="s">
        <v>1232</v>
      </c>
      <c r="K51" s="92" t="s">
        <v>933</v>
      </c>
      <c r="L51" s="92" t="s">
        <v>1277</v>
      </c>
      <c r="M51" s="90"/>
      <c r="N51" s="91" t="str">
        <f t="shared" si="0"/>
        <v>ɔ̃</v>
      </c>
      <c r="O51" s="91" t="str">
        <f t="shared" si="3"/>
        <v>ɔ̃ʔ</v>
      </c>
      <c r="P51" s="91"/>
      <c r="Q51" s="91" t="str">
        <f t="shared" si="7"/>
        <v/>
      </c>
      <c r="R51" s="90"/>
      <c r="S51" t="str">
        <f t="shared" si="4"/>
        <v/>
      </c>
      <c r="T51" t="str">
        <f t="shared" si="8"/>
        <v/>
      </c>
      <c r="U51" t="str">
        <f t="shared" si="9"/>
        <v/>
      </c>
      <c r="W51">
        <f t="shared" si="5"/>
        <v>3</v>
      </c>
      <c r="X51" t="str">
        <f t="shared" si="6"/>
        <v>ɔ̃</v>
      </c>
      <c r="Y51" s="93" t="s">
        <v>934</v>
      </c>
    </row>
    <row r="52" spans="1:25" ht="33.75" thickBot="1">
      <c r="A52">
        <f t="shared" si="2"/>
        <v>50</v>
      </c>
      <c r="B52" s="98" t="s">
        <v>505</v>
      </c>
      <c r="C52" s="96" t="s">
        <v>1142</v>
      </c>
      <c r="D52" s="92" t="s">
        <v>1142</v>
      </c>
      <c r="E52" s="97" t="s">
        <v>640</v>
      </c>
      <c r="F52" s="96" t="s">
        <v>1142</v>
      </c>
      <c r="G52" s="92" t="s">
        <v>1142</v>
      </c>
      <c r="H52" s="97" t="s">
        <v>640</v>
      </c>
      <c r="I52" s="92" t="s">
        <v>509</v>
      </c>
      <c r="J52" s="97" t="s">
        <v>640</v>
      </c>
      <c r="K52" s="92" t="s">
        <v>507</v>
      </c>
      <c r="L52" s="97" t="s">
        <v>640</v>
      </c>
      <c r="M52" s="90"/>
      <c r="N52" s="91" t="str">
        <f t="shared" si="0"/>
        <v>ĩũ</v>
      </c>
      <c r="O52" s="91" t="str">
        <f t="shared" si="3"/>
        <v/>
      </c>
      <c r="P52" s="91"/>
      <c r="Q52" s="91" t="str">
        <f t="shared" si="7"/>
        <v>ĩũ</v>
      </c>
      <c r="R52" s="90"/>
      <c r="S52" t="str">
        <f t="shared" si="4"/>
        <v/>
      </c>
      <c r="T52" t="str">
        <f t="shared" si="8"/>
        <v/>
      </c>
      <c r="U52" t="str">
        <f t="shared" si="9"/>
        <v/>
      </c>
      <c r="W52" t="str">
        <f t="shared" si="5"/>
        <v/>
      </c>
      <c r="X52" t="str">
        <f t="shared" si="6"/>
        <v/>
      </c>
      <c r="Y52" t="str">
        <f>IF(AND(LEN(W52)&gt;0,LEN(X52)&gt;0),_xlfn.CONCAT(X52,MID(C52,W52+1,1)), "")</f>
        <v/>
      </c>
    </row>
  </sheetData>
  <phoneticPr fontId="4" type="noConversion"/>
  <hyperlinks>
    <hyperlink ref="D2" r:id="rId1" location="cite_note-ma2009-2" display="https://zh.wikipedia.org/wiki/%E5%BD%99%E9%9B%86%E9%9B%85%E4%BF%97%E9%80%9A%E5%8D%81%E4%BA%94%E9%9F%B3 - cite_note-ma2009-2" xr:uid="{5FA95AB1-DAED-4975-84FF-284280416D4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F42E-1BEB-4022-BC67-5F9C82B5FABF}">
  <dimension ref="B1:S11"/>
  <sheetViews>
    <sheetView workbookViewId="0">
      <selection activeCell="Q7" sqref="Q7"/>
    </sheetView>
  </sheetViews>
  <sheetFormatPr defaultRowHeight="25.5"/>
  <cols>
    <col min="1" max="1" width="2" customWidth="1"/>
    <col min="8" max="8" width="10.1640625" bestFit="1" customWidth="1"/>
    <col min="9" max="19" width="12.58203125" customWidth="1"/>
  </cols>
  <sheetData>
    <row r="1" spans="2:19" ht="9" customHeight="1"/>
    <row r="2" spans="2:19">
      <c r="B2" s="21" t="s">
        <v>697</v>
      </c>
      <c r="C2" s="21" t="s">
        <v>698</v>
      </c>
      <c r="D2" s="22" t="s">
        <v>699</v>
      </c>
      <c r="E2" s="22" t="s">
        <v>700</v>
      </c>
      <c r="F2" s="21" t="s">
        <v>701</v>
      </c>
      <c r="G2" s="21" t="s">
        <v>702</v>
      </c>
      <c r="H2" s="23" t="s">
        <v>703</v>
      </c>
      <c r="I2" s="21" t="s">
        <v>704</v>
      </c>
      <c r="J2" s="21" t="s">
        <v>705</v>
      </c>
      <c r="K2" s="21" t="s">
        <v>706</v>
      </c>
      <c r="L2" s="23" t="s">
        <v>707</v>
      </c>
      <c r="M2" s="24" t="s">
        <v>708</v>
      </c>
      <c r="N2" s="22" t="s">
        <v>709</v>
      </c>
      <c r="O2" s="21" t="s">
        <v>710</v>
      </c>
      <c r="P2" s="21" t="s">
        <v>711</v>
      </c>
      <c r="Q2" s="21" t="s">
        <v>712</v>
      </c>
      <c r="R2" s="21" t="s">
        <v>4</v>
      </c>
      <c r="S2" s="21" t="s">
        <v>713</v>
      </c>
    </row>
    <row r="3" spans="2:19" ht="57.75">
      <c r="B3" s="25">
        <v>0</v>
      </c>
      <c r="C3" s="25">
        <v>9</v>
      </c>
      <c r="D3" s="26" t="s">
        <v>714</v>
      </c>
      <c r="E3" s="26" t="s">
        <v>715</v>
      </c>
      <c r="F3" s="27">
        <v>20</v>
      </c>
      <c r="G3" s="28" t="s">
        <v>716</v>
      </c>
      <c r="H3" s="29" t="s">
        <v>717</v>
      </c>
      <c r="I3" s="30" t="s">
        <v>718</v>
      </c>
      <c r="J3" s="31" t="str">
        <f xml:space="preserve"> IFERROR( _xlfn.CONCAT("a", _xlfn.UNICHAR(HEX2DEC(RIGHT(I3,4)))), "")</f>
        <v>å</v>
      </c>
      <c r="K3" s="32">
        <v>7</v>
      </c>
      <c r="L3" s="33" t="str">
        <f xml:space="preserve"> _xlfn.CONCAT("ah", B3)</f>
        <v>ah0</v>
      </c>
      <c r="M3" s="34" t="str">
        <f xml:space="preserve"> IFERROR( _xlfn.CONCAT("a", "h", _xlfn.UNICHAR(HEX2DEC(RIGHT(I3,4)))), "")</f>
        <v>ah̊</v>
      </c>
      <c r="N3" s="33" t="str">
        <f xml:space="preserve"> _xlfn.CONCAT("ah", K3)</f>
        <v>ah7</v>
      </c>
      <c r="O3" s="35" t="s">
        <v>719</v>
      </c>
      <c r="P3" s="36" t="str">
        <f xml:space="preserve"> _xlfn.CONCAT("ㄚ", "ㆷ", _xlfn.UNICHAR(HEX2DEC(RIGHT("U+02D9",4))))</f>
        <v>ㄚㆷ˙</v>
      </c>
      <c r="Q3" s="35" t="s">
        <v>48</v>
      </c>
      <c r="R3" s="35" t="s">
        <v>720</v>
      </c>
      <c r="S3" s="35" t="s">
        <v>721</v>
      </c>
    </row>
    <row r="4" spans="2:19" ht="57.75">
      <c r="B4" s="25">
        <v>1</v>
      </c>
      <c r="C4" s="25">
        <v>1</v>
      </c>
      <c r="D4" s="26" t="s">
        <v>635</v>
      </c>
      <c r="E4" s="26" t="s">
        <v>722</v>
      </c>
      <c r="F4" s="27">
        <v>44</v>
      </c>
      <c r="G4" s="28" t="s">
        <v>723</v>
      </c>
      <c r="H4" s="29" t="s">
        <v>724</v>
      </c>
      <c r="I4" s="30" t="s">
        <v>725</v>
      </c>
      <c r="J4" s="31" t="str">
        <f xml:space="preserve"> IFERROR( _xlfn.CONCAT("a", _xlfn.UNICHAR(HEX2DEC(RIGHT(I4,4)))), "")</f>
        <v>ā</v>
      </c>
      <c r="K4" s="32" t="s">
        <v>726</v>
      </c>
      <c r="L4" s="33" t="str">
        <f xml:space="preserve"> _xlfn.CONCAT("dong", B4)</f>
        <v>dong1</v>
      </c>
      <c r="M4" s="34" t="str">
        <f t="shared" ref="M4:M9" si="0" xml:space="preserve"> IFERROR( _xlfn.CONCAT("d", "o", _xlfn.UNICHAR(HEX2DEC(RIGHT(I4,4))), "ng"), "")</f>
        <v>dōng</v>
      </c>
      <c r="N4" s="33" t="str">
        <f xml:space="preserve"> _xlfn.CONCAT("dong", K4)</f>
        <v>dong;</v>
      </c>
      <c r="O4" s="35"/>
      <c r="P4" s="36" t="str">
        <f xml:space="preserve"> _xlfn.CONCAT("ㄚ",)</f>
        <v>ㄚ</v>
      </c>
      <c r="Q4" s="35" t="s">
        <v>727</v>
      </c>
      <c r="R4" s="35" t="s">
        <v>728</v>
      </c>
      <c r="S4" s="35" t="s">
        <v>729</v>
      </c>
    </row>
    <row r="5" spans="2:19" ht="57.75">
      <c r="B5" s="37">
        <v>2</v>
      </c>
      <c r="C5" s="37">
        <v>5</v>
      </c>
      <c r="D5" s="38" t="s">
        <v>665</v>
      </c>
      <c r="E5" s="38" t="s">
        <v>730</v>
      </c>
      <c r="F5" s="39">
        <v>13</v>
      </c>
      <c r="G5" s="40" t="s">
        <v>731</v>
      </c>
      <c r="H5" s="41" t="s">
        <v>732</v>
      </c>
      <c r="I5" s="42" t="s">
        <v>733</v>
      </c>
      <c r="J5" s="43" t="str">
        <f xml:space="preserve"> IFERROR( _xlfn.CONCAT("a", _xlfn.UNICHAR(HEX2DEC(RIGHT(I5,4)))), "")</f>
        <v>á</v>
      </c>
      <c r="K5" s="44" t="s">
        <v>734</v>
      </c>
      <c r="L5" s="45" t="str">
        <f xml:space="preserve"> _xlfn.CONCAT("dong", B5)</f>
        <v>dong2</v>
      </c>
      <c r="M5" s="46" t="str">
        <f t="shared" si="0"/>
        <v>dóng</v>
      </c>
      <c r="N5" s="45" t="str">
        <f xml:space="preserve"> _xlfn.CONCAT("dong", K5)</f>
        <v>dong/</v>
      </c>
      <c r="O5" s="47" t="s">
        <v>733</v>
      </c>
      <c r="P5" s="48" t="str">
        <f xml:space="preserve"> _xlfn.CONCAT("ㄚ ",_xlfn.UNICHAR(HEX2DEC(RIGHT(O5,4))))</f>
        <v>ㄚ ́</v>
      </c>
      <c r="Q5" s="47" t="s">
        <v>735</v>
      </c>
      <c r="R5" s="47" t="s">
        <v>736</v>
      </c>
      <c r="S5" s="47" t="s">
        <v>737</v>
      </c>
    </row>
    <row r="6" spans="2:19" ht="57.75">
      <c r="B6" s="25">
        <v>3</v>
      </c>
      <c r="C6" s="25">
        <v>4</v>
      </c>
      <c r="D6" s="26" t="s">
        <v>738</v>
      </c>
      <c r="E6" s="26" t="s">
        <v>739</v>
      </c>
      <c r="F6" s="27">
        <v>53</v>
      </c>
      <c r="G6" s="28" t="s">
        <v>740</v>
      </c>
      <c r="H6" s="29" t="s">
        <v>741</v>
      </c>
      <c r="I6" s="30" t="s">
        <v>742</v>
      </c>
      <c r="J6" s="31" t="str">
        <f xml:space="preserve"> IFERROR( _xlfn.CONCAT("a", _xlfn.UNICHAR(HEX2DEC(RIGHT(I6,4)))), "")</f>
        <v>ǎ</v>
      </c>
      <c r="K6" s="32" t="s">
        <v>743</v>
      </c>
      <c r="L6" s="33" t="str">
        <f xml:space="preserve"> _xlfn.CONCAT("dong", B6)</f>
        <v>dong3</v>
      </c>
      <c r="M6" s="34" t="str">
        <f t="shared" si="0"/>
        <v>dǒng</v>
      </c>
      <c r="N6" s="33" t="str">
        <f xml:space="preserve"> _xlfn.CONCAT("dong", K6)</f>
        <v>dong\</v>
      </c>
      <c r="O6" s="35" t="s">
        <v>744</v>
      </c>
      <c r="P6" s="36" t="str">
        <f xml:space="preserve"> _xlfn.CONCAT("ㄚ ",_xlfn.UNICHAR(HEX2DEC(RIGHT(O6,4))))</f>
        <v>ㄚ ̀</v>
      </c>
      <c r="Q6" s="35" t="s">
        <v>31</v>
      </c>
      <c r="R6" s="35" t="s">
        <v>745</v>
      </c>
      <c r="S6" s="35" t="s">
        <v>746</v>
      </c>
    </row>
    <row r="7" spans="2:19" ht="57.75">
      <c r="B7" s="37">
        <v>4</v>
      </c>
      <c r="C7" s="37">
        <v>99</v>
      </c>
      <c r="D7" s="38" t="s">
        <v>747</v>
      </c>
      <c r="E7" s="38"/>
      <c r="F7" s="39"/>
      <c r="G7" s="40"/>
      <c r="H7" s="41"/>
      <c r="I7" s="42"/>
      <c r="J7" s="43"/>
      <c r="K7" s="44"/>
      <c r="L7" s="45"/>
      <c r="M7" s="46" t="str">
        <f t="shared" si="0"/>
        <v/>
      </c>
      <c r="N7" s="45"/>
      <c r="O7" s="47"/>
      <c r="P7" s="48"/>
      <c r="Q7" s="47" t="s">
        <v>640</v>
      </c>
      <c r="R7" s="47"/>
      <c r="S7" s="47"/>
    </row>
    <row r="8" spans="2:19" ht="57.75">
      <c r="B8" s="25">
        <v>5</v>
      </c>
      <c r="C8" s="25">
        <v>3</v>
      </c>
      <c r="D8" s="26" t="s">
        <v>649</v>
      </c>
      <c r="E8" s="26" t="s">
        <v>748</v>
      </c>
      <c r="F8" s="27">
        <v>21</v>
      </c>
      <c r="G8" s="28" t="s">
        <v>749</v>
      </c>
      <c r="H8" s="29" t="s">
        <v>750</v>
      </c>
      <c r="I8" s="30" t="s">
        <v>744</v>
      </c>
      <c r="J8" s="31" t="str">
        <f xml:space="preserve"> IFERROR( _xlfn.CONCAT("a", _xlfn.UNICHAR(HEX2DEC(RIGHT(I8,4)))), "")</f>
        <v>à</v>
      </c>
      <c r="K8" s="32" t="s">
        <v>751</v>
      </c>
      <c r="L8" s="33" t="str">
        <f xml:space="preserve"> _xlfn.CONCAT("dong", B8)</f>
        <v>dong5</v>
      </c>
      <c r="M8" s="34" t="str">
        <f t="shared" si="0"/>
        <v>dòng</v>
      </c>
      <c r="N8" s="33" t="str">
        <f xml:space="preserve"> _xlfn.CONCAT("dong", K8)</f>
        <v>dong_</v>
      </c>
      <c r="O8" s="35" t="s">
        <v>752</v>
      </c>
      <c r="P8" s="36" t="str">
        <f xml:space="preserve"> _xlfn.CONCAT("ㄚ",_xlfn.UNICHAR(HEX2DEC(RIGHT(O8,4))))</f>
        <v>ㄚ˪</v>
      </c>
      <c r="Q8" s="35" t="s">
        <v>25</v>
      </c>
      <c r="R8" s="35" t="s">
        <v>753</v>
      </c>
      <c r="S8" s="35" t="s">
        <v>754</v>
      </c>
    </row>
    <row r="9" spans="2:19" ht="57.75">
      <c r="B9" s="37">
        <v>6</v>
      </c>
      <c r="C9" s="37">
        <v>2</v>
      </c>
      <c r="D9" s="38" t="s">
        <v>641</v>
      </c>
      <c r="E9" s="38" t="s">
        <v>755</v>
      </c>
      <c r="F9" s="39">
        <v>22</v>
      </c>
      <c r="G9" s="40" t="s">
        <v>756</v>
      </c>
      <c r="H9" s="41" t="s">
        <v>757</v>
      </c>
      <c r="I9" s="42" t="s">
        <v>758</v>
      </c>
      <c r="J9" s="43" t="str">
        <f xml:space="preserve"> IFERROR( _xlfn.CONCAT("a", _xlfn.UNICHAR(HEX2DEC(RIGHT(I9,4)))), "")</f>
        <v>â</v>
      </c>
      <c r="K9" s="44" t="s">
        <v>759</v>
      </c>
      <c r="L9" s="45" t="str">
        <f xml:space="preserve"> _xlfn.CONCAT("dong", B9)</f>
        <v>dong6</v>
      </c>
      <c r="M9" s="46" t="str">
        <f t="shared" si="0"/>
        <v>dông</v>
      </c>
      <c r="N9" s="45" t="str">
        <f xml:space="preserve"> _xlfn.CONCAT("dong", K9)</f>
        <v>dong-</v>
      </c>
      <c r="O9" s="47" t="s">
        <v>760</v>
      </c>
      <c r="P9" s="48" t="str">
        <f xml:space="preserve"> _xlfn.CONCAT("ㄚ",_xlfn.UNICHAR(HEX2DEC(RIGHT(O9,4))))</f>
        <v>ㄚ˫</v>
      </c>
      <c r="Q9" s="47" t="s">
        <v>761</v>
      </c>
      <c r="R9" s="47" t="s">
        <v>762</v>
      </c>
      <c r="S9" s="47" t="s">
        <v>763</v>
      </c>
    </row>
    <row r="10" spans="2:19" ht="57.75">
      <c r="B10" s="25">
        <v>7</v>
      </c>
      <c r="C10" s="25">
        <v>7</v>
      </c>
      <c r="D10" s="26" t="s">
        <v>673</v>
      </c>
      <c r="E10" s="26" t="s">
        <v>764</v>
      </c>
      <c r="F10" s="27">
        <v>32</v>
      </c>
      <c r="G10" s="28" t="s">
        <v>765</v>
      </c>
      <c r="H10" s="29" t="s">
        <v>766</v>
      </c>
      <c r="I10" s="30" t="s">
        <v>725</v>
      </c>
      <c r="J10" s="31" t="str">
        <f xml:space="preserve"> IFERROR( _xlfn.CONCAT("a", _xlfn.UNICHAR(HEX2DEC(RIGHT(I10,4))), "h"), "")</f>
        <v>āh</v>
      </c>
      <c r="K10" s="32" t="s">
        <v>767</v>
      </c>
      <c r="L10" s="33" t="str">
        <f xml:space="preserve"> _xlfn.CONCAT("dok", B10)</f>
        <v>dok7</v>
      </c>
      <c r="M10" s="34" t="str">
        <f xml:space="preserve"> IFERROR( _xlfn.CONCAT("d", "o", _xlfn.UNICHAR(HEX2DEC(RIGHT(I10,4))), "k"), "")</f>
        <v>dōk</v>
      </c>
      <c r="N10" s="33" t="str">
        <f xml:space="preserve"> _xlfn.CONCAT("dok", K10)</f>
        <v>dok[</v>
      </c>
      <c r="O10" s="35"/>
      <c r="P10" s="36" t="str">
        <f xml:space="preserve"> _xlfn.CONCAT("ㄚ", "ㆷ")</f>
        <v>ㄚㆷ</v>
      </c>
      <c r="Q10" s="35" t="s">
        <v>677</v>
      </c>
      <c r="R10" s="35" t="s">
        <v>768</v>
      </c>
      <c r="S10" s="35" t="s">
        <v>769</v>
      </c>
    </row>
    <row r="11" spans="2:19" ht="57.75">
      <c r="B11" s="37">
        <v>8</v>
      </c>
      <c r="C11" s="37">
        <v>8</v>
      </c>
      <c r="D11" s="38" t="s">
        <v>679</v>
      </c>
      <c r="E11" s="38" t="s">
        <v>770</v>
      </c>
      <c r="F11" s="39">
        <v>121</v>
      </c>
      <c r="G11" s="40" t="s">
        <v>771</v>
      </c>
      <c r="H11" s="41" t="s">
        <v>772</v>
      </c>
      <c r="I11" s="42" t="s">
        <v>733</v>
      </c>
      <c r="J11" s="43" t="str">
        <f xml:space="preserve"> IFERROR( _xlfn.CONCAT("a", _xlfn.UNICHAR(HEX2DEC(RIGHT(I11,4))), "h"), "")</f>
        <v>áh</v>
      </c>
      <c r="K11" s="44" t="s">
        <v>773</v>
      </c>
      <c r="L11" s="45" t="str">
        <f xml:space="preserve"> _xlfn.CONCAT("dok", B11)</f>
        <v>dok8</v>
      </c>
      <c r="M11" s="46" t="str">
        <f xml:space="preserve"> IFERROR( _xlfn.CONCAT("d", "o", _xlfn.UNICHAR(HEX2DEC(RIGHT(I11,4))), "k"), "")</f>
        <v>dók</v>
      </c>
      <c r="N11" s="45" t="str">
        <f xml:space="preserve"> _xlfn.CONCAT("dok", K11)</f>
        <v>dok]</v>
      </c>
      <c r="O11" s="47" t="s">
        <v>774</v>
      </c>
      <c r="P11" s="48" t="str">
        <f xml:space="preserve"> _xlfn.CONCAT("ㄚ", "ㆷ", _xlfn.UNICHAR(HEX2DEC(RIGHT(O11,4))))</f>
        <v>ㄚㆷ˙</v>
      </c>
      <c r="Q11" s="47" t="s">
        <v>773</v>
      </c>
      <c r="R11" s="47" t="s">
        <v>775</v>
      </c>
      <c r="S11" s="47" t="s">
        <v>776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D437-5684-4A65-BB28-5B9291FDC5D9}">
  <dimension ref="A1:M85"/>
  <sheetViews>
    <sheetView workbookViewId="0">
      <selection activeCell="E2" sqref="E2:H85"/>
    </sheetView>
  </sheetViews>
  <sheetFormatPr defaultRowHeight="25.5"/>
  <cols>
    <col min="1" max="1" width="7.33203125" customWidth="1"/>
    <col min="4" max="4" width="9.1640625" customWidth="1"/>
    <col min="6" max="7" width="9.1640625" customWidth="1"/>
    <col min="9" max="10" width="9.1640625" customWidth="1"/>
    <col min="13" max="14" width="9.1640625" customWidth="1"/>
    <col min="15" max="15" width="7.33203125" customWidth="1"/>
    <col min="16" max="16" width="12.83203125" customWidth="1"/>
  </cols>
  <sheetData>
    <row r="1" spans="1:13">
      <c r="A1" s="74" t="s">
        <v>0</v>
      </c>
      <c r="B1" s="75" t="s">
        <v>3</v>
      </c>
      <c r="C1" s="75" t="s">
        <v>1</v>
      </c>
      <c r="D1" s="75" t="s">
        <v>4</v>
      </c>
      <c r="E1" s="75" t="s">
        <v>5</v>
      </c>
      <c r="F1" s="75" t="s">
        <v>2</v>
      </c>
      <c r="G1" s="75" t="s">
        <v>8</v>
      </c>
      <c r="H1" s="75" t="s">
        <v>6</v>
      </c>
      <c r="I1" s="75" t="s">
        <v>9</v>
      </c>
      <c r="J1" s="75" t="s">
        <v>7</v>
      </c>
      <c r="K1" s="75" t="s">
        <v>511</v>
      </c>
      <c r="L1" s="75" t="s">
        <v>10</v>
      </c>
      <c r="M1" s="76" t="s">
        <v>11</v>
      </c>
    </row>
    <row r="2" spans="1:13" ht="29.25">
      <c r="A2" s="67">
        <v>1</v>
      </c>
      <c r="B2" s="3" t="s">
        <v>15</v>
      </c>
      <c r="C2" s="3" t="s">
        <v>13</v>
      </c>
      <c r="D2" s="1" t="s">
        <v>16</v>
      </c>
      <c r="E2" s="1" t="s">
        <v>14</v>
      </c>
      <c r="F2" s="99" t="str" cm="1">
        <f t="array" ref="F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un</v>
      </c>
      <c r="G2" s="1" t="str" cm="1">
        <f t="array" ref="G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un</v>
      </c>
      <c r="H2" s="1" t="str" cm="1">
        <f t="array" ref="H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un</v>
      </c>
      <c r="I2" s="1" t="s">
        <v>14</v>
      </c>
      <c r="J2" s="1" t="s">
        <v>14</v>
      </c>
      <c r="K2" s="1" t="s">
        <v>12</v>
      </c>
      <c r="L2" s="1" t="s">
        <v>17</v>
      </c>
      <c r="M2" s="68" t="s">
        <v>18</v>
      </c>
    </row>
    <row r="3" spans="1:13" ht="29.25">
      <c r="A3" s="67">
        <v>2</v>
      </c>
      <c r="B3" s="3" t="s">
        <v>15</v>
      </c>
      <c r="C3" s="3" t="s">
        <v>20</v>
      </c>
      <c r="D3" s="1" t="s">
        <v>21</v>
      </c>
      <c r="E3" s="1" t="s">
        <v>22</v>
      </c>
      <c r="F3" s="99" t="str" cm="1">
        <f t="array" ref="F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ut</v>
      </c>
      <c r="G3" s="1" t="str" cm="1">
        <f t="array" ref="G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ut</v>
      </c>
      <c r="H3" s="1" t="str" cm="1">
        <f t="array" ref="H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ut</v>
      </c>
      <c r="I3" s="1" t="s">
        <v>22</v>
      </c>
      <c r="J3" s="1" t="s">
        <v>22</v>
      </c>
      <c r="K3" s="1" t="s">
        <v>12</v>
      </c>
      <c r="L3" s="1" t="s">
        <v>23</v>
      </c>
      <c r="M3" s="68" t="s">
        <v>24</v>
      </c>
    </row>
    <row r="4" spans="1:13" ht="29.25">
      <c r="A4" s="67">
        <v>3</v>
      </c>
      <c r="B4" s="3" t="s">
        <v>28</v>
      </c>
      <c r="C4" s="3" t="s">
        <v>26</v>
      </c>
      <c r="D4" s="1" t="s">
        <v>29</v>
      </c>
      <c r="E4" s="1" t="s">
        <v>27</v>
      </c>
      <c r="F4" s="99" t="str" cm="1">
        <f t="array" ref="F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ɪan</v>
      </c>
      <c r="G4" s="1" t="str" cm="1">
        <f t="array" ref="G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ian</v>
      </c>
      <c r="H4" s="1" t="str" cm="1">
        <f t="array" ref="H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ian</v>
      </c>
      <c r="I4" s="1" t="s">
        <v>27</v>
      </c>
      <c r="J4" s="1" t="s">
        <v>27</v>
      </c>
      <c r="K4" s="1" t="s">
        <v>19</v>
      </c>
      <c r="L4" s="1" t="s">
        <v>17</v>
      </c>
      <c r="M4" s="68" t="s">
        <v>30</v>
      </c>
    </row>
    <row r="5" spans="1:13" ht="29.25">
      <c r="A5" s="67">
        <v>4</v>
      </c>
      <c r="B5" s="3" t="s">
        <v>28</v>
      </c>
      <c r="C5" s="3" t="s">
        <v>32</v>
      </c>
      <c r="D5" s="1" t="s">
        <v>33</v>
      </c>
      <c r="E5" s="1" t="s">
        <v>34</v>
      </c>
      <c r="F5" s="99" t="str" cm="1">
        <f t="array" ref="F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ɪat̚</v>
      </c>
      <c r="G5" s="1" t="str" cm="1">
        <f t="array" ref="G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iat</v>
      </c>
      <c r="H5" s="1" t="str" cm="1">
        <f t="array" ref="H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iat</v>
      </c>
      <c r="I5" s="1" t="s">
        <v>34</v>
      </c>
      <c r="J5" s="1" t="s">
        <v>34</v>
      </c>
      <c r="K5" s="1" t="s">
        <v>19</v>
      </c>
      <c r="L5" s="1" t="s">
        <v>23</v>
      </c>
      <c r="M5" s="68" t="s">
        <v>35</v>
      </c>
    </row>
    <row r="6" spans="1:13" ht="29.25">
      <c r="A6" s="67">
        <v>5</v>
      </c>
      <c r="B6" s="3" t="s">
        <v>39</v>
      </c>
      <c r="C6" s="3" t="s">
        <v>37</v>
      </c>
      <c r="D6" s="1" t="s">
        <v>40</v>
      </c>
      <c r="E6" s="1" t="s">
        <v>38</v>
      </c>
      <c r="F6" s="99" t="str" cm="1">
        <f t="array" ref="F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im</v>
      </c>
      <c r="G6" s="1" t="str" cm="1">
        <f t="array" ref="G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im</v>
      </c>
      <c r="H6" s="1" t="str" cm="1">
        <f t="array" ref="H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im</v>
      </c>
      <c r="I6" s="1" t="s">
        <v>38</v>
      </c>
      <c r="J6" s="1" t="s">
        <v>38</v>
      </c>
      <c r="K6" s="1" t="s">
        <v>25</v>
      </c>
      <c r="L6" s="1" t="s">
        <v>17</v>
      </c>
      <c r="M6" s="68" t="s">
        <v>41</v>
      </c>
    </row>
    <row r="7" spans="1:13" ht="29.25">
      <c r="A7" s="67">
        <v>6</v>
      </c>
      <c r="B7" s="3" t="s">
        <v>39</v>
      </c>
      <c r="C7" s="3" t="s">
        <v>43</v>
      </c>
      <c r="D7" s="1" t="s">
        <v>45</v>
      </c>
      <c r="E7" s="1" t="s">
        <v>46</v>
      </c>
      <c r="F7" s="99" t="str" cm="1">
        <f t="array" ref="F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ip̚</v>
      </c>
      <c r="G7" s="1" t="str" cm="1">
        <f t="array" ref="G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ip</v>
      </c>
      <c r="H7" s="1" t="str" cm="1">
        <f t="array" ref="H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ip</v>
      </c>
      <c r="I7" s="1" t="s">
        <v>46</v>
      </c>
      <c r="J7" s="1" t="s">
        <v>46</v>
      </c>
      <c r="K7" s="1" t="s">
        <v>25</v>
      </c>
      <c r="L7" s="1" t="s">
        <v>23</v>
      </c>
      <c r="M7" s="68" t="s">
        <v>47</v>
      </c>
    </row>
    <row r="8" spans="1:13" ht="29.25">
      <c r="A8" s="67">
        <v>7</v>
      </c>
      <c r="B8" s="3" t="s">
        <v>51</v>
      </c>
      <c r="C8" s="3" t="s">
        <v>49</v>
      </c>
      <c r="D8" s="1" t="s">
        <v>52</v>
      </c>
      <c r="E8" s="1" t="s">
        <v>50</v>
      </c>
      <c r="F8" s="99" t="str" cm="1">
        <f t="array" ref="F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ui</v>
      </c>
      <c r="G8" s="1" t="str" cm="1">
        <f t="array" ref="G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ui</v>
      </c>
      <c r="H8" s="1" t="str" cm="1">
        <f t="array" ref="H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ui</v>
      </c>
      <c r="I8" s="1" t="s">
        <v>50</v>
      </c>
      <c r="J8" s="1" t="s">
        <v>50</v>
      </c>
      <c r="K8" s="1" t="s">
        <v>31</v>
      </c>
      <c r="L8" s="1" t="s">
        <v>17</v>
      </c>
      <c r="M8" s="68" t="s">
        <v>53</v>
      </c>
    </row>
    <row r="9" spans="1:13" ht="29.25">
      <c r="A9" s="67">
        <v>9</v>
      </c>
      <c r="B9" s="4" t="s">
        <v>57</v>
      </c>
      <c r="C9" s="4" t="s">
        <v>55</v>
      </c>
      <c r="D9" s="1" t="s">
        <v>58</v>
      </c>
      <c r="E9" s="1" t="s">
        <v>59</v>
      </c>
      <c r="F9" s="99" t="str" cm="1">
        <f t="array" ref="F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ɛ</v>
      </c>
      <c r="G9" s="1" t="str" cm="1">
        <f t="array" ref="G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e</v>
      </c>
      <c r="H9" s="1" t="str" cm="1">
        <f t="array" ref="H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ee</v>
      </c>
      <c r="I9" s="1" t="s">
        <v>60</v>
      </c>
      <c r="J9" s="1" t="s">
        <v>60</v>
      </c>
      <c r="K9" s="1" t="s">
        <v>36</v>
      </c>
      <c r="L9" s="1" t="s">
        <v>17</v>
      </c>
      <c r="M9" s="68" t="s">
        <v>61</v>
      </c>
    </row>
    <row r="10" spans="1:13" ht="29.25">
      <c r="A10" s="67">
        <v>10</v>
      </c>
      <c r="B10" s="4" t="s">
        <v>57</v>
      </c>
      <c r="C10" s="3" t="s">
        <v>63</v>
      </c>
      <c r="D10" s="1" t="s">
        <v>936</v>
      </c>
      <c r="E10" s="1" t="s">
        <v>64</v>
      </c>
      <c r="F10" s="99" t="str" cm="1">
        <f t="array" ref="F1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ɛʔ</v>
      </c>
      <c r="G10" s="1" t="str" cm="1">
        <f t="array" ref="G1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eh</v>
      </c>
      <c r="H10" s="1" t="str" cm="1">
        <f t="array" ref="H1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eeh</v>
      </c>
      <c r="I10" s="1" t="s">
        <v>65</v>
      </c>
      <c r="J10" s="1" t="s">
        <v>64</v>
      </c>
      <c r="K10" s="1" t="s">
        <v>36</v>
      </c>
      <c r="L10" s="1" t="s">
        <v>23</v>
      </c>
      <c r="M10" s="68" t="s">
        <v>66</v>
      </c>
    </row>
    <row r="11" spans="1:13" ht="29.25">
      <c r="A11" s="67">
        <v>11</v>
      </c>
      <c r="B11" s="3" t="s">
        <v>70</v>
      </c>
      <c r="C11" s="3" t="s">
        <v>68</v>
      </c>
      <c r="D11" s="1" t="s">
        <v>71</v>
      </c>
      <c r="E11" s="1" t="s">
        <v>69</v>
      </c>
      <c r="F11" s="99" t="str" cm="1">
        <f t="array" ref="F1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an</v>
      </c>
      <c r="G11" s="1" t="str" cm="1">
        <f t="array" ref="G1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an</v>
      </c>
      <c r="H11" s="1" t="str" cm="1">
        <f t="array" ref="H1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an</v>
      </c>
      <c r="I11" s="1" t="s">
        <v>69</v>
      </c>
      <c r="J11" s="1" t="s">
        <v>69</v>
      </c>
      <c r="K11" s="1" t="s">
        <v>42</v>
      </c>
      <c r="L11" s="1" t="s">
        <v>17</v>
      </c>
      <c r="M11" s="68" t="s">
        <v>72</v>
      </c>
    </row>
    <row r="12" spans="1:13" ht="29.25">
      <c r="A12" s="67">
        <v>12</v>
      </c>
      <c r="B12" s="3" t="s">
        <v>70</v>
      </c>
      <c r="C12" s="3" t="s">
        <v>74</v>
      </c>
      <c r="D12" s="1" t="s">
        <v>76</v>
      </c>
      <c r="E12" s="1" t="s">
        <v>77</v>
      </c>
      <c r="F12" s="99" t="str" cm="1">
        <f t="array" ref="F1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at̚</v>
      </c>
      <c r="G12" s="1" t="str" cm="1">
        <f t="array" ref="G1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at</v>
      </c>
      <c r="H12" s="1" t="str" cm="1">
        <f t="array" ref="H1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at</v>
      </c>
      <c r="I12" s="1" t="s">
        <v>77</v>
      </c>
      <c r="J12" s="1" t="s">
        <v>77</v>
      </c>
      <c r="K12" s="1" t="s">
        <v>42</v>
      </c>
      <c r="L12" s="1" t="s">
        <v>23</v>
      </c>
      <c r="M12" s="68" t="s">
        <v>78</v>
      </c>
    </row>
    <row r="13" spans="1:13" ht="29.25">
      <c r="A13" s="67">
        <v>13</v>
      </c>
      <c r="B13" s="3" t="s">
        <v>82</v>
      </c>
      <c r="C13" s="3" t="s">
        <v>80</v>
      </c>
      <c r="D13" s="1" t="s">
        <v>83</v>
      </c>
      <c r="E13" s="1" t="s">
        <v>84</v>
      </c>
      <c r="F13" s="99" t="str" cm="1">
        <f t="array" ref="F1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ɔŋ</v>
      </c>
      <c r="G13" s="1" t="str" cm="1">
        <f t="array" ref="G1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ong</v>
      </c>
      <c r="H13" s="1" t="str" cm="1">
        <f t="array" ref="H1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ong</v>
      </c>
      <c r="I13" s="1" t="s">
        <v>84</v>
      </c>
      <c r="J13" s="1" t="s">
        <v>84</v>
      </c>
      <c r="K13" s="1" t="s">
        <v>48</v>
      </c>
      <c r="L13" s="1" t="s">
        <v>17</v>
      </c>
      <c r="M13" s="68" t="s">
        <v>85</v>
      </c>
    </row>
    <row r="14" spans="1:13" ht="29.25">
      <c r="A14" s="67">
        <v>14</v>
      </c>
      <c r="B14" s="3" t="s">
        <v>82</v>
      </c>
      <c r="C14" s="3" t="s">
        <v>87</v>
      </c>
      <c r="D14" s="1" t="s">
        <v>89</v>
      </c>
      <c r="E14" s="1" t="s">
        <v>90</v>
      </c>
      <c r="F14" s="99" t="str" cm="1">
        <f t="array" ref="F1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ɔk̚</v>
      </c>
      <c r="G14" s="1" t="str" cm="1">
        <f t="array" ref="G1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ok</v>
      </c>
      <c r="H14" s="1" t="str" cm="1">
        <f t="array" ref="H1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ok</v>
      </c>
      <c r="I14" s="1" t="s">
        <v>90</v>
      </c>
      <c r="J14" s="1" t="s">
        <v>90</v>
      </c>
      <c r="K14" s="1" t="s">
        <v>48</v>
      </c>
      <c r="L14" s="1" t="s">
        <v>23</v>
      </c>
      <c r="M14" s="68" t="s">
        <v>91</v>
      </c>
    </row>
    <row r="15" spans="1:13" ht="29.25">
      <c r="A15" s="67">
        <v>15</v>
      </c>
      <c r="B15" s="3" t="s">
        <v>95</v>
      </c>
      <c r="C15" s="3" t="s">
        <v>93</v>
      </c>
      <c r="D15" s="1" t="s">
        <v>96</v>
      </c>
      <c r="E15" s="1" t="s">
        <v>94</v>
      </c>
      <c r="F15" s="99" t="str" cm="1">
        <f t="array" ref="F1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uai</v>
      </c>
      <c r="G15" s="1" t="str" cm="1">
        <f t="array" ref="G1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uai</v>
      </c>
      <c r="H15" s="1" t="str" cm="1">
        <f t="array" ref="H1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uai</v>
      </c>
      <c r="I15" s="1" t="s">
        <v>94</v>
      </c>
      <c r="J15" s="1" t="s">
        <v>97</v>
      </c>
      <c r="K15" s="1" t="s">
        <v>99</v>
      </c>
      <c r="L15" s="1" t="s">
        <v>17</v>
      </c>
      <c r="M15" s="68" t="s">
        <v>98</v>
      </c>
    </row>
    <row r="16" spans="1:13" ht="39">
      <c r="A16" s="67">
        <v>16</v>
      </c>
      <c r="B16" s="3" t="s">
        <v>95</v>
      </c>
      <c r="C16" s="3" t="s">
        <v>512</v>
      </c>
      <c r="D16" s="1" t="s">
        <v>937</v>
      </c>
      <c r="E16" s="1" t="s">
        <v>101</v>
      </c>
      <c r="F16" s="99" t="str" cm="1">
        <f t="array" ref="F1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uaiʔ</v>
      </c>
      <c r="G16" s="1" t="str" cm="1">
        <f t="array" ref="G1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uaih</v>
      </c>
      <c r="H16" s="1" t="str" cm="1">
        <f t="array" ref="H1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uaih</v>
      </c>
      <c r="I16" s="1" t="s">
        <v>101</v>
      </c>
      <c r="J16" s="1" t="s">
        <v>102</v>
      </c>
      <c r="K16" s="1" t="s">
        <v>99</v>
      </c>
      <c r="L16" s="1" t="s">
        <v>23</v>
      </c>
      <c r="M16" s="68" t="s">
        <v>103</v>
      </c>
    </row>
    <row r="17" spans="1:13" ht="29.25">
      <c r="A17" s="67">
        <v>17</v>
      </c>
      <c r="B17" s="3" t="s">
        <v>107</v>
      </c>
      <c r="C17" s="3" t="s">
        <v>105</v>
      </c>
      <c r="D17" s="1" t="s">
        <v>108</v>
      </c>
      <c r="E17" s="1" t="s">
        <v>109</v>
      </c>
      <c r="F17" s="99" t="str" cm="1">
        <f t="array" ref="F1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ɪŋ</v>
      </c>
      <c r="G17" s="1" t="str" cm="1">
        <f t="array" ref="G1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ing</v>
      </c>
      <c r="H17" s="1" t="str" cm="1">
        <f t="array" ref="H1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ing</v>
      </c>
      <c r="I17" s="1" t="s">
        <v>109</v>
      </c>
      <c r="J17" s="1" t="s">
        <v>110</v>
      </c>
      <c r="K17" s="1" t="s">
        <v>54</v>
      </c>
      <c r="L17" s="1" t="s">
        <v>17</v>
      </c>
      <c r="M17" s="68" t="s">
        <v>111</v>
      </c>
    </row>
    <row r="18" spans="1:13" ht="29.25">
      <c r="A18" s="67">
        <v>18</v>
      </c>
      <c r="B18" s="3" t="s">
        <v>107</v>
      </c>
      <c r="C18" s="3" t="s">
        <v>113</v>
      </c>
      <c r="D18" s="1" t="s">
        <v>114</v>
      </c>
      <c r="E18" s="1" t="s">
        <v>115</v>
      </c>
      <c r="F18" s="99" t="str" cm="1">
        <f t="array" ref="F1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ɪk̚</v>
      </c>
      <c r="G18" s="1" t="str" cm="1">
        <f t="array" ref="G1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ik</v>
      </c>
      <c r="H18" s="1" t="str" cm="1">
        <f t="array" ref="H1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ik</v>
      </c>
      <c r="I18" s="1" t="s">
        <v>115</v>
      </c>
      <c r="J18" s="1" t="s">
        <v>116</v>
      </c>
      <c r="K18" s="1" t="s">
        <v>54</v>
      </c>
      <c r="L18" s="1" t="s">
        <v>23</v>
      </c>
      <c r="M18" s="68" t="s">
        <v>117</v>
      </c>
    </row>
    <row r="19" spans="1:13" ht="29.25">
      <c r="A19" s="67">
        <v>19</v>
      </c>
      <c r="B19" s="3" t="s">
        <v>121</v>
      </c>
      <c r="C19" s="3" t="s">
        <v>119</v>
      </c>
      <c r="D19" s="1" t="s">
        <v>122</v>
      </c>
      <c r="E19" s="1" t="s">
        <v>120</v>
      </c>
      <c r="F19" s="99" t="str" cm="1">
        <f t="array" ref="F1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uan</v>
      </c>
      <c r="G19" s="1" t="str" cm="1">
        <f t="array" ref="G1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uan</v>
      </c>
      <c r="H19" s="1" t="str" cm="1">
        <f t="array" ref="H1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uan</v>
      </c>
      <c r="I19" s="1" t="s">
        <v>120</v>
      </c>
      <c r="J19" s="1" t="s">
        <v>123</v>
      </c>
      <c r="K19" s="1" t="s">
        <v>62</v>
      </c>
      <c r="L19" s="1" t="s">
        <v>17</v>
      </c>
      <c r="M19" s="68" t="s">
        <v>124</v>
      </c>
    </row>
    <row r="20" spans="1:13" ht="29.25">
      <c r="A20" s="67">
        <v>20</v>
      </c>
      <c r="B20" s="3" t="s">
        <v>121</v>
      </c>
      <c r="C20" s="3" t="s">
        <v>126</v>
      </c>
      <c r="D20" s="1" t="s">
        <v>128</v>
      </c>
      <c r="E20" s="1" t="s">
        <v>129</v>
      </c>
      <c r="F20" s="99" t="str" cm="1">
        <f t="array" ref="F2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uat̚</v>
      </c>
      <c r="G20" s="1" t="str" cm="1">
        <f t="array" ref="G2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uat</v>
      </c>
      <c r="H20" s="1" t="str" cm="1">
        <f t="array" ref="H2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uat</v>
      </c>
      <c r="I20" s="1" t="s">
        <v>129</v>
      </c>
      <c r="J20" s="1" t="s">
        <v>130</v>
      </c>
      <c r="K20" s="1" t="s">
        <v>62</v>
      </c>
      <c r="L20" s="1" t="s">
        <v>23</v>
      </c>
      <c r="M20" s="68" t="s">
        <v>131</v>
      </c>
    </row>
    <row r="21" spans="1:13" ht="29.25">
      <c r="A21" s="67">
        <v>21</v>
      </c>
      <c r="B21" s="3" t="s">
        <v>135</v>
      </c>
      <c r="C21" s="3" t="s">
        <v>133</v>
      </c>
      <c r="D21" s="1" t="s">
        <v>938</v>
      </c>
      <c r="E21" s="1" t="s">
        <v>136</v>
      </c>
      <c r="F21" s="99" t="str" cm="1">
        <f t="array" ref="F2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</v>
      </c>
      <c r="G21" s="1" t="str" cm="1">
        <f t="array" ref="G2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oo</v>
      </c>
      <c r="H21" s="1" t="str" cm="1">
        <f t="array" ref="H2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oo</v>
      </c>
      <c r="I21" s="1" t="s">
        <v>136</v>
      </c>
      <c r="J21" s="1" t="s">
        <v>137</v>
      </c>
      <c r="K21" s="1" t="s">
        <v>67</v>
      </c>
      <c r="L21" s="1" t="s">
        <v>17</v>
      </c>
      <c r="M21" s="68" t="s">
        <v>138</v>
      </c>
    </row>
    <row r="22" spans="1:13" ht="29.25">
      <c r="A22" s="67">
        <v>23</v>
      </c>
      <c r="B22" s="3" t="s">
        <v>142</v>
      </c>
      <c r="C22" s="3" t="s">
        <v>140</v>
      </c>
      <c r="D22" s="1" t="s">
        <v>143</v>
      </c>
      <c r="E22" s="1" t="s">
        <v>141</v>
      </c>
      <c r="F22" s="99" t="str" cm="1">
        <f t="array" ref="F2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ɪaʊ</v>
      </c>
      <c r="G22" s="1" t="str" cm="1">
        <f t="array" ref="G2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iao</v>
      </c>
      <c r="H22" s="1" t="str" cm="1">
        <f t="array" ref="H2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iau</v>
      </c>
      <c r="I22" s="1" t="s">
        <v>141</v>
      </c>
      <c r="J22" s="1" t="s">
        <v>141</v>
      </c>
      <c r="K22" s="1" t="s">
        <v>73</v>
      </c>
      <c r="L22" s="1" t="s">
        <v>17</v>
      </c>
      <c r="M22" s="68" t="s">
        <v>145</v>
      </c>
    </row>
    <row r="23" spans="1:13" ht="29.25">
      <c r="A23" s="67">
        <v>24</v>
      </c>
      <c r="B23" s="3" t="s">
        <v>142</v>
      </c>
      <c r="C23" s="5" t="s">
        <v>147</v>
      </c>
      <c r="D23" s="1" t="s">
        <v>939</v>
      </c>
      <c r="E23" s="1" t="s">
        <v>148</v>
      </c>
      <c r="F23" s="99" t="str" cm="1">
        <f t="array" ref="F2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ɪaʊʔ</v>
      </c>
      <c r="G23" s="1" t="str" cm="1">
        <f t="array" ref="G2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iaoh</v>
      </c>
      <c r="H23" s="1" t="str" cm="1">
        <f t="array" ref="H2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iauh</v>
      </c>
      <c r="I23" s="1" t="s">
        <v>148</v>
      </c>
      <c r="J23" s="1" t="s">
        <v>148</v>
      </c>
      <c r="K23" s="1" t="s">
        <v>73</v>
      </c>
      <c r="L23" s="1" t="s">
        <v>23</v>
      </c>
      <c r="M23" s="68" t="s">
        <v>150</v>
      </c>
    </row>
    <row r="24" spans="1:13" ht="29.25">
      <c r="A24" s="67">
        <v>25</v>
      </c>
      <c r="B24" s="3" t="s">
        <v>154</v>
      </c>
      <c r="C24" s="3" t="s">
        <v>152</v>
      </c>
      <c r="D24" s="1" t="s">
        <v>155</v>
      </c>
      <c r="E24" s="1" t="s">
        <v>153</v>
      </c>
      <c r="F24" s="99" t="str" cm="1">
        <f t="array" ref="F2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e</v>
      </c>
      <c r="G24" s="1" t="str" cm="1">
        <f t="array" ref="G2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e</v>
      </c>
      <c r="H24" s="1" t="str" cm="1">
        <f t="array" ref="H2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e</v>
      </c>
      <c r="I24" s="1" t="s">
        <v>60</v>
      </c>
      <c r="J24" s="1" t="s">
        <v>60</v>
      </c>
      <c r="K24" s="1" t="s">
        <v>79</v>
      </c>
      <c r="L24" s="1" t="s">
        <v>17</v>
      </c>
      <c r="M24" s="68" t="s">
        <v>156</v>
      </c>
    </row>
    <row r="25" spans="1:13" ht="29.25">
      <c r="A25" s="67">
        <v>27</v>
      </c>
      <c r="B25" s="3" t="s">
        <v>160</v>
      </c>
      <c r="C25" s="3" t="s">
        <v>158</v>
      </c>
      <c r="D25" s="1" t="s">
        <v>161</v>
      </c>
      <c r="E25" s="1" t="s">
        <v>162</v>
      </c>
      <c r="F25" s="99" t="str" cm="1">
        <f t="array" ref="F2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ɪɔŋ</v>
      </c>
      <c r="G25" s="1" t="str" cm="1">
        <f t="array" ref="G2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iong</v>
      </c>
      <c r="H25" s="1" t="str" cm="1">
        <f t="array" ref="H2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iong</v>
      </c>
      <c r="I25" s="1" t="s">
        <v>162</v>
      </c>
      <c r="J25" s="1" t="s">
        <v>162</v>
      </c>
      <c r="K25" s="1" t="s">
        <v>86</v>
      </c>
      <c r="L25" s="1" t="s">
        <v>17</v>
      </c>
      <c r="M25" s="68" t="s">
        <v>163</v>
      </c>
    </row>
    <row r="26" spans="1:13" ht="29.25">
      <c r="A26" s="67">
        <v>28</v>
      </c>
      <c r="B26" s="3" t="s">
        <v>160</v>
      </c>
      <c r="C26" s="3" t="s">
        <v>165</v>
      </c>
      <c r="D26" s="1" t="s">
        <v>166</v>
      </c>
      <c r="E26" s="1" t="s">
        <v>167</v>
      </c>
      <c r="F26" s="99" t="str" cm="1">
        <f t="array" ref="F2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ɪɔk̚</v>
      </c>
      <c r="G26" s="1" t="str" cm="1">
        <f t="array" ref="G2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iok</v>
      </c>
      <c r="H26" s="1" t="str" cm="1">
        <f t="array" ref="H2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iok</v>
      </c>
      <c r="I26" s="1" t="s">
        <v>921</v>
      </c>
      <c r="J26" s="1" t="s">
        <v>167</v>
      </c>
      <c r="K26" s="1" t="s">
        <v>86</v>
      </c>
      <c r="L26" s="1" t="s">
        <v>23</v>
      </c>
      <c r="M26" s="68" t="s">
        <v>168</v>
      </c>
    </row>
    <row r="27" spans="1:13" ht="29.25">
      <c r="A27" s="67">
        <v>29</v>
      </c>
      <c r="B27" s="3" t="s">
        <v>172</v>
      </c>
      <c r="C27" s="3" t="s">
        <v>170</v>
      </c>
      <c r="D27" s="1" t="s">
        <v>173</v>
      </c>
      <c r="E27" s="1" t="s">
        <v>171</v>
      </c>
      <c r="F27" s="99" t="str" cm="1">
        <f t="array" ref="F2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o</v>
      </c>
      <c r="G27" s="1" t="str" cm="1">
        <f t="array" ref="G2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o</v>
      </c>
      <c r="H27" s="1" t="str" cm="1">
        <f t="array" ref="H2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</v>
      </c>
      <c r="I27" s="1" t="s">
        <v>174</v>
      </c>
      <c r="J27" s="1" t="s">
        <v>171</v>
      </c>
      <c r="K27" s="1" t="s">
        <v>92</v>
      </c>
      <c r="L27" s="1" t="s">
        <v>17</v>
      </c>
      <c r="M27" s="68" t="s">
        <v>175</v>
      </c>
    </row>
    <row r="28" spans="1:13" ht="29.25">
      <c r="A28" s="67">
        <v>30</v>
      </c>
      <c r="B28" s="3" t="s">
        <v>172</v>
      </c>
      <c r="C28" s="4" t="s">
        <v>177</v>
      </c>
      <c r="D28" s="1" t="s">
        <v>940</v>
      </c>
      <c r="E28" s="1" t="s">
        <v>178</v>
      </c>
      <c r="F28" s="99" t="str" cm="1">
        <f t="array" ref="F2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oʔ</v>
      </c>
      <c r="G28" s="1" t="str" cm="1">
        <f t="array" ref="G2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oh</v>
      </c>
      <c r="H28" s="1" t="str" cm="1">
        <f t="array" ref="H2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oh</v>
      </c>
      <c r="I28" s="1" t="s">
        <v>179</v>
      </c>
      <c r="J28" s="1" t="s">
        <v>178</v>
      </c>
      <c r="K28" s="1" t="s">
        <v>92</v>
      </c>
      <c r="L28" s="1" t="s">
        <v>23</v>
      </c>
      <c r="M28" s="68" t="s">
        <v>180</v>
      </c>
    </row>
    <row r="29" spans="1:13" ht="29.25">
      <c r="A29" s="67">
        <v>31</v>
      </c>
      <c r="B29" s="3" t="s">
        <v>184</v>
      </c>
      <c r="C29" s="3" t="s">
        <v>182</v>
      </c>
      <c r="D29" s="1" t="s">
        <v>185</v>
      </c>
      <c r="E29" s="1" t="s">
        <v>183</v>
      </c>
      <c r="F29" s="99" t="str" cm="1">
        <f t="array" ref="F2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aɪ</v>
      </c>
      <c r="G29" s="1" t="str" cm="1">
        <f t="array" ref="G2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ai</v>
      </c>
      <c r="H29" s="1" t="str" cm="1">
        <f t="array" ref="H2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ai</v>
      </c>
      <c r="I29" s="1" t="s">
        <v>183</v>
      </c>
      <c r="J29" s="1" t="s">
        <v>183</v>
      </c>
      <c r="K29" s="1" t="s">
        <v>100</v>
      </c>
      <c r="L29" s="1" t="s">
        <v>17</v>
      </c>
      <c r="M29" s="68" t="s">
        <v>186</v>
      </c>
    </row>
    <row r="30" spans="1:13" ht="29.25">
      <c r="A30" s="67">
        <v>33</v>
      </c>
      <c r="B30" s="3" t="s">
        <v>190</v>
      </c>
      <c r="C30" s="3" t="s">
        <v>188</v>
      </c>
      <c r="D30" s="1" t="s">
        <v>191</v>
      </c>
      <c r="E30" s="1" t="s">
        <v>189</v>
      </c>
      <c r="F30" s="99" t="str" cm="1">
        <f t="array" ref="F3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in</v>
      </c>
      <c r="G30" s="1" t="str" cm="1">
        <f t="array" ref="G3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in</v>
      </c>
      <c r="H30" s="1" t="str" cm="1">
        <f t="array" ref="H3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in</v>
      </c>
      <c r="I30" s="1" t="s">
        <v>189</v>
      </c>
      <c r="J30" s="1" t="s">
        <v>189</v>
      </c>
      <c r="K30" s="1" t="s">
        <v>104</v>
      </c>
      <c r="L30" s="1" t="s">
        <v>17</v>
      </c>
      <c r="M30" s="68" t="s">
        <v>192</v>
      </c>
    </row>
    <row r="31" spans="1:13" ht="29.25">
      <c r="A31" s="67">
        <v>34</v>
      </c>
      <c r="B31" s="3" t="s">
        <v>190</v>
      </c>
      <c r="C31" s="3" t="s">
        <v>194</v>
      </c>
      <c r="D31" s="1" t="s">
        <v>196</v>
      </c>
      <c r="E31" s="1" t="s">
        <v>197</v>
      </c>
      <c r="F31" s="99" t="str" cm="1">
        <f t="array" ref="F3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it̚</v>
      </c>
      <c r="G31" s="1" t="str" cm="1">
        <f t="array" ref="G3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it</v>
      </c>
      <c r="H31" s="1" t="str" cm="1">
        <f t="array" ref="H3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it</v>
      </c>
      <c r="I31" s="1" t="s">
        <v>197</v>
      </c>
      <c r="J31" s="1" t="s">
        <v>197</v>
      </c>
      <c r="K31" s="1" t="s">
        <v>104</v>
      </c>
      <c r="L31" s="1" t="s">
        <v>23</v>
      </c>
      <c r="M31" s="68" t="s">
        <v>198</v>
      </c>
    </row>
    <row r="32" spans="1:13" ht="29.25">
      <c r="A32" s="67">
        <v>35</v>
      </c>
      <c r="B32" s="5" t="s">
        <v>202</v>
      </c>
      <c r="C32" s="5" t="s">
        <v>200</v>
      </c>
      <c r="D32" s="1" t="s">
        <v>941</v>
      </c>
      <c r="E32" s="1" t="s">
        <v>203</v>
      </c>
      <c r="F32" s="99" t="str" cm="1">
        <f t="array" ref="F3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ɪaŋ</v>
      </c>
      <c r="G32" s="1" t="str" cm="1">
        <f t="array" ref="G3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iang</v>
      </c>
      <c r="H32" s="1" t="str" cm="1">
        <f t="array" ref="H3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iang</v>
      </c>
      <c r="I32" s="1" t="s">
        <v>203</v>
      </c>
      <c r="J32" s="1" t="s">
        <v>203</v>
      </c>
      <c r="K32" s="1" t="s">
        <v>112</v>
      </c>
      <c r="L32" s="1" t="s">
        <v>17</v>
      </c>
      <c r="M32" s="68" t="s">
        <v>204</v>
      </c>
    </row>
    <row r="33" spans="1:13" ht="29.25">
      <c r="A33" s="67">
        <v>36</v>
      </c>
      <c r="B33" s="5" t="s">
        <v>202</v>
      </c>
      <c r="C33" s="4" t="s">
        <v>206</v>
      </c>
      <c r="D33" s="1" t="s">
        <v>942</v>
      </c>
      <c r="E33" s="1" t="s">
        <v>207</v>
      </c>
      <c r="F33" s="99" t="str" cm="1">
        <f t="array" ref="F3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ɪak̚</v>
      </c>
      <c r="G33" s="1" t="str" cm="1">
        <f t="array" ref="G3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iak</v>
      </c>
      <c r="H33" s="1" t="str" cm="1">
        <f t="array" ref="H3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iak</v>
      </c>
      <c r="I33" s="1" t="s">
        <v>207</v>
      </c>
      <c r="J33" s="1" t="s">
        <v>207</v>
      </c>
      <c r="K33" s="1" t="s">
        <v>112</v>
      </c>
      <c r="L33" s="1" t="s">
        <v>23</v>
      </c>
      <c r="M33" s="68" t="s">
        <v>208</v>
      </c>
    </row>
    <row r="34" spans="1:13" ht="29.25">
      <c r="A34" s="67">
        <v>37</v>
      </c>
      <c r="B34" s="3" t="s">
        <v>212</v>
      </c>
      <c r="C34" s="3" t="s">
        <v>210</v>
      </c>
      <c r="D34" s="1" t="s">
        <v>213</v>
      </c>
      <c r="E34" s="1" t="s">
        <v>211</v>
      </c>
      <c r="F34" s="99" t="str" cm="1">
        <f t="array" ref="F3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am</v>
      </c>
      <c r="G34" s="1" t="str" cm="1">
        <f t="array" ref="G3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am</v>
      </c>
      <c r="H34" s="1" t="str" cm="1">
        <f t="array" ref="H3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am</v>
      </c>
      <c r="I34" s="1" t="s">
        <v>211</v>
      </c>
      <c r="J34" s="1" t="s">
        <v>211</v>
      </c>
      <c r="K34" s="1" t="s">
        <v>118</v>
      </c>
      <c r="L34" s="1" t="s">
        <v>17</v>
      </c>
      <c r="M34" s="68" t="s">
        <v>214</v>
      </c>
    </row>
    <row r="35" spans="1:13" ht="29.25">
      <c r="A35" s="67">
        <v>38</v>
      </c>
      <c r="B35" s="3" t="s">
        <v>212</v>
      </c>
      <c r="C35" s="3" t="s">
        <v>216</v>
      </c>
      <c r="D35" s="1" t="s">
        <v>218</v>
      </c>
      <c r="E35" s="1" t="s">
        <v>219</v>
      </c>
      <c r="F35" s="99" t="str" cm="1">
        <f t="array" ref="F3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ap̚</v>
      </c>
      <c r="G35" s="1" t="str" cm="1">
        <f t="array" ref="G3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ap</v>
      </c>
      <c r="H35" s="1" t="str" cm="1">
        <f t="array" ref="H3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ap</v>
      </c>
      <c r="I35" s="1" t="s">
        <v>219</v>
      </c>
      <c r="J35" s="1" t="s">
        <v>219</v>
      </c>
      <c r="K35" s="1" t="s">
        <v>118</v>
      </c>
      <c r="L35" s="1" t="s">
        <v>23</v>
      </c>
      <c r="M35" s="68" t="s">
        <v>220</v>
      </c>
    </row>
    <row r="36" spans="1:13" ht="29.25">
      <c r="A36" s="67">
        <v>39</v>
      </c>
      <c r="B36" s="3" t="s">
        <v>224</v>
      </c>
      <c r="C36" s="3" t="s">
        <v>222</v>
      </c>
      <c r="D36" s="1" t="s">
        <v>225</v>
      </c>
      <c r="E36" s="1" t="s">
        <v>223</v>
      </c>
      <c r="F36" s="99" t="str" cm="1">
        <f t="array" ref="F3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</v>
      </c>
      <c r="G36" s="1" t="str" cm="1">
        <f t="array" ref="G3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</v>
      </c>
      <c r="H36" s="1" t="str" cm="1">
        <f t="array" ref="H3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</v>
      </c>
      <c r="I36" s="1" t="s">
        <v>223</v>
      </c>
      <c r="J36" s="1" t="s">
        <v>226</v>
      </c>
      <c r="K36" s="1" t="s">
        <v>125</v>
      </c>
      <c r="L36" s="1" t="s">
        <v>17</v>
      </c>
      <c r="M36" s="68" t="s">
        <v>227</v>
      </c>
    </row>
    <row r="37" spans="1:13" ht="29.25">
      <c r="A37" s="67">
        <v>40</v>
      </c>
      <c r="B37" s="3" t="s">
        <v>224</v>
      </c>
      <c r="C37" s="3" t="s">
        <v>229</v>
      </c>
      <c r="D37" s="1" t="s">
        <v>943</v>
      </c>
      <c r="E37" s="1" t="s">
        <v>230</v>
      </c>
      <c r="F37" s="99" t="str" cm="1">
        <f t="array" ref="F3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uaʔ</v>
      </c>
      <c r="G37" s="1" t="str" cm="1">
        <f t="array" ref="G3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uah</v>
      </c>
      <c r="H37" s="1" t="str" cm="1">
        <f t="array" ref="H3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uah</v>
      </c>
      <c r="I37" s="1" t="s">
        <v>230</v>
      </c>
      <c r="J37" s="1" t="s">
        <v>231</v>
      </c>
      <c r="K37" s="1" t="s">
        <v>125</v>
      </c>
      <c r="L37" s="1" t="s">
        <v>23</v>
      </c>
      <c r="M37" s="68" t="s">
        <v>232</v>
      </c>
    </row>
    <row r="38" spans="1:13" ht="29.25">
      <c r="A38" s="67">
        <v>41</v>
      </c>
      <c r="B38" s="3" t="s">
        <v>236</v>
      </c>
      <c r="C38" s="3" t="s">
        <v>234</v>
      </c>
      <c r="D38" s="1" t="s">
        <v>944</v>
      </c>
      <c r="E38" s="1" t="s">
        <v>237</v>
      </c>
      <c r="F38" s="99" t="str" cm="1">
        <f t="array" ref="F3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aŋ</v>
      </c>
      <c r="G38" s="1" t="str" cm="1">
        <f t="array" ref="G3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ang</v>
      </c>
      <c r="H38" s="1" t="str" cm="1">
        <f t="array" ref="H3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ang</v>
      </c>
      <c r="I38" s="1" t="s">
        <v>237</v>
      </c>
      <c r="J38" s="1" t="s">
        <v>237</v>
      </c>
      <c r="K38" s="1" t="s">
        <v>132</v>
      </c>
      <c r="L38" s="1" t="s">
        <v>17</v>
      </c>
      <c r="M38" s="68" t="s">
        <v>238</v>
      </c>
    </row>
    <row r="39" spans="1:13" ht="29.25">
      <c r="A39" s="67">
        <v>42</v>
      </c>
      <c r="B39" s="3" t="s">
        <v>236</v>
      </c>
      <c r="C39" s="3" t="s">
        <v>240</v>
      </c>
      <c r="D39" s="1" t="s">
        <v>242</v>
      </c>
      <c r="E39" s="1" t="s">
        <v>243</v>
      </c>
      <c r="F39" s="99" t="str" cm="1">
        <f t="array" ref="F3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ak̚</v>
      </c>
      <c r="G39" s="1" t="str" cm="1">
        <f t="array" ref="G3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ak</v>
      </c>
      <c r="H39" s="1" t="str" cm="1">
        <f t="array" ref="H3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ak</v>
      </c>
      <c r="I39" s="1" t="s">
        <v>243</v>
      </c>
      <c r="J39" s="1" t="s">
        <v>243</v>
      </c>
      <c r="K39" s="1" t="s">
        <v>132</v>
      </c>
      <c r="L39" s="1" t="s">
        <v>23</v>
      </c>
      <c r="M39" s="68" t="s">
        <v>244</v>
      </c>
    </row>
    <row r="40" spans="1:13" ht="29.25">
      <c r="A40" s="67">
        <v>43</v>
      </c>
      <c r="B40" s="3" t="s">
        <v>248</v>
      </c>
      <c r="C40" s="3" t="s">
        <v>246</v>
      </c>
      <c r="D40" s="1" t="s">
        <v>249</v>
      </c>
      <c r="E40" s="1" t="s">
        <v>247</v>
      </c>
      <c r="F40" s="99" t="str" cm="1">
        <f t="array" ref="F4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iam</v>
      </c>
      <c r="G40" s="1" t="str" cm="1">
        <f t="array" ref="G4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iam</v>
      </c>
      <c r="H40" s="1" t="str" cm="1">
        <f t="array" ref="H4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iam</v>
      </c>
      <c r="I40" s="1" t="s">
        <v>247</v>
      </c>
      <c r="J40" s="1" t="s">
        <v>247</v>
      </c>
      <c r="K40" s="1" t="s">
        <v>251</v>
      </c>
      <c r="L40" s="1" t="s">
        <v>17</v>
      </c>
      <c r="M40" s="68" t="s">
        <v>250</v>
      </c>
    </row>
    <row r="41" spans="1:13" ht="29.25">
      <c r="A41" s="67">
        <v>44</v>
      </c>
      <c r="B41" s="3" t="s">
        <v>248</v>
      </c>
      <c r="C41" s="3" t="s">
        <v>253</v>
      </c>
      <c r="D41" s="1" t="s">
        <v>255</v>
      </c>
      <c r="E41" s="1" t="s">
        <v>256</v>
      </c>
      <c r="F41" s="99" t="str" cm="1">
        <f t="array" ref="F4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iap̚</v>
      </c>
      <c r="G41" s="1" t="str" cm="1">
        <f t="array" ref="G4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iap</v>
      </c>
      <c r="H41" s="1" t="str" cm="1">
        <f t="array" ref="H4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iap</v>
      </c>
      <c r="I41" s="1" t="s">
        <v>256</v>
      </c>
      <c r="J41" s="1" t="s">
        <v>256</v>
      </c>
      <c r="K41" s="1" t="s">
        <v>251</v>
      </c>
      <c r="L41" s="1" t="s">
        <v>23</v>
      </c>
      <c r="M41" s="68" t="s">
        <v>257</v>
      </c>
    </row>
    <row r="42" spans="1:13" ht="29.25">
      <c r="A42" s="67">
        <v>45</v>
      </c>
      <c r="B42" s="3" t="s">
        <v>261</v>
      </c>
      <c r="C42" s="3" t="s">
        <v>259</v>
      </c>
      <c r="D42" s="1" t="s">
        <v>262</v>
      </c>
      <c r="E42" s="1" t="s">
        <v>260</v>
      </c>
      <c r="F42" s="99" t="str" cm="1">
        <f t="array" ref="F4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aʊ</v>
      </c>
      <c r="G42" s="1" t="str" cm="1">
        <f t="array" ref="G4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ao</v>
      </c>
      <c r="H42" s="1" t="str" cm="1">
        <f t="array" ref="H4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au</v>
      </c>
      <c r="I42" s="1" t="s">
        <v>260</v>
      </c>
      <c r="J42" s="1" t="s">
        <v>260</v>
      </c>
      <c r="K42" s="1" t="s">
        <v>139</v>
      </c>
      <c r="L42" s="1" t="s">
        <v>17</v>
      </c>
      <c r="M42" s="68" t="s">
        <v>264</v>
      </c>
    </row>
    <row r="43" spans="1:13" ht="29.25">
      <c r="A43" s="67">
        <v>46</v>
      </c>
      <c r="B43" s="3" t="s">
        <v>261</v>
      </c>
      <c r="C43" s="6" t="s">
        <v>266</v>
      </c>
      <c r="D43" s="1" t="s">
        <v>945</v>
      </c>
      <c r="E43" s="1" t="s">
        <v>267</v>
      </c>
      <c r="F43" s="99" t="str" cm="1">
        <f t="array" ref="F4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aʊʔ</v>
      </c>
      <c r="G43" s="1" t="str" cm="1">
        <f t="array" ref="G4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aoh</v>
      </c>
      <c r="H43" s="1" t="str" cm="1">
        <f t="array" ref="H4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auh</v>
      </c>
      <c r="I43" s="1" t="s">
        <v>267</v>
      </c>
      <c r="J43" s="1" t="s">
        <v>267</v>
      </c>
      <c r="K43" s="1" t="s">
        <v>139</v>
      </c>
      <c r="L43" s="1" t="s">
        <v>23</v>
      </c>
      <c r="M43" s="68" t="s">
        <v>269</v>
      </c>
    </row>
    <row r="44" spans="1:13" ht="29.25">
      <c r="A44" s="67">
        <v>47</v>
      </c>
      <c r="B44" s="4" t="s">
        <v>273</v>
      </c>
      <c r="C44" s="3" t="s">
        <v>271</v>
      </c>
      <c r="D44" s="1" t="s">
        <v>274</v>
      </c>
      <c r="E44" s="1" t="s">
        <v>272</v>
      </c>
      <c r="F44" s="99" t="str" cm="1">
        <f t="array" ref="F4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</v>
      </c>
      <c r="G44" s="1" t="str" cm="1">
        <f t="array" ref="G4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</v>
      </c>
      <c r="H44" s="1" t="str" cm="1">
        <f t="array" ref="H4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</v>
      </c>
      <c r="I44" s="1" t="s">
        <v>272</v>
      </c>
      <c r="J44" s="1" t="s">
        <v>272</v>
      </c>
      <c r="K44" s="1" t="s">
        <v>146</v>
      </c>
      <c r="L44" s="1" t="s">
        <v>17</v>
      </c>
      <c r="M44" s="68" t="s">
        <v>275</v>
      </c>
    </row>
    <row r="45" spans="1:13" ht="29.25">
      <c r="A45" s="67">
        <v>48</v>
      </c>
      <c r="B45" s="4" t="s">
        <v>273</v>
      </c>
      <c r="C45" s="3" t="s">
        <v>277</v>
      </c>
      <c r="D45" s="1" t="s">
        <v>946</v>
      </c>
      <c r="E45" s="1" t="s">
        <v>278</v>
      </c>
      <c r="F45" s="99" t="str" cm="1">
        <f t="array" ref="F4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ɪaʔ</v>
      </c>
      <c r="G45" s="1" t="str" cm="1">
        <f t="array" ref="G4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iah</v>
      </c>
      <c r="H45" s="1" t="str" cm="1">
        <f t="array" ref="H4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iah</v>
      </c>
      <c r="I45" s="1" t="s">
        <v>278</v>
      </c>
      <c r="J45" s="1" t="s">
        <v>278</v>
      </c>
      <c r="K45" s="1" t="s">
        <v>146</v>
      </c>
      <c r="L45" s="1" t="s">
        <v>23</v>
      </c>
      <c r="M45" s="68" t="s">
        <v>279</v>
      </c>
    </row>
    <row r="46" spans="1:13" ht="29.25">
      <c r="A46" s="67">
        <v>49</v>
      </c>
      <c r="B46" s="3" t="s">
        <v>283</v>
      </c>
      <c r="C46" s="3" t="s">
        <v>281</v>
      </c>
      <c r="D46" s="1" t="s">
        <v>284</v>
      </c>
      <c r="E46" s="1" t="s">
        <v>285</v>
      </c>
      <c r="F46" s="99" t="str" cm="1">
        <f t="array" ref="F4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ue</v>
      </c>
      <c r="G46" s="1" t="str" cm="1">
        <f t="array" ref="G4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ue</v>
      </c>
      <c r="H46" s="1" t="str" cm="1">
        <f t="array" ref="H4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ue</v>
      </c>
      <c r="I46" s="1" t="s">
        <v>285</v>
      </c>
      <c r="J46" s="1" t="s">
        <v>286</v>
      </c>
      <c r="K46" s="1" t="s">
        <v>151</v>
      </c>
      <c r="L46" s="1" t="s">
        <v>17</v>
      </c>
      <c r="M46" s="68" t="s">
        <v>287</v>
      </c>
    </row>
    <row r="47" spans="1:13" ht="29.25">
      <c r="A47" s="67">
        <v>50</v>
      </c>
      <c r="B47" s="3" t="s">
        <v>283</v>
      </c>
      <c r="C47" s="4" t="s">
        <v>289</v>
      </c>
      <c r="D47" s="1" t="s">
        <v>947</v>
      </c>
      <c r="E47" s="1" t="s">
        <v>290</v>
      </c>
      <c r="F47" s="99" t="str" cm="1">
        <f t="array" ref="F4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ueʔ</v>
      </c>
      <c r="G47" s="1" t="str" cm="1">
        <f t="array" ref="G4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ueh</v>
      </c>
      <c r="H47" s="1" t="str" cm="1">
        <f t="array" ref="H4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ueh</v>
      </c>
      <c r="I47" s="1" t="s">
        <v>290</v>
      </c>
      <c r="J47" s="1" t="s">
        <v>291</v>
      </c>
      <c r="K47" s="1" t="s">
        <v>151</v>
      </c>
      <c r="L47" s="1" t="s">
        <v>23</v>
      </c>
      <c r="M47" s="68" t="s">
        <v>292</v>
      </c>
    </row>
    <row r="48" spans="1:13" ht="29.25">
      <c r="A48" s="67">
        <v>51</v>
      </c>
      <c r="B48" s="3" t="s">
        <v>295</v>
      </c>
      <c r="C48" s="3" t="s">
        <v>293</v>
      </c>
      <c r="D48" s="1" t="s">
        <v>296</v>
      </c>
      <c r="E48" s="1" t="s">
        <v>297</v>
      </c>
      <c r="F48" s="99" t="str" cm="1">
        <f t="array" ref="F4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ã</v>
      </c>
      <c r="G48" s="1" t="str" cm="1">
        <f t="array" ref="G4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na</v>
      </c>
      <c r="H48" s="1" t="str" cm="1">
        <f t="array" ref="H4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ann</v>
      </c>
      <c r="I48" s="1" t="s">
        <v>297</v>
      </c>
      <c r="J48" s="1" t="s">
        <v>298</v>
      </c>
      <c r="K48" s="1" t="s">
        <v>301</v>
      </c>
      <c r="L48" s="1" t="s">
        <v>17</v>
      </c>
      <c r="M48" s="68" t="s">
        <v>300</v>
      </c>
    </row>
    <row r="49" spans="1:13" ht="29.25">
      <c r="A49" s="67">
        <v>52</v>
      </c>
      <c r="B49" s="3" t="s">
        <v>295</v>
      </c>
      <c r="C49" s="9" t="s">
        <v>302</v>
      </c>
      <c r="D49" s="1" t="s">
        <v>948</v>
      </c>
      <c r="E49" s="1" t="s">
        <v>303</v>
      </c>
      <c r="F49" s="99" t="str" cm="1">
        <f t="array" ref="F4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ãʔ</v>
      </c>
      <c r="G49" s="1" t="str" cm="1">
        <f t="array" ref="G4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nah</v>
      </c>
      <c r="H49" s="1" t="str" cm="1">
        <f t="array" ref="H4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annh</v>
      </c>
      <c r="I49" s="1" t="s">
        <v>304</v>
      </c>
      <c r="J49" s="1" t="s">
        <v>926</v>
      </c>
      <c r="K49" s="1" t="s">
        <v>301</v>
      </c>
      <c r="L49" s="1" t="s">
        <v>23</v>
      </c>
      <c r="M49" s="68" t="s">
        <v>306</v>
      </c>
    </row>
    <row r="50" spans="1:13" ht="29.25">
      <c r="A50" s="67">
        <v>53</v>
      </c>
      <c r="B50" s="3" t="s">
        <v>309</v>
      </c>
      <c r="C50" s="3" t="s">
        <v>307</v>
      </c>
      <c r="D50" s="1" t="s">
        <v>310</v>
      </c>
      <c r="E50" s="1" t="s">
        <v>308</v>
      </c>
      <c r="F50" s="99" t="str" cm="1">
        <f t="array" ref="F5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</v>
      </c>
      <c r="G50" s="1" t="str" cm="1">
        <f t="array" ref="G5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</v>
      </c>
      <c r="H50" s="1" t="str" cm="1">
        <f t="array" ref="H5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</v>
      </c>
      <c r="I50" s="1" t="s">
        <v>308</v>
      </c>
      <c r="J50" s="1" t="s">
        <v>308</v>
      </c>
      <c r="K50" s="1" t="s">
        <v>157</v>
      </c>
      <c r="L50" s="1" t="s">
        <v>17</v>
      </c>
      <c r="M50" s="68" t="s">
        <v>311</v>
      </c>
    </row>
    <row r="51" spans="1:13" ht="29.25">
      <c r="A51" s="67">
        <v>54</v>
      </c>
      <c r="B51" s="3" t="s">
        <v>309</v>
      </c>
      <c r="C51" s="4" t="s">
        <v>312</v>
      </c>
      <c r="D51" s="1" t="s">
        <v>949</v>
      </c>
      <c r="E51" s="1" t="s">
        <v>313</v>
      </c>
      <c r="F51" s="99" t="str" cm="1">
        <f t="array" ref="F5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uʔ</v>
      </c>
      <c r="G51" s="1" t="str" cm="1">
        <f t="array" ref="G5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uh</v>
      </c>
      <c r="H51" s="1" t="str" cm="1">
        <f t="array" ref="H5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uh</v>
      </c>
      <c r="I51" s="1" t="s">
        <v>313</v>
      </c>
      <c r="J51" s="1" t="s">
        <v>313</v>
      </c>
      <c r="K51" s="1" t="s">
        <v>157</v>
      </c>
      <c r="L51" s="1" t="s">
        <v>23</v>
      </c>
      <c r="M51" s="68" t="s">
        <v>314</v>
      </c>
    </row>
    <row r="52" spans="1:13" ht="29.25">
      <c r="A52" s="67">
        <v>55</v>
      </c>
      <c r="B52" s="3" t="s">
        <v>317</v>
      </c>
      <c r="C52" s="3" t="s">
        <v>315</v>
      </c>
      <c r="D52" s="1" t="s">
        <v>318</v>
      </c>
      <c r="E52" s="1" t="s">
        <v>316</v>
      </c>
      <c r="F52" s="99" t="str" cm="1">
        <f t="array" ref="F5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</v>
      </c>
      <c r="G52" s="1" t="str" cm="1">
        <f t="array" ref="G5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</v>
      </c>
      <c r="H52" s="1" t="str" cm="1">
        <f t="array" ref="H5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</v>
      </c>
      <c r="I52" s="1" t="s">
        <v>316</v>
      </c>
      <c r="J52" s="1" t="s">
        <v>316</v>
      </c>
      <c r="K52" s="1" t="s">
        <v>164</v>
      </c>
      <c r="L52" s="1" t="s">
        <v>17</v>
      </c>
      <c r="M52" s="68" t="s">
        <v>319</v>
      </c>
    </row>
    <row r="53" spans="1:13" ht="29.25">
      <c r="A53" s="67">
        <v>56</v>
      </c>
      <c r="B53" s="3" t="s">
        <v>317</v>
      </c>
      <c r="C53" s="3" t="s">
        <v>320</v>
      </c>
      <c r="D53" s="1" t="s">
        <v>950</v>
      </c>
      <c r="E53" s="1" t="s">
        <v>321</v>
      </c>
      <c r="F53" s="99" t="str" cm="1">
        <f t="array" ref="F5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aʔ</v>
      </c>
      <c r="G53" s="1" t="str" cm="1">
        <f t="array" ref="G5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ah</v>
      </c>
      <c r="H53" s="1" t="str" cm="1">
        <f t="array" ref="H5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ah</v>
      </c>
      <c r="I53" s="1" t="s">
        <v>321</v>
      </c>
      <c r="J53" s="1" t="s">
        <v>321</v>
      </c>
      <c r="K53" s="1" t="s">
        <v>164</v>
      </c>
      <c r="L53" s="1" t="s">
        <v>23</v>
      </c>
      <c r="M53" s="68" t="s">
        <v>322</v>
      </c>
    </row>
    <row r="54" spans="1:13" ht="29.25">
      <c r="A54" s="67">
        <v>57</v>
      </c>
      <c r="B54" s="3" t="s">
        <v>325</v>
      </c>
      <c r="C54" s="3" t="s">
        <v>323</v>
      </c>
      <c r="D54" s="1" t="s">
        <v>326</v>
      </c>
      <c r="E54" s="1" t="s">
        <v>324</v>
      </c>
      <c r="F54" s="99" t="str" cm="1">
        <f t="array" ref="F5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</v>
      </c>
      <c r="G54" s="1" t="str" cm="1">
        <f t="array" ref="G5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</v>
      </c>
      <c r="H54" s="1" t="str" cm="1">
        <f t="array" ref="H5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</v>
      </c>
      <c r="I54" s="1" t="s">
        <v>324</v>
      </c>
      <c r="J54" s="1" t="s">
        <v>324</v>
      </c>
      <c r="K54" s="1" t="s">
        <v>169</v>
      </c>
      <c r="L54" s="1" t="s">
        <v>17</v>
      </c>
      <c r="M54" s="68" t="s">
        <v>327</v>
      </c>
    </row>
    <row r="55" spans="1:13" ht="29.25">
      <c r="A55" s="67">
        <v>58</v>
      </c>
      <c r="B55" s="3" t="s">
        <v>325</v>
      </c>
      <c r="C55" s="5" t="s">
        <v>328</v>
      </c>
      <c r="D55" s="1" t="s">
        <v>951</v>
      </c>
      <c r="E55" s="1" t="s">
        <v>329</v>
      </c>
      <c r="F55" s="99" t="str" cm="1">
        <f t="array" ref="F5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iʔ</v>
      </c>
      <c r="G55" s="1" t="str" cm="1">
        <f t="array" ref="G5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ih</v>
      </c>
      <c r="H55" s="1" t="str" cm="1">
        <f t="array" ref="H5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ih</v>
      </c>
      <c r="I55" s="1" t="s">
        <v>329</v>
      </c>
      <c r="J55" s="1" t="s">
        <v>329</v>
      </c>
      <c r="K55" s="1" t="s">
        <v>169</v>
      </c>
      <c r="L55" s="1" t="s">
        <v>23</v>
      </c>
      <c r="M55" s="68" t="s">
        <v>330</v>
      </c>
    </row>
    <row r="56" spans="1:13" ht="29.25">
      <c r="A56" s="67">
        <v>59</v>
      </c>
      <c r="B56" s="3" t="s">
        <v>333</v>
      </c>
      <c r="C56" s="3" t="s">
        <v>331</v>
      </c>
      <c r="D56" s="1" t="s">
        <v>334</v>
      </c>
      <c r="E56" s="1" t="s">
        <v>332</v>
      </c>
      <c r="F56" s="99" t="str" cm="1">
        <f t="array" ref="F5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iu</v>
      </c>
      <c r="G56" s="1" t="str" cm="1">
        <f t="array" ref="G5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iu</v>
      </c>
      <c r="H56" s="1" t="str" cm="1">
        <f t="array" ref="H5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iu</v>
      </c>
      <c r="I56" s="1" t="s">
        <v>332</v>
      </c>
      <c r="J56" s="1" t="s">
        <v>332</v>
      </c>
      <c r="K56" s="1" t="s">
        <v>176</v>
      </c>
      <c r="L56" s="1" t="s">
        <v>17</v>
      </c>
      <c r="M56" s="68" t="s">
        <v>335</v>
      </c>
    </row>
    <row r="57" spans="1:13" ht="29.25">
      <c r="A57" s="67">
        <v>61</v>
      </c>
      <c r="B57" s="8" t="s">
        <v>338</v>
      </c>
      <c r="C57" s="3" t="s">
        <v>336</v>
      </c>
      <c r="D57" s="1" t="s">
        <v>339</v>
      </c>
      <c r="E57" s="1" t="s">
        <v>340</v>
      </c>
      <c r="F57" s="99" t="str" cm="1">
        <f t="array" ref="F5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ẽ</v>
      </c>
      <c r="G57" s="1" t="str" cm="1">
        <f t="array" ref="G5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ne</v>
      </c>
      <c r="H57" s="1" t="str" cm="1">
        <f t="array" ref="H5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enn</v>
      </c>
      <c r="I57" s="1" t="s">
        <v>340</v>
      </c>
      <c r="J57" s="1" t="s">
        <v>341</v>
      </c>
      <c r="K57" s="1" t="s">
        <v>181</v>
      </c>
      <c r="L57" s="1" t="s">
        <v>17</v>
      </c>
      <c r="M57" s="68" t="s">
        <v>343</v>
      </c>
    </row>
    <row r="58" spans="1:13" ht="29.25">
      <c r="A58" s="67">
        <v>62</v>
      </c>
      <c r="B58" s="8" t="s">
        <v>338</v>
      </c>
      <c r="C58" s="10" t="s">
        <v>344</v>
      </c>
      <c r="D58" s="1" t="s">
        <v>952</v>
      </c>
      <c r="E58" s="1" t="s">
        <v>345</v>
      </c>
      <c r="F58" s="99" t="str" cm="1">
        <f t="array" ref="F5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/>
      </c>
      <c r="G58" s="1" t="str" cm="1">
        <f t="array" ref="G5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/>
      </c>
      <c r="H58" s="1" t="str" cm="1">
        <f t="array" ref="H5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/>
      </c>
      <c r="I58" s="1" t="s">
        <v>346</v>
      </c>
      <c r="J58" s="1" t="s">
        <v>927</v>
      </c>
      <c r="K58" s="1" t="s">
        <v>181</v>
      </c>
      <c r="L58" s="1" t="s">
        <v>23</v>
      </c>
      <c r="M58" s="68" t="s">
        <v>347</v>
      </c>
    </row>
    <row r="59" spans="1:13" ht="29.25">
      <c r="A59" s="67">
        <v>63</v>
      </c>
      <c r="B59" s="4" t="s">
        <v>349</v>
      </c>
      <c r="C59" s="5" t="s">
        <v>348</v>
      </c>
      <c r="D59" s="1" t="s">
        <v>350</v>
      </c>
      <c r="E59" s="1" t="s">
        <v>351</v>
      </c>
      <c r="F59" s="99" t="str" cm="1">
        <f t="array" ref="F5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ũĩ</v>
      </c>
      <c r="G59" s="1" t="str" cm="1">
        <f t="array" ref="G5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nui</v>
      </c>
      <c r="H59" s="1" t="str" cm="1">
        <f t="array" ref="H5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uinn</v>
      </c>
      <c r="I59" s="1" t="s">
        <v>351</v>
      </c>
      <c r="J59" s="1" t="s">
        <v>352</v>
      </c>
      <c r="K59" s="1" t="s">
        <v>355</v>
      </c>
      <c r="L59" s="1" t="s">
        <v>17</v>
      </c>
      <c r="M59" s="68" t="s">
        <v>354</v>
      </c>
    </row>
    <row r="60" spans="1:13" ht="29.25">
      <c r="A60" s="67">
        <v>65</v>
      </c>
      <c r="B60" s="5" t="s">
        <v>358</v>
      </c>
      <c r="C60" s="3" t="s">
        <v>356</v>
      </c>
      <c r="D60" s="1" t="s">
        <v>359</v>
      </c>
      <c r="E60" s="1" t="s">
        <v>357</v>
      </c>
      <c r="F60" s="99" t="str" cm="1">
        <f t="array" ref="F6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ɪo</v>
      </c>
      <c r="G60" s="1" t="str" cm="1">
        <f t="array" ref="G6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io</v>
      </c>
      <c r="H60" s="1" t="str" cm="1">
        <f t="array" ref="H6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io</v>
      </c>
      <c r="I60" s="1" t="s">
        <v>360</v>
      </c>
      <c r="J60" s="1" t="s">
        <v>357</v>
      </c>
      <c r="K60" s="1" t="s">
        <v>187</v>
      </c>
      <c r="L60" s="1" t="s">
        <v>17</v>
      </c>
      <c r="M60" s="68" t="s">
        <v>361</v>
      </c>
    </row>
    <row r="61" spans="1:13" ht="29.25">
      <c r="A61" s="67">
        <v>66</v>
      </c>
      <c r="B61" s="3" t="s">
        <v>358</v>
      </c>
      <c r="C61" s="4" t="s">
        <v>362</v>
      </c>
      <c r="D61" s="1" t="s">
        <v>953</v>
      </c>
      <c r="E61" s="1" t="s">
        <v>363</v>
      </c>
      <c r="F61" s="99" t="str" cm="1">
        <f t="array" ref="F6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ɪoʔ</v>
      </c>
      <c r="G61" s="1" t="str" cm="1">
        <f t="array" ref="G6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ioh</v>
      </c>
      <c r="H61" s="1" t="str" cm="1">
        <f t="array" ref="H6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ioh</v>
      </c>
      <c r="I61" s="1" t="s">
        <v>364</v>
      </c>
      <c r="J61" s="1" t="s">
        <v>363</v>
      </c>
      <c r="K61" s="1" t="s">
        <v>187</v>
      </c>
      <c r="L61" s="1" t="s">
        <v>23</v>
      </c>
      <c r="M61" s="68" t="s">
        <v>365</v>
      </c>
    </row>
    <row r="62" spans="1:13" ht="29.25">
      <c r="A62" s="67">
        <v>67</v>
      </c>
      <c r="B62" s="3" t="s">
        <v>368</v>
      </c>
      <c r="C62" s="3" t="s">
        <v>366</v>
      </c>
      <c r="D62" s="1" t="s">
        <v>369</v>
      </c>
      <c r="E62" s="1" t="s">
        <v>370</v>
      </c>
      <c r="F62" s="99" t="str" cm="1">
        <f t="array" ref="F6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ĩ</v>
      </c>
      <c r="G62" s="1" t="str" cm="1">
        <f t="array" ref="G6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ni</v>
      </c>
      <c r="H62" s="1" t="str" cm="1">
        <f t="array" ref="H6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inn</v>
      </c>
      <c r="I62" s="1" t="s">
        <v>370</v>
      </c>
      <c r="J62" s="1" t="s">
        <v>371</v>
      </c>
      <c r="K62" s="1" t="s">
        <v>193</v>
      </c>
      <c r="L62" s="1" t="s">
        <v>17</v>
      </c>
      <c r="M62" s="68" t="s">
        <v>373</v>
      </c>
    </row>
    <row r="63" spans="1:13" ht="29.25">
      <c r="A63" s="67">
        <v>68</v>
      </c>
      <c r="B63" s="3" t="s">
        <v>368</v>
      </c>
      <c r="C63" s="4" t="s">
        <v>374</v>
      </c>
      <c r="D63" s="1" t="s">
        <v>954</v>
      </c>
      <c r="E63" s="1" t="s">
        <v>375</v>
      </c>
      <c r="F63" s="99" t="str" cm="1">
        <f t="array" ref="F6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ĩʔ</v>
      </c>
      <c r="G63" s="1" t="str" cm="1">
        <f t="array" ref="G6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nih</v>
      </c>
      <c r="H63" s="1" t="str" cm="1">
        <f t="array" ref="H6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innh</v>
      </c>
      <c r="I63" s="1" t="s">
        <v>376</v>
      </c>
      <c r="J63" s="1" t="s">
        <v>928</v>
      </c>
      <c r="K63" s="1" t="s">
        <v>193</v>
      </c>
      <c r="L63" s="1" t="s">
        <v>23</v>
      </c>
      <c r="M63" s="68" t="s">
        <v>378</v>
      </c>
    </row>
    <row r="64" spans="1:13" ht="29.25">
      <c r="A64" s="67">
        <v>69</v>
      </c>
      <c r="B64" s="6" t="s">
        <v>381</v>
      </c>
      <c r="C64" s="7" t="s">
        <v>379</v>
      </c>
      <c r="D64" s="1" t="s">
        <v>382</v>
      </c>
      <c r="E64" s="1" t="s">
        <v>383</v>
      </c>
      <c r="F64" s="99" t="str" cm="1">
        <f t="array" ref="F6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ĩɔ̃</v>
      </c>
      <c r="G64" s="1" t="str" cm="1">
        <f t="array" ref="G6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nioo</v>
      </c>
      <c r="H64" s="1" t="str" cm="1">
        <f t="array" ref="H6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ionn</v>
      </c>
      <c r="I64" s="1" t="s">
        <v>386</v>
      </c>
      <c r="J64" s="1" t="s">
        <v>384</v>
      </c>
      <c r="K64" s="1" t="s">
        <v>199</v>
      </c>
      <c r="L64" s="1" t="s">
        <v>17</v>
      </c>
      <c r="M64" s="68" t="s">
        <v>387</v>
      </c>
    </row>
    <row r="65" spans="1:13" ht="29.25">
      <c r="A65" s="67">
        <v>71</v>
      </c>
      <c r="B65" s="3" t="s">
        <v>389</v>
      </c>
      <c r="C65" s="3" t="s">
        <v>388</v>
      </c>
      <c r="D65" s="1" t="s">
        <v>390</v>
      </c>
      <c r="E65" s="1" t="s">
        <v>391</v>
      </c>
      <c r="F65" s="99" t="str" cm="1">
        <f t="array" ref="F6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ĩã</v>
      </c>
      <c r="G65" s="1" t="str" cm="1">
        <f t="array" ref="G6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nia</v>
      </c>
      <c r="H65" s="1" t="str" cm="1">
        <f t="array" ref="H6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iann</v>
      </c>
      <c r="I65" s="1" t="s">
        <v>391</v>
      </c>
      <c r="J65" s="1" t="s">
        <v>393</v>
      </c>
      <c r="K65" s="1" t="s">
        <v>205</v>
      </c>
      <c r="L65" s="1" t="s">
        <v>17</v>
      </c>
      <c r="M65" s="68" t="s">
        <v>395</v>
      </c>
    </row>
    <row r="66" spans="1:13" ht="29.25">
      <c r="A66" s="67">
        <v>73</v>
      </c>
      <c r="B66" s="3" t="s">
        <v>397</v>
      </c>
      <c r="C66" s="3" t="s">
        <v>396</v>
      </c>
      <c r="D66" s="1" t="s">
        <v>398</v>
      </c>
      <c r="E66" s="1" t="s">
        <v>399</v>
      </c>
      <c r="F66" s="99" t="str" cm="1">
        <f t="array" ref="F6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ũã</v>
      </c>
      <c r="G66" s="1" t="str" cm="1">
        <f t="array" ref="G6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nua</v>
      </c>
      <c r="H66" s="1" t="str" cm="1">
        <f t="array" ref="H6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uann</v>
      </c>
      <c r="I66" s="1" t="s">
        <v>399</v>
      </c>
      <c r="J66" s="1" t="s">
        <v>400</v>
      </c>
      <c r="K66" s="1" t="s">
        <v>209</v>
      </c>
      <c r="L66" s="1" t="s">
        <v>17</v>
      </c>
      <c r="M66" s="68" t="s">
        <v>402</v>
      </c>
    </row>
    <row r="67" spans="1:13" ht="29.25">
      <c r="A67" s="67">
        <v>75</v>
      </c>
      <c r="B67" s="3" t="s">
        <v>405</v>
      </c>
      <c r="C67" s="3" t="s">
        <v>403</v>
      </c>
      <c r="D67" s="1" t="s">
        <v>406</v>
      </c>
      <c r="E67" s="1" t="s">
        <v>407</v>
      </c>
      <c r="F67" s="99" t="str" cm="1">
        <f t="array" ref="F6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ŋ̍</v>
      </c>
      <c r="G67" s="1" t="str" cm="1">
        <f t="array" ref="G6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ng</v>
      </c>
      <c r="H67" s="1" t="str" cm="1">
        <f t="array" ref="H6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ng</v>
      </c>
      <c r="I67" s="1" t="s">
        <v>407</v>
      </c>
      <c r="J67" s="1" t="s">
        <v>407</v>
      </c>
      <c r="K67" s="1" t="s">
        <v>215</v>
      </c>
      <c r="L67" s="1" t="s">
        <v>17</v>
      </c>
      <c r="M67" s="68" t="s">
        <v>408</v>
      </c>
    </row>
    <row r="68" spans="1:13" ht="29.25">
      <c r="A68" s="67">
        <v>77</v>
      </c>
      <c r="B68" s="3" t="s">
        <v>410</v>
      </c>
      <c r="C68" s="3" t="s">
        <v>409</v>
      </c>
      <c r="D68" s="1" t="s">
        <v>155</v>
      </c>
      <c r="E68" s="1" t="s">
        <v>60</v>
      </c>
      <c r="F68" s="99" t="str" cm="1">
        <f t="array" ref="F6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e</v>
      </c>
      <c r="G68" s="1" t="str" cm="1">
        <f t="array" ref="G6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e</v>
      </c>
      <c r="H68" s="1" t="str" cm="1">
        <f t="array" ref="H6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e</v>
      </c>
      <c r="I68" s="1" t="s">
        <v>60</v>
      </c>
      <c r="J68" s="1" t="s">
        <v>60</v>
      </c>
      <c r="K68" s="1" t="s">
        <v>221</v>
      </c>
      <c r="L68" s="1" t="s">
        <v>17</v>
      </c>
      <c r="M68" s="68" t="s">
        <v>411</v>
      </c>
    </row>
    <row r="69" spans="1:13" ht="29.25">
      <c r="A69" s="67">
        <v>78</v>
      </c>
      <c r="B69" s="3" t="s">
        <v>410</v>
      </c>
      <c r="C69" s="3" t="s">
        <v>412</v>
      </c>
      <c r="D69" s="1" t="s">
        <v>955</v>
      </c>
      <c r="E69" s="1" t="s">
        <v>65</v>
      </c>
      <c r="F69" s="99" t="str" cm="1">
        <f t="array" ref="F6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eʔ</v>
      </c>
      <c r="G69" s="1" t="str" cm="1">
        <f t="array" ref="G6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eh</v>
      </c>
      <c r="H69" s="1" t="str" cm="1">
        <f t="array" ref="H6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eh</v>
      </c>
      <c r="I69" s="1" t="s">
        <v>65</v>
      </c>
      <c r="J69" s="1" t="s">
        <v>65</v>
      </c>
      <c r="K69" s="1" t="s">
        <v>221</v>
      </c>
      <c r="L69" s="1" t="s">
        <v>23</v>
      </c>
      <c r="M69" s="68" t="s">
        <v>413</v>
      </c>
    </row>
    <row r="70" spans="1:13" ht="29.25">
      <c r="A70" s="67">
        <v>79</v>
      </c>
      <c r="B70" s="6" t="s">
        <v>415</v>
      </c>
      <c r="C70" s="6" t="s">
        <v>414</v>
      </c>
      <c r="D70" s="1" t="s">
        <v>416</v>
      </c>
      <c r="E70" s="1" t="s">
        <v>417</v>
      </c>
      <c r="F70" s="99" t="str" cm="1">
        <f t="array" ref="F7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ãĩ</v>
      </c>
      <c r="G70" s="1" t="str" cm="1">
        <f t="array" ref="G7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nai</v>
      </c>
      <c r="H70" s="1" t="str" cm="1">
        <f t="array" ref="H7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ainn</v>
      </c>
      <c r="I70" s="1" t="s">
        <v>417</v>
      </c>
      <c r="J70" s="1" t="s">
        <v>418</v>
      </c>
      <c r="K70" s="1" t="s">
        <v>228</v>
      </c>
      <c r="L70" s="1" t="s">
        <v>17</v>
      </c>
      <c r="M70" s="68" t="s">
        <v>420</v>
      </c>
    </row>
    <row r="71" spans="1:13" ht="29.25">
      <c r="A71" s="67">
        <v>81</v>
      </c>
      <c r="B71" s="11" t="s">
        <v>422</v>
      </c>
      <c r="C71" s="6" t="s">
        <v>421</v>
      </c>
      <c r="D71" s="1" t="s">
        <v>956</v>
      </c>
      <c r="E71" s="1" t="s">
        <v>933</v>
      </c>
      <c r="F71" s="99" t="str" cm="1">
        <f t="array" ref="F7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ɔ̃</v>
      </c>
      <c r="G71" s="1" t="str" cm="1">
        <f t="array" ref="G7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noo</v>
      </c>
      <c r="H71" s="1" t="str" cm="1">
        <f t="array" ref="H7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onn</v>
      </c>
      <c r="I71" s="1" t="s">
        <v>424</v>
      </c>
      <c r="J71" s="1" t="s">
        <v>426</v>
      </c>
      <c r="K71" s="1" t="s">
        <v>233</v>
      </c>
      <c r="L71" s="1" t="s">
        <v>17</v>
      </c>
      <c r="M71" s="68" t="s">
        <v>428</v>
      </c>
    </row>
    <row r="72" spans="1:13" ht="29.25">
      <c r="A72" s="67">
        <v>83</v>
      </c>
      <c r="B72" s="3" t="s">
        <v>429</v>
      </c>
      <c r="C72" s="3" t="s">
        <v>429</v>
      </c>
      <c r="D72" s="1" t="s">
        <v>431</v>
      </c>
      <c r="E72" s="1" t="s">
        <v>432</v>
      </c>
      <c r="F72" s="99" t="str" cm="1">
        <f t="array" ref="F7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m̩</v>
      </c>
      <c r="G72" s="1" t="str" cm="1">
        <f t="array" ref="G7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m</v>
      </c>
      <c r="H72" s="1" t="str" cm="1">
        <f t="array" ref="H7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m</v>
      </c>
      <c r="I72" s="1" t="s">
        <v>432</v>
      </c>
      <c r="J72" s="1" t="s">
        <v>432</v>
      </c>
      <c r="K72" s="1" t="s">
        <v>239</v>
      </c>
      <c r="L72" s="1" t="s">
        <v>17</v>
      </c>
      <c r="M72" s="68" t="s">
        <v>433</v>
      </c>
    </row>
    <row r="73" spans="1:13" ht="29.25">
      <c r="A73" s="67">
        <v>85</v>
      </c>
      <c r="B73" s="5" t="s">
        <v>436</v>
      </c>
      <c r="C73" s="6" t="s">
        <v>434</v>
      </c>
      <c r="D73" s="1" t="s">
        <v>957</v>
      </c>
      <c r="E73" s="1" t="s">
        <v>437</v>
      </c>
      <c r="F73" s="99" t="str" cm="1">
        <f t="array" ref="F7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uaŋ</v>
      </c>
      <c r="G73" s="1" t="str" cm="1">
        <f t="array" ref="G7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uang</v>
      </c>
      <c r="H73" s="1" t="str" cm="1">
        <f t="array" ref="H7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uang</v>
      </c>
      <c r="I73" s="1" t="s">
        <v>437</v>
      </c>
      <c r="J73" s="1" t="s">
        <v>438</v>
      </c>
      <c r="K73" s="1" t="s">
        <v>245</v>
      </c>
      <c r="L73" s="1" t="s">
        <v>17</v>
      </c>
      <c r="M73" s="68" t="s">
        <v>439</v>
      </c>
    </row>
    <row r="74" spans="1:13" ht="29.25">
      <c r="A74" s="67">
        <v>86</v>
      </c>
      <c r="B74" s="5" t="s">
        <v>436</v>
      </c>
      <c r="C74" s="6" t="s">
        <v>440</v>
      </c>
      <c r="D74" s="1" t="s">
        <v>442</v>
      </c>
      <c r="E74" s="1" t="s">
        <v>443</v>
      </c>
      <c r="F74" s="99" t="str" cm="1">
        <f t="array" ref="F7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uak̚</v>
      </c>
      <c r="G74" s="1" t="str" cm="1">
        <f t="array" ref="G7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uak</v>
      </c>
      <c r="H74" s="1" t="str" cm="1">
        <f t="array" ref="H7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uak</v>
      </c>
      <c r="I74" s="1" t="s">
        <v>443</v>
      </c>
      <c r="J74" s="1" t="s">
        <v>444</v>
      </c>
      <c r="K74" s="1" t="s">
        <v>245</v>
      </c>
      <c r="L74" s="1" t="s">
        <v>23</v>
      </c>
      <c r="M74" s="68" t="s">
        <v>445</v>
      </c>
    </row>
    <row r="75" spans="1:13" ht="29.25">
      <c r="A75" s="67">
        <v>87</v>
      </c>
      <c r="B75" s="7" t="s">
        <v>447</v>
      </c>
      <c r="C75" s="3" t="s">
        <v>446</v>
      </c>
      <c r="D75" s="1" t="s">
        <v>448</v>
      </c>
      <c r="E75" s="1" t="s">
        <v>449</v>
      </c>
      <c r="F75" s="99" t="str" cm="1">
        <f t="array" ref="F7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ũãĩ</v>
      </c>
      <c r="G75" s="1" t="str" cm="1">
        <f t="array" ref="G7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nuai</v>
      </c>
      <c r="H75" s="1" t="str" cm="1">
        <f t="array" ref="H7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uainn</v>
      </c>
      <c r="I75" s="1" t="s">
        <v>449</v>
      </c>
      <c r="J75" s="1" t="s">
        <v>450</v>
      </c>
      <c r="K75" s="1" t="s">
        <v>252</v>
      </c>
      <c r="L75" s="1" t="s">
        <v>17</v>
      </c>
      <c r="M75" s="68" t="s">
        <v>452</v>
      </c>
    </row>
    <row r="76" spans="1:13" ht="29.25">
      <c r="A76" s="67">
        <v>88</v>
      </c>
      <c r="B76" s="7" t="s">
        <v>447</v>
      </c>
      <c r="C76" s="9" t="s">
        <v>453</v>
      </c>
      <c r="D76" s="1" t="s">
        <v>958</v>
      </c>
      <c r="E76" s="1" t="s">
        <v>454</v>
      </c>
      <c r="F76" s="99" t="str" cm="1">
        <f t="array" ref="F76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ũãĩʔ</v>
      </c>
      <c r="G76" s="1" t="str" cm="1">
        <f t="array" ref="G76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nuaih</v>
      </c>
      <c r="H76" s="1" t="str" cm="1">
        <f t="array" ref="H76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uainnh</v>
      </c>
      <c r="I76" s="1" t="s">
        <v>455</v>
      </c>
      <c r="J76" s="1" t="s">
        <v>929</v>
      </c>
      <c r="K76" s="1" t="s">
        <v>252</v>
      </c>
      <c r="L76" s="1" t="s">
        <v>23</v>
      </c>
      <c r="M76" s="68" t="s">
        <v>457</v>
      </c>
    </row>
    <row r="77" spans="1:13" ht="39">
      <c r="A77" s="67">
        <v>89</v>
      </c>
      <c r="B77" s="12" t="s">
        <v>458</v>
      </c>
      <c r="C77" s="3" t="s">
        <v>512</v>
      </c>
      <c r="D77" s="1" t="s">
        <v>459</v>
      </c>
      <c r="E77" s="1" t="s">
        <v>460</v>
      </c>
      <c r="F77" s="99" t="str" cm="1">
        <f t="array" ref="F77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ũẽ</v>
      </c>
      <c r="G77" s="1" t="str" cm="1">
        <f t="array" ref="G77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nue</v>
      </c>
      <c r="H77" s="1" t="str" cm="1">
        <f t="array" ref="H77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uenn</v>
      </c>
      <c r="I77" s="1" t="s">
        <v>460</v>
      </c>
      <c r="J77" s="1" t="s">
        <v>461</v>
      </c>
      <c r="K77" s="1" t="s">
        <v>258</v>
      </c>
      <c r="L77" s="1" t="s">
        <v>17</v>
      </c>
      <c r="M77" s="68" t="s">
        <v>463</v>
      </c>
    </row>
    <row r="78" spans="1:13" ht="29.25">
      <c r="A78" s="67">
        <v>91</v>
      </c>
      <c r="B78" s="11" t="s">
        <v>465</v>
      </c>
      <c r="C78" s="5" t="s">
        <v>464</v>
      </c>
      <c r="D78" s="1" t="s">
        <v>466</v>
      </c>
      <c r="E78" s="1" t="s">
        <v>467</v>
      </c>
      <c r="F78" s="99" t="str" cm="1">
        <f t="array" ref="F78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ĩãũ</v>
      </c>
      <c r="G78" s="1" t="str" cm="1">
        <f t="array" ref="G78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niao</v>
      </c>
      <c r="H78" s="1" t="str" cm="1">
        <f t="array" ref="H78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iaunn</v>
      </c>
      <c r="I78" s="1" t="s">
        <v>467</v>
      </c>
      <c r="J78" s="1" t="s">
        <v>468</v>
      </c>
      <c r="K78" s="1" t="s">
        <v>265</v>
      </c>
      <c r="L78" s="1" t="s">
        <v>17</v>
      </c>
      <c r="M78" s="68" t="s">
        <v>470</v>
      </c>
    </row>
    <row r="79" spans="1:13" ht="39">
      <c r="A79" s="67">
        <v>92</v>
      </c>
      <c r="B79" s="3" t="s">
        <v>465</v>
      </c>
      <c r="C79" s="3" t="s">
        <v>512</v>
      </c>
      <c r="D79" s="1" t="s">
        <v>959</v>
      </c>
      <c r="E79" s="1" t="s">
        <v>471</v>
      </c>
      <c r="F79" s="99" t="str" cm="1">
        <f t="array" ref="F79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ĩãũʔ</v>
      </c>
      <c r="G79" s="1" t="str" cm="1">
        <f t="array" ref="G79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niaoh</v>
      </c>
      <c r="H79" s="1" t="str" cm="1">
        <f t="array" ref="H79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iaunnh</v>
      </c>
      <c r="I79" s="1" t="s">
        <v>472</v>
      </c>
      <c r="J79" s="1" t="s">
        <v>930</v>
      </c>
      <c r="K79" s="1" t="s">
        <v>265</v>
      </c>
      <c r="L79" s="1" t="s">
        <v>23</v>
      </c>
      <c r="M79" s="68" t="s">
        <v>474</v>
      </c>
    </row>
    <row r="80" spans="1:13" ht="29.25">
      <c r="A80" s="67">
        <v>93</v>
      </c>
      <c r="B80" s="13" t="s">
        <v>477</v>
      </c>
      <c r="C80" s="5" t="s">
        <v>475</v>
      </c>
      <c r="D80" s="1" t="s">
        <v>478</v>
      </c>
      <c r="E80" s="1" t="s">
        <v>479</v>
      </c>
      <c r="F80" s="99" t="str" cm="1">
        <f t="array" ref="F80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ɔm</v>
      </c>
      <c r="G80" s="1" t="str" cm="1">
        <f t="array" ref="G80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om/p</v>
      </c>
      <c r="H80" s="1" t="str" cm="1">
        <f t="array" ref="H80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om/p</v>
      </c>
      <c r="I80" s="1" t="s">
        <v>480</v>
      </c>
      <c r="J80" s="1" t="s">
        <v>479</v>
      </c>
      <c r="K80" s="1" t="s">
        <v>270</v>
      </c>
      <c r="L80" s="1" t="s">
        <v>17</v>
      </c>
      <c r="M80" s="68" t="s">
        <v>481</v>
      </c>
    </row>
    <row r="81" spans="1:13" ht="29.25">
      <c r="A81" s="67">
        <v>94</v>
      </c>
      <c r="B81" s="13" t="s">
        <v>477</v>
      </c>
      <c r="C81" s="3" t="s">
        <v>482</v>
      </c>
      <c r="D81" s="1" t="s">
        <v>484</v>
      </c>
      <c r="E81" s="1" t="s">
        <v>485</v>
      </c>
      <c r="F81" s="99" t="str" cm="1">
        <f t="array" ref="F81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ɔp̚</v>
      </c>
      <c r="G81" s="1" t="str" cm="1">
        <f t="array" ref="G81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op</v>
      </c>
      <c r="H81" s="1" t="str" cm="1">
        <f t="array" ref="H81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op</v>
      </c>
      <c r="I81" s="1" t="s">
        <v>486</v>
      </c>
      <c r="J81" s="1" t="s">
        <v>485</v>
      </c>
      <c r="K81" s="1" t="s">
        <v>270</v>
      </c>
      <c r="L81" s="1" t="s">
        <v>23</v>
      </c>
      <c r="M81" s="68" t="s">
        <v>487</v>
      </c>
    </row>
    <row r="82" spans="1:13" ht="29.25">
      <c r="A82" s="67">
        <v>95</v>
      </c>
      <c r="B82" s="13" t="s">
        <v>489</v>
      </c>
      <c r="C82" s="9" t="s">
        <v>488</v>
      </c>
      <c r="D82" s="1" t="s">
        <v>490</v>
      </c>
      <c r="E82" s="1" t="s">
        <v>491</v>
      </c>
      <c r="F82" s="99" t="str" cm="1">
        <f t="array" ref="F82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ãũ</v>
      </c>
      <c r="G82" s="1" t="str" cm="1">
        <f t="array" ref="G82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nao</v>
      </c>
      <c r="H82" s="1" t="str" cm="1">
        <f t="array" ref="H82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aunn</v>
      </c>
      <c r="I82" s="1" t="s">
        <v>491</v>
      </c>
      <c r="J82" s="1" t="s">
        <v>492</v>
      </c>
      <c r="K82" s="1" t="s">
        <v>276</v>
      </c>
      <c r="L82" s="1" t="s">
        <v>17</v>
      </c>
      <c r="M82" s="68" t="s">
        <v>494</v>
      </c>
    </row>
    <row r="83" spans="1:13" ht="29.25">
      <c r="A83" s="67">
        <v>97</v>
      </c>
      <c r="B83" s="12" t="s">
        <v>496</v>
      </c>
      <c r="C83" s="3" t="s">
        <v>495</v>
      </c>
      <c r="D83" s="1" t="s">
        <v>423</v>
      </c>
      <c r="E83" s="1" t="s">
        <v>425</v>
      </c>
      <c r="F83" s="99" t="str" cm="1">
        <f t="array" ref="F83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ɔ̃</v>
      </c>
      <c r="G83" s="1" t="str" cm="1">
        <f t="array" ref="G83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noo</v>
      </c>
      <c r="H83" s="1" t="str" cm="1">
        <f t="array" ref="H83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onn</v>
      </c>
      <c r="I83" s="1" t="s">
        <v>498</v>
      </c>
      <c r="J83" s="1" t="s">
        <v>497</v>
      </c>
      <c r="K83" s="1" t="s">
        <v>280</v>
      </c>
      <c r="L83" s="1" t="s">
        <v>17</v>
      </c>
      <c r="M83" s="68" t="s">
        <v>499</v>
      </c>
    </row>
    <row r="84" spans="1:13" ht="39">
      <c r="A84" s="67">
        <v>98</v>
      </c>
      <c r="B84" s="12" t="s">
        <v>496</v>
      </c>
      <c r="C84" s="3" t="s">
        <v>512</v>
      </c>
      <c r="D84" s="1" t="s">
        <v>960</v>
      </c>
      <c r="E84" s="1" t="s">
        <v>500</v>
      </c>
      <c r="F84" s="99" t="str" cm="1">
        <f t="array" ref="F84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ɔ̃ʔ</v>
      </c>
      <c r="G84" s="1" t="str" cm="1">
        <f t="array" ref="G84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nooh</v>
      </c>
      <c r="H84" s="1" t="str" cm="1">
        <f t="array" ref="H84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onnh</v>
      </c>
      <c r="I84" s="1" t="s">
        <v>460</v>
      </c>
      <c r="J84" s="1" t="s">
        <v>931</v>
      </c>
      <c r="K84" s="1" t="s">
        <v>280</v>
      </c>
      <c r="L84" s="1" t="s">
        <v>23</v>
      </c>
      <c r="M84" s="68" t="s">
        <v>503</v>
      </c>
    </row>
    <row r="85" spans="1:13" ht="29.25">
      <c r="A85" s="69">
        <v>99</v>
      </c>
      <c r="B85" s="70" t="s">
        <v>505</v>
      </c>
      <c r="C85" s="71" t="s">
        <v>504</v>
      </c>
      <c r="D85" s="72" t="s">
        <v>506</v>
      </c>
      <c r="E85" s="72" t="s">
        <v>507</v>
      </c>
      <c r="F85" s="99" t="str" cm="1">
        <f t="array" ref="F85" xml:space="preserve"> IF(韻母對照表3[[#This Row],[舒促聲]]="舒聲", INDEX(十五音韻母!$G$3:$G$52, MATCH(TRUE, EXACT(韻母對照表3[[#This Row],[十五音]], 十五音韻母!$B$3:$B$52), 0)), INDEX(十五音韻母!$H$3:$H$52, MATCH(TRUE, EXACT(韻母對照表3[[#This Row],[十五音]], 十五音韻母!$B$3:$B$52), 0)))</f>
        <v>ĩũ</v>
      </c>
      <c r="G85" s="1" t="str" cm="1">
        <f t="array" ref="G85" xml:space="preserve"> IF(韻母對照表3[[#This Row],[舒促聲]]="舒聲", INDEX(十五音韻母!$I$3:$I$52, MATCH(TRUE, EXACT(韻母對照表3[[#This Row],[十五音]], 十五音韻母!$B$3:$B$52), 0)), INDEX(十五音韻母!$J$3:$J$52, MATCH(TRUE, EXACT(韻母對照表3[[#This Row],[十五音]], 十五音韻母!$B$3:$B$52), 0)))</f>
        <v>niu</v>
      </c>
      <c r="H85" s="1" t="str" cm="1">
        <f t="array" ref="H85" xml:space="preserve"> IF(韻母對照表3[[#This Row],[舒促聲]]="舒聲", INDEX(十五音韻母!$K$3:$K$52, MATCH(TRUE, EXACT(韻母對照表3[[#This Row],[十五音]], 十五音韻母!$B$3:$B$52), 0)), INDEX(十五音韻母!$L$3:$L$52, MATCH(TRUE, EXACT(韻母對照表3[[#This Row],[十五音]], 十五音韻母!$B$3:$B$52), 0)))</f>
        <v>iunn</v>
      </c>
      <c r="I85" s="72" t="s">
        <v>507</v>
      </c>
      <c r="J85" s="72" t="s">
        <v>508</v>
      </c>
      <c r="K85" s="72" t="s">
        <v>288</v>
      </c>
      <c r="L85" s="72" t="s">
        <v>17</v>
      </c>
      <c r="M85" s="73" t="s">
        <v>510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98FF-F9C5-4438-9236-C28AB72EF5D6}">
  <dimension ref="A1:K26"/>
  <sheetViews>
    <sheetView workbookViewId="0">
      <selection activeCell="A3" sqref="A3"/>
    </sheetView>
  </sheetViews>
  <sheetFormatPr defaultRowHeight="25.5"/>
  <sheetData>
    <row r="1" spans="1:11" ht="26.25" thickBot="1">
      <c r="A1" s="85" t="s">
        <v>961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ht="26.25" thickBot="1">
      <c r="A2" s="82" t="s">
        <v>962</v>
      </c>
      <c r="B2" s="82" t="s">
        <v>15</v>
      </c>
      <c r="C2" s="82" t="s">
        <v>28</v>
      </c>
      <c r="D2" s="82" t="s">
        <v>39</v>
      </c>
      <c r="E2" s="82" t="s">
        <v>51</v>
      </c>
      <c r="F2" s="82" t="s">
        <v>57</v>
      </c>
      <c r="G2" s="82" t="s">
        <v>963</v>
      </c>
      <c r="H2" s="82" t="s">
        <v>82</v>
      </c>
      <c r="I2" s="82" t="s">
        <v>95</v>
      </c>
      <c r="J2" s="82" t="s">
        <v>107</v>
      </c>
      <c r="K2" s="82" t="s">
        <v>121</v>
      </c>
    </row>
    <row r="3" spans="1:11" ht="26.25" thickBot="1">
      <c r="A3" s="82" t="s">
        <v>995</v>
      </c>
      <c r="B3" s="83" t="s">
        <v>964</v>
      </c>
      <c r="C3" s="83" t="s">
        <v>965</v>
      </c>
      <c r="D3" s="83" t="s">
        <v>966</v>
      </c>
      <c r="E3" s="83" t="s">
        <v>967</v>
      </c>
      <c r="F3" s="83" t="s">
        <v>968</v>
      </c>
      <c r="G3" s="83" t="s">
        <v>969</v>
      </c>
      <c r="H3" s="83" t="s">
        <v>970</v>
      </c>
      <c r="I3" s="83" t="s">
        <v>971</v>
      </c>
      <c r="J3" s="83" t="s">
        <v>972</v>
      </c>
      <c r="K3" s="83" t="s">
        <v>973</v>
      </c>
    </row>
    <row r="4" spans="1:11" ht="26.25" thickBot="1">
      <c r="A4" s="82" t="s">
        <v>2</v>
      </c>
      <c r="B4" s="84" t="s">
        <v>974</v>
      </c>
      <c r="C4" s="84" t="s">
        <v>975</v>
      </c>
      <c r="D4" s="84" t="s">
        <v>976</v>
      </c>
      <c r="E4" s="84" t="s">
        <v>977</v>
      </c>
      <c r="F4" s="84" t="s">
        <v>978</v>
      </c>
      <c r="G4" s="84" t="s">
        <v>979</v>
      </c>
      <c r="H4" s="84" t="s">
        <v>980</v>
      </c>
      <c r="I4" s="84" t="s">
        <v>981</v>
      </c>
      <c r="J4" s="84" t="s">
        <v>982</v>
      </c>
      <c r="K4" s="84" t="s">
        <v>983</v>
      </c>
    </row>
    <row r="5" spans="1:11" ht="26.25" thickBot="1">
      <c r="A5" s="82" t="s">
        <v>984</v>
      </c>
      <c r="B5" s="84" t="s">
        <v>985</v>
      </c>
      <c r="C5" s="84" t="s">
        <v>986</v>
      </c>
      <c r="D5" s="84" t="s">
        <v>987</v>
      </c>
      <c r="E5" s="84" t="s">
        <v>50</v>
      </c>
      <c r="F5" s="84" t="s">
        <v>988</v>
      </c>
      <c r="G5" s="84" t="s">
        <v>989</v>
      </c>
      <c r="H5" s="84" t="s">
        <v>990</v>
      </c>
      <c r="I5" s="84" t="s">
        <v>991</v>
      </c>
      <c r="J5" s="84" t="s">
        <v>992</v>
      </c>
      <c r="K5" s="84" t="s">
        <v>993</v>
      </c>
    </row>
    <row r="6" spans="1:11" ht="26.25" thickBot="1">
      <c r="A6" s="82" t="s">
        <v>6</v>
      </c>
      <c r="B6" s="84" t="s">
        <v>985</v>
      </c>
      <c r="C6" s="84" t="s">
        <v>986</v>
      </c>
      <c r="D6" s="84" t="s">
        <v>987</v>
      </c>
      <c r="E6" s="84" t="s">
        <v>50</v>
      </c>
      <c r="F6" s="84" t="s">
        <v>994</v>
      </c>
      <c r="G6" s="84" t="s">
        <v>989</v>
      </c>
      <c r="H6" s="84" t="s">
        <v>990</v>
      </c>
      <c r="I6" s="84" t="s">
        <v>991</v>
      </c>
      <c r="J6" s="84" t="s">
        <v>992</v>
      </c>
      <c r="K6" s="84" t="s">
        <v>993</v>
      </c>
    </row>
    <row r="7" spans="1:11" ht="26.25" thickBot="1">
      <c r="A7" s="82" t="s">
        <v>962</v>
      </c>
      <c r="B7" s="82" t="s">
        <v>135</v>
      </c>
      <c r="C7" s="82" t="s">
        <v>142</v>
      </c>
      <c r="D7" s="82" t="s">
        <v>154</v>
      </c>
      <c r="E7" s="82" t="s">
        <v>160</v>
      </c>
      <c r="F7" s="82" t="s">
        <v>172</v>
      </c>
      <c r="G7" s="82" t="s">
        <v>184</v>
      </c>
      <c r="H7" s="82" t="s">
        <v>190</v>
      </c>
      <c r="I7" s="82" t="s">
        <v>202</v>
      </c>
      <c r="J7" s="82" t="s">
        <v>212</v>
      </c>
      <c r="K7" s="82" t="s">
        <v>224</v>
      </c>
    </row>
    <row r="8" spans="1:11" ht="26.25" thickBot="1">
      <c r="A8" s="82" t="s">
        <v>995</v>
      </c>
      <c r="B8" s="83" t="s">
        <v>996</v>
      </c>
      <c r="C8" s="83" t="s">
        <v>997</v>
      </c>
      <c r="D8" s="83" t="s">
        <v>998</v>
      </c>
      <c r="E8" s="83" t="s">
        <v>999</v>
      </c>
      <c r="F8" s="83" t="s">
        <v>1000</v>
      </c>
      <c r="G8" s="83" t="s">
        <v>1001</v>
      </c>
      <c r="H8" s="83" t="s">
        <v>1002</v>
      </c>
      <c r="I8" s="83" t="s">
        <v>1003</v>
      </c>
      <c r="J8" s="83" t="s">
        <v>1004</v>
      </c>
      <c r="K8" s="83" t="s">
        <v>1005</v>
      </c>
    </row>
    <row r="9" spans="1:11" ht="26.25" thickBot="1">
      <c r="A9" s="82" t="s">
        <v>2</v>
      </c>
      <c r="B9" s="84" t="s">
        <v>1006</v>
      </c>
      <c r="C9" s="84" t="s">
        <v>1007</v>
      </c>
      <c r="D9" s="84" t="s">
        <v>1008</v>
      </c>
      <c r="E9" s="84" t="s">
        <v>1009</v>
      </c>
      <c r="F9" s="84" t="s">
        <v>1010</v>
      </c>
      <c r="G9" s="84" t="s">
        <v>1011</v>
      </c>
      <c r="H9" s="84" t="s">
        <v>1012</v>
      </c>
      <c r="I9" s="84" t="s">
        <v>1013</v>
      </c>
      <c r="J9" s="84" t="s">
        <v>1014</v>
      </c>
      <c r="K9" s="84" t="s">
        <v>1015</v>
      </c>
    </row>
    <row r="10" spans="1:11" ht="26.25" thickBot="1">
      <c r="A10" s="82" t="s">
        <v>984</v>
      </c>
      <c r="B10" s="84" t="s">
        <v>136</v>
      </c>
      <c r="C10" s="84" t="s">
        <v>1016</v>
      </c>
      <c r="D10" s="84" t="s">
        <v>60</v>
      </c>
      <c r="E10" s="84" t="s">
        <v>1017</v>
      </c>
      <c r="F10" s="84" t="s">
        <v>1018</v>
      </c>
      <c r="G10" s="84" t="s">
        <v>183</v>
      </c>
      <c r="H10" s="84" t="s">
        <v>1019</v>
      </c>
      <c r="I10" s="84" t="s">
        <v>1020</v>
      </c>
      <c r="J10" s="84" t="s">
        <v>1021</v>
      </c>
      <c r="K10" s="84" t="s">
        <v>1022</v>
      </c>
    </row>
    <row r="11" spans="1:11" ht="26.25" thickBot="1">
      <c r="A11" s="82" t="s">
        <v>6</v>
      </c>
      <c r="B11" s="84" t="s">
        <v>136</v>
      </c>
      <c r="C11" s="84" t="s">
        <v>1023</v>
      </c>
      <c r="D11" s="84" t="s">
        <v>60</v>
      </c>
      <c r="E11" s="84" t="s">
        <v>1017</v>
      </c>
      <c r="F11" s="84" t="s">
        <v>1018</v>
      </c>
      <c r="G11" s="84" t="s">
        <v>183</v>
      </c>
      <c r="H11" s="84" t="s">
        <v>1019</v>
      </c>
      <c r="I11" s="84" t="s">
        <v>1020</v>
      </c>
      <c r="J11" s="84" t="s">
        <v>1021</v>
      </c>
      <c r="K11" s="84" t="s">
        <v>1022</v>
      </c>
    </row>
    <row r="12" spans="1:11" ht="26.25" thickBot="1">
      <c r="A12" s="82" t="s">
        <v>962</v>
      </c>
      <c r="B12" s="82" t="s">
        <v>236</v>
      </c>
      <c r="C12" s="82" t="s">
        <v>248</v>
      </c>
      <c r="D12" s="82" t="s">
        <v>261</v>
      </c>
      <c r="E12" s="82" t="s">
        <v>273</v>
      </c>
      <c r="F12" s="82" t="s">
        <v>283</v>
      </c>
      <c r="G12" s="82" t="s">
        <v>295</v>
      </c>
      <c r="H12" s="82" t="s">
        <v>309</v>
      </c>
      <c r="I12" s="82" t="s">
        <v>317</v>
      </c>
      <c r="J12" s="82" t="s">
        <v>325</v>
      </c>
      <c r="K12" s="82" t="s">
        <v>333</v>
      </c>
    </row>
    <row r="13" spans="1:11" ht="26.25" thickBot="1">
      <c r="A13" s="82" t="s">
        <v>995</v>
      </c>
      <c r="B13" s="83" t="s">
        <v>1024</v>
      </c>
      <c r="C13" s="83" t="s">
        <v>1025</v>
      </c>
      <c r="D13" s="83" t="s">
        <v>1026</v>
      </c>
      <c r="E13" s="83" t="s">
        <v>1027</v>
      </c>
      <c r="F13" s="83" t="s">
        <v>1028</v>
      </c>
      <c r="G13" s="83" t="s">
        <v>1029</v>
      </c>
      <c r="H13" s="83" t="s">
        <v>1030</v>
      </c>
      <c r="I13" s="83" t="s">
        <v>1031</v>
      </c>
      <c r="J13" s="83" t="s">
        <v>1032</v>
      </c>
      <c r="K13" s="83" t="s">
        <v>1033</v>
      </c>
    </row>
    <row r="14" spans="1:11" ht="26.25" thickBot="1">
      <c r="A14" s="82" t="s">
        <v>2</v>
      </c>
      <c r="B14" s="84" t="s">
        <v>1034</v>
      </c>
      <c r="C14" s="84" t="s">
        <v>1035</v>
      </c>
      <c r="D14" s="84" t="s">
        <v>1036</v>
      </c>
      <c r="E14" s="84" t="s">
        <v>1037</v>
      </c>
      <c r="F14" s="84" t="s">
        <v>1038</v>
      </c>
      <c r="G14" s="84" t="s">
        <v>1039</v>
      </c>
      <c r="H14" s="84" t="s">
        <v>1040</v>
      </c>
      <c r="I14" s="84" t="s">
        <v>1041</v>
      </c>
      <c r="J14" s="84" t="s">
        <v>1042</v>
      </c>
      <c r="K14" s="84" t="s">
        <v>1043</v>
      </c>
    </row>
    <row r="15" spans="1:11" ht="26.25" thickBot="1">
      <c r="A15" s="82" t="s">
        <v>984</v>
      </c>
      <c r="B15" s="84" t="s">
        <v>1044</v>
      </c>
      <c r="C15" s="84" t="s">
        <v>1045</v>
      </c>
      <c r="D15" s="84" t="s">
        <v>1046</v>
      </c>
      <c r="E15" s="84" t="s">
        <v>1047</v>
      </c>
      <c r="F15" s="84" t="s">
        <v>1048</v>
      </c>
      <c r="G15" s="84" t="s">
        <v>1049</v>
      </c>
      <c r="H15" s="84" t="s">
        <v>1050</v>
      </c>
      <c r="I15" s="84" t="s">
        <v>1051</v>
      </c>
      <c r="J15" s="84" t="s">
        <v>1052</v>
      </c>
      <c r="K15" s="84" t="s">
        <v>332</v>
      </c>
    </row>
    <row r="16" spans="1:11" ht="26.25" thickBot="1">
      <c r="A16" s="82" t="s">
        <v>6</v>
      </c>
      <c r="B16" s="84" t="s">
        <v>1044</v>
      </c>
      <c r="C16" s="84" t="s">
        <v>1045</v>
      </c>
      <c r="D16" s="84" t="s">
        <v>1053</v>
      </c>
      <c r="E16" s="84" t="s">
        <v>1047</v>
      </c>
      <c r="F16" s="84" t="s">
        <v>1048</v>
      </c>
      <c r="G16" s="84" t="s">
        <v>1054</v>
      </c>
      <c r="H16" s="84" t="s">
        <v>1050</v>
      </c>
      <c r="I16" s="84" t="s">
        <v>1051</v>
      </c>
      <c r="J16" s="84" t="s">
        <v>1052</v>
      </c>
      <c r="K16" s="84" t="s">
        <v>332</v>
      </c>
    </row>
    <row r="17" spans="1:11" ht="26.25" thickBot="1">
      <c r="A17" s="82" t="s">
        <v>962</v>
      </c>
      <c r="B17" s="82" t="s">
        <v>338</v>
      </c>
      <c r="C17" s="82" t="s">
        <v>349</v>
      </c>
      <c r="D17" s="82" t="s">
        <v>358</v>
      </c>
      <c r="E17" s="82" t="s">
        <v>368</v>
      </c>
      <c r="F17" s="82" t="s">
        <v>381</v>
      </c>
      <c r="G17" s="82" t="s">
        <v>389</v>
      </c>
      <c r="H17" s="82" t="s">
        <v>397</v>
      </c>
      <c r="I17" s="82" t="s">
        <v>405</v>
      </c>
      <c r="J17" s="82" t="s">
        <v>410</v>
      </c>
      <c r="K17" s="82" t="s">
        <v>415</v>
      </c>
    </row>
    <row r="18" spans="1:11" ht="26.25" thickBot="1">
      <c r="A18" s="82" t="s">
        <v>995</v>
      </c>
      <c r="B18" s="83" t="s">
        <v>1055</v>
      </c>
      <c r="C18" s="83" t="s">
        <v>1056</v>
      </c>
      <c r="D18" s="83" t="s">
        <v>1057</v>
      </c>
      <c r="E18" s="83" t="s">
        <v>1058</v>
      </c>
      <c r="F18" s="83" t="s">
        <v>1059</v>
      </c>
      <c r="G18" s="83" t="s">
        <v>1060</v>
      </c>
      <c r="H18" s="83" t="s">
        <v>1061</v>
      </c>
      <c r="I18" s="83" t="s">
        <v>1062</v>
      </c>
      <c r="J18" s="83" t="s">
        <v>1063</v>
      </c>
      <c r="K18" s="83" t="s">
        <v>1064</v>
      </c>
    </row>
    <row r="19" spans="1:11" ht="26.25" thickBot="1">
      <c r="A19" s="82" t="s">
        <v>2</v>
      </c>
      <c r="B19" s="84" t="s">
        <v>1065</v>
      </c>
      <c r="C19" s="84" t="s">
        <v>1066</v>
      </c>
      <c r="D19" s="84" t="s">
        <v>1067</v>
      </c>
      <c r="E19" s="84" t="s">
        <v>1068</v>
      </c>
      <c r="F19" s="84" t="s">
        <v>1069</v>
      </c>
      <c r="G19" s="84" t="s">
        <v>1070</v>
      </c>
      <c r="H19" s="84" t="s">
        <v>1071</v>
      </c>
      <c r="I19" s="84" t="s">
        <v>1072</v>
      </c>
      <c r="J19" s="84" t="s">
        <v>1073</v>
      </c>
      <c r="K19" s="84" t="s">
        <v>1074</v>
      </c>
    </row>
    <row r="20" spans="1:11" ht="26.25" thickBot="1">
      <c r="A20" s="82" t="s">
        <v>984</v>
      </c>
      <c r="B20" s="84" t="s">
        <v>342</v>
      </c>
      <c r="C20" s="84" t="s">
        <v>353</v>
      </c>
      <c r="D20" s="84" t="s">
        <v>1075</v>
      </c>
      <c r="E20" s="84" t="s">
        <v>1076</v>
      </c>
      <c r="F20" s="84" t="s">
        <v>385</v>
      </c>
      <c r="G20" s="84" t="s">
        <v>394</v>
      </c>
      <c r="H20" s="84" t="s">
        <v>401</v>
      </c>
      <c r="I20" s="84" t="s">
        <v>407</v>
      </c>
      <c r="J20" s="84" t="s">
        <v>988</v>
      </c>
      <c r="K20" s="84" t="s">
        <v>419</v>
      </c>
    </row>
    <row r="21" spans="1:11" ht="26.25" thickBot="1">
      <c r="A21" s="82" t="s">
        <v>6</v>
      </c>
      <c r="B21" s="84" t="s">
        <v>340</v>
      </c>
      <c r="C21" s="84" t="s">
        <v>351</v>
      </c>
      <c r="D21" s="84" t="s">
        <v>1075</v>
      </c>
      <c r="E21" s="84" t="s">
        <v>1077</v>
      </c>
      <c r="F21" s="84" t="s">
        <v>383</v>
      </c>
      <c r="G21" s="84" t="s">
        <v>391</v>
      </c>
      <c r="H21" s="84" t="s">
        <v>399</v>
      </c>
      <c r="I21" s="84" t="s">
        <v>407</v>
      </c>
      <c r="J21" s="84" t="s">
        <v>988</v>
      </c>
      <c r="K21" s="84" t="s">
        <v>417</v>
      </c>
    </row>
    <row r="22" spans="1:11" ht="26.25" thickBot="1">
      <c r="A22" s="82" t="s">
        <v>962</v>
      </c>
      <c r="B22" s="82" t="s">
        <v>422</v>
      </c>
      <c r="C22" s="82" t="s">
        <v>429</v>
      </c>
      <c r="D22" s="82" t="s">
        <v>436</v>
      </c>
      <c r="E22" s="82" t="s">
        <v>447</v>
      </c>
      <c r="F22" s="82" t="s">
        <v>458</v>
      </c>
      <c r="G22" s="82" t="s">
        <v>465</v>
      </c>
      <c r="H22" s="82" t="s">
        <v>477</v>
      </c>
      <c r="I22" s="82" t="s">
        <v>489</v>
      </c>
      <c r="J22" s="82" t="s">
        <v>496</v>
      </c>
      <c r="K22" s="82" t="s">
        <v>505</v>
      </c>
    </row>
    <row r="23" spans="1:11" ht="26.25" thickBot="1">
      <c r="A23" s="82" t="s">
        <v>995</v>
      </c>
      <c r="B23" s="83" t="s">
        <v>1078</v>
      </c>
      <c r="C23" s="83" t="s">
        <v>1079</v>
      </c>
      <c r="D23" s="83" t="s">
        <v>1080</v>
      </c>
      <c r="E23" s="83" t="s">
        <v>1081</v>
      </c>
      <c r="F23" s="83" t="s">
        <v>1082</v>
      </c>
      <c r="G23" s="83" t="s">
        <v>1083</v>
      </c>
      <c r="H23" s="83" t="s">
        <v>1084</v>
      </c>
      <c r="I23" s="83" t="s">
        <v>1085</v>
      </c>
      <c r="J23" s="83" t="s">
        <v>1086</v>
      </c>
      <c r="K23" s="83" t="s">
        <v>1087</v>
      </c>
    </row>
    <row r="24" spans="1:11" ht="26.25" thickBot="1">
      <c r="A24" s="82" t="s">
        <v>2</v>
      </c>
      <c r="B24" s="84" t="s">
        <v>1088</v>
      </c>
      <c r="C24" s="84" t="s">
        <v>1089</v>
      </c>
      <c r="D24" s="84" t="s">
        <v>1090</v>
      </c>
      <c r="E24" s="84" t="s">
        <v>1091</v>
      </c>
      <c r="F24" s="84" t="s">
        <v>1092</v>
      </c>
      <c r="G24" s="84" t="s">
        <v>1093</v>
      </c>
      <c r="H24" s="84" t="s">
        <v>1094</v>
      </c>
      <c r="I24" s="84" t="s">
        <v>1095</v>
      </c>
      <c r="J24" s="84" t="s">
        <v>1096</v>
      </c>
      <c r="K24" s="84" t="s">
        <v>1097</v>
      </c>
    </row>
    <row r="25" spans="1:11" ht="26.25" thickBot="1">
      <c r="A25" s="82" t="s">
        <v>984</v>
      </c>
      <c r="B25" s="84" t="s">
        <v>427</v>
      </c>
      <c r="C25" s="84" t="s">
        <v>432</v>
      </c>
      <c r="D25" s="84" t="s">
        <v>1098</v>
      </c>
      <c r="E25" s="84" t="s">
        <v>1099</v>
      </c>
      <c r="F25" s="84" t="s">
        <v>1100</v>
      </c>
      <c r="G25" s="84" t="s">
        <v>1101</v>
      </c>
      <c r="H25" s="84" t="s">
        <v>1102</v>
      </c>
      <c r="I25" s="84" t="s">
        <v>493</v>
      </c>
      <c r="J25" s="84" t="s">
        <v>1103</v>
      </c>
      <c r="K25" s="84" t="s">
        <v>509</v>
      </c>
    </row>
    <row r="26" spans="1:11" ht="26.25" thickBot="1">
      <c r="A26" s="82" t="s">
        <v>6</v>
      </c>
      <c r="B26" s="84" t="s">
        <v>425</v>
      </c>
      <c r="C26" s="84" t="s">
        <v>432</v>
      </c>
      <c r="D26" s="84" t="s">
        <v>1098</v>
      </c>
      <c r="E26" s="84" t="s">
        <v>1104</v>
      </c>
      <c r="F26" s="84" t="s">
        <v>1105</v>
      </c>
      <c r="G26" s="84" t="s">
        <v>1106</v>
      </c>
      <c r="H26" s="84" t="s">
        <v>1102</v>
      </c>
      <c r="I26" s="84" t="s">
        <v>491</v>
      </c>
      <c r="J26" s="84" t="s">
        <v>1107</v>
      </c>
      <c r="K26" s="84" t="s">
        <v>507</v>
      </c>
    </row>
  </sheetData>
  <mergeCells count="1">
    <mergeCell ref="A1:K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【聲】聲母對照表</vt:lpstr>
      <vt:lpstr>【韻】韻母對照表</vt:lpstr>
      <vt:lpstr>韻母轉換規則</vt:lpstr>
      <vt:lpstr>台語注音二式轉換</vt:lpstr>
      <vt:lpstr>【調】聲調對照表</vt:lpstr>
      <vt:lpstr>十五音韻母</vt:lpstr>
      <vt:lpstr>舊版聲調對照表</vt:lpstr>
      <vt:lpstr>【韻】韻母對照表 (2)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2026-03-12T11:06:03Z</dcterms:created>
  <dcterms:modified xsi:type="dcterms:W3CDTF">2026-04-30T13:06:49Z</dcterms:modified>
</cp:coreProperties>
</file>