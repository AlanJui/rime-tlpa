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DB3C2865-87D1-46E0-80D3-897DBAA383D8}" xr6:coauthVersionLast="47" xr6:coauthVersionMax="47" xr10:uidLastSave="{00000000-0000-0000-0000-000000000000}"/>
  <bookViews>
    <workbookView xWindow="-28920" yWindow="-120" windowWidth="29040" windowHeight="15720" activeTab="3" xr2:uid="{F166AE1D-5222-4224-AB89-050FBDC6F50C}"/>
  </bookViews>
  <sheets>
    <sheet name="工作表1" sheetId="1" r:id="rId1"/>
    <sheet name="工作表1 (2)" sheetId="2" r:id="rId2"/>
    <sheet name=" 【韻母清單】BPM2" sheetId="3" r:id="rId3"/>
    <sheet name=" 【韻母清單】BP轉TP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V5" i="4" l="1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4" i="4"/>
  <c r="V3" i="4"/>
  <c r="S4" i="4"/>
  <c r="T4" i="4"/>
  <c r="S5" i="4"/>
  <c r="T5" i="4"/>
  <c r="S6" i="4"/>
  <c r="T6" i="4"/>
  <c r="S7" i="4"/>
  <c r="T7" i="4"/>
  <c r="S8" i="4"/>
  <c r="T8" i="4"/>
  <c r="S9" i="4"/>
  <c r="T9" i="4"/>
  <c r="S10" i="4"/>
  <c r="T10" i="4"/>
  <c r="S11" i="4"/>
  <c r="T11" i="4"/>
  <c r="S12" i="4"/>
  <c r="T12" i="4"/>
  <c r="S13" i="4"/>
  <c r="T13" i="4"/>
  <c r="S14" i="4"/>
  <c r="T14" i="4"/>
  <c r="S15" i="4"/>
  <c r="T15" i="4"/>
  <c r="S16" i="4"/>
  <c r="T16" i="4"/>
  <c r="S17" i="4"/>
  <c r="T17" i="4"/>
  <c r="S18" i="4"/>
  <c r="T18" i="4"/>
  <c r="S19" i="4"/>
  <c r="T19" i="4"/>
  <c r="S20" i="4"/>
  <c r="T20" i="4"/>
  <c r="S21" i="4"/>
  <c r="T21" i="4"/>
  <c r="S22" i="4"/>
  <c r="T22" i="4"/>
  <c r="S23" i="4"/>
  <c r="T23" i="4"/>
  <c r="S24" i="4"/>
  <c r="T24" i="4"/>
  <c r="S25" i="4"/>
  <c r="T25" i="4"/>
  <c r="S26" i="4"/>
  <c r="T26" i="4"/>
  <c r="S27" i="4"/>
  <c r="T27" i="4"/>
  <c r="S28" i="4"/>
  <c r="T28" i="4"/>
  <c r="S29" i="4"/>
  <c r="T29" i="4"/>
  <c r="S30" i="4"/>
  <c r="T30" i="4"/>
  <c r="S31" i="4"/>
  <c r="T31" i="4"/>
  <c r="S32" i="4"/>
  <c r="T32" i="4"/>
  <c r="S33" i="4"/>
  <c r="T33" i="4"/>
  <c r="S34" i="4"/>
  <c r="T34" i="4"/>
  <c r="S35" i="4"/>
  <c r="T35" i="4"/>
  <c r="S36" i="4"/>
  <c r="T36" i="4"/>
  <c r="S37" i="4"/>
  <c r="T37" i="4"/>
  <c r="S38" i="4"/>
  <c r="T38" i="4"/>
  <c r="S39" i="4"/>
  <c r="T39" i="4"/>
  <c r="S40" i="4"/>
  <c r="T40" i="4"/>
  <c r="S41" i="4"/>
  <c r="T41" i="4"/>
  <c r="S42" i="4"/>
  <c r="T42" i="4"/>
  <c r="S43" i="4"/>
  <c r="T43" i="4"/>
  <c r="S44" i="4"/>
  <c r="T44" i="4"/>
  <c r="S45" i="4"/>
  <c r="T45" i="4"/>
  <c r="S46" i="4"/>
  <c r="T46" i="4"/>
  <c r="S47" i="4"/>
  <c r="T47" i="4"/>
  <c r="S48" i="4"/>
  <c r="T48" i="4"/>
  <c r="S49" i="4"/>
  <c r="T49" i="4"/>
  <c r="S50" i="4"/>
  <c r="T50" i="4"/>
  <c r="S51" i="4"/>
  <c r="T51" i="4"/>
  <c r="S52" i="4"/>
  <c r="T52" i="4"/>
  <c r="S53" i="4"/>
  <c r="T53" i="4"/>
  <c r="S54" i="4"/>
  <c r="T54" i="4"/>
  <c r="S55" i="4"/>
  <c r="T55" i="4"/>
  <c r="S56" i="4"/>
  <c r="T56" i="4"/>
  <c r="S57" i="4"/>
  <c r="T57" i="4"/>
  <c r="S58" i="4"/>
  <c r="T58" i="4"/>
  <c r="S59" i="4"/>
  <c r="T59" i="4"/>
  <c r="S60" i="4"/>
  <c r="T60" i="4"/>
  <c r="S61" i="4"/>
  <c r="T61" i="4"/>
  <c r="S62" i="4"/>
  <c r="T62" i="4"/>
  <c r="S63" i="4"/>
  <c r="T63" i="4"/>
  <c r="S64" i="4"/>
  <c r="T64" i="4"/>
  <c r="S65" i="4"/>
  <c r="T65" i="4"/>
  <c r="S66" i="4"/>
  <c r="T66" i="4"/>
  <c r="S67" i="4"/>
  <c r="T67" i="4"/>
  <c r="S68" i="4"/>
  <c r="T68" i="4"/>
  <c r="S69" i="4"/>
  <c r="T69" i="4"/>
  <c r="S70" i="4"/>
  <c r="T70" i="4"/>
  <c r="S71" i="4"/>
  <c r="T71" i="4"/>
  <c r="S72" i="4"/>
  <c r="T72" i="4"/>
  <c r="S73" i="4"/>
  <c r="T73" i="4"/>
  <c r="S74" i="4"/>
  <c r="T74" i="4"/>
  <c r="S75" i="4"/>
  <c r="T75" i="4"/>
  <c r="S76" i="4"/>
  <c r="T76" i="4"/>
  <c r="S77" i="4"/>
  <c r="T77" i="4"/>
  <c r="S78" i="4"/>
  <c r="T78" i="4"/>
  <c r="S79" i="4"/>
  <c r="T79" i="4"/>
  <c r="S80" i="4"/>
  <c r="T80" i="4"/>
  <c r="S81" i="4"/>
  <c r="T81" i="4"/>
  <c r="S82" i="4"/>
  <c r="T82" i="4"/>
  <c r="S83" i="4"/>
  <c r="T83" i="4"/>
  <c r="S84" i="4"/>
  <c r="T84" i="4"/>
  <c r="T3" i="4"/>
  <c r="S3" i="4"/>
  <c r="T2" i="4"/>
  <c r="S2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2" i="4"/>
  <c r="N48" i="4"/>
  <c r="N49" i="4"/>
  <c r="N26" i="4"/>
  <c r="N50" i="4"/>
  <c r="N51" i="4"/>
  <c r="N52" i="4"/>
  <c r="N27" i="4"/>
  <c r="N53" i="4"/>
  <c r="N28" i="4"/>
  <c r="N54" i="4"/>
  <c r="N55" i="4"/>
  <c r="N80" i="4"/>
  <c r="N56" i="4"/>
  <c r="N12" i="4"/>
  <c r="N81" i="4"/>
  <c r="N57" i="4"/>
  <c r="N29" i="4"/>
  <c r="N30" i="4"/>
  <c r="N31" i="4"/>
  <c r="N32" i="4"/>
  <c r="N21" i="4"/>
  <c r="N4" i="4"/>
  <c r="N33" i="4"/>
  <c r="N22" i="4"/>
  <c r="N34" i="4"/>
  <c r="N35" i="4"/>
  <c r="N58" i="4"/>
  <c r="N59" i="4"/>
  <c r="N60" i="4"/>
  <c r="N61" i="4"/>
  <c r="N36" i="4"/>
  <c r="N62" i="4"/>
  <c r="N37" i="4"/>
  <c r="N38" i="4"/>
  <c r="N23" i="4"/>
  <c r="N63" i="4"/>
  <c r="N64" i="4"/>
  <c r="N65" i="4"/>
  <c r="N82" i="4"/>
  <c r="N66" i="4"/>
  <c r="N18" i="4"/>
  <c r="N10" i="4"/>
  <c r="N11" i="4"/>
  <c r="N19" i="4"/>
  <c r="N67" i="4"/>
  <c r="N39" i="4"/>
  <c r="N20" i="4"/>
  <c r="N13" i="4"/>
  <c r="N5" i="4"/>
  <c r="N6" i="4"/>
  <c r="N14" i="4"/>
  <c r="N7" i="4"/>
  <c r="N8" i="4"/>
  <c r="N15" i="4"/>
  <c r="N16" i="4"/>
  <c r="N9" i="4"/>
  <c r="N17" i="4"/>
  <c r="N83" i="4"/>
  <c r="N68" i="4"/>
  <c r="N69" i="4"/>
  <c r="N70" i="4"/>
  <c r="N40" i="4"/>
  <c r="N71" i="4"/>
  <c r="N41" i="4"/>
  <c r="N72" i="4"/>
  <c r="N84" i="4"/>
  <c r="N73" i="4"/>
  <c r="N42" i="4"/>
  <c r="N43" i="4"/>
  <c r="N24" i="4"/>
  <c r="N3" i="4"/>
  <c r="N44" i="4"/>
  <c r="N25" i="4"/>
  <c r="N45" i="4"/>
  <c r="N74" i="4"/>
  <c r="N46" i="4"/>
  <c r="N75" i="4"/>
  <c r="N76" i="4"/>
  <c r="N47" i="4"/>
  <c r="N77" i="4"/>
  <c r="N78" i="4"/>
  <c r="P3" i="4"/>
  <c r="N79" i="4"/>
  <c r="A97" i="4"/>
  <c r="C92" i="4"/>
  <c r="E92" i="4" s="1"/>
  <c r="E91" i="4"/>
  <c r="C91" i="4"/>
  <c r="E89" i="4"/>
  <c r="C89" i="4"/>
  <c r="E88" i="4"/>
  <c r="C88" i="4"/>
  <c r="Q2" i="4"/>
  <c r="Q84" i="4"/>
  <c r="Q83" i="4"/>
  <c r="Q82" i="4"/>
  <c r="Q81" i="4"/>
  <c r="Q80" i="4"/>
  <c r="Q79" i="4"/>
  <c r="Q78" i="4"/>
  <c r="Q77" i="4"/>
  <c r="Q76" i="4"/>
  <c r="Q75" i="4"/>
  <c r="Q74" i="4"/>
  <c r="Q73" i="4"/>
  <c r="Q72" i="4"/>
  <c r="Q71" i="4"/>
  <c r="Q70" i="4"/>
  <c r="Q69" i="4"/>
  <c r="Q68" i="4"/>
  <c r="Q67" i="4"/>
  <c r="Q66" i="4"/>
  <c r="Q65" i="4"/>
  <c r="Q64" i="4"/>
  <c r="Q63" i="4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AH10" i="4"/>
  <c r="AS10" i="4" s="1"/>
  <c r="AG10" i="4"/>
  <c r="AR10" i="4" s="1"/>
  <c r="AF10" i="4"/>
  <c r="AQ10" i="4" s="1"/>
  <c r="AE10" i="4"/>
  <c r="AP10" i="4" s="1"/>
  <c r="AD10" i="4"/>
  <c r="AO10" i="4" s="1"/>
  <c r="AC10" i="4"/>
  <c r="AN10" i="4" s="1"/>
  <c r="AB10" i="4"/>
  <c r="AM10" i="4" s="1"/>
  <c r="AA10" i="4"/>
  <c r="AL10" i="4" s="1"/>
  <c r="Z10" i="4"/>
  <c r="AK10" i="4" s="1"/>
  <c r="Y10" i="4"/>
  <c r="AJ10" i="4" s="1"/>
  <c r="Q10" i="4"/>
  <c r="AH9" i="4"/>
  <c r="AS9" i="4" s="1"/>
  <c r="AG9" i="4"/>
  <c r="AR9" i="4" s="1"/>
  <c r="AF9" i="4"/>
  <c r="AQ9" i="4" s="1"/>
  <c r="AE9" i="4"/>
  <c r="AP9" i="4" s="1"/>
  <c r="AD9" i="4"/>
  <c r="AO9" i="4" s="1"/>
  <c r="AC9" i="4"/>
  <c r="AN9" i="4" s="1"/>
  <c r="AB9" i="4"/>
  <c r="AM9" i="4" s="1"/>
  <c r="AA9" i="4"/>
  <c r="AL9" i="4" s="1"/>
  <c r="Z9" i="4"/>
  <c r="AK9" i="4" s="1"/>
  <c r="Y9" i="4"/>
  <c r="AJ9" i="4" s="1"/>
  <c r="Q9" i="4"/>
  <c r="AJ8" i="4"/>
  <c r="AH8" i="4"/>
  <c r="AS8" i="4" s="1"/>
  <c r="AG8" i="4"/>
  <c r="AR8" i="4" s="1"/>
  <c r="AF8" i="4"/>
  <c r="AQ8" i="4" s="1"/>
  <c r="AE8" i="4"/>
  <c r="AP8" i="4" s="1"/>
  <c r="AD8" i="4"/>
  <c r="AO8" i="4" s="1"/>
  <c r="AC8" i="4"/>
  <c r="AN8" i="4" s="1"/>
  <c r="AB8" i="4"/>
  <c r="AM8" i="4" s="1"/>
  <c r="AA8" i="4"/>
  <c r="AL8" i="4" s="1"/>
  <c r="Z8" i="4"/>
  <c r="AK8" i="4" s="1"/>
  <c r="Y8" i="4"/>
  <c r="Q8" i="4"/>
  <c r="AH7" i="4"/>
  <c r="AS7" i="4" s="1"/>
  <c r="AG7" i="4"/>
  <c r="AR7" i="4" s="1"/>
  <c r="AF7" i="4"/>
  <c r="AQ7" i="4" s="1"/>
  <c r="AE7" i="4"/>
  <c r="AP7" i="4" s="1"/>
  <c r="AD7" i="4"/>
  <c r="AO7" i="4" s="1"/>
  <c r="AC7" i="4"/>
  <c r="AN7" i="4" s="1"/>
  <c r="AB7" i="4"/>
  <c r="AM7" i="4" s="1"/>
  <c r="AA7" i="4"/>
  <c r="AL7" i="4" s="1"/>
  <c r="Z7" i="4"/>
  <c r="AK7" i="4" s="1"/>
  <c r="Y7" i="4"/>
  <c r="AJ7" i="4" s="1"/>
  <c r="Q7" i="4"/>
  <c r="AJ6" i="4"/>
  <c r="AH6" i="4"/>
  <c r="AS6" i="4" s="1"/>
  <c r="AG6" i="4"/>
  <c r="AR6" i="4" s="1"/>
  <c r="AF6" i="4"/>
  <c r="AQ6" i="4" s="1"/>
  <c r="AE6" i="4"/>
  <c r="AP6" i="4" s="1"/>
  <c r="AD6" i="4"/>
  <c r="AO6" i="4" s="1"/>
  <c r="AC6" i="4"/>
  <c r="AN6" i="4" s="1"/>
  <c r="AB6" i="4"/>
  <c r="AM6" i="4" s="1"/>
  <c r="AA6" i="4"/>
  <c r="AL6" i="4" s="1"/>
  <c r="Z6" i="4"/>
  <c r="AK6" i="4" s="1"/>
  <c r="Y6" i="4"/>
  <c r="Q6" i="4"/>
  <c r="AH5" i="4"/>
  <c r="AS5" i="4" s="1"/>
  <c r="AG5" i="4"/>
  <c r="AR5" i="4" s="1"/>
  <c r="AF5" i="4"/>
  <c r="AQ5" i="4" s="1"/>
  <c r="AE5" i="4"/>
  <c r="AP5" i="4" s="1"/>
  <c r="AD5" i="4"/>
  <c r="AO5" i="4" s="1"/>
  <c r="AC5" i="4"/>
  <c r="AN5" i="4" s="1"/>
  <c r="AB5" i="4"/>
  <c r="AM5" i="4" s="1"/>
  <c r="AA5" i="4"/>
  <c r="AL5" i="4" s="1"/>
  <c r="Z5" i="4"/>
  <c r="AK5" i="4" s="1"/>
  <c r="Y5" i="4"/>
  <c r="AJ5" i="4" s="1"/>
  <c r="Q5" i="4"/>
  <c r="AH4" i="4"/>
  <c r="AS4" i="4" s="1"/>
  <c r="AG4" i="4"/>
  <c r="AR4" i="4" s="1"/>
  <c r="AF4" i="4"/>
  <c r="AQ4" i="4" s="1"/>
  <c r="AE4" i="4"/>
  <c r="AP4" i="4" s="1"/>
  <c r="AD4" i="4"/>
  <c r="AO4" i="4" s="1"/>
  <c r="AC4" i="4"/>
  <c r="AN4" i="4" s="1"/>
  <c r="AB4" i="4"/>
  <c r="AM4" i="4" s="1"/>
  <c r="AA4" i="4"/>
  <c r="AL4" i="4" s="1"/>
  <c r="Z4" i="4"/>
  <c r="AK4" i="4" s="1"/>
  <c r="Y4" i="4"/>
  <c r="AJ4" i="4" s="1"/>
  <c r="Q4" i="4"/>
  <c r="Q3" i="4"/>
  <c r="A97" i="3"/>
  <c r="C92" i="3"/>
  <c r="E92" i="3" s="1"/>
  <c r="E91" i="3"/>
  <c r="C91" i="3"/>
  <c r="E89" i="3"/>
  <c r="C89" i="3"/>
  <c r="E88" i="3"/>
  <c r="C88" i="3"/>
  <c r="T85" i="3"/>
  <c r="S85" i="3"/>
  <c r="Q85" i="3"/>
  <c r="P85" i="3"/>
  <c r="N43" i="3"/>
  <c r="Q84" i="3"/>
  <c r="T84" i="3" s="1"/>
  <c r="P84" i="3"/>
  <c r="S84" i="3" s="1"/>
  <c r="N70" i="3"/>
  <c r="Q83" i="3"/>
  <c r="P83" i="3"/>
  <c r="S83" i="3" s="1"/>
  <c r="N62" i="3"/>
  <c r="S82" i="3"/>
  <c r="Q82" i="3"/>
  <c r="P82" i="3"/>
  <c r="N19" i="3"/>
  <c r="Q81" i="3"/>
  <c r="T81" i="3" s="1"/>
  <c r="P81" i="3"/>
  <c r="S81" i="3" s="1"/>
  <c r="N16" i="3"/>
  <c r="T80" i="3"/>
  <c r="Q80" i="3"/>
  <c r="P80" i="3"/>
  <c r="S80" i="3" s="1"/>
  <c r="N4" i="3"/>
  <c r="Q79" i="3"/>
  <c r="P79" i="3"/>
  <c r="S79" i="3" s="1"/>
  <c r="N49" i="3"/>
  <c r="Q78" i="3"/>
  <c r="T78" i="3" s="1"/>
  <c r="P78" i="3"/>
  <c r="N44" i="3"/>
  <c r="T77" i="3"/>
  <c r="S77" i="3"/>
  <c r="Q77" i="3"/>
  <c r="P77" i="3"/>
  <c r="N82" i="3"/>
  <c r="Q76" i="3"/>
  <c r="T76" i="3" s="1"/>
  <c r="P76" i="3"/>
  <c r="S76" i="3" s="1"/>
  <c r="N79" i="3"/>
  <c r="S75" i="3"/>
  <c r="Q75" i="3"/>
  <c r="T75" i="3" s="1"/>
  <c r="P75" i="3"/>
  <c r="N71" i="3"/>
  <c r="S74" i="3"/>
  <c r="Q74" i="3"/>
  <c r="P74" i="3"/>
  <c r="N85" i="3"/>
  <c r="Q73" i="3"/>
  <c r="P73" i="3"/>
  <c r="S73" i="3" s="1"/>
  <c r="N84" i="3"/>
  <c r="Q72" i="3"/>
  <c r="T72" i="3" s="1"/>
  <c r="P72" i="3"/>
  <c r="S72" i="3" s="1"/>
  <c r="N81" i="3"/>
  <c r="Q71" i="3"/>
  <c r="P71" i="3"/>
  <c r="S71" i="3" s="1"/>
  <c r="N64" i="3"/>
  <c r="S70" i="3"/>
  <c r="Q70" i="3"/>
  <c r="T70" i="3" s="1"/>
  <c r="P70" i="3"/>
  <c r="N69" i="3"/>
  <c r="Q69" i="3"/>
  <c r="P69" i="3"/>
  <c r="S69" i="3" s="1"/>
  <c r="N65" i="3"/>
  <c r="Q68" i="3"/>
  <c r="T68" i="3" s="1"/>
  <c r="P68" i="3"/>
  <c r="S68" i="3" s="1"/>
  <c r="N63" i="3"/>
  <c r="S67" i="3"/>
  <c r="Q67" i="3"/>
  <c r="P67" i="3"/>
  <c r="N67" i="3"/>
  <c r="Q66" i="3"/>
  <c r="P66" i="3"/>
  <c r="S66" i="3" s="1"/>
  <c r="N42" i="3"/>
  <c r="Q65" i="3"/>
  <c r="T65" i="3" s="1"/>
  <c r="P65" i="3"/>
  <c r="S65" i="3" s="1"/>
  <c r="N36" i="3"/>
  <c r="Q64" i="3"/>
  <c r="T64" i="3" s="1"/>
  <c r="P64" i="3"/>
  <c r="S64" i="3" s="1"/>
  <c r="N20" i="3"/>
  <c r="Q63" i="3"/>
  <c r="P63" i="3"/>
  <c r="S63" i="3" s="1"/>
  <c r="N32" i="3"/>
  <c r="Q62" i="3"/>
  <c r="T62" i="3" s="1"/>
  <c r="P62" i="3"/>
  <c r="N41" i="3"/>
  <c r="Q61" i="3"/>
  <c r="P61" i="3"/>
  <c r="S61" i="3" s="1"/>
  <c r="N40" i="3"/>
  <c r="Q60" i="3"/>
  <c r="T60" i="3" s="1"/>
  <c r="P60" i="3"/>
  <c r="S60" i="3" s="1"/>
  <c r="N34" i="3"/>
  <c r="Q59" i="3"/>
  <c r="P59" i="3"/>
  <c r="S59" i="3" s="1"/>
  <c r="N33" i="3"/>
  <c r="T58" i="3"/>
  <c r="Q58" i="3"/>
  <c r="P58" i="3"/>
  <c r="S58" i="3" s="1"/>
  <c r="V58" i="3" s="1"/>
  <c r="N31" i="3"/>
  <c r="Q57" i="3"/>
  <c r="T57" i="3" s="1"/>
  <c r="P57" i="3"/>
  <c r="S57" i="3" s="1"/>
  <c r="N17" i="3"/>
  <c r="Q56" i="3"/>
  <c r="T56" i="3" s="1"/>
  <c r="P56" i="3"/>
  <c r="S56" i="3" s="1"/>
  <c r="N12" i="3"/>
  <c r="S55" i="3"/>
  <c r="Q55" i="3"/>
  <c r="P55" i="3"/>
  <c r="N6" i="3"/>
  <c r="Q54" i="3"/>
  <c r="T54" i="3" s="1"/>
  <c r="P54" i="3"/>
  <c r="N8" i="3"/>
  <c r="T53" i="3"/>
  <c r="Q53" i="3"/>
  <c r="P53" i="3"/>
  <c r="S53" i="3" s="1"/>
  <c r="N15" i="3"/>
  <c r="Q52" i="3"/>
  <c r="T52" i="3" s="1"/>
  <c r="P52" i="3"/>
  <c r="S52" i="3" s="1"/>
  <c r="N14" i="3"/>
  <c r="T51" i="3"/>
  <c r="Q51" i="3"/>
  <c r="P51" i="3"/>
  <c r="S51" i="3" s="1"/>
  <c r="V51" i="3" s="1"/>
  <c r="N10" i="3"/>
  <c r="T50" i="3"/>
  <c r="V50" i="3" s="1"/>
  <c r="S50" i="3"/>
  <c r="Q50" i="3"/>
  <c r="P50" i="3"/>
  <c r="N9" i="3"/>
  <c r="Q49" i="3"/>
  <c r="T49" i="3" s="1"/>
  <c r="P49" i="3"/>
  <c r="S49" i="3" s="1"/>
  <c r="N5" i="3"/>
  <c r="Q48" i="3"/>
  <c r="T48" i="3" s="1"/>
  <c r="P48" i="3"/>
  <c r="S48" i="3" s="1"/>
  <c r="N50" i="3"/>
  <c r="S47" i="3"/>
  <c r="Q47" i="3"/>
  <c r="P47" i="3"/>
  <c r="N80" i="3"/>
  <c r="Q46" i="3"/>
  <c r="T46" i="3" s="1"/>
  <c r="P46" i="3"/>
  <c r="S46" i="3" s="1"/>
  <c r="N73" i="3"/>
  <c r="Q45" i="3"/>
  <c r="P45" i="3"/>
  <c r="S45" i="3" s="1"/>
  <c r="N78" i="3"/>
  <c r="Q44" i="3"/>
  <c r="T44" i="3" s="1"/>
  <c r="P44" i="3"/>
  <c r="S44" i="3" s="1"/>
  <c r="N76" i="3"/>
  <c r="T43" i="3"/>
  <c r="V43" i="3" s="1"/>
  <c r="S43" i="3"/>
  <c r="Q43" i="3"/>
  <c r="P43" i="3"/>
  <c r="N72" i="3"/>
  <c r="Q42" i="3"/>
  <c r="P42" i="3"/>
  <c r="S42" i="3" s="1"/>
  <c r="N66" i="3"/>
  <c r="Q41" i="3"/>
  <c r="T41" i="3" s="1"/>
  <c r="P41" i="3"/>
  <c r="S41" i="3" s="1"/>
  <c r="N68" i="3"/>
  <c r="Q40" i="3"/>
  <c r="T40" i="3" s="1"/>
  <c r="P40" i="3"/>
  <c r="S40" i="3" s="1"/>
  <c r="N38" i="3"/>
  <c r="Q39" i="3"/>
  <c r="P39" i="3"/>
  <c r="S39" i="3" s="1"/>
  <c r="N37" i="3"/>
  <c r="S38" i="3"/>
  <c r="Q38" i="3"/>
  <c r="T38" i="3" s="1"/>
  <c r="P38" i="3"/>
  <c r="N27" i="3"/>
  <c r="Q37" i="3"/>
  <c r="P37" i="3"/>
  <c r="S37" i="3" s="1"/>
  <c r="N22" i="3"/>
  <c r="Q36" i="3"/>
  <c r="T36" i="3" s="1"/>
  <c r="P36" i="3"/>
  <c r="S36" i="3" s="1"/>
  <c r="N30" i="3"/>
  <c r="Q35" i="3"/>
  <c r="T35" i="3" s="1"/>
  <c r="P35" i="3"/>
  <c r="S35" i="3" s="1"/>
  <c r="N29" i="3"/>
  <c r="Q34" i="3"/>
  <c r="P34" i="3"/>
  <c r="S34" i="3" s="1"/>
  <c r="N24" i="3"/>
  <c r="T33" i="3"/>
  <c r="Q33" i="3"/>
  <c r="P33" i="3"/>
  <c r="S33" i="3" s="1"/>
  <c r="N23" i="3"/>
  <c r="Q32" i="3"/>
  <c r="T32" i="3" s="1"/>
  <c r="P32" i="3"/>
  <c r="S32" i="3" s="1"/>
  <c r="N21" i="3"/>
  <c r="T31" i="3"/>
  <c r="Q31" i="3"/>
  <c r="P31" i="3"/>
  <c r="S31" i="3" s="1"/>
  <c r="V31" i="3" s="1"/>
  <c r="N35" i="3"/>
  <c r="S30" i="3"/>
  <c r="Q30" i="3"/>
  <c r="T30" i="3" s="1"/>
  <c r="P30" i="3"/>
  <c r="N13" i="3"/>
  <c r="Q29" i="3"/>
  <c r="T29" i="3" s="1"/>
  <c r="P29" i="3"/>
  <c r="S29" i="3" s="1"/>
  <c r="N7" i="3"/>
  <c r="Q28" i="3"/>
  <c r="T28" i="3" s="1"/>
  <c r="P28" i="3"/>
  <c r="S28" i="3" s="1"/>
  <c r="N11" i="3"/>
  <c r="Q27" i="3"/>
  <c r="P27" i="3"/>
  <c r="S27" i="3" s="1"/>
  <c r="N83" i="3"/>
  <c r="Q26" i="3"/>
  <c r="P26" i="3"/>
  <c r="S26" i="3" s="1"/>
  <c r="N74" i="3"/>
  <c r="Q25" i="3"/>
  <c r="T25" i="3" s="1"/>
  <c r="P25" i="3"/>
  <c r="S25" i="3" s="1"/>
  <c r="N77" i="3"/>
  <c r="Q24" i="3"/>
  <c r="T24" i="3" s="1"/>
  <c r="P24" i="3"/>
  <c r="S24" i="3" s="1"/>
  <c r="N39" i="3"/>
  <c r="T23" i="3"/>
  <c r="V23" i="3" s="1"/>
  <c r="S23" i="3"/>
  <c r="Q23" i="3"/>
  <c r="P23" i="3"/>
  <c r="N28" i="3"/>
  <c r="Q22" i="3"/>
  <c r="T22" i="3" s="1"/>
  <c r="P22" i="3"/>
  <c r="N25" i="3"/>
  <c r="T21" i="3"/>
  <c r="S21" i="3"/>
  <c r="Q21" i="3"/>
  <c r="P21" i="3"/>
  <c r="N58" i="3"/>
  <c r="Q20" i="3"/>
  <c r="T20" i="3" s="1"/>
  <c r="P20" i="3"/>
  <c r="S20" i="3" s="1"/>
  <c r="N51" i="3"/>
  <c r="Q19" i="3"/>
  <c r="P19" i="3"/>
  <c r="S19" i="3" s="1"/>
  <c r="N48" i="3"/>
  <c r="S18" i="3"/>
  <c r="Q18" i="3"/>
  <c r="P18" i="3"/>
  <c r="N45" i="3"/>
  <c r="Q17" i="3"/>
  <c r="T17" i="3" s="1"/>
  <c r="P17" i="3"/>
  <c r="S17" i="3" s="1"/>
  <c r="N61" i="3"/>
  <c r="T16" i="3"/>
  <c r="Q16" i="3"/>
  <c r="P16" i="3"/>
  <c r="S16" i="3" s="1"/>
  <c r="V16" i="3" s="1"/>
  <c r="N59" i="3"/>
  <c r="Q15" i="3"/>
  <c r="P15" i="3"/>
  <c r="S15" i="3" s="1"/>
  <c r="N57" i="3"/>
  <c r="Q14" i="3"/>
  <c r="T14" i="3" s="1"/>
  <c r="P14" i="3"/>
  <c r="N55" i="3"/>
  <c r="T13" i="3"/>
  <c r="S13" i="3"/>
  <c r="Q13" i="3"/>
  <c r="P13" i="3"/>
  <c r="N54" i="3"/>
  <c r="Q12" i="3"/>
  <c r="T12" i="3" s="1"/>
  <c r="P12" i="3"/>
  <c r="S12" i="3" s="1"/>
  <c r="N52" i="3"/>
  <c r="S11" i="3"/>
  <c r="Q11" i="3"/>
  <c r="P11" i="3"/>
  <c r="N18" i="3"/>
  <c r="AJ10" i="3"/>
  <c r="AH10" i="3"/>
  <c r="AS10" i="3" s="1"/>
  <c r="AG10" i="3"/>
  <c r="AR10" i="3" s="1"/>
  <c r="AF10" i="3"/>
  <c r="AQ10" i="3" s="1"/>
  <c r="AE10" i="3"/>
  <c r="AP10" i="3" s="1"/>
  <c r="AD10" i="3"/>
  <c r="AO10" i="3" s="1"/>
  <c r="AC10" i="3"/>
  <c r="AN10" i="3" s="1"/>
  <c r="AB10" i="3"/>
  <c r="AM10" i="3" s="1"/>
  <c r="AA10" i="3"/>
  <c r="AL10" i="3" s="1"/>
  <c r="Z10" i="3"/>
  <c r="AK10" i="3" s="1"/>
  <c r="Y10" i="3"/>
  <c r="Q10" i="3"/>
  <c r="T10" i="3" s="1"/>
  <c r="P10" i="3"/>
  <c r="S10" i="3" s="1"/>
  <c r="N47" i="3"/>
  <c r="AQ9" i="3"/>
  <c r="AP9" i="3"/>
  <c r="AO9" i="3"/>
  <c r="AN9" i="3"/>
  <c r="AL9" i="3"/>
  <c r="AK9" i="3"/>
  <c r="AH9" i="3"/>
  <c r="AS9" i="3" s="1"/>
  <c r="AG9" i="3"/>
  <c r="AR9" i="3" s="1"/>
  <c r="AF9" i="3"/>
  <c r="AE9" i="3"/>
  <c r="AD9" i="3"/>
  <c r="AC9" i="3"/>
  <c r="AB9" i="3"/>
  <c r="AM9" i="3" s="1"/>
  <c r="AA9" i="3"/>
  <c r="Z9" i="3"/>
  <c r="Y9" i="3"/>
  <c r="AJ9" i="3" s="1"/>
  <c r="Q9" i="3"/>
  <c r="P9" i="3"/>
  <c r="S9" i="3" s="1"/>
  <c r="N46" i="3"/>
  <c r="AS8" i="3"/>
  <c r="AR8" i="3"/>
  <c r="AK8" i="3"/>
  <c r="AJ8" i="3"/>
  <c r="AH8" i="3"/>
  <c r="AG8" i="3"/>
  <c r="AF8" i="3"/>
  <c r="AQ8" i="3" s="1"/>
  <c r="AE8" i="3"/>
  <c r="AP8" i="3" s="1"/>
  <c r="AD8" i="3"/>
  <c r="AO8" i="3" s="1"/>
  <c r="AC8" i="3"/>
  <c r="AN8" i="3" s="1"/>
  <c r="AB8" i="3"/>
  <c r="AM8" i="3" s="1"/>
  <c r="AA8" i="3"/>
  <c r="AL8" i="3" s="1"/>
  <c r="Z8" i="3"/>
  <c r="Y8" i="3"/>
  <c r="Q8" i="3"/>
  <c r="T8" i="3" s="1"/>
  <c r="P8" i="3"/>
  <c r="N60" i="3"/>
  <c r="AS7" i="3"/>
  <c r="AR7" i="3"/>
  <c r="AQ7" i="3"/>
  <c r="AP7" i="3"/>
  <c r="AO7" i="3"/>
  <c r="AN7" i="3"/>
  <c r="AM7" i="3"/>
  <c r="AL7" i="3"/>
  <c r="AH7" i="3"/>
  <c r="AG7" i="3"/>
  <c r="AF7" i="3"/>
  <c r="AE7" i="3"/>
  <c r="AD7" i="3"/>
  <c r="AC7" i="3"/>
  <c r="AB7" i="3"/>
  <c r="AA7" i="3"/>
  <c r="Z7" i="3"/>
  <c r="AK7" i="3" s="1"/>
  <c r="Y7" i="3"/>
  <c r="AJ7" i="3" s="1"/>
  <c r="Q7" i="3"/>
  <c r="P7" i="3"/>
  <c r="S7" i="3" s="1"/>
  <c r="N56" i="3"/>
  <c r="AO6" i="3"/>
  <c r="AN6" i="3"/>
  <c r="AM6" i="3"/>
  <c r="AL6" i="3"/>
  <c r="AK6" i="3"/>
  <c r="AJ6" i="3"/>
  <c r="AH6" i="3"/>
  <c r="AS6" i="3" s="1"/>
  <c r="AG6" i="3"/>
  <c r="AR6" i="3" s="1"/>
  <c r="AF6" i="3"/>
  <c r="AQ6" i="3" s="1"/>
  <c r="AE6" i="3"/>
  <c r="AP6" i="3" s="1"/>
  <c r="AD6" i="3"/>
  <c r="AC6" i="3"/>
  <c r="AB6" i="3"/>
  <c r="AA6" i="3"/>
  <c r="Z6" i="3"/>
  <c r="Y6" i="3"/>
  <c r="Q6" i="3"/>
  <c r="P6" i="3"/>
  <c r="S6" i="3" s="1"/>
  <c r="N53" i="3"/>
  <c r="AS5" i="3"/>
  <c r="AR5" i="3"/>
  <c r="AQ5" i="3"/>
  <c r="AP5" i="3"/>
  <c r="AH5" i="3"/>
  <c r="AG5" i="3"/>
  <c r="AF5" i="3"/>
  <c r="AE5" i="3"/>
  <c r="AD5" i="3"/>
  <c r="AO5" i="3" s="1"/>
  <c r="AC5" i="3"/>
  <c r="AN5" i="3" s="1"/>
  <c r="AB5" i="3"/>
  <c r="AM5" i="3" s="1"/>
  <c r="AA5" i="3"/>
  <c r="AL5" i="3" s="1"/>
  <c r="Z5" i="3"/>
  <c r="AK5" i="3" s="1"/>
  <c r="Y5" i="3"/>
  <c r="AJ5" i="3" s="1"/>
  <c r="Q5" i="3"/>
  <c r="P5" i="3"/>
  <c r="S5" i="3" s="1"/>
  <c r="N26" i="3"/>
  <c r="AS4" i="3"/>
  <c r="AR4" i="3"/>
  <c r="AQ4" i="3"/>
  <c r="AP4" i="3"/>
  <c r="AO4" i="3"/>
  <c r="AN4" i="3"/>
  <c r="AM4" i="3"/>
  <c r="AL4" i="3"/>
  <c r="AK4" i="3"/>
  <c r="AJ4" i="3"/>
  <c r="AH4" i="3"/>
  <c r="AG4" i="3"/>
  <c r="AF4" i="3"/>
  <c r="AE4" i="3"/>
  <c r="AD4" i="3"/>
  <c r="AC4" i="3"/>
  <c r="AB4" i="3"/>
  <c r="AA4" i="3"/>
  <c r="Z4" i="3"/>
  <c r="Y4" i="3"/>
  <c r="Q4" i="3"/>
  <c r="P4" i="3"/>
  <c r="S4" i="3" s="1"/>
  <c r="N75" i="3"/>
  <c r="T3" i="3"/>
  <c r="Q3" i="3"/>
  <c r="P3" i="3"/>
  <c r="S3" i="3" s="1"/>
  <c r="V27" i="3" l="1"/>
  <c r="V42" i="3"/>
  <c r="V71" i="3"/>
  <c r="V63" i="3"/>
  <c r="V74" i="3"/>
  <c r="V19" i="3"/>
  <c r="V67" i="3"/>
  <c r="V64" i="3"/>
  <c r="V8" i="3"/>
  <c r="T47" i="3"/>
  <c r="V47" i="3" s="1"/>
  <c r="T67" i="3"/>
  <c r="T74" i="3"/>
  <c r="V24" i="3"/>
  <c r="T37" i="3"/>
  <c r="V37" i="3" s="1"/>
  <c r="S54" i="3"/>
  <c r="V54" i="3" s="1"/>
  <c r="V61" i="3"/>
  <c r="S8" i="3"/>
  <c r="T27" i="3"/>
  <c r="T34" i="3"/>
  <c r="V34" i="3" s="1"/>
  <c r="T71" i="3"/>
  <c r="S14" i="3"/>
  <c r="V14" i="3" s="1"/>
  <c r="V21" i="3"/>
  <c r="V38" i="3"/>
  <c r="V48" i="3"/>
  <c r="T61" i="3"/>
  <c r="S78" i="3"/>
  <c r="V78" i="3" s="1"/>
  <c r="V85" i="3"/>
  <c r="V72" i="3"/>
  <c r="T11" i="3"/>
  <c r="V11" i="3" s="1"/>
  <c r="T18" i="3"/>
  <c r="V18" i="3" s="1"/>
  <c r="T82" i="3"/>
  <c r="V82" i="3" s="1"/>
  <c r="V75" i="3"/>
  <c r="T79" i="3"/>
  <c r="V79" i="3" s="1"/>
  <c r="V35" i="3"/>
  <c r="T39" i="3"/>
  <c r="V39" i="3" s="1"/>
  <c r="T59" i="3"/>
  <c r="V59" i="3" s="1"/>
  <c r="T66" i="3"/>
  <c r="V66" i="3" s="1"/>
  <c r="V73" i="3"/>
  <c r="V53" i="3"/>
  <c r="T73" i="3"/>
  <c r="V80" i="3"/>
  <c r="V57" i="3"/>
  <c r="V32" i="3"/>
  <c r="T45" i="3"/>
  <c r="V45" i="3" s="1"/>
  <c r="T15" i="3"/>
  <c r="V15" i="3" s="1"/>
  <c r="T42" i="3"/>
  <c r="V56" i="3"/>
  <c r="T19" i="3"/>
  <c r="T26" i="3"/>
  <c r="V26" i="3" s="1"/>
  <c r="V33" i="3"/>
  <c r="T63" i="3"/>
  <c r="T83" i="3"/>
  <c r="V83" i="3" s="1"/>
  <c r="V62" i="3"/>
  <c r="T55" i="3"/>
  <c r="V55" i="3" s="1"/>
  <c r="V22" i="3"/>
  <c r="S62" i="3"/>
  <c r="S22" i="3"/>
  <c r="V29" i="3"/>
  <c r="V46" i="3"/>
  <c r="T69" i="3"/>
  <c r="V69" i="3" s="1"/>
  <c r="V13" i="3"/>
  <c r="V40" i="3"/>
  <c r="V77" i="3"/>
  <c r="V49" i="3"/>
  <c r="V17" i="3"/>
  <c r="V25" i="3"/>
  <c r="V70" i="3"/>
  <c r="V81" i="3"/>
  <c r="V41" i="3"/>
  <c r="V65" i="3"/>
  <c r="V30" i="3"/>
  <c r="V10" i="3"/>
  <c r="V12" i="3"/>
  <c r="V20" i="3"/>
  <c r="V28" i="3"/>
  <c r="V36" i="3"/>
  <c r="V44" i="3"/>
  <c r="V52" i="3"/>
  <c r="V60" i="3"/>
  <c r="V68" i="3"/>
  <c r="V76" i="3"/>
  <c r="V84" i="3"/>
  <c r="T7" i="3"/>
  <c r="V7" i="3" s="1"/>
  <c r="T4" i="3"/>
  <c r="V4" i="3" s="1"/>
  <c r="T9" i="3"/>
  <c r="V9" i="3" s="1"/>
  <c r="T6" i="3"/>
  <c r="V6" i="3" s="1"/>
  <c r="T5" i="3"/>
  <c r="V5" i="3" s="1"/>
  <c r="K4" i="2" l="1"/>
  <c r="J4" i="2"/>
  <c r="I4" i="2"/>
  <c r="K61" i="2"/>
  <c r="J61" i="2"/>
  <c r="I61" i="2"/>
  <c r="K101" i="2"/>
  <c r="J101" i="2"/>
  <c r="I101" i="2"/>
  <c r="K100" i="2"/>
  <c r="J100" i="2"/>
  <c r="I100" i="2"/>
  <c r="K3" i="2"/>
  <c r="J3" i="2"/>
  <c r="I3" i="2"/>
  <c r="K21" i="2"/>
  <c r="J21" i="2"/>
  <c r="I21" i="2"/>
  <c r="K73" i="2"/>
  <c r="J73" i="2"/>
  <c r="I73" i="2"/>
  <c r="K70" i="2"/>
  <c r="J70" i="2"/>
  <c r="I70" i="2"/>
  <c r="K44" i="2"/>
  <c r="J44" i="2"/>
  <c r="I44" i="2"/>
  <c r="K43" i="2"/>
  <c r="J43" i="2"/>
  <c r="I43" i="2"/>
  <c r="K2" i="2"/>
  <c r="J2" i="2"/>
  <c r="I2" i="2"/>
  <c r="K91" i="2"/>
  <c r="J91" i="2"/>
  <c r="I91" i="2"/>
  <c r="K82" i="2"/>
  <c r="J82" i="2"/>
  <c r="I82" i="2"/>
  <c r="K81" i="2"/>
  <c r="J81" i="2"/>
  <c r="I81" i="2"/>
  <c r="K83" i="2"/>
  <c r="J83" i="2"/>
  <c r="I83" i="2"/>
  <c r="K86" i="2"/>
  <c r="J86" i="2"/>
  <c r="I86" i="2"/>
  <c r="K63" i="2"/>
  <c r="J63" i="2"/>
  <c r="I63" i="2"/>
  <c r="K62" i="2"/>
  <c r="J62" i="2"/>
  <c r="I62" i="2"/>
  <c r="K72" i="2"/>
  <c r="J72" i="2"/>
  <c r="I72" i="2"/>
  <c r="K71" i="2"/>
  <c r="J71" i="2"/>
  <c r="I71" i="2"/>
  <c r="K10" i="2"/>
  <c r="J10" i="2"/>
  <c r="I10" i="2"/>
  <c r="K9" i="2"/>
  <c r="J9" i="2"/>
  <c r="I9" i="2"/>
  <c r="K27" i="2"/>
  <c r="J27" i="2"/>
  <c r="I27" i="2"/>
  <c r="K24" i="2"/>
  <c r="J24" i="2"/>
  <c r="I24" i="2"/>
  <c r="K65" i="2"/>
  <c r="J65" i="2"/>
  <c r="I65" i="2"/>
  <c r="K64" i="2"/>
  <c r="J64" i="2"/>
  <c r="I64" i="2"/>
  <c r="K88" i="2"/>
  <c r="J88" i="2"/>
  <c r="I88" i="2"/>
  <c r="K87" i="2"/>
  <c r="J87" i="2"/>
  <c r="I87" i="2"/>
  <c r="K38" i="2"/>
  <c r="J38" i="2"/>
  <c r="I38" i="2"/>
  <c r="K37" i="2"/>
  <c r="J37" i="2"/>
  <c r="I37" i="2"/>
  <c r="K99" i="2"/>
  <c r="J99" i="2"/>
  <c r="I99" i="2"/>
  <c r="K54" i="2"/>
  <c r="J54" i="2"/>
  <c r="I54" i="2"/>
  <c r="K51" i="2"/>
  <c r="J51" i="2"/>
  <c r="I51" i="2"/>
  <c r="K50" i="2"/>
  <c r="J50" i="2"/>
  <c r="I50" i="2"/>
  <c r="K56" i="2"/>
  <c r="J56" i="2"/>
  <c r="I56" i="2"/>
  <c r="K55" i="2"/>
  <c r="J55" i="2"/>
  <c r="I55" i="2"/>
  <c r="K96" i="2"/>
  <c r="J96" i="2"/>
  <c r="I96" i="2"/>
  <c r="K95" i="2"/>
  <c r="J95" i="2"/>
  <c r="I95" i="2"/>
  <c r="K29" i="2"/>
  <c r="J29" i="2"/>
  <c r="I29" i="2"/>
  <c r="K28" i="2"/>
  <c r="J28" i="2"/>
  <c r="I28" i="2"/>
  <c r="K60" i="2"/>
  <c r="J60" i="2"/>
  <c r="I60" i="2"/>
  <c r="K59" i="2"/>
  <c r="J59" i="2"/>
  <c r="I59" i="2"/>
  <c r="K46" i="2"/>
  <c r="J46" i="2"/>
  <c r="I46" i="2"/>
  <c r="K30" i="2"/>
  <c r="J30" i="2"/>
  <c r="I30" i="2"/>
  <c r="K6" i="2"/>
  <c r="J6" i="2"/>
  <c r="I6" i="2"/>
  <c r="K5" i="2"/>
  <c r="J5" i="2"/>
  <c r="I5" i="2"/>
  <c r="K92" i="2"/>
  <c r="J92" i="2"/>
  <c r="I92" i="2"/>
  <c r="K76" i="2"/>
  <c r="J76" i="2"/>
  <c r="I76" i="2"/>
  <c r="K16" i="2"/>
  <c r="J16" i="2"/>
  <c r="I16" i="2"/>
  <c r="K15" i="2"/>
  <c r="J15" i="2"/>
  <c r="I15" i="2"/>
  <c r="K90" i="2"/>
  <c r="J90" i="2"/>
  <c r="I90" i="2"/>
  <c r="K89" i="2"/>
  <c r="J89" i="2"/>
  <c r="I89" i="2"/>
  <c r="K32" i="2"/>
  <c r="J32" i="2"/>
  <c r="I32" i="2"/>
  <c r="K31" i="2"/>
  <c r="J31" i="2"/>
  <c r="I31" i="2"/>
  <c r="K20" i="2"/>
  <c r="J20" i="2"/>
  <c r="I20" i="2"/>
  <c r="K19" i="2"/>
  <c r="J19" i="2"/>
  <c r="I19" i="2"/>
  <c r="K39" i="2"/>
  <c r="J39" i="2"/>
  <c r="I39" i="2"/>
  <c r="K34" i="2"/>
  <c r="J34" i="2"/>
  <c r="I34" i="2"/>
  <c r="K11" i="2"/>
  <c r="J11" i="2"/>
  <c r="I11" i="2"/>
  <c r="K14" i="2"/>
  <c r="J14" i="2"/>
  <c r="I14" i="2"/>
  <c r="K78" i="2"/>
  <c r="J78" i="2"/>
  <c r="I78" i="2"/>
  <c r="K77" i="2"/>
  <c r="J77" i="2"/>
  <c r="I77" i="2"/>
  <c r="K17" i="2"/>
  <c r="J17" i="2"/>
  <c r="I17" i="2"/>
  <c r="K12" i="2"/>
  <c r="J12" i="2"/>
  <c r="I12" i="2"/>
  <c r="K33" i="2"/>
  <c r="J33" i="2"/>
  <c r="I33" i="2"/>
  <c r="K36" i="2"/>
  <c r="J36" i="2"/>
  <c r="I36" i="2"/>
  <c r="K58" i="2"/>
  <c r="J58" i="2"/>
  <c r="I58" i="2"/>
  <c r="K48" i="2"/>
  <c r="J48" i="2"/>
  <c r="I48" i="2"/>
  <c r="K8" i="2"/>
  <c r="J8" i="2"/>
  <c r="I8" i="2"/>
  <c r="K7" i="2"/>
  <c r="J7" i="2"/>
  <c r="I7" i="2"/>
  <c r="K75" i="2"/>
  <c r="J75" i="2"/>
  <c r="I75" i="2"/>
  <c r="K74" i="2"/>
  <c r="J74" i="2"/>
  <c r="I74" i="2"/>
  <c r="K53" i="2"/>
  <c r="J53" i="2"/>
  <c r="I53" i="2"/>
  <c r="K52" i="2"/>
  <c r="J52" i="2"/>
  <c r="I52" i="2"/>
  <c r="K23" i="2"/>
  <c r="J23" i="2"/>
  <c r="I23" i="2"/>
  <c r="K22" i="2"/>
  <c r="J22" i="2"/>
  <c r="I22" i="2"/>
  <c r="K42" i="2"/>
  <c r="J42" i="2"/>
  <c r="I42" i="2"/>
  <c r="K41" i="2"/>
  <c r="J41" i="2"/>
  <c r="I41" i="2"/>
  <c r="K69" i="2"/>
  <c r="J69" i="2"/>
  <c r="I69" i="2"/>
  <c r="K68" i="2"/>
  <c r="J68" i="2"/>
  <c r="I68" i="2"/>
  <c r="K85" i="2"/>
  <c r="J85" i="2"/>
  <c r="I85" i="2"/>
  <c r="K84" i="2"/>
  <c r="J84" i="2"/>
  <c r="I84" i="2"/>
  <c r="K45" i="2"/>
  <c r="J45" i="2"/>
  <c r="I45" i="2"/>
  <c r="K49" i="2"/>
  <c r="J49" i="2"/>
  <c r="I49" i="2"/>
  <c r="K80" i="2"/>
  <c r="J80" i="2"/>
  <c r="I80" i="2"/>
  <c r="K79" i="2"/>
  <c r="J79" i="2"/>
  <c r="I79" i="2"/>
  <c r="K66" i="2"/>
  <c r="J66" i="2"/>
  <c r="I66" i="2"/>
  <c r="K67" i="2"/>
  <c r="J67" i="2"/>
  <c r="I67" i="2"/>
  <c r="K18" i="2"/>
  <c r="J18" i="2"/>
  <c r="I18" i="2"/>
  <c r="K13" i="2"/>
  <c r="J13" i="2"/>
  <c r="I13" i="2"/>
  <c r="K26" i="2"/>
  <c r="J26" i="2"/>
  <c r="I26" i="2"/>
  <c r="K25" i="2"/>
  <c r="J25" i="2"/>
  <c r="I25" i="2"/>
  <c r="K94" i="2"/>
  <c r="J94" i="2"/>
  <c r="I94" i="2"/>
  <c r="K93" i="2"/>
  <c r="J93" i="2"/>
  <c r="I93" i="2"/>
  <c r="K57" i="2"/>
  <c r="J57" i="2"/>
  <c r="I57" i="2"/>
  <c r="K47" i="2"/>
  <c r="J47" i="2"/>
  <c r="I47" i="2"/>
  <c r="K40" i="2"/>
  <c r="J40" i="2"/>
  <c r="I40" i="2"/>
  <c r="K35" i="2"/>
  <c r="J35" i="2"/>
  <c r="I35" i="2"/>
  <c r="K98" i="2"/>
  <c r="J98" i="2"/>
  <c r="I98" i="2"/>
  <c r="K97" i="2"/>
  <c r="J97" i="2"/>
  <c r="I97" i="2"/>
  <c r="J3" i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K2" i="1"/>
  <c r="J2" i="1"/>
  <c r="I87" i="1"/>
  <c r="I67" i="1" l="1"/>
  <c r="I95" i="1"/>
  <c r="I29" i="1"/>
  <c r="I17" i="1"/>
  <c r="I33" i="1"/>
  <c r="I63" i="1"/>
  <c r="I91" i="1"/>
  <c r="I25" i="1"/>
  <c r="I76" i="1"/>
  <c r="I62" i="1"/>
  <c r="I21" i="1"/>
  <c r="I16" i="1"/>
  <c r="I26" i="1"/>
  <c r="I36" i="1"/>
  <c r="I52" i="1"/>
  <c r="I90" i="1"/>
  <c r="I27" i="1"/>
  <c r="I37" i="1"/>
  <c r="I53" i="1"/>
  <c r="I2" i="1"/>
  <c r="I28" i="1"/>
  <c r="I38" i="1"/>
  <c r="I54" i="1"/>
  <c r="I64" i="1"/>
  <c r="I72" i="1"/>
  <c r="I3" i="1"/>
  <c r="I39" i="1"/>
  <c r="I55" i="1"/>
  <c r="I73" i="1"/>
  <c r="I92" i="1"/>
  <c r="I4" i="1"/>
  <c r="I18" i="1"/>
  <c r="I40" i="1"/>
  <c r="I56" i="1"/>
  <c r="I93" i="1"/>
  <c r="I80" i="1"/>
  <c r="I5" i="1"/>
  <c r="I19" i="1"/>
  <c r="I41" i="1"/>
  <c r="I57" i="1"/>
  <c r="I74" i="1"/>
  <c r="I82" i="1"/>
  <c r="I94" i="1"/>
  <c r="I6" i="1"/>
  <c r="I20" i="1"/>
  <c r="I30" i="1"/>
  <c r="I42" i="1"/>
  <c r="I58" i="1"/>
  <c r="I75" i="1"/>
  <c r="I83" i="1"/>
  <c r="I15" i="1"/>
  <c r="I96" i="1"/>
  <c r="I10" i="1"/>
  <c r="I22" i="1"/>
  <c r="I46" i="1"/>
  <c r="I97" i="1"/>
  <c r="I11" i="1"/>
  <c r="I23" i="1"/>
  <c r="I47" i="1"/>
  <c r="I98" i="1"/>
  <c r="I84" i="1"/>
  <c r="I8" i="1"/>
  <c r="I60" i="1"/>
  <c r="I85" i="1"/>
  <c r="I86" i="1"/>
  <c r="I12" i="1"/>
  <c r="I24" i="1"/>
  <c r="I48" i="1"/>
  <c r="I69" i="1"/>
  <c r="I99" i="1"/>
  <c r="I35" i="1"/>
  <c r="I44" i="1"/>
  <c r="I45" i="1"/>
  <c r="I61" i="1"/>
  <c r="I13" i="1"/>
  <c r="I49" i="1"/>
  <c r="I88" i="1"/>
  <c r="I100" i="1"/>
  <c r="I51" i="1"/>
  <c r="I7" i="1"/>
  <c r="I31" i="1"/>
  <c r="I43" i="1"/>
  <c r="I59" i="1"/>
  <c r="I32" i="1"/>
  <c r="I14" i="1"/>
  <c r="I34" i="1"/>
  <c r="I50" i="1"/>
  <c r="I89" i="1"/>
  <c r="I101" i="1"/>
  <c r="I78" i="1"/>
  <c r="I71" i="1"/>
  <c r="I68" i="1"/>
  <c r="I79" i="1"/>
  <c r="I65" i="1"/>
  <c r="I66" i="1"/>
  <c r="I70" i="1"/>
  <c r="I77" i="1"/>
  <c r="I81" i="1"/>
  <c r="I9" i="1" l="1"/>
</calcChain>
</file>

<file path=xl/sharedStrings.xml><?xml version="1.0" encoding="utf-8"?>
<sst xmlns="http://schemas.openxmlformats.org/spreadsheetml/2006/main" count="3271" uniqueCount="835">
  <si>
    <t>十五音</t>
  </si>
  <si>
    <t>1</t>
  </si>
  <si>
    <t>君</t>
  </si>
  <si>
    <t>un</t>
  </si>
  <si>
    <t>ut</t>
  </si>
  <si>
    <t>不</t>
  </si>
  <si>
    <t>2</t>
  </si>
  <si>
    <t>堅</t>
  </si>
  <si>
    <t>ian</t>
  </si>
  <si>
    <t>掀</t>
  </si>
  <si>
    <t>iat</t>
  </si>
  <si>
    <t>別</t>
  </si>
  <si>
    <t>3</t>
  </si>
  <si>
    <t>金</t>
  </si>
  <si>
    <t>im</t>
  </si>
  <si>
    <t>深</t>
  </si>
  <si>
    <t>ip</t>
  </si>
  <si>
    <t>蟄</t>
  </si>
  <si>
    <t>4</t>
  </si>
  <si>
    <t>規</t>
  </si>
  <si>
    <t>ui</t>
  </si>
  <si>
    <t>歸</t>
  </si>
  <si>
    <t>uih</t>
  </si>
  <si>
    <t>uh</t>
  </si>
  <si>
    <t>ㄨㄧㆷ</t>
  </si>
  <si>
    <t>5</t>
  </si>
  <si>
    <t>嘉</t>
  </si>
  <si>
    <t>e</t>
  </si>
  <si>
    <t>家</t>
  </si>
  <si>
    <t>eh</t>
  </si>
  <si>
    <t>八</t>
  </si>
  <si>
    <t>6</t>
  </si>
  <si>
    <t>干</t>
  </si>
  <si>
    <t>an</t>
  </si>
  <si>
    <t>蘭</t>
  </si>
  <si>
    <t>at</t>
  </si>
  <si>
    <t>識</t>
  </si>
  <si>
    <t>7</t>
  </si>
  <si>
    <t>公</t>
  </si>
  <si>
    <t>ong</t>
  </si>
  <si>
    <t>ㆲ</t>
  </si>
  <si>
    <t>風</t>
  </si>
  <si>
    <t>ok</t>
  </si>
  <si>
    <t>ㆦㆻ</t>
  </si>
  <si>
    <t>福</t>
  </si>
  <si>
    <t>8</t>
  </si>
  <si>
    <t>乖</t>
  </si>
  <si>
    <t>uai</t>
  </si>
  <si>
    <t>怪</t>
  </si>
  <si>
    <t>uaih</t>
  </si>
  <si>
    <t>uah</t>
  </si>
  <si>
    <t>9</t>
  </si>
  <si>
    <t>經</t>
  </si>
  <si>
    <t>ing</t>
  </si>
  <si>
    <t>情</t>
  </si>
  <si>
    <t>ik</t>
  </si>
  <si>
    <t>益</t>
  </si>
  <si>
    <t>10</t>
  </si>
  <si>
    <t>觀</t>
  </si>
  <si>
    <t>uan</t>
  </si>
  <si>
    <t>猿</t>
  </si>
  <si>
    <t>uat</t>
  </si>
  <si>
    <t>說</t>
  </si>
  <si>
    <t>11</t>
  </si>
  <si>
    <t>沽</t>
  </si>
  <si>
    <t>oo</t>
  </si>
  <si>
    <t>ㆦ</t>
  </si>
  <si>
    <t>捕</t>
  </si>
  <si>
    <t>12</t>
  </si>
  <si>
    <t>嬌</t>
  </si>
  <si>
    <t>iau</t>
  </si>
  <si>
    <t>iao</t>
  </si>
  <si>
    <t>遙</t>
  </si>
  <si>
    <t>iaoh</t>
  </si>
  <si>
    <t>噭</t>
  </si>
  <si>
    <t>13</t>
  </si>
  <si>
    <t>稽</t>
  </si>
  <si>
    <t>ㆤ</t>
  </si>
  <si>
    <t>遞</t>
  </si>
  <si>
    <t>ㆤㆷ</t>
  </si>
  <si>
    <t>14</t>
  </si>
  <si>
    <t>恭</t>
  </si>
  <si>
    <t>iong</t>
  </si>
  <si>
    <t>中</t>
  </si>
  <si>
    <t>iook</t>
  </si>
  <si>
    <t>iok</t>
  </si>
  <si>
    <t>俗</t>
  </si>
  <si>
    <t>15</t>
  </si>
  <si>
    <t>高</t>
  </si>
  <si>
    <t>or</t>
  </si>
  <si>
    <t>o</t>
  </si>
  <si>
    <t>果</t>
  </si>
  <si>
    <t>oh</t>
  </si>
  <si>
    <t>卜</t>
  </si>
  <si>
    <t>16</t>
  </si>
  <si>
    <t>皆</t>
  </si>
  <si>
    <t>ai</t>
  </si>
  <si>
    <t>埃</t>
  </si>
  <si>
    <t>ㄞㆷ</t>
  </si>
  <si>
    <t>17</t>
  </si>
  <si>
    <t>巾</t>
  </si>
  <si>
    <t>in</t>
  </si>
  <si>
    <t>恩</t>
  </si>
  <si>
    <t>it</t>
  </si>
  <si>
    <t>一</t>
  </si>
  <si>
    <t>18</t>
  </si>
  <si>
    <t>姜</t>
  </si>
  <si>
    <t>iang</t>
  </si>
  <si>
    <t>將</t>
  </si>
  <si>
    <t>iak</t>
  </si>
  <si>
    <t>爆</t>
  </si>
  <si>
    <t>19</t>
  </si>
  <si>
    <t>甘</t>
  </si>
  <si>
    <t>am</t>
  </si>
  <si>
    <t>ㆰ</t>
  </si>
  <si>
    <t>堪</t>
  </si>
  <si>
    <t>ap</t>
  </si>
  <si>
    <t>答</t>
  </si>
  <si>
    <t>20</t>
  </si>
  <si>
    <t>瓜</t>
  </si>
  <si>
    <t>ua</t>
  </si>
  <si>
    <t>花</t>
  </si>
  <si>
    <t>缽</t>
  </si>
  <si>
    <t>21</t>
  </si>
  <si>
    <t>江</t>
  </si>
  <si>
    <t>ang</t>
  </si>
  <si>
    <t>邦</t>
  </si>
  <si>
    <t>ak</t>
  </si>
  <si>
    <t>角</t>
  </si>
  <si>
    <t>22</t>
  </si>
  <si>
    <t>兼</t>
  </si>
  <si>
    <t>iam</t>
  </si>
  <si>
    <t>尖</t>
  </si>
  <si>
    <t>iap</t>
  </si>
  <si>
    <t>接</t>
  </si>
  <si>
    <t>23</t>
  </si>
  <si>
    <t>交</t>
  </si>
  <si>
    <t>au</t>
  </si>
  <si>
    <t>ao</t>
  </si>
  <si>
    <t>鬧</t>
  </si>
  <si>
    <t>auh</t>
  </si>
  <si>
    <t>aoh</t>
  </si>
  <si>
    <t>暴</t>
  </si>
  <si>
    <t>24</t>
  </si>
  <si>
    <t>迦</t>
  </si>
  <si>
    <t>ia</t>
  </si>
  <si>
    <t>名</t>
  </si>
  <si>
    <t>iah</t>
  </si>
  <si>
    <t>壁</t>
  </si>
  <si>
    <t>25</t>
  </si>
  <si>
    <t>檜</t>
  </si>
  <si>
    <t>ue</t>
  </si>
  <si>
    <t>話</t>
  </si>
  <si>
    <t>ueh</t>
  </si>
  <si>
    <t>拔</t>
  </si>
  <si>
    <t>26</t>
  </si>
  <si>
    <t>監</t>
  </si>
  <si>
    <t>ann</t>
  </si>
  <si>
    <t>na</t>
  </si>
  <si>
    <t>ㆩ</t>
  </si>
  <si>
    <t>聽</t>
  </si>
  <si>
    <t>annh</t>
  </si>
  <si>
    <t>nah</t>
  </si>
  <si>
    <t>ㆩㆷ</t>
  </si>
  <si>
    <t>含</t>
  </si>
  <si>
    <t>27</t>
  </si>
  <si>
    <t>艍</t>
  </si>
  <si>
    <t>u</t>
  </si>
  <si>
    <t>夫</t>
  </si>
  <si>
    <t>勃</t>
  </si>
  <si>
    <t>28</t>
  </si>
  <si>
    <t>膠</t>
  </si>
  <si>
    <t>a</t>
  </si>
  <si>
    <t>些</t>
  </si>
  <si>
    <t>ah</t>
  </si>
  <si>
    <t>百</t>
  </si>
  <si>
    <t>29</t>
  </si>
  <si>
    <t>居</t>
  </si>
  <si>
    <t>i</t>
  </si>
  <si>
    <t>爾</t>
  </si>
  <si>
    <t>ih</t>
  </si>
  <si>
    <t>逼</t>
  </si>
  <si>
    <t>30</t>
  </si>
  <si>
    <t>丩</t>
  </si>
  <si>
    <t>iu</t>
  </si>
  <si>
    <t>油</t>
  </si>
  <si>
    <t>ㄧㄨㆷ</t>
  </si>
  <si>
    <t>31</t>
  </si>
  <si>
    <t>更</t>
  </si>
  <si>
    <t>enn</t>
  </si>
  <si>
    <t>ne</t>
  </si>
  <si>
    <t>ㆥ</t>
  </si>
  <si>
    <t>爭</t>
  </si>
  <si>
    <t>ㆥㆷ</t>
  </si>
  <si>
    <t>挾</t>
  </si>
  <si>
    <t>32</t>
  </si>
  <si>
    <t>褌</t>
  </si>
  <si>
    <t>uinn</t>
  </si>
  <si>
    <t>nui</t>
  </si>
  <si>
    <t>荒</t>
  </si>
  <si>
    <t>ㄨㆪㆷ</t>
  </si>
  <si>
    <t>33</t>
  </si>
  <si>
    <t>茄</t>
  </si>
  <si>
    <t>ior</t>
  </si>
  <si>
    <t>io</t>
  </si>
  <si>
    <t>少</t>
  </si>
  <si>
    <t>iorh</t>
  </si>
  <si>
    <t>ioh</t>
  </si>
  <si>
    <t>著</t>
  </si>
  <si>
    <t>34</t>
  </si>
  <si>
    <t>梔</t>
  </si>
  <si>
    <t>inn</t>
  </si>
  <si>
    <t>ni</t>
  </si>
  <si>
    <t>ㆪ</t>
  </si>
  <si>
    <t>庚</t>
  </si>
  <si>
    <t>nih</t>
  </si>
  <si>
    <t>ㆪㆷ</t>
  </si>
  <si>
    <t>欷</t>
  </si>
  <si>
    <t>35</t>
  </si>
  <si>
    <t>薑</t>
  </si>
  <si>
    <t>ioonn</t>
  </si>
  <si>
    <t>腔</t>
  </si>
  <si>
    <t>ㄧㆧㆷ</t>
  </si>
  <si>
    <t>36</t>
  </si>
  <si>
    <t>驚</t>
  </si>
  <si>
    <t>iann</t>
  </si>
  <si>
    <t>nia</t>
  </si>
  <si>
    <t>且</t>
  </si>
  <si>
    <t>ㄧㆩㆷ</t>
  </si>
  <si>
    <t>37</t>
  </si>
  <si>
    <t>官</t>
  </si>
  <si>
    <t>uann</t>
  </si>
  <si>
    <t>nua</t>
  </si>
  <si>
    <t>肝</t>
  </si>
  <si>
    <t>ㄨㆩㆷ</t>
  </si>
  <si>
    <t>38</t>
  </si>
  <si>
    <t>鋼</t>
  </si>
  <si>
    <t>ng</t>
  </si>
  <si>
    <t>ㆭ</t>
  </si>
  <si>
    <t>床</t>
  </si>
  <si>
    <t>ㆭㆷ</t>
  </si>
  <si>
    <t>39</t>
  </si>
  <si>
    <t>伽</t>
  </si>
  <si>
    <t>會</t>
  </si>
  <si>
    <t>伯</t>
  </si>
  <si>
    <t>40</t>
  </si>
  <si>
    <t>閒</t>
  </si>
  <si>
    <t>ainn</t>
  </si>
  <si>
    <t>nai</t>
  </si>
  <si>
    <t>ㆮ</t>
  </si>
  <si>
    <t>挨</t>
  </si>
  <si>
    <t>ㆮㆷ</t>
  </si>
  <si>
    <t>41</t>
  </si>
  <si>
    <t>姑</t>
  </si>
  <si>
    <t>oonn</t>
  </si>
  <si>
    <t>noo</t>
  </si>
  <si>
    <t>ㆧ</t>
  </si>
  <si>
    <t>張</t>
  </si>
  <si>
    <t>42</t>
  </si>
  <si>
    <t>姆</t>
  </si>
  <si>
    <t>m</t>
  </si>
  <si>
    <t>ㆬ</t>
  </si>
  <si>
    <t>43</t>
  </si>
  <si>
    <t>光</t>
  </si>
  <si>
    <t>uang</t>
  </si>
  <si>
    <t>闖</t>
  </si>
  <si>
    <t>uak</t>
  </si>
  <si>
    <t>伏</t>
  </si>
  <si>
    <t>44</t>
  </si>
  <si>
    <t>閂</t>
  </si>
  <si>
    <t>uainn</t>
  </si>
  <si>
    <t>nuai</t>
  </si>
  <si>
    <t>檨</t>
  </si>
  <si>
    <t>uainnh</t>
  </si>
  <si>
    <t>nuaih</t>
  </si>
  <si>
    <t>蹶</t>
  </si>
  <si>
    <t>45</t>
  </si>
  <si>
    <t>糜</t>
  </si>
  <si>
    <t>uenn</t>
  </si>
  <si>
    <t>nue</t>
  </si>
  <si>
    <t/>
  </si>
  <si>
    <t>46</t>
  </si>
  <si>
    <t>嘄</t>
  </si>
  <si>
    <t>iaunn</t>
  </si>
  <si>
    <t>niao</t>
  </si>
  <si>
    <t>鳥</t>
  </si>
  <si>
    <t>iaunnh</t>
  </si>
  <si>
    <t>niaoh</t>
  </si>
  <si>
    <t>47</t>
  </si>
  <si>
    <t>箴</t>
  </si>
  <si>
    <t>oom</t>
  </si>
  <si>
    <t>ㆱ</t>
  </si>
  <si>
    <t>丼</t>
  </si>
  <si>
    <t>oop</t>
  </si>
  <si>
    <t>ㆦㆴ</t>
  </si>
  <si>
    <t>吷</t>
  </si>
  <si>
    <t>48</t>
  </si>
  <si>
    <t>爻</t>
  </si>
  <si>
    <t>aunn</t>
  </si>
  <si>
    <t>nao</t>
  </si>
  <si>
    <t>ㆯ</t>
  </si>
  <si>
    <t>懸</t>
  </si>
  <si>
    <t>49</t>
  </si>
  <si>
    <t>扛</t>
  </si>
  <si>
    <t>ornn</t>
  </si>
  <si>
    <t>呼</t>
  </si>
  <si>
    <t>onnh</t>
  </si>
  <si>
    <t>ㆧㆷ</t>
  </si>
  <si>
    <t>50</t>
  </si>
  <si>
    <t>牛</t>
  </si>
  <si>
    <t>iunn</t>
  </si>
  <si>
    <t>niu</t>
  </si>
  <si>
    <t>香</t>
  </si>
  <si>
    <t>LEN()</t>
    <phoneticPr fontId="2" type="noConversion"/>
  </si>
  <si>
    <t>uh</t>
    <phoneticPr fontId="2" type="noConversion"/>
  </si>
  <si>
    <t>ee</t>
    <phoneticPr fontId="2" type="noConversion"/>
  </si>
  <si>
    <t>eeh</t>
    <phoneticPr fontId="2" type="noConversion"/>
  </si>
  <si>
    <t>uah</t>
    <phoneticPr fontId="2" type="noConversion"/>
  </si>
  <si>
    <t>ing</t>
    <phoneticPr fontId="2" type="noConversion"/>
  </si>
  <si>
    <t>ooh</t>
    <phoneticPr fontId="2" type="noConversion"/>
  </si>
  <si>
    <t>ㆦㆷ</t>
    <phoneticPr fontId="2" type="noConversion"/>
  </si>
  <si>
    <t>eh</t>
    <phoneticPr fontId="2" type="noConversion"/>
  </si>
  <si>
    <t>ㆤㆷ</t>
    <phoneticPr fontId="2" type="noConversion"/>
  </si>
  <si>
    <t>aih</t>
    <phoneticPr fontId="2" type="noConversion"/>
  </si>
  <si>
    <t>iuh</t>
    <phoneticPr fontId="2" type="noConversion"/>
  </si>
  <si>
    <t>neh</t>
    <phoneticPr fontId="2" type="noConversion"/>
  </si>
  <si>
    <t>nuih</t>
    <phoneticPr fontId="2" type="noConversion"/>
  </si>
  <si>
    <t>nio</t>
    <phoneticPr fontId="2" type="noConversion"/>
  </si>
  <si>
    <t>nioh</t>
    <phoneticPr fontId="2" type="noConversion"/>
  </si>
  <si>
    <t>niah</t>
    <phoneticPr fontId="2" type="noConversion"/>
  </si>
  <si>
    <t>nuah</t>
    <phoneticPr fontId="2" type="noConversion"/>
  </si>
  <si>
    <t>ngh</t>
    <phoneticPr fontId="2" type="noConversion"/>
  </si>
  <si>
    <t>naih</t>
    <phoneticPr fontId="2" type="noConversion"/>
  </si>
  <si>
    <t>oom</t>
    <phoneticPr fontId="2" type="noConversion"/>
  </si>
  <si>
    <t>oop</t>
    <phoneticPr fontId="2" type="noConversion"/>
  </si>
  <si>
    <t>no</t>
    <phoneticPr fontId="2" type="noConversion"/>
  </si>
  <si>
    <t>noh</t>
    <phoneticPr fontId="2" type="noConversion"/>
  </si>
  <si>
    <r>
      <rPr>
        <sz val="24"/>
        <color theme="1"/>
        <rFont val="吳守禮細明台語注音"/>
        <family val="1"/>
        <charset val="136"/>
      </rPr>
      <t>◯</t>
    </r>
  </si>
  <si>
    <r>
      <rPr>
        <sz val="18"/>
        <color theme="3" tint="0.499984740745262"/>
        <rFont val="Noto Sans TC Medium"/>
        <family val="2"/>
        <charset val="136"/>
      </rPr>
      <t>識別號</t>
    </r>
  </si>
  <si>
    <r>
      <rPr>
        <sz val="18"/>
        <color theme="3" tint="0.499984740745262"/>
        <rFont val="Noto Sans TC Medium"/>
        <family val="2"/>
        <charset val="136"/>
      </rPr>
      <t>十五音序</t>
    </r>
    <phoneticPr fontId="2" type="noConversion"/>
  </si>
  <si>
    <r>
      <rPr>
        <sz val="18"/>
        <color theme="3" tint="0.499984740745262"/>
        <rFont val="Noto Sans TC Medium"/>
        <family val="2"/>
        <charset val="136"/>
      </rPr>
      <t>舒促聲</t>
    </r>
  </si>
  <si>
    <r>
      <rPr>
        <sz val="18"/>
        <color theme="3" tint="0.499984740745262"/>
        <rFont val="Noto Sans TC Medium"/>
        <family val="2"/>
        <charset val="136"/>
      </rPr>
      <t>注音二式</t>
    </r>
  </si>
  <si>
    <r>
      <rPr>
        <sz val="18"/>
        <color theme="3" tint="0.499984740745262"/>
        <rFont val="Noto Sans TC Medium"/>
        <family val="2"/>
        <charset val="136"/>
      </rPr>
      <t>閩拼方案</t>
    </r>
  </si>
  <si>
    <r>
      <rPr>
        <sz val="18"/>
        <color theme="3" tint="0.499984740745262"/>
        <rFont val="Noto Sans TC Medium"/>
        <family val="2"/>
        <charset val="136"/>
      </rPr>
      <t>方音符號</t>
    </r>
  </si>
  <si>
    <r>
      <rPr>
        <sz val="18"/>
        <color theme="3" tint="0.499984740745262"/>
        <rFont val="Noto Sans TC Medium"/>
        <family val="2"/>
        <charset val="136"/>
      </rPr>
      <t>漢字例</t>
    </r>
  </si>
  <si>
    <r>
      <rPr>
        <sz val="18"/>
        <color theme="1"/>
        <rFont val="新細明體"/>
        <family val="2"/>
        <charset val="136"/>
      </rPr>
      <t>舒聲</t>
    </r>
  </si>
  <si>
    <r>
      <rPr>
        <sz val="18"/>
        <color theme="1"/>
        <rFont val="新細明體"/>
        <family val="2"/>
        <charset val="136"/>
      </rPr>
      <t>ㄨㄣ</t>
    </r>
  </si>
  <si>
    <r>
      <rPr>
        <sz val="18"/>
        <color theme="1"/>
        <rFont val="新細明體"/>
        <family val="2"/>
        <charset val="136"/>
      </rPr>
      <t>促聲</t>
    </r>
  </si>
  <si>
    <r>
      <rPr>
        <sz val="18"/>
        <color theme="1"/>
        <rFont val="新細明體"/>
        <family val="2"/>
        <charset val="136"/>
      </rPr>
      <t>ㄨ</t>
    </r>
    <r>
      <rPr>
        <sz val="18"/>
        <color theme="1"/>
        <rFont val="Cascadia Mono SemiBold"/>
        <family val="3"/>
      </rPr>
      <t>ㆵ</t>
    </r>
  </si>
  <si>
    <r>
      <rPr>
        <sz val="18"/>
        <color theme="1"/>
        <rFont val="新細明體"/>
        <family val="2"/>
        <charset val="136"/>
      </rPr>
      <t>ㄧㄢ</t>
    </r>
  </si>
  <si>
    <r>
      <rPr>
        <sz val="18"/>
        <color theme="1"/>
        <rFont val="新細明體"/>
        <family val="2"/>
        <charset val="136"/>
      </rPr>
      <t>ㄧㄚ</t>
    </r>
    <r>
      <rPr>
        <sz val="18"/>
        <color theme="1"/>
        <rFont val="Cascadia Mono SemiBold"/>
        <family val="3"/>
      </rPr>
      <t>ㆵ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</si>
  <si>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ㆬ</t>
    </r>
  </si>
  <si>
    <r>
      <rPr>
        <sz val="18"/>
        <color theme="1"/>
        <rFont val="新細明體"/>
        <family val="2"/>
        <charset val="136"/>
      </rPr>
      <t>一</t>
    </r>
    <r>
      <rPr>
        <sz val="18"/>
        <color theme="1"/>
        <rFont val="Cascadia Mono SemiBold"/>
        <family val="3"/>
      </rPr>
      <t>ㆴ</t>
    </r>
  </si>
  <si>
    <r>
      <rPr>
        <sz val="18"/>
        <color theme="1"/>
        <rFont val="新細明體"/>
        <family val="2"/>
        <charset val="136"/>
      </rPr>
      <t>ㄨㄧ</t>
    </r>
  </si>
  <si>
    <r>
      <rPr>
        <sz val="18"/>
        <color theme="1"/>
        <rFont val="新細明體"/>
        <family val="2"/>
        <charset val="136"/>
      </rPr>
      <t>ㄝ</t>
    </r>
  </si>
  <si>
    <r>
      <rPr>
        <sz val="18"/>
        <color theme="1"/>
        <rFont val="新細明體"/>
        <family val="2"/>
        <charset val="136"/>
      </rPr>
      <t>ㄝ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</si>
  <si>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ㄢ</t>
    </r>
  </si>
  <si>
    <r>
      <rPr>
        <sz val="18"/>
        <color theme="1"/>
        <rFont val="新細明體"/>
        <family val="2"/>
        <charset val="136"/>
      </rPr>
      <t>ㄚ</t>
    </r>
    <r>
      <rPr>
        <sz val="18"/>
        <color theme="1"/>
        <rFont val="Cascadia Mono SemiBold"/>
        <family val="3"/>
      </rPr>
      <t>ㆵ</t>
    </r>
  </si>
  <si>
    <r>
      <rPr>
        <sz val="18"/>
        <color theme="1"/>
        <rFont val="新細明體"/>
        <family val="2"/>
        <charset val="136"/>
      </rPr>
      <t>ㄨㄞ</t>
    </r>
  </si>
  <si>
    <r>
      <rPr>
        <sz val="18"/>
        <color theme="1"/>
        <rFont val="新細明體"/>
        <family val="2"/>
        <charset val="136"/>
      </rPr>
      <t>ㄨㄞ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</si>
  <si>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ㄧㄥ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</si>
  <si>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ㆻ</t>
    </r>
  </si>
  <si>
    <r>
      <rPr>
        <sz val="18"/>
        <color theme="1"/>
        <rFont val="新細明體"/>
        <family val="2"/>
        <charset val="136"/>
      </rPr>
      <t>ㄨㄢ</t>
    </r>
  </si>
  <si>
    <r>
      <rPr>
        <sz val="18"/>
        <color theme="1"/>
        <rFont val="新細明體"/>
        <family val="2"/>
        <charset val="136"/>
      </rPr>
      <t>ㄨㄚ</t>
    </r>
    <r>
      <rPr>
        <sz val="18"/>
        <color theme="1"/>
        <rFont val="Cascadia Mono SemiBold"/>
        <family val="3"/>
      </rPr>
      <t>ㆵ</t>
    </r>
  </si>
  <si>
    <r>
      <rPr>
        <sz val="18"/>
        <color theme="1"/>
        <rFont val="新細明體"/>
        <family val="2"/>
        <charset val="136"/>
      </rPr>
      <t>ㄧㄠ</t>
    </r>
  </si>
  <si>
    <r>
      <rPr>
        <sz val="18"/>
        <color theme="1"/>
        <rFont val="新細明體"/>
        <family val="2"/>
        <charset val="136"/>
      </rPr>
      <t>ㄧㄠ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</si>
  <si>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ㆲ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</si>
  <si>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ㆦㆻ</t>
    </r>
  </si>
  <si>
    <r>
      <rPr>
        <sz val="18"/>
        <color theme="1"/>
        <rFont val="新細明體"/>
        <family val="2"/>
        <charset val="136"/>
      </rPr>
      <t>ㄜ</t>
    </r>
  </si>
  <si>
    <r>
      <rPr>
        <sz val="18"/>
        <color theme="1"/>
        <rFont val="新細明體"/>
        <family val="2"/>
        <charset val="136"/>
      </rPr>
      <t>ㄜ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</si>
  <si>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ㄞ</t>
    </r>
  </si>
  <si>
    <r>
      <rPr>
        <sz val="18"/>
        <color theme="1"/>
        <rFont val="新細明體"/>
        <family val="2"/>
        <charset val="136"/>
      </rPr>
      <t>ㄧㄣ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</si>
  <si>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ㆵ</t>
    </r>
  </si>
  <si>
    <r>
      <rPr>
        <sz val="18"/>
        <color theme="1"/>
        <rFont val="新細明體"/>
        <family val="2"/>
        <charset val="136"/>
      </rPr>
      <t>ㄧㄤ</t>
    </r>
  </si>
  <si>
    <r>
      <rPr>
        <sz val="18"/>
        <color theme="1"/>
        <rFont val="新細明體"/>
        <family val="2"/>
        <charset val="136"/>
      </rPr>
      <t>ㄧㄚ</t>
    </r>
    <r>
      <rPr>
        <sz val="18"/>
        <color theme="1"/>
        <rFont val="Cascadia Mono SemiBold"/>
        <family val="3"/>
      </rPr>
      <t>ㆻ</t>
    </r>
  </si>
  <si>
    <r>
      <rPr>
        <sz val="18"/>
        <color theme="1"/>
        <rFont val="新細明體"/>
        <family val="2"/>
        <charset val="136"/>
      </rPr>
      <t>ㄚ</t>
    </r>
    <r>
      <rPr>
        <sz val="18"/>
        <color theme="1"/>
        <rFont val="Cascadia Mono SemiBold"/>
        <family val="3"/>
      </rPr>
      <t>ㆴ</t>
    </r>
  </si>
  <si>
    <r>
      <rPr>
        <sz val="18"/>
        <color theme="1"/>
        <rFont val="新細明體"/>
        <family val="2"/>
        <charset val="136"/>
      </rPr>
      <t>ㄨㄚ</t>
    </r>
  </si>
  <si>
    <r>
      <rPr>
        <sz val="18"/>
        <color theme="1"/>
        <rFont val="新細明體"/>
        <family val="2"/>
        <charset val="136"/>
      </rPr>
      <t>ㄨㄚ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</si>
  <si>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ㄤ</t>
    </r>
  </si>
  <si>
    <r>
      <rPr>
        <sz val="18"/>
        <color theme="1"/>
        <rFont val="新細明體"/>
        <family val="2"/>
        <charset val="136"/>
      </rPr>
      <t>ㄚ</t>
    </r>
    <r>
      <rPr>
        <sz val="18"/>
        <color theme="1"/>
        <rFont val="Cascadia Mono SemiBold"/>
        <family val="3"/>
      </rPr>
      <t>ㆻ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</si>
  <si>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ㆰ</t>
    </r>
  </si>
  <si>
    <r>
      <rPr>
        <sz val="18"/>
        <color theme="1"/>
        <rFont val="新細明體"/>
        <family val="2"/>
        <charset val="136"/>
      </rPr>
      <t>ㄧㄚ</t>
    </r>
    <r>
      <rPr>
        <sz val="18"/>
        <color theme="1"/>
        <rFont val="Cascadia Mono SemiBold"/>
        <family val="3"/>
      </rPr>
      <t>ㆴ</t>
    </r>
  </si>
  <si>
    <r>
      <rPr>
        <sz val="18"/>
        <color theme="1"/>
        <rFont val="新細明體"/>
        <family val="2"/>
        <charset val="136"/>
      </rPr>
      <t>ㄠ</t>
    </r>
  </si>
  <si>
    <r>
      <rPr>
        <sz val="18"/>
        <color theme="1"/>
        <rFont val="新細明體"/>
        <family val="2"/>
        <charset val="136"/>
      </rPr>
      <t>ㄠ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</si>
  <si>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ㄧㄚ</t>
    </r>
  </si>
  <si>
    <r>
      <rPr>
        <sz val="18"/>
        <color theme="1"/>
        <rFont val="新細明體"/>
        <family val="2"/>
        <charset val="136"/>
      </rPr>
      <t>ㄧㄚ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</si>
  <si>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ㄨ</t>
    </r>
    <r>
      <rPr>
        <sz val="18"/>
        <color theme="1"/>
        <rFont val="Cascadia Mono SemiBold"/>
        <family val="3"/>
      </rPr>
      <t>ㆤ</t>
    </r>
  </si>
  <si>
    <r>
      <rPr>
        <sz val="18"/>
        <color theme="1"/>
        <rFont val="新細明體"/>
        <family val="2"/>
        <charset val="136"/>
      </rPr>
      <t>ㄨ</t>
    </r>
    <r>
      <rPr>
        <sz val="18"/>
        <color theme="1"/>
        <rFont val="Cascadia Mono SemiBold"/>
        <family val="3"/>
      </rPr>
      <t>ㆤㆷ</t>
    </r>
  </si>
  <si>
    <r>
      <rPr>
        <sz val="18"/>
        <color theme="1"/>
        <rFont val="新細明體"/>
        <family val="2"/>
        <charset val="136"/>
      </rPr>
      <t>ㄨ</t>
    </r>
  </si>
  <si>
    <r>
      <rPr>
        <sz val="18"/>
        <color theme="1"/>
        <rFont val="新細明體"/>
        <family val="2"/>
        <charset val="136"/>
      </rPr>
      <t>ㄨ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</si>
  <si>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ㄚ</t>
    </r>
  </si>
  <si>
    <r>
      <rPr>
        <sz val="18"/>
        <color theme="1"/>
        <rFont val="新細明體"/>
        <family val="2"/>
        <charset val="136"/>
      </rPr>
      <t>ㄚ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</si>
  <si>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ㄧ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</si>
  <si>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</si>
  <si>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ㄧㄨ</t>
    </r>
  </si>
  <si>
    <r>
      <rPr>
        <sz val="18"/>
        <color theme="1"/>
        <rFont val="新細明體"/>
        <family val="2"/>
        <charset val="136"/>
      </rPr>
      <t>ㄨ</t>
    </r>
    <r>
      <rPr>
        <sz val="18"/>
        <color theme="1"/>
        <rFont val="Cascadia Mono SemiBold"/>
        <family val="3"/>
      </rPr>
      <t>ㆪ</t>
    </r>
  </si>
  <si>
    <r>
      <rPr>
        <sz val="18"/>
        <color theme="1"/>
        <rFont val="新細明體"/>
        <family val="2"/>
        <charset val="136"/>
      </rPr>
      <t>ㄧㄜ</t>
    </r>
  </si>
  <si>
    <r>
      <rPr>
        <sz val="18"/>
        <color theme="1"/>
        <rFont val="新細明體"/>
        <family val="2"/>
        <charset val="136"/>
      </rPr>
      <t>ㄧㄜ</t>
    </r>
    <r>
      <rPr>
        <sz val="18"/>
        <color theme="1"/>
        <rFont val="Cascadia Mono SemiBold"/>
        <family val="3"/>
      </rPr>
      <t>ㆷ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</si>
  <si>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ㆧ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</si>
  <si>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ㆩ</t>
    </r>
  </si>
  <si>
    <r>
      <rPr>
        <sz val="18"/>
        <color theme="1"/>
        <rFont val="新細明體"/>
        <family val="2"/>
        <charset val="136"/>
      </rPr>
      <t>ㄨ</t>
    </r>
    <r>
      <rPr>
        <sz val="18"/>
        <color theme="1"/>
        <rFont val="Cascadia Mono SemiBold"/>
        <family val="3"/>
      </rPr>
      <t>ㆩ</t>
    </r>
  </si>
  <si>
    <r>
      <rPr>
        <sz val="18"/>
        <color theme="1"/>
        <rFont val="新細明體"/>
        <family val="2"/>
        <charset val="136"/>
      </rPr>
      <t>ㄨㄤ</t>
    </r>
  </si>
  <si>
    <r>
      <rPr>
        <sz val="18"/>
        <color theme="1"/>
        <rFont val="新細明體"/>
        <family val="2"/>
        <charset val="136"/>
      </rPr>
      <t>ㄨㄚ</t>
    </r>
    <r>
      <rPr>
        <sz val="18"/>
        <color theme="1"/>
        <rFont val="Cascadia Mono SemiBold"/>
        <family val="3"/>
      </rPr>
      <t>ㆻ</t>
    </r>
  </si>
  <si>
    <r>
      <rPr>
        <sz val="18"/>
        <color theme="1"/>
        <rFont val="新細明體"/>
        <family val="2"/>
        <charset val="136"/>
      </rPr>
      <t>ㄨ</t>
    </r>
    <r>
      <rPr>
        <sz val="18"/>
        <color theme="1"/>
        <rFont val="Cascadia Mono SemiBold"/>
        <family val="3"/>
      </rPr>
      <t>ㆮ</t>
    </r>
  </si>
  <si>
    <r>
      <rPr>
        <sz val="18"/>
        <color theme="1"/>
        <rFont val="新細明體"/>
        <family val="2"/>
        <charset val="136"/>
      </rPr>
      <t>ㄨ</t>
    </r>
    <r>
      <rPr>
        <sz val="18"/>
        <color theme="1"/>
        <rFont val="Cascadia Mono SemiBold"/>
        <family val="3"/>
      </rPr>
      <t>ㆮㆷ</t>
    </r>
  </si>
  <si>
    <r>
      <rPr>
        <sz val="18"/>
        <color theme="1"/>
        <rFont val="新細明體"/>
        <family val="2"/>
        <charset val="136"/>
      </rPr>
      <t>ㄨ</t>
    </r>
    <r>
      <rPr>
        <sz val="18"/>
        <color theme="1"/>
        <rFont val="Cascadia Mono SemiBold"/>
        <family val="3"/>
      </rPr>
      <t>ㆥ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</si>
  <si>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ㆯ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</si>
  <si>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ㆯㆷ</t>
    </r>
  </si>
  <si>
    <r>
      <rPr>
        <sz val="18"/>
        <color theme="1"/>
        <rFont val="新細明體"/>
        <family val="2"/>
        <charset val="136"/>
      </rPr>
      <t>ㄧ</t>
    </r>
    <r>
      <rPr>
        <sz val="18"/>
        <color theme="1"/>
        <rFont val="Cascadia Mono SemiBold"/>
        <family val="3"/>
      </rPr>
      <t>ㆫ</t>
    </r>
  </si>
  <si>
    <t>xform1</t>
    <phoneticPr fontId="2" type="noConversion"/>
  </si>
  <si>
    <t>xform2</t>
  </si>
  <si>
    <r>
      <rPr>
        <sz val="24"/>
        <color theme="1"/>
        <rFont val="吳守禮細明台語注音"/>
        <family val="1"/>
      </rPr>
      <t>汾</t>
    </r>
  </si>
  <si>
    <t>uih</t>
    <phoneticPr fontId="2" type="noConversion"/>
  </si>
  <si>
    <t>ee</t>
    <phoneticPr fontId="1" type="noConversion"/>
  </si>
  <si>
    <t>eeh</t>
    <phoneticPr fontId="1" type="noConversion"/>
  </si>
  <si>
    <t>iao</t>
    <phoneticPr fontId="2" type="noConversion"/>
  </si>
  <si>
    <t>ik</t>
    <phoneticPr fontId="2" type="noConversion"/>
  </si>
  <si>
    <t>iek</t>
    <phoneticPr fontId="1" type="noConversion"/>
  </si>
  <si>
    <t>iauh</t>
    <phoneticPr fontId="1" type="noConversion"/>
  </si>
  <si>
    <t>iau</t>
    <phoneticPr fontId="1" type="noConversion"/>
  </si>
  <si>
    <t>iaoh</t>
    <phoneticPr fontId="2" type="noConversion"/>
  </si>
  <si>
    <t>iook</t>
    <phoneticPr fontId="1" type="noConversion"/>
  </si>
  <si>
    <t>iok</t>
    <phoneticPr fontId="2" type="noConversion"/>
  </si>
  <si>
    <t>or</t>
    <phoneticPr fontId="1" type="noConversion"/>
  </si>
  <si>
    <t>o</t>
    <phoneticPr fontId="2" type="noConversion"/>
  </si>
  <si>
    <t>oh</t>
    <phoneticPr fontId="2" type="noConversion"/>
  </si>
  <si>
    <t>orh</t>
    <phoneticPr fontId="1" type="noConversion"/>
  </si>
  <si>
    <t>aih</t>
    <phoneticPr fontId="1" type="noConversion"/>
  </si>
  <si>
    <t>au</t>
    <phoneticPr fontId="1" type="noConversion"/>
  </si>
  <si>
    <t>ao</t>
    <phoneticPr fontId="2" type="noConversion"/>
  </si>
  <si>
    <t>ih</t>
    <phoneticPr fontId="1" type="noConversion"/>
  </si>
  <si>
    <t>iuh</t>
    <phoneticPr fontId="1" type="noConversion"/>
  </si>
  <si>
    <t>ennh</t>
    <phoneticPr fontId="1" type="noConversion"/>
  </si>
  <si>
    <t>uinnh</t>
    <phoneticPr fontId="1" type="noConversion"/>
  </si>
  <si>
    <t>ior</t>
    <phoneticPr fontId="1" type="noConversion"/>
  </si>
  <si>
    <t>io</t>
    <phoneticPr fontId="2" type="noConversion"/>
  </si>
  <si>
    <t>iorh</t>
    <phoneticPr fontId="1" type="noConversion"/>
  </si>
  <si>
    <t>ioh</t>
    <phoneticPr fontId="2" type="noConversion"/>
  </si>
  <si>
    <t>innh</t>
    <phoneticPr fontId="1" type="noConversion"/>
  </si>
  <si>
    <t>ioonn</t>
    <phoneticPr fontId="1" type="noConversion"/>
  </si>
  <si>
    <t>ngh</t>
    <phoneticPr fontId="1" type="noConversion"/>
  </si>
  <si>
    <t>eh</t>
    <phoneticPr fontId="1" type="noConversion"/>
  </si>
  <si>
    <t>ainnh</t>
    <phoneticPr fontId="1" type="noConversion"/>
  </si>
  <si>
    <t>oonn</t>
    <phoneticPr fontId="1" type="noConversion"/>
  </si>
  <si>
    <t>noo</t>
    <phoneticPr fontId="2" type="noConversion"/>
  </si>
  <si>
    <t>oonnh</t>
    <phoneticPr fontId="1" type="noConversion"/>
  </si>
  <si>
    <t>nooh</t>
    <phoneticPr fontId="2" type="noConversion"/>
  </si>
  <si>
    <t>mh</t>
    <phoneticPr fontId="1" type="noConversion"/>
  </si>
  <si>
    <t>iaunn</t>
    <phoneticPr fontId="1" type="noConversion"/>
  </si>
  <si>
    <t>niao</t>
    <phoneticPr fontId="2" type="noConversion"/>
  </si>
  <si>
    <t>iaunnh</t>
    <phoneticPr fontId="1" type="noConversion"/>
  </si>
  <si>
    <t>niaoh</t>
    <phoneticPr fontId="2" type="noConversion"/>
  </si>
  <si>
    <t>oom</t>
    <phoneticPr fontId="1" type="noConversion"/>
  </si>
  <si>
    <t>oop</t>
    <phoneticPr fontId="1" type="noConversion"/>
  </si>
  <si>
    <t>om</t>
    <phoneticPr fontId="2" type="noConversion"/>
  </si>
  <si>
    <t>op</t>
    <phoneticPr fontId="2" type="noConversion"/>
  </si>
  <si>
    <t>aunn</t>
    <phoneticPr fontId="1" type="noConversion"/>
  </si>
  <si>
    <t>nao</t>
    <phoneticPr fontId="2" type="noConversion"/>
  </si>
  <si>
    <t>uannh</t>
    <phoneticPr fontId="1" type="noConversion"/>
  </si>
  <si>
    <t>iannh</t>
    <phoneticPr fontId="1" type="noConversion"/>
  </si>
  <si>
    <t>nih</t>
    <phoneticPr fontId="2" type="noConversion"/>
  </si>
  <si>
    <t>annh</t>
    <phoneticPr fontId="1" type="noConversion"/>
  </si>
  <si>
    <t>nah</t>
    <phoneticPr fontId="2" type="noConversion"/>
  </si>
  <si>
    <t>響度優先次第： a &gt; oo &gt; (e = o) &gt; (i = u)〈低元音 &gt; 高元音 &gt; 無擦通音 &gt; 擦音 &gt; 塞音〉</t>
  </si>
  <si>
    <t>序號</t>
  </si>
  <si>
    <t>國際音標</t>
  </si>
  <si>
    <t>台羅拼音</t>
  </si>
  <si>
    <t>L台羅拼音</t>
  </si>
  <si>
    <t>台語音標</t>
  </si>
  <si>
    <t>台語注音二式</t>
  </si>
  <si>
    <t>L台語注音二式</t>
  </si>
  <si>
    <t>閩拼方案</t>
  </si>
  <si>
    <t>白話字</t>
  </si>
  <si>
    <t>方音符號</t>
  </si>
  <si>
    <t>台語注音</t>
  </si>
  <si>
    <t>聲韻調類</t>
  </si>
  <si>
    <t>字長</t>
  </si>
  <si>
    <t>U+0301</t>
  </si>
  <si>
    <t>U+0300</t>
  </si>
  <si>
    <t>U+030C</t>
  </si>
  <si>
    <t>U+0304</t>
  </si>
  <si>
    <t>U+030D</t>
  </si>
  <si>
    <t>U+030B</t>
  </si>
  <si>
    <t>U+030A</t>
  </si>
  <si>
    <t>uãiʔ</t>
  </si>
  <si>
    <t>Luaih</t>
  </si>
  <si>
    <t>uaihnn</t>
  </si>
  <si>
    <t>oaihⁿ</t>
  </si>
  <si>
    <t>閂促</t>
  </si>
  <si>
    <t>ㄨㆮㆷ</t>
  </si>
  <si>
    <t>⁰ㄨㄞㄏ</t>
  </si>
  <si>
    <t>韻-鼻</t>
  </si>
  <si>
    <t>iãʔ</t>
  </si>
  <si>
    <t>iannh</t>
  </si>
  <si>
    <t>Liah</t>
  </si>
  <si>
    <t>iaⁿh</t>
  </si>
  <si>
    <t>迦促</t>
  </si>
  <si>
    <t>⁰ㄧㄚㄏ</t>
  </si>
  <si>
    <t>ɪãu</t>
  </si>
  <si>
    <t>Liau</t>
  </si>
  <si>
    <t>iauⁿ</t>
  </si>
  <si>
    <t>嘄舒</t>
  </si>
  <si>
    <t>ㄧㆯ</t>
  </si>
  <si>
    <t>⁰ㄧㄠ</t>
  </si>
  <si>
    <t>iũʔ</t>
  </si>
  <si>
    <t>iunnh</t>
  </si>
  <si>
    <t>Liuh</t>
  </si>
  <si>
    <t>niuh</t>
  </si>
  <si>
    <t>iuⁿh</t>
  </si>
  <si>
    <t>牛促</t>
  </si>
  <si>
    <t>ㄧㆫㆷ</t>
  </si>
  <si>
    <t>⁰ㄧㄨㄏ</t>
  </si>
  <si>
    <t>uãi</t>
  </si>
  <si>
    <t>Luai</t>
  </si>
  <si>
    <t>oaiⁿ</t>
  </si>
  <si>
    <t>閂舒</t>
  </si>
  <si>
    <t>ㄨㆮ</t>
  </si>
  <si>
    <t>⁰ㄨㄞ</t>
  </si>
  <si>
    <t>ãʔ</t>
  </si>
  <si>
    <t>Lah</t>
  </si>
  <si>
    <t>ahnn</t>
  </si>
  <si>
    <t>ahⁿ</t>
  </si>
  <si>
    <t>監促</t>
  </si>
  <si>
    <t>⁰ㄚㄏ</t>
  </si>
  <si>
    <t>ãɪ</t>
  </si>
  <si>
    <t>Lai</t>
  </si>
  <si>
    <t>aiⁿ</t>
  </si>
  <si>
    <t>閒舒</t>
  </si>
  <si>
    <t>⁰ㄞ</t>
  </si>
  <si>
    <t>n</t>
  </si>
  <si>
    <t>ẽʔ</t>
  </si>
  <si>
    <t>ennh</t>
  </si>
  <si>
    <t>Leh</t>
  </si>
  <si>
    <t>更促</t>
  </si>
  <si>
    <t>⁰ㄝㄏ</t>
  </si>
  <si>
    <t>iã</t>
  </si>
  <si>
    <t>Lia</t>
  </si>
  <si>
    <t>iaⁿ</t>
  </si>
  <si>
    <t>驚舒</t>
  </si>
  <si>
    <t>ㄧㆩ</t>
  </si>
  <si>
    <t>⁰ㄧㄚ</t>
  </si>
  <si>
    <t>ɪɔ̃</t>
  </si>
  <si>
    <t>ionn</t>
  </si>
  <si>
    <t>Lio</t>
  </si>
  <si>
    <t>nioo</t>
  </si>
  <si>
    <t>ioⁿ</t>
  </si>
  <si>
    <t>薑舒</t>
  </si>
  <si>
    <t>ㄧㆧ</t>
  </si>
  <si>
    <t>⁰ㄧㄛ</t>
  </si>
  <si>
    <t>iũ</t>
  </si>
  <si>
    <t>Liu</t>
  </si>
  <si>
    <t>iuⁿ</t>
  </si>
  <si>
    <t>牛舒</t>
  </si>
  <si>
    <t>ㄧㆫ</t>
  </si>
  <si>
    <t>⁰ㄧㆫ</t>
  </si>
  <si>
    <t>ɔ̃ʔ</t>
  </si>
  <si>
    <t>Loh</t>
  </si>
  <si>
    <t>ohnn</t>
  </si>
  <si>
    <t>ohⁿ</t>
  </si>
  <si>
    <t>扛促</t>
  </si>
  <si>
    <t>⁰ㄛㄏ</t>
  </si>
  <si>
    <t>uã</t>
  </si>
  <si>
    <t>Lua</t>
  </si>
  <si>
    <t>oaⁿ</t>
  </si>
  <si>
    <t>官舒</t>
  </si>
  <si>
    <t>ㄨㆩ</t>
  </si>
  <si>
    <t>⁰ㄨㄚ</t>
  </si>
  <si>
    <t>uĩ</t>
  </si>
  <si>
    <t>Lui</t>
  </si>
  <si>
    <t>uiⁿ</t>
  </si>
  <si>
    <t>褌舒</t>
  </si>
  <si>
    <t>ㄨㆪ</t>
  </si>
  <si>
    <t>⁰ㄨㄧ</t>
  </si>
  <si>
    <t>ã</t>
  </si>
  <si>
    <t>La</t>
  </si>
  <si>
    <t>aⁿ</t>
  </si>
  <si>
    <t>監舒</t>
  </si>
  <si>
    <t>⁰ㄚ</t>
  </si>
  <si>
    <t>ẽ</t>
  </si>
  <si>
    <t>Le</t>
  </si>
  <si>
    <t>eⁿ</t>
  </si>
  <si>
    <t>更舒</t>
  </si>
  <si>
    <t>⁰ㄝ</t>
  </si>
  <si>
    <t>ĩ</t>
  </si>
  <si>
    <t>Li</t>
  </si>
  <si>
    <t>iⁿ</t>
  </si>
  <si>
    <t>梔舒</t>
  </si>
  <si>
    <t>⁰ㄧ</t>
  </si>
  <si>
    <t>ɔ̃</t>
  </si>
  <si>
    <t>onn</t>
  </si>
  <si>
    <t>Lo</t>
  </si>
  <si>
    <t>Loo</t>
  </si>
  <si>
    <t>oⁿ</t>
  </si>
  <si>
    <t>姑舒</t>
  </si>
  <si>
    <t>⁰ㄛ</t>
  </si>
  <si>
    <t>ɪaŋ</t>
  </si>
  <si>
    <t>姜舒</t>
  </si>
  <si>
    <t>ㄧㄤ</t>
  </si>
  <si>
    <t>ɪauʔ</t>
  </si>
  <si>
    <t>iauh</t>
  </si>
  <si>
    <t>嬌促</t>
  </si>
  <si>
    <t>ㄧㄠㆷ</t>
  </si>
  <si>
    <t>ㄧㄠㄏ</t>
  </si>
  <si>
    <t>ɪɔŋ</t>
  </si>
  <si>
    <t>恭舒</t>
  </si>
  <si>
    <t>ㄧㆲ</t>
  </si>
  <si>
    <t>ㄧㄛㄥ</t>
  </si>
  <si>
    <t>uaŋ</t>
  </si>
  <si>
    <t>oang</t>
  </si>
  <si>
    <t>光舒</t>
  </si>
  <si>
    <t>ㄨㄤ</t>
  </si>
  <si>
    <t>uaiʔ</t>
  </si>
  <si>
    <t>oaih</t>
  </si>
  <si>
    <t>乖促</t>
  </si>
  <si>
    <t>ㄨㄞㆷ</t>
  </si>
  <si>
    <t>ㄨㄞㄏ</t>
  </si>
  <si>
    <t>uiʔ</t>
  </si>
  <si>
    <t>褌促</t>
  </si>
  <si>
    <t>ㄨㄧㄏ</t>
  </si>
  <si>
    <t>aŋ</t>
  </si>
  <si>
    <t>江舒</t>
  </si>
  <si>
    <t>ㄤ</t>
  </si>
  <si>
    <t>aɪʔ</t>
  </si>
  <si>
    <t>aih</t>
  </si>
  <si>
    <t>皆促</t>
  </si>
  <si>
    <t>ㄞㄏ</t>
  </si>
  <si>
    <t>auʔ</t>
  </si>
  <si>
    <t>交促</t>
  </si>
  <si>
    <t>ㄠㆷ</t>
  </si>
  <si>
    <t>ㄠㄏ</t>
  </si>
  <si>
    <t>iŋ</t>
  </si>
  <si>
    <t>eng</t>
  </si>
  <si>
    <t>經舒</t>
  </si>
  <si>
    <t>ㄧㄥ</t>
  </si>
  <si>
    <t>ɪaʔ</t>
  </si>
  <si>
    <t>ㄧㄚㆷ</t>
  </si>
  <si>
    <t>ㄧㄚㄏ</t>
  </si>
  <si>
    <t>ɪam</t>
  </si>
  <si>
    <t>兼舒</t>
  </si>
  <si>
    <t>ㄧㆰ</t>
  </si>
  <si>
    <t>ㄧㄚㄇ</t>
  </si>
  <si>
    <t>ɪan/en</t>
  </si>
  <si>
    <t>堅舒</t>
  </si>
  <si>
    <t>ㄧㄢ</t>
  </si>
  <si>
    <t>ɪap̚</t>
  </si>
  <si>
    <t>兼促</t>
  </si>
  <si>
    <t>ㄧㄚㆴ</t>
  </si>
  <si>
    <t>ㄧㄚㄅ</t>
  </si>
  <si>
    <t>ɪat̚/ɪet̚</t>
  </si>
  <si>
    <t>堅促</t>
  </si>
  <si>
    <t>ㄧㄚㆵ</t>
  </si>
  <si>
    <t>ㄧㄚㄉ</t>
  </si>
  <si>
    <t>ɪak̚</t>
  </si>
  <si>
    <t>姜促</t>
  </si>
  <si>
    <t>ㄧㄚㆻ</t>
  </si>
  <si>
    <t>ㄧㄚㄍ</t>
  </si>
  <si>
    <t>ɪau</t>
  </si>
  <si>
    <t>嬌舒</t>
  </si>
  <si>
    <t>ㄧㄠ</t>
  </si>
  <si>
    <t>ɪəʔ/ɪoʔ</t>
  </si>
  <si>
    <t>茄促</t>
  </si>
  <si>
    <t>ㄧㄜㆷ</t>
  </si>
  <si>
    <t>ㄧㄜㄏ</t>
  </si>
  <si>
    <t>ɪɔk̚</t>
  </si>
  <si>
    <t>恭促</t>
  </si>
  <si>
    <t>ㄧㆦㆻ</t>
  </si>
  <si>
    <t>ㄧㄛㄍ</t>
  </si>
  <si>
    <t>ɔʔ</t>
  </si>
  <si>
    <t>ooh</t>
  </si>
  <si>
    <t>o͘h</t>
  </si>
  <si>
    <t>沽促</t>
  </si>
  <si>
    <t>ㆦㆷ</t>
  </si>
  <si>
    <t>ㄛㄏ</t>
  </si>
  <si>
    <t>ɔŋ</t>
  </si>
  <si>
    <t>公舒</t>
  </si>
  <si>
    <t>ㄛㄥ</t>
  </si>
  <si>
    <t>uaʔ</t>
  </si>
  <si>
    <t>oah</t>
  </si>
  <si>
    <t>瓜促</t>
  </si>
  <si>
    <t>ㄨㄚㆷ</t>
  </si>
  <si>
    <t>ㄨㄚㄏ</t>
  </si>
  <si>
    <t>oan</t>
  </si>
  <si>
    <t>觀舒</t>
  </si>
  <si>
    <t>ㄨㄢ</t>
  </si>
  <si>
    <t>uat̚</t>
  </si>
  <si>
    <t>oat</t>
  </si>
  <si>
    <t>觀促</t>
  </si>
  <si>
    <t>ㄨㄚㆵ</t>
  </si>
  <si>
    <t>ㄨㄚㄉ</t>
  </si>
  <si>
    <t>oai</t>
  </si>
  <si>
    <t>乖舒</t>
  </si>
  <si>
    <t>ㄨㄞ</t>
  </si>
  <si>
    <t>ueʔ</t>
  </si>
  <si>
    <t>oeh</t>
  </si>
  <si>
    <t>檜促</t>
  </si>
  <si>
    <t>ㄨㆤㆷ</t>
  </si>
  <si>
    <t>ㄨㄝㄏ</t>
  </si>
  <si>
    <t>ŋ̍ʔ</t>
  </si>
  <si>
    <t>ngh</t>
  </si>
  <si>
    <t>鋼促</t>
  </si>
  <si>
    <t>ㄥㄏ</t>
  </si>
  <si>
    <t>aʔ</t>
  </si>
  <si>
    <t>膠促</t>
  </si>
  <si>
    <t>ㄚㆷ</t>
  </si>
  <si>
    <t>ㄚㄏ</t>
  </si>
  <si>
    <t>甘舒</t>
  </si>
  <si>
    <t>ㄚㄇ</t>
  </si>
  <si>
    <t>干舒</t>
  </si>
  <si>
    <t>ㄢ</t>
  </si>
  <si>
    <t>ap̚</t>
  </si>
  <si>
    <t>甘促</t>
  </si>
  <si>
    <t>ㄚㆴ</t>
  </si>
  <si>
    <t>ㄚㄅ</t>
  </si>
  <si>
    <t>at̚</t>
  </si>
  <si>
    <t>干促</t>
  </si>
  <si>
    <t>ㄚㆵ</t>
  </si>
  <si>
    <t>ㄚㄉ</t>
  </si>
  <si>
    <t>ak̚</t>
  </si>
  <si>
    <t>江促</t>
  </si>
  <si>
    <t>ㄚㆻ</t>
  </si>
  <si>
    <t>ㄚㄍ</t>
  </si>
  <si>
    <t>aɪ</t>
  </si>
  <si>
    <t>皆舒</t>
  </si>
  <si>
    <t>ㄞ</t>
  </si>
  <si>
    <t>交舒</t>
  </si>
  <si>
    <t>ㄠ</t>
  </si>
  <si>
    <t>eʔ</t>
  </si>
  <si>
    <t>伽促</t>
  </si>
  <si>
    <t>ㄝㄏ</t>
  </si>
  <si>
    <t>iʔ</t>
  </si>
  <si>
    <t>居促</t>
  </si>
  <si>
    <t>ㄧㆷ</t>
  </si>
  <si>
    <t>ㄧㄏ</t>
  </si>
  <si>
    <t>金舒</t>
  </si>
  <si>
    <t>ㄧㆬ</t>
  </si>
  <si>
    <t>ㄧㄇ</t>
  </si>
  <si>
    <t>巾舒</t>
  </si>
  <si>
    <t>ㄧㄣ</t>
  </si>
  <si>
    <t>ip̚</t>
  </si>
  <si>
    <t>金促</t>
  </si>
  <si>
    <t>一ㆴ</t>
  </si>
  <si>
    <t>ㄧㄅ</t>
  </si>
  <si>
    <t>it̚</t>
  </si>
  <si>
    <t>巾促</t>
  </si>
  <si>
    <t>ㄧㆵ</t>
  </si>
  <si>
    <t>ㄧㄉ</t>
  </si>
  <si>
    <t>ik̚/ɪək̚</t>
  </si>
  <si>
    <t>iek</t>
  </si>
  <si>
    <t>ek</t>
  </si>
  <si>
    <t>經促</t>
  </si>
  <si>
    <t>ㄧㆻ</t>
  </si>
  <si>
    <t>ㄧㄍ</t>
  </si>
  <si>
    <t>ɪa</t>
  </si>
  <si>
    <t>迦舒</t>
  </si>
  <si>
    <t>ㄧㄚ</t>
  </si>
  <si>
    <t>ɪə/ɪo</t>
  </si>
  <si>
    <t>茄舒</t>
  </si>
  <si>
    <t>ㄧㄜ</t>
  </si>
  <si>
    <t>丩舒</t>
  </si>
  <si>
    <t>ㄧㄨ</t>
  </si>
  <si>
    <t>ɔ</t>
  </si>
  <si>
    <t>o͘</t>
  </si>
  <si>
    <t>沽舒</t>
  </si>
  <si>
    <t>ㄛ</t>
  </si>
  <si>
    <t>əʔ/oʔ</t>
  </si>
  <si>
    <t>orh</t>
  </si>
  <si>
    <t>高促</t>
  </si>
  <si>
    <t>ㄜㆷ</t>
  </si>
  <si>
    <t>ㄜㄏ</t>
  </si>
  <si>
    <t>ɔm</t>
  </si>
  <si>
    <t>om</t>
  </si>
  <si>
    <t>箴舒</t>
  </si>
  <si>
    <t>ㄛㄇ</t>
  </si>
  <si>
    <t>ɔp̚</t>
  </si>
  <si>
    <t>op</t>
  </si>
  <si>
    <t>箴促</t>
  </si>
  <si>
    <t>ㄛㄅ</t>
  </si>
  <si>
    <t>ɔk̚</t>
  </si>
  <si>
    <t>公促</t>
  </si>
  <si>
    <t>ㄛㄍ</t>
  </si>
  <si>
    <t>uʔ</t>
  </si>
  <si>
    <t>艍促</t>
  </si>
  <si>
    <t>ㄨㆷ</t>
  </si>
  <si>
    <t>ㄨㄏ</t>
  </si>
  <si>
    <t>君舒</t>
  </si>
  <si>
    <t>ㄨㄣ</t>
  </si>
  <si>
    <t>ut̚</t>
  </si>
  <si>
    <t>君促</t>
  </si>
  <si>
    <t>ㄨㆵ</t>
  </si>
  <si>
    <t>ㄨㄉ</t>
  </si>
  <si>
    <t>oa</t>
  </si>
  <si>
    <t>瓜舒</t>
  </si>
  <si>
    <t>ㄨㄚ</t>
  </si>
  <si>
    <t>oe</t>
  </si>
  <si>
    <t>檜舒</t>
  </si>
  <si>
    <t>ㄨㆤ</t>
  </si>
  <si>
    <t>ㄨㄝ</t>
  </si>
  <si>
    <t>規舒</t>
  </si>
  <si>
    <t>ㄨㄧ</t>
  </si>
  <si>
    <t>m̩ʔ</t>
  </si>
  <si>
    <t>mh</t>
  </si>
  <si>
    <t>姆促</t>
  </si>
  <si>
    <t>ㆬㆷ</t>
  </si>
  <si>
    <t>ㄇㄏ</t>
  </si>
  <si>
    <t>ŋ̍</t>
  </si>
  <si>
    <t>鋼舒</t>
  </si>
  <si>
    <t>ㄥ</t>
  </si>
  <si>
    <t>膠舒</t>
  </si>
  <si>
    <t>ㄚ</t>
  </si>
  <si>
    <t>ei</t>
  </si>
  <si>
    <t>稽舒</t>
  </si>
  <si>
    <t>ㄝ</t>
  </si>
  <si>
    <t>居舒</t>
  </si>
  <si>
    <t>ㄧ</t>
  </si>
  <si>
    <t>ə/o</t>
  </si>
  <si>
    <t>高舒</t>
  </si>
  <si>
    <t>ㄜ</t>
  </si>
  <si>
    <t>艍舒</t>
  </si>
  <si>
    <t>ㄨ</t>
  </si>
  <si>
    <t>m̩</t>
  </si>
  <si>
    <t>姆舒</t>
  </si>
  <si>
    <t>ㄇ</t>
  </si>
  <si>
    <t>Unicode 編碼</t>
  </si>
  <si>
    <t>實例</t>
  </si>
  <si>
    <t>U+0303</t>
  </si>
  <si>
    <t>U+0294</t>
  </si>
  <si>
    <t>U+0856</t>
  </si>
  <si>
    <t>[əŋ]</t>
  </si>
  <si>
    <t>[ŋ̍]</t>
  </si>
  <si>
    <t>neh</t>
    <phoneticPr fontId="1" type="noConversion"/>
  </si>
  <si>
    <t>niah</t>
    <phoneticPr fontId="1" type="noConversion"/>
  </si>
  <si>
    <t>Lioo</t>
    <phoneticPr fontId="1" type="noConversion"/>
  </si>
  <si>
    <t>Looh</t>
    <phoneticPr fontId="1" type="noConversion"/>
  </si>
  <si>
    <t>nooh</t>
    <phoneticPr fontId="1" type="noConversion"/>
  </si>
  <si>
    <t>nuaih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</si>
</sst>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18"/>
      <color theme="3" tint="0.499984740745262"/>
      <name val="Cascadia Mono SemiBold"/>
      <family val="3"/>
    </font>
    <font>
      <sz val="18"/>
      <color theme="3" tint="0.499984740745262"/>
      <name val="Noto Sans TC Medium"/>
      <family val="2"/>
      <charset val="136"/>
    </font>
    <font>
      <sz val="18"/>
      <color theme="1"/>
      <name val="Cascadia Mono SemiBold"/>
      <family val="3"/>
    </font>
    <font>
      <sz val="18"/>
      <color theme="1"/>
      <name val="新細明體"/>
      <family val="2"/>
      <charset val="136"/>
    </font>
    <font>
      <sz val="18"/>
      <color rgb="FFFF0000"/>
      <name val="Cascadia Mono SemiBold"/>
      <family val="3"/>
    </font>
    <font>
      <sz val="24"/>
      <color theme="1"/>
      <name val="吳守禮細明台語注音"/>
      <family val="1"/>
    </font>
    <font>
      <sz val="24"/>
      <color rgb="FFFF0000"/>
      <name val="吳守禮細明台語注音"/>
      <family val="1"/>
    </font>
    <font>
      <sz val="18"/>
      <color theme="1"/>
      <name val="Noto Serif TC Medium"/>
      <family val="1"/>
      <charset val="136"/>
    </font>
    <font>
      <sz val="14"/>
      <color theme="1"/>
      <name val="Cascadia Mono SemiBold"/>
      <family val="3"/>
    </font>
    <font>
      <sz val="18"/>
      <color theme="2" tint="-9.9978637043366805E-2"/>
      <name val="Cascadia Mono SemiBold"/>
      <family val="3"/>
    </font>
    <font>
      <sz val="12"/>
      <color theme="1"/>
      <name val="新細明體"/>
      <family val="2"/>
      <charset val="136"/>
      <scheme val="minor"/>
    </font>
    <font>
      <sz val="12"/>
      <color theme="1"/>
      <name val="Noto Sans TC SemiBold"/>
      <family val="2"/>
      <charset val="136"/>
    </font>
    <font>
      <sz val="16"/>
      <color theme="1"/>
      <name val="Segoe UI"/>
      <family val="2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Noto Sans"/>
      <family val="2"/>
    </font>
    <font>
      <sz val="18"/>
      <color rgb="FF000000"/>
      <name val="霞鶩文楷等寬 TC Medium"/>
      <family val="3"/>
      <charset val="136"/>
    </font>
    <font>
      <sz val="18"/>
      <color rgb="FF000000"/>
      <name val="細明體"/>
      <family val="2"/>
      <charset val="136"/>
    </font>
    <font>
      <sz val="16"/>
      <color theme="1"/>
      <name val="Noto Sans TC SemiBold"/>
      <family val="2"/>
      <charset val="136"/>
    </font>
    <font>
      <sz val="12"/>
      <color theme="3" tint="0.499984740745262"/>
      <name val="Segoe UI"/>
      <family val="2"/>
    </font>
    <font>
      <sz val="18"/>
      <color rgb="FFFF0000"/>
      <name val="Noto Sans TC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sz val="18"/>
      <color rgb="FF000000"/>
      <name val="Microsoft JhengHei"/>
      <family val="2"/>
    </font>
    <font>
      <sz val="18"/>
      <color rgb="FF000000"/>
      <name val="Noto Sans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2">
    <xf numFmtId="0" fontId="0" fillId="0" borderId="0">
      <alignment vertical="center"/>
    </xf>
    <xf numFmtId="0" fontId="14" fillId="0" borderId="0">
      <alignment vertical="center"/>
    </xf>
  </cellStyleXfs>
  <cellXfs count="57">
    <xf numFmtId="0" fontId="0" fillId="0" borderId="0" xfId="0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quotePrefix="1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2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>
      <alignment vertical="center"/>
    </xf>
    <xf numFmtId="0" fontId="9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0" xfId="0" applyFont="1">
      <alignment vertical="center"/>
    </xf>
    <xf numFmtId="0" fontId="12" fillId="0" borderId="2" xfId="0" applyFont="1" applyBorder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>
      <alignment vertical="center"/>
    </xf>
    <xf numFmtId="0" fontId="12" fillId="0" borderId="3" xfId="0" applyFont="1" applyBorder="1" applyAlignment="1">
      <alignment horizontal="center" vertical="center"/>
    </xf>
    <xf numFmtId="0" fontId="8" fillId="2" borderId="3" xfId="0" applyFont="1" applyFill="1" applyBorder="1">
      <alignment vertical="center"/>
    </xf>
    <xf numFmtId="0" fontId="13" fillId="2" borderId="3" xfId="0" applyFont="1" applyFill="1" applyBorder="1">
      <alignment vertical="center"/>
    </xf>
    <xf numFmtId="0" fontId="4" fillId="3" borderId="3" xfId="0" applyFont="1" applyFill="1" applyBorder="1">
      <alignment vertical="center"/>
    </xf>
    <xf numFmtId="0" fontId="15" fillId="0" borderId="0" xfId="1" applyFont="1">
      <alignment vertical="center"/>
    </xf>
    <xf numFmtId="0" fontId="14" fillId="0" borderId="0" xfId="1">
      <alignment vertical="center"/>
    </xf>
    <xf numFmtId="0" fontId="14" fillId="0" borderId="0" xfId="1" applyAlignment="1">
      <alignment horizontal="left" vertical="center" indent="1"/>
    </xf>
    <xf numFmtId="0" fontId="16" fillId="0" borderId="0" xfId="1" applyFont="1">
      <alignment vertical="center"/>
    </xf>
    <xf numFmtId="0" fontId="17" fillId="0" borderId="0" xfId="1" applyFont="1">
      <alignment vertical="center"/>
    </xf>
    <xf numFmtId="0" fontId="18" fillId="0" borderId="0" xfId="1" applyFont="1">
      <alignment vertical="center"/>
    </xf>
    <xf numFmtId="0" fontId="19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7" fillId="0" borderId="0" xfId="1" applyFont="1" applyAlignment="1">
      <alignment horizontal="left" vertical="center"/>
    </xf>
    <xf numFmtId="0" fontId="20" fillId="5" borderId="4" xfId="1" applyFont="1" applyFill="1" applyBorder="1" applyAlignment="1">
      <alignment horizontal="center" vertical="center" wrapText="1"/>
    </xf>
    <xf numFmtId="0" fontId="20" fillId="2" borderId="4" xfId="1" applyFont="1" applyFill="1" applyBorder="1" applyAlignment="1">
      <alignment horizontal="center" vertical="center" wrapText="1"/>
    </xf>
    <xf numFmtId="0" fontId="21" fillId="5" borderId="0" xfId="1" applyFont="1" applyFill="1" applyAlignment="1">
      <alignment horizontal="center" vertical="center" wrapText="1"/>
    </xf>
    <xf numFmtId="0" fontId="20" fillId="5" borderId="4" xfId="1" applyFont="1" applyFill="1" applyBorder="1" applyAlignment="1">
      <alignment horizontal="left" vertical="center" wrapText="1"/>
    </xf>
    <xf numFmtId="0" fontId="21" fillId="5" borderId="4" xfId="1" applyFont="1" applyFill="1" applyBorder="1" applyAlignment="1">
      <alignment horizontal="center" vertical="center" wrapText="1"/>
    </xf>
    <xf numFmtId="0" fontId="22" fillId="5" borderId="4" xfId="1" applyFont="1" applyFill="1" applyBorder="1" applyAlignment="1">
      <alignment horizontal="center" vertical="center" wrapText="1"/>
    </xf>
    <xf numFmtId="0" fontId="23" fillId="0" borderId="0" xfId="1" applyFont="1" applyAlignment="1">
      <alignment horizontal="center" vertical="center"/>
    </xf>
    <xf numFmtId="0" fontId="24" fillId="0" borderId="0" xfId="1" applyFont="1">
      <alignment vertical="center"/>
    </xf>
    <xf numFmtId="0" fontId="25" fillId="5" borderId="4" xfId="1" applyFont="1" applyFill="1" applyBorder="1" applyAlignment="1">
      <alignment horizontal="left" vertical="center" wrapText="1" indent="1"/>
    </xf>
    <xf numFmtId="0" fontId="26" fillId="2" borderId="4" xfId="1" applyFont="1" applyFill="1" applyBorder="1" applyAlignment="1">
      <alignment horizontal="left" vertical="center" wrapText="1" indent="1"/>
    </xf>
    <xf numFmtId="0" fontId="27" fillId="2" borderId="4" xfId="1" applyFont="1" applyFill="1" applyBorder="1" applyAlignment="1">
      <alignment horizontal="left" vertical="center" wrapText="1" indent="1"/>
    </xf>
    <xf numFmtId="0" fontId="28" fillId="4" borderId="4" xfId="1" applyFont="1" applyFill="1" applyBorder="1" applyAlignment="1">
      <alignment horizontal="left" vertical="center" wrapText="1" indent="1"/>
    </xf>
    <xf numFmtId="0" fontId="29" fillId="5" borderId="4" xfId="1" applyFont="1" applyFill="1" applyBorder="1" applyAlignment="1">
      <alignment horizontal="left" vertical="center" wrapText="1" indent="1"/>
    </xf>
    <xf numFmtId="0" fontId="25" fillId="5" borderId="4" xfId="1" applyFont="1" applyFill="1" applyBorder="1" applyAlignment="1">
      <alignment horizontal="center" vertical="center" wrapText="1"/>
    </xf>
    <xf numFmtId="0" fontId="30" fillId="5" borderId="4" xfId="1" applyFont="1" applyFill="1" applyBorder="1" applyAlignment="1">
      <alignment horizontal="left" vertical="center" wrapText="1" indent="1"/>
    </xf>
    <xf numFmtId="0" fontId="25" fillId="5" borderId="0" xfId="1" applyFont="1" applyFill="1" applyAlignment="1">
      <alignment horizontal="left" vertical="center" wrapText="1" indent="1"/>
    </xf>
    <xf numFmtId="0" fontId="25" fillId="5" borderId="0" xfId="1" applyFont="1" applyFill="1" applyAlignment="1">
      <alignment horizontal="center" vertical="center" wrapText="1"/>
    </xf>
    <xf numFmtId="0" fontId="31" fillId="0" borderId="0" xfId="1" applyFont="1">
      <alignment vertical="center"/>
    </xf>
    <xf numFmtId="0" fontId="18" fillId="0" borderId="0" xfId="1" applyFont="1" applyAlignment="1">
      <alignment horizontal="center" vertical="center"/>
    </xf>
    <xf numFmtId="0" fontId="32" fillId="0" borderId="0" xfId="1" applyFont="1" applyAlignment="1">
      <alignment horizontal="center" vertical="center"/>
    </xf>
    <xf numFmtId="0" fontId="33" fillId="4" borderId="4" xfId="1" applyFont="1" applyFill="1" applyBorder="1" applyAlignment="1">
      <alignment horizontal="center" vertical="center" wrapText="1"/>
    </xf>
    <xf numFmtId="0" fontId="34" fillId="4" borderId="4" xfId="1" applyFont="1" applyFill="1" applyBorder="1" applyAlignment="1">
      <alignment horizontal="left" vertical="center" wrapText="1" indent="1"/>
    </xf>
    <xf numFmtId="0" fontId="35" fillId="4" borderId="4" xfId="1" applyFont="1" applyFill="1" applyBorder="1" applyAlignment="1">
      <alignment horizontal="left" vertical="center" wrapText="1" indent="1"/>
    </xf>
    <xf numFmtId="0" fontId="36" fillId="4" borderId="4" xfId="1" applyFont="1" applyFill="1" applyBorder="1" applyAlignment="1">
      <alignment horizontal="center" vertical="center" wrapText="1"/>
    </xf>
    <xf numFmtId="0" fontId="37" fillId="5" borderId="4" xfId="1" applyFont="1" applyFill="1" applyBorder="1" applyAlignment="1">
      <alignment horizontal="left" vertical="center" wrapText="1" indent="1"/>
    </xf>
    <xf numFmtId="0" fontId="38" fillId="5" borderId="4" xfId="1" applyFont="1" applyFill="1" applyBorder="1" applyAlignment="1">
      <alignment horizontal="left" vertical="center" wrapText="1" indent="1"/>
    </xf>
    <xf numFmtId="0" fontId="20" fillId="5" borderId="0" xfId="1" applyFont="1" applyFill="1" applyAlignment="1">
      <alignment horizontal="center" vertical="center" wrapText="1"/>
    </xf>
  </cellXfs>
  <cellStyles count="2">
    <cellStyle name="一般" xfId="0" builtinId="0"/>
    <cellStyle name="一般 4" xfId="1" xr:uid="{2D1A4D0A-8ED7-4556-9350-8F45DAA2076B}"/>
  </cellStyles>
  <dxfs count="5">
    <dxf>
      <font>
        <color theme="7"/>
      </font>
    </dxf>
    <dxf>
      <fill>
        <patternFill>
          <bgColor rgb="FFFFFF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theme="7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03CBB-EAF0-4C8F-AED1-DC2EB717088A}">
  <dimension ref="A1:K101"/>
  <sheetViews>
    <sheetView workbookViewId="0">
      <pane ySplit="1" topLeftCell="A2" activePane="bottomLeft" state="frozen"/>
      <selection pane="bottomLeft" activeCell="F11" sqref="F11"/>
    </sheetView>
  </sheetViews>
  <sheetFormatPr defaultRowHeight="30"/>
  <cols>
    <col min="1" max="1" width="11" style="3" bestFit="1" customWidth="1"/>
    <col min="2" max="2" width="14.375" style="3" bestFit="1" customWidth="1"/>
    <col min="3" max="4" width="11" style="13" bestFit="1" customWidth="1"/>
    <col min="5" max="7" width="14.375" style="3" bestFit="1" customWidth="1"/>
    <col min="8" max="8" width="11" style="3" bestFit="1" customWidth="1"/>
    <col min="9" max="9" width="10.75" style="3" bestFit="1" customWidth="1"/>
    <col min="10" max="10" width="53.5" style="3" bestFit="1" customWidth="1"/>
    <col min="11" max="11" width="52.375" style="3" bestFit="1" customWidth="1"/>
    <col min="12" max="16384" width="9" style="3"/>
  </cols>
  <sheetData>
    <row r="1" spans="1:11">
      <c r="A1" s="1" t="s">
        <v>338</v>
      </c>
      <c r="B1" s="1" t="s">
        <v>339</v>
      </c>
      <c r="C1" s="1" t="s">
        <v>0</v>
      </c>
      <c r="D1" s="1" t="s">
        <v>340</v>
      </c>
      <c r="E1" s="1" t="s">
        <v>341</v>
      </c>
      <c r="F1" s="1" t="s">
        <v>342</v>
      </c>
      <c r="G1" s="1" t="s">
        <v>343</v>
      </c>
      <c r="H1" s="1" t="s">
        <v>344</v>
      </c>
      <c r="I1" s="2" t="s">
        <v>313</v>
      </c>
      <c r="J1" s="2" t="s">
        <v>409</v>
      </c>
      <c r="K1" s="2" t="s">
        <v>410</v>
      </c>
    </row>
    <row r="2" spans="1:11">
      <c r="A2" s="4">
        <v>1</v>
      </c>
      <c r="B2" s="5" t="s">
        <v>1</v>
      </c>
      <c r="C2" s="11" t="s">
        <v>2</v>
      </c>
      <c r="D2" s="11" t="s">
        <v>345</v>
      </c>
      <c r="E2" s="4" t="s">
        <v>3</v>
      </c>
      <c r="F2" s="4" t="s">
        <v>3</v>
      </c>
      <c r="G2" s="4" t="s">
        <v>346</v>
      </c>
      <c r="H2" s="9" t="s">
        <v>411</v>
      </c>
      <c r="I2" s="5">
        <f t="shared" ref="I2:I33" si="0">LEN(E2)</f>
        <v>2</v>
      </c>
      <c r="J2" s="3" t="str">
        <f xml:space="preserve"> IF(OR($E2="", $F2=""), "",  _xlfn.CONCAT("    - xform/",$E2,"/",F2,"/"))</f>
        <v xml:space="preserve">    - xform/un/un/</v>
      </c>
      <c r="K2" s="3" t="str">
        <f xml:space="preserve"> IF(OR($E2="", $G2=""), "",  _xlfn.CONCAT("    - xform/",$E2,"/",G2,"/"))</f>
        <v xml:space="preserve">    - xform/un/ㄨㄣ/</v>
      </c>
    </row>
    <row r="3" spans="1:11">
      <c r="A3" s="6">
        <v>2</v>
      </c>
      <c r="B3" s="7" t="s">
        <v>1</v>
      </c>
      <c r="C3" s="12" t="s">
        <v>2</v>
      </c>
      <c r="D3" s="12" t="s">
        <v>347</v>
      </c>
      <c r="E3" s="6" t="s">
        <v>4</v>
      </c>
      <c r="F3" s="6" t="s">
        <v>4</v>
      </c>
      <c r="G3" s="6" t="s">
        <v>348</v>
      </c>
      <c r="H3" s="9" t="s">
        <v>5</v>
      </c>
      <c r="I3" s="5">
        <f t="shared" si="0"/>
        <v>2</v>
      </c>
      <c r="J3" s="3" t="str">
        <f t="shared" ref="J3:J66" si="1" xml:space="preserve"> IF(OR($E3="", $F3=""), "",  _xlfn.CONCAT("    - xform/",$E3,"/",F3,"/"))</f>
        <v xml:space="preserve">    - xform/ut/ut/</v>
      </c>
      <c r="K3" s="3" t="str">
        <f t="shared" ref="K3:K66" si="2" xml:space="preserve"> IF(OR($E3="", $G3=""), "",  _xlfn.CONCAT("    - xform/",$E3,"/",G3,"/"))</f>
        <v xml:space="preserve">    - xform/ut/ㄨㆵ/</v>
      </c>
    </row>
    <row r="4" spans="1:11">
      <c r="A4" s="4">
        <v>3</v>
      </c>
      <c r="B4" s="7" t="s">
        <v>6</v>
      </c>
      <c r="C4" s="12" t="s">
        <v>7</v>
      </c>
      <c r="D4" s="12" t="s">
        <v>345</v>
      </c>
      <c r="E4" s="6" t="s">
        <v>8</v>
      </c>
      <c r="F4" s="6" t="s">
        <v>8</v>
      </c>
      <c r="G4" s="6" t="s">
        <v>349</v>
      </c>
      <c r="H4" s="9" t="s">
        <v>9</v>
      </c>
      <c r="I4" s="5">
        <f t="shared" si="0"/>
        <v>3</v>
      </c>
      <c r="J4" s="3" t="str">
        <f t="shared" si="1"/>
        <v xml:space="preserve">    - xform/ian/ian/</v>
      </c>
      <c r="K4" s="3" t="str">
        <f t="shared" si="2"/>
        <v xml:space="preserve">    - xform/ian/ㄧㄢ/</v>
      </c>
    </row>
    <row r="5" spans="1:11">
      <c r="A5" s="6">
        <v>4</v>
      </c>
      <c r="B5" s="7" t="s">
        <v>6</v>
      </c>
      <c r="C5" s="12" t="s">
        <v>7</v>
      </c>
      <c r="D5" s="12" t="s">
        <v>347</v>
      </c>
      <c r="E5" s="6" t="s">
        <v>10</v>
      </c>
      <c r="F5" s="6" t="s">
        <v>10</v>
      </c>
      <c r="G5" s="6" t="s">
        <v>350</v>
      </c>
      <c r="H5" s="9" t="s">
        <v>11</v>
      </c>
      <c r="I5" s="5">
        <f t="shared" si="0"/>
        <v>3</v>
      </c>
      <c r="J5" s="3" t="str">
        <f t="shared" si="1"/>
        <v xml:space="preserve">    - xform/iat/iat/</v>
      </c>
      <c r="K5" s="3" t="str">
        <f t="shared" si="2"/>
        <v xml:space="preserve">    - xform/iat/ㄧㄚㆵ/</v>
      </c>
    </row>
    <row r="6" spans="1:11">
      <c r="A6" s="4">
        <v>5</v>
      </c>
      <c r="B6" s="7" t="s">
        <v>12</v>
      </c>
      <c r="C6" s="12" t="s">
        <v>13</v>
      </c>
      <c r="D6" s="12" t="s">
        <v>345</v>
      </c>
      <c r="E6" s="6" t="s">
        <v>14</v>
      </c>
      <c r="F6" s="6" t="s">
        <v>14</v>
      </c>
      <c r="G6" s="6" t="s">
        <v>351</v>
      </c>
      <c r="H6" s="9" t="s">
        <v>15</v>
      </c>
      <c r="I6" s="5">
        <f t="shared" si="0"/>
        <v>2</v>
      </c>
      <c r="J6" s="3" t="str">
        <f t="shared" si="1"/>
        <v xml:space="preserve">    - xform/im/im/</v>
      </c>
      <c r="K6" s="3" t="str">
        <f t="shared" si="2"/>
        <v xml:space="preserve">    - xform/im/ㄧㆬ/</v>
      </c>
    </row>
    <row r="7" spans="1:11">
      <c r="A7" s="6">
        <v>6</v>
      </c>
      <c r="B7" s="7" t="s">
        <v>12</v>
      </c>
      <c r="C7" s="12" t="s">
        <v>13</v>
      </c>
      <c r="D7" s="12" t="s">
        <v>347</v>
      </c>
      <c r="E7" s="6" t="s">
        <v>16</v>
      </c>
      <c r="F7" s="6" t="s">
        <v>16</v>
      </c>
      <c r="G7" s="6" t="s">
        <v>352</v>
      </c>
      <c r="H7" s="9" t="s">
        <v>17</v>
      </c>
      <c r="I7" s="5">
        <f t="shared" si="0"/>
        <v>2</v>
      </c>
      <c r="J7" s="3" t="str">
        <f t="shared" si="1"/>
        <v xml:space="preserve">    - xform/ip/ip/</v>
      </c>
      <c r="K7" s="3" t="str">
        <f t="shared" si="2"/>
        <v xml:space="preserve">    - xform/ip/一ㆴ/</v>
      </c>
    </row>
    <row r="8" spans="1:11">
      <c r="A8" s="4">
        <v>7</v>
      </c>
      <c r="B8" s="7" t="s">
        <v>18</v>
      </c>
      <c r="C8" s="12" t="s">
        <v>19</v>
      </c>
      <c r="D8" s="12" t="s">
        <v>345</v>
      </c>
      <c r="E8" s="6" t="s">
        <v>20</v>
      </c>
      <c r="F8" s="6" t="s">
        <v>20</v>
      </c>
      <c r="G8" s="6" t="s">
        <v>353</v>
      </c>
      <c r="H8" s="9" t="s">
        <v>21</v>
      </c>
      <c r="I8" s="5">
        <f t="shared" si="0"/>
        <v>2</v>
      </c>
      <c r="J8" s="3" t="str">
        <f t="shared" si="1"/>
        <v xml:space="preserve">    - xform/ui/ui/</v>
      </c>
      <c r="K8" s="3" t="str">
        <f t="shared" si="2"/>
        <v xml:space="preserve">    - xform/ui/ㄨㄧ/</v>
      </c>
    </row>
    <row r="9" spans="1:11">
      <c r="A9" s="6">
        <v>8</v>
      </c>
      <c r="B9" s="7">
        <v>4</v>
      </c>
      <c r="C9" s="12" t="s">
        <v>19</v>
      </c>
      <c r="D9" s="12" t="s">
        <v>347</v>
      </c>
      <c r="E9" s="8" t="s">
        <v>22</v>
      </c>
      <c r="F9" s="8" t="s">
        <v>314</v>
      </c>
      <c r="G9" s="6" t="s">
        <v>24</v>
      </c>
      <c r="H9" s="9"/>
      <c r="I9" s="5">
        <f t="shared" si="0"/>
        <v>3</v>
      </c>
      <c r="J9" s="3" t="str">
        <f t="shared" si="1"/>
        <v xml:space="preserve">    - xform/uih/uh/</v>
      </c>
      <c r="K9" s="3" t="str">
        <f t="shared" si="2"/>
        <v xml:space="preserve">    - xform/uih/ㄨㄧㆷ/</v>
      </c>
    </row>
    <row r="10" spans="1:11">
      <c r="A10" s="4">
        <v>9</v>
      </c>
      <c r="B10" s="7" t="s">
        <v>25</v>
      </c>
      <c r="C10" s="12" t="s">
        <v>26</v>
      </c>
      <c r="D10" s="12" t="s">
        <v>345</v>
      </c>
      <c r="E10" s="6" t="s">
        <v>27</v>
      </c>
      <c r="F10" s="6" t="s">
        <v>315</v>
      </c>
      <c r="G10" s="6" t="s">
        <v>354</v>
      </c>
      <c r="H10" s="9" t="s">
        <v>28</v>
      </c>
      <c r="I10" s="5">
        <f t="shared" si="0"/>
        <v>1</v>
      </c>
      <c r="J10" s="3" t="str">
        <f t="shared" si="1"/>
        <v xml:space="preserve">    - xform/e/ee/</v>
      </c>
      <c r="K10" s="3" t="str">
        <f t="shared" si="2"/>
        <v xml:space="preserve">    - xform/e/ㄝ/</v>
      </c>
    </row>
    <row r="11" spans="1:11">
      <c r="A11" s="6">
        <v>10</v>
      </c>
      <c r="B11" s="7" t="s">
        <v>25</v>
      </c>
      <c r="C11" s="12" t="s">
        <v>26</v>
      </c>
      <c r="D11" s="12" t="s">
        <v>347</v>
      </c>
      <c r="E11" s="8" t="s">
        <v>29</v>
      </c>
      <c r="F11" s="8" t="s">
        <v>316</v>
      </c>
      <c r="G11" s="6" t="s">
        <v>355</v>
      </c>
      <c r="H11" s="9" t="s">
        <v>30</v>
      </c>
      <c r="I11" s="5">
        <f t="shared" si="0"/>
        <v>2</v>
      </c>
      <c r="J11" s="3" t="str">
        <f t="shared" si="1"/>
        <v xml:space="preserve">    - xform/eh/eeh/</v>
      </c>
      <c r="K11" s="3" t="str">
        <f t="shared" si="2"/>
        <v xml:space="preserve">    - xform/eh/ㄝㆷ/</v>
      </c>
    </row>
    <row r="12" spans="1:11">
      <c r="A12" s="4">
        <v>11</v>
      </c>
      <c r="B12" s="7" t="s">
        <v>31</v>
      </c>
      <c r="C12" s="12" t="s">
        <v>32</v>
      </c>
      <c r="D12" s="12" t="s">
        <v>345</v>
      </c>
      <c r="E12" s="6" t="s">
        <v>33</v>
      </c>
      <c r="F12" s="6" t="s">
        <v>33</v>
      </c>
      <c r="G12" s="6" t="s">
        <v>356</v>
      </c>
      <c r="H12" s="9" t="s">
        <v>34</v>
      </c>
      <c r="I12" s="5">
        <f t="shared" si="0"/>
        <v>2</v>
      </c>
      <c r="J12" s="3" t="str">
        <f t="shared" si="1"/>
        <v xml:space="preserve">    - xform/an/an/</v>
      </c>
      <c r="K12" s="3" t="str">
        <f t="shared" si="2"/>
        <v xml:space="preserve">    - xform/an/ㄢ/</v>
      </c>
    </row>
    <row r="13" spans="1:11">
      <c r="A13" s="6">
        <v>12</v>
      </c>
      <c r="B13" s="7" t="s">
        <v>31</v>
      </c>
      <c r="C13" s="12" t="s">
        <v>32</v>
      </c>
      <c r="D13" s="12" t="s">
        <v>347</v>
      </c>
      <c r="E13" s="6" t="s">
        <v>35</v>
      </c>
      <c r="F13" s="6" t="s">
        <v>35</v>
      </c>
      <c r="G13" s="6" t="s">
        <v>357</v>
      </c>
      <c r="H13" s="9" t="s">
        <v>36</v>
      </c>
      <c r="I13" s="5">
        <f t="shared" si="0"/>
        <v>2</v>
      </c>
      <c r="J13" s="3" t="str">
        <f t="shared" si="1"/>
        <v xml:space="preserve">    - xform/at/at/</v>
      </c>
      <c r="K13" s="3" t="str">
        <f t="shared" si="2"/>
        <v xml:space="preserve">    - xform/at/ㄚㆵ/</v>
      </c>
    </row>
    <row r="14" spans="1:11">
      <c r="A14" s="4">
        <v>13</v>
      </c>
      <c r="B14" s="7" t="s">
        <v>37</v>
      </c>
      <c r="C14" s="12" t="s">
        <v>38</v>
      </c>
      <c r="D14" s="12" t="s">
        <v>345</v>
      </c>
      <c r="E14" s="6" t="s">
        <v>39</v>
      </c>
      <c r="F14" s="6" t="s">
        <v>39</v>
      </c>
      <c r="G14" s="6" t="s">
        <v>40</v>
      </c>
      <c r="H14" s="9" t="s">
        <v>41</v>
      </c>
      <c r="I14" s="5">
        <f t="shared" si="0"/>
        <v>3</v>
      </c>
      <c r="J14" s="3" t="str">
        <f t="shared" si="1"/>
        <v xml:space="preserve">    - xform/ong/ong/</v>
      </c>
      <c r="K14" s="3" t="str">
        <f t="shared" si="2"/>
        <v xml:space="preserve">    - xform/ong/ㆲ/</v>
      </c>
    </row>
    <row r="15" spans="1:11">
      <c r="A15" s="6">
        <v>14</v>
      </c>
      <c r="B15" s="7" t="s">
        <v>37</v>
      </c>
      <c r="C15" s="12" t="s">
        <v>38</v>
      </c>
      <c r="D15" s="12" t="s">
        <v>347</v>
      </c>
      <c r="E15" s="6" t="s">
        <v>42</v>
      </c>
      <c r="F15" s="6" t="s">
        <v>42</v>
      </c>
      <c r="G15" s="6" t="s">
        <v>43</v>
      </c>
      <c r="H15" s="9" t="s">
        <v>44</v>
      </c>
      <c r="I15" s="5">
        <f t="shared" si="0"/>
        <v>2</v>
      </c>
      <c r="J15" s="3" t="str">
        <f t="shared" si="1"/>
        <v xml:space="preserve">    - xform/ok/ok/</v>
      </c>
      <c r="K15" s="3" t="str">
        <f t="shared" si="2"/>
        <v xml:space="preserve">    - xform/ok/ㆦㆻ/</v>
      </c>
    </row>
    <row r="16" spans="1:11">
      <c r="A16" s="4">
        <v>15</v>
      </c>
      <c r="B16" s="7" t="s">
        <v>45</v>
      </c>
      <c r="C16" s="12" t="s">
        <v>46</v>
      </c>
      <c r="D16" s="12" t="s">
        <v>345</v>
      </c>
      <c r="E16" s="6" t="s">
        <v>47</v>
      </c>
      <c r="F16" s="6" t="s">
        <v>47</v>
      </c>
      <c r="G16" s="6" t="s">
        <v>358</v>
      </c>
      <c r="H16" s="9" t="s">
        <v>48</v>
      </c>
      <c r="I16" s="5">
        <f t="shared" si="0"/>
        <v>3</v>
      </c>
      <c r="J16" s="3" t="str">
        <f t="shared" si="1"/>
        <v xml:space="preserve">    - xform/uai/uai/</v>
      </c>
      <c r="K16" s="3" t="str">
        <f t="shared" si="2"/>
        <v xml:space="preserve">    - xform/uai/ㄨㄞ/</v>
      </c>
    </row>
    <row r="17" spans="1:11">
      <c r="A17" s="6">
        <v>16</v>
      </c>
      <c r="B17" s="7" t="s">
        <v>45</v>
      </c>
      <c r="C17" s="12" t="s">
        <v>46</v>
      </c>
      <c r="D17" s="12" t="s">
        <v>347</v>
      </c>
      <c r="E17" s="6" t="s">
        <v>49</v>
      </c>
      <c r="F17" s="6" t="s">
        <v>317</v>
      </c>
      <c r="G17" s="6" t="s">
        <v>359</v>
      </c>
      <c r="H17" s="9" t="s">
        <v>337</v>
      </c>
      <c r="I17" s="5">
        <f t="shared" si="0"/>
        <v>4</v>
      </c>
      <c r="J17" s="3" t="str">
        <f t="shared" si="1"/>
        <v xml:space="preserve">    - xform/uaih/uah/</v>
      </c>
      <c r="K17" s="3" t="str">
        <f t="shared" si="2"/>
        <v xml:space="preserve">    - xform/uaih/ㄨㄞㆷ/</v>
      </c>
    </row>
    <row r="18" spans="1:11">
      <c r="A18" s="4">
        <v>17</v>
      </c>
      <c r="B18" s="7" t="s">
        <v>51</v>
      </c>
      <c r="C18" s="12" t="s">
        <v>52</v>
      </c>
      <c r="D18" s="12" t="s">
        <v>345</v>
      </c>
      <c r="E18" s="6" t="s">
        <v>53</v>
      </c>
      <c r="F18" s="6" t="s">
        <v>318</v>
      </c>
      <c r="G18" s="6" t="s">
        <v>360</v>
      </c>
      <c r="H18" s="9" t="s">
        <v>54</v>
      </c>
      <c r="I18" s="5">
        <f t="shared" si="0"/>
        <v>3</v>
      </c>
      <c r="J18" s="3" t="str">
        <f t="shared" si="1"/>
        <v xml:space="preserve">    - xform/ing/ing/</v>
      </c>
      <c r="K18" s="3" t="str">
        <f t="shared" si="2"/>
        <v xml:space="preserve">    - xform/ing/ㄧㄥ/</v>
      </c>
    </row>
    <row r="19" spans="1:11">
      <c r="A19" s="6">
        <v>18</v>
      </c>
      <c r="B19" s="7" t="s">
        <v>51</v>
      </c>
      <c r="C19" s="12" t="s">
        <v>52</v>
      </c>
      <c r="D19" s="12" t="s">
        <v>347</v>
      </c>
      <c r="E19" s="6" t="s">
        <v>55</v>
      </c>
      <c r="F19" s="6" t="s">
        <v>55</v>
      </c>
      <c r="G19" s="6" t="s">
        <v>361</v>
      </c>
      <c r="H19" s="9" t="s">
        <v>56</v>
      </c>
      <c r="I19" s="5">
        <f t="shared" si="0"/>
        <v>2</v>
      </c>
      <c r="J19" s="3" t="str">
        <f t="shared" si="1"/>
        <v xml:space="preserve">    - xform/ik/ik/</v>
      </c>
      <c r="K19" s="3" t="str">
        <f t="shared" si="2"/>
        <v xml:space="preserve">    - xform/ik/ㄧㆻ/</v>
      </c>
    </row>
    <row r="20" spans="1:11">
      <c r="A20" s="4">
        <v>19</v>
      </c>
      <c r="B20" s="7" t="s">
        <v>57</v>
      </c>
      <c r="C20" s="12" t="s">
        <v>58</v>
      </c>
      <c r="D20" s="12" t="s">
        <v>345</v>
      </c>
      <c r="E20" s="6" t="s">
        <v>59</v>
      </c>
      <c r="F20" s="6" t="s">
        <v>59</v>
      </c>
      <c r="G20" s="6" t="s">
        <v>362</v>
      </c>
      <c r="H20" s="9" t="s">
        <v>60</v>
      </c>
      <c r="I20" s="5">
        <f t="shared" si="0"/>
        <v>3</v>
      </c>
      <c r="J20" s="3" t="str">
        <f t="shared" si="1"/>
        <v xml:space="preserve">    - xform/uan/uan/</v>
      </c>
      <c r="K20" s="3" t="str">
        <f t="shared" si="2"/>
        <v xml:space="preserve">    - xform/uan/ㄨㄢ/</v>
      </c>
    </row>
    <row r="21" spans="1:11">
      <c r="A21" s="6">
        <v>20</v>
      </c>
      <c r="B21" s="7" t="s">
        <v>57</v>
      </c>
      <c r="C21" s="12" t="s">
        <v>58</v>
      </c>
      <c r="D21" s="12" t="s">
        <v>345</v>
      </c>
      <c r="E21" s="6" t="s">
        <v>59</v>
      </c>
      <c r="F21" s="6" t="s">
        <v>61</v>
      </c>
      <c r="G21" s="6" t="s">
        <v>363</v>
      </c>
      <c r="H21" s="9" t="s">
        <v>62</v>
      </c>
      <c r="I21" s="5">
        <f t="shared" si="0"/>
        <v>3</v>
      </c>
      <c r="J21" s="3" t="str">
        <f t="shared" si="1"/>
        <v xml:space="preserve">    - xform/uan/uat/</v>
      </c>
      <c r="K21" s="3" t="str">
        <f t="shared" si="2"/>
        <v xml:space="preserve">    - xform/uan/ㄨㄚㆵ/</v>
      </c>
    </row>
    <row r="22" spans="1:11">
      <c r="A22" s="4">
        <v>21</v>
      </c>
      <c r="B22" s="7" t="s">
        <v>63</v>
      </c>
      <c r="C22" s="12" t="s">
        <v>64</v>
      </c>
      <c r="D22" s="12" t="s">
        <v>345</v>
      </c>
      <c r="E22" s="6" t="s">
        <v>65</v>
      </c>
      <c r="F22" s="6" t="s">
        <v>65</v>
      </c>
      <c r="G22" s="6" t="s">
        <v>66</v>
      </c>
      <c r="H22" s="9" t="s">
        <v>67</v>
      </c>
      <c r="I22" s="5">
        <f t="shared" si="0"/>
        <v>2</v>
      </c>
      <c r="J22" s="3" t="str">
        <f t="shared" si="1"/>
        <v xml:space="preserve">    - xform/oo/oo/</v>
      </c>
      <c r="K22" s="3" t="str">
        <f t="shared" si="2"/>
        <v xml:space="preserve">    - xform/oo/ㆦ/</v>
      </c>
    </row>
    <row r="23" spans="1:11">
      <c r="A23" s="6">
        <v>22</v>
      </c>
      <c r="B23" s="7" t="s">
        <v>63</v>
      </c>
      <c r="C23" s="12" t="s">
        <v>64</v>
      </c>
      <c r="D23" s="12" t="s">
        <v>345</v>
      </c>
      <c r="E23" s="6" t="s">
        <v>65</v>
      </c>
      <c r="F23" s="6" t="s">
        <v>319</v>
      </c>
      <c r="G23" s="6" t="s">
        <v>320</v>
      </c>
      <c r="H23" s="9"/>
      <c r="I23" s="5">
        <f t="shared" si="0"/>
        <v>2</v>
      </c>
      <c r="J23" s="3" t="str">
        <f t="shared" si="1"/>
        <v xml:space="preserve">    - xform/oo/ooh/</v>
      </c>
      <c r="K23" s="3" t="str">
        <f t="shared" si="2"/>
        <v xml:space="preserve">    - xform/oo/ㆦㆷ/</v>
      </c>
    </row>
    <row r="24" spans="1:11">
      <c r="A24" s="4">
        <v>23</v>
      </c>
      <c r="B24" s="7" t="s">
        <v>68</v>
      </c>
      <c r="C24" s="12" t="s">
        <v>69</v>
      </c>
      <c r="D24" s="12" t="s">
        <v>345</v>
      </c>
      <c r="E24" s="6" t="s">
        <v>70</v>
      </c>
      <c r="F24" s="6" t="s">
        <v>71</v>
      </c>
      <c r="G24" s="6" t="s">
        <v>364</v>
      </c>
      <c r="H24" s="9" t="s">
        <v>72</v>
      </c>
      <c r="I24" s="5">
        <f t="shared" si="0"/>
        <v>3</v>
      </c>
      <c r="J24" s="3" t="str">
        <f t="shared" si="1"/>
        <v xml:space="preserve">    - xform/iau/iao/</v>
      </c>
      <c r="K24" s="3" t="str">
        <f t="shared" si="2"/>
        <v xml:space="preserve">    - xform/iau/ㄧㄠ/</v>
      </c>
    </row>
    <row r="25" spans="1:11">
      <c r="A25" s="6">
        <v>24</v>
      </c>
      <c r="B25" s="7" t="s">
        <v>68</v>
      </c>
      <c r="C25" s="12" t="s">
        <v>69</v>
      </c>
      <c r="D25" s="12" t="s">
        <v>345</v>
      </c>
      <c r="E25" s="6" t="s">
        <v>70</v>
      </c>
      <c r="F25" s="6" t="s">
        <v>73</v>
      </c>
      <c r="G25" s="6" t="s">
        <v>365</v>
      </c>
      <c r="H25" s="9" t="s">
        <v>74</v>
      </c>
      <c r="I25" s="5">
        <f t="shared" si="0"/>
        <v>3</v>
      </c>
      <c r="J25" s="3" t="str">
        <f t="shared" si="1"/>
        <v xml:space="preserve">    - xform/iau/iaoh/</v>
      </c>
      <c r="K25" s="3" t="str">
        <f t="shared" si="2"/>
        <v xml:space="preserve">    - xform/iau/ㄧㄠㆷ/</v>
      </c>
    </row>
    <row r="26" spans="1:11">
      <c r="A26" s="4">
        <v>25</v>
      </c>
      <c r="B26" s="7" t="s">
        <v>75</v>
      </c>
      <c r="C26" s="12" t="s">
        <v>76</v>
      </c>
      <c r="D26" s="12" t="s">
        <v>345</v>
      </c>
      <c r="E26" s="6" t="s">
        <v>27</v>
      </c>
      <c r="F26" s="6" t="s">
        <v>27</v>
      </c>
      <c r="G26" s="6" t="s">
        <v>77</v>
      </c>
      <c r="H26" s="9" t="s">
        <v>78</v>
      </c>
      <c r="I26" s="5">
        <f t="shared" si="0"/>
        <v>1</v>
      </c>
      <c r="J26" s="3" t="str">
        <f t="shared" si="1"/>
        <v xml:space="preserve">    - xform/e/e/</v>
      </c>
      <c r="K26" s="3" t="str">
        <f t="shared" si="2"/>
        <v xml:space="preserve">    - xform/e/ㆤ/</v>
      </c>
    </row>
    <row r="27" spans="1:11">
      <c r="A27" s="6">
        <v>26</v>
      </c>
      <c r="B27" s="7" t="s">
        <v>75</v>
      </c>
      <c r="C27" s="12" t="s">
        <v>76</v>
      </c>
      <c r="D27" s="12" t="s">
        <v>345</v>
      </c>
      <c r="E27" s="6" t="s">
        <v>27</v>
      </c>
      <c r="F27" s="6" t="s">
        <v>321</v>
      </c>
      <c r="G27" s="6" t="s">
        <v>322</v>
      </c>
      <c r="H27" s="9"/>
      <c r="I27" s="5">
        <f t="shared" si="0"/>
        <v>1</v>
      </c>
      <c r="J27" s="3" t="str">
        <f t="shared" si="1"/>
        <v xml:space="preserve">    - xform/e/eh/</v>
      </c>
      <c r="K27" s="3" t="str">
        <f t="shared" si="2"/>
        <v xml:space="preserve">    - xform/e/ㆤㆷ/</v>
      </c>
    </row>
    <row r="28" spans="1:11">
      <c r="A28" s="4">
        <v>27</v>
      </c>
      <c r="B28" s="7" t="s">
        <v>80</v>
      </c>
      <c r="C28" s="12" t="s">
        <v>81</v>
      </c>
      <c r="D28" s="12" t="s">
        <v>345</v>
      </c>
      <c r="E28" s="6" t="s">
        <v>82</v>
      </c>
      <c r="F28" s="6" t="s">
        <v>82</v>
      </c>
      <c r="G28" s="6" t="s">
        <v>366</v>
      </c>
      <c r="H28" s="9" t="s">
        <v>83</v>
      </c>
      <c r="I28" s="5">
        <f t="shared" si="0"/>
        <v>4</v>
      </c>
      <c r="J28" s="3" t="str">
        <f t="shared" si="1"/>
        <v xml:space="preserve">    - xform/iong/iong/</v>
      </c>
      <c r="K28" s="3" t="str">
        <f t="shared" si="2"/>
        <v xml:space="preserve">    - xform/iong/ㄧㆲ/</v>
      </c>
    </row>
    <row r="29" spans="1:11">
      <c r="A29" s="6">
        <v>28</v>
      </c>
      <c r="B29" s="7" t="s">
        <v>80</v>
      </c>
      <c r="C29" s="12" t="s">
        <v>81</v>
      </c>
      <c r="D29" s="12" t="s">
        <v>347</v>
      </c>
      <c r="E29" s="6" t="s">
        <v>84</v>
      </c>
      <c r="F29" s="6" t="s">
        <v>85</v>
      </c>
      <c r="G29" s="6" t="s">
        <v>367</v>
      </c>
      <c r="H29" s="9" t="s">
        <v>86</v>
      </c>
      <c r="I29" s="5">
        <f t="shared" si="0"/>
        <v>4</v>
      </c>
      <c r="J29" s="3" t="str">
        <f t="shared" si="1"/>
        <v xml:space="preserve">    - xform/iook/iok/</v>
      </c>
      <c r="K29" s="3" t="str">
        <f t="shared" si="2"/>
        <v xml:space="preserve">    - xform/iook/ㄧㆦㆻ/</v>
      </c>
    </row>
    <row r="30" spans="1:11">
      <c r="A30" s="4">
        <v>29</v>
      </c>
      <c r="B30" s="7" t="s">
        <v>87</v>
      </c>
      <c r="C30" s="12" t="s">
        <v>88</v>
      </c>
      <c r="D30" s="12" t="s">
        <v>345</v>
      </c>
      <c r="E30" s="6" t="s">
        <v>89</v>
      </c>
      <c r="F30" s="6" t="s">
        <v>90</v>
      </c>
      <c r="G30" s="6" t="s">
        <v>368</v>
      </c>
      <c r="H30" s="9" t="s">
        <v>91</v>
      </c>
      <c r="I30" s="5">
        <f t="shared" si="0"/>
        <v>2</v>
      </c>
      <c r="J30" s="3" t="str">
        <f t="shared" si="1"/>
        <v xml:space="preserve">    - xform/or/o/</v>
      </c>
      <c r="K30" s="3" t="str">
        <f t="shared" si="2"/>
        <v xml:space="preserve">    - xform/or/ㄜ/</v>
      </c>
    </row>
    <row r="31" spans="1:11">
      <c r="A31" s="6">
        <v>30</v>
      </c>
      <c r="B31" s="7" t="s">
        <v>87</v>
      </c>
      <c r="C31" s="12" t="s">
        <v>88</v>
      </c>
      <c r="D31" s="12" t="s">
        <v>345</v>
      </c>
      <c r="E31" s="6" t="s">
        <v>89</v>
      </c>
      <c r="F31" s="6" t="s">
        <v>92</v>
      </c>
      <c r="G31" s="6" t="s">
        <v>369</v>
      </c>
      <c r="H31" s="9" t="s">
        <v>93</v>
      </c>
      <c r="I31" s="5">
        <f t="shared" si="0"/>
        <v>2</v>
      </c>
      <c r="J31" s="3" t="str">
        <f t="shared" si="1"/>
        <v xml:space="preserve">    - xform/or/oh/</v>
      </c>
      <c r="K31" s="3" t="str">
        <f t="shared" si="2"/>
        <v xml:space="preserve">    - xform/or/ㄜㆷ/</v>
      </c>
    </row>
    <row r="32" spans="1:11">
      <c r="A32" s="4">
        <v>31</v>
      </c>
      <c r="B32" s="7" t="s">
        <v>94</v>
      </c>
      <c r="C32" s="12" t="s">
        <v>95</v>
      </c>
      <c r="D32" s="12" t="s">
        <v>345</v>
      </c>
      <c r="E32" s="6" t="s">
        <v>96</v>
      </c>
      <c r="F32" s="6" t="s">
        <v>96</v>
      </c>
      <c r="G32" s="6" t="s">
        <v>370</v>
      </c>
      <c r="H32" s="9" t="s">
        <v>97</v>
      </c>
      <c r="I32" s="5">
        <f t="shared" si="0"/>
        <v>2</v>
      </c>
      <c r="J32" s="3" t="str">
        <f t="shared" si="1"/>
        <v xml:space="preserve">    - xform/ai/ai/</v>
      </c>
      <c r="K32" s="3" t="str">
        <f t="shared" si="2"/>
        <v xml:space="preserve">    - xform/ai/ㄞ/</v>
      </c>
    </row>
    <row r="33" spans="1:11">
      <c r="A33" s="6">
        <v>32</v>
      </c>
      <c r="B33" s="7" t="s">
        <v>94</v>
      </c>
      <c r="C33" s="12" t="s">
        <v>95</v>
      </c>
      <c r="D33" s="12" t="s">
        <v>345</v>
      </c>
      <c r="E33" s="6" t="s">
        <v>96</v>
      </c>
      <c r="F33" s="6" t="s">
        <v>323</v>
      </c>
      <c r="G33" s="6" t="s">
        <v>98</v>
      </c>
      <c r="H33" s="9"/>
      <c r="I33" s="5">
        <f t="shared" si="0"/>
        <v>2</v>
      </c>
      <c r="J33" s="3" t="str">
        <f t="shared" si="1"/>
        <v xml:space="preserve">    - xform/ai/aih/</v>
      </c>
      <c r="K33" s="3" t="str">
        <f t="shared" si="2"/>
        <v xml:space="preserve">    - xform/ai/ㄞㆷ/</v>
      </c>
    </row>
    <row r="34" spans="1:11">
      <c r="A34" s="4">
        <v>33</v>
      </c>
      <c r="B34" s="7" t="s">
        <v>99</v>
      </c>
      <c r="C34" s="12" t="s">
        <v>100</v>
      </c>
      <c r="D34" s="12" t="s">
        <v>345</v>
      </c>
      <c r="E34" s="6" t="s">
        <v>101</v>
      </c>
      <c r="F34" s="6" t="s">
        <v>101</v>
      </c>
      <c r="G34" s="6" t="s">
        <v>371</v>
      </c>
      <c r="H34" s="9" t="s">
        <v>102</v>
      </c>
      <c r="I34" s="5">
        <f t="shared" ref="I34:I65" si="3">LEN(E34)</f>
        <v>2</v>
      </c>
      <c r="J34" s="3" t="str">
        <f t="shared" si="1"/>
        <v xml:space="preserve">    - xform/in/in/</v>
      </c>
      <c r="K34" s="3" t="str">
        <f t="shared" si="2"/>
        <v xml:space="preserve">    - xform/in/ㄧㄣ/</v>
      </c>
    </row>
    <row r="35" spans="1:11">
      <c r="A35" s="6">
        <v>34</v>
      </c>
      <c r="B35" s="7" t="s">
        <v>99</v>
      </c>
      <c r="C35" s="12" t="s">
        <v>100</v>
      </c>
      <c r="D35" s="12" t="s">
        <v>347</v>
      </c>
      <c r="E35" s="6" t="s">
        <v>103</v>
      </c>
      <c r="F35" s="6" t="s">
        <v>103</v>
      </c>
      <c r="G35" s="6" t="s">
        <v>372</v>
      </c>
      <c r="H35" s="9" t="s">
        <v>104</v>
      </c>
      <c r="I35" s="5">
        <f t="shared" si="3"/>
        <v>2</v>
      </c>
      <c r="J35" s="3" t="str">
        <f t="shared" si="1"/>
        <v xml:space="preserve">    - xform/it/it/</v>
      </c>
      <c r="K35" s="3" t="str">
        <f t="shared" si="2"/>
        <v xml:space="preserve">    - xform/it/ㄧㆵ/</v>
      </c>
    </row>
    <row r="36" spans="1:11">
      <c r="A36" s="4">
        <v>35</v>
      </c>
      <c r="B36" s="7" t="s">
        <v>105</v>
      </c>
      <c r="C36" s="12" t="s">
        <v>106</v>
      </c>
      <c r="D36" s="12" t="s">
        <v>345</v>
      </c>
      <c r="E36" s="6" t="s">
        <v>107</v>
      </c>
      <c r="F36" s="6" t="s">
        <v>107</v>
      </c>
      <c r="G36" s="6" t="s">
        <v>373</v>
      </c>
      <c r="H36" s="9" t="s">
        <v>108</v>
      </c>
      <c r="I36" s="5">
        <f t="shared" si="3"/>
        <v>4</v>
      </c>
      <c r="J36" s="3" t="str">
        <f t="shared" si="1"/>
        <v xml:space="preserve">    - xform/iang/iang/</v>
      </c>
      <c r="K36" s="3" t="str">
        <f t="shared" si="2"/>
        <v xml:space="preserve">    - xform/iang/ㄧㄤ/</v>
      </c>
    </row>
    <row r="37" spans="1:11">
      <c r="A37" s="6">
        <v>36</v>
      </c>
      <c r="B37" s="7" t="s">
        <v>105</v>
      </c>
      <c r="C37" s="12" t="s">
        <v>106</v>
      </c>
      <c r="D37" s="12" t="s">
        <v>347</v>
      </c>
      <c r="E37" s="6" t="s">
        <v>109</v>
      </c>
      <c r="F37" s="6" t="s">
        <v>109</v>
      </c>
      <c r="G37" s="6" t="s">
        <v>374</v>
      </c>
      <c r="H37" s="9" t="s">
        <v>110</v>
      </c>
      <c r="I37" s="5">
        <f t="shared" si="3"/>
        <v>3</v>
      </c>
      <c r="J37" s="3" t="str">
        <f t="shared" si="1"/>
        <v xml:space="preserve">    - xform/iak/iak/</v>
      </c>
      <c r="K37" s="3" t="str">
        <f t="shared" si="2"/>
        <v xml:space="preserve">    - xform/iak/ㄧㄚㆻ/</v>
      </c>
    </row>
    <row r="38" spans="1:11">
      <c r="A38" s="4">
        <v>37</v>
      </c>
      <c r="B38" s="7" t="s">
        <v>111</v>
      </c>
      <c r="C38" s="12" t="s">
        <v>112</v>
      </c>
      <c r="D38" s="12" t="s">
        <v>345</v>
      </c>
      <c r="E38" s="6" t="s">
        <v>113</v>
      </c>
      <c r="F38" s="6" t="s">
        <v>113</v>
      </c>
      <c r="G38" s="6" t="s">
        <v>114</v>
      </c>
      <c r="H38" s="9" t="s">
        <v>115</v>
      </c>
      <c r="I38" s="5">
        <f t="shared" si="3"/>
        <v>2</v>
      </c>
      <c r="J38" s="3" t="str">
        <f t="shared" si="1"/>
        <v xml:space="preserve">    - xform/am/am/</v>
      </c>
      <c r="K38" s="3" t="str">
        <f t="shared" si="2"/>
        <v xml:space="preserve">    - xform/am/ㆰ/</v>
      </c>
    </row>
    <row r="39" spans="1:11">
      <c r="A39" s="6">
        <v>38</v>
      </c>
      <c r="B39" s="7" t="s">
        <v>111</v>
      </c>
      <c r="C39" s="12" t="s">
        <v>112</v>
      </c>
      <c r="D39" s="12" t="s">
        <v>347</v>
      </c>
      <c r="E39" s="6" t="s">
        <v>116</v>
      </c>
      <c r="F39" s="6" t="s">
        <v>116</v>
      </c>
      <c r="G39" s="6" t="s">
        <v>375</v>
      </c>
      <c r="H39" s="9" t="s">
        <v>117</v>
      </c>
      <c r="I39" s="5">
        <f t="shared" si="3"/>
        <v>2</v>
      </c>
      <c r="J39" s="3" t="str">
        <f t="shared" si="1"/>
        <v xml:space="preserve">    - xform/ap/ap/</v>
      </c>
      <c r="K39" s="3" t="str">
        <f t="shared" si="2"/>
        <v xml:space="preserve">    - xform/ap/ㄚㆴ/</v>
      </c>
    </row>
    <row r="40" spans="1:11">
      <c r="A40" s="4">
        <v>39</v>
      </c>
      <c r="B40" s="7" t="s">
        <v>118</v>
      </c>
      <c r="C40" s="12" t="s">
        <v>119</v>
      </c>
      <c r="D40" s="12" t="s">
        <v>345</v>
      </c>
      <c r="E40" s="6" t="s">
        <v>120</v>
      </c>
      <c r="F40" s="6" t="s">
        <v>120</v>
      </c>
      <c r="G40" s="6" t="s">
        <v>376</v>
      </c>
      <c r="H40" s="9" t="s">
        <v>121</v>
      </c>
      <c r="I40" s="5">
        <f t="shared" si="3"/>
        <v>2</v>
      </c>
      <c r="J40" s="3" t="str">
        <f t="shared" si="1"/>
        <v xml:space="preserve">    - xform/ua/ua/</v>
      </c>
      <c r="K40" s="3" t="str">
        <f t="shared" si="2"/>
        <v xml:space="preserve">    - xform/ua/ㄨㄚ/</v>
      </c>
    </row>
    <row r="41" spans="1:11">
      <c r="A41" s="6">
        <v>40</v>
      </c>
      <c r="B41" s="7" t="s">
        <v>118</v>
      </c>
      <c r="C41" s="12" t="s">
        <v>119</v>
      </c>
      <c r="D41" s="12" t="s">
        <v>347</v>
      </c>
      <c r="E41" s="6" t="s">
        <v>50</v>
      </c>
      <c r="F41" s="6" t="s">
        <v>50</v>
      </c>
      <c r="G41" s="6" t="s">
        <v>377</v>
      </c>
      <c r="H41" s="9" t="s">
        <v>122</v>
      </c>
      <c r="I41" s="5">
        <f t="shared" si="3"/>
        <v>3</v>
      </c>
      <c r="J41" s="3" t="str">
        <f t="shared" si="1"/>
        <v xml:space="preserve">    - xform/uah/uah/</v>
      </c>
      <c r="K41" s="3" t="str">
        <f t="shared" si="2"/>
        <v xml:space="preserve">    - xform/uah/ㄨㄚㆷ/</v>
      </c>
    </row>
    <row r="42" spans="1:11">
      <c r="A42" s="4">
        <v>41</v>
      </c>
      <c r="B42" s="7" t="s">
        <v>123</v>
      </c>
      <c r="C42" s="12" t="s">
        <v>124</v>
      </c>
      <c r="D42" s="12" t="s">
        <v>345</v>
      </c>
      <c r="E42" s="6" t="s">
        <v>125</v>
      </c>
      <c r="F42" s="6" t="s">
        <v>125</v>
      </c>
      <c r="G42" s="6" t="s">
        <v>378</v>
      </c>
      <c r="H42" s="9" t="s">
        <v>126</v>
      </c>
      <c r="I42" s="5">
        <f t="shared" si="3"/>
        <v>3</v>
      </c>
      <c r="J42" s="3" t="str">
        <f t="shared" si="1"/>
        <v xml:space="preserve">    - xform/ang/ang/</v>
      </c>
      <c r="K42" s="3" t="str">
        <f t="shared" si="2"/>
        <v xml:space="preserve">    - xform/ang/ㄤ/</v>
      </c>
    </row>
    <row r="43" spans="1:11">
      <c r="A43" s="6">
        <v>42</v>
      </c>
      <c r="B43" s="7" t="s">
        <v>123</v>
      </c>
      <c r="C43" s="12" t="s">
        <v>124</v>
      </c>
      <c r="D43" s="12" t="s">
        <v>347</v>
      </c>
      <c r="E43" s="6" t="s">
        <v>127</v>
      </c>
      <c r="F43" s="6" t="s">
        <v>127</v>
      </c>
      <c r="G43" s="6" t="s">
        <v>379</v>
      </c>
      <c r="H43" s="9" t="s">
        <v>128</v>
      </c>
      <c r="I43" s="5">
        <f t="shared" si="3"/>
        <v>2</v>
      </c>
      <c r="J43" s="3" t="str">
        <f t="shared" si="1"/>
        <v xml:space="preserve">    - xform/ak/ak/</v>
      </c>
      <c r="K43" s="3" t="str">
        <f t="shared" si="2"/>
        <v xml:space="preserve">    - xform/ak/ㄚㆻ/</v>
      </c>
    </row>
    <row r="44" spans="1:11">
      <c r="A44" s="4">
        <v>43</v>
      </c>
      <c r="B44" s="7" t="s">
        <v>129</v>
      </c>
      <c r="C44" s="12" t="s">
        <v>130</v>
      </c>
      <c r="D44" s="12" t="s">
        <v>345</v>
      </c>
      <c r="E44" s="6" t="s">
        <v>131</v>
      </c>
      <c r="F44" s="6" t="s">
        <v>131</v>
      </c>
      <c r="G44" s="6" t="s">
        <v>380</v>
      </c>
      <c r="H44" s="9" t="s">
        <v>132</v>
      </c>
      <c r="I44" s="5">
        <f t="shared" si="3"/>
        <v>3</v>
      </c>
      <c r="J44" s="3" t="str">
        <f t="shared" si="1"/>
        <v xml:space="preserve">    - xform/iam/iam/</v>
      </c>
      <c r="K44" s="3" t="str">
        <f t="shared" si="2"/>
        <v xml:space="preserve">    - xform/iam/ㄧㆰ/</v>
      </c>
    </row>
    <row r="45" spans="1:11">
      <c r="A45" s="6">
        <v>44</v>
      </c>
      <c r="B45" s="7" t="s">
        <v>129</v>
      </c>
      <c r="C45" s="12" t="s">
        <v>130</v>
      </c>
      <c r="D45" s="12" t="s">
        <v>347</v>
      </c>
      <c r="E45" s="6" t="s">
        <v>133</v>
      </c>
      <c r="F45" s="6" t="s">
        <v>133</v>
      </c>
      <c r="G45" s="6" t="s">
        <v>381</v>
      </c>
      <c r="H45" s="9" t="s">
        <v>134</v>
      </c>
      <c r="I45" s="5">
        <f t="shared" si="3"/>
        <v>3</v>
      </c>
      <c r="J45" s="3" t="str">
        <f t="shared" si="1"/>
        <v xml:space="preserve">    - xform/iap/iap/</v>
      </c>
      <c r="K45" s="3" t="str">
        <f t="shared" si="2"/>
        <v xml:space="preserve">    - xform/iap/ㄧㄚㆴ/</v>
      </c>
    </row>
    <row r="46" spans="1:11">
      <c r="A46" s="4">
        <v>45</v>
      </c>
      <c r="B46" s="7" t="s">
        <v>135</v>
      </c>
      <c r="C46" s="12" t="s">
        <v>136</v>
      </c>
      <c r="D46" s="12" t="s">
        <v>345</v>
      </c>
      <c r="E46" s="6" t="s">
        <v>137</v>
      </c>
      <c r="F46" s="6" t="s">
        <v>138</v>
      </c>
      <c r="G46" s="6" t="s">
        <v>382</v>
      </c>
      <c r="H46" s="9" t="s">
        <v>139</v>
      </c>
      <c r="I46" s="5">
        <f t="shared" si="3"/>
        <v>2</v>
      </c>
      <c r="J46" s="3" t="str">
        <f t="shared" si="1"/>
        <v xml:space="preserve">    - xform/au/ao/</v>
      </c>
      <c r="K46" s="3" t="str">
        <f t="shared" si="2"/>
        <v xml:space="preserve">    - xform/au/ㄠ/</v>
      </c>
    </row>
    <row r="47" spans="1:11">
      <c r="A47" s="6">
        <v>46</v>
      </c>
      <c r="B47" s="7" t="s">
        <v>135</v>
      </c>
      <c r="C47" s="12" t="s">
        <v>136</v>
      </c>
      <c r="D47" s="12" t="s">
        <v>347</v>
      </c>
      <c r="E47" s="6" t="s">
        <v>140</v>
      </c>
      <c r="F47" s="6" t="s">
        <v>141</v>
      </c>
      <c r="G47" s="6" t="s">
        <v>383</v>
      </c>
      <c r="H47" s="9" t="s">
        <v>142</v>
      </c>
      <c r="I47" s="5">
        <f t="shared" si="3"/>
        <v>3</v>
      </c>
      <c r="J47" s="3" t="str">
        <f t="shared" si="1"/>
        <v xml:space="preserve">    - xform/auh/aoh/</v>
      </c>
      <c r="K47" s="3" t="str">
        <f t="shared" si="2"/>
        <v xml:space="preserve">    - xform/auh/ㄠㆷ/</v>
      </c>
    </row>
    <row r="48" spans="1:11">
      <c r="A48" s="4">
        <v>47</v>
      </c>
      <c r="B48" s="7" t="s">
        <v>143</v>
      </c>
      <c r="C48" s="12" t="s">
        <v>144</v>
      </c>
      <c r="D48" s="12" t="s">
        <v>345</v>
      </c>
      <c r="E48" s="6" t="s">
        <v>145</v>
      </c>
      <c r="F48" s="6" t="s">
        <v>145</v>
      </c>
      <c r="G48" s="6" t="s">
        <v>384</v>
      </c>
      <c r="H48" s="9" t="s">
        <v>146</v>
      </c>
      <c r="I48" s="5">
        <f t="shared" si="3"/>
        <v>2</v>
      </c>
      <c r="J48" s="3" t="str">
        <f t="shared" si="1"/>
        <v xml:space="preserve">    - xform/ia/ia/</v>
      </c>
      <c r="K48" s="3" t="str">
        <f t="shared" si="2"/>
        <v xml:space="preserve">    - xform/ia/ㄧㄚ/</v>
      </c>
    </row>
    <row r="49" spans="1:11">
      <c r="A49" s="6">
        <v>48</v>
      </c>
      <c r="B49" s="7" t="s">
        <v>143</v>
      </c>
      <c r="C49" s="12" t="s">
        <v>144</v>
      </c>
      <c r="D49" s="12" t="s">
        <v>347</v>
      </c>
      <c r="E49" s="6" t="s">
        <v>147</v>
      </c>
      <c r="F49" s="6" t="s">
        <v>147</v>
      </c>
      <c r="G49" s="6" t="s">
        <v>385</v>
      </c>
      <c r="H49" s="9" t="s">
        <v>148</v>
      </c>
      <c r="I49" s="5">
        <f t="shared" si="3"/>
        <v>3</v>
      </c>
      <c r="J49" s="3" t="str">
        <f t="shared" si="1"/>
        <v xml:space="preserve">    - xform/iah/iah/</v>
      </c>
      <c r="K49" s="3" t="str">
        <f t="shared" si="2"/>
        <v xml:space="preserve">    - xform/iah/ㄧㄚㆷ/</v>
      </c>
    </row>
    <row r="50" spans="1:11">
      <c r="A50" s="4">
        <v>49</v>
      </c>
      <c r="B50" s="7" t="s">
        <v>149</v>
      </c>
      <c r="C50" s="12" t="s">
        <v>150</v>
      </c>
      <c r="D50" s="12" t="s">
        <v>345</v>
      </c>
      <c r="E50" s="6" t="s">
        <v>151</v>
      </c>
      <c r="F50" s="6" t="s">
        <v>151</v>
      </c>
      <c r="G50" s="6" t="s">
        <v>386</v>
      </c>
      <c r="H50" s="9" t="s">
        <v>152</v>
      </c>
      <c r="I50" s="5">
        <f t="shared" si="3"/>
        <v>2</v>
      </c>
      <c r="J50" s="3" t="str">
        <f t="shared" si="1"/>
        <v xml:space="preserve">    - xform/ue/ue/</v>
      </c>
      <c r="K50" s="3" t="str">
        <f t="shared" si="2"/>
        <v xml:space="preserve">    - xform/ue/ㄨㆤ/</v>
      </c>
    </row>
    <row r="51" spans="1:11">
      <c r="A51" s="6">
        <v>50</v>
      </c>
      <c r="B51" s="7" t="s">
        <v>149</v>
      </c>
      <c r="C51" s="12" t="s">
        <v>150</v>
      </c>
      <c r="D51" s="12" t="s">
        <v>347</v>
      </c>
      <c r="E51" s="6" t="s">
        <v>153</v>
      </c>
      <c r="F51" s="6" t="s">
        <v>153</v>
      </c>
      <c r="G51" s="6" t="s">
        <v>387</v>
      </c>
      <c r="H51" s="9" t="s">
        <v>154</v>
      </c>
      <c r="I51" s="5">
        <f t="shared" si="3"/>
        <v>3</v>
      </c>
      <c r="J51" s="3" t="str">
        <f t="shared" si="1"/>
        <v xml:space="preserve">    - xform/ueh/ueh/</v>
      </c>
      <c r="K51" s="3" t="str">
        <f t="shared" si="2"/>
        <v xml:space="preserve">    - xform/ueh/ㄨㆤㆷ/</v>
      </c>
    </row>
    <row r="52" spans="1:11">
      <c r="A52" s="4">
        <v>51</v>
      </c>
      <c r="B52" s="7" t="s">
        <v>155</v>
      </c>
      <c r="C52" s="12" t="s">
        <v>156</v>
      </c>
      <c r="D52" s="12" t="s">
        <v>345</v>
      </c>
      <c r="E52" s="6" t="s">
        <v>157</v>
      </c>
      <c r="F52" s="6" t="s">
        <v>158</v>
      </c>
      <c r="G52" s="6" t="s">
        <v>159</v>
      </c>
      <c r="H52" s="9" t="s">
        <v>160</v>
      </c>
      <c r="I52" s="5">
        <f t="shared" si="3"/>
        <v>3</v>
      </c>
      <c r="J52" s="3" t="str">
        <f t="shared" si="1"/>
        <v xml:space="preserve">    - xform/ann/na/</v>
      </c>
      <c r="K52" s="3" t="str">
        <f t="shared" si="2"/>
        <v xml:space="preserve">    - xform/ann/ㆩ/</v>
      </c>
    </row>
    <row r="53" spans="1:11">
      <c r="A53" s="6">
        <v>52</v>
      </c>
      <c r="B53" s="7" t="s">
        <v>155</v>
      </c>
      <c r="C53" s="12" t="s">
        <v>156</v>
      </c>
      <c r="D53" s="12" t="s">
        <v>347</v>
      </c>
      <c r="E53" s="6" t="s">
        <v>161</v>
      </c>
      <c r="F53" s="6" t="s">
        <v>162</v>
      </c>
      <c r="G53" s="6" t="s">
        <v>163</v>
      </c>
      <c r="H53" s="9" t="s">
        <v>164</v>
      </c>
      <c r="I53" s="5">
        <f t="shared" si="3"/>
        <v>4</v>
      </c>
      <c r="J53" s="3" t="str">
        <f t="shared" si="1"/>
        <v xml:space="preserve">    - xform/annh/nah/</v>
      </c>
      <c r="K53" s="3" t="str">
        <f t="shared" si="2"/>
        <v xml:space="preserve">    - xform/annh/ㆩㆷ/</v>
      </c>
    </row>
    <row r="54" spans="1:11">
      <c r="A54" s="4">
        <v>53</v>
      </c>
      <c r="B54" s="7" t="s">
        <v>165</v>
      </c>
      <c r="C54" s="12" t="s">
        <v>166</v>
      </c>
      <c r="D54" s="12" t="s">
        <v>345</v>
      </c>
      <c r="E54" s="6" t="s">
        <v>167</v>
      </c>
      <c r="F54" s="6" t="s">
        <v>167</v>
      </c>
      <c r="G54" s="6" t="s">
        <v>388</v>
      </c>
      <c r="H54" s="9" t="s">
        <v>168</v>
      </c>
      <c r="I54" s="5">
        <f t="shared" si="3"/>
        <v>1</v>
      </c>
      <c r="J54" s="3" t="str">
        <f t="shared" si="1"/>
        <v xml:space="preserve">    - xform/u/u/</v>
      </c>
      <c r="K54" s="3" t="str">
        <f t="shared" si="2"/>
        <v xml:space="preserve">    - xform/u/ㄨ/</v>
      </c>
    </row>
    <row r="55" spans="1:11">
      <c r="A55" s="6">
        <v>54</v>
      </c>
      <c r="B55" s="7" t="s">
        <v>165</v>
      </c>
      <c r="C55" s="12" t="s">
        <v>166</v>
      </c>
      <c r="D55" s="12" t="s">
        <v>347</v>
      </c>
      <c r="E55" s="6" t="s">
        <v>23</v>
      </c>
      <c r="F55" s="6" t="s">
        <v>23</v>
      </c>
      <c r="G55" s="6" t="s">
        <v>389</v>
      </c>
      <c r="H55" s="9" t="s">
        <v>169</v>
      </c>
      <c r="I55" s="5">
        <f t="shared" si="3"/>
        <v>2</v>
      </c>
      <c r="J55" s="3" t="str">
        <f t="shared" si="1"/>
        <v xml:space="preserve">    - xform/uh/uh/</v>
      </c>
      <c r="K55" s="3" t="str">
        <f t="shared" si="2"/>
        <v xml:space="preserve">    - xform/uh/ㄨㆷ/</v>
      </c>
    </row>
    <row r="56" spans="1:11">
      <c r="A56" s="4">
        <v>55</v>
      </c>
      <c r="B56" s="7" t="s">
        <v>170</v>
      </c>
      <c r="C56" s="12" t="s">
        <v>171</v>
      </c>
      <c r="D56" s="12" t="s">
        <v>345</v>
      </c>
      <c r="E56" s="6" t="s">
        <v>172</v>
      </c>
      <c r="F56" s="6" t="s">
        <v>172</v>
      </c>
      <c r="G56" s="6" t="s">
        <v>390</v>
      </c>
      <c r="H56" s="9" t="s">
        <v>173</v>
      </c>
      <c r="I56" s="5">
        <f t="shared" si="3"/>
        <v>1</v>
      </c>
      <c r="J56" s="3" t="str">
        <f t="shared" si="1"/>
        <v xml:space="preserve">    - xform/a/a/</v>
      </c>
      <c r="K56" s="3" t="str">
        <f t="shared" si="2"/>
        <v xml:space="preserve">    - xform/a/ㄚ/</v>
      </c>
    </row>
    <row r="57" spans="1:11">
      <c r="A57" s="6">
        <v>56</v>
      </c>
      <c r="B57" s="7" t="s">
        <v>170</v>
      </c>
      <c r="C57" s="12" t="s">
        <v>171</v>
      </c>
      <c r="D57" s="12" t="s">
        <v>347</v>
      </c>
      <c r="E57" s="6" t="s">
        <v>174</v>
      </c>
      <c r="F57" s="6" t="s">
        <v>174</v>
      </c>
      <c r="G57" s="6" t="s">
        <v>391</v>
      </c>
      <c r="H57" s="9" t="s">
        <v>175</v>
      </c>
      <c r="I57" s="5">
        <f t="shared" si="3"/>
        <v>2</v>
      </c>
      <c r="J57" s="3" t="str">
        <f t="shared" si="1"/>
        <v xml:space="preserve">    - xform/ah/ah/</v>
      </c>
      <c r="K57" s="3" t="str">
        <f t="shared" si="2"/>
        <v xml:space="preserve">    - xform/ah/ㄚㆷ/</v>
      </c>
    </row>
    <row r="58" spans="1:11">
      <c r="A58" s="4">
        <v>57</v>
      </c>
      <c r="B58" s="7" t="s">
        <v>176</v>
      </c>
      <c r="C58" s="12" t="s">
        <v>177</v>
      </c>
      <c r="D58" s="12" t="s">
        <v>345</v>
      </c>
      <c r="E58" s="6" t="s">
        <v>178</v>
      </c>
      <c r="F58" s="6" t="s">
        <v>178</v>
      </c>
      <c r="G58" s="6" t="s">
        <v>392</v>
      </c>
      <c r="H58" s="9" t="s">
        <v>179</v>
      </c>
      <c r="I58" s="5">
        <f t="shared" si="3"/>
        <v>1</v>
      </c>
      <c r="J58" s="3" t="str">
        <f t="shared" si="1"/>
        <v xml:space="preserve">    - xform/i/i/</v>
      </c>
      <c r="K58" s="3" t="str">
        <f t="shared" si="2"/>
        <v xml:space="preserve">    - xform/i/ㄧ/</v>
      </c>
    </row>
    <row r="59" spans="1:11">
      <c r="A59" s="6">
        <v>58</v>
      </c>
      <c r="B59" s="7" t="s">
        <v>176</v>
      </c>
      <c r="C59" s="12" t="s">
        <v>177</v>
      </c>
      <c r="D59" s="12" t="s">
        <v>345</v>
      </c>
      <c r="E59" s="6" t="s">
        <v>178</v>
      </c>
      <c r="F59" s="6" t="s">
        <v>180</v>
      </c>
      <c r="G59" s="6" t="s">
        <v>393</v>
      </c>
      <c r="H59" s="9" t="s">
        <v>181</v>
      </c>
      <c r="I59" s="5">
        <f t="shared" si="3"/>
        <v>1</v>
      </c>
      <c r="J59" s="3" t="str">
        <f t="shared" si="1"/>
        <v xml:space="preserve">    - xform/i/ih/</v>
      </c>
      <c r="K59" s="3" t="str">
        <f t="shared" si="2"/>
        <v xml:space="preserve">    - xform/i/ㄧㆷ/</v>
      </c>
    </row>
    <row r="60" spans="1:11">
      <c r="A60" s="4">
        <v>59</v>
      </c>
      <c r="B60" s="7" t="s">
        <v>182</v>
      </c>
      <c r="C60" s="12" t="s">
        <v>183</v>
      </c>
      <c r="D60" s="12" t="s">
        <v>345</v>
      </c>
      <c r="E60" s="6" t="s">
        <v>184</v>
      </c>
      <c r="F60" s="6" t="s">
        <v>184</v>
      </c>
      <c r="G60" s="6" t="s">
        <v>394</v>
      </c>
      <c r="H60" s="9" t="s">
        <v>185</v>
      </c>
      <c r="I60" s="5">
        <f t="shared" si="3"/>
        <v>2</v>
      </c>
      <c r="J60" s="3" t="str">
        <f t="shared" si="1"/>
        <v xml:space="preserve">    - xform/iu/iu/</v>
      </c>
      <c r="K60" s="3" t="str">
        <f t="shared" si="2"/>
        <v xml:space="preserve">    - xform/iu/ㄧㄨ/</v>
      </c>
    </row>
    <row r="61" spans="1:11">
      <c r="A61" s="6">
        <v>60</v>
      </c>
      <c r="B61" s="7" t="s">
        <v>182</v>
      </c>
      <c r="C61" s="12" t="s">
        <v>183</v>
      </c>
      <c r="D61" s="12" t="s">
        <v>345</v>
      </c>
      <c r="E61" s="6" t="s">
        <v>184</v>
      </c>
      <c r="F61" s="6" t="s">
        <v>324</v>
      </c>
      <c r="G61" s="6" t="s">
        <v>186</v>
      </c>
      <c r="H61" s="9"/>
      <c r="I61" s="5">
        <f t="shared" si="3"/>
        <v>2</v>
      </c>
      <c r="J61" s="3" t="str">
        <f t="shared" si="1"/>
        <v xml:space="preserve">    - xform/iu/iuh/</v>
      </c>
      <c r="K61" s="3" t="str">
        <f t="shared" si="2"/>
        <v xml:space="preserve">    - xform/iu/ㄧㄨㆷ/</v>
      </c>
    </row>
    <row r="62" spans="1:11">
      <c r="A62" s="4">
        <v>61</v>
      </c>
      <c r="B62" s="7" t="s">
        <v>187</v>
      </c>
      <c r="C62" s="12" t="s">
        <v>188</v>
      </c>
      <c r="D62" s="12" t="s">
        <v>345</v>
      </c>
      <c r="E62" s="6" t="s">
        <v>189</v>
      </c>
      <c r="F62" s="6" t="s">
        <v>190</v>
      </c>
      <c r="G62" s="6" t="s">
        <v>191</v>
      </c>
      <c r="H62" s="9" t="s">
        <v>192</v>
      </c>
      <c r="I62" s="5">
        <f t="shared" si="3"/>
        <v>3</v>
      </c>
      <c r="J62" s="3" t="str">
        <f t="shared" si="1"/>
        <v xml:space="preserve">    - xform/enn/ne/</v>
      </c>
      <c r="K62" s="3" t="str">
        <f t="shared" si="2"/>
        <v xml:space="preserve">    - xform/enn/ㆥ/</v>
      </c>
    </row>
    <row r="63" spans="1:11">
      <c r="A63" s="6">
        <v>62</v>
      </c>
      <c r="B63" s="7" t="s">
        <v>187</v>
      </c>
      <c r="C63" s="12" t="s">
        <v>188</v>
      </c>
      <c r="D63" s="12" t="s">
        <v>345</v>
      </c>
      <c r="E63" s="6" t="s">
        <v>189</v>
      </c>
      <c r="F63" s="6" t="s">
        <v>325</v>
      </c>
      <c r="G63" s="6" t="s">
        <v>193</v>
      </c>
      <c r="H63" s="10" t="s">
        <v>194</v>
      </c>
      <c r="I63" s="5">
        <f t="shared" si="3"/>
        <v>3</v>
      </c>
      <c r="J63" s="3" t="str">
        <f t="shared" si="1"/>
        <v xml:space="preserve">    - xform/enn/neh/</v>
      </c>
      <c r="K63" s="3" t="str">
        <f t="shared" si="2"/>
        <v xml:space="preserve">    - xform/enn/ㆥㆷ/</v>
      </c>
    </row>
    <row r="64" spans="1:11">
      <c r="A64" s="4">
        <v>63</v>
      </c>
      <c r="B64" s="7" t="s">
        <v>195</v>
      </c>
      <c r="C64" s="12" t="s">
        <v>196</v>
      </c>
      <c r="D64" s="12" t="s">
        <v>345</v>
      </c>
      <c r="E64" s="6" t="s">
        <v>197</v>
      </c>
      <c r="F64" s="6" t="s">
        <v>198</v>
      </c>
      <c r="G64" s="6" t="s">
        <v>395</v>
      </c>
      <c r="H64" s="9" t="s">
        <v>199</v>
      </c>
      <c r="I64" s="5">
        <f t="shared" si="3"/>
        <v>4</v>
      </c>
      <c r="J64" s="3" t="str">
        <f t="shared" si="1"/>
        <v xml:space="preserve">    - xform/uinn/nui/</v>
      </c>
      <c r="K64" s="3" t="str">
        <f t="shared" si="2"/>
        <v xml:space="preserve">    - xform/uinn/ㄨㆪ/</v>
      </c>
    </row>
    <row r="65" spans="1:11">
      <c r="A65" s="6">
        <v>64</v>
      </c>
      <c r="B65" s="7" t="s">
        <v>195</v>
      </c>
      <c r="C65" s="12" t="s">
        <v>196</v>
      </c>
      <c r="D65" s="12" t="s">
        <v>345</v>
      </c>
      <c r="E65" s="6" t="s">
        <v>197</v>
      </c>
      <c r="F65" s="6" t="s">
        <v>326</v>
      </c>
      <c r="G65" s="6" t="s">
        <v>200</v>
      </c>
      <c r="H65" s="9"/>
      <c r="I65" s="5">
        <f t="shared" si="3"/>
        <v>4</v>
      </c>
      <c r="J65" s="3" t="str">
        <f t="shared" si="1"/>
        <v xml:space="preserve">    - xform/uinn/nuih/</v>
      </c>
      <c r="K65" s="3" t="str">
        <f t="shared" si="2"/>
        <v xml:space="preserve">    - xform/uinn/ㄨㆪㆷ/</v>
      </c>
    </row>
    <row r="66" spans="1:11">
      <c r="A66" s="4">
        <v>65</v>
      </c>
      <c r="B66" s="7" t="s">
        <v>201</v>
      </c>
      <c r="C66" s="12" t="s">
        <v>202</v>
      </c>
      <c r="D66" s="12" t="s">
        <v>345</v>
      </c>
      <c r="E66" s="6" t="s">
        <v>203</v>
      </c>
      <c r="F66" s="6" t="s">
        <v>204</v>
      </c>
      <c r="G66" s="6" t="s">
        <v>396</v>
      </c>
      <c r="H66" s="9" t="s">
        <v>205</v>
      </c>
      <c r="I66" s="5">
        <f t="shared" ref="I66:I101" si="4">LEN(E66)</f>
        <v>3</v>
      </c>
      <c r="J66" s="3" t="str">
        <f t="shared" si="1"/>
        <v xml:space="preserve">    - xform/ior/io/</v>
      </c>
      <c r="K66" s="3" t="str">
        <f t="shared" si="2"/>
        <v xml:space="preserve">    - xform/ior/ㄧㄜ/</v>
      </c>
    </row>
    <row r="67" spans="1:11">
      <c r="A67" s="6">
        <v>66</v>
      </c>
      <c r="B67" s="7" t="s">
        <v>201</v>
      </c>
      <c r="C67" s="12" t="s">
        <v>202</v>
      </c>
      <c r="D67" s="12" t="s">
        <v>347</v>
      </c>
      <c r="E67" s="6" t="s">
        <v>206</v>
      </c>
      <c r="F67" s="6" t="s">
        <v>207</v>
      </c>
      <c r="G67" s="6" t="s">
        <v>397</v>
      </c>
      <c r="H67" s="9" t="s">
        <v>208</v>
      </c>
      <c r="I67" s="5">
        <f t="shared" si="4"/>
        <v>4</v>
      </c>
      <c r="J67" s="3" t="str">
        <f t="shared" ref="J67:J101" si="5" xml:space="preserve"> IF(OR($E67="", $F67=""), "",  _xlfn.CONCAT("    - xform/",$E67,"/",F67,"/"))</f>
        <v xml:space="preserve">    - xform/iorh/ioh/</v>
      </c>
      <c r="K67" s="3" t="str">
        <f t="shared" ref="K67:K101" si="6" xml:space="preserve"> IF(OR($E67="", $G67=""), "",  _xlfn.CONCAT("    - xform/",$E67,"/",G67,"/"))</f>
        <v xml:space="preserve">    - xform/iorh/ㄧㄜㆷ/</v>
      </c>
    </row>
    <row r="68" spans="1:11">
      <c r="A68" s="4">
        <v>67</v>
      </c>
      <c r="B68" s="7" t="s">
        <v>209</v>
      </c>
      <c r="C68" s="12" t="s">
        <v>210</v>
      </c>
      <c r="D68" s="12" t="s">
        <v>345</v>
      </c>
      <c r="E68" s="6" t="s">
        <v>211</v>
      </c>
      <c r="F68" s="6" t="s">
        <v>212</v>
      </c>
      <c r="G68" s="6" t="s">
        <v>213</v>
      </c>
      <c r="H68" s="9" t="s">
        <v>214</v>
      </c>
      <c r="I68" s="5">
        <f t="shared" si="4"/>
        <v>3</v>
      </c>
      <c r="J68" s="3" t="str">
        <f t="shared" si="5"/>
        <v xml:space="preserve">    - xform/inn/ni/</v>
      </c>
      <c r="K68" s="3" t="str">
        <f t="shared" si="6"/>
        <v xml:space="preserve">    - xform/inn/ㆪ/</v>
      </c>
    </row>
    <row r="69" spans="1:11">
      <c r="A69" s="6">
        <v>68</v>
      </c>
      <c r="B69" s="7" t="s">
        <v>209</v>
      </c>
      <c r="C69" s="12" t="s">
        <v>210</v>
      </c>
      <c r="D69" s="12" t="s">
        <v>345</v>
      </c>
      <c r="E69" s="6" t="s">
        <v>211</v>
      </c>
      <c r="F69" s="6" t="s">
        <v>215</v>
      </c>
      <c r="G69" s="6" t="s">
        <v>216</v>
      </c>
      <c r="H69" s="9" t="s">
        <v>217</v>
      </c>
      <c r="I69" s="5">
        <f t="shared" si="4"/>
        <v>3</v>
      </c>
      <c r="J69" s="3" t="str">
        <f t="shared" si="5"/>
        <v xml:space="preserve">    - xform/inn/nih/</v>
      </c>
      <c r="K69" s="3" t="str">
        <f t="shared" si="6"/>
        <v xml:space="preserve">    - xform/inn/ㆪㆷ/</v>
      </c>
    </row>
    <row r="70" spans="1:11">
      <c r="A70" s="4">
        <v>69</v>
      </c>
      <c r="B70" s="7" t="s">
        <v>218</v>
      </c>
      <c r="C70" s="12" t="s">
        <v>219</v>
      </c>
      <c r="D70" s="12" t="s">
        <v>345</v>
      </c>
      <c r="E70" s="6" t="s">
        <v>220</v>
      </c>
      <c r="F70" s="6" t="s">
        <v>327</v>
      </c>
      <c r="G70" s="6" t="s">
        <v>398</v>
      </c>
      <c r="H70" s="9" t="s">
        <v>221</v>
      </c>
      <c r="I70" s="5">
        <f t="shared" si="4"/>
        <v>5</v>
      </c>
      <c r="J70" s="3" t="str">
        <f t="shared" si="5"/>
        <v xml:space="preserve">    - xform/ioonn/nio/</v>
      </c>
      <c r="K70" s="3" t="str">
        <f t="shared" si="6"/>
        <v xml:space="preserve">    - xform/ioonn/ㄧㆧ/</v>
      </c>
    </row>
    <row r="71" spans="1:11">
      <c r="A71" s="6">
        <v>70</v>
      </c>
      <c r="B71" s="7" t="s">
        <v>218</v>
      </c>
      <c r="C71" s="12" t="s">
        <v>219</v>
      </c>
      <c r="D71" s="12" t="s">
        <v>345</v>
      </c>
      <c r="E71" s="6" t="s">
        <v>220</v>
      </c>
      <c r="F71" s="6" t="s">
        <v>328</v>
      </c>
      <c r="G71" s="6" t="s">
        <v>222</v>
      </c>
      <c r="H71" s="9"/>
      <c r="I71" s="5">
        <f t="shared" si="4"/>
        <v>5</v>
      </c>
      <c r="J71" s="3" t="str">
        <f t="shared" si="5"/>
        <v xml:space="preserve">    - xform/ioonn/nioh/</v>
      </c>
      <c r="K71" s="3" t="str">
        <f t="shared" si="6"/>
        <v xml:space="preserve">    - xform/ioonn/ㄧㆧㆷ/</v>
      </c>
    </row>
    <row r="72" spans="1:11">
      <c r="A72" s="4">
        <v>71</v>
      </c>
      <c r="B72" s="7" t="s">
        <v>223</v>
      </c>
      <c r="C72" s="12" t="s">
        <v>224</v>
      </c>
      <c r="D72" s="12" t="s">
        <v>345</v>
      </c>
      <c r="E72" s="6" t="s">
        <v>225</v>
      </c>
      <c r="F72" s="6" t="s">
        <v>226</v>
      </c>
      <c r="G72" s="6" t="s">
        <v>399</v>
      </c>
      <c r="H72" s="9" t="s">
        <v>227</v>
      </c>
      <c r="I72" s="5">
        <f t="shared" si="4"/>
        <v>4</v>
      </c>
      <c r="J72" s="3" t="str">
        <f t="shared" si="5"/>
        <v xml:space="preserve">    - xform/iann/nia/</v>
      </c>
      <c r="K72" s="3" t="str">
        <f t="shared" si="6"/>
        <v xml:space="preserve">    - xform/iann/ㄧㆩ/</v>
      </c>
    </row>
    <row r="73" spans="1:11">
      <c r="A73" s="6">
        <v>72</v>
      </c>
      <c r="B73" s="7" t="s">
        <v>223</v>
      </c>
      <c r="C73" s="12" t="s">
        <v>224</v>
      </c>
      <c r="D73" s="12" t="s">
        <v>345</v>
      </c>
      <c r="E73" s="6" t="s">
        <v>225</v>
      </c>
      <c r="F73" s="6" t="s">
        <v>329</v>
      </c>
      <c r="G73" s="6" t="s">
        <v>228</v>
      </c>
      <c r="H73" s="9"/>
      <c r="I73" s="5">
        <f t="shared" si="4"/>
        <v>4</v>
      </c>
      <c r="J73" s="3" t="str">
        <f t="shared" si="5"/>
        <v xml:space="preserve">    - xform/iann/niah/</v>
      </c>
      <c r="K73" s="3" t="str">
        <f t="shared" si="6"/>
        <v xml:space="preserve">    - xform/iann/ㄧㆩㆷ/</v>
      </c>
    </row>
    <row r="74" spans="1:11">
      <c r="A74" s="4">
        <v>73</v>
      </c>
      <c r="B74" s="7" t="s">
        <v>229</v>
      </c>
      <c r="C74" s="12" t="s">
        <v>230</v>
      </c>
      <c r="D74" s="12" t="s">
        <v>345</v>
      </c>
      <c r="E74" s="6" t="s">
        <v>231</v>
      </c>
      <c r="F74" s="6" t="s">
        <v>232</v>
      </c>
      <c r="G74" s="6" t="s">
        <v>400</v>
      </c>
      <c r="H74" s="9" t="s">
        <v>233</v>
      </c>
      <c r="I74" s="5">
        <f t="shared" si="4"/>
        <v>4</v>
      </c>
      <c r="J74" s="3" t="str">
        <f t="shared" si="5"/>
        <v xml:space="preserve">    - xform/uann/nua/</v>
      </c>
      <c r="K74" s="3" t="str">
        <f t="shared" si="6"/>
        <v xml:space="preserve">    - xform/uann/ㄨㆩ/</v>
      </c>
    </row>
    <row r="75" spans="1:11">
      <c r="A75" s="6">
        <v>74</v>
      </c>
      <c r="B75" s="7" t="s">
        <v>229</v>
      </c>
      <c r="C75" s="12" t="s">
        <v>230</v>
      </c>
      <c r="D75" s="12" t="s">
        <v>345</v>
      </c>
      <c r="E75" s="6" t="s">
        <v>231</v>
      </c>
      <c r="F75" s="6" t="s">
        <v>330</v>
      </c>
      <c r="G75" s="6" t="s">
        <v>234</v>
      </c>
      <c r="H75" s="9"/>
      <c r="I75" s="5">
        <f t="shared" si="4"/>
        <v>4</v>
      </c>
      <c r="J75" s="3" t="str">
        <f t="shared" si="5"/>
        <v xml:space="preserve">    - xform/uann/nuah/</v>
      </c>
      <c r="K75" s="3" t="str">
        <f t="shared" si="6"/>
        <v xml:space="preserve">    - xform/uann/ㄨㆩㆷ/</v>
      </c>
    </row>
    <row r="76" spans="1:11">
      <c r="A76" s="4">
        <v>75</v>
      </c>
      <c r="B76" s="7" t="s">
        <v>235</v>
      </c>
      <c r="C76" s="12" t="s">
        <v>236</v>
      </c>
      <c r="D76" s="12" t="s">
        <v>345</v>
      </c>
      <c r="E76" s="6" t="s">
        <v>237</v>
      </c>
      <c r="F76" s="6" t="s">
        <v>237</v>
      </c>
      <c r="G76" s="6" t="s">
        <v>238</v>
      </c>
      <c r="H76" s="9" t="s">
        <v>239</v>
      </c>
      <c r="I76" s="5">
        <f t="shared" si="4"/>
        <v>2</v>
      </c>
      <c r="J76" s="3" t="str">
        <f t="shared" si="5"/>
        <v xml:space="preserve">    - xform/ng/ng/</v>
      </c>
      <c r="K76" s="3" t="str">
        <f t="shared" si="6"/>
        <v xml:space="preserve">    - xform/ng/ㆭ/</v>
      </c>
    </row>
    <row r="77" spans="1:11">
      <c r="A77" s="6">
        <v>76</v>
      </c>
      <c r="B77" s="7" t="s">
        <v>235</v>
      </c>
      <c r="C77" s="12" t="s">
        <v>236</v>
      </c>
      <c r="D77" s="12" t="s">
        <v>345</v>
      </c>
      <c r="E77" s="6" t="s">
        <v>237</v>
      </c>
      <c r="F77" s="6" t="s">
        <v>331</v>
      </c>
      <c r="G77" s="6" t="s">
        <v>240</v>
      </c>
      <c r="H77" s="9"/>
      <c r="I77" s="5">
        <f t="shared" si="4"/>
        <v>2</v>
      </c>
      <c r="J77" s="3" t="str">
        <f t="shared" si="5"/>
        <v xml:space="preserve">    - xform/ng/ngh/</v>
      </c>
      <c r="K77" s="3" t="str">
        <f t="shared" si="6"/>
        <v xml:space="preserve">    - xform/ng/ㆭㆷ/</v>
      </c>
    </row>
    <row r="78" spans="1:11">
      <c r="A78" s="4">
        <v>77</v>
      </c>
      <c r="B78" s="7" t="s">
        <v>241</v>
      </c>
      <c r="C78" s="12" t="s">
        <v>242</v>
      </c>
      <c r="D78" s="12" t="s">
        <v>345</v>
      </c>
      <c r="E78" s="6" t="s">
        <v>27</v>
      </c>
      <c r="F78" s="6" t="s">
        <v>27</v>
      </c>
      <c r="G78" s="6" t="s">
        <v>77</v>
      </c>
      <c r="H78" s="9" t="s">
        <v>243</v>
      </c>
      <c r="I78" s="5">
        <f t="shared" si="4"/>
        <v>1</v>
      </c>
      <c r="J78" s="3" t="str">
        <f t="shared" si="5"/>
        <v xml:space="preserve">    - xform/e/e/</v>
      </c>
      <c r="K78" s="3" t="str">
        <f t="shared" si="6"/>
        <v xml:space="preserve">    - xform/e/ㆤ/</v>
      </c>
    </row>
    <row r="79" spans="1:11">
      <c r="A79" s="6">
        <v>78</v>
      </c>
      <c r="B79" s="7" t="s">
        <v>241</v>
      </c>
      <c r="C79" s="12" t="s">
        <v>242</v>
      </c>
      <c r="D79" s="12" t="s">
        <v>345</v>
      </c>
      <c r="E79" s="6" t="s">
        <v>27</v>
      </c>
      <c r="F79" s="6" t="s">
        <v>29</v>
      </c>
      <c r="G79" s="6" t="s">
        <v>79</v>
      </c>
      <c r="H79" s="9" t="s">
        <v>244</v>
      </c>
      <c r="I79" s="5">
        <f t="shared" si="4"/>
        <v>1</v>
      </c>
      <c r="J79" s="3" t="str">
        <f t="shared" si="5"/>
        <v xml:space="preserve">    - xform/e/eh/</v>
      </c>
      <c r="K79" s="3" t="str">
        <f t="shared" si="6"/>
        <v xml:space="preserve">    - xform/e/ㆤㆷ/</v>
      </c>
    </row>
    <row r="80" spans="1:11">
      <c r="A80" s="4">
        <v>79</v>
      </c>
      <c r="B80" s="7" t="s">
        <v>245</v>
      </c>
      <c r="C80" s="12" t="s">
        <v>246</v>
      </c>
      <c r="D80" s="12" t="s">
        <v>345</v>
      </c>
      <c r="E80" s="6" t="s">
        <v>247</v>
      </c>
      <c r="F80" s="6" t="s">
        <v>248</v>
      </c>
      <c r="G80" s="6" t="s">
        <v>249</v>
      </c>
      <c r="H80" s="9" t="s">
        <v>250</v>
      </c>
      <c r="I80" s="5">
        <f t="shared" si="4"/>
        <v>4</v>
      </c>
      <c r="J80" s="3" t="str">
        <f t="shared" si="5"/>
        <v xml:space="preserve">    - xform/ainn/nai/</v>
      </c>
      <c r="K80" s="3" t="str">
        <f t="shared" si="6"/>
        <v xml:space="preserve">    - xform/ainn/ㆮ/</v>
      </c>
    </row>
    <row r="81" spans="1:11">
      <c r="A81" s="6">
        <v>80</v>
      </c>
      <c r="B81" s="7" t="s">
        <v>245</v>
      </c>
      <c r="C81" s="12" t="s">
        <v>246</v>
      </c>
      <c r="D81" s="12" t="s">
        <v>345</v>
      </c>
      <c r="E81" s="6" t="s">
        <v>247</v>
      </c>
      <c r="F81" s="6" t="s">
        <v>332</v>
      </c>
      <c r="G81" s="6" t="s">
        <v>251</v>
      </c>
      <c r="H81" s="9"/>
      <c r="I81" s="5">
        <f t="shared" si="4"/>
        <v>4</v>
      </c>
      <c r="J81" s="3" t="str">
        <f t="shared" si="5"/>
        <v xml:space="preserve">    - xform/ainn/naih/</v>
      </c>
      <c r="K81" s="3" t="str">
        <f t="shared" si="6"/>
        <v xml:space="preserve">    - xform/ainn/ㆮㆷ/</v>
      </c>
    </row>
    <row r="82" spans="1:11">
      <c r="A82" s="4">
        <v>81</v>
      </c>
      <c r="B82" s="7" t="s">
        <v>252</v>
      </c>
      <c r="C82" s="12" t="s">
        <v>253</v>
      </c>
      <c r="D82" s="12" t="s">
        <v>345</v>
      </c>
      <c r="E82" s="6" t="s">
        <v>254</v>
      </c>
      <c r="F82" s="6" t="s">
        <v>255</v>
      </c>
      <c r="G82" s="6" t="s">
        <v>256</v>
      </c>
      <c r="H82" s="9" t="s">
        <v>257</v>
      </c>
      <c r="I82" s="5">
        <f t="shared" si="4"/>
        <v>4</v>
      </c>
      <c r="J82" s="3" t="str">
        <f t="shared" si="5"/>
        <v xml:space="preserve">    - xform/oonn/noo/</v>
      </c>
      <c r="K82" s="3" t="str">
        <f t="shared" si="6"/>
        <v xml:space="preserve">    - xform/oonn/ㆧ/</v>
      </c>
    </row>
    <row r="83" spans="1:11">
      <c r="A83" s="6">
        <v>82</v>
      </c>
      <c r="B83" s="7" t="s">
        <v>252</v>
      </c>
      <c r="C83" s="12" t="s">
        <v>253</v>
      </c>
      <c r="D83" s="12" t="s">
        <v>345</v>
      </c>
      <c r="E83" s="6" t="s">
        <v>254</v>
      </c>
      <c r="F83" s="6"/>
      <c r="G83" s="6"/>
      <c r="H83" s="9"/>
      <c r="I83" s="5">
        <f t="shared" si="4"/>
        <v>4</v>
      </c>
      <c r="J83" s="3" t="str">
        <f t="shared" si="5"/>
        <v/>
      </c>
      <c r="K83" s="3" t="str">
        <f t="shared" si="6"/>
        <v/>
      </c>
    </row>
    <row r="84" spans="1:11">
      <c r="A84" s="4">
        <v>83</v>
      </c>
      <c r="B84" s="7" t="s">
        <v>258</v>
      </c>
      <c r="C84" s="12" t="s">
        <v>259</v>
      </c>
      <c r="D84" s="12" t="s">
        <v>345</v>
      </c>
      <c r="E84" s="6" t="s">
        <v>260</v>
      </c>
      <c r="F84" s="6" t="s">
        <v>260</v>
      </c>
      <c r="G84" s="6" t="s">
        <v>261</v>
      </c>
      <c r="H84" s="9" t="s">
        <v>259</v>
      </c>
      <c r="I84" s="5">
        <f t="shared" si="4"/>
        <v>1</v>
      </c>
      <c r="J84" s="3" t="str">
        <f t="shared" si="5"/>
        <v xml:space="preserve">    - xform/m/m/</v>
      </c>
      <c r="K84" s="3" t="str">
        <f t="shared" si="6"/>
        <v xml:space="preserve">    - xform/m/ㆬ/</v>
      </c>
    </row>
    <row r="85" spans="1:11">
      <c r="A85" s="6">
        <v>84</v>
      </c>
      <c r="B85" s="7" t="s">
        <v>258</v>
      </c>
      <c r="C85" s="12" t="s">
        <v>259</v>
      </c>
      <c r="D85" s="12" t="s">
        <v>345</v>
      </c>
      <c r="E85" s="6" t="s">
        <v>260</v>
      </c>
      <c r="F85" s="6"/>
      <c r="G85" s="6"/>
      <c r="H85" s="9"/>
      <c r="I85" s="5">
        <f t="shared" si="4"/>
        <v>1</v>
      </c>
      <c r="J85" s="3" t="str">
        <f t="shared" si="5"/>
        <v/>
      </c>
      <c r="K85" s="3" t="str">
        <f t="shared" si="6"/>
        <v/>
      </c>
    </row>
    <row r="86" spans="1:11">
      <c r="A86" s="4">
        <v>85</v>
      </c>
      <c r="B86" s="7" t="s">
        <v>262</v>
      </c>
      <c r="C86" s="12" t="s">
        <v>263</v>
      </c>
      <c r="D86" s="12" t="s">
        <v>345</v>
      </c>
      <c r="E86" s="6" t="s">
        <v>264</v>
      </c>
      <c r="F86" s="6" t="s">
        <v>264</v>
      </c>
      <c r="G86" s="6" t="s">
        <v>401</v>
      </c>
      <c r="H86" s="9" t="s">
        <v>265</v>
      </c>
      <c r="I86" s="5">
        <f t="shared" si="4"/>
        <v>4</v>
      </c>
      <c r="J86" s="3" t="str">
        <f t="shared" si="5"/>
        <v xml:space="preserve">    - xform/uang/uang/</v>
      </c>
      <c r="K86" s="3" t="str">
        <f t="shared" si="6"/>
        <v xml:space="preserve">    - xform/uang/ㄨㄤ/</v>
      </c>
    </row>
    <row r="87" spans="1:11">
      <c r="A87" s="6">
        <v>86</v>
      </c>
      <c r="B87" s="7" t="s">
        <v>262</v>
      </c>
      <c r="C87" s="12" t="s">
        <v>263</v>
      </c>
      <c r="D87" s="12" t="s">
        <v>347</v>
      </c>
      <c r="E87" s="6" t="s">
        <v>266</v>
      </c>
      <c r="F87" s="6" t="s">
        <v>266</v>
      </c>
      <c r="G87" s="6" t="s">
        <v>402</v>
      </c>
      <c r="H87" s="9" t="s">
        <v>267</v>
      </c>
      <c r="I87" s="5">
        <f t="shared" si="4"/>
        <v>3</v>
      </c>
      <c r="J87" s="3" t="str">
        <f t="shared" si="5"/>
        <v xml:space="preserve">    - xform/uak/uak/</v>
      </c>
      <c r="K87" s="3" t="str">
        <f t="shared" si="6"/>
        <v xml:space="preserve">    - xform/uak/ㄨㄚㆻ/</v>
      </c>
    </row>
    <row r="88" spans="1:11">
      <c r="A88" s="4">
        <v>87</v>
      </c>
      <c r="B88" s="7" t="s">
        <v>268</v>
      </c>
      <c r="C88" s="12" t="s">
        <v>269</v>
      </c>
      <c r="D88" s="12" t="s">
        <v>345</v>
      </c>
      <c r="E88" s="6" t="s">
        <v>270</v>
      </c>
      <c r="F88" s="6" t="s">
        <v>271</v>
      </c>
      <c r="G88" s="6" t="s">
        <v>403</v>
      </c>
      <c r="H88" s="9" t="s">
        <v>272</v>
      </c>
      <c r="I88" s="5">
        <f t="shared" si="4"/>
        <v>5</v>
      </c>
      <c r="J88" s="3" t="str">
        <f t="shared" si="5"/>
        <v xml:space="preserve">    - xform/uainn/nuai/</v>
      </c>
      <c r="K88" s="3" t="str">
        <f t="shared" si="6"/>
        <v xml:space="preserve">    - xform/uainn/ㄨㆮ/</v>
      </c>
    </row>
    <row r="89" spans="1:11">
      <c r="A89" s="6">
        <v>88</v>
      </c>
      <c r="B89" s="7" t="s">
        <v>268</v>
      </c>
      <c r="C89" s="12" t="s">
        <v>269</v>
      </c>
      <c r="D89" s="12" t="s">
        <v>347</v>
      </c>
      <c r="E89" s="6" t="s">
        <v>273</v>
      </c>
      <c r="F89" s="6" t="s">
        <v>274</v>
      </c>
      <c r="G89" s="6" t="s">
        <v>404</v>
      </c>
      <c r="H89" s="9" t="s">
        <v>275</v>
      </c>
      <c r="I89" s="5">
        <f t="shared" si="4"/>
        <v>6</v>
      </c>
      <c r="J89" s="3" t="str">
        <f t="shared" si="5"/>
        <v xml:space="preserve">    - xform/uainnh/nuaih/</v>
      </c>
      <c r="K89" s="3" t="str">
        <f t="shared" si="6"/>
        <v xml:space="preserve">    - xform/uainnh/ㄨㆮㆷ/</v>
      </c>
    </row>
    <row r="90" spans="1:11">
      <c r="A90" s="4">
        <v>89</v>
      </c>
      <c r="B90" s="7" t="s">
        <v>276</v>
      </c>
      <c r="C90" s="12" t="s">
        <v>277</v>
      </c>
      <c r="D90" s="12" t="s">
        <v>345</v>
      </c>
      <c r="E90" s="6" t="s">
        <v>278</v>
      </c>
      <c r="F90" s="6" t="s">
        <v>279</v>
      </c>
      <c r="G90" s="6" t="s">
        <v>405</v>
      </c>
      <c r="H90" s="9" t="s">
        <v>337</v>
      </c>
      <c r="I90" s="5">
        <f t="shared" si="4"/>
        <v>4</v>
      </c>
      <c r="J90" s="3" t="str">
        <f t="shared" si="5"/>
        <v xml:space="preserve">    - xform/uenn/nue/</v>
      </c>
      <c r="K90" s="3" t="str">
        <f t="shared" si="6"/>
        <v xml:space="preserve">    - xform/uenn/ㄨㆥ/</v>
      </c>
    </row>
    <row r="91" spans="1:11">
      <c r="A91" s="6">
        <v>90</v>
      </c>
      <c r="B91" s="7" t="s">
        <v>276</v>
      </c>
      <c r="C91" s="12"/>
      <c r="D91" s="12"/>
      <c r="E91" s="6" t="s">
        <v>280</v>
      </c>
      <c r="F91" s="6"/>
      <c r="G91" s="6"/>
      <c r="H91" s="9"/>
      <c r="I91" s="5">
        <f t="shared" si="4"/>
        <v>0</v>
      </c>
      <c r="J91" s="3" t="str">
        <f t="shared" si="5"/>
        <v/>
      </c>
      <c r="K91" s="3" t="str">
        <f t="shared" si="6"/>
        <v/>
      </c>
    </row>
    <row r="92" spans="1:11">
      <c r="A92" s="4">
        <v>91</v>
      </c>
      <c r="B92" s="7" t="s">
        <v>281</v>
      </c>
      <c r="C92" s="12" t="s">
        <v>282</v>
      </c>
      <c r="D92" s="12" t="s">
        <v>345</v>
      </c>
      <c r="E92" s="6" t="s">
        <v>283</v>
      </c>
      <c r="F92" s="6" t="s">
        <v>284</v>
      </c>
      <c r="G92" s="6" t="s">
        <v>406</v>
      </c>
      <c r="H92" s="9" t="s">
        <v>285</v>
      </c>
      <c r="I92" s="5">
        <f t="shared" si="4"/>
        <v>5</v>
      </c>
      <c r="J92" s="3" t="str">
        <f t="shared" si="5"/>
        <v xml:space="preserve">    - xform/iaunn/niao/</v>
      </c>
      <c r="K92" s="3" t="str">
        <f t="shared" si="6"/>
        <v xml:space="preserve">    - xform/iaunn/ㄧㆯ/</v>
      </c>
    </row>
    <row r="93" spans="1:11">
      <c r="A93" s="6">
        <v>92</v>
      </c>
      <c r="B93" s="7" t="s">
        <v>281</v>
      </c>
      <c r="C93" s="12" t="s">
        <v>282</v>
      </c>
      <c r="D93" s="12" t="s">
        <v>347</v>
      </c>
      <c r="E93" s="6" t="s">
        <v>286</v>
      </c>
      <c r="F93" s="6" t="s">
        <v>287</v>
      </c>
      <c r="G93" s="6" t="s">
        <v>407</v>
      </c>
      <c r="H93" s="9" t="s">
        <v>337</v>
      </c>
      <c r="I93" s="5">
        <f t="shared" si="4"/>
        <v>6</v>
      </c>
      <c r="J93" s="3" t="str">
        <f t="shared" si="5"/>
        <v xml:space="preserve">    - xform/iaunnh/niaoh/</v>
      </c>
      <c r="K93" s="3" t="str">
        <f t="shared" si="6"/>
        <v xml:space="preserve">    - xform/iaunnh/ㄧㆯㆷ/</v>
      </c>
    </row>
    <row r="94" spans="1:11">
      <c r="A94" s="4">
        <v>93</v>
      </c>
      <c r="B94" s="7" t="s">
        <v>288</v>
      </c>
      <c r="C94" s="12" t="s">
        <v>289</v>
      </c>
      <c r="D94" s="12" t="s">
        <v>345</v>
      </c>
      <c r="E94" s="6" t="s">
        <v>290</v>
      </c>
      <c r="F94" s="6" t="s">
        <v>333</v>
      </c>
      <c r="G94" s="6" t="s">
        <v>291</v>
      </c>
      <c r="H94" s="9" t="s">
        <v>292</v>
      </c>
      <c r="I94" s="5">
        <f t="shared" si="4"/>
        <v>3</v>
      </c>
      <c r="J94" s="3" t="str">
        <f t="shared" si="5"/>
        <v xml:space="preserve">    - xform/oom/oom/</v>
      </c>
      <c r="K94" s="3" t="str">
        <f t="shared" si="6"/>
        <v xml:space="preserve">    - xform/oom/ㆱ/</v>
      </c>
    </row>
    <row r="95" spans="1:11">
      <c r="A95" s="6">
        <v>94</v>
      </c>
      <c r="B95" s="7" t="s">
        <v>288</v>
      </c>
      <c r="C95" s="12" t="s">
        <v>289</v>
      </c>
      <c r="D95" s="12" t="s">
        <v>347</v>
      </c>
      <c r="E95" s="6" t="s">
        <v>293</v>
      </c>
      <c r="F95" s="6" t="s">
        <v>334</v>
      </c>
      <c r="G95" s="6" t="s">
        <v>294</v>
      </c>
      <c r="H95" s="9" t="s">
        <v>295</v>
      </c>
      <c r="I95" s="5">
        <f t="shared" si="4"/>
        <v>3</v>
      </c>
      <c r="J95" s="3" t="str">
        <f t="shared" si="5"/>
        <v xml:space="preserve">    - xform/oop/oop/</v>
      </c>
      <c r="K95" s="3" t="str">
        <f t="shared" si="6"/>
        <v xml:space="preserve">    - xform/oop/ㆦㆴ/</v>
      </c>
    </row>
    <row r="96" spans="1:11">
      <c r="A96" s="4">
        <v>95</v>
      </c>
      <c r="B96" s="7" t="s">
        <v>296</v>
      </c>
      <c r="C96" s="12" t="s">
        <v>297</v>
      </c>
      <c r="D96" s="12" t="s">
        <v>345</v>
      </c>
      <c r="E96" s="6" t="s">
        <v>298</v>
      </c>
      <c r="F96" s="6" t="s">
        <v>299</v>
      </c>
      <c r="G96" s="6" t="s">
        <v>300</v>
      </c>
      <c r="H96" s="9" t="s">
        <v>301</v>
      </c>
      <c r="I96" s="5">
        <f t="shared" si="4"/>
        <v>4</v>
      </c>
      <c r="J96" s="3" t="str">
        <f t="shared" si="5"/>
        <v xml:space="preserve">    - xform/aunn/nao/</v>
      </c>
      <c r="K96" s="3" t="str">
        <f t="shared" si="6"/>
        <v xml:space="preserve">    - xform/aunn/ㆯ/</v>
      </c>
    </row>
    <row r="97" spans="1:11">
      <c r="A97" s="6">
        <v>96</v>
      </c>
      <c r="B97" s="7" t="s">
        <v>296</v>
      </c>
      <c r="C97" s="12"/>
      <c r="D97" s="12"/>
      <c r="E97" s="6" t="s">
        <v>280</v>
      </c>
      <c r="F97" s="6"/>
      <c r="G97" s="6"/>
      <c r="H97" s="9"/>
      <c r="I97" s="5">
        <f t="shared" si="4"/>
        <v>0</v>
      </c>
      <c r="J97" s="3" t="str">
        <f t="shared" si="5"/>
        <v/>
      </c>
      <c r="K97" s="3" t="str">
        <f t="shared" si="6"/>
        <v/>
      </c>
    </row>
    <row r="98" spans="1:11">
      <c r="A98" s="4">
        <v>97</v>
      </c>
      <c r="B98" s="7" t="s">
        <v>302</v>
      </c>
      <c r="C98" s="12" t="s">
        <v>303</v>
      </c>
      <c r="D98" s="12" t="s">
        <v>345</v>
      </c>
      <c r="E98" s="6" t="s">
        <v>304</v>
      </c>
      <c r="F98" s="6" t="s">
        <v>335</v>
      </c>
      <c r="G98" s="6" t="s">
        <v>256</v>
      </c>
      <c r="H98" s="9" t="s">
        <v>305</v>
      </c>
      <c r="I98" s="5">
        <f t="shared" si="4"/>
        <v>4</v>
      </c>
      <c r="J98" s="3" t="str">
        <f t="shared" si="5"/>
        <v xml:space="preserve">    - xform/ornn/no/</v>
      </c>
      <c r="K98" s="3" t="str">
        <f t="shared" si="6"/>
        <v xml:space="preserve">    - xform/ornn/ㆧ/</v>
      </c>
    </row>
    <row r="99" spans="1:11">
      <c r="A99" s="6">
        <v>98</v>
      </c>
      <c r="B99" s="7" t="s">
        <v>302</v>
      </c>
      <c r="C99" s="12" t="s">
        <v>303</v>
      </c>
      <c r="D99" s="12" t="s">
        <v>347</v>
      </c>
      <c r="E99" s="6" t="s">
        <v>306</v>
      </c>
      <c r="F99" s="6" t="s">
        <v>336</v>
      </c>
      <c r="G99" s="6" t="s">
        <v>307</v>
      </c>
      <c r="H99" s="9" t="s">
        <v>337</v>
      </c>
      <c r="I99" s="5">
        <f t="shared" si="4"/>
        <v>4</v>
      </c>
      <c r="J99" s="3" t="str">
        <f t="shared" si="5"/>
        <v xml:space="preserve">    - xform/onnh/noh/</v>
      </c>
      <c r="K99" s="3" t="str">
        <f t="shared" si="6"/>
        <v xml:space="preserve">    - xform/onnh/ㆧㆷ/</v>
      </c>
    </row>
    <row r="100" spans="1:11">
      <c r="A100" s="4">
        <v>99</v>
      </c>
      <c r="B100" s="7" t="s">
        <v>308</v>
      </c>
      <c r="C100" s="12" t="s">
        <v>309</v>
      </c>
      <c r="D100" s="12" t="s">
        <v>345</v>
      </c>
      <c r="E100" s="6" t="s">
        <v>310</v>
      </c>
      <c r="F100" s="6" t="s">
        <v>311</v>
      </c>
      <c r="G100" s="6" t="s">
        <v>408</v>
      </c>
      <c r="H100" s="9" t="s">
        <v>312</v>
      </c>
      <c r="I100" s="5">
        <f t="shared" si="4"/>
        <v>4</v>
      </c>
      <c r="J100" s="3" t="str">
        <f t="shared" si="5"/>
        <v xml:space="preserve">    - xform/iunn/niu/</v>
      </c>
      <c r="K100" s="3" t="str">
        <f t="shared" si="6"/>
        <v xml:space="preserve">    - xform/iunn/ㄧㆫ/</v>
      </c>
    </row>
    <row r="101" spans="1:11">
      <c r="A101" s="4">
        <v>100</v>
      </c>
      <c r="B101" s="7" t="s">
        <v>308</v>
      </c>
      <c r="C101" s="12"/>
      <c r="D101" s="12"/>
      <c r="E101" s="6" t="s">
        <v>280</v>
      </c>
      <c r="F101" s="6"/>
      <c r="G101" s="6"/>
      <c r="H101" s="9"/>
      <c r="I101" s="5">
        <f t="shared" si="4"/>
        <v>0</v>
      </c>
      <c r="J101" s="3" t="str">
        <f t="shared" si="5"/>
        <v/>
      </c>
      <c r="K101" s="3" t="str">
        <f t="shared" si="6"/>
        <v/>
      </c>
    </row>
  </sheetData>
  <sortState xmlns:xlrd2="http://schemas.microsoft.com/office/spreadsheetml/2017/richdata2" ref="A2:K101">
    <sortCondition ref="A2:A101"/>
  </sortState>
  <phoneticPr fontId="1" type="noConversion"/>
  <conditionalFormatting sqref="A2:I101">
    <cfRule type="expression" dxfId="3" priority="3">
      <formula xml:space="preserve"> MOD($P2,2)=0</formula>
    </cfRule>
    <cfRule type="expression" dxfId="2" priority="4">
      <formula xml:space="preserve"> MOD($P2,2)=1</formula>
    </cfRule>
  </conditionalFormatting>
  <conditionalFormatting sqref="E2:F101">
    <cfRule type="expression" dxfId="1" priority="1">
      <formula>$E2&lt;&gt;$F2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88CA2-D6C5-41F3-9AB1-FA8119CD0D3C}">
  <dimension ref="A1:K101"/>
  <sheetViews>
    <sheetView workbookViewId="0">
      <pane ySplit="1" topLeftCell="A89" activePane="bottomLeft" state="frozen"/>
      <selection pane="bottomLeft" activeCell="C5" sqref="C5"/>
    </sheetView>
  </sheetViews>
  <sheetFormatPr defaultRowHeight="30"/>
  <cols>
    <col min="1" max="1" width="11" style="3" bestFit="1" customWidth="1"/>
    <col min="2" max="2" width="14.375" style="3" bestFit="1" customWidth="1"/>
    <col min="3" max="4" width="11" style="13" bestFit="1" customWidth="1"/>
    <col min="5" max="7" width="14.375" style="3" bestFit="1" customWidth="1"/>
    <col min="8" max="8" width="11" style="3" bestFit="1" customWidth="1"/>
    <col min="9" max="9" width="10.75" style="3" bestFit="1" customWidth="1"/>
    <col min="10" max="10" width="53.5" style="3" bestFit="1" customWidth="1"/>
    <col min="11" max="11" width="52.375" style="3" bestFit="1" customWidth="1"/>
    <col min="12" max="16384" width="9" style="3"/>
  </cols>
  <sheetData>
    <row r="1" spans="1:11">
      <c r="A1" s="1" t="s">
        <v>338</v>
      </c>
      <c r="B1" s="1" t="s">
        <v>339</v>
      </c>
      <c r="C1" s="1" t="s">
        <v>0</v>
      </c>
      <c r="D1" s="1" t="s">
        <v>340</v>
      </c>
      <c r="E1" s="1" t="s">
        <v>341</v>
      </c>
      <c r="F1" s="1" t="s">
        <v>342</v>
      </c>
      <c r="G1" s="1" t="s">
        <v>343</v>
      </c>
      <c r="H1" s="1" t="s">
        <v>344</v>
      </c>
      <c r="I1" s="2" t="s">
        <v>313</v>
      </c>
      <c r="J1" s="2" t="s">
        <v>409</v>
      </c>
      <c r="K1" s="2" t="s">
        <v>410</v>
      </c>
    </row>
    <row r="2" spans="1:11">
      <c r="A2" s="14">
        <v>90</v>
      </c>
      <c r="B2" s="15" t="s">
        <v>276</v>
      </c>
      <c r="C2" s="11"/>
      <c r="D2" s="11"/>
      <c r="E2" s="4" t="s">
        <v>280</v>
      </c>
      <c r="F2" s="4"/>
      <c r="G2" s="4"/>
      <c r="H2" s="9"/>
      <c r="I2" s="5">
        <f t="shared" ref="I2:I33" si="0">LEN(E2)</f>
        <v>0</v>
      </c>
      <c r="J2" s="3" t="str">
        <f t="shared" ref="J2:J33" si="1" xml:space="preserve"> IF(OR($E2="", $F2=""), "",  _xlfn.CONCAT("    - xform/",$E2,"/",F2,"/"))</f>
        <v/>
      </c>
      <c r="K2" s="3" t="str">
        <f t="shared" ref="K2:K33" si="2" xml:space="preserve"> IF(OR($E2="", $G2=""), "",  _xlfn.CONCAT("    - xform/",$E2,"/",G2,"/"))</f>
        <v/>
      </c>
    </row>
    <row r="3" spans="1:11">
      <c r="A3" s="16">
        <v>96</v>
      </c>
      <c r="B3" s="17" t="s">
        <v>296</v>
      </c>
      <c r="C3" s="12"/>
      <c r="D3" s="12"/>
      <c r="E3" s="6" t="s">
        <v>280</v>
      </c>
      <c r="F3" s="6"/>
      <c r="G3" s="6"/>
      <c r="H3" s="9"/>
      <c r="I3" s="5">
        <f t="shared" si="0"/>
        <v>0</v>
      </c>
      <c r="J3" s="3" t="str">
        <f t="shared" si="1"/>
        <v/>
      </c>
      <c r="K3" s="3" t="str">
        <f t="shared" si="2"/>
        <v/>
      </c>
    </row>
    <row r="4" spans="1:11">
      <c r="A4" s="14">
        <v>100</v>
      </c>
      <c r="B4" s="17" t="s">
        <v>308</v>
      </c>
      <c r="C4" s="12"/>
      <c r="D4" s="12"/>
      <c r="E4" s="6" t="s">
        <v>280</v>
      </c>
      <c r="F4" s="6"/>
      <c r="G4" s="6"/>
      <c r="H4" s="9"/>
      <c r="I4" s="5">
        <f t="shared" si="0"/>
        <v>0</v>
      </c>
      <c r="J4" s="3" t="str">
        <f t="shared" si="1"/>
        <v/>
      </c>
      <c r="K4" s="3" t="str">
        <f t="shared" si="2"/>
        <v/>
      </c>
    </row>
    <row r="5" spans="1:11">
      <c r="A5" s="16">
        <v>55</v>
      </c>
      <c r="B5" s="17" t="s">
        <v>170</v>
      </c>
      <c r="C5" s="12" t="s">
        <v>171</v>
      </c>
      <c r="D5" s="12" t="s">
        <v>345</v>
      </c>
      <c r="E5" s="6" t="s">
        <v>172</v>
      </c>
      <c r="F5" s="6" t="s">
        <v>172</v>
      </c>
      <c r="G5" s="6" t="s">
        <v>390</v>
      </c>
      <c r="H5" s="9" t="s">
        <v>173</v>
      </c>
      <c r="I5" s="5">
        <f t="shared" si="0"/>
        <v>1</v>
      </c>
      <c r="J5" s="3" t="str">
        <f t="shared" si="1"/>
        <v xml:space="preserve">    - xform/a/a/</v>
      </c>
      <c r="K5" s="3" t="str">
        <f t="shared" si="2"/>
        <v xml:space="preserve">    - xform/a/ㄚ/</v>
      </c>
    </row>
    <row r="6" spans="1:11">
      <c r="A6" s="14">
        <v>56</v>
      </c>
      <c r="B6" s="17" t="s">
        <v>170</v>
      </c>
      <c r="C6" s="12" t="s">
        <v>171</v>
      </c>
      <c r="D6" s="12" t="s">
        <v>347</v>
      </c>
      <c r="E6" s="6" t="s">
        <v>174</v>
      </c>
      <c r="F6" s="6" t="s">
        <v>174</v>
      </c>
      <c r="G6" s="6" t="s">
        <v>391</v>
      </c>
      <c r="H6" s="9" t="s">
        <v>175</v>
      </c>
      <c r="I6" s="5">
        <f t="shared" si="0"/>
        <v>2</v>
      </c>
      <c r="J6" s="3" t="str">
        <f t="shared" si="1"/>
        <v xml:space="preserve">    - xform/ah/ah/</v>
      </c>
      <c r="K6" s="3" t="str">
        <f t="shared" si="2"/>
        <v xml:space="preserve">    - xform/ah/ㄚㆷ/</v>
      </c>
    </row>
    <row r="7" spans="1:11">
      <c r="A7" s="16">
        <v>31</v>
      </c>
      <c r="B7" s="17" t="s">
        <v>94</v>
      </c>
      <c r="C7" s="12" t="s">
        <v>95</v>
      </c>
      <c r="D7" s="12" t="s">
        <v>345</v>
      </c>
      <c r="E7" s="6" t="s">
        <v>96</v>
      </c>
      <c r="F7" s="6" t="s">
        <v>96</v>
      </c>
      <c r="G7" s="6" t="s">
        <v>370</v>
      </c>
      <c r="H7" s="9" t="s">
        <v>97</v>
      </c>
      <c r="I7" s="5">
        <f t="shared" si="0"/>
        <v>2</v>
      </c>
      <c r="J7" s="3" t="str">
        <f t="shared" si="1"/>
        <v xml:space="preserve">    - xform/ai/ai/</v>
      </c>
      <c r="K7" s="3" t="str">
        <f t="shared" si="2"/>
        <v xml:space="preserve">    - xform/ai/ㄞ/</v>
      </c>
    </row>
    <row r="8" spans="1:11">
      <c r="A8" s="14">
        <v>32</v>
      </c>
      <c r="B8" s="17" t="s">
        <v>94</v>
      </c>
      <c r="C8" s="12" t="s">
        <v>95</v>
      </c>
      <c r="D8" s="12" t="s">
        <v>345</v>
      </c>
      <c r="E8" s="6" t="s">
        <v>427</v>
      </c>
      <c r="F8" s="6" t="s">
        <v>323</v>
      </c>
      <c r="G8" s="6" t="s">
        <v>98</v>
      </c>
      <c r="H8" s="9"/>
      <c r="I8" s="5">
        <f t="shared" si="0"/>
        <v>3</v>
      </c>
      <c r="J8" s="3" t="str">
        <f t="shared" si="1"/>
        <v xml:space="preserve">    - xform/aih/aih/</v>
      </c>
      <c r="K8" s="3" t="str">
        <f t="shared" si="2"/>
        <v xml:space="preserve">    - xform/aih/ㄞㆷ/</v>
      </c>
    </row>
    <row r="9" spans="1:11">
      <c r="A9" s="16">
        <v>79</v>
      </c>
      <c r="B9" s="17" t="s">
        <v>245</v>
      </c>
      <c r="C9" s="12" t="s">
        <v>246</v>
      </c>
      <c r="D9" s="12" t="s">
        <v>345</v>
      </c>
      <c r="E9" s="20" t="s">
        <v>247</v>
      </c>
      <c r="F9" s="20" t="s">
        <v>248</v>
      </c>
      <c r="G9" s="6" t="s">
        <v>249</v>
      </c>
      <c r="H9" s="9" t="s">
        <v>250</v>
      </c>
      <c r="I9" s="5">
        <f t="shared" si="0"/>
        <v>4</v>
      </c>
      <c r="J9" s="3" t="str">
        <f t="shared" si="1"/>
        <v xml:space="preserve">    - xform/ainn/nai/</v>
      </c>
      <c r="K9" s="3" t="str">
        <f t="shared" si="2"/>
        <v xml:space="preserve">    - xform/ainn/ㆮ/</v>
      </c>
    </row>
    <row r="10" spans="1:11">
      <c r="A10" s="14">
        <v>80</v>
      </c>
      <c r="B10" s="17" t="s">
        <v>245</v>
      </c>
      <c r="C10" s="12" t="s">
        <v>246</v>
      </c>
      <c r="D10" s="12" t="s">
        <v>345</v>
      </c>
      <c r="E10" s="20" t="s">
        <v>442</v>
      </c>
      <c r="F10" s="20" t="s">
        <v>332</v>
      </c>
      <c r="G10" s="6" t="s">
        <v>251</v>
      </c>
      <c r="H10" s="9"/>
      <c r="I10" s="5">
        <f t="shared" si="0"/>
        <v>5</v>
      </c>
      <c r="J10" s="3" t="str">
        <f t="shared" si="1"/>
        <v xml:space="preserve">    - xform/ainnh/naih/</v>
      </c>
      <c r="K10" s="3" t="str">
        <f t="shared" si="2"/>
        <v xml:space="preserve">    - xform/ainnh/ㆮㆷ/</v>
      </c>
    </row>
    <row r="11" spans="1:11">
      <c r="A11" s="16">
        <v>42</v>
      </c>
      <c r="B11" s="17" t="s">
        <v>123</v>
      </c>
      <c r="C11" s="12" t="s">
        <v>124</v>
      </c>
      <c r="D11" s="12" t="s">
        <v>347</v>
      </c>
      <c r="E11" s="6" t="s">
        <v>127</v>
      </c>
      <c r="F11" s="6" t="s">
        <v>127</v>
      </c>
      <c r="G11" s="6" t="s">
        <v>379</v>
      </c>
      <c r="H11" s="9" t="s">
        <v>128</v>
      </c>
      <c r="I11" s="5">
        <f t="shared" si="0"/>
        <v>2</v>
      </c>
      <c r="J11" s="3" t="str">
        <f t="shared" si="1"/>
        <v xml:space="preserve">    - xform/ak/ak/</v>
      </c>
      <c r="K11" s="3" t="str">
        <f t="shared" si="2"/>
        <v xml:space="preserve">    - xform/ak/ㄚㆻ/</v>
      </c>
    </row>
    <row r="12" spans="1:11">
      <c r="A12" s="14">
        <v>37</v>
      </c>
      <c r="B12" s="17" t="s">
        <v>111</v>
      </c>
      <c r="C12" s="12" t="s">
        <v>112</v>
      </c>
      <c r="D12" s="12" t="s">
        <v>345</v>
      </c>
      <c r="E12" s="6" t="s">
        <v>113</v>
      </c>
      <c r="F12" s="6" t="s">
        <v>113</v>
      </c>
      <c r="G12" s="6" t="s">
        <v>114</v>
      </c>
      <c r="H12" s="9" t="s">
        <v>115</v>
      </c>
      <c r="I12" s="5">
        <f t="shared" si="0"/>
        <v>2</v>
      </c>
      <c r="J12" s="3" t="str">
        <f t="shared" si="1"/>
        <v xml:space="preserve">    - xform/am/am/</v>
      </c>
      <c r="K12" s="3" t="str">
        <f t="shared" si="2"/>
        <v xml:space="preserve">    - xform/am/ㆰ/</v>
      </c>
    </row>
    <row r="13" spans="1:11">
      <c r="A13" s="16">
        <v>11</v>
      </c>
      <c r="B13" s="17" t="s">
        <v>31</v>
      </c>
      <c r="C13" s="12" t="s">
        <v>32</v>
      </c>
      <c r="D13" s="12" t="s">
        <v>345</v>
      </c>
      <c r="E13" s="6" t="s">
        <v>33</v>
      </c>
      <c r="F13" s="6" t="s">
        <v>33</v>
      </c>
      <c r="G13" s="6" t="s">
        <v>356</v>
      </c>
      <c r="H13" s="9" t="s">
        <v>34</v>
      </c>
      <c r="I13" s="5">
        <f t="shared" si="0"/>
        <v>2</v>
      </c>
      <c r="J13" s="3" t="str">
        <f t="shared" si="1"/>
        <v xml:space="preserve">    - xform/an/an/</v>
      </c>
      <c r="K13" s="3" t="str">
        <f t="shared" si="2"/>
        <v xml:space="preserve">    - xform/an/ㄢ/</v>
      </c>
    </row>
    <row r="14" spans="1:11">
      <c r="A14" s="14">
        <v>41</v>
      </c>
      <c r="B14" s="17" t="s">
        <v>123</v>
      </c>
      <c r="C14" s="12" t="s">
        <v>124</v>
      </c>
      <c r="D14" s="12" t="s">
        <v>345</v>
      </c>
      <c r="E14" s="6" t="s">
        <v>125</v>
      </c>
      <c r="F14" s="6" t="s">
        <v>125</v>
      </c>
      <c r="G14" s="6" t="s">
        <v>378</v>
      </c>
      <c r="H14" s="9" t="s">
        <v>126</v>
      </c>
      <c r="I14" s="5">
        <f t="shared" si="0"/>
        <v>3</v>
      </c>
      <c r="J14" s="3" t="str">
        <f t="shared" si="1"/>
        <v xml:space="preserve">    - xform/ang/ang/</v>
      </c>
      <c r="K14" s="3" t="str">
        <f t="shared" si="2"/>
        <v xml:space="preserve">    - xform/ang/ㄤ/</v>
      </c>
    </row>
    <row r="15" spans="1:11">
      <c r="A15" s="16">
        <v>51</v>
      </c>
      <c r="B15" s="17" t="s">
        <v>155</v>
      </c>
      <c r="C15" s="12" t="s">
        <v>156</v>
      </c>
      <c r="D15" s="12" t="s">
        <v>345</v>
      </c>
      <c r="E15" s="20" t="s">
        <v>157</v>
      </c>
      <c r="F15" s="20" t="s">
        <v>158</v>
      </c>
      <c r="G15" s="6" t="s">
        <v>159</v>
      </c>
      <c r="H15" s="9" t="s">
        <v>160</v>
      </c>
      <c r="I15" s="5">
        <f t="shared" si="0"/>
        <v>3</v>
      </c>
      <c r="J15" s="3" t="str">
        <f t="shared" si="1"/>
        <v xml:space="preserve">    - xform/ann/na/</v>
      </c>
      <c r="K15" s="3" t="str">
        <f t="shared" si="2"/>
        <v xml:space="preserve">    - xform/ann/ㆩ/</v>
      </c>
    </row>
    <row r="16" spans="1:11">
      <c r="A16" s="14">
        <v>52</v>
      </c>
      <c r="B16" s="17" t="s">
        <v>155</v>
      </c>
      <c r="C16" s="12" t="s">
        <v>156</v>
      </c>
      <c r="D16" s="12" t="s">
        <v>347</v>
      </c>
      <c r="E16" s="20" t="s">
        <v>461</v>
      </c>
      <c r="F16" s="20" t="s">
        <v>462</v>
      </c>
      <c r="G16" s="6" t="s">
        <v>163</v>
      </c>
      <c r="H16" s="9" t="s">
        <v>164</v>
      </c>
      <c r="I16" s="5">
        <f t="shared" si="0"/>
        <v>4</v>
      </c>
      <c r="J16" s="3" t="str">
        <f t="shared" si="1"/>
        <v xml:space="preserve">    - xform/annh/nah/</v>
      </c>
      <c r="K16" s="3" t="str">
        <f t="shared" si="2"/>
        <v xml:space="preserve">    - xform/annh/ㆩㆷ/</v>
      </c>
    </row>
    <row r="17" spans="1:11">
      <c r="A17" s="16">
        <v>38</v>
      </c>
      <c r="B17" s="17" t="s">
        <v>111</v>
      </c>
      <c r="C17" s="12" t="s">
        <v>112</v>
      </c>
      <c r="D17" s="12" t="s">
        <v>347</v>
      </c>
      <c r="E17" s="6" t="s">
        <v>116</v>
      </c>
      <c r="F17" s="6" t="s">
        <v>116</v>
      </c>
      <c r="G17" s="6" t="s">
        <v>375</v>
      </c>
      <c r="H17" s="9" t="s">
        <v>117</v>
      </c>
      <c r="I17" s="5">
        <f t="shared" si="0"/>
        <v>2</v>
      </c>
      <c r="J17" s="3" t="str">
        <f t="shared" si="1"/>
        <v xml:space="preserve">    - xform/ap/ap/</v>
      </c>
      <c r="K17" s="3" t="str">
        <f t="shared" si="2"/>
        <v xml:space="preserve">    - xform/ap/ㄚㆴ/</v>
      </c>
    </row>
    <row r="18" spans="1:11">
      <c r="A18" s="14">
        <v>12</v>
      </c>
      <c r="B18" s="17" t="s">
        <v>31</v>
      </c>
      <c r="C18" s="12" t="s">
        <v>32</v>
      </c>
      <c r="D18" s="12" t="s">
        <v>347</v>
      </c>
      <c r="E18" s="6" t="s">
        <v>35</v>
      </c>
      <c r="F18" s="6" t="s">
        <v>35</v>
      </c>
      <c r="G18" s="6" t="s">
        <v>357</v>
      </c>
      <c r="H18" s="9" t="s">
        <v>36</v>
      </c>
      <c r="I18" s="5">
        <f t="shared" si="0"/>
        <v>2</v>
      </c>
      <c r="J18" s="3" t="str">
        <f t="shared" si="1"/>
        <v xml:space="preserve">    - xform/at/at/</v>
      </c>
      <c r="K18" s="3" t="str">
        <f t="shared" si="2"/>
        <v xml:space="preserve">    - xform/at/ㄚㆵ/</v>
      </c>
    </row>
    <row r="19" spans="1:11">
      <c r="A19" s="16">
        <v>45</v>
      </c>
      <c r="B19" s="17" t="s">
        <v>135</v>
      </c>
      <c r="C19" s="12" t="s">
        <v>136</v>
      </c>
      <c r="D19" s="12" t="s">
        <v>345</v>
      </c>
      <c r="E19" s="18" t="s">
        <v>428</v>
      </c>
      <c r="F19" s="18" t="s">
        <v>429</v>
      </c>
      <c r="G19" s="6" t="s">
        <v>382</v>
      </c>
      <c r="H19" s="9" t="s">
        <v>139</v>
      </c>
      <c r="I19" s="5">
        <f t="shared" si="0"/>
        <v>2</v>
      </c>
      <c r="J19" s="3" t="str">
        <f t="shared" si="1"/>
        <v xml:space="preserve">    - xform/au/ao/</v>
      </c>
      <c r="K19" s="3" t="str">
        <f t="shared" si="2"/>
        <v xml:space="preserve">    - xform/au/ㄠ/</v>
      </c>
    </row>
    <row r="20" spans="1:11">
      <c r="A20" s="14">
        <v>46</v>
      </c>
      <c r="B20" s="17" t="s">
        <v>135</v>
      </c>
      <c r="C20" s="12" t="s">
        <v>136</v>
      </c>
      <c r="D20" s="12" t="s">
        <v>347</v>
      </c>
      <c r="E20" s="6" t="s">
        <v>140</v>
      </c>
      <c r="F20" s="6" t="s">
        <v>141</v>
      </c>
      <c r="G20" s="6" t="s">
        <v>383</v>
      </c>
      <c r="H20" s="9" t="s">
        <v>142</v>
      </c>
      <c r="I20" s="5">
        <f t="shared" si="0"/>
        <v>3</v>
      </c>
      <c r="J20" s="3" t="str">
        <f t="shared" si="1"/>
        <v xml:space="preserve">    - xform/auh/aoh/</v>
      </c>
      <c r="K20" s="3" t="str">
        <f t="shared" si="2"/>
        <v xml:space="preserve">    - xform/auh/ㄠㆷ/</v>
      </c>
    </row>
    <row r="21" spans="1:11">
      <c r="A21" s="16">
        <v>95</v>
      </c>
      <c r="B21" s="17" t="s">
        <v>296</v>
      </c>
      <c r="C21" s="12" t="s">
        <v>297</v>
      </c>
      <c r="D21" s="12" t="s">
        <v>345</v>
      </c>
      <c r="E21" s="18" t="s">
        <v>456</v>
      </c>
      <c r="F21" s="18" t="s">
        <v>457</v>
      </c>
      <c r="G21" s="6" t="s">
        <v>300</v>
      </c>
      <c r="H21" s="9" t="s">
        <v>301</v>
      </c>
      <c r="I21" s="5">
        <f t="shared" si="0"/>
        <v>4</v>
      </c>
      <c r="J21" s="3" t="str">
        <f t="shared" si="1"/>
        <v xml:space="preserve">    - xform/aunn/nao/</v>
      </c>
      <c r="K21" s="3" t="str">
        <f t="shared" si="2"/>
        <v xml:space="preserve">    - xform/aunn/ㆯ/</v>
      </c>
    </row>
    <row r="22" spans="1:11">
      <c r="A22" s="14">
        <v>25</v>
      </c>
      <c r="B22" s="17" t="s">
        <v>75</v>
      </c>
      <c r="C22" s="12" t="s">
        <v>76</v>
      </c>
      <c r="D22" s="12" t="s">
        <v>345</v>
      </c>
      <c r="E22" s="6" t="s">
        <v>27</v>
      </c>
      <c r="F22" s="6" t="s">
        <v>27</v>
      </c>
      <c r="G22" s="6" t="s">
        <v>77</v>
      </c>
      <c r="H22" s="9" t="s">
        <v>78</v>
      </c>
      <c r="I22" s="5">
        <f t="shared" si="0"/>
        <v>1</v>
      </c>
      <c r="J22" s="3" t="str">
        <f t="shared" si="1"/>
        <v xml:space="preserve">    - xform/e/e/</v>
      </c>
      <c r="K22" s="3" t="str">
        <f t="shared" si="2"/>
        <v xml:space="preserve">    - xform/e/ㆤ/</v>
      </c>
    </row>
    <row r="23" spans="1:11">
      <c r="A23" s="16">
        <v>26</v>
      </c>
      <c r="B23" s="17" t="s">
        <v>75</v>
      </c>
      <c r="C23" s="12" t="s">
        <v>76</v>
      </c>
      <c r="D23" s="12" t="s">
        <v>345</v>
      </c>
      <c r="E23" s="6" t="s">
        <v>27</v>
      </c>
      <c r="F23" s="6" t="s">
        <v>321</v>
      </c>
      <c r="G23" s="6" t="s">
        <v>322</v>
      </c>
      <c r="H23" s="9"/>
      <c r="I23" s="5">
        <f t="shared" si="0"/>
        <v>1</v>
      </c>
      <c r="J23" s="3" t="str">
        <f t="shared" si="1"/>
        <v xml:space="preserve">    - xform/e/eh/</v>
      </c>
      <c r="K23" s="3" t="str">
        <f t="shared" si="2"/>
        <v xml:space="preserve">    - xform/e/ㆤㆷ/</v>
      </c>
    </row>
    <row r="24" spans="1:11">
      <c r="A24" s="14">
        <v>77</v>
      </c>
      <c r="B24" s="17" t="s">
        <v>241</v>
      </c>
      <c r="C24" s="12" t="s">
        <v>242</v>
      </c>
      <c r="D24" s="12" t="s">
        <v>345</v>
      </c>
      <c r="E24" s="6" t="s">
        <v>27</v>
      </c>
      <c r="F24" s="6" t="s">
        <v>27</v>
      </c>
      <c r="G24" s="6" t="s">
        <v>77</v>
      </c>
      <c r="H24" s="9" t="s">
        <v>243</v>
      </c>
      <c r="I24" s="5">
        <f t="shared" si="0"/>
        <v>1</v>
      </c>
      <c r="J24" s="3" t="str">
        <f t="shared" si="1"/>
        <v xml:space="preserve">    - xform/e/e/</v>
      </c>
      <c r="K24" s="3" t="str">
        <f t="shared" si="2"/>
        <v xml:space="preserve">    - xform/e/ㆤ/</v>
      </c>
    </row>
    <row r="25" spans="1:11">
      <c r="A25" s="16">
        <v>9</v>
      </c>
      <c r="B25" s="17" t="s">
        <v>25</v>
      </c>
      <c r="C25" s="12" t="s">
        <v>26</v>
      </c>
      <c r="D25" s="12" t="s">
        <v>345</v>
      </c>
      <c r="E25" s="18" t="s">
        <v>413</v>
      </c>
      <c r="F25" s="6" t="s">
        <v>315</v>
      </c>
      <c r="G25" s="6" t="s">
        <v>354</v>
      </c>
      <c r="H25" s="9" t="s">
        <v>28</v>
      </c>
      <c r="I25" s="5">
        <f t="shared" si="0"/>
        <v>2</v>
      </c>
      <c r="J25" s="3" t="str">
        <f t="shared" si="1"/>
        <v xml:space="preserve">    - xform/ee/ee/</v>
      </c>
      <c r="K25" s="3" t="str">
        <f t="shared" si="2"/>
        <v xml:space="preserve">    - xform/ee/ㄝ/</v>
      </c>
    </row>
    <row r="26" spans="1:11">
      <c r="A26" s="14">
        <v>10</v>
      </c>
      <c r="B26" s="17" t="s">
        <v>25</v>
      </c>
      <c r="C26" s="12" t="s">
        <v>26</v>
      </c>
      <c r="D26" s="12" t="s">
        <v>347</v>
      </c>
      <c r="E26" s="18" t="s">
        <v>414</v>
      </c>
      <c r="F26" s="8" t="s">
        <v>316</v>
      </c>
      <c r="G26" s="6" t="s">
        <v>355</v>
      </c>
      <c r="H26" s="9" t="s">
        <v>30</v>
      </c>
      <c r="I26" s="5">
        <f t="shared" si="0"/>
        <v>3</v>
      </c>
      <c r="J26" s="3" t="str">
        <f t="shared" si="1"/>
        <v xml:space="preserve">    - xform/eeh/eeh/</v>
      </c>
      <c r="K26" s="3" t="str">
        <f t="shared" si="2"/>
        <v xml:space="preserve">    - xform/eeh/ㄝㆷ/</v>
      </c>
    </row>
    <row r="27" spans="1:11">
      <c r="A27" s="16">
        <v>78</v>
      </c>
      <c r="B27" s="17" t="s">
        <v>241</v>
      </c>
      <c r="C27" s="12" t="s">
        <v>242</v>
      </c>
      <c r="D27" s="12" t="s">
        <v>345</v>
      </c>
      <c r="E27" s="6" t="s">
        <v>441</v>
      </c>
      <c r="F27" s="6" t="s">
        <v>29</v>
      </c>
      <c r="G27" s="6" t="s">
        <v>79</v>
      </c>
      <c r="H27" s="9" t="s">
        <v>244</v>
      </c>
      <c r="I27" s="5">
        <f t="shared" si="0"/>
        <v>2</v>
      </c>
      <c r="J27" s="3" t="str">
        <f t="shared" si="1"/>
        <v xml:space="preserve">    - xform/eh/eh/</v>
      </c>
      <c r="K27" s="3" t="str">
        <f t="shared" si="2"/>
        <v xml:space="preserve">    - xform/eh/ㆤㆷ/</v>
      </c>
    </row>
    <row r="28" spans="1:11">
      <c r="A28" s="14">
        <v>61</v>
      </c>
      <c r="B28" s="17" t="s">
        <v>187</v>
      </c>
      <c r="C28" s="12" t="s">
        <v>188</v>
      </c>
      <c r="D28" s="12" t="s">
        <v>345</v>
      </c>
      <c r="E28" s="20" t="s">
        <v>189</v>
      </c>
      <c r="F28" s="20" t="s">
        <v>190</v>
      </c>
      <c r="G28" s="6" t="s">
        <v>191</v>
      </c>
      <c r="H28" s="9" t="s">
        <v>192</v>
      </c>
      <c r="I28" s="5">
        <f t="shared" si="0"/>
        <v>3</v>
      </c>
      <c r="J28" s="3" t="str">
        <f t="shared" si="1"/>
        <v xml:space="preserve">    - xform/enn/ne/</v>
      </c>
      <c r="K28" s="3" t="str">
        <f t="shared" si="2"/>
        <v xml:space="preserve">    - xform/enn/ㆥ/</v>
      </c>
    </row>
    <row r="29" spans="1:11">
      <c r="A29" s="16">
        <v>62</v>
      </c>
      <c r="B29" s="17" t="s">
        <v>187</v>
      </c>
      <c r="C29" s="12" t="s">
        <v>188</v>
      </c>
      <c r="D29" s="12" t="s">
        <v>345</v>
      </c>
      <c r="E29" s="20" t="s">
        <v>432</v>
      </c>
      <c r="F29" s="20" t="s">
        <v>325</v>
      </c>
      <c r="G29" s="6" t="s">
        <v>193</v>
      </c>
      <c r="H29" s="10" t="s">
        <v>194</v>
      </c>
      <c r="I29" s="5">
        <f t="shared" si="0"/>
        <v>4</v>
      </c>
      <c r="J29" s="3" t="str">
        <f t="shared" si="1"/>
        <v xml:space="preserve">    - xform/ennh/neh/</v>
      </c>
      <c r="K29" s="3" t="str">
        <f t="shared" si="2"/>
        <v xml:space="preserve">    - xform/ennh/ㆥㆷ/</v>
      </c>
    </row>
    <row r="30" spans="1:11">
      <c r="A30" s="14">
        <v>57</v>
      </c>
      <c r="B30" s="17" t="s">
        <v>176</v>
      </c>
      <c r="C30" s="12" t="s">
        <v>177</v>
      </c>
      <c r="D30" s="12" t="s">
        <v>345</v>
      </c>
      <c r="E30" s="6" t="s">
        <v>178</v>
      </c>
      <c r="F30" s="6" t="s">
        <v>178</v>
      </c>
      <c r="G30" s="6" t="s">
        <v>392</v>
      </c>
      <c r="H30" s="9" t="s">
        <v>179</v>
      </c>
      <c r="I30" s="5">
        <f t="shared" si="0"/>
        <v>1</v>
      </c>
      <c r="J30" s="3" t="str">
        <f t="shared" si="1"/>
        <v xml:space="preserve">    - xform/i/i/</v>
      </c>
      <c r="K30" s="3" t="str">
        <f t="shared" si="2"/>
        <v xml:space="preserve">    - xform/i/ㄧ/</v>
      </c>
    </row>
    <row r="31" spans="1:11">
      <c r="A31" s="16">
        <v>47</v>
      </c>
      <c r="B31" s="17" t="s">
        <v>143</v>
      </c>
      <c r="C31" s="12" t="s">
        <v>144</v>
      </c>
      <c r="D31" s="12" t="s">
        <v>345</v>
      </c>
      <c r="E31" s="6" t="s">
        <v>145</v>
      </c>
      <c r="F31" s="6" t="s">
        <v>145</v>
      </c>
      <c r="G31" s="6" t="s">
        <v>384</v>
      </c>
      <c r="H31" s="9" t="s">
        <v>146</v>
      </c>
      <c r="I31" s="5">
        <f t="shared" si="0"/>
        <v>2</v>
      </c>
      <c r="J31" s="3" t="str">
        <f t="shared" si="1"/>
        <v xml:space="preserve">    - xform/ia/ia/</v>
      </c>
      <c r="K31" s="3" t="str">
        <f t="shared" si="2"/>
        <v xml:space="preserve">    - xform/ia/ㄧㄚ/</v>
      </c>
    </row>
    <row r="32" spans="1:11">
      <c r="A32" s="14">
        <v>48</v>
      </c>
      <c r="B32" s="17" t="s">
        <v>143</v>
      </c>
      <c r="C32" s="12" t="s">
        <v>144</v>
      </c>
      <c r="D32" s="12" t="s">
        <v>347</v>
      </c>
      <c r="E32" s="6" t="s">
        <v>147</v>
      </c>
      <c r="F32" s="6" t="s">
        <v>147</v>
      </c>
      <c r="G32" s="6" t="s">
        <v>385</v>
      </c>
      <c r="H32" s="9" t="s">
        <v>148</v>
      </c>
      <c r="I32" s="5">
        <f t="shared" si="0"/>
        <v>3</v>
      </c>
      <c r="J32" s="3" t="str">
        <f t="shared" si="1"/>
        <v xml:space="preserve">    - xform/iah/iah/</v>
      </c>
      <c r="K32" s="3" t="str">
        <f t="shared" si="2"/>
        <v xml:space="preserve">    - xform/iah/ㄧㄚㆷ/</v>
      </c>
    </row>
    <row r="33" spans="1:11">
      <c r="A33" s="16">
        <v>36</v>
      </c>
      <c r="B33" s="17" t="s">
        <v>105</v>
      </c>
      <c r="C33" s="12" t="s">
        <v>106</v>
      </c>
      <c r="D33" s="12" t="s">
        <v>347</v>
      </c>
      <c r="E33" s="6" t="s">
        <v>109</v>
      </c>
      <c r="F33" s="6" t="s">
        <v>109</v>
      </c>
      <c r="G33" s="6" t="s">
        <v>374</v>
      </c>
      <c r="H33" s="9" t="s">
        <v>110</v>
      </c>
      <c r="I33" s="5">
        <f t="shared" si="0"/>
        <v>3</v>
      </c>
      <c r="J33" s="3" t="str">
        <f t="shared" si="1"/>
        <v xml:space="preserve">    - xform/iak/iak/</v>
      </c>
      <c r="K33" s="3" t="str">
        <f t="shared" si="2"/>
        <v xml:space="preserve">    - xform/iak/ㄧㄚㆻ/</v>
      </c>
    </row>
    <row r="34" spans="1:11">
      <c r="A34" s="14">
        <v>43</v>
      </c>
      <c r="B34" s="17" t="s">
        <v>129</v>
      </c>
      <c r="C34" s="12" t="s">
        <v>130</v>
      </c>
      <c r="D34" s="12" t="s">
        <v>345</v>
      </c>
      <c r="E34" s="6" t="s">
        <v>131</v>
      </c>
      <c r="F34" s="6" t="s">
        <v>131</v>
      </c>
      <c r="G34" s="6" t="s">
        <v>380</v>
      </c>
      <c r="H34" s="9" t="s">
        <v>132</v>
      </c>
      <c r="I34" s="5">
        <f t="shared" ref="I34:I65" si="3">LEN(E34)</f>
        <v>3</v>
      </c>
      <c r="J34" s="3" t="str">
        <f t="shared" ref="J34:J65" si="4" xml:space="preserve"> IF(OR($E34="", $F34=""), "",  _xlfn.CONCAT("    - xform/",$E34,"/",F34,"/"))</f>
        <v xml:space="preserve">    - xform/iam/iam/</v>
      </c>
      <c r="K34" s="3" t="str">
        <f t="shared" ref="K34:K65" si="5" xml:space="preserve"> IF(OR($E34="", $G34=""), "",  _xlfn.CONCAT("    - xform/",$E34,"/",G34,"/"))</f>
        <v xml:space="preserve">    - xform/iam/ㄧㆰ/</v>
      </c>
    </row>
    <row r="35" spans="1:11">
      <c r="A35" s="16">
        <v>3</v>
      </c>
      <c r="B35" s="17" t="s">
        <v>6</v>
      </c>
      <c r="C35" s="12" t="s">
        <v>7</v>
      </c>
      <c r="D35" s="12" t="s">
        <v>345</v>
      </c>
      <c r="E35" s="6" t="s">
        <v>8</v>
      </c>
      <c r="F35" s="6" t="s">
        <v>8</v>
      </c>
      <c r="G35" s="6" t="s">
        <v>349</v>
      </c>
      <c r="H35" s="9" t="s">
        <v>9</v>
      </c>
      <c r="I35" s="5">
        <f t="shared" si="3"/>
        <v>3</v>
      </c>
      <c r="J35" s="3" t="str">
        <f t="shared" si="4"/>
        <v xml:space="preserve">    - xform/ian/ian/</v>
      </c>
      <c r="K35" s="3" t="str">
        <f t="shared" si="5"/>
        <v xml:space="preserve">    - xform/ian/ㄧㄢ/</v>
      </c>
    </row>
    <row r="36" spans="1:11">
      <c r="A36" s="14">
        <v>35</v>
      </c>
      <c r="B36" s="17" t="s">
        <v>105</v>
      </c>
      <c r="C36" s="12" t="s">
        <v>106</v>
      </c>
      <c r="D36" s="12" t="s">
        <v>345</v>
      </c>
      <c r="E36" s="6" t="s">
        <v>107</v>
      </c>
      <c r="F36" s="6" t="s">
        <v>107</v>
      </c>
      <c r="G36" s="6" t="s">
        <v>373</v>
      </c>
      <c r="H36" s="9" t="s">
        <v>108</v>
      </c>
      <c r="I36" s="5">
        <f t="shared" si="3"/>
        <v>4</v>
      </c>
      <c r="J36" s="3" t="str">
        <f t="shared" si="4"/>
        <v xml:space="preserve">    - xform/iang/iang/</v>
      </c>
      <c r="K36" s="3" t="str">
        <f t="shared" si="5"/>
        <v xml:space="preserve">    - xform/iang/ㄧㄤ/</v>
      </c>
    </row>
    <row r="37" spans="1:11">
      <c r="A37" s="16">
        <v>71</v>
      </c>
      <c r="B37" s="17" t="s">
        <v>223</v>
      </c>
      <c r="C37" s="12" t="s">
        <v>224</v>
      </c>
      <c r="D37" s="12" t="s">
        <v>345</v>
      </c>
      <c r="E37" s="20" t="s">
        <v>225</v>
      </c>
      <c r="F37" s="20" t="s">
        <v>226</v>
      </c>
      <c r="G37" s="6" t="s">
        <v>399</v>
      </c>
      <c r="H37" s="9" t="s">
        <v>227</v>
      </c>
      <c r="I37" s="5">
        <f t="shared" si="3"/>
        <v>4</v>
      </c>
      <c r="J37" s="3" t="str">
        <f t="shared" si="4"/>
        <v xml:space="preserve">    - xform/iann/nia/</v>
      </c>
      <c r="K37" s="3" t="str">
        <f t="shared" si="5"/>
        <v xml:space="preserve">    - xform/iann/ㄧㆩ/</v>
      </c>
    </row>
    <row r="38" spans="1:11">
      <c r="A38" s="14">
        <v>72</v>
      </c>
      <c r="B38" s="17" t="s">
        <v>223</v>
      </c>
      <c r="C38" s="12" t="s">
        <v>224</v>
      </c>
      <c r="D38" s="12" t="s">
        <v>345</v>
      </c>
      <c r="E38" s="20" t="s">
        <v>459</v>
      </c>
      <c r="F38" s="20" t="s">
        <v>329</v>
      </c>
      <c r="G38" s="6" t="s">
        <v>228</v>
      </c>
      <c r="H38" s="9"/>
      <c r="I38" s="5">
        <f t="shared" si="3"/>
        <v>5</v>
      </c>
      <c r="J38" s="3" t="str">
        <f t="shared" si="4"/>
        <v xml:space="preserve">    - xform/iannh/niah/</v>
      </c>
      <c r="K38" s="3" t="str">
        <f t="shared" si="5"/>
        <v xml:space="preserve">    - xform/iannh/ㄧㆩㆷ/</v>
      </c>
    </row>
    <row r="39" spans="1:11">
      <c r="A39" s="16">
        <v>44</v>
      </c>
      <c r="B39" s="17" t="s">
        <v>129</v>
      </c>
      <c r="C39" s="12" t="s">
        <v>130</v>
      </c>
      <c r="D39" s="12" t="s">
        <v>347</v>
      </c>
      <c r="E39" s="6" t="s">
        <v>133</v>
      </c>
      <c r="F39" s="6" t="s">
        <v>133</v>
      </c>
      <c r="G39" s="6" t="s">
        <v>381</v>
      </c>
      <c r="H39" s="9" t="s">
        <v>134</v>
      </c>
      <c r="I39" s="5">
        <f t="shared" si="3"/>
        <v>3</v>
      </c>
      <c r="J39" s="3" t="str">
        <f t="shared" si="4"/>
        <v xml:space="preserve">    - xform/iap/iap/</v>
      </c>
      <c r="K39" s="3" t="str">
        <f t="shared" si="5"/>
        <v xml:space="preserve">    - xform/iap/ㄧㄚㆴ/</v>
      </c>
    </row>
    <row r="40" spans="1:11">
      <c r="A40" s="14">
        <v>4</v>
      </c>
      <c r="B40" s="17" t="s">
        <v>6</v>
      </c>
      <c r="C40" s="12" t="s">
        <v>7</v>
      </c>
      <c r="D40" s="12" t="s">
        <v>347</v>
      </c>
      <c r="E40" s="6" t="s">
        <v>10</v>
      </c>
      <c r="F40" s="6" t="s">
        <v>10</v>
      </c>
      <c r="G40" s="6" t="s">
        <v>350</v>
      </c>
      <c r="H40" s="9" t="s">
        <v>11</v>
      </c>
      <c r="I40" s="5">
        <f t="shared" si="3"/>
        <v>3</v>
      </c>
      <c r="J40" s="3" t="str">
        <f t="shared" si="4"/>
        <v xml:space="preserve">    - xform/iat/iat/</v>
      </c>
      <c r="K40" s="3" t="str">
        <f t="shared" si="5"/>
        <v xml:space="preserve">    - xform/iat/ㄧㄚㆵ/</v>
      </c>
    </row>
    <row r="41" spans="1:11">
      <c r="A41" s="16">
        <v>23</v>
      </c>
      <c r="B41" s="17" t="s">
        <v>68</v>
      </c>
      <c r="C41" s="12" t="s">
        <v>69</v>
      </c>
      <c r="D41" s="12" t="s">
        <v>345</v>
      </c>
      <c r="E41" s="18" t="s">
        <v>419</v>
      </c>
      <c r="F41" s="18" t="s">
        <v>415</v>
      </c>
      <c r="G41" s="6" t="s">
        <v>364</v>
      </c>
      <c r="H41" s="9" t="s">
        <v>72</v>
      </c>
      <c r="I41" s="5">
        <f t="shared" si="3"/>
        <v>3</v>
      </c>
      <c r="J41" s="3" t="str">
        <f t="shared" si="4"/>
        <v xml:space="preserve">    - xform/iau/iao/</v>
      </c>
      <c r="K41" s="3" t="str">
        <f t="shared" si="5"/>
        <v xml:space="preserve">    - xform/iau/ㄧㄠ/</v>
      </c>
    </row>
    <row r="42" spans="1:11">
      <c r="A42" s="14">
        <v>24</v>
      </c>
      <c r="B42" s="17" t="s">
        <v>68</v>
      </c>
      <c r="C42" s="12" t="s">
        <v>69</v>
      </c>
      <c r="D42" s="12" t="s">
        <v>345</v>
      </c>
      <c r="E42" s="18" t="s">
        <v>418</v>
      </c>
      <c r="F42" s="18" t="s">
        <v>420</v>
      </c>
      <c r="G42" s="6" t="s">
        <v>365</v>
      </c>
      <c r="H42" s="9" t="s">
        <v>74</v>
      </c>
      <c r="I42" s="5">
        <f t="shared" si="3"/>
        <v>4</v>
      </c>
      <c r="J42" s="3" t="str">
        <f t="shared" si="4"/>
        <v xml:space="preserve">    - xform/iauh/iaoh/</v>
      </c>
      <c r="K42" s="3" t="str">
        <f t="shared" si="5"/>
        <v xml:space="preserve">    - xform/iauh/ㄧㄠㆷ/</v>
      </c>
    </row>
    <row r="43" spans="1:11">
      <c r="A43" s="16">
        <v>91</v>
      </c>
      <c r="B43" s="17" t="s">
        <v>281</v>
      </c>
      <c r="C43" s="12" t="s">
        <v>282</v>
      </c>
      <c r="D43" s="12" t="s">
        <v>345</v>
      </c>
      <c r="E43" s="18" t="s">
        <v>448</v>
      </c>
      <c r="F43" s="18" t="s">
        <v>449</v>
      </c>
      <c r="G43" s="6" t="s">
        <v>406</v>
      </c>
      <c r="H43" s="9" t="s">
        <v>285</v>
      </c>
      <c r="I43" s="5">
        <f t="shared" si="3"/>
        <v>5</v>
      </c>
      <c r="J43" s="3" t="str">
        <f t="shared" si="4"/>
        <v xml:space="preserve">    - xform/iaunn/niao/</v>
      </c>
      <c r="K43" s="3" t="str">
        <f t="shared" si="5"/>
        <v xml:space="preserve">    - xform/iaunn/ㄧㆯ/</v>
      </c>
    </row>
    <row r="44" spans="1:11">
      <c r="A44" s="14">
        <v>92</v>
      </c>
      <c r="B44" s="17" t="s">
        <v>281</v>
      </c>
      <c r="C44" s="12" t="s">
        <v>282</v>
      </c>
      <c r="D44" s="12" t="s">
        <v>347</v>
      </c>
      <c r="E44" s="18" t="s">
        <v>450</v>
      </c>
      <c r="F44" s="18" t="s">
        <v>451</v>
      </c>
      <c r="G44" s="6" t="s">
        <v>407</v>
      </c>
      <c r="H44" s="9" t="s">
        <v>337</v>
      </c>
      <c r="I44" s="5">
        <f t="shared" si="3"/>
        <v>6</v>
      </c>
      <c r="J44" s="3" t="str">
        <f t="shared" si="4"/>
        <v xml:space="preserve">    - xform/iaunnh/niaoh/</v>
      </c>
      <c r="K44" s="3" t="str">
        <f t="shared" si="5"/>
        <v xml:space="preserve">    - xform/iaunnh/ㄧㆯㆷ/</v>
      </c>
    </row>
    <row r="45" spans="1:11">
      <c r="A45" s="16">
        <v>18</v>
      </c>
      <c r="B45" s="17" t="s">
        <v>51</v>
      </c>
      <c r="C45" s="12" t="s">
        <v>52</v>
      </c>
      <c r="D45" s="12" t="s">
        <v>347</v>
      </c>
      <c r="E45" s="18" t="s">
        <v>417</v>
      </c>
      <c r="F45" s="18" t="s">
        <v>416</v>
      </c>
      <c r="G45" s="6" t="s">
        <v>361</v>
      </c>
      <c r="H45" s="9" t="s">
        <v>56</v>
      </c>
      <c r="I45" s="5">
        <f t="shared" si="3"/>
        <v>3</v>
      </c>
      <c r="J45" s="3" t="str">
        <f t="shared" si="4"/>
        <v xml:space="preserve">    - xform/iek/ik/</v>
      </c>
      <c r="K45" s="3" t="str">
        <f t="shared" si="5"/>
        <v xml:space="preserve">    - xform/iek/ㄧㆻ/</v>
      </c>
    </row>
    <row r="46" spans="1:11">
      <c r="A46" s="14">
        <v>58</v>
      </c>
      <c r="B46" s="17" t="s">
        <v>176</v>
      </c>
      <c r="C46" s="12" t="s">
        <v>177</v>
      </c>
      <c r="D46" s="12" t="s">
        <v>345</v>
      </c>
      <c r="E46" s="6" t="s">
        <v>430</v>
      </c>
      <c r="F46" s="6" t="s">
        <v>180</v>
      </c>
      <c r="G46" s="6" t="s">
        <v>393</v>
      </c>
      <c r="H46" s="9" t="s">
        <v>181</v>
      </c>
      <c r="I46" s="5">
        <f t="shared" si="3"/>
        <v>2</v>
      </c>
      <c r="J46" s="3" t="str">
        <f t="shared" si="4"/>
        <v xml:space="preserve">    - xform/ih/ih/</v>
      </c>
      <c r="K46" s="3" t="str">
        <f t="shared" si="5"/>
        <v xml:space="preserve">    - xform/ih/ㄧㆷ/</v>
      </c>
    </row>
    <row r="47" spans="1:11">
      <c r="A47" s="16">
        <v>5</v>
      </c>
      <c r="B47" s="17" t="s">
        <v>12</v>
      </c>
      <c r="C47" s="12" t="s">
        <v>13</v>
      </c>
      <c r="D47" s="12" t="s">
        <v>345</v>
      </c>
      <c r="E47" s="6" t="s">
        <v>14</v>
      </c>
      <c r="F47" s="6" t="s">
        <v>14</v>
      </c>
      <c r="G47" s="6" t="s">
        <v>351</v>
      </c>
      <c r="H47" s="9" t="s">
        <v>15</v>
      </c>
      <c r="I47" s="5">
        <f t="shared" si="3"/>
        <v>2</v>
      </c>
      <c r="J47" s="3" t="str">
        <f t="shared" si="4"/>
        <v xml:space="preserve">    - xform/im/im/</v>
      </c>
      <c r="K47" s="3" t="str">
        <f t="shared" si="5"/>
        <v xml:space="preserve">    - xform/im/ㄧㆬ/</v>
      </c>
    </row>
    <row r="48" spans="1:11">
      <c r="A48" s="14">
        <v>33</v>
      </c>
      <c r="B48" s="17" t="s">
        <v>99</v>
      </c>
      <c r="C48" s="12" t="s">
        <v>100</v>
      </c>
      <c r="D48" s="12" t="s">
        <v>345</v>
      </c>
      <c r="E48" s="6" t="s">
        <v>101</v>
      </c>
      <c r="F48" s="6" t="s">
        <v>101</v>
      </c>
      <c r="G48" s="6" t="s">
        <v>371</v>
      </c>
      <c r="H48" s="9" t="s">
        <v>102</v>
      </c>
      <c r="I48" s="5">
        <f t="shared" si="3"/>
        <v>2</v>
      </c>
      <c r="J48" s="3" t="str">
        <f t="shared" si="4"/>
        <v xml:space="preserve">    - xform/in/in/</v>
      </c>
      <c r="K48" s="3" t="str">
        <f t="shared" si="5"/>
        <v xml:space="preserve">    - xform/in/ㄧㄣ/</v>
      </c>
    </row>
    <row r="49" spans="1:11">
      <c r="A49" s="16">
        <v>17</v>
      </c>
      <c r="B49" s="17" t="s">
        <v>51</v>
      </c>
      <c r="C49" s="12" t="s">
        <v>52</v>
      </c>
      <c r="D49" s="12" t="s">
        <v>345</v>
      </c>
      <c r="E49" s="6" t="s">
        <v>53</v>
      </c>
      <c r="F49" s="6" t="s">
        <v>318</v>
      </c>
      <c r="G49" s="6" t="s">
        <v>360</v>
      </c>
      <c r="H49" s="9" t="s">
        <v>54</v>
      </c>
      <c r="I49" s="5">
        <f t="shared" si="3"/>
        <v>3</v>
      </c>
      <c r="J49" s="3" t="str">
        <f t="shared" si="4"/>
        <v xml:space="preserve">    - xform/ing/ing/</v>
      </c>
      <c r="K49" s="3" t="str">
        <f t="shared" si="5"/>
        <v xml:space="preserve">    - xform/ing/ㄧㄥ/</v>
      </c>
    </row>
    <row r="50" spans="1:11">
      <c r="A50" s="14">
        <v>67</v>
      </c>
      <c r="B50" s="17" t="s">
        <v>209</v>
      </c>
      <c r="C50" s="12" t="s">
        <v>210</v>
      </c>
      <c r="D50" s="12" t="s">
        <v>345</v>
      </c>
      <c r="E50" s="20" t="s">
        <v>211</v>
      </c>
      <c r="F50" s="20" t="s">
        <v>212</v>
      </c>
      <c r="G50" s="6" t="s">
        <v>213</v>
      </c>
      <c r="H50" s="9" t="s">
        <v>214</v>
      </c>
      <c r="I50" s="5">
        <f t="shared" si="3"/>
        <v>3</v>
      </c>
      <c r="J50" s="3" t="str">
        <f t="shared" si="4"/>
        <v xml:space="preserve">    - xform/inn/ni/</v>
      </c>
      <c r="K50" s="3" t="str">
        <f t="shared" si="5"/>
        <v xml:space="preserve">    - xform/inn/ㆪ/</v>
      </c>
    </row>
    <row r="51" spans="1:11">
      <c r="A51" s="16">
        <v>68</v>
      </c>
      <c r="B51" s="17" t="s">
        <v>209</v>
      </c>
      <c r="C51" s="12" t="s">
        <v>210</v>
      </c>
      <c r="D51" s="12" t="s">
        <v>345</v>
      </c>
      <c r="E51" s="20" t="s">
        <v>438</v>
      </c>
      <c r="F51" s="20" t="s">
        <v>460</v>
      </c>
      <c r="G51" s="6" t="s">
        <v>216</v>
      </c>
      <c r="H51" s="9" t="s">
        <v>217</v>
      </c>
      <c r="I51" s="5">
        <f t="shared" si="3"/>
        <v>4</v>
      </c>
      <c r="J51" s="3" t="str">
        <f t="shared" si="4"/>
        <v xml:space="preserve">    - xform/innh/nih/</v>
      </c>
      <c r="K51" s="3" t="str">
        <f t="shared" si="5"/>
        <v xml:space="preserve">    - xform/innh/ㆪㆷ/</v>
      </c>
    </row>
    <row r="52" spans="1:11">
      <c r="A52" s="14">
        <v>27</v>
      </c>
      <c r="B52" s="17" t="s">
        <v>80</v>
      </c>
      <c r="C52" s="12" t="s">
        <v>81</v>
      </c>
      <c r="D52" s="12" t="s">
        <v>345</v>
      </c>
      <c r="E52" s="6" t="s">
        <v>82</v>
      </c>
      <c r="F52" s="6" t="s">
        <v>82</v>
      </c>
      <c r="G52" s="6" t="s">
        <v>366</v>
      </c>
      <c r="H52" s="9" t="s">
        <v>83</v>
      </c>
      <c r="I52" s="5">
        <f t="shared" si="3"/>
        <v>4</v>
      </c>
      <c r="J52" s="3" t="str">
        <f t="shared" si="4"/>
        <v xml:space="preserve">    - xform/iong/iong/</v>
      </c>
      <c r="K52" s="3" t="str">
        <f t="shared" si="5"/>
        <v xml:space="preserve">    - xform/iong/ㄧㆲ/</v>
      </c>
    </row>
    <row r="53" spans="1:11">
      <c r="A53" s="16">
        <v>28</v>
      </c>
      <c r="B53" s="17" t="s">
        <v>80</v>
      </c>
      <c r="C53" s="12" t="s">
        <v>81</v>
      </c>
      <c r="D53" s="12" t="s">
        <v>347</v>
      </c>
      <c r="E53" s="18" t="s">
        <v>421</v>
      </c>
      <c r="F53" s="18" t="s">
        <v>422</v>
      </c>
      <c r="G53" s="6" t="s">
        <v>367</v>
      </c>
      <c r="H53" s="9" t="s">
        <v>86</v>
      </c>
      <c r="I53" s="5">
        <f t="shared" si="3"/>
        <v>4</v>
      </c>
      <c r="J53" s="3" t="str">
        <f t="shared" si="4"/>
        <v xml:space="preserve">    - xform/iook/iok/</v>
      </c>
      <c r="K53" s="3" t="str">
        <f t="shared" si="5"/>
        <v xml:space="preserve">    - xform/iook/ㄧㆦㆻ/</v>
      </c>
    </row>
    <row r="54" spans="1:11">
      <c r="A54" s="14">
        <v>69</v>
      </c>
      <c r="B54" s="17" t="s">
        <v>218</v>
      </c>
      <c r="C54" s="12" t="s">
        <v>219</v>
      </c>
      <c r="D54" s="12" t="s">
        <v>345</v>
      </c>
      <c r="E54" s="18" t="s">
        <v>439</v>
      </c>
      <c r="F54" s="18" t="s">
        <v>327</v>
      </c>
      <c r="G54" s="6" t="s">
        <v>398</v>
      </c>
      <c r="H54" s="9" t="s">
        <v>221</v>
      </c>
      <c r="I54" s="5">
        <f t="shared" si="3"/>
        <v>5</v>
      </c>
      <c r="J54" s="3" t="str">
        <f t="shared" si="4"/>
        <v xml:space="preserve">    - xform/ioonn/nio/</v>
      </c>
      <c r="K54" s="3" t="str">
        <f t="shared" si="5"/>
        <v xml:space="preserve">    - xform/ioonn/ㄧㆧ/</v>
      </c>
    </row>
    <row r="55" spans="1:11">
      <c r="A55" s="16">
        <v>65</v>
      </c>
      <c r="B55" s="17" t="s">
        <v>201</v>
      </c>
      <c r="C55" s="12" t="s">
        <v>202</v>
      </c>
      <c r="D55" s="12" t="s">
        <v>345</v>
      </c>
      <c r="E55" s="18" t="s">
        <v>434</v>
      </c>
      <c r="F55" s="18" t="s">
        <v>435</v>
      </c>
      <c r="G55" s="6" t="s">
        <v>396</v>
      </c>
      <c r="H55" s="9" t="s">
        <v>205</v>
      </c>
      <c r="I55" s="5">
        <f t="shared" si="3"/>
        <v>3</v>
      </c>
      <c r="J55" s="3" t="str">
        <f t="shared" si="4"/>
        <v xml:space="preserve">    - xform/ior/io/</v>
      </c>
      <c r="K55" s="3" t="str">
        <f t="shared" si="5"/>
        <v xml:space="preserve">    - xform/ior/ㄧㄜ/</v>
      </c>
    </row>
    <row r="56" spans="1:11">
      <c r="A56" s="14">
        <v>66</v>
      </c>
      <c r="B56" s="17" t="s">
        <v>201</v>
      </c>
      <c r="C56" s="12" t="s">
        <v>202</v>
      </c>
      <c r="D56" s="12" t="s">
        <v>347</v>
      </c>
      <c r="E56" s="18" t="s">
        <v>436</v>
      </c>
      <c r="F56" s="18" t="s">
        <v>437</v>
      </c>
      <c r="G56" s="6" t="s">
        <v>397</v>
      </c>
      <c r="H56" s="9" t="s">
        <v>208</v>
      </c>
      <c r="I56" s="5">
        <f t="shared" si="3"/>
        <v>4</v>
      </c>
      <c r="J56" s="3" t="str">
        <f t="shared" si="4"/>
        <v xml:space="preserve">    - xform/iorh/ioh/</v>
      </c>
      <c r="K56" s="3" t="str">
        <f t="shared" si="5"/>
        <v xml:space="preserve">    - xform/iorh/ㄧㄜㆷ/</v>
      </c>
    </row>
    <row r="57" spans="1:11">
      <c r="A57" s="16">
        <v>6</v>
      </c>
      <c r="B57" s="17" t="s">
        <v>12</v>
      </c>
      <c r="C57" s="12" t="s">
        <v>13</v>
      </c>
      <c r="D57" s="12" t="s">
        <v>347</v>
      </c>
      <c r="E57" s="6" t="s">
        <v>16</v>
      </c>
      <c r="F57" s="6" t="s">
        <v>16</v>
      </c>
      <c r="G57" s="6" t="s">
        <v>352</v>
      </c>
      <c r="H57" s="9" t="s">
        <v>17</v>
      </c>
      <c r="I57" s="5">
        <f t="shared" si="3"/>
        <v>2</v>
      </c>
      <c r="J57" s="3" t="str">
        <f t="shared" si="4"/>
        <v xml:space="preserve">    - xform/ip/ip/</v>
      </c>
      <c r="K57" s="3" t="str">
        <f t="shared" si="5"/>
        <v xml:space="preserve">    - xform/ip/一ㆴ/</v>
      </c>
    </row>
    <row r="58" spans="1:11">
      <c r="A58" s="14">
        <v>34</v>
      </c>
      <c r="B58" s="17" t="s">
        <v>99</v>
      </c>
      <c r="C58" s="12" t="s">
        <v>100</v>
      </c>
      <c r="D58" s="12" t="s">
        <v>347</v>
      </c>
      <c r="E58" s="6" t="s">
        <v>103</v>
      </c>
      <c r="F58" s="6" t="s">
        <v>103</v>
      </c>
      <c r="G58" s="6" t="s">
        <v>372</v>
      </c>
      <c r="H58" s="9" t="s">
        <v>104</v>
      </c>
      <c r="I58" s="5">
        <f t="shared" si="3"/>
        <v>2</v>
      </c>
      <c r="J58" s="3" t="str">
        <f t="shared" si="4"/>
        <v xml:space="preserve">    - xform/it/it/</v>
      </c>
      <c r="K58" s="3" t="str">
        <f t="shared" si="5"/>
        <v xml:space="preserve">    - xform/it/ㄧㆵ/</v>
      </c>
    </row>
    <row r="59" spans="1:11">
      <c r="A59" s="16">
        <v>59</v>
      </c>
      <c r="B59" s="17" t="s">
        <v>182</v>
      </c>
      <c r="C59" s="12" t="s">
        <v>183</v>
      </c>
      <c r="D59" s="12" t="s">
        <v>345</v>
      </c>
      <c r="E59" s="6" t="s">
        <v>184</v>
      </c>
      <c r="F59" s="6" t="s">
        <v>184</v>
      </c>
      <c r="G59" s="6" t="s">
        <v>394</v>
      </c>
      <c r="H59" s="9" t="s">
        <v>185</v>
      </c>
      <c r="I59" s="5">
        <f t="shared" si="3"/>
        <v>2</v>
      </c>
      <c r="J59" s="3" t="str">
        <f t="shared" si="4"/>
        <v xml:space="preserve">    - xform/iu/iu/</v>
      </c>
      <c r="K59" s="3" t="str">
        <f t="shared" si="5"/>
        <v xml:space="preserve">    - xform/iu/ㄧㄨ/</v>
      </c>
    </row>
    <row r="60" spans="1:11">
      <c r="A60" s="14">
        <v>60</v>
      </c>
      <c r="B60" s="17" t="s">
        <v>182</v>
      </c>
      <c r="C60" s="12" t="s">
        <v>183</v>
      </c>
      <c r="D60" s="12" t="s">
        <v>345</v>
      </c>
      <c r="E60" s="6" t="s">
        <v>431</v>
      </c>
      <c r="F60" s="6" t="s">
        <v>324</v>
      </c>
      <c r="G60" s="6" t="s">
        <v>186</v>
      </c>
      <c r="H60" s="9"/>
      <c r="I60" s="5">
        <f t="shared" si="3"/>
        <v>3</v>
      </c>
      <c r="J60" s="3" t="str">
        <f t="shared" si="4"/>
        <v xml:space="preserve">    - xform/iuh/iuh/</v>
      </c>
      <c r="K60" s="3" t="str">
        <f t="shared" si="5"/>
        <v xml:space="preserve">    - xform/iuh/ㄧㄨㆷ/</v>
      </c>
    </row>
    <row r="61" spans="1:11">
      <c r="A61" s="16">
        <v>99</v>
      </c>
      <c r="B61" s="17" t="s">
        <v>308</v>
      </c>
      <c r="C61" s="12" t="s">
        <v>309</v>
      </c>
      <c r="D61" s="12" t="s">
        <v>345</v>
      </c>
      <c r="E61" s="20" t="s">
        <v>310</v>
      </c>
      <c r="F61" s="20" t="s">
        <v>311</v>
      </c>
      <c r="G61" s="6" t="s">
        <v>408</v>
      </c>
      <c r="H61" s="9" t="s">
        <v>312</v>
      </c>
      <c r="I61" s="5">
        <f t="shared" si="3"/>
        <v>4</v>
      </c>
      <c r="J61" s="3" t="str">
        <f t="shared" si="4"/>
        <v xml:space="preserve">    - xform/iunn/niu/</v>
      </c>
      <c r="K61" s="3" t="str">
        <f t="shared" si="5"/>
        <v xml:space="preserve">    - xform/iunn/ㄧㆫ/</v>
      </c>
    </row>
    <row r="62" spans="1:11">
      <c r="A62" s="14">
        <v>83</v>
      </c>
      <c r="B62" s="17" t="s">
        <v>258</v>
      </c>
      <c r="C62" s="12" t="s">
        <v>259</v>
      </c>
      <c r="D62" s="12" t="s">
        <v>345</v>
      </c>
      <c r="E62" s="6" t="s">
        <v>260</v>
      </c>
      <c r="F62" s="6" t="s">
        <v>260</v>
      </c>
      <c r="G62" s="6" t="s">
        <v>261</v>
      </c>
      <c r="H62" s="9" t="s">
        <v>259</v>
      </c>
      <c r="I62" s="5">
        <f t="shared" si="3"/>
        <v>1</v>
      </c>
      <c r="J62" s="3" t="str">
        <f t="shared" si="4"/>
        <v xml:space="preserve">    - xform/m/m/</v>
      </c>
      <c r="K62" s="3" t="str">
        <f t="shared" si="5"/>
        <v xml:space="preserve">    - xform/m/ㆬ/</v>
      </c>
    </row>
    <row r="63" spans="1:11">
      <c r="A63" s="16">
        <v>84</v>
      </c>
      <c r="B63" s="17" t="s">
        <v>258</v>
      </c>
      <c r="C63" s="12" t="s">
        <v>259</v>
      </c>
      <c r="D63" s="12" t="s">
        <v>345</v>
      </c>
      <c r="E63" s="6" t="s">
        <v>447</v>
      </c>
      <c r="F63" s="6" t="s">
        <v>447</v>
      </c>
      <c r="G63" s="6"/>
      <c r="H63" s="9"/>
      <c r="I63" s="5">
        <f t="shared" si="3"/>
        <v>2</v>
      </c>
      <c r="J63" s="3" t="str">
        <f t="shared" si="4"/>
        <v xml:space="preserve">    - xform/mh/mh/</v>
      </c>
      <c r="K63" s="3" t="str">
        <f t="shared" si="5"/>
        <v/>
      </c>
    </row>
    <row r="64" spans="1:11">
      <c r="A64" s="14">
        <v>75</v>
      </c>
      <c r="B64" s="17" t="s">
        <v>235</v>
      </c>
      <c r="C64" s="12" t="s">
        <v>236</v>
      </c>
      <c r="D64" s="12" t="s">
        <v>345</v>
      </c>
      <c r="E64" s="6" t="s">
        <v>237</v>
      </c>
      <c r="F64" s="6" t="s">
        <v>237</v>
      </c>
      <c r="G64" s="6" t="s">
        <v>238</v>
      </c>
      <c r="H64" s="9" t="s">
        <v>239</v>
      </c>
      <c r="I64" s="5">
        <f t="shared" si="3"/>
        <v>2</v>
      </c>
      <c r="J64" s="3" t="str">
        <f t="shared" si="4"/>
        <v xml:space="preserve">    - xform/ng/ng/</v>
      </c>
      <c r="K64" s="3" t="str">
        <f t="shared" si="5"/>
        <v xml:space="preserve">    - xform/ng/ㆭ/</v>
      </c>
    </row>
    <row r="65" spans="1:11">
      <c r="A65" s="16">
        <v>76</v>
      </c>
      <c r="B65" s="17" t="s">
        <v>235</v>
      </c>
      <c r="C65" s="12" t="s">
        <v>236</v>
      </c>
      <c r="D65" s="12" t="s">
        <v>345</v>
      </c>
      <c r="E65" s="6" t="s">
        <v>440</v>
      </c>
      <c r="F65" s="6" t="s">
        <v>331</v>
      </c>
      <c r="G65" s="6" t="s">
        <v>240</v>
      </c>
      <c r="H65" s="9"/>
      <c r="I65" s="5">
        <f t="shared" si="3"/>
        <v>3</v>
      </c>
      <c r="J65" s="3" t="str">
        <f t="shared" si="4"/>
        <v xml:space="preserve">    - xform/ngh/ngh/</v>
      </c>
      <c r="K65" s="3" t="str">
        <f t="shared" si="5"/>
        <v xml:space="preserve">    - xform/ngh/ㆭㆷ/</v>
      </c>
    </row>
    <row r="66" spans="1:11">
      <c r="A66" s="14">
        <v>14</v>
      </c>
      <c r="B66" s="17" t="s">
        <v>37</v>
      </c>
      <c r="C66" s="12" t="s">
        <v>38</v>
      </c>
      <c r="D66" s="12" t="s">
        <v>347</v>
      </c>
      <c r="E66" s="6" t="s">
        <v>42</v>
      </c>
      <c r="F66" s="6" t="s">
        <v>42</v>
      </c>
      <c r="G66" s="6" t="s">
        <v>43</v>
      </c>
      <c r="H66" s="9" t="s">
        <v>44</v>
      </c>
      <c r="I66" s="5">
        <f t="shared" ref="I66:I101" si="6">LEN(E66)</f>
        <v>2</v>
      </c>
      <c r="J66" s="3" t="str">
        <f t="shared" ref="J66:J101" si="7" xml:space="preserve"> IF(OR($E66="", $F66=""), "",  _xlfn.CONCAT("    - xform/",$E66,"/",F66,"/"))</f>
        <v xml:space="preserve">    - xform/ok/ok/</v>
      </c>
      <c r="K66" s="3" t="str">
        <f t="shared" ref="K66:K101" si="8" xml:space="preserve"> IF(OR($E66="", $G66=""), "",  _xlfn.CONCAT("    - xform/",$E66,"/",G66,"/"))</f>
        <v xml:space="preserve">    - xform/ok/ㆦㆻ/</v>
      </c>
    </row>
    <row r="67" spans="1:11">
      <c r="A67" s="16">
        <v>13</v>
      </c>
      <c r="B67" s="17" t="s">
        <v>37</v>
      </c>
      <c r="C67" s="12" t="s">
        <v>38</v>
      </c>
      <c r="D67" s="12" t="s">
        <v>345</v>
      </c>
      <c r="E67" s="6" t="s">
        <v>39</v>
      </c>
      <c r="F67" s="6" t="s">
        <v>39</v>
      </c>
      <c r="G67" s="6" t="s">
        <v>40</v>
      </c>
      <c r="H67" s="9" t="s">
        <v>41</v>
      </c>
      <c r="I67" s="5">
        <f t="shared" si="6"/>
        <v>3</v>
      </c>
      <c r="J67" s="3" t="str">
        <f t="shared" si="7"/>
        <v xml:space="preserve">    - xform/ong/ong/</v>
      </c>
      <c r="K67" s="3" t="str">
        <f t="shared" si="8"/>
        <v xml:space="preserve">    - xform/ong/ㆲ/</v>
      </c>
    </row>
    <row r="68" spans="1:11">
      <c r="A68" s="14">
        <v>21</v>
      </c>
      <c r="B68" s="17" t="s">
        <v>63</v>
      </c>
      <c r="C68" s="12" t="s">
        <v>64</v>
      </c>
      <c r="D68" s="12" t="s">
        <v>345</v>
      </c>
      <c r="E68" s="6" t="s">
        <v>65</v>
      </c>
      <c r="F68" s="6" t="s">
        <v>65</v>
      </c>
      <c r="G68" s="6" t="s">
        <v>66</v>
      </c>
      <c r="H68" s="9" t="s">
        <v>67</v>
      </c>
      <c r="I68" s="5">
        <f t="shared" si="6"/>
        <v>2</v>
      </c>
      <c r="J68" s="3" t="str">
        <f t="shared" si="7"/>
        <v xml:space="preserve">    - xform/oo/oo/</v>
      </c>
      <c r="K68" s="3" t="str">
        <f t="shared" si="8"/>
        <v xml:space="preserve">    - xform/oo/ㆦ/</v>
      </c>
    </row>
    <row r="69" spans="1:11">
      <c r="A69" s="16">
        <v>22</v>
      </c>
      <c r="B69" s="17" t="s">
        <v>63</v>
      </c>
      <c r="C69" s="12" t="s">
        <v>64</v>
      </c>
      <c r="D69" s="12" t="s">
        <v>345</v>
      </c>
      <c r="E69" s="6" t="s">
        <v>65</v>
      </c>
      <c r="F69" s="6" t="s">
        <v>319</v>
      </c>
      <c r="G69" s="6" t="s">
        <v>320</v>
      </c>
      <c r="H69" s="9"/>
      <c r="I69" s="5">
        <f t="shared" si="6"/>
        <v>2</v>
      </c>
      <c r="J69" s="3" t="str">
        <f t="shared" si="7"/>
        <v xml:space="preserve">    - xform/oo/ooh/</v>
      </c>
      <c r="K69" s="3" t="str">
        <f t="shared" si="8"/>
        <v xml:space="preserve">    - xform/oo/ㆦㆷ/</v>
      </c>
    </row>
    <row r="70" spans="1:11">
      <c r="A70" s="14">
        <v>93</v>
      </c>
      <c r="B70" s="17" t="s">
        <v>288</v>
      </c>
      <c r="C70" s="12" t="s">
        <v>289</v>
      </c>
      <c r="D70" s="12" t="s">
        <v>345</v>
      </c>
      <c r="E70" s="18" t="s">
        <v>452</v>
      </c>
      <c r="F70" s="19" t="s">
        <v>454</v>
      </c>
      <c r="G70" s="6" t="s">
        <v>291</v>
      </c>
      <c r="H70" s="9" t="s">
        <v>292</v>
      </c>
      <c r="I70" s="5">
        <f t="shared" si="6"/>
        <v>3</v>
      </c>
      <c r="J70" s="3" t="str">
        <f t="shared" si="7"/>
        <v xml:space="preserve">    - xform/oom/om/</v>
      </c>
      <c r="K70" s="3" t="str">
        <f t="shared" si="8"/>
        <v xml:space="preserve">    - xform/oom/ㆱ/</v>
      </c>
    </row>
    <row r="71" spans="1:11">
      <c r="A71" s="16">
        <v>81</v>
      </c>
      <c r="B71" s="17" t="s">
        <v>252</v>
      </c>
      <c r="C71" s="12" t="s">
        <v>253</v>
      </c>
      <c r="D71" s="12" t="s">
        <v>345</v>
      </c>
      <c r="E71" s="18" t="s">
        <v>443</v>
      </c>
      <c r="F71" s="18" t="s">
        <v>444</v>
      </c>
      <c r="G71" s="6" t="s">
        <v>256</v>
      </c>
      <c r="H71" s="9" t="s">
        <v>257</v>
      </c>
      <c r="I71" s="5">
        <f t="shared" si="6"/>
        <v>4</v>
      </c>
      <c r="J71" s="3" t="str">
        <f t="shared" si="7"/>
        <v xml:space="preserve">    - xform/oonn/noo/</v>
      </c>
      <c r="K71" s="3" t="str">
        <f t="shared" si="8"/>
        <v xml:space="preserve">    - xform/oonn/ㆧ/</v>
      </c>
    </row>
    <row r="72" spans="1:11">
      <c r="A72" s="14">
        <v>82</v>
      </c>
      <c r="B72" s="17" t="s">
        <v>252</v>
      </c>
      <c r="C72" s="12" t="s">
        <v>253</v>
      </c>
      <c r="D72" s="12" t="s">
        <v>345</v>
      </c>
      <c r="E72" s="18" t="s">
        <v>445</v>
      </c>
      <c r="F72" s="18" t="s">
        <v>446</v>
      </c>
      <c r="G72" s="6"/>
      <c r="H72" s="9"/>
      <c r="I72" s="5">
        <f t="shared" si="6"/>
        <v>5</v>
      </c>
      <c r="J72" s="3" t="str">
        <f t="shared" si="7"/>
        <v xml:space="preserve">    - xform/oonnh/nooh/</v>
      </c>
      <c r="K72" s="3" t="str">
        <f t="shared" si="8"/>
        <v/>
      </c>
    </row>
    <row r="73" spans="1:11">
      <c r="A73" s="16">
        <v>94</v>
      </c>
      <c r="B73" s="17" t="s">
        <v>288</v>
      </c>
      <c r="C73" s="12" t="s">
        <v>289</v>
      </c>
      <c r="D73" s="12" t="s">
        <v>347</v>
      </c>
      <c r="E73" s="18" t="s">
        <v>453</v>
      </c>
      <c r="F73" s="19" t="s">
        <v>455</v>
      </c>
      <c r="G73" s="6" t="s">
        <v>294</v>
      </c>
      <c r="H73" s="9" t="s">
        <v>295</v>
      </c>
      <c r="I73" s="5">
        <f t="shared" si="6"/>
        <v>3</v>
      </c>
      <c r="J73" s="3" t="str">
        <f t="shared" si="7"/>
        <v xml:space="preserve">    - xform/oop/op/</v>
      </c>
      <c r="K73" s="3" t="str">
        <f t="shared" si="8"/>
        <v xml:space="preserve">    - xform/oop/ㆦㆴ/</v>
      </c>
    </row>
    <row r="74" spans="1:11">
      <c r="A74" s="14">
        <v>29</v>
      </c>
      <c r="B74" s="17" t="s">
        <v>87</v>
      </c>
      <c r="C74" s="12" t="s">
        <v>88</v>
      </c>
      <c r="D74" s="12" t="s">
        <v>345</v>
      </c>
      <c r="E74" s="18" t="s">
        <v>423</v>
      </c>
      <c r="F74" s="18" t="s">
        <v>424</v>
      </c>
      <c r="G74" s="6" t="s">
        <v>368</v>
      </c>
      <c r="H74" s="9" t="s">
        <v>91</v>
      </c>
      <c r="I74" s="5">
        <f t="shared" si="6"/>
        <v>2</v>
      </c>
      <c r="J74" s="3" t="str">
        <f t="shared" si="7"/>
        <v xml:space="preserve">    - xform/or/o/</v>
      </c>
      <c r="K74" s="3" t="str">
        <f t="shared" si="8"/>
        <v xml:space="preserve">    - xform/or/ㄜ/</v>
      </c>
    </row>
    <row r="75" spans="1:11">
      <c r="A75" s="16">
        <v>30</v>
      </c>
      <c r="B75" s="17" t="s">
        <v>87</v>
      </c>
      <c r="C75" s="12" t="s">
        <v>88</v>
      </c>
      <c r="D75" s="12" t="s">
        <v>345</v>
      </c>
      <c r="E75" s="18" t="s">
        <v>426</v>
      </c>
      <c r="F75" s="18" t="s">
        <v>425</v>
      </c>
      <c r="G75" s="6" t="s">
        <v>369</v>
      </c>
      <c r="H75" s="9" t="s">
        <v>93</v>
      </c>
      <c r="I75" s="5">
        <f t="shared" si="6"/>
        <v>3</v>
      </c>
      <c r="J75" s="3" t="str">
        <f t="shared" si="7"/>
        <v xml:space="preserve">    - xform/orh/oh/</v>
      </c>
      <c r="K75" s="3" t="str">
        <f t="shared" si="8"/>
        <v xml:space="preserve">    - xform/orh/ㄜㆷ/</v>
      </c>
    </row>
    <row r="76" spans="1:11">
      <c r="A76" s="14">
        <v>53</v>
      </c>
      <c r="B76" s="17" t="s">
        <v>165</v>
      </c>
      <c r="C76" s="12" t="s">
        <v>166</v>
      </c>
      <c r="D76" s="12" t="s">
        <v>345</v>
      </c>
      <c r="E76" s="6" t="s">
        <v>167</v>
      </c>
      <c r="F76" s="6" t="s">
        <v>167</v>
      </c>
      <c r="G76" s="6" t="s">
        <v>388</v>
      </c>
      <c r="H76" s="9" t="s">
        <v>168</v>
      </c>
      <c r="I76" s="5">
        <f t="shared" si="6"/>
        <v>1</v>
      </c>
      <c r="J76" s="3" t="str">
        <f t="shared" si="7"/>
        <v xml:space="preserve">    - xform/u/u/</v>
      </c>
      <c r="K76" s="3" t="str">
        <f t="shared" si="8"/>
        <v xml:space="preserve">    - xform/u/ㄨ/</v>
      </c>
    </row>
    <row r="77" spans="1:11">
      <c r="A77" s="16">
        <v>39</v>
      </c>
      <c r="B77" s="17" t="s">
        <v>118</v>
      </c>
      <c r="C77" s="12" t="s">
        <v>119</v>
      </c>
      <c r="D77" s="12" t="s">
        <v>345</v>
      </c>
      <c r="E77" s="6" t="s">
        <v>120</v>
      </c>
      <c r="F77" s="6" t="s">
        <v>120</v>
      </c>
      <c r="G77" s="6" t="s">
        <v>376</v>
      </c>
      <c r="H77" s="9" t="s">
        <v>121</v>
      </c>
      <c r="I77" s="5">
        <f t="shared" si="6"/>
        <v>2</v>
      </c>
      <c r="J77" s="3" t="str">
        <f t="shared" si="7"/>
        <v xml:space="preserve">    - xform/ua/ua/</v>
      </c>
      <c r="K77" s="3" t="str">
        <f t="shared" si="8"/>
        <v xml:space="preserve">    - xform/ua/ㄨㄚ/</v>
      </c>
    </row>
    <row r="78" spans="1:11">
      <c r="A78" s="14">
        <v>40</v>
      </c>
      <c r="B78" s="17" t="s">
        <v>118</v>
      </c>
      <c r="C78" s="12" t="s">
        <v>119</v>
      </c>
      <c r="D78" s="12" t="s">
        <v>347</v>
      </c>
      <c r="E78" s="6" t="s">
        <v>50</v>
      </c>
      <c r="F78" s="6" t="s">
        <v>50</v>
      </c>
      <c r="G78" s="6" t="s">
        <v>377</v>
      </c>
      <c r="H78" s="9" t="s">
        <v>122</v>
      </c>
      <c r="I78" s="5">
        <f t="shared" si="6"/>
        <v>3</v>
      </c>
      <c r="J78" s="3" t="str">
        <f t="shared" si="7"/>
        <v xml:space="preserve">    - xform/uah/uah/</v>
      </c>
      <c r="K78" s="3" t="str">
        <f t="shared" si="8"/>
        <v xml:space="preserve">    - xform/uah/ㄨㄚㆷ/</v>
      </c>
    </row>
    <row r="79" spans="1:11">
      <c r="A79" s="16">
        <v>15</v>
      </c>
      <c r="B79" s="17" t="s">
        <v>45</v>
      </c>
      <c r="C79" s="12" t="s">
        <v>46</v>
      </c>
      <c r="D79" s="12" t="s">
        <v>345</v>
      </c>
      <c r="E79" s="6" t="s">
        <v>47</v>
      </c>
      <c r="F79" s="6" t="s">
        <v>47</v>
      </c>
      <c r="G79" s="6" t="s">
        <v>358</v>
      </c>
      <c r="H79" s="9" t="s">
        <v>48</v>
      </c>
      <c r="I79" s="5">
        <f t="shared" si="6"/>
        <v>3</v>
      </c>
      <c r="J79" s="3" t="str">
        <f t="shared" si="7"/>
        <v xml:space="preserve">    - xform/uai/uai/</v>
      </c>
      <c r="K79" s="3" t="str">
        <f t="shared" si="8"/>
        <v xml:space="preserve">    - xform/uai/ㄨㄞ/</v>
      </c>
    </row>
    <row r="80" spans="1:11">
      <c r="A80" s="14">
        <v>16</v>
      </c>
      <c r="B80" s="17" t="s">
        <v>45</v>
      </c>
      <c r="C80" s="12" t="s">
        <v>46</v>
      </c>
      <c r="D80" s="12" t="s">
        <v>347</v>
      </c>
      <c r="E80" s="6" t="s">
        <v>49</v>
      </c>
      <c r="F80" s="6" t="s">
        <v>317</v>
      </c>
      <c r="G80" s="6" t="s">
        <v>359</v>
      </c>
      <c r="H80" s="9" t="s">
        <v>337</v>
      </c>
      <c r="I80" s="5">
        <f t="shared" si="6"/>
        <v>4</v>
      </c>
      <c r="J80" s="3" t="str">
        <f t="shared" si="7"/>
        <v xml:space="preserve">    - xform/uaih/uah/</v>
      </c>
      <c r="K80" s="3" t="str">
        <f t="shared" si="8"/>
        <v xml:space="preserve">    - xform/uaih/ㄨㄞㆷ/</v>
      </c>
    </row>
    <row r="81" spans="1:11">
      <c r="A81" s="16">
        <v>87</v>
      </c>
      <c r="B81" s="17" t="s">
        <v>268</v>
      </c>
      <c r="C81" s="12" t="s">
        <v>269</v>
      </c>
      <c r="D81" s="12" t="s">
        <v>345</v>
      </c>
      <c r="E81" s="20" t="s">
        <v>270</v>
      </c>
      <c r="F81" s="20" t="s">
        <v>271</v>
      </c>
      <c r="G81" s="6" t="s">
        <v>403</v>
      </c>
      <c r="H81" s="9" t="s">
        <v>272</v>
      </c>
      <c r="I81" s="5">
        <f t="shared" si="6"/>
        <v>5</v>
      </c>
      <c r="J81" s="3" t="str">
        <f t="shared" si="7"/>
        <v xml:space="preserve">    - xform/uainn/nuai/</v>
      </c>
      <c r="K81" s="3" t="str">
        <f t="shared" si="8"/>
        <v xml:space="preserve">    - xform/uainn/ㄨㆮ/</v>
      </c>
    </row>
    <row r="82" spans="1:11">
      <c r="A82" s="14">
        <v>88</v>
      </c>
      <c r="B82" s="17" t="s">
        <v>268</v>
      </c>
      <c r="C82" s="12" t="s">
        <v>269</v>
      </c>
      <c r="D82" s="12" t="s">
        <v>347</v>
      </c>
      <c r="E82" s="20" t="s">
        <v>273</v>
      </c>
      <c r="F82" s="20" t="s">
        <v>274</v>
      </c>
      <c r="G82" s="6" t="s">
        <v>404</v>
      </c>
      <c r="H82" s="9" t="s">
        <v>275</v>
      </c>
      <c r="I82" s="5">
        <f t="shared" si="6"/>
        <v>6</v>
      </c>
      <c r="J82" s="3" t="str">
        <f t="shared" si="7"/>
        <v xml:space="preserve">    - xform/uainnh/nuaih/</v>
      </c>
      <c r="K82" s="3" t="str">
        <f t="shared" si="8"/>
        <v xml:space="preserve">    - xform/uainnh/ㄨㆮㆷ/</v>
      </c>
    </row>
    <row r="83" spans="1:11">
      <c r="A83" s="16">
        <v>86</v>
      </c>
      <c r="B83" s="17" t="s">
        <v>262</v>
      </c>
      <c r="C83" s="12" t="s">
        <v>263</v>
      </c>
      <c r="D83" s="12" t="s">
        <v>347</v>
      </c>
      <c r="E83" s="6" t="s">
        <v>266</v>
      </c>
      <c r="F83" s="6" t="s">
        <v>266</v>
      </c>
      <c r="G83" s="6" t="s">
        <v>402</v>
      </c>
      <c r="H83" s="9" t="s">
        <v>267</v>
      </c>
      <c r="I83" s="5">
        <f t="shared" si="6"/>
        <v>3</v>
      </c>
      <c r="J83" s="3" t="str">
        <f t="shared" si="7"/>
        <v xml:space="preserve">    - xform/uak/uak/</v>
      </c>
      <c r="K83" s="3" t="str">
        <f t="shared" si="8"/>
        <v xml:space="preserve">    - xform/uak/ㄨㄚㆻ/</v>
      </c>
    </row>
    <row r="84" spans="1:11">
      <c r="A84" s="14">
        <v>19</v>
      </c>
      <c r="B84" s="17" t="s">
        <v>57</v>
      </c>
      <c r="C84" s="12" t="s">
        <v>58</v>
      </c>
      <c r="D84" s="12" t="s">
        <v>345</v>
      </c>
      <c r="E84" s="6" t="s">
        <v>59</v>
      </c>
      <c r="F84" s="6" t="s">
        <v>59</v>
      </c>
      <c r="G84" s="6" t="s">
        <v>362</v>
      </c>
      <c r="H84" s="9" t="s">
        <v>60</v>
      </c>
      <c r="I84" s="5">
        <f t="shared" si="6"/>
        <v>3</v>
      </c>
      <c r="J84" s="3" t="str">
        <f t="shared" si="7"/>
        <v xml:space="preserve">    - xform/uan/uan/</v>
      </c>
      <c r="K84" s="3" t="str">
        <f t="shared" si="8"/>
        <v xml:space="preserve">    - xform/uan/ㄨㄢ/</v>
      </c>
    </row>
    <row r="85" spans="1:11">
      <c r="A85" s="16">
        <v>20</v>
      </c>
      <c r="B85" s="17" t="s">
        <v>57</v>
      </c>
      <c r="C85" s="12" t="s">
        <v>58</v>
      </c>
      <c r="D85" s="12" t="s">
        <v>345</v>
      </c>
      <c r="E85" s="6" t="s">
        <v>59</v>
      </c>
      <c r="F85" s="6" t="s">
        <v>61</v>
      </c>
      <c r="G85" s="6" t="s">
        <v>363</v>
      </c>
      <c r="H85" s="9" t="s">
        <v>62</v>
      </c>
      <c r="I85" s="5">
        <f t="shared" si="6"/>
        <v>3</v>
      </c>
      <c r="J85" s="3" t="str">
        <f t="shared" si="7"/>
        <v xml:space="preserve">    - xform/uan/uat/</v>
      </c>
      <c r="K85" s="3" t="str">
        <f t="shared" si="8"/>
        <v xml:space="preserve">    - xform/uan/ㄨㄚㆵ/</v>
      </c>
    </row>
    <row r="86" spans="1:11">
      <c r="A86" s="14">
        <v>85</v>
      </c>
      <c r="B86" s="17" t="s">
        <v>262</v>
      </c>
      <c r="C86" s="12" t="s">
        <v>263</v>
      </c>
      <c r="D86" s="12" t="s">
        <v>345</v>
      </c>
      <c r="E86" s="6" t="s">
        <v>264</v>
      </c>
      <c r="F86" s="6" t="s">
        <v>264</v>
      </c>
      <c r="G86" s="6" t="s">
        <v>401</v>
      </c>
      <c r="H86" s="9" t="s">
        <v>265</v>
      </c>
      <c r="I86" s="5">
        <f t="shared" si="6"/>
        <v>4</v>
      </c>
      <c r="J86" s="3" t="str">
        <f t="shared" si="7"/>
        <v xml:space="preserve">    - xform/uang/uang/</v>
      </c>
      <c r="K86" s="3" t="str">
        <f t="shared" si="8"/>
        <v xml:space="preserve">    - xform/uang/ㄨㄤ/</v>
      </c>
    </row>
    <row r="87" spans="1:11">
      <c r="A87" s="16">
        <v>73</v>
      </c>
      <c r="B87" s="17" t="s">
        <v>229</v>
      </c>
      <c r="C87" s="12" t="s">
        <v>230</v>
      </c>
      <c r="D87" s="12" t="s">
        <v>345</v>
      </c>
      <c r="E87" s="20" t="s">
        <v>231</v>
      </c>
      <c r="F87" s="20" t="s">
        <v>232</v>
      </c>
      <c r="G87" s="6" t="s">
        <v>400</v>
      </c>
      <c r="H87" s="9" t="s">
        <v>233</v>
      </c>
      <c r="I87" s="5">
        <f t="shared" si="6"/>
        <v>4</v>
      </c>
      <c r="J87" s="3" t="str">
        <f t="shared" si="7"/>
        <v xml:space="preserve">    - xform/uann/nua/</v>
      </c>
      <c r="K87" s="3" t="str">
        <f t="shared" si="8"/>
        <v xml:space="preserve">    - xform/uann/ㄨㆩ/</v>
      </c>
    </row>
    <row r="88" spans="1:11">
      <c r="A88" s="14">
        <v>74</v>
      </c>
      <c r="B88" s="17" t="s">
        <v>229</v>
      </c>
      <c r="C88" s="12" t="s">
        <v>230</v>
      </c>
      <c r="D88" s="12" t="s">
        <v>345</v>
      </c>
      <c r="E88" s="20" t="s">
        <v>458</v>
      </c>
      <c r="F88" s="20" t="s">
        <v>330</v>
      </c>
      <c r="G88" s="6" t="s">
        <v>234</v>
      </c>
      <c r="H88" s="9"/>
      <c r="I88" s="5">
        <f t="shared" si="6"/>
        <v>5</v>
      </c>
      <c r="J88" s="3" t="str">
        <f t="shared" si="7"/>
        <v xml:space="preserve">    - xform/uannh/nuah/</v>
      </c>
      <c r="K88" s="3" t="str">
        <f t="shared" si="8"/>
        <v xml:space="preserve">    - xform/uannh/ㄨㆩㆷ/</v>
      </c>
    </row>
    <row r="89" spans="1:11">
      <c r="A89" s="16">
        <v>49</v>
      </c>
      <c r="B89" s="17" t="s">
        <v>149</v>
      </c>
      <c r="C89" s="12" t="s">
        <v>150</v>
      </c>
      <c r="D89" s="12" t="s">
        <v>345</v>
      </c>
      <c r="E89" s="6" t="s">
        <v>151</v>
      </c>
      <c r="F89" s="6" t="s">
        <v>151</v>
      </c>
      <c r="G89" s="6" t="s">
        <v>386</v>
      </c>
      <c r="H89" s="9" t="s">
        <v>152</v>
      </c>
      <c r="I89" s="5">
        <f t="shared" si="6"/>
        <v>2</v>
      </c>
      <c r="J89" s="3" t="str">
        <f t="shared" si="7"/>
        <v xml:space="preserve">    - xform/ue/ue/</v>
      </c>
      <c r="K89" s="3" t="str">
        <f t="shared" si="8"/>
        <v xml:space="preserve">    - xform/ue/ㄨㆤ/</v>
      </c>
    </row>
    <row r="90" spans="1:11">
      <c r="A90" s="14">
        <v>50</v>
      </c>
      <c r="B90" s="17" t="s">
        <v>149</v>
      </c>
      <c r="C90" s="12" t="s">
        <v>150</v>
      </c>
      <c r="D90" s="12" t="s">
        <v>347</v>
      </c>
      <c r="E90" s="6" t="s">
        <v>153</v>
      </c>
      <c r="F90" s="6" t="s">
        <v>153</v>
      </c>
      <c r="G90" s="6" t="s">
        <v>387</v>
      </c>
      <c r="H90" s="9" t="s">
        <v>154</v>
      </c>
      <c r="I90" s="5">
        <f t="shared" si="6"/>
        <v>3</v>
      </c>
      <c r="J90" s="3" t="str">
        <f t="shared" si="7"/>
        <v xml:space="preserve">    - xform/ueh/ueh/</v>
      </c>
      <c r="K90" s="3" t="str">
        <f t="shared" si="8"/>
        <v xml:space="preserve">    - xform/ueh/ㄨㆤㆷ/</v>
      </c>
    </row>
    <row r="91" spans="1:11">
      <c r="A91" s="16">
        <v>89</v>
      </c>
      <c r="B91" s="17" t="s">
        <v>276</v>
      </c>
      <c r="C91" s="12" t="s">
        <v>277</v>
      </c>
      <c r="D91" s="12" t="s">
        <v>345</v>
      </c>
      <c r="E91" s="20" t="s">
        <v>278</v>
      </c>
      <c r="F91" s="20" t="s">
        <v>279</v>
      </c>
      <c r="G91" s="6" t="s">
        <v>405</v>
      </c>
      <c r="H91" s="9" t="s">
        <v>337</v>
      </c>
      <c r="I91" s="5">
        <f t="shared" si="6"/>
        <v>4</v>
      </c>
      <c r="J91" s="3" t="str">
        <f t="shared" si="7"/>
        <v xml:space="preserve">    - xform/uenn/nue/</v>
      </c>
      <c r="K91" s="3" t="str">
        <f t="shared" si="8"/>
        <v xml:space="preserve">    - xform/uenn/ㄨㆥ/</v>
      </c>
    </row>
    <row r="92" spans="1:11">
      <c r="A92" s="14">
        <v>54</v>
      </c>
      <c r="B92" s="17" t="s">
        <v>165</v>
      </c>
      <c r="C92" s="12" t="s">
        <v>166</v>
      </c>
      <c r="D92" s="12" t="s">
        <v>347</v>
      </c>
      <c r="E92" s="6" t="s">
        <v>23</v>
      </c>
      <c r="F92" s="6" t="s">
        <v>23</v>
      </c>
      <c r="G92" s="6" t="s">
        <v>389</v>
      </c>
      <c r="H92" s="9" t="s">
        <v>169</v>
      </c>
      <c r="I92" s="5">
        <f t="shared" si="6"/>
        <v>2</v>
      </c>
      <c r="J92" s="3" t="str">
        <f t="shared" si="7"/>
        <v xml:space="preserve">    - xform/uh/uh/</v>
      </c>
      <c r="K92" s="3" t="str">
        <f t="shared" si="8"/>
        <v xml:space="preserve">    - xform/uh/ㄨㆷ/</v>
      </c>
    </row>
    <row r="93" spans="1:11">
      <c r="A93" s="16">
        <v>7</v>
      </c>
      <c r="B93" s="17" t="s">
        <v>18</v>
      </c>
      <c r="C93" s="12" t="s">
        <v>19</v>
      </c>
      <c r="D93" s="12" t="s">
        <v>345</v>
      </c>
      <c r="E93" s="6" t="s">
        <v>20</v>
      </c>
      <c r="F93" s="6" t="s">
        <v>20</v>
      </c>
      <c r="G93" s="6" t="s">
        <v>353</v>
      </c>
      <c r="H93" s="9" t="s">
        <v>21</v>
      </c>
      <c r="I93" s="5">
        <f t="shared" si="6"/>
        <v>2</v>
      </c>
      <c r="J93" s="3" t="str">
        <f t="shared" si="7"/>
        <v xml:space="preserve">    - xform/ui/ui/</v>
      </c>
      <c r="K93" s="3" t="str">
        <f t="shared" si="8"/>
        <v xml:space="preserve">    - xform/ui/ㄨㄧ/</v>
      </c>
    </row>
    <row r="94" spans="1:11">
      <c r="A94" s="14">
        <v>8</v>
      </c>
      <c r="B94" s="17">
        <v>4</v>
      </c>
      <c r="C94" s="12" t="s">
        <v>19</v>
      </c>
      <c r="D94" s="12" t="s">
        <v>347</v>
      </c>
      <c r="E94" s="6" t="s">
        <v>22</v>
      </c>
      <c r="F94" s="6" t="s">
        <v>412</v>
      </c>
      <c r="G94" s="6" t="s">
        <v>24</v>
      </c>
      <c r="H94" s="9"/>
      <c r="I94" s="5">
        <f t="shared" si="6"/>
        <v>3</v>
      </c>
      <c r="J94" s="3" t="str">
        <f t="shared" si="7"/>
        <v xml:space="preserve">    - xform/uih/uih/</v>
      </c>
      <c r="K94" s="3" t="str">
        <f t="shared" si="8"/>
        <v xml:space="preserve">    - xform/uih/ㄨㄧㆷ/</v>
      </c>
    </row>
    <row r="95" spans="1:11">
      <c r="A95" s="16">
        <v>63</v>
      </c>
      <c r="B95" s="17" t="s">
        <v>195</v>
      </c>
      <c r="C95" s="12" t="s">
        <v>196</v>
      </c>
      <c r="D95" s="12" t="s">
        <v>345</v>
      </c>
      <c r="E95" s="20" t="s">
        <v>197</v>
      </c>
      <c r="F95" s="20" t="s">
        <v>198</v>
      </c>
      <c r="G95" s="6" t="s">
        <v>395</v>
      </c>
      <c r="H95" s="9" t="s">
        <v>199</v>
      </c>
      <c r="I95" s="5">
        <f t="shared" si="6"/>
        <v>4</v>
      </c>
      <c r="J95" s="3" t="str">
        <f t="shared" si="7"/>
        <v xml:space="preserve">    - xform/uinn/nui/</v>
      </c>
      <c r="K95" s="3" t="str">
        <f t="shared" si="8"/>
        <v xml:space="preserve">    - xform/uinn/ㄨㆪ/</v>
      </c>
    </row>
    <row r="96" spans="1:11">
      <c r="A96" s="14">
        <v>64</v>
      </c>
      <c r="B96" s="17" t="s">
        <v>195</v>
      </c>
      <c r="C96" s="12" t="s">
        <v>196</v>
      </c>
      <c r="D96" s="12" t="s">
        <v>345</v>
      </c>
      <c r="E96" s="20" t="s">
        <v>433</v>
      </c>
      <c r="F96" s="20" t="s">
        <v>326</v>
      </c>
      <c r="G96" s="6" t="s">
        <v>200</v>
      </c>
      <c r="H96" s="9"/>
      <c r="I96" s="5">
        <f t="shared" si="6"/>
        <v>5</v>
      </c>
      <c r="J96" s="3" t="str">
        <f t="shared" si="7"/>
        <v xml:space="preserve">    - xform/uinnh/nuih/</v>
      </c>
      <c r="K96" s="3" t="str">
        <f t="shared" si="8"/>
        <v xml:space="preserve">    - xform/uinnh/ㄨㆪㆷ/</v>
      </c>
    </row>
    <row r="97" spans="1:11">
      <c r="A97" s="16">
        <v>1</v>
      </c>
      <c r="B97" s="17" t="s">
        <v>1</v>
      </c>
      <c r="C97" s="12" t="s">
        <v>2</v>
      </c>
      <c r="D97" s="12" t="s">
        <v>345</v>
      </c>
      <c r="E97" s="6" t="s">
        <v>3</v>
      </c>
      <c r="F97" s="6" t="s">
        <v>3</v>
      </c>
      <c r="G97" s="6" t="s">
        <v>346</v>
      </c>
      <c r="H97" s="9" t="s">
        <v>411</v>
      </c>
      <c r="I97" s="5">
        <f t="shared" si="6"/>
        <v>2</v>
      </c>
      <c r="J97" s="3" t="str">
        <f t="shared" si="7"/>
        <v xml:space="preserve">    - xform/un/un/</v>
      </c>
      <c r="K97" s="3" t="str">
        <f t="shared" si="8"/>
        <v xml:space="preserve">    - xform/un/ㄨㄣ/</v>
      </c>
    </row>
    <row r="98" spans="1:11">
      <c r="A98" s="14">
        <v>2</v>
      </c>
      <c r="B98" s="17" t="s">
        <v>1</v>
      </c>
      <c r="C98" s="12" t="s">
        <v>2</v>
      </c>
      <c r="D98" s="12" t="s">
        <v>347</v>
      </c>
      <c r="E98" s="6" t="s">
        <v>4</v>
      </c>
      <c r="F98" s="6" t="s">
        <v>4</v>
      </c>
      <c r="G98" s="6" t="s">
        <v>348</v>
      </c>
      <c r="H98" s="9" t="s">
        <v>5</v>
      </c>
      <c r="I98" s="5">
        <f t="shared" si="6"/>
        <v>2</v>
      </c>
      <c r="J98" s="3" t="str">
        <f t="shared" si="7"/>
        <v xml:space="preserve">    - xform/ut/ut/</v>
      </c>
      <c r="K98" s="3" t="str">
        <f t="shared" si="8"/>
        <v xml:space="preserve">    - xform/ut/ㄨㆵ/</v>
      </c>
    </row>
    <row r="99" spans="1:11">
      <c r="A99" s="16">
        <v>70</v>
      </c>
      <c r="B99" s="17" t="s">
        <v>218</v>
      </c>
      <c r="C99" s="12" t="s">
        <v>219</v>
      </c>
      <c r="D99" s="12" t="s">
        <v>345</v>
      </c>
      <c r="E99" s="6"/>
      <c r="F99" s="6"/>
      <c r="G99" s="6" t="s">
        <v>222</v>
      </c>
      <c r="H99" s="9"/>
      <c r="I99" s="5">
        <f t="shared" si="6"/>
        <v>0</v>
      </c>
      <c r="J99" s="3" t="str">
        <f t="shared" si="7"/>
        <v/>
      </c>
      <c r="K99" s="3" t="str">
        <f t="shared" si="8"/>
        <v/>
      </c>
    </row>
    <row r="100" spans="1:11">
      <c r="A100" s="14">
        <v>97</v>
      </c>
      <c r="B100" s="17" t="s">
        <v>302</v>
      </c>
      <c r="C100" s="12" t="s">
        <v>303</v>
      </c>
      <c r="D100" s="12" t="s">
        <v>345</v>
      </c>
      <c r="E100" s="6"/>
      <c r="F100" s="6"/>
      <c r="G100" s="6" t="s">
        <v>256</v>
      </c>
      <c r="H100" s="9" t="s">
        <v>305</v>
      </c>
      <c r="I100" s="5">
        <f t="shared" si="6"/>
        <v>0</v>
      </c>
      <c r="J100" s="3" t="str">
        <f t="shared" si="7"/>
        <v/>
      </c>
      <c r="K100" s="3" t="str">
        <f t="shared" si="8"/>
        <v/>
      </c>
    </row>
    <row r="101" spans="1:11">
      <c r="A101" s="14">
        <v>98</v>
      </c>
      <c r="B101" s="17" t="s">
        <v>302</v>
      </c>
      <c r="C101" s="12" t="s">
        <v>303</v>
      </c>
      <c r="D101" s="12" t="s">
        <v>347</v>
      </c>
      <c r="E101" s="6"/>
      <c r="F101" s="6"/>
      <c r="G101" s="6" t="s">
        <v>307</v>
      </c>
      <c r="H101" s="9" t="s">
        <v>337</v>
      </c>
      <c r="I101" s="5">
        <f t="shared" si="6"/>
        <v>0</v>
      </c>
      <c r="J101" s="3" t="str">
        <f t="shared" si="7"/>
        <v/>
      </c>
      <c r="K101" s="3" t="str">
        <f t="shared" si="8"/>
        <v/>
      </c>
    </row>
  </sheetData>
  <sortState xmlns:xlrd2="http://schemas.microsoft.com/office/spreadsheetml/2017/richdata2" ref="A2:K101">
    <sortCondition ref="E2:E101"/>
    <sortCondition descending="1" ref="I2:I101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AF1B-B2ED-4462-8401-08201AFFBC6A}">
  <dimension ref="A1:AV97"/>
  <sheetViews>
    <sheetView showGridLines="0" topLeftCell="G1" workbookViewId="0">
      <pane ySplit="3" topLeftCell="A53" activePane="bottomLeft" state="frozen"/>
      <selection pane="bottomLeft" activeCell="V74" sqref="V74"/>
    </sheetView>
  </sheetViews>
  <sheetFormatPr defaultRowHeight="26.25" outlineLevelCol="1"/>
  <cols>
    <col min="1" max="1" width="8.375" style="22" customWidth="1"/>
    <col min="2" max="5" width="15.375" style="22" customWidth="1"/>
    <col min="6" max="10" width="15.375" style="22" customWidth="1" outlineLevel="1"/>
    <col min="11" max="13" width="15.375" style="22" customWidth="1"/>
    <col min="14" max="14" width="7.75" style="22" customWidth="1"/>
    <col min="15" max="15" width="5.25" style="22" customWidth="1"/>
    <col min="16" max="16" width="15.125" style="23" customWidth="1"/>
    <col min="17" max="17" width="15.125" style="22" customWidth="1"/>
    <col min="18" max="18" width="2.875" style="22" customWidth="1"/>
    <col min="19" max="19" width="15.5" style="24" customWidth="1"/>
    <col min="20" max="20" width="16.75" style="24" customWidth="1"/>
    <col min="21" max="21" width="4.5" style="22" customWidth="1"/>
    <col min="22" max="22" width="51.75" style="25" customWidth="1"/>
    <col min="23" max="23" width="9" style="22" customWidth="1"/>
    <col min="24" max="35" width="7.5" style="26" customWidth="1"/>
    <col min="36" max="41" width="19.375" style="27" bestFit="1" customWidth="1"/>
    <col min="42" max="44" width="19.875" style="27" customWidth="1"/>
    <col min="45" max="45" width="19.875" style="22" customWidth="1"/>
    <col min="46" max="47" width="9" style="22" customWidth="1"/>
    <col min="48" max="16384" width="9" style="22"/>
  </cols>
  <sheetData>
    <row r="1" spans="1:48" ht="46.5" customHeight="1">
      <c r="A1" s="21"/>
      <c r="C1" s="21"/>
      <c r="D1" s="21"/>
      <c r="E1" s="21"/>
      <c r="J1" s="21"/>
      <c r="K1" s="21"/>
      <c r="L1" s="21"/>
      <c r="M1" s="21"/>
      <c r="N1" s="21"/>
    </row>
    <row r="2" spans="1:48" ht="27" customHeight="1" thickBot="1">
      <c r="A2" s="28" t="s">
        <v>463</v>
      </c>
      <c r="C2" s="21"/>
      <c r="D2" s="21"/>
      <c r="E2" s="21"/>
      <c r="J2" s="21"/>
      <c r="K2" s="21"/>
      <c r="L2" s="21"/>
      <c r="M2" s="21"/>
      <c r="N2" s="21"/>
      <c r="V2" s="29"/>
      <c r="Y2" s="26">
        <v>1</v>
      </c>
      <c r="Z2" s="26">
        <v>2</v>
      </c>
      <c r="AA2" s="26">
        <v>3</v>
      </c>
      <c r="AB2" s="26">
        <v>4</v>
      </c>
      <c r="AC2" s="26">
        <v>5</v>
      </c>
      <c r="AD2" s="26">
        <v>6</v>
      </c>
      <c r="AE2" s="26">
        <v>7</v>
      </c>
      <c r="AF2" s="26">
        <v>8</v>
      </c>
      <c r="AG2" s="26">
        <v>9</v>
      </c>
      <c r="AH2" s="26">
        <v>9</v>
      </c>
    </row>
    <row r="3" spans="1:48" ht="48.75" customHeight="1" thickBot="1">
      <c r="A3" s="30" t="s">
        <v>464</v>
      </c>
      <c r="B3" s="31" t="s">
        <v>465</v>
      </c>
      <c r="C3" s="31" t="s">
        <v>466</v>
      </c>
      <c r="D3" s="31" t="s">
        <v>467</v>
      </c>
      <c r="E3" s="30" t="s">
        <v>468</v>
      </c>
      <c r="F3" s="30" t="s">
        <v>469</v>
      </c>
      <c r="G3" s="30" t="s">
        <v>470</v>
      </c>
      <c r="H3" s="30" t="s">
        <v>471</v>
      </c>
      <c r="I3" s="30" t="s">
        <v>472</v>
      </c>
      <c r="J3" s="30" t="s">
        <v>0</v>
      </c>
      <c r="K3" s="30" t="s">
        <v>473</v>
      </c>
      <c r="L3" s="30" t="s">
        <v>474</v>
      </c>
      <c r="M3" s="30" t="s">
        <v>475</v>
      </c>
      <c r="N3" s="30" t="s">
        <v>476</v>
      </c>
      <c r="O3" s="32"/>
      <c r="P3" s="33" t="str">
        <f t="shared" ref="P3:P66" si="0">G3</f>
        <v>L台語注音二式</v>
      </c>
      <c r="Q3" s="30" t="str">
        <f t="shared" ref="Q3:Q66" si="1">K3</f>
        <v>方音符號</v>
      </c>
      <c r="S3" s="30" t="str">
        <f>P3</f>
        <v>L台語注音二式</v>
      </c>
      <c r="T3" s="30" t="str">
        <f>K3</f>
        <v>方音符號</v>
      </c>
      <c r="V3" s="34"/>
      <c r="X3" s="35"/>
      <c r="Z3" s="36" t="s">
        <v>477</v>
      </c>
      <c r="AA3" s="36" t="s">
        <v>478</v>
      </c>
      <c r="AB3" s="36"/>
      <c r="AC3" s="36" t="s">
        <v>479</v>
      </c>
      <c r="AD3" s="36" t="s">
        <v>477</v>
      </c>
      <c r="AE3" s="36" t="s">
        <v>480</v>
      </c>
      <c r="AF3" s="36" t="s">
        <v>481</v>
      </c>
      <c r="AG3" s="36" t="s">
        <v>482</v>
      </c>
      <c r="AH3" s="36" t="s">
        <v>483</v>
      </c>
      <c r="AI3" s="37"/>
    </row>
    <row r="4" spans="1:48" ht="27.75" customHeight="1" thickBot="1">
      <c r="A4" s="38">
        <v>1</v>
      </c>
      <c r="B4" s="39" t="s">
        <v>172</v>
      </c>
      <c r="C4" s="40" t="s">
        <v>172</v>
      </c>
      <c r="D4" s="40" t="s">
        <v>172</v>
      </c>
      <c r="E4" s="38" t="s">
        <v>172</v>
      </c>
      <c r="F4" s="38" t="s">
        <v>172</v>
      </c>
      <c r="G4" s="38" t="s">
        <v>172</v>
      </c>
      <c r="H4" s="38" t="s">
        <v>172</v>
      </c>
      <c r="I4" s="42" t="s">
        <v>172</v>
      </c>
      <c r="J4" s="43" t="s">
        <v>807</v>
      </c>
      <c r="K4" s="38" t="s">
        <v>808</v>
      </c>
      <c r="L4" s="38" t="s">
        <v>808</v>
      </c>
      <c r="M4" s="38"/>
      <c r="N4" s="43">
        <f>LEN(C4)</f>
        <v>1</v>
      </c>
      <c r="O4" s="45"/>
      <c r="P4" s="33" t="str">
        <f t="shared" si="0"/>
        <v>a</v>
      </c>
      <c r="Q4" s="33" t="str">
        <f t="shared" si="1"/>
        <v>ㄚ</v>
      </c>
      <c r="S4" s="24" t="str">
        <f t="shared" ref="S4:S67" si="2">_xlfn.CONCAT(P4)</f>
        <v>a</v>
      </c>
      <c r="T4" s="24" t="str">
        <f t="shared" ref="T4:T67" si="3">IFERROR( _xlfn.CONCAT(Q4, ""), "" )</f>
        <v>ㄚ</v>
      </c>
      <c r="U4" s="46"/>
      <c r="V4" s="47" t="str">
        <f>IF(AND(Q4&lt;&gt;"", P4&lt;&gt;""), "    - xform/》" &amp; S4 &amp;  "/"  &amp; T4 &amp;  "》/", "")</f>
        <v xml:space="preserve">    - xform/》a/ㄚ》/</v>
      </c>
      <c r="X4" s="26" t="s">
        <v>172</v>
      </c>
      <c r="Y4" s="48" t="str">
        <f t="shared" ref="Y4:AH10" si="4">_xlfn.CONCAT($X4, IF(Y$3="", "", _xlfn.UNICHAR( HEX2DEC( RIGHT(Y$3,4)))))</f>
        <v>a</v>
      </c>
      <c r="Z4" s="48" t="str">
        <f t="shared" si="4"/>
        <v>á</v>
      </c>
      <c r="AA4" s="48" t="str">
        <f t="shared" si="4"/>
        <v>à</v>
      </c>
      <c r="AB4" s="48" t="str">
        <f t="shared" si="4"/>
        <v>a</v>
      </c>
      <c r="AC4" s="48" t="str">
        <f t="shared" si="4"/>
        <v>ǎ</v>
      </c>
      <c r="AD4" s="48" t="str">
        <f t="shared" si="4"/>
        <v>á</v>
      </c>
      <c r="AE4" s="48" t="str">
        <f t="shared" si="4"/>
        <v>ā</v>
      </c>
      <c r="AF4" s="48" t="str">
        <f t="shared" si="4"/>
        <v>a̍</v>
      </c>
      <c r="AG4" s="48" t="str">
        <f t="shared" si="4"/>
        <v>a̋</v>
      </c>
      <c r="AH4" s="48" t="str">
        <f t="shared" si="4"/>
        <v>å</v>
      </c>
      <c r="AJ4" s="49" t="str">
        <f t="shared" ref="AJ4:AS10" si="5">_xlfn.CONCAT("    - xform/》", $X4, Y$2, "/", Y4, "/")</f>
        <v xml:space="preserve">    - xform/》a1/a/</v>
      </c>
      <c r="AK4" s="49" t="str">
        <f t="shared" si="5"/>
        <v xml:space="preserve">    - xform/》a2/á/</v>
      </c>
      <c r="AL4" s="49" t="str">
        <f t="shared" si="5"/>
        <v xml:space="preserve">    - xform/》a3/à/</v>
      </c>
      <c r="AM4" s="49" t="str">
        <f t="shared" si="5"/>
        <v xml:space="preserve">    - xform/》a4/a/</v>
      </c>
      <c r="AN4" s="49" t="str">
        <f t="shared" si="5"/>
        <v xml:space="preserve">    - xform/》a5/ǎ/</v>
      </c>
      <c r="AO4" s="49" t="str">
        <f t="shared" si="5"/>
        <v xml:space="preserve">    - xform/》a6/á/</v>
      </c>
      <c r="AP4" s="49" t="str">
        <f t="shared" si="5"/>
        <v xml:space="preserve">    - xform/》a7/ā/</v>
      </c>
      <c r="AQ4" s="49" t="str">
        <f t="shared" si="5"/>
        <v xml:space="preserve">    - xform/》a8/a̍/</v>
      </c>
      <c r="AR4" s="49" t="str">
        <f t="shared" si="5"/>
        <v xml:space="preserve">    - xform/》a9/a̋/</v>
      </c>
      <c r="AS4" s="49" t="str">
        <f t="shared" si="5"/>
        <v xml:space="preserve">    - xform/》a9/å/</v>
      </c>
      <c r="AT4" s="48"/>
      <c r="AU4" s="48"/>
      <c r="AV4" s="26"/>
    </row>
    <row r="5" spans="1:48" ht="30.75" customHeight="1" thickBot="1">
      <c r="A5" s="38">
        <v>3</v>
      </c>
      <c r="B5" s="39" t="s">
        <v>701</v>
      </c>
      <c r="C5" s="40" t="s">
        <v>174</v>
      </c>
      <c r="D5" s="40" t="s">
        <v>174</v>
      </c>
      <c r="E5" s="38" t="s">
        <v>174</v>
      </c>
      <c r="F5" s="38" t="s">
        <v>174</v>
      </c>
      <c r="G5" s="38" t="s">
        <v>174</v>
      </c>
      <c r="H5" s="38" t="s">
        <v>174</v>
      </c>
      <c r="I5" s="42" t="s">
        <v>174</v>
      </c>
      <c r="J5" s="43" t="s">
        <v>702</v>
      </c>
      <c r="K5" s="38" t="s">
        <v>703</v>
      </c>
      <c r="L5" s="38" t="s">
        <v>704</v>
      </c>
      <c r="M5" s="38"/>
      <c r="N5" s="43">
        <f>LEN(C5)</f>
        <v>2</v>
      </c>
      <c r="O5" s="45"/>
      <c r="P5" s="33" t="str">
        <f t="shared" si="0"/>
        <v>ah</v>
      </c>
      <c r="Q5" s="33" t="str">
        <f t="shared" si="1"/>
        <v>ㄚㆷ</v>
      </c>
      <c r="S5" s="24" t="str">
        <f t="shared" si="2"/>
        <v>ah</v>
      </c>
      <c r="T5" s="24" t="str">
        <f t="shared" si="3"/>
        <v>ㄚㆷ</v>
      </c>
      <c r="U5" s="46"/>
      <c r="V5" s="47" t="str">
        <f>IF(AND(Q5&lt;&gt;"", P5&lt;&gt;""), "    - xform/》" &amp; S5 &amp;  "/"  &amp; T5 &amp;  "》/", "")</f>
        <v xml:space="preserve">    - xform/》ah/ㄚㆷ》/</v>
      </c>
      <c r="X5" s="26" t="s">
        <v>178</v>
      </c>
      <c r="Y5" s="48" t="str">
        <f t="shared" si="4"/>
        <v>i</v>
      </c>
      <c r="Z5" s="48" t="str">
        <f t="shared" si="4"/>
        <v>í</v>
      </c>
      <c r="AA5" s="48" t="str">
        <f t="shared" si="4"/>
        <v>ì</v>
      </c>
      <c r="AB5" s="48" t="str">
        <f t="shared" si="4"/>
        <v>i</v>
      </c>
      <c r="AC5" s="48" t="str">
        <f t="shared" si="4"/>
        <v>ǐ</v>
      </c>
      <c r="AD5" s="48" t="str">
        <f t="shared" si="4"/>
        <v>í</v>
      </c>
      <c r="AE5" s="48" t="str">
        <f t="shared" si="4"/>
        <v>ī</v>
      </c>
      <c r="AF5" s="48" t="str">
        <f t="shared" si="4"/>
        <v>i̍</v>
      </c>
      <c r="AG5" s="48" t="str">
        <f t="shared" si="4"/>
        <v>i̋</v>
      </c>
      <c r="AH5" s="48" t="str">
        <f t="shared" si="4"/>
        <v>i̊</v>
      </c>
      <c r="AJ5" s="49" t="str">
        <f t="shared" si="5"/>
        <v xml:space="preserve">    - xform/》i1/i/</v>
      </c>
      <c r="AK5" s="49" t="str">
        <f t="shared" si="5"/>
        <v xml:space="preserve">    - xform/》i2/í/</v>
      </c>
      <c r="AL5" s="49" t="str">
        <f t="shared" si="5"/>
        <v xml:space="preserve">    - xform/》i3/ì/</v>
      </c>
      <c r="AM5" s="49" t="str">
        <f t="shared" si="5"/>
        <v xml:space="preserve">    - xform/》i4/i/</v>
      </c>
      <c r="AN5" s="49" t="str">
        <f t="shared" si="5"/>
        <v xml:space="preserve">    - xform/》i5/ǐ/</v>
      </c>
      <c r="AO5" s="49" t="str">
        <f t="shared" si="5"/>
        <v xml:space="preserve">    - xform/》i6/í/</v>
      </c>
      <c r="AP5" s="49" t="str">
        <f t="shared" si="5"/>
        <v xml:space="preserve">    - xform/》i7/ī/</v>
      </c>
      <c r="AQ5" s="49" t="str">
        <f t="shared" si="5"/>
        <v xml:space="preserve">    - xform/》i8/i̍/</v>
      </c>
      <c r="AR5" s="49" t="str">
        <f t="shared" si="5"/>
        <v xml:space="preserve">    - xform/》i9/i̋/</v>
      </c>
      <c r="AS5" s="49" t="str">
        <f t="shared" si="5"/>
        <v xml:space="preserve">    - xform/》i9/i̊/</v>
      </c>
      <c r="AT5" s="48"/>
      <c r="AU5" s="48"/>
      <c r="AV5" s="26"/>
    </row>
    <row r="6" spans="1:48" ht="27.75" customHeight="1" thickBot="1">
      <c r="A6" s="38">
        <v>11</v>
      </c>
      <c r="B6" s="39" t="s">
        <v>721</v>
      </c>
      <c r="C6" s="40" t="s">
        <v>96</v>
      </c>
      <c r="D6" s="40" t="s">
        <v>96</v>
      </c>
      <c r="E6" s="38" t="s">
        <v>96</v>
      </c>
      <c r="F6" s="38" t="s">
        <v>96</v>
      </c>
      <c r="G6" s="38" t="s">
        <v>96</v>
      </c>
      <c r="H6" s="38" t="s">
        <v>96</v>
      </c>
      <c r="I6" s="42" t="s">
        <v>96</v>
      </c>
      <c r="J6" s="43" t="s">
        <v>722</v>
      </c>
      <c r="K6" s="38" t="s">
        <v>723</v>
      </c>
      <c r="L6" s="38" t="s">
        <v>723</v>
      </c>
      <c r="M6" s="38"/>
      <c r="N6" s="43">
        <f>LEN(C6)</f>
        <v>2</v>
      </c>
      <c r="O6" s="45"/>
      <c r="P6" s="33" t="str">
        <f t="shared" si="0"/>
        <v>ai</v>
      </c>
      <c r="Q6" s="33" t="str">
        <f t="shared" si="1"/>
        <v>ㄞ</v>
      </c>
      <c r="S6" s="24" t="str">
        <f t="shared" si="2"/>
        <v>ai</v>
      </c>
      <c r="T6" s="24" t="str">
        <f t="shared" si="3"/>
        <v>ㄞ</v>
      </c>
      <c r="U6" s="46"/>
      <c r="V6" s="47" t="str">
        <f t="shared" ref="V6:V68" si="6">IF(AND(Q6&lt;&gt;"", P6&lt;&gt;""), "    - xform/》" &amp; S6 &amp; "/" &amp; T6 &amp; "》/", "")</f>
        <v xml:space="preserve">    - xform/》ai/ㄞ》/</v>
      </c>
      <c r="X6" s="26" t="s">
        <v>167</v>
      </c>
      <c r="Y6" s="48" t="str">
        <f t="shared" si="4"/>
        <v>u</v>
      </c>
      <c r="Z6" s="48" t="str">
        <f t="shared" si="4"/>
        <v>ú</v>
      </c>
      <c r="AA6" s="48" t="str">
        <f t="shared" si="4"/>
        <v>ù</v>
      </c>
      <c r="AB6" s="48" t="str">
        <f t="shared" si="4"/>
        <v>u</v>
      </c>
      <c r="AC6" s="48" t="str">
        <f t="shared" si="4"/>
        <v>ǔ</v>
      </c>
      <c r="AD6" s="48" t="str">
        <f t="shared" si="4"/>
        <v>ú</v>
      </c>
      <c r="AE6" s="48" t="str">
        <f t="shared" si="4"/>
        <v>ū</v>
      </c>
      <c r="AF6" s="48" t="str">
        <f t="shared" si="4"/>
        <v>u̍</v>
      </c>
      <c r="AG6" s="48" t="str">
        <f t="shared" si="4"/>
        <v>ű</v>
      </c>
      <c r="AH6" s="48" t="str">
        <f t="shared" si="4"/>
        <v>ů</v>
      </c>
      <c r="AJ6" s="49" t="str">
        <f t="shared" si="5"/>
        <v xml:space="preserve">    - xform/》u1/u/</v>
      </c>
      <c r="AK6" s="49" t="str">
        <f t="shared" si="5"/>
        <v xml:space="preserve">    - xform/》u2/ú/</v>
      </c>
      <c r="AL6" s="49" t="str">
        <f t="shared" si="5"/>
        <v xml:space="preserve">    - xform/》u3/ù/</v>
      </c>
      <c r="AM6" s="49" t="str">
        <f t="shared" si="5"/>
        <v xml:space="preserve">    - xform/》u4/u/</v>
      </c>
      <c r="AN6" s="49" t="str">
        <f t="shared" si="5"/>
        <v xml:space="preserve">    - xform/》u5/ǔ/</v>
      </c>
      <c r="AO6" s="49" t="str">
        <f t="shared" si="5"/>
        <v xml:space="preserve">    - xform/》u6/ú/</v>
      </c>
      <c r="AP6" s="49" t="str">
        <f t="shared" si="5"/>
        <v xml:space="preserve">    - xform/》u7/ū/</v>
      </c>
      <c r="AQ6" s="49" t="str">
        <f t="shared" si="5"/>
        <v xml:space="preserve">    - xform/》u8/u̍/</v>
      </c>
      <c r="AR6" s="49" t="str">
        <f t="shared" si="5"/>
        <v xml:space="preserve">    - xform/》u9/ű/</v>
      </c>
      <c r="AS6" s="49" t="str">
        <f t="shared" si="5"/>
        <v xml:space="preserve">    - xform/》u9/ů/</v>
      </c>
      <c r="AT6" s="48"/>
      <c r="AU6" s="48"/>
      <c r="AV6" s="26"/>
    </row>
    <row r="7" spans="1:48" ht="30.75" customHeight="1" thickBot="1">
      <c r="A7" s="38">
        <v>13</v>
      </c>
      <c r="B7" s="39" t="s">
        <v>622</v>
      </c>
      <c r="C7" s="40" t="s">
        <v>623</v>
      </c>
      <c r="D7" s="40" t="s">
        <v>623</v>
      </c>
      <c r="E7" s="41" t="s">
        <v>623</v>
      </c>
      <c r="F7" s="41" t="s">
        <v>623</v>
      </c>
      <c r="G7" s="41" t="s">
        <v>623</v>
      </c>
      <c r="H7" s="41" t="s">
        <v>623</v>
      </c>
      <c r="I7" s="41" t="s">
        <v>623</v>
      </c>
      <c r="J7" s="50" t="s">
        <v>624</v>
      </c>
      <c r="K7" s="51" t="s">
        <v>98</v>
      </c>
      <c r="L7" s="54" t="s">
        <v>625</v>
      </c>
      <c r="M7" s="38"/>
      <c r="N7" s="43">
        <f>LEN(C7)</f>
        <v>3</v>
      </c>
      <c r="O7" s="45"/>
      <c r="P7" s="33" t="str">
        <f t="shared" si="0"/>
        <v>aih</v>
      </c>
      <c r="Q7" s="33" t="str">
        <f t="shared" si="1"/>
        <v>ㄞㆷ</v>
      </c>
      <c r="S7" s="24" t="str">
        <f t="shared" si="2"/>
        <v>aih</v>
      </c>
      <c r="T7" s="24" t="str">
        <f t="shared" si="3"/>
        <v>ㄞㆷ</v>
      </c>
      <c r="U7" s="46"/>
      <c r="V7" s="47" t="str">
        <f t="shared" si="6"/>
        <v xml:space="preserve">    - xform/》aih/ㄞㆷ》/</v>
      </c>
      <c r="X7" s="26" t="s">
        <v>27</v>
      </c>
      <c r="Y7" s="48" t="str">
        <f t="shared" si="4"/>
        <v>e</v>
      </c>
      <c r="Z7" s="48" t="str">
        <f t="shared" si="4"/>
        <v>é</v>
      </c>
      <c r="AA7" s="48" t="str">
        <f t="shared" si="4"/>
        <v>è</v>
      </c>
      <c r="AB7" s="48" t="str">
        <f t="shared" si="4"/>
        <v>e</v>
      </c>
      <c r="AC7" s="48" t="str">
        <f t="shared" si="4"/>
        <v>ě</v>
      </c>
      <c r="AD7" s="48" t="str">
        <f t="shared" si="4"/>
        <v>é</v>
      </c>
      <c r="AE7" s="48" t="str">
        <f t="shared" si="4"/>
        <v>ē</v>
      </c>
      <c r="AF7" s="48" t="str">
        <f t="shared" si="4"/>
        <v>e̍</v>
      </c>
      <c r="AG7" s="48" t="str">
        <f t="shared" si="4"/>
        <v>e̋</v>
      </c>
      <c r="AH7" s="48" t="str">
        <f t="shared" si="4"/>
        <v>e̊</v>
      </c>
      <c r="AJ7" s="49" t="str">
        <f t="shared" si="5"/>
        <v xml:space="preserve">    - xform/》e1/e/</v>
      </c>
      <c r="AK7" s="49" t="str">
        <f t="shared" si="5"/>
        <v xml:space="preserve">    - xform/》e2/é/</v>
      </c>
      <c r="AL7" s="49" t="str">
        <f t="shared" si="5"/>
        <v xml:space="preserve">    - xform/》e3/è/</v>
      </c>
      <c r="AM7" s="49" t="str">
        <f t="shared" si="5"/>
        <v xml:space="preserve">    - xform/》e4/e/</v>
      </c>
      <c r="AN7" s="49" t="str">
        <f t="shared" si="5"/>
        <v xml:space="preserve">    - xform/》e5/ě/</v>
      </c>
      <c r="AO7" s="49" t="str">
        <f t="shared" si="5"/>
        <v xml:space="preserve">    - xform/》e6/é/</v>
      </c>
      <c r="AP7" s="49" t="str">
        <f t="shared" si="5"/>
        <v xml:space="preserve">    - xform/》e7/ē/</v>
      </c>
      <c r="AQ7" s="49" t="str">
        <f t="shared" si="5"/>
        <v xml:space="preserve">    - xform/》e8/e̍/</v>
      </c>
      <c r="AR7" s="49" t="str">
        <f t="shared" si="5"/>
        <v xml:space="preserve">    - xform/》e9/e̋/</v>
      </c>
      <c r="AS7" s="49" t="str">
        <f t="shared" si="5"/>
        <v xml:space="preserve">    - xform/》e9/e̊/</v>
      </c>
      <c r="AT7" s="48"/>
      <c r="AU7" s="48"/>
      <c r="AV7" s="26"/>
    </row>
    <row r="8" spans="1:48" ht="27.75" customHeight="1" thickBot="1">
      <c r="A8" s="38">
        <v>10</v>
      </c>
      <c r="B8" s="39" t="s">
        <v>717</v>
      </c>
      <c r="C8" s="40" t="s">
        <v>127</v>
      </c>
      <c r="D8" s="40" t="s">
        <v>127</v>
      </c>
      <c r="E8" s="38" t="s">
        <v>127</v>
      </c>
      <c r="F8" s="38" t="s">
        <v>127</v>
      </c>
      <c r="G8" s="38" t="s">
        <v>127</v>
      </c>
      <c r="H8" s="38" t="s">
        <v>127</v>
      </c>
      <c r="I8" s="42" t="s">
        <v>127</v>
      </c>
      <c r="J8" s="43" t="s">
        <v>718</v>
      </c>
      <c r="K8" s="38" t="s">
        <v>719</v>
      </c>
      <c r="L8" s="38" t="s">
        <v>720</v>
      </c>
      <c r="M8" s="38"/>
      <c r="N8" s="43">
        <f>LEN(C8)</f>
        <v>2</v>
      </c>
      <c r="O8" s="45"/>
      <c r="P8" s="33" t="str">
        <f t="shared" si="0"/>
        <v>ak</v>
      </c>
      <c r="Q8" s="33" t="str">
        <f t="shared" si="1"/>
        <v>ㄚㆻ</v>
      </c>
      <c r="S8" s="24" t="str">
        <f t="shared" si="2"/>
        <v>ak</v>
      </c>
      <c r="T8" s="24" t="str">
        <f t="shared" si="3"/>
        <v>ㄚㆻ</v>
      </c>
      <c r="U8" s="46"/>
      <c r="V8" s="47" t="str">
        <f t="shared" si="6"/>
        <v xml:space="preserve">    - xform/》ak/ㄚㆻ》/</v>
      </c>
      <c r="X8" s="26" t="s">
        <v>90</v>
      </c>
      <c r="Y8" s="48" t="str">
        <f t="shared" si="4"/>
        <v>o</v>
      </c>
      <c r="Z8" s="48" t="str">
        <f t="shared" si="4"/>
        <v>ó</v>
      </c>
      <c r="AA8" s="48" t="str">
        <f t="shared" si="4"/>
        <v>ò</v>
      </c>
      <c r="AB8" s="48" t="str">
        <f t="shared" si="4"/>
        <v>o</v>
      </c>
      <c r="AC8" s="48" t="str">
        <f t="shared" si="4"/>
        <v>ǒ</v>
      </c>
      <c r="AD8" s="48" t="str">
        <f t="shared" si="4"/>
        <v>ó</v>
      </c>
      <c r="AE8" s="48" t="str">
        <f t="shared" si="4"/>
        <v>ō</v>
      </c>
      <c r="AF8" s="48" t="str">
        <f t="shared" si="4"/>
        <v>o̍</v>
      </c>
      <c r="AG8" s="48" t="str">
        <f t="shared" si="4"/>
        <v>ő</v>
      </c>
      <c r="AH8" s="48" t="str">
        <f t="shared" si="4"/>
        <v>o̊</v>
      </c>
      <c r="AJ8" s="49" t="str">
        <f t="shared" si="5"/>
        <v xml:space="preserve">    - xform/》o1/o/</v>
      </c>
      <c r="AK8" s="49" t="str">
        <f t="shared" si="5"/>
        <v xml:space="preserve">    - xform/》o2/ó/</v>
      </c>
      <c r="AL8" s="49" t="str">
        <f t="shared" si="5"/>
        <v xml:space="preserve">    - xform/》o3/ò/</v>
      </c>
      <c r="AM8" s="49" t="str">
        <f t="shared" si="5"/>
        <v xml:space="preserve">    - xform/》o4/o/</v>
      </c>
      <c r="AN8" s="49" t="str">
        <f t="shared" si="5"/>
        <v xml:space="preserve">    - xform/》o5/ǒ/</v>
      </c>
      <c r="AO8" s="49" t="str">
        <f t="shared" si="5"/>
        <v xml:space="preserve">    - xform/》o6/ó/</v>
      </c>
      <c r="AP8" s="49" t="str">
        <f t="shared" si="5"/>
        <v xml:space="preserve">    - xform/》o7/ō/</v>
      </c>
      <c r="AQ8" s="49" t="str">
        <f t="shared" si="5"/>
        <v xml:space="preserve">    - xform/》o8/o̍/</v>
      </c>
      <c r="AR8" s="49" t="str">
        <f t="shared" si="5"/>
        <v xml:space="preserve">    - xform/》o9/ő/</v>
      </c>
      <c r="AS8" s="49" t="str">
        <f t="shared" si="5"/>
        <v xml:space="preserve">    - xform/》o9/o̊/</v>
      </c>
      <c r="AT8" s="48"/>
      <c r="AU8" s="48"/>
      <c r="AV8" s="26"/>
    </row>
    <row r="9" spans="1:48" ht="27.75" customHeight="1" thickBot="1">
      <c r="A9" s="38">
        <v>5</v>
      </c>
      <c r="B9" s="39" t="s">
        <v>113</v>
      </c>
      <c r="C9" s="40" t="s">
        <v>113</v>
      </c>
      <c r="D9" s="40" t="s">
        <v>113</v>
      </c>
      <c r="E9" s="38" t="s">
        <v>113</v>
      </c>
      <c r="F9" s="38" t="s">
        <v>113</v>
      </c>
      <c r="G9" s="38" t="s">
        <v>113</v>
      </c>
      <c r="H9" s="38" t="s">
        <v>113</v>
      </c>
      <c r="I9" s="42" t="s">
        <v>113</v>
      </c>
      <c r="J9" s="43" t="s">
        <v>705</v>
      </c>
      <c r="K9" s="38" t="s">
        <v>114</v>
      </c>
      <c r="L9" s="38" t="s">
        <v>706</v>
      </c>
      <c r="M9" s="38"/>
      <c r="N9" s="43">
        <f>LEN(C9)</f>
        <v>2</v>
      </c>
      <c r="O9" s="45"/>
      <c r="P9" s="33" t="str">
        <f t="shared" si="0"/>
        <v>am</v>
      </c>
      <c r="Q9" s="33" t="str">
        <f t="shared" si="1"/>
        <v>ㆰ</v>
      </c>
      <c r="S9" s="24" t="str">
        <f t="shared" si="2"/>
        <v>am</v>
      </c>
      <c r="T9" s="24" t="str">
        <f t="shared" si="3"/>
        <v>ㆰ</v>
      </c>
      <c r="U9" s="46"/>
      <c r="V9" s="47" t="str">
        <f t="shared" si="6"/>
        <v xml:space="preserve">    - xform/》am/ㆰ》/</v>
      </c>
      <c r="X9" s="26" t="s">
        <v>260</v>
      </c>
      <c r="Y9" s="48" t="str">
        <f t="shared" si="4"/>
        <v>m</v>
      </c>
      <c r="Z9" s="48" t="str">
        <f t="shared" si="4"/>
        <v>ḿ</v>
      </c>
      <c r="AA9" s="48" t="str">
        <f t="shared" si="4"/>
        <v>m̀</v>
      </c>
      <c r="AB9" s="48" t="str">
        <f t="shared" si="4"/>
        <v>m</v>
      </c>
      <c r="AC9" s="48" t="str">
        <f t="shared" si="4"/>
        <v>m̌</v>
      </c>
      <c r="AD9" s="48" t="str">
        <f t="shared" si="4"/>
        <v>ḿ</v>
      </c>
      <c r="AE9" s="48" t="str">
        <f t="shared" si="4"/>
        <v>m̄</v>
      </c>
      <c r="AF9" s="48" t="str">
        <f t="shared" si="4"/>
        <v>m̍</v>
      </c>
      <c r="AG9" s="48" t="str">
        <f t="shared" si="4"/>
        <v>m̋</v>
      </c>
      <c r="AH9" s="48" t="str">
        <f t="shared" si="4"/>
        <v>m̊</v>
      </c>
      <c r="AJ9" s="49" t="str">
        <f t="shared" si="5"/>
        <v xml:space="preserve">    - xform/》m1/m/</v>
      </c>
      <c r="AK9" s="49" t="str">
        <f t="shared" si="5"/>
        <v xml:space="preserve">    - xform/》m2/ḿ/</v>
      </c>
      <c r="AL9" s="49" t="str">
        <f t="shared" si="5"/>
        <v xml:space="preserve">    - xform/》m3/m̀/</v>
      </c>
      <c r="AM9" s="49" t="str">
        <f t="shared" si="5"/>
        <v xml:space="preserve">    - xform/》m4/m/</v>
      </c>
      <c r="AN9" s="49" t="str">
        <f t="shared" si="5"/>
        <v xml:space="preserve">    - xform/》m5/m̌/</v>
      </c>
      <c r="AO9" s="49" t="str">
        <f t="shared" si="5"/>
        <v xml:space="preserve">    - xform/》m6/ḿ/</v>
      </c>
      <c r="AP9" s="49" t="str">
        <f t="shared" si="5"/>
        <v xml:space="preserve">    - xform/》m7/m̄/</v>
      </c>
      <c r="AQ9" s="49" t="str">
        <f t="shared" si="5"/>
        <v xml:space="preserve">    - xform/》m8/m̍/</v>
      </c>
      <c r="AR9" s="49" t="str">
        <f t="shared" si="5"/>
        <v xml:space="preserve">    - xform/》m9/m̋/</v>
      </c>
      <c r="AS9" s="49" t="str">
        <f t="shared" si="5"/>
        <v xml:space="preserve">    - xform/》m9/m̊/</v>
      </c>
      <c r="AT9" s="48"/>
      <c r="AU9" s="48"/>
      <c r="AV9" s="26"/>
    </row>
    <row r="10" spans="1:48" ht="27.75" customHeight="1" thickBot="1">
      <c r="A10" s="38">
        <v>6</v>
      </c>
      <c r="B10" s="39" t="s">
        <v>33</v>
      </c>
      <c r="C10" s="40" t="s">
        <v>33</v>
      </c>
      <c r="D10" s="40" t="s">
        <v>33</v>
      </c>
      <c r="E10" s="38" t="s">
        <v>33</v>
      </c>
      <c r="F10" s="38" t="s">
        <v>33</v>
      </c>
      <c r="G10" s="38" t="s">
        <v>33</v>
      </c>
      <c r="H10" s="38" t="s">
        <v>33</v>
      </c>
      <c r="I10" s="42" t="s">
        <v>33</v>
      </c>
      <c r="J10" s="43" t="s">
        <v>707</v>
      </c>
      <c r="K10" s="38" t="s">
        <v>708</v>
      </c>
      <c r="L10" s="38" t="s">
        <v>708</v>
      </c>
      <c r="M10" s="38"/>
      <c r="N10" s="43">
        <f>LEN(C10)</f>
        <v>2</v>
      </c>
      <c r="O10" s="45"/>
      <c r="P10" s="33" t="str">
        <f t="shared" si="0"/>
        <v>an</v>
      </c>
      <c r="Q10" s="33" t="str">
        <f t="shared" si="1"/>
        <v>ㄢ</v>
      </c>
      <c r="S10" s="24" t="str">
        <f t="shared" si="2"/>
        <v>an</v>
      </c>
      <c r="T10" s="24" t="str">
        <f t="shared" si="3"/>
        <v>ㄢ</v>
      </c>
      <c r="U10" s="46"/>
      <c r="V10" s="47" t="str">
        <f t="shared" si="6"/>
        <v xml:space="preserve">    - xform/》an/ㄢ》/</v>
      </c>
      <c r="X10" s="26" t="s">
        <v>529</v>
      </c>
      <c r="Y10" s="48" t="str">
        <f t="shared" si="4"/>
        <v>n</v>
      </c>
      <c r="Z10" s="48" t="str">
        <f t="shared" si="4"/>
        <v>ń</v>
      </c>
      <c r="AA10" s="48" t="str">
        <f t="shared" si="4"/>
        <v>ǹ</v>
      </c>
      <c r="AB10" s="48" t="str">
        <f t="shared" si="4"/>
        <v>n</v>
      </c>
      <c r="AC10" s="48" t="str">
        <f t="shared" si="4"/>
        <v>ň</v>
      </c>
      <c r="AD10" s="48" t="str">
        <f t="shared" si="4"/>
        <v>ń</v>
      </c>
      <c r="AE10" s="48" t="str">
        <f t="shared" si="4"/>
        <v>n̄</v>
      </c>
      <c r="AF10" s="48" t="str">
        <f t="shared" si="4"/>
        <v>n̍</v>
      </c>
      <c r="AG10" s="48" t="str">
        <f t="shared" si="4"/>
        <v>n̋</v>
      </c>
      <c r="AH10" s="48" t="str">
        <f t="shared" si="4"/>
        <v>n̊</v>
      </c>
      <c r="AJ10" s="49" t="str">
        <f t="shared" si="5"/>
        <v xml:space="preserve">    - xform/》n1/n/</v>
      </c>
      <c r="AK10" s="49" t="str">
        <f t="shared" si="5"/>
        <v xml:space="preserve">    - xform/》n2/ń/</v>
      </c>
      <c r="AL10" s="49" t="str">
        <f t="shared" si="5"/>
        <v xml:space="preserve">    - xform/》n3/ǹ/</v>
      </c>
      <c r="AM10" s="49" t="str">
        <f t="shared" si="5"/>
        <v xml:space="preserve">    - xform/》n4/n/</v>
      </c>
      <c r="AN10" s="49" t="str">
        <f t="shared" si="5"/>
        <v xml:space="preserve">    - xform/》n5/ň/</v>
      </c>
      <c r="AO10" s="49" t="str">
        <f t="shared" si="5"/>
        <v xml:space="preserve">    - xform/》n6/ń/</v>
      </c>
      <c r="AP10" s="49" t="str">
        <f t="shared" si="5"/>
        <v xml:space="preserve">    - xform/》n7/n̄/</v>
      </c>
      <c r="AQ10" s="49" t="str">
        <f t="shared" si="5"/>
        <v xml:space="preserve">    - xform/》n8/n̍/</v>
      </c>
      <c r="AR10" s="49" t="str">
        <f t="shared" si="5"/>
        <v xml:space="preserve">    - xform/》n9/n̋/</v>
      </c>
      <c r="AS10" s="49" t="str">
        <f t="shared" si="5"/>
        <v xml:space="preserve">    - xform/》n9/n̊/</v>
      </c>
      <c r="AT10" s="48"/>
      <c r="AU10" s="48"/>
      <c r="AV10" s="26"/>
    </row>
    <row r="11" spans="1:48" ht="30.75" customHeight="1" thickBot="1">
      <c r="A11" s="38">
        <v>7</v>
      </c>
      <c r="B11" s="39" t="s">
        <v>619</v>
      </c>
      <c r="C11" s="40" t="s">
        <v>125</v>
      </c>
      <c r="D11" s="40" t="s">
        <v>125</v>
      </c>
      <c r="E11" s="38" t="s">
        <v>125</v>
      </c>
      <c r="F11" s="38" t="s">
        <v>125</v>
      </c>
      <c r="G11" s="38" t="s">
        <v>125</v>
      </c>
      <c r="H11" s="38" t="s">
        <v>125</v>
      </c>
      <c r="I11" s="42" t="s">
        <v>125</v>
      </c>
      <c r="J11" s="43" t="s">
        <v>620</v>
      </c>
      <c r="K11" s="38" t="s">
        <v>621</v>
      </c>
      <c r="L11" s="38" t="s">
        <v>621</v>
      </c>
      <c r="M11" s="38"/>
      <c r="N11" s="43">
        <f>LEN(C11)</f>
        <v>3</v>
      </c>
      <c r="O11" s="45"/>
      <c r="P11" s="33" t="str">
        <f t="shared" si="0"/>
        <v>ang</v>
      </c>
      <c r="Q11" s="33" t="str">
        <f t="shared" si="1"/>
        <v>ㄤ</v>
      </c>
      <c r="S11" s="24" t="str">
        <f t="shared" si="2"/>
        <v>ang</v>
      </c>
      <c r="T11" s="24" t="str">
        <f t="shared" si="3"/>
        <v>ㄤ</v>
      </c>
      <c r="U11" s="46"/>
      <c r="V11" s="47" t="str">
        <f t="shared" si="6"/>
        <v xml:space="preserve">    - xform/》ang/ㄤ》/</v>
      </c>
    </row>
    <row r="12" spans="1:48" ht="27.75" customHeight="1" thickBot="1">
      <c r="A12" s="38">
        <v>14</v>
      </c>
      <c r="B12" s="39" t="s">
        <v>137</v>
      </c>
      <c r="C12" s="40" t="s">
        <v>137</v>
      </c>
      <c r="D12" s="40" t="s">
        <v>137</v>
      </c>
      <c r="E12" s="38" t="s">
        <v>137</v>
      </c>
      <c r="F12" s="38" t="s">
        <v>137</v>
      </c>
      <c r="G12" s="38" t="s">
        <v>137</v>
      </c>
      <c r="H12" s="38" t="s">
        <v>138</v>
      </c>
      <c r="I12" s="42" t="s">
        <v>137</v>
      </c>
      <c r="J12" s="43" t="s">
        <v>724</v>
      </c>
      <c r="K12" s="38" t="s">
        <v>725</v>
      </c>
      <c r="L12" s="38" t="s">
        <v>725</v>
      </c>
      <c r="M12" s="38"/>
      <c r="N12" s="43">
        <f>LEN(C12)</f>
        <v>2</v>
      </c>
      <c r="O12" s="45"/>
      <c r="P12" s="33" t="str">
        <f t="shared" si="0"/>
        <v>au</v>
      </c>
      <c r="Q12" s="33" t="str">
        <f t="shared" si="1"/>
        <v>ㄠ</v>
      </c>
      <c r="S12" s="24" t="str">
        <f t="shared" si="2"/>
        <v>au</v>
      </c>
      <c r="T12" s="24" t="str">
        <f t="shared" si="3"/>
        <v>ㄠ</v>
      </c>
      <c r="U12" s="46"/>
      <c r="V12" s="47" t="str">
        <f t="shared" si="6"/>
        <v xml:space="preserve">    - xform/》au/ㄠ》/</v>
      </c>
    </row>
    <row r="13" spans="1:48" ht="27.75" customHeight="1" thickBot="1">
      <c r="A13" s="38">
        <v>15</v>
      </c>
      <c r="B13" s="39" t="s">
        <v>626</v>
      </c>
      <c r="C13" s="40" t="s">
        <v>140</v>
      </c>
      <c r="D13" s="40" t="s">
        <v>140</v>
      </c>
      <c r="E13" s="38" t="s">
        <v>140</v>
      </c>
      <c r="F13" s="38" t="s">
        <v>140</v>
      </c>
      <c r="G13" s="38" t="s">
        <v>140</v>
      </c>
      <c r="H13" s="38" t="s">
        <v>141</v>
      </c>
      <c r="I13" s="42" t="s">
        <v>140</v>
      </c>
      <c r="J13" s="43" t="s">
        <v>627</v>
      </c>
      <c r="K13" s="38" t="s">
        <v>628</v>
      </c>
      <c r="L13" s="38" t="s">
        <v>629</v>
      </c>
      <c r="M13" s="38"/>
      <c r="N13" s="43">
        <f>LEN(C13)</f>
        <v>3</v>
      </c>
      <c r="O13" s="45"/>
      <c r="P13" s="33" t="str">
        <f t="shared" si="0"/>
        <v>auh</v>
      </c>
      <c r="Q13" s="33" t="str">
        <f t="shared" si="1"/>
        <v>ㄠㆷ</v>
      </c>
      <c r="S13" s="24" t="str">
        <f t="shared" si="2"/>
        <v>auh</v>
      </c>
      <c r="T13" s="24" t="str">
        <f t="shared" si="3"/>
        <v>ㄠㆷ</v>
      </c>
      <c r="U13" s="46"/>
      <c r="V13" s="47" t="str">
        <f t="shared" si="6"/>
        <v xml:space="preserve">    - xform/》auh/ㄠㆷ》/</v>
      </c>
    </row>
    <row r="14" spans="1:48" ht="27.75" customHeight="1" thickBot="1">
      <c r="A14" s="38">
        <v>8</v>
      </c>
      <c r="B14" s="39" t="s">
        <v>709</v>
      </c>
      <c r="C14" s="40" t="s">
        <v>116</v>
      </c>
      <c r="D14" s="40" t="s">
        <v>116</v>
      </c>
      <c r="E14" s="38" t="s">
        <v>116</v>
      </c>
      <c r="F14" s="38" t="s">
        <v>116</v>
      </c>
      <c r="G14" s="38" t="s">
        <v>116</v>
      </c>
      <c r="H14" s="38" t="s">
        <v>116</v>
      </c>
      <c r="I14" s="42" t="s">
        <v>116</v>
      </c>
      <c r="J14" s="43" t="s">
        <v>710</v>
      </c>
      <c r="K14" s="38" t="s">
        <v>711</v>
      </c>
      <c r="L14" s="38" t="s">
        <v>712</v>
      </c>
      <c r="M14" s="38"/>
      <c r="N14" s="43">
        <f>LEN(C14)</f>
        <v>2</v>
      </c>
      <c r="O14" s="45"/>
      <c r="P14" s="33" t="str">
        <f t="shared" si="0"/>
        <v>ap</v>
      </c>
      <c r="Q14" s="33" t="str">
        <f t="shared" si="1"/>
        <v>ㄚㆴ</v>
      </c>
      <c r="S14" s="24" t="str">
        <f t="shared" si="2"/>
        <v>ap</v>
      </c>
      <c r="T14" s="24" t="str">
        <f t="shared" si="3"/>
        <v>ㄚㆴ</v>
      </c>
      <c r="U14" s="46"/>
      <c r="V14" s="47" t="str">
        <f t="shared" si="6"/>
        <v xml:space="preserve">    - xform/》ap/ㄚㆴ》/</v>
      </c>
    </row>
    <row r="15" spans="1:48" ht="27.75" customHeight="1" thickBot="1">
      <c r="A15" s="38">
        <v>9</v>
      </c>
      <c r="B15" s="39" t="s">
        <v>713</v>
      </c>
      <c r="C15" s="40" t="s">
        <v>35</v>
      </c>
      <c r="D15" s="40" t="s">
        <v>35</v>
      </c>
      <c r="E15" s="38" t="s">
        <v>35</v>
      </c>
      <c r="F15" s="38" t="s">
        <v>35</v>
      </c>
      <c r="G15" s="38" t="s">
        <v>35</v>
      </c>
      <c r="H15" s="38" t="s">
        <v>35</v>
      </c>
      <c r="I15" s="42" t="s">
        <v>35</v>
      </c>
      <c r="J15" s="43" t="s">
        <v>714</v>
      </c>
      <c r="K15" s="38" t="s">
        <v>715</v>
      </c>
      <c r="L15" s="38" t="s">
        <v>716</v>
      </c>
      <c r="M15" s="38"/>
      <c r="N15" s="43">
        <f>LEN(C15)</f>
        <v>2</v>
      </c>
      <c r="O15" s="45"/>
      <c r="P15" s="33" t="str">
        <f t="shared" si="0"/>
        <v>at</v>
      </c>
      <c r="Q15" s="33" t="str">
        <f t="shared" si="1"/>
        <v>ㄚㆵ</v>
      </c>
      <c r="S15" s="24" t="str">
        <f t="shared" si="2"/>
        <v>at</v>
      </c>
      <c r="T15" s="24" t="str">
        <f t="shared" si="3"/>
        <v>ㄚㆵ</v>
      </c>
      <c r="U15" s="46"/>
      <c r="V15" s="47" t="str">
        <f t="shared" si="6"/>
        <v xml:space="preserve">    - xform/》at/ㄚㆵ》/</v>
      </c>
    </row>
    <row r="16" spans="1:48" ht="27.75" customHeight="1" thickBot="1">
      <c r="A16" s="38">
        <v>16</v>
      </c>
      <c r="B16" s="39" t="s">
        <v>27</v>
      </c>
      <c r="C16" s="40" t="s">
        <v>27</v>
      </c>
      <c r="D16" s="40" t="s">
        <v>27</v>
      </c>
      <c r="E16" s="38" t="s">
        <v>809</v>
      </c>
      <c r="F16" s="38" t="s">
        <v>27</v>
      </c>
      <c r="G16" s="38" t="s">
        <v>27</v>
      </c>
      <c r="H16" s="38" t="s">
        <v>27</v>
      </c>
      <c r="I16" s="42">
        <v>0</v>
      </c>
      <c r="J16" s="43" t="s">
        <v>810</v>
      </c>
      <c r="K16" s="38" t="s">
        <v>77</v>
      </c>
      <c r="L16" s="38" t="s">
        <v>811</v>
      </c>
      <c r="M16" s="38"/>
      <c r="N16" s="43">
        <f>LEN(C16)</f>
        <v>1</v>
      </c>
      <c r="O16" s="45"/>
      <c r="P16" s="33" t="str">
        <f t="shared" si="0"/>
        <v>e</v>
      </c>
      <c r="Q16" s="33" t="str">
        <f t="shared" si="1"/>
        <v>ㆤ</v>
      </c>
      <c r="S16" s="24" t="str">
        <f t="shared" si="2"/>
        <v>e</v>
      </c>
      <c r="T16" s="24" t="str">
        <f t="shared" si="3"/>
        <v>ㆤ</v>
      </c>
      <c r="U16" s="46"/>
      <c r="V16" s="47" t="str">
        <f t="shared" si="6"/>
        <v xml:space="preserve">    - xform/》e/ㆤ》/</v>
      </c>
    </row>
    <row r="17" spans="1:22" ht="27.75" customHeight="1" thickBot="1">
      <c r="A17" s="38">
        <v>18</v>
      </c>
      <c r="B17" s="39" t="s">
        <v>726</v>
      </c>
      <c r="C17" s="40" t="s">
        <v>29</v>
      </c>
      <c r="D17" s="40" t="s">
        <v>29</v>
      </c>
      <c r="E17" s="38" t="s">
        <v>29</v>
      </c>
      <c r="F17" s="38" t="s">
        <v>29</v>
      </c>
      <c r="G17" s="38" t="s">
        <v>29</v>
      </c>
      <c r="H17" s="38" t="s">
        <v>29</v>
      </c>
      <c r="I17" s="42" t="s">
        <v>29</v>
      </c>
      <c r="J17" s="43" t="s">
        <v>727</v>
      </c>
      <c r="K17" s="38" t="s">
        <v>79</v>
      </c>
      <c r="L17" s="38" t="s">
        <v>728</v>
      </c>
      <c r="M17" s="38"/>
      <c r="N17" s="43">
        <f>LEN(C17)</f>
        <v>2</v>
      </c>
      <c r="O17" s="45"/>
      <c r="P17" s="33" t="str">
        <f t="shared" si="0"/>
        <v>eh</v>
      </c>
      <c r="Q17" s="33" t="str">
        <f t="shared" si="1"/>
        <v>ㆤㆷ</v>
      </c>
      <c r="S17" s="24" t="str">
        <f t="shared" si="2"/>
        <v>eh</v>
      </c>
      <c r="T17" s="24" t="str">
        <f t="shared" si="3"/>
        <v>ㆤㆷ</v>
      </c>
      <c r="U17" s="46"/>
      <c r="V17" s="47" t="str">
        <f t="shared" si="6"/>
        <v xml:space="preserve">    - xform/》eh/ㆤㆷ》/</v>
      </c>
    </row>
    <row r="18" spans="1:22" ht="27.75" customHeight="1" thickBot="1">
      <c r="A18" s="38">
        <v>19</v>
      </c>
      <c r="B18" s="39" t="s">
        <v>530</v>
      </c>
      <c r="C18" s="40" t="s">
        <v>531</v>
      </c>
      <c r="D18" s="40" t="s">
        <v>532</v>
      </c>
      <c r="E18" s="41" t="s">
        <v>531</v>
      </c>
      <c r="F18" s="41" t="s">
        <v>531</v>
      </c>
      <c r="G18" s="41" t="s">
        <v>532</v>
      </c>
      <c r="H18" s="41" t="s">
        <v>829</v>
      </c>
      <c r="I18" s="41" t="s">
        <v>531</v>
      </c>
      <c r="J18" s="50" t="s">
        <v>533</v>
      </c>
      <c r="K18" s="52" t="s">
        <v>193</v>
      </c>
      <c r="L18" s="38" t="s">
        <v>534</v>
      </c>
      <c r="M18" s="44" t="s">
        <v>491</v>
      </c>
      <c r="N18" s="43">
        <f>LEN(C18)</f>
        <v>4</v>
      </c>
      <c r="O18" s="45"/>
      <c r="P18" s="33" t="str">
        <f t="shared" si="0"/>
        <v>Leh</v>
      </c>
      <c r="Q18" s="33" t="str">
        <f t="shared" si="1"/>
        <v>ㆥㆷ</v>
      </c>
      <c r="S18" s="24" t="str">
        <f t="shared" si="2"/>
        <v>Leh</v>
      </c>
      <c r="T18" s="24" t="str">
        <f t="shared" si="3"/>
        <v>ㆥㆷ</v>
      </c>
      <c r="U18" s="46"/>
      <c r="V18" s="47" t="str">
        <f t="shared" si="6"/>
        <v xml:space="preserve">    - xform/》Leh/ㆥㆷ》/</v>
      </c>
    </row>
    <row r="19" spans="1:22" ht="27.75" customHeight="1" thickBot="1">
      <c r="A19" s="38">
        <v>20</v>
      </c>
      <c r="B19" s="39" t="s">
        <v>178</v>
      </c>
      <c r="C19" s="40" t="s">
        <v>178</v>
      </c>
      <c r="D19" s="40" t="s">
        <v>178</v>
      </c>
      <c r="E19" s="38" t="s">
        <v>178</v>
      </c>
      <c r="F19" s="38" t="s">
        <v>178</v>
      </c>
      <c r="G19" s="38" t="s">
        <v>178</v>
      </c>
      <c r="H19" s="38" t="s">
        <v>178</v>
      </c>
      <c r="I19" s="42" t="s">
        <v>178</v>
      </c>
      <c r="J19" s="43" t="s">
        <v>812</v>
      </c>
      <c r="K19" s="38" t="s">
        <v>813</v>
      </c>
      <c r="L19" s="38" t="s">
        <v>813</v>
      </c>
      <c r="M19" s="38"/>
      <c r="N19" s="43">
        <f>LEN(C19)</f>
        <v>1</v>
      </c>
      <c r="O19" s="45"/>
      <c r="P19" s="33" t="str">
        <f t="shared" si="0"/>
        <v>i</v>
      </c>
      <c r="Q19" s="33" t="str">
        <f t="shared" si="1"/>
        <v>ㄧ</v>
      </c>
      <c r="S19" s="24" t="str">
        <f t="shared" si="2"/>
        <v>i</v>
      </c>
      <c r="T19" s="24" t="str">
        <f t="shared" si="3"/>
        <v>ㄧ</v>
      </c>
      <c r="U19" s="46"/>
      <c r="V19" s="47" t="str">
        <f t="shared" si="6"/>
        <v xml:space="preserve">    - xform/》i/ㄧ》/</v>
      </c>
    </row>
    <row r="20" spans="1:22" ht="27.75" customHeight="1" thickBot="1">
      <c r="A20" s="38">
        <v>29</v>
      </c>
      <c r="B20" s="39" t="s">
        <v>752</v>
      </c>
      <c r="C20" s="40" t="s">
        <v>145</v>
      </c>
      <c r="D20" s="40" t="s">
        <v>145</v>
      </c>
      <c r="E20" s="38" t="s">
        <v>145</v>
      </c>
      <c r="F20" s="38" t="s">
        <v>145</v>
      </c>
      <c r="G20" s="38" t="s">
        <v>145</v>
      </c>
      <c r="H20" s="38" t="s">
        <v>145</v>
      </c>
      <c r="I20" s="42" t="s">
        <v>145</v>
      </c>
      <c r="J20" s="43" t="s">
        <v>753</v>
      </c>
      <c r="K20" s="38" t="s">
        <v>754</v>
      </c>
      <c r="L20" s="38" t="s">
        <v>754</v>
      </c>
      <c r="M20" s="38"/>
      <c r="N20" s="43">
        <f>LEN(C20)</f>
        <v>2</v>
      </c>
      <c r="O20" s="45"/>
      <c r="P20" s="33" t="str">
        <f t="shared" si="0"/>
        <v>ia</v>
      </c>
      <c r="Q20" s="33" t="str">
        <f t="shared" si="1"/>
        <v>ㄧㄚ</v>
      </c>
      <c r="S20" s="24" t="str">
        <f t="shared" si="2"/>
        <v>ia</v>
      </c>
      <c r="T20" s="24" t="str">
        <f t="shared" si="3"/>
        <v>ㄧㄚ</v>
      </c>
      <c r="U20" s="46"/>
      <c r="V20" s="47" t="str">
        <f t="shared" si="6"/>
        <v xml:space="preserve">    - xform/》ia/ㄧㄚ》/</v>
      </c>
    </row>
    <row r="21" spans="1:22" ht="27.75" customHeight="1" thickBot="1">
      <c r="A21" s="38">
        <v>31</v>
      </c>
      <c r="B21" s="39" t="s">
        <v>634</v>
      </c>
      <c r="C21" s="40" t="s">
        <v>147</v>
      </c>
      <c r="D21" s="40" t="s">
        <v>147</v>
      </c>
      <c r="E21" s="38" t="s">
        <v>147</v>
      </c>
      <c r="F21" s="38" t="s">
        <v>147</v>
      </c>
      <c r="G21" s="38" t="s">
        <v>147</v>
      </c>
      <c r="H21" s="38" t="s">
        <v>147</v>
      </c>
      <c r="I21" s="42" t="s">
        <v>147</v>
      </c>
      <c r="J21" s="43" t="s">
        <v>496</v>
      </c>
      <c r="K21" s="38" t="s">
        <v>635</v>
      </c>
      <c r="L21" s="38" t="s">
        <v>636</v>
      </c>
      <c r="M21" s="38"/>
      <c r="N21" s="43">
        <f>LEN(C21)</f>
        <v>3</v>
      </c>
      <c r="O21" s="45"/>
      <c r="P21" s="33" t="str">
        <f t="shared" si="0"/>
        <v>iah</v>
      </c>
      <c r="Q21" s="33" t="str">
        <f t="shared" si="1"/>
        <v>ㄧㄚㆷ</v>
      </c>
      <c r="S21" s="24" t="str">
        <f t="shared" si="2"/>
        <v>iah</v>
      </c>
      <c r="T21" s="24" t="str">
        <f t="shared" si="3"/>
        <v>ㄧㄚㆷ</v>
      </c>
      <c r="U21" s="46"/>
      <c r="V21" s="47" t="str">
        <f t="shared" si="6"/>
        <v xml:space="preserve">    - xform/》iah/ㄧㄚㆷ》/</v>
      </c>
    </row>
    <row r="22" spans="1:22" ht="27.75" customHeight="1" thickBot="1">
      <c r="A22" s="38">
        <v>38</v>
      </c>
      <c r="B22" s="39" t="s">
        <v>652</v>
      </c>
      <c r="C22" s="40" t="s">
        <v>109</v>
      </c>
      <c r="D22" s="40" t="s">
        <v>109</v>
      </c>
      <c r="E22" s="38" t="s">
        <v>109</v>
      </c>
      <c r="F22" s="38" t="s">
        <v>109</v>
      </c>
      <c r="G22" s="38" t="s">
        <v>109</v>
      </c>
      <c r="H22" s="38" t="s">
        <v>109</v>
      </c>
      <c r="I22" s="42" t="s">
        <v>109</v>
      </c>
      <c r="J22" s="43" t="s">
        <v>653</v>
      </c>
      <c r="K22" s="38" t="s">
        <v>654</v>
      </c>
      <c r="L22" s="38" t="s">
        <v>655</v>
      </c>
      <c r="M22" s="38"/>
      <c r="N22" s="43">
        <f>LEN(C22)</f>
        <v>3</v>
      </c>
      <c r="O22" s="45"/>
      <c r="P22" s="33" t="str">
        <f t="shared" si="0"/>
        <v>iak</v>
      </c>
      <c r="Q22" s="33" t="str">
        <f t="shared" si="1"/>
        <v>ㄧㄚㆻ</v>
      </c>
      <c r="S22" s="24" t="str">
        <f t="shared" si="2"/>
        <v>iak</v>
      </c>
      <c r="T22" s="24" t="str">
        <f t="shared" si="3"/>
        <v>ㄧㄚㆻ</v>
      </c>
      <c r="U22" s="46"/>
      <c r="V22" s="47" t="str">
        <f t="shared" si="6"/>
        <v xml:space="preserve">    - xform/》iak/ㄧㄚㆻ》/</v>
      </c>
    </row>
    <row r="23" spans="1:22" ht="27.75" customHeight="1" thickBot="1">
      <c r="A23" s="38">
        <v>33</v>
      </c>
      <c r="B23" s="39" t="s">
        <v>637</v>
      </c>
      <c r="C23" s="40" t="s">
        <v>131</v>
      </c>
      <c r="D23" s="40" t="s">
        <v>131</v>
      </c>
      <c r="E23" s="38" t="s">
        <v>131</v>
      </c>
      <c r="F23" s="38" t="s">
        <v>131</v>
      </c>
      <c r="G23" s="38" t="s">
        <v>131</v>
      </c>
      <c r="H23" s="38" t="s">
        <v>131</v>
      </c>
      <c r="I23" s="42" t="s">
        <v>131</v>
      </c>
      <c r="J23" s="43" t="s">
        <v>638</v>
      </c>
      <c r="K23" s="38" t="s">
        <v>639</v>
      </c>
      <c r="L23" s="38" t="s">
        <v>640</v>
      </c>
      <c r="M23" s="38"/>
      <c r="N23" s="43">
        <f>LEN(C23)</f>
        <v>3</v>
      </c>
      <c r="O23" s="45"/>
      <c r="P23" s="33" t="str">
        <f t="shared" si="0"/>
        <v>iam</v>
      </c>
      <c r="Q23" s="33" t="str">
        <f t="shared" si="1"/>
        <v>ㄧㆰ</v>
      </c>
      <c r="S23" s="24" t="str">
        <f t="shared" si="2"/>
        <v>iam</v>
      </c>
      <c r="T23" s="24" t="str">
        <f t="shared" si="3"/>
        <v>ㄧㆰ</v>
      </c>
      <c r="U23" s="46"/>
      <c r="V23" s="47" t="str">
        <f t="shared" si="6"/>
        <v xml:space="preserve">    - xform/》iam/ㄧㆰ》/</v>
      </c>
    </row>
    <row r="24" spans="1:22" ht="27.75" customHeight="1" thickBot="1">
      <c r="A24" s="38">
        <v>34</v>
      </c>
      <c r="B24" s="39" t="s">
        <v>641</v>
      </c>
      <c r="C24" s="40" t="s">
        <v>8</v>
      </c>
      <c r="D24" s="40" t="s">
        <v>8</v>
      </c>
      <c r="E24" s="38" t="s">
        <v>8</v>
      </c>
      <c r="F24" s="38" t="s">
        <v>8</v>
      </c>
      <c r="G24" s="38" t="s">
        <v>8</v>
      </c>
      <c r="H24" s="38" t="s">
        <v>8</v>
      </c>
      <c r="I24" s="42" t="s">
        <v>8</v>
      </c>
      <c r="J24" s="43" t="s">
        <v>642</v>
      </c>
      <c r="K24" s="38" t="s">
        <v>643</v>
      </c>
      <c r="L24" s="38" t="s">
        <v>643</v>
      </c>
      <c r="M24" s="38"/>
      <c r="N24" s="43">
        <f>LEN(C24)</f>
        <v>3</v>
      </c>
      <c r="O24" s="45"/>
      <c r="P24" s="33" t="str">
        <f t="shared" si="0"/>
        <v>ian</v>
      </c>
      <c r="Q24" s="33" t="str">
        <f t="shared" si="1"/>
        <v>ㄧㄢ</v>
      </c>
      <c r="S24" s="24" t="str">
        <f t="shared" si="2"/>
        <v>ian</v>
      </c>
      <c r="T24" s="24" t="str">
        <f t="shared" si="3"/>
        <v>ㄧㄢ</v>
      </c>
      <c r="U24" s="46"/>
      <c r="V24" s="47" t="str">
        <f t="shared" si="6"/>
        <v xml:space="preserve">    - xform/》ian/ㄧㄢ》/</v>
      </c>
    </row>
    <row r="25" spans="1:22" ht="27.75" customHeight="1" thickBot="1">
      <c r="A25" s="38">
        <v>35</v>
      </c>
      <c r="B25" s="39" t="s">
        <v>595</v>
      </c>
      <c r="C25" s="40" t="s">
        <v>107</v>
      </c>
      <c r="D25" s="40" t="s">
        <v>107</v>
      </c>
      <c r="E25" s="38" t="s">
        <v>107</v>
      </c>
      <c r="F25" s="38" t="s">
        <v>107</v>
      </c>
      <c r="G25" s="38" t="s">
        <v>107</v>
      </c>
      <c r="H25" s="38" t="s">
        <v>107</v>
      </c>
      <c r="I25" s="42" t="s">
        <v>107</v>
      </c>
      <c r="J25" s="43" t="s">
        <v>596</v>
      </c>
      <c r="K25" s="38" t="s">
        <v>597</v>
      </c>
      <c r="L25" s="38" t="s">
        <v>597</v>
      </c>
      <c r="M25" s="38"/>
      <c r="N25" s="43">
        <f>LEN(C25)</f>
        <v>4</v>
      </c>
      <c r="O25" s="45"/>
      <c r="P25" s="33" t="str">
        <f t="shared" si="0"/>
        <v>iang</v>
      </c>
      <c r="Q25" s="33" t="str">
        <f t="shared" si="1"/>
        <v>ㄧㄤ</v>
      </c>
      <c r="S25" s="24" t="str">
        <f t="shared" si="2"/>
        <v>iang</v>
      </c>
      <c r="T25" s="24" t="str">
        <f t="shared" si="3"/>
        <v>ㄧㄤ</v>
      </c>
      <c r="U25" s="46"/>
      <c r="V25" s="47" t="str">
        <f t="shared" si="6"/>
        <v xml:space="preserve">    - xform/》iang/ㄧㄤ》/</v>
      </c>
    </row>
    <row r="26" spans="1:22" ht="27.75" customHeight="1" thickBot="1">
      <c r="A26" s="38">
        <v>32</v>
      </c>
      <c r="B26" s="39" t="s">
        <v>492</v>
      </c>
      <c r="C26" s="40" t="s">
        <v>493</v>
      </c>
      <c r="D26" s="40" t="s">
        <v>494</v>
      </c>
      <c r="E26" s="41" t="s">
        <v>493</v>
      </c>
      <c r="F26" s="41" t="s">
        <v>493</v>
      </c>
      <c r="G26" s="41" t="s">
        <v>494</v>
      </c>
      <c r="H26" s="41" t="s">
        <v>830</v>
      </c>
      <c r="I26" s="41" t="s">
        <v>495</v>
      </c>
      <c r="J26" s="50" t="s">
        <v>496</v>
      </c>
      <c r="K26" s="51" t="s">
        <v>228</v>
      </c>
      <c r="L26" s="38" t="s">
        <v>497</v>
      </c>
      <c r="M26" s="44" t="s">
        <v>491</v>
      </c>
      <c r="N26" s="43">
        <f>LEN(C26)</f>
        <v>5</v>
      </c>
      <c r="O26" s="45"/>
      <c r="P26" s="33" t="str">
        <f t="shared" si="0"/>
        <v>Liah</v>
      </c>
      <c r="Q26" s="33" t="str">
        <f t="shared" si="1"/>
        <v>ㄧㆩㆷ</v>
      </c>
      <c r="S26" s="24" t="str">
        <f t="shared" si="2"/>
        <v>Liah</v>
      </c>
      <c r="T26" s="24" t="str">
        <f t="shared" si="3"/>
        <v>ㄧㆩㆷ</v>
      </c>
      <c r="U26" s="46"/>
      <c r="V26" s="47" t="str">
        <f t="shared" si="6"/>
        <v xml:space="preserve">    - xform/》Liah/ㄧㆩㆷ》/</v>
      </c>
    </row>
    <row r="27" spans="1:22" ht="27.75" customHeight="1" thickBot="1">
      <c r="A27" s="38">
        <v>39</v>
      </c>
      <c r="B27" s="39" t="s">
        <v>656</v>
      </c>
      <c r="C27" s="40" t="s">
        <v>70</v>
      </c>
      <c r="D27" s="40" t="s">
        <v>70</v>
      </c>
      <c r="E27" s="38" t="s">
        <v>70</v>
      </c>
      <c r="F27" s="38" t="s">
        <v>70</v>
      </c>
      <c r="G27" s="38" t="s">
        <v>70</v>
      </c>
      <c r="H27" s="38" t="s">
        <v>71</v>
      </c>
      <c r="I27" s="42" t="s">
        <v>70</v>
      </c>
      <c r="J27" s="43" t="s">
        <v>657</v>
      </c>
      <c r="K27" s="38" t="s">
        <v>658</v>
      </c>
      <c r="L27" s="38" t="s">
        <v>658</v>
      </c>
      <c r="M27" s="38"/>
      <c r="N27" s="43">
        <f>LEN(C27)</f>
        <v>3</v>
      </c>
      <c r="O27" s="45"/>
      <c r="P27" s="33" t="str">
        <f t="shared" si="0"/>
        <v>iau</v>
      </c>
      <c r="Q27" s="33" t="str">
        <f t="shared" si="1"/>
        <v>ㄧㄠ</v>
      </c>
      <c r="S27" s="24" t="str">
        <f t="shared" si="2"/>
        <v>iau</v>
      </c>
      <c r="T27" s="24" t="str">
        <f t="shared" si="3"/>
        <v>ㄧㄠ</v>
      </c>
      <c r="U27" s="46"/>
      <c r="V27" s="47" t="str">
        <f t="shared" si="6"/>
        <v xml:space="preserve">    - xform/》iau/ㄧㄠ》/</v>
      </c>
    </row>
    <row r="28" spans="1:22" ht="27.75" customHeight="1" thickBot="1">
      <c r="A28" s="38">
        <v>41</v>
      </c>
      <c r="B28" s="39" t="s">
        <v>598</v>
      </c>
      <c r="C28" s="40" t="s">
        <v>599</v>
      </c>
      <c r="D28" s="40" t="s">
        <v>599</v>
      </c>
      <c r="E28" s="38" t="s">
        <v>599</v>
      </c>
      <c r="F28" s="38" t="s">
        <v>599</v>
      </c>
      <c r="G28" s="38" t="s">
        <v>599</v>
      </c>
      <c r="H28" s="38" t="s">
        <v>73</v>
      </c>
      <c r="I28" s="42" t="s">
        <v>599</v>
      </c>
      <c r="J28" s="43" t="s">
        <v>600</v>
      </c>
      <c r="K28" s="38" t="s">
        <v>601</v>
      </c>
      <c r="L28" s="38" t="s">
        <v>602</v>
      </c>
      <c r="M28" s="38"/>
      <c r="N28" s="43">
        <f>LEN(C28)</f>
        <v>4</v>
      </c>
      <c r="O28" s="45"/>
      <c r="P28" s="33" t="str">
        <f t="shared" si="0"/>
        <v>iauh</v>
      </c>
      <c r="Q28" s="33" t="str">
        <f t="shared" si="1"/>
        <v>ㄧㄠㆷ</v>
      </c>
      <c r="S28" s="24" t="str">
        <f t="shared" si="2"/>
        <v>iauh</v>
      </c>
      <c r="T28" s="24" t="str">
        <f t="shared" si="3"/>
        <v>ㄧㄠㆷ</v>
      </c>
      <c r="U28" s="46"/>
      <c r="V28" s="47" t="str">
        <f t="shared" si="6"/>
        <v xml:space="preserve">    - xform/》iauh/ㄧㄠㆷ》/</v>
      </c>
    </row>
    <row r="29" spans="1:22" ht="30.75" customHeight="1" thickBot="1">
      <c r="A29" s="38">
        <v>36</v>
      </c>
      <c r="B29" s="39" t="s">
        <v>644</v>
      </c>
      <c r="C29" s="40" t="s">
        <v>133</v>
      </c>
      <c r="D29" s="40" t="s">
        <v>133</v>
      </c>
      <c r="E29" s="38" t="s">
        <v>133</v>
      </c>
      <c r="F29" s="38" t="s">
        <v>133</v>
      </c>
      <c r="G29" s="38" t="s">
        <v>133</v>
      </c>
      <c r="H29" s="38" t="s">
        <v>133</v>
      </c>
      <c r="I29" s="42" t="s">
        <v>133</v>
      </c>
      <c r="J29" s="43" t="s">
        <v>645</v>
      </c>
      <c r="K29" s="38" t="s">
        <v>646</v>
      </c>
      <c r="L29" s="38" t="s">
        <v>647</v>
      </c>
      <c r="M29" s="38"/>
      <c r="N29" s="43">
        <f>LEN(C29)</f>
        <v>3</v>
      </c>
      <c r="O29" s="45"/>
      <c r="P29" s="33" t="str">
        <f t="shared" si="0"/>
        <v>iap</v>
      </c>
      <c r="Q29" s="33" t="str">
        <f t="shared" si="1"/>
        <v>ㄧㄚㆴ</v>
      </c>
      <c r="S29" s="24" t="str">
        <f t="shared" si="2"/>
        <v>iap</v>
      </c>
      <c r="T29" s="24" t="str">
        <f t="shared" si="3"/>
        <v>ㄧㄚㆴ</v>
      </c>
      <c r="U29" s="46"/>
      <c r="V29" s="47" t="str">
        <f t="shared" si="6"/>
        <v xml:space="preserve">    - xform/》iap/ㄧㄚㆴ》/</v>
      </c>
    </row>
    <row r="30" spans="1:22" ht="27.75" customHeight="1" thickBot="1">
      <c r="A30" s="38">
        <v>37</v>
      </c>
      <c r="B30" s="39" t="s">
        <v>648</v>
      </c>
      <c r="C30" s="40" t="s">
        <v>10</v>
      </c>
      <c r="D30" s="40" t="s">
        <v>10</v>
      </c>
      <c r="E30" s="38" t="s">
        <v>10</v>
      </c>
      <c r="F30" s="38" t="s">
        <v>10</v>
      </c>
      <c r="G30" s="38" t="s">
        <v>10</v>
      </c>
      <c r="H30" s="38" t="s">
        <v>10</v>
      </c>
      <c r="I30" s="42" t="s">
        <v>10</v>
      </c>
      <c r="J30" s="43" t="s">
        <v>649</v>
      </c>
      <c r="K30" s="38" t="s">
        <v>650</v>
      </c>
      <c r="L30" s="38" t="s">
        <v>651</v>
      </c>
      <c r="M30" s="38"/>
      <c r="N30" s="43">
        <f>LEN(C30)</f>
        <v>3</v>
      </c>
      <c r="O30" s="45"/>
      <c r="P30" s="33" t="str">
        <f t="shared" si="0"/>
        <v>iat</v>
      </c>
      <c r="Q30" s="33" t="str">
        <f t="shared" si="1"/>
        <v>ㄧㄚㆵ</v>
      </c>
      <c r="S30" s="24" t="str">
        <f t="shared" si="2"/>
        <v>iat</v>
      </c>
      <c r="T30" s="24" t="str">
        <f t="shared" si="3"/>
        <v>ㄧㄚㆵ</v>
      </c>
      <c r="U30" s="46"/>
      <c r="V30" s="47" t="str">
        <f t="shared" si="6"/>
        <v xml:space="preserve">    - xform/》iat/ㄧㄚㆵ》/</v>
      </c>
    </row>
    <row r="31" spans="1:22" ht="27.75" customHeight="1" thickBot="1">
      <c r="A31" s="38">
        <v>22</v>
      </c>
      <c r="B31" s="39" t="s">
        <v>729</v>
      </c>
      <c r="C31" s="40" t="s">
        <v>180</v>
      </c>
      <c r="D31" s="40" t="s">
        <v>180</v>
      </c>
      <c r="E31" s="38" t="s">
        <v>180</v>
      </c>
      <c r="F31" s="38" t="s">
        <v>180</v>
      </c>
      <c r="G31" s="38" t="s">
        <v>180</v>
      </c>
      <c r="H31" s="38" t="s">
        <v>180</v>
      </c>
      <c r="I31" s="42" t="s">
        <v>180</v>
      </c>
      <c r="J31" s="43" t="s">
        <v>730</v>
      </c>
      <c r="K31" s="38" t="s">
        <v>731</v>
      </c>
      <c r="L31" s="38" t="s">
        <v>732</v>
      </c>
      <c r="M31" s="38"/>
      <c r="N31" s="43">
        <f>LEN(C31)</f>
        <v>2</v>
      </c>
      <c r="O31" s="45"/>
      <c r="P31" s="33" t="str">
        <f t="shared" si="0"/>
        <v>ih</v>
      </c>
      <c r="Q31" s="33" t="str">
        <f t="shared" si="1"/>
        <v>ㄧㆷ</v>
      </c>
      <c r="S31" s="24" t="str">
        <f t="shared" si="2"/>
        <v>ih</v>
      </c>
      <c r="T31" s="24" t="str">
        <f t="shared" si="3"/>
        <v>ㄧㆷ</v>
      </c>
      <c r="U31" s="46"/>
      <c r="V31" s="47" t="str">
        <f t="shared" si="6"/>
        <v xml:space="preserve">    - xform/》ih/ㄧㆷ》/</v>
      </c>
    </row>
    <row r="32" spans="1:22" ht="27.75" customHeight="1" thickBot="1">
      <c r="A32" s="38">
        <v>28</v>
      </c>
      <c r="B32" s="39" t="s">
        <v>746</v>
      </c>
      <c r="C32" s="40" t="s">
        <v>55</v>
      </c>
      <c r="D32" s="40" t="s">
        <v>55</v>
      </c>
      <c r="E32" s="38" t="s">
        <v>55</v>
      </c>
      <c r="F32" s="38" t="s">
        <v>747</v>
      </c>
      <c r="G32" s="38" t="s">
        <v>747</v>
      </c>
      <c r="H32" s="38" t="s">
        <v>55</v>
      </c>
      <c r="I32" s="42" t="s">
        <v>748</v>
      </c>
      <c r="J32" s="43" t="s">
        <v>749</v>
      </c>
      <c r="K32" s="38" t="s">
        <v>750</v>
      </c>
      <c r="L32" s="38" t="s">
        <v>751</v>
      </c>
      <c r="M32" s="38"/>
      <c r="N32" s="43">
        <f>LEN(C32)</f>
        <v>2</v>
      </c>
      <c r="O32" s="45"/>
      <c r="P32" s="33" t="str">
        <f t="shared" si="0"/>
        <v>iek</v>
      </c>
      <c r="Q32" s="33" t="str">
        <f t="shared" si="1"/>
        <v>ㄧㆻ</v>
      </c>
      <c r="S32" s="24" t="str">
        <f t="shared" si="2"/>
        <v>iek</v>
      </c>
      <c r="T32" s="24" t="str">
        <f t="shared" si="3"/>
        <v>ㄧㆻ</v>
      </c>
      <c r="U32" s="46"/>
      <c r="V32" s="47" t="str">
        <f t="shared" si="6"/>
        <v xml:space="preserve">    - xform/》iek/ㄧㆻ》/</v>
      </c>
    </row>
    <row r="33" spans="1:22" ht="27.75" customHeight="1" thickBot="1">
      <c r="A33" s="38">
        <v>23</v>
      </c>
      <c r="B33" s="39" t="s">
        <v>14</v>
      </c>
      <c r="C33" s="40" t="s">
        <v>14</v>
      </c>
      <c r="D33" s="40" t="s">
        <v>14</v>
      </c>
      <c r="E33" s="38" t="s">
        <v>14</v>
      </c>
      <c r="F33" s="38" t="s">
        <v>14</v>
      </c>
      <c r="G33" s="38" t="s">
        <v>14</v>
      </c>
      <c r="H33" s="38" t="s">
        <v>14</v>
      </c>
      <c r="I33" s="42" t="s">
        <v>14</v>
      </c>
      <c r="J33" s="43" t="s">
        <v>733</v>
      </c>
      <c r="K33" s="38" t="s">
        <v>734</v>
      </c>
      <c r="L33" s="38" t="s">
        <v>735</v>
      </c>
      <c r="M33" s="38"/>
      <c r="N33" s="43">
        <f>LEN(C33)</f>
        <v>2</v>
      </c>
      <c r="O33" s="45"/>
      <c r="P33" s="33" t="str">
        <f t="shared" si="0"/>
        <v>im</v>
      </c>
      <c r="Q33" s="33" t="str">
        <f t="shared" si="1"/>
        <v>ㄧㆬ</v>
      </c>
      <c r="S33" s="24" t="str">
        <f t="shared" si="2"/>
        <v>im</v>
      </c>
      <c r="T33" s="24" t="str">
        <f t="shared" si="3"/>
        <v>ㄧㆬ</v>
      </c>
      <c r="U33" s="46"/>
      <c r="V33" s="47" t="str">
        <f t="shared" si="6"/>
        <v xml:space="preserve">    - xform/》im/ㄧㆬ》/</v>
      </c>
    </row>
    <row r="34" spans="1:22" ht="27.75" customHeight="1" thickBot="1">
      <c r="A34" s="38">
        <v>24</v>
      </c>
      <c r="B34" s="39" t="s">
        <v>101</v>
      </c>
      <c r="C34" s="40" t="s">
        <v>101</v>
      </c>
      <c r="D34" s="40" t="s">
        <v>101</v>
      </c>
      <c r="E34" s="38" t="s">
        <v>101</v>
      </c>
      <c r="F34" s="38" t="s">
        <v>101</v>
      </c>
      <c r="G34" s="38" t="s">
        <v>101</v>
      </c>
      <c r="H34" s="38" t="s">
        <v>101</v>
      </c>
      <c r="I34" s="42" t="s">
        <v>101</v>
      </c>
      <c r="J34" s="43" t="s">
        <v>736</v>
      </c>
      <c r="K34" s="38" t="s">
        <v>737</v>
      </c>
      <c r="L34" s="38" t="s">
        <v>737</v>
      </c>
      <c r="M34" s="38"/>
      <c r="N34" s="43">
        <f>LEN(C34)</f>
        <v>2</v>
      </c>
      <c r="O34" s="45"/>
      <c r="P34" s="33" t="str">
        <f t="shared" si="0"/>
        <v>in</v>
      </c>
      <c r="Q34" s="33" t="str">
        <f t="shared" si="1"/>
        <v>ㄧㄣ</v>
      </c>
      <c r="S34" s="24" t="str">
        <f t="shared" si="2"/>
        <v>in</v>
      </c>
      <c r="T34" s="24" t="str">
        <f t="shared" si="3"/>
        <v>ㄧㄣ</v>
      </c>
      <c r="U34" s="46"/>
      <c r="V34" s="47" t="str">
        <f t="shared" si="6"/>
        <v xml:space="preserve">    - xform/》in/ㄧㄣ》/</v>
      </c>
    </row>
    <row r="35" spans="1:22" ht="27.75" customHeight="1" thickBot="1">
      <c r="A35" s="38">
        <v>25</v>
      </c>
      <c r="B35" s="39" t="s">
        <v>630</v>
      </c>
      <c r="C35" s="40" t="s">
        <v>53</v>
      </c>
      <c r="D35" s="40" t="s">
        <v>53</v>
      </c>
      <c r="E35" s="38" t="s">
        <v>53</v>
      </c>
      <c r="F35" s="38" t="s">
        <v>53</v>
      </c>
      <c r="G35" s="38" t="s">
        <v>53</v>
      </c>
      <c r="H35" s="38" t="s">
        <v>53</v>
      </c>
      <c r="I35" s="42" t="s">
        <v>631</v>
      </c>
      <c r="J35" s="43" t="s">
        <v>632</v>
      </c>
      <c r="K35" s="38" t="s">
        <v>633</v>
      </c>
      <c r="L35" s="38" t="s">
        <v>633</v>
      </c>
      <c r="M35" s="38"/>
      <c r="N35" s="43">
        <f>LEN(C35)</f>
        <v>3</v>
      </c>
      <c r="O35" s="45"/>
      <c r="P35" s="33" t="str">
        <f t="shared" si="0"/>
        <v>ing</v>
      </c>
      <c r="Q35" s="33" t="str">
        <f t="shared" si="1"/>
        <v>ㄧㄥ</v>
      </c>
      <c r="S35" s="24" t="str">
        <f t="shared" si="2"/>
        <v>ing</v>
      </c>
      <c r="T35" s="24" t="str">
        <f t="shared" si="3"/>
        <v>ㄧㄥ</v>
      </c>
      <c r="U35" s="46"/>
      <c r="V35" s="47" t="str">
        <f t="shared" si="6"/>
        <v xml:space="preserve">    - xform/》ing/ㄧㄥ》/</v>
      </c>
    </row>
    <row r="36" spans="1:22" ht="27.75" customHeight="1" thickBot="1">
      <c r="A36" s="38">
        <v>42</v>
      </c>
      <c r="B36" s="39" t="s">
        <v>755</v>
      </c>
      <c r="C36" s="40" t="s">
        <v>204</v>
      </c>
      <c r="D36" s="40" t="s">
        <v>204</v>
      </c>
      <c r="E36" s="38" t="s">
        <v>204</v>
      </c>
      <c r="F36" s="38" t="s">
        <v>203</v>
      </c>
      <c r="G36" s="38" t="s">
        <v>203</v>
      </c>
      <c r="H36" s="38" t="s">
        <v>204</v>
      </c>
      <c r="I36" s="42" t="s">
        <v>204</v>
      </c>
      <c r="J36" s="43" t="s">
        <v>756</v>
      </c>
      <c r="K36" s="38" t="s">
        <v>757</v>
      </c>
      <c r="L36" s="38" t="s">
        <v>757</v>
      </c>
      <c r="M36" s="38"/>
      <c r="N36" s="43">
        <f>LEN(C36)</f>
        <v>2</v>
      </c>
      <c r="O36" s="45"/>
      <c r="P36" s="33" t="str">
        <f t="shared" si="0"/>
        <v>ior</v>
      </c>
      <c r="Q36" s="33" t="str">
        <f t="shared" si="1"/>
        <v>ㄧㄜ</v>
      </c>
      <c r="S36" s="24" t="str">
        <f t="shared" si="2"/>
        <v>ior</v>
      </c>
      <c r="T36" s="24" t="str">
        <f t="shared" si="3"/>
        <v>ㄧㄜ</v>
      </c>
      <c r="U36" s="46"/>
      <c r="V36" s="47" t="str">
        <f t="shared" si="6"/>
        <v xml:space="preserve">    - xform/》ior/ㄧㄜ》/</v>
      </c>
    </row>
    <row r="37" spans="1:22" ht="27.75" customHeight="1" thickBot="1">
      <c r="A37" s="38">
        <v>44</v>
      </c>
      <c r="B37" s="39" t="s">
        <v>659</v>
      </c>
      <c r="C37" s="40" t="s">
        <v>207</v>
      </c>
      <c r="D37" s="40" t="s">
        <v>207</v>
      </c>
      <c r="E37" s="38" t="s">
        <v>207</v>
      </c>
      <c r="F37" s="38" t="s">
        <v>206</v>
      </c>
      <c r="G37" s="38" t="s">
        <v>206</v>
      </c>
      <c r="H37" s="38" t="s">
        <v>207</v>
      </c>
      <c r="I37" s="42" t="s">
        <v>207</v>
      </c>
      <c r="J37" s="43" t="s">
        <v>660</v>
      </c>
      <c r="K37" s="38" t="s">
        <v>661</v>
      </c>
      <c r="L37" s="38" t="s">
        <v>662</v>
      </c>
      <c r="M37" s="38"/>
      <c r="N37" s="43">
        <f>LEN(C37)</f>
        <v>3</v>
      </c>
      <c r="O37" s="45"/>
      <c r="P37" s="33" t="str">
        <f t="shared" si="0"/>
        <v>iorh</v>
      </c>
      <c r="Q37" s="33" t="str">
        <f t="shared" si="1"/>
        <v>ㄧㄜㆷ</v>
      </c>
      <c r="S37" s="24" t="str">
        <f t="shared" si="2"/>
        <v>iorh</v>
      </c>
      <c r="T37" s="24" t="str">
        <f t="shared" si="3"/>
        <v>ㄧㄜㆷ</v>
      </c>
      <c r="U37" s="46"/>
      <c r="V37" s="47" t="str">
        <f t="shared" si="6"/>
        <v xml:space="preserve">    - xform/》iorh/ㄧㄜㆷ》/</v>
      </c>
    </row>
    <row r="38" spans="1:22" ht="27.75" customHeight="1" thickBot="1">
      <c r="A38" s="38">
        <v>46</v>
      </c>
      <c r="B38" s="39" t="s">
        <v>663</v>
      </c>
      <c r="C38" s="40" t="s">
        <v>85</v>
      </c>
      <c r="D38" s="40" t="s">
        <v>85</v>
      </c>
      <c r="E38" s="38" t="s">
        <v>85</v>
      </c>
      <c r="F38" s="38" t="s">
        <v>84</v>
      </c>
      <c r="G38" s="38" t="s">
        <v>84</v>
      </c>
      <c r="H38" s="38" t="s">
        <v>85</v>
      </c>
      <c r="I38" s="42" t="s">
        <v>85</v>
      </c>
      <c r="J38" s="43" t="s">
        <v>664</v>
      </c>
      <c r="K38" s="38" t="s">
        <v>665</v>
      </c>
      <c r="L38" s="38" t="s">
        <v>666</v>
      </c>
      <c r="M38" s="38"/>
      <c r="N38" s="43">
        <f>LEN(C38)</f>
        <v>3</v>
      </c>
      <c r="O38" s="45"/>
      <c r="P38" s="33" t="str">
        <f t="shared" si="0"/>
        <v>iook</v>
      </c>
      <c r="Q38" s="33" t="str">
        <f t="shared" si="1"/>
        <v>ㄧㆦㆻ</v>
      </c>
      <c r="S38" s="24" t="str">
        <f t="shared" si="2"/>
        <v>iook</v>
      </c>
      <c r="T38" s="24" t="str">
        <f t="shared" si="3"/>
        <v>ㄧㆦㆻ</v>
      </c>
      <c r="U38" s="46"/>
      <c r="V38" s="47" t="str">
        <f t="shared" si="6"/>
        <v xml:space="preserve">    - xform/》iook/ㄧㆦㆻ》/</v>
      </c>
    </row>
    <row r="39" spans="1:22" ht="27.75" customHeight="1" thickBot="1">
      <c r="A39" s="38">
        <v>45</v>
      </c>
      <c r="B39" s="39" t="s">
        <v>603</v>
      </c>
      <c r="C39" s="40" t="s">
        <v>82</v>
      </c>
      <c r="D39" s="40" t="s">
        <v>82</v>
      </c>
      <c r="E39" s="38" t="s">
        <v>82</v>
      </c>
      <c r="F39" s="38" t="s">
        <v>82</v>
      </c>
      <c r="G39" s="38" t="s">
        <v>82</v>
      </c>
      <c r="H39" s="38" t="s">
        <v>82</v>
      </c>
      <c r="I39" s="42" t="s">
        <v>82</v>
      </c>
      <c r="J39" s="43" t="s">
        <v>604</v>
      </c>
      <c r="K39" s="38" t="s">
        <v>605</v>
      </c>
      <c r="L39" s="38" t="s">
        <v>606</v>
      </c>
      <c r="M39" s="38"/>
      <c r="N39" s="43">
        <f>LEN(C39)</f>
        <v>4</v>
      </c>
      <c r="O39" s="45"/>
      <c r="P39" s="33" t="str">
        <f t="shared" si="0"/>
        <v>iong</v>
      </c>
      <c r="Q39" s="33" t="str">
        <f t="shared" si="1"/>
        <v>ㄧㆲ</v>
      </c>
      <c r="S39" s="24" t="str">
        <f t="shared" si="2"/>
        <v>iong</v>
      </c>
      <c r="T39" s="24" t="str">
        <f t="shared" si="3"/>
        <v>ㄧㆲ</v>
      </c>
      <c r="U39" s="46"/>
      <c r="V39" s="47" t="str">
        <f t="shared" si="6"/>
        <v xml:space="preserve">    - xform/》iong/ㄧㆲ》/</v>
      </c>
    </row>
    <row r="40" spans="1:22" ht="27.75" customHeight="1" thickBot="1">
      <c r="A40" s="38">
        <v>26</v>
      </c>
      <c r="B40" s="39" t="s">
        <v>738</v>
      </c>
      <c r="C40" s="40" t="s">
        <v>16</v>
      </c>
      <c r="D40" s="40" t="s">
        <v>16</v>
      </c>
      <c r="E40" s="38" t="s">
        <v>16</v>
      </c>
      <c r="F40" s="38" t="s">
        <v>16</v>
      </c>
      <c r="G40" s="38" t="s">
        <v>16</v>
      </c>
      <c r="H40" s="38" t="s">
        <v>16</v>
      </c>
      <c r="I40" s="42" t="s">
        <v>16</v>
      </c>
      <c r="J40" s="43" t="s">
        <v>739</v>
      </c>
      <c r="K40" s="38" t="s">
        <v>740</v>
      </c>
      <c r="L40" s="38" t="s">
        <v>741</v>
      </c>
      <c r="M40" s="38"/>
      <c r="N40" s="43">
        <f>LEN(C40)</f>
        <v>2</v>
      </c>
      <c r="O40" s="45"/>
      <c r="P40" s="33" t="str">
        <f t="shared" si="0"/>
        <v>ip</v>
      </c>
      <c r="Q40" s="33" t="str">
        <f t="shared" si="1"/>
        <v>一ㆴ</v>
      </c>
      <c r="S40" s="24" t="str">
        <f t="shared" si="2"/>
        <v>ip</v>
      </c>
      <c r="T40" s="24" t="str">
        <f t="shared" si="3"/>
        <v>一ㆴ</v>
      </c>
      <c r="U40" s="46"/>
      <c r="V40" s="47" t="str">
        <f t="shared" si="6"/>
        <v xml:space="preserve">    - xform/》ip/一ㆴ》/</v>
      </c>
    </row>
    <row r="41" spans="1:22" ht="30.75" customHeight="1" thickBot="1">
      <c r="A41" s="38">
        <v>27</v>
      </c>
      <c r="B41" s="39" t="s">
        <v>742</v>
      </c>
      <c r="C41" s="40" t="s">
        <v>103</v>
      </c>
      <c r="D41" s="40" t="s">
        <v>103</v>
      </c>
      <c r="E41" s="38" t="s">
        <v>103</v>
      </c>
      <c r="F41" s="38" t="s">
        <v>103</v>
      </c>
      <c r="G41" s="38" t="s">
        <v>103</v>
      </c>
      <c r="H41" s="38" t="s">
        <v>103</v>
      </c>
      <c r="I41" s="42" t="s">
        <v>103</v>
      </c>
      <c r="J41" s="43" t="s">
        <v>743</v>
      </c>
      <c r="K41" s="38" t="s">
        <v>744</v>
      </c>
      <c r="L41" s="38" t="s">
        <v>745</v>
      </c>
      <c r="M41" s="38"/>
      <c r="N41" s="43">
        <f>LEN(C41)</f>
        <v>2</v>
      </c>
      <c r="O41" s="45"/>
      <c r="P41" s="33" t="str">
        <f t="shared" si="0"/>
        <v>it</v>
      </c>
      <c r="Q41" s="33" t="str">
        <f t="shared" si="1"/>
        <v>ㄧㆵ</v>
      </c>
      <c r="S41" s="24" t="str">
        <f t="shared" si="2"/>
        <v>it</v>
      </c>
      <c r="T41" s="24" t="str">
        <f t="shared" si="3"/>
        <v>ㄧㆵ</v>
      </c>
      <c r="U41" s="46"/>
      <c r="V41" s="47" t="str">
        <f t="shared" si="6"/>
        <v xml:space="preserve">    - xform/》it/ㄧㆵ》/</v>
      </c>
    </row>
    <row r="42" spans="1:22" ht="27.75" customHeight="1" thickBot="1">
      <c r="A42" s="38">
        <v>47</v>
      </c>
      <c r="B42" s="39" t="s">
        <v>184</v>
      </c>
      <c r="C42" s="40" t="s">
        <v>184</v>
      </c>
      <c r="D42" s="40" t="s">
        <v>184</v>
      </c>
      <c r="E42" s="38" t="s">
        <v>184</v>
      </c>
      <c r="F42" s="38" t="s">
        <v>184</v>
      </c>
      <c r="G42" s="38" t="s">
        <v>184</v>
      </c>
      <c r="H42" s="38" t="s">
        <v>184</v>
      </c>
      <c r="I42" s="42" t="s">
        <v>184</v>
      </c>
      <c r="J42" s="43" t="s">
        <v>758</v>
      </c>
      <c r="K42" s="38" t="s">
        <v>759</v>
      </c>
      <c r="L42" s="38" t="s">
        <v>759</v>
      </c>
      <c r="M42" s="38"/>
      <c r="N42" s="43">
        <f>LEN(C42)</f>
        <v>2</v>
      </c>
      <c r="O42" s="45"/>
      <c r="P42" s="33" t="str">
        <f t="shared" si="0"/>
        <v>iu</v>
      </c>
      <c r="Q42" s="33" t="str">
        <f t="shared" si="1"/>
        <v>ㄧㄨ</v>
      </c>
      <c r="S42" s="24" t="str">
        <f t="shared" si="2"/>
        <v>iu</v>
      </c>
      <c r="T42" s="24" t="str">
        <f t="shared" si="3"/>
        <v>ㄧㄨ</v>
      </c>
      <c r="U42" s="46"/>
      <c r="V42" s="47" t="str">
        <f t="shared" si="6"/>
        <v xml:space="preserve">    - xform/》iu/ㄧㄨ》/</v>
      </c>
    </row>
    <row r="43" spans="1:22" ht="27.75" customHeight="1" thickBot="1">
      <c r="A43" s="38">
        <v>79</v>
      </c>
      <c r="B43" s="39" t="s">
        <v>819</v>
      </c>
      <c r="C43" s="40" t="s">
        <v>260</v>
      </c>
      <c r="D43" s="40" t="s">
        <v>260</v>
      </c>
      <c r="E43" s="38" t="s">
        <v>260</v>
      </c>
      <c r="F43" s="38" t="s">
        <v>260</v>
      </c>
      <c r="G43" s="38" t="s">
        <v>260</v>
      </c>
      <c r="H43" s="38" t="s">
        <v>260</v>
      </c>
      <c r="I43" s="42" t="s">
        <v>260</v>
      </c>
      <c r="J43" s="43" t="s">
        <v>820</v>
      </c>
      <c r="K43" s="38" t="s">
        <v>261</v>
      </c>
      <c r="L43" s="38" t="s">
        <v>821</v>
      </c>
      <c r="M43" s="38"/>
      <c r="N43" s="43">
        <f>LEN(C43)</f>
        <v>1</v>
      </c>
      <c r="O43" s="45"/>
      <c r="P43" s="33" t="str">
        <f t="shared" si="0"/>
        <v>m</v>
      </c>
      <c r="Q43" s="33" t="str">
        <f t="shared" si="1"/>
        <v>ㆬ</v>
      </c>
      <c r="S43" s="24" t="str">
        <f t="shared" si="2"/>
        <v>m</v>
      </c>
      <c r="T43" s="24" t="str">
        <f t="shared" si="3"/>
        <v>ㆬ</v>
      </c>
      <c r="U43" s="46"/>
      <c r="V43" s="47" t="str">
        <f t="shared" si="6"/>
        <v xml:space="preserve">    - xform/》m/ㆬ》/</v>
      </c>
    </row>
    <row r="44" spans="1:22" ht="27.75" customHeight="1" thickBot="1">
      <c r="A44" s="38">
        <v>80</v>
      </c>
      <c r="B44" s="39" t="s">
        <v>799</v>
      </c>
      <c r="C44" s="40" t="s">
        <v>800</v>
      </c>
      <c r="D44" s="40" t="s">
        <v>800</v>
      </c>
      <c r="E44" s="41" t="s">
        <v>800</v>
      </c>
      <c r="F44" s="41" t="s">
        <v>800</v>
      </c>
      <c r="G44" s="41" t="s">
        <v>800</v>
      </c>
      <c r="H44" s="41" t="s">
        <v>800</v>
      </c>
      <c r="I44" s="41" t="s">
        <v>800</v>
      </c>
      <c r="J44" s="53" t="s">
        <v>801</v>
      </c>
      <c r="K44" s="52" t="s">
        <v>802</v>
      </c>
      <c r="L44" s="54" t="s">
        <v>803</v>
      </c>
      <c r="M44" s="38"/>
      <c r="N44" s="43">
        <f>LEN(C44)</f>
        <v>2</v>
      </c>
      <c r="O44" s="45"/>
      <c r="P44" s="33" t="str">
        <f t="shared" si="0"/>
        <v>mh</v>
      </c>
      <c r="Q44" s="33" t="str">
        <f t="shared" si="1"/>
        <v>ㆬㆷ</v>
      </c>
      <c r="S44" s="24" t="str">
        <f t="shared" si="2"/>
        <v>mh</v>
      </c>
      <c r="T44" s="24" t="str">
        <f t="shared" si="3"/>
        <v>ㆬㆷ</v>
      </c>
      <c r="U44" s="46"/>
      <c r="V44" s="47" t="str">
        <f t="shared" si="6"/>
        <v xml:space="preserve">    - xform/》mh/ㆬㆷ》/</v>
      </c>
    </row>
    <row r="45" spans="1:22" ht="27.75" customHeight="1" thickBot="1">
      <c r="A45" s="38">
        <v>2</v>
      </c>
      <c r="B45" s="39" t="s">
        <v>573</v>
      </c>
      <c r="C45" s="40" t="s">
        <v>157</v>
      </c>
      <c r="D45" s="40" t="s">
        <v>574</v>
      </c>
      <c r="E45" s="38" t="s">
        <v>157</v>
      </c>
      <c r="F45" s="38" t="s">
        <v>157</v>
      </c>
      <c r="G45" s="38" t="s">
        <v>574</v>
      </c>
      <c r="H45" s="38" t="s">
        <v>158</v>
      </c>
      <c r="I45" s="42" t="s">
        <v>575</v>
      </c>
      <c r="J45" s="43" t="s">
        <v>576</v>
      </c>
      <c r="K45" s="38" t="s">
        <v>159</v>
      </c>
      <c r="L45" s="38" t="s">
        <v>577</v>
      </c>
      <c r="M45" s="44" t="s">
        <v>491</v>
      </c>
      <c r="N45" s="43">
        <f>LEN(C45)</f>
        <v>3</v>
      </c>
      <c r="O45" s="45"/>
      <c r="P45" s="33" t="str">
        <f t="shared" si="0"/>
        <v>La</v>
      </c>
      <c r="Q45" s="33" t="str">
        <f t="shared" si="1"/>
        <v>ㆩ</v>
      </c>
      <c r="S45" s="24" t="str">
        <f t="shared" si="2"/>
        <v>La</v>
      </c>
      <c r="T45" s="24" t="str">
        <f t="shared" si="3"/>
        <v>ㆩ</v>
      </c>
      <c r="U45" s="46"/>
      <c r="V45" s="47" t="str">
        <f t="shared" si="6"/>
        <v xml:space="preserve">    - xform/》La/ㆩ》/</v>
      </c>
    </row>
    <row r="46" spans="1:22" ht="27.75" customHeight="1" thickBot="1">
      <c r="A46" s="38">
        <v>4</v>
      </c>
      <c r="B46" s="39" t="s">
        <v>518</v>
      </c>
      <c r="C46" s="40" t="s">
        <v>161</v>
      </c>
      <c r="D46" s="40" t="s">
        <v>519</v>
      </c>
      <c r="E46" s="38" t="s">
        <v>520</v>
      </c>
      <c r="F46" s="38" t="s">
        <v>161</v>
      </c>
      <c r="G46" s="38" t="s">
        <v>519</v>
      </c>
      <c r="H46" s="41" t="s">
        <v>162</v>
      </c>
      <c r="I46" s="42" t="s">
        <v>521</v>
      </c>
      <c r="J46" s="43" t="s">
        <v>522</v>
      </c>
      <c r="K46" s="38" t="s">
        <v>163</v>
      </c>
      <c r="L46" s="38" t="s">
        <v>523</v>
      </c>
      <c r="M46" s="44" t="s">
        <v>491</v>
      </c>
      <c r="N46" s="43">
        <f>LEN(C46)</f>
        <v>4</v>
      </c>
      <c r="O46" s="45"/>
      <c r="P46" s="33" t="str">
        <f t="shared" si="0"/>
        <v>Lah</v>
      </c>
      <c r="Q46" s="33" t="str">
        <f t="shared" si="1"/>
        <v>ㆩㆷ</v>
      </c>
      <c r="S46" s="24" t="str">
        <f t="shared" si="2"/>
        <v>Lah</v>
      </c>
      <c r="T46" s="24" t="str">
        <f t="shared" si="3"/>
        <v>ㆩㆷ</v>
      </c>
      <c r="U46" s="46"/>
      <c r="V46" s="47" t="str">
        <f t="shared" si="6"/>
        <v xml:space="preserve">    - xform/》Lah/ㆩㆷ》/</v>
      </c>
    </row>
    <row r="47" spans="1:22" ht="27.75" customHeight="1" thickBot="1">
      <c r="A47" s="38">
        <v>12</v>
      </c>
      <c r="B47" s="39" t="s">
        <v>524</v>
      </c>
      <c r="C47" s="40" t="s">
        <v>247</v>
      </c>
      <c r="D47" s="40" t="s">
        <v>525</v>
      </c>
      <c r="E47" s="38" t="s">
        <v>247</v>
      </c>
      <c r="F47" s="38" t="s">
        <v>247</v>
      </c>
      <c r="G47" s="38" t="s">
        <v>525</v>
      </c>
      <c r="H47" s="38" t="s">
        <v>248</v>
      </c>
      <c r="I47" s="42" t="s">
        <v>526</v>
      </c>
      <c r="J47" s="43" t="s">
        <v>527</v>
      </c>
      <c r="K47" s="38" t="s">
        <v>249</v>
      </c>
      <c r="L47" s="38" t="s">
        <v>528</v>
      </c>
      <c r="M47" s="44" t="s">
        <v>491</v>
      </c>
      <c r="N47" s="43">
        <f>LEN(C47)</f>
        <v>4</v>
      </c>
      <c r="O47" s="45"/>
      <c r="P47" s="33" t="str">
        <f t="shared" si="0"/>
        <v>Lai</v>
      </c>
      <c r="Q47" s="33" t="str">
        <f t="shared" si="1"/>
        <v>ㆮ</v>
      </c>
      <c r="S47" s="24" t="str">
        <f t="shared" si="2"/>
        <v>Lai</v>
      </c>
      <c r="T47" s="24" t="str">
        <f t="shared" si="3"/>
        <v>ㆮ</v>
      </c>
      <c r="U47" s="46"/>
      <c r="V47" s="47" t="str">
        <f t="shared" si="6"/>
        <v xml:space="preserve">    - xform/》Lai/ㆮ》/</v>
      </c>
    </row>
    <row r="48" spans="1:22" ht="30.75" customHeight="1" thickBot="1">
      <c r="A48" s="38">
        <v>17</v>
      </c>
      <c r="B48" s="39" t="s">
        <v>578</v>
      </c>
      <c r="C48" s="40" t="s">
        <v>189</v>
      </c>
      <c r="D48" s="40" t="s">
        <v>579</v>
      </c>
      <c r="E48" s="38" t="s">
        <v>189</v>
      </c>
      <c r="F48" s="38" t="s">
        <v>189</v>
      </c>
      <c r="G48" s="38" t="s">
        <v>579</v>
      </c>
      <c r="H48" s="38" t="s">
        <v>190</v>
      </c>
      <c r="I48" s="42" t="s">
        <v>580</v>
      </c>
      <c r="J48" s="43" t="s">
        <v>581</v>
      </c>
      <c r="K48" s="38" t="s">
        <v>191</v>
      </c>
      <c r="L48" s="38" t="s">
        <v>582</v>
      </c>
      <c r="M48" s="44" t="s">
        <v>491</v>
      </c>
      <c r="N48" s="43">
        <f>LEN(C48)</f>
        <v>3</v>
      </c>
      <c r="O48" s="45"/>
      <c r="P48" s="33" t="str">
        <f t="shared" si="0"/>
        <v>Le</v>
      </c>
      <c r="Q48" s="33" t="str">
        <f t="shared" si="1"/>
        <v>ㆥ</v>
      </c>
      <c r="S48" s="24" t="str">
        <f t="shared" si="2"/>
        <v>Le</v>
      </c>
      <c r="T48" s="24" t="str">
        <f t="shared" si="3"/>
        <v>ㆥ</v>
      </c>
      <c r="U48" s="46"/>
      <c r="V48" s="47" t="str">
        <f t="shared" si="6"/>
        <v xml:space="preserve">    - xform/》Le/ㆥ》/</v>
      </c>
    </row>
    <row r="49" spans="1:22" ht="27.75" customHeight="1" thickBot="1">
      <c r="A49" s="38">
        <v>81</v>
      </c>
      <c r="B49" s="39" t="s">
        <v>804</v>
      </c>
      <c r="C49" s="40" t="s">
        <v>237</v>
      </c>
      <c r="D49" s="40" t="s">
        <v>237</v>
      </c>
      <c r="E49" s="38" t="s">
        <v>237</v>
      </c>
      <c r="F49" s="38" t="s">
        <v>237</v>
      </c>
      <c r="G49" s="38" t="s">
        <v>237</v>
      </c>
      <c r="H49" s="38" t="s">
        <v>237</v>
      </c>
      <c r="I49" s="42" t="s">
        <v>237</v>
      </c>
      <c r="J49" s="43" t="s">
        <v>805</v>
      </c>
      <c r="K49" s="38" t="s">
        <v>238</v>
      </c>
      <c r="L49" s="38" t="s">
        <v>806</v>
      </c>
      <c r="M49" s="38"/>
      <c r="N49" s="43">
        <f>LEN(C49)</f>
        <v>2</v>
      </c>
      <c r="O49" s="45"/>
      <c r="P49" s="33" t="str">
        <f t="shared" si="0"/>
        <v>ng</v>
      </c>
      <c r="Q49" s="33" t="str">
        <f t="shared" si="1"/>
        <v>ㆭ</v>
      </c>
      <c r="S49" s="24" t="str">
        <f t="shared" si="2"/>
        <v>ng</v>
      </c>
      <c r="T49" s="24" t="str">
        <f t="shared" si="3"/>
        <v>ㆭ</v>
      </c>
      <c r="U49" s="46"/>
      <c r="V49" s="47" t="str">
        <f t="shared" si="6"/>
        <v xml:space="preserve">    - xform/》ng/ㆭ》/</v>
      </c>
    </row>
    <row r="50" spans="1:22" ht="27.75" customHeight="1" thickBot="1">
      <c r="A50" s="38">
        <v>82</v>
      </c>
      <c r="B50" s="39" t="s">
        <v>697</v>
      </c>
      <c r="C50" s="40" t="s">
        <v>698</v>
      </c>
      <c r="D50" s="40" t="s">
        <v>698</v>
      </c>
      <c r="E50" s="41" t="s">
        <v>698</v>
      </c>
      <c r="F50" s="41" t="s">
        <v>698</v>
      </c>
      <c r="G50" s="41" t="s">
        <v>698</v>
      </c>
      <c r="H50" s="41" t="s">
        <v>698</v>
      </c>
      <c r="I50" s="41" t="s">
        <v>698</v>
      </c>
      <c r="J50" s="53" t="s">
        <v>699</v>
      </c>
      <c r="K50" s="52" t="s">
        <v>240</v>
      </c>
      <c r="L50" s="55" t="s">
        <v>700</v>
      </c>
      <c r="M50" s="38"/>
      <c r="N50" s="43">
        <f>LEN(C50)</f>
        <v>3</v>
      </c>
      <c r="O50" s="45"/>
      <c r="P50" s="33" t="str">
        <f t="shared" si="0"/>
        <v>ngh</v>
      </c>
      <c r="Q50" s="33" t="str">
        <f t="shared" si="1"/>
        <v>ㆭㆷ</v>
      </c>
      <c r="S50" s="24" t="str">
        <f t="shared" si="2"/>
        <v>ngh</v>
      </c>
      <c r="T50" s="24" t="str">
        <f t="shared" si="3"/>
        <v>ㆭㆷ</v>
      </c>
      <c r="U50" s="46"/>
      <c r="V50" s="47" t="str">
        <f t="shared" si="6"/>
        <v xml:space="preserve">    - xform/》ngh/ㆭㆷ》/</v>
      </c>
    </row>
    <row r="51" spans="1:22" ht="27.75" customHeight="1" thickBot="1">
      <c r="A51" s="38">
        <v>21</v>
      </c>
      <c r="B51" s="39" t="s">
        <v>583</v>
      </c>
      <c r="C51" s="40" t="s">
        <v>211</v>
      </c>
      <c r="D51" s="40" t="s">
        <v>584</v>
      </c>
      <c r="E51" s="38" t="s">
        <v>211</v>
      </c>
      <c r="F51" s="38" t="s">
        <v>211</v>
      </c>
      <c r="G51" s="38" t="s">
        <v>584</v>
      </c>
      <c r="H51" s="38" t="s">
        <v>212</v>
      </c>
      <c r="I51" s="42" t="s">
        <v>585</v>
      </c>
      <c r="J51" s="43" t="s">
        <v>586</v>
      </c>
      <c r="K51" s="38" t="s">
        <v>213</v>
      </c>
      <c r="L51" s="38" t="s">
        <v>587</v>
      </c>
      <c r="M51" s="44" t="s">
        <v>491</v>
      </c>
      <c r="N51" s="43">
        <f>LEN(C51)</f>
        <v>3</v>
      </c>
      <c r="O51" s="45"/>
      <c r="P51" s="33" t="str">
        <f t="shared" si="0"/>
        <v>Li</v>
      </c>
      <c r="Q51" s="33" t="str">
        <f t="shared" si="1"/>
        <v>ㆪ</v>
      </c>
      <c r="S51" s="24" t="str">
        <f t="shared" si="2"/>
        <v>Li</v>
      </c>
      <c r="T51" s="24" t="str">
        <f t="shared" si="3"/>
        <v>ㆪ</v>
      </c>
      <c r="U51" s="46"/>
      <c r="V51" s="47" t="str">
        <f t="shared" si="6"/>
        <v xml:space="preserve">    - xform/》Li/ㆪ》/</v>
      </c>
    </row>
    <row r="52" spans="1:22" ht="27.75" customHeight="1" thickBot="1">
      <c r="A52" s="38">
        <v>30</v>
      </c>
      <c r="B52" s="39" t="s">
        <v>535</v>
      </c>
      <c r="C52" s="40" t="s">
        <v>225</v>
      </c>
      <c r="D52" s="40" t="s">
        <v>536</v>
      </c>
      <c r="E52" s="38" t="s">
        <v>225</v>
      </c>
      <c r="F52" s="38" t="s">
        <v>225</v>
      </c>
      <c r="G52" s="38" t="s">
        <v>536</v>
      </c>
      <c r="H52" s="38" t="s">
        <v>226</v>
      </c>
      <c r="I52" s="42" t="s">
        <v>537</v>
      </c>
      <c r="J52" s="43" t="s">
        <v>538</v>
      </c>
      <c r="K52" s="38" t="s">
        <v>539</v>
      </c>
      <c r="L52" s="38" t="s">
        <v>540</v>
      </c>
      <c r="M52" s="44" t="s">
        <v>491</v>
      </c>
      <c r="N52" s="43">
        <f>LEN(C52)</f>
        <v>4</v>
      </c>
      <c r="O52" s="45"/>
      <c r="P52" s="33" t="str">
        <f t="shared" si="0"/>
        <v>Lia</v>
      </c>
      <c r="Q52" s="33" t="str">
        <f t="shared" si="1"/>
        <v>ㄧㆩ</v>
      </c>
      <c r="S52" s="24" t="str">
        <f t="shared" si="2"/>
        <v>Lia</v>
      </c>
      <c r="T52" s="24" t="str">
        <f t="shared" si="3"/>
        <v>ㄧㆩ</v>
      </c>
      <c r="U52" s="46"/>
      <c r="V52" s="47" t="str">
        <f t="shared" si="6"/>
        <v xml:space="preserve">    - xform/》Lia/ㄧㆩ》/</v>
      </c>
    </row>
    <row r="53" spans="1:22" ht="27.75" customHeight="1" thickBot="1">
      <c r="A53" s="38">
        <v>40</v>
      </c>
      <c r="B53" s="39" t="s">
        <v>498</v>
      </c>
      <c r="C53" s="40" t="s">
        <v>283</v>
      </c>
      <c r="D53" s="40" t="s">
        <v>499</v>
      </c>
      <c r="E53" s="38" t="s">
        <v>283</v>
      </c>
      <c r="F53" s="38" t="s">
        <v>283</v>
      </c>
      <c r="G53" s="38" t="s">
        <v>499</v>
      </c>
      <c r="H53" s="38" t="s">
        <v>284</v>
      </c>
      <c r="I53" s="42" t="s">
        <v>500</v>
      </c>
      <c r="J53" s="43" t="s">
        <v>501</v>
      </c>
      <c r="K53" s="38" t="s">
        <v>502</v>
      </c>
      <c r="L53" s="38" t="s">
        <v>503</v>
      </c>
      <c r="M53" s="44" t="s">
        <v>491</v>
      </c>
      <c r="N53" s="43">
        <f>LEN(C53)</f>
        <v>5</v>
      </c>
      <c r="O53" s="45"/>
      <c r="P53" s="33" t="str">
        <f t="shared" si="0"/>
        <v>Liau</v>
      </c>
      <c r="Q53" s="33" t="str">
        <f t="shared" si="1"/>
        <v>ㄧㆯ</v>
      </c>
      <c r="S53" s="24" t="str">
        <f t="shared" si="2"/>
        <v>Liau</v>
      </c>
      <c r="T53" s="24" t="str">
        <f t="shared" si="3"/>
        <v>ㄧㆯ</v>
      </c>
      <c r="U53" s="46"/>
      <c r="V53" s="47" t="str">
        <f t="shared" si="6"/>
        <v xml:space="preserve">    - xform/》Liau/ㄧㆯ》/</v>
      </c>
    </row>
    <row r="54" spans="1:22" ht="27.75" customHeight="1" thickBot="1">
      <c r="A54" s="38">
        <v>43</v>
      </c>
      <c r="B54" s="39" t="s">
        <v>541</v>
      </c>
      <c r="C54" s="40" t="s">
        <v>542</v>
      </c>
      <c r="D54" s="40" t="s">
        <v>543</v>
      </c>
      <c r="E54" s="38" t="s">
        <v>542</v>
      </c>
      <c r="F54" s="38" t="s">
        <v>220</v>
      </c>
      <c r="G54" s="38" t="s">
        <v>831</v>
      </c>
      <c r="H54" s="38" t="s">
        <v>544</v>
      </c>
      <c r="I54" s="42" t="s">
        <v>545</v>
      </c>
      <c r="J54" s="43" t="s">
        <v>546</v>
      </c>
      <c r="K54" s="38" t="s">
        <v>547</v>
      </c>
      <c r="L54" s="38" t="s">
        <v>548</v>
      </c>
      <c r="M54" s="44" t="s">
        <v>491</v>
      </c>
      <c r="N54" s="43">
        <f>LEN(C54)</f>
        <v>4</v>
      </c>
      <c r="O54" s="45"/>
      <c r="P54" s="33" t="str">
        <f t="shared" si="0"/>
        <v>Lioo</v>
      </c>
      <c r="Q54" s="33" t="str">
        <f t="shared" si="1"/>
        <v>ㄧㆧ</v>
      </c>
      <c r="S54" s="24" t="str">
        <f t="shared" si="2"/>
        <v>Lioo</v>
      </c>
      <c r="T54" s="24" t="str">
        <f t="shared" si="3"/>
        <v>ㄧㆧ</v>
      </c>
      <c r="U54" s="46"/>
      <c r="V54" s="47" t="str">
        <f t="shared" si="6"/>
        <v xml:space="preserve">    - xform/》Lioo/ㄧㆧ》/</v>
      </c>
    </row>
    <row r="55" spans="1:22" ht="27.75" customHeight="1" thickBot="1">
      <c r="A55" s="38">
        <v>48</v>
      </c>
      <c r="B55" s="39" t="s">
        <v>549</v>
      </c>
      <c r="C55" s="40" t="s">
        <v>310</v>
      </c>
      <c r="D55" s="40" t="s">
        <v>550</v>
      </c>
      <c r="E55" s="38" t="s">
        <v>310</v>
      </c>
      <c r="F55" s="38" t="s">
        <v>310</v>
      </c>
      <c r="G55" s="38" t="s">
        <v>550</v>
      </c>
      <c r="H55" s="38" t="s">
        <v>311</v>
      </c>
      <c r="I55" s="42" t="s">
        <v>551</v>
      </c>
      <c r="J55" s="43" t="s">
        <v>552</v>
      </c>
      <c r="K55" s="38" t="s">
        <v>553</v>
      </c>
      <c r="L55" s="38" t="s">
        <v>554</v>
      </c>
      <c r="M55" s="44" t="s">
        <v>491</v>
      </c>
      <c r="N55" s="43">
        <f>LEN(C55)</f>
        <v>4</v>
      </c>
      <c r="O55" s="45"/>
      <c r="P55" s="33" t="str">
        <f t="shared" si="0"/>
        <v>Liu</v>
      </c>
      <c r="Q55" s="33" t="str">
        <f t="shared" si="1"/>
        <v>ㄧㆫ</v>
      </c>
      <c r="S55" s="24" t="str">
        <f t="shared" si="2"/>
        <v>Liu</v>
      </c>
      <c r="T55" s="24" t="str">
        <f t="shared" si="3"/>
        <v>ㄧㆫ</v>
      </c>
      <c r="U55" s="46"/>
      <c r="V55" s="47" t="str">
        <f t="shared" si="6"/>
        <v xml:space="preserve">    - xform/》Liu/ㄧㆫ》/</v>
      </c>
    </row>
    <row r="56" spans="1:22" ht="27.75" customHeight="1" thickBot="1">
      <c r="A56" s="38">
        <v>49</v>
      </c>
      <c r="B56" s="39" t="s">
        <v>504</v>
      </c>
      <c r="C56" s="40" t="s">
        <v>505</v>
      </c>
      <c r="D56" s="40" t="s">
        <v>506</v>
      </c>
      <c r="E56" s="41" t="s">
        <v>505</v>
      </c>
      <c r="F56" s="41" t="s">
        <v>505</v>
      </c>
      <c r="G56" s="41" t="s">
        <v>506</v>
      </c>
      <c r="H56" s="41" t="s">
        <v>507</v>
      </c>
      <c r="I56" s="41" t="s">
        <v>508</v>
      </c>
      <c r="J56" s="50" t="s">
        <v>509</v>
      </c>
      <c r="K56" s="51" t="s">
        <v>510</v>
      </c>
      <c r="L56" s="38" t="s">
        <v>511</v>
      </c>
      <c r="M56" s="44" t="s">
        <v>491</v>
      </c>
      <c r="N56" s="43">
        <f>LEN(C56)</f>
        <v>5</v>
      </c>
      <c r="O56" s="45"/>
      <c r="P56" s="33" t="str">
        <f t="shared" si="0"/>
        <v>Liuh</v>
      </c>
      <c r="Q56" s="33" t="str">
        <f t="shared" si="1"/>
        <v>ㄧㆫㆷ</v>
      </c>
      <c r="S56" s="24" t="str">
        <f t="shared" si="2"/>
        <v>Liuh</v>
      </c>
      <c r="T56" s="24" t="str">
        <f t="shared" si="3"/>
        <v>ㄧㆫㆷ</v>
      </c>
      <c r="U56" s="46"/>
      <c r="V56" s="47" t="str">
        <f t="shared" si="6"/>
        <v xml:space="preserve">    - xform/》Liuh/ㄧㆫㆷ》/</v>
      </c>
    </row>
    <row r="57" spans="1:22" ht="27.75" customHeight="1" thickBot="1">
      <c r="A57" s="38">
        <v>55</v>
      </c>
      <c r="B57" s="39" t="s">
        <v>555</v>
      </c>
      <c r="C57" s="40" t="s">
        <v>306</v>
      </c>
      <c r="D57" s="40" t="s">
        <v>556</v>
      </c>
      <c r="E57" s="38" t="s">
        <v>557</v>
      </c>
      <c r="F57" s="38" t="s">
        <v>306</v>
      </c>
      <c r="G57" s="38" t="s">
        <v>832</v>
      </c>
      <c r="H57" s="38" t="s">
        <v>833</v>
      </c>
      <c r="I57" s="42" t="s">
        <v>558</v>
      </c>
      <c r="J57" s="43" t="s">
        <v>559</v>
      </c>
      <c r="K57" s="38" t="s">
        <v>307</v>
      </c>
      <c r="L57" s="38" t="s">
        <v>560</v>
      </c>
      <c r="M57" s="44" t="s">
        <v>491</v>
      </c>
      <c r="N57" s="43">
        <f>LEN(C57)</f>
        <v>4</v>
      </c>
      <c r="O57" s="45"/>
      <c r="P57" s="33" t="str">
        <f t="shared" si="0"/>
        <v>Looh</v>
      </c>
      <c r="Q57" s="33" t="str">
        <f t="shared" si="1"/>
        <v>ㆧㆷ</v>
      </c>
      <c r="S57" s="24" t="str">
        <f t="shared" si="2"/>
        <v>Looh</v>
      </c>
      <c r="T57" s="24" t="str">
        <f t="shared" si="3"/>
        <v>ㆧㆷ</v>
      </c>
      <c r="U57" s="46"/>
      <c r="V57" s="47" t="str">
        <f t="shared" si="6"/>
        <v xml:space="preserve">    - xform/》Looh/ㆧㆷ》/</v>
      </c>
    </row>
    <row r="58" spans="1:22" ht="27.75" customHeight="1" thickBot="1">
      <c r="A58" s="38">
        <v>52</v>
      </c>
      <c r="B58" s="39" t="s">
        <v>588</v>
      </c>
      <c r="C58" s="40" t="s">
        <v>589</v>
      </c>
      <c r="D58" s="40" t="s">
        <v>590</v>
      </c>
      <c r="E58" s="38" t="s">
        <v>589</v>
      </c>
      <c r="F58" s="38" t="s">
        <v>254</v>
      </c>
      <c r="G58" s="38" t="s">
        <v>591</v>
      </c>
      <c r="H58" s="38" t="s">
        <v>255</v>
      </c>
      <c r="I58" s="42" t="s">
        <v>592</v>
      </c>
      <c r="J58" s="43" t="s">
        <v>593</v>
      </c>
      <c r="K58" s="38" t="s">
        <v>256</v>
      </c>
      <c r="L58" s="38" t="s">
        <v>594</v>
      </c>
      <c r="M58" s="44" t="s">
        <v>491</v>
      </c>
      <c r="N58" s="43">
        <f>LEN(C58)</f>
        <v>3</v>
      </c>
      <c r="O58" s="45"/>
      <c r="P58" s="33" t="str">
        <f t="shared" si="0"/>
        <v>Loo</v>
      </c>
      <c r="Q58" s="33" t="str">
        <f t="shared" si="1"/>
        <v>ㆧ</v>
      </c>
      <c r="S58" s="24" t="str">
        <f t="shared" si="2"/>
        <v>Loo</v>
      </c>
      <c r="T58" s="24" t="str">
        <f t="shared" si="3"/>
        <v>ㆧ</v>
      </c>
      <c r="U58" s="46"/>
      <c r="V58" s="47" t="str">
        <f t="shared" si="6"/>
        <v xml:space="preserve">    - xform/》Loo/ㆧ》/</v>
      </c>
    </row>
    <row r="59" spans="1:22" ht="27.75" customHeight="1" thickBot="1">
      <c r="A59" s="38">
        <v>65</v>
      </c>
      <c r="B59" s="39" t="s">
        <v>561</v>
      </c>
      <c r="C59" s="40" t="s">
        <v>231</v>
      </c>
      <c r="D59" s="40" t="s">
        <v>562</v>
      </c>
      <c r="E59" s="38" t="s">
        <v>231</v>
      </c>
      <c r="F59" s="38" t="s">
        <v>231</v>
      </c>
      <c r="G59" s="38" t="s">
        <v>562</v>
      </c>
      <c r="H59" s="38" t="s">
        <v>232</v>
      </c>
      <c r="I59" s="42" t="s">
        <v>563</v>
      </c>
      <c r="J59" s="43" t="s">
        <v>564</v>
      </c>
      <c r="K59" s="38" t="s">
        <v>565</v>
      </c>
      <c r="L59" s="38" t="s">
        <v>566</v>
      </c>
      <c r="M59" s="44" t="s">
        <v>491</v>
      </c>
      <c r="N59" s="43">
        <f>LEN(C59)</f>
        <v>4</v>
      </c>
      <c r="O59" s="45"/>
      <c r="P59" s="33" t="str">
        <f t="shared" si="0"/>
        <v>Lua</v>
      </c>
      <c r="Q59" s="33" t="str">
        <f t="shared" si="1"/>
        <v>ㄨㆩ</v>
      </c>
      <c r="S59" s="24" t="str">
        <f t="shared" si="2"/>
        <v>Lua</v>
      </c>
      <c r="T59" s="24" t="str">
        <f t="shared" si="3"/>
        <v>ㄨㆩ</v>
      </c>
      <c r="U59" s="46"/>
      <c r="V59" s="47" t="str">
        <f t="shared" si="6"/>
        <v xml:space="preserve">    - xform/》Lua/ㄨㆩ》/</v>
      </c>
    </row>
    <row r="60" spans="1:22" ht="27.75" customHeight="1" thickBot="1">
      <c r="A60" s="38">
        <v>71</v>
      </c>
      <c r="B60" s="39" t="s">
        <v>512</v>
      </c>
      <c r="C60" s="40" t="s">
        <v>270</v>
      </c>
      <c r="D60" s="40" t="s">
        <v>513</v>
      </c>
      <c r="E60" s="38" t="s">
        <v>270</v>
      </c>
      <c r="F60" s="38" t="s">
        <v>270</v>
      </c>
      <c r="G60" s="38" t="s">
        <v>513</v>
      </c>
      <c r="H60" s="38" t="s">
        <v>271</v>
      </c>
      <c r="I60" s="42" t="s">
        <v>514</v>
      </c>
      <c r="J60" s="43" t="s">
        <v>515</v>
      </c>
      <c r="K60" s="38" t="s">
        <v>516</v>
      </c>
      <c r="L60" s="38" t="s">
        <v>517</v>
      </c>
      <c r="M60" s="44" t="s">
        <v>491</v>
      </c>
      <c r="N60" s="43">
        <f>LEN(C60)</f>
        <v>5</v>
      </c>
      <c r="O60" s="45"/>
      <c r="P60" s="33" t="str">
        <f t="shared" si="0"/>
        <v>Luai</v>
      </c>
      <c r="Q60" s="33" t="str">
        <f t="shared" si="1"/>
        <v>ㄨㆮ</v>
      </c>
      <c r="S60" s="24" t="str">
        <f t="shared" si="2"/>
        <v>Luai</v>
      </c>
      <c r="T60" s="24" t="str">
        <f t="shared" si="3"/>
        <v>ㄨㆮ</v>
      </c>
      <c r="U60" s="46"/>
      <c r="V60" s="47" t="str">
        <f t="shared" si="6"/>
        <v xml:space="preserve">    - xform/》Luai/ㄨㆮ》/</v>
      </c>
    </row>
    <row r="61" spans="1:22" ht="27.75" customHeight="1" thickBot="1">
      <c r="A61" s="38">
        <v>77</v>
      </c>
      <c r="B61" s="39" t="s">
        <v>567</v>
      </c>
      <c r="C61" s="40" t="s">
        <v>197</v>
      </c>
      <c r="D61" s="40" t="s">
        <v>568</v>
      </c>
      <c r="E61" s="38" t="s">
        <v>568</v>
      </c>
      <c r="F61" s="38" t="s">
        <v>197</v>
      </c>
      <c r="G61" s="38" t="s">
        <v>568</v>
      </c>
      <c r="H61" s="38" t="s">
        <v>198</v>
      </c>
      <c r="I61" s="42" t="s">
        <v>569</v>
      </c>
      <c r="J61" s="43" t="s">
        <v>570</v>
      </c>
      <c r="K61" s="38" t="s">
        <v>571</v>
      </c>
      <c r="L61" s="38" t="s">
        <v>572</v>
      </c>
      <c r="M61" s="44" t="s">
        <v>491</v>
      </c>
      <c r="N61" s="43">
        <f>LEN(C61)</f>
        <v>4</v>
      </c>
      <c r="O61" s="45"/>
      <c r="P61" s="33" t="str">
        <f t="shared" si="0"/>
        <v>Lui</v>
      </c>
      <c r="Q61" s="33" t="str">
        <f t="shared" si="1"/>
        <v>ㄨㆪ</v>
      </c>
      <c r="S61" s="24" t="str">
        <f t="shared" si="2"/>
        <v>Lui</v>
      </c>
      <c r="T61" s="24" t="str">
        <f t="shared" si="3"/>
        <v>ㄨㆪ</v>
      </c>
      <c r="U61" s="46"/>
      <c r="V61" s="47" t="str">
        <f t="shared" si="6"/>
        <v xml:space="preserve">    - xform/》Lui/ㄨㆪ》/</v>
      </c>
    </row>
    <row r="62" spans="1:22" ht="27.75" customHeight="1" thickBot="1">
      <c r="A62" s="38">
        <v>50</v>
      </c>
      <c r="B62" s="39" t="s">
        <v>814</v>
      </c>
      <c r="C62" s="40" t="s">
        <v>90</v>
      </c>
      <c r="D62" s="40" t="s">
        <v>90</v>
      </c>
      <c r="E62" s="38" t="s">
        <v>90</v>
      </c>
      <c r="F62" s="38" t="s">
        <v>89</v>
      </c>
      <c r="G62" s="38" t="s">
        <v>89</v>
      </c>
      <c r="H62" s="38" t="s">
        <v>90</v>
      </c>
      <c r="I62" s="42" t="s">
        <v>90</v>
      </c>
      <c r="J62" s="43" t="s">
        <v>815</v>
      </c>
      <c r="K62" s="38" t="s">
        <v>816</v>
      </c>
      <c r="L62" s="38" t="s">
        <v>816</v>
      </c>
      <c r="M62" s="38"/>
      <c r="N62" s="43">
        <f>LEN(C62)</f>
        <v>1</v>
      </c>
      <c r="O62" s="45"/>
      <c r="P62" s="33" t="str">
        <f t="shared" si="0"/>
        <v>or</v>
      </c>
      <c r="Q62" s="33" t="str">
        <f t="shared" si="1"/>
        <v>ㄜ</v>
      </c>
      <c r="S62" s="24" t="str">
        <f t="shared" si="2"/>
        <v>or</v>
      </c>
      <c r="T62" s="24" t="str">
        <f t="shared" si="3"/>
        <v>ㄜ</v>
      </c>
      <c r="U62" s="46"/>
      <c r="V62" s="47" t="str">
        <f t="shared" si="6"/>
        <v xml:space="preserve">    - xform/》or/ㄜ》/</v>
      </c>
    </row>
    <row r="63" spans="1:22" ht="27.75" customHeight="1" thickBot="1">
      <c r="A63" s="38">
        <v>53</v>
      </c>
      <c r="B63" s="39" t="s">
        <v>764</v>
      </c>
      <c r="C63" s="40" t="s">
        <v>92</v>
      </c>
      <c r="D63" s="40" t="s">
        <v>92</v>
      </c>
      <c r="E63" s="38" t="s">
        <v>92</v>
      </c>
      <c r="F63" s="38" t="s">
        <v>765</v>
      </c>
      <c r="G63" s="38" t="s">
        <v>765</v>
      </c>
      <c r="H63" s="38" t="s">
        <v>92</v>
      </c>
      <c r="I63" s="42" t="s">
        <v>92</v>
      </c>
      <c r="J63" s="43" t="s">
        <v>766</v>
      </c>
      <c r="K63" s="38" t="s">
        <v>767</v>
      </c>
      <c r="L63" s="38" t="s">
        <v>768</v>
      </c>
      <c r="M63" s="38"/>
      <c r="N63" s="43">
        <f>LEN(C63)</f>
        <v>2</v>
      </c>
      <c r="O63" s="45"/>
      <c r="P63" s="33" t="str">
        <f t="shared" si="0"/>
        <v>orh</v>
      </c>
      <c r="Q63" s="33" t="str">
        <f t="shared" si="1"/>
        <v>ㄜㆷ</v>
      </c>
      <c r="S63" s="24" t="str">
        <f t="shared" si="2"/>
        <v>orh</v>
      </c>
      <c r="T63" s="24" t="str">
        <f t="shared" si="3"/>
        <v>ㄜㆷ</v>
      </c>
      <c r="U63" s="46"/>
      <c r="V63" s="47" t="str">
        <f t="shared" si="6"/>
        <v xml:space="preserve">    - xform/》orh/ㄜㆷ》/</v>
      </c>
    </row>
    <row r="64" spans="1:22" ht="27.75" customHeight="1" thickBot="1">
      <c r="A64" s="38">
        <v>59</v>
      </c>
      <c r="B64" s="39" t="s">
        <v>777</v>
      </c>
      <c r="C64" s="40" t="s">
        <v>42</v>
      </c>
      <c r="D64" s="40" t="s">
        <v>42</v>
      </c>
      <c r="E64" s="38" t="s">
        <v>42</v>
      </c>
      <c r="F64" s="38" t="s">
        <v>42</v>
      </c>
      <c r="G64" s="38" t="s">
        <v>42</v>
      </c>
      <c r="H64" s="38" t="s">
        <v>42</v>
      </c>
      <c r="I64" s="42" t="s">
        <v>42</v>
      </c>
      <c r="J64" s="43" t="s">
        <v>778</v>
      </c>
      <c r="K64" s="38" t="s">
        <v>43</v>
      </c>
      <c r="L64" s="38" t="s">
        <v>779</v>
      </c>
      <c r="M64" s="38"/>
      <c r="N64" s="43">
        <f>LEN(C64)</f>
        <v>2</v>
      </c>
      <c r="O64" s="45"/>
      <c r="P64" s="33" t="str">
        <f t="shared" si="0"/>
        <v>ok</v>
      </c>
      <c r="Q64" s="33" t="str">
        <f t="shared" si="1"/>
        <v>ㆦㆻ</v>
      </c>
      <c r="S64" s="24" t="str">
        <f t="shared" si="2"/>
        <v>ok</v>
      </c>
      <c r="T64" s="24" t="str">
        <f t="shared" si="3"/>
        <v>ㆦㆻ</v>
      </c>
      <c r="U64" s="46"/>
      <c r="V64" s="47" t="str">
        <f t="shared" si="6"/>
        <v xml:space="preserve">    - xform/》ok/ㆦㆻ》/</v>
      </c>
    </row>
    <row r="65" spans="1:22" ht="27.75" customHeight="1" thickBot="1">
      <c r="A65" s="38">
        <v>56</v>
      </c>
      <c r="B65" s="39" t="s">
        <v>769</v>
      </c>
      <c r="C65" s="40" t="s">
        <v>770</v>
      </c>
      <c r="D65" s="40" t="s">
        <v>770</v>
      </c>
      <c r="E65" s="38" t="s">
        <v>770</v>
      </c>
      <c r="F65" s="38" t="s">
        <v>290</v>
      </c>
      <c r="G65" s="38" t="s">
        <v>290</v>
      </c>
      <c r="H65" s="38" t="s">
        <v>770</v>
      </c>
      <c r="I65" s="42" t="s">
        <v>770</v>
      </c>
      <c r="J65" s="43" t="s">
        <v>771</v>
      </c>
      <c r="K65" s="38" t="s">
        <v>291</v>
      </c>
      <c r="L65" s="38" t="s">
        <v>772</v>
      </c>
      <c r="M65" s="38"/>
      <c r="N65" s="43">
        <f>LEN(C65)</f>
        <v>2</v>
      </c>
      <c r="O65" s="45"/>
      <c r="P65" s="33" t="str">
        <f t="shared" si="0"/>
        <v>oom</v>
      </c>
      <c r="Q65" s="33" t="str">
        <f t="shared" si="1"/>
        <v>ㆱ</v>
      </c>
      <c r="S65" s="24" t="str">
        <f t="shared" si="2"/>
        <v>oom</v>
      </c>
      <c r="T65" s="24" t="str">
        <f t="shared" si="3"/>
        <v>ㆱ</v>
      </c>
      <c r="U65" s="46"/>
      <c r="V65" s="47" t="str">
        <f t="shared" si="6"/>
        <v xml:space="preserve">    - xform/》oom/ㆱ》/</v>
      </c>
    </row>
    <row r="66" spans="1:22" ht="27.75" customHeight="1" thickBot="1">
      <c r="A66" s="38">
        <v>57</v>
      </c>
      <c r="B66" s="39" t="s">
        <v>673</v>
      </c>
      <c r="C66" s="40" t="s">
        <v>39</v>
      </c>
      <c r="D66" s="40" t="s">
        <v>39</v>
      </c>
      <c r="E66" s="38" t="s">
        <v>39</v>
      </c>
      <c r="F66" s="38" t="s">
        <v>39</v>
      </c>
      <c r="G66" s="38" t="s">
        <v>39</v>
      </c>
      <c r="H66" s="38" t="s">
        <v>39</v>
      </c>
      <c r="I66" s="42" t="s">
        <v>39</v>
      </c>
      <c r="J66" s="43" t="s">
        <v>674</v>
      </c>
      <c r="K66" s="38" t="s">
        <v>40</v>
      </c>
      <c r="L66" s="38" t="s">
        <v>675</v>
      </c>
      <c r="M66" s="38"/>
      <c r="N66" s="43">
        <f>LEN(C66)</f>
        <v>3</v>
      </c>
      <c r="O66" s="45"/>
      <c r="P66" s="33" t="str">
        <f t="shared" si="0"/>
        <v>ong</v>
      </c>
      <c r="Q66" s="33" t="str">
        <f t="shared" si="1"/>
        <v>ㆲ</v>
      </c>
      <c r="S66" s="24" t="str">
        <f t="shared" si="2"/>
        <v>ong</v>
      </c>
      <c r="T66" s="24" t="str">
        <f t="shared" si="3"/>
        <v>ㆲ</v>
      </c>
      <c r="U66" s="46"/>
      <c r="V66" s="47" t="str">
        <f t="shared" si="6"/>
        <v xml:space="preserve">    - xform/》ong/ㆲ》/</v>
      </c>
    </row>
    <row r="67" spans="1:22" ht="27.75" customHeight="1" thickBot="1">
      <c r="A67" s="38">
        <v>51</v>
      </c>
      <c r="B67" s="39" t="s">
        <v>760</v>
      </c>
      <c r="C67" s="40" t="s">
        <v>65</v>
      </c>
      <c r="D67" s="40" t="s">
        <v>65</v>
      </c>
      <c r="E67" s="38" t="s">
        <v>65</v>
      </c>
      <c r="F67" s="38" t="s">
        <v>65</v>
      </c>
      <c r="G67" s="38" t="s">
        <v>65</v>
      </c>
      <c r="H67" s="38" t="s">
        <v>65</v>
      </c>
      <c r="I67" s="42" t="s">
        <v>761</v>
      </c>
      <c r="J67" s="43" t="s">
        <v>762</v>
      </c>
      <c r="K67" s="38" t="s">
        <v>66</v>
      </c>
      <c r="L67" s="38" t="s">
        <v>763</v>
      </c>
      <c r="M67" s="38"/>
      <c r="N67" s="43">
        <f>LEN(C67)</f>
        <v>2</v>
      </c>
      <c r="O67" s="45"/>
      <c r="P67" s="33" t="str">
        <f t="shared" ref="P67:P85" si="7">G67</f>
        <v>oo</v>
      </c>
      <c r="Q67" s="33" t="str">
        <f t="shared" ref="Q67:Q85" si="8">K67</f>
        <v>ㆦ</v>
      </c>
      <c r="S67" s="24" t="str">
        <f t="shared" si="2"/>
        <v>oo</v>
      </c>
      <c r="T67" s="24" t="str">
        <f t="shared" si="3"/>
        <v>ㆦ</v>
      </c>
      <c r="U67" s="46"/>
      <c r="V67" s="47" t="str">
        <f t="shared" si="6"/>
        <v xml:space="preserve">    - xform/》oo/ㆦ》/</v>
      </c>
    </row>
    <row r="68" spans="1:22" ht="27.75" customHeight="1" thickBot="1">
      <c r="A68" s="38">
        <v>54</v>
      </c>
      <c r="B68" s="39" t="s">
        <v>667</v>
      </c>
      <c r="C68" s="40" t="s">
        <v>668</v>
      </c>
      <c r="D68" s="40" t="s">
        <v>668</v>
      </c>
      <c r="E68" s="41" t="s">
        <v>668</v>
      </c>
      <c r="F68" s="41" t="s">
        <v>668</v>
      </c>
      <c r="G68" s="41" t="s">
        <v>668</v>
      </c>
      <c r="H68" s="41" t="s">
        <v>668</v>
      </c>
      <c r="I68" s="41" t="s">
        <v>669</v>
      </c>
      <c r="J68" s="50" t="s">
        <v>670</v>
      </c>
      <c r="K68" s="52" t="s">
        <v>671</v>
      </c>
      <c r="L68" s="55" t="s">
        <v>672</v>
      </c>
      <c r="M68" s="38"/>
      <c r="N68" s="43">
        <f>LEN(C68)</f>
        <v>3</v>
      </c>
      <c r="O68" s="45"/>
      <c r="P68" s="33" t="str">
        <f t="shared" si="7"/>
        <v>ooh</v>
      </c>
      <c r="Q68" s="33" t="str">
        <f t="shared" si="8"/>
        <v>ㆦㆷ</v>
      </c>
      <c r="S68" s="24" t="str">
        <f t="shared" ref="S68:S85" si="9">_xlfn.CONCAT(P68)</f>
        <v>ooh</v>
      </c>
      <c r="T68" s="24" t="str">
        <f t="shared" ref="T68:T85" si="10">IFERROR( _xlfn.CONCAT(Q68, ""), "" )</f>
        <v>ㆦㆷ</v>
      </c>
      <c r="U68" s="46"/>
      <c r="V68" s="47" t="str">
        <f t="shared" si="6"/>
        <v xml:space="preserve">    - xform/》ooh/ㆦㆷ》/</v>
      </c>
    </row>
    <row r="69" spans="1:22" ht="27.75" customHeight="1" thickBot="1">
      <c r="A69" s="38">
        <v>58</v>
      </c>
      <c r="B69" s="39" t="s">
        <v>773</v>
      </c>
      <c r="C69" s="40" t="s">
        <v>774</v>
      </c>
      <c r="D69" s="40" t="s">
        <v>774</v>
      </c>
      <c r="E69" s="38" t="s">
        <v>774</v>
      </c>
      <c r="F69" s="38" t="s">
        <v>293</v>
      </c>
      <c r="G69" s="38" t="s">
        <v>293</v>
      </c>
      <c r="H69" s="38" t="s">
        <v>774</v>
      </c>
      <c r="I69" s="42" t="s">
        <v>774</v>
      </c>
      <c r="J69" s="43" t="s">
        <v>775</v>
      </c>
      <c r="K69" s="38" t="s">
        <v>294</v>
      </c>
      <c r="L69" s="38" t="s">
        <v>776</v>
      </c>
      <c r="M69" s="38"/>
      <c r="N69" s="43">
        <f>LEN(C69)</f>
        <v>2</v>
      </c>
      <c r="O69" s="45"/>
      <c r="P69" s="33" t="str">
        <f t="shared" si="7"/>
        <v>oop</v>
      </c>
      <c r="Q69" s="33" t="str">
        <f t="shared" si="8"/>
        <v>ㆦㆴ</v>
      </c>
      <c r="S69" s="24" t="str">
        <f t="shared" si="9"/>
        <v>oop</v>
      </c>
      <c r="T69" s="24" t="str">
        <f t="shared" si="10"/>
        <v>ㆦㆴ</v>
      </c>
      <c r="U69" s="46"/>
      <c r="V69" s="47" t="str">
        <f>IF(AND(Q69&lt;&gt;"", P69&lt;&gt;""), "    - xform/》" &amp; S69 &amp;  "/"  &amp; T69 &amp;  "》/", "")</f>
        <v xml:space="preserve">    - xform/》oop/ㆦㆴ》/</v>
      </c>
    </row>
    <row r="70" spans="1:22" ht="27.75" customHeight="1" thickBot="1">
      <c r="A70" s="38">
        <v>60</v>
      </c>
      <c r="B70" s="39" t="s">
        <v>167</v>
      </c>
      <c r="C70" s="40" t="s">
        <v>167</v>
      </c>
      <c r="D70" s="40" t="s">
        <v>167</v>
      </c>
      <c r="E70" s="38" t="s">
        <v>167</v>
      </c>
      <c r="F70" s="38" t="s">
        <v>167</v>
      </c>
      <c r="G70" s="38" t="s">
        <v>167</v>
      </c>
      <c r="H70" s="38" t="s">
        <v>167</v>
      </c>
      <c r="I70" s="42" t="s">
        <v>167</v>
      </c>
      <c r="J70" s="43" t="s">
        <v>817</v>
      </c>
      <c r="K70" s="38" t="s">
        <v>818</v>
      </c>
      <c r="L70" s="38" t="s">
        <v>818</v>
      </c>
      <c r="M70" s="38"/>
      <c r="N70" s="43">
        <f>LEN(C70)</f>
        <v>1</v>
      </c>
      <c r="O70" s="45"/>
      <c r="P70" s="33" t="str">
        <f t="shared" si="7"/>
        <v>u</v>
      </c>
      <c r="Q70" s="33" t="str">
        <f t="shared" si="8"/>
        <v>ㄨ</v>
      </c>
      <c r="S70" s="24" t="str">
        <f t="shared" si="9"/>
        <v>u</v>
      </c>
      <c r="T70" s="24" t="str">
        <f t="shared" si="10"/>
        <v>ㄨ</v>
      </c>
      <c r="U70" s="46"/>
      <c r="V70" s="47" t="str">
        <f t="shared" ref="V70:V85" si="11">IF(AND(Q70&lt;&gt;"", P70&lt;&gt;""), "    - xform/》" &amp; S70 &amp; "/" &amp; T70 &amp; "》/", "")</f>
        <v xml:space="preserve">    - xform/》u/ㄨ》/</v>
      </c>
    </row>
    <row r="71" spans="1:22" ht="27.75" customHeight="1" thickBot="1">
      <c r="A71" s="38">
        <v>64</v>
      </c>
      <c r="B71" s="39" t="s">
        <v>120</v>
      </c>
      <c r="C71" s="40" t="s">
        <v>120</v>
      </c>
      <c r="D71" s="40" t="s">
        <v>120</v>
      </c>
      <c r="E71" s="38" t="s">
        <v>120</v>
      </c>
      <c r="F71" s="38" t="s">
        <v>120</v>
      </c>
      <c r="G71" s="38" t="s">
        <v>120</v>
      </c>
      <c r="H71" s="38" t="s">
        <v>120</v>
      </c>
      <c r="I71" s="42" t="s">
        <v>790</v>
      </c>
      <c r="J71" s="43" t="s">
        <v>791</v>
      </c>
      <c r="K71" s="38" t="s">
        <v>792</v>
      </c>
      <c r="L71" s="38" t="s">
        <v>792</v>
      </c>
      <c r="M71" s="38"/>
      <c r="N71" s="43">
        <f>LEN(C71)</f>
        <v>2</v>
      </c>
      <c r="O71" s="45"/>
      <c r="P71" s="33" t="str">
        <f t="shared" si="7"/>
        <v>ua</v>
      </c>
      <c r="Q71" s="33" t="str">
        <f t="shared" si="8"/>
        <v>ㄨㄚ</v>
      </c>
      <c r="S71" s="24" t="str">
        <f t="shared" si="9"/>
        <v>ua</v>
      </c>
      <c r="T71" s="24" t="str">
        <f t="shared" si="10"/>
        <v>ㄨㄚ</v>
      </c>
      <c r="U71" s="46"/>
      <c r="V71" s="47" t="str">
        <f t="shared" si="11"/>
        <v xml:space="preserve">    - xform/》ua/ㄨㄚ》/</v>
      </c>
    </row>
    <row r="72" spans="1:22" ht="27.75" customHeight="1" thickBot="1">
      <c r="A72" s="38">
        <v>66</v>
      </c>
      <c r="B72" s="39" t="s">
        <v>676</v>
      </c>
      <c r="C72" s="40" t="s">
        <v>50</v>
      </c>
      <c r="D72" s="40" t="s">
        <v>50</v>
      </c>
      <c r="E72" s="38" t="s">
        <v>50</v>
      </c>
      <c r="F72" s="38" t="s">
        <v>50</v>
      </c>
      <c r="G72" s="38" t="s">
        <v>50</v>
      </c>
      <c r="H72" s="38" t="s">
        <v>50</v>
      </c>
      <c r="I72" s="42" t="s">
        <v>677</v>
      </c>
      <c r="J72" s="43" t="s">
        <v>678</v>
      </c>
      <c r="K72" s="38" t="s">
        <v>679</v>
      </c>
      <c r="L72" s="38" t="s">
        <v>680</v>
      </c>
      <c r="M72" s="38"/>
      <c r="N72" s="43">
        <f>LEN(C72)</f>
        <v>3</v>
      </c>
      <c r="O72" s="45"/>
      <c r="P72" s="33" t="str">
        <f t="shared" si="7"/>
        <v>uah</v>
      </c>
      <c r="Q72" s="33" t="str">
        <f t="shared" si="8"/>
        <v>ㄨㄚㆷ</v>
      </c>
      <c r="S72" s="24" t="str">
        <f t="shared" si="9"/>
        <v>uah</v>
      </c>
      <c r="T72" s="24" t="str">
        <f t="shared" si="10"/>
        <v>ㄨㄚㆷ</v>
      </c>
      <c r="U72" s="46"/>
      <c r="V72" s="47" t="str">
        <f t="shared" si="11"/>
        <v xml:space="preserve">    - xform/》uah/ㄨㄚㆷ》/</v>
      </c>
    </row>
    <row r="73" spans="1:22" ht="27.75" customHeight="1" thickBot="1">
      <c r="A73" s="38">
        <v>70</v>
      </c>
      <c r="B73" s="39" t="s">
        <v>47</v>
      </c>
      <c r="C73" s="40" t="s">
        <v>47</v>
      </c>
      <c r="D73" s="40" t="s">
        <v>47</v>
      </c>
      <c r="E73" s="38" t="s">
        <v>47</v>
      </c>
      <c r="F73" s="38" t="s">
        <v>47</v>
      </c>
      <c r="G73" s="38" t="s">
        <v>47</v>
      </c>
      <c r="H73" s="38" t="s">
        <v>47</v>
      </c>
      <c r="I73" s="42" t="s">
        <v>689</v>
      </c>
      <c r="J73" s="43" t="s">
        <v>690</v>
      </c>
      <c r="K73" s="38" t="s">
        <v>691</v>
      </c>
      <c r="L73" s="38" t="s">
        <v>691</v>
      </c>
      <c r="M73" s="38"/>
      <c r="N73" s="43">
        <f>LEN(C73)</f>
        <v>3</v>
      </c>
      <c r="O73" s="45"/>
      <c r="P73" s="33" t="str">
        <f t="shared" si="7"/>
        <v>uai</v>
      </c>
      <c r="Q73" s="33" t="str">
        <f t="shared" si="8"/>
        <v>ㄨㄞ</v>
      </c>
      <c r="S73" s="24" t="str">
        <f t="shared" si="9"/>
        <v>uai</v>
      </c>
      <c r="T73" s="24" t="str">
        <f t="shared" si="10"/>
        <v>ㄨㄞ</v>
      </c>
      <c r="U73" s="46"/>
      <c r="V73" s="47" t="str">
        <f t="shared" si="11"/>
        <v xml:space="preserve">    - xform/》uai/ㄨㄞ》/</v>
      </c>
    </row>
    <row r="74" spans="1:22" ht="27.75" customHeight="1" thickBot="1">
      <c r="A74" s="38">
        <v>72</v>
      </c>
      <c r="B74" s="39" t="s">
        <v>611</v>
      </c>
      <c r="C74" s="40" t="s">
        <v>49</v>
      </c>
      <c r="D74" s="40" t="s">
        <v>49</v>
      </c>
      <c r="E74" s="38" t="s">
        <v>49</v>
      </c>
      <c r="F74" s="38" t="s">
        <v>49</v>
      </c>
      <c r="G74" s="38" t="s">
        <v>49</v>
      </c>
      <c r="H74" s="38" t="s">
        <v>49</v>
      </c>
      <c r="I74" s="42" t="s">
        <v>612</v>
      </c>
      <c r="J74" s="43" t="s">
        <v>613</v>
      </c>
      <c r="K74" s="38" t="s">
        <v>614</v>
      </c>
      <c r="L74" s="38" t="s">
        <v>615</v>
      </c>
      <c r="M74" s="38"/>
      <c r="N74" s="43">
        <f>LEN(C74)</f>
        <v>4</v>
      </c>
      <c r="O74" s="45"/>
      <c r="P74" s="33" t="str">
        <f t="shared" si="7"/>
        <v>uaih</v>
      </c>
      <c r="Q74" s="33" t="str">
        <f t="shared" si="8"/>
        <v>ㄨㄞㆷ</v>
      </c>
      <c r="S74" s="24" t="str">
        <f t="shared" si="9"/>
        <v>uaih</v>
      </c>
      <c r="T74" s="24" t="str">
        <f t="shared" si="10"/>
        <v>ㄨㄞㆷ</v>
      </c>
      <c r="U74" s="46"/>
      <c r="V74" s="47" t="str">
        <f t="shared" si="11"/>
        <v xml:space="preserve">    - xform/》uaih/ㄨㄞㆷ》/</v>
      </c>
    </row>
    <row r="75" spans="1:22" ht="27.75" customHeight="1" thickBot="1">
      <c r="A75" s="38">
        <v>73</v>
      </c>
      <c r="B75" s="39" t="s">
        <v>484</v>
      </c>
      <c r="C75" s="40" t="s">
        <v>273</v>
      </c>
      <c r="D75" s="40" t="s">
        <v>485</v>
      </c>
      <c r="E75" s="38" t="s">
        <v>486</v>
      </c>
      <c r="F75" s="38" t="s">
        <v>273</v>
      </c>
      <c r="G75" s="38" t="s">
        <v>485</v>
      </c>
      <c r="H75" s="41" t="s">
        <v>834</v>
      </c>
      <c r="I75" s="42" t="s">
        <v>487</v>
      </c>
      <c r="J75" s="43" t="s">
        <v>488</v>
      </c>
      <c r="K75" s="38" t="s">
        <v>489</v>
      </c>
      <c r="L75" s="38" t="s">
        <v>490</v>
      </c>
      <c r="M75" s="44" t="s">
        <v>491</v>
      </c>
      <c r="N75" s="43">
        <f>LEN(C75)</f>
        <v>6</v>
      </c>
      <c r="O75" s="45"/>
      <c r="P75" s="33" t="str">
        <f t="shared" si="7"/>
        <v>Luaih</v>
      </c>
      <c r="Q75" s="33" t="str">
        <f t="shared" si="8"/>
        <v>ㄨㆮㆷ</v>
      </c>
      <c r="S75" s="24" t="str">
        <f t="shared" si="9"/>
        <v>Luaih</v>
      </c>
      <c r="T75" s="24" t="str">
        <f t="shared" si="10"/>
        <v>ㄨㆮㆷ</v>
      </c>
      <c r="U75" s="46"/>
      <c r="V75" s="47" t="str">
        <f t="shared" si="11"/>
        <v xml:space="preserve">    - xform/》Luaih/ㄨㆮㆷ》/</v>
      </c>
    </row>
    <row r="76" spans="1:22" ht="27.75" customHeight="1" thickBot="1">
      <c r="A76" s="38">
        <v>67</v>
      </c>
      <c r="B76" s="39" t="s">
        <v>59</v>
      </c>
      <c r="C76" s="40" t="s">
        <v>59</v>
      </c>
      <c r="D76" s="40" t="s">
        <v>59</v>
      </c>
      <c r="E76" s="38" t="s">
        <v>59</v>
      </c>
      <c r="F76" s="38" t="s">
        <v>59</v>
      </c>
      <c r="G76" s="38" t="s">
        <v>59</v>
      </c>
      <c r="H76" s="38" t="s">
        <v>59</v>
      </c>
      <c r="I76" s="42" t="s">
        <v>681</v>
      </c>
      <c r="J76" s="43" t="s">
        <v>682</v>
      </c>
      <c r="K76" s="38" t="s">
        <v>683</v>
      </c>
      <c r="L76" s="38" t="s">
        <v>683</v>
      </c>
      <c r="M76" s="38"/>
      <c r="N76" s="43">
        <f>LEN(C76)</f>
        <v>3</v>
      </c>
      <c r="O76" s="45"/>
      <c r="P76" s="33" t="str">
        <f t="shared" si="7"/>
        <v>uan</v>
      </c>
      <c r="Q76" s="33" t="str">
        <f t="shared" si="8"/>
        <v>ㄨㄢ</v>
      </c>
      <c r="S76" s="24" t="str">
        <f t="shared" si="9"/>
        <v>uan</v>
      </c>
      <c r="T76" s="24" t="str">
        <f t="shared" si="10"/>
        <v>ㄨㄢ</v>
      </c>
      <c r="U76" s="46"/>
      <c r="V76" s="47" t="str">
        <f t="shared" si="11"/>
        <v xml:space="preserve">    - xform/》uan/ㄨㄢ》/</v>
      </c>
    </row>
    <row r="77" spans="1:22" ht="27.75" customHeight="1" thickBot="1">
      <c r="A77" s="38">
        <v>68</v>
      </c>
      <c r="B77" s="39" t="s">
        <v>607</v>
      </c>
      <c r="C77" s="40" t="s">
        <v>264</v>
      </c>
      <c r="D77" s="40" t="s">
        <v>264</v>
      </c>
      <c r="E77" s="38" t="s">
        <v>264</v>
      </c>
      <c r="F77" s="38" t="s">
        <v>264</v>
      </c>
      <c r="G77" s="38" t="s">
        <v>264</v>
      </c>
      <c r="H77" s="38" t="s">
        <v>264</v>
      </c>
      <c r="I77" s="42" t="s">
        <v>608</v>
      </c>
      <c r="J77" s="43" t="s">
        <v>609</v>
      </c>
      <c r="K77" s="38" t="s">
        <v>610</v>
      </c>
      <c r="L77" s="38" t="s">
        <v>610</v>
      </c>
      <c r="M77" s="38"/>
      <c r="N77" s="43">
        <f>LEN(C77)</f>
        <v>4</v>
      </c>
      <c r="O77" s="45"/>
      <c r="P77" s="33" t="str">
        <f t="shared" si="7"/>
        <v>uang</v>
      </c>
      <c r="Q77" s="33" t="str">
        <f t="shared" si="8"/>
        <v>ㄨㄤ</v>
      </c>
      <c r="S77" s="24" t="str">
        <f t="shared" si="9"/>
        <v>uang</v>
      </c>
      <c r="T77" s="24" t="str">
        <f t="shared" si="10"/>
        <v>ㄨㄤ</v>
      </c>
      <c r="U77" s="46"/>
      <c r="V77" s="47" t="str">
        <f t="shared" si="11"/>
        <v xml:space="preserve">    - xform/》uang/ㄨㄤ》/</v>
      </c>
    </row>
    <row r="78" spans="1:22" ht="27.75" customHeight="1" thickBot="1">
      <c r="A78" s="38">
        <v>69</v>
      </c>
      <c r="B78" s="39" t="s">
        <v>684</v>
      </c>
      <c r="C78" s="40" t="s">
        <v>61</v>
      </c>
      <c r="D78" s="40" t="s">
        <v>61</v>
      </c>
      <c r="E78" s="38" t="s">
        <v>61</v>
      </c>
      <c r="F78" s="38" t="s">
        <v>61</v>
      </c>
      <c r="G78" s="38" t="s">
        <v>61</v>
      </c>
      <c r="H78" s="38" t="s">
        <v>61</v>
      </c>
      <c r="I78" s="42" t="s">
        <v>685</v>
      </c>
      <c r="J78" s="43" t="s">
        <v>686</v>
      </c>
      <c r="K78" s="38" t="s">
        <v>687</v>
      </c>
      <c r="L78" s="38" t="s">
        <v>688</v>
      </c>
      <c r="M78" s="38"/>
      <c r="N78" s="43">
        <f>LEN(C78)</f>
        <v>3</v>
      </c>
      <c r="O78" s="45"/>
      <c r="P78" s="33" t="str">
        <f t="shared" si="7"/>
        <v>uat</v>
      </c>
      <c r="Q78" s="33" t="str">
        <f t="shared" si="8"/>
        <v>ㄨㄚㆵ</v>
      </c>
      <c r="S78" s="24" t="str">
        <f t="shared" si="9"/>
        <v>uat</v>
      </c>
      <c r="T78" s="24" t="str">
        <f t="shared" si="10"/>
        <v>ㄨㄚㆵ</v>
      </c>
      <c r="U78" s="46"/>
      <c r="V78" s="47" t="str">
        <f t="shared" si="11"/>
        <v xml:space="preserve">    - xform/》uat/ㄨㄚㆵ》/</v>
      </c>
    </row>
    <row r="79" spans="1:22" ht="27.75" customHeight="1" thickBot="1">
      <c r="A79" s="38">
        <v>74</v>
      </c>
      <c r="B79" s="39" t="s">
        <v>151</v>
      </c>
      <c r="C79" s="40" t="s">
        <v>151</v>
      </c>
      <c r="D79" s="40" t="s">
        <v>151</v>
      </c>
      <c r="E79" s="38" t="s">
        <v>151</v>
      </c>
      <c r="F79" s="38" t="s">
        <v>151</v>
      </c>
      <c r="G79" s="38" t="s">
        <v>151</v>
      </c>
      <c r="H79" s="38" t="s">
        <v>151</v>
      </c>
      <c r="I79" s="42" t="s">
        <v>793</v>
      </c>
      <c r="J79" s="43" t="s">
        <v>794</v>
      </c>
      <c r="K79" s="38" t="s">
        <v>795</v>
      </c>
      <c r="L79" s="38" t="s">
        <v>796</v>
      </c>
      <c r="M79" s="38"/>
      <c r="N79" s="43">
        <f>LEN(C79)</f>
        <v>2</v>
      </c>
      <c r="O79" s="45"/>
      <c r="P79" s="33" t="str">
        <f t="shared" si="7"/>
        <v>ue</v>
      </c>
      <c r="Q79" s="33" t="str">
        <f t="shared" si="8"/>
        <v>ㄨㆤ</v>
      </c>
      <c r="S79" s="24" t="str">
        <f t="shared" si="9"/>
        <v>ue</v>
      </c>
      <c r="T79" s="24" t="str">
        <f t="shared" si="10"/>
        <v>ㄨㆤ</v>
      </c>
      <c r="U79" s="46"/>
      <c r="V79" s="47" t="str">
        <f t="shared" si="11"/>
        <v xml:space="preserve">    - xform/》ue/ㄨㆤ》/</v>
      </c>
    </row>
    <row r="80" spans="1:22" ht="27.75" customHeight="1" thickBot="1">
      <c r="A80" s="38">
        <v>75</v>
      </c>
      <c r="B80" s="39" t="s">
        <v>692</v>
      </c>
      <c r="C80" s="40" t="s">
        <v>153</v>
      </c>
      <c r="D80" s="40" t="s">
        <v>153</v>
      </c>
      <c r="E80" s="38" t="s">
        <v>153</v>
      </c>
      <c r="F80" s="38" t="s">
        <v>153</v>
      </c>
      <c r="G80" s="38" t="s">
        <v>153</v>
      </c>
      <c r="H80" s="38" t="s">
        <v>153</v>
      </c>
      <c r="I80" s="42" t="s">
        <v>693</v>
      </c>
      <c r="J80" s="43" t="s">
        <v>694</v>
      </c>
      <c r="K80" s="38" t="s">
        <v>695</v>
      </c>
      <c r="L80" s="38" t="s">
        <v>696</v>
      </c>
      <c r="M80" s="38"/>
      <c r="N80" s="43">
        <f>LEN(C80)</f>
        <v>3</v>
      </c>
      <c r="O80" s="45"/>
      <c r="P80" s="33" t="str">
        <f t="shared" si="7"/>
        <v>ueh</v>
      </c>
      <c r="Q80" s="33" t="str">
        <f t="shared" si="8"/>
        <v>ㄨㆤㆷ</v>
      </c>
      <c r="S80" s="24" t="str">
        <f t="shared" si="9"/>
        <v>ueh</v>
      </c>
      <c r="T80" s="24" t="str">
        <f t="shared" si="10"/>
        <v>ㄨㆤㆷ</v>
      </c>
      <c r="U80" s="46"/>
      <c r="V80" s="47" t="str">
        <f t="shared" si="11"/>
        <v xml:space="preserve">    - xform/》ueh/ㄨㆤㆷ》/</v>
      </c>
    </row>
    <row r="81" spans="1:22" ht="27.75" customHeight="1" thickBot="1">
      <c r="A81" s="38">
        <v>61</v>
      </c>
      <c r="B81" s="39" t="s">
        <v>780</v>
      </c>
      <c r="C81" s="40" t="s">
        <v>23</v>
      </c>
      <c r="D81" s="40" t="s">
        <v>23</v>
      </c>
      <c r="E81" s="38" t="s">
        <v>23</v>
      </c>
      <c r="F81" s="38" t="s">
        <v>23</v>
      </c>
      <c r="G81" s="38" t="s">
        <v>23</v>
      </c>
      <c r="H81" s="38" t="s">
        <v>23</v>
      </c>
      <c r="I81" s="42" t="s">
        <v>23</v>
      </c>
      <c r="J81" s="43" t="s">
        <v>781</v>
      </c>
      <c r="K81" s="38" t="s">
        <v>782</v>
      </c>
      <c r="L81" s="38" t="s">
        <v>783</v>
      </c>
      <c r="M81" s="38"/>
      <c r="N81" s="43">
        <f>LEN(C81)</f>
        <v>2</v>
      </c>
      <c r="O81" s="45"/>
      <c r="P81" s="33" t="str">
        <f t="shared" si="7"/>
        <v>uh</v>
      </c>
      <c r="Q81" s="33" t="str">
        <f t="shared" si="8"/>
        <v>ㄨㆷ</v>
      </c>
      <c r="S81" s="24" t="str">
        <f t="shared" si="9"/>
        <v>uh</v>
      </c>
      <c r="T81" s="24" t="str">
        <f t="shared" si="10"/>
        <v>ㄨㆷ</v>
      </c>
      <c r="U81" s="46"/>
      <c r="V81" s="47" t="str">
        <f t="shared" si="11"/>
        <v xml:space="preserve">    - xform/》uh/ㄨㆷ》/</v>
      </c>
    </row>
    <row r="82" spans="1:22" ht="27.75" customHeight="1" thickBot="1">
      <c r="A82" s="38">
        <v>76</v>
      </c>
      <c r="B82" s="39" t="s">
        <v>20</v>
      </c>
      <c r="C82" s="40" t="s">
        <v>20</v>
      </c>
      <c r="D82" s="40" t="s">
        <v>20</v>
      </c>
      <c r="E82" s="38" t="s">
        <v>20</v>
      </c>
      <c r="F82" s="38" t="s">
        <v>20</v>
      </c>
      <c r="G82" s="38" t="s">
        <v>20</v>
      </c>
      <c r="H82" s="38" t="s">
        <v>20</v>
      </c>
      <c r="I82" s="42" t="s">
        <v>20</v>
      </c>
      <c r="J82" s="43" t="s">
        <v>797</v>
      </c>
      <c r="K82" s="38" t="s">
        <v>798</v>
      </c>
      <c r="L82" s="38" t="s">
        <v>798</v>
      </c>
      <c r="M82" s="38"/>
      <c r="N82" s="43">
        <f>LEN(C82)</f>
        <v>2</v>
      </c>
      <c r="O82" s="45"/>
      <c r="P82" s="33" t="str">
        <f t="shared" si="7"/>
        <v>ui</v>
      </c>
      <c r="Q82" s="33" t="str">
        <f t="shared" si="8"/>
        <v>ㄨㄧ</v>
      </c>
      <c r="S82" s="24" t="str">
        <f t="shared" si="9"/>
        <v>ui</v>
      </c>
      <c r="T82" s="24" t="str">
        <f t="shared" si="10"/>
        <v>ㄨㄧ</v>
      </c>
      <c r="U82" s="46"/>
      <c r="V82" s="47" t="str">
        <f t="shared" si="11"/>
        <v xml:space="preserve">    - xform/》ui/ㄨㄧ》/</v>
      </c>
    </row>
    <row r="83" spans="1:22" ht="27.75" customHeight="1" thickBot="1">
      <c r="A83" s="38">
        <v>78</v>
      </c>
      <c r="B83" s="39" t="s">
        <v>616</v>
      </c>
      <c r="C83" s="40" t="s">
        <v>22</v>
      </c>
      <c r="D83" s="40" t="s">
        <v>22</v>
      </c>
      <c r="E83" s="41" t="s">
        <v>22</v>
      </c>
      <c r="F83" s="41" t="s">
        <v>22</v>
      </c>
      <c r="G83" s="41" t="s">
        <v>22</v>
      </c>
      <c r="H83" s="41" t="s">
        <v>22</v>
      </c>
      <c r="I83" s="41" t="s">
        <v>22</v>
      </c>
      <c r="J83" s="53" t="s">
        <v>617</v>
      </c>
      <c r="K83" s="51" t="s">
        <v>24</v>
      </c>
      <c r="L83" s="54" t="s">
        <v>618</v>
      </c>
      <c r="M83" s="44"/>
      <c r="N83" s="43">
        <f>LEN(C83)</f>
        <v>3</v>
      </c>
      <c r="O83" s="45"/>
      <c r="P83" s="33" t="str">
        <f t="shared" si="7"/>
        <v>uih</v>
      </c>
      <c r="Q83" s="33" t="str">
        <f t="shared" si="8"/>
        <v>ㄨㄧㆷ</v>
      </c>
      <c r="S83" s="24" t="str">
        <f t="shared" si="9"/>
        <v>uih</v>
      </c>
      <c r="T83" s="24" t="str">
        <f t="shared" si="10"/>
        <v>ㄨㄧㆷ</v>
      </c>
      <c r="U83" s="46"/>
      <c r="V83" s="47" t="str">
        <f t="shared" si="11"/>
        <v xml:space="preserve">    - xform/》uih/ㄨㄧㆷ》/</v>
      </c>
    </row>
    <row r="84" spans="1:22" ht="27.75" customHeight="1" thickBot="1">
      <c r="A84" s="38">
        <v>62</v>
      </c>
      <c r="B84" s="39" t="s">
        <v>3</v>
      </c>
      <c r="C84" s="40" t="s">
        <v>3</v>
      </c>
      <c r="D84" s="40" t="s">
        <v>3</v>
      </c>
      <c r="E84" s="38" t="s">
        <v>3</v>
      </c>
      <c r="F84" s="38" t="s">
        <v>3</v>
      </c>
      <c r="G84" s="38" t="s">
        <v>3</v>
      </c>
      <c r="H84" s="38" t="s">
        <v>3</v>
      </c>
      <c r="I84" s="42" t="s">
        <v>3</v>
      </c>
      <c r="J84" s="43" t="s">
        <v>784</v>
      </c>
      <c r="K84" s="38" t="s">
        <v>785</v>
      </c>
      <c r="L84" s="38" t="s">
        <v>785</v>
      </c>
      <c r="M84" s="38"/>
      <c r="N84" s="43">
        <f>LEN(C84)</f>
        <v>2</v>
      </c>
      <c r="O84" s="45"/>
      <c r="P84" s="33" t="str">
        <f t="shared" si="7"/>
        <v>un</v>
      </c>
      <c r="Q84" s="33" t="str">
        <f t="shared" si="8"/>
        <v>ㄨㄣ</v>
      </c>
      <c r="S84" s="24" t="str">
        <f t="shared" si="9"/>
        <v>un</v>
      </c>
      <c r="T84" s="24" t="str">
        <f t="shared" si="10"/>
        <v>ㄨㄣ</v>
      </c>
      <c r="U84" s="46"/>
      <c r="V84" s="47" t="str">
        <f t="shared" si="11"/>
        <v xml:space="preserve">    - xform/》un/ㄨㄣ》/</v>
      </c>
    </row>
    <row r="85" spans="1:22" ht="27.75" customHeight="1" thickBot="1">
      <c r="A85" s="38">
        <v>63</v>
      </c>
      <c r="B85" s="39" t="s">
        <v>786</v>
      </c>
      <c r="C85" s="40" t="s">
        <v>4</v>
      </c>
      <c r="D85" s="40" t="s">
        <v>4</v>
      </c>
      <c r="E85" s="38" t="s">
        <v>4</v>
      </c>
      <c r="F85" s="38" t="s">
        <v>4</v>
      </c>
      <c r="G85" s="38" t="s">
        <v>4</v>
      </c>
      <c r="H85" s="38" t="s">
        <v>4</v>
      </c>
      <c r="I85" s="42" t="s">
        <v>4</v>
      </c>
      <c r="J85" s="43" t="s">
        <v>787</v>
      </c>
      <c r="K85" s="38" t="s">
        <v>788</v>
      </c>
      <c r="L85" s="38" t="s">
        <v>789</v>
      </c>
      <c r="M85" s="38"/>
      <c r="N85" s="43">
        <f>LEN(C85)</f>
        <v>2</v>
      </c>
      <c r="O85" s="45"/>
      <c r="P85" s="33" t="str">
        <f t="shared" si="7"/>
        <v>ut</v>
      </c>
      <c r="Q85" s="33" t="str">
        <f t="shared" si="8"/>
        <v>ㄨㆵ</v>
      </c>
      <c r="S85" s="24" t="str">
        <f t="shared" si="9"/>
        <v>ut</v>
      </c>
      <c r="T85" s="24" t="str">
        <f t="shared" si="10"/>
        <v>ㄨㆵ</v>
      </c>
      <c r="U85" s="46"/>
      <c r="V85" s="47" t="str">
        <f t="shared" si="11"/>
        <v xml:space="preserve">    - xform/》ut/ㄨㆵ》/</v>
      </c>
    </row>
    <row r="86" spans="1:22" ht="27" customHeight="1" thickBot="1"/>
    <row r="87" spans="1:22" ht="48.75" customHeight="1" thickBot="1">
      <c r="B87" s="30" t="s">
        <v>822</v>
      </c>
      <c r="C87" s="30" t="s">
        <v>823</v>
      </c>
      <c r="D87" s="30"/>
      <c r="E87" s="30" t="s">
        <v>823</v>
      </c>
    </row>
    <row r="88" spans="1:22" ht="27.75" customHeight="1" thickBot="1">
      <c r="B88" s="38" t="s">
        <v>824</v>
      </c>
      <c r="C88" s="38">
        <f>HEX2DEC(VALUE(RIGHT(B88,4)))</f>
        <v>771</v>
      </c>
      <c r="D88" s="38"/>
      <c r="E88" s="38" t="str">
        <f>_xlfn.CONCAT("a", _xlfn.UNICHAR(HEX2DEC(RIGHT(B88,4))))</f>
        <v>ã</v>
      </c>
    </row>
    <row r="89" spans="1:22" ht="27.75" customHeight="1" thickBot="1">
      <c r="B89" s="38" t="s">
        <v>825</v>
      </c>
      <c r="C89" s="38">
        <f>HEX2DEC(VALUE(RIGHT(B89,4)))</f>
        <v>660</v>
      </c>
      <c r="D89" s="38"/>
      <c r="E89" s="38" t="str">
        <f>_xlfn.CONCAT("a", _xlfn.UNICHAR(HEX2DEC(RIGHT(B89,4))))</f>
        <v>aʔ</v>
      </c>
    </row>
    <row r="90" spans="1:22" ht="27" customHeight="1" thickBot="1"/>
    <row r="91" spans="1:22" ht="27" customHeight="1" thickBot="1">
      <c r="B91" s="30" t="s">
        <v>826</v>
      </c>
      <c r="C91" s="30">
        <f>HEX2DEC(VALUE(RIGHT(B91,4)))</f>
        <v>2134</v>
      </c>
      <c r="D91" s="30"/>
      <c r="E91" s="30" t="str">
        <f>_xlfn.CONCAT("o", _xlfn.UNICHAR( RIGHT(B91,4)))</f>
        <v>o͘</v>
      </c>
    </row>
    <row r="92" spans="1:22" ht="27" customHeight="1" thickBot="1">
      <c r="B92" s="30" t="s">
        <v>761</v>
      </c>
      <c r="C92" s="30">
        <f>_xlfn.UNICODE( RIGHT(B92,1) )</f>
        <v>856</v>
      </c>
      <c r="D92" s="30"/>
      <c r="E92" s="30" t="str">
        <f>_xlfn.CONCAT("o", _xlfn.UNICHAR(C92))</f>
        <v>o͘</v>
      </c>
    </row>
    <row r="93" spans="1:22" ht="27" customHeight="1" thickBot="1"/>
    <row r="94" spans="1:22" ht="27" customHeight="1" thickBot="1">
      <c r="B94" s="30" t="s">
        <v>827</v>
      </c>
      <c r="C94" s="30" t="s">
        <v>806</v>
      </c>
      <c r="D94" s="56"/>
    </row>
    <row r="95" spans="1:22" ht="27" customHeight="1" thickBot="1">
      <c r="B95" s="30" t="s">
        <v>828</v>
      </c>
      <c r="C95" s="30" t="s">
        <v>238</v>
      </c>
      <c r="D95" s="56"/>
    </row>
    <row r="97" spans="1:1">
      <c r="A97" s="21" t="str">
        <f>"(""" &amp; _xlfn.TEXTJOIN(""",""",TRUE,H4:H85) &amp; """)"</f>
        <v>("a","ah","ai","aih","ak","am","an","ang","ao","aoh","ap","at","e","eh","neh","i","ia","iah","iak","iam","ian","iang","niah","iao","iaoh","iap","iat","ih","ik","im","in","ing","io","ioh","iok","iong","ip","it","iu","m","mh","na","nah","nai","ne","ng","ngh","ni","nia","niao","nioo","niu","niuh","nooh","noo","nua","nuai","nui","o","oh","ok","om","ong","oo","ooh","op","u","ua","uah","uai","uaih","nuaih","uan","uang","uat","ue","ueh","uh","ui","uih","un","ut")</v>
      </c>
    </row>
  </sheetData>
  <sortState xmlns:xlrd2="http://schemas.microsoft.com/office/spreadsheetml/2017/richdata2" ref="A4:N85">
    <sortCondition ref="H4:H85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2562E-563A-488E-8954-B64508B5C666}">
  <dimension ref="A1:AV97"/>
  <sheetViews>
    <sheetView showGridLines="0" tabSelected="1" topLeftCell="J1" workbookViewId="0">
      <pane ySplit="2" topLeftCell="A81" activePane="bottomLeft" state="frozen"/>
      <selection pane="bottomLeft" activeCell="T88" sqref="T88"/>
    </sheetView>
  </sheetViews>
  <sheetFormatPr defaultRowHeight="26.25" outlineLevelCol="1"/>
  <cols>
    <col min="1" max="1" width="8.375" style="22" customWidth="1"/>
    <col min="2" max="5" width="15.375" style="22" customWidth="1"/>
    <col min="6" max="10" width="15.375" style="22" customWidth="1" outlineLevel="1"/>
    <col min="11" max="13" width="15.375" style="22" customWidth="1"/>
    <col min="14" max="14" width="7.75" style="22" customWidth="1"/>
    <col min="15" max="15" width="5.25" style="22" customWidth="1"/>
    <col min="16" max="16" width="15.125" style="23" customWidth="1"/>
    <col min="17" max="17" width="15.125" style="22" customWidth="1"/>
    <col min="18" max="18" width="2.875" style="22" customWidth="1"/>
    <col min="19" max="19" width="19" style="24" customWidth="1"/>
    <col min="20" max="20" width="19.875" style="24" customWidth="1"/>
    <col min="21" max="21" width="4.5" style="22" customWidth="1"/>
    <col min="22" max="22" width="51.75" style="25" customWidth="1"/>
    <col min="23" max="23" width="9" style="22" customWidth="1"/>
    <col min="24" max="35" width="7.5" style="26" customWidth="1"/>
    <col min="36" max="41" width="19.375" style="27" bestFit="1" customWidth="1"/>
    <col min="42" max="44" width="19.875" style="27" customWidth="1"/>
    <col min="45" max="45" width="19.875" style="22" customWidth="1"/>
    <col min="46" max="47" width="9" style="22" customWidth="1"/>
    <col min="48" max="16384" width="9" style="22"/>
  </cols>
  <sheetData>
    <row r="1" spans="1:48" ht="27" thickBot="1">
      <c r="A1" s="28"/>
      <c r="C1" s="21"/>
      <c r="D1" s="21"/>
      <c r="E1" s="21"/>
      <c r="J1" s="21"/>
      <c r="K1" s="21"/>
      <c r="L1" s="21"/>
      <c r="M1" s="21"/>
      <c r="N1" s="21"/>
      <c r="V1" s="29"/>
    </row>
    <row r="2" spans="1:48" ht="48.75" thickBot="1">
      <c r="A2" s="30" t="s">
        <v>464</v>
      </c>
      <c r="B2" s="31" t="s">
        <v>465</v>
      </c>
      <c r="C2" s="31" t="s">
        <v>466</v>
      </c>
      <c r="D2" s="31" t="s">
        <v>467</v>
      </c>
      <c r="E2" s="30" t="s">
        <v>468</v>
      </c>
      <c r="F2" s="30" t="s">
        <v>469</v>
      </c>
      <c r="G2" s="30" t="s">
        <v>470</v>
      </c>
      <c r="H2" s="30" t="s">
        <v>471</v>
      </c>
      <c r="I2" s="30" t="s">
        <v>472</v>
      </c>
      <c r="J2" s="30" t="s">
        <v>0</v>
      </c>
      <c r="K2" s="30" t="s">
        <v>473</v>
      </c>
      <c r="L2" s="30" t="s">
        <v>474</v>
      </c>
      <c r="M2" s="30" t="s">
        <v>475</v>
      </c>
      <c r="N2" s="30" t="s">
        <v>476</v>
      </c>
      <c r="O2" s="45"/>
      <c r="P2" s="33" t="str">
        <f>H2</f>
        <v>閩拼方案</v>
      </c>
      <c r="Q2" s="33" t="str">
        <f>K2</f>
        <v>方音符號</v>
      </c>
      <c r="S2" s="33" t="str">
        <f>P2</f>
        <v>閩拼方案</v>
      </c>
      <c r="T2" s="33" t="str">
        <f>Q2</f>
        <v>方音符號</v>
      </c>
      <c r="V2" s="29"/>
    </row>
    <row r="3" spans="1:48" ht="27.75" thickBot="1">
      <c r="A3" s="38">
        <v>73</v>
      </c>
      <c r="B3" s="39" t="s">
        <v>484</v>
      </c>
      <c r="C3" s="40" t="s">
        <v>273</v>
      </c>
      <c r="D3" s="40" t="s">
        <v>485</v>
      </c>
      <c r="E3" s="38" t="s">
        <v>486</v>
      </c>
      <c r="F3" s="38" t="s">
        <v>273</v>
      </c>
      <c r="G3" s="38" t="s">
        <v>485</v>
      </c>
      <c r="H3" s="41" t="s">
        <v>834</v>
      </c>
      <c r="I3" s="42" t="s">
        <v>487</v>
      </c>
      <c r="J3" s="43" t="s">
        <v>488</v>
      </c>
      <c r="K3" s="38" t="s">
        <v>489</v>
      </c>
      <c r="L3" s="38" t="s">
        <v>490</v>
      </c>
      <c r="M3" s="44" t="s">
        <v>491</v>
      </c>
      <c r="N3" s="43">
        <f xml:space="preserve"> LEN(H3)</f>
        <v>5</v>
      </c>
      <c r="O3" s="32"/>
      <c r="P3" s="33" t="str">
        <f>H3</f>
        <v>nuaih</v>
      </c>
      <c r="Q3" s="30" t="str">
        <f t="shared" ref="Q3:Q66" si="0">K3</f>
        <v>ㄨㆮㆷ</v>
      </c>
      <c r="S3" s="33" t="str">
        <f>_xlfn.CONCAT("》", P3, "(\d)")</f>
        <v>》nuaih(\d)</v>
      </c>
      <c r="T3" s="30" t="str">
        <f>IFERROR( _xlfn.CONCAT(Q3, "》", "${1}"), "" )</f>
        <v>ㄨㆮㆷ》${1}</v>
      </c>
      <c r="U3" s="46"/>
      <c r="V3" s="47" t="str">
        <f>IF(AND(Q3&lt;&gt;"", P3&lt;&gt;""), "    - xform/" &amp; S3 &amp;  "/"  &amp; T3 &amp;  "/", "")</f>
        <v xml:space="preserve">    - xform/》nuaih(\d)/ㄨㆮㆷ》${1}/</v>
      </c>
      <c r="X3" s="35"/>
      <c r="Z3" s="36" t="s">
        <v>477</v>
      </c>
      <c r="AA3" s="36" t="s">
        <v>478</v>
      </c>
      <c r="AB3" s="36"/>
      <c r="AC3" s="36" t="s">
        <v>479</v>
      </c>
      <c r="AD3" s="36" t="s">
        <v>477</v>
      </c>
      <c r="AE3" s="36" t="s">
        <v>480</v>
      </c>
      <c r="AF3" s="36" t="s">
        <v>481</v>
      </c>
      <c r="AG3" s="36" t="s">
        <v>482</v>
      </c>
      <c r="AH3" s="36" t="s">
        <v>483</v>
      </c>
      <c r="AI3" s="37"/>
    </row>
    <row r="4" spans="1:48" ht="30.75" thickBot="1">
      <c r="A4" s="38">
        <v>32</v>
      </c>
      <c r="B4" s="39" t="s">
        <v>492</v>
      </c>
      <c r="C4" s="40" t="s">
        <v>493</v>
      </c>
      <c r="D4" s="40" t="s">
        <v>494</v>
      </c>
      <c r="E4" s="41" t="s">
        <v>493</v>
      </c>
      <c r="F4" s="41" t="s">
        <v>493</v>
      </c>
      <c r="G4" s="41" t="s">
        <v>494</v>
      </c>
      <c r="H4" s="41" t="s">
        <v>830</v>
      </c>
      <c r="I4" s="41" t="s">
        <v>495</v>
      </c>
      <c r="J4" s="50" t="s">
        <v>496</v>
      </c>
      <c r="K4" s="51" t="s">
        <v>228</v>
      </c>
      <c r="L4" s="38" t="s">
        <v>497</v>
      </c>
      <c r="M4" s="44" t="s">
        <v>491</v>
      </c>
      <c r="N4" s="43">
        <f xml:space="preserve"> LEN(H4)</f>
        <v>4</v>
      </c>
      <c r="O4" s="45"/>
      <c r="P4" s="33" t="str">
        <f t="shared" ref="P4:P67" si="1">H4</f>
        <v>niah</v>
      </c>
      <c r="Q4" s="33" t="str">
        <f t="shared" si="0"/>
        <v>ㄧㆩㆷ</v>
      </c>
      <c r="S4" s="33" t="str">
        <f t="shared" ref="S4:S67" si="2">_xlfn.CONCAT("》", P4, "(\d)")</f>
        <v>》niah(\d)</v>
      </c>
      <c r="T4" s="30" t="str">
        <f t="shared" ref="T4:T67" si="3">IFERROR( _xlfn.CONCAT(Q4, "》", "${1}"), "" )</f>
        <v>ㄧㆩㆷ》${1}</v>
      </c>
      <c r="V4" s="47" t="str">
        <f>IF(AND(Q4&lt;&gt;"", P4&lt;&gt;""), "    - xform/" &amp; S4 &amp;  "/"  &amp; T4 &amp;  "/", "")</f>
        <v xml:space="preserve">    - xform/》niah(\d)/ㄧㆩㆷ》${1}/</v>
      </c>
      <c r="X4" s="26" t="s">
        <v>172</v>
      </c>
      <c r="Y4" s="48" t="str">
        <f t="shared" ref="Y4:AH10" si="4">_xlfn.CONCAT($X4, IF(Y$3="", "", _xlfn.UNICHAR( HEX2DEC( RIGHT(Y$3,4)))))</f>
        <v>a</v>
      </c>
      <c r="Z4" s="48" t="str">
        <f t="shared" si="4"/>
        <v>á</v>
      </c>
      <c r="AA4" s="48" t="str">
        <f t="shared" si="4"/>
        <v>à</v>
      </c>
      <c r="AB4" s="48" t="str">
        <f t="shared" si="4"/>
        <v>a</v>
      </c>
      <c r="AC4" s="48" t="str">
        <f t="shared" si="4"/>
        <v>ǎ</v>
      </c>
      <c r="AD4" s="48" t="str">
        <f t="shared" si="4"/>
        <v>á</v>
      </c>
      <c r="AE4" s="48" t="str">
        <f t="shared" si="4"/>
        <v>ā</v>
      </c>
      <c r="AF4" s="48" t="str">
        <f t="shared" si="4"/>
        <v>a̍</v>
      </c>
      <c r="AG4" s="48" t="str">
        <f t="shared" si="4"/>
        <v>a̋</v>
      </c>
      <c r="AH4" s="48" t="str">
        <f t="shared" si="4"/>
        <v>å</v>
      </c>
      <c r="AJ4" s="49" t="str">
        <f t="shared" ref="AJ4:AS10" si="5">_xlfn.CONCAT("    - xform/》", $X4, Y$1, "/", Y4, "/")</f>
        <v xml:space="preserve">    - xform/》a/a/</v>
      </c>
      <c r="AK4" s="49" t="str">
        <f t="shared" si="5"/>
        <v xml:space="preserve">    - xform/》a/á/</v>
      </c>
      <c r="AL4" s="49" t="str">
        <f t="shared" si="5"/>
        <v xml:space="preserve">    - xform/》a/à/</v>
      </c>
      <c r="AM4" s="49" t="str">
        <f t="shared" si="5"/>
        <v xml:space="preserve">    - xform/》a/a/</v>
      </c>
      <c r="AN4" s="49" t="str">
        <f t="shared" si="5"/>
        <v xml:space="preserve">    - xform/》a/ǎ/</v>
      </c>
      <c r="AO4" s="49" t="str">
        <f t="shared" si="5"/>
        <v xml:space="preserve">    - xform/》a/á/</v>
      </c>
      <c r="AP4" s="49" t="str">
        <f t="shared" si="5"/>
        <v xml:space="preserve">    - xform/》a/ā/</v>
      </c>
      <c r="AQ4" s="49" t="str">
        <f t="shared" si="5"/>
        <v xml:space="preserve">    - xform/》a/a̍/</v>
      </c>
      <c r="AR4" s="49" t="str">
        <f t="shared" si="5"/>
        <v xml:space="preserve">    - xform/》a/a̋/</v>
      </c>
      <c r="AS4" s="49" t="str">
        <f t="shared" si="5"/>
        <v xml:space="preserve">    - xform/》a/å/</v>
      </c>
      <c r="AT4" s="48"/>
      <c r="AU4" s="48"/>
      <c r="AV4" s="26"/>
    </row>
    <row r="5" spans="1:48" ht="27.75" thickBot="1">
      <c r="A5" s="38">
        <v>40</v>
      </c>
      <c r="B5" s="39" t="s">
        <v>498</v>
      </c>
      <c r="C5" s="40" t="s">
        <v>283</v>
      </c>
      <c r="D5" s="40" t="s">
        <v>499</v>
      </c>
      <c r="E5" s="38" t="s">
        <v>283</v>
      </c>
      <c r="F5" s="38" t="s">
        <v>283</v>
      </c>
      <c r="G5" s="38" t="s">
        <v>499</v>
      </c>
      <c r="H5" s="38" t="s">
        <v>284</v>
      </c>
      <c r="I5" s="42" t="s">
        <v>500</v>
      </c>
      <c r="J5" s="43" t="s">
        <v>501</v>
      </c>
      <c r="K5" s="38" t="s">
        <v>502</v>
      </c>
      <c r="L5" s="38" t="s">
        <v>503</v>
      </c>
      <c r="M5" s="44" t="s">
        <v>491</v>
      </c>
      <c r="N5" s="43">
        <f xml:space="preserve"> LEN(H5)</f>
        <v>4</v>
      </c>
      <c r="O5" s="45"/>
      <c r="P5" s="33" t="str">
        <f t="shared" si="1"/>
        <v>niao</v>
      </c>
      <c r="Q5" s="33" t="str">
        <f t="shared" si="0"/>
        <v>ㄧㆯ</v>
      </c>
      <c r="S5" s="33" t="str">
        <f t="shared" si="2"/>
        <v>》niao(\d)</v>
      </c>
      <c r="T5" s="30" t="str">
        <f t="shared" si="3"/>
        <v>ㄧㆯ》${1}</v>
      </c>
      <c r="U5" s="46"/>
      <c r="V5" s="47" t="str">
        <f t="shared" ref="V5:V68" si="6">IF(AND(Q5&lt;&gt;"", P5&lt;&gt;""), "    - xform/" &amp; S5 &amp;  "/"  &amp; T5 &amp;  "/", "")</f>
        <v xml:space="preserve">    - xform/》niao(\d)/ㄧㆯ》${1}/</v>
      </c>
      <c r="X5" s="26" t="s">
        <v>178</v>
      </c>
      <c r="Y5" s="48" t="str">
        <f t="shared" si="4"/>
        <v>i</v>
      </c>
      <c r="Z5" s="48" t="str">
        <f t="shared" si="4"/>
        <v>í</v>
      </c>
      <c r="AA5" s="48" t="str">
        <f t="shared" si="4"/>
        <v>ì</v>
      </c>
      <c r="AB5" s="48" t="str">
        <f t="shared" si="4"/>
        <v>i</v>
      </c>
      <c r="AC5" s="48" t="str">
        <f t="shared" si="4"/>
        <v>ǐ</v>
      </c>
      <c r="AD5" s="48" t="str">
        <f t="shared" si="4"/>
        <v>í</v>
      </c>
      <c r="AE5" s="48" t="str">
        <f t="shared" si="4"/>
        <v>ī</v>
      </c>
      <c r="AF5" s="48" t="str">
        <f t="shared" si="4"/>
        <v>i̍</v>
      </c>
      <c r="AG5" s="48" t="str">
        <f t="shared" si="4"/>
        <v>i̋</v>
      </c>
      <c r="AH5" s="48" t="str">
        <f t="shared" si="4"/>
        <v>i̊</v>
      </c>
      <c r="AJ5" s="49" t="str">
        <f t="shared" si="5"/>
        <v xml:space="preserve">    - xform/》i/i/</v>
      </c>
      <c r="AK5" s="49" t="str">
        <f t="shared" si="5"/>
        <v xml:space="preserve">    - xform/》i/í/</v>
      </c>
      <c r="AL5" s="49" t="str">
        <f t="shared" si="5"/>
        <v xml:space="preserve">    - xform/》i/ì/</v>
      </c>
      <c r="AM5" s="49" t="str">
        <f t="shared" si="5"/>
        <v xml:space="preserve">    - xform/》i/i/</v>
      </c>
      <c r="AN5" s="49" t="str">
        <f t="shared" si="5"/>
        <v xml:space="preserve">    - xform/》i/ǐ/</v>
      </c>
      <c r="AO5" s="49" t="str">
        <f t="shared" si="5"/>
        <v xml:space="preserve">    - xform/》i/í/</v>
      </c>
      <c r="AP5" s="49" t="str">
        <f t="shared" si="5"/>
        <v xml:space="preserve">    - xform/》i/ī/</v>
      </c>
      <c r="AQ5" s="49" t="str">
        <f t="shared" si="5"/>
        <v xml:space="preserve">    - xform/》i/i̍/</v>
      </c>
      <c r="AR5" s="49" t="str">
        <f t="shared" si="5"/>
        <v xml:space="preserve">    - xform/》i/i̋/</v>
      </c>
      <c r="AS5" s="49" t="str">
        <f t="shared" si="5"/>
        <v xml:space="preserve">    - xform/》i/i̊/</v>
      </c>
      <c r="AT5" s="48"/>
      <c r="AU5" s="48"/>
      <c r="AV5" s="26"/>
    </row>
    <row r="6" spans="1:48" ht="27.75" thickBot="1">
      <c r="A6" s="38">
        <v>43</v>
      </c>
      <c r="B6" s="39" t="s">
        <v>541</v>
      </c>
      <c r="C6" s="40" t="s">
        <v>542</v>
      </c>
      <c r="D6" s="40" t="s">
        <v>543</v>
      </c>
      <c r="E6" s="38" t="s">
        <v>542</v>
      </c>
      <c r="F6" s="38" t="s">
        <v>220</v>
      </c>
      <c r="G6" s="38" t="s">
        <v>831</v>
      </c>
      <c r="H6" s="38" t="s">
        <v>544</v>
      </c>
      <c r="I6" s="42" t="s">
        <v>545</v>
      </c>
      <c r="J6" s="43" t="s">
        <v>546</v>
      </c>
      <c r="K6" s="38" t="s">
        <v>547</v>
      </c>
      <c r="L6" s="38" t="s">
        <v>548</v>
      </c>
      <c r="M6" s="44" t="s">
        <v>491</v>
      </c>
      <c r="N6" s="43">
        <f xml:space="preserve"> LEN(H6)</f>
        <v>4</v>
      </c>
      <c r="O6" s="45"/>
      <c r="P6" s="33" t="str">
        <f t="shared" si="1"/>
        <v>nioo</v>
      </c>
      <c r="Q6" s="33" t="str">
        <f t="shared" si="0"/>
        <v>ㄧㆧ</v>
      </c>
      <c r="S6" s="33" t="str">
        <f t="shared" si="2"/>
        <v>》nioo(\d)</v>
      </c>
      <c r="T6" s="30" t="str">
        <f t="shared" si="3"/>
        <v>ㄧㆧ》${1}</v>
      </c>
      <c r="U6" s="46"/>
      <c r="V6" s="47" t="str">
        <f t="shared" si="6"/>
        <v xml:space="preserve">    - xform/》nioo(\d)/ㄧㆧ》${1}/</v>
      </c>
      <c r="X6" s="26" t="s">
        <v>167</v>
      </c>
      <c r="Y6" s="48" t="str">
        <f t="shared" si="4"/>
        <v>u</v>
      </c>
      <c r="Z6" s="48" t="str">
        <f t="shared" si="4"/>
        <v>ú</v>
      </c>
      <c r="AA6" s="48" t="str">
        <f t="shared" si="4"/>
        <v>ù</v>
      </c>
      <c r="AB6" s="48" t="str">
        <f t="shared" si="4"/>
        <v>u</v>
      </c>
      <c r="AC6" s="48" t="str">
        <f t="shared" si="4"/>
        <v>ǔ</v>
      </c>
      <c r="AD6" s="48" t="str">
        <f t="shared" si="4"/>
        <v>ú</v>
      </c>
      <c r="AE6" s="48" t="str">
        <f t="shared" si="4"/>
        <v>ū</v>
      </c>
      <c r="AF6" s="48" t="str">
        <f t="shared" si="4"/>
        <v>u̍</v>
      </c>
      <c r="AG6" s="48" t="str">
        <f t="shared" si="4"/>
        <v>ű</v>
      </c>
      <c r="AH6" s="48" t="str">
        <f t="shared" si="4"/>
        <v>ů</v>
      </c>
      <c r="AJ6" s="49" t="str">
        <f t="shared" si="5"/>
        <v xml:space="preserve">    - xform/》u/u/</v>
      </c>
      <c r="AK6" s="49" t="str">
        <f t="shared" si="5"/>
        <v xml:space="preserve">    - xform/》u/ú/</v>
      </c>
      <c r="AL6" s="49" t="str">
        <f t="shared" si="5"/>
        <v xml:space="preserve">    - xform/》u/ù/</v>
      </c>
      <c r="AM6" s="49" t="str">
        <f t="shared" si="5"/>
        <v xml:space="preserve">    - xform/》u/u/</v>
      </c>
      <c r="AN6" s="49" t="str">
        <f t="shared" si="5"/>
        <v xml:space="preserve">    - xform/》u/ǔ/</v>
      </c>
      <c r="AO6" s="49" t="str">
        <f t="shared" si="5"/>
        <v xml:space="preserve">    - xform/》u/ú/</v>
      </c>
      <c r="AP6" s="49" t="str">
        <f t="shared" si="5"/>
        <v xml:space="preserve">    - xform/》u/ū/</v>
      </c>
      <c r="AQ6" s="49" t="str">
        <f t="shared" si="5"/>
        <v xml:space="preserve">    - xform/》u/u̍/</v>
      </c>
      <c r="AR6" s="49" t="str">
        <f t="shared" si="5"/>
        <v xml:space="preserve">    - xform/》u/ű/</v>
      </c>
      <c r="AS6" s="49" t="str">
        <f t="shared" si="5"/>
        <v xml:space="preserve">    - xform/》u/ů/</v>
      </c>
      <c r="AT6" s="48"/>
      <c r="AU6" s="48"/>
      <c r="AV6" s="26"/>
    </row>
    <row r="7" spans="1:48" ht="30.75" thickBot="1">
      <c r="A7" s="38">
        <v>49</v>
      </c>
      <c r="B7" s="39" t="s">
        <v>504</v>
      </c>
      <c r="C7" s="40" t="s">
        <v>505</v>
      </c>
      <c r="D7" s="40" t="s">
        <v>506</v>
      </c>
      <c r="E7" s="41" t="s">
        <v>505</v>
      </c>
      <c r="F7" s="41" t="s">
        <v>505</v>
      </c>
      <c r="G7" s="41" t="s">
        <v>506</v>
      </c>
      <c r="H7" s="41" t="s">
        <v>507</v>
      </c>
      <c r="I7" s="41" t="s">
        <v>508</v>
      </c>
      <c r="J7" s="50" t="s">
        <v>509</v>
      </c>
      <c r="K7" s="51" t="s">
        <v>510</v>
      </c>
      <c r="L7" s="38" t="s">
        <v>511</v>
      </c>
      <c r="M7" s="44" t="s">
        <v>491</v>
      </c>
      <c r="N7" s="43">
        <f xml:space="preserve"> LEN(H7)</f>
        <v>4</v>
      </c>
      <c r="O7" s="45"/>
      <c r="P7" s="33" t="str">
        <f t="shared" si="1"/>
        <v>niuh</v>
      </c>
      <c r="Q7" s="33" t="str">
        <f t="shared" si="0"/>
        <v>ㄧㆫㆷ</v>
      </c>
      <c r="S7" s="33" t="str">
        <f t="shared" si="2"/>
        <v>》niuh(\d)</v>
      </c>
      <c r="T7" s="30" t="str">
        <f t="shared" si="3"/>
        <v>ㄧㆫㆷ》${1}</v>
      </c>
      <c r="U7" s="46"/>
      <c r="V7" s="47" t="str">
        <f t="shared" si="6"/>
        <v xml:space="preserve">    - xform/》niuh(\d)/ㄧㆫㆷ》${1}/</v>
      </c>
      <c r="X7" s="26" t="s">
        <v>27</v>
      </c>
      <c r="Y7" s="48" t="str">
        <f t="shared" si="4"/>
        <v>e</v>
      </c>
      <c r="Z7" s="48" t="str">
        <f t="shared" si="4"/>
        <v>é</v>
      </c>
      <c r="AA7" s="48" t="str">
        <f t="shared" si="4"/>
        <v>è</v>
      </c>
      <c r="AB7" s="48" t="str">
        <f t="shared" si="4"/>
        <v>e</v>
      </c>
      <c r="AC7" s="48" t="str">
        <f t="shared" si="4"/>
        <v>ě</v>
      </c>
      <c r="AD7" s="48" t="str">
        <f t="shared" si="4"/>
        <v>é</v>
      </c>
      <c r="AE7" s="48" t="str">
        <f t="shared" si="4"/>
        <v>ē</v>
      </c>
      <c r="AF7" s="48" t="str">
        <f t="shared" si="4"/>
        <v>e̍</v>
      </c>
      <c r="AG7" s="48" t="str">
        <f t="shared" si="4"/>
        <v>e̋</v>
      </c>
      <c r="AH7" s="48" t="str">
        <f t="shared" si="4"/>
        <v>e̊</v>
      </c>
      <c r="AJ7" s="49" t="str">
        <f t="shared" si="5"/>
        <v xml:space="preserve">    - xform/》e/e/</v>
      </c>
      <c r="AK7" s="49" t="str">
        <f t="shared" si="5"/>
        <v xml:space="preserve">    - xform/》e/é/</v>
      </c>
      <c r="AL7" s="49" t="str">
        <f t="shared" si="5"/>
        <v xml:space="preserve">    - xform/》e/è/</v>
      </c>
      <c r="AM7" s="49" t="str">
        <f t="shared" si="5"/>
        <v xml:space="preserve">    - xform/》e/e/</v>
      </c>
      <c r="AN7" s="49" t="str">
        <f t="shared" si="5"/>
        <v xml:space="preserve">    - xform/》e/ě/</v>
      </c>
      <c r="AO7" s="49" t="str">
        <f t="shared" si="5"/>
        <v xml:space="preserve">    - xform/》e/é/</v>
      </c>
      <c r="AP7" s="49" t="str">
        <f t="shared" si="5"/>
        <v xml:space="preserve">    - xform/》e/ē/</v>
      </c>
      <c r="AQ7" s="49" t="str">
        <f t="shared" si="5"/>
        <v xml:space="preserve">    - xform/》e/e̍/</v>
      </c>
      <c r="AR7" s="49" t="str">
        <f t="shared" si="5"/>
        <v xml:space="preserve">    - xform/》e/e̋/</v>
      </c>
      <c r="AS7" s="49" t="str">
        <f t="shared" si="5"/>
        <v xml:space="preserve">    - xform/》e/e̊/</v>
      </c>
      <c r="AT7" s="48"/>
      <c r="AU7" s="48"/>
      <c r="AV7" s="26"/>
    </row>
    <row r="8" spans="1:48" ht="27.75" thickBot="1">
      <c r="A8" s="38">
        <v>55</v>
      </c>
      <c r="B8" s="39" t="s">
        <v>555</v>
      </c>
      <c r="C8" s="40" t="s">
        <v>306</v>
      </c>
      <c r="D8" s="40" t="s">
        <v>556</v>
      </c>
      <c r="E8" s="38" t="s">
        <v>557</v>
      </c>
      <c r="F8" s="38" t="s">
        <v>306</v>
      </c>
      <c r="G8" s="38" t="s">
        <v>832</v>
      </c>
      <c r="H8" s="38" t="s">
        <v>833</v>
      </c>
      <c r="I8" s="42" t="s">
        <v>558</v>
      </c>
      <c r="J8" s="43" t="s">
        <v>559</v>
      </c>
      <c r="K8" s="38" t="s">
        <v>307</v>
      </c>
      <c r="L8" s="38" t="s">
        <v>560</v>
      </c>
      <c r="M8" s="44" t="s">
        <v>491</v>
      </c>
      <c r="N8" s="43">
        <f xml:space="preserve"> LEN(H8)</f>
        <v>4</v>
      </c>
      <c r="O8" s="45"/>
      <c r="P8" s="33" t="str">
        <f t="shared" si="1"/>
        <v>nooh</v>
      </c>
      <c r="Q8" s="33" t="str">
        <f t="shared" si="0"/>
        <v>ㆧㆷ</v>
      </c>
      <c r="S8" s="33" t="str">
        <f t="shared" si="2"/>
        <v>》nooh(\d)</v>
      </c>
      <c r="T8" s="30" t="str">
        <f t="shared" si="3"/>
        <v>ㆧㆷ》${1}</v>
      </c>
      <c r="U8" s="46"/>
      <c r="V8" s="47" t="str">
        <f t="shared" si="6"/>
        <v xml:space="preserve">    - xform/》nooh(\d)/ㆧㆷ》${1}/</v>
      </c>
      <c r="X8" s="26" t="s">
        <v>90</v>
      </c>
      <c r="Y8" s="48" t="str">
        <f t="shared" si="4"/>
        <v>o</v>
      </c>
      <c r="Z8" s="48" t="str">
        <f t="shared" si="4"/>
        <v>ó</v>
      </c>
      <c r="AA8" s="48" t="str">
        <f t="shared" si="4"/>
        <v>ò</v>
      </c>
      <c r="AB8" s="48" t="str">
        <f t="shared" si="4"/>
        <v>o</v>
      </c>
      <c r="AC8" s="48" t="str">
        <f t="shared" si="4"/>
        <v>ǒ</v>
      </c>
      <c r="AD8" s="48" t="str">
        <f t="shared" si="4"/>
        <v>ó</v>
      </c>
      <c r="AE8" s="48" t="str">
        <f t="shared" si="4"/>
        <v>ō</v>
      </c>
      <c r="AF8" s="48" t="str">
        <f t="shared" si="4"/>
        <v>o̍</v>
      </c>
      <c r="AG8" s="48" t="str">
        <f t="shared" si="4"/>
        <v>ő</v>
      </c>
      <c r="AH8" s="48" t="str">
        <f t="shared" si="4"/>
        <v>o̊</v>
      </c>
      <c r="AJ8" s="49" t="str">
        <f t="shared" si="5"/>
        <v xml:space="preserve">    - xform/》o/o/</v>
      </c>
      <c r="AK8" s="49" t="str">
        <f t="shared" si="5"/>
        <v xml:space="preserve">    - xform/》o/ó/</v>
      </c>
      <c r="AL8" s="49" t="str">
        <f t="shared" si="5"/>
        <v xml:space="preserve">    - xform/》o/ò/</v>
      </c>
      <c r="AM8" s="49" t="str">
        <f t="shared" si="5"/>
        <v xml:space="preserve">    - xform/》o/o/</v>
      </c>
      <c r="AN8" s="49" t="str">
        <f t="shared" si="5"/>
        <v xml:space="preserve">    - xform/》o/ǒ/</v>
      </c>
      <c r="AO8" s="49" t="str">
        <f t="shared" si="5"/>
        <v xml:space="preserve">    - xform/》o/ó/</v>
      </c>
      <c r="AP8" s="49" t="str">
        <f t="shared" si="5"/>
        <v xml:space="preserve">    - xform/》o/ō/</v>
      </c>
      <c r="AQ8" s="49" t="str">
        <f t="shared" si="5"/>
        <v xml:space="preserve">    - xform/》o/o̍/</v>
      </c>
      <c r="AR8" s="49" t="str">
        <f t="shared" si="5"/>
        <v xml:space="preserve">    - xform/》o/ő/</v>
      </c>
      <c r="AS8" s="49" t="str">
        <f t="shared" si="5"/>
        <v xml:space="preserve">    - xform/》o/o̊/</v>
      </c>
      <c r="AT8" s="48"/>
      <c r="AU8" s="48"/>
      <c r="AV8" s="26"/>
    </row>
    <row r="9" spans="1:48" ht="27.75" thickBot="1">
      <c r="A9" s="38">
        <v>71</v>
      </c>
      <c r="B9" s="39" t="s">
        <v>512</v>
      </c>
      <c r="C9" s="40" t="s">
        <v>270</v>
      </c>
      <c r="D9" s="40" t="s">
        <v>513</v>
      </c>
      <c r="E9" s="38" t="s">
        <v>270</v>
      </c>
      <c r="F9" s="38" t="s">
        <v>270</v>
      </c>
      <c r="G9" s="38" t="s">
        <v>513</v>
      </c>
      <c r="H9" s="38" t="s">
        <v>271</v>
      </c>
      <c r="I9" s="42" t="s">
        <v>514</v>
      </c>
      <c r="J9" s="43" t="s">
        <v>515</v>
      </c>
      <c r="K9" s="38" t="s">
        <v>516</v>
      </c>
      <c r="L9" s="38" t="s">
        <v>517</v>
      </c>
      <c r="M9" s="44" t="s">
        <v>491</v>
      </c>
      <c r="N9" s="43">
        <f xml:space="preserve"> LEN(H9)</f>
        <v>4</v>
      </c>
      <c r="O9" s="45"/>
      <c r="P9" s="33" t="str">
        <f t="shared" si="1"/>
        <v>nuai</v>
      </c>
      <c r="Q9" s="33" t="str">
        <f t="shared" si="0"/>
        <v>ㄨㆮ</v>
      </c>
      <c r="S9" s="33" t="str">
        <f t="shared" si="2"/>
        <v>》nuai(\d)</v>
      </c>
      <c r="T9" s="30" t="str">
        <f t="shared" si="3"/>
        <v>ㄨㆮ》${1}</v>
      </c>
      <c r="U9" s="46"/>
      <c r="V9" s="47" t="str">
        <f t="shared" si="6"/>
        <v xml:space="preserve">    - xform/》nuai(\d)/ㄨㆮ》${1}/</v>
      </c>
      <c r="X9" s="26" t="s">
        <v>260</v>
      </c>
      <c r="Y9" s="48" t="str">
        <f t="shared" si="4"/>
        <v>m</v>
      </c>
      <c r="Z9" s="48" t="str">
        <f t="shared" si="4"/>
        <v>ḿ</v>
      </c>
      <c r="AA9" s="48" t="str">
        <f t="shared" si="4"/>
        <v>m̀</v>
      </c>
      <c r="AB9" s="48" t="str">
        <f t="shared" si="4"/>
        <v>m</v>
      </c>
      <c r="AC9" s="48" t="str">
        <f t="shared" si="4"/>
        <v>m̌</v>
      </c>
      <c r="AD9" s="48" t="str">
        <f t="shared" si="4"/>
        <v>ḿ</v>
      </c>
      <c r="AE9" s="48" t="str">
        <f t="shared" si="4"/>
        <v>m̄</v>
      </c>
      <c r="AF9" s="48" t="str">
        <f t="shared" si="4"/>
        <v>m̍</v>
      </c>
      <c r="AG9" s="48" t="str">
        <f t="shared" si="4"/>
        <v>m̋</v>
      </c>
      <c r="AH9" s="48" t="str">
        <f t="shared" si="4"/>
        <v>m̊</v>
      </c>
      <c r="AJ9" s="49" t="str">
        <f t="shared" si="5"/>
        <v xml:space="preserve">    - xform/》m/m/</v>
      </c>
      <c r="AK9" s="49" t="str">
        <f t="shared" si="5"/>
        <v xml:space="preserve">    - xform/》m/ḿ/</v>
      </c>
      <c r="AL9" s="49" t="str">
        <f t="shared" si="5"/>
        <v xml:space="preserve">    - xform/》m/m̀/</v>
      </c>
      <c r="AM9" s="49" t="str">
        <f t="shared" si="5"/>
        <v xml:space="preserve">    - xform/》m/m/</v>
      </c>
      <c r="AN9" s="49" t="str">
        <f t="shared" si="5"/>
        <v xml:space="preserve">    - xform/》m/m̌/</v>
      </c>
      <c r="AO9" s="49" t="str">
        <f t="shared" si="5"/>
        <v xml:space="preserve">    - xform/》m/ḿ/</v>
      </c>
      <c r="AP9" s="49" t="str">
        <f t="shared" si="5"/>
        <v xml:space="preserve">    - xform/》m/m̄/</v>
      </c>
      <c r="AQ9" s="49" t="str">
        <f t="shared" si="5"/>
        <v xml:space="preserve">    - xform/》m/m̍/</v>
      </c>
      <c r="AR9" s="49" t="str">
        <f t="shared" si="5"/>
        <v xml:space="preserve">    - xform/》m/m̋/</v>
      </c>
      <c r="AS9" s="49" t="str">
        <f t="shared" si="5"/>
        <v xml:space="preserve">    - xform/》m/m̊/</v>
      </c>
      <c r="AT9" s="48"/>
      <c r="AU9" s="48"/>
      <c r="AV9" s="26"/>
    </row>
    <row r="10" spans="1:48" ht="27.75" thickBot="1">
      <c r="A10" s="38">
        <v>4</v>
      </c>
      <c r="B10" s="39" t="s">
        <v>518</v>
      </c>
      <c r="C10" s="40" t="s">
        <v>161</v>
      </c>
      <c r="D10" s="40" t="s">
        <v>519</v>
      </c>
      <c r="E10" s="38" t="s">
        <v>520</v>
      </c>
      <c r="F10" s="38" t="s">
        <v>161</v>
      </c>
      <c r="G10" s="38" t="s">
        <v>519</v>
      </c>
      <c r="H10" s="41" t="s">
        <v>162</v>
      </c>
      <c r="I10" s="42" t="s">
        <v>521</v>
      </c>
      <c r="J10" s="43" t="s">
        <v>522</v>
      </c>
      <c r="K10" s="38" t="s">
        <v>163</v>
      </c>
      <c r="L10" s="38" t="s">
        <v>523</v>
      </c>
      <c r="M10" s="44" t="s">
        <v>491</v>
      </c>
      <c r="N10" s="43">
        <f xml:space="preserve"> LEN(H10)</f>
        <v>3</v>
      </c>
      <c r="O10" s="45"/>
      <c r="P10" s="33" t="str">
        <f t="shared" si="1"/>
        <v>nah</v>
      </c>
      <c r="Q10" s="33" t="str">
        <f t="shared" si="0"/>
        <v>ㆩㆷ</v>
      </c>
      <c r="S10" s="33" t="str">
        <f t="shared" si="2"/>
        <v>》nah(\d)</v>
      </c>
      <c r="T10" s="30" t="str">
        <f t="shared" si="3"/>
        <v>ㆩㆷ》${1}</v>
      </c>
      <c r="U10" s="46"/>
      <c r="V10" s="47" t="str">
        <f t="shared" si="6"/>
        <v xml:space="preserve">    - xform/》nah(\d)/ㆩㆷ》${1}/</v>
      </c>
      <c r="X10" s="26" t="s">
        <v>529</v>
      </c>
      <c r="Y10" s="48" t="str">
        <f t="shared" si="4"/>
        <v>n</v>
      </c>
      <c r="Z10" s="48" t="str">
        <f t="shared" si="4"/>
        <v>ń</v>
      </c>
      <c r="AA10" s="48" t="str">
        <f t="shared" si="4"/>
        <v>ǹ</v>
      </c>
      <c r="AB10" s="48" t="str">
        <f t="shared" si="4"/>
        <v>n</v>
      </c>
      <c r="AC10" s="48" t="str">
        <f t="shared" si="4"/>
        <v>ň</v>
      </c>
      <c r="AD10" s="48" t="str">
        <f t="shared" si="4"/>
        <v>ń</v>
      </c>
      <c r="AE10" s="48" t="str">
        <f t="shared" si="4"/>
        <v>n̄</v>
      </c>
      <c r="AF10" s="48" t="str">
        <f t="shared" si="4"/>
        <v>n̍</v>
      </c>
      <c r="AG10" s="48" t="str">
        <f t="shared" si="4"/>
        <v>n̋</v>
      </c>
      <c r="AH10" s="48" t="str">
        <f t="shared" si="4"/>
        <v>n̊</v>
      </c>
      <c r="AJ10" s="49" t="str">
        <f t="shared" si="5"/>
        <v xml:space="preserve">    - xform/》n/n/</v>
      </c>
      <c r="AK10" s="49" t="str">
        <f t="shared" si="5"/>
        <v xml:space="preserve">    - xform/》n/ń/</v>
      </c>
      <c r="AL10" s="49" t="str">
        <f t="shared" si="5"/>
        <v xml:space="preserve">    - xform/》n/ǹ/</v>
      </c>
      <c r="AM10" s="49" t="str">
        <f t="shared" si="5"/>
        <v xml:space="preserve">    - xform/》n/n/</v>
      </c>
      <c r="AN10" s="49" t="str">
        <f t="shared" si="5"/>
        <v xml:space="preserve">    - xform/》n/ň/</v>
      </c>
      <c r="AO10" s="49" t="str">
        <f t="shared" si="5"/>
        <v xml:space="preserve">    - xform/》n/ń/</v>
      </c>
      <c r="AP10" s="49" t="str">
        <f t="shared" si="5"/>
        <v xml:space="preserve">    - xform/》n/n̄/</v>
      </c>
      <c r="AQ10" s="49" t="str">
        <f t="shared" si="5"/>
        <v xml:space="preserve">    - xform/》n/n̍/</v>
      </c>
      <c r="AR10" s="49" t="str">
        <f t="shared" si="5"/>
        <v xml:space="preserve">    - xform/》n/n̋/</v>
      </c>
      <c r="AS10" s="49" t="str">
        <f t="shared" si="5"/>
        <v xml:space="preserve">    - xform/》n/n̊/</v>
      </c>
      <c r="AT10" s="48"/>
      <c r="AU10" s="48"/>
      <c r="AV10" s="26"/>
    </row>
    <row r="11" spans="1:48" ht="27.75" thickBot="1">
      <c r="A11" s="38">
        <v>12</v>
      </c>
      <c r="B11" s="39" t="s">
        <v>524</v>
      </c>
      <c r="C11" s="40" t="s">
        <v>247</v>
      </c>
      <c r="D11" s="40" t="s">
        <v>525</v>
      </c>
      <c r="E11" s="38" t="s">
        <v>247</v>
      </c>
      <c r="F11" s="38" t="s">
        <v>247</v>
      </c>
      <c r="G11" s="38" t="s">
        <v>525</v>
      </c>
      <c r="H11" s="38" t="s">
        <v>248</v>
      </c>
      <c r="I11" s="42" t="s">
        <v>526</v>
      </c>
      <c r="J11" s="43" t="s">
        <v>527</v>
      </c>
      <c r="K11" s="38" t="s">
        <v>249</v>
      </c>
      <c r="L11" s="38" t="s">
        <v>528</v>
      </c>
      <c r="M11" s="44" t="s">
        <v>491</v>
      </c>
      <c r="N11" s="43">
        <f xml:space="preserve"> LEN(H11)</f>
        <v>3</v>
      </c>
      <c r="O11" s="45"/>
      <c r="P11" s="33" t="str">
        <f t="shared" si="1"/>
        <v>nai</v>
      </c>
      <c r="Q11" s="33" t="str">
        <f t="shared" si="0"/>
        <v>ㆮ</v>
      </c>
      <c r="S11" s="33" t="str">
        <f t="shared" si="2"/>
        <v>》nai(\d)</v>
      </c>
      <c r="T11" s="30" t="str">
        <f t="shared" si="3"/>
        <v>ㆮ》${1}</v>
      </c>
      <c r="U11" s="46"/>
      <c r="V11" s="47" t="str">
        <f t="shared" si="6"/>
        <v xml:space="preserve">    - xform/》nai(\d)/ㆮ》${1}/</v>
      </c>
    </row>
    <row r="12" spans="1:48" ht="30.75" thickBot="1">
      <c r="A12" s="38">
        <v>19</v>
      </c>
      <c r="B12" s="39" t="s">
        <v>530</v>
      </c>
      <c r="C12" s="40" t="s">
        <v>531</v>
      </c>
      <c r="D12" s="40" t="s">
        <v>532</v>
      </c>
      <c r="E12" s="41" t="s">
        <v>531</v>
      </c>
      <c r="F12" s="41" t="s">
        <v>531</v>
      </c>
      <c r="G12" s="41" t="s">
        <v>532</v>
      </c>
      <c r="H12" s="41" t="s">
        <v>829</v>
      </c>
      <c r="I12" s="41" t="s">
        <v>531</v>
      </c>
      <c r="J12" s="50" t="s">
        <v>533</v>
      </c>
      <c r="K12" s="52" t="s">
        <v>193</v>
      </c>
      <c r="L12" s="38" t="s">
        <v>534</v>
      </c>
      <c r="M12" s="44" t="s">
        <v>491</v>
      </c>
      <c r="N12" s="43">
        <f xml:space="preserve"> LEN(H12)</f>
        <v>3</v>
      </c>
      <c r="O12" s="45"/>
      <c r="P12" s="33" t="str">
        <f t="shared" si="1"/>
        <v>neh</v>
      </c>
      <c r="Q12" s="33" t="str">
        <f t="shared" si="0"/>
        <v>ㆥㆷ</v>
      </c>
      <c r="S12" s="33" t="str">
        <f t="shared" si="2"/>
        <v>》neh(\d)</v>
      </c>
      <c r="T12" s="30" t="str">
        <f t="shared" si="3"/>
        <v>ㆥㆷ》${1}</v>
      </c>
      <c r="U12" s="46"/>
      <c r="V12" s="47" t="str">
        <f t="shared" si="6"/>
        <v xml:space="preserve">    - xform/》neh(\d)/ㆥㆷ》${1}/</v>
      </c>
    </row>
    <row r="13" spans="1:48" ht="27.75" thickBot="1">
      <c r="A13" s="38">
        <v>30</v>
      </c>
      <c r="B13" s="39" t="s">
        <v>535</v>
      </c>
      <c r="C13" s="40" t="s">
        <v>225</v>
      </c>
      <c r="D13" s="40" t="s">
        <v>536</v>
      </c>
      <c r="E13" s="38" t="s">
        <v>225</v>
      </c>
      <c r="F13" s="38" t="s">
        <v>225</v>
      </c>
      <c r="G13" s="38" t="s">
        <v>536</v>
      </c>
      <c r="H13" s="38" t="s">
        <v>226</v>
      </c>
      <c r="I13" s="42" t="s">
        <v>537</v>
      </c>
      <c r="J13" s="43" t="s">
        <v>538</v>
      </c>
      <c r="K13" s="38" t="s">
        <v>539</v>
      </c>
      <c r="L13" s="38" t="s">
        <v>540</v>
      </c>
      <c r="M13" s="44" t="s">
        <v>491</v>
      </c>
      <c r="N13" s="43">
        <f xml:space="preserve"> LEN(H13)</f>
        <v>3</v>
      </c>
      <c r="O13" s="45"/>
      <c r="P13" s="33" t="str">
        <f t="shared" si="1"/>
        <v>nia</v>
      </c>
      <c r="Q13" s="33" t="str">
        <f t="shared" si="0"/>
        <v>ㄧㆩ</v>
      </c>
      <c r="S13" s="33" t="str">
        <f t="shared" si="2"/>
        <v>》nia(\d)</v>
      </c>
      <c r="T13" s="30" t="str">
        <f t="shared" si="3"/>
        <v>ㄧㆩ》${1}</v>
      </c>
      <c r="U13" s="46"/>
      <c r="V13" s="47" t="str">
        <f t="shared" si="6"/>
        <v xml:space="preserve">    - xform/》nia(\d)/ㄧㆩ》${1}/</v>
      </c>
    </row>
    <row r="14" spans="1:48" ht="27.75" thickBot="1">
      <c r="A14" s="38">
        <v>48</v>
      </c>
      <c r="B14" s="39" t="s">
        <v>549</v>
      </c>
      <c r="C14" s="40" t="s">
        <v>310</v>
      </c>
      <c r="D14" s="40" t="s">
        <v>550</v>
      </c>
      <c r="E14" s="38" t="s">
        <v>310</v>
      </c>
      <c r="F14" s="38" t="s">
        <v>310</v>
      </c>
      <c r="G14" s="38" t="s">
        <v>550</v>
      </c>
      <c r="H14" s="38" t="s">
        <v>311</v>
      </c>
      <c r="I14" s="42" t="s">
        <v>551</v>
      </c>
      <c r="J14" s="43" t="s">
        <v>552</v>
      </c>
      <c r="K14" s="38" t="s">
        <v>553</v>
      </c>
      <c r="L14" s="38" t="s">
        <v>554</v>
      </c>
      <c r="M14" s="44" t="s">
        <v>491</v>
      </c>
      <c r="N14" s="43">
        <f xml:space="preserve"> LEN(H14)</f>
        <v>3</v>
      </c>
      <c r="O14" s="45"/>
      <c r="P14" s="33" t="str">
        <f t="shared" si="1"/>
        <v>niu</v>
      </c>
      <c r="Q14" s="33" t="str">
        <f t="shared" si="0"/>
        <v>ㄧㆫ</v>
      </c>
      <c r="S14" s="33" t="str">
        <f t="shared" si="2"/>
        <v>》niu(\d)</v>
      </c>
      <c r="T14" s="30" t="str">
        <f t="shared" si="3"/>
        <v>ㄧㆫ》${1}</v>
      </c>
      <c r="U14" s="46"/>
      <c r="V14" s="47" t="str">
        <f t="shared" si="6"/>
        <v xml:space="preserve">    - xform/》niu(\d)/ㄧㆫ》${1}/</v>
      </c>
    </row>
    <row r="15" spans="1:48" ht="27.75" thickBot="1">
      <c r="A15" s="38">
        <v>52</v>
      </c>
      <c r="B15" s="39" t="s">
        <v>588</v>
      </c>
      <c r="C15" s="40" t="s">
        <v>589</v>
      </c>
      <c r="D15" s="40" t="s">
        <v>590</v>
      </c>
      <c r="E15" s="38" t="s">
        <v>589</v>
      </c>
      <c r="F15" s="38" t="s">
        <v>254</v>
      </c>
      <c r="G15" s="38" t="s">
        <v>591</v>
      </c>
      <c r="H15" s="38" t="s">
        <v>255</v>
      </c>
      <c r="I15" s="42" t="s">
        <v>592</v>
      </c>
      <c r="J15" s="43" t="s">
        <v>593</v>
      </c>
      <c r="K15" s="38" t="s">
        <v>256</v>
      </c>
      <c r="L15" s="38" t="s">
        <v>594</v>
      </c>
      <c r="M15" s="44" t="s">
        <v>491</v>
      </c>
      <c r="N15" s="43">
        <f xml:space="preserve"> LEN(H15)</f>
        <v>3</v>
      </c>
      <c r="O15" s="45"/>
      <c r="P15" s="33" t="str">
        <f t="shared" si="1"/>
        <v>noo</v>
      </c>
      <c r="Q15" s="33" t="str">
        <f t="shared" si="0"/>
        <v>ㆧ</v>
      </c>
      <c r="S15" s="33" t="str">
        <f t="shared" si="2"/>
        <v>》noo(\d)</v>
      </c>
      <c r="T15" s="30" t="str">
        <f t="shared" si="3"/>
        <v>ㆧ》${1}</v>
      </c>
      <c r="U15" s="46"/>
      <c r="V15" s="47" t="str">
        <f t="shared" si="6"/>
        <v xml:space="preserve">    - xform/》noo(\d)/ㆧ》${1}/</v>
      </c>
    </row>
    <row r="16" spans="1:48" ht="27.75" thickBot="1">
      <c r="A16" s="38">
        <v>65</v>
      </c>
      <c r="B16" s="39" t="s">
        <v>561</v>
      </c>
      <c r="C16" s="40" t="s">
        <v>231</v>
      </c>
      <c r="D16" s="40" t="s">
        <v>562</v>
      </c>
      <c r="E16" s="38" t="s">
        <v>231</v>
      </c>
      <c r="F16" s="38" t="s">
        <v>231</v>
      </c>
      <c r="G16" s="38" t="s">
        <v>562</v>
      </c>
      <c r="H16" s="38" t="s">
        <v>232</v>
      </c>
      <c r="I16" s="42" t="s">
        <v>563</v>
      </c>
      <c r="J16" s="43" t="s">
        <v>564</v>
      </c>
      <c r="K16" s="38" t="s">
        <v>565</v>
      </c>
      <c r="L16" s="38" t="s">
        <v>566</v>
      </c>
      <c r="M16" s="44" t="s">
        <v>491</v>
      </c>
      <c r="N16" s="43">
        <f xml:space="preserve"> LEN(H16)</f>
        <v>3</v>
      </c>
      <c r="O16" s="45"/>
      <c r="P16" s="33" t="str">
        <f t="shared" si="1"/>
        <v>nua</v>
      </c>
      <c r="Q16" s="33" t="str">
        <f t="shared" si="0"/>
        <v>ㄨㆩ</v>
      </c>
      <c r="S16" s="33" t="str">
        <f t="shared" si="2"/>
        <v>》nua(\d)</v>
      </c>
      <c r="T16" s="30" t="str">
        <f t="shared" si="3"/>
        <v>ㄨㆩ》${1}</v>
      </c>
      <c r="U16" s="46"/>
      <c r="V16" s="47" t="str">
        <f t="shared" si="6"/>
        <v xml:space="preserve">    - xform/》nua(\d)/ㄨㆩ》${1}/</v>
      </c>
    </row>
    <row r="17" spans="1:22" ht="27.75" thickBot="1">
      <c r="A17" s="38">
        <v>77</v>
      </c>
      <c r="B17" s="39" t="s">
        <v>567</v>
      </c>
      <c r="C17" s="40" t="s">
        <v>197</v>
      </c>
      <c r="D17" s="40" t="s">
        <v>568</v>
      </c>
      <c r="E17" s="38" t="s">
        <v>568</v>
      </c>
      <c r="F17" s="38" t="s">
        <v>197</v>
      </c>
      <c r="G17" s="38" t="s">
        <v>568</v>
      </c>
      <c r="H17" s="38" t="s">
        <v>198</v>
      </c>
      <c r="I17" s="42" t="s">
        <v>569</v>
      </c>
      <c r="J17" s="43" t="s">
        <v>570</v>
      </c>
      <c r="K17" s="38" t="s">
        <v>571</v>
      </c>
      <c r="L17" s="38" t="s">
        <v>572</v>
      </c>
      <c r="M17" s="44" t="s">
        <v>491</v>
      </c>
      <c r="N17" s="43">
        <f xml:space="preserve"> LEN(H17)</f>
        <v>3</v>
      </c>
      <c r="O17" s="45"/>
      <c r="P17" s="33" t="str">
        <f t="shared" si="1"/>
        <v>nui</v>
      </c>
      <c r="Q17" s="33" t="str">
        <f t="shared" si="0"/>
        <v>ㄨㆪ</v>
      </c>
      <c r="S17" s="33" t="str">
        <f t="shared" si="2"/>
        <v>》nui(\d)</v>
      </c>
      <c r="T17" s="30" t="str">
        <f t="shared" si="3"/>
        <v>ㄨㆪ》${1}</v>
      </c>
      <c r="U17" s="46"/>
      <c r="V17" s="47" t="str">
        <f t="shared" si="6"/>
        <v xml:space="preserve">    - xform/》nui(\d)/ㄨㆪ》${1}/</v>
      </c>
    </row>
    <row r="18" spans="1:22" ht="27.75" thickBot="1">
      <c r="A18" s="38">
        <v>2</v>
      </c>
      <c r="B18" s="39" t="s">
        <v>573</v>
      </c>
      <c r="C18" s="40" t="s">
        <v>157</v>
      </c>
      <c r="D18" s="40" t="s">
        <v>574</v>
      </c>
      <c r="E18" s="38" t="s">
        <v>157</v>
      </c>
      <c r="F18" s="38" t="s">
        <v>157</v>
      </c>
      <c r="G18" s="38" t="s">
        <v>574</v>
      </c>
      <c r="H18" s="38" t="s">
        <v>158</v>
      </c>
      <c r="I18" s="42" t="s">
        <v>575</v>
      </c>
      <c r="J18" s="43" t="s">
        <v>576</v>
      </c>
      <c r="K18" s="38" t="s">
        <v>159</v>
      </c>
      <c r="L18" s="38" t="s">
        <v>577</v>
      </c>
      <c r="M18" s="44" t="s">
        <v>491</v>
      </c>
      <c r="N18" s="43">
        <f xml:space="preserve"> LEN(H18)</f>
        <v>2</v>
      </c>
      <c r="O18" s="45"/>
      <c r="P18" s="33" t="str">
        <f t="shared" si="1"/>
        <v>na</v>
      </c>
      <c r="Q18" s="33" t="str">
        <f t="shared" si="0"/>
        <v>ㆩ</v>
      </c>
      <c r="S18" s="33" t="str">
        <f t="shared" si="2"/>
        <v>》na(\d)</v>
      </c>
      <c r="T18" s="30" t="str">
        <f t="shared" si="3"/>
        <v>ㆩ》${1}</v>
      </c>
      <c r="U18" s="46"/>
      <c r="V18" s="47" t="str">
        <f t="shared" si="6"/>
        <v xml:space="preserve">    - xform/》na(\d)/ㆩ》${1}/</v>
      </c>
    </row>
    <row r="19" spans="1:22" ht="27.75" thickBot="1">
      <c r="A19" s="38">
        <v>17</v>
      </c>
      <c r="B19" s="39" t="s">
        <v>578</v>
      </c>
      <c r="C19" s="40" t="s">
        <v>189</v>
      </c>
      <c r="D19" s="40" t="s">
        <v>579</v>
      </c>
      <c r="E19" s="38" t="s">
        <v>189</v>
      </c>
      <c r="F19" s="38" t="s">
        <v>189</v>
      </c>
      <c r="G19" s="38" t="s">
        <v>579</v>
      </c>
      <c r="H19" s="38" t="s">
        <v>190</v>
      </c>
      <c r="I19" s="42" t="s">
        <v>580</v>
      </c>
      <c r="J19" s="43" t="s">
        <v>581</v>
      </c>
      <c r="K19" s="38" t="s">
        <v>191</v>
      </c>
      <c r="L19" s="38" t="s">
        <v>582</v>
      </c>
      <c r="M19" s="44" t="s">
        <v>491</v>
      </c>
      <c r="N19" s="43">
        <f xml:space="preserve"> LEN(H19)</f>
        <v>2</v>
      </c>
      <c r="O19" s="45"/>
      <c r="P19" s="33" t="str">
        <f t="shared" si="1"/>
        <v>ne</v>
      </c>
      <c r="Q19" s="33" t="str">
        <f t="shared" si="0"/>
        <v>ㆥ</v>
      </c>
      <c r="S19" s="33" t="str">
        <f t="shared" si="2"/>
        <v>》ne(\d)</v>
      </c>
      <c r="T19" s="30" t="str">
        <f t="shared" si="3"/>
        <v>ㆥ》${1}</v>
      </c>
      <c r="U19" s="46"/>
      <c r="V19" s="47" t="str">
        <f t="shared" si="6"/>
        <v xml:space="preserve">    - xform/》ne(\d)/ㆥ》${1}/</v>
      </c>
    </row>
    <row r="20" spans="1:22" ht="27.75" thickBot="1">
      <c r="A20" s="38">
        <v>21</v>
      </c>
      <c r="B20" s="39" t="s">
        <v>583</v>
      </c>
      <c r="C20" s="40" t="s">
        <v>211</v>
      </c>
      <c r="D20" s="40" t="s">
        <v>584</v>
      </c>
      <c r="E20" s="38" t="s">
        <v>211</v>
      </c>
      <c r="F20" s="38" t="s">
        <v>211</v>
      </c>
      <c r="G20" s="38" t="s">
        <v>584</v>
      </c>
      <c r="H20" s="38" t="s">
        <v>212</v>
      </c>
      <c r="I20" s="42" t="s">
        <v>585</v>
      </c>
      <c r="J20" s="43" t="s">
        <v>586</v>
      </c>
      <c r="K20" s="38" t="s">
        <v>213</v>
      </c>
      <c r="L20" s="38" t="s">
        <v>587</v>
      </c>
      <c r="M20" s="44" t="s">
        <v>491</v>
      </c>
      <c r="N20" s="43">
        <f xml:space="preserve"> LEN(H20)</f>
        <v>2</v>
      </c>
      <c r="O20" s="45"/>
      <c r="P20" s="33" t="str">
        <f t="shared" si="1"/>
        <v>ni</v>
      </c>
      <c r="Q20" s="33" t="str">
        <f t="shared" si="0"/>
        <v>ㆪ</v>
      </c>
      <c r="S20" s="33" t="str">
        <f t="shared" si="2"/>
        <v>》ni(\d)</v>
      </c>
      <c r="T20" s="30" t="str">
        <f t="shared" si="3"/>
        <v>ㆪ》${1}</v>
      </c>
      <c r="U20" s="46"/>
      <c r="V20" s="47" t="str">
        <f t="shared" si="6"/>
        <v xml:space="preserve">    - xform/》ni(\d)/ㆪ》${1}/</v>
      </c>
    </row>
    <row r="21" spans="1:22" ht="27.75" thickBot="1">
      <c r="A21" s="38">
        <v>35</v>
      </c>
      <c r="B21" s="39" t="s">
        <v>595</v>
      </c>
      <c r="C21" s="40" t="s">
        <v>107</v>
      </c>
      <c r="D21" s="40" t="s">
        <v>107</v>
      </c>
      <c r="E21" s="38" t="s">
        <v>107</v>
      </c>
      <c r="F21" s="38" t="s">
        <v>107</v>
      </c>
      <c r="G21" s="38" t="s">
        <v>107</v>
      </c>
      <c r="H21" s="38" t="s">
        <v>107</v>
      </c>
      <c r="I21" s="42" t="s">
        <v>107</v>
      </c>
      <c r="J21" s="43" t="s">
        <v>596</v>
      </c>
      <c r="K21" s="38" t="s">
        <v>597</v>
      </c>
      <c r="L21" s="38" t="s">
        <v>597</v>
      </c>
      <c r="M21" s="38"/>
      <c r="N21" s="43">
        <f xml:space="preserve"> LEN(H21)</f>
        <v>4</v>
      </c>
      <c r="O21" s="45"/>
      <c r="P21" s="33" t="str">
        <f t="shared" si="1"/>
        <v>iang</v>
      </c>
      <c r="Q21" s="33" t="str">
        <f t="shared" si="0"/>
        <v>ㄧㄤ</v>
      </c>
      <c r="S21" s="33" t="str">
        <f t="shared" si="2"/>
        <v>》iang(\d)</v>
      </c>
      <c r="T21" s="30" t="str">
        <f t="shared" si="3"/>
        <v>ㄧㄤ》${1}</v>
      </c>
      <c r="U21" s="46"/>
      <c r="V21" s="47" t="str">
        <f t="shared" si="6"/>
        <v xml:space="preserve">    - xform/》iang(\d)/ㄧㄤ》${1}/</v>
      </c>
    </row>
    <row r="22" spans="1:22" ht="27.75" thickBot="1">
      <c r="A22" s="38">
        <v>41</v>
      </c>
      <c r="B22" s="39" t="s">
        <v>598</v>
      </c>
      <c r="C22" s="40" t="s">
        <v>599</v>
      </c>
      <c r="D22" s="40" t="s">
        <v>599</v>
      </c>
      <c r="E22" s="38" t="s">
        <v>599</v>
      </c>
      <c r="F22" s="38" t="s">
        <v>599</v>
      </c>
      <c r="G22" s="38" t="s">
        <v>599</v>
      </c>
      <c r="H22" s="38" t="s">
        <v>73</v>
      </c>
      <c r="I22" s="42" t="s">
        <v>599</v>
      </c>
      <c r="J22" s="43" t="s">
        <v>600</v>
      </c>
      <c r="K22" s="38" t="s">
        <v>601</v>
      </c>
      <c r="L22" s="38" t="s">
        <v>602</v>
      </c>
      <c r="M22" s="38"/>
      <c r="N22" s="43">
        <f xml:space="preserve"> LEN(H22)</f>
        <v>4</v>
      </c>
      <c r="O22" s="45"/>
      <c r="P22" s="33" t="str">
        <f t="shared" si="1"/>
        <v>iaoh</v>
      </c>
      <c r="Q22" s="33" t="str">
        <f t="shared" si="0"/>
        <v>ㄧㄠㆷ</v>
      </c>
      <c r="S22" s="33" t="str">
        <f t="shared" si="2"/>
        <v>》iaoh(\d)</v>
      </c>
      <c r="T22" s="30" t="str">
        <f t="shared" si="3"/>
        <v>ㄧㄠㆷ》${1}</v>
      </c>
      <c r="U22" s="46"/>
      <c r="V22" s="47" t="str">
        <f t="shared" si="6"/>
        <v xml:space="preserve">    - xform/》iaoh(\d)/ㄧㄠㆷ》${1}/</v>
      </c>
    </row>
    <row r="23" spans="1:22" ht="27.75" thickBot="1">
      <c r="A23" s="38">
        <v>45</v>
      </c>
      <c r="B23" s="39" t="s">
        <v>603</v>
      </c>
      <c r="C23" s="40" t="s">
        <v>82</v>
      </c>
      <c r="D23" s="40" t="s">
        <v>82</v>
      </c>
      <c r="E23" s="38" t="s">
        <v>82</v>
      </c>
      <c r="F23" s="38" t="s">
        <v>82</v>
      </c>
      <c r="G23" s="38" t="s">
        <v>82</v>
      </c>
      <c r="H23" s="38" t="s">
        <v>82</v>
      </c>
      <c r="I23" s="42" t="s">
        <v>82</v>
      </c>
      <c r="J23" s="43" t="s">
        <v>604</v>
      </c>
      <c r="K23" s="38" t="s">
        <v>605</v>
      </c>
      <c r="L23" s="38" t="s">
        <v>606</v>
      </c>
      <c r="M23" s="38"/>
      <c r="N23" s="43">
        <f xml:space="preserve"> LEN(H23)</f>
        <v>4</v>
      </c>
      <c r="O23" s="45"/>
      <c r="P23" s="33" t="str">
        <f t="shared" si="1"/>
        <v>iong</v>
      </c>
      <c r="Q23" s="33" t="str">
        <f t="shared" si="0"/>
        <v>ㄧㆲ</v>
      </c>
      <c r="S23" s="33" t="str">
        <f t="shared" si="2"/>
        <v>》iong(\d)</v>
      </c>
      <c r="T23" s="30" t="str">
        <f t="shared" si="3"/>
        <v>ㄧㆲ》${1}</v>
      </c>
      <c r="U23" s="46"/>
      <c r="V23" s="47" t="str">
        <f t="shared" si="6"/>
        <v xml:space="preserve">    - xform/》iong(\d)/ㄧㆲ》${1}/</v>
      </c>
    </row>
    <row r="24" spans="1:22" ht="27.75" thickBot="1">
      <c r="A24" s="38">
        <v>72</v>
      </c>
      <c r="B24" s="39" t="s">
        <v>611</v>
      </c>
      <c r="C24" s="40" t="s">
        <v>49</v>
      </c>
      <c r="D24" s="40" t="s">
        <v>49</v>
      </c>
      <c r="E24" s="38" t="s">
        <v>49</v>
      </c>
      <c r="F24" s="38" t="s">
        <v>49</v>
      </c>
      <c r="G24" s="38" t="s">
        <v>49</v>
      </c>
      <c r="H24" s="38" t="s">
        <v>49</v>
      </c>
      <c r="I24" s="42" t="s">
        <v>612</v>
      </c>
      <c r="J24" s="43" t="s">
        <v>613</v>
      </c>
      <c r="K24" s="38" t="s">
        <v>614</v>
      </c>
      <c r="L24" s="38" t="s">
        <v>615</v>
      </c>
      <c r="M24" s="38"/>
      <c r="N24" s="43">
        <f xml:space="preserve"> LEN(H24)</f>
        <v>4</v>
      </c>
      <c r="O24" s="45"/>
      <c r="P24" s="33" t="str">
        <f t="shared" si="1"/>
        <v>uaih</v>
      </c>
      <c r="Q24" s="33" t="str">
        <f t="shared" si="0"/>
        <v>ㄨㄞㆷ</v>
      </c>
      <c r="S24" s="33" t="str">
        <f t="shared" si="2"/>
        <v>》uaih(\d)</v>
      </c>
      <c r="T24" s="30" t="str">
        <f t="shared" si="3"/>
        <v>ㄨㄞㆷ》${1}</v>
      </c>
      <c r="U24" s="46"/>
      <c r="V24" s="47" t="str">
        <f t="shared" si="6"/>
        <v xml:space="preserve">    - xform/》uaih(\d)/ㄨㄞㆷ》${1}/</v>
      </c>
    </row>
    <row r="25" spans="1:22" ht="27.75" thickBot="1">
      <c r="A25" s="38">
        <v>68</v>
      </c>
      <c r="B25" s="39" t="s">
        <v>607</v>
      </c>
      <c r="C25" s="40" t="s">
        <v>264</v>
      </c>
      <c r="D25" s="40" t="s">
        <v>264</v>
      </c>
      <c r="E25" s="38" t="s">
        <v>264</v>
      </c>
      <c r="F25" s="38" t="s">
        <v>264</v>
      </c>
      <c r="G25" s="38" t="s">
        <v>264</v>
      </c>
      <c r="H25" s="38" t="s">
        <v>264</v>
      </c>
      <c r="I25" s="42" t="s">
        <v>608</v>
      </c>
      <c r="J25" s="43" t="s">
        <v>609</v>
      </c>
      <c r="K25" s="38" t="s">
        <v>610</v>
      </c>
      <c r="L25" s="38" t="s">
        <v>610</v>
      </c>
      <c r="M25" s="38"/>
      <c r="N25" s="43">
        <f xml:space="preserve"> LEN(H25)</f>
        <v>4</v>
      </c>
      <c r="O25" s="45"/>
      <c r="P25" s="33" t="str">
        <f t="shared" si="1"/>
        <v>uang</v>
      </c>
      <c r="Q25" s="33" t="str">
        <f t="shared" si="0"/>
        <v>ㄨㄤ</v>
      </c>
      <c r="S25" s="33" t="str">
        <f t="shared" si="2"/>
        <v>》uang(\d)</v>
      </c>
      <c r="T25" s="30" t="str">
        <f t="shared" si="3"/>
        <v>ㄨㄤ》${1}</v>
      </c>
      <c r="U25" s="46"/>
      <c r="V25" s="47" t="str">
        <f t="shared" si="6"/>
        <v xml:space="preserve">    - xform/》uang(\d)/ㄨㄤ》${1}/</v>
      </c>
    </row>
    <row r="26" spans="1:22" ht="30.75" thickBot="1">
      <c r="A26" s="38">
        <v>13</v>
      </c>
      <c r="B26" s="39" t="s">
        <v>622</v>
      </c>
      <c r="C26" s="40" t="s">
        <v>623</v>
      </c>
      <c r="D26" s="40" t="s">
        <v>623</v>
      </c>
      <c r="E26" s="41" t="s">
        <v>623</v>
      </c>
      <c r="F26" s="41" t="s">
        <v>623</v>
      </c>
      <c r="G26" s="41" t="s">
        <v>623</v>
      </c>
      <c r="H26" s="41" t="s">
        <v>623</v>
      </c>
      <c r="I26" s="41" t="s">
        <v>623</v>
      </c>
      <c r="J26" s="50" t="s">
        <v>624</v>
      </c>
      <c r="K26" s="51" t="s">
        <v>98</v>
      </c>
      <c r="L26" s="54" t="s">
        <v>625</v>
      </c>
      <c r="M26" s="38"/>
      <c r="N26" s="43">
        <f xml:space="preserve"> LEN(H26)</f>
        <v>3</v>
      </c>
      <c r="O26" s="45"/>
      <c r="P26" s="33" t="str">
        <f t="shared" si="1"/>
        <v>aih</v>
      </c>
      <c r="Q26" s="33" t="str">
        <f t="shared" si="0"/>
        <v>ㄞㆷ</v>
      </c>
      <c r="S26" s="33" t="str">
        <f t="shared" si="2"/>
        <v>》aih(\d)</v>
      </c>
      <c r="T26" s="30" t="str">
        <f t="shared" si="3"/>
        <v>ㄞㆷ》${1}</v>
      </c>
      <c r="U26" s="46"/>
      <c r="V26" s="47" t="str">
        <f t="shared" si="6"/>
        <v xml:space="preserve">    - xform/》aih(\d)/ㄞㆷ》${1}/</v>
      </c>
    </row>
    <row r="27" spans="1:22" ht="27.75" thickBot="1">
      <c r="A27" s="38">
        <v>7</v>
      </c>
      <c r="B27" s="39" t="s">
        <v>619</v>
      </c>
      <c r="C27" s="40" t="s">
        <v>125</v>
      </c>
      <c r="D27" s="40" t="s">
        <v>125</v>
      </c>
      <c r="E27" s="38" t="s">
        <v>125</v>
      </c>
      <c r="F27" s="38" t="s">
        <v>125</v>
      </c>
      <c r="G27" s="38" t="s">
        <v>125</v>
      </c>
      <c r="H27" s="38" t="s">
        <v>125</v>
      </c>
      <c r="I27" s="42" t="s">
        <v>125</v>
      </c>
      <c r="J27" s="43" t="s">
        <v>620</v>
      </c>
      <c r="K27" s="38" t="s">
        <v>621</v>
      </c>
      <c r="L27" s="38" t="s">
        <v>621</v>
      </c>
      <c r="M27" s="38"/>
      <c r="N27" s="43">
        <f xml:space="preserve"> LEN(H27)</f>
        <v>3</v>
      </c>
      <c r="O27" s="45"/>
      <c r="P27" s="33" t="str">
        <f t="shared" si="1"/>
        <v>ang</v>
      </c>
      <c r="Q27" s="33" t="str">
        <f t="shared" si="0"/>
        <v>ㄤ</v>
      </c>
      <c r="S27" s="33" t="str">
        <f t="shared" si="2"/>
        <v>》ang(\d)</v>
      </c>
      <c r="T27" s="30" t="str">
        <f t="shared" si="3"/>
        <v>ㄤ》${1}</v>
      </c>
      <c r="U27" s="46"/>
      <c r="V27" s="47" t="str">
        <f t="shared" si="6"/>
        <v xml:space="preserve">    - xform/》ang(\d)/ㄤ》${1}/</v>
      </c>
    </row>
    <row r="28" spans="1:22" ht="27.75" thickBot="1">
      <c r="A28" s="38">
        <v>15</v>
      </c>
      <c r="B28" s="39" t="s">
        <v>626</v>
      </c>
      <c r="C28" s="40" t="s">
        <v>140</v>
      </c>
      <c r="D28" s="40" t="s">
        <v>140</v>
      </c>
      <c r="E28" s="38" t="s">
        <v>140</v>
      </c>
      <c r="F28" s="38" t="s">
        <v>140</v>
      </c>
      <c r="G28" s="38" t="s">
        <v>140</v>
      </c>
      <c r="H28" s="38" t="s">
        <v>141</v>
      </c>
      <c r="I28" s="42" t="s">
        <v>140</v>
      </c>
      <c r="J28" s="43" t="s">
        <v>627</v>
      </c>
      <c r="K28" s="38" t="s">
        <v>628</v>
      </c>
      <c r="L28" s="38" t="s">
        <v>629</v>
      </c>
      <c r="M28" s="38"/>
      <c r="N28" s="43">
        <f xml:space="preserve"> LEN(H28)</f>
        <v>3</v>
      </c>
      <c r="O28" s="45"/>
      <c r="P28" s="33" t="str">
        <f t="shared" si="1"/>
        <v>aoh</v>
      </c>
      <c r="Q28" s="33" t="str">
        <f t="shared" si="0"/>
        <v>ㄠㆷ</v>
      </c>
      <c r="S28" s="33" t="str">
        <f t="shared" si="2"/>
        <v>》aoh(\d)</v>
      </c>
      <c r="T28" s="30" t="str">
        <f t="shared" si="3"/>
        <v>ㄠㆷ》${1}</v>
      </c>
      <c r="U28" s="46"/>
      <c r="V28" s="47" t="str">
        <f t="shared" si="6"/>
        <v xml:space="preserve">    - xform/》aoh(\d)/ㄠㆷ》${1}/</v>
      </c>
    </row>
    <row r="29" spans="1:22" ht="27.75" thickBot="1">
      <c r="A29" s="38">
        <v>31</v>
      </c>
      <c r="B29" s="39" t="s">
        <v>634</v>
      </c>
      <c r="C29" s="40" t="s">
        <v>147</v>
      </c>
      <c r="D29" s="40" t="s">
        <v>147</v>
      </c>
      <c r="E29" s="38" t="s">
        <v>147</v>
      </c>
      <c r="F29" s="38" t="s">
        <v>147</v>
      </c>
      <c r="G29" s="38" t="s">
        <v>147</v>
      </c>
      <c r="H29" s="38" t="s">
        <v>147</v>
      </c>
      <c r="I29" s="42" t="s">
        <v>147</v>
      </c>
      <c r="J29" s="43" t="s">
        <v>496</v>
      </c>
      <c r="K29" s="38" t="s">
        <v>635</v>
      </c>
      <c r="L29" s="38" t="s">
        <v>636</v>
      </c>
      <c r="M29" s="38"/>
      <c r="N29" s="43">
        <f xml:space="preserve"> LEN(H29)</f>
        <v>3</v>
      </c>
      <c r="O29" s="45"/>
      <c r="P29" s="33" t="str">
        <f t="shared" si="1"/>
        <v>iah</v>
      </c>
      <c r="Q29" s="33" t="str">
        <f t="shared" si="0"/>
        <v>ㄧㄚㆷ</v>
      </c>
      <c r="S29" s="33" t="str">
        <f t="shared" si="2"/>
        <v>》iah(\d)</v>
      </c>
      <c r="T29" s="30" t="str">
        <f t="shared" si="3"/>
        <v>ㄧㄚㆷ》${1}</v>
      </c>
      <c r="U29" s="46"/>
      <c r="V29" s="47" t="str">
        <f t="shared" si="6"/>
        <v xml:space="preserve">    - xform/》iah(\d)/ㄧㄚㆷ》${1}/</v>
      </c>
    </row>
    <row r="30" spans="1:22" ht="27.75" thickBot="1">
      <c r="A30" s="38">
        <v>38</v>
      </c>
      <c r="B30" s="39" t="s">
        <v>652</v>
      </c>
      <c r="C30" s="40" t="s">
        <v>109</v>
      </c>
      <c r="D30" s="40" t="s">
        <v>109</v>
      </c>
      <c r="E30" s="38" t="s">
        <v>109</v>
      </c>
      <c r="F30" s="38" t="s">
        <v>109</v>
      </c>
      <c r="G30" s="38" t="s">
        <v>109</v>
      </c>
      <c r="H30" s="38" t="s">
        <v>109</v>
      </c>
      <c r="I30" s="42" t="s">
        <v>109</v>
      </c>
      <c r="J30" s="43" t="s">
        <v>653</v>
      </c>
      <c r="K30" s="38" t="s">
        <v>654</v>
      </c>
      <c r="L30" s="38" t="s">
        <v>655</v>
      </c>
      <c r="M30" s="38"/>
      <c r="N30" s="43">
        <f xml:space="preserve"> LEN(H30)</f>
        <v>3</v>
      </c>
      <c r="O30" s="45"/>
      <c r="P30" s="33" t="str">
        <f t="shared" si="1"/>
        <v>iak</v>
      </c>
      <c r="Q30" s="33" t="str">
        <f t="shared" si="0"/>
        <v>ㄧㄚㆻ</v>
      </c>
      <c r="S30" s="33" t="str">
        <f t="shared" si="2"/>
        <v>》iak(\d)</v>
      </c>
      <c r="T30" s="30" t="str">
        <f t="shared" si="3"/>
        <v>ㄧㄚㆻ》${1}</v>
      </c>
      <c r="U30" s="46"/>
      <c r="V30" s="47" t="str">
        <f t="shared" si="6"/>
        <v xml:space="preserve">    - xform/》iak(\d)/ㄧㄚㆻ》${1}/</v>
      </c>
    </row>
    <row r="31" spans="1:22" ht="27.75" thickBot="1">
      <c r="A31" s="38">
        <v>33</v>
      </c>
      <c r="B31" s="39" t="s">
        <v>637</v>
      </c>
      <c r="C31" s="40" t="s">
        <v>131</v>
      </c>
      <c r="D31" s="40" t="s">
        <v>131</v>
      </c>
      <c r="E31" s="38" t="s">
        <v>131</v>
      </c>
      <c r="F31" s="38" t="s">
        <v>131</v>
      </c>
      <c r="G31" s="38" t="s">
        <v>131</v>
      </c>
      <c r="H31" s="38" t="s">
        <v>131</v>
      </c>
      <c r="I31" s="42" t="s">
        <v>131</v>
      </c>
      <c r="J31" s="43" t="s">
        <v>638</v>
      </c>
      <c r="K31" s="38" t="s">
        <v>639</v>
      </c>
      <c r="L31" s="38" t="s">
        <v>640</v>
      </c>
      <c r="M31" s="38"/>
      <c r="N31" s="43">
        <f xml:space="preserve"> LEN(H31)</f>
        <v>3</v>
      </c>
      <c r="O31" s="45"/>
      <c r="P31" s="33" t="str">
        <f t="shared" si="1"/>
        <v>iam</v>
      </c>
      <c r="Q31" s="33" t="str">
        <f t="shared" si="0"/>
        <v>ㄧㆰ</v>
      </c>
      <c r="S31" s="33" t="str">
        <f t="shared" si="2"/>
        <v>》iam(\d)</v>
      </c>
      <c r="T31" s="30" t="str">
        <f t="shared" si="3"/>
        <v>ㄧㆰ》${1}</v>
      </c>
      <c r="U31" s="46"/>
      <c r="V31" s="47" t="str">
        <f t="shared" si="6"/>
        <v xml:space="preserve">    - xform/》iam(\d)/ㄧㆰ》${1}/</v>
      </c>
    </row>
    <row r="32" spans="1:22" ht="27.75" thickBot="1">
      <c r="A32" s="38">
        <v>34</v>
      </c>
      <c r="B32" s="39" t="s">
        <v>641</v>
      </c>
      <c r="C32" s="40" t="s">
        <v>8</v>
      </c>
      <c r="D32" s="40" t="s">
        <v>8</v>
      </c>
      <c r="E32" s="38" t="s">
        <v>8</v>
      </c>
      <c r="F32" s="38" t="s">
        <v>8</v>
      </c>
      <c r="G32" s="38" t="s">
        <v>8</v>
      </c>
      <c r="H32" s="38" t="s">
        <v>8</v>
      </c>
      <c r="I32" s="42" t="s">
        <v>8</v>
      </c>
      <c r="J32" s="43" t="s">
        <v>642</v>
      </c>
      <c r="K32" s="38" t="s">
        <v>643</v>
      </c>
      <c r="L32" s="38" t="s">
        <v>643</v>
      </c>
      <c r="M32" s="38"/>
      <c r="N32" s="43">
        <f xml:space="preserve"> LEN(H32)</f>
        <v>3</v>
      </c>
      <c r="O32" s="45"/>
      <c r="P32" s="33" t="str">
        <f t="shared" si="1"/>
        <v>ian</v>
      </c>
      <c r="Q32" s="33" t="str">
        <f t="shared" si="0"/>
        <v>ㄧㄢ</v>
      </c>
      <c r="S32" s="33" t="str">
        <f t="shared" si="2"/>
        <v>》ian(\d)</v>
      </c>
      <c r="T32" s="30" t="str">
        <f t="shared" si="3"/>
        <v>ㄧㄢ》${1}</v>
      </c>
      <c r="U32" s="46"/>
      <c r="V32" s="47" t="str">
        <f t="shared" si="6"/>
        <v xml:space="preserve">    - xform/》ian(\d)/ㄧㄢ》${1}/</v>
      </c>
    </row>
    <row r="33" spans="1:22" ht="27.75" thickBot="1">
      <c r="A33" s="38">
        <v>39</v>
      </c>
      <c r="B33" s="39" t="s">
        <v>656</v>
      </c>
      <c r="C33" s="40" t="s">
        <v>70</v>
      </c>
      <c r="D33" s="40" t="s">
        <v>70</v>
      </c>
      <c r="E33" s="38" t="s">
        <v>70</v>
      </c>
      <c r="F33" s="38" t="s">
        <v>70</v>
      </c>
      <c r="G33" s="38" t="s">
        <v>70</v>
      </c>
      <c r="H33" s="38" t="s">
        <v>71</v>
      </c>
      <c r="I33" s="42" t="s">
        <v>70</v>
      </c>
      <c r="J33" s="43" t="s">
        <v>657</v>
      </c>
      <c r="K33" s="38" t="s">
        <v>658</v>
      </c>
      <c r="L33" s="38" t="s">
        <v>658</v>
      </c>
      <c r="M33" s="38"/>
      <c r="N33" s="43">
        <f xml:space="preserve"> LEN(H33)</f>
        <v>3</v>
      </c>
      <c r="O33" s="45"/>
      <c r="P33" s="33" t="str">
        <f t="shared" si="1"/>
        <v>iao</v>
      </c>
      <c r="Q33" s="33" t="str">
        <f t="shared" si="0"/>
        <v>ㄧㄠ</v>
      </c>
      <c r="S33" s="33" t="str">
        <f t="shared" si="2"/>
        <v>》iao(\d)</v>
      </c>
      <c r="T33" s="30" t="str">
        <f t="shared" si="3"/>
        <v>ㄧㄠ》${1}</v>
      </c>
      <c r="U33" s="46"/>
      <c r="V33" s="47" t="str">
        <f t="shared" si="6"/>
        <v xml:space="preserve">    - xform/》iao(\d)/ㄧㄠ》${1}/</v>
      </c>
    </row>
    <row r="34" spans="1:22" ht="27.75" thickBot="1">
      <c r="A34" s="38">
        <v>36</v>
      </c>
      <c r="B34" s="39" t="s">
        <v>644</v>
      </c>
      <c r="C34" s="40" t="s">
        <v>133</v>
      </c>
      <c r="D34" s="40" t="s">
        <v>133</v>
      </c>
      <c r="E34" s="38" t="s">
        <v>133</v>
      </c>
      <c r="F34" s="38" t="s">
        <v>133</v>
      </c>
      <c r="G34" s="38" t="s">
        <v>133</v>
      </c>
      <c r="H34" s="38" t="s">
        <v>133</v>
      </c>
      <c r="I34" s="42" t="s">
        <v>133</v>
      </c>
      <c r="J34" s="43" t="s">
        <v>645</v>
      </c>
      <c r="K34" s="38" t="s">
        <v>646</v>
      </c>
      <c r="L34" s="38" t="s">
        <v>647</v>
      </c>
      <c r="M34" s="38"/>
      <c r="N34" s="43">
        <f xml:space="preserve"> LEN(H34)</f>
        <v>3</v>
      </c>
      <c r="O34" s="45"/>
      <c r="P34" s="33" t="str">
        <f t="shared" si="1"/>
        <v>iap</v>
      </c>
      <c r="Q34" s="33" t="str">
        <f t="shared" si="0"/>
        <v>ㄧㄚㆴ</v>
      </c>
      <c r="S34" s="33" t="str">
        <f t="shared" si="2"/>
        <v>》iap(\d)</v>
      </c>
      <c r="T34" s="30" t="str">
        <f t="shared" si="3"/>
        <v>ㄧㄚㆴ》${1}</v>
      </c>
      <c r="U34" s="46"/>
      <c r="V34" s="47" t="str">
        <f t="shared" si="6"/>
        <v xml:space="preserve">    - xform/》iap(\d)/ㄧㄚㆴ》${1}/</v>
      </c>
    </row>
    <row r="35" spans="1:22" ht="27.75" thickBot="1">
      <c r="A35" s="38">
        <v>37</v>
      </c>
      <c r="B35" s="39" t="s">
        <v>648</v>
      </c>
      <c r="C35" s="40" t="s">
        <v>10</v>
      </c>
      <c r="D35" s="40" t="s">
        <v>10</v>
      </c>
      <c r="E35" s="38" t="s">
        <v>10</v>
      </c>
      <c r="F35" s="38" t="s">
        <v>10</v>
      </c>
      <c r="G35" s="38" t="s">
        <v>10</v>
      </c>
      <c r="H35" s="38" t="s">
        <v>10</v>
      </c>
      <c r="I35" s="42" t="s">
        <v>10</v>
      </c>
      <c r="J35" s="43" t="s">
        <v>649</v>
      </c>
      <c r="K35" s="38" t="s">
        <v>650</v>
      </c>
      <c r="L35" s="38" t="s">
        <v>651</v>
      </c>
      <c r="M35" s="38"/>
      <c r="N35" s="43">
        <f xml:space="preserve"> LEN(H35)</f>
        <v>3</v>
      </c>
      <c r="O35" s="45"/>
      <c r="P35" s="33" t="str">
        <f t="shared" si="1"/>
        <v>iat</v>
      </c>
      <c r="Q35" s="33" t="str">
        <f t="shared" si="0"/>
        <v>ㄧㄚㆵ</v>
      </c>
      <c r="S35" s="33" t="str">
        <f t="shared" si="2"/>
        <v>》iat(\d)</v>
      </c>
      <c r="T35" s="30" t="str">
        <f t="shared" si="3"/>
        <v>ㄧㄚㆵ》${1}</v>
      </c>
      <c r="U35" s="46"/>
      <c r="V35" s="47" t="str">
        <f t="shared" si="6"/>
        <v xml:space="preserve">    - xform/》iat(\d)/ㄧㄚㆵ》${1}/</v>
      </c>
    </row>
    <row r="36" spans="1:22" ht="27.75" thickBot="1">
      <c r="A36" s="38">
        <v>25</v>
      </c>
      <c r="B36" s="39" t="s">
        <v>630</v>
      </c>
      <c r="C36" s="40" t="s">
        <v>53</v>
      </c>
      <c r="D36" s="40" t="s">
        <v>53</v>
      </c>
      <c r="E36" s="38" t="s">
        <v>53</v>
      </c>
      <c r="F36" s="38" t="s">
        <v>53</v>
      </c>
      <c r="G36" s="38" t="s">
        <v>53</v>
      </c>
      <c r="H36" s="38" t="s">
        <v>53</v>
      </c>
      <c r="I36" s="42" t="s">
        <v>631</v>
      </c>
      <c r="J36" s="43" t="s">
        <v>632</v>
      </c>
      <c r="K36" s="38" t="s">
        <v>633</v>
      </c>
      <c r="L36" s="38" t="s">
        <v>633</v>
      </c>
      <c r="M36" s="38"/>
      <c r="N36" s="43">
        <f xml:space="preserve"> LEN(H36)</f>
        <v>3</v>
      </c>
      <c r="O36" s="45"/>
      <c r="P36" s="33" t="str">
        <f t="shared" si="1"/>
        <v>ing</v>
      </c>
      <c r="Q36" s="33" t="str">
        <f t="shared" si="0"/>
        <v>ㄧㄥ</v>
      </c>
      <c r="S36" s="33" t="str">
        <f t="shared" si="2"/>
        <v>》ing(\d)</v>
      </c>
      <c r="T36" s="30" t="str">
        <f t="shared" si="3"/>
        <v>ㄧㄥ》${1}</v>
      </c>
      <c r="U36" s="46"/>
      <c r="V36" s="47" t="str">
        <f t="shared" si="6"/>
        <v xml:space="preserve">    - xform/》ing(\d)/ㄧㄥ》${1}/</v>
      </c>
    </row>
    <row r="37" spans="1:22" ht="27.75" thickBot="1">
      <c r="A37" s="38">
        <v>44</v>
      </c>
      <c r="B37" s="39" t="s">
        <v>659</v>
      </c>
      <c r="C37" s="40" t="s">
        <v>207</v>
      </c>
      <c r="D37" s="40" t="s">
        <v>207</v>
      </c>
      <c r="E37" s="38" t="s">
        <v>207</v>
      </c>
      <c r="F37" s="38" t="s">
        <v>206</v>
      </c>
      <c r="G37" s="38" t="s">
        <v>206</v>
      </c>
      <c r="H37" s="38" t="s">
        <v>207</v>
      </c>
      <c r="I37" s="42" t="s">
        <v>207</v>
      </c>
      <c r="J37" s="43" t="s">
        <v>660</v>
      </c>
      <c r="K37" s="38" t="s">
        <v>661</v>
      </c>
      <c r="L37" s="38" t="s">
        <v>662</v>
      </c>
      <c r="M37" s="38"/>
      <c r="N37" s="43">
        <f xml:space="preserve"> LEN(H37)</f>
        <v>3</v>
      </c>
      <c r="O37" s="45"/>
      <c r="P37" s="33" t="str">
        <f t="shared" si="1"/>
        <v>ioh</v>
      </c>
      <c r="Q37" s="33" t="str">
        <f t="shared" si="0"/>
        <v>ㄧㄜㆷ</v>
      </c>
      <c r="S37" s="33" t="str">
        <f t="shared" si="2"/>
        <v>》ioh(\d)</v>
      </c>
      <c r="T37" s="30" t="str">
        <f t="shared" si="3"/>
        <v>ㄧㄜㆷ》${1}</v>
      </c>
      <c r="U37" s="46"/>
      <c r="V37" s="47" t="str">
        <f t="shared" si="6"/>
        <v xml:space="preserve">    - xform/》ioh(\d)/ㄧㄜㆷ》${1}/</v>
      </c>
    </row>
    <row r="38" spans="1:22" ht="27.75" thickBot="1">
      <c r="A38" s="38">
        <v>46</v>
      </c>
      <c r="B38" s="39" t="s">
        <v>663</v>
      </c>
      <c r="C38" s="40" t="s">
        <v>85</v>
      </c>
      <c r="D38" s="40" t="s">
        <v>85</v>
      </c>
      <c r="E38" s="38" t="s">
        <v>85</v>
      </c>
      <c r="F38" s="38" t="s">
        <v>84</v>
      </c>
      <c r="G38" s="38" t="s">
        <v>84</v>
      </c>
      <c r="H38" s="38" t="s">
        <v>85</v>
      </c>
      <c r="I38" s="42" t="s">
        <v>85</v>
      </c>
      <c r="J38" s="43" t="s">
        <v>664</v>
      </c>
      <c r="K38" s="38" t="s">
        <v>665</v>
      </c>
      <c r="L38" s="38" t="s">
        <v>666</v>
      </c>
      <c r="M38" s="38"/>
      <c r="N38" s="43">
        <f xml:space="preserve"> LEN(H38)</f>
        <v>3</v>
      </c>
      <c r="O38" s="45"/>
      <c r="P38" s="33" t="str">
        <f t="shared" si="1"/>
        <v>iok</v>
      </c>
      <c r="Q38" s="33" t="str">
        <f t="shared" si="0"/>
        <v>ㄧㆦㆻ</v>
      </c>
      <c r="S38" s="33" t="str">
        <f t="shared" si="2"/>
        <v>》iok(\d)</v>
      </c>
      <c r="T38" s="30" t="str">
        <f t="shared" si="3"/>
        <v>ㄧㆦㆻ》${1}</v>
      </c>
      <c r="U38" s="46"/>
      <c r="V38" s="47" t="str">
        <f t="shared" si="6"/>
        <v xml:space="preserve">    - xform/》iok(\d)/ㄧㆦㆻ》${1}/</v>
      </c>
    </row>
    <row r="39" spans="1:22" ht="27.75" thickBot="1">
      <c r="A39" s="38">
        <v>82</v>
      </c>
      <c r="B39" s="39" t="s">
        <v>697</v>
      </c>
      <c r="C39" s="40" t="s">
        <v>698</v>
      </c>
      <c r="D39" s="40" t="s">
        <v>698</v>
      </c>
      <c r="E39" s="41" t="s">
        <v>698</v>
      </c>
      <c r="F39" s="41" t="s">
        <v>698</v>
      </c>
      <c r="G39" s="41" t="s">
        <v>698</v>
      </c>
      <c r="H39" s="41" t="s">
        <v>698</v>
      </c>
      <c r="I39" s="41" t="s">
        <v>698</v>
      </c>
      <c r="J39" s="53" t="s">
        <v>699</v>
      </c>
      <c r="K39" s="52" t="s">
        <v>240</v>
      </c>
      <c r="L39" s="55" t="s">
        <v>700</v>
      </c>
      <c r="M39" s="38"/>
      <c r="N39" s="43">
        <f xml:space="preserve"> LEN(H39)</f>
        <v>3</v>
      </c>
      <c r="O39" s="45"/>
      <c r="P39" s="33" t="str">
        <f t="shared" si="1"/>
        <v>ngh</v>
      </c>
      <c r="Q39" s="33" t="str">
        <f t="shared" si="0"/>
        <v>ㆭㆷ</v>
      </c>
      <c r="S39" s="33" t="str">
        <f t="shared" si="2"/>
        <v>》ngh(\d)</v>
      </c>
      <c r="T39" s="30" t="str">
        <f t="shared" si="3"/>
        <v>ㆭㆷ》${1}</v>
      </c>
      <c r="U39" s="46"/>
      <c r="V39" s="47" t="str">
        <f t="shared" si="6"/>
        <v xml:space="preserve">    - xform/》ngh(\d)/ㆭㆷ》${1}/</v>
      </c>
    </row>
    <row r="40" spans="1:22" ht="27.75" thickBot="1">
      <c r="A40" s="38">
        <v>57</v>
      </c>
      <c r="B40" s="39" t="s">
        <v>673</v>
      </c>
      <c r="C40" s="40" t="s">
        <v>39</v>
      </c>
      <c r="D40" s="40" t="s">
        <v>39</v>
      </c>
      <c r="E40" s="38" t="s">
        <v>39</v>
      </c>
      <c r="F40" s="38" t="s">
        <v>39</v>
      </c>
      <c r="G40" s="38" t="s">
        <v>39</v>
      </c>
      <c r="H40" s="38" t="s">
        <v>39</v>
      </c>
      <c r="I40" s="42" t="s">
        <v>39</v>
      </c>
      <c r="J40" s="43" t="s">
        <v>674</v>
      </c>
      <c r="K40" s="38" t="s">
        <v>40</v>
      </c>
      <c r="L40" s="38" t="s">
        <v>675</v>
      </c>
      <c r="M40" s="38"/>
      <c r="N40" s="43">
        <f xml:space="preserve"> LEN(H40)</f>
        <v>3</v>
      </c>
      <c r="O40" s="45"/>
      <c r="P40" s="33" t="str">
        <f t="shared" si="1"/>
        <v>ong</v>
      </c>
      <c r="Q40" s="33" t="str">
        <f t="shared" si="0"/>
        <v>ㆲ</v>
      </c>
      <c r="S40" s="33" t="str">
        <f t="shared" si="2"/>
        <v>》ong(\d)</v>
      </c>
      <c r="T40" s="30" t="str">
        <f t="shared" si="3"/>
        <v>ㆲ》${1}</v>
      </c>
      <c r="U40" s="46"/>
      <c r="V40" s="47" t="str">
        <f t="shared" si="6"/>
        <v xml:space="preserve">    - xform/》ong(\d)/ㆲ》${1}/</v>
      </c>
    </row>
    <row r="41" spans="1:22" ht="30.75" thickBot="1">
      <c r="A41" s="38">
        <v>54</v>
      </c>
      <c r="B41" s="39" t="s">
        <v>667</v>
      </c>
      <c r="C41" s="40" t="s">
        <v>668</v>
      </c>
      <c r="D41" s="40" t="s">
        <v>668</v>
      </c>
      <c r="E41" s="41" t="s">
        <v>668</v>
      </c>
      <c r="F41" s="41" t="s">
        <v>668</v>
      </c>
      <c r="G41" s="41" t="s">
        <v>668</v>
      </c>
      <c r="H41" s="41" t="s">
        <v>668</v>
      </c>
      <c r="I41" s="41" t="s">
        <v>669</v>
      </c>
      <c r="J41" s="50" t="s">
        <v>670</v>
      </c>
      <c r="K41" s="52" t="s">
        <v>671</v>
      </c>
      <c r="L41" s="55" t="s">
        <v>672</v>
      </c>
      <c r="M41" s="38"/>
      <c r="N41" s="43">
        <f xml:space="preserve"> LEN(H41)</f>
        <v>3</v>
      </c>
      <c r="O41" s="45"/>
      <c r="P41" s="33" t="str">
        <f t="shared" si="1"/>
        <v>ooh</v>
      </c>
      <c r="Q41" s="33" t="str">
        <f t="shared" si="0"/>
        <v>ㆦㆷ</v>
      </c>
      <c r="S41" s="33" t="str">
        <f t="shared" si="2"/>
        <v>》ooh(\d)</v>
      </c>
      <c r="T41" s="30" t="str">
        <f t="shared" si="3"/>
        <v>ㆦㆷ》${1}</v>
      </c>
      <c r="U41" s="46"/>
      <c r="V41" s="47" t="str">
        <f t="shared" si="6"/>
        <v xml:space="preserve">    - xform/》ooh(\d)/ㆦㆷ》${1}/</v>
      </c>
    </row>
    <row r="42" spans="1:22" ht="27.75" thickBot="1">
      <c r="A42" s="38">
        <v>66</v>
      </c>
      <c r="B42" s="39" t="s">
        <v>676</v>
      </c>
      <c r="C42" s="40" t="s">
        <v>50</v>
      </c>
      <c r="D42" s="40" t="s">
        <v>50</v>
      </c>
      <c r="E42" s="38" t="s">
        <v>50</v>
      </c>
      <c r="F42" s="38" t="s">
        <v>50</v>
      </c>
      <c r="G42" s="38" t="s">
        <v>50</v>
      </c>
      <c r="H42" s="38" t="s">
        <v>50</v>
      </c>
      <c r="I42" s="42" t="s">
        <v>677</v>
      </c>
      <c r="J42" s="43" t="s">
        <v>678</v>
      </c>
      <c r="K42" s="38" t="s">
        <v>679</v>
      </c>
      <c r="L42" s="38" t="s">
        <v>680</v>
      </c>
      <c r="M42" s="38"/>
      <c r="N42" s="43">
        <f xml:space="preserve"> LEN(H42)</f>
        <v>3</v>
      </c>
      <c r="O42" s="45"/>
      <c r="P42" s="33" t="str">
        <f t="shared" si="1"/>
        <v>uah</v>
      </c>
      <c r="Q42" s="33" t="str">
        <f t="shared" si="0"/>
        <v>ㄨㄚㆷ</v>
      </c>
      <c r="S42" s="33" t="str">
        <f t="shared" si="2"/>
        <v>》uah(\d)</v>
      </c>
      <c r="T42" s="30" t="str">
        <f t="shared" si="3"/>
        <v>ㄨㄚㆷ》${1}</v>
      </c>
      <c r="U42" s="46"/>
      <c r="V42" s="47" t="str">
        <f t="shared" si="6"/>
        <v xml:space="preserve">    - xform/》uah(\d)/ㄨㄚㆷ》${1}/</v>
      </c>
    </row>
    <row r="43" spans="1:22" ht="27.75" thickBot="1">
      <c r="A43" s="38">
        <v>70</v>
      </c>
      <c r="B43" s="39" t="s">
        <v>47</v>
      </c>
      <c r="C43" s="40" t="s">
        <v>47</v>
      </c>
      <c r="D43" s="40" t="s">
        <v>47</v>
      </c>
      <c r="E43" s="38" t="s">
        <v>47</v>
      </c>
      <c r="F43" s="38" t="s">
        <v>47</v>
      </c>
      <c r="G43" s="38" t="s">
        <v>47</v>
      </c>
      <c r="H43" s="38" t="s">
        <v>47</v>
      </c>
      <c r="I43" s="42" t="s">
        <v>689</v>
      </c>
      <c r="J43" s="43" t="s">
        <v>690</v>
      </c>
      <c r="K43" s="38" t="s">
        <v>691</v>
      </c>
      <c r="L43" s="38" t="s">
        <v>691</v>
      </c>
      <c r="M43" s="38"/>
      <c r="N43" s="43">
        <f xml:space="preserve"> LEN(H43)</f>
        <v>3</v>
      </c>
      <c r="O43" s="45"/>
      <c r="P43" s="33" t="str">
        <f t="shared" si="1"/>
        <v>uai</v>
      </c>
      <c r="Q43" s="33" t="str">
        <f t="shared" si="0"/>
        <v>ㄨㄞ</v>
      </c>
      <c r="S43" s="33" t="str">
        <f t="shared" si="2"/>
        <v>》uai(\d)</v>
      </c>
      <c r="T43" s="30" t="str">
        <f t="shared" si="3"/>
        <v>ㄨㄞ》${1}</v>
      </c>
      <c r="U43" s="46"/>
      <c r="V43" s="47" t="str">
        <f t="shared" si="6"/>
        <v xml:space="preserve">    - xform/》uai(\d)/ㄨㄞ》${1}/</v>
      </c>
    </row>
    <row r="44" spans="1:22" ht="27.75" thickBot="1">
      <c r="A44" s="38">
        <v>67</v>
      </c>
      <c r="B44" s="39" t="s">
        <v>59</v>
      </c>
      <c r="C44" s="40" t="s">
        <v>59</v>
      </c>
      <c r="D44" s="40" t="s">
        <v>59</v>
      </c>
      <c r="E44" s="38" t="s">
        <v>59</v>
      </c>
      <c r="F44" s="38" t="s">
        <v>59</v>
      </c>
      <c r="G44" s="38" t="s">
        <v>59</v>
      </c>
      <c r="H44" s="38" t="s">
        <v>59</v>
      </c>
      <c r="I44" s="42" t="s">
        <v>681</v>
      </c>
      <c r="J44" s="43" t="s">
        <v>682</v>
      </c>
      <c r="K44" s="38" t="s">
        <v>683</v>
      </c>
      <c r="L44" s="38" t="s">
        <v>683</v>
      </c>
      <c r="M44" s="38"/>
      <c r="N44" s="43">
        <f xml:space="preserve"> LEN(H44)</f>
        <v>3</v>
      </c>
      <c r="O44" s="45"/>
      <c r="P44" s="33" t="str">
        <f t="shared" si="1"/>
        <v>uan</v>
      </c>
      <c r="Q44" s="33" t="str">
        <f t="shared" si="0"/>
        <v>ㄨㄢ</v>
      </c>
      <c r="S44" s="33" t="str">
        <f t="shared" si="2"/>
        <v>》uan(\d)</v>
      </c>
      <c r="T44" s="30" t="str">
        <f t="shared" si="3"/>
        <v>ㄨㄢ》${1}</v>
      </c>
      <c r="U44" s="46"/>
      <c r="V44" s="47" t="str">
        <f t="shared" si="6"/>
        <v xml:space="preserve">    - xform/》uan(\d)/ㄨㄢ》${1}/</v>
      </c>
    </row>
    <row r="45" spans="1:22" ht="27.75" thickBot="1">
      <c r="A45" s="38">
        <v>69</v>
      </c>
      <c r="B45" s="39" t="s">
        <v>684</v>
      </c>
      <c r="C45" s="40" t="s">
        <v>61</v>
      </c>
      <c r="D45" s="40" t="s">
        <v>61</v>
      </c>
      <c r="E45" s="38" t="s">
        <v>61</v>
      </c>
      <c r="F45" s="38" t="s">
        <v>61</v>
      </c>
      <c r="G45" s="38" t="s">
        <v>61</v>
      </c>
      <c r="H45" s="38" t="s">
        <v>61</v>
      </c>
      <c r="I45" s="42" t="s">
        <v>685</v>
      </c>
      <c r="J45" s="43" t="s">
        <v>686</v>
      </c>
      <c r="K45" s="38" t="s">
        <v>687</v>
      </c>
      <c r="L45" s="38" t="s">
        <v>688</v>
      </c>
      <c r="M45" s="38"/>
      <c r="N45" s="43">
        <f xml:space="preserve"> LEN(H45)</f>
        <v>3</v>
      </c>
      <c r="O45" s="45"/>
      <c r="P45" s="33" t="str">
        <f t="shared" si="1"/>
        <v>uat</v>
      </c>
      <c r="Q45" s="33" t="str">
        <f t="shared" si="0"/>
        <v>ㄨㄚㆵ</v>
      </c>
      <c r="S45" s="33" t="str">
        <f t="shared" si="2"/>
        <v>》uat(\d)</v>
      </c>
      <c r="T45" s="30" t="str">
        <f t="shared" si="3"/>
        <v>ㄨㄚㆵ》${1}</v>
      </c>
      <c r="U45" s="46"/>
      <c r="V45" s="47" t="str">
        <f t="shared" si="6"/>
        <v xml:space="preserve">    - xform/》uat(\d)/ㄨㄚㆵ》${1}/</v>
      </c>
    </row>
    <row r="46" spans="1:22" ht="27.75" thickBot="1">
      <c r="A46" s="38">
        <v>75</v>
      </c>
      <c r="B46" s="39" t="s">
        <v>692</v>
      </c>
      <c r="C46" s="40" t="s">
        <v>153</v>
      </c>
      <c r="D46" s="40" t="s">
        <v>153</v>
      </c>
      <c r="E46" s="38" t="s">
        <v>153</v>
      </c>
      <c r="F46" s="38" t="s">
        <v>153</v>
      </c>
      <c r="G46" s="38" t="s">
        <v>153</v>
      </c>
      <c r="H46" s="38" t="s">
        <v>153</v>
      </c>
      <c r="I46" s="42" t="s">
        <v>693</v>
      </c>
      <c r="J46" s="43" t="s">
        <v>694</v>
      </c>
      <c r="K46" s="38" t="s">
        <v>695</v>
      </c>
      <c r="L46" s="38" t="s">
        <v>696</v>
      </c>
      <c r="M46" s="38"/>
      <c r="N46" s="43">
        <f xml:space="preserve"> LEN(H46)</f>
        <v>3</v>
      </c>
      <c r="O46" s="45"/>
      <c r="P46" s="33" t="str">
        <f t="shared" si="1"/>
        <v>ueh</v>
      </c>
      <c r="Q46" s="33" t="str">
        <f t="shared" si="0"/>
        <v>ㄨㆤㆷ</v>
      </c>
      <c r="S46" s="33" t="str">
        <f t="shared" si="2"/>
        <v>》ueh(\d)</v>
      </c>
      <c r="T46" s="30" t="str">
        <f t="shared" si="3"/>
        <v>ㄨㆤㆷ》${1}</v>
      </c>
      <c r="U46" s="46"/>
      <c r="V46" s="47" t="str">
        <f t="shared" si="6"/>
        <v xml:space="preserve">    - xform/》ueh(\d)/ㄨㆤㆷ》${1}/</v>
      </c>
    </row>
    <row r="47" spans="1:22" ht="27.75" thickBot="1">
      <c r="A47" s="38">
        <v>78</v>
      </c>
      <c r="B47" s="39" t="s">
        <v>616</v>
      </c>
      <c r="C47" s="40" t="s">
        <v>22</v>
      </c>
      <c r="D47" s="40" t="s">
        <v>22</v>
      </c>
      <c r="E47" s="41" t="s">
        <v>22</v>
      </c>
      <c r="F47" s="41" t="s">
        <v>22</v>
      </c>
      <c r="G47" s="41" t="s">
        <v>22</v>
      </c>
      <c r="H47" s="41" t="s">
        <v>22</v>
      </c>
      <c r="I47" s="41" t="s">
        <v>22</v>
      </c>
      <c r="J47" s="53" t="s">
        <v>617</v>
      </c>
      <c r="K47" s="51" t="s">
        <v>24</v>
      </c>
      <c r="L47" s="54" t="s">
        <v>618</v>
      </c>
      <c r="M47" s="44"/>
      <c r="N47" s="43">
        <f xml:space="preserve"> LEN(H47)</f>
        <v>3</v>
      </c>
      <c r="O47" s="45"/>
      <c r="P47" s="33" t="str">
        <f t="shared" si="1"/>
        <v>uih</v>
      </c>
      <c r="Q47" s="33" t="str">
        <f t="shared" si="0"/>
        <v>ㄨㄧㆷ</v>
      </c>
      <c r="S47" s="33" t="str">
        <f t="shared" si="2"/>
        <v>》uih(\d)</v>
      </c>
      <c r="T47" s="30" t="str">
        <f t="shared" si="3"/>
        <v>ㄨㄧㆷ》${1}</v>
      </c>
      <c r="U47" s="46"/>
      <c r="V47" s="47" t="str">
        <f t="shared" si="6"/>
        <v xml:space="preserve">    - xform/》uih(\d)/ㄨㄧㆷ》${1}/</v>
      </c>
    </row>
    <row r="48" spans="1:22" ht="27.75" thickBot="1">
      <c r="A48" s="38">
        <v>3</v>
      </c>
      <c r="B48" s="39" t="s">
        <v>701</v>
      </c>
      <c r="C48" s="40" t="s">
        <v>174</v>
      </c>
      <c r="D48" s="40" t="s">
        <v>174</v>
      </c>
      <c r="E48" s="38" t="s">
        <v>174</v>
      </c>
      <c r="F48" s="38" t="s">
        <v>174</v>
      </c>
      <c r="G48" s="38" t="s">
        <v>174</v>
      </c>
      <c r="H48" s="38" t="s">
        <v>174</v>
      </c>
      <c r="I48" s="42" t="s">
        <v>174</v>
      </c>
      <c r="J48" s="43" t="s">
        <v>702</v>
      </c>
      <c r="K48" s="38" t="s">
        <v>703</v>
      </c>
      <c r="L48" s="38" t="s">
        <v>704</v>
      </c>
      <c r="M48" s="38"/>
      <c r="N48" s="43">
        <f xml:space="preserve"> LEN(H48)</f>
        <v>2</v>
      </c>
      <c r="O48" s="45"/>
      <c r="P48" s="33" t="str">
        <f t="shared" si="1"/>
        <v>ah</v>
      </c>
      <c r="Q48" s="33" t="str">
        <f t="shared" si="0"/>
        <v>ㄚㆷ</v>
      </c>
      <c r="S48" s="33" t="str">
        <f t="shared" si="2"/>
        <v>》ah(\d)</v>
      </c>
      <c r="T48" s="30" t="str">
        <f t="shared" si="3"/>
        <v>ㄚㆷ》${1}</v>
      </c>
      <c r="U48" s="46"/>
      <c r="V48" s="47" t="str">
        <f t="shared" si="6"/>
        <v xml:space="preserve">    - xform/》ah(\d)/ㄚㆷ》${1}/</v>
      </c>
    </row>
    <row r="49" spans="1:22" ht="27.75" thickBot="1">
      <c r="A49" s="38">
        <v>11</v>
      </c>
      <c r="B49" s="39" t="s">
        <v>721</v>
      </c>
      <c r="C49" s="40" t="s">
        <v>96</v>
      </c>
      <c r="D49" s="40" t="s">
        <v>96</v>
      </c>
      <c r="E49" s="38" t="s">
        <v>96</v>
      </c>
      <c r="F49" s="38" t="s">
        <v>96</v>
      </c>
      <c r="G49" s="38" t="s">
        <v>96</v>
      </c>
      <c r="H49" s="38" t="s">
        <v>96</v>
      </c>
      <c r="I49" s="42" t="s">
        <v>96</v>
      </c>
      <c r="J49" s="43" t="s">
        <v>722</v>
      </c>
      <c r="K49" s="38" t="s">
        <v>723</v>
      </c>
      <c r="L49" s="38" t="s">
        <v>723</v>
      </c>
      <c r="M49" s="38"/>
      <c r="N49" s="43">
        <f xml:space="preserve"> LEN(H49)</f>
        <v>2</v>
      </c>
      <c r="O49" s="45"/>
      <c r="P49" s="33" t="str">
        <f t="shared" si="1"/>
        <v>ai</v>
      </c>
      <c r="Q49" s="33" t="str">
        <f t="shared" si="0"/>
        <v>ㄞ</v>
      </c>
      <c r="S49" s="33" t="str">
        <f t="shared" si="2"/>
        <v>》ai(\d)</v>
      </c>
      <c r="T49" s="30" t="str">
        <f t="shared" si="3"/>
        <v>ㄞ》${1}</v>
      </c>
      <c r="U49" s="46"/>
      <c r="V49" s="47" t="str">
        <f t="shared" si="6"/>
        <v xml:space="preserve">    - xform/》ai(\d)/ㄞ》${1}/</v>
      </c>
    </row>
    <row r="50" spans="1:22" ht="27.75" thickBot="1">
      <c r="A50" s="38">
        <v>10</v>
      </c>
      <c r="B50" s="39" t="s">
        <v>717</v>
      </c>
      <c r="C50" s="40" t="s">
        <v>127</v>
      </c>
      <c r="D50" s="40" t="s">
        <v>127</v>
      </c>
      <c r="E50" s="38" t="s">
        <v>127</v>
      </c>
      <c r="F50" s="38" t="s">
        <v>127</v>
      </c>
      <c r="G50" s="38" t="s">
        <v>127</v>
      </c>
      <c r="H50" s="38" t="s">
        <v>127</v>
      </c>
      <c r="I50" s="42" t="s">
        <v>127</v>
      </c>
      <c r="J50" s="43" t="s">
        <v>718</v>
      </c>
      <c r="K50" s="38" t="s">
        <v>719</v>
      </c>
      <c r="L50" s="38" t="s">
        <v>720</v>
      </c>
      <c r="M50" s="38"/>
      <c r="N50" s="43">
        <f xml:space="preserve"> LEN(H50)</f>
        <v>2</v>
      </c>
      <c r="O50" s="45"/>
      <c r="P50" s="33" t="str">
        <f t="shared" si="1"/>
        <v>ak</v>
      </c>
      <c r="Q50" s="33" t="str">
        <f t="shared" si="0"/>
        <v>ㄚㆻ</v>
      </c>
      <c r="S50" s="33" t="str">
        <f t="shared" si="2"/>
        <v>》ak(\d)</v>
      </c>
      <c r="T50" s="30" t="str">
        <f t="shared" si="3"/>
        <v>ㄚㆻ》${1}</v>
      </c>
      <c r="U50" s="46"/>
      <c r="V50" s="47" t="str">
        <f t="shared" si="6"/>
        <v xml:space="preserve">    - xform/》ak(\d)/ㄚㆻ》${1}/</v>
      </c>
    </row>
    <row r="51" spans="1:22" ht="27.75" thickBot="1">
      <c r="A51" s="38">
        <v>5</v>
      </c>
      <c r="B51" s="39" t="s">
        <v>113</v>
      </c>
      <c r="C51" s="40" t="s">
        <v>113</v>
      </c>
      <c r="D51" s="40" t="s">
        <v>113</v>
      </c>
      <c r="E51" s="38" t="s">
        <v>113</v>
      </c>
      <c r="F51" s="38" t="s">
        <v>113</v>
      </c>
      <c r="G51" s="38" t="s">
        <v>113</v>
      </c>
      <c r="H51" s="38" t="s">
        <v>113</v>
      </c>
      <c r="I51" s="42" t="s">
        <v>113</v>
      </c>
      <c r="J51" s="43" t="s">
        <v>705</v>
      </c>
      <c r="K51" s="38" t="s">
        <v>114</v>
      </c>
      <c r="L51" s="38" t="s">
        <v>706</v>
      </c>
      <c r="M51" s="38"/>
      <c r="N51" s="43">
        <f xml:space="preserve"> LEN(H51)</f>
        <v>2</v>
      </c>
      <c r="O51" s="45"/>
      <c r="P51" s="33" t="str">
        <f t="shared" si="1"/>
        <v>am</v>
      </c>
      <c r="Q51" s="33" t="str">
        <f t="shared" si="0"/>
        <v>ㆰ</v>
      </c>
      <c r="S51" s="33" t="str">
        <f t="shared" si="2"/>
        <v>》am(\d)</v>
      </c>
      <c r="T51" s="30" t="str">
        <f t="shared" si="3"/>
        <v>ㆰ》${1}</v>
      </c>
      <c r="U51" s="46"/>
      <c r="V51" s="47" t="str">
        <f t="shared" si="6"/>
        <v xml:space="preserve">    - xform/》am(\d)/ㆰ》${1}/</v>
      </c>
    </row>
    <row r="52" spans="1:22" ht="27.75" thickBot="1">
      <c r="A52" s="38">
        <v>6</v>
      </c>
      <c r="B52" s="39" t="s">
        <v>33</v>
      </c>
      <c r="C52" s="40" t="s">
        <v>33</v>
      </c>
      <c r="D52" s="40" t="s">
        <v>33</v>
      </c>
      <c r="E52" s="38" t="s">
        <v>33</v>
      </c>
      <c r="F52" s="38" t="s">
        <v>33</v>
      </c>
      <c r="G52" s="38" t="s">
        <v>33</v>
      </c>
      <c r="H52" s="38" t="s">
        <v>33</v>
      </c>
      <c r="I52" s="42" t="s">
        <v>33</v>
      </c>
      <c r="J52" s="43" t="s">
        <v>707</v>
      </c>
      <c r="K52" s="38" t="s">
        <v>708</v>
      </c>
      <c r="L52" s="38" t="s">
        <v>708</v>
      </c>
      <c r="M52" s="38"/>
      <c r="N52" s="43">
        <f xml:space="preserve"> LEN(H52)</f>
        <v>2</v>
      </c>
      <c r="O52" s="45"/>
      <c r="P52" s="33" t="str">
        <f t="shared" si="1"/>
        <v>an</v>
      </c>
      <c r="Q52" s="33" t="str">
        <f t="shared" si="0"/>
        <v>ㄢ</v>
      </c>
      <c r="S52" s="33" t="str">
        <f t="shared" si="2"/>
        <v>》an(\d)</v>
      </c>
      <c r="T52" s="30" t="str">
        <f t="shared" si="3"/>
        <v>ㄢ》${1}</v>
      </c>
      <c r="U52" s="46"/>
      <c r="V52" s="47" t="str">
        <f t="shared" si="6"/>
        <v xml:space="preserve">    - xform/》an(\d)/ㄢ》${1}/</v>
      </c>
    </row>
    <row r="53" spans="1:22" ht="27.75" thickBot="1">
      <c r="A53" s="38">
        <v>14</v>
      </c>
      <c r="B53" s="39" t="s">
        <v>137</v>
      </c>
      <c r="C53" s="40" t="s">
        <v>137</v>
      </c>
      <c r="D53" s="40" t="s">
        <v>137</v>
      </c>
      <c r="E53" s="38" t="s">
        <v>137</v>
      </c>
      <c r="F53" s="38" t="s">
        <v>137</v>
      </c>
      <c r="G53" s="38" t="s">
        <v>137</v>
      </c>
      <c r="H53" s="38" t="s">
        <v>138</v>
      </c>
      <c r="I53" s="42" t="s">
        <v>137</v>
      </c>
      <c r="J53" s="43" t="s">
        <v>724</v>
      </c>
      <c r="K53" s="38" t="s">
        <v>725</v>
      </c>
      <c r="L53" s="38" t="s">
        <v>725</v>
      </c>
      <c r="M53" s="38"/>
      <c r="N53" s="43">
        <f xml:space="preserve"> LEN(H53)</f>
        <v>2</v>
      </c>
      <c r="O53" s="45"/>
      <c r="P53" s="33" t="str">
        <f t="shared" si="1"/>
        <v>ao</v>
      </c>
      <c r="Q53" s="33" t="str">
        <f t="shared" si="0"/>
        <v>ㄠ</v>
      </c>
      <c r="S53" s="33" t="str">
        <f t="shared" si="2"/>
        <v>》ao(\d)</v>
      </c>
      <c r="T53" s="30" t="str">
        <f t="shared" si="3"/>
        <v>ㄠ》${1}</v>
      </c>
      <c r="U53" s="46"/>
      <c r="V53" s="47" t="str">
        <f t="shared" si="6"/>
        <v xml:space="preserve">    - xform/》ao(\d)/ㄠ》${1}/</v>
      </c>
    </row>
    <row r="54" spans="1:22" ht="27.75" thickBot="1">
      <c r="A54" s="38">
        <v>8</v>
      </c>
      <c r="B54" s="39" t="s">
        <v>709</v>
      </c>
      <c r="C54" s="40" t="s">
        <v>116</v>
      </c>
      <c r="D54" s="40" t="s">
        <v>116</v>
      </c>
      <c r="E54" s="38" t="s">
        <v>116</v>
      </c>
      <c r="F54" s="38" t="s">
        <v>116</v>
      </c>
      <c r="G54" s="38" t="s">
        <v>116</v>
      </c>
      <c r="H54" s="38" t="s">
        <v>116</v>
      </c>
      <c r="I54" s="42" t="s">
        <v>116</v>
      </c>
      <c r="J54" s="43" t="s">
        <v>710</v>
      </c>
      <c r="K54" s="38" t="s">
        <v>711</v>
      </c>
      <c r="L54" s="38" t="s">
        <v>712</v>
      </c>
      <c r="M54" s="38"/>
      <c r="N54" s="43">
        <f xml:space="preserve"> LEN(H54)</f>
        <v>2</v>
      </c>
      <c r="O54" s="45"/>
      <c r="P54" s="33" t="str">
        <f t="shared" si="1"/>
        <v>ap</v>
      </c>
      <c r="Q54" s="33" t="str">
        <f t="shared" si="0"/>
        <v>ㄚㆴ</v>
      </c>
      <c r="S54" s="33" t="str">
        <f t="shared" si="2"/>
        <v>》ap(\d)</v>
      </c>
      <c r="T54" s="30" t="str">
        <f t="shared" si="3"/>
        <v>ㄚㆴ》${1}</v>
      </c>
      <c r="U54" s="46"/>
      <c r="V54" s="47" t="str">
        <f t="shared" si="6"/>
        <v xml:space="preserve">    - xform/》ap(\d)/ㄚㆴ》${1}/</v>
      </c>
    </row>
    <row r="55" spans="1:22" ht="27.75" thickBot="1">
      <c r="A55" s="38">
        <v>9</v>
      </c>
      <c r="B55" s="39" t="s">
        <v>713</v>
      </c>
      <c r="C55" s="40" t="s">
        <v>35</v>
      </c>
      <c r="D55" s="40" t="s">
        <v>35</v>
      </c>
      <c r="E55" s="38" t="s">
        <v>35</v>
      </c>
      <c r="F55" s="38" t="s">
        <v>35</v>
      </c>
      <c r="G55" s="38" t="s">
        <v>35</v>
      </c>
      <c r="H55" s="38" t="s">
        <v>35</v>
      </c>
      <c r="I55" s="42" t="s">
        <v>35</v>
      </c>
      <c r="J55" s="43" t="s">
        <v>714</v>
      </c>
      <c r="K55" s="38" t="s">
        <v>715</v>
      </c>
      <c r="L55" s="38" t="s">
        <v>716</v>
      </c>
      <c r="M55" s="38"/>
      <c r="N55" s="43">
        <f xml:space="preserve"> LEN(H55)</f>
        <v>2</v>
      </c>
      <c r="O55" s="45"/>
      <c r="P55" s="33" t="str">
        <f t="shared" si="1"/>
        <v>at</v>
      </c>
      <c r="Q55" s="33" t="str">
        <f t="shared" si="0"/>
        <v>ㄚㆵ</v>
      </c>
      <c r="S55" s="33" t="str">
        <f t="shared" si="2"/>
        <v>》at(\d)</v>
      </c>
      <c r="T55" s="30" t="str">
        <f t="shared" si="3"/>
        <v>ㄚㆵ》${1}</v>
      </c>
      <c r="U55" s="46"/>
      <c r="V55" s="47" t="str">
        <f t="shared" si="6"/>
        <v xml:space="preserve">    - xform/》at(\d)/ㄚㆵ》${1}/</v>
      </c>
    </row>
    <row r="56" spans="1:22" ht="27.75" thickBot="1">
      <c r="A56" s="38">
        <v>18</v>
      </c>
      <c r="B56" s="39" t="s">
        <v>726</v>
      </c>
      <c r="C56" s="40" t="s">
        <v>29</v>
      </c>
      <c r="D56" s="40" t="s">
        <v>29</v>
      </c>
      <c r="E56" s="38" t="s">
        <v>29</v>
      </c>
      <c r="F56" s="38" t="s">
        <v>29</v>
      </c>
      <c r="G56" s="38" t="s">
        <v>29</v>
      </c>
      <c r="H56" s="38" t="s">
        <v>29</v>
      </c>
      <c r="I56" s="42" t="s">
        <v>29</v>
      </c>
      <c r="J56" s="43" t="s">
        <v>727</v>
      </c>
      <c r="K56" s="38" t="s">
        <v>79</v>
      </c>
      <c r="L56" s="38" t="s">
        <v>728</v>
      </c>
      <c r="M56" s="38"/>
      <c r="N56" s="43">
        <f xml:space="preserve"> LEN(H56)</f>
        <v>2</v>
      </c>
      <c r="O56" s="45"/>
      <c r="P56" s="33" t="str">
        <f t="shared" si="1"/>
        <v>eh</v>
      </c>
      <c r="Q56" s="33" t="str">
        <f t="shared" si="0"/>
        <v>ㆤㆷ</v>
      </c>
      <c r="S56" s="33" t="str">
        <f t="shared" si="2"/>
        <v>》eh(\d)</v>
      </c>
      <c r="T56" s="30" t="str">
        <f t="shared" si="3"/>
        <v>ㆤㆷ》${1}</v>
      </c>
      <c r="U56" s="46"/>
      <c r="V56" s="47" t="str">
        <f t="shared" si="6"/>
        <v xml:space="preserve">    - xform/》eh(\d)/ㆤㆷ》${1}/</v>
      </c>
    </row>
    <row r="57" spans="1:22" ht="27.75" thickBot="1">
      <c r="A57" s="38">
        <v>29</v>
      </c>
      <c r="B57" s="39" t="s">
        <v>752</v>
      </c>
      <c r="C57" s="40" t="s">
        <v>145</v>
      </c>
      <c r="D57" s="40" t="s">
        <v>145</v>
      </c>
      <c r="E57" s="38" t="s">
        <v>145</v>
      </c>
      <c r="F57" s="38" t="s">
        <v>145</v>
      </c>
      <c r="G57" s="38" t="s">
        <v>145</v>
      </c>
      <c r="H57" s="38" t="s">
        <v>145</v>
      </c>
      <c r="I57" s="42" t="s">
        <v>145</v>
      </c>
      <c r="J57" s="43" t="s">
        <v>753</v>
      </c>
      <c r="K57" s="38" t="s">
        <v>754</v>
      </c>
      <c r="L57" s="38" t="s">
        <v>754</v>
      </c>
      <c r="M57" s="38"/>
      <c r="N57" s="43">
        <f xml:space="preserve"> LEN(H57)</f>
        <v>2</v>
      </c>
      <c r="O57" s="45"/>
      <c r="P57" s="33" t="str">
        <f t="shared" si="1"/>
        <v>ia</v>
      </c>
      <c r="Q57" s="33" t="str">
        <f t="shared" si="0"/>
        <v>ㄧㄚ</v>
      </c>
      <c r="S57" s="33" t="str">
        <f t="shared" si="2"/>
        <v>》ia(\d)</v>
      </c>
      <c r="T57" s="30" t="str">
        <f t="shared" si="3"/>
        <v>ㄧㄚ》${1}</v>
      </c>
      <c r="U57" s="46"/>
      <c r="V57" s="47" t="str">
        <f t="shared" si="6"/>
        <v xml:space="preserve">    - xform/》ia(\d)/ㄧㄚ》${1}/</v>
      </c>
    </row>
    <row r="58" spans="1:22" ht="27.75" thickBot="1">
      <c r="A58" s="38">
        <v>22</v>
      </c>
      <c r="B58" s="39" t="s">
        <v>729</v>
      </c>
      <c r="C58" s="40" t="s">
        <v>180</v>
      </c>
      <c r="D58" s="40" t="s">
        <v>180</v>
      </c>
      <c r="E58" s="38" t="s">
        <v>180</v>
      </c>
      <c r="F58" s="38" t="s">
        <v>180</v>
      </c>
      <c r="G58" s="38" t="s">
        <v>180</v>
      </c>
      <c r="H58" s="38" t="s">
        <v>180</v>
      </c>
      <c r="I58" s="42" t="s">
        <v>180</v>
      </c>
      <c r="J58" s="43" t="s">
        <v>730</v>
      </c>
      <c r="K58" s="38" t="s">
        <v>731</v>
      </c>
      <c r="L58" s="38" t="s">
        <v>732</v>
      </c>
      <c r="M58" s="38"/>
      <c r="N58" s="43">
        <f xml:space="preserve"> LEN(H58)</f>
        <v>2</v>
      </c>
      <c r="O58" s="45"/>
      <c r="P58" s="33" t="str">
        <f t="shared" si="1"/>
        <v>ih</v>
      </c>
      <c r="Q58" s="33" t="str">
        <f t="shared" si="0"/>
        <v>ㄧㆷ</v>
      </c>
      <c r="S58" s="33" t="str">
        <f t="shared" si="2"/>
        <v>》ih(\d)</v>
      </c>
      <c r="T58" s="30" t="str">
        <f t="shared" si="3"/>
        <v>ㄧㆷ》${1}</v>
      </c>
      <c r="U58" s="46"/>
      <c r="V58" s="47" t="str">
        <f t="shared" si="6"/>
        <v xml:space="preserve">    - xform/》ih(\d)/ㄧㆷ》${1}/</v>
      </c>
    </row>
    <row r="59" spans="1:22" ht="27.75" thickBot="1">
      <c r="A59" s="38">
        <v>28</v>
      </c>
      <c r="B59" s="39" t="s">
        <v>746</v>
      </c>
      <c r="C59" s="40" t="s">
        <v>55</v>
      </c>
      <c r="D59" s="40" t="s">
        <v>55</v>
      </c>
      <c r="E59" s="38" t="s">
        <v>55</v>
      </c>
      <c r="F59" s="38" t="s">
        <v>747</v>
      </c>
      <c r="G59" s="38" t="s">
        <v>747</v>
      </c>
      <c r="H59" s="38" t="s">
        <v>55</v>
      </c>
      <c r="I59" s="42" t="s">
        <v>748</v>
      </c>
      <c r="J59" s="43" t="s">
        <v>749</v>
      </c>
      <c r="K59" s="38" t="s">
        <v>750</v>
      </c>
      <c r="L59" s="38" t="s">
        <v>751</v>
      </c>
      <c r="M59" s="38"/>
      <c r="N59" s="43">
        <f xml:space="preserve"> LEN(H59)</f>
        <v>2</v>
      </c>
      <c r="O59" s="45"/>
      <c r="P59" s="33" t="str">
        <f t="shared" si="1"/>
        <v>ik</v>
      </c>
      <c r="Q59" s="33" t="str">
        <f t="shared" si="0"/>
        <v>ㄧㆻ</v>
      </c>
      <c r="S59" s="33" t="str">
        <f t="shared" si="2"/>
        <v>》ik(\d)</v>
      </c>
      <c r="T59" s="30" t="str">
        <f t="shared" si="3"/>
        <v>ㄧㆻ》${1}</v>
      </c>
      <c r="U59" s="46"/>
      <c r="V59" s="47" t="str">
        <f t="shared" si="6"/>
        <v xml:space="preserve">    - xform/》ik(\d)/ㄧㆻ》${1}/</v>
      </c>
    </row>
    <row r="60" spans="1:22" ht="27.75" thickBot="1">
      <c r="A60" s="38">
        <v>23</v>
      </c>
      <c r="B60" s="39" t="s">
        <v>14</v>
      </c>
      <c r="C60" s="40" t="s">
        <v>14</v>
      </c>
      <c r="D60" s="40" t="s">
        <v>14</v>
      </c>
      <c r="E60" s="38" t="s">
        <v>14</v>
      </c>
      <c r="F60" s="38" t="s">
        <v>14</v>
      </c>
      <c r="G60" s="38" t="s">
        <v>14</v>
      </c>
      <c r="H60" s="38" t="s">
        <v>14</v>
      </c>
      <c r="I60" s="42" t="s">
        <v>14</v>
      </c>
      <c r="J60" s="43" t="s">
        <v>733</v>
      </c>
      <c r="K60" s="38" t="s">
        <v>734</v>
      </c>
      <c r="L60" s="38" t="s">
        <v>735</v>
      </c>
      <c r="M60" s="38"/>
      <c r="N60" s="43">
        <f xml:space="preserve"> LEN(H60)</f>
        <v>2</v>
      </c>
      <c r="O60" s="45"/>
      <c r="P60" s="33" t="str">
        <f t="shared" si="1"/>
        <v>im</v>
      </c>
      <c r="Q60" s="33" t="str">
        <f t="shared" si="0"/>
        <v>ㄧㆬ</v>
      </c>
      <c r="S60" s="33" t="str">
        <f t="shared" si="2"/>
        <v>》im(\d)</v>
      </c>
      <c r="T60" s="30" t="str">
        <f t="shared" si="3"/>
        <v>ㄧㆬ》${1}</v>
      </c>
      <c r="U60" s="46"/>
      <c r="V60" s="47" t="str">
        <f t="shared" si="6"/>
        <v xml:space="preserve">    - xform/》im(\d)/ㄧㆬ》${1}/</v>
      </c>
    </row>
    <row r="61" spans="1:22" ht="27.75" thickBot="1">
      <c r="A61" s="38">
        <v>24</v>
      </c>
      <c r="B61" s="39" t="s">
        <v>101</v>
      </c>
      <c r="C61" s="40" t="s">
        <v>101</v>
      </c>
      <c r="D61" s="40" t="s">
        <v>101</v>
      </c>
      <c r="E61" s="38" t="s">
        <v>101</v>
      </c>
      <c r="F61" s="38" t="s">
        <v>101</v>
      </c>
      <c r="G61" s="38" t="s">
        <v>101</v>
      </c>
      <c r="H61" s="38" t="s">
        <v>101</v>
      </c>
      <c r="I61" s="42" t="s">
        <v>101</v>
      </c>
      <c r="J61" s="43" t="s">
        <v>736</v>
      </c>
      <c r="K61" s="38" t="s">
        <v>737</v>
      </c>
      <c r="L61" s="38" t="s">
        <v>737</v>
      </c>
      <c r="M61" s="38"/>
      <c r="N61" s="43">
        <f xml:space="preserve"> LEN(H61)</f>
        <v>2</v>
      </c>
      <c r="O61" s="45"/>
      <c r="P61" s="33" t="str">
        <f t="shared" si="1"/>
        <v>in</v>
      </c>
      <c r="Q61" s="33" t="str">
        <f t="shared" si="0"/>
        <v>ㄧㄣ</v>
      </c>
      <c r="S61" s="33" t="str">
        <f t="shared" si="2"/>
        <v>》in(\d)</v>
      </c>
      <c r="T61" s="30" t="str">
        <f t="shared" si="3"/>
        <v>ㄧㄣ》${1}</v>
      </c>
      <c r="U61" s="46"/>
      <c r="V61" s="47" t="str">
        <f t="shared" si="6"/>
        <v xml:space="preserve">    - xform/》in(\d)/ㄧㄣ》${1}/</v>
      </c>
    </row>
    <row r="62" spans="1:22" ht="27.75" thickBot="1">
      <c r="A62" s="38">
        <v>42</v>
      </c>
      <c r="B62" s="39" t="s">
        <v>755</v>
      </c>
      <c r="C62" s="40" t="s">
        <v>204</v>
      </c>
      <c r="D62" s="40" t="s">
        <v>204</v>
      </c>
      <c r="E62" s="38" t="s">
        <v>204</v>
      </c>
      <c r="F62" s="38" t="s">
        <v>203</v>
      </c>
      <c r="G62" s="38" t="s">
        <v>203</v>
      </c>
      <c r="H62" s="38" t="s">
        <v>204</v>
      </c>
      <c r="I62" s="42" t="s">
        <v>204</v>
      </c>
      <c r="J62" s="43" t="s">
        <v>756</v>
      </c>
      <c r="K62" s="38" t="s">
        <v>757</v>
      </c>
      <c r="L62" s="38" t="s">
        <v>757</v>
      </c>
      <c r="M62" s="38"/>
      <c r="N62" s="43">
        <f xml:space="preserve"> LEN(H62)</f>
        <v>2</v>
      </c>
      <c r="O62" s="45"/>
      <c r="P62" s="33" t="str">
        <f t="shared" si="1"/>
        <v>io</v>
      </c>
      <c r="Q62" s="33" t="str">
        <f t="shared" si="0"/>
        <v>ㄧㄜ</v>
      </c>
      <c r="S62" s="33" t="str">
        <f t="shared" si="2"/>
        <v>》io(\d)</v>
      </c>
      <c r="T62" s="30" t="str">
        <f t="shared" si="3"/>
        <v>ㄧㄜ》${1}</v>
      </c>
      <c r="U62" s="46"/>
      <c r="V62" s="47" t="str">
        <f t="shared" si="6"/>
        <v xml:space="preserve">    - xform/》io(\d)/ㄧㄜ》${1}/</v>
      </c>
    </row>
    <row r="63" spans="1:22" ht="27.75" thickBot="1">
      <c r="A63" s="38">
        <v>26</v>
      </c>
      <c r="B63" s="39" t="s">
        <v>738</v>
      </c>
      <c r="C63" s="40" t="s">
        <v>16</v>
      </c>
      <c r="D63" s="40" t="s">
        <v>16</v>
      </c>
      <c r="E63" s="38" t="s">
        <v>16</v>
      </c>
      <c r="F63" s="38" t="s">
        <v>16</v>
      </c>
      <c r="G63" s="38" t="s">
        <v>16</v>
      </c>
      <c r="H63" s="38" t="s">
        <v>16</v>
      </c>
      <c r="I63" s="42" t="s">
        <v>16</v>
      </c>
      <c r="J63" s="43" t="s">
        <v>739</v>
      </c>
      <c r="K63" s="38" t="s">
        <v>740</v>
      </c>
      <c r="L63" s="38" t="s">
        <v>741</v>
      </c>
      <c r="M63" s="38"/>
      <c r="N63" s="43">
        <f xml:space="preserve"> LEN(H63)</f>
        <v>2</v>
      </c>
      <c r="O63" s="45"/>
      <c r="P63" s="33" t="str">
        <f t="shared" si="1"/>
        <v>ip</v>
      </c>
      <c r="Q63" s="33" t="str">
        <f t="shared" si="0"/>
        <v>一ㆴ</v>
      </c>
      <c r="S63" s="33" t="str">
        <f t="shared" si="2"/>
        <v>》ip(\d)</v>
      </c>
      <c r="T63" s="30" t="str">
        <f t="shared" si="3"/>
        <v>一ㆴ》${1}</v>
      </c>
      <c r="U63" s="46"/>
      <c r="V63" s="47" t="str">
        <f t="shared" si="6"/>
        <v xml:space="preserve">    - xform/》ip(\d)/一ㆴ》${1}/</v>
      </c>
    </row>
    <row r="64" spans="1:22" ht="27.75" thickBot="1">
      <c r="A64" s="38">
        <v>27</v>
      </c>
      <c r="B64" s="39" t="s">
        <v>742</v>
      </c>
      <c r="C64" s="40" t="s">
        <v>103</v>
      </c>
      <c r="D64" s="40" t="s">
        <v>103</v>
      </c>
      <c r="E64" s="38" t="s">
        <v>103</v>
      </c>
      <c r="F64" s="38" t="s">
        <v>103</v>
      </c>
      <c r="G64" s="38" t="s">
        <v>103</v>
      </c>
      <c r="H64" s="38" t="s">
        <v>103</v>
      </c>
      <c r="I64" s="42" t="s">
        <v>103</v>
      </c>
      <c r="J64" s="43" t="s">
        <v>743</v>
      </c>
      <c r="K64" s="38" t="s">
        <v>744</v>
      </c>
      <c r="L64" s="38" t="s">
        <v>745</v>
      </c>
      <c r="M64" s="38"/>
      <c r="N64" s="43">
        <f xml:space="preserve"> LEN(H64)</f>
        <v>2</v>
      </c>
      <c r="O64" s="45"/>
      <c r="P64" s="33" t="str">
        <f t="shared" si="1"/>
        <v>it</v>
      </c>
      <c r="Q64" s="33" t="str">
        <f t="shared" si="0"/>
        <v>ㄧㆵ</v>
      </c>
      <c r="S64" s="33" t="str">
        <f t="shared" si="2"/>
        <v>》it(\d)</v>
      </c>
      <c r="T64" s="30" t="str">
        <f t="shared" si="3"/>
        <v>ㄧㆵ》${1}</v>
      </c>
      <c r="U64" s="46"/>
      <c r="V64" s="47" t="str">
        <f t="shared" si="6"/>
        <v xml:space="preserve">    - xform/》it(\d)/ㄧㆵ》${1}/</v>
      </c>
    </row>
    <row r="65" spans="1:22" ht="27.75" thickBot="1">
      <c r="A65" s="38">
        <v>47</v>
      </c>
      <c r="B65" s="39" t="s">
        <v>184</v>
      </c>
      <c r="C65" s="40" t="s">
        <v>184</v>
      </c>
      <c r="D65" s="40" t="s">
        <v>184</v>
      </c>
      <c r="E65" s="38" t="s">
        <v>184</v>
      </c>
      <c r="F65" s="38" t="s">
        <v>184</v>
      </c>
      <c r="G65" s="38" t="s">
        <v>184</v>
      </c>
      <c r="H65" s="38" t="s">
        <v>184</v>
      </c>
      <c r="I65" s="42" t="s">
        <v>184</v>
      </c>
      <c r="J65" s="43" t="s">
        <v>758</v>
      </c>
      <c r="K65" s="38" t="s">
        <v>759</v>
      </c>
      <c r="L65" s="38" t="s">
        <v>759</v>
      </c>
      <c r="M65" s="38"/>
      <c r="N65" s="43">
        <f xml:space="preserve"> LEN(H65)</f>
        <v>2</v>
      </c>
      <c r="O65" s="45"/>
      <c r="P65" s="33" t="str">
        <f t="shared" si="1"/>
        <v>iu</v>
      </c>
      <c r="Q65" s="33" t="str">
        <f t="shared" si="0"/>
        <v>ㄧㄨ</v>
      </c>
      <c r="S65" s="33" t="str">
        <f t="shared" si="2"/>
        <v>》iu(\d)</v>
      </c>
      <c r="T65" s="30" t="str">
        <f t="shared" si="3"/>
        <v>ㄧㄨ》${1}</v>
      </c>
      <c r="U65" s="46"/>
      <c r="V65" s="47" t="str">
        <f t="shared" si="6"/>
        <v xml:space="preserve">    - xform/》iu(\d)/ㄧㄨ》${1}/</v>
      </c>
    </row>
    <row r="66" spans="1:22" ht="27.75" thickBot="1">
      <c r="A66" s="38">
        <v>80</v>
      </c>
      <c r="B66" s="39" t="s">
        <v>799</v>
      </c>
      <c r="C66" s="40" t="s">
        <v>800</v>
      </c>
      <c r="D66" s="40" t="s">
        <v>800</v>
      </c>
      <c r="E66" s="41" t="s">
        <v>800</v>
      </c>
      <c r="F66" s="41" t="s">
        <v>800</v>
      </c>
      <c r="G66" s="41" t="s">
        <v>800</v>
      </c>
      <c r="H66" s="41" t="s">
        <v>800</v>
      </c>
      <c r="I66" s="41" t="s">
        <v>800</v>
      </c>
      <c r="J66" s="53" t="s">
        <v>801</v>
      </c>
      <c r="K66" s="52" t="s">
        <v>802</v>
      </c>
      <c r="L66" s="54" t="s">
        <v>803</v>
      </c>
      <c r="M66" s="38"/>
      <c r="N66" s="43">
        <f xml:space="preserve"> LEN(H66)</f>
        <v>2</v>
      </c>
      <c r="O66" s="45"/>
      <c r="P66" s="33" t="str">
        <f t="shared" si="1"/>
        <v>mh</v>
      </c>
      <c r="Q66" s="33" t="str">
        <f t="shared" si="0"/>
        <v>ㆬㆷ</v>
      </c>
      <c r="S66" s="33" t="str">
        <f t="shared" si="2"/>
        <v>》mh(\d)</v>
      </c>
      <c r="T66" s="30" t="str">
        <f t="shared" si="3"/>
        <v>ㆬㆷ》${1}</v>
      </c>
      <c r="U66" s="46"/>
      <c r="V66" s="47" t="str">
        <f t="shared" si="6"/>
        <v xml:space="preserve">    - xform/》mh(\d)/ㆬㆷ》${1}/</v>
      </c>
    </row>
    <row r="67" spans="1:22" ht="27.75" thickBot="1">
      <c r="A67" s="38">
        <v>81</v>
      </c>
      <c r="B67" s="39" t="s">
        <v>804</v>
      </c>
      <c r="C67" s="40" t="s">
        <v>237</v>
      </c>
      <c r="D67" s="40" t="s">
        <v>237</v>
      </c>
      <c r="E67" s="38" t="s">
        <v>237</v>
      </c>
      <c r="F67" s="38" t="s">
        <v>237</v>
      </c>
      <c r="G67" s="38" t="s">
        <v>237</v>
      </c>
      <c r="H67" s="38" t="s">
        <v>237</v>
      </c>
      <c r="I67" s="42" t="s">
        <v>237</v>
      </c>
      <c r="J67" s="43" t="s">
        <v>805</v>
      </c>
      <c r="K67" s="38" t="s">
        <v>238</v>
      </c>
      <c r="L67" s="38" t="s">
        <v>806</v>
      </c>
      <c r="M67" s="38"/>
      <c r="N67" s="43">
        <f xml:space="preserve"> LEN(H67)</f>
        <v>2</v>
      </c>
      <c r="O67" s="45"/>
      <c r="P67" s="33" t="str">
        <f t="shared" si="1"/>
        <v>ng</v>
      </c>
      <c r="Q67" s="33" t="str">
        <f t="shared" ref="Q67:Q84" si="7">K67</f>
        <v>ㆭ</v>
      </c>
      <c r="S67" s="33" t="str">
        <f t="shared" si="2"/>
        <v>》ng(\d)</v>
      </c>
      <c r="T67" s="30" t="str">
        <f t="shared" si="3"/>
        <v>ㆭ》${1}</v>
      </c>
      <c r="U67" s="46"/>
      <c r="V67" s="47" t="str">
        <f t="shared" si="6"/>
        <v xml:space="preserve">    - xform/》ng(\d)/ㆭ》${1}/</v>
      </c>
    </row>
    <row r="68" spans="1:22" ht="27.75" thickBot="1">
      <c r="A68" s="38">
        <v>53</v>
      </c>
      <c r="B68" s="39" t="s">
        <v>764</v>
      </c>
      <c r="C68" s="40" t="s">
        <v>92</v>
      </c>
      <c r="D68" s="40" t="s">
        <v>92</v>
      </c>
      <c r="E68" s="38" t="s">
        <v>92</v>
      </c>
      <c r="F68" s="38" t="s">
        <v>765</v>
      </c>
      <c r="G68" s="38" t="s">
        <v>765</v>
      </c>
      <c r="H68" s="38" t="s">
        <v>92</v>
      </c>
      <c r="I68" s="42" t="s">
        <v>92</v>
      </c>
      <c r="J68" s="43" t="s">
        <v>766</v>
      </c>
      <c r="K68" s="38" t="s">
        <v>767</v>
      </c>
      <c r="L68" s="38" t="s">
        <v>768</v>
      </c>
      <c r="M68" s="38"/>
      <c r="N68" s="43">
        <f xml:space="preserve"> LEN(H68)</f>
        <v>2</v>
      </c>
      <c r="O68" s="45"/>
      <c r="P68" s="33" t="str">
        <f t="shared" ref="P68:P84" si="8">H68</f>
        <v>oh</v>
      </c>
      <c r="Q68" s="33" t="str">
        <f t="shared" si="7"/>
        <v>ㄜㆷ</v>
      </c>
      <c r="S68" s="33" t="str">
        <f t="shared" ref="S68:S85" si="9">_xlfn.CONCAT("》", P68, "(\d)")</f>
        <v>》oh(\d)</v>
      </c>
      <c r="T68" s="30" t="str">
        <f t="shared" ref="T68:T85" si="10">IFERROR( _xlfn.CONCAT(Q68, "》", "${1}"), "" )</f>
        <v>ㄜㆷ》${1}</v>
      </c>
      <c r="U68" s="46"/>
      <c r="V68" s="47" t="str">
        <f t="shared" si="6"/>
        <v xml:space="preserve">    - xform/》oh(\d)/ㄜㆷ》${1}/</v>
      </c>
    </row>
    <row r="69" spans="1:22" ht="27.75" thickBot="1">
      <c r="A69" s="38">
        <v>59</v>
      </c>
      <c r="B69" s="39" t="s">
        <v>777</v>
      </c>
      <c r="C69" s="40" t="s">
        <v>42</v>
      </c>
      <c r="D69" s="40" t="s">
        <v>42</v>
      </c>
      <c r="E69" s="38" t="s">
        <v>42</v>
      </c>
      <c r="F69" s="38" t="s">
        <v>42</v>
      </c>
      <c r="G69" s="38" t="s">
        <v>42</v>
      </c>
      <c r="H69" s="38" t="s">
        <v>42</v>
      </c>
      <c r="I69" s="42" t="s">
        <v>42</v>
      </c>
      <c r="J69" s="43" t="s">
        <v>778</v>
      </c>
      <c r="K69" s="38" t="s">
        <v>43</v>
      </c>
      <c r="L69" s="38" t="s">
        <v>779</v>
      </c>
      <c r="M69" s="38"/>
      <c r="N69" s="43">
        <f xml:space="preserve"> LEN(H69)</f>
        <v>2</v>
      </c>
      <c r="O69" s="45"/>
      <c r="P69" s="33" t="str">
        <f t="shared" si="8"/>
        <v>ok</v>
      </c>
      <c r="Q69" s="33" t="str">
        <f t="shared" si="7"/>
        <v>ㆦㆻ</v>
      </c>
      <c r="S69" s="33" t="str">
        <f t="shared" si="9"/>
        <v>》ok(\d)</v>
      </c>
      <c r="T69" s="30" t="str">
        <f t="shared" si="10"/>
        <v>ㆦㆻ》${1}</v>
      </c>
      <c r="U69" s="46"/>
      <c r="V69" s="47" t="str">
        <f t="shared" ref="V69:V85" si="11">IF(AND(Q69&lt;&gt;"", P69&lt;&gt;""), "    - xform/" &amp; S69 &amp;  "/"  &amp; T69 &amp;  "/", "")</f>
        <v xml:space="preserve">    - xform/》ok(\d)/ㆦㆻ》${1}/</v>
      </c>
    </row>
    <row r="70" spans="1:22" ht="27.75" thickBot="1">
      <c r="A70" s="38">
        <v>56</v>
      </c>
      <c r="B70" s="39" t="s">
        <v>769</v>
      </c>
      <c r="C70" s="40" t="s">
        <v>770</v>
      </c>
      <c r="D70" s="40" t="s">
        <v>770</v>
      </c>
      <c r="E70" s="38" t="s">
        <v>770</v>
      </c>
      <c r="F70" s="38" t="s">
        <v>290</v>
      </c>
      <c r="G70" s="38" t="s">
        <v>290</v>
      </c>
      <c r="H70" s="38" t="s">
        <v>770</v>
      </c>
      <c r="I70" s="42" t="s">
        <v>770</v>
      </c>
      <c r="J70" s="43" t="s">
        <v>771</v>
      </c>
      <c r="K70" s="38" t="s">
        <v>291</v>
      </c>
      <c r="L70" s="38" t="s">
        <v>772</v>
      </c>
      <c r="M70" s="38"/>
      <c r="N70" s="43">
        <f xml:space="preserve"> LEN(H70)</f>
        <v>2</v>
      </c>
      <c r="O70" s="45"/>
      <c r="P70" s="33" t="str">
        <f t="shared" si="8"/>
        <v>om</v>
      </c>
      <c r="Q70" s="33" t="str">
        <f t="shared" si="7"/>
        <v>ㆱ</v>
      </c>
      <c r="S70" s="33" t="str">
        <f t="shared" si="9"/>
        <v>》om(\d)</v>
      </c>
      <c r="T70" s="30" t="str">
        <f t="shared" si="10"/>
        <v>ㆱ》${1}</v>
      </c>
      <c r="U70" s="46"/>
      <c r="V70" s="47" t="str">
        <f t="shared" si="11"/>
        <v xml:space="preserve">    - xform/》om(\d)/ㆱ》${1}/</v>
      </c>
    </row>
    <row r="71" spans="1:22" ht="27.75" thickBot="1">
      <c r="A71" s="38">
        <v>51</v>
      </c>
      <c r="B71" s="39" t="s">
        <v>760</v>
      </c>
      <c r="C71" s="40" t="s">
        <v>65</v>
      </c>
      <c r="D71" s="40" t="s">
        <v>65</v>
      </c>
      <c r="E71" s="38" t="s">
        <v>65</v>
      </c>
      <c r="F71" s="38" t="s">
        <v>65</v>
      </c>
      <c r="G71" s="38" t="s">
        <v>65</v>
      </c>
      <c r="H71" s="38" t="s">
        <v>65</v>
      </c>
      <c r="I71" s="42" t="s">
        <v>761</v>
      </c>
      <c r="J71" s="43" t="s">
        <v>762</v>
      </c>
      <c r="K71" s="38" t="s">
        <v>66</v>
      </c>
      <c r="L71" s="38" t="s">
        <v>763</v>
      </c>
      <c r="M71" s="38"/>
      <c r="N71" s="43">
        <f xml:space="preserve"> LEN(H71)</f>
        <v>2</v>
      </c>
      <c r="O71" s="45"/>
      <c r="P71" s="33" t="str">
        <f t="shared" si="8"/>
        <v>oo</v>
      </c>
      <c r="Q71" s="33" t="str">
        <f t="shared" si="7"/>
        <v>ㆦ</v>
      </c>
      <c r="S71" s="33" t="str">
        <f t="shared" si="9"/>
        <v>》oo(\d)</v>
      </c>
      <c r="T71" s="30" t="str">
        <f t="shared" si="10"/>
        <v>ㆦ》${1}</v>
      </c>
      <c r="U71" s="46"/>
      <c r="V71" s="47" t="str">
        <f t="shared" si="11"/>
        <v xml:space="preserve">    - xform/》oo(\d)/ㆦ》${1}/</v>
      </c>
    </row>
    <row r="72" spans="1:22" ht="27.75" thickBot="1">
      <c r="A72" s="38">
        <v>58</v>
      </c>
      <c r="B72" s="39" t="s">
        <v>773</v>
      </c>
      <c r="C72" s="40" t="s">
        <v>774</v>
      </c>
      <c r="D72" s="40" t="s">
        <v>774</v>
      </c>
      <c r="E72" s="38" t="s">
        <v>774</v>
      </c>
      <c r="F72" s="38" t="s">
        <v>293</v>
      </c>
      <c r="G72" s="38" t="s">
        <v>293</v>
      </c>
      <c r="H72" s="38" t="s">
        <v>774</v>
      </c>
      <c r="I72" s="42" t="s">
        <v>774</v>
      </c>
      <c r="J72" s="43" t="s">
        <v>775</v>
      </c>
      <c r="K72" s="38" t="s">
        <v>294</v>
      </c>
      <c r="L72" s="38" t="s">
        <v>776</v>
      </c>
      <c r="M72" s="38"/>
      <c r="N72" s="43">
        <f xml:space="preserve"> LEN(H72)</f>
        <v>2</v>
      </c>
      <c r="O72" s="45"/>
      <c r="P72" s="33" t="str">
        <f t="shared" si="8"/>
        <v>op</v>
      </c>
      <c r="Q72" s="33" t="str">
        <f t="shared" si="7"/>
        <v>ㆦㆴ</v>
      </c>
      <c r="S72" s="33" t="str">
        <f t="shared" si="9"/>
        <v>》op(\d)</v>
      </c>
      <c r="T72" s="30" t="str">
        <f t="shared" si="10"/>
        <v>ㆦㆴ》${1}</v>
      </c>
      <c r="U72" s="46"/>
      <c r="V72" s="47" t="str">
        <f t="shared" si="11"/>
        <v xml:space="preserve">    - xform/》op(\d)/ㆦㆴ》${1}/</v>
      </c>
    </row>
    <row r="73" spans="1:22" ht="27.75" thickBot="1">
      <c r="A73" s="38">
        <v>64</v>
      </c>
      <c r="B73" s="39" t="s">
        <v>120</v>
      </c>
      <c r="C73" s="40" t="s">
        <v>120</v>
      </c>
      <c r="D73" s="40" t="s">
        <v>120</v>
      </c>
      <c r="E73" s="38" t="s">
        <v>120</v>
      </c>
      <c r="F73" s="38" t="s">
        <v>120</v>
      </c>
      <c r="G73" s="38" t="s">
        <v>120</v>
      </c>
      <c r="H73" s="38" t="s">
        <v>120</v>
      </c>
      <c r="I73" s="42" t="s">
        <v>790</v>
      </c>
      <c r="J73" s="43" t="s">
        <v>791</v>
      </c>
      <c r="K73" s="38" t="s">
        <v>792</v>
      </c>
      <c r="L73" s="38" t="s">
        <v>792</v>
      </c>
      <c r="M73" s="38"/>
      <c r="N73" s="43">
        <f xml:space="preserve"> LEN(H73)</f>
        <v>2</v>
      </c>
      <c r="O73" s="45"/>
      <c r="P73" s="33" t="str">
        <f t="shared" si="8"/>
        <v>ua</v>
      </c>
      <c r="Q73" s="33" t="str">
        <f t="shared" si="7"/>
        <v>ㄨㄚ</v>
      </c>
      <c r="S73" s="33" t="str">
        <f t="shared" si="9"/>
        <v>》ua(\d)</v>
      </c>
      <c r="T73" s="30" t="str">
        <f t="shared" si="10"/>
        <v>ㄨㄚ》${1}</v>
      </c>
      <c r="U73" s="46"/>
      <c r="V73" s="47" t="str">
        <f t="shared" si="11"/>
        <v xml:space="preserve">    - xform/》ua(\d)/ㄨㄚ》${1}/</v>
      </c>
    </row>
    <row r="74" spans="1:22" ht="27.75" thickBot="1">
      <c r="A74" s="38">
        <v>74</v>
      </c>
      <c r="B74" s="39" t="s">
        <v>151</v>
      </c>
      <c r="C74" s="40" t="s">
        <v>151</v>
      </c>
      <c r="D74" s="40" t="s">
        <v>151</v>
      </c>
      <c r="E74" s="38" t="s">
        <v>151</v>
      </c>
      <c r="F74" s="38" t="s">
        <v>151</v>
      </c>
      <c r="G74" s="38" t="s">
        <v>151</v>
      </c>
      <c r="H74" s="38" t="s">
        <v>151</v>
      </c>
      <c r="I74" s="42" t="s">
        <v>793</v>
      </c>
      <c r="J74" s="43" t="s">
        <v>794</v>
      </c>
      <c r="K74" s="38" t="s">
        <v>795</v>
      </c>
      <c r="L74" s="38" t="s">
        <v>796</v>
      </c>
      <c r="M74" s="38"/>
      <c r="N74" s="43">
        <f xml:space="preserve"> LEN(H74)</f>
        <v>2</v>
      </c>
      <c r="O74" s="45"/>
      <c r="P74" s="33" t="str">
        <f t="shared" si="8"/>
        <v>ue</v>
      </c>
      <c r="Q74" s="33" t="str">
        <f t="shared" si="7"/>
        <v>ㄨㆤ</v>
      </c>
      <c r="S74" s="33" t="str">
        <f t="shared" si="9"/>
        <v>》ue(\d)</v>
      </c>
      <c r="T74" s="30" t="str">
        <f t="shared" si="10"/>
        <v>ㄨㆤ》${1}</v>
      </c>
      <c r="U74" s="46"/>
      <c r="V74" s="47" t="str">
        <f t="shared" si="11"/>
        <v xml:space="preserve">    - xform/》ue(\d)/ㄨㆤ》${1}/</v>
      </c>
    </row>
    <row r="75" spans="1:22" ht="27.75" thickBot="1">
      <c r="A75" s="38">
        <v>61</v>
      </c>
      <c r="B75" s="39" t="s">
        <v>780</v>
      </c>
      <c r="C75" s="40" t="s">
        <v>23</v>
      </c>
      <c r="D75" s="40" t="s">
        <v>23</v>
      </c>
      <c r="E75" s="38" t="s">
        <v>23</v>
      </c>
      <c r="F75" s="38" t="s">
        <v>23</v>
      </c>
      <c r="G75" s="38" t="s">
        <v>23</v>
      </c>
      <c r="H75" s="38" t="s">
        <v>23</v>
      </c>
      <c r="I75" s="42" t="s">
        <v>23</v>
      </c>
      <c r="J75" s="43" t="s">
        <v>781</v>
      </c>
      <c r="K75" s="38" t="s">
        <v>782</v>
      </c>
      <c r="L75" s="38" t="s">
        <v>783</v>
      </c>
      <c r="M75" s="38"/>
      <c r="N75" s="43">
        <f xml:space="preserve"> LEN(H75)</f>
        <v>2</v>
      </c>
      <c r="O75" s="45"/>
      <c r="P75" s="33" t="str">
        <f t="shared" si="8"/>
        <v>uh</v>
      </c>
      <c r="Q75" s="33" t="str">
        <f t="shared" si="7"/>
        <v>ㄨㆷ</v>
      </c>
      <c r="S75" s="33" t="str">
        <f t="shared" si="9"/>
        <v>》uh(\d)</v>
      </c>
      <c r="T75" s="30" t="str">
        <f t="shared" si="10"/>
        <v>ㄨㆷ》${1}</v>
      </c>
      <c r="U75" s="46"/>
      <c r="V75" s="47" t="str">
        <f t="shared" si="11"/>
        <v xml:space="preserve">    - xform/》uh(\d)/ㄨㆷ》${1}/</v>
      </c>
    </row>
    <row r="76" spans="1:22" ht="27.75" thickBot="1">
      <c r="A76" s="38">
        <v>76</v>
      </c>
      <c r="B76" s="39" t="s">
        <v>20</v>
      </c>
      <c r="C76" s="40" t="s">
        <v>20</v>
      </c>
      <c r="D76" s="40" t="s">
        <v>20</v>
      </c>
      <c r="E76" s="38" t="s">
        <v>20</v>
      </c>
      <c r="F76" s="38" t="s">
        <v>20</v>
      </c>
      <c r="G76" s="38" t="s">
        <v>20</v>
      </c>
      <c r="H76" s="38" t="s">
        <v>20</v>
      </c>
      <c r="I76" s="42" t="s">
        <v>20</v>
      </c>
      <c r="J76" s="43" t="s">
        <v>797</v>
      </c>
      <c r="K76" s="38" t="s">
        <v>798</v>
      </c>
      <c r="L76" s="38" t="s">
        <v>798</v>
      </c>
      <c r="M76" s="38"/>
      <c r="N76" s="43">
        <f xml:space="preserve"> LEN(H76)</f>
        <v>2</v>
      </c>
      <c r="O76" s="45"/>
      <c r="P76" s="33" t="str">
        <f t="shared" si="8"/>
        <v>ui</v>
      </c>
      <c r="Q76" s="33" t="str">
        <f t="shared" si="7"/>
        <v>ㄨㄧ</v>
      </c>
      <c r="S76" s="33" t="str">
        <f t="shared" si="9"/>
        <v>》ui(\d)</v>
      </c>
      <c r="T76" s="30" t="str">
        <f t="shared" si="10"/>
        <v>ㄨㄧ》${1}</v>
      </c>
      <c r="U76" s="46"/>
      <c r="V76" s="47" t="str">
        <f t="shared" si="11"/>
        <v xml:space="preserve">    - xform/》ui(\d)/ㄨㄧ》${1}/</v>
      </c>
    </row>
    <row r="77" spans="1:22" ht="27.75" thickBot="1">
      <c r="A77" s="38">
        <v>62</v>
      </c>
      <c r="B77" s="39" t="s">
        <v>3</v>
      </c>
      <c r="C77" s="40" t="s">
        <v>3</v>
      </c>
      <c r="D77" s="40" t="s">
        <v>3</v>
      </c>
      <c r="E77" s="38" t="s">
        <v>3</v>
      </c>
      <c r="F77" s="38" t="s">
        <v>3</v>
      </c>
      <c r="G77" s="38" t="s">
        <v>3</v>
      </c>
      <c r="H77" s="38" t="s">
        <v>3</v>
      </c>
      <c r="I77" s="42" t="s">
        <v>3</v>
      </c>
      <c r="J77" s="43" t="s">
        <v>784</v>
      </c>
      <c r="K77" s="38" t="s">
        <v>785</v>
      </c>
      <c r="L77" s="38" t="s">
        <v>785</v>
      </c>
      <c r="M77" s="38"/>
      <c r="N77" s="43">
        <f xml:space="preserve"> LEN(H77)</f>
        <v>2</v>
      </c>
      <c r="O77" s="45"/>
      <c r="P77" s="33" t="str">
        <f t="shared" si="8"/>
        <v>un</v>
      </c>
      <c r="Q77" s="33" t="str">
        <f t="shared" si="7"/>
        <v>ㄨㄣ</v>
      </c>
      <c r="S77" s="33" t="str">
        <f t="shared" si="9"/>
        <v>》un(\d)</v>
      </c>
      <c r="T77" s="30" t="str">
        <f t="shared" si="10"/>
        <v>ㄨㄣ》${1}</v>
      </c>
      <c r="U77" s="46"/>
      <c r="V77" s="47" t="str">
        <f t="shared" si="11"/>
        <v xml:space="preserve">    - xform/》un(\d)/ㄨㄣ》${1}/</v>
      </c>
    </row>
    <row r="78" spans="1:22" ht="27.75" thickBot="1">
      <c r="A78" s="38">
        <v>63</v>
      </c>
      <c r="B78" s="39" t="s">
        <v>786</v>
      </c>
      <c r="C78" s="40" t="s">
        <v>4</v>
      </c>
      <c r="D78" s="40" t="s">
        <v>4</v>
      </c>
      <c r="E78" s="38" t="s">
        <v>4</v>
      </c>
      <c r="F78" s="38" t="s">
        <v>4</v>
      </c>
      <c r="G78" s="38" t="s">
        <v>4</v>
      </c>
      <c r="H78" s="38" t="s">
        <v>4</v>
      </c>
      <c r="I78" s="42" t="s">
        <v>4</v>
      </c>
      <c r="J78" s="43" t="s">
        <v>787</v>
      </c>
      <c r="K78" s="38" t="s">
        <v>788</v>
      </c>
      <c r="L78" s="38" t="s">
        <v>789</v>
      </c>
      <c r="M78" s="38"/>
      <c r="N78" s="43">
        <f xml:space="preserve"> LEN(H78)</f>
        <v>2</v>
      </c>
      <c r="O78" s="45"/>
      <c r="P78" s="33" t="str">
        <f t="shared" si="8"/>
        <v>ut</v>
      </c>
      <c r="Q78" s="33" t="str">
        <f t="shared" si="7"/>
        <v>ㄨㆵ</v>
      </c>
      <c r="S78" s="33" t="str">
        <f t="shared" si="9"/>
        <v>》ut(\d)</v>
      </c>
      <c r="T78" s="30" t="str">
        <f t="shared" si="10"/>
        <v>ㄨㆵ》${1}</v>
      </c>
      <c r="U78" s="46"/>
      <c r="V78" s="47" t="str">
        <f t="shared" si="11"/>
        <v xml:space="preserve">    - xform/》ut(\d)/ㄨㆵ》${1}/</v>
      </c>
    </row>
    <row r="79" spans="1:22" ht="27.75" thickBot="1">
      <c r="A79" s="38">
        <v>1</v>
      </c>
      <c r="B79" s="39" t="s">
        <v>172</v>
      </c>
      <c r="C79" s="40" t="s">
        <v>172</v>
      </c>
      <c r="D79" s="40" t="s">
        <v>172</v>
      </c>
      <c r="E79" s="38" t="s">
        <v>172</v>
      </c>
      <c r="F79" s="38" t="s">
        <v>172</v>
      </c>
      <c r="G79" s="38" t="s">
        <v>172</v>
      </c>
      <c r="H79" s="38" t="s">
        <v>172</v>
      </c>
      <c r="I79" s="42" t="s">
        <v>172</v>
      </c>
      <c r="J79" s="43" t="s">
        <v>807</v>
      </c>
      <c r="K79" s="38" t="s">
        <v>808</v>
      </c>
      <c r="L79" s="38" t="s">
        <v>808</v>
      </c>
      <c r="M79" s="38"/>
      <c r="N79" s="43">
        <f xml:space="preserve"> LEN(H79)</f>
        <v>1</v>
      </c>
      <c r="O79" s="45"/>
      <c r="P79" s="33" t="str">
        <f t="shared" si="8"/>
        <v>a</v>
      </c>
      <c r="Q79" s="33" t="str">
        <f t="shared" si="7"/>
        <v>ㄚ</v>
      </c>
      <c r="S79" s="33" t="str">
        <f t="shared" si="9"/>
        <v>》a(\d)</v>
      </c>
      <c r="T79" s="30" t="str">
        <f t="shared" si="10"/>
        <v>ㄚ》${1}</v>
      </c>
      <c r="U79" s="46"/>
      <c r="V79" s="47" t="str">
        <f t="shared" si="11"/>
        <v xml:space="preserve">    - xform/》a(\d)/ㄚ》${1}/</v>
      </c>
    </row>
    <row r="80" spans="1:22" ht="27.75" thickBot="1">
      <c r="A80" s="38">
        <v>16</v>
      </c>
      <c r="B80" s="39" t="s">
        <v>27</v>
      </c>
      <c r="C80" s="40" t="s">
        <v>27</v>
      </c>
      <c r="D80" s="40" t="s">
        <v>27</v>
      </c>
      <c r="E80" s="38" t="s">
        <v>809</v>
      </c>
      <c r="F80" s="38" t="s">
        <v>27</v>
      </c>
      <c r="G80" s="38" t="s">
        <v>27</v>
      </c>
      <c r="H80" s="38" t="s">
        <v>27</v>
      </c>
      <c r="I80" s="42">
        <v>0</v>
      </c>
      <c r="J80" s="43" t="s">
        <v>810</v>
      </c>
      <c r="K80" s="38" t="s">
        <v>77</v>
      </c>
      <c r="L80" s="38" t="s">
        <v>811</v>
      </c>
      <c r="M80" s="38"/>
      <c r="N80" s="43">
        <f xml:space="preserve"> LEN(H80)</f>
        <v>1</v>
      </c>
      <c r="O80" s="45"/>
      <c r="P80" s="33" t="str">
        <f t="shared" si="8"/>
        <v>e</v>
      </c>
      <c r="Q80" s="33" t="str">
        <f t="shared" si="7"/>
        <v>ㆤ</v>
      </c>
      <c r="S80" s="33" t="str">
        <f t="shared" si="9"/>
        <v>》e(\d)</v>
      </c>
      <c r="T80" s="30" t="str">
        <f t="shared" si="10"/>
        <v>ㆤ》${1}</v>
      </c>
      <c r="U80" s="46"/>
      <c r="V80" s="47" t="str">
        <f t="shared" si="11"/>
        <v xml:space="preserve">    - xform/》e(\d)/ㆤ》${1}/</v>
      </c>
    </row>
    <row r="81" spans="1:22" ht="27.75" thickBot="1">
      <c r="A81" s="38">
        <v>20</v>
      </c>
      <c r="B81" s="39" t="s">
        <v>178</v>
      </c>
      <c r="C81" s="40" t="s">
        <v>178</v>
      </c>
      <c r="D81" s="40" t="s">
        <v>178</v>
      </c>
      <c r="E81" s="38" t="s">
        <v>178</v>
      </c>
      <c r="F81" s="38" t="s">
        <v>178</v>
      </c>
      <c r="G81" s="38" t="s">
        <v>178</v>
      </c>
      <c r="H81" s="38" t="s">
        <v>178</v>
      </c>
      <c r="I81" s="42" t="s">
        <v>178</v>
      </c>
      <c r="J81" s="43" t="s">
        <v>812</v>
      </c>
      <c r="K81" s="38" t="s">
        <v>813</v>
      </c>
      <c r="L81" s="38" t="s">
        <v>813</v>
      </c>
      <c r="M81" s="38"/>
      <c r="N81" s="43">
        <f xml:space="preserve"> LEN(H81)</f>
        <v>1</v>
      </c>
      <c r="O81" s="45"/>
      <c r="P81" s="33" t="str">
        <f t="shared" si="8"/>
        <v>i</v>
      </c>
      <c r="Q81" s="33" t="str">
        <f t="shared" si="7"/>
        <v>ㄧ</v>
      </c>
      <c r="S81" s="33" t="str">
        <f t="shared" si="9"/>
        <v>》i(\d)</v>
      </c>
      <c r="T81" s="30" t="str">
        <f t="shared" si="10"/>
        <v>ㄧ》${1}</v>
      </c>
      <c r="U81" s="46"/>
      <c r="V81" s="47" t="str">
        <f t="shared" si="11"/>
        <v xml:space="preserve">    - xform/》i(\d)/ㄧ》${1}/</v>
      </c>
    </row>
    <row r="82" spans="1:22" ht="27.75" thickBot="1">
      <c r="A82" s="38">
        <v>79</v>
      </c>
      <c r="B82" s="39" t="s">
        <v>819</v>
      </c>
      <c r="C82" s="40" t="s">
        <v>260</v>
      </c>
      <c r="D82" s="40" t="s">
        <v>260</v>
      </c>
      <c r="E82" s="38" t="s">
        <v>260</v>
      </c>
      <c r="F82" s="38" t="s">
        <v>260</v>
      </c>
      <c r="G82" s="38" t="s">
        <v>260</v>
      </c>
      <c r="H82" s="38" t="s">
        <v>260</v>
      </c>
      <c r="I82" s="42" t="s">
        <v>260</v>
      </c>
      <c r="J82" s="43" t="s">
        <v>820</v>
      </c>
      <c r="K82" s="38" t="s">
        <v>261</v>
      </c>
      <c r="L82" s="38" t="s">
        <v>821</v>
      </c>
      <c r="M82" s="38"/>
      <c r="N82" s="43">
        <f xml:space="preserve"> LEN(H82)</f>
        <v>1</v>
      </c>
      <c r="O82" s="45"/>
      <c r="P82" s="33" t="str">
        <f t="shared" si="8"/>
        <v>m</v>
      </c>
      <c r="Q82" s="33" t="str">
        <f t="shared" si="7"/>
        <v>ㆬ</v>
      </c>
      <c r="S82" s="33" t="str">
        <f t="shared" si="9"/>
        <v>》m(\d)</v>
      </c>
      <c r="T82" s="30" t="str">
        <f t="shared" si="10"/>
        <v>ㆬ》${1}</v>
      </c>
      <c r="U82" s="46"/>
      <c r="V82" s="47" t="str">
        <f t="shared" si="11"/>
        <v xml:space="preserve">    - xform/》m(\d)/ㆬ》${1}/</v>
      </c>
    </row>
    <row r="83" spans="1:22" ht="27.75" thickBot="1">
      <c r="A83" s="38">
        <v>50</v>
      </c>
      <c r="B83" s="39" t="s">
        <v>814</v>
      </c>
      <c r="C83" s="40" t="s">
        <v>90</v>
      </c>
      <c r="D83" s="40" t="s">
        <v>90</v>
      </c>
      <c r="E83" s="38" t="s">
        <v>90</v>
      </c>
      <c r="F83" s="38" t="s">
        <v>89</v>
      </c>
      <c r="G83" s="38" t="s">
        <v>89</v>
      </c>
      <c r="H83" s="38" t="s">
        <v>90</v>
      </c>
      <c r="I83" s="42" t="s">
        <v>90</v>
      </c>
      <c r="J83" s="43" t="s">
        <v>815</v>
      </c>
      <c r="K83" s="38" t="s">
        <v>816</v>
      </c>
      <c r="L83" s="38" t="s">
        <v>816</v>
      </c>
      <c r="M83" s="38"/>
      <c r="N83" s="43">
        <f xml:space="preserve"> LEN(H83)</f>
        <v>1</v>
      </c>
      <c r="O83" s="45"/>
      <c r="P83" s="33" t="str">
        <f t="shared" si="8"/>
        <v>o</v>
      </c>
      <c r="Q83" s="33" t="str">
        <f t="shared" si="7"/>
        <v>ㄜ</v>
      </c>
      <c r="S83" s="33" t="str">
        <f t="shared" si="9"/>
        <v>》o(\d)</v>
      </c>
      <c r="T83" s="30" t="str">
        <f t="shared" si="10"/>
        <v>ㄜ》${1}</v>
      </c>
      <c r="U83" s="46"/>
      <c r="V83" s="47" t="str">
        <f t="shared" si="11"/>
        <v xml:space="preserve">    - xform/》o(\d)/ㄜ》${1}/</v>
      </c>
    </row>
    <row r="84" spans="1:22" ht="27.75" thickBot="1">
      <c r="A84" s="38">
        <v>60</v>
      </c>
      <c r="B84" s="39" t="s">
        <v>167</v>
      </c>
      <c r="C84" s="40" t="s">
        <v>167</v>
      </c>
      <c r="D84" s="40" t="s">
        <v>167</v>
      </c>
      <c r="E84" s="38" t="s">
        <v>167</v>
      </c>
      <c r="F84" s="38" t="s">
        <v>167</v>
      </c>
      <c r="G84" s="38" t="s">
        <v>167</v>
      </c>
      <c r="H84" s="38" t="s">
        <v>167</v>
      </c>
      <c r="I84" s="42" t="s">
        <v>167</v>
      </c>
      <c r="J84" s="43" t="s">
        <v>817</v>
      </c>
      <c r="K84" s="38" t="s">
        <v>818</v>
      </c>
      <c r="L84" s="38" t="s">
        <v>818</v>
      </c>
      <c r="M84" s="38"/>
      <c r="N84" s="43">
        <f xml:space="preserve"> LEN(H84)</f>
        <v>1</v>
      </c>
      <c r="O84" s="45"/>
      <c r="P84" s="33" t="str">
        <f t="shared" si="8"/>
        <v>u</v>
      </c>
      <c r="Q84" s="33" t="str">
        <f t="shared" si="7"/>
        <v>ㄨ</v>
      </c>
      <c r="S84" s="33" t="str">
        <f t="shared" si="9"/>
        <v>》u(\d)</v>
      </c>
      <c r="T84" s="30" t="str">
        <f t="shared" si="10"/>
        <v>ㄨ》${1}</v>
      </c>
      <c r="U84" s="46"/>
      <c r="V84" s="47" t="str">
        <f t="shared" si="11"/>
        <v xml:space="preserve">    - xform/》u(\d)/ㄨ》${1}/</v>
      </c>
    </row>
    <row r="85" spans="1:22" ht="27">
      <c r="U85" s="46"/>
      <c r="V85" s="47" t="str">
        <f t="shared" si="11"/>
        <v/>
      </c>
    </row>
    <row r="86" spans="1:22" ht="27" thickBot="1"/>
    <row r="87" spans="1:22" ht="48.75" thickBot="1">
      <c r="B87" s="30" t="s">
        <v>822</v>
      </c>
      <c r="C87" s="30" t="s">
        <v>823</v>
      </c>
      <c r="D87" s="30"/>
      <c r="E87" s="30" t="s">
        <v>823</v>
      </c>
    </row>
    <row r="88" spans="1:22" ht="27.75" thickBot="1">
      <c r="B88" s="38" t="s">
        <v>824</v>
      </c>
      <c r="C88" s="38">
        <f>HEX2DEC(VALUE(RIGHT(B88,4)))</f>
        <v>771</v>
      </c>
      <c r="D88" s="38"/>
      <c r="E88" s="38" t="str">
        <f>_xlfn.CONCAT("a", _xlfn.UNICHAR(HEX2DEC(RIGHT(B88,4))))</f>
        <v>ã</v>
      </c>
    </row>
    <row r="89" spans="1:22" ht="27.75" thickBot="1">
      <c r="B89" s="38" t="s">
        <v>825</v>
      </c>
      <c r="C89" s="38">
        <f>HEX2DEC(VALUE(RIGHT(B89,4)))</f>
        <v>660</v>
      </c>
      <c r="D89" s="38"/>
      <c r="E89" s="38" t="str">
        <f>_xlfn.CONCAT("a", _xlfn.UNICHAR(HEX2DEC(RIGHT(B89,4))))</f>
        <v>aʔ</v>
      </c>
    </row>
    <row r="90" spans="1:22" ht="27" thickBot="1"/>
    <row r="91" spans="1:22" ht="27" thickBot="1">
      <c r="B91" s="30" t="s">
        <v>826</v>
      </c>
      <c r="C91" s="30">
        <f>HEX2DEC(VALUE(RIGHT(B91,4)))</f>
        <v>2134</v>
      </c>
      <c r="D91" s="30"/>
      <c r="E91" s="30" t="str">
        <f>_xlfn.CONCAT("o", _xlfn.UNICHAR( RIGHT(B91,4)))</f>
        <v>o͘</v>
      </c>
    </row>
    <row r="92" spans="1:22" ht="27" thickBot="1">
      <c r="B92" s="30" t="s">
        <v>761</v>
      </c>
      <c r="C92" s="30">
        <f>_xlfn.UNICODE( RIGHT(B92,1) )</f>
        <v>856</v>
      </c>
      <c r="D92" s="30"/>
      <c r="E92" s="30" t="str">
        <f>_xlfn.CONCAT("o", _xlfn.UNICHAR(C92))</f>
        <v>o͘</v>
      </c>
    </row>
    <row r="93" spans="1:22" ht="27" thickBot="1"/>
    <row r="94" spans="1:22" ht="27" thickBot="1">
      <c r="B94" s="30" t="s">
        <v>827</v>
      </c>
      <c r="C94" s="30" t="s">
        <v>806</v>
      </c>
      <c r="D94" s="56"/>
    </row>
    <row r="95" spans="1:22" ht="27" thickBot="1">
      <c r="B95" s="30" t="s">
        <v>828</v>
      </c>
      <c r="C95" s="30" t="s">
        <v>238</v>
      </c>
      <c r="D95" s="56"/>
    </row>
    <row r="97" spans="1:1">
      <c r="A97" s="21" t="str">
        <f>"(""" &amp; _xlfn.TEXTJOIN(""",""",TRUE,H4:H85) &amp; """)"</f>
        <v>("niah","niao","nioo","niuh","nooh","nuai","nah","nai","neh","nia","niu","noo","nua","nui","na","ne","ni","iang","iaoh","iong","uaih","uang","aih","ang","aoh","iah","iak","iam","ian","iao","iap","iat","ing","ioh","iok","ngh","ong","ooh","uah","uai","uan","uat","ueh","uih","ah","ai","ak","am","an","ao","ap","at","eh","ia","ih","ik","im","in","io","ip","it","iu","mh","ng","oh","ok","om","oo","op","ua","ue","uh","ui","un","ut","a","e","i","m","o","u")</v>
      </c>
    </row>
  </sheetData>
  <sortState xmlns:xlrd2="http://schemas.microsoft.com/office/spreadsheetml/2017/richdata2" ref="A3:N84">
    <sortCondition descending="1" ref="M3:M84"/>
    <sortCondition descending="1" ref="N3:N84"/>
    <sortCondition ref="H3:H84"/>
  </sortState>
  <phoneticPr fontId="1" type="noConversion"/>
  <conditionalFormatting sqref="V3:V85">
    <cfRule type="expression" dxfId="0" priority="1">
      <formula xml:space="preserve"> SEARCH("》n", $V3)&gt;0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工作表1</vt:lpstr>
      <vt:lpstr>工作表1 (2)</vt:lpstr>
      <vt:lpstr> 【韻母清單】BPM2</vt:lpstr>
      <vt:lpstr> 【韻母清單】BP轉TPS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2026-05-26T12:41:42Z</dcterms:created>
  <dcterms:modified xsi:type="dcterms:W3CDTF">2026-05-28T08:55:37Z</dcterms:modified>
</cp:coreProperties>
</file>